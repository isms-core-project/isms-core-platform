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4B2A9516-D307-1D4A-9938-B0CB5C57439A}" xr6:coauthVersionLast="47" xr6:coauthVersionMax="47" xr10:uidLastSave="{00000000-0000-0000-0000-000000000000}"/>
  <bookViews>
    <workbookView xWindow="0" yWindow="600" windowWidth="38400" windowHeight="19660" activeTab="7" xr2:uid="{00000000-000D-0000-FFFF-FFFF00000000}"/>
  </bookViews>
  <sheets>
    <sheet name="Instructions &amp; Legend" sheetId="1" r:id="rId1"/>
    <sheet name="Solution_Details_Template" sheetId="2" r:id="rId2"/>
    <sheet name="Technology_Comparison" sheetId="3" r:id="rId3"/>
    <sheet name="Capability_Requirements" sheetId="4" r:id="rId4"/>
    <sheet name="Integration_Architecture" sheetId="5" r:id="rId5"/>
    <sheet name="Licensing_Support" sheetId="6" r:id="rId6"/>
    <sheet name="Performance_Metrics" sheetId="7" r:id="rId7"/>
    <sheet name="Gap_Analysis" sheetId="8" r:id="rId8"/>
    <sheet name="Evidence_Register" sheetId="9" r:id="rId9"/>
    <sheet name="Approval_Sign_Off"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0" l="1"/>
  <c r="B56" i="8"/>
  <c r="B55" i="8"/>
  <c r="B54" i="8"/>
  <c r="C52" i="8"/>
  <c r="B52" i="8"/>
  <c r="B51" i="8"/>
  <c r="C51" i="8" s="1"/>
  <c r="B50" i="8"/>
  <c r="C50" i="8" s="1"/>
  <c r="B49" i="8"/>
  <c r="C49" i="8" s="1"/>
  <c r="D18" i="7"/>
  <c r="D17" i="7"/>
  <c r="D16" i="7"/>
  <c r="D15" i="7"/>
  <c r="D14" i="7"/>
  <c r="G10" i="7"/>
  <c r="G9" i="7"/>
  <c r="G8" i="7"/>
  <c r="G7" i="7"/>
  <c r="G6" i="7"/>
  <c r="D41" i="6"/>
  <c r="D40" i="6"/>
  <c r="D39" i="6"/>
  <c r="D38" i="6"/>
  <c r="D37" i="6"/>
  <c r="D36" i="6"/>
  <c r="D35" i="6"/>
  <c r="D34" i="6"/>
  <c r="D33" i="6"/>
  <c r="D32" i="6"/>
  <c r="D28" i="6"/>
  <c r="D27" i="6"/>
  <c r="D26" i="6"/>
  <c r="D25" i="6"/>
  <c r="D24" i="6"/>
  <c r="D23" i="6"/>
  <c r="D22" i="6"/>
  <c r="D21" i="6"/>
  <c r="D20" i="6"/>
  <c r="D19" i="6"/>
  <c r="E15" i="6"/>
  <c r="E14" i="6"/>
  <c r="E13" i="6"/>
  <c r="E12" i="6"/>
  <c r="E11" i="6"/>
  <c r="E10" i="6"/>
  <c r="E9" i="6"/>
  <c r="E8" i="6"/>
  <c r="E7" i="6"/>
  <c r="E6" i="6"/>
  <c r="B43" i="4"/>
  <c r="B42" i="4"/>
  <c r="B41" i="4"/>
  <c r="B40" i="4"/>
  <c r="B39" i="4"/>
  <c r="B38" i="4"/>
</calcChain>
</file>

<file path=xl/sharedStrings.xml><?xml version="1.0" encoding="utf-8"?>
<sst xmlns="http://schemas.openxmlformats.org/spreadsheetml/2006/main" count="594" uniqueCount="543">
  <si>
    <t>ISMS-IMP-A.8.23.1 – Filtering Infrastructure Assessment</t>
  </si>
  <si>
    <t>ISO/IEC 27001:2022 - Control A.8.23: Web Filtering</t>
  </si>
  <si>
    <t>DOCUMENT INFORMATION</t>
  </si>
  <si>
    <t>Document ID:</t>
  </si>
  <si>
    <t>ISMS-IMP-A.8.23.1</t>
  </si>
  <si>
    <t>Assessment Area:</t>
  </si>
  <si>
    <t>Web Filtering Infrastructure</t>
  </si>
  <si>
    <t>Related Policy:</t>
  </si>
  <si>
    <t>ISMS-POL-A.8.23-S2.1, S2.2</t>
  </si>
  <si>
    <t>Version:</t>
  </si>
  <si>
    <t>1.0</t>
  </si>
  <si>
    <t>Assessment Date:</t>
  </si>
  <si>
    <t>2026-01-11</t>
  </si>
  <si>
    <t>Completed By:</t>
  </si>
  <si>
    <t>Sarah Chen - Security Manager</t>
  </si>
  <si>
    <t>Organization:</t>
  </si>
  <si>
    <t>TechCorp International</t>
  </si>
  <si>
    <t>Review Cycle:</t>
  </si>
  <si>
    <t>Quarterly</t>
  </si>
  <si>
    <t>HOW TO USE THIS WORKBOOK</t>
  </si>
  <si>
    <t>1. Complete the Solution_Details_Template for EACH filtering solution you have deployed</t>
  </si>
  <si>
    <t>2. Fill in YOUR specific vendor/product names (this workbook is vendor-agnostic)</t>
  </si>
  <si>
    <t>3. Use dropdown menus for standardized capability assessments</t>
  </si>
  <si>
    <t>4. Document licensing, support contracts, and performance metrics</t>
  </si>
  <si>
    <t>5. Complete the Technology_Comparison sheet if you have multiple solutions</t>
  </si>
  <si>
    <t>6. Assess capabilities against policy requirements in Capability_Requirements sheet</t>
  </si>
  <si>
    <t>7. Identify gaps in the Gap_Analysis sheet</t>
  </si>
  <si>
    <t>8. Maintain the Evidence Register for audit traceability</t>
  </si>
  <si>
    <t>9. Obtain final approval and sign-off</t>
  </si>
  <si>
    <t>STATUS LEGEND</t>
  </si>
  <si>
    <t>Symbol</t>
  </si>
  <si>
    <t>Status</t>
  </si>
  <si>
    <t>Description</t>
  </si>
  <si>
    <t>Color Code</t>
  </si>
  <si>
    <t>✅</t>
  </si>
  <si>
    <t>Deployed</t>
  </si>
  <si>
    <t>Solution deployed and operational</t>
  </si>
  <si>
    <t>Green</t>
  </si>
  <si>
    <t>⚠️</t>
  </si>
  <si>
    <t>Partial</t>
  </si>
  <si>
    <t>Partial deployment or limited functionality</t>
  </si>
  <si>
    <t>Yellow</t>
  </si>
  <si>
    <t>❌</t>
  </si>
  <si>
    <t>Not Deployed</t>
  </si>
  <si>
    <t>Solution not deployed</t>
  </si>
  <si>
    <t>Red</t>
  </si>
  <si>
    <t>🔄</t>
  </si>
  <si>
    <t>Planned</t>
  </si>
  <si>
    <t>Deployment planned with target date</t>
  </si>
  <si>
    <t>Blue</t>
  </si>
  <si>
    <t>N/A</t>
  </si>
  <si>
    <t>Not Applicable</t>
  </si>
  <si>
    <t>Not applicable to this environment</t>
  </si>
  <si>
    <t>Gray</t>
  </si>
  <si>
    <t>ACCEPTABLE EVIDENCE (Examples)</t>
  </si>
  <si>
    <t>✓ Network diagrams showing filtering placement</t>
  </si>
  <si>
    <t>✓ Configuration backups/exports (sanitized)</t>
  </si>
  <si>
    <t>✓ License agreements and support contracts</t>
  </si>
  <si>
    <t>✓ Performance monitoring dashboards (screenshots)</t>
  </si>
  <si>
    <t>✓ Vendor capability documentation</t>
  </si>
  <si>
    <t>✓ Integration architecture diagrams</t>
  </si>
  <si>
    <t>✓ Change management records for updates/patches</t>
  </si>
  <si>
    <t>✓ Incident response logs (filtering-related)</t>
  </si>
  <si>
    <t>✓ Administrative access logs</t>
  </si>
  <si>
    <t>✓ Compliance reports from the filtering solution</t>
  </si>
  <si>
    <t>✓ Threat intelligence feed configurations</t>
  </si>
  <si>
    <t>✓ HTTPS inspection certificates/policies</t>
  </si>
  <si>
    <t>WEB FILTERING SOLUTION DETAILS</t>
  </si>
  <si>
    <t>Complete one copy of this template for EACH filtering solution deployed</t>
  </si>
  <si>
    <t>SOLUTION IDENTIFICATION</t>
  </si>
  <si>
    <t>Field</t>
  </si>
  <si>
    <t>Value</t>
  </si>
  <si>
    <t>Evidence Location</t>
  </si>
  <si>
    <t>Notes</t>
  </si>
  <si>
    <t>Solution Name/Description</t>
  </si>
  <si>
    <t>What YOU call this solution</t>
  </si>
  <si>
    <t>Vendor/Provider</t>
  </si>
  <si>
    <t>Customer fills in (e.g., Sophos, Fortigate, Zscaler, etc.)</t>
  </si>
  <si>
    <t>Product/Service Name</t>
  </si>
  <si>
    <t>Customer fills in specific product</t>
  </si>
  <si>
    <t>Version/Release</t>
  </si>
  <si>
    <t>Current version deployed</t>
  </si>
  <si>
    <t>Deployment Model</t>
  </si>
  <si>
    <t>Deployment Date</t>
  </si>
  <si>
    <t>When was it first deployed?</t>
  </si>
  <si>
    <t>Deployment Location(s)</t>
  </si>
  <si>
    <t>Network segments where deployed</t>
  </si>
  <si>
    <t>Primary Purpose</t>
  </si>
  <si>
    <t>Scope of Coverage</t>
  </si>
  <si>
    <t>What does this protect?</t>
  </si>
  <si>
    <t>User Count</t>
  </si>
  <si>
    <t>Approximate number of protected users</t>
  </si>
  <si>
    <t>Integration Points</t>
  </si>
  <si>
    <t>What does it integrate with?</t>
  </si>
  <si>
    <t>CAPABILITY ASSESSMENT (What can this solution do?)</t>
  </si>
  <si>
    <t>Capability</t>
  </si>
  <si>
    <t>Assessment</t>
  </si>
  <si>
    <t>** THREAT PROTECTION **</t>
  </si>
  <si>
    <t>Blocks known malicious URLs</t>
  </si>
  <si>
    <t>Blocks phishing sites</t>
  </si>
  <si>
    <t>Malware download prevention</t>
  </si>
  <si>
    <t>Ransomware protection</t>
  </si>
  <si>
    <t>Exploit prevention</t>
  </si>
  <si>
    <t>Zero-day threat protection</t>
  </si>
  <si>
    <t>** URL CATEGORIZATION **</t>
  </si>
  <si>
    <t>Supports URL categorization</t>
  </si>
  <si>
    <t>Number of categories available</t>
  </si>
  <si>
    <t>Category database update frequency</t>
  </si>
  <si>
    <t>** CONTENT ANALYSIS **</t>
  </si>
  <si>
    <t>HTTPS/SSL inspection capable</t>
  </si>
  <si>
    <t>HTTPS inspection enabled?</t>
  </si>
  <si>
    <t>File type filtering</t>
  </si>
  <si>
    <t>Data Loss Prevention (DLP)</t>
  </si>
  <si>
    <t>** POLICY ENFORCEMENT **</t>
  </si>
  <si>
    <t>User-based policies</t>
  </si>
  <si>
    <t>Group-based policies</t>
  </si>
  <si>
    <t>Time-based policies</t>
  </si>
  <si>
    <t>Location-based policies</t>
  </si>
  <si>
    <t>** LOGGING &amp; MONITORING **</t>
  </si>
  <si>
    <t>Generates access logs</t>
  </si>
  <si>
    <t>Generates block/alert logs</t>
  </si>
  <si>
    <t>Real-time alerting</t>
  </si>
  <si>
    <t>Reporting/dashboards</t>
  </si>
  <si>
    <t>Log retention capability</t>
  </si>
  <si>
    <t>** ADMINISTRATION **</t>
  </si>
  <si>
    <t>Centralized management</t>
  </si>
  <si>
    <t>Multi-admin support</t>
  </si>
  <si>
    <t>Role-based admin access</t>
  </si>
  <si>
    <t>Configuration backup/restore</t>
  </si>
  <si>
    <t>Change audit logging</t>
  </si>
  <si>
    <t>** INTEGRATION **</t>
  </si>
  <si>
    <t>Active Directory integration</t>
  </si>
  <si>
    <t>SIEM integration</t>
  </si>
  <si>
    <t>Threat intelligence feeds</t>
  </si>
  <si>
    <t>API access for automation</t>
  </si>
  <si>
    <t>LICENSING &amp; SUPPORT</t>
  </si>
  <si>
    <t>Evidence</t>
  </si>
  <si>
    <t>License Type</t>
  </si>
  <si>
    <t>License Expiration Date</t>
  </si>
  <si>
    <t>Licensed User/Device Count</t>
  </si>
  <si>
    <t>Support Contract Active?</t>
  </si>
  <si>
    <t>Support Level</t>
  </si>
  <si>
    <t>Support Expiration Date</t>
  </si>
  <si>
    <t>Update/Patch Schedule</t>
  </si>
  <si>
    <t>Last Update Applied</t>
  </si>
  <si>
    <t>Threat Database Version</t>
  </si>
  <si>
    <t>Threat Database Last Updated</t>
  </si>
  <si>
    <t>Annual License Cost</t>
  </si>
  <si>
    <t>Annual Support Cost</t>
  </si>
  <si>
    <t>PERFORMANCE &amp; RELIABILITY</t>
  </si>
  <si>
    <t>Metric</t>
  </si>
  <si>
    <t>Uptime SLA (if applicable)</t>
  </si>
  <si>
    <t>Actual uptime (last quarter)</t>
  </si>
  <si>
    <t>Average latency impact</t>
  </si>
  <si>
    <t>False positive rate</t>
  </si>
  <si>
    <t>False negative rate</t>
  </si>
  <si>
    <t>Incident count (last 12 months)</t>
  </si>
  <si>
    <t>Performance monitoring enabled?</t>
  </si>
  <si>
    <t>Capacity utilization</t>
  </si>
  <si>
    <t>Scalability</t>
  </si>
  <si>
    <t>Redundancy/HA configured?</t>
  </si>
  <si>
    <t>GAP IDENTIFICATION</t>
  </si>
  <si>
    <t>Gap Description</t>
  </si>
  <si>
    <t>Severity</t>
  </si>
  <si>
    <t>Target Date</t>
  </si>
  <si>
    <t>Responsible Person</t>
  </si>
  <si>
    <t>TECHNOLOGY COMPARISON MATRIX</t>
  </si>
  <si>
    <t>Compare capabilities across all deployed filtering solutions</t>
  </si>
  <si>
    <t>Solution 1</t>
  </si>
  <si>
    <t>Solution 2</t>
  </si>
  <si>
    <t>Solution 3</t>
  </si>
  <si>
    <t>Solution 4</t>
  </si>
  <si>
    <t>Best Coverage</t>
  </si>
  <si>
    <t>** DEPLOYMENT **</t>
  </si>
  <si>
    <t>Deployment Location</t>
  </si>
  <si>
    <t>Malicious URL blocking</t>
  </si>
  <si>
    <t>Phishing protection</t>
  </si>
  <si>
    <t>Malware prevention</t>
  </si>
  <si>
    <t>Zero-day protection</t>
  </si>
  <si>
    <t>** CONTENT INSPECTION **</t>
  </si>
  <si>
    <t>HTTPS inspection capable</t>
  </si>
  <si>
    <t>HTTPS inspection enabled</t>
  </si>
  <si>
    <t>DLP capabilities</t>
  </si>
  <si>
    <t>** POLICY CAPABILITIES **</t>
  </si>
  <si>
    <t>Access logging</t>
  </si>
  <si>
    <t>Block/alert logging</t>
  </si>
  <si>
    <t>Reporting dashboards</t>
  </si>
  <si>
    <t>Active Directory</t>
  </si>
  <si>
    <t>API access</t>
  </si>
  <si>
    <t>** SUPPORT &amp; LICENSING **</t>
  </si>
  <si>
    <t>License type</t>
  </si>
  <si>
    <t>Support level</t>
  </si>
  <si>
    <t>Support quality rating</t>
  </si>
  <si>
    <t>Annual cost</t>
  </si>
  <si>
    <t>COMPARISON NOTES &amp; OBSERVATIONS</t>
  </si>
  <si>
    <t>CAPABILITY REQUIREMENTS vs. DEPLOYED SOLUTIONS</t>
  </si>
  <si>
    <t>Verify policy compliance across all deployed filtering technologies</t>
  </si>
  <si>
    <t>Requirement ID</t>
  </si>
  <si>
    <t>Policy Requirement</t>
  </si>
  <si>
    <t>Met by Solution(s)</t>
  </si>
  <si>
    <t>Gap?</t>
  </si>
  <si>
    <t>REQ-001</t>
  </si>
  <si>
    <t>SHALL block known malicious URLs</t>
  </si>
  <si>
    <t>REQ-002</t>
  </si>
  <si>
    <t>SHALL block phishing sites</t>
  </si>
  <si>
    <t>REQ-003</t>
  </si>
  <si>
    <t>SHALL prevent malware downloads</t>
  </si>
  <si>
    <t>REQ-004</t>
  </si>
  <si>
    <t>SHOULD block ransomware delivery sites</t>
  </si>
  <si>
    <t>REQ-005</t>
  </si>
  <si>
    <t>SHOULD support HTTPS inspection</t>
  </si>
  <si>
    <t>REQ-006</t>
  </si>
  <si>
    <t>SHALL log all filtering events</t>
  </si>
  <si>
    <t>REQ-007</t>
  </si>
  <si>
    <t>SHALL retain logs for ≥90 days</t>
  </si>
  <si>
    <t>REQ-008</t>
  </si>
  <si>
    <t>MUST support threat feed updates</t>
  </si>
  <si>
    <t>REQ-009</t>
  </si>
  <si>
    <t>SHOULD support URL categorization</t>
  </si>
  <si>
    <t>REQ-010</t>
  </si>
  <si>
    <t>SHOULD support user-based policies</t>
  </si>
  <si>
    <t>REQ-011</t>
  </si>
  <si>
    <t>SHOULD support group-based policies</t>
  </si>
  <si>
    <t>REQ-012</t>
  </si>
  <si>
    <t>SHALL provide administrative audit logs</t>
  </si>
  <si>
    <t>REQ-013</t>
  </si>
  <si>
    <t>MUST have configuration backup capability</t>
  </si>
  <si>
    <t>REQ-014</t>
  </si>
  <si>
    <t>SHOULD integrate with SIEM</t>
  </si>
  <si>
    <t>REQ-015</t>
  </si>
  <si>
    <t>SHOULD integrate with Active Directory</t>
  </si>
  <si>
    <t>REQ-016</t>
  </si>
  <si>
    <t>SHALL support policy exceptions with approval</t>
  </si>
  <si>
    <t>REQ-017</t>
  </si>
  <si>
    <t>MUST provide real-time or near-real-time blocking</t>
  </si>
  <si>
    <t>REQ-018</t>
  </si>
  <si>
    <t>SHOULD provide reporting dashboards</t>
  </si>
  <si>
    <t>REQ-019</t>
  </si>
  <si>
    <t>SHALL support incident response procedures</t>
  </si>
  <si>
    <t>REQ-020</t>
  </si>
  <si>
    <t>MUST be manageable by authorized admins only</t>
  </si>
  <si>
    <t>REQ-021</t>
  </si>
  <si>
    <t>SHOULD support role-based admin access</t>
  </si>
  <si>
    <t>REQ-022</t>
  </si>
  <si>
    <t>SHALL have documented change management</t>
  </si>
  <si>
    <t>REQ-023</t>
  </si>
  <si>
    <t>MUST have valid support contracts</t>
  </si>
  <si>
    <t>REQ-024</t>
  </si>
  <si>
    <t>SHOULD have ≥99% uptime SLA</t>
  </si>
  <si>
    <t>REQ-025</t>
  </si>
  <si>
    <t>SHALL minimize false positives</t>
  </si>
  <si>
    <t>REQ-026</t>
  </si>
  <si>
    <t>SHOULD support time-based policies (optional)</t>
  </si>
  <si>
    <t>REQ-027</t>
  </si>
  <si>
    <t>SHOULD support DLP integration (optional)</t>
  </si>
  <si>
    <t>REQ-028</t>
  </si>
  <si>
    <t>SHALL comply with acceptable use policy</t>
  </si>
  <si>
    <t>REQ-029</t>
  </si>
  <si>
    <t>MUST protect against zero-day threats (best effort)</t>
  </si>
  <si>
    <t>REQ-030</t>
  </si>
  <si>
    <t>SHOULD support API access for automation</t>
  </si>
  <si>
    <t>COMPLIANCE SUMMARY METRICS</t>
  </si>
  <si>
    <t>Total Requirements:</t>
  </si>
  <si>
    <t>Requirements Met (✅):</t>
  </si>
  <si>
    <t>Partially Met (⚠️):</t>
  </si>
  <si>
    <t>Not Met (❌):</t>
  </si>
  <si>
    <t>N/A:</t>
  </si>
  <si>
    <t>Compliance Rate:</t>
  </si>
  <si>
    <t>INTEGRATION ARCHITECTURE</t>
  </si>
  <si>
    <t>Document integration points with existing infrastructure</t>
  </si>
  <si>
    <t>Integration Point</t>
  </si>
  <si>
    <t>Solution Name</t>
  </si>
  <si>
    <t>Integration Type</t>
  </si>
  <si>
    <t>SIEM</t>
  </si>
  <si>
    <t>Proxy Server</t>
  </si>
  <si>
    <t>DNS</t>
  </si>
  <si>
    <t>Firewall</t>
  </si>
  <si>
    <t>Endpoint Security</t>
  </si>
  <si>
    <t>Email Gateway</t>
  </si>
  <si>
    <t>Threat Intelligence</t>
  </si>
  <si>
    <t>IAM/SSO</t>
  </si>
  <si>
    <t>DLP</t>
  </si>
  <si>
    <t>NETWORK ARCHITECTURE NOTES</t>
  </si>
  <si>
    <t>Where is filtering applied? (perimeter, endpoint, cloud, hybrid?)</t>
  </si>
  <si>
    <t>Traffic flow description:</t>
  </si>
  <si>
    <t>Bypass scenarios (if any):</t>
  </si>
  <si>
    <t>Redundancy/failover configuration:</t>
  </si>
  <si>
    <t>LICENSING &amp; SUPPORT STATUS</t>
  </si>
  <si>
    <t>Maintain awareness of expiration dates and renewal requirements</t>
  </si>
  <si>
    <t>LICENSE REGISTRY</t>
  </si>
  <si>
    <t>User/Device Count</t>
  </si>
  <si>
    <t>Expiration Date</t>
  </si>
  <si>
    <t>Days Until Expiry</t>
  </si>
  <si>
    <t>Renewal Process Owner</t>
  </si>
  <si>
    <t>SUPPORT CONTRACT REGISTRY</t>
  </si>
  <si>
    <t>Last Support Ticket</t>
  </si>
  <si>
    <t>Support Quality Rating</t>
  </si>
  <si>
    <t>UPDATE/PATCH STATUS</t>
  </si>
  <si>
    <t>Update Schedule</t>
  </si>
  <si>
    <t>Last Update Date</t>
  </si>
  <si>
    <t>Days Since Update</t>
  </si>
  <si>
    <t>Threat DB Version</t>
  </si>
  <si>
    <t>DB Last Updated</t>
  </si>
  <si>
    <t>⚠️ ALERT CONDITIONS: &gt;90 days since update = Review required | Threat DB &gt;7 days old = Review required</t>
  </si>
  <si>
    <t>PERFORMANCE METRICS &amp; RELIABILITY TRACKING</t>
  </si>
  <si>
    <t>Monitor uptime, latency, and incident trends</t>
  </si>
  <si>
    <t>UPTIME TRACKING</t>
  </si>
  <si>
    <t>SLA Target</t>
  </si>
  <si>
    <t>Q1 Actual</t>
  </si>
  <si>
    <t>Q2 Actual</t>
  </si>
  <si>
    <t>Q3 Actual</t>
  </si>
  <si>
    <t>Q4 Actual</t>
  </si>
  <si>
    <t>Annual Average</t>
  </si>
  <si>
    <t>Met SLA?</t>
  </si>
  <si>
    <t>LATENCY IMPACT</t>
  </si>
  <si>
    <t>Baseline Latency (no filter)</t>
  </si>
  <si>
    <t>With Filter</t>
  </si>
  <si>
    <t>Impact (ms)</t>
  </si>
  <si>
    <t>Acceptable?</t>
  </si>
  <si>
    <t>FALSE POSITIVE/NEGATIVE TRACKING</t>
  </si>
  <si>
    <t>Month</t>
  </si>
  <si>
    <t>False Positives</t>
  </si>
  <si>
    <t>False Negatives</t>
  </si>
  <si>
    <t>User Complaints</t>
  </si>
  <si>
    <t>Remediation Actions</t>
  </si>
  <si>
    <t>2026-Jan</t>
  </si>
  <si>
    <t>2026-Feb</t>
  </si>
  <si>
    <t>2026-Mar</t>
  </si>
  <si>
    <t>2026-Apr</t>
  </si>
  <si>
    <t>2026-May</t>
  </si>
  <si>
    <t>2026-Jun</t>
  </si>
  <si>
    <t>2026-Jul</t>
  </si>
  <si>
    <t>2026-Aug</t>
  </si>
  <si>
    <t>2026-Sep</t>
  </si>
  <si>
    <t>2026-Oct</t>
  </si>
  <si>
    <t>2026-Nov</t>
  </si>
  <si>
    <t>2026-Dec</t>
  </si>
  <si>
    <t>INCIDENT LOG</t>
  </si>
  <si>
    <t>Date</t>
  </si>
  <si>
    <t>Solution</t>
  </si>
  <si>
    <t>Incident Type</t>
  </si>
  <si>
    <t>Duration</t>
  </si>
  <si>
    <t>Root Cause</t>
  </si>
  <si>
    <t>Resolution</t>
  </si>
  <si>
    <t>GAP ANALYSIS &amp; REMEDIATION ROADMAP</t>
  </si>
  <si>
    <t>Identify deficiencies and track remediation progress</t>
  </si>
  <si>
    <t>Gap ID</t>
  </si>
  <si>
    <t>Affected Solution(s)</t>
  </si>
  <si>
    <t>Risk Level</t>
  </si>
  <si>
    <t>Impact</t>
  </si>
  <si>
    <t>Remediation Plan</t>
  </si>
  <si>
    <t>Owner</t>
  </si>
  <si>
    <t>Budget Required</t>
  </si>
  <si>
    <t>GAP-001</t>
  </si>
  <si>
    <t>GAP-002</t>
  </si>
  <si>
    <t>GAP-003</t>
  </si>
  <si>
    <t>GAP-004</t>
  </si>
  <si>
    <t>GAP-005</t>
  </si>
  <si>
    <t>GAP-006</t>
  </si>
  <si>
    <t>GAP-007</t>
  </si>
  <si>
    <t>GAP-008</t>
  </si>
  <si>
    <t>GAP-009</t>
  </si>
  <si>
    <t>GAP-010</t>
  </si>
  <si>
    <t>GAP-011</t>
  </si>
  <si>
    <t>GAP-012</t>
  </si>
  <si>
    <t>GAP-013</t>
  </si>
  <si>
    <t>GAP-014</t>
  </si>
  <si>
    <t>GAP-015</t>
  </si>
  <si>
    <t>GAP-016</t>
  </si>
  <si>
    <t>GAP-017</t>
  </si>
  <si>
    <t>GAP-018</t>
  </si>
  <si>
    <t>GAP-019</t>
  </si>
  <si>
    <t>GAP-020</t>
  </si>
  <si>
    <t>GAP-021</t>
  </si>
  <si>
    <t>GAP-022</t>
  </si>
  <si>
    <t>GAP-023</t>
  </si>
  <si>
    <t>GAP-024</t>
  </si>
  <si>
    <t>GAP-025</t>
  </si>
  <si>
    <t>GAP-026</t>
  </si>
  <si>
    <t>GAP-027</t>
  </si>
  <si>
    <t>GAP-028</t>
  </si>
  <si>
    <t>GAP-029</t>
  </si>
  <si>
    <t>GAP-030</t>
  </si>
  <si>
    <t>GAP-031</t>
  </si>
  <si>
    <t>GAP-032</t>
  </si>
  <si>
    <t>GAP-033</t>
  </si>
  <si>
    <t>GAP-034</t>
  </si>
  <si>
    <t>GAP-035</t>
  </si>
  <si>
    <t>GAP-036</t>
  </si>
  <si>
    <t>GAP-037</t>
  </si>
  <si>
    <t>GAP-038</t>
  </si>
  <si>
    <t>GAP-039</t>
  </si>
  <si>
    <t>GAP-040</t>
  </si>
  <si>
    <t>GAP SUMMARY METRICS</t>
  </si>
  <si>
    <t>Count</t>
  </si>
  <si>
    <t>% of Total</t>
  </si>
  <si>
    <t>Critical</t>
  </si>
  <si>
    <t>High</t>
  </si>
  <si>
    <t>Medium</t>
  </si>
  <si>
    <t>Low</t>
  </si>
  <si>
    <t>Total Gaps Identified:</t>
  </si>
  <si>
    <t>Gaps Resolved:</t>
  </si>
  <si>
    <t>Resolution Rate:</t>
  </si>
  <si>
    <t>EVIDENCE REGISTER</t>
  </si>
  <si>
    <t>Document all evidence supporting this assessment</t>
  </si>
  <si>
    <t>Evidence ID</t>
  </si>
  <si>
    <t>Evidence Type</t>
  </si>
  <si>
    <t>Related Sheet/Row</t>
  </si>
  <si>
    <t>Location/Path</t>
  </si>
  <si>
    <t>Date Collected</t>
  </si>
  <si>
    <t>Collected By</t>
  </si>
  <si>
    <t>Verification Status</t>
  </si>
  <si>
    <t>EVD-001</t>
  </si>
  <si>
    <t>EVD-002</t>
  </si>
  <si>
    <t>EVD-003</t>
  </si>
  <si>
    <t>EVD-004</t>
  </si>
  <si>
    <t>EVD-005</t>
  </si>
  <si>
    <t>EVD-006</t>
  </si>
  <si>
    <t>EVD-007</t>
  </si>
  <si>
    <t>EVD-008</t>
  </si>
  <si>
    <t>EVD-009</t>
  </si>
  <si>
    <t>EVD-010</t>
  </si>
  <si>
    <t>EVD-011</t>
  </si>
  <si>
    <t>EVD-012</t>
  </si>
  <si>
    <t>EVD-013</t>
  </si>
  <si>
    <t>EVD-014</t>
  </si>
  <si>
    <t>EVD-015</t>
  </si>
  <si>
    <t>EVD-016</t>
  </si>
  <si>
    <t>EVD-017</t>
  </si>
  <si>
    <t>EVD-018</t>
  </si>
  <si>
    <t>EVD-019</t>
  </si>
  <si>
    <t>EVD-020</t>
  </si>
  <si>
    <t>EVD-021</t>
  </si>
  <si>
    <t>EVD-022</t>
  </si>
  <si>
    <t>EVD-023</t>
  </si>
  <si>
    <t>EVD-024</t>
  </si>
  <si>
    <t>EVD-025</t>
  </si>
  <si>
    <t>EVD-026</t>
  </si>
  <si>
    <t>EVD-027</t>
  </si>
  <si>
    <t>EVD-028</t>
  </si>
  <si>
    <t>EVD-029</t>
  </si>
  <si>
    <t>EVD-030</t>
  </si>
  <si>
    <t>EVD-031</t>
  </si>
  <si>
    <t>EVD-032</t>
  </si>
  <si>
    <t>EVD-033</t>
  </si>
  <si>
    <t>EVD-034</t>
  </si>
  <si>
    <t>EVD-035</t>
  </si>
  <si>
    <t>EVD-036</t>
  </si>
  <si>
    <t>EVD-037</t>
  </si>
  <si>
    <t>EVD-038</t>
  </si>
  <si>
    <t>EVD-039</t>
  </si>
  <si>
    <t>EVD-040</t>
  </si>
  <si>
    <t>EVD-041</t>
  </si>
  <si>
    <t>EVD-042</t>
  </si>
  <si>
    <t>EVD-043</t>
  </si>
  <si>
    <t>EVD-044</t>
  </si>
  <si>
    <t>EVD-045</t>
  </si>
  <si>
    <t>EVD-046</t>
  </si>
  <si>
    <t>EVD-047</t>
  </si>
  <si>
    <t>EVD-048</t>
  </si>
  <si>
    <t>EVD-049</t>
  </si>
  <si>
    <t>EVD-050</t>
  </si>
  <si>
    <t>EVD-051</t>
  </si>
  <si>
    <t>EVD-052</t>
  </si>
  <si>
    <t>EVD-053</t>
  </si>
  <si>
    <t>EVD-054</t>
  </si>
  <si>
    <t>EVD-055</t>
  </si>
  <si>
    <t>EVD-056</t>
  </si>
  <si>
    <t>EVD-057</t>
  </si>
  <si>
    <t>EVD-058</t>
  </si>
  <si>
    <t>EVD-059</t>
  </si>
  <si>
    <t>EVD-060</t>
  </si>
  <si>
    <t>EVD-061</t>
  </si>
  <si>
    <t>EVD-062</t>
  </si>
  <si>
    <t>EVD-063</t>
  </si>
  <si>
    <t>EVD-064</t>
  </si>
  <si>
    <t>EVD-065</t>
  </si>
  <si>
    <t>EVD-066</t>
  </si>
  <si>
    <t>EVD-067</t>
  </si>
  <si>
    <t>EVD-068</t>
  </si>
  <si>
    <t>EVD-069</t>
  </si>
  <si>
    <t>EVD-070</t>
  </si>
  <si>
    <t>EVD-071</t>
  </si>
  <si>
    <t>EVD-072</t>
  </si>
  <si>
    <t>EVD-073</t>
  </si>
  <si>
    <t>EVD-074</t>
  </si>
  <si>
    <t>EVD-075</t>
  </si>
  <si>
    <t>EVD-076</t>
  </si>
  <si>
    <t>EVD-077</t>
  </si>
  <si>
    <t>EVD-078</t>
  </si>
  <si>
    <t>EVD-079</t>
  </si>
  <si>
    <t>EVD-080</t>
  </si>
  <si>
    <t>EVD-081</t>
  </si>
  <si>
    <t>EVD-082</t>
  </si>
  <si>
    <t>EVD-083</t>
  </si>
  <si>
    <t>EVD-084</t>
  </si>
  <si>
    <t>EVD-085</t>
  </si>
  <si>
    <t>EVD-086</t>
  </si>
  <si>
    <t>EVD-087</t>
  </si>
  <si>
    <t>EVD-088</t>
  </si>
  <si>
    <t>EVD-089</t>
  </si>
  <si>
    <t>EVD-090</t>
  </si>
  <si>
    <t>EVD-091</t>
  </si>
  <si>
    <t>EVD-092</t>
  </si>
  <si>
    <t>EVD-093</t>
  </si>
  <si>
    <t>EVD-094</t>
  </si>
  <si>
    <t>EVD-095</t>
  </si>
  <si>
    <t>EVD-096</t>
  </si>
  <si>
    <t>EVD-097</t>
  </si>
  <si>
    <t>EVD-098</t>
  </si>
  <si>
    <t>EVD-099</t>
  </si>
  <si>
    <t>EVD-100</t>
  </si>
  <si>
    <t>ASSESSMENT APPROVAL &amp; SIGN-OFF</t>
  </si>
  <si>
    <t>ASSESSMENT SUMMARY</t>
  </si>
  <si>
    <t>Assessment Document:</t>
  </si>
  <si>
    <t>ISMS-IMP-A.8.23.1 - Filtering Infrastructure</t>
  </si>
  <si>
    <t>Assessment Period:</t>
  </si>
  <si>
    <t>[USER INPUT]</t>
  </si>
  <si>
    <t>Total Solutions Assessed:</t>
  </si>
  <si>
    <t>[Pull from Technology_Comparison]</t>
  </si>
  <si>
    <t>Overall Compliance Rate:</t>
  </si>
  <si>
    <t>[Pull from Capability_Requirements]</t>
  </si>
  <si>
    <t>Critical Gaps:</t>
  </si>
  <si>
    <t>[Pull from Gap_Analysis]</t>
  </si>
  <si>
    <t>Assessment Status:</t>
  </si>
  <si>
    <t>[Dropdown]</t>
  </si>
  <si>
    <t>ASSESSMENT COMPLETED BY</t>
  </si>
  <si>
    <t>Name:</t>
  </si>
  <si>
    <t>Role/Title:</t>
  </si>
  <si>
    <t>Department:</t>
  </si>
  <si>
    <t>Email:</t>
  </si>
  <si>
    <t>Date:</t>
  </si>
  <si>
    <t>Signature:</t>
  </si>
  <si>
    <t>REVIEWED BY (INFORMATION SECURITY OFFICER)</t>
  </si>
  <si>
    <t>Review Notes:</t>
  </si>
  <si>
    <t>Recommendation:</t>
  </si>
  <si>
    <t>APPROVED BY (CISO)</t>
  </si>
  <si>
    <t>Approval Decision:</t>
  </si>
  <si>
    <t>Conditions/Notes:</t>
  </si>
  <si>
    <t>NEXT REVIEW DETAILS</t>
  </si>
  <si>
    <t>Next Review Date:</t>
  </si>
  <si>
    <t>Review Responsible:</t>
  </si>
  <si>
    <t>Special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</si>
</sst>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quot;"/>
    <numFmt numFmtId="165" formatCode="0.0"/>
    <numFmt numFmtId="166" formatCode="dd\.mm\.yyyy"/>
  </numFmts>
  <fonts count="17" x14ac:knownFonts="1">
    <font>
      <sz val="11"/>
      <color theme="1"/>
      <name val="Calibri"/>
      <family val="2"/>
      <scheme val="minor"/>
    </font>
    <font>
      <b/>
      <sz val="14"/>
      <color rgb="FFFFFFFF"/>
      <name val="Calibri"/>
      <family val="2"/>
    </font>
    <font>
      <b/>
      <sz val="11"/>
      <color rgb="FFFFFFFF"/>
      <name val="Calibri"/>
      <family val="2"/>
    </font>
    <font>
      <b/>
      <sz val="11"/>
      <name val="Calibri"/>
      <family val="2"/>
    </font>
    <font>
      <b/>
      <sz val="11"/>
      <name val="Calibri"/>
      <family val="2"/>
    </font>
    <font>
      <b/>
      <sz val="12"/>
      <color rgb="FFFFFFFF"/>
      <name val="Calibri"/>
      <family val="2"/>
    </font>
    <font>
      <b/>
      <sz val="11"/>
      <color rgb="FFFFFFFF"/>
      <name val="Calibri"/>
      <family val="2"/>
    </font>
    <font>
      <i/>
      <sz val="9"/>
      <name val="Calibri"/>
      <family val="2"/>
    </font>
    <font>
      <b/>
      <sz val="10"/>
      <color rgb="FF4472C4"/>
      <name val="Calibri"/>
      <family val="2"/>
    </font>
    <font>
      <b/>
      <sz val="11"/>
      <color rgb="FFFFFFFF"/>
      <name val="Calibri"/>
      <family val="2"/>
    </font>
    <font>
      <b/>
      <sz val="9"/>
      <name val="Calibri"/>
      <family val="2"/>
    </font>
    <font>
      <b/>
      <sz val="11"/>
      <color rgb="FF0000FF"/>
      <name val="Calibri"/>
      <family val="2"/>
    </font>
    <font>
      <b/>
      <sz val="10"/>
      <name val="Calibri"/>
      <family val="2"/>
    </font>
    <font>
      <b/>
      <sz val="10"/>
      <color rgb="FFC00000"/>
      <name val="Calibri"/>
      <family val="2"/>
    </font>
    <font>
      <b/>
      <sz val="11"/>
      <color rgb="FF0000FF"/>
      <name val="Calibri"/>
      <family val="2"/>
    </font>
    <font>
      <b/>
      <sz val="11"/>
      <color rgb="FFC00000"/>
      <name val="Calibri"/>
      <family val="2"/>
    </font>
    <font>
      <b/>
      <sz val="11"/>
      <color rgb="FF008000"/>
      <name val="Calibri"/>
      <family val="2"/>
    </font>
  </fonts>
  <fills count="12">
    <fill>
      <patternFill patternType="none"/>
    </fill>
    <fill>
      <patternFill patternType="gray125"/>
    </fill>
    <fill>
      <patternFill patternType="solid">
        <fgColor rgb="FF003366"/>
        <bgColor rgb="FF003366"/>
      </patternFill>
    </fill>
    <fill>
      <patternFill patternType="solid">
        <fgColor rgb="FF4472C4"/>
        <bgColor rgb="FF4472C4"/>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B4C7E7"/>
        <bgColor rgb="FFB4C7E7"/>
      </patternFill>
    </fill>
    <fill>
      <patternFill patternType="solid">
        <fgColor rgb="FFC00000"/>
        <bgColor rgb="FFC00000"/>
      </patternFill>
    </fill>
    <fill>
      <patternFill patternType="solid">
        <fgColor rgb="FFFF6666"/>
        <bgColor rgb="FFFF6666"/>
      </patternFill>
    </fill>
  </fills>
  <borders count="1">
    <border>
      <left/>
      <right/>
      <top/>
      <bottom/>
      <diagonal/>
    </border>
  </borders>
  <cellStyleXfs count="1">
    <xf numFmtId="0" fontId="0" fillId="0" borderId="0"/>
  </cellStyleXfs>
  <cellXfs count="40">
    <xf numFmtId="0" fontId="0" fillId="0" borderId="0" xfId="0"/>
    <xf numFmtId="0" fontId="3" fillId="0" borderId="0" xfId="0" applyFont="1"/>
    <xf numFmtId="0" fontId="4" fillId="0" borderId="0" xfId="0" applyFont="1"/>
    <xf numFmtId="0" fontId="0" fillId="4" borderId="0" xfId="0" applyFill="1"/>
    <xf numFmtId="0" fontId="0" fillId="0" borderId="0" xfId="0" applyAlignment="1">
      <alignment wrapText="1"/>
    </xf>
    <xf numFmtId="0" fontId="4" fillId="5" borderId="0" xfId="0" applyFont="1" applyFill="1"/>
    <xf numFmtId="0" fontId="0" fillId="6" borderId="0" xfId="0" applyFill="1"/>
    <xf numFmtId="0" fontId="0" fillId="7" borderId="0" xfId="0" applyFill="1"/>
    <xf numFmtId="0" fontId="0" fillId="8" borderId="0" xfId="0" applyFill="1"/>
    <xf numFmtId="0" fontId="0" fillId="9" borderId="0" xfId="0" applyFill="1"/>
    <xf numFmtId="0" fontId="7" fillId="0" borderId="0" xfId="0" applyFont="1"/>
    <xf numFmtId="0" fontId="9" fillId="2" borderId="0" xfId="0" applyFont="1" applyFill="1" applyAlignment="1">
      <alignment horizontal="center" vertical="center" wrapText="1"/>
    </xf>
    <xf numFmtId="0" fontId="10" fillId="0" borderId="0" xfId="0" applyFont="1"/>
    <xf numFmtId="0" fontId="0" fillId="4" borderId="0" xfId="0" applyFill="1" applyAlignment="1">
      <alignment horizontal="center" vertical="center"/>
    </xf>
    <xf numFmtId="0" fontId="11" fillId="0" borderId="0" xfId="0" applyFont="1"/>
    <xf numFmtId="0" fontId="12" fillId="0" borderId="0" xfId="0" applyFont="1"/>
    <xf numFmtId="0" fontId="4" fillId="5" borderId="0" xfId="0" applyFont="1" applyFill="1" applyAlignment="1">
      <alignment horizontal="center" vertical="center" wrapText="1"/>
    </xf>
    <xf numFmtId="1" fontId="0" fillId="0" borderId="0" xfId="0" applyNumberFormat="1"/>
    <xf numFmtId="164" fontId="0" fillId="0" borderId="0" xfId="0" applyNumberFormat="1"/>
    <xf numFmtId="165" fontId="0" fillId="0" borderId="0" xfId="0" applyNumberFormat="1"/>
    <xf numFmtId="0" fontId="9" fillId="10" borderId="0" xfId="0" applyFont="1" applyFill="1"/>
    <xf numFmtId="0" fontId="14" fillId="0" borderId="0" xfId="0" applyFont="1"/>
    <xf numFmtId="0" fontId="4" fillId="11" borderId="0" xfId="0" applyFont="1" applyFill="1"/>
    <xf numFmtId="0" fontId="4" fillId="7" borderId="0" xfId="0" applyFont="1" applyFill="1"/>
    <xf numFmtId="0" fontId="4" fillId="6" borderId="0" xfId="0" applyFont="1" applyFill="1"/>
    <xf numFmtId="0" fontId="15" fillId="0" borderId="0" xfId="0" applyFont="1"/>
    <xf numFmtId="0" fontId="16" fillId="0" borderId="0" xfId="0" applyFont="1"/>
    <xf numFmtId="0" fontId="2" fillId="3" borderId="0" xfId="0" applyFont="1" applyFill="1" applyAlignment="1">
      <alignment horizontal="center" vertical="center" wrapText="1"/>
    </xf>
    <xf numFmtId="0" fontId="0" fillId="0" borderId="0" xfId="0"/>
    <xf numFmtId="0" fontId="5" fillId="3" borderId="0" xfId="0" applyFont="1" applyFill="1" applyAlignment="1">
      <alignment horizontal="center" vertical="center"/>
    </xf>
    <xf numFmtId="0" fontId="1" fillId="2" borderId="0" xfId="0" applyFont="1" applyFill="1" applyAlignment="1">
      <alignment horizontal="center" vertical="center" wrapText="1"/>
    </xf>
    <xf numFmtId="0" fontId="8" fillId="0" borderId="0" xfId="0" applyFont="1"/>
    <xf numFmtId="0" fontId="6" fillId="3" borderId="0" xfId="0" applyFont="1" applyFill="1" applyAlignment="1">
      <alignment horizontal="center" vertical="center"/>
    </xf>
    <xf numFmtId="0" fontId="6" fillId="10" borderId="0" xfId="0" applyFont="1" applyFill="1" applyAlignment="1">
      <alignment horizontal="center" vertical="center"/>
    </xf>
    <xf numFmtId="0" fontId="0" fillId="4" borderId="0" xfId="0" applyFill="1" applyAlignment="1">
      <alignment horizontal="left" vertical="top" wrapText="1"/>
    </xf>
    <xf numFmtId="0" fontId="13" fillId="0" borderId="0" xfId="0" applyFont="1" applyAlignment="1">
      <alignment horizontal="center" vertical="center" wrapText="1"/>
    </xf>
    <xf numFmtId="0" fontId="6" fillId="2" borderId="0" xfId="0" applyFont="1" applyFill="1" applyAlignment="1">
      <alignment horizontal="center" vertical="center"/>
    </xf>
    <xf numFmtId="166" fontId="0" fillId="4" borderId="0" xfId="0" applyNumberFormat="1" applyFill="1"/>
    <xf numFmtId="0" fontId="0" fillId="4" borderId="0" xfId="0" applyFill="1" applyAlignment="1">
      <alignment horizontal="left" vertical="center"/>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workbookViewId="0">
      <pane ySplit="3" topLeftCell="A4" activePane="bottomLeft" state="frozen"/>
      <selection pane="bottomLeft" sqref="A1:F1"/>
    </sheetView>
  </sheetViews>
  <sheetFormatPr baseColWidth="10" defaultColWidth="8.83203125" defaultRowHeight="15" x14ac:dyDescent="0.2"/>
  <cols>
    <col min="1" max="1" width="50" customWidth="1"/>
    <col min="2" max="2" width="30" customWidth="1"/>
    <col min="3" max="3" width="40" customWidth="1"/>
    <col min="4" max="6" width="15" customWidth="1"/>
  </cols>
  <sheetData>
    <row r="1" spans="1:6" ht="30" customHeight="1" x14ac:dyDescent="0.2">
      <c r="A1" s="30" t="s">
        <v>0</v>
      </c>
      <c r="B1" s="28"/>
      <c r="C1" s="28"/>
      <c r="D1" s="28"/>
      <c r="E1" s="28"/>
      <c r="F1" s="28"/>
    </row>
    <row r="2" spans="1:6" x14ac:dyDescent="0.2">
      <c r="A2" s="27" t="s">
        <v>1</v>
      </c>
      <c r="B2" s="28"/>
      <c r="C2" s="28"/>
      <c r="D2" s="28"/>
      <c r="E2" s="28"/>
      <c r="F2" s="28"/>
    </row>
    <row r="4" spans="1:6" x14ac:dyDescent="0.2">
      <c r="A4" s="1" t="s">
        <v>2</v>
      </c>
    </row>
    <row r="5" spans="1:6" x14ac:dyDescent="0.2">
      <c r="A5" s="2" t="s">
        <v>3</v>
      </c>
      <c r="B5" t="s">
        <v>4</v>
      </c>
    </row>
    <row r="6" spans="1:6" x14ac:dyDescent="0.2">
      <c r="A6" s="2" t="s">
        <v>5</v>
      </c>
      <c r="B6" t="s">
        <v>6</v>
      </c>
    </row>
    <row r="7" spans="1:6" x14ac:dyDescent="0.2">
      <c r="A7" s="2" t="s">
        <v>7</v>
      </c>
      <c r="B7" t="s">
        <v>8</v>
      </c>
    </row>
    <row r="8" spans="1:6" x14ac:dyDescent="0.2">
      <c r="A8" s="2" t="s">
        <v>9</v>
      </c>
      <c r="B8" t="s">
        <v>10</v>
      </c>
    </row>
    <row r="9" spans="1:6" x14ac:dyDescent="0.2">
      <c r="A9" s="2" t="s">
        <v>11</v>
      </c>
      <c r="B9" s="3" t="s">
        <v>12</v>
      </c>
    </row>
    <row r="10" spans="1:6" x14ac:dyDescent="0.2">
      <c r="A10" s="2" t="s">
        <v>13</v>
      </c>
      <c r="B10" s="3" t="s">
        <v>14</v>
      </c>
    </row>
    <row r="11" spans="1:6" x14ac:dyDescent="0.2">
      <c r="A11" s="2" t="s">
        <v>15</v>
      </c>
      <c r="B11" s="3" t="s">
        <v>16</v>
      </c>
    </row>
    <row r="12" spans="1:6" x14ac:dyDescent="0.2">
      <c r="A12" s="2" t="s">
        <v>17</v>
      </c>
      <c r="B12" t="s">
        <v>18</v>
      </c>
    </row>
    <row r="15" spans="1:6" ht="16" x14ac:dyDescent="0.2">
      <c r="A15" s="29" t="s">
        <v>19</v>
      </c>
      <c r="B15" s="28"/>
      <c r="C15" s="28"/>
      <c r="D15" s="28"/>
      <c r="E15" s="28"/>
      <c r="F15" s="28"/>
    </row>
    <row r="16" spans="1:6" ht="30" customHeight="1" x14ac:dyDescent="0.2">
      <c r="A16" s="4" t="s">
        <v>20</v>
      </c>
    </row>
    <row r="17" spans="1:6" ht="30" customHeight="1" x14ac:dyDescent="0.2">
      <c r="A17" s="4" t="s">
        <v>21</v>
      </c>
    </row>
    <row r="18" spans="1:6" ht="30" customHeight="1" x14ac:dyDescent="0.2">
      <c r="A18" s="4" t="s">
        <v>22</v>
      </c>
    </row>
    <row r="19" spans="1:6" ht="30" customHeight="1" x14ac:dyDescent="0.2">
      <c r="A19" s="4" t="s">
        <v>23</v>
      </c>
    </row>
    <row r="20" spans="1:6" ht="30" customHeight="1" x14ac:dyDescent="0.2">
      <c r="A20" s="4" t="s">
        <v>24</v>
      </c>
    </row>
    <row r="21" spans="1:6" ht="30" customHeight="1" x14ac:dyDescent="0.2">
      <c r="A21" s="4" t="s">
        <v>25</v>
      </c>
    </row>
    <row r="22" spans="1:6" ht="30" customHeight="1" x14ac:dyDescent="0.2">
      <c r="A22" s="4" t="s">
        <v>26</v>
      </c>
    </row>
    <row r="23" spans="1:6" ht="30" customHeight="1" x14ac:dyDescent="0.2">
      <c r="A23" s="4" t="s">
        <v>27</v>
      </c>
    </row>
    <row r="24" spans="1:6" ht="30" customHeight="1" x14ac:dyDescent="0.2">
      <c r="A24" s="4" t="s">
        <v>28</v>
      </c>
    </row>
    <row r="27" spans="1:6" ht="16" x14ac:dyDescent="0.2">
      <c r="A27" s="29" t="s">
        <v>29</v>
      </c>
      <c r="B27" s="28"/>
      <c r="C27" s="28"/>
      <c r="D27" s="28"/>
      <c r="E27" s="28"/>
      <c r="F27" s="28"/>
    </row>
    <row r="28" spans="1:6" x14ac:dyDescent="0.2">
      <c r="A28" s="5" t="s">
        <v>30</v>
      </c>
      <c r="B28" s="5" t="s">
        <v>31</v>
      </c>
      <c r="C28" s="5" t="s">
        <v>32</v>
      </c>
      <c r="D28" s="5" t="s">
        <v>33</v>
      </c>
    </row>
    <row r="29" spans="1:6" x14ac:dyDescent="0.2">
      <c r="A29" t="s">
        <v>34</v>
      </c>
      <c r="B29" t="s">
        <v>35</v>
      </c>
      <c r="C29" t="s">
        <v>36</v>
      </c>
      <c r="D29" s="6" t="s">
        <v>37</v>
      </c>
    </row>
    <row r="30" spans="1:6" x14ac:dyDescent="0.2">
      <c r="A30" t="s">
        <v>38</v>
      </c>
      <c r="B30" t="s">
        <v>39</v>
      </c>
      <c r="C30" t="s">
        <v>40</v>
      </c>
      <c r="D30" s="7" t="s">
        <v>41</v>
      </c>
    </row>
    <row r="31" spans="1:6" x14ac:dyDescent="0.2">
      <c r="A31" t="s">
        <v>42</v>
      </c>
      <c r="B31" t="s">
        <v>43</v>
      </c>
      <c r="C31" t="s">
        <v>44</v>
      </c>
      <c r="D31" s="8" t="s">
        <v>45</v>
      </c>
    </row>
    <row r="32" spans="1:6" x14ac:dyDescent="0.2">
      <c r="A32" t="s">
        <v>46</v>
      </c>
      <c r="B32" t="s">
        <v>47</v>
      </c>
      <c r="C32" t="s">
        <v>48</v>
      </c>
      <c r="D32" s="9" t="s">
        <v>49</v>
      </c>
    </row>
    <row r="33" spans="1:6" x14ac:dyDescent="0.2">
      <c r="A33" t="s">
        <v>50</v>
      </c>
      <c r="B33" t="s">
        <v>51</v>
      </c>
      <c r="C33" t="s">
        <v>52</v>
      </c>
      <c r="D33" t="s">
        <v>53</v>
      </c>
    </row>
    <row r="36" spans="1:6" ht="16" x14ac:dyDescent="0.2">
      <c r="A36" s="29" t="s">
        <v>54</v>
      </c>
      <c r="B36" s="28"/>
      <c r="C36" s="28"/>
      <c r="D36" s="28"/>
      <c r="E36" s="28"/>
      <c r="F36" s="28"/>
    </row>
    <row r="37" spans="1:6" x14ac:dyDescent="0.2">
      <c r="A37" t="s">
        <v>55</v>
      </c>
    </row>
    <row r="38" spans="1:6" x14ac:dyDescent="0.2">
      <c r="A38" t="s">
        <v>56</v>
      </c>
    </row>
    <row r="39" spans="1:6" x14ac:dyDescent="0.2">
      <c r="A39" t="s">
        <v>57</v>
      </c>
    </row>
    <row r="40" spans="1:6" x14ac:dyDescent="0.2">
      <c r="A40" t="s">
        <v>58</v>
      </c>
    </row>
    <row r="41" spans="1:6" x14ac:dyDescent="0.2">
      <c r="A41" t="s">
        <v>59</v>
      </c>
    </row>
    <row r="42" spans="1:6" x14ac:dyDescent="0.2">
      <c r="A42" t="s">
        <v>60</v>
      </c>
    </row>
    <row r="43" spans="1:6" x14ac:dyDescent="0.2">
      <c r="A43" t="s">
        <v>61</v>
      </c>
    </row>
    <row r="44" spans="1:6" x14ac:dyDescent="0.2">
      <c r="A44" t="s">
        <v>62</v>
      </c>
    </row>
    <row r="45" spans="1:6" x14ac:dyDescent="0.2">
      <c r="A45" t="s">
        <v>63</v>
      </c>
    </row>
    <row r="46" spans="1:6" x14ac:dyDescent="0.2">
      <c r="A46" t="s">
        <v>64</v>
      </c>
    </row>
    <row r="47" spans="1:6" x14ac:dyDescent="0.2">
      <c r="A47" t="s">
        <v>65</v>
      </c>
    </row>
    <row r="48" spans="1:6" x14ac:dyDescent="0.2">
      <c r="A48" t="s">
        <v>66</v>
      </c>
    </row>
  </sheetData>
  <mergeCells count="5">
    <mergeCell ref="A2:F2"/>
    <mergeCell ref="A36:F36"/>
    <mergeCell ref="A1:F1"/>
    <mergeCell ref="A27:F27"/>
    <mergeCell ref="A15:F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7"/>
  <sheetViews>
    <sheetView workbookViewId="0">
      <pane ySplit="3" topLeftCell="A4" activePane="bottomLeft" state="frozen"/>
      <selection pane="bottomLeft" sqref="A1:D1"/>
    </sheetView>
  </sheetViews>
  <sheetFormatPr baseColWidth="10" defaultColWidth="8.83203125" defaultRowHeight="15" x14ac:dyDescent="0.2"/>
  <cols>
    <col min="1" max="1" width="40" customWidth="1"/>
    <col min="2" max="2" width="35" customWidth="1"/>
    <col min="3" max="4" width="30" customWidth="1"/>
  </cols>
  <sheetData>
    <row r="1" spans="1:4" ht="30" customHeight="1" x14ac:dyDescent="0.2">
      <c r="A1" s="30" t="s">
        <v>67</v>
      </c>
      <c r="B1" s="28"/>
      <c r="C1" s="28"/>
      <c r="D1" s="28"/>
    </row>
    <row r="2" spans="1:4" x14ac:dyDescent="0.2">
      <c r="A2" s="27" t="s">
        <v>68</v>
      </c>
      <c r="B2" s="28"/>
      <c r="C2" s="28"/>
      <c r="D2" s="28"/>
    </row>
    <row r="4" spans="1:4" x14ac:dyDescent="0.2">
      <c r="A4" s="32" t="s">
        <v>69</v>
      </c>
      <c r="B4" s="28"/>
      <c r="C4" s="28"/>
      <c r="D4" s="28"/>
    </row>
    <row r="5" spans="1:4" x14ac:dyDescent="0.2">
      <c r="A5" s="5" t="s">
        <v>70</v>
      </c>
      <c r="B5" s="5" t="s">
        <v>71</v>
      </c>
      <c r="C5" s="5" t="s">
        <v>72</v>
      </c>
      <c r="D5" s="5" t="s">
        <v>73</v>
      </c>
    </row>
    <row r="6" spans="1:4" x14ac:dyDescent="0.2">
      <c r="A6" s="2" t="s">
        <v>74</v>
      </c>
      <c r="B6" s="3"/>
      <c r="C6" s="3"/>
      <c r="D6" s="10" t="s">
        <v>75</v>
      </c>
    </row>
    <row r="7" spans="1:4" x14ac:dyDescent="0.2">
      <c r="A7" s="2" t="s">
        <v>76</v>
      </c>
      <c r="B7" s="3"/>
      <c r="C7" s="3"/>
      <c r="D7" s="10" t="s">
        <v>77</v>
      </c>
    </row>
    <row r="8" spans="1:4" x14ac:dyDescent="0.2">
      <c r="A8" s="2" t="s">
        <v>78</v>
      </c>
      <c r="B8" s="3"/>
      <c r="C8" s="3"/>
      <c r="D8" s="10" t="s">
        <v>79</v>
      </c>
    </row>
    <row r="9" spans="1:4" x14ac:dyDescent="0.2">
      <c r="A9" s="2" t="s">
        <v>80</v>
      </c>
      <c r="B9" s="3"/>
      <c r="C9" s="3"/>
      <c r="D9" s="10" t="s">
        <v>81</v>
      </c>
    </row>
    <row r="10" spans="1:4" x14ac:dyDescent="0.2">
      <c r="A10" s="2" t="s">
        <v>82</v>
      </c>
      <c r="B10" s="3"/>
      <c r="C10" s="3"/>
    </row>
    <row r="11" spans="1:4" x14ac:dyDescent="0.2">
      <c r="A11" s="2" t="s">
        <v>83</v>
      </c>
      <c r="B11" s="3"/>
      <c r="C11" s="3"/>
      <c r="D11" s="10" t="s">
        <v>84</v>
      </c>
    </row>
    <row r="12" spans="1:4" x14ac:dyDescent="0.2">
      <c r="A12" s="2" t="s">
        <v>85</v>
      </c>
      <c r="B12" s="3"/>
      <c r="C12" s="3"/>
      <c r="D12" s="10" t="s">
        <v>86</v>
      </c>
    </row>
    <row r="13" spans="1:4" x14ac:dyDescent="0.2">
      <c r="A13" s="2" t="s">
        <v>87</v>
      </c>
      <c r="B13" s="3"/>
      <c r="C13" s="3"/>
    </row>
    <row r="14" spans="1:4" x14ac:dyDescent="0.2">
      <c r="A14" s="2" t="s">
        <v>31</v>
      </c>
      <c r="B14" s="3"/>
      <c r="C14" s="3"/>
    </row>
    <row r="15" spans="1:4" x14ac:dyDescent="0.2">
      <c r="A15" s="2" t="s">
        <v>88</v>
      </c>
      <c r="B15" s="3"/>
      <c r="C15" s="3"/>
      <c r="D15" s="10" t="s">
        <v>89</v>
      </c>
    </row>
    <row r="16" spans="1:4" x14ac:dyDescent="0.2">
      <c r="A16" s="2" t="s">
        <v>90</v>
      </c>
      <c r="B16" s="3"/>
      <c r="C16" s="3"/>
      <c r="D16" s="10" t="s">
        <v>91</v>
      </c>
    </row>
    <row r="17" spans="1:4" x14ac:dyDescent="0.2">
      <c r="A17" s="2" t="s">
        <v>92</v>
      </c>
      <c r="B17" s="3"/>
      <c r="C17" s="3"/>
      <c r="D17" s="10" t="s">
        <v>93</v>
      </c>
    </row>
    <row r="19" spans="1:4" x14ac:dyDescent="0.2">
      <c r="A19" s="32" t="s">
        <v>94</v>
      </c>
      <c r="B19" s="28"/>
      <c r="C19" s="28"/>
      <c r="D19" s="28"/>
    </row>
    <row r="20" spans="1:4" x14ac:dyDescent="0.2">
      <c r="A20" s="5" t="s">
        <v>95</v>
      </c>
      <c r="B20" s="5" t="s">
        <v>96</v>
      </c>
      <c r="C20" s="5" t="s">
        <v>72</v>
      </c>
      <c r="D20" s="5" t="s">
        <v>73</v>
      </c>
    </row>
    <row r="21" spans="1:4" x14ac:dyDescent="0.2">
      <c r="A21" s="31" t="s">
        <v>97</v>
      </c>
      <c r="B21" s="28"/>
      <c r="C21" s="28"/>
      <c r="D21" s="28"/>
    </row>
    <row r="22" spans="1:4" x14ac:dyDescent="0.2">
      <c r="A22" t="s">
        <v>98</v>
      </c>
      <c r="B22" s="3"/>
      <c r="C22" s="3"/>
      <c r="D22" s="3"/>
    </row>
    <row r="23" spans="1:4" x14ac:dyDescent="0.2">
      <c r="A23" t="s">
        <v>99</v>
      </c>
      <c r="B23" s="3"/>
      <c r="C23" s="3"/>
      <c r="D23" s="3"/>
    </row>
    <row r="24" spans="1:4" x14ac:dyDescent="0.2">
      <c r="A24" t="s">
        <v>100</v>
      </c>
      <c r="B24" s="3"/>
      <c r="C24" s="3"/>
      <c r="D24" s="3"/>
    </row>
    <row r="25" spans="1:4" x14ac:dyDescent="0.2">
      <c r="A25" t="s">
        <v>101</v>
      </c>
      <c r="B25" s="3"/>
      <c r="C25" s="3"/>
      <c r="D25" s="3"/>
    </row>
    <row r="26" spans="1:4" x14ac:dyDescent="0.2">
      <c r="A26" t="s">
        <v>102</v>
      </c>
      <c r="B26" s="3"/>
      <c r="C26" s="3"/>
      <c r="D26" s="3"/>
    </row>
    <row r="27" spans="1:4" x14ac:dyDescent="0.2">
      <c r="A27" t="s">
        <v>103</v>
      </c>
      <c r="B27" s="3"/>
      <c r="C27" s="3"/>
      <c r="D27" s="3"/>
    </row>
    <row r="28" spans="1:4" x14ac:dyDescent="0.2">
      <c r="A28" s="31" t="s">
        <v>104</v>
      </c>
      <c r="B28" s="28"/>
      <c r="C28" s="28"/>
      <c r="D28" s="28"/>
    </row>
    <row r="29" spans="1:4" x14ac:dyDescent="0.2">
      <c r="A29" t="s">
        <v>105</v>
      </c>
      <c r="B29" s="3"/>
      <c r="C29" s="3"/>
      <c r="D29" s="3"/>
    </row>
    <row r="30" spans="1:4" x14ac:dyDescent="0.2">
      <c r="A30" t="s">
        <v>106</v>
      </c>
      <c r="B30" s="3"/>
      <c r="C30" s="3"/>
      <c r="D30" s="3"/>
    </row>
    <row r="31" spans="1:4" x14ac:dyDescent="0.2">
      <c r="A31" t="s">
        <v>107</v>
      </c>
      <c r="B31" s="3"/>
      <c r="C31" s="3"/>
      <c r="D31" s="3"/>
    </row>
    <row r="32" spans="1:4" x14ac:dyDescent="0.2">
      <c r="A32" s="31" t="s">
        <v>108</v>
      </c>
      <c r="B32" s="28"/>
      <c r="C32" s="28"/>
      <c r="D32" s="28"/>
    </row>
    <row r="33" spans="1:4" x14ac:dyDescent="0.2">
      <c r="A33" t="s">
        <v>109</v>
      </c>
      <c r="B33" s="3"/>
      <c r="C33" s="3"/>
      <c r="D33" s="3"/>
    </row>
    <row r="34" spans="1:4" x14ac:dyDescent="0.2">
      <c r="A34" t="s">
        <v>110</v>
      </c>
      <c r="B34" s="3"/>
      <c r="C34" s="3"/>
      <c r="D34" s="3"/>
    </row>
    <row r="35" spans="1:4" x14ac:dyDescent="0.2">
      <c r="A35" t="s">
        <v>111</v>
      </c>
      <c r="B35" s="3"/>
      <c r="C35" s="3"/>
      <c r="D35" s="3"/>
    </row>
    <row r="36" spans="1:4" x14ac:dyDescent="0.2">
      <c r="A36" t="s">
        <v>112</v>
      </c>
      <c r="B36" s="3"/>
      <c r="C36" s="3"/>
      <c r="D36" s="3"/>
    </row>
    <row r="37" spans="1:4" x14ac:dyDescent="0.2">
      <c r="A37" s="31" t="s">
        <v>113</v>
      </c>
      <c r="B37" s="28"/>
      <c r="C37" s="28"/>
      <c r="D37" s="28"/>
    </row>
    <row r="38" spans="1:4" x14ac:dyDescent="0.2">
      <c r="A38" t="s">
        <v>114</v>
      </c>
      <c r="B38" s="3"/>
      <c r="C38" s="3"/>
      <c r="D38" s="3"/>
    </row>
    <row r="39" spans="1:4" x14ac:dyDescent="0.2">
      <c r="A39" t="s">
        <v>115</v>
      </c>
      <c r="B39" s="3"/>
      <c r="C39" s="3"/>
      <c r="D39" s="3"/>
    </row>
    <row r="40" spans="1:4" x14ac:dyDescent="0.2">
      <c r="A40" t="s">
        <v>116</v>
      </c>
      <c r="B40" s="3"/>
      <c r="C40" s="3"/>
      <c r="D40" s="3"/>
    </row>
    <row r="41" spans="1:4" x14ac:dyDescent="0.2">
      <c r="A41" t="s">
        <v>117</v>
      </c>
      <c r="B41" s="3"/>
      <c r="C41" s="3"/>
      <c r="D41" s="3"/>
    </row>
    <row r="42" spans="1:4" x14ac:dyDescent="0.2">
      <c r="A42" s="31" t="s">
        <v>118</v>
      </c>
      <c r="B42" s="28"/>
      <c r="C42" s="28"/>
      <c r="D42" s="28"/>
    </row>
    <row r="43" spans="1:4" x14ac:dyDescent="0.2">
      <c r="A43" t="s">
        <v>119</v>
      </c>
      <c r="B43" s="3"/>
      <c r="C43" s="3"/>
      <c r="D43" s="3"/>
    </row>
    <row r="44" spans="1:4" x14ac:dyDescent="0.2">
      <c r="A44" t="s">
        <v>120</v>
      </c>
      <c r="B44" s="3"/>
      <c r="C44" s="3"/>
      <c r="D44" s="3"/>
    </row>
    <row r="45" spans="1:4" x14ac:dyDescent="0.2">
      <c r="A45" t="s">
        <v>121</v>
      </c>
      <c r="B45" s="3"/>
      <c r="C45" s="3"/>
      <c r="D45" s="3"/>
    </row>
    <row r="46" spans="1:4" x14ac:dyDescent="0.2">
      <c r="A46" t="s">
        <v>122</v>
      </c>
      <c r="B46" s="3"/>
      <c r="C46" s="3"/>
      <c r="D46" s="3"/>
    </row>
    <row r="47" spans="1:4" x14ac:dyDescent="0.2">
      <c r="A47" t="s">
        <v>123</v>
      </c>
      <c r="B47" s="3"/>
      <c r="C47" s="3"/>
      <c r="D47" s="3"/>
    </row>
    <row r="48" spans="1:4" x14ac:dyDescent="0.2">
      <c r="A48" s="31" t="s">
        <v>124</v>
      </c>
      <c r="B48" s="28"/>
      <c r="C48" s="28"/>
      <c r="D48" s="28"/>
    </row>
    <row r="49" spans="1:4" x14ac:dyDescent="0.2">
      <c r="A49" t="s">
        <v>125</v>
      </c>
      <c r="B49" s="3"/>
      <c r="C49" s="3"/>
      <c r="D49" s="3"/>
    </row>
    <row r="50" spans="1:4" x14ac:dyDescent="0.2">
      <c r="A50" t="s">
        <v>126</v>
      </c>
      <c r="B50" s="3"/>
      <c r="C50" s="3"/>
      <c r="D50" s="3"/>
    </row>
    <row r="51" spans="1:4" x14ac:dyDescent="0.2">
      <c r="A51" t="s">
        <v>127</v>
      </c>
      <c r="B51" s="3"/>
      <c r="C51" s="3"/>
      <c r="D51" s="3"/>
    </row>
    <row r="52" spans="1:4" x14ac:dyDescent="0.2">
      <c r="A52" t="s">
        <v>128</v>
      </c>
      <c r="B52" s="3"/>
      <c r="C52" s="3"/>
      <c r="D52" s="3"/>
    </row>
    <row r="53" spans="1:4" x14ac:dyDescent="0.2">
      <c r="A53" t="s">
        <v>129</v>
      </c>
      <c r="B53" s="3"/>
      <c r="C53" s="3"/>
      <c r="D53" s="3"/>
    </row>
    <row r="54" spans="1:4" x14ac:dyDescent="0.2">
      <c r="A54" s="31" t="s">
        <v>130</v>
      </c>
      <c r="B54" s="28"/>
      <c r="C54" s="28"/>
      <c r="D54" s="28"/>
    </row>
    <row r="55" spans="1:4" x14ac:dyDescent="0.2">
      <c r="A55" t="s">
        <v>131</v>
      </c>
      <c r="B55" s="3"/>
      <c r="C55" s="3"/>
      <c r="D55" s="3"/>
    </row>
    <row r="56" spans="1:4" x14ac:dyDescent="0.2">
      <c r="A56" t="s">
        <v>132</v>
      </c>
      <c r="B56" s="3"/>
      <c r="C56" s="3"/>
      <c r="D56" s="3"/>
    </row>
    <row r="57" spans="1:4" x14ac:dyDescent="0.2">
      <c r="A57" t="s">
        <v>133</v>
      </c>
      <c r="B57" s="3"/>
      <c r="C57" s="3"/>
      <c r="D57" s="3"/>
    </row>
    <row r="58" spans="1:4" x14ac:dyDescent="0.2">
      <c r="A58" t="s">
        <v>134</v>
      </c>
      <c r="B58" s="3"/>
      <c r="C58" s="3"/>
      <c r="D58" s="3"/>
    </row>
    <row r="60" spans="1:4" x14ac:dyDescent="0.2">
      <c r="A60" s="32" t="s">
        <v>135</v>
      </c>
      <c r="B60" s="28"/>
      <c r="C60" s="28"/>
      <c r="D60" s="28"/>
    </row>
    <row r="61" spans="1:4" x14ac:dyDescent="0.2">
      <c r="A61" s="5" t="s">
        <v>70</v>
      </c>
      <c r="B61" s="5" t="s">
        <v>71</v>
      </c>
      <c r="C61" s="5" t="s">
        <v>136</v>
      </c>
      <c r="D61" s="5" t="s">
        <v>73</v>
      </c>
    </row>
    <row r="62" spans="1:4" x14ac:dyDescent="0.2">
      <c r="A62" s="2" t="s">
        <v>137</v>
      </c>
      <c r="B62" s="3"/>
      <c r="C62" s="3"/>
    </row>
    <row r="63" spans="1:4" x14ac:dyDescent="0.2">
      <c r="A63" s="2" t="s">
        <v>138</v>
      </c>
      <c r="B63" s="3"/>
      <c r="C63" s="3"/>
    </row>
    <row r="64" spans="1:4" x14ac:dyDescent="0.2">
      <c r="A64" s="2" t="s">
        <v>139</v>
      </c>
      <c r="B64" s="3"/>
      <c r="C64" s="3"/>
    </row>
    <row r="65" spans="1:4" x14ac:dyDescent="0.2">
      <c r="A65" s="2" t="s">
        <v>140</v>
      </c>
      <c r="B65" s="3"/>
      <c r="C65" s="3"/>
    </row>
    <row r="66" spans="1:4" x14ac:dyDescent="0.2">
      <c r="A66" s="2" t="s">
        <v>141</v>
      </c>
      <c r="B66" s="3"/>
      <c r="C66" s="3"/>
    </row>
    <row r="67" spans="1:4" x14ac:dyDescent="0.2">
      <c r="A67" s="2" t="s">
        <v>142</v>
      </c>
      <c r="B67" s="3"/>
      <c r="C67" s="3"/>
    </row>
    <row r="68" spans="1:4" x14ac:dyDescent="0.2">
      <c r="A68" s="2" t="s">
        <v>143</v>
      </c>
      <c r="B68" s="3"/>
      <c r="C68" s="3"/>
    </row>
    <row r="69" spans="1:4" x14ac:dyDescent="0.2">
      <c r="A69" s="2" t="s">
        <v>144</v>
      </c>
      <c r="B69" s="3"/>
      <c r="C69" s="3"/>
    </row>
    <row r="70" spans="1:4" x14ac:dyDescent="0.2">
      <c r="A70" s="2" t="s">
        <v>145</v>
      </c>
      <c r="B70" s="3"/>
      <c r="C70" s="3"/>
    </row>
    <row r="71" spans="1:4" x14ac:dyDescent="0.2">
      <c r="A71" s="2" t="s">
        <v>146</v>
      </c>
      <c r="B71" s="3"/>
      <c r="C71" s="3"/>
    </row>
    <row r="72" spans="1:4" x14ac:dyDescent="0.2">
      <c r="A72" s="2" t="s">
        <v>147</v>
      </c>
      <c r="B72" s="3"/>
      <c r="C72" s="3"/>
    </row>
    <row r="73" spans="1:4" x14ac:dyDescent="0.2">
      <c r="A73" s="2" t="s">
        <v>148</v>
      </c>
      <c r="B73" s="3"/>
      <c r="C73" s="3"/>
    </row>
    <row r="75" spans="1:4" x14ac:dyDescent="0.2">
      <c r="A75" s="32" t="s">
        <v>149</v>
      </c>
      <c r="B75" s="28"/>
      <c r="C75" s="28"/>
      <c r="D75" s="28"/>
    </row>
    <row r="76" spans="1:4" x14ac:dyDescent="0.2">
      <c r="A76" s="5" t="s">
        <v>150</v>
      </c>
      <c r="B76" s="5" t="s">
        <v>71</v>
      </c>
      <c r="C76" s="5" t="s">
        <v>136</v>
      </c>
      <c r="D76" s="5" t="s">
        <v>73</v>
      </c>
    </row>
    <row r="77" spans="1:4" x14ac:dyDescent="0.2">
      <c r="A77" s="2" t="s">
        <v>151</v>
      </c>
      <c r="B77" s="3"/>
      <c r="C77" s="3"/>
    </row>
    <row r="78" spans="1:4" x14ac:dyDescent="0.2">
      <c r="A78" s="2" t="s">
        <v>152</v>
      </c>
      <c r="B78" s="3"/>
      <c r="C78" s="3"/>
    </row>
    <row r="79" spans="1:4" x14ac:dyDescent="0.2">
      <c r="A79" s="2" t="s">
        <v>153</v>
      </c>
      <c r="B79" s="3"/>
      <c r="C79" s="3"/>
    </row>
    <row r="80" spans="1:4" x14ac:dyDescent="0.2">
      <c r="A80" s="2" t="s">
        <v>154</v>
      </c>
      <c r="B80" s="3"/>
      <c r="C80" s="3"/>
    </row>
    <row r="81" spans="1:4" x14ac:dyDescent="0.2">
      <c r="A81" s="2" t="s">
        <v>155</v>
      </c>
      <c r="B81" s="3"/>
      <c r="C81" s="3"/>
    </row>
    <row r="82" spans="1:4" x14ac:dyDescent="0.2">
      <c r="A82" s="2" t="s">
        <v>156</v>
      </c>
      <c r="B82" s="3"/>
      <c r="C82" s="3"/>
    </row>
    <row r="83" spans="1:4" x14ac:dyDescent="0.2">
      <c r="A83" s="2" t="s">
        <v>157</v>
      </c>
      <c r="B83" s="3"/>
      <c r="C83" s="3"/>
    </row>
    <row r="84" spans="1:4" x14ac:dyDescent="0.2">
      <c r="A84" s="2" t="s">
        <v>158</v>
      </c>
      <c r="B84" s="3"/>
      <c r="C84" s="3"/>
    </row>
    <row r="85" spans="1:4" x14ac:dyDescent="0.2">
      <c r="A85" s="2" t="s">
        <v>159</v>
      </c>
      <c r="B85" s="3"/>
      <c r="C85" s="3"/>
    </row>
    <row r="86" spans="1:4" x14ac:dyDescent="0.2">
      <c r="A86" s="2" t="s">
        <v>160</v>
      </c>
      <c r="B86" s="3"/>
      <c r="C86" s="3"/>
    </row>
    <row r="88" spans="1:4" x14ac:dyDescent="0.2">
      <c r="A88" s="33" t="s">
        <v>161</v>
      </c>
      <c r="B88" s="28"/>
      <c r="C88" s="28"/>
      <c r="D88" s="28"/>
    </row>
    <row r="89" spans="1:4" x14ac:dyDescent="0.2">
      <c r="A89" s="5" t="s">
        <v>162</v>
      </c>
      <c r="B89" s="5" t="s">
        <v>163</v>
      </c>
      <c r="C89" s="5" t="s">
        <v>164</v>
      </c>
      <c r="D89" s="5" t="s">
        <v>165</v>
      </c>
    </row>
    <row r="90" spans="1:4" x14ac:dyDescent="0.2">
      <c r="A90" s="3"/>
      <c r="B90" s="3"/>
      <c r="C90" s="3"/>
      <c r="D90" s="3"/>
    </row>
    <row r="91" spans="1:4" x14ac:dyDescent="0.2">
      <c r="A91" s="3"/>
      <c r="B91" s="3"/>
      <c r="C91" s="3"/>
      <c r="D91" s="3"/>
    </row>
    <row r="92" spans="1:4" x14ac:dyDescent="0.2">
      <c r="A92" s="3"/>
      <c r="B92" s="3"/>
      <c r="C92" s="3"/>
      <c r="D92" s="3"/>
    </row>
    <row r="93" spans="1:4" x14ac:dyDescent="0.2">
      <c r="A93" s="3"/>
      <c r="B93" s="3"/>
      <c r="C93" s="3"/>
      <c r="D93" s="3"/>
    </row>
    <row r="94" spans="1:4" x14ac:dyDescent="0.2">
      <c r="A94" s="3"/>
      <c r="B94" s="3"/>
      <c r="C94" s="3"/>
      <c r="D94" s="3"/>
    </row>
    <row r="95" spans="1:4" x14ac:dyDescent="0.2">
      <c r="A95" s="3"/>
      <c r="B95" s="3"/>
      <c r="C95" s="3"/>
      <c r="D95" s="3"/>
    </row>
    <row r="96" spans="1:4" x14ac:dyDescent="0.2">
      <c r="A96" s="3"/>
      <c r="B96" s="3"/>
      <c r="C96" s="3"/>
      <c r="D96" s="3"/>
    </row>
    <row r="97" spans="1:4" x14ac:dyDescent="0.2">
      <c r="A97" s="3"/>
      <c r="B97" s="3"/>
      <c r="C97" s="3"/>
      <c r="D97" s="3"/>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type="list" sqref="B29 B35 B36 B38 B39 B40 B41 B43 B44 B45 B46 B50 B51 B52 B53 B56 B57 B83" xr:uid="{00000000-0002-0000-0100-000000000000}">
      <formula1>"Yes,No"</formula1>
    </dataValidation>
    <dataValidation type="list" sqref="B49 B55 B86" xr:uid="{00000000-0002-0000-0100-000001000000}">
      <formula1>"Yes,No,N/A"</formula1>
    </dataValidation>
    <dataValidation type="list" sqref="B22 B23 B24 B25 B26 B27 B33 B58" xr:uid="{00000000-0002-0000-0100-000002000000}">
      <formula1>"Yes,No,Partial,Unknown"</formula1>
    </dataValidation>
    <dataValidation type="list" sqref="B34" xr:uid="{00000000-0002-0000-0100-000003000000}">
      <formula1>"Yes,No,Planned,N/A"</formula1>
    </dataValidation>
    <dataValidation type="list" sqref="B14" xr:uid="{00000000-0002-0000-0100-000004000000}">
      <formula1>"✅ Deployed,⚠️ Partial,❌ Not Deployed,🔄 Planned,N/A"</formula1>
    </dataValidation>
    <dataValidation type="list" sqref="B10" xr:uid="{00000000-0002-0000-0100-000005000000}">
      <formula1>"On-Premises Appliance,Virtual Appliance,Cloud-Based SaaS,Hybrid,DNS-Based,Proxy-Based,Other"</formula1>
    </dataValidation>
    <dataValidation type="list" sqref="B13" xr:uid="{00000000-0002-0000-0100-000006000000}">
      <formula1>"Threat Protection,Category Filtering,Compliance (CIPA/etc),Bandwidth Management,Hybrid/All"</formula1>
    </dataValidation>
    <dataValidation type="list" sqref="B62" xr:uid="{00000000-0002-0000-0100-000007000000}">
      <formula1>"Perpetual,Subscription,Pay-per-use,Open Source,Unknown"</formula1>
    </dataValidation>
    <dataValidation type="list" sqref="B65" xr:uid="{00000000-0002-0000-0100-000008000000}">
      <formula1>"Yes,No,Expired"</formula1>
    </dataValidation>
    <dataValidation type="list" sqref="B66" xr:uid="{00000000-0002-0000-0100-000009000000}">
      <formula1>"24/7,Business Hours,Community,None"</formula1>
    </dataValidation>
    <dataValidation type="list" sqref="B68" xr:uid="{00000000-0002-0000-0100-00000A000000}">
      <formula1>"Automatic,Manual-Monthly,Manual-Quarterly,Ad-hoc"</formula1>
    </dataValidation>
    <dataValidation type="list" sqref="B31" xr:uid="{00000000-0002-0000-0100-00000B000000}">
      <formula1>"Real-time,Daily,Weekly,Monthly,Unknown"</formula1>
    </dataValidation>
    <dataValidation type="list" sqref="B80 B81" xr:uid="{00000000-0002-0000-0100-00000C000000}">
      <formula1>"Low,Medium,High,Unknown"</formula1>
    </dataValidation>
    <dataValidation type="list" sqref="B85" xr:uid="{00000000-0002-0000-0100-00000D000000}">
      <formula1>"Excellent,Good,Adequate,Poor"</formula1>
    </dataValidation>
    <dataValidation type="list" sqref="B90 B91 B92 B93 B94 B95 B96 B97" xr:uid="{00000000-0002-0000-0100-00000E000000}">
      <formula1>"Critical,High,Medium,Low"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4"/>
  <sheetViews>
    <sheetView workbookViewId="0">
      <pane ySplit="4" topLeftCell="A5" activePane="bottomLeft" state="frozen"/>
      <selection pane="bottomLeft" sqref="A1:F1"/>
    </sheetView>
  </sheetViews>
  <sheetFormatPr baseColWidth="10" defaultColWidth="8.83203125" defaultRowHeight="15" x14ac:dyDescent="0.2"/>
  <cols>
    <col min="1" max="1" width="35" customWidth="1"/>
    <col min="2" max="5" width="20" customWidth="1"/>
    <col min="6" max="6" width="18" customWidth="1"/>
  </cols>
  <sheetData>
    <row r="1" spans="1:6" ht="30" customHeight="1" x14ac:dyDescent="0.2">
      <c r="A1" s="30" t="s">
        <v>166</v>
      </c>
      <c r="B1" s="28"/>
      <c r="C1" s="28"/>
      <c r="D1" s="28"/>
      <c r="E1" s="28"/>
      <c r="F1" s="28"/>
    </row>
    <row r="2" spans="1:6" x14ac:dyDescent="0.2">
      <c r="A2" s="27" t="s">
        <v>167</v>
      </c>
      <c r="B2" s="28"/>
      <c r="C2" s="28"/>
      <c r="D2" s="28"/>
      <c r="E2" s="28"/>
      <c r="F2" s="28"/>
    </row>
    <row r="4" spans="1:6" ht="16" x14ac:dyDescent="0.2">
      <c r="A4" s="11" t="s">
        <v>95</v>
      </c>
      <c r="B4" s="11" t="s">
        <v>168</v>
      </c>
      <c r="C4" s="11" t="s">
        <v>169</v>
      </c>
      <c r="D4" s="11" t="s">
        <v>170</v>
      </c>
      <c r="E4" s="11" t="s">
        <v>171</v>
      </c>
      <c r="F4" s="11" t="s">
        <v>172</v>
      </c>
    </row>
    <row r="5" spans="1:6" x14ac:dyDescent="0.2">
      <c r="A5" s="31" t="s">
        <v>173</v>
      </c>
      <c r="B5" s="28"/>
      <c r="C5" s="28"/>
      <c r="D5" s="28"/>
      <c r="E5" s="28"/>
      <c r="F5" s="28"/>
    </row>
    <row r="6" spans="1:6" x14ac:dyDescent="0.2">
      <c r="A6" s="12" t="s">
        <v>82</v>
      </c>
      <c r="B6" s="13"/>
      <c r="C6" s="13"/>
      <c r="D6" s="13"/>
      <c r="E6" s="13"/>
      <c r="F6" s="3"/>
    </row>
    <row r="7" spans="1:6" x14ac:dyDescent="0.2">
      <c r="A7" s="12" t="s">
        <v>174</v>
      </c>
      <c r="B7" s="13"/>
      <c r="C7" s="13"/>
      <c r="D7" s="13"/>
      <c r="E7" s="13"/>
      <c r="F7" s="3"/>
    </row>
    <row r="8" spans="1:6" x14ac:dyDescent="0.2">
      <c r="A8" s="12" t="s">
        <v>90</v>
      </c>
      <c r="B8" s="13"/>
      <c r="C8" s="13"/>
      <c r="D8" s="13"/>
      <c r="E8" s="13"/>
      <c r="F8" s="3"/>
    </row>
    <row r="9" spans="1:6" x14ac:dyDescent="0.2">
      <c r="A9" s="12" t="s">
        <v>31</v>
      </c>
      <c r="B9" s="13"/>
      <c r="C9" s="13"/>
      <c r="D9" s="13"/>
      <c r="E9" s="13"/>
      <c r="F9" s="3"/>
    </row>
    <row r="10" spans="1:6" x14ac:dyDescent="0.2">
      <c r="A10" s="31" t="s">
        <v>97</v>
      </c>
      <c r="B10" s="28"/>
      <c r="C10" s="28"/>
      <c r="D10" s="28"/>
      <c r="E10" s="28"/>
      <c r="F10" s="28"/>
    </row>
    <row r="11" spans="1:6" x14ac:dyDescent="0.2">
      <c r="A11" s="12" t="s">
        <v>175</v>
      </c>
      <c r="B11" s="13"/>
      <c r="C11" s="13"/>
      <c r="D11" s="13"/>
      <c r="E11" s="13"/>
      <c r="F11" s="3"/>
    </row>
    <row r="12" spans="1:6" x14ac:dyDescent="0.2">
      <c r="A12" s="12" t="s">
        <v>176</v>
      </c>
      <c r="B12" s="13"/>
      <c r="C12" s="13"/>
      <c r="D12" s="13"/>
      <c r="E12" s="13"/>
      <c r="F12" s="3"/>
    </row>
    <row r="13" spans="1:6" x14ac:dyDescent="0.2">
      <c r="A13" s="12" t="s">
        <v>177</v>
      </c>
      <c r="B13" s="13"/>
      <c r="C13" s="13"/>
      <c r="D13" s="13"/>
      <c r="E13" s="13"/>
      <c r="F13" s="3"/>
    </row>
    <row r="14" spans="1:6" x14ac:dyDescent="0.2">
      <c r="A14" s="12" t="s">
        <v>101</v>
      </c>
      <c r="B14" s="13"/>
      <c r="C14" s="13"/>
      <c r="D14" s="13"/>
      <c r="E14" s="13"/>
      <c r="F14" s="3"/>
    </row>
    <row r="15" spans="1:6" x14ac:dyDescent="0.2">
      <c r="A15" s="12" t="s">
        <v>178</v>
      </c>
      <c r="B15" s="13"/>
      <c r="C15" s="13"/>
      <c r="D15" s="13"/>
      <c r="E15" s="13"/>
      <c r="F15" s="3"/>
    </row>
    <row r="16" spans="1:6" x14ac:dyDescent="0.2">
      <c r="A16" s="31" t="s">
        <v>179</v>
      </c>
      <c r="B16" s="28"/>
      <c r="C16" s="28"/>
      <c r="D16" s="28"/>
      <c r="E16" s="28"/>
      <c r="F16" s="28"/>
    </row>
    <row r="17" spans="1:6" x14ac:dyDescent="0.2">
      <c r="A17" s="12" t="s">
        <v>180</v>
      </c>
      <c r="B17" s="13"/>
      <c r="C17" s="13"/>
      <c r="D17" s="13"/>
      <c r="E17" s="13"/>
      <c r="F17" s="3"/>
    </row>
    <row r="18" spans="1:6" x14ac:dyDescent="0.2">
      <c r="A18" s="12" t="s">
        <v>181</v>
      </c>
      <c r="B18" s="13"/>
      <c r="C18" s="13"/>
      <c r="D18" s="13"/>
      <c r="E18" s="13"/>
      <c r="F18" s="3"/>
    </row>
    <row r="19" spans="1:6" x14ac:dyDescent="0.2">
      <c r="A19" s="12" t="s">
        <v>111</v>
      </c>
      <c r="B19" s="13"/>
      <c r="C19" s="13"/>
      <c r="D19" s="13"/>
      <c r="E19" s="13"/>
      <c r="F19" s="3"/>
    </row>
    <row r="20" spans="1:6" x14ac:dyDescent="0.2">
      <c r="A20" s="12" t="s">
        <v>182</v>
      </c>
      <c r="B20" s="13"/>
      <c r="C20" s="13"/>
      <c r="D20" s="13"/>
      <c r="E20" s="13"/>
      <c r="F20" s="3"/>
    </row>
    <row r="21" spans="1:6" x14ac:dyDescent="0.2">
      <c r="A21" s="31" t="s">
        <v>183</v>
      </c>
      <c r="B21" s="28"/>
      <c r="C21" s="28"/>
      <c r="D21" s="28"/>
      <c r="E21" s="28"/>
      <c r="F21" s="28"/>
    </row>
    <row r="22" spans="1:6" x14ac:dyDescent="0.2">
      <c r="A22" s="12" t="s">
        <v>114</v>
      </c>
      <c r="B22" s="13"/>
      <c r="C22" s="13"/>
      <c r="D22" s="13"/>
      <c r="E22" s="13"/>
      <c r="F22" s="3"/>
    </row>
    <row r="23" spans="1:6" x14ac:dyDescent="0.2">
      <c r="A23" s="12" t="s">
        <v>115</v>
      </c>
      <c r="B23" s="13"/>
      <c r="C23" s="13"/>
      <c r="D23" s="13"/>
      <c r="E23" s="13"/>
      <c r="F23" s="3"/>
    </row>
    <row r="24" spans="1:6" x14ac:dyDescent="0.2">
      <c r="A24" s="12" t="s">
        <v>116</v>
      </c>
      <c r="B24" s="13"/>
      <c r="C24" s="13"/>
      <c r="D24" s="13"/>
      <c r="E24" s="13"/>
      <c r="F24" s="3"/>
    </row>
    <row r="25" spans="1:6" x14ac:dyDescent="0.2">
      <c r="A25" s="12" t="s">
        <v>117</v>
      </c>
      <c r="B25" s="13"/>
      <c r="C25" s="13"/>
      <c r="D25" s="13"/>
      <c r="E25" s="13"/>
      <c r="F25" s="3"/>
    </row>
    <row r="26" spans="1:6" x14ac:dyDescent="0.2">
      <c r="A26" s="31" t="s">
        <v>118</v>
      </c>
      <c r="B26" s="28"/>
      <c r="C26" s="28"/>
      <c r="D26" s="28"/>
      <c r="E26" s="28"/>
      <c r="F26" s="28"/>
    </row>
    <row r="27" spans="1:6" x14ac:dyDescent="0.2">
      <c r="A27" s="12" t="s">
        <v>184</v>
      </c>
      <c r="B27" s="13"/>
      <c r="C27" s="13"/>
      <c r="D27" s="13"/>
      <c r="E27" s="13"/>
      <c r="F27" s="3"/>
    </row>
    <row r="28" spans="1:6" x14ac:dyDescent="0.2">
      <c r="A28" s="12" t="s">
        <v>185</v>
      </c>
      <c r="B28" s="13"/>
      <c r="C28" s="13"/>
      <c r="D28" s="13"/>
      <c r="E28" s="13"/>
      <c r="F28" s="3"/>
    </row>
    <row r="29" spans="1:6" x14ac:dyDescent="0.2">
      <c r="A29" s="12" t="s">
        <v>121</v>
      </c>
      <c r="B29" s="13"/>
      <c r="C29" s="13"/>
      <c r="D29" s="13"/>
      <c r="E29" s="13"/>
      <c r="F29" s="3"/>
    </row>
    <row r="30" spans="1:6" x14ac:dyDescent="0.2">
      <c r="A30" s="12" t="s">
        <v>186</v>
      </c>
      <c r="B30" s="13"/>
      <c r="C30" s="13"/>
      <c r="D30" s="13"/>
      <c r="E30" s="13"/>
      <c r="F30" s="3"/>
    </row>
    <row r="31" spans="1:6" x14ac:dyDescent="0.2">
      <c r="A31" s="31" t="s">
        <v>130</v>
      </c>
      <c r="B31" s="28"/>
      <c r="C31" s="28"/>
      <c r="D31" s="28"/>
      <c r="E31" s="28"/>
      <c r="F31" s="28"/>
    </row>
    <row r="32" spans="1:6" x14ac:dyDescent="0.2">
      <c r="A32" s="12" t="s">
        <v>187</v>
      </c>
      <c r="B32" s="13"/>
      <c r="C32" s="13"/>
      <c r="D32" s="13"/>
      <c r="E32" s="13"/>
      <c r="F32" s="3"/>
    </row>
    <row r="33" spans="1:6" x14ac:dyDescent="0.2">
      <c r="A33" s="12" t="s">
        <v>132</v>
      </c>
      <c r="B33" s="13"/>
      <c r="C33" s="13"/>
      <c r="D33" s="13"/>
      <c r="E33" s="13"/>
      <c r="F33" s="3"/>
    </row>
    <row r="34" spans="1:6" x14ac:dyDescent="0.2">
      <c r="A34" s="12" t="s">
        <v>133</v>
      </c>
      <c r="B34" s="13"/>
      <c r="C34" s="13"/>
      <c r="D34" s="13"/>
      <c r="E34" s="13"/>
      <c r="F34" s="3"/>
    </row>
    <row r="35" spans="1:6" x14ac:dyDescent="0.2">
      <c r="A35" s="12" t="s">
        <v>188</v>
      </c>
      <c r="B35" s="13"/>
      <c r="C35" s="13"/>
      <c r="D35" s="13"/>
      <c r="E35" s="13"/>
      <c r="F35" s="3"/>
    </row>
    <row r="36" spans="1:6" x14ac:dyDescent="0.2">
      <c r="A36" s="31" t="s">
        <v>189</v>
      </c>
      <c r="B36" s="28"/>
      <c r="C36" s="28"/>
      <c r="D36" s="28"/>
      <c r="E36" s="28"/>
      <c r="F36" s="28"/>
    </row>
    <row r="37" spans="1:6" x14ac:dyDescent="0.2">
      <c r="A37" s="12" t="s">
        <v>190</v>
      </c>
      <c r="B37" s="13"/>
      <c r="C37" s="13"/>
      <c r="D37" s="13"/>
      <c r="E37" s="13"/>
      <c r="F37" s="3"/>
    </row>
    <row r="38" spans="1:6" x14ac:dyDescent="0.2">
      <c r="A38" s="12" t="s">
        <v>191</v>
      </c>
      <c r="B38" s="13"/>
      <c r="C38" s="13"/>
      <c r="D38" s="13"/>
      <c r="E38" s="13"/>
      <c r="F38" s="3"/>
    </row>
    <row r="39" spans="1:6" x14ac:dyDescent="0.2">
      <c r="A39" s="12" t="s">
        <v>192</v>
      </c>
      <c r="B39" s="13"/>
      <c r="C39" s="13"/>
      <c r="D39" s="13"/>
      <c r="E39" s="13"/>
      <c r="F39" s="3"/>
    </row>
    <row r="40" spans="1:6" x14ac:dyDescent="0.2">
      <c r="A40" s="12" t="s">
        <v>193</v>
      </c>
      <c r="B40" s="13"/>
      <c r="C40" s="13"/>
      <c r="D40" s="13"/>
      <c r="E40" s="13"/>
      <c r="F40" s="3"/>
    </row>
    <row r="43" spans="1:6" x14ac:dyDescent="0.2">
      <c r="A43" s="32" t="s">
        <v>194</v>
      </c>
      <c r="B43" s="28"/>
      <c r="C43" s="28"/>
      <c r="D43" s="28"/>
      <c r="E43" s="28"/>
      <c r="F43" s="28"/>
    </row>
    <row r="44" spans="1:6" x14ac:dyDescent="0.2">
      <c r="A44" s="34"/>
      <c r="B44" s="28"/>
      <c r="C44" s="28"/>
      <c r="D44" s="28"/>
      <c r="E44" s="28"/>
      <c r="F44" s="28"/>
    </row>
    <row r="45" spans="1:6" x14ac:dyDescent="0.2">
      <c r="A45" s="28"/>
      <c r="B45" s="28"/>
      <c r="C45" s="28"/>
      <c r="D45" s="28"/>
      <c r="E45" s="28"/>
      <c r="F45" s="28"/>
    </row>
    <row r="46" spans="1:6" x14ac:dyDescent="0.2">
      <c r="A46" s="28"/>
      <c r="B46" s="28"/>
      <c r="C46" s="28"/>
      <c r="D46" s="28"/>
      <c r="E46" s="28"/>
      <c r="F46" s="28"/>
    </row>
    <row r="47" spans="1:6" x14ac:dyDescent="0.2">
      <c r="A47" s="28"/>
      <c r="B47" s="28"/>
      <c r="C47" s="28"/>
      <c r="D47" s="28"/>
      <c r="E47" s="28"/>
      <c r="F47" s="28"/>
    </row>
    <row r="48" spans="1:6" x14ac:dyDescent="0.2">
      <c r="A48" s="28"/>
      <c r="B48" s="28"/>
      <c r="C48" s="28"/>
      <c r="D48" s="28"/>
      <c r="E48" s="28"/>
      <c r="F48" s="28"/>
    </row>
    <row r="49" spans="1:6" x14ac:dyDescent="0.2">
      <c r="A49" s="28"/>
      <c r="B49" s="28"/>
      <c r="C49" s="28"/>
      <c r="D49" s="28"/>
      <c r="E49" s="28"/>
      <c r="F49" s="28"/>
    </row>
    <row r="50" spans="1:6" x14ac:dyDescent="0.2">
      <c r="A50" s="28"/>
      <c r="B50" s="28"/>
      <c r="C50" s="28"/>
      <c r="D50" s="28"/>
      <c r="E50" s="28"/>
      <c r="F50" s="28"/>
    </row>
    <row r="51" spans="1:6" x14ac:dyDescent="0.2">
      <c r="A51" s="28"/>
      <c r="B51" s="28"/>
      <c r="C51" s="28"/>
      <c r="D51" s="28"/>
      <c r="E51" s="28"/>
      <c r="F51" s="28"/>
    </row>
    <row r="52" spans="1:6" x14ac:dyDescent="0.2">
      <c r="A52" s="28"/>
      <c r="B52" s="28"/>
      <c r="C52" s="28"/>
      <c r="D52" s="28"/>
      <c r="E52" s="28"/>
      <c r="F52" s="28"/>
    </row>
    <row r="53" spans="1:6" x14ac:dyDescent="0.2">
      <c r="A53" s="28"/>
      <c r="B53" s="28"/>
      <c r="C53" s="28"/>
      <c r="D53" s="28"/>
      <c r="E53" s="28"/>
      <c r="F53" s="28"/>
    </row>
    <row r="54" spans="1:6" x14ac:dyDescent="0.2">
      <c r="A54" s="28"/>
      <c r="B54" s="28"/>
      <c r="C54" s="28"/>
      <c r="D54" s="28"/>
      <c r="E54" s="28"/>
      <c r="F54" s="28"/>
    </row>
  </sheetData>
  <mergeCells count="11">
    <mergeCell ref="A1:F1"/>
    <mergeCell ref="A5:F5"/>
    <mergeCell ref="A31:F31"/>
    <mergeCell ref="A26:F26"/>
    <mergeCell ref="A21:F21"/>
    <mergeCell ref="A2:F2"/>
    <mergeCell ref="A16:F16"/>
    <mergeCell ref="A10:F10"/>
    <mergeCell ref="A36:F36"/>
    <mergeCell ref="A44:F54"/>
    <mergeCell ref="A43:F43"/>
  </mergeCells>
  <dataValidations count="1">
    <dataValidation type="list" allowBlank="1" sqref="F37:F40 F32:F35 F27:F30 F22:F25 F17:F20 F11:F15 F6:F9" xr:uid="{00000000-0002-0000-0200-000000000000}">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3"/>
  <sheetViews>
    <sheetView workbookViewId="0">
      <pane ySplit="4" topLeftCell="A5" activePane="bottomLeft" state="frozen"/>
      <selection pane="bottomLeft" sqref="A1:F1"/>
    </sheetView>
  </sheetViews>
  <sheetFormatPr baseColWidth="10" defaultColWidth="8.83203125" defaultRowHeight="15" x14ac:dyDescent="0.2"/>
  <cols>
    <col min="1" max="1" width="15" customWidth="1"/>
    <col min="2" max="2" width="50" customWidth="1"/>
    <col min="3" max="3" width="30" customWidth="1"/>
    <col min="4" max="4" width="15" customWidth="1"/>
    <col min="5" max="5" width="10" customWidth="1"/>
    <col min="6" max="6" width="30" customWidth="1"/>
  </cols>
  <sheetData>
    <row r="1" spans="1:6" ht="30" customHeight="1" x14ac:dyDescent="0.2">
      <c r="A1" s="30" t="s">
        <v>195</v>
      </c>
      <c r="B1" s="28"/>
      <c r="C1" s="28"/>
      <c r="D1" s="28"/>
      <c r="E1" s="28"/>
      <c r="F1" s="28"/>
    </row>
    <row r="2" spans="1:6" x14ac:dyDescent="0.2">
      <c r="A2" s="27" t="s">
        <v>196</v>
      </c>
      <c r="B2" s="28"/>
      <c r="C2" s="28"/>
      <c r="D2" s="28"/>
      <c r="E2" s="28"/>
      <c r="F2" s="28"/>
    </row>
    <row r="4" spans="1:6" ht="16" x14ac:dyDescent="0.2">
      <c r="A4" s="11" t="s">
        <v>197</v>
      </c>
      <c r="B4" s="11" t="s">
        <v>198</v>
      </c>
      <c r="C4" s="11" t="s">
        <v>199</v>
      </c>
      <c r="D4" s="11" t="s">
        <v>31</v>
      </c>
      <c r="E4" s="11" t="s">
        <v>200</v>
      </c>
      <c r="F4" s="11" t="s">
        <v>136</v>
      </c>
    </row>
    <row r="5" spans="1:6" ht="16" x14ac:dyDescent="0.2">
      <c r="A5" s="12" t="s">
        <v>201</v>
      </c>
      <c r="B5" s="4" t="s">
        <v>202</v>
      </c>
      <c r="C5" s="3"/>
      <c r="D5" s="3"/>
      <c r="E5" s="3"/>
      <c r="F5" s="3"/>
    </row>
    <row r="6" spans="1:6" ht="16" x14ac:dyDescent="0.2">
      <c r="A6" s="12" t="s">
        <v>203</v>
      </c>
      <c r="B6" s="4" t="s">
        <v>204</v>
      </c>
      <c r="C6" s="3"/>
      <c r="D6" s="3"/>
      <c r="E6" s="3"/>
      <c r="F6" s="3"/>
    </row>
    <row r="7" spans="1:6" ht="16" x14ac:dyDescent="0.2">
      <c r="A7" s="12" t="s">
        <v>205</v>
      </c>
      <c r="B7" s="4" t="s">
        <v>206</v>
      </c>
      <c r="C7" s="3"/>
      <c r="D7" s="3"/>
      <c r="E7" s="3"/>
      <c r="F7" s="3"/>
    </row>
    <row r="8" spans="1:6" ht="16" x14ac:dyDescent="0.2">
      <c r="A8" s="12" t="s">
        <v>207</v>
      </c>
      <c r="B8" s="4" t="s">
        <v>208</v>
      </c>
      <c r="C8" s="3"/>
      <c r="D8" s="3"/>
      <c r="E8" s="3"/>
      <c r="F8" s="3"/>
    </row>
    <row r="9" spans="1:6" ht="16" x14ac:dyDescent="0.2">
      <c r="A9" s="12" t="s">
        <v>209</v>
      </c>
      <c r="B9" s="4" t="s">
        <v>210</v>
      </c>
      <c r="C9" s="3"/>
      <c r="D9" s="3"/>
      <c r="E9" s="3"/>
      <c r="F9" s="3"/>
    </row>
    <row r="10" spans="1:6" ht="16" x14ac:dyDescent="0.2">
      <c r="A10" s="12" t="s">
        <v>211</v>
      </c>
      <c r="B10" s="4" t="s">
        <v>212</v>
      </c>
      <c r="C10" s="3"/>
      <c r="D10" s="3"/>
      <c r="E10" s="3"/>
      <c r="F10" s="3"/>
    </row>
    <row r="11" spans="1:6" ht="16" x14ac:dyDescent="0.2">
      <c r="A11" s="12" t="s">
        <v>213</v>
      </c>
      <c r="B11" s="4" t="s">
        <v>214</v>
      </c>
      <c r="C11" s="3"/>
      <c r="D11" s="3"/>
      <c r="E11" s="3"/>
      <c r="F11" s="3"/>
    </row>
    <row r="12" spans="1:6" ht="16" x14ac:dyDescent="0.2">
      <c r="A12" s="12" t="s">
        <v>215</v>
      </c>
      <c r="B12" s="4" t="s">
        <v>216</v>
      </c>
      <c r="C12" s="3"/>
      <c r="D12" s="3"/>
      <c r="E12" s="3"/>
      <c r="F12" s="3"/>
    </row>
    <row r="13" spans="1:6" ht="16" x14ac:dyDescent="0.2">
      <c r="A13" s="12" t="s">
        <v>217</v>
      </c>
      <c r="B13" s="4" t="s">
        <v>218</v>
      </c>
      <c r="C13" s="3"/>
      <c r="D13" s="3"/>
      <c r="E13" s="3"/>
      <c r="F13" s="3"/>
    </row>
    <row r="14" spans="1:6" ht="16" x14ac:dyDescent="0.2">
      <c r="A14" s="12" t="s">
        <v>219</v>
      </c>
      <c r="B14" s="4" t="s">
        <v>220</v>
      </c>
      <c r="C14" s="3"/>
      <c r="D14" s="3"/>
      <c r="E14" s="3"/>
      <c r="F14" s="3"/>
    </row>
    <row r="15" spans="1:6" ht="16" x14ac:dyDescent="0.2">
      <c r="A15" s="12" t="s">
        <v>221</v>
      </c>
      <c r="B15" s="4" t="s">
        <v>222</v>
      </c>
      <c r="C15" s="3"/>
      <c r="D15" s="3"/>
      <c r="E15" s="3"/>
      <c r="F15" s="3"/>
    </row>
    <row r="16" spans="1:6" ht="16" x14ac:dyDescent="0.2">
      <c r="A16" s="12" t="s">
        <v>223</v>
      </c>
      <c r="B16" s="4" t="s">
        <v>224</v>
      </c>
      <c r="C16" s="3"/>
      <c r="D16" s="3"/>
      <c r="E16" s="3"/>
      <c r="F16" s="3"/>
    </row>
    <row r="17" spans="1:6" ht="16" x14ac:dyDescent="0.2">
      <c r="A17" s="12" t="s">
        <v>225</v>
      </c>
      <c r="B17" s="4" t="s">
        <v>226</v>
      </c>
      <c r="C17" s="3"/>
      <c r="D17" s="3"/>
      <c r="E17" s="3"/>
      <c r="F17" s="3"/>
    </row>
    <row r="18" spans="1:6" ht="16" x14ac:dyDescent="0.2">
      <c r="A18" s="12" t="s">
        <v>227</v>
      </c>
      <c r="B18" s="4" t="s">
        <v>228</v>
      </c>
      <c r="C18" s="3"/>
      <c r="D18" s="3"/>
      <c r="E18" s="3"/>
      <c r="F18" s="3"/>
    </row>
    <row r="19" spans="1:6" ht="16" x14ac:dyDescent="0.2">
      <c r="A19" s="12" t="s">
        <v>229</v>
      </c>
      <c r="B19" s="4" t="s">
        <v>230</v>
      </c>
      <c r="C19" s="3"/>
      <c r="D19" s="3"/>
      <c r="E19" s="3"/>
      <c r="F19" s="3"/>
    </row>
    <row r="20" spans="1:6" ht="16" x14ac:dyDescent="0.2">
      <c r="A20" s="12" t="s">
        <v>231</v>
      </c>
      <c r="B20" s="4" t="s">
        <v>232</v>
      </c>
      <c r="C20" s="3"/>
      <c r="D20" s="3"/>
      <c r="E20" s="3"/>
      <c r="F20" s="3"/>
    </row>
    <row r="21" spans="1:6" ht="16" x14ac:dyDescent="0.2">
      <c r="A21" s="12" t="s">
        <v>233</v>
      </c>
      <c r="B21" s="4" t="s">
        <v>234</v>
      </c>
      <c r="C21" s="3"/>
      <c r="D21" s="3"/>
      <c r="E21" s="3"/>
      <c r="F21" s="3"/>
    </row>
    <row r="22" spans="1:6" ht="16" x14ac:dyDescent="0.2">
      <c r="A22" s="12" t="s">
        <v>235</v>
      </c>
      <c r="B22" s="4" t="s">
        <v>236</v>
      </c>
      <c r="C22" s="3"/>
      <c r="D22" s="3"/>
      <c r="E22" s="3"/>
      <c r="F22" s="3"/>
    </row>
    <row r="23" spans="1:6" ht="16" x14ac:dyDescent="0.2">
      <c r="A23" s="12" t="s">
        <v>237</v>
      </c>
      <c r="B23" s="4" t="s">
        <v>238</v>
      </c>
      <c r="C23" s="3"/>
      <c r="D23" s="3"/>
      <c r="E23" s="3"/>
      <c r="F23" s="3"/>
    </row>
    <row r="24" spans="1:6" ht="16" x14ac:dyDescent="0.2">
      <c r="A24" s="12" t="s">
        <v>239</v>
      </c>
      <c r="B24" s="4" t="s">
        <v>240</v>
      </c>
      <c r="C24" s="3"/>
      <c r="D24" s="3"/>
      <c r="E24" s="3"/>
      <c r="F24" s="3"/>
    </row>
    <row r="25" spans="1:6" ht="16" x14ac:dyDescent="0.2">
      <c r="A25" s="12" t="s">
        <v>241</v>
      </c>
      <c r="B25" s="4" t="s">
        <v>242</v>
      </c>
      <c r="C25" s="3"/>
      <c r="D25" s="3"/>
      <c r="E25" s="3"/>
      <c r="F25" s="3"/>
    </row>
    <row r="26" spans="1:6" ht="16" x14ac:dyDescent="0.2">
      <c r="A26" s="12" t="s">
        <v>243</v>
      </c>
      <c r="B26" s="4" t="s">
        <v>244</v>
      </c>
      <c r="C26" s="3"/>
      <c r="D26" s="3"/>
      <c r="E26" s="3"/>
      <c r="F26" s="3"/>
    </row>
    <row r="27" spans="1:6" ht="16" x14ac:dyDescent="0.2">
      <c r="A27" s="12" t="s">
        <v>245</v>
      </c>
      <c r="B27" s="4" t="s">
        <v>246</v>
      </c>
      <c r="C27" s="3"/>
      <c r="D27" s="3"/>
      <c r="E27" s="3"/>
      <c r="F27" s="3"/>
    </row>
    <row r="28" spans="1:6" ht="16" x14ac:dyDescent="0.2">
      <c r="A28" s="12" t="s">
        <v>247</v>
      </c>
      <c r="B28" s="4" t="s">
        <v>248</v>
      </c>
      <c r="C28" s="3"/>
      <c r="D28" s="3"/>
      <c r="E28" s="3"/>
      <c r="F28" s="3"/>
    </row>
    <row r="29" spans="1:6" ht="16" x14ac:dyDescent="0.2">
      <c r="A29" s="12" t="s">
        <v>249</v>
      </c>
      <c r="B29" s="4" t="s">
        <v>250</v>
      </c>
      <c r="C29" s="3"/>
      <c r="D29" s="3"/>
      <c r="E29" s="3"/>
      <c r="F29" s="3"/>
    </row>
    <row r="30" spans="1:6" ht="16" x14ac:dyDescent="0.2">
      <c r="A30" s="12" t="s">
        <v>251</v>
      </c>
      <c r="B30" s="4" t="s">
        <v>252</v>
      </c>
      <c r="C30" s="3"/>
      <c r="D30" s="3"/>
      <c r="E30" s="3"/>
      <c r="F30" s="3"/>
    </row>
    <row r="31" spans="1:6" ht="16" x14ac:dyDescent="0.2">
      <c r="A31" s="12" t="s">
        <v>253</v>
      </c>
      <c r="B31" s="4" t="s">
        <v>254</v>
      </c>
      <c r="C31" s="3"/>
      <c r="D31" s="3"/>
      <c r="E31" s="3"/>
      <c r="F31" s="3"/>
    </row>
    <row r="32" spans="1:6" ht="16" x14ac:dyDescent="0.2">
      <c r="A32" s="12" t="s">
        <v>255</v>
      </c>
      <c r="B32" s="4" t="s">
        <v>256</v>
      </c>
      <c r="C32" s="3"/>
      <c r="D32" s="3"/>
      <c r="E32" s="3"/>
      <c r="F32" s="3"/>
    </row>
    <row r="33" spans="1:6" ht="16" x14ac:dyDescent="0.2">
      <c r="A33" s="12" t="s">
        <v>257</v>
      </c>
      <c r="B33" s="4" t="s">
        <v>258</v>
      </c>
      <c r="C33" s="3"/>
      <c r="D33" s="3"/>
      <c r="E33" s="3"/>
      <c r="F33" s="3"/>
    </row>
    <row r="34" spans="1:6" ht="16" x14ac:dyDescent="0.2">
      <c r="A34" s="12" t="s">
        <v>259</v>
      </c>
      <c r="B34" s="4" t="s">
        <v>260</v>
      </c>
      <c r="C34" s="3"/>
      <c r="D34" s="3"/>
      <c r="E34" s="3"/>
      <c r="F34" s="3"/>
    </row>
    <row r="37" spans="1:6" x14ac:dyDescent="0.2">
      <c r="A37" s="32" t="s">
        <v>261</v>
      </c>
      <c r="B37" s="28"/>
      <c r="C37" s="28"/>
      <c r="D37" s="28"/>
      <c r="E37" s="28"/>
      <c r="F37" s="28"/>
    </row>
    <row r="38" spans="1:6" x14ac:dyDescent="0.2">
      <c r="A38" s="2" t="s">
        <v>262</v>
      </c>
      <c r="B38" s="14">
        <f>COUNTA(A5:A34)</f>
        <v>30</v>
      </c>
    </row>
    <row r="39" spans="1:6" x14ac:dyDescent="0.2">
      <c r="A39" s="2" t="s">
        <v>263</v>
      </c>
      <c r="B39" s="14">
        <f>COUNTIF(D5:D34,"✅ Met")</f>
        <v>0</v>
      </c>
    </row>
    <row r="40" spans="1:6" x14ac:dyDescent="0.2">
      <c r="A40" s="2" t="s">
        <v>264</v>
      </c>
      <c r="B40" s="14">
        <f>COUNTIF(D5:D34,"⚠️ Partial")</f>
        <v>0</v>
      </c>
    </row>
    <row r="41" spans="1:6" x14ac:dyDescent="0.2">
      <c r="A41" s="2" t="s">
        <v>265</v>
      </c>
      <c r="B41" s="14">
        <f>COUNTIF(D5:D34,"❌ Not Met")</f>
        <v>0</v>
      </c>
    </row>
    <row r="42" spans="1:6" x14ac:dyDescent="0.2">
      <c r="A42" s="2" t="s">
        <v>266</v>
      </c>
      <c r="B42" s="14">
        <f>COUNTIF(D5:D34,"N/A")</f>
        <v>0</v>
      </c>
    </row>
    <row r="43" spans="1:6" x14ac:dyDescent="0.2">
      <c r="A43" s="2" t="s">
        <v>267</v>
      </c>
      <c r="B43" s="14" t="str">
        <f>(COUNTIF(D5:D34,"✅ Met")/COUNTA(A5:A34))*100&amp;"%"</f>
        <v>0%</v>
      </c>
    </row>
  </sheetData>
  <mergeCells count="3">
    <mergeCell ref="A2:F2"/>
    <mergeCell ref="A1:F1"/>
    <mergeCell ref="A37:F37"/>
  </mergeCells>
  <dataValidations count="2">
    <dataValidation type="list" sqref="E5 E6 E7 E8 E9 E10 E11 E12 E13 E14 E15 E16 E17 E18 E19 E20 E21 E22 E23 E24 E25 E26 E27 E28 E29 E30 E31 E32 E33 E34" xr:uid="{00000000-0002-0000-0300-000000000000}">
      <formula1>"Yes,No"</formula1>
    </dataValidation>
    <dataValidation type="list" sqref="D5:D34" xr:uid="{00000000-0002-0000-0300-000001000000}">
      <formula1>"✅ Met,⚠️ Partial,❌ Not Met,N/A"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pane ySplit="4" topLeftCell="A5" activePane="bottomLeft" state="frozen"/>
      <selection pane="bottomLeft" sqref="A1:E1"/>
    </sheetView>
  </sheetViews>
  <sheetFormatPr baseColWidth="10" defaultColWidth="8.83203125" defaultRowHeight="15" x14ac:dyDescent="0.2"/>
  <cols>
    <col min="1" max="1" width="25" customWidth="1"/>
    <col min="2" max="2" width="30" customWidth="1"/>
    <col min="3" max="3" width="25" customWidth="1"/>
    <col min="4" max="4" width="18" customWidth="1"/>
    <col min="5" max="5" width="35" customWidth="1"/>
  </cols>
  <sheetData>
    <row r="1" spans="1:5" ht="30" customHeight="1" x14ac:dyDescent="0.2">
      <c r="A1" s="30" t="s">
        <v>268</v>
      </c>
      <c r="B1" s="28"/>
      <c r="C1" s="28"/>
      <c r="D1" s="28"/>
      <c r="E1" s="28"/>
    </row>
    <row r="2" spans="1:5" x14ac:dyDescent="0.2">
      <c r="A2" s="27" t="s">
        <v>269</v>
      </c>
      <c r="B2" s="28"/>
      <c r="C2" s="28"/>
      <c r="D2" s="28"/>
      <c r="E2" s="28"/>
    </row>
    <row r="4" spans="1:5" ht="16" x14ac:dyDescent="0.2">
      <c r="A4" s="11" t="s">
        <v>270</v>
      </c>
      <c r="B4" s="11" t="s">
        <v>271</v>
      </c>
      <c r="C4" s="11" t="s">
        <v>272</v>
      </c>
      <c r="D4" s="11" t="s">
        <v>31</v>
      </c>
      <c r="E4" s="11" t="s">
        <v>136</v>
      </c>
    </row>
    <row r="5" spans="1:5" x14ac:dyDescent="0.2">
      <c r="A5" s="2" t="s">
        <v>187</v>
      </c>
      <c r="B5" s="3"/>
      <c r="C5" s="3"/>
      <c r="D5" s="3"/>
      <c r="E5" s="3"/>
    </row>
    <row r="6" spans="1:5" x14ac:dyDescent="0.2">
      <c r="A6" s="2" t="s">
        <v>273</v>
      </c>
      <c r="B6" s="3"/>
      <c r="C6" s="3"/>
      <c r="D6" s="3"/>
      <c r="E6" s="3"/>
    </row>
    <row r="7" spans="1:5" x14ac:dyDescent="0.2">
      <c r="A7" s="2" t="s">
        <v>274</v>
      </c>
      <c r="B7" s="3"/>
      <c r="C7" s="3"/>
      <c r="D7" s="3"/>
      <c r="E7" s="3"/>
    </row>
    <row r="8" spans="1:5" x14ac:dyDescent="0.2">
      <c r="A8" s="2" t="s">
        <v>275</v>
      </c>
      <c r="B8" s="3"/>
      <c r="C8" s="3"/>
      <c r="D8" s="3"/>
      <c r="E8" s="3"/>
    </row>
    <row r="9" spans="1:5" x14ac:dyDescent="0.2">
      <c r="A9" s="2" t="s">
        <v>276</v>
      </c>
      <c r="B9" s="3"/>
      <c r="C9" s="3"/>
      <c r="D9" s="3"/>
      <c r="E9" s="3"/>
    </row>
    <row r="10" spans="1:5" x14ac:dyDescent="0.2">
      <c r="A10" s="2" t="s">
        <v>277</v>
      </c>
      <c r="B10" s="3"/>
      <c r="C10" s="3"/>
      <c r="D10" s="3"/>
      <c r="E10" s="3"/>
    </row>
    <row r="11" spans="1:5" x14ac:dyDescent="0.2">
      <c r="A11" s="2" t="s">
        <v>278</v>
      </c>
      <c r="B11" s="3"/>
      <c r="C11" s="3"/>
      <c r="D11" s="3"/>
      <c r="E11" s="3"/>
    </row>
    <row r="12" spans="1:5" x14ac:dyDescent="0.2">
      <c r="A12" s="2" t="s">
        <v>279</v>
      </c>
      <c r="B12" s="3"/>
      <c r="C12" s="3"/>
      <c r="D12" s="3"/>
      <c r="E12" s="3"/>
    </row>
    <row r="13" spans="1:5" x14ac:dyDescent="0.2">
      <c r="A13" s="2" t="s">
        <v>280</v>
      </c>
      <c r="B13" s="3"/>
      <c r="C13" s="3"/>
      <c r="D13" s="3"/>
      <c r="E13" s="3"/>
    </row>
    <row r="14" spans="1:5" x14ac:dyDescent="0.2">
      <c r="A14" s="2" t="s">
        <v>281</v>
      </c>
      <c r="B14" s="3"/>
      <c r="C14" s="3"/>
      <c r="D14" s="3"/>
      <c r="E14" s="3"/>
    </row>
    <row r="17" spans="1:5" x14ac:dyDescent="0.2">
      <c r="A17" s="32" t="s">
        <v>282</v>
      </c>
      <c r="B17" s="28"/>
      <c r="C17" s="28"/>
      <c r="D17" s="28"/>
      <c r="E17" s="28"/>
    </row>
    <row r="18" spans="1:5" x14ac:dyDescent="0.2">
      <c r="A18" s="15" t="s">
        <v>283</v>
      </c>
    </row>
    <row r="19" spans="1:5" x14ac:dyDescent="0.2">
      <c r="A19" s="34"/>
      <c r="B19" s="28"/>
      <c r="C19" s="28"/>
      <c r="D19" s="28"/>
      <c r="E19" s="28"/>
    </row>
    <row r="20" spans="1:5" x14ac:dyDescent="0.2">
      <c r="A20" s="28"/>
      <c r="B20" s="28"/>
      <c r="C20" s="28"/>
      <c r="D20" s="28"/>
      <c r="E20" s="28"/>
    </row>
    <row r="21" spans="1:5" x14ac:dyDescent="0.2">
      <c r="A21" s="28"/>
      <c r="B21" s="28"/>
      <c r="C21" s="28"/>
      <c r="D21" s="28"/>
      <c r="E21" s="28"/>
    </row>
    <row r="22" spans="1:5" x14ac:dyDescent="0.2">
      <c r="A22" s="15" t="s">
        <v>284</v>
      </c>
    </row>
    <row r="23" spans="1:5" x14ac:dyDescent="0.2">
      <c r="A23" s="34"/>
      <c r="B23" s="28"/>
      <c r="C23" s="28"/>
      <c r="D23" s="28"/>
      <c r="E23" s="28"/>
    </row>
    <row r="24" spans="1:5" x14ac:dyDescent="0.2">
      <c r="A24" s="28"/>
      <c r="B24" s="28"/>
      <c r="C24" s="28"/>
      <c r="D24" s="28"/>
      <c r="E24" s="28"/>
    </row>
    <row r="25" spans="1:5" x14ac:dyDescent="0.2">
      <c r="A25" s="28"/>
      <c r="B25" s="28"/>
      <c r="C25" s="28"/>
      <c r="D25" s="28"/>
      <c r="E25" s="28"/>
    </row>
    <row r="26" spans="1:5" x14ac:dyDescent="0.2">
      <c r="A26" s="15" t="s">
        <v>285</v>
      </c>
    </row>
    <row r="27" spans="1:5" x14ac:dyDescent="0.2">
      <c r="A27" s="34"/>
      <c r="B27" s="28"/>
      <c r="C27" s="28"/>
      <c r="D27" s="28"/>
      <c r="E27" s="28"/>
    </row>
    <row r="28" spans="1:5" x14ac:dyDescent="0.2">
      <c r="A28" s="28"/>
      <c r="B28" s="28"/>
      <c r="C28" s="28"/>
      <c r="D28" s="28"/>
      <c r="E28" s="28"/>
    </row>
    <row r="29" spans="1:5" x14ac:dyDescent="0.2">
      <c r="A29" s="28"/>
      <c r="B29" s="28"/>
      <c r="C29" s="28"/>
      <c r="D29" s="28"/>
      <c r="E29" s="28"/>
    </row>
    <row r="30" spans="1:5" x14ac:dyDescent="0.2">
      <c r="A30" s="15" t="s">
        <v>286</v>
      </c>
    </row>
    <row r="31" spans="1:5" x14ac:dyDescent="0.2">
      <c r="A31" s="34"/>
      <c r="B31" s="28"/>
      <c r="C31" s="28"/>
      <c r="D31" s="28"/>
      <c r="E31" s="28"/>
    </row>
    <row r="32" spans="1:5" x14ac:dyDescent="0.2">
      <c r="A32" s="28"/>
      <c r="B32" s="28"/>
      <c r="C32" s="28"/>
      <c r="D32" s="28"/>
      <c r="E32" s="28"/>
    </row>
    <row r="33" spans="1:5" x14ac:dyDescent="0.2">
      <c r="A33" s="28"/>
      <c r="B33" s="28"/>
      <c r="C33" s="28"/>
      <c r="D33" s="28"/>
      <c r="E33" s="28"/>
    </row>
  </sheetData>
  <mergeCells count="7">
    <mergeCell ref="A31:E33"/>
    <mergeCell ref="A17:E17"/>
    <mergeCell ref="A19:E21"/>
    <mergeCell ref="A2:E2"/>
    <mergeCell ref="A23:E25"/>
    <mergeCell ref="A1:E1"/>
    <mergeCell ref="A27:E29"/>
  </mergeCells>
  <dataValidations count="5">
    <dataValidation type="list" sqref="C5" xr:uid="{00000000-0002-0000-0400-000000000000}">
      <formula1>"Native,LDAP,RADIUS,SAML,None"</formula1>
    </dataValidation>
    <dataValidation type="list" sqref="C6" xr:uid="{00000000-0002-0000-0400-000001000000}">
      <formula1>"Syslog,API,Agent,None"</formula1>
    </dataValidation>
    <dataValidation type="list" sqref="C7" xr:uid="{00000000-0002-0000-0400-000002000000}">
      <formula1>"Integrated,Chained,Standalone"</formula1>
    </dataValidation>
    <dataValidation type="list" sqref="D5:D14" xr:uid="{00000000-0002-0000-0400-000003000000}">
      <formula1>"✅ Integrated,⚠️ Partial,❌ Not Integrated,🔄 Planned"</formula1>
    </dataValidation>
    <dataValidation type="list" sqref="C8:C14" xr:uid="{00000000-0002-0000-0400-000006000000}">
      <formula1>"Native,API,Agent,Syslog,LDAP,SAML,Manual,None"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workbookViewId="0">
      <pane ySplit="4" topLeftCell="A5" activePane="bottomLeft" state="frozen"/>
      <selection pane="bottomLeft" sqref="A1:G1"/>
    </sheetView>
  </sheetViews>
  <sheetFormatPr baseColWidth="10" defaultColWidth="8.83203125" defaultRowHeight="15" x14ac:dyDescent="0.2"/>
  <cols>
    <col min="1" max="1" width="25" customWidth="1"/>
    <col min="2" max="2" width="20" customWidth="1"/>
    <col min="3" max="5" width="18" customWidth="1"/>
    <col min="6" max="6" width="22" customWidth="1"/>
    <col min="7" max="7" width="25" customWidth="1"/>
  </cols>
  <sheetData>
    <row r="1" spans="1:7" ht="30" customHeight="1" x14ac:dyDescent="0.2">
      <c r="A1" s="30" t="s">
        <v>287</v>
      </c>
      <c r="B1" s="28"/>
      <c r="C1" s="28"/>
      <c r="D1" s="28"/>
      <c r="E1" s="28"/>
      <c r="F1" s="28"/>
      <c r="G1" s="28"/>
    </row>
    <row r="2" spans="1:7" x14ac:dyDescent="0.2">
      <c r="A2" s="27" t="s">
        <v>288</v>
      </c>
      <c r="B2" s="28"/>
      <c r="C2" s="28"/>
      <c r="D2" s="28"/>
      <c r="E2" s="28"/>
      <c r="F2" s="28"/>
      <c r="G2" s="28"/>
    </row>
    <row r="4" spans="1:7" x14ac:dyDescent="0.2">
      <c r="A4" s="32" t="s">
        <v>289</v>
      </c>
      <c r="B4" s="28"/>
      <c r="C4" s="28"/>
      <c r="D4" s="28"/>
      <c r="E4" s="28"/>
      <c r="F4" s="28"/>
      <c r="G4" s="28"/>
    </row>
    <row r="5" spans="1:7" ht="16" x14ac:dyDescent="0.2">
      <c r="A5" s="16" t="s">
        <v>271</v>
      </c>
      <c r="B5" s="16" t="s">
        <v>137</v>
      </c>
      <c r="C5" s="16" t="s">
        <v>290</v>
      </c>
      <c r="D5" s="16" t="s">
        <v>291</v>
      </c>
      <c r="E5" s="16" t="s">
        <v>292</v>
      </c>
      <c r="F5" s="16" t="s">
        <v>31</v>
      </c>
      <c r="G5" s="16" t="s">
        <v>293</v>
      </c>
    </row>
    <row r="6" spans="1:7" x14ac:dyDescent="0.2">
      <c r="A6" s="3"/>
      <c r="B6" s="3"/>
      <c r="C6" s="3"/>
      <c r="D6" s="3"/>
      <c r="E6" s="17" t="str">
        <f t="shared" ref="E6:E15" ca="1" si="0">IF(D6="","",D6-TODAY())</f>
        <v/>
      </c>
      <c r="F6" s="3"/>
      <c r="G6" s="3"/>
    </row>
    <row r="7" spans="1:7" x14ac:dyDescent="0.2">
      <c r="A7" s="3"/>
      <c r="B7" s="3"/>
      <c r="C7" s="3"/>
      <c r="D7" s="3"/>
      <c r="E7" s="17" t="str">
        <f t="shared" ca="1" si="0"/>
        <v/>
      </c>
      <c r="F7" s="3"/>
      <c r="G7" s="3"/>
    </row>
    <row r="8" spans="1:7" x14ac:dyDescent="0.2">
      <c r="A8" s="3"/>
      <c r="B8" s="3"/>
      <c r="C8" s="3"/>
      <c r="D8" s="3"/>
      <c r="E8" s="17" t="str">
        <f t="shared" ca="1" si="0"/>
        <v/>
      </c>
      <c r="F8" s="3"/>
      <c r="G8" s="3"/>
    </row>
    <row r="9" spans="1:7" x14ac:dyDescent="0.2">
      <c r="A9" s="3"/>
      <c r="B9" s="3"/>
      <c r="C9" s="3"/>
      <c r="D9" s="3"/>
      <c r="E9" s="17" t="str">
        <f t="shared" ca="1" si="0"/>
        <v/>
      </c>
      <c r="F9" s="3"/>
      <c r="G9" s="3"/>
    </row>
    <row r="10" spans="1:7" x14ac:dyDescent="0.2">
      <c r="A10" s="3"/>
      <c r="B10" s="3"/>
      <c r="C10" s="3"/>
      <c r="D10" s="3"/>
      <c r="E10" s="17" t="str">
        <f t="shared" ca="1" si="0"/>
        <v/>
      </c>
      <c r="F10" s="3"/>
      <c r="G10" s="3"/>
    </row>
    <row r="11" spans="1:7" x14ac:dyDescent="0.2">
      <c r="A11" s="3"/>
      <c r="B11" s="3"/>
      <c r="C11" s="3"/>
      <c r="D11" s="3"/>
      <c r="E11" s="17" t="str">
        <f t="shared" ca="1" si="0"/>
        <v/>
      </c>
      <c r="F11" s="3"/>
      <c r="G11" s="3"/>
    </row>
    <row r="12" spans="1:7" x14ac:dyDescent="0.2">
      <c r="A12" s="3"/>
      <c r="B12" s="3"/>
      <c r="C12" s="3"/>
      <c r="D12" s="3"/>
      <c r="E12" s="17" t="str">
        <f t="shared" ca="1" si="0"/>
        <v/>
      </c>
      <c r="F12" s="3"/>
      <c r="G12" s="3"/>
    </row>
    <row r="13" spans="1:7" x14ac:dyDescent="0.2">
      <c r="A13" s="3"/>
      <c r="B13" s="3"/>
      <c r="C13" s="3"/>
      <c r="D13" s="3"/>
      <c r="E13" s="17" t="str">
        <f t="shared" ca="1" si="0"/>
        <v/>
      </c>
      <c r="F13" s="3"/>
      <c r="G13" s="3"/>
    </row>
    <row r="14" spans="1:7" x14ac:dyDescent="0.2">
      <c r="A14" s="3"/>
      <c r="B14" s="3"/>
      <c r="C14" s="3"/>
      <c r="D14" s="3"/>
      <c r="E14" s="17" t="str">
        <f t="shared" ca="1" si="0"/>
        <v/>
      </c>
      <c r="F14" s="3"/>
      <c r="G14" s="3"/>
    </row>
    <row r="15" spans="1:7" x14ac:dyDescent="0.2">
      <c r="A15" s="3"/>
      <c r="B15" s="3"/>
      <c r="C15" s="3"/>
      <c r="D15" s="3"/>
      <c r="E15" s="17" t="str">
        <f t="shared" ca="1" si="0"/>
        <v/>
      </c>
      <c r="F15" s="3"/>
      <c r="G15" s="3"/>
    </row>
    <row r="17" spans="1:6" x14ac:dyDescent="0.2">
      <c r="A17" s="32" t="s">
        <v>294</v>
      </c>
      <c r="B17" s="28"/>
      <c r="C17" s="28"/>
      <c r="D17" s="28"/>
      <c r="E17" s="28"/>
      <c r="F17" s="28"/>
    </row>
    <row r="18" spans="1:6" ht="16" x14ac:dyDescent="0.2">
      <c r="A18" s="16" t="s">
        <v>271</v>
      </c>
      <c r="B18" s="16" t="s">
        <v>141</v>
      </c>
      <c r="C18" s="16" t="s">
        <v>291</v>
      </c>
      <c r="D18" s="16" t="s">
        <v>292</v>
      </c>
      <c r="E18" s="16" t="s">
        <v>295</v>
      </c>
      <c r="F18" s="16" t="s">
        <v>296</v>
      </c>
    </row>
    <row r="19" spans="1:6" x14ac:dyDescent="0.2">
      <c r="A19" s="3"/>
      <c r="B19" s="3"/>
      <c r="C19" s="3"/>
      <c r="D19" s="17" t="str">
        <f t="shared" ref="D19:D28" ca="1" si="1">IF(C19="","",C19-TODAY())</f>
        <v/>
      </c>
      <c r="E19" s="3"/>
      <c r="F19" s="3"/>
    </row>
    <row r="20" spans="1:6" x14ac:dyDescent="0.2">
      <c r="A20" s="3"/>
      <c r="B20" s="3"/>
      <c r="C20" s="3"/>
      <c r="D20" s="17" t="str">
        <f t="shared" ca="1" si="1"/>
        <v/>
      </c>
      <c r="E20" s="3"/>
      <c r="F20" s="3"/>
    </row>
    <row r="21" spans="1:6" x14ac:dyDescent="0.2">
      <c r="A21" s="3"/>
      <c r="B21" s="3"/>
      <c r="C21" s="3"/>
      <c r="D21" s="17" t="str">
        <f t="shared" ca="1" si="1"/>
        <v/>
      </c>
      <c r="E21" s="3"/>
      <c r="F21" s="3"/>
    </row>
    <row r="22" spans="1:6" x14ac:dyDescent="0.2">
      <c r="A22" s="3"/>
      <c r="B22" s="3"/>
      <c r="C22" s="3"/>
      <c r="D22" s="17" t="str">
        <f t="shared" ca="1" si="1"/>
        <v/>
      </c>
      <c r="E22" s="3"/>
      <c r="F22" s="3"/>
    </row>
    <row r="23" spans="1:6" x14ac:dyDescent="0.2">
      <c r="A23" s="3"/>
      <c r="B23" s="3"/>
      <c r="C23" s="3"/>
      <c r="D23" s="17" t="str">
        <f t="shared" ca="1" si="1"/>
        <v/>
      </c>
      <c r="E23" s="3"/>
      <c r="F23" s="3"/>
    </row>
    <row r="24" spans="1:6" x14ac:dyDescent="0.2">
      <c r="A24" s="3"/>
      <c r="B24" s="3"/>
      <c r="C24" s="3"/>
      <c r="D24" s="17" t="str">
        <f t="shared" ca="1" si="1"/>
        <v/>
      </c>
      <c r="E24" s="3"/>
      <c r="F24" s="3"/>
    </row>
    <row r="25" spans="1:6" x14ac:dyDescent="0.2">
      <c r="A25" s="3"/>
      <c r="B25" s="3"/>
      <c r="C25" s="3"/>
      <c r="D25" s="17" t="str">
        <f t="shared" ca="1" si="1"/>
        <v/>
      </c>
      <c r="E25" s="3"/>
      <c r="F25" s="3"/>
    </row>
    <row r="26" spans="1:6" x14ac:dyDescent="0.2">
      <c r="A26" s="3"/>
      <c r="B26" s="3"/>
      <c r="C26" s="3"/>
      <c r="D26" s="17" t="str">
        <f t="shared" ca="1" si="1"/>
        <v/>
      </c>
      <c r="E26" s="3"/>
      <c r="F26" s="3"/>
    </row>
    <row r="27" spans="1:6" x14ac:dyDescent="0.2">
      <c r="A27" s="3"/>
      <c r="B27" s="3"/>
      <c r="C27" s="3"/>
      <c r="D27" s="17" t="str">
        <f t="shared" ca="1" si="1"/>
        <v/>
      </c>
      <c r="E27" s="3"/>
      <c r="F27" s="3"/>
    </row>
    <row r="28" spans="1:6" x14ac:dyDescent="0.2">
      <c r="A28" s="3"/>
      <c r="B28" s="3"/>
      <c r="C28" s="3"/>
      <c r="D28" s="17" t="str">
        <f t="shared" ca="1" si="1"/>
        <v/>
      </c>
      <c r="E28" s="3"/>
      <c r="F28" s="3"/>
    </row>
    <row r="30" spans="1:6" x14ac:dyDescent="0.2">
      <c r="A30" s="32" t="s">
        <v>297</v>
      </c>
      <c r="B30" s="28"/>
      <c r="C30" s="28"/>
      <c r="D30" s="28"/>
      <c r="E30" s="28"/>
      <c r="F30" s="28"/>
    </row>
    <row r="31" spans="1:6" ht="16" x14ac:dyDescent="0.2">
      <c r="A31" s="16" t="s">
        <v>271</v>
      </c>
      <c r="B31" s="16" t="s">
        <v>298</v>
      </c>
      <c r="C31" s="16" t="s">
        <v>299</v>
      </c>
      <c r="D31" s="16" t="s">
        <v>300</v>
      </c>
      <c r="E31" s="16" t="s">
        <v>301</v>
      </c>
      <c r="F31" s="16" t="s">
        <v>302</v>
      </c>
    </row>
    <row r="32" spans="1:6" x14ac:dyDescent="0.2">
      <c r="A32" s="3"/>
      <c r="B32" s="3"/>
      <c r="C32" s="3"/>
      <c r="D32" s="17" t="str">
        <f t="shared" ref="D32:D41" ca="1" si="2">IF(C32="","",TODAY()-C32)</f>
        <v/>
      </c>
      <c r="E32" s="3"/>
      <c r="F32" s="3"/>
    </row>
    <row r="33" spans="1:6" x14ac:dyDescent="0.2">
      <c r="A33" s="3"/>
      <c r="B33" s="3"/>
      <c r="C33" s="3"/>
      <c r="D33" s="17" t="str">
        <f t="shared" ca="1" si="2"/>
        <v/>
      </c>
      <c r="E33" s="3"/>
      <c r="F33" s="3"/>
    </row>
    <row r="34" spans="1:6" x14ac:dyDescent="0.2">
      <c r="A34" s="3"/>
      <c r="B34" s="3"/>
      <c r="C34" s="3"/>
      <c r="D34" s="17" t="str">
        <f t="shared" ca="1" si="2"/>
        <v/>
      </c>
      <c r="E34" s="3"/>
      <c r="F34" s="3"/>
    </row>
    <row r="35" spans="1:6" x14ac:dyDescent="0.2">
      <c r="A35" s="3"/>
      <c r="B35" s="3"/>
      <c r="C35" s="3"/>
      <c r="D35" s="17" t="str">
        <f t="shared" ca="1" si="2"/>
        <v/>
      </c>
      <c r="E35" s="3"/>
      <c r="F35" s="3"/>
    </row>
    <row r="36" spans="1:6" x14ac:dyDescent="0.2">
      <c r="A36" s="3"/>
      <c r="B36" s="3"/>
      <c r="C36" s="3"/>
      <c r="D36" s="17" t="str">
        <f t="shared" ca="1" si="2"/>
        <v/>
      </c>
      <c r="E36" s="3"/>
      <c r="F36" s="3"/>
    </row>
    <row r="37" spans="1:6" x14ac:dyDescent="0.2">
      <c r="A37" s="3"/>
      <c r="B37" s="3"/>
      <c r="C37" s="3"/>
      <c r="D37" s="17" t="str">
        <f t="shared" ca="1" si="2"/>
        <v/>
      </c>
      <c r="E37" s="3"/>
      <c r="F37" s="3"/>
    </row>
    <row r="38" spans="1:6" x14ac:dyDescent="0.2">
      <c r="A38" s="3"/>
      <c r="B38" s="3"/>
      <c r="C38" s="3"/>
      <c r="D38" s="17" t="str">
        <f t="shared" ca="1" si="2"/>
        <v/>
      </c>
      <c r="E38" s="3"/>
      <c r="F38" s="3"/>
    </row>
    <row r="39" spans="1:6" x14ac:dyDescent="0.2">
      <c r="A39" s="3"/>
      <c r="B39" s="3"/>
      <c r="C39" s="3"/>
      <c r="D39" s="17" t="str">
        <f t="shared" ca="1" si="2"/>
        <v/>
      </c>
      <c r="E39" s="3"/>
      <c r="F39" s="3"/>
    </row>
    <row r="40" spans="1:6" x14ac:dyDescent="0.2">
      <c r="A40" s="3"/>
      <c r="B40" s="3"/>
      <c r="C40" s="3"/>
      <c r="D40" s="17" t="str">
        <f t="shared" ca="1" si="2"/>
        <v/>
      </c>
      <c r="E40" s="3"/>
      <c r="F40" s="3"/>
    </row>
    <row r="41" spans="1:6" x14ac:dyDescent="0.2">
      <c r="A41" s="3"/>
      <c r="B41" s="3"/>
      <c r="C41" s="3"/>
      <c r="D41" s="17" t="str">
        <f t="shared" ca="1" si="2"/>
        <v/>
      </c>
      <c r="E41" s="3"/>
      <c r="F41" s="3"/>
    </row>
    <row r="43" spans="1:6" x14ac:dyDescent="0.2">
      <c r="A43" s="35" t="s">
        <v>303</v>
      </c>
      <c r="B43" s="28"/>
      <c r="C43" s="28"/>
      <c r="D43" s="28"/>
      <c r="E43" s="28"/>
      <c r="F43" s="28"/>
    </row>
  </sheetData>
  <mergeCells count="6">
    <mergeCell ref="A43:F43"/>
    <mergeCell ref="A1:G1"/>
    <mergeCell ref="A4:G4"/>
    <mergeCell ref="A2:G2"/>
    <mergeCell ref="A17:F17"/>
    <mergeCell ref="A30:F30"/>
  </mergeCells>
  <dataValidations count="2">
    <dataValidation type="list" sqref="F19 F20 F21 F22 F23 F24 F25 F26 F27 F28" xr:uid="{00000000-0002-0000-0500-000000000000}">
      <formula1>"Excellent,Good,Adequate,Poor"</formula1>
    </dataValidation>
    <dataValidation type="list" allowBlank="1" sqref="F6:F15" xr:uid="{00000000-0002-0000-0500-000001000000}">
      <formula1>"Active,Expiring Soon,Expired"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workbookViewId="0">
      <pane ySplit="4" topLeftCell="A5" activePane="bottomLeft" state="frozen"/>
      <selection pane="bottomLeft" sqref="A1:H1"/>
    </sheetView>
  </sheetViews>
  <sheetFormatPr baseColWidth="10" defaultColWidth="8.83203125" defaultRowHeight="15" x14ac:dyDescent="0.2"/>
  <cols>
    <col min="1" max="1" width="18" customWidth="1"/>
    <col min="2" max="2" width="20" customWidth="1"/>
    <col min="3" max="3" width="18" customWidth="1"/>
    <col min="4" max="5" width="15" customWidth="1"/>
    <col min="6" max="7" width="30" customWidth="1"/>
    <col min="8" max="8" width="12" customWidth="1"/>
  </cols>
  <sheetData>
    <row r="1" spans="1:8" ht="30" customHeight="1" x14ac:dyDescent="0.2">
      <c r="A1" s="30" t="s">
        <v>304</v>
      </c>
      <c r="B1" s="28"/>
      <c r="C1" s="28"/>
      <c r="D1" s="28"/>
      <c r="E1" s="28"/>
      <c r="F1" s="28"/>
      <c r="G1" s="28"/>
      <c r="H1" s="28"/>
    </row>
    <row r="2" spans="1:8" x14ac:dyDescent="0.2">
      <c r="A2" s="27" t="s">
        <v>305</v>
      </c>
      <c r="B2" s="28"/>
      <c r="C2" s="28"/>
      <c r="D2" s="28"/>
      <c r="E2" s="28"/>
      <c r="F2" s="28"/>
      <c r="G2" s="28"/>
      <c r="H2" s="28"/>
    </row>
    <row r="4" spans="1:8" x14ac:dyDescent="0.2">
      <c r="A4" s="32" t="s">
        <v>306</v>
      </c>
      <c r="B4" s="28"/>
      <c r="C4" s="28"/>
      <c r="D4" s="28"/>
      <c r="E4" s="28"/>
      <c r="F4" s="28"/>
      <c r="G4" s="28"/>
      <c r="H4" s="28"/>
    </row>
    <row r="5" spans="1:8" ht="16" x14ac:dyDescent="0.2">
      <c r="A5" s="16" t="s">
        <v>271</v>
      </c>
      <c r="B5" s="16" t="s">
        <v>307</v>
      </c>
      <c r="C5" s="16" t="s">
        <v>308</v>
      </c>
      <c r="D5" s="16" t="s">
        <v>309</v>
      </c>
      <c r="E5" s="16" t="s">
        <v>310</v>
      </c>
      <c r="F5" s="16" t="s">
        <v>311</v>
      </c>
      <c r="G5" s="16" t="s">
        <v>312</v>
      </c>
      <c r="H5" s="16" t="s">
        <v>313</v>
      </c>
    </row>
    <row r="6" spans="1:8" x14ac:dyDescent="0.2">
      <c r="A6" s="3"/>
      <c r="B6" s="3"/>
      <c r="C6" s="3"/>
      <c r="D6" s="3"/>
      <c r="E6" s="3"/>
      <c r="F6" s="3"/>
      <c r="G6" s="18" t="str">
        <f>IF(COUNT(C6:F6)=0,"",AVERAGE(C6:F6))</f>
        <v/>
      </c>
      <c r="H6" s="3"/>
    </row>
    <row r="7" spans="1:8" x14ac:dyDescent="0.2">
      <c r="A7" s="3"/>
      <c r="B7" s="3"/>
      <c r="C7" s="3"/>
      <c r="D7" s="3"/>
      <c r="E7" s="3"/>
      <c r="F7" s="3"/>
      <c r="G7" s="18" t="str">
        <f>IF(COUNT(C7:F7)=0,"",AVERAGE(C7:F7))</f>
        <v/>
      </c>
      <c r="H7" s="3"/>
    </row>
    <row r="8" spans="1:8" x14ac:dyDescent="0.2">
      <c r="A8" s="3"/>
      <c r="B8" s="3"/>
      <c r="C8" s="3"/>
      <c r="D8" s="3"/>
      <c r="E8" s="3"/>
      <c r="F8" s="3"/>
      <c r="G8" s="18" t="str">
        <f>IF(COUNT(C8:F8)=0,"",AVERAGE(C8:F8))</f>
        <v/>
      </c>
      <c r="H8" s="3"/>
    </row>
    <row r="9" spans="1:8" x14ac:dyDescent="0.2">
      <c r="A9" s="3"/>
      <c r="B9" s="3"/>
      <c r="C9" s="3"/>
      <c r="D9" s="3"/>
      <c r="E9" s="3"/>
      <c r="F9" s="3"/>
      <c r="G9" s="18" t="str">
        <f>IF(COUNT(C9:F9)=0,"",AVERAGE(C9:F9))</f>
        <v/>
      </c>
      <c r="H9" s="3"/>
    </row>
    <row r="10" spans="1:8" x14ac:dyDescent="0.2">
      <c r="A10" s="3"/>
      <c r="B10" s="3"/>
      <c r="C10" s="3"/>
      <c r="D10" s="3"/>
      <c r="E10" s="3"/>
      <c r="F10" s="3"/>
      <c r="G10" s="18" t="str">
        <f>IF(COUNT(C10:F10)=0,"",AVERAGE(C10:F10))</f>
        <v/>
      </c>
      <c r="H10" s="3"/>
    </row>
    <row r="12" spans="1:8" x14ac:dyDescent="0.2">
      <c r="A12" s="32" t="s">
        <v>314</v>
      </c>
      <c r="B12" s="28"/>
      <c r="C12" s="28"/>
      <c r="D12" s="28"/>
    </row>
    <row r="13" spans="1:8" ht="32" x14ac:dyDescent="0.2">
      <c r="A13" s="16" t="s">
        <v>271</v>
      </c>
      <c r="B13" s="16" t="s">
        <v>315</v>
      </c>
      <c r="C13" s="16" t="s">
        <v>316</v>
      </c>
      <c r="D13" s="16" t="s">
        <v>317</v>
      </c>
      <c r="E13" s="16" t="s">
        <v>318</v>
      </c>
    </row>
    <row r="14" spans="1:8" x14ac:dyDescent="0.2">
      <c r="A14" s="3"/>
      <c r="B14" s="3"/>
      <c r="C14" s="3"/>
      <c r="D14" s="19" t="str">
        <f>IF(OR(B14="",C14=""),"",C14-B14)</f>
        <v/>
      </c>
      <c r="E14" s="3"/>
    </row>
    <row r="15" spans="1:8" x14ac:dyDescent="0.2">
      <c r="A15" s="3"/>
      <c r="B15" s="3"/>
      <c r="C15" s="3"/>
      <c r="D15" s="19" t="str">
        <f>IF(OR(B15="",C15=""),"",C15-B15)</f>
        <v/>
      </c>
      <c r="E15" s="3"/>
    </row>
    <row r="16" spans="1:8" x14ac:dyDescent="0.2">
      <c r="A16" s="3"/>
      <c r="B16" s="3"/>
      <c r="C16" s="3"/>
      <c r="D16" s="19" t="str">
        <f>IF(OR(B16="",C16=""),"",C16-B16)</f>
        <v/>
      </c>
      <c r="E16" s="3"/>
    </row>
    <row r="17" spans="1:5" x14ac:dyDescent="0.2">
      <c r="A17" s="3"/>
      <c r="B17" s="3"/>
      <c r="C17" s="3"/>
      <c r="D17" s="19" t="str">
        <f>IF(OR(B17="",C17=""),"",C17-B17)</f>
        <v/>
      </c>
      <c r="E17" s="3"/>
    </row>
    <row r="18" spans="1:5" x14ac:dyDescent="0.2">
      <c r="A18" s="3"/>
      <c r="B18" s="3"/>
      <c r="C18" s="3"/>
      <c r="D18" s="19" t="str">
        <f>IF(OR(B18="",C18=""),"",C18-B18)</f>
        <v/>
      </c>
      <c r="E18" s="3"/>
    </row>
    <row r="20" spans="1:5" x14ac:dyDescent="0.2">
      <c r="A20" s="32" t="s">
        <v>319</v>
      </c>
      <c r="B20" s="28"/>
      <c r="C20" s="28"/>
      <c r="D20" s="28"/>
      <c r="E20" s="28"/>
    </row>
    <row r="21" spans="1:5" ht="32" x14ac:dyDescent="0.2">
      <c r="A21" s="16" t="s">
        <v>320</v>
      </c>
      <c r="B21" s="16" t="s">
        <v>321</v>
      </c>
      <c r="C21" s="16" t="s">
        <v>322</v>
      </c>
      <c r="D21" s="16" t="s">
        <v>323</v>
      </c>
      <c r="E21" s="16" t="s">
        <v>324</v>
      </c>
    </row>
    <row r="22" spans="1:5" x14ac:dyDescent="0.2">
      <c r="A22" s="12" t="s">
        <v>325</v>
      </c>
      <c r="B22" s="3"/>
      <c r="C22" s="3"/>
      <c r="D22" s="3"/>
      <c r="E22" s="3"/>
    </row>
    <row r="23" spans="1:5" x14ac:dyDescent="0.2">
      <c r="A23" s="12" t="s">
        <v>326</v>
      </c>
      <c r="B23" s="3"/>
      <c r="C23" s="3"/>
      <c r="D23" s="3"/>
      <c r="E23" s="3"/>
    </row>
    <row r="24" spans="1:5" x14ac:dyDescent="0.2">
      <c r="A24" s="12" t="s">
        <v>327</v>
      </c>
      <c r="B24" s="3"/>
      <c r="C24" s="3"/>
      <c r="D24" s="3"/>
      <c r="E24" s="3"/>
    </row>
    <row r="25" spans="1:5" x14ac:dyDescent="0.2">
      <c r="A25" s="12" t="s">
        <v>328</v>
      </c>
      <c r="B25" s="3"/>
      <c r="C25" s="3"/>
      <c r="D25" s="3"/>
      <c r="E25" s="3"/>
    </row>
    <row r="26" spans="1:5" x14ac:dyDescent="0.2">
      <c r="A26" s="12" t="s">
        <v>329</v>
      </c>
      <c r="B26" s="3"/>
      <c r="C26" s="3"/>
      <c r="D26" s="3"/>
      <c r="E26" s="3"/>
    </row>
    <row r="27" spans="1:5" x14ac:dyDescent="0.2">
      <c r="A27" s="12" t="s">
        <v>330</v>
      </c>
      <c r="B27" s="3"/>
      <c r="C27" s="3"/>
      <c r="D27" s="3"/>
      <c r="E27" s="3"/>
    </row>
    <row r="28" spans="1:5" x14ac:dyDescent="0.2">
      <c r="A28" s="12" t="s">
        <v>331</v>
      </c>
      <c r="B28" s="3"/>
      <c r="C28" s="3"/>
      <c r="D28" s="3"/>
      <c r="E28" s="3"/>
    </row>
    <row r="29" spans="1:5" x14ac:dyDescent="0.2">
      <c r="A29" s="12" t="s">
        <v>332</v>
      </c>
      <c r="B29" s="3"/>
      <c r="C29" s="3"/>
      <c r="D29" s="3"/>
      <c r="E29" s="3"/>
    </row>
    <row r="30" spans="1:5" x14ac:dyDescent="0.2">
      <c r="A30" s="12" t="s">
        <v>333</v>
      </c>
      <c r="B30" s="3"/>
      <c r="C30" s="3"/>
      <c r="D30" s="3"/>
      <c r="E30" s="3"/>
    </row>
    <row r="31" spans="1:5" x14ac:dyDescent="0.2">
      <c r="A31" s="12" t="s">
        <v>334</v>
      </c>
      <c r="B31" s="3"/>
      <c r="C31" s="3"/>
      <c r="D31" s="3"/>
      <c r="E31" s="3"/>
    </row>
    <row r="32" spans="1:5" x14ac:dyDescent="0.2">
      <c r="A32" s="12" t="s">
        <v>335</v>
      </c>
      <c r="B32" s="3"/>
      <c r="C32" s="3"/>
      <c r="D32" s="3"/>
      <c r="E32" s="3"/>
    </row>
    <row r="33" spans="1:7" x14ac:dyDescent="0.2">
      <c r="A33" s="12" t="s">
        <v>336</v>
      </c>
      <c r="B33" s="3"/>
      <c r="C33" s="3"/>
      <c r="D33" s="3"/>
      <c r="E33" s="3"/>
    </row>
    <row r="35" spans="1:7" x14ac:dyDescent="0.2">
      <c r="A35" s="33" t="s">
        <v>337</v>
      </c>
      <c r="B35" s="28"/>
      <c r="C35" s="28"/>
      <c r="D35" s="28"/>
      <c r="E35" s="28"/>
      <c r="F35" s="28"/>
      <c r="G35" s="28"/>
    </row>
    <row r="36" spans="1:7" ht="16" x14ac:dyDescent="0.2">
      <c r="A36" s="16" t="s">
        <v>338</v>
      </c>
      <c r="B36" s="16" t="s">
        <v>339</v>
      </c>
      <c r="C36" s="16" t="s">
        <v>340</v>
      </c>
      <c r="D36" s="16" t="s">
        <v>163</v>
      </c>
      <c r="E36" s="16" t="s">
        <v>341</v>
      </c>
      <c r="F36" s="16" t="s">
        <v>342</v>
      </c>
      <c r="G36" s="16" t="s">
        <v>343</v>
      </c>
    </row>
    <row r="37" spans="1:7" x14ac:dyDescent="0.2">
      <c r="A37" s="3"/>
      <c r="B37" s="3"/>
      <c r="C37" s="3"/>
      <c r="D37" s="3"/>
      <c r="E37" s="3"/>
      <c r="F37" s="3"/>
      <c r="G37" s="3"/>
    </row>
    <row r="38" spans="1:7" x14ac:dyDescent="0.2">
      <c r="A38" s="3"/>
      <c r="B38" s="3"/>
      <c r="C38" s="3"/>
      <c r="D38" s="3"/>
      <c r="E38" s="3"/>
      <c r="F38" s="3"/>
      <c r="G38" s="3"/>
    </row>
    <row r="39" spans="1:7" x14ac:dyDescent="0.2">
      <c r="A39" s="3"/>
      <c r="B39" s="3"/>
      <c r="C39" s="3"/>
      <c r="D39" s="3"/>
      <c r="E39" s="3"/>
      <c r="F39" s="3"/>
      <c r="G39" s="3"/>
    </row>
    <row r="40" spans="1:7" x14ac:dyDescent="0.2">
      <c r="A40" s="3"/>
      <c r="B40" s="3"/>
      <c r="C40" s="3"/>
      <c r="D40" s="3"/>
      <c r="E40" s="3"/>
      <c r="F40" s="3"/>
      <c r="G40" s="3"/>
    </row>
    <row r="41" spans="1:7" x14ac:dyDescent="0.2">
      <c r="A41" s="3"/>
      <c r="B41" s="3"/>
      <c r="C41" s="3"/>
      <c r="D41" s="3"/>
      <c r="E41" s="3"/>
      <c r="F41" s="3"/>
      <c r="G41" s="3"/>
    </row>
    <row r="42" spans="1:7" x14ac:dyDescent="0.2">
      <c r="A42" s="3"/>
      <c r="B42" s="3"/>
      <c r="C42" s="3"/>
      <c r="D42" s="3"/>
      <c r="E42" s="3"/>
      <c r="F42" s="3"/>
      <c r="G42" s="3"/>
    </row>
    <row r="43" spans="1:7" x14ac:dyDescent="0.2">
      <c r="A43" s="3"/>
      <c r="B43" s="3"/>
      <c r="C43" s="3"/>
      <c r="D43" s="3"/>
      <c r="E43" s="3"/>
      <c r="F43" s="3"/>
      <c r="G43" s="3"/>
    </row>
    <row r="44" spans="1:7" x14ac:dyDescent="0.2">
      <c r="A44" s="3"/>
      <c r="B44" s="3"/>
      <c r="C44" s="3"/>
      <c r="D44" s="3"/>
      <c r="E44" s="3"/>
      <c r="F44" s="3"/>
      <c r="G44" s="3"/>
    </row>
    <row r="45" spans="1:7" x14ac:dyDescent="0.2">
      <c r="A45" s="3"/>
      <c r="B45" s="3"/>
      <c r="C45" s="3"/>
      <c r="D45" s="3"/>
      <c r="E45" s="3"/>
      <c r="F45" s="3"/>
      <c r="G45" s="3"/>
    </row>
    <row r="46" spans="1:7" x14ac:dyDescent="0.2">
      <c r="A46" s="3"/>
      <c r="B46" s="3"/>
      <c r="C46" s="3"/>
      <c r="D46" s="3"/>
      <c r="E46" s="3"/>
      <c r="F46" s="3"/>
      <c r="G46" s="3"/>
    </row>
    <row r="47" spans="1:7" x14ac:dyDescent="0.2">
      <c r="A47" s="3"/>
      <c r="B47" s="3"/>
      <c r="C47" s="3"/>
      <c r="D47" s="3"/>
      <c r="E47" s="3"/>
      <c r="F47" s="3"/>
      <c r="G47" s="3"/>
    </row>
    <row r="48" spans="1:7" x14ac:dyDescent="0.2">
      <c r="A48" s="3"/>
      <c r="B48" s="3"/>
      <c r="C48" s="3"/>
      <c r="D48" s="3"/>
      <c r="E48" s="3"/>
      <c r="F48" s="3"/>
      <c r="G48" s="3"/>
    </row>
    <row r="49" spans="1:7" x14ac:dyDescent="0.2">
      <c r="A49" s="3"/>
      <c r="B49" s="3"/>
      <c r="C49" s="3"/>
      <c r="D49" s="3"/>
      <c r="E49" s="3"/>
      <c r="F49" s="3"/>
      <c r="G49" s="3"/>
    </row>
    <row r="50" spans="1:7" x14ac:dyDescent="0.2">
      <c r="A50" s="3"/>
      <c r="B50" s="3"/>
      <c r="C50" s="3"/>
      <c r="D50" s="3"/>
      <c r="E50" s="3"/>
      <c r="F50" s="3"/>
      <c r="G50" s="3"/>
    </row>
    <row r="51" spans="1:7" x14ac:dyDescent="0.2">
      <c r="A51" s="3"/>
      <c r="B51" s="3"/>
      <c r="C51" s="3"/>
      <c r="D51" s="3"/>
      <c r="E51" s="3"/>
      <c r="F51" s="3"/>
      <c r="G51" s="3"/>
    </row>
    <row r="52" spans="1:7" x14ac:dyDescent="0.2">
      <c r="A52" s="3"/>
      <c r="B52" s="3"/>
      <c r="C52" s="3"/>
      <c r="D52" s="3"/>
      <c r="E52" s="3"/>
      <c r="F52" s="3"/>
      <c r="G52" s="3"/>
    </row>
    <row r="53" spans="1:7" x14ac:dyDescent="0.2">
      <c r="A53" s="3"/>
      <c r="B53" s="3"/>
      <c r="C53" s="3"/>
      <c r="D53" s="3"/>
      <c r="E53" s="3"/>
      <c r="F53" s="3"/>
      <c r="G53" s="3"/>
    </row>
    <row r="54" spans="1:7" x14ac:dyDescent="0.2">
      <c r="A54" s="3"/>
      <c r="B54" s="3"/>
      <c r="C54" s="3"/>
      <c r="D54" s="3"/>
      <c r="E54" s="3"/>
      <c r="F54" s="3"/>
      <c r="G54" s="3"/>
    </row>
    <row r="55" spans="1:7" x14ac:dyDescent="0.2">
      <c r="A55" s="3"/>
      <c r="B55" s="3"/>
      <c r="C55" s="3"/>
      <c r="D55" s="3"/>
      <c r="E55" s="3"/>
      <c r="F55" s="3"/>
      <c r="G55" s="3"/>
    </row>
    <row r="56" spans="1:7" x14ac:dyDescent="0.2">
      <c r="A56" s="3"/>
      <c r="B56" s="3"/>
      <c r="C56" s="3"/>
      <c r="D56" s="3"/>
      <c r="E56" s="3"/>
      <c r="F56" s="3"/>
      <c r="G56" s="3"/>
    </row>
  </sheetData>
  <mergeCells count="6">
    <mergeCell ref="A1:H1"/>
    <mergeCell ref="A4:H4"/>
    <mergeCell ref="A20:E20"/>
    <mergeCell ref="A12:D12"/>
    <mergeCell ref="A2:H2"/>
    <mergeCell ref="A35:G35"/>
  </mergeCells>
  <dataValidations count="3">
    <dataValidation type="list" sqref="E14 E15 E16 E17 E18 H6 H7 H8 H9 H10" xr:uid="{00000000-0002-0000-0600-000000000000}">
      <formula1>"Yes,No"</formula1>
    </dataValidation>
    <dataValidation type="list" sqref="C37 C38 C39 C40 C41 C42 C43 C44 C45 C46 C47 C48 C49 C50 C51 C52 C53 C54 C55 C56" xr:uid="{00000000-0002-0000-0600-000001000000}">
      <formula1>"Outage,Performance,False Positive,Bypass,Other"</formula1>
    </dataValidation>
    <dataValidation type="list" sqref="D37 D38 D39 D40 D41 D42 D43 D44 D45 D46 D47 D48 D49 D50 D51 D52 D53 D54 D55 D56" xr:uid="{00000000-0002-0000-0600-000002000000}">
      <formula1>"Critical,High,Medium,Low"</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6"/>
  <sheetViews>
    <sheetView tabSelected="1" workbookViewId="0">
      <pane ySplit="4" topLeftCell="A5" activePane="bottomLeft" state="frozen"/>
      <selection pane="bottomLeft" sqref="A1:K1"/>
    </sheetView>
  </sheetViews>
  <sheetFormatPr baseColWidth="10" defaultColWidth="8.83203125" defaultRowHeight="15" x14ac:dyDescent="0.2"/>
  <cols>
    <col min="1" max="1" width="12" customWidth="1"/>
    <col min="2" max="2" width="40" customWidth="1"/>
    <col min="3" max="3" width="25" customWidth="1"/>
    <col min="4" max="4" width="20" customWidth="1"/>
    <col min="5" max="5" width="12" customWidth="1"/>
    <col min="6" max="6" width="30" customWidth="1"/>
    <col min="7" max="7" width="35" customWidth="1"/>
    <col min="8" max="8" width="20" customWidth="1"/>
    <col min="9" max="11" width="15" customWidth="1"/>
  </cols>
  <sheetData>
    <row r="1" spans="1:11" ht="30" customHeight="1" x14ac:dyDescent="0.2">
      <c r="A1" s="30" t="s">
        <v>344</v>
      </c>
      <c r="B1" s="28"/>
      <c r="C1" s="28"/>
      <c r="D1" s="28"/>
      <c r="E1" s="28"/>
      <c r="F1" s="28"/>
      <c r="G1" s="28"/>
      <c r="H1" s="28"/>
      <c r="I1" s="28"/>
      <c r="J1" s="28"/>
      <c r="K1" s="28"/>
    </row>
    <row r="2" spans="1:11" x14ac:dyDescent="0.2">
      <c r="A2" s="27" t="s">
        <v>345</v>
      </c>
      <c r="B2" s="28"/>
      <c r="C2" s="28"/>
      <c r="D2" s="28"/>
      <c r="E2" s="28"/>
      <c r="F2" s="28"/>
      <c r="G2" s="28"/>
      <c r="H2" s="28"/>
      <c r="I2" s="28"/>
      <c r="J2" s="28"/>
      <c r="K2" s="28"/>
    </row>
    <row r="4" spans="1:11" ht="16" x14ac:dyDescent="0.2">
      <c r="A4" s="11" t="s">
        <v>346</v>
      </c>
      <c r="B4" s="11" t="s">
        <v>162</v>
      </c>
      <c r="C4" s="11" t="s">
        <v>347</v>
      </c>
      <c r="D4" s="11" t="s">
        <v>198</v>
      </c>
      <c r="E4" s="11" t="s">
        <v>348</v>
      </c>
      <c r="F4" s="11" t="s">
        <v>349</v>
      </c>
      <c r="G4" s="11" t="s">
        <v>350</v>
      </c>
      <c r="H4" s="11" t="s">
        <v>351</v>
      </c>
      <c r="I4" s="11" t="s">
        <v>164</v>
      </c>
      <c r="J4" s="11" t="s">
        <v>31</v>
      </c>
      <c r="K4" s="11" t="s">
        <v>352</v>
      </c>
    </row>
    <row r="5" spans="1:11" x14ac:dyDescent="0.2">
      <c r="A5" s="12" t="s">
        <v>353</v>
      </c>
      <c r="B5" s="3"/>
      <c r="C5" s="3"/>
      <c r="D5" s="3"/>
      <c r="E5" s="3"/>
      <c r="F5" s="3"/>
      <c r="G5" s="3"/>
      <c r="H5" s="3"/>
      <c r="I5" s="3"/>
      <c r="J5" s="3"/>
      <c r="K5" s="3"/>
    </row>
    <row r="6" spans="1:11" x14ac:dyDescent="0.2">
      <c r="A6" s="12" t="s">
        <v>354</v>
      </c>
      <c r="B6" s="3"/>
      <c r="C6" s="3"/>
      <c r="D6" s="3"/>
      <c r="E6" s="3"/>
      <c r="F6" s="3"/>
      <c r="G6" s="3"/>
      <c r="H6" s="3"/>
      <c r="I6" s="3"/>
      <c r="J6" s="3"/>
      <c r="K6" s="3"/>
    </row>
    <row r="7" spans="1:11" x14ac:dyDescent="0.2">
      <c r="A7" s="12" t="s">
        <v>355</v>
      </c>
      <c r="B7" s="3"/>
      <c r="C7" s="3"/>
      <c r="D7" s="3"/>
      <c r="E7" s="3"/>
      <c r="F7" s="3"/>
      <c r="G7" s="3"/>
      <c r="H7" s="3"/>
      <c r="I7" s="3"/>
      <c r="J7" s="3"/>
      <c r="K7" s="3"/>
    </row>
    <row r="8" spans="1:11" x14ac:dyDescent="0.2">
      <c r="A8" s="12" t="s">
        <v>356</v>
      </c>
      <c r="B8" s="3"/>
      <c r="C8" s="3"/>
      <c r="D8" s="3"/>
      <c r="E8" s="3"/>
      <c r="F8" s="3"/>
      <c r="G8" s="3"/>
      <c r="H8" s="3"/>
      <c r="I8" s="3"/>
      <c r="J8" s="3"/>
      <c r="K8" s="3"/>
    </row>
    <row r="9" spans="1:11" x14ac:dyDescent="0.2">
      <c r="A9" s="12" t="s">
        <v>357</v>
      </c>
      <c r="B9" s="3"/>
      <c r="C9" s="3"/>
      <c r="D9" s="3"/>
      <c r="E9" s="3"/>
      <c r="F9" s="3"/>
      <c r="G9" s="3"/>
      <c r="H9" s="3"/>
      <c r="I9" s="3"/>
      <c r="J9" s="3"/>
      <c r="K9" s="3"/>
    </row>
    <row r="10" spans="1:11" x14ac:dyDescent="0.2">
      <c r="A10" s="12" t="s">
        <v>358</v>
      </c>
      <c r="B10" s="3"/>
      <c r="C10" s="3"/>
      <c r="D10" s="3"/>
      <c r="E10" s="3"/>
      <c r="F10" s="3"/>
      <c r="G10" s="3"/>
      <c r="H10" s="3"/>
      <c r="I10" s="3"/>
      <c r="J10" s="3"/>
      <c r="K10" s="3"/>
    </row>
    <row r="11" spans="1:11" x14ac:dyDescent="0.2">
      <c r="A11" s="12" t="s">
        <v>359</v>
      </c>
      <c r="B11" s="3"/>
      <c r="C11" s="3"/>
      <c r="D11" s="3"/>
      <c r="E11" s="3"/>
      <c r="F11" s="3"/>
      <c r="G11" s="3"/>
      <c r="H11" s="3"/>
      <c r="I11" s="3"/>
      <c r="J11" s="3"/>
      <c r="K11" s="3"/>
    </row>
    <row r="12" spans="1:11" x14ac:dyDescent="0.2">
      <c r="A12" s="12" t="s">
        <v>360</v>
      </c>
      <c r="B12" s="3"/>
      <c r="C12" s="3"/>
      <c r="D12" s="3"/>
      <c r="E12" s="3"/>
      <c r="F12" s="3"/>
      <c r="G12" s="3"/>
      <c r="H12" s="3"/>
      <c r="I12" s="3"/>
      <c r="J12" s="3"/>
      <c r="K12" s="3"/>
    </row>
    <row r="13" spans="1:11" x14ac:dyDescent="0.2">
      <c r="A13" s="12" t="s">
        <v>361</v>
      </c>
      <c r="B13" s="3"/>
      <c r="C13" s="3"/>
      <c r="D13" s="3"/>
      <c r="E13" s="3"/>
      <c r="F13" s="3"/>
      <c r="G13" s="3"/>
      <c r="H13" s="3"/>
      <c r="I13" s="3"/>
      <c r="J13" s="3"/>
      <c r="K13" s="3"/>
    </row>
    <row r="14" spans="1:11" x14ac:dyDescent="0.2">
      <c r="A14" s="12" t="s">
        <v>362</v>
      </c>
      <c r="B14" s="3"/>
      <c r="C14" s="3"/>
      <c r="D14" s="3"/>
      <c r="E14" s="3"/>
      <c r="F14" s="3"/>
      <c r="G14" s="3"/>
      <c r="H14" s="3"/>
      <c r="I14" s="3"/>
      <c r="J14" s="3"/>
      <c r="K14" s="3"/>
    </row>
    <row r="15" spans="1:11" x14ac:dyDescent="0.2">
      <c r="A15" s="12" t="s">
        <v>363</v>
      </c>
      <c r="B15" s="3"/>
      <c r="C15" s="3"/>
      <c r="D15" s="3"/>
      <c r="E15" s="3"/>
      <c r="F15" s="3"/>
      <c r="G15" s="3"/>
      <c r="H15" s="3"/>
      <c r="I15" s="3"/>
      <c r="J15" s="3"/>
      <c r="K15" s="3"/>
    </row>
    <row r="16" spans="1:11" x14ac:dyDescent="0.2">
      <c r="A16" s="12" t="s">
        <v>364</v>
      </c>
      <c r="B16" s="3"/>
      <c r="C16" s="3"/>
      <c r="D16" s="3"/>
      <c r="E16" s="3"/>
      <c r="F16" s="3"/>
      <c r="G16" s="3"/>
      <c r="H16" s="3"/>
      <c r="I16" s="3"/>
      <c r="J16" s="3"/>
      <c r="K16" s="3"/>
    </row>
    <row r="17" spans="1:11" x14ac:dyDescent="0.2">
      <c r="A17" s="12" t="s">
        <v>365</v>
      </c>
      <c r="B17" s="3"/>
      <c r="C17" s="3"/>
      <c r="D17" s="3"/>
      <c r="E17" s="3"/>
      <c r="F17" s="3"/>
      <c r="G17" s="3"/>
      <c r="H17" s="3"/>
      <c r="I17" s="3"/>
      <c r="J17" s="3"/>
      <c r="K17" s="3"/>
    </row>
    <row r="18" spans="1:11" x14ac:dyDescent="0.2">
      <c r="A18" s="12" t="s">
        <v>366</v>
      </c>
      <c r="B18" s="3"/>
      <c r="C18" s="3"/>
      <c r="D18" s="3"/>
      <c r="E18" s="3"/>
      <c r="F18" s="3"/>
      <c r="G18" s="3"/>
      <c r="H18" s="3"/>
      <c r="I18" s="3"/>
      <c r="J18" s="3"/>
      <c r="K18" s="3"/>
    </row>
    <row r="19" spans="1:11" x14ac:dyDescent="0.2">
      <c r="A19" s="12" t="s">
        <v>367</v>
      </c>
      <c r="B19" s="3"/>
      <c r="C19" s="3"/>
      <c r="D19" s="3"/>
      <c r="E19" s="3"/>
      <c r="F19" s="3"/>
      <c r="G19" s="3"/>
      <c r="H19" s="3"/>
      <c r="I19" s="3"/>
      <c r="J19" s="3"/>
      <c r="K19" s="3"/>
    </row>
    <row r="20" spans="1:11" x14ac:dyDescent="0.2">
      <c r="A20" s="12" t="s">
        <v>368</v>
      </c>
      <c r="B20" s="3"/>
      <c r="C20" s="3"/>
      <c r="D20" s="3"/>
      <c r="E20" s="3"/>
      <c r="F20" s="3"/>
      <c r="G20" s="3"/>
      <c r="H20" s="3"/>
      <c r="I20" s="3"/>
      <c r="J20" s="3"/>
      <c r="K20" s="3"/>
    </row>
    <row r="21" spans="1:11" x14ac:dyDescent="0.2">
      <c r="A21" s="12" t="s">
        <v>369</v>
      </c>
      <c r="B21" s="3"/>
      <c r="C21" s="3"/>
      <c r="D21" s="3"/>
      <c r="E21" s="3"/>
      <c r="F21" s="3"/>
      <c r="G21" s="3"/>
      <c r="H21" s="3"/>
      <c r="I21" s="3"/>
      <c r="J21" s="3"/>
      <c r="K21" s="3"/>
    </row>
    <row r="22" spans="1:11" x14ac:dyDescent="0.2">
      <c r="A22" s="12" t="s">
        <v>370</v>
      </c>
      <c r="B22" s="3"/>
      <c r="C22" s="3"/>
      <c r="D22" s="3"/>
      <c r="E22" s="3"/>
      <c r="F22" s="3"/>
      <c r="G22" s="3"/>
      <c r="H22" s="3"/>
      <c r="I22" s="3"/>
      <c r="J22" s="3"/>
      <c r="K22" s="3"/>
    </row>
    <row r="23" spans="1:11" x14ac:dyDescent="0.2">
      <c r="A23" s="12" t="s">
        <v>371</v>
      </c>
      <c r="B23" s="3"/>
      <c r="C23" s="3"/>
      <c r="D23" s="3"/>
      <c r="E23" s="3"/>
      <c r="F23" s="3"/>
      <c r="G23" s="3"/>
      <c r="H23" s="3"/>
      <c r="I23" s="3"/>
      <c r="J23" s="3"/>
      <c r="K23" s="3"/>
    </row>
    <row r="24" spans="1:11" x14ac:dyDescent="0.2">
      <c r="A24" s="12" t="s">
        <v>372</v>
      </c>
      <c r="B24" s="3"/>
      <c r="C24" s="3"/>
      <c r="D24" s="3"/>
      <c r="E24" s="3"/>
      <c r="F24" s="3"/>
      <c r="G24" s="3"/>
      <c r="H24" s="3"/>
      <c r="I24" s="3"/>
      <c r="J24" s="3"/>
      <c r="K24" s="3"/>
    </row>
    <row r="25" spans="1:11" x14ac:dyDescent="0.2">
      <c r="A25" s="12" t="s">
        <v>373</v>
      </c>
      <c r="B25" s="3"/>
      <c r="C25" s="3"/>
      <c r="D25" s="3"/>
      <c r="E25" s="3"/>
      <c r="F25" s="3"/>
      <c r="G25" s="3"/>
      <c r="H25" s="3"/>
      <c r="I25" s="3"/>
      <c r="J25" s="3"/>
      <c r="K25" s="3"/>
    </row>
    <row r="26" spans="1:11" x14ac:dyDescent="0.2">
      <c r="A26" s="12" t="s">
        <v>374</v>
      </c>
      <c r="B26" s="3"/>
      <c r="C26" s="3"/>
      <c r="D26" s="3"/>
      <c r="E26" s="3"/>
      <c r="F26" s="3"/>
      <c r="G26" s="3"/>
      <c r="H26" s="3"/>
      <c r="I26" s="3"/>
      <c r="J26" s="3"/>
      <c r="K26" s="3"/>
    </row>
    <row r="27" spans="1:11" x14ac:dyDescent="0.2">
      <c r="A27" s="12" t="s">
        <v>375</v>
      </c>
      <c r="B27" s="3"/>
      <c r="C27" s="3"/>
      <c r="D27" s="3"/>
      <c r="E27" s="3"/>
      <c r="F27" s="3"/>
      <c r="G27" s="3"/>
      <c r="H27" s="3"/>
      <c r="I27" s="3"/>
      <c r="J27" s="3"/>
      <c r="K27" s="3"/>
    </row>
    <row r="28" spans="1:11" x14ac:dyDescent="0.2">
      <c r="A28" s="12" t="s">
        <v>376</v>
      </c>
      <c r="B28" s="3"/>
      <c r="C28" s="3"/>
      <c r="D28" s="3"/>
      <c r="E28" s="3"/>
      <c r="F28" s="3"/>
      <c r="G28" s="3"/>
      <c r="H28" s="3"/>
      <c r="I28" s="3"/>
      <c r="J28" s="3"/>
      <c r="K28" s="3"/>
    </row>
    <row r="29" spans="1:11" x14ac:dyDescent="0.2">
      <c r="A29" s="12" t="s">
        <v>377</v>
      </c>
      <c r="B29" s="3"/>
      <c r="C29" s="3"/>
      <c r="D29" s="3"/>
      <c r="E29" s="3"/>
      <c r="F29" s="3"/>
      <c r="G29" s="3"/>
      <c r="H29" s="3"/>
      <c r="I29" s="3"/>
      <c r="J29" s="3"/>
      <c r="K29" s="3"/>
    </row>
    <row r="30" spans="1:11" x14ac:dyDescent="0.2">
      <c r="A30" s="12" t="s">
        <v>378</v>
      </c>
      <c r="B30" s="3"/>
      <c r="C30" s="3"/>
      <c r="D30" s="3"/>
      <c r="E30" s="3"/>
      <c r="F30" s="3"/>
      <c r="G30" s="3"/>
      <c r="H30" s="3"/>
      <c r="I30" s="3"/>
      <c r="J30" s="3"/>
      <c r="K30" s="3"/>
    </row>
    <row r="31" spans="1:11" x14ac:dyDescent="0.2">
      <c r="A31" s="12" t="s">
        <v>379</v>
      </c>
      <c r="B31" s="3"/>
      <c r="C31" s="3"/>
      <c r="D31" s="3"/>
      <c r="E31" s="3"/>
      <c r="F31" s="3"/>
      <c r="G31" s="3"/>
      <c r="H31" s="3"/>
      <c r="I31" s="3"/>
      <c r="J31" s="3"/>
      <c r="K31" s="3"/>
    </row>
    <row r="32" spans="1:11" x14ac:dyDescent="0.2">
      <c r="A32" s="12" t="s">
        <v>380</v>
      </c>
      <c r="B32" s="3"/>
      <c r="C32" s="3"/>
      <c r="D32" s="3"/>
      <c r="E32" s="3"/>
      <c r="F32" s="3"/>
      <c r="G32" s="3"/>
      <c r="H32" s="3"/>
      <c r="I32" s="3"/>
      <c r="J32" s="3"/>
      <c r="K32" s="3"/>
    </row>
    <row r="33" spans="1:11" x14ac:dyDescent="0.2">
      <c r="A33" s="12" t="s">
        <v>381</v>
      </c>
      <c r="B33" s="3"/>
      <c r="C33" s="3"/>
      <c r="D33" s="3"/>
      <c r="E33" s="3"/>
      <c r="F33" s="3"/>
      <c r="G33" s="3"/>
      <c r="H33" s="3"/>
      <c r="I33" s="3"/>
      <c r="J33" s="3"/>
      <c r="K33" s="3"/>
    </row>
    <row r="34" spans="1:11" x14ac:dyDescent="0.2">
      <c r="A34" s="12" t="s">
        <v>382</v>
      </c>
      <c r="B34" s="3"/>
      <c r="C34" s="3"/>
      <c r="D34" s="3"/>
      <c r="E34" s="3"/>
      <c r="F34" s="3"/>
      <c r="G34" s="3"/>
      <c r="H34" s="3"/>
      <c r="I34" s="3"/>
      <c r="J34" s="3"/>
      <c r="K34" s="3"/>
    </row>
    <row r="35" spans="1:11" x14ac:dyDescent="0.2">
      <c r="A35" s="12" t="s">
        <v>383</v>
      </c>
      <c r="B35" s="3"/>
      <c r="C35" s="3"/>
      <c r="D35" s="3"/>
      <c r="E35" s="3"/>
      <c r="F35" s="3"/>
      <c r="G35" s="3"/>
      <c r="H35" s="3"/>
      <c r="I35" s="3"/>
      <c r="J35" s="3"/>
      <c r="K35" s="3"/>
    </row>
    <row r="36" spans="1:11" x14ac:dyDescent="0.2">
      <c r="A36" s="12" t="s">
        <v>384</v>
      </c>
      <c r="B36" s="3"/>
      <c r="C36" s="3"/>
      <c r="D36" s="3"/>
      <c r="E36" s="3"/>
      <c r="F36" s="3"/>
      <c r="G36" s="3"/>
      <c r="H36" s="3"/>
      <c r="I36" s="3"/>
      <c r="J36" s="3"/>
      <c r="K36" s="3"/>
    </row>
    <row r="37" spans="1:11" x14ac:dyDescent="0.2">
      <c r="A37" s="12" t="s">
        <v>385</v>
      </c>
      <c r="B37" s="3"/>
      <c r="C37" s="3"/>
      <c r="D37" s="3"/>
      <c r="E37" s="3"/>
      <c r="F37" s="3"/>
      <c r="G37" s="3"/>
      <c r="H37" s="3"/>
      <c r="I37" s="3"/>
      <c r="J37" s="3"/>
      <c r="K37" s="3"/>
    </row>
    <row r="38" spans="1:11" x14ac:dyDescent="0.2">
      <c r="A38" s="12" t="s">
        <v>386</v>
      </c>
      <c r="B38" s="3"/>
      <c r="C38" s="3"/>
      <c r="D38" s="3"/>
      <c r="E38" s="3"/>
      <c r="F38" s="3"/>
      <c r="G38" s="3"/>
      <c r="H38" s="3"/>
      <c r="I38" s="3"/>
      <c r="J38" s="3"/>
      <c r="K38" s="3"/>
    </row>
    <row r="39" spans="1:11" x14ac:dyDescent="0.2">
      <c r="A39" s="12" t="s">
        <v>387</v>
      </c>
      <c r="B39" s="3"/>
      <c r="C39" s="3"/>
      <c r="D39" s="3"/>
      <c r="E39" s="3"/>
      <c r="F39" s="3"/>
      <c r="G39" s="3"/>
      <c r="H39" s="3"/>
      <c r="I39" s="3"/>
      <c r="J39" s="3"/>
      <c r="K39" s="3"/>
    </row>
    <row r="40" spans="1:11" x14ac:dyDescent="0.2">
      <c r="A40" s="12" t="s">
        <v>388</v>
      </c>
      <c r="B40" s="3"/>
      <c r="C40" s="3"/>
      <c r="D40" s="3"/>
      <c r="E40" s="3"/>
      <c r="F40" s="3"/>
      <c r="G40" s="3"/>
      <c r="H40" s="3"/>
      <c r="I40" s="3"/>
      <c r="J40" s="3"/>
      <c r="K40" s="3"/>
    </row>
    <row r="41" spans="1:11" x14ac:dyDescent="0.2">
      <c r="A41" s="12" t="s">
        <v>389</v>
      </c>
      <c r="B41" s="3"/>
      <c r="C41" s="3"/>
      <c r="D41" s="3"/>
      <c r="E41" s="3"/>
      <c r="F41" s="3"/>
      <c r="G41" s="3"/>
      <c r="H41" s="3"/>
      <c r="I41" s="3"/>
      <c r="J41" s="3"/>
      <c r="K41" s="3"/>
    </row>
    <row r="42" spans="1:11" x14ac:dyDescent="0.2">
      <c r="A42" s="12" t="s">
        <v>390</v>
      </c>
      <c r="B42" s="3"/>
      <c r="C42" s="3"/>
      <c r="D42" s="3"/>
      <c r="E42" s="3"/>
      <c r="F42" s="3"/>
      <c r="G42" s="3"/>
      <c r="H42" s="3"/>
      <c r="I42" s="3"/>
      <c r="J42" s="3"/>
      <c r="K42" s="3"/>
    </row>
    <row r="43" spans="1:11" x14ac:dyDescent="0.2">
      <c r="A43" s="12" t="s">
        <v>391</v>
      </c>
      <c r="B43" s="3"/>
      <c r="C43" s="3"/>
      <c r="D43" s="3"/>
      <c r="E43" s="3"/>
      <c r="F43" s="3"/>
      <c r="G43" s="3"/>
      <c r="H43" s="3"/>
      <c r="I43" s="3"/>
      <c r="J43" s="3"/>
      <c r="K43" s="3"/>
    </row>
    <row r="44" spans="1:11" x14ac:dyDescent="0.2">
      <c r="A44" s="12" t="s">
        <v>392</v>
      </c>
      <c r="B44" s="3"/>
      <c r="C44" s="3"/>
      <c r="D44" s="3"/>
      <c r="E44" s="3"/>
      <c r="F44" s="3"/>
      <c r="G44" s="3"/>
      <c r="H44" s="3"/>
      <c r="I44" s="3"/>
      <c r="J44" s="3"/>
      <c r="K44" s="3"/>
    </row>
    <row r="47" spans="1:11" x14ac:dyDescent="0.2">
      <c r="A47" s="32" t="s">
        <v>393</v>
      </c>
      <c r="B47" s="28"/>
      <c r="C47" s="28"/>
      <c r="D47" s="28"/>
      <c r="E47" s="28"/>
      <c r="F47" s="28"/>
      <c r="G47" s="28"/>
      <c r="H47" s="28"/>
      <c r="I47" s="28"/>
      <c r="J47" s="28"/>
      <c r="K47" s="28"/>
    </row>
    <row r="48" spans="1:11" x14ac:dyDescent="0.2">
      <c r="A48" s="5" t="s">
        <v>348</v>
      </c>
      <c r="B48" s="5" t="s">
        <v>394</v>
      </c>
      <c r="C48" s="5" t="s">
        <v>395</v>
      </c>
    </row>
    <row r="49" spans="1:3" x14ac:dyDescent="0.2">
      <c r="A49" s="20" t="s">
        <v>396</v>
      </c>
      <c r="B49" s="21">
        <f>COUNTIF(E5:E44,"Critical")</f>
        <v>0</v>
      </c>
      <c r="C49" s="21" t="str">
        <f>IF(B49=0,0,B49/COUNTA(E5:E44)*100)&amp;"%"</f>
        <v>0%</v>
      </c>
    </row>
    <row r="50" spans="1:3" x14ac:dyDescent="0.2">
      <c r="A50" s="22" t="s">
        <v>397</v>
      </c>
      <c r="B50" s="21">
        <f>COUNTIF(E5:E44,"High")</f>
        <v>0</v>
      </c>
      <c r="C50" s="21" t="str">
        <f>IF(B50=0,0,B50/COUNTA(E5:E44)*100)&amp;"%"</f>
        <v>0%</v>
      </c>
    </row>
    <row r="51" spans="1:3" x14ac:dyDescent="0.2">
      <c r="A51" s="23" t="s">
        <v>398</v>
      </c>
      <c r="B51" s="21">
        <f>COUNTIF(E5:E44,"Medium")</f>
        <v>0</v>
      </c>
      <c r="C51" s="21" t="str">
        <f>IF(B51=0,0,B51/COUNTA(E5:E44)*100)&amp;"%"</f>
        <v>0%</v>
      </c>
    </row>
    <row r="52" spans="1:3" x14ac:dyDescent="0.2">
      <c r="A52" s="24" t="s">
        <v>399</v>
      </c>
      <c r="B52" s="21">
        <f>COUNTIF(E5:E44,"Low")</f>
        <v>0</v>
      </c>
      <c r="C52" s="21" t="str">
        <f>IF(B52=0,0,B52/COUNTA(E5:E44)*100)&amp;"%"</f>
        <v>0%</v>
      </c>
    </row>
    <row r="54" spans="1:3" x14ac:dyDescent="0.2">
      <c r="A54" s="2" t="s">
        <v>400</v>
      </c>
      <c r="B54" s="25">
        <f>COUNTA(B5:B44)</f>
        <v>0</v>
      </c>
    </row>
    <row r="55" spans="1:3" x14ac:dyDescent="0.2">
      <c r="A55" s="2" t="s">
        <v>401</v>
      </c>
      <c r="B55" s="26">
        <f>COUNTIF(J5:J44,"Resolved")+COUNTIF(J5:J44,"Closed")</f>
        <v>0</v>
      </c>
    </row>
    <row r="56" spans="1:3" x14ac:dyDescent="0.2">
      <c r="A56" s="2" t="s">
        <v>402</v>
      </c>
      <c r="B56" s="14" t="str">
        <f>IF(COUNTA(B5:B44)=0,0,B55/B54*100)&amp;"%"</f>
        <v>0%</v>
      </c>
    </row>
  </sheetData>
  <mergeCells count="3">
    <mergeCell ref="A2:K2"/>
    <mergeCell ref="A1:K1"/>
    <mergeCell ref="A47:K47"/>
  </mergeCells>
  <dataValidations count="3">
    <dataValidation type="list" sqref="K5 K6 K7 K8 K9 K10 K11 K12 K13 K14 K15 K16 K17 K18 K19 K20 K21 K22 K23 K24 K25 K26 K27 K28 K29 K30 K31 K32 K33 K34 K35 K36 K37 K38 K39 K40 K41 K42 K43 K44" xr:uid="{00000000-0002-0000-0700-000000000000}">
      <formula1>"Yes,No"</formula1>
    </dataValidation>
    <dataValidation type="list" sqref="E5 E6 E7 E8 E9 E10 E11 E12 E13 E14 E15 E16 E17 E18 E19 E20 E21 E22 E23 E24 E25 E26 E27 E28 E29 E30 E31 E32 E33 E34 E35 E36 E37 E38 E39 E40 E41 E42 E43 E44" xr:uid="{00000000-0002-0000-0700-000001000000}">
      <formula1>"Critical,High,Medium,Low"</formula1>
    </dataValidation>
    <dataValidation type="list" sqref="J5 J6 J7 J8 J9 J10 J11 J12 J13 J14 J15 J16 J17 J18 J19 J20 J21 J22 J23 J24 J25 J26 J27 J28 J29 J30 J31 J32 J33 J34 J35 J36 J37 J38 J39 J40 J41 J42 J43 J44" xr:uid="{00000000-0002-0000-0700-000002000000}">
      <formula1>"Open,In Progress,Resolved,Closed"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4"/>
  <sheetViews>
    <sheetView workbookViewId="0">
      <pane ySplit="4" topLeftCell="A5" activePane="bottomLeft" state="frozen"/>
      <selection pane="bottomLeft"/>
    </sheetView>
  </sheetViews>
  <sheetFormatPr baseColWidth="10" defaultColWidth="8.83203125" defaultRowHeight="15" x14ac:dyDescent="0.2"/>
  <cols>
    <col min="1" max="1" width="12" customWidth="1"/>
    <col min="2" max="2" width="18" customWidth="1"/>
    <col min="3" max="3" width="40" customWidth="1"/>
    <col min="4" max="4" width="20" customWidth="1"/>
    <col min="5" max="5" width="50" customWidth="1"/>
    <col min="6" max="6" width="15" customWidth="1"/>
    <col min="7" max="7" width="20" customWidth="1"/>
    <col min="8" max="8" width="18" customWidth="1"/>
  </cols>
  <sheetData>
    <row r="1" spans="1:8" ht="30" customHeight="1" x14ac:dyDescent="0.2">
      <c r="A1" s="30" t="s">
        <v>403</v>
      </c>
      <c r="B1" s="28"/>
      <c r="C1" s="28"/>
      <c r="D1" s="28"/>
      <c r="E1" s="28"/>
      <c r="F1" s="28"/>
      <c r="G1" s="28"/>
      <c r="H1" s="28"/>
    </row>
    <row r="2" spans="1:8" x14ac:dyDescent="0.2">
      <c r="A2" s="27" t="s">
        <v>404</v>
      </c>
      <c r="B2" s="28"/>
      <c r="C2" s="28"/>
      <c r="D2" s="28"/>
      <c r="E2" s="28"/>
      <c r="F2" s="28"/>
      <c r="G2" s="28"/>
      <c r="H2" s="28"/>
    </row>
    <row r="4" spans="1:8" ht="16" x14ac:dyDescent="0.2">
      <c r="A4" s="11" t="s">
        <v>405</v>
      </c>
      <c r="B4" s="11" t="s">
        <v>406</v>
      </c>
      <c r="C4" s="11" t="s">
        <v>32</v>
      </c>
      <c r="D4" s="11" t="s">
        <v>407</v>
      </c>
      <c r="E4" s="11" t="s">
        <v>408</v>
      </c>
      <c r="F4" s="11" t="s">
        <v>409</v>
      </c>
      <c r="G4" s="11" t="s">
        <v>410</v>
      </c>
      <c r="H4" s="11" t="s">
        <v>411</v>
      </c>
    </row>
    <row r="5" spans="1:8" x14ac:dyDescent="0.2">
      <c r="A5" s="12" t="s">
        <v>412</v>
      </c>
      <c r="B5" s="3"/>
      <c r="C5" s="3"/>
      <c r="D5" s="3"/>
      <c r="E5" s="3"/>
      <c r="F5" s="3"/>
      <c r="G5" s="3"/>
      <c r="H5" s="3"/>
    </row>
    <row r="6" spans="1:8" x14ac:dyDescent="0.2">
      <c r="A6" s="12" t="s">
        <v>413</v>
      </c>
      <c r="B6" s="3"/>
      <c r="C6" s="3"/>
      <c r="D6" s="3"/>
      <c r="E6" s="3"/>
      <c r="F6" s="3"/>
      <c r="G6" s="3"/>
      <c r="H6" s="3"/>
    </row>
    <row r="7" spans="1:8" x14ac:dyDescent="0.2">
      <c r="A7" s="12" t="s">
        <v>414</v>
      </c>
      <c r="B7" s="3"/>
      <c r="C7" s="3"/>
      <c r="D7" s="3"/>
      <c r="E7" s="3"/>
      <c r="F7" s="3"/>
      <c r="G7" s="3"/>
      <c r="H7" s="3"/>
    </row>
    <row r="8" spans="1:8" x14ac:dyDescent="0.2">
      <c r="A8" s="12" t="s">
        <v>415</v>
      </c>
      <c r="B8" s="3"/>
      <c r="C8" s="3"/>
      <c r="D8" s="3"/>
      <c r="E8" s="3"/>
      <c r="F8" s="3"/>
      <c r="G8" s="3"/>
      <c r="H8" s="3"/>
    </row>
    <row r="9" spans="1:8" x14ac:dyDescent="0.2">
      <c r="A9" s="12" t="s">
        <v>416</v>
      </c>
      <c r="B9" s="3"/>
      <c r="C9" s="3"/>
      <c r="D9" s="3"/>
      <c r="E9" s="3"/>
      <c r="F9" s="3"/>
      <c r="G9" s="3"/>
      <c r="H9" s="3"/>
    </row>
    <row r="10" spans="1:8" x14ac:dyDescent="0.2">
      <c r="A10" s="12" t="s">
        <v>417</v>
      </c>
      <c r="B10" s="3"/>
      <c r="C10" s="3"/>
      <c r="D10" s="3"/>
      <c r="E10" s="3"/>
      <c r="F10" s="3"/>
      <c r="G10" s="3"/>
      <c r="H10" s="3"/>
    </row>
    <row r="11" spans="1:8" x14ac:dyDescent="0.2">
      <c r="A11" s="12" t="s">
        <v>418</v>
      </c>
      <c r="B11" s="3"/>
      <c r="C11" s="3"/>
      <c r="D11" s="3"/>
      <c r="E11" s="3"/>
      <c r="F11" s="3"/>
      <c r="G11" s="3"/>
      <c r="H11" s="3"/>
    </row>
    <row r="12" spans="1:8" x14ac:dyDescent="0.2">
      <c r="A12" s="12" t="s">
        <v>419</v>
      </c>
      <c r="B12" s="3"/>
      <c r="C12" s="3"/>
      <c r="D12" s="3"/>
      <c r="E12" s="3"/>
      <c r="F12" s="3"/>
      <c r="G12" s="3"/>
      <c r="H12" s="3"/>
    </row>
    <row r="13" spans="1:8" x14ac:dyDescent="0.2">
      <c r="A13" s="12" t="s">
        <v>420</v>
      </c>
      <c r="B13" s="3"/>
      <c r="C13" s="3"/>
      <c r="D13" s="3"/>
      <c r="E13" s="3"/>
      <c r="F13" s="3"/>
      <c r="G13" s="3"/>
      <c r="H13" s="3"/>
    </row>
    <row r="14" spans="1:8" x14ac:dyDescent="0.2">
      <c r="A14" s="12" t="s">
        <v>421</v>
      </c>
      <c r="B14" s="3"/>
      <c r="C14" s="3"/>
      <c r="D14" s="3"/>
      <c r="E14" s="3"/>
      <c r="F14" s="3"/>
      <c r="G14" s="3"/>
      <c r="H14" s="3"/>
    </row>
    <row r="15" spans="1:8" x14ac:dyDescent="0.2">
      <c r="A15" s="12" t="s">
        <v>422</v>
      </c>
      <c r="B15" s="3"/>
      <c r="C15" s="3"/>
      <c r="D15" s="3"/>
      <c r="E15" s="3"/>
      <c r="F15" s="3"/>
      <c r="G15" s="3"/>
      <c r="H15" s="3"/>
    </row>
    <row r="16" spans="1:8" x14ac:dyDescent="0.2">
      <c r="A16" s="12" t="s">
        <v>423</v>
      </c>
      <c r="B16" s="3"/>
      <c r="C16" s="3"/>
      <c r="D16" s="3"/>
      <c r="E16" s="3"/>
      <c r="F16" s="3"/>
      <c r="G16" s="3"/>
      <c r="H16" s="3"/>
    </row>
    <row r="17" spans="1:8" x14ac:dyDescent="0.2">
      <c r="A17" s="12" t="s">
        <v>424</v>
      </c>
      <c r="B17" s="3"/>
      <c r="C17" s="3"/>
      <c r="D17" s="3"/>
      <c r="E17" s="3"/>
      <c r="F17" s="3"/>
      <c r="G17" s="3"/>
      <c r="H17" s="3"/>
    </row>
    <row r="18" spans="1:8" x14ac:dyDescent="0.2">
      <c r="A18" s="12" t="s">
        <v>425</v>
      </c>
      <c r="B18" s="3"/>
      <c r="C18" s="3"/>
      <c r="D18" s="3"/>
      <c r="E18" s="3"/>
      <c r="F18" s="3"/>
      <c r="G18" s="3"/>
      <c r="H18" s="3"/>
    </row>
    <row r="19" spans="1:8" x14ac:dyDescent="0.2">
      <c r="A19" s="12" t="s">
        <v>426</v>
      </c>
      <c r="B19" s="3"/>
      <c r="C19" s="3"/>
      <c r="D19" s="3"/>
      <c r="E19" s="3"/>
      <c r="F19" s="3"/>
      <c r="G19" s="3"/>
      <c r="H19" s="3"/>
    </row>
    <row r="20" spans="1:8" x14ac:dyDescent="0.2">
      <c r="A20" s="12" t="s">
        <v>427</v>
      </c>
      <c r="B20" s="3"/>
      <c r="C20" s="3"/>
      <c r="D20" s="3"/>
      <c r="E20" s="3"/>
      <c r="F20" s="3"/>
      <c r="G20" s="3"/>
      <c r="H20" s="3"/>
    </row>
    <row r="21" spans="1:8" x14ac:dyDescent="0.2">
      <c r="A21" s="12" t="s">
        <v>428</v>
      </c>
      <c r="B21" s="3"/>
      <c r="C21" s="3"/>
      <c r="D21" s="3"/>
      <c r="E21" s="3"/>
      <c r="F21" s="3"/>
      <c r="G21" s="3"/>
      <c r="H21" s="3"/>
    </row>
    <row r="22" spans="1:8" x14ac:dyDescent="0.2">
      <c r="A22" s="12" t="s">
        <v>429</v>
      </c>
      <c r="B22" s="3"/>
      <c r="C22" s="3"/>
      <c r="D22" s="3"/>
      <c r="E22" s="3"/>
      <c r="F22" s="3"/>
      <c r="G22" s="3"/>
      <c r="H22" s="3"/>
    </row>
    <row r="23" spans="1:8" x14ac:dyDescent="0.2">
      <c r="A23" s="12" t="s">
        <v>430</v>
      </c>
      <c r="B23" s="3"/>
      <c r="C23" s="3"/>
      <c r="D23" s="3"/>
      <c r="E23" s="3"/>
      <c r="F23" s="3"/>
      <c r="G23" s="3"/>
      <c r="H23" s="3"/>
    </row>
    <row r="24" spans="1:8" x14ac:dyDescent="0.2">
      <c r="A24" s="12" t="s">
        <v>431</v>
      </c>
      <c r="B24" s="3"/>
      <c r="C24" s="3"/>
      <c r="D24" s="3"/>
      <c r="E24" s="3"/>
      <c r="F24" s="3"/>
      <c r="G24" s="3"/>
      <c r="H24" s="3"/>
    </row>
    <row r="25" spans="1:8" x14ac:dyDescent="0.2">
      <c r="A25" s="12" t="s">
        <v>432</v>
      </c>
      <c r="B25" s="3"/>
      <c r="C25" s="3"/>
      <c r="D25" s="3"/>
      <c r="E25" s="3"/>
      <c r="F25" s="3"/>
      <c r="G25" s="3"/>
      <c r="H25" s="3"/>
    </row>
    <row r="26" spans="1:8" x14ac:dyDescent="0.2">
      <c r="A26" s="12" t="s">
        <v>433</v>
      </c>
      <c r="B26" s="3"/>
      <c r="C26" s="3"/>
      <c r="D26" s="3"/>
      <c r="E26" s="3"/>
      <c r="F26" s="3"/>
      <c r="G26" s="3"/>
      <c r="H26" s="3"/>
    </row>
    <row r="27" spans="1:8" x14ac:dyDescent="0.2">
      <c r="A27" s="12" t="s">
        <v>434</v>
      </c>
      <c r="B27" s="3"/>
      <c r="C27" s="3"/>
      <c r="D27" s="3"/>
      <c r="E27" s="3"/>
      <c r="F27" s="3"/>
      <c r="G27" s="3"/>
      <c r="H27" s="3"/>
    </row>
    <row r="28" spans="1:8" x14ac:dyDescent="0.2">
      <c r="A28" s="12" t="s">
        <v>435</v>
      </c>
      <c r="B28" s="3"/>
      <c r="C28" s="3"/>
      <c r="D28" s="3"/>
      <c r="E28" s="3"/>
      <c r="F28" s="3"/>
      <c r="G28" s="3"/>
      <c r="H28" s="3"/>
    </row>
    <row r="29" spans="1:8" x14ac:dyDescent="0.2">
      <c r="A29" s="12" t="s">
        <v>436</v>
      </c>
      <c r="B29" s="3"/>
      <c r="C29" s="3"/>
      <c r="D29" s="3"/>
      <c r="E29" s="3"/>
      <c r="F29" s="3"/>
      <c r="G29" s="3"/>
      <c r="H29" s="3"/>
    </row>
    <row r="30" spans="1:8" x14ac:dyDescent="0.2">
      <c r="A30" s="12" t="s">
        <v>437</v>
      </c>
      <c r="B30" s="3"/>
      <c r="C30" s="3"/>
      <c r="D30" s="3"/>
      <c r="E30" s="3"/>
      <c r="F30" s="3"/>
      <c r="G30" s="3"/>
      <c r="H30" s="3"/>
    </row>
    <row r="31" spans="1:8" x14ac:dyDescent="0.2">
      <c r="A31" s="12" t="s">
        <v>438</v>
      </c>
      <c r="B31" s="3"/>
      <c r="C31" s="3"/>
      <c r="D31" s="3"/>
      <c r="E31" s="3"/>
      <c r="F31" s="3"/>
      <c r="G31" s="3"/>
      <c r="H31" s="3"/>
    </row>
    <row r="32" spans="1:8" x14ac:dyDescent="0.2">
      <c r="A32" s="12" t="s">
        <v>439</v>
      </c>
      <c r="B32" s="3"/>
      <c r="C32" s="3"/>
      <c r="D32" s="3"/>
      <c r="E32" s="3"/>
      <c r="F32" s="3"/>
      <c r="G32" s="3"/>
      <c r="H32" s="3"/>
    </row>
    <row r="33" spans="1:8" x14ac:dyDescent="0.2">
      <c r="A33" s="12" t="s">
        <v>440</v>
      </c>
      <c r="B33" s="3"/>
      <c r="C33" s="3"/>
      <c r="D33" s="3"/>
      <c r="E33" s="3"/>
      <c r="F33" s="3"/>
      <c r="G33" s="3"/>
      <c r="H33" s="3"/>
    </row>
    <row r="34" spans="1:8" x14ac:dyDescent="0.2">
      <c r="A34" s="12" t="s">
        <v>441</v>
      </c>
      <c r="B34" s="3"/>
      <c r="C34" s="3"/>
      <c r="D34" s="3"/>
      <c r="E34" s="3"/>
      <c r="F34" s="3"/>
      <c r="G34" s="3"/>
      <c r="H34" s="3"/>
    </row>
    <row r="35" spans="1:8" x14ac:dyDescent="0.2">
      <c r="A35" s="12" t="s">
        <v>442</v>
      </c>
      <c r="B35" s="3"/>
      <c r="C35" s="3"/>
      <c r="D35" s="3"/>
      <c r="E35" s="3"/>
      <c r="F35" s="3"/>
      <c r="G35" s="3"/>
      <c r="H35" s="3"/>
    </row>
    <row r="36" spans="1:8" x14ac:dyDescent="0.2">
      <c r="A36" s="12" t="s">
        <v>443</v>
      </c>
      <c r="B36" s="3"/>
      <c r="C36" s="3"/>
      <c r="D36" s="3"/>
      <c r="E36" s="3"/>
      <c r="F36" s="3"/>
      <c r="G36" s="3"/>
      <c r="H36" s="3"/>
    </row>
    <row r="37" spans="1:8" x14ac:dyDescent="0.2">
      <c r="A37" s="12" t="s">
        <v>444</v>
      </c>
      <c r="B37" s="3"/>
      <c r="C37" s="3"/>
      <c r="D37" s="3"/>
      <c r="E37" s="3"/>
      <c r="F37" s="3"/>
      <c r="G37" s="3"/>
      <c r="H37" s="3"/>
    </row>
    <row r="38" spans="1:8" x14ac:dyDescent="0.2">
      <c r="A38" s="12" t="s">
        <v>445</v>
      </c>
      <c r="B38" s="3"/>
      <c r="C38" s="3"/>
      <c r="D38" s="3"/>
      <c r="E38" s="3"/>
      <c r="F38" s="3"/>
      <c r="G38" s="3"/>
      <c r="H38" s="3"/>
    </row>
    <row r="39" spans="1:8" x14ac:dyDescent="0.2">
      <c r="A39" s="12" t="s">
        <v>446</v>
      </c>
      <c r="B39" s="3"/>
      <c r="C39" s="3"/>
      <c r="D39" s="3"/>
      <c r="E39" s="3"/>
      <c r="F39" s="3"/>
      <c r="G39" s="3"/>
      <c r="H39" s="3"/>
    </row>
    <row r="40" spans="1:8" x14ac:dyDescent="0.2">
      <c r="A40" s="12" t="s">
        <v>447</v>
      </c>
      <c r="B40" s="3"/>
      <c r="C40" s="3"/>
      <c r="D40" s="3"/>
      <c r="E40" s="3"/>
      <c r="F40" s="3"/>
      <c r="G40" s="3"/>
      <c r="H40" s="3"/>
    </row>
    <row r="41" spans="1:8" x14ac:dyDescent="0.2">
      <c r="A41" s="12" t="s">
        <v>448</v>
      </c>
      <c r="B41" s="3"/>
      <c r="C41" s="3"/>
      <c r="D41" s="3"/>
      <c r="E41" s="3"/>
      <c r="F41" s="3"/>
      <c r="G41" s="3"/>
      <c r="H41" s="3"/>
    </row>
    <row r="42" spans="1:8" x14ac:dyDescent="0.2">
      <c r="A42" s="12" t="s">
        <v>449</v>
      </c>
      <c r="B42" s="3"/>
      <c r="C42" s="3"/>
      <c r="D42" s="3"/>
      <c r="E42" s="3"/>
      <c r="F42" s="3"/>
      <c r="G42" s="3"/>
      <c r="H42" s="3"/>
    </row>
    <row r="43" spans="1:8" x14ac:dyDescent="0.2">
      <c r="A43" s="12" t="s">
        <v>450</v>
      </c>
      <c r="B43" s="3"/>
      <c r="C43" s="3"/>
      <c r="D43" s="3"/>
      <c r="E43" s="3"/>
      <c r="F43" s="3"/>
      <c r="G43" s="3"/>
      <c r="H43" s="3"/>
    </row>
    <row r="44" spans="1:8" x14ac:dyDescent="0.2">
      <c r="A44" s="12" t="s">
        <v>451</v>
      </c>
      <c r="B44" s="3"/>
      <c r="C44" s="3"/>
      <c r="D44" s="3"/>
      <c r="E44" s="3"/>
      <c r="F44" s="3"/>
      <c r="G44" s="3"/>
      <c r="H44" s="3"/>
    </row>
    <row r="45" spans="1:8" x14ac:dyDescent="0.2">
      <c r="A45" s="12" t="s">
        <v>452</v>
      </c>
      <c r="B45" s="3"/>
      <c r="C45" s="3"/>
      <c r="D45" s="3"/>
      <c r="E45" s="3"/>
      <c r="F45" s="3"/>
      <c r="G45" s="3"/>
      <c r="H45" s="3"/>
    </row>
    <row r="46" spans="1:8" x14ac:dyDescent="0.2">
      <c r="A46" s="12" t="s">
        <v>453</v>
      </c>
      <c r="B46" s="3"/>
      <c r="C46" s="3"/>
      <c r="D46" s="3"/>
      <c r="E46" s="3"/>
      <c r="F46" s="3"/>
      <c r="G46" s="3"/>
      <c r="H46" s="3"/>
    </row>
    <row r="47" spans="1:8" x14ac:dyDescent="0.2">
      <c r="A47" s="12" t="s">
        <v>454</v>
      </c>
      <c r="B47" s="3"/>
      <c r="C47" s="3"/>
      <c r="D47" s="3"/>
      <c r="E47" s="3"/>
      <c r="F47" s="3"/>
      <c r="G47" s="3"/>
      <c r="H47" s="3"/>
    </row>
    <row r="48" spans="1:8" x14ac:dyDescent="0.2">
      <c r="A48" s="12" t="s">
        <v>455</v>
      </c>
      <c r="B48" s="3"/>
      <c r="C48" s="3"/>
      <c r="D48" s="3"/>
      <c r="E48" s="3"/>
      <c r="F48" s="3"/>
      <c r="G48" s="3"/>
      <c r="H48" s="3"/>
    </row>
    <row r="49" spans="1:8" x14ac:dyDescent="0.2">
      <c r="A49" s="12" t="s">
        <v>456</v>
      </c>
      <c r="B49" s="3"/>
      <c r="C49" s="3"/>
      <c r="D49" s="3"/>
      <c r="E49" s="3"/>
      <c r="F49" s="3"/>
      <c r="G49" s="3"/>
      <c r="H49" s="3"/>
    </row>
    <row r="50" spans="1:8" x14ac:dyDescent="0.2">
      <c r="A50" s="12" t="s">
        <v>457</v>
      </c>
      <c r="B50" s="3"/>
      <c r="C50" s="3"/>
      <c r="D50" s="3"/>
      <c r="E50" s="3"/>
      <c r="F50" s="3"/>
      <c r="G50" s="3"/>
      <c r="H50" s="3"/>
    </row>
    <row r="51" spans="1:8" x14ac:dyDescent="0.2">
      <c r="A51" s="12" t="s">
        <v>458</v>
      </c>
      <c r="B51" s="3"/>
      <c r="C51" s="3"/>
      <c r="D51" s="3"/>
      <c r="E51" s="3"/>
      <c r="F51" s="3"/>
      <c r="G51" s="3"/>
      <c r="H51" s="3"/>
    </row>
    <row r="52" spans="1:8" x14ac:dyDescent="0.2">
      <c r="A52" s="12" t="s">
        <v>459</v>
      </c>
      <c r="B52" s="3"/>
      <c r="C52" s="3"/>
      <c r="D52" s="3"/>
      <c r="E52" s="3"/>
      <c r="F52" s="3"/>
      <c r="G52" s="3"/>
      <c r="H52" s="3"/>
    </row>
    <row r="53" spans="1:8" x14ac:dyDescent="0.2">
      <c r="A53" s="12" t="s">
        <v>460</v>
      </c>
      <c r="B53" s="3"/>
      <c r="C53" s="3"/>
      <c r="D53" s="3"/>
      <c r="E53" s="3"/>
      <c r="F53" s="3"/>
      <c r="G53" s="3"/>
      <c r="H53" s="3"/>
    </row>
    <row r="54" spans="1:8" x14ac:dyDescent="0.2">
      <c r="A54" s="12" t="s">
        <v>461</v>
      </c>
      <c r="B54" s="3"/>
      <c r="C54" s="3"/>
      <c r="D54" s="3"/>
      <c r="E54" s="3"/>
      <c r="F54" s="3"/>
      <c r="G54" s="3"/>
      <c r="H54" s="3"/>
    </row>
    <row r="55" spans="1:8" x14ac:dyDescent="0.2">
      <c r="A55" s="12" t="s">
        <v>462</v>
      </c>
      <c r="B55" s="3"/>
      <c r="C55" s="3"/>
      <c r="D55" s="3"/>
      <c r="E55" s="3"/>
      <c r="F55" s="3"/>
      <c r="G55" s="3"/>
      <c r="H55" s="3"/>
    </row>
    <row r="56" spans="1:8" x14ac:dyDescent="0.2">
      <c r="A56" s="12" t="s">
        <v>463</v>
      </c>
      <c r="B56" s="3"/>
      <c r="C56" s="3"/>
      <c r="D56" s="3"/>
      <c r="E56" s="3"/>
      <c r="F56" s="3"/>
      <c r="G56" s="3"/>
      <c r="H56" s="3"/>
    </row>
    <row r="57" spans="1:8" x14ac:dyDescent="0.2">
      <c r="A57" s="12" t="s">
        <v>464</v>
      </c>
      <c r="B57" s="3"/>
      <c r="C57" s="3"/>
      <c r="D57" s="3"/>
      <c r="E57" s="3"/>
      <c r="F57" s="3"/>
      <c r="G57" s="3"/>
      <c r="H57" s="3"/>
    </row>
    <row r="58" spans="1:8" x14ac:dyDescent="0.2">
      <c r="A58" s="12" t="s">
        <v>465</v>
      </c>
      <c r="B58" s="3"/>
      <c r="C58" s="3"/>
      <c r="D58" s="3"/>
      <c r="E58" s="3"/>
      <c r="F58" s="3"/>
      <c r="G58" s="3"/>
      <c r="H58" s="3"/>
    </row>
    <row r="59" spans="1:8" x14ac:dyDescent="0.2">
      <c r="A59" s="12" t="s">
        <v>466</v>
      </c>
      <c r="B59" s="3"/>
      <c r="C59" s="3"/>
      <c r="D59" s="3"/>
      <c r="E59" s="3"/>
      <c r="F59" s="3"/>
      <c r="G59" s="3"/>
      <c r="H59" s="3"/>
    </row>
    <row r="60" spans="1:8" x14ac:dyDescent="0.2">
      <c r="A60" s="12" t="s">
        <v>467</v>
      </c>
      <c r="B60" s="3"/>
      <c r="C60" s="3"/>
      <c r="D60" s="3"/>
      <c r="E60" s="3"/>
      <c r="F60" s="3"/>
      <c r="G60" s="3"/>
      <c r="H60" s="3"/>
    </row>
    <row r="61" spans="1:8" x14ac:dyDescent="0.2">
      <c r="A61" s="12" t="s">
        <v>468</v>
      </c>
      <c r="B61" s="3"/>
      <c r="C61" s="3"/>
      <c r="D61" s="3"/>
      <c r="E61" s="3"/>
      <c r="F61" s="3"/>
      <c r="G61" s="3"/>
      <c r="H61" s="3"/>
    </row>
    <row r="62" spans="1:8" x14ac:dyDescent="0.2">
      <c r="A62" s="12" t="s">
        <v>469</v>
      </c>
      <c r="B62" s="3"/>
      <c r="C62" s="3"/>
      <c r="D62" s="3"/>
      <c r="E62" s="3"/>
      <c r="F62" s="3"/>
      <c r="G62" s="3"/>
      <c r="H62" s="3"/>
    </row>
    <row r="63" spans="1:8" x14ac:dyDescent="0.2">
      <c r="A63" s="12" t="s">
        <v>470</v>
      </c>
      <c r="B63" s="3"/>
      <c r="C63" s="3"/>
      <c r="D63" s="3"/>
      <c r="E63" s="3"/>
      <c r="F63" s="3"/>
      <c r="G63" s="3"/>
      <c r="H63" s="3"/>
    </row>
    <row r="64" spans="1:8" x14ac:dyDescent="0.2">
      <c r="A64" s="12" t="s">
        <v>471</v>
      </c>
      <c r="B64" s="3"/>
      <c r="C64" s="3"/>
      <c r="D64" s="3"/>
      <c r="E64" s="3"/>
      <c r="F64" s="3"/>
      <c r="G64" s="3"/>
      <c r="H64" s="3"/>
    </row>
    <row r="65" spans="1:8" x14ac:dyDescent="0.2">
      <c r="A65" s="12" t="s">
        <v>472</v>
      </c>
      <c r="B65" s="3"/>
      <c r="C65" s="3"/>
      <c r="D65" s="3"/>
      <c r="E65" s="3"/>
      <c r="F65" s="3"/>
      <c r="G65" s="3"/>
      <c r="H65" s="3"/>
    </row>
    <row r="66" spans="1:8" x14ac:dyDescent="0.2">
      <c r="A66" s="12" t="s">
        <v>473</v>
      </c>
      <c r="B66" s="3"/>
      <c r="C66" s="3"/>
      <c r="D66" s="3"/>
      <c r="E66" s="3"/>
      <c r="F66" s="3"/>
      <c r="G66" s="3"/>
      <c r="H66" s="3"/>
    </row>
    <row r="67" spans="1:8" x14ac:dyDescent="0.2">
      <c r="A67" s="12" t="s">
        <v>474</v>
      </c>
      <c r="B67" s="3"/>
      <c r="C67" s="3"/>
      <c r="D67" s="3"/>
      <c r="E67" s="3"/>
      <c r="F67" s="3"/>
      <c r="G67" s="3"/>
      <c r="H67" s="3"/>
    </row>
    <row r="68" spans="1:8" x14ac:dyDescent="0.2">
      <c r="A68" s="12" t="s">
        <v>475</v>
      </c>
      <c r="B68" s="3"/>
      <c r="C68" s="3"/>
      <c r="D68" s="3"/>
      <c r="E68" s="3"/>
      <c r="F68" s="3"/>
      <c r="G68" s="3"/>
      <c r="H68" s="3"/>
    </row>
    <row r="69" spans="1:8" x14ac:dyDescent="0.2">
      <c r="A69" s="12" t="s">
        <v>476</v>
      </c>
      <c r="B69" s="3"/>
      <c r="C69" s="3"/>
      <c r="D69" s="3"/>
      <c r="E69" s="3"/>
      <c r="F69" s="3"/>
      <c r="G69" s="3"/>
      <c r="H69" s="3"/>
    </row>
    <row r="70" spans="1:8" x14ac:dyDescent="0.2">
      <c r="A70" s="12" t="s">
        <v>477</v>
      </c>
      <c r="B70" s="3"/>
      <c r="C70" s="3"/>
      <c r="D70" s="3"/>
      <c r="E70" s="3"/>
      <c r="F70" s="3"/>
      <c r="G70" s="3"/>
      <c r="H70" s="3"/>
    </row>
    <row r="71" spans="1:8" x14ac:dyDescent="0.2">
      <c r="A71" s="12" t="s">
        <v>478</v>
      </c>
      <c r="B71" s="3"/>
      <c r="C71" s="3"/>
      <c r="D71" s="3"/>
      <c r="E71" s="3"/>
      <c r="F71" s="3"/>
      <c r="G71" s="3"/>
      <c r="H71" s="3"/>
    </row>
    <row r="72" spans="1:8" x14ac:dyDescent="0.2">
      <c r="A72" s="12" t="s">
        <v>479</v>
      </c>
      <c r="B72" s="3"/>
      <c r="C72" s="3"/>
      <c r="D72" s="3"/>
      <c r="E72" s="3"/>
      <c r="F72" s="3"/>
      <c r="G72" s="3"/>
      <c r="H72" s="3"/>
    </row>
    <row r="73" spans="1:8" x14ac:dyDescent="0.2">
      <c r="A73" s="12" t="s">
        <v>480</v>
      </c>
      <c r="B73" s="3"/>
      <c r="C73" s="3"/>
      <c r="D73" s="3"/>
      <c r="E73" s="3"/>
      <c r="F73" s="3"/>
      <c r="G73" s="3"/>
      <c r="H73" s="3"/>
    </row>
    <row r="74" spans="1:8" x14ac:dyDescent="0.2">
      <c r="A74" s="12" t="s">
        <v>481</v>
      </c>
      <c r="B74" s="3"/>
      <c r="C74" s="3"/>
      <c r="D74" s="3"/>
      <c r="E74" s="3"/>
      <c r="F74" s="3"/>
      <c r="G74" s="3"/>
      <c r="H74" s="3"/>
    </row>
    <row r="75" spans="1:8" x14ac:dyDescent="0.2">
      <c r="A75" s="12" t="s">
        <v>482</v>
      </c>
      <c r="B75" s="3"/>
      <c r="C75" s="3"/>
      <c r="D75" s="3"/>
      <c r="E75" s="3"/>
      <c r="F75" s="3"/>
      <c r="G75" s="3"/>
      <c r="H75" s="3"/>
    </row>
    <row r="76" spans="1:8" x14ac:dyDescent="0.2">
      <c r="A76" s="12" t="s">
        <v>483</v>
      </c>
      <c r="B76" s="3"/>
      <c r="C76" s="3"/>
      <c r="D76" s="3"/>
      <c r="E76" s="3"/>
      <c r="F76" s="3"/>
      <c r="G76" s="3"/>
      <c r="H76" s="3"/>
    </row>
    <row r="77" spans="1:8" x14ac:dyDescent="0.2">
      <c r="A77" s="12" t="s">
        <v>484</v>
      </c>
      <c r="B77" s="3"/>
      <c r="C77" s="3"/>
      <c r="D77" s="3"/>
      <c r="E77" s="3"/>
      <c r="F77" s="3"/>
      <c r="G77" s="3"/>
      <c r="H77" s="3"/>
    </row>
    <row r="78" spans="1:8" x14ac:dyDescent="0.2">
      <c r="A78" s="12" t="s">
        <v>485</v>
      </c>
      <c r="B78" s="3"/>
      <c r="C78" s="3"/>
      <c r="D78" s="3"/>
      <c r="E78" s="3"/>
      <c r="F78" s="3"/>
      <c r="G78" s="3"/>
      <c r="H78" s="3"/>
    </row>
    <row r="79" spans="1:8" x14ac:dyDescent="0.2">
      <c r="A79" s="12" t="s">
        <v>486</v>
      </c>
      <c r="B79" s="3"/>
      <c r="C79" s="3"/>
      <c r="D79" s="3"/>
      <c r="E79" s="3"/>
      <c r="F79" s="3"/>
      <c r="G79" s="3"/>
      <c r="H79" s="3"/>
    </row>
    <row r="80" spans="1:8" x14ac:dyDescent="0.2">
      <c r="A80" s="12" t="s">
        <v>487</v>
      </c>
      <c r="B80" s="3"/>
      <c r="C80" s="3"/>
      <c r="D80" s="3"/>
      <c r="E80" s="3"/>
      <c r="F80" s="3"/>
      <c r="G80" s="3"/>
      <c r="H80" s="3"/>
    </row>
    <row r="81" spans="1:8" x14ac:dyDescent="0.2">
      <c r="A81" s="12" t="s">
        <v>488</v>
      </c>
      <c r="B81" s="3"/>
      <c r="C81" s="3"/>
      <c r="D81" s="3"/>
      <c r="E81" s="3"/>
      <c r="F81" s="3"/>
      <c r="G81" s="3"/>
      <c r="H81" s="3"/>
    </row>
    <row r="82" spans="1:8" x14ac:dyDescent="0.2">
      <c r="A82" s="12" t="s">
        <v>489</v>
      </c>
      <c r="B82" s="3"/>
      <c r="C82" s="3"/>
      <c r="D82" s="3"/>
      <c r="E82" s="3"/>
      <c r="F82" s="3"/>
      <c r="G82" s="3"/>
      <c r="H82" s="3"/>
    </row>
    <row r="83" spans="1:8" x14ac:dyDescent="0.2">
      <c r="A83" s="12" t="s">
        <v>490</v>
      </c>
      <c r="B83" s="3"/>
      <c r="C83" s="3"/>
      <c r="D83" s="3"/>
      <c r="E83" s="3"/>
      <c r="F83" s="3"/>
      <c r="G83" s="3"/>
      <c r="H83" s="3"/>
    </row>
    <row r="84" spans="1:8" x14ac:dyDescent="0.2">
      <c r="A84" s="12" t="s">
        <v>491</v>
      </c>
      <c r="B84" s="3"/>
      <c r="C84" s="3"/>
      <c r="D84" s="3"/>
      <c r="E84" s="3"/>
      <c r="F84" s="3"/>
      <c r="G84" s="3"/>
      <c r="H84" s="3"/>
    </row>
    <row r="85" spans="1:8" x14ac:dyDescent="0.2">
      <c r="A85" s="12" t="s">
        <v>492</v>
      </c>
      <c r="B85" s="3"/>
      <c r="C85" s="3"/>
      <c r="D85" s="3"/>
      <c r="E85" s="3"/>
      <c r="F85" s="3"/>
      <c r="G85" s="3"/>
      <c r="H85" s="3"/>
    </row>
    <row r="86" spans="1:8" x14ac:dyDescent="0.2">
      <c r="A86" s="12" t="s">
        <v>493</v>
      </c>
      <c r="B86" s="3"/>
      <c r="C86" s="3"/>
      <c r="D86" s="3"/>
      <c r="E86" s="3"/>
      <c r="F86" s="3"/>
      <c r="G86" s="3"/>
      <c r="H86" s="3"/>
    </row>
    <row r="87" spans="1:8" x14ac:dyDescent="0.2">
      <c r="A87" s="12" t="s">
        <v>494</v>
      </c>
      <c r="B87" s="3"/>
      <c r="C87" s="3"/>
      <c r="D87" s="3"/>
      <c r="E87" s="3"/>
      <c r="F87" s="3"/>
      <c r="G87" s="3"/>
      <c r="H87" s="3"/>
    </row>
    <row r="88" spans="1:8" x14ac:dyDescent="0.2">
      <c r="A88" s="12" t="s">
        <v>495</v>
      </c>
      <c r="B88" s="3"/>
      <c r="C88" s="3"/>
      <c r="D88" s="3"/>
      <c r="E88" s="3"/>
      <c r="F88" s="3"/>
      <c r="G88" s="3"/>
      <c r="H88" s="3"/>
    </row>
    <row r="89" spans="1:8" x14ac:dyDescent="0.2">
      <c r="A89" s="12" t="s">
        <v>496</v>
      </c>
      <c r="B89" s="3"/>
      <c r="C89" s="3"/>
      <c r="D89" s="3"/>
      <c r="E89" s="3"/>
      <c r="F89" s="3"/>
      <c r="G89" s="3"/>
      <c r="H89" s="3"/>
    </row>
    <row r="90" spans="1:8" x14ac:dyDescent="0.2">
      <c r="A90" s="12" t="s">
        <v>497</v>
      </c>
      <c r="B90" s="3"/>
      <c r="C90" s="3"/>
      <c r="D90" s="3"/>
      <c r="E90" s="3"/>
      <c r="F90" s="3"/>
      <c r="G90" s="3"/>
      <c r="H90" s="3"/>
    </row>
    <row r="91" spans="1:8" x14ac:dyDescent="0.2">
      <c r="A91" s="12" t="s">
        <v>498</v>
      </c>
      <c r="B91" s="3"/>
      <c r="C91" s="3"/>
      <c r="D91" s="3"/>
      <c r="E91" s="3"/>
      <c r="F91" s="3"/>
      <c r="G91" s="3"/>
      <c r="H91" s="3"/>
    </row>
    <row r="92" spans="1:8" x14ac:dyDescent="0.2">
      <c r="A92" s="12" t="s">
        <v>499</v>
      </c>
      <c r="B92" s="3"/>
      <c r="C92" s="3"/>
      <c r="D92" s="3"/>
      <c r="E92" s="3"/>
      <c r="F92" s="3"/>
      <c r="G92" s="3"/>
      <c r="H92" s="3"/>
    </row>
    <row r="93" spans="1:8" x14ac:dyDescent="0.2">
      <c r="A93" s="12" t="s">
        <v>500</v>
      </c>
      <c r="B93" s="3"/>
      <c r="C93" s="3"/>
      <c r="D93" s="3"/>
      <c r="E93" s="3"/>
      <c r="F93" s="3"/>
      <c r="G93" s="3"/>
      <c r="H93" s="3"/>
    </row>
    <row r="94" spans="1:8" x14ac:dyDescent="0.2">
      <c r="A94" s="12" t="s">
        <v>501</v>
      </c>
      <c r="B94" s="3"/>
      <c r="C94" s="3"/>
      <c r="D94" s="3"/>
      <c r="E94" s="3"/>
      <c r="F94" s="3"/>
      <c r="G94" s="3"/>
      <c r="H94" s="3"/>
    </row>
    <row r="95" spans="1:8" x14ac:dyDescent="0.2">
      <c r="A95" s="12" t="s">
        <v>502</v>
      </c>
      <c r="B95" s="3"/>
      <c r="C95" s="3"/>
      <c r="D95" s="3"/>
      <c r="E95" s="3"/>
      <c r="F95" s="3"/>
      <c r="G95" s="3"/>
      <c r="H95" s="3"/>
    </row>
    <row r="96" spans="1:8" x14ac:dyDescent="0.2">
      <c r="A96" s="12" t="s">
        <v>503</v>
      </c>
      <c r="B96" s="3"/>
      <c r="C96" s="3"/>
      <c r="D96" s="3"/>
      <c r="E96" s="3"/>
      <c r="F96" s="3"/>
      <c r="G96" s="3"/>
      <c r="H96" s="3"/>
    </row>
    <row r="97" spans="1:8" x14ac:dyDescent="0.2">
      <c r="A97" s="12" t="s">
        <v>504</v>
      </c>
      <c r="B97" s="3"/>
      <c r="C97" s="3"/>
      <c r="D97" s="3"/>
      <c r="E97" s="3"/>
      <c r="F97" s="3"/>
      <c r="G97" s="3"/>
      <c r="H97" s="3"/>
    </row>
    <row r="98" spans="1:8" x14ac:dyDescent="0.2">
      <c r="A98" s="12" t="s">
        <v>505</v>
      </c>
      <c r="B98" s="3"/>
      <c r="C98" s="3"/>
      <c r="D98" s="3"/>
      <c r="E98" s="3"/>
      <c r="F98" s="3"/>
      <c r="G98" s="3"/>
      <c r="H98" s="3"/>
    </row>
    <row r="99" spans="1:8" x14ac:dyDescent="0.2">
      <c r="A99" s="12" t="s">
        <v>506</v>
      </c>
      <c r="B99" s="3"/>
      <c r="C99" s="3"/>
      <c r="D99" s="3"/>
      <c r="E99" s="3"/>
      <c r="F99" s="3"/>
      <c r="G99" s="3"/>
      <c r="H99" s="3"/>
    </row>
    <row r="100" spans="1:8" x14ac:dyDescent="0.2">
      <c r="A100" s="12" t="s">
        <v>507</v>
      </c>
      <c r="B100" s="3"/>
      <c r="C100" s="3"/>
      <c r="D100" s="3"/>
      <c r="E100" s="3"/>
      <c r="F100" s="3"/>
      <c r="G100" s="3"/>
      <c r="H100" s="3"/>
    </row>
    <row r="101" spans="1:8" x14ac:dyDescent="0.2">
      <c r="A101" s="12" t="s">
        <v>508</v>
      </c>
      <c r="B101" s="3"/>
      <c r="C101" s="3"/>
      <c r="D101" s="3"/>
      <c r="E101" s="3"/>
      <c r="F101" s="3"/>
      <c r="G101" s="3"/>
      <c r="H101" s="3"/>
    </row>
    <row r="102" spans="1:8" x14ac:dyDescent="0.2">
      <c r="A102" s="12" t="s">
        <v>509</v>
      </c>
      <c r="B102" s="3"/>
      <c r="C102" s="3"/>
      <c r="D102" s="3"/>
      <c r="E102" s="3"/>
      <c r="F102" s="3"/>
      <c r="G102" s="3"/>
      <c r="H102" s="3"/>
    </row>
    <row r="103" spans="1:8" x14ac:dyDescent="0.2">
      <c r="A103" s="12" t="s">
        <v>510</v>
      </c>
      <c r="B103" s="3"/>
      <c r="C103" s="3"/>
      <c r="D103" s="3"/>
      <c r="E103" s="3"/>
      <c r="F103" s="3"/>
      <c r="G103" s="3"/>
      <c r="H103" s="3"/>
    </row>
    <row r="104" spans="1:8" x14ac:dyDescent="0.2">
      <c r="A104" s="12" t="s">
        <v>511</v>
      </c>
      <c r="B104" s="3"/>
      <c r="C104" s="3"/>
      <c r="D104" s="3"/>
      <c r="E104" s="3"/>
      <c r="F104" s="3"/>
      <c r="G104" s="3"/>
      <c r="H104" s="3"/>
    </row>
  </sheetData>
  <mergeCells count="2">
    <mergeCell ref="A2:H2"/>
    <mergeCell ref="A1:H1"/>
  </mergeCells>
  <dataValidations count="2">
    <dataValidation type="list"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xr:uid="{00000000-0002-0000-0800-000000000000}">
      <formula1>"Config File,Screenshot,Report,License,Contract,Log,Diagram,Policy,Other"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800-000001000000}">
      <formula1>"Verified,Pending,Not Verified"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2"/>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30" t="s">
        <v>512</v>
      </c>
      <c r="B1" s="28"/>
      <c r="C1" s="28"/>
      <c r="D1" s="28"/>
      <c r="E1" s="28"/>
    </row>
    <row r="3" spans="1:5" x14ac:dyDescent="0.2">
      <c r="A3" s="32" t="s">
        <v>513</v>
      </c>
      <c r="B3" s="28"/>
      <c r="C3" s="28"/>
      <c r="D3" s="28"/>
      <c r="E3" s="28"/>
    </row>
    <row r="4" spans="1:5" x14ac:dyDescent="0.2">
      <c r="A4" s="2" t="s">
        <v>514</v>
      </c>
      <c r="B4" t="s">
        <v>515</v>
      </c>
    </row>
    <row r="5" spans="1:5" x14ac:dyDescent="0.2">
      <c r="A5" s="2" t="s">
        <v>516</v>
      </c>
      <c r="B5" s="3" t="s">
        <v>517</v>
      </c>
    </row>
    <row r="6" spans="1:5" x14ac:dyDescent="0.2">
      <c r="A6" s="2" t="s">
        <v>518</v>
      </c>
      <c r="B6" t="s">
        <v>519</v>
      </c>
    </row>
    <row r="7" spans="1:5" x14ac:dyDescent="0.2">
      <c r="A7" s="2" t="s">
        <v>520</v>
      </c>
      <c r="B7" t="s">
        <v>521</v>
      </c>
    </row>
    <row r="8" spans="1:5" x14ac:dyDescent="0.2">
      <c r="A8" s="2" t="s">
        <v>522</v>
      </c>
      <c r="B8" t="s">
        <v>523</v>
      </c>
    </row>
    <row r="9" spans="1:5" x14ac:dyDescent="0.2">
      <c r="A9" s="2" t="s">
        <v>524</v>
      </c>
      <c r="B9" s="3" t="s">
        <v>525</v>
      </c>
    </row>
    <row r="12" spans="1:5" x14ac:dyDescent="0.2">
      <c r="A12" s="32" t="s">
        <v>526</v>
      </c>
      <c r="B12" s="28"/>
      <c r="C12" s="28"/>
      <c r="D12" s="28"/>
      <c r="E12" s="28"/>
    </row>
    <row r="13" spans="1:5" x14ac:dyDescent="0.2">
      <c r="A13" s="2" t="s">
        <v>527</v>
      </c>
      <c r="B13" s="38"/>
      <c r="C13" s="28"/>
      <c r="D13" s="28"/>
      <c r="E13" s="28"/>
    </row>
    <row r="14" spans="1:5" x14ac:dyDescent="0.2">
      <c r="A14" s="2" t="s">
        <v>528</v>
      </c>
      <c r="B14" s="38"/>
      <c r="C14" s="28"/>
      <c r="D14" s="28"/>
      <c r="E14" s="28"/>
    </row>
    <row r="15" spans="1:5" x14ac:dyDescent="0.2">
      <c r="A15" s="2" t="s">
        <v>529</v>
      </c>
      <c r="B15" s="38"/>
      <c r="C15" s="28"/>
      <c r="D15" s="28"/>
      <c r="E15" s="28"/>
    </row>
    <row r="16" spans="1:5" x14ac:dyDescent="0.2">
      <c r="A16" s="2" t="s">
        <v>530</v>
      </c>
      <c r="B16" s="38"/>
      <c r="C16" s="28"/>
      <c r="D16" s="28"/>
      <c r="E16" s="28"/>
    </row>
    <row r="17" spans="1:5" x14ac:dyDescent="0.2">
      <c r="A17" s="2" t="s">
        <v>531</v>
      </c>
      <c r="B17" s="38"/>
      <c r="C17" s="28"/>
      <c r="D17" s="28"/>
      <c r="E17" s="28"/>
    </row>
    <row r="18" spans="1:5" x14ac:dyDescent="0.2">
      <c r="A18" s="2" t="s">
        <v>532</v>
      </c>
      <c r="B18" s="38"/>
      <c r="C18" s="28"/>
      <c r="D18" s="28"/>
      <c r="E18" s="28"/>
    </row>
    <row r="21" spans="1:5" x14ac:dyDescent="0.2">
      <c r="A21" s="32" t="s">
        <v>533</v>
      </c>
      <c r="B21" s="28"/>
      <c r="C21" s="28"/>
      <c r="D21" s="28"/>
      <c r="E21" s="28"/>
    </row>
    <row r="22" spans="1:5" x14ac:dyDescent="0.2">
      <c r="A22" s="2" t="s">
        <v>527</v>
      </c>
      <c r="B22" s="39"/>
      <c r="C22" s="28"/>
      <c r="D22" s="28"/>
      <c r="E22" s="28"/>
    </row>
    <row r="23" spans="1:5" x14ac:dyDescent="0.2">
      <c r="A23" s="2" t="s">
        <v>531</v>
      </c>
      <c r="B23" s="39"/>
      <c r="C23" s="28"/>
      <c r="D23" s="28"/>
      <c r="E23" s="28"/>
    </row>
    <row r="24" spans="1:5" x14ac:dyDescent="0.2">
      <c r="A24" s="2" t="s">
        <v>534</v>
      </c>
      <c r="B24" s="34"/>
      <c r="C24" s="28"/>
      <c r="D24" s="28"/>
      <c r="E24" s="28"/>
    </row>
    <row r="25" spans="1:5" x14ac:dyDescent="0.2">
      <c r="B25" s="28"/>
      <c r="C25" s="28"/>
      <c r="D25" s="28"/>
      <c r="E25" s="28"/>
    </row>
    <row r="26" spans="1:5" x14ac:dyDescent="0.2">
      <c r="B26" s="28"/>
      <c r="C26" s="28"/>
      <c r="D26" s="28"/>
      <c r="E26" s="28"/>
    </row>
    <row r="27" spans="1:5" x14ac:dyDescent="0.2">
      <c r="A27" s="2" t="s">
        <v>535</v>
      </c>
      <c r="B27" s="39"/>
      <c r="C27" s="28"/>
      <c r="D27" s="28"/>
      <c r="E27" s="28"/>
    </row>
    <row r="30" spans="1:5" x14ac:dyDescent="0.2">
      <c r="A30" s="36" t="s">
        <v>536</v>
      </c>
      <c r="B30" s="28"/>
      <c r="C30" s="28"/>
      <c r="D30" s="28"/>
      <c r="E30" s="28"/>
    </row>
    <row r="31" spans="1:5" x14ac:dyDescent="0.2">
      <c r="A31" s="2" t="s">
        <v>527</v>
      </c>
      <c r="B31" s="39"/>
      <c r="C31" s="28"/>
      <c r="D31" s="28"/>
      <c r="E31" s="28"/>
    </row>
    <row r="32" spans="1:5" x14ac:dyDescent="0.2">
      <c r="A32" s="2" t="s">
        <v>531</v>
      </c>
      <c r="B32" s="39"/>
      <c r="C32" s="28"/>
      <c r="D32" s="28"/>
      <c r="E32" s="28"/>
    </row>
    <row r="33" spans="1:5" x14ac:dyDescent="0.2">
      <c r="A33" s="2" t="s">
        <v>537</v>
      </c>
      <c r="B33" s="39"/>
      <c r="C33" s="28"/>
      <c r="D33" s="28"/>
      <c r="E33" s="28"/>
    </row>
    <row r="34" spans="1:5" x14ac:dyDescent="0.2">
      <c r="A34" s="2" t="s">
        <v>538</v>
      </c>
      <c r="B34" s="34"/>
      <c r="C34" s="28"/>
      <c r="D34" s="28"/>
      <c r="E34" s="28"/>
    </row>
    <row r="35" spans="1:5" x14ac:dyDescent="0.2">
      <c r="B35" s="28"/>
      <c r="C35" s="28"/>
      <c r="D35" s="28"/>
      <c r="E35" s="28"/>
    </row>
    <row r="36" spans="1:5" x14ac:dyDescent="0.2">
      <c r="B36" s="28"/>
      <c r="C36" s="28"/>
      <c r="D36" s="28"/>
      <c r="E36" s="28"/>
    </row>
    <row r="39" spans="1:5" x14ac:dyDescent="0.2">
      <c r="A39" s="32" t="s">
        <v>539</v>
      </c>
      <c r="B39" s="28"/>
      <c r="C39" s="28"/>
      <c r="D39" s="28"/>
      <c r="E39" s="28"/>
    </row>
    <row r="40" spans="1:5" x14ac:dyDescent="0.2">
      <c r="A40" s="2" t="s">
        <v>540</v>
      </c>
      <c r="B40" s="37">
        <f ca="1">TODAY()+90</f>
        <v>46123</v>
      </c>
      <c r="C40" s="28"/>
      <c r="D40" s="28"/>
      <c r="E40" s="28"/>
    </row>
    <row r="41" spans="1:5" x14ac:dyDescent="0.2">
      <c r="A41" s="2" t="s">
        <v>541</v>
      </c>
      <c r="B41" s="39"/>
      <c r="C41" s="28"/>
      <c r="D41" s="28"/>
      <c r="E41" s="28"/>
    </row>
    <row r="42" spans="1:5" x14ac:dyDescent="0.2">
      <c r="A42" s="2" t="s">
        <v>542</v>
      </c>
      <c r="B42" s="39"/>
      <c r="C42" s="28"/>
      <c r="D42" s="28"/>
      <c r="E42" s="28"/>
    </row>
  </sheetData>
  <mergeCells count="23">
    <mergeCell ref="B42:E42"/>
    <mergeCell ref="B14:E14"/>
    <mergeCell ref="B17:E17"/>
    <mergeCell ref="B23:E23"/>
    <mergeCell ref="B13:E13"/>
    <mergeCell ref="A1:E1"/>
    <mergeCell ref="B24:E26"/>
    <mergeCell ref="B32:E32"/>
    <mergeCell ref="B41:E41"/>
    <mergeCell ref="B16:E16"/>
    <mergeCell ref="B22:E22"/>
    <mergeCell ref="A3:E3"/>
    <mergeCell ref="A21:E21"/>
    <mergeCell ref="B31:E31"/>
    <mergeCell ref="A12:E12"/>
    <mergeCell ref="B18:E18"/>
    <mergeCell ref="B27:E27"/>
    <mergeCell ref="A30:E30"/>
    <mergeCell ref="A39:E39"/>
    <mergeCell ref="B40:E40"/>
    <mergeCell ref="B34:E36"/>
    <mergeCell ref="B15:E15"/>
    <mergeCell ref="B33:E33"/>
  </mergeCells>
  <dataValidations count="3">
    <dataValidation type="list" sqref="B9" xr:uid="{00000000-0002-0000-0900-000000000000}">
      <formula1>"Draft,Final,Requires Remediation,Re-assessment Required"</formula1>
    </dataValidation>
    <dataValidation type="list" sqref="B33" xr:uid="{00000000-0002-0000-0900-000001000000}">
      <formula1>"Approved,Approved with Conditions,Rejected"</formula1>
    </dataValidation>
    <dataValidation type="list" sqref="B27" xr:uid="{00000000-0002-0000-0900-000002000000}">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 &amp; Legend</vt:lpstr>
      <vt:lpstr>Solution_Details_Template</vt:lpstr>
      <vt:lpstr>Technology_Comparison</vt:lpstr>
      <vt:lpstr>Capability_Requirements</vt:lpstr>
      <vt:lpstr>Integration_Architecture</vt:lpstr>
      <vt:lpstr>Licensing_Support</vt:lpstr>
      <vt:lpstr>Performance_Metrics</vt:lpstr>
      <vt:lpstr>Gap_Analysis</vt:lpstr>
      <vt:lpstr>Evidence_Register</vt:lpstr>
      <vt:lpstr>Approval_Sign_Off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2026-01-11T19:09:18Z</dcterms:created>
  <dcterms:modified xsi:type="dcterms:W3CDTF">2026-01-11T19:35:17Z</dcterms:modified>
</cp:coreProperties>
</file>