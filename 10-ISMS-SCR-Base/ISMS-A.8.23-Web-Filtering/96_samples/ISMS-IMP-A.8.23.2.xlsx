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greg/Downloads/"/>
    </mc:Choice>
  </mc:AlternateContent>
  <xr:revisionPtr revIDLastSave="0" documentId="8_{C4893B03-44C5-9042-AB7A-3AB6B76413E2}" xr6:coauthVersionLast="47" xr6:coauthVersionMax="47" xr10:uidLastSave="{00000000-0000-0000-0000-000000000000}"/>
  <bookViews>
    <workbookView xWindow="0" yWindow="600" windowWidth="38400" windowHeight="19660" activeTab="2" xr2:uid="{00000000-000D-0000-FFFF-FFFF00000000}"/>
  </bookViews>
  <sheets>
    <sheet name="Instructions &amp; Legend" sheetId="1" r:id="rId1"/>
    <sheet name="Network_Segment_Inventory" sheetId="2" r:id="rId2"/>
    <sheet name="Coverage_Matrix" sheetId="3" r:id="rId3"/>
    <sheet name="Gap_Identification" sheetId="4" r:id="rId4"/>
    <sheet name="Device_Inventory" sheetId="5" r:id="rId5"/>
    <sheet name="Exemption_Register" sheetId="6" r:id="rId6"/>
    <sheet name="Coverage_Verification" sheetId="7" r:id="rId7"/>
    <sheet name="Evidence_Register" sheetId="8" r:id="rId8"/>
    <sheet name="Approval_Sign_Off" sheetId="9" r:id="rId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9" l="1"/>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C33" i="6"/>
  <c r="B33" i="6"/>
  <c r="C32" i="6"/>
  <c r="B32" i="6"/>
  <c r="C31" i="6"/>
  <c r="B31" i="6"/>
  <c r="C30" i="6"/>
  <c r="B30" i="6"/>
  <c r="C29" i="6"/>
  <c r="B29" i="6"/>
  <c r="E114" i="5"/>
  <c r="D114" i="5"/>
  <c r="C114" i="5"/>
  <c r="B114" i="5"/>
  <c r="E113" i="5"/>
  <c r="D113" i="5"/>
  <c r="C113" i="5"/>
  <c r="B113" i="5"/>
  <c r="E112" i="5"/>
  <c r="D112" i="5"/>
  <c r="C112" i="5"/>
  <c r="B112" i="5"/>
  <c r="E111" i="5"/>
  <c r="D111" i="5"/>
  <c r="C111" i="5"/>
  <c r="B111" i="5"/>
  <c r="E110" i="5"/>
  <c r="D110" i="5"/>
  <c r="C110" i="5"/>
  <c r="B110" i="5"/>
  <c r="E109" i="5"/>
  <c r="D109" i="5"/>
  <c r="C109" i="5"/>
  <c r="B109" i="5"/>
  <c r="B46" i="4"/>
  <c r="B45" i="4"/>
  <c r="B44" i="4"/>
  <c r="B42" i="4"/>
  <c r="C42" i="4" s="1"/>
  <c r="B41" i="4"/>
  <c r="C41" i="4" s="1"/>
  <c r="B40" i="4"/>
  <c r="C40" i="4" s="1"/>
  <c r="B39" i="4"/>
  <c r="C39" i="4" s="1"/>
  <c r="B68" i="3"/>
  <c r="C68" i="3" s="1"/>
  <c r="B58"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B71" i="3" s="1"/>
  <c r="C71" i="3" s="1"/>
  <c r="F5" i="3"/>
  <c r="B59" i="3" l="1"/>
  <c r="B60" i="3"/>
  <c r="B61" i="3"/>
  <c r="B69" i="3"/>
  <c r="C69" i="3" s="1"/>
  <c r="B70" i="3"/>
  <c r="C70" i="3" s="1"/>
  <c r="B62" i="3"/>
  <c r="B67" i="3"/>
  <c r="C67" i="3" s="1"/>
</calcChain>
</file>

<file path=xl/sharedStrings.xml><?xml version="1.0" encoding="utf-8"?>
<sst xmlns="http://schemas.openxmlformats.org/spreadsheetml/2006/main" count="717" uniqueCount="680">
  <si>
    <t>ISMS-IMP-A.8.23.2 – Network Coverage Assessment</t>
  </si>
  <si>
    <t>ISO/IEC 27001:2022 - Control A.8.23: Web Filtering</t>
  </si>
  <si>
    <t>DOCUMENT INFORMATION</t>
  </si>
  <si>
    <t>Document ID:</t>
  </si>
  <si>
    <t>ISMS-IMP-A.8.23.2</t>
  </si>
  <si>
    <t>Assessment Area:</t>
  </si>
  <si>
    <t>Network Coverage &amp; Deployment Topology</t>
  </si>
  <si>
    <t>Related Policy:</t>
  </si>
  <si>
    <t>ISMS-POL-A.8.23-S2.1</t>
  </si>
  <si>
    <t>Version:</t>
  </si>
  <si>
    <t>1.0</t>
  </si>
  <si>
    <t>Assessment Date:</t>
  </si>
  <si>
    <t>2026-01-11</t>
  </si>
  <si>
    <t>Completed By:</t>
  </si>
  <si>
    <t>Mike Rodriguez - Network Manager</t>
  </si>
  <si>
    <t>Organization:</t>
  </si>
  <si>
    <t>TechCorp International</t>
  </si>
  <si>
    <t>Review Cycle:</t>
  </si>
  <si>
    <t>Quarterly</t>
  </si>
  <si>
    <t>HOW TO USE THIS WORKBOOK</t>
  </si>
  <si>
    <t>1. Complete Network_Segment_Inventory for EVERY network segment in your environment</t>
  </si>
  <si>
    <t>2. Document YOUR specific network architecture (office LANs, WLANs, VPN, cloud, etc.)</t>
  </si>
  <si>
    <t>3. Map filtering solutions to network segments in Coverage_Matrix</t>
  </si>
  <si>
    <t>4. Calculate coverage percentages and identify gaps</t>
  </si>
  <si>
    <t>5. Document any devices/segments exempt from filtering in Exemption_Register</t>
  </si>
  <si>
    <t>6. Track evidence in Evidence_Register</t>
  </si>
  <si>
    <t>7. Review and approve via Approval_Sign_Off</t>
  </si>
  <si>
    <t>8. Update quarterly or after network topology changes</t>
  </si>
  <si>
    <t>9. Coordinate with ISMS-IMP-A.8.23.1 (Infrastructure Assessment)</t>
  </si>
  <si>
    <t>STATUS LEGEND</t>
  </si>
  <si>
    <t>Symbol</t>
  </si>
  <si>
    <t>Status</t>
  </si>
  <si>
    <t>Description</t>
  </si>
  <si>
    <t>Color</t>
  </si>
  <si>
    <t>✅</t>
  </si>
  <si>
    <t>Protected</t>
  </si>
  <si>
    <t>Web filtering active and operational</t>
  </si>
  <si>
    <t>Green</t>
  </si>
  <si>
    <t>⚠️</t>
  </si>
  <si>
    <t>Partial</t>
  </si>
  <si>
    <t>Partial coverage or limited protection</t>
  </si>
  <si>
    <t>Yellow</t>
  </si>
  <si>
    <t>❌</t>
  </si>
  <si>
    <t>Unprotected</t>
  </si>
  <si>
    <t>No web filtering deployed</t>
  </si>
  <si>
    <t>Red</t>
  </si>
  <si>
    <t>🔄</t>
  </si>
  <si>
    <t>Planned</t>
  </si>
  <si>
    <t>Protection planned with target date</t>
  </si>
  <si>
    <t>Blue</t>
  </si>
  <si>
    <t>🚫</t>
  </si>
  <si>
    <t>Exempt</t>
  </si>
  <si>
    <t>Approved exemption (documented)</t>
  </si>
  <si>
    <t>Gray</t>
  </si>
  <si>
    <t>NETWORK SEGMENT TYPES (Examples - Map YOUR environment)</t>
  </si>
  <si>
    <t>• On-Premises LANs (corporate office networks)</t>
  </si>
  <si>
    <t>• Wireless Networks (WLAN) - corporate WiFi, guest WiFi</t>
  </si>
  <si>
    <t>• Remote Access / VPN (remote workers, site-to-site)</t>
  </si>
  <si>
    <t>• Cloud-Based Endpoints (VDI, DaaS, Windows 365, virtual desktops)</t>
  </si>
  <si>
    <t>• Guest/Partner Networks (visitor access, vendor access)</t>
  </si>
  <si>
    <t>• DMZ / Extranet (public-facing services, partner connections)</t>
  </si>
  <si>
    <t>• Branch Offices (remote sites, field offices)</t>
  </si>
  <si>
    <t>• Mobile Devices (smartphones, tablets, laptops outside VPN)</t>
  </si>
  <si>
    <t>• IoT/OT Networks (building systems, manufacturing)</t>
  </si>
  <si>
    <t>• Development/Test Networks (staging, labs)</t>
  </si>
  <si>
    <t>ACCEPTABLE EVIDENCE (Examples)</t>
  </si>
  <si>
    <t>✓ Network topology diagrams</t>
  </si>
  <si>
    <t>✓ VLAN configurations and documentation</t>
  </si>
  <si>
    <t>✓ Firewall/routing policies showing filtering enforcement</t>
  </si>
  <si>
    <t>✓ DHCP configurations (DNS redirection, proxy settings)</t>
  </si>
  <si>
    <t>✓ VPN concentrator configurations</t>
  </si>
  <si>
    <t>✓ Cloud service dashboards (endpoint protection)</t>
  </si>
  <si>
    <t>✓ WiFi controller configurations</t>
  </si>
  <si>
    <t>✓ Network access control (NAC) policies</t>
  </si>
  <si>
    <t>✓ Exemption request approvals</t>
  </si>
  <si>
    <t>✓ Coverage verification tests/reports</t>
  </si>
  <si>
    <t>✓ Network monitoring dashboards</t>
  </si>
  <si>
    <t>✓ Change management records for network modifications</t>
  </si>
  <si>
    <t>NETWORK SEGMENT INVENTORY</t>
  </si>
  <si>
    <t>Document all network segments requiring web filtering protection</t>
  </si>
  <si>
    <t>SEG-001</t>
  </si>
  <si>
    <t>Corporate LAN - HQ</t>
  </si>
  <si>
    <t>On-Premises LAN</t>
  </si>
  <si>
    <t>✅ Protected</t>
  </si>
  <si>
    <t>Zscaler</t>
  </si>
  <si>
    <t>192.168.1.0/24</t>
  </si>
  <si>
    <t>192.168.1.1</t>
  </si>
  <si>
    <t>Primary office network</t>
  </si>
  <si>
    <t>SEG-002</t>
  </si>
  <si>
    <t>Corporate WiFi</t>
  </si>
  <si>
    <t>Wireless Network</t>
  </si>
  <si>
    <t>192.168.10.0/24</t>
  </si>
  <si>
    <t>192.168.10.1</t>
  </si>
  <si>
    <t>Employee and guest WiFi</t>
  </si>
  <si>
    <t>Filtering Status</t>
  </si>
  <si>
    <t>Filtering Solution(s)</t>
  </si>
  <si>
    <t>Coverage %</t>
  </si>
  <si>
    <t>Bypass Methods</t>
  </si>
  <si>
    <t>Exemption ID</t>
  </si>
  <si>
    <t>Evidence</t>
  </si>
  <si>
    <t>SEG-003</t>
  </si>
  <si>
    <t>VPN Users</t>
  </si>
  <si>
    <t>Remote Access VPN</t>
  </si>
  <si>
    <t>10.0.0.0/16</t>
  </si>
  <si>
    <t>N/A</t>
  </si>
  <si>
    <t>Remote workers</t>
  </si>
  <si>
    <t>SEG-004</t>
  </si>
  <si>
    <t>Branch - NYC</t>
  </si>
  <si>
    <t>Branch Office</t>
  </si>
  <si>
    <t>192.168.100.0/24</t>
  </si>
  <si>
    <t>192.168.100.1</t>
  </si>
  <si>
    <t>New York office</t>
  </si>
  <si>
    <t>SEG-005</t>
  </si>
  <si>
    <t>DMZ</t>
  </si>
  <si>
    <t>DMZ/Extranet</t>
  </si>
  <si>
    <t>⚠️ Partial</t>
  </si>
  <si>
    <t>Firewall only</t>
  </si>
  <si>
    <t>203.0.113.0/28</t>
  </si>
  <si>
    <t>203.0.113.1</t>
  </si>
  <si>
    <t>Web servers</t>
  </si>
  <si>
    <t>SEG-006</t>
  </si>
  <si>
    <t>IoT Devices</t>
  </si>
  <si>
    <t>IoT/OT Network</t>
  </si>
  <si>
    <t>❌ Unprotected</t>
  </si>
  <si>
    <t>None</t>
  </si>
  <si>
    <t>192.168.200.0/24</t>
  </si>
  <si>
    <t>192.168.200.1</t>
  </si>
  <si>
    <t>Building automation</t>
  </si>
  <si>
    <t>SEG-007</t>
  </si>
  <si>
    <t>Dev/Test</t>
  </si>
  <si>
    <t>Development/Test</t>
  </si>
  <si>
    <t>Limited</t>
  </si>
  <si>
    <t>192.168.50.0/24</t>
  </si>
  <si>
    <t>192.168.50.1</t>
  </si>
  <si>
    <t>Developer workstations</t>
  </si>
  <si>
    <t>SEG-008</t>
  </si>
  <si>
    <t>SEG-009</t>
  </si>
  <si>
    <t>SEG-010</t>
  </si>
  <si>
    <t>SEG-011</t>
  </si>
  <si>
    <t>SEG-012</t>
  </si>
  <si>
    <t>SEG-013</t>
  </si>
  <si>
    <t>SEG-014</t>
  </si>
  <si>
    <t>SEG-015</t>
  </si>
  <si>
    <t>SEG-016</t>
  </si>
  <si>
    <t>SEG-017</t>
  </si>
  <si>
    <t>SEG-018</t>
  </si>
  <si>
    <t>SEG-019</t>
  </si>
  <si>
    <t>SEG-020</t>
  </si>
  <si>
    <t>SEG-021</t>
  </si>
  <si>
    <t>SEG-022</t>
  </si>
  <si>
    <t>SEG-023</t>
  </si>
  <si>
    <t>SEG-024</t>
  </si>
  <si>
    <t>SEG-025</t>
  </si>
  <si>
    <t>SEG-026</t>
  </si>
  <si>
    <t>SEG-027</t>
  </si>
  <si>
    <t>SEG-028</t>
  </si>
  <si>
    <t>SEG-029</t>
  </si>
  <si>
    <t>SEG-030</t>
  </si>
  <si>
    <t>SEG-031</t>
  </si>
  <si>
    <t>SEG-032</t>
  </si>
  <si>
    <t>SEG-033</t>
  </si>
  <si>
    <t>SEG-034</t>
  </si>
  <si>
    <t>SEG-035</t>
  </si>
  <si>
    <t>SEG-036</t>
  </si>
  <si>
    <t>SEG-037</t>
  </si>
  <si>
    <t>SEG-038</t>
  </si>
  <si>
    <t>SEG-039</t>
  </si>
  <si>
    <t>SEG-040</t>
  </si>
  <si>
    <t>SEG-041</t>
  </si>
  <si>
    <t>SEG-042</t>
  </si>
  <si>
    <t>SEG-043</t>
  </si>
  <si>
    <t>SEG-044</t>
  </si>
  <si>
    <t>SEG-045</t>
  </si>
  <si>
    <t>SEG-046</t>
  </si>
  <si>
    <t>SEG-047</t>
  </si>
  <si>
    <t>SEG-048</t>
  </si>
  <si>
    <t>SEG-049</t>
  </si>
  <si>
    <t>SEG-050</t>
  </si>
  <si>
    <t>NETWORK COVERAGE MATRIX</t>
  </si>
  <si>
    <t>Map filtering solutions to network segments</t>
  </si>
  <si>
    <t>Network Segment</t>
  </si>
  <si>
    <t>Solution 1</t>
  </si>
  <si>
    <t>Solution 2</t>
  </si>
  <si>
    <t>Solution 3</t>
  </si>
  <si>
    <t>Solution 4</t>
  </si>
  <si>
    <t>Total Coverage</t>
  </si>
  <si>
    <t>SEG-001 [Segment Name]</t>
  </si>
  <si>
    <t>SEG-002 [Segment Name]</t>
  </si>
  <si>
    <t>SEG-003 [Segment Name]</t>
  </si>
  <si>
    <t>SEG-004 [Segment Name]</t>
  </si>
  <si>
    <t>SEG-005 [Segment Name]</t>
  </si>
  <si>
    <t>SEG-006 [Segment Name]</t>
  </si>
  <si>
    <t>SEG-007 [Segment Name]</t>
  </si>
  <si>
    <t>SEG-008 [Segment Name]</t>
  </si>
  <si>
    <t>SEG-009 [Segment Name]</t>
  </si>
  <si>
    <t>SEG-010 [Segment Name]</t>
  </si>
  <si>
    <t>SEG-011 [Segment Name]</t>
  </si>
  <si>
    <t>SEG-012 [Segment Name]</t>
  </si>
  <si>
    <t>SEG-013 [Segment Name]</t>
  </si>
  <si>
    <t>SEG-014 [Segment Name]</t>
  </si>
  <si>
    <t>SEG-015 [Segment Name]</t>
  </si>
  <si>
    <t>SEG-016 [Segment Name]</t>
  </si>
  <si>
    <t>SEG-017 [Segment Name]</t>
  </si>
  <si>
    <t>SEG-018 [Segment Name]</t>
  </si>
  <si>
    <t>SEG-019 [Segment Name]</t>
  </si>
  <si>
    <t>SEG-020 [Segment Name]</t>
  </si>
  <si>
    <t>SEG-021 [Segment Name]</t>
  </si>
  <si>
    <t>SEG-022 [Segment Name]</t>
  </si>
  <si>
    <t>SEG-023 [Segment Name]</t>
  </si>
  <si>
    <t>SEG-024 [Segment Name]</t>
  </si>
  <si>
    <t>SEG-025 [Segment Name]</t>
  </si>
  <si>
    <t>SEG-026 [Segment Name]</t>
  </si>
  <si>
    <t>SEG-027 [Segment Name]</t>
  </si>
  <si>
    <t>SEG-028 [Segment Name]</t>
  </si>
  <si>
    <t>SEG-029 [Segment Name]</t>
  </si>
  <si>
    <t>SEG-030 [Segment Name]</t>
  </si>
  <si>
    <t>SEG-031 [Segment Name]</t>
  </si>
  <si>
    <t>SEG-032 [Segment Name]</t>
  </si>
  <si>
    <t>SEG-033 [Segment Name]</t>
  </si>
  <si>
    <t>SEG-034 [Segment Name]</t>
  </si>
  <si>
    <t>SEG-035 [Segment Name]</t>
  </si>
  <si>
    <t>SEG-036 [Segment Name]</t>
  </si>
  <si>
    <t>SEG-037 [Segment Name]</t>
  </si>
  <si>
    <t>SEG-038 [Segment Name]</t>
  </si>
  <si>
    <t>SEG-039 [Segment Name]</t>
  </si>
  <si>
    <t>SEG-040 [Segment Name]</t>
  </si>
  <si>
    <t>SEG-041 [Segment Name]</t>
  </si>
  <si>
    <t>SEG-042 [Segment Name]</t>
  </si>
  <si>
    <t>SEG-043 [Segment Name]</t>
  </si>
  <si>
    <t>SEG-044 [Segment Name]</t>
  </si>
  <si>
    <t>SEG-045 [Segment Name]</t>
  </si>
  <si>
    <t>SEG-046 [Segment Name]</t>
  </si>
  <si>
    <t>SEG-047 [Segment Name]</t>
  </si>
  <si>
    <t>SEG-048 [Segment Name]</t>
  </si>
  <si>
    <t>SEG-049 [Segment Name]</t>
  </si>
  <si>
    <t>SEG-050 [Segment Name]</t>
  </si>
  <si>
    <t>COVERAGE SUMMARY METRICS</t>
  </si>
  <si>
    <t>Total segments assessed:</t>
  </si>
  <si>
    <t>Fully protected (100%):</t>
  </si>
  <si>
    <t>Partially protected (&lt;100%):</t>
  </si>
  <si>
    <t>Unprotected (0%):</t>
  </si>
  <si>
    <t>Overall Coverage Score:</t>
  </si>
  <si>
    <t>COVERAGE HEATMAP</t>
  </si>
  <si>
    <t>Coverage Level</t>
  </si>
  <si>
    <t>Segment Count</t>
  </si>
  <si>
    <t>% of Total</t>
  </si>
  <si>
    <t>100% Coverage</t>
  </si>
  <si>
    <t>✅ Good</t>
  </si>
  <si>
    <t>75-99% Coverage</t>
  </si>
  <si>
    <t>⚠️ Needs Attention</t>
  </si>
  <si>
    <t>50-74% Coverage</t>
  </si>
  <si>
    <t>⚠️ Risk</t>
  </si>
  <si>
    <t>&lt;50% Coverage</t>
  </si>
  <si>
    <t>❌ Critical</t>
  </si>
  <si>
    <t>0% Coverage</t>
  </si>
  <si>
    <t>❌ Urgent</t>
  </si>
  <si>
    <t>COVERAGE GAPS &amp; REMEDIATION TRACKING</t>
  </si>
  <si>
    <t>Identify unprotected/partially protected segments and plan remediation</t>
  </si>
  <si>
    <t>Gap ID</t>
  </si>
  <si>
    <t>Segment ID</t>
  </si>
  <si>
    <t>Segment Name</t>
  </si>
  <si>
    <t>Current Coverage</t>
  </si>
  <si>
    <t>Gap Description</t>
  </si>
  <si>
    <t>Risk Level</t>
  </si>
  <si>
    <t>Impact</t>
  </si>
  <si>
    <t>Remediation Plan</t>
  </si>
  <si>
    <t>Owner</t>
  </si>
  <si>
    <t>Target Date</t>
  </si>
  <si>
    <t>GAP-001</t>
  </si>
  <si>
    <t>GAP-002</t>
  </si>
  <si>
    <t>GAP-003</t>
  </si>
  <si>
    <t>GAP-004</t>
  </si>
  <si>
    <t>GAP-005</t>
  </si>
  <si>
    <t>GAP-006</t>
  </si>
  <si>
    <t>GAP-007</t>
  </si>
  <si>
    <t>GAP-008</t>
  </si>
  <si>
    <t>GAP-009</t>
  </si>
  <si>
    <t>GAP-010</t>
  </si>
  <si>
    <t>GAP-011</t>
  </si>
  <si>
    <t>GAP-012</t>
  </si>
  <si>
    <t>GAP-013</t>
  </si>
  <si>
    <t>GAP-014</t>
  </si>
  <si>
    <t>GAP-015</t>
  </si>
  <si>
    <t>GAP-016</t>
  </si>
  <si>
    <t>GAP-017</t>
  </si>
  <si>
    <t>GAP-018</t>
  </si>
  <si>
    <t>GAP-019</t>
  </si>
  <si>
    <t>GAP-020</t>
  </si>
  <si>
    <t>GAP-021</t>
  </si>
  <si>
    <t>GAP-022</t>
  </si>
  <si>
    <t>GAP-023</t>
  </si>
  <si>
    <t>GAP-024</t>
  </si>
  <si>
    <t>GAP-025</t>
  </si>
  <si>
    <t>GAP-026</t>
  </si>
  <si>
    <t>GAP-027</t>
  </si>
  <si>
    <t>GAP-028</t>
  </si>
  <si>
    <t>GAP-029</t>
  </si>
  <si>
    <t>GAP-030</t>
  </si>
  <si>
    <t>GAP SUMMARY METRICS</t>
  </si>
  <si>
    <t>Gap Count</t>
  </si>
  <si>
    <t>Critical</t>
  </si>
  <si>
    <t>High</t>
  </si>
  <si>
    <t>Medium</t>
  </si>
  <si>
    <t>Low</t>
  </si>
  <si>
    <t>Total gaps identified:</t>
  </si>
  <si>
    <t>Gaps resolved:</t>
  </si>
  <si>
    <t>Gaps remaining:</t>
  </si>
  <si>
    <t>DEVICE-LEVEL FILTERING INVENTORY</t>
  </si>
  <si>
    <t>Track endpoint protection for mobile/remote devices</t>
  </si>
  <si>
    <t>Device ID</t>
  </si>
  <si>
    <t>Device Type</t>
  </si>
  <si>
    <t>OS</t>
  </si>
  <si>
    <t>User/Owner</t>
  </si>
  <si>
    <t>Primary Network</t>
  </si>
  <si>
    <t>Filtering Solution</t>
  </si>
  <si>
    <t>Agent-Based?</t>
  </si>
  <si>
    <t>Last Verified</t>
  </si>
  <si>
    <t>DEV-001</t>
  </si>
  <si>
    <t>DEV-002</t>
  </si>
  <si>
    <t>DEV-003</t>
  </si>
  <si>
    <t>DEV-004</t>
  </si>
  <si>
    <t>DEV-005</t>
  </si>
  <si>
    <t>DEV-006</t>
  </si>
  <si>
    <t>DEV-007</t>
  </si>
  <si>
    <t>DEV-008</t>
  </si>
  <si>
    <t>DEV-009</t>
  </si>
  <si>
    <t>DEV-010</t>
  </si>
  <si>
    <t>DEV-011</t>
  </si>
  <si>
    <t>DEV-012</t>
  </si>
  <si>
    <t>DEV-013</t>
  </si>
  <si>
    <t>DEV-014</t>
  </si>
  <si>
    <t>DEV-015</t>
  </si>
  <si>
    <t>DEV-016</t>
  </si>
  <si>
    <t>DEV-017</t>
  </si>
  <si>
    <t>DEV-018</t>
  </si>
  <si>
    <t>DEV-019</t>
  </si>
  <si>
    <t>DEV-020</t>
  </si>
  <si>
    <t>DEV-021</t>
  </si>
  <si>
    <t>DEV-022</t>
  </si>
  <si>
    <t>DEV-023</t>
  </si>
  <si>
    <t>DEV-024</t>
  </si>
  <si>
    <t>DEV-025</t>
  </si>
  <si>
    <t>DEV-026</t>
  </si>
  <si>
    <t>DEV-027</t>
  </si>
  <si>
    <t>DEV-028</t>
  </si>
  <si>
    <t>DEV-029</t>
  </si>
  <si>
    <t>DEV-030</t>
  </si>
  <si>
    <t>DEV-031</t>
  </si>
  <si>
    <t>DEV-032</t>
  </si>
  <si>
    <t>DEV-033</t>
  </si>
  <si>
    <t>DEV-034</t>
  </si>
  <si>
    <t>DEV-035</t>
  </si>
  <si>
    <t>DEV-036</t>
  </si>
  <si>
    <t>DEV-037</t>
  </si>
  <si>
    <t>DEV-038</t>
  </si>
  <si>
    <t>DEV-039</t>
  </si>
  <si>
    <t>DEV-040</t>
  </si>
  <si>
    <t>DEV-041</t>
  </si>
  <si>
    <t>DEV-042</t>
  </si>
  <si>
    <t>DEV-043</t>
  </si>
  <si>
    <t>DEV-044</t>
  </si>
  <si>
    <t>DEV-045</t>
  </si>
  <si>
    <t>DEV-046</t>
  </si>
  <si>
    <t>DEV-047</t>
  </si>
  <si>
    <t>DEV-048</t>
  </si>
  <si>
    <t>DEV-049</t>
  </si>
  <si>
    <t>DEV-050</t>
  </si>
  <si>
    <t>DEV-051</t>
  </si>
  <si>
    <t>DEV-052</t>
  </si>
  <si>
    <t>DEV-053</t>
  </si>
  <si>
    <t>DEV-054</t>
  </si>
  <si>
    <t>DEV-055</t>
  </si>
  <si>
    <t>DEV-056</t>
  </si>
  <si>
    <t>DEV-057</t>
  </si>
  <si>
    <t>DEV-058</t>
  </si>
  <si>
    <t>DEV-059</t>
  </si>
  <si>
    <t>DEV-060</t>
  </si>
  <si>
    <t>DEV-061</t>
  </si>
  <si>
    <t>DEV-062</t>
  </si>
  <si>
    <t>DEV-063</t>
  </si>
  <si>
    <t>DEV-064</t>
  </si>
  <si>
    <t>DEV-065</t>
  </si>
  <si>
    <t>DEV-066</t>
  </si>
  <si>
    <t>DEV-067</t>
  </si>
  <si>
    <t>DEV-068</t>
  </si>
  <si>
    <t>DEV-069</t>
  </si>
  <si>
    <t>DEV-070</t>
  </si>
  <si>
    <t>DEV-071</t>
  </si>
  <si>
    <t>DEV-072</t>
  </si>
  <si>
    <t>DEV-073</t>
  </si>
  <si>
    <t>DEV-074</t>
  </si>
  <si>
    <t>DEV-075</t>
  </si>
  <si>
    <t>DEV-076</t>
  </si>
  <si>
    <t>DEV-077</t>
  </si>
  <si>
    <t>DEV-078</t>
  </si>
  <si>
    <t>DEV-079</t>
  </si>
  <si>
    <t>DEV-080</t>
  </si>
  <si>
    <t>DEV-081</t>
  </si>
  <si>
    <t>DEV-082</t>
  </si>
  <si>
    <t>DEV-083</t>
  </si>
  <si>
    <t>DEV-084</t>
  </si>
  <si>
    <t>DEV-085</t>
  </si>
  <si>
    <t>DEV-086</t>
  </si>
  <si>
    <t>DEV-087</t>
  </si>
  <si>
    <t>DEV-088</t>
  </si>
  <si>
    <t>DEV-089</t>
  </si>
  <si>
    <t>DEV-090</t>
  </si>
  <si>
    <t>DEV-091</t>
  </si>
  <si>
    <t>DEV-092</t>
  </si>
  <si>
    <t>DEV-093</t>
  </si>
  <si>
    <t>DEV-094</t>
  </si>
  <si>
    <t>DEV-095</t>
  </si>
  <si>
    <t>DEV-096</t>
  </si>
  <si>
    <t>DEV-097</t>
  </si>
  <si>
    <t>DEV-098</t>
  </si>
  <si>
    <t>DEV-099</t>
  </si>
  <si>
    <t>DEV-100</t>
  </si>
  <si>
    <t>DEVICE SUMMARY BY TYPE</t>
  </si>
  <si>
    <t>Total</t>
  </si>
  <si>
    <t>Laptop</t>
  </si>
  <si>
    <t>Desktop</t>
  </si>
  <si>
    <t>Smartphone</t>
  </si>
  <si>
    <t>Tablet</t>
  </si>
  <si>
    <t>Virtual Desktop</t>
  </si>
  <si>
    <t>Other</t>
  </si>
  <si>
    <t>FILTERING EXEMPTION REGISTER</t>
  </si>
  <si>
    <t>Document approved exceptions to web filtering requirements</t>
  </si>
  <si>
    <t>Segment/Device</t>
  </si>
  <si>
    <t>Exemption Type</t>
  </si>
  <si>
    <t>Business Justification</t>
  </si>
  <si>
    <t>Risk Assessment</t>
  </si>
  <si>
    <t>Compensating Controls</t>
  </si>
  <si>
    <t>Approved By</t>
  </si>
  <si>
    <t>Approval Date</t>
  </si>
  <si>
    <t>Review Date</t>
  </si>
  <si>
    <t>EXM-001</t>
  </si>
  <si>
    <t>EXM-002</t>
  </si>
  <si>
    <t>EXM-003</t>
  </si>
  <si>
    <t>EXM-004</t>
  </si>
  <si>
    <t>EXM-005</t>
  </si>
  <si>
    <t>EXM-006</t>
  </si>
  <si>
    <t>EXM-007</t>
  </si>
  <si>
    <t>EXM-008</t>
  </si>
  <si>
    <t>EXM-009</t>
  </si>
  <si>
    <t>EXM-010</t>
  </si>
  <si>
    <t>EXM-011</t>
  </si>
  <si>
    <t>EXM-012</t>
  </si>
  <si>
    <t>EXM-013</t>
  </si>
  <si>
    <t>EXM-014</t>
  </si>
  <si>
    <t>EXM-015</t>
  </si>
  <si>
    <t>EXM-016</t>
  </si>
  <si>
    <t>EXM-017</t>
  </si>
  <si>
    <t>EXM-018</t>
  </si>
  <si>
    <t>EXM-019</t>
  </si>
  <si>
    <t>EXM-020</t>
  </si>
  <si>
    <t>EXEMPTION SUMMARY</t>
  </si>
  <si>
    <t>Active Count</t>
  </si>
  <si>
    <t>Expired/Overdue</t>
  </si>
  <si>
    <t>Full Exemption</t>
  </si>
  <si>
    <t>Partial Exemption</t>
  </si>
  <si>
    <t>Temporary Exemption</t>
  </si>
  <si>
    <t>Category Exemption</t>
  </si>
  <si>
    <t>Technical Exemption</t>
  </si>
  <si>
    <t>⚠️ ALERT: Exemptions &gt;12 months old require re-approval | &gt;10% of segments exempt = escalate to CISO</t>
  </si>
  <si>
    <t>COVERAGE VERIFICATION LOG</t>
  </si>
  <si>
    <t>Test and verify filtering effectiveness per network segment</t>
  </si>
  <si>
    <t>Verification ID</t>
  </si>
  <si>
    <t>Test Date</t>
  </si>
  <si>
    <t>Tester</t>
  </si>
  <si>
    <t>Test Method</t>
  </si>
  <si>
    <t>Test Results</t>
  </si>
  <si>
    <t>Issues Found</t>
  </si>
  <si>
    <t>Next Test Date</t>
  </si>
  <si>
    <t>VER-001</t>
  </si>
  <si>
    <t>VER-002</t>
  </si>
  <si>
    <t>VER-003</t>
  </si>
  <si>
    <t>VER-004</t>
  </si>
  <si>
    <t>VER-005</t>
  </si>
  <si>
    <t>VER-006</t>
  </si>
  <si>
    <t>VER-007</t>
  </si>
  <si>
    <t>VER-008</t>
  </si>
  <si>
    <t>VER-009</t>
  </si>
  <si>
    <t>VER-010</t>
  </si>
  <si>
    <t>VER-011</t>
  </si>
  <si>
    <t>VER-012</t>
  </si>
  <si>
    <t>VER-013</t>
  </si>
  <si>
    <t>VER-014</t>
  </si>
  <si>
    <t>VER-015</t>
  </si>
  <si>
    <t>VER-016</t>
  </si>
  <si>
    <t>VER-017</t>
  </si>
  <si>
    <t>VER-018</t>
  </si>
  <si>
    <t>VER-019</t>
  </si>
  <si>
    <t>VER-020</t>
  </si>
  <si>
    <t>VER-021</t>
  </si>
  <si>
    <t>VER-022</t>
  </si>
  <si>
    <t>VER-023</t>
  </si>
  <si>
    <t>VER-024</t>
  </si>
  <si>
    <t>VER-025</t>
  </si>
  <si>
    <t>VER-026</t>
  </si>
  <si>
    <t>VER-027</t>
  </si>
  <si>
    <t>VER-028</t>
  </si>
  <si>
    <t>VER-029</t>
  </si>
  <si>
    <t>VER-030</t>
  </si>
  <si>
    <t>VER-031</t>
  </si>
  <si>
    <t>VER-032</t>
  </si>
  <si>
    <t>VER-033</t>
  </si>
  <si>
    <t>VER-034</t>
  </si>
  <si>
    <t>VER-035</t>
  </si>
  <si>
    <t>VER-036</t>
  </si>
  <si>
    <t>VER-037</t>
  </si>
  <si>
    <t>VER-038</t>
  </si>
  <si>
    <t>VER-039</t>
  </si>
  <si>
    <t>VER-040</t>
  </si>
  <si>
    <t>VER-041</t>
  </si>
  <si>
    <t>VER-042</t>
  </si>
  <si>
    <t>VER-043</t>
  </si>
  <si>
    <t>VER-044</t>
  </si>
  <si>
    <t>VER-045</t>
  </si>
  <si>
    <t>VER-046</t>
  </si>
  <si>
    <t>VER-047</t>
  </si>
  <si>
    <t>VER-048</t>
  </si>
  <si>
    <t>VER-049</t>
  </si>
  <si>
    <t>VER-050</t>
  </si>
  <si>
    <t>TEST CHECKLIST (Verify for each segment)</t>
  </si>
  <si>
    <t>☐ Malicious URL blocked (test with EICAR or known bad domains)</t>
  </si>
  <si>
    <t>☐ Phishing site blocked (test with PhishTank samples)</t>
  </si>
  <si>
    <t>☐ Known malware download blocked</t>
  </si>
  <si>
    <t>☐ HTTPS sites properly filtered (if HTTPS inspection enabled)</t>
  </si>
  <si>
    <t>☐ Logging working (blocked attempts logged)</t>
  </si>
  <si>
    <t>☐ Bypass methods ineffective (proxy bypass, VPN bypass, etc.)</t>
  </si>
  <si>
    <t>☐ User experience acceptable (latency, false positives)</t>
  </si>
  <si>
    <t>☐ Exemptions working as intended</t>
  </si>
  <si>
    <t>EVIDENCE REGISTER</t>
  </si>
  <si>
    <t>Document all evidence supporting network coverage assessment</t>
  </si>
  <si>
    <t>Evidence ID</t>
  </si>
  <si>
    <t>Evidence Type</t>
  </si>
  <si>
    <t>Related Sheet/Row</t>
  </si>
  <si>
    <t>Location/Path</t>
  </si>
  <si>
    <t>Date Collected</t>
  </si>
  <si>
    <t>Collected By</t>
  </si>
  <si>
    <t>Verification Status</t>
  </si>
  <si>
    <t>EVD-001</t>
  </si>
  <si>
    <t>EVD-002</t>
  </si>
  <si>
    <t>EVD-003</t>
  </si>
  <si>
    <t>EVD-004</t>
  </si>
  <si>
    <t>EVD-005</t>
  </si>
  <si>
    <t>EVD-006</t>
  </si>
  <si>
    <t>EVD-007</t>
  </si>
  <si>
    <t>EVD-008</t>
  </si>
  <si>
    <t>EVD-009</t>
  </si>
  <si>
    <t>EVD-010</t>
  </si>
  <si>
    <t>EVD-011</t>
  </si>
  <si>
    <t>EVD-012</t>
  </si>
  <si>
    <t>EVD-013</t>
  </si>
  <si>
    <t>EVD-014</t>
  </si>
  <si>
    <t>EVD-015</t>
  </si>
  <si>
    <t>EVD-016</t>
  </si>
  <si>
    <t>EVD-017</t>
  </si>
  <si>
    <t>EVD-018</t>
  </si>
  <si>
    <t>EVD-019</t>
  </si>
  <si>
    <t>EVD-020</t>
  </si>
  <si>
    <t>EVD-021</t>
  </si>
  <si>
    <t>EVD-022</t>
  </si>
  <si>
    <t>EVD-023</t>
  </si>
  <si>
    <t>EVD-024</t>
  </si>
  <si>
    <t>EVD-025</t>
  </si>
  <si>
    <t>EVD-026</t>
  </si>
  <si>
    <t>EVD-027</t>
  </si>
  <si>
    <t>EVD-028</t>
  </si>
  <si>
    <t>EVD-029</t>
  </si>
  <si>
    <t>EVD-030</t>
  </si>
  <si>
    <t>EVD-031</t>
  </si>
  <si>
    <t>EVD-032</t>
  </si>
  <si>
    <t>EVD-033</t>
  </si>
  <si>
    <t>EVD-034</t>
  </si>
  <si>
    <t>EVD-035</t>
  </si>
  <si>
    <t>EVD-036</t>
  </si>
  <si>
    <t>EVD-037</t>
  </si>
  <si>
    <t>EVD-038</t>
  </si>
  <si>
    <t>EVD-039</t>
  </si>
  <si>
    <t>EVD-040</t>
  </si>
  <si>
    <t>EVD-041</t>
  </si>
  <si>
    <t>EVD-042</t>
  </si>
  <si>
    <t>EVD-043</t>
  </si>
  <si>
    <t>EVD-044</t>
  </si>
  <si>
    <t>EVD-045</t>
  </si>
  <si>
    <t>EVD-046</t>
  </si>
  <si>
    <t>EVD-047</t>
  </si>
  <si>
    <t>EVD-048</t>
  </si>
  <si>
    <t>EVD-049</t>
  </si>
  <si>
    <t>EVD-050</t>
  </si>
  <si>
    <t>EVD-051</t>
  </si>
  <si>
    <t>EVD-052</t>
  </si>
  <si>
    <t>EVD-053</t>
  </si>
  <si>
    <t>EVD-054</t>
  </si>
  <si>
    <t>EVD-055</t>
  </si>
  <si>
    <t>EVD-056</t>
  </si>
  <si>
    <t>EVD-057</t>
  </si>
  <si>
    <t>EVD-058</t>
  </si>
  <si>
    <t>EVD-059</t>
  </si>
  <si>
    <t>EVD-060</t>
  </si>
  <si>
    <t>EVD-061</t>
  </si>
  <si>
    <t>EVD-062</t>
  </si>
  <si>
    <t>EVD-063</t>
  </si>
  <si>
    <t>EVD-064</t>
  </si>
  <si>
    <t>EVD-065</t>
  </si>
  <si>
    <t>EVD-066</t>
  </si>
  <si>
    <t>EVD-067</t>
  </si>
  <si>
    <t>EVD-068</t>
  </si>
  <si>
    <t>EVD-069</t>
  </si>
  <si>
    <t>EVD-070</t>
  </si>
  <si>
    <t>EVD-071</t>
  </si>
  <si>
    <t>EVD-072</t>
  </si>
  <si>
    <t>EVD-073</t>
  </si>
  <si>
    <t>EVD-074</t>
  </si>
  <si>
    <t>EVD-075</t>
  </si>
  <si>
    <t>EVD-076</t>
  </si>
  <si>
    <t>EVD-077</t>
  </si>
  <si>
    <t>EVD-078</t>
  </si>
  <si>
    <t>EVD-079</t>
  </si>
  <si>
    <t>EVD-080</t>
  </si>
  <si>
    <t>EVD-081</t>
  </si>
  <si>
    <t>EVD-082</t>
  </si>
  <si>
    <t>EVD-083</t>
  </si>
  <si>
    <t>EVD-084</t>
  </si>
  <si>
    <t>EVD-085</t>
  </si>
  <si>
    <t>EVD-086</t>
  </si>
  <si>
    <t>EVD-087</t>
  </si>
  <si>
    <t>EVD-088</t>
  </si>
  <si>
    <t>EVD-089</t>
  </si>
  <si>
    <t>EVD-090</t>
  </si>
  <si>
    <t>EVD-091</t>
  </si>
  <si>
    <t>EVD-092</t>
  </si>
  <si>
    <t>EVD-093</t>
  </si>
  <si>
    <t>EVD-094</t>
  </si>
  <si>
    <t>EVD-095</t>
  </si>
  <si>
    <t>EVD-096</t>
  </si>
  <si>
    <t>EVD-097</t>
  </si>
  <si>
    <t>EVD-098</t>
  </si>
  <si>
    <t>EVD-099</t>
  </si>
  <si>
    <t>EVD-100</t>
  </si>
  <si>
    <t>ASSESSMENT APPROVAL &amp; SIGN-OFF</t>
  </si>
  <si>
    <t>ASSESSMENT SUMMARY</t>
  </si>
  <si>
    <t>Assessment Document:</t>
  </si>
  <si>
    <t>ISMS-IMP-A.8.23.2 - Network Coverage</t>
  </si>
  <si>
    <t>Assessment Period:</t>
  </si>
  <si>
    <t>[USER INPUT]</t>
  </si>
  <si>
    <t>Total Segments Assessed:</t>
  </si>
  <si>
    <t>[Formula from Network_Segment_Inventory]</t>
  </si>
  <si>
    <t>Fully Protected:</t>
  </si>
  <si>
    <t>[Formula - 100% coverage]</t>
  </si>
  <si>
    <t>Partially Protected:</t>
  </si>
  <si>
    <t>[Formula - &lt;100% coverage]</t>
  </si>
  <si>
    <t>Unprotected:</t>
  </si>
  <si>
    <t>[Formula - 0% coverage]</t>
  </si>
  <si>
    <t>Exempted:</t>
  </si>
  <si>
    <t>[Formula from Exemption_Register]</t>
  </si>
  <si>
    <t>[Formula]%</t>
  </si>
  <si>
    <t>Critical Gaps:</t>
  </si>
  <si>
    <t>[Formula from Gap_Identification]</t>
  </si>
  <si>
    <t>Assessment Status:</t>
  </si>
  <si>
    <t>[Dropdown]</t>
  </si>
  <si>
    <t>ASSESSMENT COMPLETED BY</t>
  </si>
  <si>
    <t>Name:</t>
  </si>
  <si>
    <t>Role/Title:</t>
  </si>
  <si>
    <t>Department:</t>
  </si>
  <si>
    <t>Email:</t>
  </si>
  <si>
    <t>Date:</t>
  </si>
  <si>
    <t>Signature:</t>
  </si>
  <si>
    <t>REVIEWED BY (NETWORK ADMINISTRATOR)</t>
  </si>
  <si>
    <t>Review Notes:</t>
  </si>
  <si>
    <t>Recommendation:</t>
  </si>
  <si>
    <t>REVIEWED BY (INFORMATION SECURITY OFFICER)</t>
  </si>
  <si>
    <t>APPROVED BY (CISO)</t>
  </si>
  <si>
    <t>Approval Decision:</t>
  </si>
  <si>
    <t>Conditions/Notes:</t>
  </si>
  <si>
    <t>NEXT REVIEW DETAILS</t>
  </si>
  <si>
    <t>Next Review Date:</t>
  </si>
  <si>
    <t>Review Responsible:</t>
  </si>
  <si>
    <t>Special Considerations: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</si>
</sst>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
    <numFmt numFmtId="165" formatCode="dd\.mm\.yyyy"/>
  </numFmts>
  <fonts count="15" x14ac:knownFonts="1">
    <font>
      <sz val="11"/>
      <color theme="1"/>
      <name val="Calibri"/>
      <family val="2"/>
      <scheme val="minor"/>
    </font>
    <font>
      <b/>
      <sz val="14"/>
      <color rgb="FFFFFFFF"/>
      <name val="Calibri"/>
      <family val="2"/>
    </font>
    <font>
      <b/>
      <sz val="11"/>
      <color rgb="FFFFFFFF"/>
      <name val="Calibri"/>
      <family val="2"/>
    </font>
    <font>
      <b/>
      <sz val="11"/>
      <name val="Calibri"/>
      <family val="2"/>
    </font>
    <font>
      <b/>
      <sz val="11"/>
      <name val="Calibri"/>
      <family val="2"/>
    </font>
    <font>
      <b/>
      <sz val="12"/>
      <color rgb="FFFFFFFF"/>
      <name val="Calibri"/>
      <family val="2"/>
    </font>
    <font>
      <b/>
      <sz val="11"/>
      <color rgb="FFFFFFFF"/>
      <name val="Calibri"/>
      <family val="2"/>
    </font>
    <font>
      <b/>
      <sz val="9"/>
      <name val="Calibri"/>
      <family val="2"/>
    </font>
    <font>
      <b/>
      <sz val="11"/>
      <color rgb="FF0000FF"/>
      <name val="Calibri"/>
      <family val="2"/>
    </font>
    <font>
      <b/>
      <sz val="11"/>
      <color rgb="FFFFFFFF"/>
      <name val="Calibri"/>
      <family val="2"/>
    </font>
    <font>
      <b/>
      <sz val="11"/>
      <color rgb="FF0000FF"/>
      <name val="Calibri"/>
      <family val="2"/>
    </font>
    <font>
      <b/>
      <sz val="11"/>
      <color rgb="FF000000"/>
      <name val="Calibri"/>
      <family val="2"/>
    </font>
    <font>
      <b/>
      <sz val="11"/>
      <color rgb="FFC00000"/>
      <name val="Calibri"/>
      <family val="2"/>
    </font>
    <font>
      <b/>
      <sz val="11"/>
      <color rgb="FFC00000"/>
      <name val="Calibri"/>
      <family val="2"/>
    </font>
    <font>
      <b/>
      <sz val="10"/>
      <color rgb="FFC00000"/>
      <name val="Calibri"/>
      <family val="2"/>
    </font>
  </fonts>
  <fills count="12">
    <fill>
      <patternFill patternType="none"/>
    </fill>
    <fill>
      <patternFill patternType="gray125"/>
    </fill>
    <fill>
      <patternFill patternType="solid">
        <fgColor rgb="FF003366"/>
        <bgColor rgb="FF003366"/>
      </patternFill>
    </fill>
    <fill>
      <patternFill patternType="solid">
        <fgColor rgb="FF4472C4"/>
        <bgColor rgb="FF4472C4"/>
      </patternFill>
    </fill>
    <fill>
      <patternFill patternType="solid">
        <fgColor rgb="FFFFFFCC"/>
        <bgColor rgb="FFFFFFCC"/>
      </patternFill>
    </fill>
    <fill>
      <patternFill patternType="solid">
        <fgColor rgb="FFD9D9D9"/>
        <bgColor rgb="FFD9D9D9"/>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B4C7E7"/>
        <bgColor rgb="FFB4C7E7"/>
      </patternFill>
    </fill>
    <fill>
      <patternFill patternType="solid">
        <fgColor rgb="FFC00000"/>
        <bgColor rgb="FFC00000"/>
      </patternFill>
    </fill>
    <fill>
      <patternFill patternType="solid">
        <fgColor rgb="FFFF6666"/>
        <bgColor rgb="FFFF6666"/>
      </patternFill>
    </fill>
  </fills>
  <borders count="1">
    <border>
      <left/>
      <right/>
      <top/>
      <bottom/>
      <diagonal/>
    </border>
  </borders>
  <cellStyleXfs count="1">
    <xf numFmtId="0" fontId="0" fillId="0" borderId="0"/>
  </cellStyleXfs>
  <cellXfs count="34">
    <xf numFmtId="0" fontId="0" fillId="0" borderId="0" xfId="0"/>
    <xf numFmtId="0" fontId="3" fillId="0" borderId="0" xfId="0" applyFont="1"/>
    <xf numFmtId="0" fontId="4" fillId="0" borderId="0" xfId="0" applyFont="1"/>
    <xf numFmtId="0" fontId="0" fillId="4" borderId="0" xfId="0" applyFill="1"/>
    <xf numFmtId="0" fontId="0" fillId="0" borderId="0" xfId="0" applyAlignment="1">
      <alignment wrapText="1"/>
    </xf>
    <xf numFmtId="0" fontId="4" fillId="5" borderId="0" xfId="0" applyFont="1" applyFill="1"/>
    <xf numFmtId="0" fontId="0" fillId="6" borderId="0" xfId="0" applyFill="1"/>
    <xf numFmtId="0" fontId="0" fillId="7" borderId="0" xfId="0" applyFill="1"/>
    <xf numFmtId="0" fontId="0" fillId="8" borderId="0" xfId="0" applyFill="1"/>
    <xf numFmtId="0" fontId="0" fillId="9" borderId="0" xfId="0" applyFill="1"/>
    <xf numFmtId="0" fontId="0" fillId="5" borderId="0" xfId="0" applyFill="1"/>
    <xf numFmtId="0" fontId="6" fillId="2" borderId="0" xfId="0" applyFont="1" applyFill="1" applyAlignment="1">
      <alignment horizontal="center" vertical="center" wrapText="1"/>
    </xf>
    <xf numFmtId="0" fontId="7" fillId="0" borderId="0" xfId="0" applyFont="1"/>
    <xf numFmtId="0" fontId="0" fillId="4" borderId="0" xfId="0" applyFill="1" applyAlignment="1">
      <alignment horizontal="center" vertical="center"/>
    </xf>
    <xf numFmtId="164" fontId="8" fillId="0" borderId="0" xfId="0" applyNumberFormat="1" applyFont="1"/>
    <xf numFmtId="0" fontId="10" fillId="0" borderId="0" xfId="0" applyFont="1"/>
    <xf numFmtId="0" fontId="8" fillId="0" borderId="0" xfId="0" applyFont="1"/>
    <xf numFmtId="0" fontId="6" fillId="10" borderId="0" xfId="0" applyFont="1" applyFill="1"/>
    <xf numFmtId="0" fontId="11" fillId="11" borderId="0" xfId="0" applyFont="1" applyFill="1"/>
    <xf numFmtId="0" fontId="11" fillId="7" borderId="0" xfId="0" applyFont="1" applyFill="1"/>
    <xf numFmtId="0" fontId="11" fillId="6" borderId="0" xfId="0" applyFont="1" applyFill="1"/>
    <xf numFmtId="0" fontId="12" fillId="0" borderId="0" xfId="0" applyFont="1"/>
    <xf numFmtId="0" fontId="13" fillId="0" borderId="0" xfId="0" applyFont="1"/>
    <xf numFmtId="165" fontId="0" fillId="0" borderId="0" xfId="0" applyNumberFormat="1"/>
    <xf numFmtId="0" fontId="2" fillId="3" borderId="0" xfId="0" applyFont="1" applyFill="1" applyAlignment="1">
      <alignment horizontal="center" vertical="center" wrapText="1"/>
    </xf>
    <xf numFmtId="0" fontId="0" fillId="0" borderId="0" xfId="0"/>
    <xf numFmtId="0" fontId="5" fillId="3" borderId="0" xfId="0" applyFont="1" applyFill="1" applyAlignment="1">
      <alignment horizontal="center" vertical="center"/>
    </xf>
    <xf numFmtId="0" fontId="1" fillId="2" borderId="0" xfId="0" applyFont="1" applyFill="1" applyAlignment="1">
      <alignment horizontal="center" vertical="center" wrapText="1"/>
    </xf>
    <xf numFmtId="0" fontId="9" fillId="3" borderId="0" xfId="0" applyFont="1" applyFill="1" applyAlignment="1">
      <alignment horizontal="center" vertical="center"/>
    </xf>
    <xf numFmtId="0" fontId="14" fillId="0" borderId="0" xfId="0" applyFont="1" applyAlignment="1">
      <alignment horizontal="center" vertical="center" wrapText="1"/>
    </xf>
    <xf numFmtId="0" fontId="0" fillId="4" borderId="0" xfId="0" applyFill="1"/>
    <xf numFmtId="0" fontId="0" fillId="4" borderId="0" xfId="0" applyFill="1" applyAlignment="1">
      <alignment horizontal="left" vertical="top" wrapText="1"/>
    </xf>
    <xf numFmtId="0" fontId="9" fillId="2" borderId="0" xfId="0" applyFont="1" applyFill="1" applyAlignment="1">
      <alignment horizontal="center" vertical="center"/>
    </xf>
    <xf numFmtId="165" fontId="0" fillId="4"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workbookViewId="0">
      <pane ySplit="3" topLeftCell="A4" activePane="bottomLeft" state="frozen"/>
      <selection pane="bottomLeft" sqref="A1:F1"/>
    </sheetView>
  </sheetViews>
  <sheetFormatPr baseColWidth="10" defaultColWidth="8.83203125" defaultRowHeight="15" x14ac:dyDescent="0.2"/>
  <cols>
    <col min="1" max="1" width="50" customWidth="1"/>
    <col min="2" max="2" width="30" customWidth="1"/>
    <col min="3" max="3" width="40" customWidth="1"/>
    <col min="4" max="6" width="15" customWidth="1"/>
  </cols>
  <sheetData>
    <row r="1" spans="1:6" ht="30" customHeight="1" x14ac:dyDescent="0.2">
      <c r="A1" s="27" t="s">
        <v>0</v>
      </c>
      <c r="B1" s="25"/>
      <c r="C1" s="25"/>
      <c r="D1" s="25"/>
      <c r="E1" s="25"/>
      <c r="F1" s="25"/>
    </row>
    <row r="2" spans="1:6" x14ac:dyDescent="0.2">
      <c r="A2" s="24" t="s">
        <v>1</v>
      </c>
      <c r="B2" s="25"/>
      <c r="C2" s="25"/>
      <c r="D2" s="25"/>
      <c r="E2" s="25"/>
      <c r="F2" s="25"/>
    </row>
    <row r="4" spans="1:6" x14ac:dyDescent="0.2">
      <c r="A4" s="1" t="s">
        <v>2</v>
      </c>
    </row>
    <row r="5" spans="1:6" x14ac:dyDescent="0.2">
      <c r="A5" s="2" t="s">
        <v>3</v>
      </c>
      <c r="B5" t="s">
        <v>4</v>
      </c>
    </row>
    <row r="6" spans="1:6" x14ac:dyDescent="0.2">
      <c r="A6" s="2" t="s">
        <v>5</v>
      </c>
      <c r="B6" t="s">
        <v>6</v>
      </c>
    </row>
    <row r="7" spans="1:6" x14ac:dyDescent="0.2">
      <c r="A7" s="2" t="s">
        <v>7</v>
      </c>
      <c r="B7" t="s">
        <v>8</v>
      </c>
    </row>
    <row r="8" spans="1:6" x14ac:dyDescent="0.2">
      <c r="A8" s="2" t="s">
        <v>9</v>
      </c>
      <c r="B8" t="s">
        <v>10</v>
      </c>
    </row>
    <row r="9" spans="1:6" x14ac:dyDescent="0.2">
      <c r="A9" s="2" t="s">
        <v>11</v>
      </c>
      <c r="B9" s="3" t="s">
        <v>12</v>
      </c>
    </row>
    <row r="10" spans="1:6" x14ac:dyDescent="0.2">
      <c r="A10" s="2" t="s">
        <v>13</v>
      </c>
      <c r="B10" s="3" t="s">
        <v>14</v>
      </c>
    </row>
    <row r="11" spans="1:6" x14ac:dyDescent="0.2">
      <c r="A11" s="2" t="s">
        <v>15</v>
      </c>
      <c r="B11" s="3" t="s">
        <v>16</v>
      </c>
    </row>
    <row r="12" spans="1:6" x14ac:dyDescent="0.2">
      <c r="A12" s="2" t="s">
        <v>17</v>
      </c>
      <c r="B12" t="s">
        <v>18</v>
      </c>
    </row>
    <row r="15" spans="1:6" ht="16" x14ac:dyDescent="0.2">
      <c r="A15" s="26" t="s">
        <v>19</v>
      </c>
      <c r="B15" s="25"/>
      <c r="C15" s="25"/>
      <c r="D15" s="25"/>
      <c r="E15" s="25"/>
      <c r="F15" s="25"/>
    </row>
    <row r="16" spans="1:6" ht="30" customHeight="1" x14ac:dyDescent="0.2">
      <c r="A16" s="4" t="s">
        <v>20</v>
      </c>
    </row>
    <row r="17" spans="1:4" ht="30" customHeight="1" x14ac:dyDescent="0.2">
      <c r="A17" s="4" t="s">
        <v>21</v>
      </c>
    </row>
    <row r="18" spans="1:4" ht="30" customHeight="1" x14ac:dyDescent="0.2">
      <c r="A18" s="4" t="s">
        <v>22</v>
      </c>
    </row>
    <row r="19" spans="1:4" ht="30" customHeight="1" x14ac:dyDescent="0.2">
      <c r="A19" s="4" t="s">
        <v>23</v>
      </c>
    </row>
    <row r="20" spans="1:4" ht="30" customHeight="1" x14ac:dyDescent="0.2">
      <c r="A20" s="4" t="s">
        <v>24</v>
      </c>
    </row>
    <row r="21" spans="1:4" ht="30" customHeight="1" x14ac:dyDescent="0.2">
      <c r="A21" s="4" t="s">
        <v>25</v>
      </c>
    </row>
    <row r="22" spans="1:4" ht="30" customHeight="1" x14ac:dyDescent="0.2">
      <c r="A22" s="4" t="s">
        <v>26</v>
      </c>
    </row>
    <row r="23" spans="1:4" ht="30" customHeight="1" x14ac:dyDescent="0.2">
      <c r="A23" s="4" t="s">
        <v>27</v>
      </c>
    </row>
    <row r="24" spans="1:4" ht="30" customHeight="1" x14ac:dyDescent="0.2">
      <c r="A24" s="4" t="s">
        <v>28</v>
      </c>
    </row>
    <row r="27" spans="1:4" ht="16" x14ac:dyDescent="0.2">
      <c r="A27" s="26" t="s">
        <v>29</v>
      </c>
      <c r="B27" s="25"/>
      <c r="C27" s="25"/>
      <c r="D27" s="25"/>
    </row>
    <row r="28" spans="1:4" x14ac:dyDescent="0.2">
      <c r="A28" s="5" t="s">
        <v>30</v>
      </c>
      <c r="B28" s="5" t="s">
        <v>31</v>
      </c>
      <c r="C28" s="5" t="s">
        <v>32</v>
      </c>
      <c r="D28" s="5" t="s">
        <v>33</v>
      </c>
    </row>
    <row r="29" spans="1:4" x14ac:dyDescent="0.2">
      <c r="A29" t="s">
        <v>34</v>
      </c>
      <c r="B29" t="s">
        <v>35</v>
      </c>
      <c r="C29" t="s">
        <v>36</v>
      </c>
      <c r="D29" s="6" t="s">
        <v>37</v>
      </c>
    </row>
    <row r="30" spans="1:4" x14ac:dyDescent="0.2">
      <c r="A30" t="s">
        <v>38</v>
      </c>
      <c r="B30" t="s">
        <v>39</v>
      </c>
      <c r="C30" t="s">
        <v>40</v>
      </c>
      <c r="D30" s="7" t="s">
        <v>41</v>
      </c>
    </row>
    <row r="31" spans="1:4" x14ac:dyDescent="0.2">
      <c r="A31" t="s">
        <v>42</v>
      </c>
      <c r="B31" t="s">
        <v>43</v>
      </c>
      <c r="C31" t="s">
        <v>44</v>
      </c>
      <c r="D31" s="8" t="s">
        <v>45</v>
      </c>
    </row>
    <row r="32" spans="1:4" x14ac:dyDescent="0.2">
      <c r="A32" t="s">
        <v>46</v>
      </c>
      <c r="B32" t="s">
        <v>47</v>
      </c>
      <c r="C32" t="s">
        <v>48</v>
      </c>
      <c r="D32" s="9" t="s">
        <v>49</v>
      </c>
    </row>
    <row r="33" spans="1:6" x14ac:dyDescent="0.2">
      <c r="A33" t="s">
        <v>50</v>
      </c>
      <c r="B33" t="s">
        <v>51</v>
      </c>
      <c r="C33" t="s">
        <v>52</v>
      </c>
      <c r="D33" s="10" t="s">
        <v>53</v>
      </c>
    </row>
    <row r="36" spans="1:6" ht="16" x14ac:dyDescent="0.2">
      <c r="A36" s="26" t="s">
        <v>54</v>
      </c>
      <c r="B36" s="25"/>
      <c r="C36" s="25"/>
      <c r="D36" s="25"/>
      <c r="E36" s="25"/>
      <c r="F36" s="25"/>
    </row>
    <row r="37" spans="1:6" x14ac:dyDescent="0.2">
      <c r="A37" t="s">
        <v>55</v>
      </c>
    </row>
    <row r="38" spans="1:6" x14ac:dyDescent="0.2">
      <c r="A38" t="s">
        <v>56</v>
      </c>
    </row>
    <row r="39" spans="1:6" x14ac:dyDescent="0.2">
      <c r="A39" t="s">
        <v>57</v>
      </c>
    </row>
    <row r="40" spans="1:6" x14ac:dyDescent="0.2">
      <c r="A40" t="s">
        <v>58</v>
      </c>
    </row>
    <row r="41" spans="1:6" x14ac:dyDescent="0.2">
      <c r="A41" t="s">
        <v>59</v>
      </c>
    </row>
    <row r="42" spans="1:6" x14ac:dyDescent="0.2">
      <c r="A42" t="s">
        <v>60</v>
      </c>
    </row>
    <row r="43" spans="1:6" x14ac:dyDescent="0.2">
      <c r="A43" t="s">
        <v>61</v>
      </c>
    </row>
    <row r="44" spans="1:6" x14ac:dyDescent="0.2">
      <c r="A44" t="s">
        <v>62</v>
      </c>
    </row>
    <row r="45" spans="1:6" x14ac:dyDescent="0.2">
      <c r="A45" t="s">
        <v>63</v>
      </c>
    </row>
    <row r="46" spans="1:6" x14ac:dyDescent="0.2">
      <c r="A46" t="s">
        <v>64</v>
      </c>
    </row>
    <row r="49" spans="1:6" ht="16" x14ac:dyDescent="0.2">
      <c r="A49" s="26" t="s">
        <v>65</v>
      </c>
      <c r="B49" s="25"/>
      <c r="C49" s="25"/>
      <c r="D49" s="25"/>
      <c r="E49" s="25"/>
      <c r="F49" s="25"/>
    </row>
    <row r="50" spans="1:6" x14ac:dyDescent="0.2">
      <c r="A50" t="s">
        <v>66</v>
      </c>
    </row>
    <row r="51" spans="1:6" x14ac:dyDescent="0.2">
      <c r="A51" t="s">
        <v>67</v>
      </c>
    </row>
    <row r="52" spans="1:6" x14ac:dyDescent="0.2">
      <c r="A52" t="s">
        <v>68</v>
      </c>
    </row>
    <row r="53" spans="1:6" x14ac:dyDescent="0.2">
      <c r="A53" t="s">
        <v>69</v>
      </c>
    </row>
    <row r="54" spans="1:6" x14ac:dyDescent="0.2">
      <c r="A54" t="s">
        <v>70</v>
      </c>
    </row>
    <row r="55" spans="1:6" x14ac:dyDescent="0.2">
      <c r="A55" t="s">
        <v>71</v>
      </c>
    </row>
    <row r="56" spans="1:6" x14ac:dyDescent="0.2">
      <c r="A56" t="s">
        <v>72</v>
      </c>
    </row>
    <row r="57" spans="1:6" x14ac:dyDescent="0.2">
      <c r="A57" t="s">
        <v>73</v>
      </c>
    </row>
    <row r="58" spans="1:6" x14ac:dyDescent="0.2">
      <c r="A58" t="s">
        <v>74</v>
      </c>
    </row>
    <row r="59" spans="1:6" x14ac:dyDescent="0.2">
      <c r="A59" t="s">
        <v>75</v>
      </c>
    </row>
    <row r="60" spans="1:6" x14ac:dyDescent="0.2">
      <c r="A60" t="s">
        <v>76</v>
      </c>
    </row>
    <row r="61" spans="1:6" x14ac:dyDescent="0.2">
      <c r="A61" t="s">
        <v>77</v>
      </c>
    </row>
  </sheetData>
  <mergeCells count="6">
    <mergeCell ref="A2:F2"/>
    <mergeCell ref="A49:F49"/>
    <mergeCell ref="A27:D27"/>
    <mergeCell ref="A36:F36"/>
    <mergeCell ref="A1:F1"/>
    <mergeCell ref="A15:F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4"/>
  <sheetViews>
    <sheetView workbookViewId="0">
      <pane ySplit="4" topLeftCell="A5" activePane="bottomLeft" state="frozen"/>
      <selection pane="bottomLeft" sqref="A1:O1"/>
    </sheetView>
  </sheetViews>
  <sheetFormatPr baseColWidth="10" defaultColWidth="8.83203125" defaultRowHeight="15" x14ac:dyDescent="0.2"/>
  <cols>
    <col min="1" max="1" width="15" customWidth="1"/>
    <col min="2" max="2" width="30" customWidth="1"/>
    <col min="3" max="4" width="25" customWidth="1"/>
    <col min="5" max="5" width="20" customWidth="1"/>
    <col min="6" max="7" width="12" customWidth="1"/>
    <col min="8" max="9" width="15" customWidth="1"/>
    <col min="10" max="10" width="18" customWidth="1"/>
    <col min="11" max="11" width="30" customWidth="1"/>
    <col min="12" max="12" width="12" customWidth="1"/>
    <col min="13" max="13" width="25" customWidth="1"/>
    <col min="14" max="14" width="15" customWidth="1"/>
    <col min="15" max="15" width="35" customWidth="1"/>
  </cols>
  <sheetData>
    <row r="1" spans="1:15" ht="30" customHeight="1" x14ac:dyDescent="0.2">
      <c r="A1" s="27" t="s">
        <v>78</v>
      </c>
      <c r="B1" s="25"/>
      <c r="C1" s="25"/>
      <c r="D1" s="25"/>
      <c r="E1" s="25"/>
      <c r="F1" s="25"/>
      <c r="G1" s="25"/>
      <c r="H1" s="25"/>
      <c r="I1" s="25"/>
      <c r="J1" s="25"/>
      <c r="K1" s="25"/>
      <c r="L1" s="25"/>
      <c r="M1" s="25"/>
      <c r="N1" s="25"/>
      <c r="O1" s="25"/>
    </row>
    <row r="2" spans="1:15" x14ac:dyDescent="0.2">
      <c r="A2" s="24" t="s">
        <v>79</v>
      </c>
      <c r="B2" s="25"/>
      <c r="C2" s="25"/>
      <c r="D2" s="25"/>
      <c r="E2" s="25"/>
      <c r="F2" s="25"/>
      <c r="G2" s="25"/>
      <c r="H2" s="25"/>
      <c r="I2" s="25"/>
      <c r="J2" s="25"/>
      <c r="K2" s="25"/>
      <c r="L2" s="25"/>
      <c r="M2" s="25"/>
      <c r="N2" s="25"/>
      <c r="O2" s="25"/>
    </row>
    <row r="3" spans="1:15" x14ac:dyDescent="0.2">
      <c r="A3" t="s">
        <v>80</v>
      </c>
      <c r="B3" t="s">
        <v>81</v>
      </c>
      <c r="C3" t="s">
        <v>82</v>
      </c>
      <c r="D3" t="s">
        <v>83</v>
      </c>
      <c r="E3" t="s">
        <v>84</v>
      </c>
      <c r="F3">
        <v>250</v>
      </c>
      <c r="G3" t="s">
        <v>85</v>
      </c>
      <c r="H3" t="s">
        <v>86</v>
      </c>
      <c r="I3" t="s">
        <v>87</v>
      </c>
    </row>
    <row r="4" spans="1:15" ht="32" x14ac:dyDescent="0.2">
      <c r="A4" s="11" t="s">
        <v>88</v>
      </c>
      <c r="B4" s="11" t="s">
        <v>89</v>
      </c>
      <c r="C4" s="11" t="s">
        <v>90</v>
      </c>
      <c r="D4" s="11" t="s">
        <v>83</v>
      </c>
      <c r="E4" s="11" t="s">
        <v>84</v>
      </c>
      <c r="F4" s="11">
        <v>200</v>
      </c>
      <c r="G4" s="11" t="s">
        <v>91</v>
      </c>
      <c r="H4" s="11" t="s">
        <v>92</v>
      </c>
      <c r="I4" s="11" t="s">
        <v>93</v>
      </c>
      <c r="J4" s="11" t="s">
        <v>94</v>
      </c>
      <c r="K4" s="11" t="s">
        <v>95</v>
      </c>
      <c r="L4" s="11" t="s">
        <v>96</v>
      </c>
      <c r="M4" s="11" t="s">
        <v>97</v>
      </c>
      <c r="N4" s="11" t="s">
        <v>98</v>
      </c>
      <c r="O4" s="11" t="s">
        <v>99</v>
      </c>
    </row>
    <row r="5" spans="1:15" x14ac:dyDescent="0.2">
      <c r="A5" s="12" t="s">
        <v>100</v>
      </c>
      <c r="B5" s="3" t="s">
        <v>101</v>
      </c>
      <c r="C5" s="3" t="s">
        <v>102</v>
      </c>
      <c r="D5" s="3" t="s">
        <v>83</v>
      </c>
      <c r="E5" s="3" t="s">
        <v>84</v>
      </c>
      <c r="F5" s="3">
        <v>150</v>
      </c>
      <c r="G5" s="3" t="s">
        <v>103</v>
      </c>
      <c r="H5" s="3" t="s">
        <v>104</v>
      </c>
      <c r="I5" s="3" t="s">
        <v>105</v>
      </c>
      <c r="J5" s="3"/>
      <c r="K5" s="3"/>
      <c r="L5" s="3"/>
      <c r="M5" s="3"/>
      <c r="N5" s="3"/>
      <c r="O5" s="3"/>
    </row>
    <row r="6" spans="1:15" x14ac:dyDescent="0.2">
      <c r="A6" s="12" t="s">
        <v>106</v>
      </c>
      <c r="B6" s="3" t="s">
        <v>107</v>
      </c>
      <c r="C6" s="3" t="s">
        <v>108</v>
      </c>
      <c r="D6" s="3" t="s">
        <v>83</v>
      </c>
      <c r="E6" s="3" t="s">
        <v>84</v>
      </c>
      <c r="F6" s="3">
        <v>50</v>
      </c>
      <c r="G6" s="3" t="s">
        <v>109</v>
      </c>
      <c r="H6" s="3" t="s">
        <v>110</v>
      </c>
      <c r="I6" s="3" t="s">
        <v>111</v>
      </c>
      <c r="J6" s="3"/>
      <c r="K6" s="3"/>
      <c r="L6" s="3"/>
      <c r="M6" s="3"/>
      <c r="N6" s="3"/>
      <c r="O6" s="3"/>
    </row>
    <row r="7" spans="1:15" x14ac:dyDescent="0.2">
      <c r="A7" s="12" t="s">
        <v>112</v>
      </c>
      <c r="B7" s="3" t="s">
        <v>113</v>
      </c>
      <c r="C7" s="3" t="s">
        <v>114</v>
      </c>
      <c r="D7" s="3" t="s">
        <v>115</v>
      </c>
      <c r="E7" s="3" t="s">
        <v>116</v>
      </c>
      <c r="F7" s="3">
        <v>10</v>
      </c>
      <c r="G7" s="3" t="s">
        <v>117</v>
      </c>
      <c r="H7" s="3" t="s">
        <v>118</v>
      </c>
      <c r="I7" s="3" t="s">
        <v>119</v>
      </c>
      <c r="J7" s="3"/>
      <c r="K7" s="3"/>
      <c r="L7" s="3"/>
      <c r="M7" s="3"/>
      <c r="N7" s="3"/>
      <c r="O7" s="3"/>
    </row>
    <row r="8" spans="1:15" x14ac:dyDescent="0.2">
      <c r="A8" s="12" t="s">
        <v>120</v>
      </c>
      <c r="B8" s="3" t="s">
        <v>121</v>
      </c>
      <c r="C8" s="3" t="s">
        <v>122</v>
      </c>
      <c r="D8" s="3" t="s">
        <v>123</v>
      </c>
      <c r="E8" s="3" t="s">
        <v>124</v>
      </c>
      <c r="F8" s="3">
        <v>25</v>
      </c>
      <c r="G8" s="3" t="s">
        <v>125</v>
      </c>
      <c r="H8" s="3" t="s">
        <v>126</v>
      </c>
      <c r="I8" s="3" t="s">
        <v>127</v>
      </c>
      <c r="J8" s="3"/>
      <c r="K8" s="3"/>
      <c r="L8" s="3"/>
      <c r="M8" s="3"/>
      <c r="N8" s="3"/>
      <c r="O8" s="3"/>
    </row>
    <row r="9" spans="1:15" x14ac:dyDescent="0.2">
      <c r="A9" s="12" t="s">
        <v>128</v>
      </c>
      <c r="B9" s="3" t="s">
        <v>129</v>
      </c>
      <c r="C9" s="3" t="s">
        <v>130</v>
      </c>
      <c r="D9" s="3" t="s">
        <v>115</v>
      </c>
      <c r="E9" s="3" t="s">
        <v>131</v>
      </c>
      <c r="F9" s="3">
        <v>30</v>
      </c>
      <c r="G9" s="3" t="s">
        <v>132</v>
      </c>
      <c r="H9" s="3" t="s">
        <v>133</v>
      </c>
      <c r="I9" s="3" t="s">
        <v>134</v>
      </c>
      <c r="J9" s="3"/>
      <c r="K9" s="3"/>
      <c r="L9" s="3"/>
      <c r="M9" s="3"/>
      <c r="N9" s="3"/>
      <c r="O9" s="3"/>
    </row>
    <row r="10" spans="1:15" x14ac:dyDescent="0.2">
      <c r="A10" s="12" t="s">
        <v>120</v>
      </c>
      <c r="B10" s="3"/>
      <c r="C10" s="3"/>
      <c r="D10" s="3"/>
      <c r="E10" s="3"/>
      <c r="F10" s="3"/>
      <c r="G10" s="3"/>
      <c r="H10" s="3"/>
      <c r="I10" s="3"/>
      <c r="J10" s="3"/>
      <c r="K10" s="3"/>
      <c r="L10" s="3"/>
      <c r="M10" s="3"/>
      <c r="N10" s="3"/>
      <c r="O10" s="3"/>
    </row>
    <row r="11" spans="1:15" x14ac:dyDescent="0.2">
      <c r="A11" s="12" t="s">
        <v>128</v>
      </c>
      <c r="B11" s="3"/>
      <c r="C11" s="3"/>
      <c r="D11" s="3"/>
      <c r="E11" s="3"/>
      <c r="F11" s="3"/>
      <c r="G11" s="3"/>
      <c r="H11" s="3"/>
      <c r="I11" s="3"/>
      <c r="J11" s="3"/>
      <c r="K11" s="3"/>
      <c r="L11" s="3"/>
      <c r="M11" s="3"/>
      <c r="N11" s="3"/>
      <c r="O11" s="3"/>
    </row>
    <row r="12" spans="1:15" x14ac:dyDescent="0.2">
      <c r="A12" s="12" t="s">
        <v>135</v>
      </c>
      <c r="B12" s="3"/>
      <c r="C12" s="3"/>
      <c r="D12" s="3"/>
      <c r="E12" s="3"/>
      <c r="F12" s="3"/>
      <c r="G12" s="3"/>
      <c r="H12" s="3"/>
      <c r="I12" s="3"/>
      <c r="J12" s="3"/>
      <c r="K12" s="3"/>
      <c r="L12" s="3"/>
      <c r="M12" s="3"/>
      <c r="N12" s="3"/>
      <c r="O12" s="3"/>
    </row>
    <row r="13" spans="1:15" x14ac:dyDescent="0.2">
      <c r="A13" s="12" t="s">
        <v>136</v>
      </c>
      <c r="B13" s="3"/>
      <c r="C13" s="3"/>
      <c r="D13" s="3"/>
      <c r="E13" s="3"/>
      <c r="F13" s="3"/>
      <c r="G13" s="3"/>
      <c r="H13" s="3"/>
      <c r="I13" s="3"/>
      <c r="J13" s="3"/>
      <c r="K13" s="3"/>
      <c r="L13" s="3"/>
      <c r="M13" s="3"/>
      <c r="N13" s="3"/>
      <c r="O13" s="3"/>
    </row>
    <row r="14" spans="1:15" x14ac:dyDescent="0.2">
      <c r="A14" s="12" t="s">
        <v>137</v>
      </c>
      <c r="B14" s="3"/>
      <c r="C14" s="3"/>
      <c r="D14" s="3"/>
      <c r="E14" s="3"/>
      <c r="F14" s="3"/>
      <c r="G14" s="3"/>
      <c r="H14" s="3"/>
      <c r="I14" s="3"/>
      <c r="J14" s="3"/>
      <c r="K14" s="3"/>
      <c r="L14" s="3"/>
      <c r="M14" s="3"/>
      <c r="N14" s="3"/>
      <c r="O14" s="3"/>
    </row>
    <row r="15" spans="1:15" x14ac:dyDescent="0.2">
      <c r="A15" s="12" t="s">
        <v>138</v>
      </c>
      <c r="B15" s="3"/>
      <c r="C15" s="3"/>
      <c r="D15" s="3"/>
      <c r="E15" s="3"/>
      <c r="F15" s="3"/>
      <c r="G15" s="3"/>
      <c r="H15" s="3"/>
      <c r="I15" s="3"/>
      <c r="J15" s="3"/>
      <c r="K15" s="3"/>
      <c r="L15" s="3"/>
      <c r="M15" s="3"/>
      <c r="N15" s="3"/>
      <c r="O15" s="3"/>
    </row>
    <row r="16" spans="1:15" x14ac:dyDescent="0.2">
      <c r="A16" s="12" t="s">
        <v>139</v>
      </c>
      <c r="B16" s="3"/>
      <c r="C16" s="3"/>
      <c r="D16" s="3"/>
      <c r="E16" s="3"/>
      <c r="F16" s="3"/>
      <c r="G16" s="3"/>
      <c r="H16" s="3"/>
      <c r="I16" s="3"/>
      <c r="J16" s="3"/>
      <c r="K16" s="3"/>
      <c r="L16" s="3"/>
      <c r="M16" s="3"/>
      <c r="N16" s="3"/>
      <c r="O16" s="3"/>
    </row>
    <row r="17" spans="1:15" x14ac:dyDescent="0.2">
      <c r="A17" s="12" t="s">
        <v>140</v>
      </c>
      <c r="B17" s="3"/>
      <c r="C17" s="3"/>
      <c r="D17" s="3"/>
      <c r="E17" s="3"/>
      <c r="F17" s="3"/>
      <c r="G17" s="3"/>
      <c r="H17" s="3"/>
      <c r="I17" s="3"/>
      <c r="J17" s="3"/>
      <c r="K17" s="3"/>
      <c r="L17" s="3"/>
      <c r="M17" s="3"/>
      <c r="N17" s="3"/>
      <c r="O17" s="3"/>
    </row>
    <row r="18" spans="1:15" x14ac:dyDescent="0.2">
      <c r="A18" s="12" t="s">
        <v>141</v>
      </c>
      <c r="B18" s="3"/>
      <c r="C18" s="3"/>
      <c r="D18" s="3"/>
      <c r="E18" s="3"/>
      <c r="F18" s="3"/>
      <c r="G18" s="3"/>
      <c r="H18" s="3"/>
      <c r="I18" s="3"/>
      <c r="J18" s="3"/>
      <c r="K18" s="3"/>
      <c r="L18" s="3"/>
      <c r="M18" s="3"/>
      <c r="N18" s="3"/>
      <c r="O18" s="3"/>
    </row>
    <row r="19" spans="1:15" x14ac:dyDescent="0.2">
      <c r="A19" s="12" t="s">
        <v>142</v>
      </c>
      <c r="B19" s="3"/>
      <c r="C19" s="3"/>
      <c r="D19" s="3"/>
      <c r="E19" s="3"/>
      <c r="F19" s="3"/>
      <c r="G19" s="3"/>
      <c r="H19" s="3"/>
      <c r="I19" s="3"/>
      <c r="J19" s="3"/>
      <c r="K19" s="3"/>
      <c r="L19" s="3"/>
      <c r="M19" s="3"/>
      <c r="N19" s="3"/>
      <c r="O19" s="3"/>
    </row>
    <row r="20" spans="1:15" x14ac:dyDescent="0.2">
      <c r="A20" s="12" t="s">
        <v>143</v>
      </c>
      <c r="B20" s="3"/>
      <c r="C20" s="3"/>
      <c r="D20" s="3"/>
      <c r="E20" s="3"/>
      <c r="F20" s="3"/>
      <c r="G20" s="3"/>
      <c r="H20" s="3"/>
      <c r="I20" s="3"/>
      <c r="J20" s="3"/>
      <c r="K20" s="3"/>
      <c r="L20" s="3"/>
      <c r="M20" s="3"/>
      <c r="N20" s="3"/>
      <c r="O20" s="3"/>
    </row>
    <row r="21" spans="1:15" x14ac:dyDescent="0.2">
      <c r="A21" s="12" t="s">
        <v>144</v>
      </c>
      <c r="B21" s="3"/>
      <c r="C21" s="3"/>
      <c r="D21" s="3"/>
      <c r="E21" s="3"/>
      <c r="F21" s="3"/>
      <c r="G21" s="3"/>
      <c r="H21" s="3"/>
      <c r="I21" s="3"/>
      <c r="J21" s="3"/>
      <c r="K21" s="3"/>
      <c r="L21" s="3"/>
      <c r="M21" s="3"/>
      <c r="N21" s="3"/>
      <c r="O21" s="3"/>
    </row>
    <row r="22" spans="1:15" x14ac:dyDescent="0.2">
      <c r="A22" s="12" t="s">
        <v>145</v>
      </c>
      <c r="B22" s="3"/>
      <c r="C22" s="3"/>
      <c r="D22" s="3"/>
      <c r="E22" s="3"/>
      <c r="F22" s="3"/>
      <c r="G22" s="3"/>
      <c r="H22" s="3"/>
      <c r="I22" s="3"/>
      <c r="J22" s="3"/>
      <c r="K22" s="3"/>
      <c r="L22" s="3"/>
      <c r="M22" s="3"/>
      <c r="N22" s="3"/>
      <c r="O22" s="3"/>
    </row>
    <row r="23" spans="1:15" x14ac:dyDescent="0.2">
      <c r="A23" s="12" t="s">
        <v>146</v>
      </c>
      <c r="B23" s="3"/>
      <c r="C23" s="3"/>
      <c r="D23" s="3"/>
      <c r="E23" s="3"/>
      <c r="F23" s="3"/>
      <c r="G23" s="3"/>
      <c r="H23" s="3"/>
      <c r="I23" s="3"/>
      <c r="J23" s="3"/>
      <c r="K23" s="3"/>
      <c r="L23" s="3"/>
      <c r="M23" s="3"/>
      <c r="N23" s="3"/>
      <c r="O23" s="3"/>
    </row>
    <row r="24" spans="1:15" x14ac:dyDescent="0.2">
      <c r="A24" s="12" t="s">
        <v>147</v>
      </c>
      <c r="B24" s="3"/>
      <c r="C24" s="3"/>
      <c r="D24" s="3"/>
      <c r="E24" s="3"/>
      <c r="F24" s="3"/>
      <c r="G24" s="3"/>
      <c r="H24" s="3"/>
      <c r="I24" s="3"/>
      <c r="J24" s="3"/>
      <c r="K24" s="3"/>
      <c r="L24" s="3"/>
      <c r="M24" s="3"/>
      <c r="N24" s="3"/>
      <c r="O24" s="3"/>
    </row>
    <row r="25" spans="1:15" x14ac:dyDescent="0.2">
      <c r="A25" s="12" t="s">
        <v>148</v>
      </c>
      <c r="B25" s="3"/>
      <c r="C25" s="3"/>
      <c r="D25" s="3"/>
      <c r="E25" s="3"/>
      <c r="F25" s="3"/>
      <c r="G25" s="3"/>
      <c r="H25" s="3"/>
      <c r="I25" s="3"/>
      <c r="J25" s="3"/>
      <c r="K25" s="3"/>
      <c r="L25" s="3"/>
      <c r="M25" s="3"/>
      <c r="N25" s="3"/>
      <c r="O25" s="3"/>
    </row>
    <row r="26" spans="1:15" x14ac:dyDescent="0.2">
      <c r="A26" s="12" t="s">
        <v>149</v>
      </c>
      <c r="B26" s="3"/>
      <c r="C26" s="3"/>
      <c r="D26" s="3"/>
      <c r="E26" s="3"/>
      <c r="F26" s="3"/>
      <c r="G26" s="3"/>
      <c r="H26" s="3"/>
      <c r="I26" s="3"/>
      <c r="J26" s="3"/>
      <c r="K26" s="3"/>
      <c r="L26" s="3"/>
      <c r="M26" s="3"/>
      <c r="N26" s="3"/>
      <c r="O26" s="3"/>
    </row>
    <row r="27" spans="1:15" x14ac:dyDescent="0.2">
      <c r="A27" s="12" t="s">
        <v>150</v>
      </c>
      <c r="B27" s="3"/>
      <c r="C27" s="3"/>
      <c r="D27" s="3"/>
      <c r="E27" s="3"/>
      <c r="F27" s="3"/>
      <c r="G27" s="3"/>
      <c r="H27" s="3"/>
      <c r="I27" s="3"/>
      <c r="J27" s="3"/>
      <c r="K27" s="3"/>
      <c r="L27" s="3"/>
      <c r="M27" s="3"/>
      <c r="N27" s="3"/>
      <c r="O27" s="3"/>
    </row>
    <row r="28" spans="1:15" x14ac:dyDescent="0.2">
      <c r="A28" s="12" t="s">
        <v>151</v>
      </c>
      <c r="B28" s="3"/>
      <c r="C28" s="3"/>
      <c r="D28" s="3"/>
      <c r="E28" s="3"/>
      <c r="F28" s="3"/>
      <c r="G28" s="3"/>
      <c r="H28" s="3"/>
      <c r="I28" s="3"/>
      <c r="J28" s="3"/>
      <c r="K28" s="3"/>
      <c r="L28" s="3"/>
      <c r="M28" s="3"/>
      <c r="N28" s="3"/>
      <c r="O28" s="3"/>
    </row>
    <row r="29" spans="1:15" x14ac:dyDescent="0.2">
      <c r="A29" s="12" t="s">
        <v>152</v>
      </c>
      <c r="B29" s="3"/>
      <c r="C29" s="3"/>
      <c r="D29" s="3"/>
      <c r="E29" s="3"/>
      <c r="F29" s="3"/>
      <c r="G29" s="3"/>
      <c r="H29" s="3"/>
      <c r="I29" s="3"/>
      <c r="J29" s="3"/>
      <c r="K29" s="3"/>
      <c r="L29" s="3"/>
      <c r="M29" s="3"/>
      <c r="N29" s="3"/>
      <c r="O29" s="3"/>
    </row>
    <row r="30" spans="1:15" x14ac:dyDescent="0.2">
      <c r="A30" s="12" t="s">
        <v>153</v>
      </c>
      <c r="B30" s="3"/>
      <c r="C30" s="3"/>
      <c r="D30" s="3"/>
      <c r="E30" s="3"/>
      <c r="F30" s="3"/>
      <c r="G30" s="3"/>
      <c r="H30" s="3"/>
      <c r="I30" s="3"/>
      <c r="J30" s="3"/>
      <c r="K30" s="3"/>
      <c r="L30" s="3"/>
      <c r="M30" s="3"/>
      <c r="N30" s="3"/>
      <c r="O30" s="3"/>
    </row>
    <row r="31" spans="1:15" x14ac:dyDescent="0.2">
      <c r="A31" s="12" t="s">
        <v>154</v>
      </c>
      <c r="B31" s="3"/>
      <c r="C31" s="3"/>
      <c r="D31" s="3"/>
      <c r="E31" s="3"/>
      <c r="F31" s="3"/>
      <c r="G31" s="3"/>
      <c r="H31" s="3"/>
      <c r="I31" s="3"/>
      <c r="J31" s="3"/>
      <c r="K31" s="3"/>
      <c r="L31" s="3"/>
      <c r="M31" s="3"/>
      <c r="N31" s="3"/>
      <c r="O31" s="3"/>
    </row>
    <row r="32" spans="1:15" x14ac:dyDescent="0.2">
      <c r="A32" s="12" t="s">
        <v>155</v>
      </c>
      <c r="B32" s="3"/>
      <c r="C32" s="3"/>
      <c r="D32" s="3"/>
      <c r="E32" s="3"/>
      <c r="F32" s="3"/>
      <c r="G32" s="3"/>
      <c r="H32" s="3"/>
      <c r="I32" s="3"/>
      <c r="J32" s="3"/>
      <c r="K32" s="3"/>
      <c r="L32" s="3"/>
      <c r="M32" s="3"/>
      <c r="N32" s="3"/>
      <c r="O32" s="3"/>
    </row>
    <row r="33" spans="1:15" x14ac:dyDescent="0.2">
      <c r="A33" s="12" t="s">
        <v>156</v>
      </c>
      <c r="B33" s="3"/>
      <c r="C33" s="3"/>
      <c r="D33" s="3"/>
      <c r="E33" s="3"/>
      <c r="F33" s="3"/>
      <c r="G33" s="3"/>
      <c r="H33" s="3"/>
      <c r="I33" s="3"/>
      <c r="J33" s="3"/>
      <c r="K33" s="3"/>
      <c r="L33" s="3"/>
      <c r="M33" s="3"/>
      <c r="N33" s="3"/>
      <c r="O33" s="3"/>
    </row>
    <row r="34" spans="1:15" x14ac:dyDescent="0.2">
      <c r="A34" s="12" t="s">
        <v>157</v>
      </c>
      <c r="B34" s="3"/>
      <c r="C34" s="3"/>
      <c r="D34" s="3"/>
      <c r="E34" s="3"/>
      <c r="F34" s="3"/>
      <c r="G34" s="3"/>
      <c r="H34" s="3"/>
      <c r="I34" s="3"/>
      <c r="J34" s="3"/>
      <c r="K34" s="3"/>
      <c r="L34" s="3"/>
      <c r="M34" s="3"/>
      <c r="N34" s="3"/>
      <c r="O34" s="3"/>
    </row>
    <row r="35" spans="1:15" x14ac:dyDescent="0.2">
      <c r="A35" s="12" t="s">
        <v>158</v>
      </c>
      <c r="B35" s="3"/>
      <c r="C35" s="3"/>
      <c r="D35" s="3"/>
      <c r="E35" s="3"/>
      <c r="F35" s="3"/>
      <c r="G35" s="3"/>
      <c r="H35" s="3"/>
      <c r="I35" s="3"/>
      <c r="J35" s="3"/>
      <c r="K35" s="3"/>
      <c r="L35" s="3"/>
      <c r="M35" s="3"/>
      <c r="N35" s="3"/>
      <c r="O35" s="3"/>
    </row>
    <row r="36" spans="1:15" x14ac:dyDescent="0.2">
      <c r="A36" s="12" t="s">
        <v>159</v>
      </c>
      <c r="B36" s="3"/>
      <c r="C36" s="3"/>
      <c r="D36" s="3"/>
      <c r="E36" s="3"/>
      <c r="F36" s="3"/>
      <c r="G36" s="3"/>
      <c r="H36" s="3"/>
      <c r="I36" s="3"/>
      <c r="J36" s="3"/>
      <c r="K36" s="3"/>
      <c r="L36" s="3"/>
      <c r="M36" s="3"/>
      <c r="N36" s="3"/>
      <c r="O36" s="3"/>
    </row>
    <row r="37" spans="1:15" x14ac:dyDescent="0.2">
      <c r="A37" s="12" t="s">
        <v>160</v>
      </c>
      <c r="B37" s="3"/>
      <c r="C37" s="3"/>
      <c r="D37" s="3"/>
      <c r="E37" s="3"/>
      <c r="F37" s="3"/>
      <c r="G37" s="3"/>
      <c r="H37" s="3"/>
      <c r="I37" s="3"/>
      <c r="J37" s="3"/>
      <c r="K37" s="3"/>
      <c r="L37" s="3"/>
      <c r="M37" s="3"/>
      <c r="N37" s="3"/>
      <c r="O37" s="3"/>
    </row>
    <row r="38" spans="1:15" x14ac:dyDescent="0.2">
      <c r="A38" s="12" t="s">
        <v>161</v>
      </c>
      <c r="B38" s="3"/>
      <c r="C38" s="3"/>
      <c r="D38" s="3"/>
      <c r="E38" s="3"/>
      <c r="F38" s="3"/>
      <c r="G38" s="3"/>
      <c r="H38" s="3"/>
      <c r="I38" s="3"/>
      <c r="J38" s="3"/>
      <c r="K38" s="3"/>
      <c r="L38" s="3"/>
      <c r="M38" s="3"/>
      <c r="N38" s="3"/>
      <c r="O38" s="3"/>
    </row>
    <row r="39" spans="1:15" x14ac:dyDescent="0.2">
      <c r="A39" s="12" t="s">
        <v>162</v>
      </c>
      <c r="B39" s="3"/>
      <c r="C39" s="3"/>
      <c r="D39" s="3"/>
      <c r="E39" s="3"/>
      <c r="F39" s="3"/>
      <c r="G39" s="3"/>
      <c r="H39" s="3"/>
      <c r="I39" s="3"/>
      <c r="J39" s="3"/>
      <c r="K39" s="3"/>
      <c r="L39" s="3"/>
      <c r="M39" s="3"/>
      <c r="N39" s="3"/>
      <c r="O39" s="3"/>
    </row>
    <row r="40" spans="1:15" x14ac:dyDescent="0.2">
      <c r="A40" s="12" t="s">
        <v>163</v>
      </c>
      <c r="B40" s="3"/>
      <c r="C40" s="3"/>
      <c r="D40" s="3"/>
      <c r="E40" s="3"/>
      <c r="F40" s="3"/>
      <c r="G40" s="3"/>
      <c r="H40" s="3"/>
      <c r="I40" s="3"/>
      <c r="J40" s="3"/>
      <c r="K40" s="3"/>
      <c r="L40" s="3"/>
      <c r="M40" s="3"/>
      <c r="N40" s="3"/>
      <c r="O40" s="3"/>
    </row>
    <row r="41" spans="1:15" x14ac:dyDescent="0.2">
      <c r="A41" s="12" t="s">
        <v>164</v>
      </c>
      <c r="B41" s="3"/>
      <c r="C41" s="3"/>
      <c r="D41" s="3"/>
      <c r="E41" s="3"/>
      <c r="F41" s="3"/>
      <c r="G41" s="3"/>
      <c r="H41" s="3"/>
      <c r="I41" s="3"/>
      <c r="J41" s="3"/>
      <c r="K41" s="3"/>
      <c r="L41" s="3"/>
      <c r="M41" s="3"/>
      <c r="N41" s="3"/>
      <c r="O41" s="3"/>
    </row>
    <row r="42" spans="1:15" x14ac:dyDescent="0.2">
      <c r="A42" s="12" t="s">
        <v>165</v>
      </c>
      <c r="B42" s="3"/>
      <c r="C42" s="3"/>
      <c r="D42" s="3"/>
      <c r="E42" s="3"/>
      <c r="F42" s="3"/>
      <c r="G42" s="3"/>
      <c r="H42" s="3"/>
      <c r="I42" s="3"/>
      <c r="J42" s="3"/>
      <c r="K42" s="3"/>
      <c r="L42" s="3"/>
      <c r="M42" s="3"/>
      <c r="N42" s="3"/>
      <c r="O42" s="3"/>
    </row>
    <row r="43" spans="1:15" x14ac:dyDescent="0.2">
      <c r="A43" s="12" t="s">
        <v>166</v>
      </c>
      <c r="B43" s="3"/>
      <c r="C43" s="3"/>
      <c r="D43" s="3"/>
      <c r="E43" s="3"/>
      <c r="F43" s="3"/>
      <c r="G43" s="3"/>
      <c r="H43" s="3"/>
      <c r="I43" s="3"/>
      <c r="J43" s="3"/>
      <c r="K43" s="3"/>
      <c r="L43" s="3"/>
      <c r="M43" s="3"/>
      <c r="N43" s="3"/>
      <c r="O43" s="3"/>
    </row>
    <row r="44" spans="1:15" x14ac:dyDescent="0.2">
      <c r="A44" s="12" t="s">
        <v>167</v>
      </c>
      <c r="B44" s="3"/>
      <c r="C44" s="3"/>
      <c r="D44" s="3"/>
      <c r="E44" s="3"/>
      <c r="F44" s="3"/>
      <c r="G44" s="3"/>
      <c r="H44" s="3"/>
      <c r="I44" s="3"/>
      <c r="J44" s="3"/>
      <c r="K44" s="3"/>
      <c r="L44" s="3"/>
      <c r="M44" s="3"/>
      <c r="N44" s="3"/>
      <c r="O44" s="3"/>
    </row>
    <row r="45" spans="1:15" x14ac:dyDescent="0.2">
      <c r="A45" s="12" t="s">
        <v>168</v>
      </c>
      <c r="B45" s="3"/>
      <c r="C45" s="3"/>
      <c r="D45" s="3"/>
      <c r="E45" s="3"/>
      <c r="F45" s="3"/>
      <c r="G45" s="3"/>
      <c r="H45" s="3"/>
      <c r="I45" s="3"/>
      <c r="J45" s="3"/>
      <c r="K45" s="3"/>
      <c r="L45" s="3"/>
      <c r="M45" s="3"/>
      <c r="N45" s="3"/>
      <c r="O45" s="3"/>
    </row>
    <row r="46" spans="1:15" x14ac:dyDescent="0.2">
      <c r="A46" s="12" t="s">
        <v>169</v>
      </c>
      <c r="B46" s="3"/>
      <c r="C46" s="3"/>
      <c r="D46" s="3"/>
      <c r="E46" s="3"/>
      <c r="F46" s="3"/>
      <c r="G46" s="3"/>
      <c r="H46" s="3"/>
      <c r="I46" s="3"/>
      <c r="J46" s="3"/>
      <c r="K46" s="3"/>
      <c r="L46" s="3"/>
      <c r="M46" s="3"/>
      <c r="N46" s="3"/>
      <c r="O46" s="3"/>
    </row>
    <row r="47" spans="1:15" x14ac:dyDescent="0.2">
      <c r="A47" s="12" t="s">
        <v>170</v>
      </c>
      <c r="B47" s="3"/>
      <c r="C47" s="3"/>
      <c r="D47" s="3"/>
      <c r="E47" s="3"/>
      <c r="F47" s="3"/>
      <c r="G47" s="3"/>
      <c r="H47" s="3"/>
      <c r="I47" s="3"/>
      <c r="J47" s="3"/>
      <c r="K47" s="3"/>
      <c r="L47" s="3"/>
      <c r="M47" s="3"/>
      <c r="N47" s="3"/>
      <c r="O47" s="3"/>
    </row>
    <row r="48" spans="1:15" x14ac:dyDescent="0.2">
      <c r="A48" s="12" t="s">
        <v>171</v>
      </c>
      <c r="B48" s="3"/>
      <c r="C48" s="3"/>
      <c r="D48" s="3"/>
      <c r="E48" s="3"/>
      <c r="F48" s="3"/>
      <c r="G48" s="3"/>
      <c r="H48" s="3"/>
      <c r="I48" s="3"/>
      <c r="J48" s="3"/>
      <c r="K48" s="3"/>
      <c r="L48" s="3"/>
      <c r="M48" s="3"/>
      <c r="N48" s="3"/>
      <c r="O48" s="3"/>
    </row>
    <row r="49" spans="1:15" x14ac:dyDescent="0.2">
      <c r="A49" s="12" t="s">
        <v>172</v>
      </c>
      <c r="B49" s="3"/>
      <c r="C49" s="3"/>
      <c r="D49" s="3"/>
      <c r="E49" s="3"/>
      <c r="F49" s="3"/>
      <c r="G49" s="3"/>
      <c r="H49" s="3"/>
      <c r="I49" s="3"/>
      <c r="J49" s="3"/>
      <c r="K49" s="3"/>
      <c r="L49" s="3"/>
      <c r="M49" s="3"/>
      <c r="N49" s="3"/>
      <c r="O49" s="3"/>
    </row>
    <row r="50" spans="1:15" x14ac:dyDescent="0.2">
      <c r="A50" s="12" t="s">
        <v>173</v>
      </c>
      <c r="B50" s="3"/>
      <c r="C50" s="3"/>
      <c r="D50" s="3"/>
      <c r="E50" s="3"/>
      <c r="F50" s="3"/>
      <c r="G50" s="3"/>
      <c r="H50" s="3"/>
      <c r="I50" s="3"/>
      <c r="J50" s="3"/>
      <c r="K50" s="3"/>
      <c r="L50" s="3"/>
      <c r="M50" s="3"/>
      <c r="N50" s="3"/>
      <c r="O50" s="3"/>
    </row>
    <row r="51" spans="1:15" x14ac:dyDescent="0.2">
      <c r="A51" s="12" t="s">
        <v>174</v>
      </c>
      <c r="B51" s="3"/>
      <c r="C51" s="3"/>
      <c r="D51" s="3"/>
      <c r="E51" s="3"/>
      <c r="F51" s="3"/>
      <c r="G51" s="3"/>
      <c r="H51" s="3"/>
      <c r="I51" s="3"/>
      <c r="J51" s="3"/>
      <c r="K51" s="3"/>
      <c r="L51" s="3"/>
      <c r="M51" s="3"/>
      <c r="N51" s="3"/>
      <c r="O51" s="3"/>
    </row>
    <row r="52" spans="1:15" x14ac:dyDescent="0.2">
      <c r="A52" s="12" t="s">
        <v>175</v>
      </c>
      <c r="B52" s="3"/>
      <c r="C52" s="3"/>
      <c r="D52" s="3"/>
      <c r="E52" s="3"/>
      <c r="F52" s="3"/>
      <c r="G52" s="3"/>
      <c r="H52" s="3"/>
      <c r="I52" s="3"/>
      <c r="J52" s="3"/>
      <c r="K52" s="3"/>
      <c r="L52" s="3"/>
      <c r="M52" s="3"/>
      <c r="N52" s="3"/>
      <c r="O52" s="3"/>
    </row>
    <row r="53" spans="1:15" x14ac:dyDescent="0.2">
      <c r="A53" s="12" t="s">
        <v>176</v>
      </c>
      <c r="B53" s="3"/>
      <c r="C53" s="3"/>
      <c r="D53" s="3"/>
      <c r="E53" s="3"/>
      <c r="F53" s="3"/>
      <c r="G53" s="3"/>
      <c r="H53" s="3"/>
      <c r="I53" s="3"/>
      <c r="J53" s="3"/>
      <c r="K53" s="3"/>
      <c r="L53" s="3"/>
      <c r="M53" s="3"/>
      <c r="N53" s="3"/>
      <c r="O53" s="3"/>
    </row>
    <row r="54" spans="1:15" x14ac:dyDescent="0.2">
      <c r="A54" s="12" t="s">
        <v>177</v>
      </c>
      <c r="B54" s="3"/>
      <c r="C54" s="3"/>
      <c r="D54" s="3"/>
      <c r="E54" s="3"/>
      <c r="F54" s="3"/>
      <c r="G54" s="3"/>
      <c r="H54" s="3"/>
      <c r="I54" s="3"/>
      <c r="J54" s="3"/>
      <c r="K54" s="3"/>
      <c r="L54" s="3"/>
      <c r="M54" s="3"/>
      <c r="N54" s="3"/>
      <c r="O54" s="3"/>
    </row>
  </sheetData>
  <mergeCells count="2">
    <mergeCell ref="A1:O1"/>
    <mergeCell ref="A2:O2"/>
  </mergeCells>
  <dataValidations count="4">
    <dataValidation type="list" sqref="H5 H6 H7 H8 H9 H10 H11 H12 H13 H14 H15 H16 H17 H18 H19 H20 H21 H22 H23 H24 H25 H26 H27 H28 H29 H30 H31 H32 H33 H34 H35 H36 H37 H38 H39 H40 H41 H42 H43 H44 H45 H46 H47 H48 H49 H50 H51 H52 H53 H54" xr:uid="{00000000-0002-0000-0100-000000000000}">
      <formula1>"Yes,No,Restricted"</formula1>
    </dataValidation>
    <dataValidation type="list" sqref="C5 C6 C7 C8 C9 C10 C11 C12 C13 C14 C15 C16 C17 C18 C19 C20 C21 C22 C23 C24 C25 C26 C27 C28 C29 C30 C31 C32 C33 C34 C35 C36 C37 C38 C39 C40 C41 C42 C43 C44 C45 C46 C47 C48 C49 C50 C51 C52 C53 C54" xr:uid="{00000000-0002-0000-0100-000001000000}">
      <formula1>"On-Premises LAN,WLAN,VPN,Cloud Endpoints,Guest,DMZ,Branch,Mobile,IoT/OT,Dev/Test,Other"</formula1>
    </dataValidation>
    <dataValidation type="list" sqref="I5 I6 I7 I8 I9 I10 I11 I12 I13 I14 I15 I16 I17 I18 I19 I20 I21 I22 I23 I24 I25 I26 I27 I28 I29 I30 I31 I32 I33 I34 I35 I36 I37 I38 I39 I40 I41 I42 I43 I44 I45 I46 I47 I48 I49 I50 I51 I52 I53 I54" xr:uid="{00000000-0002-0000-0100-000002000000}">
      <formula1>"Yes,No,N/A"</formula1>
    </dataValidation>
    <dataValidation type="list" sqref="J5 J6 J7 J8 J9 J10 J11 J12 J13 J14 J15 J16 J17 J18 J19 J20 J21 J22 J23 J24 J25 J26 J27 J28 J29 J30 J31 J32 J33 J34 J35 J36 J37 J38 J39 J40 J41 J42 J43 J44 J45 J46 J47 J48 J49 J50 J51 J52 J53 J54" xr:uid="{00000000-0002-0000-0100-000003000000}">
      <formula1>"✅ Protected,⚠️ Partial,❌ Unprotected,🔄 Planned,🚫 Exempt"</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1"/>
  <sheetViews>
    <sheetView tabSelected="1" workbookViewId="0">
      <pane ySplit="4" topLeftCell="A5" activePane="bottomLeft" state="frozen"/>
      <selection pane="bottomLeft" sqref="A1:G1"/>
    </sheetView>
  </sheetViews>
  <sheetFormatPr baseColWidth="10" defaultColWidth="8.83203125" defaultRowHeight="15" x14ac:dyDescent="0.2"/>
  <cols>
    <col min="1" max="1" width="35" customWidth="1"/>
    <col min="2" max="7" width="18" customWidth="1"/>
  </cols>
  <sheetData>
    <row r="1" spans="1:7" ht="30" customHeight="1" x14ac:dyDescent="0.2">
      <c r="A1" s="27" t="s">
        <v>178</v>
      </c>
      <c r="B1" s="25"/>
      <c r="C1" s="25"/>
      <c r="D1" s="25"/>
      <c r="E1" s="25"/>
      <c r="F1" s="25"/>
      <c r="G1" s="25"/>
    </row>
    <row r="2" spans="1:7" x14ac:dyDescent="0.2">
      <c r="A2" s="24" t="s">
        <v>179</v>
      </c>
      <c r="B2" s="25"/>
      <c r="C2" s="25"/>
      <c r="D2" s="25"/>
      <c r="E2" s="25"/>
      <c r="F2" s="25"/>
      <c r="G2" s="25"/>
    </row>
    <row r="4" spans="1:7" ht="16" x14ac:dyDescent="0.2">
      <c r="A4" s="11" t="s">
        <v>180</v>
      </c>
      <c r="B4" s="11" t="s">
        <v>181</v>
      </c>
      <c r="C4" s="11" t="s">
        <v>182</v>
      </c>
      <c r="D4" s="11" t="s">
        <v>183</v>
      </c>
      <c r="E4" s="11" t="s">
        <v>184</v>
      </c>
      <c r="F4" s="11" t="s">
        <v>185</v>
      </c>
      <c r="G4" s="11" t="s">
        <v>31</v>
      </c>
    </row>
    <row r="5" spans="1:7" x14ac:dyDescent="0.2">
      <c r="A5" s="12" t="s">
        <v>186</v>
      </c>
      <c r="B5" s="13"/>
      <c r="C5" s="13"/>
      <c r="D5" s="13"/>
      <c r="E5" s="13"/>
      <c r="F5" s="14">
        <f t="shared" ref="F5:F36" si="0">SUM(B5:E5)</f>
        <v>0</v>
      </c>
      <c r="G5" s="3"/>
    </row>
    <row r="6" spans="1:7" x14ac:dyDescent="0.2">
      <c r="A6" s="12" t="s">
        <v>187</v>
      </c>
      <c r="B6" s="13"/>
      <c r="C6" s="13"/>
      <c r="D6" s="13"/>
      <c r="E6" s="13"/>
      <c r="F6" s="14">
        <f t="shared" si="0"/>
        <v>0</v>
      </c>
      <c r="G6" s="3"/>
    </row>
    <row r="7" spans="1:7" x14ac:dyDescent="0.2">
      <c r="A7" s="12" t="s">
        <v>188</v>
      </c>
      <c r="B7" s="13"/>
      <c r="C7" s="13"/>
      <c r="D7" s="13"/>
      <c r="E7" s="13"/>
      <c r="F7" s="14">
        <f t="shared" si="0"/>
        <v>0</v>
      </c>
      <c r="G7" s="3"/>
    </row>
    <row r="8" spans="1:7" x14ac:dyDescent="0.2">
      <c r="A8" s="12" t="s">
        <v>189</v>
      </c>
      <c r="B8" s="13"/>
      <c r="C8" s="13"/>
      <c r="D8" s="13"/>
      <c r="E8" s="13"/>
      <c r="F8" s="14">
        <f t="shared" si="0"/>
        <v>0</v>
      </c>
      <c r="G8" s="3"/>
    </row>
    <row r="9" spans="1:7" x14ac:dyDescent="0.2">
      <c r="A9" s="12" t="s">
        <v>190</v>
      </c>
      <c r="B9" s="13"/>
      <c r="C9" s="13"/>
      <c r="D9" s="13"/>
      <c r="E9" s="13"/>
      <c r="F9" s="14">
        <f t="shared" si="0"/>
        <v>0</v>
      </c>
      <c r="G9" s="3"/>
    </row>
    <row r="10" spans="1:7" x14ac:dyDescent="0.2">
      <c r="A10" s="12" t="s">
        <v>191</v>
      </c>
      <c r="B10" s="13"/>
      <c r="C10" s="13"/>
      <c r="D10" s="13"/>
      <c r="E10" s="13"/>
      <c r="F10" s="14">
        <f t="shared" si="0"/>
        <v>0</v>
      </c>
      <c r="G10" s="3"/>
    </row>
    <row r="11" spans="1:7" x14ac:dyDescent="0.2">
      <c r="A11" s="12" t="s">
        <v>192</v>
      </c>
      <c r="B11" s="13"/>
      <c r="C11" s="13"/>
      <c r="D11" s="13"/>
      <c r="E11" s="13"/>
      <c r="F11" s="14">
        <f t="shared" si="0"/>
        <v>0</v>
      </c>
      <c r="G11" s="3"/>
    </row>
    <row r="12" spans="1:7" x14ac:dyDescent="0.2">
      <c r="A12" s="12" t="s">
        <v>193</v>
      </c>
      <c r="B12" s="13"/>
      <c r="C12" s="13"/>
      <c r="D12" s="13"/>
      <c r="E12" s="13"/>
      <c r="F12" s="14">
        <f t="shared" si="0"/>
        <v>0</v>
      </c>
      <c r="G12" s="3"/>
    </row>
    <row r="13" spans="1:7" x14ac:dyDescent="0.2">
      <c r="A13" s="12" t="s">
        <v>194</v>
      </c>
      <c r="B13" s="13"/>
      <c r="C13" s="13"/>
      <c r="D13" s="13"/>
      <c r="E13" s="13"/>
      <c r="F13" s="14">
        <f t="shared" si="0"/>
        <v>0</v>
      </c>
      <c r="G13" s="3"/>
    </row>
    <row r="14" spans="1:7" x14ac:dyDescent="0.2">
      <c r="A14" s="12" t="s">
        <v>195</v>
      </c>
      <c r="B14" s="13"/>
      <c r="C14" s="13"/>
      <c r="D14" s="13"/>
      <c r="E14" s="13"/>
      <c r="F14" s="14">
        <f t="shared" si="0"/>
        <v>0</v>
      </c>
      <c r="G14" s="3"/>
    </row>
    <row r="15" spans="1:7" x14ac:dyDescent="0.2">
      <c r="A15" s="12" t="s">
        <v>196</v>
      </c>
      <c r="B15" s="13"/>
      <c r="C15" s="13"/>
      <c r="D15" s="13"/>
      <c r="E15" s="13"/>
      <c r="F15" s="14">
        <f t="shared" si="0"/>
        <v>0</v>
      </c>
      <c r="G15" s="3"/>
    </row>
    <row r="16" spans="1:7" x14ac:dyDescent="0.2">
      <c r="A16" s="12" t="s">
        <v>197</v>
      </c>
      <c r="B16" s="13"/>
      <c r="C16" s="13"/>
      <c r="D16" s="13"/>
      <c r="E16" s="13"/>
      <c r="F16" s="14">
        <f t="shared" si="0"/>
        <v>0</v>
      </c>
      <c r="G16" s="3"/>
    </row>
    <row r="17" spans="1:7" x14ac:dyDescent="0.2">
      <c r="A17" s="12" t="s">
        <v>198</v>
      </c>
      <c r="B17" s="13"/>
      <c r="C17" s="13"/>
      <c r="D17" s="13"/>
      <c r="E17" s="13"/>
      <c r="F17" s="14">
        <f t="shared" si="0"/>
        <v>0</v>
      </c>
      <c r="G17" s="3"/>
    </row>
    <row r="18" spans="1:7" x14ac:dyDescent="0.2">
      <c r="A18" s="12" t="s">
        <v>199</v>
      </c>
      <c r="B18" s="13"/>
      <c r="C18" s="13"/>
      <c r="D18" s="13"/>
      <c r="E18" s="13"/>
      <c r="F18" s="14">
        <f t="shared" si="0"/>
        <v>0</v>
      </c>
      <c r="G18" s="3"/>
    </row>
    <row r="19" spans="1:7" x14ac:dyDescent="0.2">
      <c r="A19" s="12" t="s">
        <v>200</v>
      </c>
      <c r="B19" s="13"/>
      <c r="C19" s="13"/>
      <c r="D19" s="13"/>
      <c r="E19" s="13"/>
      <c r="F19" s="14">
        <f t="shared" si="0"/>
        <v>0</v>
      </c>
      <c r="G19" s="3"/>
    </row>
    <row r="20" spans="1:7" x14ac:dyDescent="0.2">
      <c r="A20" s="12" t="s">
        <v>201</v>
      </c>
      <c r="B20" s="13"/>
      <c r="C20" s="13"/>
      <c r="D20" s="13"/>
      <c r="E20" s="13"/>
      <c r="F20" s="14">
        <f t="shared" si="0"/>
        <v>0</v>
      </c>
      <c r="G20" s="3"/>
    </row>
    <row r="21" spans="1:7" x14ac:dyDescent="0.2">
      <c r="A21" s="12" t="s">
        <v>202</v>
      </c>
      <c r="B21" s="13"/>
      <c r="C21" s="13"/>
      <c r="D21" s="13"/>
      <c r="E21" s="13"/>
      <c r="F21" s="14">
        <f t="shared" si="0"/>
        <v>0</v>
      </c>
      <c r="G21" s="3"/>
    </row>
    <row r="22" spans="1:7" x14ac:dyDescent="0.2">
      <c r="A22" s="12" t="s">
        <v>203</v>
      </c>
      <c r="B22" s="13"/>
      <c r="C22" s="13"/>
      <c r="D22" s="13"/>
      <c r="E22" s="13"/>
      <c r="F22" s="14">
        <f t="shared" si="0"/>
        <v>0</v>
      </c>
      <c r="G22" s="3"/>
    </row>
    <row r="23" spans="1:7" x14ac:dyDescent="0.2">
      <c r="A23" s="12" t="s">
        <v>204</v>
      </c>
      <c r="B23" s="13"/>
      <c r="C23" s="13"/>
      <c r="D23" s="13"/>
      <c r="E23" s="13"/>
      <c r="F23" s="14">
        <f t="shared" si="0"/>
        <v>0</v>
      </c>
      <c r="G23" s="3"/>
    </row>
    <row r="24" spans="1:7" x14ac:dyDescent="0.2">
      <c r="A24" s="12" t="s">
        <v>205</v>
      </c>
      <c r="B24" s="13"/>
      <c r="C24" s="13"/>
      <c r="D24" s="13"/>
      <c r="E24" s="13"/>
      <c r="F24" s="14">
        <f t="shared" si="0"/>
        <v>0</v>
      </c>
      <c r="G24" s="3"/>
    </row>
    <row r="25" spans="1:7" x14ac:dyDescent="0.2">
      <c r="A25" s="12" t="s">
        <v>206</v>
      </c>
      <c r="B25" s="13"/>
      <c r="C25" s="13"/>
      <c r="D25" s="13"/>
      <c r="E25" s="13"/>
      <c r="F25" s="14">
        <f t="shared" si="0"/>
        <v>0</v>
      </c>
      <c r="G25" s="3"/>
    </row>
    <row r="26" spans="1:7" x14ac:dyDescent="0.2">
      <c r="A26" s="12" t="s">
        <v>207</v>
      </c>
      <c r="B26" s="13"/>
      <c r="C26" s="13"/>
      <c r="D26" s="13"/>
      <c r="E26" s="13"/>
      <c r="F26" s="14">
        <f t="shared" si="0"/>
        <v>0</v>
      </c>
      <c r="G26" s="3"/>
    </row>
    <row r="27" spans="1:7" x14ac:dyDescent="0.2">
      <c r="A27" s="12" t="s">
        <v>208</v>
      </c>
      <c r="B27" s="13"/>
      <c r="C27" s="13"/>
      <c r="D27" s="13"/>
      <c r="E27" s="13"/>
      <c r="F27" s="14">
        <f t="shared" si="0"/>
        <v>0</v>
      </c>
      <c r="G27" s="3"/>
    </row>
    <row r="28" spans="1:7" x14ac:dyDescent="0.2">
      <c r="A28" s="12" t="s">
        <v>209</v>
      </c>
      <c r="B28" s="13"/>
      <c r="C28" s="13"/>
      <c r="D28" s="13"/>
      <c r="E28" s="13"/>
      <c r="F28" s="14">
        <f t="shared" si="0"/>
        <v>0</v>
      </c>
      <c r="G28" s="3"/>
    </row>
    <row r="29" spans="1:7" x14ac:dyDescent="0.2">
      <c r="A29" s="12" t="s">
        <v>210</v>
      </c>
      <c r="B29" s="13"/>
      <c r="C29" s="13"/>
      <c r="D29" s="13"/>
      <c r="E29" s="13"/>
      <c r="F29" s="14">
        <f t="shared" si="0"/>
        <v>0</v>
      </c>
      <c r="G29" s="3"/>
    </row>
    <row r="30" spans="1:7" x14ac:dyDescent="0.2">
      <c r="A30" s="12" t="s">
        <v>211</v>
      </c>
      <c r="B30" s="13"/>
      <c r="C30" s="13"/>
      <c r="D30" s="13"/>
      <c r="E30" s="13"/>
      <c r="F30" s="14">
        <f t="shared" si="0"/>
        <v>0</v>
      </c>
      <c r="G30" s="3"/>
    </row>
    <row r="31" spans="1:7" x14ac:dyDescent="0.2">
      <c r="A31" s="12" t="s">
        <v>212</v>
      </c>
      <c r="B31" s="13"/>
      <c r="C31" s="13"/>
      <c r="D31" s="13"/>
      <c r="E31" s="13"/>
      <c r="F31" s="14">
        <f t="shared" si="0"/>
        <v>0</v>
      </c>
      <c r="G31" s="3"/>
    </row>
    <row r="32" spans="1:7" x14ac:dyDescent="0.2">
      <c r="A32" s="12" t="s">
        <v>213</v>
      </c>
      <c r="B32" s="13"/>
      <c r="C32" s="13"/>
      <c r="D32" s="13"/>
      <c r="E32" s="13"/>
      <c r="F32" s="14">
        <f t="shared" si="0"/>
        <v>0</v>
      </c>
      <c r="G32" s="3"/>
    </row>
    <row r="33" spans="1:7" x14ac:dyDescent="0.2">
      <c r="A33" s="12" t="s">
        <v>214</v>
      </c>
      <c r="B33" s="13"/>
      <c r="C33" s="13"/>
      <c r="D33" s="13"/>
      <c r="E33" s="13"/>
      <c r="F33" s="14">
        <f t="shared" si="0"/>
        <v>0</v>
      </c>
      <c r="G33" s="3"/>
    </row>
    <row r="34" spans="1:7" x14ac:dyDescent="0.2">
      <c r="A34" s="12" t="s">
        <v>215</v>
      </c>
      <c r="B34" s="13"/>
      <c r="C34" s="13"/>
      <c r="D34" s="13"/>
      <c r="E34" s="13"/>
      <c r="F34" s="14">
        <f t="shared" si="0"/>
        <v>0</v>
      </c>
      <c r="G34" s="3"/>
    </row>
    <row r="35" spans="1:7" x14ac:dyDescent="0.2">
      <c r="A35" s="12" t="s">
        <v>216</v>
      </c>
      <c r="B35" s="13"/>
      <c r="C35" s="13"/>
      <c r="D35" s="13"/>
      <c r="E35" s="13"/>
      <c r="F35" s="14">
        <f t="shared" si="0"/>
        <v>0</v>
      </c>
      <c r="G35" s="3"/>
    </row>
    <row r="36" spans="1:7" x14ac:dyDescent="0.2">
      <c r="A36" s="12" t="s">
        <v>217</v>
      </c>
      <c r="B36" s="13"/>
      <c r="C36" s="13"/>
      <c r="D36" s="13"/>
      <c r="E36" s="13"/>
      <c r="F36" s="14">
        <f t="shared" si="0"/>
        <v>0</v>
      </c>
      <c r="G36" s="3"/>
    </row>
    <row r="37" spans="1:7" x14ac:dyDescent="0.2">
      <c r="A37" s="12" t="s">
        <v>218</v>
      </c>
      <c r="B37" s="13"/>
      <c r="C37" s="13"/>
      <c r="D37" s="13"/>
      <c r="E37" s="13"/>
      <c r="F37" s="14">
        <f t="shared" ref="F37:F68" si="1">SUM(B37:E37)</f>
        <v>0</v>
      </c>
      <c r="G37" s="3"/>
    </row>
    <row r="38" spans="1:7" x14ac:dyDescent="0.2">
      <c r="A38" s="12" t="s">
        <v>219</v>
      </c>
      <c r="B38" s="13"/>
      <c r="C38" s="13"/>
      <c r="D38" s="13"/>
      <c r="E38" s="13"/>
      <c r="F38" s="14">
        <f t="shared" si="1"/>
        <v>0</v>
      </c>
      <c r="G38" s="3"/>
    </row>
    <row r="39" spans="1:7" x14ac:dyDescent="0.2">
      <c r="A39" s="12" t="s">
        <v>220</v>
      </c>
      <c r="B39" s="13"/>
      <c r="C39" s="13"/>
      <c r="D39" s="13"/>
      <c r="E39" s="13"/>
      <c r="F39" s="14">
        <f t="shared" si="1"/>
        <v>0</v>
      </c>
      <c r="G39" s="3"/>
    </row>
    <row r="40" spans="1:7" x14ac:dyDescent="0.2">
      <c r="A40" s="12" t="s">
        <v>221</v>
      </c>
      <c r="B40" s="13"/>
      <c r="C40" s="13"/>
      <c r="D40" s="13"/>
      <c r="E40" s="13"/>
      <c r="F40" s="14">
        <f t="shared" si="1"/>
        <v>0</v>
      </c>
      <c r="G40" s="3"/>
    </row>
    <row r="41" spans="1:7" x14ac:dyDescent="0.2">
      <c r="A41" s="12" t="s">
        <v>222</v>
      </c>
      <c r="B41" s="13"/>
      <c r="C41" s="13"/>
      <c r="D41" s="13"/>
      <c r="E41" s="13"/>
      <c r="F41" s="14">
        <f t="shared" si="1"/>
        <v>0</v>
      </c>
      <c r="G41" s="3"/>
    </row>
    <row r="42" spans="1:7" x14ac:dyDescent="0.2">
      <c r="A42" s="12" t="s">
        <v>223</v>
      </c>
      <c r="B42" s="13"/>
      <c r="C42" s="13"/>
      <c r="D42" s="13"/>
      <c r="E42" s="13"/>
      <c r="F42" s="14">
        <f t="shared" si="1"/>
        <v>0</v>
      </c>
      <c r="G42" s="3"/>
    </row>
    <row r="43" spans="1:7" x14ac:dyDescent="0.2">
      <c r="A43" s="12" t="s">
        <v>224</v>
      </c>
      <c r="B43" s="13"/>
      <c r="C43" s="13"/>
      <c r="D43" s="13"/>
      <c r="E43" s="13"/>
      <c r="F43" s="14">
        <f t="shared" si="1"/>
        <v>0</v>
      </c>
      <c r="G43" s="3"/>
    </row>
    <row r="44" spans="1:7" x14ac:dyDescent="0.2">
      <c r="A44" s="12" t="s">
        <v>225</v>
      </c>
      <c r="B44" s="13"/>
      <c r="C44" s="13"/>
      <c r="D44" s="13"/>
      <c r="E44" s="13"/>
      <c r="F44" s="14">
        <f t="shared" si="1"/>
        <v>0</v>
      </c>
      <c r="G44" s="3"/>
    </row>
    <row r="45" spans="1:7" x14ac:dyDescent="0.2">
      <c r="A45" s="12" t="s">
        <v>226</v>
      </c>
      <c r="B45" s="13"/>
      <c r="C45" s="13"/>
      <c r="D45" s="13"/>
      <c r="E45" s="13"/>
      <c r="F45" s="14">
        <f t="shared" si="1"/>
        <v>0</v>
      </c>
      <c r="G45" s="3"/>
    </row>
    <row r="46" spans="1:7" x14ac:dyDescent="0.2">
      <c r="A46" s="12" t="s">
        <v>227</v>
      </c>
      <c r="B46" s="13"/>
      <c r="C46" s="13"/>
      <c r="D46" s="13"/>
      <c r="E46" s="13"/>
      <c r="F46" s="14">
        <f t="shared" si="1"/>
        <v>0</v>
      </c>
      <c r="G46" s="3"/>
    </row>
    <row r="47" spans="1:7" x14ac:dyDescent="0.2">
      <c r="A47" s="12" t="s">
        <v>228</v>
      </c>
      <c r="B47" s="13"/>
      <c r="C47" s="13"/>
      <c r="D47" s="13"/>
      <c r="E47" s="13"/>
      <c r="F47" s="14">
        <f t="shared" si="1"/>
        <v>0</v>
      </c>
      <c r="G47" s="3"/>
    </row>
    <row r="48" spans="1:7" x14ac:dyDescent="0.2">
      <c r="A48" s="12" t="s">
        <v>229</v>
      </c>
      <c r="B48" s="13"/>
      <c r="C48" s="13"/>
      <c r="D48" s="13"/>
      <c r="E48" s="13"/>
      <c r="F48" s="14">
        <f t="shared" si="1"/>
        <v>0</v>
      </c>
      <c r="G48" s="3"/>
    </row>
    <row r="49" spans="1:7" x14ac:dyDescent="0.2">
      <c r="A49" s="12" t="s">
        <v>230</v>
      </c>
      <c r="B49" s="13"/>
      <c r="C49" s="13"/>
      <c r="D49" s="13"/>
      <c r="E49" s="13"/>
      <c r="F49" s="14">
        <f t="shared" si="1"/>
        <v>0</v>
      </c>
      <c r="G49" s="3"/>
    </row>
    <row r="50" spans="1:7" x14ac:dyDescent="0.2">
      <c r="A50" s="12" t="s">
        <v>231</v>
      </c>
      <c r="B50" s="13"/>
      <c r="C50" s="13"/>
      <c r="D50" s="13"/>
      <c r="E50" s="13"/>
      <c r="F50" s="14">
        <f t="shared" si="1"/>
        <v>0</v>
      </c>
      <c r="G50" s="3"/>
    </row>
    <row r="51" spans="1:7" x14ac:dyDescent="0.2">
      <c r="A51" s="12" t="s">
        <v>232</v>
      </c>
      <c r="B51" s="13"/>
      <c r="C51" s="13"/>
      <c r="D51" s="13"/>
      <c r="E51" s="13"/>
      <c r="F51" s="14">
        <f t="shared" si="1"/>
        <v>0</v>
      </c>
      <c r="G51" s="3"/>
    </row>
    <row r="52" spans="1:7" x14ac:dyDescent="0.2">
      <c r="A52" s="12" t="s">
        <v>233</v>
      </c>
      <c r="B52" s="13"/>
      <c r="C52" s="13"/>
      <c r="D52" s="13"/>
      <c r="E52" s="13"/>
      <c r="F52" s="14">
        <f t="shared" si="1"/>
        <v>0</v>
      </c>
      <c r="G52" s="3"/>
    </row>
    <row r="53" spans="1:7" x14ac:dyDescent="0.2">
      <c r="A53" s="12" t="s">
        <v>234</v>
      </c>
      <c r="B53" s="13"/>
      <c r="C53" s="13"/>
      <c r="D53" s="13"/>
      <c r="E53" s="13"/>
      <c r="F53" s="14">
        <f t="shared" si="1"/>
        <v>0</v>
      </c>
      <c r="G53" s="3"/>
    </row>
    <row r="54" spans="1:7" x14ac:dyDescent="0.2">
      <c r="A54" s="12" t="s">
        <v>235</v>
      </c>
      <c r="B54" s="13"/>
      <c r="C54" s="13"/>
      <c r="D54" s="13"/>
      <c r="E54" s="13"/>
      <c r="F54" s="14">
        <f t="shared" si="1"/>
        <v>0</v>
      </c>
      <c r="G54" s="3"/>
    </row>
    <row r="57" spans="1:7" x14ac:dyDescent="0.2">
      <c r="A57" s="28" t="s">
        <v>236</v>
      </c>
      <c r="B57" s="25"/>
      <c r="C57" s="25"/>
      <c r="D57" s="25"/>
      <c r="E57" s="25"/>
      <c r="F57" s="25"/>
      <c r="G57" s="25"/>
    </row>
    <row r="58" spans="1:7" x14ac:dyDescent="0.2">
      <c r="A58" s="2" t="s">
        <v>237</v>
      </c>
      <c r="B58" s="15">
        <f>COUNTA(A5:A54)</f>
        <v>50</v>
      </c>
    </row>
    <row r="59" spans="1:7" x14ac:dyDescent="0.2">
      <c r="A59" s="2" t="s">
        <v>238</v>
      </c>
      <c r="B59" s="15">
        <f>COUNTIF(F5:F54,"&gt;=100")</f>
        <v>0</v>
      </c>
    </row>
    <row r="60" spans="1:7" x14ac:dyDescent="0.2">
      <c r="A60" s="2" t="s">
        <v>239</v>
      </c>
      <c r="B60" s="15">
        <f>COUNTIFS(F5:F54,"&gt;0",F5:F54,"&lt;100")</f>
        <v>0</v>
      </c>
    </row>
    <row r="61" spans="1:7" x14ac:dyDescent="0.2">
      <c r="A61" s="2" t="s">
        <v>240</v>
      </c>
      <c r="B61" s="15">
        <f>COUNTIF(F5:F54,0)</f>
        <v>50</v>
      </c>
    </row>
    <row r="62" spans="1:7" x14ac:dyDescent="0.2">
      <c r="A62" s="2" t="s">
        <v>241</v>
      </c>
      <c r="B62" s="15" t="str">
        <f>AVERAGE(F5:F54)&amp;"%"</f>
        <v>0%</v>
      </c>
    </row>
    <row r="65" spans="1:4" x14ac:dyDescent="0.2">
      <c r="A65" s="28" t="s">
        <v>242</v>
      </c>
      <c r="B65" s="25"/>
      <c r="C65" s="25"/>
      <c r="D65" s="25"/>
    </row>
    <row r="66" spans="1:4" x14ac:dyDescent="0.2">
      <c r="A66" s="5" t="s">
        <v>243</v>
      </c>
      <c r="B66" s="5" t="s">
        <v>244</v>
      </c>
      <c r="C66" s="5" t="s">
        <v>245</v>
      </c>
      <c r="D66" s="5" t="s">
        <v>31</v>
      </c>
    </row>
    <row r="67" spans="1:4" x14ac:dyDescent="0.2">
      <c r="A67" s="2" t="s">
        <v>246</v>
      </c>
      <c r="B67" s="16">
        <f>COUNTIF(F5:F54,100)</f>
        <v>0</v>
      </c>
      <c r="C67" s="16" t="str">
        <f>IF(B67=0,0,B67/SUM(B5:B9)*100)&amp;"%"</f>
        <v>0%</v>
      </c>
      <c r="D67" s="6" t="s">
        <v>247</v>
      </c>
    </row>
    <row r="68" spans="1:4" x14ac:dyDescent="0.2">
      <c r="A68" s="2" t="s">
        <v>248</v>
      </c>
      <c r="B68" s="16">
        <f>COUNTIFS(F5:F54,"&gt;=75",F5:F54,"&lt;100")</f>
        <v>0</v>
      </c>
      <c r="C68" s="16" t="str">
        <f>IF(B68=0,0,B68/SUM(B5:B9)*100)&amp;"%"</f>
        <v>0%</v>
      </c>
      <c r="D68" s="7" t="s">
        <v>249</v>
      </c>
    </row>
    <row r="69" spans="1:4" x14ac:dyDescent="0.2">
      <c r="A69" s="2" t="s">
        <v>250</v>
      </c>
      <c r="B69" s="16">
        <f>COUNTIFS(F5:F54,"&gt;=50",F5:F54,"&lt;75")</f>
        <v>0</v>
      </c>
      <c r="C69" s="16" t="str">
        <f>IF(B69=0,0,B69/SUM(B5:B9)*100)&amp;"%"</f>
        <v>0%</v>
      </c>
      <c r="D69" s="7" t="s">
        <v>251</v>
      </c>
    </row>
    <row r="70" spans="1:4" x14ac:dyDescent="0.2">
      <c r="A70" s="2" t="s">
        <v>252</v>
      </c>
      <c r="B70" s="16">
        <f>COUNTIFS(F5:F54,"&gt;0",F5:F54,"&lt;50")</f>
        <v>0</v>
      </c>
      <c r="C70" s="16" t="str">
        <f>IF(B70=0,0,B70/SUM(B5:B9)*100)&amp;"%"</f>
        <v>0%</v>
      </c>
      <c r="D70" s="8" t="s">
        <v>253</v>
      </c>
    </row>
    <row r="71" spans="1:4" x14ac:dyDescent="0.2">
      <c r="A71" s="2" t="s">
        <v>254</v>
      </c>
      <c r="B71" s="16">
        <f>COUNTIF(F5:F54,0)</f>
        <v>50</v>
      </c>
      <c r="C71" s="16" t="e">
        <f>IF(B71=0,0,B71/SUM(B5:B9)*100)&amp;"%"</f>
        <v>#DIV/0!</v>
      </c>
      <c r="D71" s="8" t="s">
        <v>255</v>
      </c>
    </row>
  </sheetData>
  <mergeCells count="4">
    <mergeCell ref="A57:G57"/>
    <mergeCell ref="A65:D65"/>
    <mergeCell ref="A2:G2"/>
    <mergeCell ref="A1:G1"/>
  </mergeCells>
  <dataValidations count="1">
    <dataValidation type="list" sqref="G5 G6 G7 G8 G9 G10 G11 G12 G13 G14 G15 G16 G17 G18 G19 G20 G21 G22 G23 G24 G25 G26 G27 G28 G29 G30 G31 G32 G33 G34 G35 G36 G37 G38 G39 G40 G41 G42 G43 G44 G45 G46 G47 G48 G49 G50 G51 G52 G53 G54" xr:uid="{00000000-0002-0000-0200-000000000000}">
      <formula1>"✅ Protected,⚠️ Partial,❌ Unprotected,🔄 Planned,🚫 Exempt"</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6"/>
  <sheetViews>
    <sheetView workbookViewId="0">
      <pane ySplit="4" topLeftCell="A5" activePane="bottomLeft" state="frozen"/>
      <selection pane="bottomLeft"/>
    </sheetView>
  </sheetViews>
  <sheetFormatPr baseColWidth="10" defaultColWidth="8.83203125" defaultRowHeight="15" x14ac:dyDescent="0.2"/>
  <cols>
    <col min="1" max="2" width="12" customWidth="1"/>
    <col min="3" max="3" width="25" customWidth="1"/>
    <col min="4" max="4" width="15" customWidth="1"/>
    <col min="5" max="5" width="35" customWidth="1"/>
    <col min="6" max="6" width="12" customWidth="1"/>
    <col min="7" max="8" width="30" customWidth="1"/>
    <col min="9" max="9" width="20" customWidth="1"/>
    <col min="10" max="11" width="15" customWidth="1"/>
  </cols>
  <sheetData>
    <row r="1" spans="1:11" ht="30" customHeight="1" x14ac:dyDescent="0.2">
      <c r="A1" s="27" t="s">
        <v>256</v>
      </c>
      <c r="B1" s="25"/>
      <c r="C1" s="25"/>
      <c r="D1" s="25"/>
      <c r="E1" s="25"/>
      <c r="F1" s="25"/>
      <c r="G1" s="25"/>
      <c r="H1" s="25"/>
      <c r="I1" s="25"/>
      <c r="J1" s="25"/>
      <c r="K1" s="25"/>
    </row>
    <row r="2" spans="1:11" x14ac:dyDescent="0.2">
      <c r="A2" s="24" t="s">
        <v>257</v>
      </c>
      <c r="B2" s="25"/>
      <c r="C2" s="25"/>
      <c r="D2" s="25"/>
      <c r="E2" s="25"/>
      <c r="F2" s="25"/>
      <c r="G2" s="25"/>
      <c r="H2" s="25"/>
      <c r="I2" s="25"/>
      <c r="J2" s="25"/>
      <c r="K2" s="25"/>
    </row>
    <row r="4" spans="1:11" ht="16" x14ac:dyDescent="0.2">
      <c r="A4" s="11" t="s">
        <v>258</v>
      </c>
      <c r="B4" s="11" t="s">
        <v>259</v>
      </c>
      <c r="C4" s="11" t="s">
        <v>260</v>
      </c>
      <c r="D4" s="11" t="s">
        <v>261</v>
      </c>
      <c r="E4" s="11" t="s">
        <v>262</v>
      </c>
      <c r="F4" s="11" t="s">
        <v>263</v>
      </c>
      <c r="G4" s="11" t="s">
        <v>264</v>
      </c>
      <c r="H4" s="11" t="s">
        <v>265</v>
      </c>
      <c r="I4" s="11" t="s">
        <v>266</v>
      </c>
      <c r="J4" s="11" t="s">
        <v>267</v>
      </c>
      <c r="K4" s="11" t="s">
        <v>31</v>
      </c>
    </row>
    <row r="5" spans="1:11" x14ac:dyDescent="0.2">
      <c r="A5" s="12" t="s">
        <v>268</v>
      </c>
      <c r="B5" s="3"/>
      <c r="C5" s="3"/>
      <c r="D5" s="3"/>
      <c r="E5" s="3"/>
      <c r="F5" s="3"/>
      <c r="G5" s="3"/>
      <c r="H5" s="3"/>
      <c r="I5" s="3"/>
      <c r="J5" s="3"/>
      <c r="K5" s="3"/>
    </row>
    <row r="6" spans="1:11" x14ac:dyDescent="0.2">
      <c r="A6" s="12" t="s">
        <v>269</v>
      </c>
      <c r="B6" s="3"/>
      <c r="C6" s="3"/>
      <c r="D6" s="3"/>
      <c r="E6" s="3"/>
      <c r="F6" s="3"/>
      <c r="G6" s="3"/>
      <c r="H6" s="3"/>
      <c r="I6" s="3"/>
      <c r="J6" s="3"/>
      <c r="K6" s="3"/>
    </row>
    <row r="7" spans="1:11" x14ac:dyDescent="0.2">
      <c r="A7" s="12" t="s">
        <v>270</v>
      </c>
      <c r="B7" s="3"/>
      <c r="C7" s="3"/>
      <c r="D7" s="3"/>
      <c r="E7" s="3"/>
      <c r="F7" s="3"/>
      <c r="G7" s="3"/>
      <c r="H7" s="3"/>
      <c r="I7" s="3"/>
      <c r="J7" s="3"/>
      <c r="K7" s="3"/>
    </row>
    <row r="8" spans="1:11" x14ac:dyDescent="0.2">
      <c r="A8" s="12" t="s">
        <v>271</v>
      </c>
      <c r="B8" s="3"/>
      <c r="C8" s="3"/>
      <c r="D8" s="3"/>
      <c r="E8" s="3"/>
      <c r="F8" s="3"/>
      <c r="G8" s="3"/>
      <c r="H8" s="3"/>
      <c r="I8" s="3"/>
      <c r="J8" s="3"/>
      <c r="K8" s="3"/>
    </row>
    <row r="9" spans="1:11" x14ac:dyDescent="0.2">
      <c r="A9" s="12" t="s">
        <v>272</v>
      </c>
      <c r="B9" s="3"/>
      <c r="C9" s="3"/>
      <c r="D9" s="3"/>
      <c r="E9" s="3"/>
      <c r="F9" s="3"/>
      <c r="G9" s="3"/>
      <c r="H9" s="3"/>
      <c r="I9" s="3"/>
      <c r="J9" s="3"/>
      <c r="K9" s="3"/>
    </row>
    <row r="10" spans="1:11" x14ac:dyDescent="0.2">
      <c r="A10" s="12" t="s">
        <v>273</v>
      </c>
      <c r="B10" s="3"/>
      <c r="C10" s="3"/>
      <c r="D10" s="3"/>
      <c r="E10" s="3"/>
      <c r="F10" s="3"/>
      <c r="G10" s="3"/>
      <c r="H10" s="3"/>
      <c r="I10" s="3"/>
      <c r="J10" s="3"/>
      <c r="K10" s="3"/>
    </row>
    <row r="11" spans="1:11" x14ac:dyDescent="0.2">
      <c r="A11" s="12" t="s">
        <v>274</v>
      </c>
      <c r="B11" s="3"/>
      <c r="C11" s="3"/>
      <c r="D11" s="3"/>
      <c r="E11" s="3"/>
      <c r="F11" s="3"/>
      <c r="G11" s="3"/>
      <c r="H11" s="3"/>
      <c r="I11" s="3"/>
      <c r="J11" s="3"/>
      <c r="K11" s="3"/>
    </row>
    <row r="12" spans="1:11" x14ac:dyDescent="0.2">
      <c r="A12" s="12" t="s">
        <v>275</v>
      </c>
      <c r="B12" s="3"/>
      <c r="C12" s="3"/>
      <c r="D12" s="3"/>
      <c r="E12" s="3"/>
      <c r="F12" s="3"/>
      <c r="G12" s="3"/>
      <c r="H12" s="3"/>
      <c r="I12" s="3"/>
      <c r="J12" s="3"/>
      <c r="K12" s="3"/>
    </row>
    <row r="13" spans="1:11" x14ac:dyDescent="0.2">
      <c r="A13" s="12" t="s">
        <v>276</v>
      </c>
      <c r="B13" s="3"/>
      <c r="C13" s="3"/>
      <c r="D13" s="3"/>
      <c r="E13" s="3"/>
      <c r="F13" s="3"/>
      <c r="G13" s="3"/>
      <c r="H13" s="3"/>
      <c r="I13" s="3"/>
      <c r="J13" s="3"/>
      <c r="K13" s="3"/>
    </row>
    <row r="14" spans="1:11" x14ac:dyDescent="0.2">
      <c r="A14" s="12" t="s">
        <v>277</v>
      </c>
      <c r="B14" s="3"/>
      <c r="C14" s="3"/>
      <c r="D14" s="3"/>
      <c r="E14" s="3"/>
      <c r="F14" s="3"/>
      <c r="G14" s="3"/>
      <c r="H14" s="3"/>
      <c r="I14" s="3"/>
      <c r="J14" s="3"/>
      <c r="K14" s="3"/>
    </row>
    <row r="15" spans="1:11" x14ac:dyDescent="0.2">
      <c r="A15" s="12" t="s">
        <v>278</v>
      </c>
      <c r="B15" s="3"/>
      <c r="C15" s="3"/>
      <c r="D15" s="3"/>
      <c r="E15" s="3"/>
      <c r="F15" s="3"/>
      <c r="G15" s="3"/>
      <c r="H15" s="3"/>
      <c r="I15" s="3"/>
      <c r="J15" s="3"/>
      <c r="K15" s="3"/>
    </row>
    <row r="16" spans="1:11" x14ac:dyDescent="0.2">
      <c r="A16" s="12" t="s">
        <v>279</v>
      </c>
      <c r="B16" s="3"/>
      <c r="C16" s="3"/>
      <c r="D16" s="3"/>
      <c r="E16" s="3"/>
      <c r="F16" s="3"/>
      <c r="G16" s="3"/>
      <c r="H16" s="3"/>
      <c r="I16" s="3"/>
      <c r="J16" s="3"/>
      <c r="K16" s="3"/>
    </row>
    <row r="17" spans="1:11" x14ac:dyDescent="0.2">
      <c r="A17" s="12" t="s">
        <v>280</v>
      </c>
      <c r="B17" s="3"/>
      <c r="C17" s="3"/>
      <c r="D17" s="3"/>
      <c r="E17" s="3"/>
      <c r="F17" s="3"/>
      <c r="G17" s="3"/>
      <c r="H17" s="3"/>
      <c r="I17" s="3"/>
      <c r="J17" s="3"/>
      <c r="K17" s="3"/>
    </row>
    <row r="18" spans="1:11" x14ac:dyDescent="0.2">
      <c r="A18" s="12" t="s">
        <v>281</v>
      </c>
      <c r="B18" s="3"/>
      <c r="C18" s="3"/>
      <c r="D18" s="3"/>
      <c r="E18" s="3"/>
      <c r="F18" s="3"/>
      <c r="G18" s="3"/>
      <c r="H18" s="3"/>
      <c r="I18" s="3"/>
      <c r="J18" s="3"/>
      <c r="K18" s="3"/>
    </row>
    <row r="19" spans="1:11" x14ac:dyDescent="0.2">
      <c r="A19" s="12" t="s">
        <v>282</v>
      </c>
      <c r="B19" s="3"/>
      <c r="C19" s="3"/>
      <c r="D19" s="3"/>
      <c r="E19" s="3"/>
      <c r="F19" s="3"/>
      <c r="G19" s="3"/>
      <c r="H19" s="3"/>
      <c r="I19" s="3"/>
      <c r="J19" s="3"/>
      <c r="K19" s="3"/>
    </row>
    <row r="20" spans="1:11" x14ac:dyDescent="0.2">
      <c r="A20" s="12" t="s">
        <v>283</v>
      </c>
      <c r="B20" s="3"/>
      <c r="C20" s="3"/>
      <c r="D20" s="3"/>
      <c r="E20" s="3"/>
      <c r="F20" s="3"/>
      <c r="G20" s="3"/>
      <c r="H20" s="3"/>
      <c r="I20" s="3"/>
      <c r="J20" s="3"/>
      <c r="K20" s="3"/>
    </row>
    <row r="21" spans="1:11" x14ac:dyDescent="0.2">
      <c r="A21" s="12" t="s">
        <v>284</v>
      </c>
      <c r="B21" s="3"/>
      <c r="C21" s="3"/>
      <c r="D21" s="3"/>
      <c r="E21" s="3"/>
      <c r="F21" s="3"/>
      <c r="G21" s="3"/>
      <c r="H21" s="3"/>
      <c r="I21" s="3"/>
      <c r="J21" s="3"/>
      <c r="K21" s="3"/>
    </row>
    <row r="22" spans="1:11" x14ac:dyDescent="0.2">
      <c r="A22" s="12" t="s">
        <v>285</v>
      </c>
      <c r="B22" s="3"/>
      <c r="C22" s="3"/>
      <c r="D22" s="3"/>
      <c r="E22" s="3"/>
      <c r="F22" s="3"/>
      <c r="G22" s="3"/>
      <c r="H22" s="3"/>
      <c r="I22" s="3"/>
      <c r="J22" s="3"/>
      <c r="K22" s="3"/>
    </row>
    <row r="23" spans="1:11" x14ac:dyDescent="0.2">
      <c r="A23" s="12" t="s">
        <v>286</v>
      </c>
      <c r="B23" s="3"/>
      <c r="C23" s="3"/>
      <c r="D23" s="3"/>
      <c r="E23" s="3"/>
      <c r="F23" s="3"/>
      <c r="G23" s="3"/>
      <c r="H23" s="3"/>
      <c r="I23" s="3"/>
      <c r="J23" s="3"/>
      <c r="K23" s="3"/>
    </row>
    <row r="24" spans="1:11" x14ac:dyDescent="0.2">
      <c r="A24" s="12" t="s">
        <v>287</v>
      </c>
      <c r="B24" s="3"/>
      <c r="C24" s="3"/>
      <c r="D24" s="3"/>
      <c r="E24" s="3"/>
      <c r="F24" s="3"/>
      <c r="G24" s="3"/>
      <c r="H24" s="3"/>
      <c r="I24" s="3"/>
      <c r="J24" s="3"/>
      <c r="K24" s="3"/>
    </row>
    <row r="25" spans="1:11" x14ac:dyDescent="0.2">
      <c r="A25" s="12" t="s">
        <v>288</v>
      </c>
      <c r="B25" s="3"/>
      <c r="C25" s="3"/>
      <c r="D25" s="3"/>
      <c r="E25" s="3"/>
      <c r="F25" s="3"/>
      <c r="G25" s="3"/>
      <c r="H25" s="3"/>
      <c r="I25" s="3"/>
      <c r="J25" s="3"/>
      <c r="K25" s="3"/>
    </row>
    <row r="26" spans="1:11" x14ac:dyDescent="0.2">
      <c r="A26" s="12" t="s">
        <v>289</v>
      </c>
      <c r="B26" s="3"/>
      <c r="C26" s="3"/>
      <c r="D26" s="3"/>
      <c r="E26" s="3"/>
      <c r="F26" s="3"/>
      <c r="G26" s="3"/>
      <c r="H26" s="3"/>
      <c r="I26" s="3"/>
      <c r="J26" s="3"/>
      <c r="K26" s="3"/>
    </row>
    <row r="27" spans="1:11" x14ac:dyDescent="0.2">
      <c r="A27" s="12" t="s">
        <v>290</v>
      </c>
      <c r="B27" s="3"/>
      <c r="C27" s="3"/>
      <c r="D27" s="3"/>
      <c r="E27" s="3"/>
      <c r="F27" s="3"/>
      <c r="G27" s="3"/>
      <c r="H27" s="3"/>
      <c r="I27" s="3"/>
      <c r="J27" s="3"/>
      <c r="K27" s="3"/>
    </row>
    <row r="28" spans="1:11" x14ac:dyDescent="0.2">
      <c r="A28" s="12" t="s">
        <v>291</v>
      </c>
      <c r="B28" s="3"/>
      <c r="C28" s="3"/>
      <c r="D28" s="3"/>
      <c r="E28" s="3"/>
      <c r="F28" s="3"/>
      <c r="G28" s="3"/>
      <c r="H28" s="3"/>
      <c r="I28" s="3"/>
      <c r="J28" s="3"/>
      <c r="K28" s="3"/>
    </row>
    <row r="29" spans="1:11" x14ac:dyDescent="0.2">
      <c r="A29" s="12" t="s">
        <v>292</v>
      </c>
      <c r="B29" s="3"/>
      <c r="C29" s="3"/>
      <c r="D29" s="3"/>
      <c r="E29" s="3"/>
      <c r="F29" s="3"/>
      <c r="G29" s="3"/>
      <c r="H29" s="3"/>
      <c r="I29" s="3"/>
      <c r="J29" s="3"/>
      <c r="K29" s="3"/>
    </row>
    <row r="30" spans="1:11" x14ac:dyDescent="0.2">
      <c r="A30" s="12" t="s">
        <v>293</v>
      </c>
      <c r="B30" s="3"/>
      <c r="C30" s="3"/>
      <c r="D30" s="3"/>
      <c r="E30" s="3"/>
      <c r="F30" s="3"/>
      <c r="G30" s="3"/>
      <c r="H30" s="3"/>
      <c r="I30" s="3"/>
      <c r="J30" s="3"/>
      <c r="K30" s="3"/>
    </row>
    <row r="31" spans="1:11" x14ac:dyDescent="0.2">
      <c r="A31" s="12" t="s">
        <v>294</v>
      </c>
      <c r="B31" s="3"/>
      <c r="C31" s="3"/>
      <c r="D31" s="3"/>
      <c r="E31" s="3"/>
      <c r="F31" s="3"/>
      <c r="G31" s="3"/>
      <c r="H31" s="3"/>
      <c r="I31" s="3"/>
      <c r="J31" s="3"/>
      <c r="K31" s="3"/>
    </row>
    <row r="32" spans="1:11" x14ac:dyDescent="0.2">
      <c r="A32" s="12" t="s">
        <v>295</v>
      </c>
      <c r="B32" s="3"/>
      <c r="C32" s="3"/>
      <c r="D32" s="3"/>
      <c r="E32" s="3"/>
      <c r="F32" s="3"/>
      <c r="G32" s="3"/>
      <c r="H32" s="3"/>
      <c r="I32" s="3"/>
      <c r="J32" s="3"/>
      <c r="K32" s="3"/>
    </row>
    <row r="33" spans="1:11" x14ac:dyDescent="0.2">
      <c r="A33" s="12" t="s">
        <v>296</v>
      </c>
      <c r="B33" s="3"/>
      <c r="C33" s="3"/>
      <c r="D33" s="3"/>
      <c r="E33" s="3"/>
      <c r="F33" s="3"/>
      <c r="G33" s="3"/>
      <c r="H33" s="3"/>
      <c r="I33" s="3"/>
      <c r="J33" s="3"/>
      <c r="K33" s="3"/>
    </row>
    <row r="34" spans="1:11" x14ac:dyDescent="0.2">
      <c r="A34" s="12" t="s">
        <v>297</v>
      </c>
      <c r="B34" s="3"/>
      <c r="C34" s="3"/>
      <c r="D34" s="3"/>
      <c r="E34" s="3"/>
      <c r="F34" s="3"/>
      <c r="G34" s="3"/>
      <c r="H34" s="3"/>
      <c r="I34" s="3"/>
      <c r="J34" s="3"/>
      <c r="K34" s="3"/>
    </row>
    <row r="37" spans="1:11" x14ac:dyDescent="0.2">
      <c r="A37" s="28" t="s">
        <v>298</v>
      </c>
      <c r="B37" s="25"/>
      <c r="C37" s="25"/>
      <c r="D37" s="25"/>
      <c r="E37" s="25"/>
      <c r="F37" s="25"/>
      <c r="G37" s="25"/>
      <c r="H37" s="25"/>
      <c r="I37" s="25"/>
      <c r="J37" s="25"/>
      <c r="K37" s="25"/>
    </row>
    <row r="38" spans="1:11" x14ac:dyDescent="0.2">
      <c r="A38" s="5" t="s">
        <v>263</v>
      </c>
      <c r="B38" s="5" t="s">
        <v>299</v>
      </c>
      <c r="C38" s="5" t="s">
        <v>245</v>
      </c>
    </row>
    <row r="39" spans="1:11" x14ac:dyDescent="0.2">
      <c r="A39" s="17" t="s">
        <v>300</v>
      </c>
      <c r="B39" s="16">
        <f>COUNTIF(F5:F34,"Critical")</f>
        <v>0</v>
      </c>
      <c r="C39" s="16" t="str">
        <f>IF(B39=0,0,B39/COUNTA(F5:F34)*100)&amp;"%"</f>
        <v>0%</v>
      </c>
    </row>
    <row r="40" spans="1:11" x14ac:dyDescent="0.2">
      <c r="A40" s="18" t="s">
        <v>301</v>
      </c>
      <c r="B40" s="16">
        <f>COUNTIF(F5:F34,"High")</f>
        <v>0</v>
      </c>
      <c r="C40" s="16" t="str">
        <f>IF(B40=0,0,B40/COUNTA(F5:F34)*100)&amp;"%"</f>
        <v>0%</v>
      </c>
    </row>
    <row r="41" spans="1:11" x14ac:dyDescent="0.2">
      <c r="A41" s="19" t="s">
        <v>302</v>
      </c>
      <c r="B41" s="16">
        <f>COUNTIF(F5:F34,"Medium")</f>
        <v>0</v>
      </c>
      <c r="C41" s="16" t="str">
        <f>IF(B41=0,0,B41/COUNTA(F5:F34)*100)&amp;"%"</f>
        <v>0%</v>
      </c>
    </row>
    <row r="42" spans="1:11" x14ac:dyDescent="0.2">
      <c r="A42" s="20" t="s">
        <v>303</v>
      </c>
      <c r="B42" s="16">
        <f>COUNTIF(F5:F34,"Low")</f>
        <v>0</v>
      </c>
      <c r="C42" s="16" t="str">
        <f>IF(B42=0,0,B42/COUNTA(F5:F34)*100)&amp;"%"</f>
        <v>0%</v>
      </c>
    </row>
    <row r="44" spans="1:11" x14ac:dyDescent="0.2">
      <c r="A44" s="2" t="s">
        <v>304</v>
      </c>
      <c r="B44" s="15">
        <f>COUNTA(B5:B34)</f>
        <v>0</v>
      </c>
    </row>
    <row r="45" spans="1:11" x14ac:dyDescent="0.2">
      <c r="A45" s="2" t="s">
        <v>305</v>
      </c>
      <c r="B45" s="15">
        <f>COUNTIF(K5:K34,"Resolved")</f>
        <v>0</v>
      </c>
    </row>
    <row r="46" spans="1:11" x14ac:dyDescent="0.2">
      <c r="A46" s="2" t="s">
        <v>306</v>
      </c>
      <c r="B46" s="21">
        <f>COUNTA(B5:B34)-COUNTIF(K5:K34,"Resolved")</f>
        <v>0</v>
      </c>
    </row>
  </sheetData>
  <mergeCells count="3">
    <mergeCell ref="A2:K2"/>
    <mergeCell ref="A1:K1"/>
    <mergeCell ref="A37:K37"/>
  </mergeCells>
  <dataValidations count="2">
    <dataValidation type="list" sqref="F5 F6 F7 F8 F9 F10 F11 F12 F13 F14 F15 F16 F17 F18 F19 F20 F21 F22 F23 F24 F25 F26 F27 F28 F29 F30 F31 F32 F33 F34" xr:uid="{00000000-0002-0000-0300-000000000000}">
      <formula1>"Critical,High,Medium,Low"</formula1>
    </dataValidation>
    <dataValidation type="list" sqref="K5 K6 K7 K8 K9 K10 K11 K12 K13 K14 K15 K16 K17 K18 K19 K20 K21 K22 K23 K24 K25 K26 K27 K28 K29 K30 K31 K32 K33 K34" xr:uid="{00000000-0002-0000-0300-000001000000}">
      <formula1>"Open,In Progress,Resolved,Accepted Risk,Exempt"</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4"/>
  <sheetViews>
    <sheetView workbookViewId="0">
      <pane ySplit="4" topLeftCell="A5" activePane="bottomLeft" state="frozen"/>
      <selection pane="bottomLeft"/>
    </sheetView>
  </sheetViews>
  <sheetFormatPr baseColWidth="10" defaultColWidth="8.83203125" defaultRowHeight="15" x14ac:dyDescent="0.2"/>
  <cols>
    <col min="1" max="1" width="12" customWidth="1"/>
    <col min="2" max="3" width="15" customWidth="1"/>
    <col min="4" max="6" width="25" customWidth="1"/>
    <col min="7" max="7" width="18" customWidth="1"/>
    <col min="8" max="9" width="15" customWidth="1"/>
    <col min="10" max="10" width="35" customWidth="1"/>
  </cols>
  <sheetData>
    <row r="1" spans="1:10" ht="30" customHeight="1" x14ac:dyDescent="0.2">
      <c r="A1" s="27" t="s">
        <v>307</v>
      </c>
      <c r="B1" s="25"/>
      <c r="C1" s="25"/>
      <c r="D1" s="25"/>
      <c r="E1" s="25"/>
      <c r="F1" s="25"/>
      <c r="G1" s="25"/>
      <c r="H1" s="25"/>
      <c r="I1" s="25"/>
      <c r="J1" s="25"/>
    </row>
    <row r="2" spans="1:10" x14ac:dyDescent="0.2">
      <c r="A2" s="24" t="s">
        <v>308</v>
      </c>
      <c r="B2" s="25"/>
      <c r="C2" s="25"/>
      <c r="D2" s="25"/>
      <c r="E2" s="25"/>
      <c r="F2" s="25"/>
      <c r="G2" s="25"/>
      <c r="H2" s="25"/>
      <c r="I2" s="25"/>
      <c r="J2" s="25"/>
    </row>
    <row r="4" spans="1:10" ht="16" x14ac:dyDescent="0.2">
      <c r="A4" s="11" t="s">
        <v>309</v>
      </c>
      <c r="B4" s="11" t="s">
        <v>310</v>
      </c>
      <c r="C4" s="11" t="s">
        <v>311</v>
      </c>
      <c r="D4" s="11" t="s">
        <v>312</v>
      </c>
      <c r="E4" s="11" t="s">
        <v>313</v>
      </c>
      <c r="F4" s="11" t="s">
        <v>314</v>
      </c>
      <c r="G4" s="11" t="s">
        <v>315</v>
      </c>
      <c r="H4" s="11" t="s">
        <v>31</v>
      </c>
      <c r="I4" s="11" t="s">
        <v>316</v>
      </c>
      <c r="J4" s="11" t="s">
        <v>99</v>
      </c>
    </row>
    <row r="5" spans="1:10" x14ac:dyDescent="0.2">
      <c r="A5" s="12" t="s">
        <v>317</v>
      </c>
      <c r="B5" s="3"/>
      <c r="C5" s="3"/>
      <c r="D5" s="3"/>
      <c r="E5" s="3"/>
      <c r="F5" s="3"/>
      <c r="G5" s="3"/>
      <c r="H5" s="3"/>
      <c r="I5" s="3"/>
      <c r="J5" s="3"/>
    </row>
    <row r="6" spans="1:10" x14ac:dyDescent="0.2">
      <c r="A6" s="12" t="s">
        <v>318</v>
      </c>
      <c r="B6" s="3"/>
      <c r="C6" s="3"/>
      <c r="D6" s="3"/>
      <c r="E6" s="3"/>
      <c r="F6" s="3"/>
      <c r="G6" s="3"/>
      <c r="H6" s="3"/>
      <c r="I6" s="3"/>
      <c r="J6" s="3"/>
    </row>
    <row r="7" spans="1:10" x14ac:dyDescent="0.2">
      <c r="A7" s="12" t="s">
        <v>319</v>
      </c>
      <c r="B7" s="3"/>
      <c r="C7" s="3"/>
      <c r="D7" s="3"/>
      <c r="E7" s="3"/>
      <c r="F7" s="3"/>
      <c r="G7" s="3"/>
      <c r="H7" s="3"/>
      <c r="I7" s="3"/>
      <c r="J7" s="3"/>
    </row>
    <row r="8" spans="1:10" x14ac:dyDescent="0.2">
      <c r="A8" s="12" t="s">
        <v>320</v>
      </c>
      <c r="B8" s="3"/>
      <c r="C8" s="3"/>
      <c r="D8" s="3"/>
      <c r="E8" s="3"/>
      <c r="F8" s="3"/>
      <c r="G8" s="3"/>
      <c r="H8" s="3"/>
      <c r="I8" s="3"/>
      <c r="J8" s="3"/>
    </row>
    <row r="9" spans="1:10" x14ac:dyDescent="0.2">
      <c r="A9" s="12" t="s">
        <v>321</v>
      </c>
      <c r="B9" s="3"/>
      <c r="C9" s="3"/>
      <c r="D9" s="3"/>
      <c r="E9" s="3"/>
      <c r="F9" s="3"/>
      <c r="G9" s="3"/>
      <c r="H9" s="3"/>
      <c r="I9" s="3"/>
      <c r="J9" s="3"/>
    </row>
    <row r="10" spans="1:10" x14ac:dyDescent="0.2">
      <c r="A10" s="12" t="s">
        <v>322</v>
      </c>
      <c r="B10" s="3"/>
      <c r="C10" s="3"/>
      <c r="D10" s="3"/>
      <c r="E10" s="3"/>
      <c r="F10" s="3"/>
      <c r="G10" s="3"/>
      <c r="H10" s="3"/>
      <c r="I10" s="3"/>
      <c r="J10" s="3"/>
    </row>
    <row r="11" spans="1:10" x14ac:dyDescent="0.2">
      <c r="A11" s="12" t="s">
        <v>323</v>
      </c>
      <c r="B11" s="3"/>
      <c r="C11" s="3"/>
      <c r="D11" s="3"/>
      <c r="E11" s="3"/>
      <c r="F11" s="3"/>
      <c r="G11" s="3"/>
      <c r="H11" s="3"/>
      <c r="I11" s="3"/>
      <c r="J11" s="3"/>
    </row>
    <row r="12" spans="1:10" x14ac:dyDescent="0.2">
      <c r="A12" s="12" t="s">
        <v>324</v>
      </c>
      <c r="B12" s="3"/>
      <c r="C12" s="3"/>
      <c r="D12" s="3"/>
      <c r="E12" s="3"/>
      <c r="F12" s="3"/>
      <c r="G12" s="3"/>
      <c r="H12" s="3"/>
      <c r="I12" s="3"/>
      <c r="J12" s="3"/>
    </row>
    <row r="13" spans="1:10" x14ac:dyDescent="0.2">
      <c r="A13" s="12" t="s">
        <v>325</v>
      </c>
      <c r="B13" s="3"/>
      <c r="C13" s="3"/>
      <c r="D13" s="3"/>
      <c r="E13" s="3"/>
      <c r="F13" s="3"/>
      <c r="G13" s="3"/>
      <c r="H13" s="3"/>
      <c r="I13" s="3"/>
      <c r="J13" s="3"/>
    </row>
    <row r="14" spans="1:10" x14ac:dyDescent="0.2">
      <c r="A14" s="12" t="s">
        <v>326</v>
      </c>
      <c r="B14" s="3"/>
      <c r="C14" s="3"/>
      <c r="D14" s="3"/>
      <c r="E14" s="3"/>
      <c r="F14" s="3"/>
      <c r="G14" s="3"/>
      <c r="H14" s="3"/>
      <c r="I14" s="3"/>
      <c r="J14" s="3"/>
    </row>
    <row r="15" spans="1:10" x14ac:dyDescent="0.2">
      <c r="A15" s="12" t="s">
        <v>327</v>
      </c>
      <c r="B15" s="3"/>
      <c r="C15" s="3"/>
      <c r="D15" s="3"/>
      <c r="E15" s="3"/>
      <c r="F15" s="3"/>
      <c r="G15" s="3"/>
      <c r="H15" s="3"/>
      <c r="I15" s="3"/>
      <c r="J15" s="3"/>
    </row>
    <row r="16" spans="1:10" x14ac:dyDescent="0.2">
      <c r="A16" s="12" t="s">
        <v>328</v>
      </c>
      <c r="B16" s="3"/>
      <c r="C16" s="3"/>
      <c r="D16" s="3"/>
      <c r="E16" s="3"/>
      <c r="F16" s="3"/>
      <c r="G16" s="3"/>
      <c r="H16" s="3"/>
      <c r="I16" s="3"/>
      <c r="J16" s="3"/>
    </row>
    <row r="17" spans="1:10" x14ac:dyDescent="0.2">
      <c r="A17" s="12" t="s">
        <v>329</v>
      </c>
      <c r="B17" s="3"/>
      <c r="C17" s="3"/>
      <c r="D17" s="3"/>
      <c r="E17" s="3"/>
      <c r="F17" s="3"/>
      <c r="G17" s="3"/>
      <c r="H17" s="3"/>
      <c r="I17" s="3"/>
      <c r="J17" s="3"/>
    </row>
    <row r="18" spans="1:10" x14ac:dyDescent="0.2">
      <c r="A18" s="12" t="s">
        <v>330</v>
      </c>
      <c r="B18" s="3"/>
      <c r="C18" s="3"/>
      <c r="D18" s="3"/>
      <c r="E18" s="3"/>
      <c r="F18" s="3"/>
      <c r="G18" s="3"/>
      <c r="H18" s="3"/>
      <c r="I18" s="3"/>
      <c r="J18" s="3"/>
    </row>
    <row r="19" spans="1:10" x14ac:dyDescent="0.2">
      <c r="A19" s="12" t="s">
        <v>331</v>
      </c>
      <c r="B19" s="3"/>
      <c r="C19" s="3"/>
      <c r="D19" s="3"/>
      <c r="E19" s="3"/>
      <c r="F19" s="3"/>
      <c r="G19" s="3"/>
      <c r="H19" s="3"/>
      <c r="I19" s="3"/>
      <c r="J19" s="3"/>
    </row>
    <row r="20" spans="1:10" x14ac:dyDescent="0.2">
      <c r="A20" s="12" t="s">
        <v>332</v>
      </c>
      <c r="B20" s="3"/>
      <c r="C20" s="3"/>
      <c r="D20" s="3"/>
      <c r="E20" s="3"/>
      <c r="F20" s="3"/>
      <c r="G20" s="3"/>
      <c r="H20" s="3"/>
      <c r="I20" s="3"/>
      <c r="J20" s="3"/>
    </row>
    <row r="21" spans="1:10" x14ac:dyDescent="0.2">
      <c r="A21" s="12" t="s">
        <v>333</v>
      </c>
      <c r="B21" s="3"/>
      <c r="C21" s="3"/>
      <c r="D21" s="3"/>
      <c r="E21" s="3"/>
      <c r="F21" s="3"/>
      <c r="G21" s="3"/>
      <c r="H21" s="3"/>
      <c r="I21" s="3"/>
      <c r="J21" s="3"/>
    </row>
    <row r="22" spans="1:10" x14ac:dyDescent="0.2">
      <c r="A22" s="12" t="s">
        <v>334</v>
      </c>
      <c r="B22" s="3"/>
      <c r="C22" s="3"/>
      <c r="D22" s="3"/>
      <c r="E22" s="3"/>
      <c r="F22" s="3"/>
      <c r="G22" s="3"/>
      <c r="H22" s="3"/>
      <c r="I22" s="3"/>
      <c r="J22" s="3"/>
    </row>
    <row r="23" spans="1:10" x14ac:dyDescent="0.2">
      <c r="A23" s="12" t="s">
        <v>335</v>
      </c>
      <c r="B23" s="3"/>
      <c r="C23" s="3"/>
      <c r="D23" s="3"/>
      <c r="E23" s="3"/>
      <c r="F23" s="3"/>
      <c r="G23" s="3"/>
      <c r="H23" s="3"/>
      <c r="I23" s="3"/>
      <c r="J23" s="3"/>
    </row>
    <row r="24" spans="1:10" x14ac:dyDescent="0.2">
      <c r="A24" s="12" t="s">
        <v>336</v>
      </c>
      <c r="B24" s="3"/>
      <c r="C24" s="3"/>
      <c r="D24" s="3"/>
      <c r="E24" s="3"/>
      <c r="F24" s="3"/>
      <c r="G24" s="3"/>
      <c r="H24" s="3"/>
      <c r="I24" s="3"/>
      <c r="J24" s="3"/>
    </row>
    <row r="25" spans="1:10" x14ac:dyDescent="0.2">
      <c r="A25" s="12" t="s">
        <v>337</v>
      </c>
      <c r="B25" s="3"/>
      <c r="C25" s="3"/>
      <c r="D25" s="3"/>
      <c r="E25" s="3"/>
      <c r="F25" s="3"/>
      <c r="G25" s="3"/>
      <c r="H25" s="3"/>
      <c r="I25" s="3"/>
      <c r="J25" s="3"/>
    </row>
    <row r="26" spans="1:10" x14ac:dyDescent="0.2">
      <c r="A26" s="12" t="s">
        <v>338</v>
      </c>
      <c r="B26" s="3"/>
      <c r="C26" s="3"/>
      <c r="D26" s="3"/>
      <c r="E26" s="3"/>
      <c r="F26" s="3"/>
      <c r="G26" s="3"/>
      <c r="H26" s="3"/>
      <c r="I26" s="3"/>
      <c r="J26" s="3"/>
    </row>
    <row r="27" spans="1:10" x14ac:dyDescent="0.2">
      <c r="A27" s="12" t="s">
        <v>339</v>
      </c>
      <c r="B27" s="3"/>
      <c r="C27" s="3"/>
      <c r="D27" s="3"/>
      <c r="E27" s="3"/>
      <c r="F27" s="3"/>
      <c r="G27" s="3"/>
      <c r="H27" s="3"/>
      <c r="I27" s="3"/>
      <c r="J27" s="3"/>
    </row>
    <row r="28" spans="1:10" x14ac:dyDescent="0.2">
      <c r="A28" s="12" t="s">
        <v>340</v>
      </c>
      <c r="B28" s="3"/>
      <c r="C28" s="3"/>
      <c r="D28" s="3"/>
      <c r="E28" s="3"/>
      <c r="F28" s="3"/>
      <c r="G28" s="3"/>
      <c r="H28" s="3"/>
      <c r="I28" s="3"/>
      <c r="J28" s="3"/>
    </row>
    <row r="29" spans="1:10" x14ac:dyDescent="0.2">
      <c r="A29" s="12" t="s">
        <v>341</v>
      </c>
      <c r="B29" s="3"/>
      <c r="C29" s="3"/>
      <c r="D29" s="3"/>
      <c r="E29" s="3"/>
      <c r="F29" s="3"/>
      <c r="G29" s="3"/>
      <c r="H29" s="3"/>
      <c r="I29" s="3"/>
      <c r="J29" s="3"/>
    </row>
    <row r="30" spans="1:10" x14ac:dyDescent="0.2">
      <c r="A30" s="12" t="s">
        <v>342</v>
      </c>
      <c r="B30" s="3"/>
      <c r="C30" s="3"/>
      <c r="D30" s="3"/>
      <c r="E30" s="3"/>
      <c r="F30" s="3"/>
      <c r="G30" s="3"/>
      <c r="H30" s="3"/>
      <c r="I30" s="3"/>
      <c r="J30" s="3"/>
    </row>
    <row r="31" spans="1:10" x14ac:dyDescent="0.2">
      <c r="A31" s="12" t="s">
        <v>343</v>
      </c>
      <c r="B31" s="3"/>
      <c r="C31" s="3"/>
      <c r="D31" s="3"/>
      <c r="E31" s="3"/>
      <c r="F31" s="3"/>
      <c r="G31" s="3"/>
      <c r="H31" s="3"/>
      <c r="I31" s="3"/>
      <c r="J31" s="3"/>
    </row>
    <row r="32" spans="1:10" x14ac:dyDescent="0.2">
      <c r="A32" s="12" t="s">
        <v>344</v>
      </c>
      <c r="B32" s="3"/>
      <c r="C32" s="3"/>
      <c r="D32" s="3"/>
      <c r="E32" s="3"/>
      <c r="F32" s="3"/>
      <c r="G32" s="3"/>
      <c r="H32" s="3"/>
      <c r="I32" s="3"/>
      <c r="J32" s="3"/>
    </row>
    <row r="33" spans="1:10" x14ac:dyDescent="0.2">
      <c r="A33" s="12" t="s">
        <v>345</v>
      </c>
      <c r="B33" s="3"/>
      <c r="C33" s="3"/>
      <c r="D33" s="3"/>
      <c r="E33" s="3"/>
      <c r="F33" s="3"/>
      <c r="G33" s="3"/>
      <c r="H33" s="3"/>
      <c r="I33" s="3"/>
      <c r="J33" s="3"/>
    </row>
    <row r="34" spans="1:10" x14ac:dyDescent="0.2">
      <c r="A34" s="12" t="s">
        <v>346</v>
      </c>
      <c r="B34" s="3"/>
      <c r="C34" s="3"/>
      <c r="D34" s="3"/>
      <c r="E34" s="3"/>
      <c r="F34" s="3"/>
      <c r="G34" s="3"/>
      <c r="H34" s="3"/>
      <c r="I34" s="3"/>
      <c r="J34" s="3"/>
    </row>
    <row r="35" spans="1:10" x14ac:dyDescent="0.2">
      <c r="A35" s="12" t="s">
        <v>347</v>
      </c>
      <c r="B35" s="3"/>
      <c r="C35" s="3"/>
      <c r="D35" s="3"/>
      <c r="E35" s="3"/>
      <c r="F35" s="3"/>
      <c r="G35" s="3"/>
      <c r="H35" s="3"/>
      <c r="I35" s="3"/>
      <c r="J35" s="3"/>
    </row>
    <row r="36" spans="1:10" x14ac:dyDescent="0.2">
      <c r="A36" s="12" t="s">
        <v>348</v>
      </c>
      <c r="B36" s="3"/>
      <c r="C36" s="3"/>
      <c r="D36" s="3"/>
      <c r="E36" s="3"/>
      <c r="F36" s="3"/>
      <c r="G36" s="3"/>
      <c r="H36" s="3"/>
      <c r="I36" s="3"/>
      <c r="J36" s="3"/>
    </row>
    <row r="37" spans="1:10" x14ac:dyDescent="0.2">
      <c r="A37" s="12" t="s">
        <v>349</v>
      </c>
      <c r="B37" s="3"/>
      <c r="C37" s="3"/>
      <c r="D37" s="3"/>
      <c r="E37" s="3"/>
      <c r="F37" s="3"/>
      <c r="G37" s="3"/>
      <c r="H37" s="3"/>
      <c r="I37" s="3"/>
      <c r="J37" s="3"/>
    </row>
    <row r="38" spans="1:10" x14ac:dyDescent="0.2">
      <c r="A38" s="12" t="s">
        <v>350</v>
      </c>
      <c r="B38" s="3"/>
      <c r="C38" s="3"/>
      <c r="D38" s="3"/>
      <c r="E38" s="3"/>
      <c r="F38" s="3"/>
      <c r="G38" s="3"/>
      <c r="H38" s="3"/>
      <c r="I38" s="3"/>
      <c r="J38" s="3"/>
    </row>
    <row r="39" spans="1:10" x14ac:dyDescent="0.2">
      <c r="A39" s="12" t="s">
        <v>351</v>
      </c>
      <c r="B39" s="3"/>
      <c r="C39" s="3"/>
      <c r="D39" s="3"/>
      <c r="E39" s="3"/>
      <c r="F39" s="3"/>
      <c r="G39" s="3"/>
      <c r="H39" s="3"/>
      <c r="I39" s="3"/>
      <c r="J39" s="3"/>
    </row>
    <row r="40" spans="1:10" x14ac:dyDescent="0.2">
      <c r="A40" s="12" t="s">
        <v>352</v>
      </c>
      <c r="B40" s="3"/>
      <c r="C40" s="3"/>
      <c r="D40" s="3"/>
      <c r="E40" s="3"/>
      <c r="F40" s="3"/>
      <c r="G40" s="3"/>
      <c r="H40" s="3"/>
      <c r="I40" s="3"/>
      <c r="J40" s="3"/>
    </row>
    <row r="41" spans="1:10" x14ac:dyDescent="0.2">
      <c r="A41" s="12" t="s">
        <v>353</v>
      </c>
      <c r="B41" s="3"/>
      <c r="C41" s="3"/>
      <c r="D41" s="3"/>
      <c r="E41" s="3"/>
      <c r="F41" s="3"/>
      <c r="G41" s="3"/>
      <c r="H41" s="3"/>
      <c r="I41" s="3"/>
      <c r="J41" s="3"/>
    </row>
    <row r="42" spans="1:10" x14ac:dyDescent="0.2">
      <c r="A42" s="12" t="s">
        <v>354</v>
      </c>
      <c r="B42" s="3"/>
      <c r="C42" s="3"/>
      <c r="D42" s="3"/>
      <c r="E42" s="3"/>
      <c r="F42" s="3"/>
      <c r="G42" s="3"/>
      <c r="H42" s="3"/>
      <c r="I42" s="3"/>
      <c r="J42" s="3"/>
    </row>
    <row r="43" spans="1:10" x14ac:dyDescent="0.2">
      <c r="A43" s="12" t="s">
        <v>355</v>
      </c>
      <c r="B43" s="3"/>
      <c r="C43" s="3"/>
      <c r="D43" s="3"/>
      <c r="E43" s="3"/>
      <c r="F43" s="3"/>
      <c r="G43" s="3"/>
      <c r="H43" s="3"/>
      <c r="I43" s="3"/>
      <c r="J43" s="3"/>
    </row>
    <row r="44" spans="1:10" x14ac:dyDescent="0.2">
      <c r="A44" s="12" t="s">
        <v>356</v>
      </c>
      <c r="B44" s="3"/>
      <c r="C44" s="3"/>
      <c r="D44" s="3"/>
      <c r="E44" s="3"/>
      <c r="F44" s="3"/>
      <c r="G44" s="3"/>
      <c r="H44" s="3"/>
      <c r="I44" s="3"/>
      <c r="J44" s="3"/>
    </row>
    <row r="45" spans="1:10" x14ac:dyDescent="0.2">
      <c r="A45" s="12" t="s">
        <v>357</v>
      </c>
      <c r="B45" s="3"/>
      <c r="C45" s="3"/>
      <c r="D45" s="3"/>
      <c r="E45" s="3"/>
      <c r="F45" s="3"/>
      <c r="G45" s="3"/>
      <c r="H45" s="3"/>
      <c r="I45" s="3"/>
      <c r="J45" s="3"/>
    </row>
    <row r="46" spans="1:10" x14ac:dyDescent="0.2">
      <c r="A46" s="12" t="s">
        <v>358</v>
      </c>
      <c r="B46" s="3"/>
      <c r="C46" s="3"/>
      <c r="D46" s="3"/>
      <c r="E46" s="3"/>
      <c r="F46" s="3"/>
      <c r="G46" s="3"/>
      <c r="H46" s="3"/>
      <c r="I46" s="3"/>
      <c r="J46" s="3"/>
    </row>
    <row r="47" spans="1:10" x14ac:dyDescent="0.2">
      <c r="A47" s="12" t="s">
        <v>359</v>
      </c>
      <c r="B47" s="3"/>
      <c r="C47" s="3"/>
      <c r="D47" s="3"/>
      <c r="E47" s="3"/>
      <c r="F47" s="3"/>
      <c r="G47" s="3"/>
      <c r="H47" s="3"/>
      <c r="I47" s="3"/>
      <c r="J47" s="3"/>
    </row>
    <row r="48" spans="1:10" x14ac:dyDescent="0.2">
      <c r="A48" s="12" t="s">
        <v>360</v>
      </c>
      <c r="B48" s="3"/>
      <c r="C48" s="3"/>
      <c r="D48" s="3"/>
      <c r="E48" s="3"/>
      <c r="F48" s="3"/>
      <c r="G48" s="3"/>
      <c r="H48" s="3"/>
      <c r="I48" s="3"/>
      <c r="J48" s="3"/>
    </row>
    <row r="49" spans="1:10" x14ac:dyDescent="0.2">
      <c r="A49" s="12" t="s">
        <v>361</v>
      </c>
      <c r="B49" s="3"/>
      <c r="C49" s="3"/>
      <c r="D49" s="3"/>
      <c r="E49" s="3"/>
      <c r="F49" s="3"/>
      <c r="G49" s="3"/>
      <c r="H49" s="3"/>
      <c r="I49" s="3"/>
      <c r="J49" s="3"/>
    </row>
    <row r="50" spans="1:10" x14ac:dyDescent="0.2">
      <c r="A50" s="12" t="s">
        <v>362</v>
      </c>
      <c r="B50" s="3"/>
      <c r="C50" s="3"/>
      <c r="D50" s="3"/>
      <c r="E50" s="3"/>
      <c r="F50" s="3"/>
      <c r="G50" s="3"/>
      <c r="H50" s="3"/>
      <c r="I50" s="3"/>
      <c r="J50" s="3"/>
    </row>
    <row r="51" spans="1:10" x14ac:dyDescent="0.2">
      <c r="A51" s="12" t="s">
        <v>363</v>
      </c>
      <c r="B51" s="3"/>
      <c r="C51" s="3"/>
      <c r="D51" s="3"/>
      <c r="E51" s="3"/>
      <c r="F51" s="3"/>
      <c r="G51" s="3"/>
      <c r="H51" s="3"/>
      <c r="I51" s="3"/>
      <c r="J51" s="3"/>
    </row>
    <row r="52" spans="1:10" x14ac:dyDescent="0.2">
      <c r="A52" s="12" t="s">
        <v>364</v>
      </c>
      <c r="B52" s="3"/>
      <c r="C52" s="3"/>
      <c r="D52" s="3"/>
      <c r="E52" s="3"/>
      <c r="F52" s="3"/>
      <c r="G52" s="3"/>
      <c r="H52" s="3"/>
      <c r="I52" s="3"/>
      <c r="J52" s="3"/>
    </row>
    <row r="53" spans="1:10" x14ac:dyDescent="0.2">
      <c r="A53" s="12" t="s">
        <v>365</v>
      </c>
      <c r="B53" s="3"/>
      <c r="C53" s="3"/>
      <c r="D53" s="3"/>
      <c r="E53" s="3"/>
      <c r="F53" s="3"/>
      <c r="G53" s="3"/>
      <c r="H53" s="3"/>
      <c r="I53" s="3"/>
      <c r="J53" s="3"/>
    </row>
    <row r="54" spans="1:10" x14ac:dyDescent="0.2">
      <c r="A54" s="12" t="s">
        <v>366</v>
      </c>
      <c r="B54" s="3"/>
      <c r="C54" s="3"/>
      <c r="D54" s="3"/>
      <c r="E54" s="3"/>
      <c r="F54" s="3"/>
      <c r="G54" s="3"/>
      <c r="H54" s="3"/>
      <c r="I54" s="3"/>
      <c r="J54" s="3"/>
    </row>
    <row r="55" spans="1:10" x14ac:dyDescent="0.2">
      <c r="A55" s="12" t="s">
        <v>367</v>
      </c>
      <c r="B55" s="3"/>
      <c r="C55" s="3"/>
      <c r="D55" s="3"/>
      <c r="E55" s="3"/>
      <c r="F55" s="3"/>
      <c r="G55" s="3"/>
      <c r="H55" s="3"/>
      <c r="I55" s="3"/>
      <c r="J55" s="3"/>
    </row>
    <row r="56" spans="1:10" x14ac:dyDescent="0.2">
      <c r="A56" s="12" t="s">
        <v>368</v>
      </c>
      <c r="B56" s="3"/>
      <c r="C56" s="3"/>
      <c r="D56" s="3"/>
      <c r="E56" s="3"/>
      <c r="F56" s="3"/>
      <c r="G56" s="3"/>
      <c r="H56" s="3"/>
      <c r="I56" s="3"/>
      <c r="J56" s="3"/>
    </row>
    <row r="57" spans="1:10" x14ac:dyDescent="0.2">
      <c r="A57" s="12" t="s">
        <v>369</v>
      </c>
      <c r="B57" s="3"/>
      <c r="C57" s="3"/>
      <c r="D57" s="3"/>
      <c r="E57" s="3"/>
      <c r="F57" s="3"/>
      <c r="G57" s="3"/>
      <c r="H57" s="3"/>
      <c r="I57" s="3"/>
      <c r="J57" s="3"/>
    </row>
    <row r="58" spans="1:10" x14ac:dyDescent="0.2">
      <c r="A58" s="12" t="s">
        <v>370</v>
      </c>
      <c r="B58" s="3"/>
      <c r="C58" s="3"/>
      <c r="D58" s="3"/>
      <c r="E58" s="3"/>
      <c r="F58" s="3"/>
      <c r="G58" s="3"/>
      <c r="H58" s="3"/>
      <c r="I58" s="3"/>
      <c r="J58" s="3"/>
    </row>
    <row r="59" spans="1:10" x14ac:dyDescent="0.2">
      <c r="A59" s="12" t="s">
        <v>371</v>
      </c>
      <c r="B59" s="3"/>
      <c r="C59" s="3"/>
      <c r="D59" s="3"/>
      <c r="E59" s="3"/>
      <c r="F59" s="3"/>
      <c r="G59" s="3"/>
      <c r="H59" s="3"/>
      <c r="I59" s="3"/>
      <c r="J59" s="3"/>
    </row>
    <row r="60" spans="1:10" x14ac:dyDescent="0.2">
      <c r="A60" s="12" t="s">
        <v>372</v>
      </c>
      <c r="B60" s="3"/>
      <c r="C60" s="3"/>
      <c r="D60" s="3"/>
      <c r="E60" s="3"/>
      <c r="F60" s="3"/>
      <c r="G60" s="3"/>
      <c r="H60" s="3"/>
      <c r="I60" s="3"/>
      <c r="J60" s="3"/>
    </row>
    <row r="61" spans="1:10" x14ac:dyDescent="0.2">
      <c r="A61" s="12" t="s">
        <v>373</v>
      </c>
      <c r="B61" s="3"/>
      <c r="C61" s="3"/>
      <c r="D61" s="3"/>
      <c r="E61" s="3"/>
      <c r="F61" s="3"/>
      <c r="G61" s="3"/>
      <c r="H61" s="3"/>
      <c r="I61" s="3"/>
      <c r="J61" s="3"/>
    </row>
    <row r="62" spans="1:10" x14ac:dyDescent="0.2">
      <c r="A62" s="12" t="s">
        <v>374</v>
      </c>
      <c r="B62" s="3"/>
      <c r="C62" s="3"/>
      <c r="D62" s="3"/>
      <c r="E62" s="3"/>
      <c r="F62" s="3"/>
      <c r="G62" s="3"/>
      <c r="H62" s="3"/>
      <c r="I62" s="3"/>
      <c r="J62" s="3"/>
    </row>
    <row r="63" spans="1:10" x14ac:dyDescent="0.2">
      <c r="A63" s="12" t="s">
        <v>375</v>
      </c>
      <c r="B63" s="3"/>
      <c r="C63" s="3"/>
      <c r="D63" s="3"/>
      <c r="E63" s="3"/>
      <c r="F63" s="3"/>
      <c r="G63" s="3"/>
      <c r="H63" s="3"/>
      <c r="I63" s="3"/>
      <c r="J63" s="3"/>
    </row>
    <row r="64" spans="1:10" x14ac:dyDescent="0.2">
      <c r="A64" s="12" t="s">
        <v>376</v>
      </c>
      <c r="B64" s="3"/>
      <c r="C64" s="3"/>
      <c r="D64" s="3"/>
      <c r="E64" s="3"/>
      <c r="F64" s="3"/>
      <c r="G64" s="3"/>
      <c r="H64" s="3"/>
      <c r="I64" s="3"/>
      <c r="J64" s="3"/>
    </row>
    <row r="65" spans="1:10" x14ac:dyDescent="0.2">
      <c r="A65" s="12" t="s">
        <v>377</v>
      </c>
      <c r="B65" s="3"/>
      <c r="C65" s="3"/>
      <c r="D65" s="3"/>
      <c r="E65" s="3"/>
      <c r="F65" s="3"/>
      <c r="G65" s="3"/>
      <c r="H65" s="3"/>
      <c r="I65" s="3"/>
      <c r="J65" s="3"/>
    </row>
    <row r="66" spans="1:10" x14ac:dyDescent="0.2">
      <c r="A66" s="12" t="s">
        <v>378</v>
      </c>
      <c r="B66" s="3"/>
      <c r="C66" s="3"/>
      <c r="D66" s="3"/>
      <c r="E66" s="3"/>
      <c r="F66" s="3"/>
      <c r="G66" s="3"/>
      <c r="H66" s="3"/>
      <c r="I66" s="3"/>
      <c r="J66" s="3"/>
    </row>
    <row r="67" spans="1:10" x14ac:dyDescent="0.2">
      <c r="A67" s="12" t="s">
        <v>379</v>
      </c>
      <c r="B67" s="3"/>
      <c r="C67" s="3"/>
      <c r="D67" s="3"/>
      <c r="E67" s="3"/>
      <c r="F67" s="3"/>
      <c r="G67" s="3"/>
      <c r="H67" s="3"/>
      <c r="I67" s="3"/>
      <c r="J67" s="3"/>
    </row>
    <row r="68" spans="1:10" x14ac:dyDescent="0.2">
      <c r="A68" s="12" t="s">
        <v>380</v>
      </c>
      <c r="B68" s="3"/>
      <c r="C68" s="3"/>
      <c r="D68" s="3"/>
      <c r="E68" s="3"/>
      <c r="F68" s="3"/>
      <c r="G68" s="3"/>
      <c r="H68" s="3"/>
      <c r="I68" s="3"/>
      <c r="J68" s="3"/>
    </row>
    <row r="69" spans="1:10" x14ac:dyDescent="0.2">
      <c r="A69" s="12" t="s">
        <v>381</v>
      </c>
      <c r="B69" s="3"/>
      <c r="C69" s="3"/>
      <c r="D69" s="3"/>
      <c r="E69" s="3"/>
      <c r="F69" s="3"/>
      <c r="G69" s="3"/>
      <c r="H69" s="3"/>
      <c r="I69" s="3"/>
      <c r="J69" s="3"/>
    </row>
    <row r="70" spans="1:10" x14ac:dyDescent="0.2">
      <c r="A70" s="12" t="s">
        <v>382</v>
      </c>
      <c r="B70" s="3"/>
      <c r="C70" s="3"/>
      <c r="D70" s="3"/>
      <c r="E70" s="3"/>
      <c r="F70" s="3"/>
      <c r="G70" s="3"/>
      <c r="H70" s="3"/>
      <c r="I70" s="3"/>
      <c r="J70" s="3"/>
    </row>
    <row r="71" spans="1:10" x14ac:dyDescent="0.2">
      <c r="A71" s="12" t="s">
        <v>383</v>
      </c>
      <c r="B71" s="3"/>
      <c r="C71" s="3"/>
      <c r="D71" s="3"/>
      <c r="E71" s="3"/>
      <c r="F71" s="3"/>
      <c r="G71" s="3"/>
      <c r="H71" s="3"/>
      <c r="I71" s="3"/>
      <c r="J71" s="3"/>
    </row>
    <row r="72" spans="1:10" x14ac:dyDescent="0.2">
      <c r="A72" s="12" t="s">
        <v>384</v>
      </c>
      <c r="B72" s="3"/>
      <c r="C72" s="3"/>
      <c r="D72" s="3"/>
      <c r="E72" s="3"/>
      <c r="F72" s="3"/>
      <c r="G72" s="3"/>
      <c r="H72" s="3"/>
      <c r="I72" s="3"/>
      <c r="J72" s="3"/>
    </row>
    <row r="73" spans="1:10" x14ac:dyDescent="0.2">
      <c r="A73" s="12" t="s">
        <v>385</v>
      </c>
      <c r="B73" s="3"/>
      <c r="C73" s="3"/>
      <c r="D73" s="3"/>
      <c r="E73" s="3"/>
      <c r="F73" s="3"/>
      <c r="G73" s="3"/>
      <c r="H73" s="3"/>
      <c r="I73" s="3"/>
      <c r="J73" s="3"/>
    </row>
    <row r="74" spans="1:10" x14ac:dyDescent="0.2">
      <c r="A74" s="12" t="s">
        <v>386</v>
      </c>
      <c r="B74" s="3"/>
      <c r="C74" s="3"/>
      <c r="D74" s="3"/>
      <c r="E74" s="3"/>
      <c r="F74" s="3"/>
      <c r="G74" s="3"/>
      <c r="H74" s="3"/>
      <c r="I74" s="3"/>
      <c r="J74" s="3"/>
    </row>
    <row r="75" spans="1:10" x14ac:dyDescent="0.2">
      <c r="A75" s="12" t="s">
        <v>387</v>
      </c>
      <c r="B75" s="3"/>
      <c r="C75" s="3"/>
      <c r="D75" s="3"/>
      <c r="E75" s="3"/>
      <c r="F75" s="3"/>
      <c r="G75" s="3"/>
      <c r="H75" s="3"/>
      <c r="I75" s="3"/>
      <c r="J75" s="3"/>
    </row>
    <row r="76" spans="1:10" x14ac:dyDescent="0.2">
      <c r="A76" s="12" t="s">
        <v>388</v>
      </c>
      <c r="B76" s="3"/>
      <c r="C76" s="3"/>
      <c r="D76" s="3"/>
      <c r="E76" s="3"/>
      <c r="F76" s="3"/>
      <c r="G76" s="3"/>
      <c r="H76" s="3"/>
      <c r="I76" s="3"/>
      <c r="J76" s="3"/>
    </row>
    <row r="77" spans="1:10" x14ac:dyDescent="0.2">
      <c r="A77" s="12" t="s">
        <v>389</v>
      </c>
      <c r="B77" s="3"/>
      <c r="C77" s="3"/>
      <c r="D77" s="3"/>
      <c r="E77" s="3"/>
      <c r="F77" s="3"/>
      <c r="G77" s="3"/>
      <c r="H77" s="3"/>
      <c r="I77" s="3"/>
      <c r="J77" s="3"/>
    </row>
    <row r="78" spans="1:10" x14ac:dyDescent="0.2">
      <c r="A78" s="12" t="s">
        <v>390</v>
      </c>
      <c r="B78" s="3"/>
      <c r="C78" s="3"/>
      <c r="D78" s="3"/>
      <c r="E78" s="3"/>
      <c r="F78" s="3"/>
      <c r="G78" s="3"/>
      <c r="H78" s="3"/>
      <c r="I78" s="3"/>
      <c r="J78" s="3"/>
    </row>
    <row r="79" spans="1:10" x14ac:dyDescent="0.2">
      <c r="A79" s="12" t="s">
        <v>391</v>
      </c>
      <c r="B79" s="3"/>
      <c r="C79" s="3"/>
      <c r="D79" s="3"/>
      <c r="E79" s="3"/>
      <c r="F79" s="3"/>
      <c r="G79" s="3"/>
      <c r="H79" s="3"/>
      <c r="I79" s="3"/>
      <c r="J79" s="3"/>
    </row>
    <row r="80" spans="1:10" x14ac:dyDescent="0.2">
      <c r="A80" s="12" t="s">
        <v>392</v>
      </c>
      <c r="B80" s="3"/>
      <c r="C80" s="3"/>
      <c r="D80" s="3"/>
      <c r="E80" s="3"/>
      <c r="F80" s="3"/>
      <c r="G80" s="3"/>
      <c r="H80" s="3"/>
      <c r="I80" s="3"/>
      <c r="J80" s="3"/>
    </row>
    <row r="81" spans="1:10" x14ac:dyDescent="0.2">
      <c r="A81" s="12" t="s">
        <v>393</v>
      </c>
      <c r="B81" s="3"/>
      <c r="C81" s="3"/>
      <c r="D81" s="3"/>
      <c r="E81" s="3"/>
      <c r="F81" s="3"/>
      <c r="G81" s="3"/>
      <c r="H81" s="3"/>
      <c r="I81" s="3"/>
      <c r="J81" s="3"/>
    </row>
    <row r="82" spans="1:10" x14ac:dyDescent="0.2">
      <c r="A82" s="12" t="s">
        <v>394</v>
      </c>
      <c r="B82" s="3"/>
      <c r="C82" s="3"/>
      <c r="D82" s="3"/>
      <c r="E82" s="3"/>
      <c r="F82" s="3"/>
      <c r="G82" s="3"/>
      <c r="H82" s="3"/>
      <c r="I82" s="3"/>
      <c r="J82" s="3"/>
    </row>
    <row r="83" spans="1:10" x14ac:dyDescent="0.2">
      <c r="A83" s="12" t="s">
        <v>395</v>
      </c>
      <c r="B83" s="3"/>
      <c r="C83" s="3"/>
      <c r="D83" s="3"/>
      <c r="E83" s="3"/>
      <c r="F83" s="3"/>
      <c r="G83" s="3"/>
      <c r="H83" s="3"/>
      <c r="I83" s="3"/>
      <c r="J83" s="3"/>
    </row>
    <row r="84" spans="1:10" x14ac:dyDescent="0.2">
      <c r="A84" s="12" t="s">
        <v>396</v>
      </c>
      <c r="B84" s="3"/>
      <c r="C84" s="3"/>
      <c r="D84" s="3"/>
      <c r="E84" s="3"/>
      <c r="F84" s="3"/>
      <c r="G84" s="3"/>
      <c r="H84" s="3"/>
      <c r="I84" s="3"/>
      <c r="J84" s="3"/>
    </row>
    <row r="85" spans="1:10" x14ac:dyDescent="0.2">
      <c r="A85" s="12" t="s">
        <v>397</v>
      </c>
      <c r="B85" s="3"/>
      <c r="C85" s="3"/>
      <c r="D85" s="3"/>
      <c r="E85" s="3"/>
      <c r="F85" s="3"/>
      <c r="G85" s="3"/>
      <c r="H85" s="3"/>
      <c r="I85" s="3"/>
      <c r="J85" s="3"/>
    </row>
    <row r="86" spans="1:10" x14ac:dyDescent="0.2">
      <c r="A86" s="12" t="s">
        <v>398</v>
      </c>
      <c r="B86" s="3"/>
      <c r="C86" s="3"/>
      <c r="D86" s="3"/>
      <c r="E86" s="3"/>
      <c r="F86" s="3"/>
      <c r="G86" s="3"/>
      <c r="H86" s="3"/>
      <c r="I86" s="3"/>
      <c r="J86" s="3"/>
    </row>
    <row r="87" spans="1:10" x14ac:dyDescent="0.2">
      <c r="A87" s="12" t="s">
        <v>399</v>
      </c>
      <c r="B87" s="3"/>
      <c r="C87" s="3"/>
      <c r="D87" s="3"/>
      <c r="E87" s="3"/>
      <c r="F87" s="3"/>
      <c r="G87" s="3"/>
      <c r="H87" s="3"/>
      <c r="I87" s="3"/>
      <c r="J87" s="3"/>
    </row>
    <row r="88" spans="1:10" x14ac:dyDescent="0.2">
      <c r="A88" s="12" t="s">
        <v>400</v>
      </c>
      <c r="B88" s="3"/>
      <c r="C88" s="3"/>
      <c r="D88" s="3"/>
      <c r="E88" s="3"/>
      <c r="F88" s="3"/>
      <c r="G88" s="3"/>
      <c r="H88" s="3"/>
      <c r="I88" s="3"/>
      <c r="J88" s="3"/>
    </row>
    <row r="89" spans="1:10" x14ac:dyDescent="0.2">
      <c r="A89" s="12" t="s">
        <v>401</v>
      </c>
      <c r="B89" s="3"/>
      <c r="C89" s="3"/>
      <c r="D89" s="3"/>
      <c r="E89" s="3"/>
      <c r="F89" s="3"/>
      <c r="G89" s="3"/>
      <c r="H89" s="3"/>
      <c r="I89" s="3"/>
      <c r="J89" s="3"/>
    </row>
    <row r="90" spans="1:10" x14ac:dyDescent="0.2">
      <c r="A90" s="12" t="s">
        <v>402</v>
      </c>
      <c r="B90" s="3"/>
      <c r="C90" s="3"/>
      <c r="D90" s="3"/>
      <c r="E90" s="3"/>
      <c r="F90" s="3"/>
      <c r="G90" s="3"/>
      <c r="H90" s="3"/>
      <c r="I90" s="3"/>
      <c r="J90" s="3"/>
    </row>
    <row r="91" spans="1:10" x14ac:dyDescent="0.2">
      <c r="A91" s="12" t="s">
        <v>403</v>
      </c>
      <c r="B91" s="3"/>
      <c r="C91" s="3"/>
      <c r="D91" s="3"/>
      <c r="E91" s="3"/>
      <c r="F91" s="3"/>
      <c r="G91" s="3"/>
      <c r="H91" s="3"/>
      <c r="I91" s="3"/>
      <c r="J91" s="3"/>
    </row>
    <row r="92" spans="1:10" x14ac:dyDescent="0.2">
      <c r="A92" s="12" t="s">
        <v>404</v>
      </c>
      <c r="B92" s="3"/>
      <c r="C92" s="3"/>
      <c r="D92" s="3"/>
      <c r="E92" s="3"/>
      <c r="F92" s="3"/>
      <c r="G92" s="3"/>
      <c r="H92" s="3"/>
      <c r="I92" s="3"/>
      <c r="J92" s="3"/>
    </row>
    <row r="93" spans="1:10" x14ac:dyDescent="0.2">
      <c r="A93" s="12" t="s">
        <v>405</v>
      </c>
      <c r="B93" s="3"/>
      <c r="C93" s="3"/>
      <c r="D93" s="3"/>
      <c r="E93" s="3"/>
      <c r="F93" s="3"/>
      <c r="G93" s="3"/>
      <c r="H93" s="3"/>
      <c r="I93" s="3"/>
      <c r="J93" s="3"/>
    </row>
    <row r="94" spans="1:10" x14ac:dyDescent="0.2">
      <c r="A94" s="12" t="s">
        <v>406</v>
      </c>
      <c r="B94" s="3"/>
      <c r="C94" s="3"/>
      <c r="D94" s="3"/>
      <c r="E94" s="3"/>
      <c r="F94" s="3"/>
      <c r="G94" s="3"/>
      <c r="H94" s="3"/>
      <c r="I94" s="3"/>
      <c r="J94" s="3"/>
    </row>
    <row r="95" spans="1:10" x14ac:dyDescent="0.2">
      <c r="A95" s="12" t="s">
        <v>407</v>
      </c>
      <c r="B95" s="3"/>
      <c r="C95" s="3"/>
      <c r="D95" s="3"/>
      <c r="E95" s="3"/>
      <c r="F95" s="3"/>
      <c r="G95" s="3"/>
      <c r="H95" s="3"/>
      <c r="I95" s="3"/>
      <c r="J95" s="3"/>
    </row>
    <row r="96" spans="1:10" x14ac:dyDescent="0.2">
      <c r="A96" s="12" t="s">
        <v>408</v>
      </c>
      <c r="B96" s="3"/>
      <c r="C96" s="3"/>
      <c r="D96" s="3"/>
      <c r="E96" s="3"/>
      <c r="F96" s="3"/>
      <c r="G96" s="3"/>
      <c r="H96" s="3"/>
      <c r="I96" s="3"/>
      <c r="J96" s="3"/>
    </row>
    <row r="97" spans="1:10" x14ac:dyDescent="0.2">
      <c r="A97" s="12" t="s">
        <v>409</v>
      </c>
      <c r="B97" s="3"/>
      <c r="C97" s="3"/>
      <c r="D97" s="3"/>
      <c r="E97" s="3"/>
      <c r="F97" s="3"/>
      <c r="G97" s="3"/>
      <c r="H97" s="3"/>
      <c r="I97" s="3"/>
      <c r="J97" s="3"/>
    </row>
    <row r="98" spans="1:10" x14ac:dyDescent="0.2">
      <c r="A98" s="12" t="s">
        <v>410</v>
      </c>
      <c r="B98" s="3"/>
      <c r="C98" s="3"/>
      <c r="D98" s="3"/>
      <c r="E98" s="3"/>
      <c r="F98" s="3"/>
      <c r="G98" s="3"/>
      <c r="H98" s="3"/>
      <c r="I98" s="3"/>
      <c r="J98" s="3"/>
    </row>
    <row r="99" spans="1:10" x14ac:dyDescent="0.2">
      <c r="A99" s="12" t="s">
        <v>411</v>
      </c>
      <c r="B99" s="3"/>
      <c r="C99" s="3"/>
      <c r="D99" s="3"/>
      <c r="E99" s="3"/>
      <c r="F99" s="3"/>
      <c r="G99" s="3"/>
      <c r="H99" s="3"/>
      <c r="I99" s="3"/>
      <c r="J99" s="3"/>
    </row>
    <row r="100" spans="1:10" x14ac:dyDescent="0.2">
      <c r="A100" s="12" t="s">
        <v>412</v>
      </c>
      <c r="B100" s="3"/>
      <c r="C100" s="3"/>
      <c r="D100" s="3"/>
      <c r="E100" s="3"/>
      <c r="F100" s="3"/>
      <c r="G100" s="3"/>
      <c r="H100" s="3"/>
      <c r="I100" s="3"/>
      <c r="J100" s="3"/>
    </row>
    <row r="101" spans="1:10" x14ac:dyDescent="0.2">
      <c r="A101" s="12" t="s">
        <v>413</v>
      </c>
      <c r="B101" s="3"/>
      <c r="C101" s="3"/>
      <c r="D101" s="3"/>
      <c r="E101" s="3"/>
      <c r="F101" s="3"/>
      <c r="G101" s="3"/>
      <c r="H101" s="3"/>
      <c r="I101" s="3"/>
      <c r="J101" s="3"/>
    </row>
    <row r="102" spans="1:10" x14ac:dyDescent="0.2">
      <c r="A102" s="12" t="s">
        <v>414</v>
      </c>
      <c r="B102" s="3"/>
      <c r="C102" s="3"/>
      <c r="D102" s="3"/>
      <c r="E102" s="3"/>
      <c r="F102" s="3"/>
      <c r="G102" s="3"/>
      <c r="H102" s="3"/>
      <c r="I102" s="3"/>
      <c r="J102" s="3"/>
    </row>
    <row r="103" spans="1:10" x14ac:dyDescent="0.2">
      <c r="A103" s="12" t="s">
        <v>415</v>
      </c>
      <c r="B103" s="3"/>
      <c r="C103" s="3"/>
      <c r="D103" s="3"/>
      <c r="E103" s="3"/>
      <c r="F103" s="3"/>
      <c r="G103" s="3"/>
      <c r="H103" s="3"/>
      <c r="I103" s="3"/>
      <c r="J103" s="3"/>
    </row>
    <row r="104" spans="1:10" x14ac:dyDescent="0.2">
      <c r="A104" s="12" t="s">
        <v>416</v>
      </c>
      <c r="B104" s="3"/>
      <c r="C104" s="3"/>
      <c r="D104" s="3"/>
      <c r="E104" s="3"/>
      <c r="F104" s="3"/>
      <c r="G104" s="3"/>
      <c r="H104" s="3"/>
      <c r="I104" s="3"/>
      <c r="J104" s="3"/>
    </row>
    <row r="107" spans="1:10" x14ac:dyDescent="0.2">
      <c r="A107" s="28" t="s">
        <v>417</v>
      </c>
      <c r="B107" s="25"/>
      <c r="C107" s="25"/>
      <c r="D107" s="25"/>
      <c r="E107" s="25"/>
      <c r="F107" s="25"/>
      <c r="G107" s="25"/>
      <c r="H107" s="25"/>
      <c r="I107" s="25"/>
      <c r="J107" s="25"/>
    </row>
    <row r="108" spans="1:10" x14ac:dyDescent="0.2">
      <c r="A108" s="5" t="s">
        <v>310</v>
      </c>
      <c r="B108" s="5" t="s">
        <v>418</v>
      </c>
      <c r="C108" s="5" t="s">
        <v>35</v>
      </c>
      <c r="D108" s="5" t="s">
        <v>43</v>
      </c>
      <c r="E108" s="5" t="s">
        <v>96</v>
      </c>
    </row>
    <row r="109" spans="1:10" x14ac:dyDescent="0.2">
      <c r="A109" s="2" t="s">
        <v>419</v>
      </c>
      <c r="B109" s="16">
        <f>COUNTIF(B5:B104,"Laptop")</f>
        <v>0</v>
      </c>
      <c r="C109" s="16">
        <f>COUNTIFS(B5:B104,"Laptop",H5:H104,"✅ Protected")</f>
        <v>0</v>
      </c>
      <c r="D109" s="16">
        <f>COUNTIFS(B5:B104,"Laptop",H5:H104,"❌ Unprotected")</f>
        <v>0</v>
      </c>
      <c r="E109" s="16" t="str">
        <f t="shared" ref="E109:E114" si="0">IF(B109=0,0,C109/B109*100)&amp;"%"</f>
        <v>0%</v>
      </c>
    </row>
    <row r="110" spans="1:10" x14ac:dyDescent="0.2">
      <c r="A110" s="2" t="s">
        <v>420</v>
      </c>
      <c r="B110" s="16">
        <f>COUNTIF(B5:B104,"Desktop")</f>
        <v>0</v>
      </c>
      <c r="C110" s="16">
        <f>COUNTIFS(B5:B104,"Desktop",H5:H104,"✅ Protected")</f>
        <v>0</v>
      </c>
      <c r="D110" s="16">
        <f>COUNTIFS(B5:B104,"Desktop",H5:H104,"❌ Unprotected")</f>
        <v>0</v>
      </c>
      <c r="E110" s="16" t="str">
        <f t="shared" si="0"/>
        <v>0%</v>
      </c>
    </row>
    <row r="111" spans="1:10" x14ac:dyDescent="0.2">
      <c r="A111" s="2" t="s">
        <v>421</v>
      </c>
      <c r="B111" s="16">
        <f>COUNTIF(B5:B104,"Smartphone")</f>
        <v>0</v>
      </c>
      <c r="C111" s="16">
        <f>COUNTIFS(B5:B104,"Smartphone",H5:H104,"✅ Protected")</f>
        <v>0</v>
      </c>
      <c r="D111" s="16">
        <f>COUNTIFS(B5:B104,"Smartphone",H5:H104,"❌ Unprotected")</f>
        <v>0</v>
      </c>
      <c r="E111" s="16" t="str">
        <f t="shared" si="0"/>
        <v>0%</v>
      </c>
    </row>
    <row r="112" spans="1:10" x14ac:dyDescent="0.2">
      <c r="A112" s="2" t="s">
        <v>422</v>
      </c>
      <c r="B112" s="16">
        <f>COUNTIF(B5:B104,"Tablet")</f>
        <v>0</v>
      </c>
      <c r="C112" s="16">
        <f>COUNTIFS(B5:B104,"Tablet",H5:H104,"✅ Protected")</f>
        <v>0</v>
      </c>
      <c r="D112" s="16">
        <f>COUNTIFS(B5:B104,"Tablet",H5:H104,"❌ Unprotected")</f>
        <v>0</v>
      </c>
      <c r="E112" s="16" t="str">
        <f t="shared" si="0"/>
        <v>0%</v>
      </c>
    </row>
    <row r="113" spans="1:5" x14ac:dyDescent="0.2">
      <c r="A113" s="2" t="s">
        <v>423</v>
      </c>
      <c r="B113" s="16">
        <f>COUNTIF(B5:B104,"Virtual Desktop")</f>
        <v>0</v>
      </c>
      <c r="C113" s="16">
        <f>COUNTIFS(B5:B104,"Virtual Desktop",H5:H104,"✅ Protected")</f>
        <v>0</v>
      </c>
      <c r="D113" s="16">
        <f>COUNTIFS(B5:B104,"Virtual Desktop",H5:H104,"❌ Unprotected")</f>
        <v>0</v>
      </c>
      <c r="E113" s="16" t="str">
        <f t="shared" si="0"/>
        <v>0%</v>
      </c>
    </row>
    <row r="114" spans="1:5" x14ac:dyDescent="0.2">
      <c r="A114" s="2" t="s">
        <v>424</v>
      </c>
      <c r="B114" s="16">
        <f>COUNTIF(B5:B104,"Other")</f>
        <v>0</v>
      </c>
      <c r="C114" s="16">
        <f>COUNTIFS(B5:B104,"Other",H5:H104,"✅ Protected")</f>
        <v>0</v>
      </c>
      <c r="D114" s="16">
        <f>COUNTIFS(B5:B104,"Other",H5:H104,"❌ Unprotected")</f>
        <v>0</v>
      </c>
      <c r="E114" s="16" t="str">
        <f t="shared" si="0"/>
        <v>0%</v>
      </c>
    </row>
  </sheetData>
  <mergeCells count="3">
    <mergeCell ref="A107:J107"/>
    <mergeCell ref="A1:J1"/>
    <mergeCell ref="A2:J2"/>
  </mergeCells>
  <dataValidations count="3">
    <dataValidation type="list"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xr:uid="{00000000-0002-0000-0400-000000000000}">
      <formula1>"✅ Protected,⚠️ Partial,❌ Unprotected,🔄 Planned,🚫 Exempt"</formula1>
    </dataValidation>
    <dataValidation type="list"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xr:uid="{00000000-0002-0000-0400-000001000000}">
      <formula1>"Laptop,Desktop,Smartphone,Tablet,Virtual Desktop,Other"</formula1>
    </dataValidation>
    <dataValidation type="list"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xr:uid="{00000000-0002-0000-0400-000002000000}">
      <formula1>"Yes (endpoint agent),No (network-based),Hybrid"</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6"/>
  <sheetViews>
    <sheetView workbookViewId="0">
      <pane ySplit="4" topLeftCell="A5" activePane="bottomLeft" state="frozen"/>
      <selection pane="bottomLeft"/>
    </sheetView>
  </sheetViews>
  <sheetFormatPr baseColWidth="10" defaultColWidth="8.83203125" defaultRowHeight="15" x14ac:dyDescent="0.2"/>
  <cols>
    <col min="1" max="1" width="15" customWidth="1"/>
    <col min="2" max="2" width="25" customWidth="1"/>
    <col min="3" max="3" width="20" customWidth="1"/>
    <col min="4" max="4" width="35" customWidth="1"/>
    <col min="5" max="6" width="30" customWidth="1"/>
    <col min="7" max="7" width="20" customWidth="1"/>
    <col min="8" max="10" width="15" customWidth="1"/>
    <col min="11" max="11" width="30" customWidth="1"/>
  </cols>
  <sheetData>
    <row r="1" spans="1:11" ht="30" customHeight="1" x14ac:dyDescent="0.2">
      <c r="A1" s="27" t="s">
        <v>425</v>
      </c>
      <c r="B1" s="25"/>
      <c r="C1" s="25"/>
      <c r="D1" s="25"/>
      <c r="E1" s="25"/>
      <c r="F1" s="25"/>
      <c r="G1" s="25"/>
      <c r="H1" s="25"/>
      <c r="I1" s="25"/>
      <c r="J1" s="25"/>
      <c r="K1" s="25"/>
    </row>
    <row r="2" spans="1:11" x14ac:dyDescent="0.2">
      <c r="A2" s="24" t="s">
        <v>426</v>
      </c>
      <c r="B2" s="25"/>
      <c r="C2" s="25"/>
      <c r="D2" s="25"/>
      <c r="E2" s="25"/>
      <c r="F2" s="25"/>
      <c r="G2" s="25"/>
      <c r="H2" s="25"/>
      <c r="I2" s="25"/>
      <c r="J2" s="25"/>
      <c r="K2" s="25"/>
    </row>
    <row r="4" spans="1:11" ht="16" x14ac:dyDescent="0.2">
      <c r="A4" s="11" t="s">
        <v>98</v>
      </c>
      <c r="B4" s="11" t="s">
        <v>427</v>
      </c>
      <c r="C4" s="11" t="s">
        <v>428</v>
      </c>
      <c r="D4" s="11" t="s">
        <v>429</v>
      </c>
      <c r="E4" s="11" t="s">
        <v>430</v>
      </c>
      <c r="F4" s="11" t="s">
        <v>431</v>
      </c>
      <c r="G4" s="11" t="s">
        <v>432</v>
      </c>
      <c r="H4" s="11" t="s">
        <v>433</v>
      </c>
      <c r="I4" s="11" t="s">
        <v>434</v>
      </c>
      <c r="J4" s="11" t="s">
        <v>31</v>
      </c>
      <c r="K4" s="11" t="s">
        <v>99</v>
      </c>
    </row>
    <row r="5" spans="1:11" x14ac:dyDescent="0.2">
      <c r="A5" s="12" t="s">
        <v>435</v>
      </c>
      <c r="B5" s="3"/>
      <c r="C5" s="3"/>
      <c r="D5" s="3"/>
      <c r="E5" s="3"/>
      <c r="F5" s="3"/>
      <c r="G5" s="3"/>
      <c r="H5" s="3"/>
      <c r="I5" s="3"/>
      <c r="J5" s="3"/>
      <c r="K5" s="3"/>
    </row>
    <row r="6" spans="1:11" x14ac:dyDescent="0.2">
      <c r="A6" s="12" t="s">
        <v>436</v>
      </c>
      <c r="B6" s="3"/>
      <c r="C6" s="3"/>
      <c r="D6" s="3"/>
      <c r="E6" s="3"/>
      <c r="F6" s="3"/>
      <c r="G6" s="3"/>
      <c r="H6" s="3"/>
      <c r="I6" s="3"/>
      <c r="J6" s="3"/>
      <c r="K6" s="3"/>
    </row>
    <row r="7" spans="1:11" x14ac:dyDescent="0.2">
      <c r="A7" s="12" t="s">
        <v>437</v>
      </c>
      <c r="B7" s="3"/>
      <c r="C7" s="3"/>
      <c r="D7" s="3"/>
      <c r="E7" s="3"/>
      <c r="F7" s="3"/>
      <c r="G7" s="3"/>
      <c r="H7" s="3"/>
      <c r="I7" s="3"/>
      <c r="J7" s="3"/>
      <c r="K7" s="3"/>
    </row>
    <row r="8" spans="1:11" x14ac:dyDescent="0.2">
      <c r="A8" s="12" t="s">
        <v>438</v>
      </c>
      <c r="B8" s="3"/>
      <c r="C8" s="3"/>
      <c r="D8" s="3"/>
      <c r="E8" s="3"/>
      <c r="F8" s="3"/>
      <c r="G8" s="3"/>
      <c r="H8" s="3"/>
      <c r="I8" s="3"/>
      <c r="J8" s="3"/>
      <c r="K8" s="3"/>
    </row>
    <row r="9" spans="1:11" x14ac:dyDescent="0.2">
      <c r="A9" s="12" t="s">
        <v>439</v>
      </c>
      <c r="B9" s="3"/>
      <c r="C9" s="3"/>
      <c r="D9" s="3"/>
      <c r="E9" s="3"/>
      <c r="F9" s="3"/>
      <c r="G9" s="3"/>
      <c r="H9" s="3"/>
      <c r="I9" s="3"/>
      <c r="J9" s="3"/>
      <c r="K9" s="3"/>
    </row>
    <row r="10" spans="1:11" x14ac:dyDescent="0.2">
      <c r="A10" s="12" t="s">
        <v>440</v>
      </c>
      <c r="B10" s="3"/>
      <c r="C10" s="3"/>
      <c r="D10" s="3"/>
      <c r="E10" s="3"/>
      <c r="F10" s="3"/>
      <c r="G10" s="3"/>
      <c r="H10" s="3"/>
      <c r="I10" s="3"/>
      <c r="J10" s="3"/>
      <c r="K10" s="3"/>
    </row>
    <row r="11" spans="1:11" x14ac:dyDescent="0.2">
      <c r="A11" s="12" t="s">
        <v>441</v>
      </c>
      <c r="B11" s="3"/>
      <c r="C11" s="3"/>
      <c r="D11" s="3"/>
      <c r="E11" s="3"/>
      <c r="F11" s="3"/>
      <c r="G11" s="3"/>
      <c r="H11" s="3"/>
      <c r="I11" s="3"/>
      <c r="J11" s="3"/>
      <c r="K11" s="3"/>
    </row>
    <row r="12" spans="1:11" x14ac:dyDescent="0.2">
      <c r="A12" s="12" t="s">
        <v>442</v>
      </c>
      <c r="B12" s="3"/>
      <c r="C12" s="3"/>
      <c r="D12" s="3"/>
      <c r="E12" s="3"/>
      <c r="F12" s="3"/>
      <c r="G12" s="3"/>
      <c r="H12" s="3"/>
      <c r="I12" s="3"/>
      <c r="J12" s="3"/>
      <c r="K12" s="3"/>
    </row>
    <row r="13" spans="1:11" x14ac:dyDescent="0.2">
      <c r="A13" s="12" t="s">
        <v>443</v>
      </c>
      <c r="B13" s="3"/>
      <c r="C13" s="3"/>
      <c r="D13" s="3"/>
      <c r="E13" s="3"/>
      <c r="F13" s="3"/>
      <c r="G13" s="3"/>
      <c r="H13" s="3"/>
      <c r="I13" s="3"/>
      <c r="J13" s="3"/>
      <c r="K13" s="3"/>
    </row>
    <row r="14" spans="1:11" x14ac:dyDescent="0.2">
      <c r="A14" s="12" t="s">
        <v>444</v>
      </c>
      <c r="B14" s="3"/>
      <c r="C14" s="3"/>
      <c r="D14" s="3"/>
      <c r="E14" s="3"/>
      <c r="F14" s="3"/>
      <c r="G14" s="3"/>
      <c r="H14" s="3"/>
      <c r="I14" s="3"/>
      <c r="J14" s="3"/>
      <c r="K14" s="3"/>
    </row>
    <row r="15" spans="1:11" x14ac:dyDescent="0.2">
      <c r="A15" s="12" t="s">
        <v>445</v>
      </c>
      <c r="B15" s="3"/>
      <c r="C15" s="3"/>
      <c r="D15" s="3"/>
      <c r="E15" s="3"/>
      <c r="F15" s="3"/>
      <c r="G15" s="3"/>
      <c r="H15" s="3"/>
      <c r="I15" s="3"/>
      <c r="J15" s="3"/>
      <c r="K15" s="3"/>
    </row>
    <row r="16" spans="1:11" x14ac:dyDescent="0.2">
      <c r="A16" s="12" t="s">
        <v>446</v>
      </c>
      <c r="B16" s="3"/>
      <c r="C16" s="3"/>
      <c r="D16" s="3"/>
      <c r="E16" s="3"/>
      <c r="F16" s="3"/>
      <c r="G16" s="3"/>
      <c r="H16" s="3"/>
      <c r="I16" s="3"/>
      <c r="J16" s="3"/>
      <c r="K16" s="3"/>
    </row>
    <row r="17" spans="1:11" x14ac:dyDescent="0.2">
      <c r="A17" s="12" t="s">
        <v>447</v>
      </c>
      <c r="B17" s="3"/>
      <c r="C17" s="3"/>
      <c r="D17" s="3"/>
      <c r="E17" s="3"/>
      <c r="F17" s="3"/>
      <c r="G17" s="3"/>
      <c r="H17" s="3"/>
      <c r="I17" s="3"/>
      <c r="J17" s="3"/>
      <c r="K17" s="3"/>
    </row>
    <row r="18" spans="1:11" x14ac:dyDescent="0.2">
      <c r="A18" s="12" t="s">
        <v>448</v>
      </c>
      <c r="B18" s="3"/>
      <c r="C18" s="3"/>
      <c r="D18" s="3"/>
      <c r="E18" s="3"/>
      <c r="F18" s="3"/>
      <c r="G18" s="3"/>
      <c r="H18" s="3"/>
      <c r="I18" s="3"/>
      <c r="J18" s="3"/>
      <c r="K18" s="3"/>
    </row>
    <row r="19" spans="1:11" x14ac:dyDescent="0.2">
      <c r="A19" s="12" t="s">
        <v>449</v>
      </c>
      <c r="B19" s="3"/>
      <c r="C19" s="3"/>
      <c r="D19" s="3"/>
      <c r="E19" s="3"/>
      <c r="F19" s="3"/>
      <c r="G19" s="3"/>
      <c r="H19" s="3"/>
      <c r="I19" s="3"/>
      <c r="J19" s="3"/>
      <c r="K19" s="3"/>
    </row>
    <row r="20" spans="1:11" x14ac:dyDescent="0.2">
      <c r="A20" s="12" t="s">
        <v>450</v>
      </c>
      <c r="B20" s="3"/>
      <c r="C20" s="3"/>
      <c r="D20" s="3"/>
      <c r="E20" s="3"/>
      <c r="F20" s="3"/>
      <c r="G20" s="3"/>
      <c r="H20" s="3"/>
      <c r="I20" s="3"/>
      <c r="J20" s="3"/>
      <c r="K20" s="3"/>
    </row>
    <row r="21" spans="1:11" x14ac:dyDescent="0.2">
      <c r="A21" s="12" t="s">
        <v>451</v>
      </c>
      <c r="B21" s="3"/>
      <c r="C21" s="3"/>
      <c r="D21" s="3"/>
      <c r="E21" s="3"/>
      <c r="F21" s="3"/>
      <c r="G21" s="3"/>
      <c r="H21" s="3"/>
      <c r="I21" s="3"/>
      <c r="J21" s="3"/>
      <c r="K21" s="3"/>
    </row>
    <row r="22" spans="1:11" x14ac:dyDescent="0.2">
      <c r="A22" s="12" t="s">
        <v>452</v>
      </c>
      <c r="B22" s="3"/>
      <c r="C22" s="3"/>
      <c r="D22" s="3"/>
      <c r="E22" s="3"/>
      <c r="F22" s="3"/>
      <c r="G22" s="3"/>
      <c r="H22" s="3"/>
      <c r="I22" s="3"/>
      <c r="J22" s="3"/>
      <c r="K22" s="3"/>
    </row>
    <row r="23" spans="1:11" x14ac:dyDescent="0.2">
      <c r="A23" s="12" t="s">
        <v>453</v>
      </c>
      <c r="B23" s="3"/>
      <c r="C23" s="3"/>
      <c r="D23" s="3"/>
      <c r="E23" s="3"/>
      <c r="F23" s="3"/>
      <c r="G23" s="3"/>
      <c r="H23" s="3"/>
      <c r="I23" s="3"/>
      <c r="J23" s="3"/>
      <c r="K23" s="3"/>
    </row>
    <row r="24" spans="1:11" x14ac:dyDescent="0.2">
      <c r="A24" s="12" t="s">
        <v>454</v>
      </c>
      <c r="B24" s="3"/>
      <c r="C24" s="3"/>
      <c r="D24" s="3"/>
      <c r="E24" s="3"/>
      <c r="F24" s="3"/>
      <c r="G24" s="3"/>
      <c r="H24" s="3"/>
      <c r="I24" s="3"/>
      <c r="J24" s="3"/>
      <c r="K24" s="3"/>
    </row>
    <row r="27" spans="1:11" x14ac:dyDescent="0.2">
      <c r="A27" s="28" t="s">
        <v>455</v>
      </c>
      <c r="B27" s="25"/>
      <c r="C27" s="25"/>
      <c r="D27" s="25"/>
      <c r="E27" s="25"/>
      <c r="F27" s="25"/>
      <c r="G27" s="25"/>
      <c r="H27" s="25"/>
      <c r="I27" s="25"/>
      <c r="J27" s="25"/>
      <c r="K27" s="25"/>
    </row>
    <row r="28" spans="1:11" x14ac:dyDescent="0.2">
      <c r="A28" s="5" t="s">
        <v>428</v>
      </c>
      <c r="B28" s="5" t="s">
        <v>456</v>
      </c>
      <c r="C28" s="5" t="s">
        <v>457</v>
      </c>
    </row>
    <row r="29" spans="1:11" x14ac:dyDescent="0.2">
      <c r="A29" s="2" t="s">
        <v>458</v>
      </c>
      <c r="B29" s="16">
        <f>COUNTIFS(C5:C24,"Full Exemption",J5:J24,"Active")</f>
        <v>0</v>
      </c>
      <c r="C29" s="22">
        <f>COUNTIFS(C5:C24,"Full Exemption",J5:J24,"Expired")</f>
        <v>0</v>
      </c>
    </row>
    <row r="30" spans="1:11" x14ac:dyDescent="0.2">
      <c r="A30" s="2" t="s">
        <v>459</v>
      </c>
      <c r="B30" s="16">
        <f>COUNTIFS(C5:C24,"Partial Exemption",J5:J24,"Active")</f>
        <v>0</v>
      </c>
      <c r="C30" s="22">
        <f>COUNTIFS(C5:C24,"Partial Exemption",J5:J24,"Expired")</f>
        <v>0</v>
      </c>
    </row>
    <row r="31" spans="1:11" x14ac:dyDescent="0.2">
      <c r="A31" s="2" t="s">
        <v>460</v>
      </c>
      <c r="B31" s="16">
        <f>COUNTIFS(C5:C24,"Temporary Exemption",J5:J24,"Active")</f>
        <v>0</v>
      </c>
      <c r="C31" s="22">
        <f>COUNTIFS(C5:C24,"Temporary Exemption",J5:J24,"Expired")</f>
        <v>0</v>
      </c>
    </row>
    <row r="32" spans="1:11" x14ac:dyDescent="0.2">
      <c r="A32" s="2" t="s">
        <v>461</v>
      </c>
      <c r="B32" s="16">
        <f>COUNTIFS(C5:C24,"Category Exemption",J5:J24,"Active")</f>
        <v>0</v>
      </c>
      <c r="C32" s="22">
        <f>COUNTIFS(C5:C24,"Category Exemption",J5:J24,"Expired")</f>
        <v>0</v>
      </c>
    </row>
    <row r="33" spans="1:11" x14ac:dyDescent="0.2">
      <c r="A33" s="2" t="s">
        <v>462</v>
      </c>
      <c r="B33" s="16">
        <f>COUNTIFS(C5:C24,"Technical Exemption",J5:J24,"Active")</f>
        <v>0</v>
      </c>
      <c r="C33" s="22">
        <f>COUNTIFS(C5:C24,"Technical Exemption",J5:J24,"Expired")</f>
        <v>0</v>
      </c>
    </row>
    <row r="36" spans="1:11" x14ac:dyDescent="0.2">
      <c r="A36" s="29" t="s">
        <v>463</v>
      </c>
      <c r="B36" s="25"/>
      <c r="C36" s="25"/>
      <c r="D36" s="25"/>
      <c r="E36" s="25"/>
      <c r="F36" s="25"/>
      <c r="G36" s="25"/>
      <c r="H36" s="25"/>
      <c r="I36" s="25"/>
      <c r="J36" s="25"/>
      <c r="K36" s="25"/>
    </row>
  </sheetData>
  <mergeCells count="4">
    <mergeCell ref="A2:K2"/>
    <mergeCell ref="A1:K1"/>
    <mergeCell ref="A27:K27"/>
    <mergeCell ref="A36:K36"/>
  </mergeCells>
  <dataValidations count="2">
    <dataValidation type="list" sqref="C5 C6 C7 C8 C9 C10 C11 C12 C13 C14 C15 C16 C17 C18 C19 C20 C21 C22 C23 C24" xr:uid="{00000000-0002-0000-0500-000000000000}">
      <formula1>"Full Exemption,Partial Exemption,Temporary Exemption,Category Exemption,Technical Exemption"</formula1>
    </dataValidation>
    <dataValidation type="list" sqref="J5 J6 J7 J8 J9 J10 J11 J12 J13 J14 J15 J16 J17 J18 J19 J20 J21 J22 J23 J24" xr:uid="{00000000-0002-0000-0500-000001000000}">
      <formula1>"Active,Expired,Revoked,Under Review"</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workbookViewId="0">
      <pane ySplit="4" topLeftCell="A5" activePane="bottomLeft" state="frozen"/>
      <selection pane="bottomLeft"/>
    </sheetView>
  </sheetViews>
  <sheetFormatPr baseColWidth="10" defaultColWidth="8.83203125" defaultRowHeight="15" x14ac:dyDescent="0.2"/>
  <cols>
    <col min="1" max="1" width="15" customWidth="1"/>
    <col min="2" max="2" width="12" customWidth="1"/>
    <col min="3" max="3" width="25" customWidth="1"/>
    <col min="4" max="4" width="15" customWidth="1"/>
    <col min="5" max="6" width="20" customWidth="1"/>
    <col min="7" max="7" width="30" customWidth="1"/>
    <col min="8" max="8" width="35" customWidth="1"/>
    <col min="9" max="10" width="15" customWidth="1"/>
  </cols>
  <sheetData>
    <row r="1" spans="1:10" ht="30" customHeight="1" x14ac:dyDescent="0.2">
      <c r="A1" s="27" t="s">
        <v>464</v>
      </c>
      <c r="B1" s="25"/>
      <c r="C1" s="25"/>
      <c r="D1" s="25"/>
      <c r="E1" s="25"/>
      <c r="F1" s="25"/>
      <c r="G1" s="25"/>
      <c r="H1" s="25"/>
      <c r="I1" s="25"/>
      <c r="J1" s="25"/>
    </row>
    <row r="2" spans="1:10" x14ac:dyDescent="0.2">
      <c r="A2" s="24" t="s">
        <v>465</v>
      </c>
      <c r="B2" s="25"/>
      <c r="C2" s="25"/>
      <c r="D2" s="25"/>
      <c r="E2" s="25"/>
      <c r="F2" s="25"/>
      <c r="G2" s="25"/>
      <c r="H2" s="25"/>
      <c r="I2" s="25"/>
      <c r="J2" s="25"/>
    </row>
    <row r="4" spans="1:10" ht="16" x14ac:dyDescent="0.2">
      <c r="A4" s="11" t="s">
        <v>466</v>
      </c>
      <c r="B4" s="11" t="s">
        <v>259</v>
      </c>
      <c r="C4" s="11" t="s">
        <v>260</v>
      </c>
      <c r="D4" s="11" t="s">
        <v>467</v>
      </c>
      <c r="E4" s="11" t="s">
        <v>468</v>
      </c>
      <c r="F4" s="11" t="s">
        <v>469</v>
      </c>
      <c r="G4" s="11" t="s">
        <v>470</v>
      </c>
      <c r="H4" s="11" t="s">
        <v>471</v>
      </c>
      <c r="I4" s="11" t="s">
        <v>31</v>
      </c>
      <c r="J4" s="11" t="s">
        <v>472</v>
      </c>
    </row>
    <row r="5" spans="1:10" x14ac:dyDescent="0.2">
      <c r="A5" s="12" t="s">
        <v>473</v>
      </c>
      <c r="B5" s="3"/>
      <c r="C5" s="3"/>
      <c r="D5" s="3"/>
      <c r="E5" s="3"/>
      <c r="F5" s="3"/>
      <c r="G5" s="3"/>
      <c r="H5" s="3"/>
      <c r="I5" s="3"/>
      <c r="J5" s="23" t="str">
        <f t="shared" ref="J5:J36" si="0">IF(D5="","",D5+90)</f>
        <v/>
      </c>
    </row>
    <row r="6" spans="1:10" x14ac:dyDescent="0.2">
      <c r="A6" s="12" t="s">
        <v>474</v>
      </c>
      <c r="B6" s="3"/>
      <c r="C6" s="3"/>
      <c r="D6" s="3"/>
      <c r="E6" s="3"/>
      <c r="F6" s="3"/>
      <c r="G6" s="3"/>
      <c r="H6" s="3"/>
      <c r="I6" s="3"/>
      <c r="J6" s="23" t="str">
        <f t="shared" si="0"/>
        <v/>
      </c>
    </row>
    <row r="7" spans="1:10" x14ac:dyDescent="0.2">
      <c r="A7" s="12" t="s">
        <v>475</v>
      </c>
      <c r="B7" s="3"/>
      <c r="C7" s="3"/>
      <c r="D7" s="3"/>
      <c r="E7" s="3"/>
      <c r="F7" s="3"/>
      <c r="G7" s="3"/>
      <c r="H7" s="3"/>
      <c r="I7" s="3"/>
      <c r="J7" s="23" t="str">
        <f t="shared" si="0"/>
        <v/>
      </c>
    </row>
    <row r="8" spans="1:10" x14ac:dyDescent="0.2">
      <c r="A8" s="12" t="s">
        <v>476</v>
      </c>
      <c r="B8" s="3"/>
      <c r="C8" s="3"/>
      <c r="D8" s="3"/>
      <c r="E8" s="3"/>
      <c r="F8" s="3"/>
      <c r="G8" s="3"/>
      <c r="H8" s="3"/>
      <c r="I8" s="3"/>
      <c r="J8" s="23" t="str">
        <f t="shared" si="0"/>
        <v/>
      </c>
    </row>
    <row r="9" spans="1:10" x14ac:dyDescent="0.2">
      <c r="A9" s="12" t="s">
        <v>477</v>
      </c>
      <c r="B9" s="3"/>
      <c r="C9" s="3"/>
      <c r="D9" s="3"/>
      <c r="E9" s="3"/>
      <c r="F9" s="3"/>
      <c r="G9" s="3"/>
      <c r="H9" s="3"/>
      <c r="I9" s="3"/>
      <c r="J9" s="23" t="str">
        <f t="shared" si="0"/>
        <v/>
      </c>
    </row>
    <row r="10" spans="1:10" x14ac:dyDescent="0.2">
      <c r="A10" s="12" t="s">
        <v>478</v>
      </c>
      <c r="B10" s="3"/>
      <c r="C10" s="3"/>
      <c r="D10" s="3"/>
      <c r="E10" s="3"/>
      <c r="F10" s="3"/>
      <c r="G10" s="3"/>
      <c r="H10" s="3"/>
      <c r="I10" s="3"/>
      <c r="J10" s="23" t="str">
        <f t="shared" si="0"/>
        <v/>
      </c>
    </row>
    <row r="11" spans="1:10" x14ac:dyDescent="0.2">
      <c r="A11" s="12" t="s">
        <v>479</v>
      </c>
      <c r="B11" s="3"/>
      <c r="C11" s="3"/>
      <c r="D11" s="3"/>
      <c r="E11" s="3"/>
      <c r="F11" s="3"/>
      <c r="G11" s="3"/>
      <c r="H11" s="3"/>
      <c r="I11" s="3"/>
      <c r="J11" s="23" t="str">
        <f t="shared" si="0"/>
        <v/>
      </c>
    </row>
    <row r="12" spans="1:10" x14ac:dyDescent="0.2">
      <c r="A12" s="12" t="s">
        <v>480</v>
      </c>
      <c r="B12" s="3"/>
      <c r="C12" s="3"/>
      <c r="D12" s="3"/>
      <c r="E12" s="3"/>
      <c r="F12" s="3"/>
      <c r="G12" s="3"/>
      <c r="H12" s="3"/>
      <c r="I12" s="3"/>
      <c r="J12" s="23" t="str">
        <f t="shared" si="0"/>
        <v/>
      </c>
    </row>
    <row r="13" spans="1:10" x14ac:dyDescent="0.2">
      <c r="A13" s="12" t="s">
        <v>481</v>
      </c>
      <c r="B13" s="3"/>
      <c r="C13" s="3"/>
      <c r="D13" s="3"/>
      <c r="E13" s="3"/>
      <c r="F13" s="3"/>
      <c r="G13" s="3"/>
      <c r="H13" s="3"/>
      <c r="I13" s="3"/>
      <c r="J13" s="23" t="str">
        <f t="shared" si="0"/>
        <v/>
      </c>
    </row>
    <row r="14" spans="1:10" x14ac:dyDescent="0.2">
      <c r="A14" s="12" t="s">
        <v>482</v>
      </c>
      <c r="B14" s="3"/>
      <c r="C14" s="3"/>
      <c r="D14" s="3"/>
      <c r="E14" s="3"/>
      <c r="F14" s="3"/>
      <c r="G14" s="3"/>
      <c r="H14" s="3"/>
      <c r="I14" s="3"/>
      <c r="J14" s="23" t="str">
        <f t="shared" si="0"/>
        <v/>
      </c>
    </row>
    <row r="15" spans="1:10" x14ac:dyDescent="0.2">
      <c r="A15" s="12" t="s">
        <v>483</v>
      </c>
      <c r="B15" s="3"/>
      <c r="C15" s="3"/>
      <c r="D15" s="3"/>
      <c r="E15" s="3"/>
      <c r="F15" s="3"/>
      <c r="G15" s="3"/>
      <c r="H15" s="3"/>
      <c r="I15" s="3"/>
      <c r="J15" s="23" t="str">
        <f t="shared" si="0"/>
        <v/>
      </c>
    </row>
    <row r="16" spans="1:10" x14ac:dyDescent="0.2">
      <c r="A16" s="12" t="s">
        <v>484</v>
      </c>
      <c r="B16" s="3"/>
      <c r="C16" s="3"/>
      <c r="D16" s="3"/>
      <c r="E16" s="3"/>
      <c r="F16" s="3"/>
      <c r="G16" s="3"/>
      <c r="H16" s="3"/>
      <c r="I16" s="3"/>
      <c r="J16" s="23" t="str">
        <f t="shared" si="0"/>
        <v/>
      </c>
    </row>
    <row r="17" spans="1:10" x14ac:dyDescent="0.2">
      <c r="A17" s="12" t="s">
        <v>485</v>
      </c>
      <c r="B17" s="3"/>
      <c r="C17" s="3"/>
      <c r="D17" s="3"/>
      <c r="E17" s="3"/>
      <c r="F17" s="3"/>
      <c r="G17" s="3"/>
      <c r="H17" s="3"/>
      <c r="I17" s="3"/>
      <c r="J17" s="23" t="str">
        <f t="shared" si="0"/>
        <v/>
      </c>
    </row>
    <row r="18" spans="1:10" x14ac:dyDescent="0.2">
      <c r="A18" s="12" t="s">
        <v>486</v>
      </c>
      <c r="B18" s="3"/>
      <c r="C18" s="3"/>
      <c r="D18" s="3"/>
      <c r="E18" s="3"/>
      <c r="F18" s="3"/>
      <c r="G18" s="3"/>
      <c r="H18" s="3"/>
      <c r="I18" s="3"/>
      <c r="J18" s="23" t="str">
        <f t="shared" si="0"/>
        <v/>
      </c>
    </row>
    <row r="19" spans="1:10" x14ac:dyDescent="0.2">
      <c r="A19" s="12" t="s">
        <v>487</v>
      </c>
      <c r="B19" s="3"/>
      <c r="C19" s="3"/>
      <c r="D19" s="3"/>
      <c r="E19" s="3"/>
      <c r="F19" s="3"/>
      <c r="G19" s="3"/>
      <c r="H19" s="3"/>
      <c r="I19" s="3"/>
      <c r="J19" s="23" t="str">
        <f t="shared" si="0"/>
        <v/>
      </c>
    </row>
    <row r="20" spans="1:10" x14ac:dyDescent="0.2">
      <c r="A20" s="12" t="s">
        <v>488</v>
      </c>
      <c r="B20" s="3"/>
      <c r="C20" s="3"/>
      <c r="D20" s="3"/>
      <c r="E20" s="3"/>
      <c r="F20" s="3"/>
      <c r="G20" s="3"/>
      <c r="H20" s="3"/>
      <c r="I20" s="3"/>
      <c r="J20" s="23" t="str">
        <f t="shared" si="0"/>
        <v/>
      </c>
    </row>
    <row r="21" spans="1:10" x14ac:dyDescent="0.2">
      <c r="A21" s="12" t="s">
        <v>489</v>
      </c>
      <c r="B21" s="3"/>
      <c r="C21" s="3"/>
      <c r="D21" s="3"/>
      <c r="E21" s="3"/>
      <c r="F21" s="3"/>
      <c r="G21" s="3"/>
      <c r="H21" s="3"/>
      <c r="I21" s="3"/>
      <c r="J21" s="23" t="str">
        <f t="shared" si="0"/>
        <v/>
      </c>
    </row>
    <row r="22" spans="1:10" x14ac:dyDescent="0.2">
      <c r="A22" s="12" t="s">
        <v>490</v>
      </c>
      <c r="B22" s="3"/>
      <c r="C22" s="3"/>
      <c r="D22" s="3"/>
      <c r="E22" s="3"/>
      <c r="F22" s="3"/>
      <c r="G22" s="3"/>
      <c r="H22" s="3"/>
      <c r="I22" s="3"/>
      <c r="J22" s="23" t="str">
        <f t="shared" si="0"/>
        <v/>
      </c>
    </row>
    <row r="23" spans="1:10" x14ac:dyDescent="0.2">
      <c r="A23" s="12" t="s">
        <v>491</v>
      </c>
      <c r="B23" s="3"/>
      <c r="C23" s="3"/>
      <c r="D23" s="3"/>
      <c r="E23" s="3"/>
      <c r="F23" s="3"/>
      <c r="G23" s="3"/>
      <c r="H23" s="3"/>
      <c r="I23" s="3"/>
      <c r="J23" s="23" t="str">
        <f t="shared" si="0"/>
        <v/>
      </c>
    </row>
    <row r="24" spans="1:10" x14ac:dyDescent="0.2">
      <c r="A24" s="12" t="s">
        <v>492</v>
      </c>
      <c r="B24" s="3"/>
      <c r="C24" s="3"/>
      <c r="D24" s="3"/>
      <c r="E24" s="3"/>
      <c r="F24" s="3"/>
      <c r="G24" s="3"/>
      <c r="H24" s="3"/>
      <c r="I24" s="3"/>
      <c r="J24" s="23" t="str">
        <f t="shared" si="0"/>
        <v/>
      </c>
    </row>
    <row r="25" spans="1:10" x14ac:dyDescent="0.2">
      <c r="A25" s="12" t="s">
        <v>493</v>
      </c>
      <c r="B25" s="3"/>
      <c r="C25" s="3"/>
      <c r="D25" s="3"/>
      <c r="E25" s="3"/>
      <c r="F25" s="3"/>
      <c r="G25" s="3"/>
      <c r="H25" s="3"/>
      <c r="I25" s="3"/>
      <c r="J25" s="23" t="str">
        <f t="shared" si="0"/>
        <v/>
      </c>
    </row>
    <row r="26" spans="1:10" x14ac:dyDescent="0.2">
      <c r="A26" s="12" t="s">
        <v>494</v>
      </c>
      <c r="B26" s="3"/>
      <c r="C26" s="3"/>
      <c r="D26" s="3"/>
      <c r="E26" s="3"/>
      <c r="F26" s="3"/>
      <c r="G26" s="3"/>
      <c r="H26" s="3"/>
      <c r="I26" s="3"/>
      <c r="J26" s="23" t="str">
        <f t="shared" si="0"/>
        <v/>
      </c>
    </row>
    <row r="27" spans="1:10" x14ac:dyDescent="0.2">
      <c r="A27" s="12" t="s">
        <v>495</v>
      </c>
      <c r="B27" s="3"/>
      <c r="C27" s="3"/>
      <c r="D27" s="3"/>
      <c r="E27" s="3"/>
      <c r="F27" s="3"/>
      <c r="G27" s="3"/>
      <c r="H27" s="3"/>
      <c r="I27" s="3"/>
      <c r="J27" s="23" t="str">
        <f t="shared" si="0"/>
        <v/>
      </c>
    </row>
    <row r="28" spans="1:10" x14ac:dyDescent="0.2">
      <c r="A28" s="12" t="s">
        <v>496</v>
      </c>
      <c r="B28" s="3"/>
      <c r="C28" s="3"/>
      <c r="D28" s="3"/>
      <c r="E28" s="3"/>
      <c r="F28" s="3"/>
      <c r="G28" s="3"/>
      <c r="H28" s="3"/>
      <c r="I28" s="3"/>
      <c r="J28" s="23" t="str">
        <f t="shared" si="0"/>
        <v/>
      </c>
    </row>
    <row r="29" spans="1:10" x14ac:dyDescent="0.2">
      <c r="A29" s="12" t="s">
        <v>497</v>
      </c>
      <c r="B29" s="3"/>
      <c r="C29" s="3"/>
      <c r="D29" s="3"/>
      <c r="E29" s="3"/>
      <c r="F29" s="3"/>
      <c r="G29" s="3"/>
      <c r="H29" s="3"/>
      <c r="I29" s="3"/>
      <c r="J29" s="23" t="str">
        <f t="shared" si="0"/>
        <v/>
      </c>
    </row>
    <row r="30" spans="1:10" x14ac:dyDescent="0.2">
      <c r="A30" s="12" t="s">
        <v>498</v>
      </c>
      <c r="B30" s="3"/>
      <c r="C30" s="3"/>
      <c r="D30" s="3"/>
      <c r="E30" s="3"/>
      <c r="F30" s="3"/>
      <c r="G30" s="3"/>
      <c r="H30" s="3"/>
      <c r="I30" s="3"/>
      <c r="J30" s="23" t="str">
        <f t="shared" si="0"/>
        <v/>
      </c>
    </row>
    <row r="31" spans="1:10" x14ac:dyDescent="0.2">
      <c r="A31" s="12" t="s">
        <v>499</v>
      </c>
      <c r="B31" s="3"/>
      <c r="C31" s="3"/>
      <c r="D31" s="3"/>
      <c r="E31" s="3"/>
      <c r="F31" s="3"/>
      <c r="G31" s="3"/>
      <c r="H31" s="3"/>
      <c r="I31" s="3"/>
      <c r="J31" s="23" t="str">
        <f t="shared" si="0"/>
        <v/>
      </c>
    </row>
    <row r="32" spans="1:10" x14ac:dyDescent="0.2">
      <c r="A32" s="12" t="s">
        <v>500</v>
      </c>
      <c r="B32" s="3"/>
      <c r="C32" s="3"/>
      <c r="D32" s="3"/>
      <c r="E32" s="3"/>
      <c r="F32" s="3"/>
      <c r="G32" s="3"/>
      <c r="H32" s="3"/>
      <c r="I32" s="3"/>
      <c r="J32" s="23" t="str">
        <f t="shared" si="0"/>
        <v/>
      </c>
    </row>
    <row r="33" spans="1:10" x14ac:dyDescent="0.2">
      <c r="A33" s="12" t="s">
        <v>501</v>
      </c>
      <c r="B33" s="3"/>
      <c r="C33" s="3"/>
      <c r="D33" s="3"/>
      <c r="E33" s="3"/>
      <c r="F33" s="3"/>
      <c r="G33" s="3"/>
      <c r="H33" s="3"/>
      <c r="I33" s="3"/>
      <c r="J33" s="23" t="str">
        <f t="shared" si="0"/>
        <v/>
      </c>
    </row>
    <row r="34" spans="1:10" x14ac:dyDescent="0.2">
      <c r="A34" s="12" t="s">
        <v>502</v>
      </c>
      <c r="B34" s="3"/>
      <c r="C34" s="3"/>
      <c r="D34" s="3"/>
      <c r="E34" s="3"/>
      <c r="F34" s="3"/>
      <c r="G34" s="3"/>
      <c r="H34" s="3"/>
      <c r="I34" s="3"/>
      <c r="J34" s="23" t="str">
        <f t="shared" si="0"/>
        <v/>
      </c>
    </row>
    <row r="35" spans="1:10" x14ac:dyDescent="0.2">
      <c r="A35" s="12" t="s">
        <v>503</v>
      </c>
      <c r="B35" s="3"/>
      <c r="C35" s="3"/>
      <c r="D35" s="3"/>
      <c r="E35" s="3"/>
      <c r="F35" s="3"/>
      <c r="G35" s="3"/>
      <c r="H35" s="3"/>
      <c r="I35" s="3"/>
      <c r="J35" s="23" t="str">
        <f t="shared" si="0"/>
        <v/>
      </c>
    </row>
    <row r="36" spans="1:10" x14ac:dyDescent="0.2">
      <c r="A36" s="12" t="s">
        <v>504</v>
      </c>
      <c r="B36" s="3"/>
      <c r="C36" s="3"/>
      <c r="D36" s="3"/>
      <c r="E36" s="3"/>
      <c r="F36" s="3"/>
      <c r="G36" s="3"/>
      <c r="H36" s="3"/>
      <c r="I36" s="3"/>
      <c r="J36" s="23" t="str">
        <f t="shared" si="0"/>
        <v/>
      </c>
    </row>
    <row r="37" spans="1:10" x14ac:dyDescent="0.2">
      <c r="A37" s="12" t="s">
        <v>505</v>
      </c>
      <c r="B37" s="3"/>
      <c r="C37" s="3"/>
      <c r="D37" s="3"/>
      <c r="E37" s="3"/>
      <c r="F37" s="3"/>
      <c r="G37" s="3"/>
      <c r="H37" s="3"/>
      <c r="I37" s="3"/>
      <c r="J37" s="23" t="str">
        <f t="shared" ref="J37:J54" si="1">IF(D37="","",D37+90)</f>
        <v/>
      </c>
    </row>
    <row r="38" spans="1:10" x14ac:dyDescent="0.2">
      <c r="A38" s="12" t="s">
        <v>506</v>
      </c>
      <c r="B38" s="3"/>
      <c r="C38" s="3"/>
      <c r="D38" s="3"/>
      <c r="E38" s="3"/>
      <c r="F38" s="3"/>
      <c r="G38" s="3"/>
      <c r="H38" s="3"/>
      <c r="I38" s="3"/>
      <c r="J38" s="23" t="str">
        <f t="shared" si="1"/>
        <v/>
      </c>
    </row>
    <row r="39" spans="1:10" x14ac:dyDescent="0.2">
      <c r="A39" s="12" t="s">
        <v>507</v>
      </c>
      <c r="B39" s="3"/>
      <c r="C39" s="3"/>
      <c r="D39" s="3"/>
      <c r="E39" s="3"/>
      <c r="F39" s="3"/>
      <c r="G39" s="3"/>
      <c r="H39" s="3"/>
      <c r="I39" s="3"/>
      <c r="J39" s="23" t="str">
        <f t="shared" si="1"/>
        <v/>
      </c>
    </row>
    <row r="40" spans="1:10" x14ac:dyDescent="0.2">
      <c r="A40" s="12" t="s">
        <v>508</v>
      </c>
      <c r="B40" s="3"/>
      <c r="C40" s="3"/>
      <c r="D40" s="3"/>
      <c r="E40" s="3"/>
      <c r="F40" s="3"/>
      <c r="G40" s="3"/>
      <c r="H40" s="3"/>
      <c r="I40" s="3"/>
      <c r="J40" s="23" t="str">
        <f t="shared" si="1"/>
        <v/>
      </c>
    </row>
    <row r="41" spans="1:10" x14ac:dyDescent="0.2">
      <c r="A41" s="12" t="s">
        <v>509</v>
      </c>
      <c r="B41" s="3"/>
      <c r="C41" s="3"/>
      <c r="D41" s="3"/>
      <c r="E41" s="3"/>
      <c r="F41" s="3"/>
      <c r="G41" s="3"/>
      <c r="H41" s="3"/>
      <c r="I41" s="3"/>
      <c r="J41" s="23" t="str">
        <f t="shared" si="1"/>
        <v/>
      </c>
    </row>
    <row r="42" spans="1:10" x14ac:dyDescent="0.2">
      <c r="A42" s="12" t="s">
        <v>510</v>
      </c>
      <c r="B42" s="3"/>
      <c r="C42" s="3"/>
      <c r="D42" s="3"/>
      <c r="E42" s="3"/>
      <c r="F42" s="3"/>
      <c r="G42" s="3"/>
      <c r="H42" s="3"/>
      <c r="I42" s="3"/>
      <c r="J42" s="23" t="str">
        <f t="shared" si="1"/>
        <v/>
      </c>
    </row>
    <row r="43" spans="1:10" x14ac:dyDescent="0.2">
      <c r="A43" s="12" t="s">
        <v>511</v>
      </c>
      <c r="B43" s="3"/>
      <c r="C43" s="3"/>
      <c r="D43" s="3"/>
      <c r="E43" s="3"/>
      <c r="F43" s="3"/>
      <c r="G43" s="3"/>
      <c r="H43" s="3"/>
      <c r="I43" s="3"/>
      <c r="J43" s="23" t="str">
        <f t="shared" si="1"/>
        <v/>
      </c>
    </row>
    <row r="44" spans="1:10" x14ac:dyDescent="0.2">
      <c r="A44" s="12" t="s">
        <v>512</v>
      </c>
      <c r="B44" s="3"/>
      <c r="C44" s="3"/>
      <c r="D44" s="3"/>
      <c r="E44" s="3"/>
      <c r="F44" s="3"/>
      <c r="G44" s="3"/>
      <c r="H44" s="3"/>
      <c r="I44" s="3"/>
      <c r="J44" s="23" t="str">
        <f t="shared" si="1"/>
        <v/>
      </c>
    </row>
    <row r="45" spans="1:10" x14ac:dyDescent="0.2">
      <c r="A45" s="12" t="s">
        <v>513</v>
      </c>
      <c r="B45" s="3"/>
      <c r="C45" s="3"/>
      <c r="D45" s="3"/>
      <c r="E45" s="3"/>
      <c r="F45" s="3"/>
      <c r="G45" s="3"/>
      <c r="H45" s="3"/>
      <c r="I45" s="3"/>
      <c r="J45" s="23" t="str">
        <f t="shared" si="1"/>
        <v/>
      </c>
    </row>
    <row r="46" spans="1:10" x14ac:dyDescent="0.2">
      <c r="A46" s="12" t="s">
        <v>514</v>
      </c>
      <c r="B46" s="3"/>
      <c r="C46" s="3"/>
      <c r="D46" s="3"/>
      <c r="E46" s="3"/>
      <c r="F46" s="3"/>
      <c r="G46" s="3"/>
      <c r="H46" s="3"/>
      <c r="I46" s="3"/>
      <c r="J46" s="23" t="str">
        <f t="shared" si="1"/>
        <v/>
      </c>
    </row>
    <row r="47" spans="1:10" x14ac:dyDescent="0.2">
      <c r="A47" s="12" t="s">
        <v>515</v>
      </c>
      <c r="B47" s="3"/>
      <c r="C47" s="3"/>
      <c r="D47" s="3"/>
      <c r="E47" s="3"/>
      <c r="F47" s="3"/>
      <c r="G47" s="3"/>
      <c r="H47" s="3"/>
      <c r="I47" s="3"/>
      <c r="J47" s="23" t="str">
        <f t="shared" si="1"/>
        <v/>
      </c>
    </row>
    <row r="48" spans="1:10" x14ac:dyDescent="0.2">
      <c r="A48" s="12" t="s">
        <v>516</v>
      </c>
      <c r="B48" s="3"/>
      <c r="C48" s="3"/>
      <c r="D48" s="3"/>
      <c r="E48" s="3"/>
      <c r="F48" s="3"/>
      <c r="G48" s="3"/>
      <c r="H48" s="3"/>
      <c r="I48" s="3"/>
      <c r="J48" s="23" t="str">
        <f t="shared" si="1"/>
        <v/>
      </c>
    </row>
    <row r="49" spans="1:10" x14ac:dyDescent="0.2">
      <c r="A49" s="12" t="s">
        <v>517</v>
      </c>
      <c r="B49" s="3"/>
      <c r="C49" s="3"/>
      <c r="D49" s="3"/>
      <c r="E49" s="3"/>
      <c r="F49" s="3"/>
      <c r="G49" s="3"/>
      <c r="H49" s="3"/>
      <c r="I49" s="3"/>
      <c r="J49" s="23" t="str">
        <f t="shared" si="1"/>
        <v/>
      </c>
    </row>
    <row r="50" spans="1:10" x14ac:dyDescent="0.2">
      <c r="A50" s="12" t="s">
        <v>518</v>
      </c>
      <c r="B50" s="3"/>
      <c r="C50" s="3"/>
      <c r="D50" s="3"/>
      <c r="E50" s="3"/>
      <c r="F50" s="3"/>
      <c r="G50" s="3"/>
      <c r="H50" s="3"/>
      <c r="I50" s="3"/>
      <c r="J50" s="23" t="str">
        <f t="shared" si="1"/>
        <v/>
      </c>
    </row>
    <row r="51" spans="1:10" x14ac:dyDescent="0.2">
      <c r="A51" s="12" t="s">
        <v>519</v>
      </c>
      <c r="B51" s="3"/>
      <c r="C51" s="3"/>
      <c r="D51" s="3"/>
      <c r="E51" s="3"/>
      <c r="F51" s="3"/>
      <c r="G51" s="3"/>
      <c r="H51" s="3"/>
      <c r="I51" s="3"/>
      <c r="J51" s="23" t="str">
        <f t="shared" si="1"/>
        <v/>
      </c>
    </row>
    <row r="52" spans="1:10" x14ac:dyDescent="0.2">
      <c r="A52" s="12" t="s">
        <v>520</v>
      </c>
      <c r="B52" s="3"/>
      <c r="C52" s="3"/>
      <c r="D52" s="3"/>
      <c r="E52" s="3"/>
      <c r="F52" s="3"/>
      <c r="G52" s="3"/>
      <c r="H52" s="3"/>
      <c r="I52" s="3"/>
      <c r="J52" s="23" t="str">
        <f t="shared" si="1"/>
        <v/>
      </c>
    </row>
    <row r="53" spans="1:10" x14ac:dyDescent="0.2">
      <c r="A53" s="12" t="s">
        <v>521</v>
      </c>
      <c r="B53" s="3"/>
      <c r="C53" s="3"/>
      <c r="D53" s="3"/>
      <c r="E53" s="3"/>
      <c r="F53" s="3"/>
      <c r="G53" s="3"/>
      <c r="H53" s="3"/>
      <c r="I53" s="3"/>
      <c r="J53" s="23" t="str">
        <f t="shared" si="1"/>
        <v/>
      </c>
    </row>
    <row r="54" spans="1:10" x14ac:dyDescent="0.2">
      <c r="A54" s="12" t="s">
        <v>522</v>
      </c>
      <c r="B54" s="3"/>
      <c r="C54" s="3"/>
      <c r="D54" s="3"/>
      <c r="E54" s="3"/>
      <c r="F54" s="3"/>
      <c r="G54" s="3"/>
      <c r="H54" s="3"/>
      <c r="I54" s="3"/>
      <c r="J54" s="23" t="str">
        <f t="shared" si="1"/>
        <v/>
      </c>
    </row>
    <row r="57" spans="1:10" x14ac:dyDescent="0.2">
      <c r="A57" s="28" t="s">
        <v>523</v>
      </c>
      <c r="B57" s="25"/>
      <c r="C57" s="25"/>
      <c r="D57" s="25"/>
      <c r="E57" s="25"/>
      <c r="F57" s="25"/>
      <c r="G57" s="25"/>
      <c r="H57" s="25"/>
      <c r="I57" s="25"/>
      <c r="J57" s="25"/>
    </row>
    <row r="58" spans="1:10" ht="20" customHeight="1" x14ac:dyDescent="0.2">
      <c r="A58" s="4" t="s">
        <v>524</v>
      </c>
    </row>
    <row r="59" spans="1:10" ht="20" customHeight="1" x14ac:dyDescent="0.2">
      <c r="A59" s="4" t="s">
        <v>525</v>
      </c>
    </row>
    <row r="60" spans="1:10" ht="20" customHeight="1" x14ac:dyDescent="0.2">
      <c r="A60" s="4" t="s">
        <v>526</v>
      </c>
    </row>
    <row r="61" spans="1:10" ht="20" customHeight="1" x14ac:dyDescent="0.2">
      <c r="A61" s="4" t="s">
        <v>527</v>
      </c>
    </row>
    <row r="62" spans="1:10" ht="20" customHeight="1" x14ac:dyDescent="0.2">
      <c r="A62" s="4" t="s">
        <v>528</v>
      </c>
    </row>
    <row r="63" spans="1:10" ht="20" customHeight="1" x14ac:dyDescent="0.2">
      <c r="A63" s="4" t="s">
        <v>529</v>
      </c>
    </row>
    <row r="64" spans="1:10" ht="20" customHeight="1" x14ac:dyDescent="0.2">
      <c r="A64" s="4" t="s">
        <v>530</v>
      </c>
    </row>
    <row r="65" spans="1:1" ht="20" customHeight="1" x14ac:dyDescent="0.2">
      <c r="A65" s="4" t="s">
        <v>531</v>
      </c>
    </row>
  </sheetData>
  <mergeCells count="3">
    <mergeCell ref="A1:J1"/>
    <mergeCell ref="A57:J57"/>
    <mergeCell ref="A2:J2"/>
  </mergeCells>
  <dataValidations count="2">
    <dataValidation type="list" sqref="F5 F6 F7 F8 F9 F10 F11 F12 F13 F14 F15 F16 F17 F18 F19 F20 F21 F22 F23 F24 F25 F26 F27 F28 F29 F30 F31 F32 F33 F34 F35 F36 F37 F38 F39 F40 F41 F42 F43 F44 F45 F46 F47 F48 F49 F50 F51 F52 F53 F54" xr:uid="{00000000-0002-0000-0600-000000000000}">
      <formula1>"Manual Browse Test,Automated Scan,Curl/wget Test,Browser Extension,Vendor Tool,Penetration Test,Other"</formula1>
    </dataValidation>
    <dataValidation type="list" sqref="I5 I6 I7 I8 I9 I10 I11 I12 I13 I14 I15 I16 I17 I18 I19 I20 I21 I22 I23 I24 I25 I26 I27 I28 I29 I30 I31 I32 I33 I34 I35 I36 I37 I38 I39 I40 I41 I42 I43 I44 I45 I46 I47 I48 I49 I50 I51 I52 I53 I54" xr:uid="{00000000-0002-0000-0600-000001000000}">
      <formula1>"✅ Verified,❌ Failed,⚠️ Needs Retest"</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4"/>
  <sheetViews>
    <sheetView workbookViewId="0">
      <pane ySplit="4" topLeftCell="A5" activePane="bottomLeft" state="frozen"/>
      <selection pane="bottomLeft"/>
    </sheetView>
  </sheetViews>
  <sheetFormatPr baseColWidth="10" defaultColWidth="8.83203125" defaultRowHeight="15" x14ac:dyDescent="0.2"/>
  <cols>
    <col min="1" max="1" width="12" customWidth="1"/>
    <col min="2" max="2" width="20" customWidth="1"/>
    <col min="3" max="3" width="40" customWidth="1"/>
    <col min="4" max="4" width="20" customWidth="1"/>
    <col min="5" max="5" width="50" customWidth="1"/>
    <col min="6" max="6" width="15" customWidth="1"/>
    <col min="7" max="7" width="20" customWidth="1"/>
    <col min="8" max="8" width="18" customWidth="1"/>
  </cols>
  <sheetData>
    <row r="1" spans="1:8" ht="30" customHeight="1" x14ac:dyDescent="0.2">
      <c r="A1" s="27" t="s">
        <v>532</v>
      </c>
      <c r="B1" s="25"/>
      <c r="C1" s="25"/>
      <c r="D1" s="25"/>
      <c r="E1" s="25"/>
      <c r="F1" s="25"/>
      <c r="G1" s="25"/>
      <c r="H1" s="25"/>
    </row>
    <row r="2" spans="1:8" x14ac:dyDescent="0.2">
      <c r="A2" s="24" t="s">
        <v>533</v>
      </c>
      <c r="B2" s="25"/>
      <c r="C2" s="25"/>
      <c r="D2" s="25"/>
      <c r="E2" s="25"/>
      <c r="F2" s="25"/>
      <c r="G2" s="25"/>
      <c r="H2" s="25"/>
    </row>
    <row r="4" spans="1:8" ht="16" x14ac:dyDescent="0.2">
      <c r="A4" s="11" t="s">
        <v>534</v>
      </c>
      <c r="B4" s="11" t="s">
        <v>535</v>
      </c>
      <c r="C4" s="11" t="s">
        <v>32</v>
      </c>
      <c r="D4" s="11" t="s">
        <v>536</v>
      </c>
      <c r="E4" s="11" t="s">
        <v>537</v>
      </c>
      <c r="F4" s="11" t="s">
        <v>538</v>
      </c>
      <c r="G4" s="11" t="s">
        <v>539</v>
      </c>
      <c r="H4" s="11" t="s">
        <v>540</v>
      </c>
    </row>
    <row r="5" spans="1:8" x14ac:dyDescent="0.2">
      <c r="A5" s="12" t="s">
        <v>541</v>
      </c>
      <c r="B5" s="3"/>
      <c r="C5" s="3"/>
      <c r="D5" s="3"/>
      <c r="E5" s="3"/>
      <c r="F5" s="3"/>
      <c r="G5" s="3"/>
      <c r="H5" s="3"/>
    </row>
    <row r="6" spans="1:8" x14ac:dyDescent="0.2">
      <c r="A6" s="12" t="s">
        <v>542</v>
      </c>
      <c r="B6" s="3"/>
      <c r="C6" s="3"/>
      <c r="D6" s="3"/>
      <c r="E6" s="3"/>
      <c r="F6" s="3"/>
      <c r="G6" s="3"/>
      <c r="H6" s="3"/>
    </row>
    <row r="7" spans="1:8" x14ac:dyDescent="0.2">
      <c r="A7" s="12" t="s">
        <v>543</v>
      </c>
      <c r="B7" s="3"/>
      <c r="C7" s="3"/>
      <c r="D7" s="3"/>
      <c r="E7" s="3"/>
      <c r="F7" s="3"/>
      <c r="G7" s="3"/>
      <c r="H7" s="3"/>
    </row>
    <row r="8" spans="1:8" x14ac:dyDescent="0.2">
      <c r="A8" s="12" t="s">
        <v>544</v>
      </c>
      <c r="B8" s="3"/>
      <c r="C8" s="3"/>
      <c r="D8" s="3"/>
      <c r="E8" s="3"/>
      <c r="F8" s="3"/>
      <c r="G8" s="3"/>
      <c r="H8" s="3"/>
    </row>
    <row r="9" spans="1:8" x14ac:dyDescent="0.2">
      <c r="A9" s="12" t="s">
        <v>545</v>
      </c>
      <c r="B9" s="3"/>
      <c r="C9" s="3"/>
      <c r="D9" s="3"/>
      <c r="E9" s="3"/>
      <c r="F9" s="3"/>
      <c r="G9" s="3"/>
      <c r="H9" s="3"/>
    </row>
    <row r="10" spans="1:8" x14ac:dyDescent="0.2">
      <c r="A10" s="12" t="s">
        <v>546</v>
      </c>
      <c r="B10" s="3"/>
      <c r="C10" s="3"/>
      <c r="D10" s="3"/>
      <c r="E10" s="3"/>
      <c r="F10" s="3"/>
      <c r="G10" s="3"/>
      <c r="H10" s="3"/>
    </row>
    <row r="11" spans="1:8" x14ac:dyDescent="0.2">
      <c r="A11" s="12" t="s">
        <v>547</v>
      </c>
      <c r="B11" s="3"/>
      <c r="C11" s="3"/>
      <c r="D11" s="3"/>
      <c r="E11" s="3"/>
      <c r="F11" s="3"/>
      <c r="G11" s="3"/>
      <c r="H11" s="3"/>
    </row>
    <row r="12" spans="1:8" x14ac:dyDescent="0.2">
      <c r="A12" s="12" t="s">
        <v>548</v>
      </c>
      <c r="B12" s="3"/>
      <c r="C12" s="3"/>
      <c r="D12" s="3"/>
      <c r="E12" s="3"/>
      <c r="F12" s="3"/>
      <c r="G12" s="3"/>
      <c r="H12" s="3"/>
    </row>
    <row r="13" spans="1:8" x14ac:dyDescent="0.2">
      <c r="A13" s="12" t="s">
        <v>549</v>
      </c>
      <c r="B13" s="3"/>
      <c r="C13" s="3"/>
      <c r="D13" s="3"/>
      <c r="E13" s="3"/>
      <c r="F13" s="3"/>
      <c r="G13" s="3"/>
      <c r="H13" s="3"/>
    </row>
    <row r="14" spans="1:8" x14ac:dyDescent="0.2">
      <c r="A14" s="12" t="s">
        <v>550</v>
      </c>
      <c r="B14" s="3"/>
      <c r="C14" s="3"/>
      <c r="D14" s="3"/>
      <c r="E14" s="3"/>
      <c r="F14" s="3"/>
      <c r="G14" s="3"/>
      <c r="H14" s="3"/>
    </row>
    <row r="15" spans="1:8" x14ac:dyDescent="0.2">
      <c r="A15" s="12" t="s">
        <v>551</v>
      </c>
      <c r="B15" s="3"/>
      <c r="C15" s="3"/>
      <c r="D15" s="3"/>
      <c r="E15" s="3"/>
      <c r="F15" s="3"/>
      <c r="G15" s="3"/>
      <c r="H15" s="3"/>
    </row>
    <row r="16" spans="1:8" x14ac:dyDescent="0.2">
      <c r="A16" s="12" t="s">
        <v>552</v>
      </c>
      <c r="B16" s="3"/>
      <c r="C16" s="3"/>
      <c r="D16" s="3"/>
      <c r="E16" s="3"/>
      <c r="F16" s="3"/>
      <c r="G16" s="3"/>
      <c r="H16" s="3"/>
    </row>
    <row r="17" spans="1:8" x14ac:dyDescent="0.2">
      <c r="A17" s="12" t="s">
        <v>553</v>
      </c>
      <c r="B17" s="3"/>
      <c r="C17" s="3"/>
      <c r="D17" s="3"/>
      <c r="E17" s="3"/>
      <c r="F17" s="3"/>
      <c r="G17" s="3"/>
      <c r="H17" s="3"/>
    </row>
    <row r="18" spans="1:8" x14ac:dyDescent="0.2">
      <c r="A18" s="12" t="s">
        <v>554</v>
      </c>
      <c r="B18" s="3"/>
      <c r="C18" s="3"/>
      <c r="D18" s="3"/>
      <c r="E18" s="3"/>
      <c r="F18" s="3"/>
      <c r="G18" s="3"/>
      <c r="H18" s="3"/>
    </row>
    <row r="19" spans="1:8" x14ac:dyDescent="0.2">
      <c r="A19" s="12" t="s">
        <v>555</v>
      </c>
      <c r="B19" s="3"/>
      <c r="C19" s="3"/>
      <c r="D19" s="3"/>
      <c r="E19" s="3"/>
      <c r="F19" s="3"/>
      <c r="G19" s="3"/>
      <c r="H19" s="3"/>
    </row>
    <row r="20" spans="1:8" x14ac:dyDescent="0.2">
      <c r="A20" s="12" t="s">
        <v>556</v>
      </c>
      <c r="B20" s="3"/>
      <c r="C20" s="3"/>
      <c r="D20" s="3"/>
      <c r="E20" s="3"/>
      <c r="F20" s="3"/>
      <c r="G20" s="3"/>
      <c r="H20" s="3"/>
    </row>
    <row r="21" spans="1:8" x14ac:dyDescent="0.2">
      <c r="A21" s="12" t="s">
        <v>557</v>
      </c>
      <c r="B21" s="3"/>
      <c r="C21" s="3"/>
      <c r="D21" s="3"/>
      <c r="E21" s="3"/>
      <c r="F21" s="3"/>
      <c r="G21" s="3"/>
      <c r="H21" s="3"/>
    </row>
    <row r="22" spans="1:8" x14ac:dyDescent="0.2">
      <c r="A22" s="12" t="s">
        <v>558</v>
      </c>
      <c r="B22" s="3"/>
      <c r="C22" s="3"/>
      <c r="D22" s="3"/>
      <c r="E22" s="3"/>
      <c r="F22" s="3"/>
      <c r="G22" s="3"/>
      <c r="H22" s="3"/>
    </row>
    <row r="23" spans="1:8" x14ac:dyDescent="0.2">
      <c r="A23" s="12" t="s">
        <v>559</v>
      </c>
      <c r="B23" s="3"/>
      <c r="C23" s="3"/>
      <c r="D23" s="3"/>
      <c r="E23" s="3"/>
      <c r="F23" s="3"/>
      <c r="G23" s="3"/>
      <c r="H23" s="3"/>
    </row>
    <row r="24" spans="1:8" x14ac:dyDescent="0.2">
      <c r="A24" s="12" t="s">
        <v>560</v>
      </c>
      <c r="B24" s="3"/>
      <c r="C24" s="3"/>
      <c r="D24" s="3"/>
      <c r="E24" s="3"/>
      <c r="F24" s="3"/>
      <c r="G24" s="3"/>
      <c r="H24" s="3"/>
    </row>
    <row r="25" spans="1:8" x14ac:dyDescent="0.2">
      <c r="A25" s="12" t="s">
        <v>561</v>
      </c>
      <c r="B25" s="3"/>
      <c r="C25" s="3"/>
      <c r="D25" s="3"/>
      <c r="E25" s="3"/>
      <c r="F25" s="3"/>
      <c r="G25" s="3"/>
      <c r="H25" s="3"/>
    </row>
    <row r="26" spans="1:8" x14ac:dyDescent="0.2">
      <c r="A26" s="12" t="s">
        <v>562</v>
      </c>
      <c r="B26" s="3"/>
      <c r="C26" s="3"/>
      <c r="D26" s="3"/>
      <c r="E26" s="3"/>
      <c r="F26" s="3"/>
      <c r="G26" s="3"/>
      <c r="H26" s="3"/>
    </row>
    <row r="27" spans="1:8" x14ac:dyDescent="0.2">
      <c r="A27" s="12" t="s">
        <v>563</v>
      </c>
      <c r="B27" s="3"/>
      <c r="C27" s="3"/>
      <c r="D27" s="3"/>
      <c r="E27" s="3"/>
      <c r="F27" s="3"/>
      <c r="G27" s="3"/>
      <c r="H27" s="3"/>
    </row>
    <row r="28" spans="1:8" x14ac:dyDescent="0.2">
      <c r="A28" s="12" t="s">
        <v>564</v>
      </c>
      <c r="B28" s="3"/>
      <c r="C28" s="3"/>
      <c r="D28" s="3"/>
      <c r="E28" s="3"/>
      <c r="F28" s="3"/>
      <c r="G28" s="3"/>
      <c r="H28" s="3"/>
    </row>
    <row r="29" spans="1:8" x14ac:dyDescent="0.2">
      <c r="A29" s="12" t="s">
        <v>565</v>
      </c>
      <c r="B29" s="3"/>
      <c r="C29" s="3"/>
      <c r="D29" s="3"/>
      <c r="E29" s="3"/>
      <c r="F29" s="3"/>
      <c r="G29" s="3"/>
      <c r="H29" s="3"/>
    </row>
    <row r="30" spans="1:8" x14ac:dyDescent="0.2">
      <c r="A30" s="12" t="s">
        <v>566</v>
      </c>
      <c r="B30" s="3"/>
      <c r="C30" s="3"/>
      <c r="D30" s="3"/>
      <c r="E30" s="3"/>
      <c r="F30" s="3"/>
      <c r="G30" s="3"/>
      <c r="H30" s="3"/>
    </row>
    <row r="31" spans="1:8" x14ac:dyDescent="0.2">
      <c r="A31" s="12" t="s">
        <v>567</v>
      </c>
      <c r="B31" s="3"/>
      <c r="C31" s="3"/>
      <c r="D31" s="3"/>
      <c r="E31" s="3"/>
      <c r="F31" s="3"/>
      <c r="G31" s="3"/>
      <c r="H31" s="3"/>
    </row>
    <row r="32" spans="1:8" x14ac:dyDescent="0.2">
      <c r="A32" s="12" t="s">
        <v>568</v>
      </c>
      <c r="B32" s="3"/>
      <c r="C32" s="3"/>
      <c r="D32" s="3"/>
      <c r="E32" s="3"/>
      <c r="F32" s="3"/>
      <c r="G32" s="3"/>
      <c r="H32" s="3"/>
    </row>
    <row r="33" spans="1:8" x14ac:dyDescent="0.2">
      <c r="A33" s="12" t="s">
        <v>569</v>
      </c>
      <c r="B33" s="3"/>
      <c r="C33" s="3"/>
      <c r="D33" s="3"/>
      <c r="E33" s="3"/>
      <c r="F33" s="3"/>
      <c r="G33" s="3"/>
      <c r="H33" s="3"/>
    </row>
    <row r="34" spans="1:8" x14ac:dyDescent="0.2">
      <c r="A34" s="12" t="s">
        <v>570</v>
      </c>
      <c r="B34" s="3"/>
      <c r="C34" s="3"/>
      <c r="D34" s="3"/>
      <c r="E34" s="3"/>
      <c r="F34" s="3"/>
      <c r="G34" s="3"/>
      <c r="H34" s="3"/>
    </row>
    <row r="35" spans="1:8" x14ac:dyDescent="0.2">
      <c r="A35" s="12" t="s">
        <v>571</v>
      </c>
      <c r="B35" s="3"/>
      <c r="C35" s="3"/>
      <c r="D35" s="3"/>
      <c r="E35" s="3"/>
      <c r="F35" s="3"/>
      <c r="G35" s="3"/>
      <c r="H35" s="3"/>
    </row>
    <row r="36" spans="1:8" x14ac:dyDescent="0.2">
      <c r="A36" s="12" t="s">
        <v>572</v>
      </c>
      <c r="B36" s="3"/>
      <c r="C36" s="3"/>
      <c r="D36" s="3"/>
      <c r="E36" s="3"/>
      <c r="F36" s="3"/>
      <c r="G36" s="3"/>
      <c r="H36" s="3"/>
    </row>
    <row r="37" spans="1:8" x14ac:dyDescent="0.2">
      <c r="A37" s="12" t="s">
        <v>573</v>
      </c>
      <c r="B37" s="3"/>
      <c r="C37" s="3"/>
      <c r="D37" s="3"/>
      <c r="E37" s="3"/>
      <c r="F37" s="3"/>
      <c r="G37" s="3"/>
      <c r="H37" s="3"/>
    </row>
    <row r="38" spans="1:8" x14ac:dyDescent="0.2">
      <c r="A38" s="12" t="s">
        <v>574</v>
      </c>
      <c r="B38" s="3"/>
      <c r="C38" s="3"/>
      <c r="D38" s="3"/>
      <c r="E38" s="3"/>
      <c r="F38" s="3"/>
      <c r="G38" s="3"/>
      <c r="H38" s="3"/>
    </row>
    <row r="39" spans="1:8" x14ac:dyDescent="0.2">
      <c r="A39" s="12" t="s">
        <v>575</v>
      </c>
      <c r="B39" s="3"/>
      <c r="C39" s="3"/>
      <c r="D39" s="3"/>
      <c r="E39" s="3"/>
      <c r="F39" s="3"/>
      <c r="G39" s="3"/>
      <c r="H39" s="3"/>
    </row>
    <row r="40" spans="1:8" x14ac:dyDescent="0.2">
      <c r="A40" s="12" t="s">
        <v>576</v>
      </c>
      <c r="B40" s="3"/>
      <c r="C40" s="3"/>
      <c r="D40" s="3"/>
      <c r="E40" s="3"/>
      <c r="F40" s="3"/>
      <c r="G40" s="3"/>
      <c r="H40" s="3"/>
    </row>
    <row r="41" spans="1:8" x14ac:dyDescent="0.2">
      <c r="A41" s="12" t="s">
        <v>577</v>
      </c>
      <c r="B41" s="3"/>
      <c r="C41" s="3"/>
      <c r="D41" s="3"/>
      <c r="E41" s="3"/>
      <c r="F41" s="3"/>
      <c r="G41" s="3"/>
      <c r="H41" s="3"/>
    </row>
    <row r="42" spans="1:8" x14ac:dyDescent="0.2">
      <c r="A42" s="12" t="s">
        <v>578</v>
      </c>
      <c r="B42" s="3"/>
      <c r="C42" s="3"/>
      <c r="D42" s="3"/>
      <c r="E42" s="3"/>
      <c r="F42" s="3"/>
      <c r="G42" s="3"/>
      <c r="H42" s="3"/>
    </row>
    <row r="43" spans="1:8" x14ac:dyDescent="0.2">
      <c r="A43" s="12" t="s">
        <v>579</v>
      </c>
      <c r="B43" s="3"/>
      <c r="C43" s="3"/>
      <c r="D43" s="3"/>
      <c r="E43" s="3"/>
      <c r="F43" s="3"/>
      <c r="G43" s="3"/>
      <c r="H43" s="3"/>
    </row>
    <row r="44" spans="1:8" x14ac:dyDescent="0.2">
      <c r="A44" s="12" t="s">
        <v>580</v>
      </c>
      <c r="B44" s="3"/>
      <c r="C44" s="3"/>
      <c r="D44" s="3"/>
      <c r="E44" s="3"/>
      <c r="F44" s="3"/>
      <c r="G44" s="3"/>
      <c r="H44" s="3"/>
    </row>
    <row r="45" spans="1:8" x14ac:dyDescent="0.2">
      <c r="A45" s="12" t="s">
        <v>581</v>
      </c>
      <c r="B45" s="3"/>
      <c r="C45" s="3"/>
      <c r="D45" s="3"/>
      <c r="E45" s="3"/>
      <c r="F45" s="3"/>
      <c r="G45" s="3"/>
      <c r="H45" s="3"/>
    </row>
    <row r="46" spans="1:8" x14ac:dyDescent="0.2">
      <c r="A46" s="12" t="s">
        <v>582</v>
      </c>
      <c r="B46" s="3"/>
      <c r="C46" s="3"/>
      <c r="D46" s="3"/>
      <c r="E46" s="3"/>
      <c r="F46" s="3"/>
      <c r="G46" s="3"/>
      <c r="H46" s="3"/>
    </row>
    <row r="47" spans="1:8" x14ac:dyDescent="0.2">
      <c r="A47" s="12" t="s">
        <v>583</v>
      </c>
      <c r="B47" s="3"/>
      <c r="C47" s="3"/>
      <c r="D47" s="3"/>
      <c r="E47" s="3"/>
      <c r="F47" s="3"/>
      <c r="G47" s="3"/>
      <c r="H47" s="3"/>
    </row>
    <row r="48" spans="1:8" x14ac:dyDescent="0.2">
      <c r="A48" s="12" t="s">
        <v>584</v>
      </c>
      <c r="B48" s="3"/>
      <c r="C48" s="3"/>
      <c r="D48" s="3"/>
      <c r="E48" s="3"/>
      <c r="F48" s="3"/>
      <c r="G48" s="3"/>
      <c r="H48" s="3"/>
    </row>
    <row r="49" spans="1:8" x14ac:dyDescent="0.2">
      <c r="A49" s="12" t="s">
        <v>585</v>
      </c>
      <c r="B49" s="3"/>
      <c r="C49" s="3"/>
      <c r="D49" s="3"/>
      <c r="E49" s="3"/>
      <c r="F49" s="3"/>
      <c r="G49" s="3"/>
      <c r="H49" s="3"/>
    </row>
    <row r="50" spans="1:8" x14ac:dyDescent="0.2">
      <c r="A50" s="12" t="s">
        <v>586</v>
      </c>
      <c r="B50" s="3"/>
      <c r="C50" s="3"/>
      <c r="D50" s="3"/>
      <c r="E50" s="3"/>
      <c r="F50" s="3"/>
      <c r="G50" s="3"/>
      <c r="H50" s="3"/>
    </row>
    <row r="51" spans="1:8" x14ac:dyDescent="0.2">
      <c r="A51" s="12" t="s">
        <v>587</v>
      </c>
      <c r="B51" s="3"/>
      <c r="C51" s="3"/>
      <c r="D51" s="3"/>
      <c r="E51" s="3"/>
      <c r="F51" s="3"/>
      <c r="G51" s="3"/>
      <c r="H51" s="3"/>
    </row>
    <row r="52" spans="1:8" x14ac:dyDescent="0.2">
      <c r="A52" s="12" t="s">
        <v>588</v>
      </c>
      <c r="B52" s="3"/>
      <c r="C52" s="3"/>
      <c r="D52" s="3"/>
      <c r="E52" s="3"/>
      <c r="F52" s="3"/>
      <c r="G52" s="3"/>
      <c r="H52" s="3"/>
    </row>
    <row r="53" spans="1:8" x14ac:dyDescent="0.2">
      <c r="A53" s="12" t="s">
        <v>589</v>
      </c>
      <c r="B53" s="3"/>
      <c r="C53" s="3"/>
      <c r="D53" s="3"/>
      <c r="E53" s="3"/>
      <c r="F53" s="3"/>
      <c r="G53" s="3"/>
      <c r="H53" s="3"/>
    </row>
    <row r="54" spans="1:8" x14ac:dyDescent="0.2">
      <c r="A54" s="12" t="s">
        <v>590</v>
      </c>
      <c r="B54" s="3"/>
      <c r="C54" s="3"/>
      <c r="D54" s="3"/>
      <c r="E54" s="3"/>
      <c r="F54" s="3"/>
      <c r="G54" s="3"/>
      <c r="H54" s="3"/>
    </row>
    <row r="55" spans="1:8" x14ac:dyDescent="0.2">
      <c r="A55" s="12" t="s">
        <v>591</v>
      </c>
      <c r="B55" s="3"/>
      <c r="C55" s="3"/>
      <c r="D55" s="3"/>
      <c r="E55" s="3"/>
      <c r="F55" s="3"/>
      <c r="G55" s="3"/>
      <c r="H55" s="3"/>
    </row>
    <row r="56" spans="1:8" x14ac:dyDescent="0.2">
      <c r="A56" s="12" t="s">
        <v>592</v>
      </c>
      <c r="B56" s="3"/>
      <c r="C56" s="3"/>
      <c r="D56" s="3"/>
      <c r="E56" s="3"/>
      <c r="F56" s="3"/>
      <c r="G56" s="3"/>
      <c r="H56" s="3"/>
    </row>
    <row r="57" spans="1:8" x14ac:dyDescent="0.2">
      <c r="A57" s="12" t="s">
        <v>593</v>
      </c>
      <c r="B57" s="3"/>
      <c r="C57" s="3"/>
      <c r="D57" s="3"/>
      <c r="E57" s="3"/>
      <c r="F57" s="3"/>
      <c r="G57" s="3"/>
      <c r="H57" s="3"/>
    </row>
    <row r="58" spans="1:8" x14ac:dyDescent="0.2">
      <c r="A58" s="12" t="s">
        <v>594</v>
      </c>
      <c r="B58" s="3"/>
      <c r="C58" s="3"/>
      <c r="D58" s="3"/>
      <c r="E58" s="3"/>
      <c r="F58" s="3"/>
      <c r="G58" s="3"/>
      <c r="H58" s="3"/>
    </row>
    <row r="59" spans="1:8" x14ac:dyDescent="0.2">
      <c r="A59" s="12" t="s">
        <v>595</v>
      </c>
      <c r="B59" s="3"/>
      <c r="C59" s="3"/>
      <c r="D59" s="3"/>
      <c r="E59" s="3"/>
      <c r="F59" s="3"/>
      <c r="G59" s="3"/>
      <c r="H59" s="3"/>
    </row>
    <row r="60" spans="1:8" x14ac:dyDescent="0.2">
      <c r="A60" s="12" t="s">
        <v>596</v>
      </c>
      <c r="B60" s="3"/>
      <c r="C60" s="3"/>
      <c r="D60" s="3"/>
      <c r="E60" s="3"/>
      <c r="F60" s="3"/>
      <c r="G60" s="3"/>
      <c r="H60" s="3"/>
    </row>
    <row r="61" spans="1:8" x14ac:dyDescent="0.2">
      <c r="A61" s="12" t="s">
        <v>597</v>
      </c>
      <c r="B61" s="3"/>
      <c r="C61" s="3"/>
      <c r="D61" s="3"/>
      <c r="E61" s="3"/>
      <c r="F61" s="3"/>
      <c r="G61" s="3"/>
      <c r="H61" s="3"/>
    </row>
    <row r="62" spans="1:8" x14ac:dyDescent="0.2">
      <c r="A62" s="12" t="s">
        <v>598</v>
      </c>
      <c r="B62" s="3"/>
      <c r="C62" s="3"/>
      <c r="D62" s="3"/>
      <c r="E62" s="3"/>
      <c r="F62" s="3"/>
      <c r="G62" s="3"/>
      <c r="H62" s="3"/>
    </row>
    <row r="63" spans="1:8" x14ac:dyDescent="0.2">
      <c r="A63" s="12" t="s">
        <v>599</v>
      </c>
      <c r="B63" s="3"/>
      <c r="C63" s="3"/>
      <c r="D63" s="3"/>
      <c r="E63" s="3"/>
      <c r="F63" s="3"/>
      <c r="G63" s="3"/>
      <c r="H63" s="3"/>
    </row>
    <row r="64" spans="1:8" x14ac:dyDescent="0.2">
      <c r="A64" s="12" t="s">
        <v>600</v>
      </c>
      <c r="B64" s="3"/>
      <c r="C64" s="3"/>
      <c r="D64" s="3"/>
      <c r="E64" s="3"/>
      <c r="F64" s="3"/>
      <c r="G64" s="3"/>
      <c r="H64" s="3"/>
    </row>
    <row r="65" spans="1:8" x14ac:dyDescent="0.2">
      <c r="A65" s="12" t="s">
        <v>601</v>
      </c>
      <c r="B65" s="3"/>
      <c r="C65" s="3"/>
      <c r="D65" s="3"/>
      <c r="E65" s="3"/>
      <c r="F65" s="3"/>
      <c r="G65" s="3"/>
      <c r="H65" s="3"/>
    </row>
    <row r="66" spans="1:8" x14ac:dyDescent="0.2">
      <c r="A66" s="12" t="s">
        <v>602</v>
      </c>
      <c r="B66" s="3"/>
      <c r="C66" s="3"/>
      <c r="D66" s="3"/>
      <c r="E66" s="3"/>
      <c r="F66" s="3"/>
      <c r="G66" s="3"/>
      <c r="H66" s="3"/>
    </row>
    <row r="67" spans="1:8" x14ac:dyDescent="0.2">
      <c r="A67" s="12" t="s">
        <v>603</v>
      </c>
      <c r="B67" s="3"/>
      <c r="C67" s="3"/>
      <c r="D67" s="3"/>
      <c r="E67" s="3"/>
      <c r="F67" s="3"/>
      <c r="G67" s="3"/>
      <c r="H67" s="3"/>
    </row>
    <row r="68" spans="1:8" x14ac:dyDescent="0.2">
      <c r="A68" s="12" t="s">
        <v>604</v>
      </c>
      <c r="B68" s="3"/>
      <c r="C68" s="3"/>
      <c r="D68" s="3"/>
      <c r="E68" s="3"/>
      <c r="F68" s="3"/>
      <c r="G68" s="3"/>
      <c r="H68" s="3"/>
    </row>
    <row r="69" spans="1:8" x14ac:dyDescent="0.2">
      <c r="A69" s="12" t="s">
        <v>605</v>
      </c>
      <c r="B69" s="3"/>
      <c r="C69" s="3"/>
      <c r="D69" s="3"/>
      <c r="E69" s="3"/>
      <c r="F69" s="3"/>
      <c r="G69" s="3"/>
      <c r="H69" s="3"/>
    </row>
    <row r="70" spans="1:8" x14ac:dyDescent="0.2">
      <c r="A70" s="12" t="s">
        <v>606</v>
      </c>
      <c r="B70" s="3"/>
      <c r="C70" s="3"/>
      <c r="D70" s="3"/>
      <c r="E70" s="3"/>
      <c r="F70" s="3"/>
      <c r="G70" s="3"/>
      <c r="H70" s="3"/>
    </row>
    <row r="71" spans="1:8" x14ac:dyDescent="0.2">
      <c r="A71" s="12" t="s">
        <v>607</v>
      </c>
      <c r="B71" s="3"/>
      <c r="C71" s="3"/>
      <c r="D71" s="3"/>
      <c r="E71" s="3"/>
      <c r="F71" s="3"/>
      <c r="G71" s="3"/>
      <c r="H71" s="3"/>
    </row>
    <row r="72" spans="1:8" x14ac:dyDescent="0.2">
      <c r="A72" s="12" t="s">
        <v>608</v>
      </c>
      <c r="B72" s="3"/>
      <c r="C72" s="3"/>
      <c r="D72" s="3"/>
      <c r="E72" s="3"/>
      <c r="F72" s="3"/>
      <c r="G72" s="3"/>
      <c r="H72" s="3"/>
    </row>
    <row r="73" spans="1:8" x14ac:dyDescent="0.2">
      <c r="A73" s="12" t="s">
        <v>609</v>
      </c>
      <c r="B73" s="3"/>
      <c r="C73" s="3"/>
      <c r="D73" s="3"/>
      <c r="E73" s="3"/>
      <c r="F73" s="3"/>
      <c r="G73" s="3"/>
      <c r="H73" s="3"/>
    </row>
    <row r="74" spans="1:8" x14ac:dyDescent="0.2">
      <c r="A74" s="12" t="s">
        <v>610</v>
      </c>
      <c r="B74" s="3"/>
      <c r="C74" s="3"/>
      <c r="D74" s="3"/>
      <c r="E74" s="3"/>
      <c r="F74" s="3"/>
      <c r="G74" s="3"/>
      <c r="H74" s="3"/>
    </row>
    <row r="75" spans="1:8" x14ac:dyDescent="0.2">
      <c r="A75" s="12" t="s">
        <v>611</v>
      </c>
      <c r="B75" s="3"/>
      <c r="C75" s="3"/>
      <c r="D75" s="3"/>
      <c r="E75" s="3"/>
      <c r="F75" s="3"/>
      <c r="G75" s="3"/>
      <c r="H75" s="3"/>
    </row>
    <row r="76" spans="1:8" x14ac:dyDescent="0.2">
      <c r="A76" s="12" t="s">
        <v>612</v>
      </c>
      <c r="B76" s="3"/>
      <c r="C76" s="3"/>
      <c r="D76" s="3"/>
      <c r="E76" s="3"/>
      <c r="F76" s="3"/>
      <c r="G76" s="3"/>
      <c r="H76" s="3"/>
    </row>
    <row r="77" spans="1:8" x14ac:dyDescent="0.2">
      <c r="A77" s="12" t="s">
        <v>613</v>
      </c>
      <c r="B77" s="3"/>
      <c r="C77" s="3"/>
      <c r="D77" s="3"/>
      <c r="E77" s="3"/>
      <c r="F77" s="3"/>
      <c r="G77" s="3"/>
      <c r="H77" s="3"/>
    </row>
    <row r="78" spans="1:8" x14ac:dyDescent="0.2">
      <c r="A78" s="12" t="s">
        <v>614</v>
      </c>
      <c r="B78" s="3"/>
      <c r="C78" s="3"/>
      <c r="D78" s="3"/>
      <c r="E78" s="3"/>
      <c r="F78" s="3"/>
      <c r="G78" s="3"/>
      <c r="H78" s="3"/>
    </row>
    <row r="79" spans="1:8" x14ac:dyDescent="0.2">
      <c r="A79" s="12" t="s">
        <v>615</v>
      </c>
      <c r="B79" s="3"/>
      <c r="C79" s="3"/>
      <c r="D79" s="3"/>
      <c r="E79" s="3"/>
      <c r="F79" s="3"/>
      <c r="G79" s="3"/>
      <c r="H79" s="3"/>
    </row>
    <row r="80" spans="1:8" x14ac:dyDescent="0.2">
      <c r="A80" s="12" t="s">
        <v>616</v>
      </c>
      <c r="B80" s="3"/>
      <c r="C80" s="3"/>
      <c r="D80" s="3"/>
      <c r="E80" s="3"/>
      <c r="F80" s="3"/>
      <c r="G80" s="3"/>
      <c r="H80" s="3"/>
    </row>
    <row r="81" spans="1:8" x14ac:dyDescent="0.2">
      <c r="A81" s="12" t="s">
        <v>617</v>
      </c>
      <c r="B81" s="3"/>
      <c r="C81" s="3"/>
      <c r="D81" s="3"/>
      <c r="E81" s="3"/>
      <c r="F81" s="3"/>
      <c r="G81" s="3"/>
      <c r="H81" s="3"/>
    </row>
    <row r="82" spans="1:8" x14ac:dyDescent="0.2">
      <c r="A82" s="12" t="s">
        <v>618</v>
      </c>
      <c r="B82" s="3"/>
      <c r="C82" s="3"/>
      <c r="D82" s="3"/>
      <c r="E82" s="3"/>
      <c r="F82" s="3"/>
      <c r="G82" s="3"/>
      <c r="H82" s="3"/>
    </row>
    <row r="83" spans="1:8" x14ac:dyDescent="0.2">
      <c r="A83" s="12" t="s">
        <v>619</v>
      </c>
      <c r="B83" s="3"/>
      <c r="C83" s="3"/>
      <c r="D83" s="3"/>
      <c r="E83" s="3"/>
      <c r="F83" s="3"/>
      <c r="G83" s="3"/>
      <c r="H83" s="3"/>
    </row>
    <row r="84" spans="1:8" x14ac:dyDescent="0.2">
      <c r="A84" s="12" t="s">
        <v>620</v>
      </c>
      <c r="B84" s="3"/>
      <c r="C84" s="3"/>
      <c r="D84" s="3"/>
      <c r="E84" s="3"/>
      <c r="F84" s="3"/>
      <c r="G84" s="3"/>
      <c r="H84" s="3"/>
    </row>
    <row r="85" spans="1:8" x14ac:dyDescent="0.2">
      <c r="A85" s="12" t="s">
        <v>621</v>
      </c>
      <c r="B85" s="3"/>
      <c r="C85" s="3"/>
      <c r="D85" s="3"/>
      <c r="E85" s="3"/>
      <c r="F85" s="3"/>
      <c r="G85" s="3"/>
      <c r="H85" s="3"/>
    </row>
    <row r="86" spans="1:8" x14ac:dyDescent="0.2">
      <c r="A86" s="12" t="s">
        <v>622</v>
      </c>
      <c r="B86" s="3"/>
      <c r="C86" s="3"/>
      <c r="D86" s="3"/>
      <c r="E86" s="3"/>
      <c r="F86" s="3"/>
      <c r="G86" s="3"/>
      <c r="H86" s="3"/>
    </row>
    <row r="87" spans="1:8" x14ac:dyDescent="0.2">
      <c r="A87" s="12" t="s">
        <v>623</v>
      </c>
      <c r="B87" s="3"/>
      <c r="C87" s="3"/>
      <c r="D87" s="3"/>
      <c r="E87" s="3"/>
      <c r="F87" s="3"/>
      <c r="G87" s="3"/>
      <c r="H87" s="3"/>
    </row>
    <row r="88" spans="1:8" x14ac:dyDescent="0.2">
      <c r="A88" s="12" t="s">
        <v>624</v>
      </c>
      <c r="B88" s="3"/>
      <c r="C88" s="3"/>
      <c r="D88" s="3"/>
      <c r="E88" s="3"/>
      <c r="F88" s="3"/>
      <c r="G88" s="3"/>
      <c r="H88" s="3"/>
    </row>
    <row r="89" spans="1:8" x14ac:dyDescent="0.2">
      <c r="A89" s="12" t="s">
        <v>625</v>
      </c>
      <c r="B89" s="3"/>
      <c r="C89" s="3"/>
      <c r="D89" s="3"/>
      <c r="E89" s="3"/>
      <c r="F89" s="3"/>
      <c r="G89" s="3"/>
      <c r="H89" s="3"/>
    </row>
    <row r="90" spans="1:8" x14ac:dyDescent="0.2">
      <c r="A90" s="12" t="s">
        <v>626</v>
      </c>
      <c r="B90" s="3"/>
      <c r="C90" s="3"/>
      <c r="D90" s="3"/>
      <c r="E90" s="3"/>
      <c r="F90" s="3"/>
      <c r="G90" s="3"/>
      <c r="H90" s="3"/>
    </row>
    <row r="91" spans="1:8" x14ac:dyDescent="0.2">
      <c r="A91" s="12" t="s">
        <v>627</v>
      </c>
      <c r="B91" s="3"/>
      <c r="C91" s="3"/>
      <c r="D91" s="3"/>
      <c r="E91" s="3"/>
      <c r="F91" s="3"/>
      <c r="G91" s="3"/>
      <c r="H91" s="3"/>
    </row>
    <row r="92" spans="1:8" x14ac:dyDescent="0.2">
      <c r="A92" s="12" t="s">
        <v>628</v>
      </c>
      <c r="B92" s="3"/>
      <c r="C92" s="3"/>
      <c r="D92" s="3"/>
      <c r="E92" s="3"/>
      <c r="F92" s="3"/>
      <c r="G92" s="3"/>
      <c r="H92" s="3"/>
    </row>
    <row r="93" spans="1:8" x14ac:dyDescent="0.2">
      <c r="A93" s="12" t="s">
        <v>629</v>
      </c>
      <c r="B93" s="3"/>
      <c r="C93" s="3"/>
      <c r="D93" s="3"/>
      <c r="E93" s="3"/>
      <c r="F93" s="3"/>
      <c r="G93" s="3"/>
      <c r="H93" s="3"/>
    </row>
    <row r="94" spans="1:8" x14ac:dyDescent="0.2">
      <c r="A94" s="12" t="s">
        <v>630</v>
      </c>
      <c r="B94" s="3"/>
      <c r="C94" s="3"/>
      <c r="D94" s="3"/>
      <c r="E94" s="3"/>
      <c r="F94" s="3"/>
      <c r="G94" s="3"/>
      <c r="H94" s="3"/>
    </row>
    <row r="95" spans="1:8" x14ac:dyDescent="0.2">
      <c r="A95" s="12" t="s">
        <v>631</v>
      </c>
      <c r="B95" s="3"/>
      <c r="C95" s="3"/>
      <c r="D95" s="3"/>
      <c r="E95" s="3"/>
      <c r="F95" s="3"/>
      <c r="G95" s="3"/>
      <c r="H95" s="3"/>
    </row>
    <row r="96" spans="1:8" x14ac:dyDescent="0.2">
      <c r="A96" s="12" t="s">
        <v>632</v>
      </c>
      <c r="B96" s="3"/>
      <c r="C96" s="3"/>
      <c r="D96" s="3"/>
      <c r="E96" s="3"/>
      <c r="F96" s="3"/>
      <c r="G96" s="3"/>
      <c r="H96" s="3"/>
    </row>
    <row r="97" spans="1:8" x14ac:dyDescent="0.2">
      <c r="A97" s="12" t="s">
        <v>633</v>
      </c>
      <c r="B97" s="3"/>
      <c r="C97" s="3"/>
      <c r="D97" s="3"/>
      <c r="E97" s="3"/>
      <c r="F97" s="3"/>
      <c r="G97" s="3"/>
      <c r="H97" s="3"/>
    </row>
    <row r="98" spans="1:8" x14ac:dyDescent="0.2">
      <c r="A98" s="12" t="s">
        <v>634</v>
      </c>
      <c r="B98" s="3"/>
      <c r="C98" s="3"/>
      <c r="D98" s="3"/>
      <c r="E98" s="3"/>
      <c r="F98" s="3"/>
      <c r="G98" s="3"/>
      <c r="H98" s="3"/>
    </row>
    <row r="99" spans="1:8" x14ac:dyDescent="0.2">
      <c r="A99" s="12" t="s">
        <v>635</v>
      </c>
      <c r="B99" s="3"/>
      <c r="C99" s="3"/>
      <c r="D99" s="3"/>
      <c r="E99" s="3"/>
      <c r="F99" s="3"/>
      <c r="G99" s="3"/>
      <c r="H99" s="3"/>
    </row>
    <row r="100" spans="1:8" x14ac:dyDescent="0.2">
      <c r="A100" s="12" t="s">
        <v>636</v>
      </c>
      <c r="B100" s="3"/>
      <c r="C100" s="3"/>
      <c r="D100" s="3"/>
      <c r="E100" s="3"/>
      <c r="F100" s="3"/>
      <c r="G100" s="3"/>
      <c r="H100" s="3"/>
    </row>
    <row r="101" spans="1:8" x14ac:dyDescent="0.2">
      <c r="A101" s="12" t="s">
        <v>637</v>
      </c>
      <c r="B101" s="3"/>
      <c r="C101" s="3"/>
      <c r="D101" s="3"/>
      <c r="E101" s="3"/>
      <c r="F101" s="3"/>
      <c r="G101" s="3"/>
      <c r="H101" s="3"/>
    </row>
    <row r="102" spans="1:8" x14ac:dyDescent="0.2">
      <c r="A102" s="12" t="s">
        <v>638</v>
      </c>
      <c r="B102" s="3"/>
      <c r="C102" s="3"/>
      <c r="D102" s="3"/>
      <c r="E102" s="3"/>
      <c r="F102" s="3"/>
      <c r="G102" s="3"/>
      <c r="H102" s="3"/>
    </row>
    <row r="103" spans="1:8" x14ac:dyDescent="0.2">
      <c r="A103" s="12" t="s">
        <v>639</v>
      </c>
      <c r="B103" s="3"/>
      <c r="C103" s="3"/>
      <c r="D103" s="3"/>
      <c r="E103" s="3"/>
      <c r="F103" s="3"/>
      <c r="G103" s="3"/>
      <c r="H103" s="3"/>
    </row>
    <row r="104" spans="1:8" x14ac:dyDescent="0.2">
      <c r="A104" s="12" t="s">
        <v>640</v>
      </c>
      <c r="B104" s="3"/>
      <c r="C104" s="3"/>
      <c r="D104" s="3"/>
      <c r="E104" s="3"/>
      <c r="F104" s="3"/>
      <c r="G104" s="3"/>
      <c r="H104" s="3"/>
    </row>
  </sheetData>
  <mergeCells count="2">
    <mergeCell ref="A2:H2"/>
    <mergeCell ref="A1:H1"/>
  </mergeCells>
  <dataValidations count="2">
    <dataValidation type="list"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xr:uid="{00000000-0002-0000-0700-000000000000}">
      <formula1>"Network Diagram,VLAN Config,Firewall Policy,VPN Config,WiFi Config,Cloud Dashboard,NAC Policy,Exemption Approval,Test Results,Monitoring Report,Change Record,Other"</formula1>
    </dataValidation>
    <dataValidation type="list"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xr:uid="{00000000-0002-0000-0700-000001000000}">
      <formula1>"Verified,Pending,Not Verified"</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5"/>
  <sheetViews>
    <sheetView workbookViewId="0">
      <pane ySplit="2" topLeftCell="A3" activePane="bottomLeft" state="frozen"/>
      <selection pane="bottomLeft"/>
    </sheetView>
  </sheetViews>
  <sheetFormatPr baseColWidth="10" defaultColWidth="8.83203125" defaultRowHeight="15" x14ac:dyDescent="0.2"/>
  <cols>
    <col min="1" max="1" width="28" customWidth="1"/>
    <col min="2" max="2" width="30" customWidth="1"/>
    <col min="3" max="5" width="18" customWidth="1"/>
  </cols>
  <sheetData>
    <row r="1" spans="1:5" ht="30" customHeight="1" x14ac:dyDescent="0.2">
      <c r="A1" s="27" t="s">
        <v>641</v>
      </c>
      <c r="B1" s="25"/>
      <c r="C1" s="25"/>
      <c r="D1" s="25"/>
      <c r="E1" s="25"/>
    </row>
    <row r="3" spans="1:5" x14ac:dyDescent="0.2">
      <c r="A3" s="28" t="s">
        <v>642</v>
      </c>
      <c r="B3" s="25"/>
      <c r="C3" s="25"/>
      <c r="D3" s="25"/>
      <c r="E3" s="25"/>
    </row>
    <row r="4" spans="1:5" x14ac:dyDescent="0.2">
      <c r="A4" s="2" t="s">
        <v>643</v>
      </c>
      <c r="B4" t="s">
        <v>644</v>
      </c>
    </row>
    <row r="5" spans="1:5" x14ac:dyDescent="0.2">
      <c r="A5" s="2" t="s">
        <v>645</v>
      </c>
      <c r="B5" s="3" t="s">
        <v>646</v>
      </c>
    </row>
    <row r="6" spans="1:5" x14ac:dyDescent="0.2">
      <c r="A6" s="2" t="s">
        <v>647</v>
      </c>
      <c r="B6" t="s">
        <v>648</v>
      </c>
    </row>
    <row r="7" spans="1:5" x14ac:dyDescent="0.2">
      <c r="A7" s="2" t="s">
        <v>649</v>
      </c>
      <c r="B7" t="s">
        <v>650</v>
      </c>
    </row>
    <row r="8" spans="1:5" x14ac:dyDescent="0.2">
      <c r="A8" s="2" t="s">
        <v>651</v>
      </c>
      <c r="B8" t="s">
        <v>652</v>
      </c>
    </row>
    <row r="9" spans="1:5" x14ac:dyDescent="0.2">
      <c r="A9" s="2" t="s">
        <v>653</v>
      </c>
      <c r="B9" t="s">
        <v>654</v>
      </c>
    </row>
    <row r="10" spans="1:5" x14ac:dyDescent="0.2">
      <c r="A10" s="2" t="s">
        <v>655</v>
      </c>
      <c r="B10" t="s">
        <v>656</v>
      </c>
    </row>
    <row r="11" spans="1:5" x14ac:dyDescent="0.2">
      <c r="A11" s="2" t="s">
        <v>241</v>
      </c>
      <c r="B11" t="s">
        <v>657</v>
      </c>
    </row>
    <row r="12" spans="1:5" x14ac:dyDescent="0.2">
      <c r="A12" s="2" t="s">
        <v>658</v>
      </c>
      <c r="B12" t="s">
        <v>659</v>
      </c>
    </row>
    <row r="13" spans="1:5" x14ac:dyDescent="0.2">
      <c r="A13" s="2" t="s">
        <v>660</v>
      </c>
      <c r="B13" s="3" t="s">
        <v>661</v>
      </c>
    </row>
    <row r="16" spans="1:5" x14ac:dyDescent="0.2">
      <c r="A16" s="28" t="s">
        <v>662</v>
      </c>
      <c r="B16" s="25"/>
      <c r="C16" s="25"/>
      <c r="D16" s="25"/>
      <c r="E16" s="25"/>
    </row>
    <row r="17" spans="1:5" x14ac:dyDescent="0.2">
      <c r="A17" s="2" t="s">
        <v>663</v>
      </c>
      <c r="B17" s="30"/>
      <c r="C17" s="25"/>
      <c r="D17" s="25"/>
      <c r="E17" s="25"/>
    </row>
    <row r="18" spans="1:5" x14ac:dyDescent="0.2">
      <c r="A18" s="2" t="s">
        <v>664</v>
      </c>
      <c r="B18" s="30"/>
      <c r="C18" s="25"/>
      <c r="D18" s="25"/>
      <c r="E18" s="25"/>
    </row>
    <row r="19" spans="1:5" x14ac:dyDescent="0.2">
      <c r="A19" s="2" t="s">
        <v>665</v>
      </c>
      <c r="B19" s="30"/>
      <c r="C19" s="25"/>
      <c r="D19" s="25"/>
      <c r="E19" s="25"/>
    </row>
    <row r="20" spans="1:5" x14ac:dyDescent="0.2">
      <c r="A20" s="2" t="s">
        <v>666</v>
      </c>
      <c r="B20" s="30"/>
      <c r="C20" s="25"/>
      <c r="D20" s="25"/>
      <c r="E20" s="25"/>
    </row>
    <row r="21" spans="1:5" x14ac:dyDescent="0.2">
      <c r="A21" s="2" t="s">
        <v>667</v>
      </c>
      <c r="B21" s="30"/>
      <c r="C21" s="25"/>
      <c r="D21" s="25"/>
      <c r="E21" s="25"/>
    </row>
    <row r="22" spans="1:5" x14ac:dyDescent="0.2">
      <c r="A22" s="2" t="s">
        <v>668</v>
      </c>
      <c r="B22" s="30"/>
      <c r="C22" s="25"/>
      <c r="D22" s="25"/>
      <c r="E22" s="25"/>
    </row>
    <row r="25" spans="1:5" x14ac:dyDescent="0.2">
      <c r="A25" s="28" t="s">
        <v>669</v>
      </c>
      <c r="B25" s="25"/>
      <c r="C25" s="25"/>
      <c r="D25" s="25"/>
      <c r="E25" s="25"/>
    </row>
    <row r="26" spans="1:5" x14ac:dyDescent="0.2">
      <c r="A26" s="2" t="s">
        <v>663</v>
      </c>
      <c r="B26" s="30"/>
      <c r="C26" s="25"/>
      <c r="D26" s="25"/>
      <c r="E26" s="25"/>
    </row>
    <row r="27" spans="1:5" x14ac:dyDescent="0.2">
      <c r="A27" s="2" t="s">
        <v>667</v>
      </c>
      <c r="B27" s="30"/>
      <c r="C27" s="25"/>
      <c r="D27" s="25"/>
      <c r="E27" s="25"/>
    </row>
    <row r="28" spans="1:5" x14ac:dyDescent="0.2">
      <c r="A28" s="2" t="s">
        <v>670</v>
      </c>
      <c r="B28" s="31"/>
      <c r="C28" s="25"/>
      <c r="D28" s="25"/>
      <c r="E28" s="25"/>
    </row>
    <row r="31" spans="1:5" x14ac:dyDescent="0.2">
      <c r="A31" s="2" t="s">
        <v>671</v>
      </c>
      <c r="B31" s="30"/>
      <c r="C31" s="25"/>
      <c r="D31" s="25"/>
      <c r="E31" s="25"/>
    </row>
    <row r="34" spans="1:5" x14ac:dyDescent="0.2">
      <c r="A34" s="28" t="s">
        <v>672</v>
      </c>
      <c r="B34" s="25"/>
      <c r="C34" s="25"/>
      <c r="D34" s="25"/>
      <c r="E34" s="25"/>
    </row>
    <row r="35" spans="1:5" x14ac:dyDescent="0.2">
      <c r="A35" s="2" t="s">
        <v>663</v>
      </c>
      <c r="B35" s="30"/>
      <c r="C35" s="25"/>
      <c r="D35" s="25"/>
      <c r="E35" s="25"/>
    </row>
    <row r="36" spans="1:5" x14ac:dyDescent="0.2">
      <c r="A36" s="2" t="s">
        <v>667</v>
      </c>
      <c r="B36" s="30"/>
      <c r="C36" s="25"/>
      <c r="D36" s="25"/>
      <c r="E36" s="25"/>
    </row>
    <row r="37" spans="1:5" x14ac:dyDescent="0.2">
      <c r="A37" s="2" t="s">
        <v>670</v>
      </c>
      <c r="B37" s="31"/>
      <c r="C37" s="25"/>
      <c r="D37" s="25"/>
      <c r="E37" s="25"/>
    </row>
    <row r="40" spans="1:5" x14ac:dyDescent="0.2">
      <c r="A40" s="2" t="s">
        <v>671</v>
      </c>
      <c r="B40" s="30"/>
      <c r="C40" s="25"/>
      <c r="D40" s="25"/>
      <c r="E40" s="25"/>
    </row>
    <row r="43" spans="1:5" x14ac:dyDescent="0.2">
      <c r="A43" s="32" t="s">
        <v>673</v>
      </c>
      <c r="B43" s="25"/>
      <c r="C43" s="25"/>
      <c r="D43" s="25"/>
      <c r="E43" s="25"/>
    </row>
    <row r="44" spans="1:5" x14ac:dyDescent="0.2">
      <c r="A44" s="2" t="s">
        <v>663</v>
      </c>
      <c r="B44" s="30"/>
      <c r="C44" s="25"/>
      <c r="D44" s="25"/>
      <c r="E44" s="25"/>
    </row>
    <row r="45" spans="1:5" x14ac:dyDescent="0.2">
      <c r="A45" s="2" t="s">
        <v>667</v>
      </c>
      <c r="B45" s="30"/>
      <c r="C45" s="25"/>
      <c r="D45" s="25"/>
      <c r="E45" s="25"/>
    </row>
    <row r="46" spans="1:5" x14ac:dyDescent="0.2">
      <c r="A46" s="2" t="s">
        <v>674</v>
      </c>
      <c r="B46" s="30"/>
      <c r="C46" s="25"/>
      <c r="D46" s="25"/>
      <c r="E46" s="25"/>
    </row>
    <row r="47" spans="1:5" x14ac:dyDescent="0.2">
      <c r="A47" s="2" t="s">
        <v>675</v>
      </c>
      <c r="B47" s="31"/>
      <c r="C47" s="25"/>
      <c r="D47" s="25"/>
      <c r="E47" s="25"/>
    </row>
    <row r="48" spans="1:5" x14ac:dyDescent="0.2">
      <c r="B48" s="25"/>
      <c r="C48" s="25"/>
      <c r="D48" s="25"/>
      <c r="E48" s="25"/>
    </row>
    <row r="49" spans="1:5" x14ac:dyDescent="0.2">
      <c r="B49" s="25"/>
      <c r="C49" s="25"/>
      <c r="D49" s="25"/>
      <c r="E49" s="25"/>
    </row>
    <row r="52" spans="1:5" x14ac:dyDescent="0.2">
      <c r="A52" s="28" t="s">
        <v>676</v>
      </c>
      <c r="B52" s="25"/>
      <c r="C52" s="25"/>
      <c r="D52" s="25"/>
      <c r="E52" s="25"/>
    </row>
    <row r="53" spans="1:5" x14ac:dyDescent="0.2">
      <c r="A53" s="2" t="s">
        <v>677</v>
      </c>
      <c r="B53" s="33">
        <f ca="1">TODAY()+90</f>
        <v>46123</v>
      </c>
      <c r="C53" s="25"/>
      <c r="D53" s="25"/>
      <c r="E53" s="25"/>
    </row>
    <row r="54" spans="1:5" x14ac:dyDescent="0.2">
      <c r="A54" s="2" t="s">
        <v>678</v>
      </c>
      <c r="B54" s="30"/>
      <c r="C54" s="25"/>
      <c r="D54" s="25"/>
      <c r="E54" s="25"/>
    </row>
    <row r="55" spans="1:5" x14ac:dyDescent="0.2">
      <c r="A55" s="2" t="s">
        <v>679</v>
      </c>
      <c r="B55" s="30"/>
      <c r="C55" s="25"/>
      <c r="D55" s="25"/>
      <c r="E55" s="25"/>
    </row>
  </sheetData>
  <mergeCells count="28">
    <mergeCell ref="A43:E43"/>
    <mergeCell ref="B53:E53"/>
    <mergeCell ref="A52:E52"/>
    <mergeCell ref="B44:E44"/>
    <mergeCell ref="B19:E19"/>
    <mergeCell ref="B37:E37"/>
    <mergeCell ref="B28:E28"/>
    <mergeCell ref="B31:E31"/>
    <mergeCell ref="B18:E18"/>
    <mergeCell ref="B27:E27"/>
    <mergeCell ref="B21:E21"/>
    <mergeCell ref="B17:E17"/>
    <mergeCell ref="A34:E34"/>
    <mergeCell ref="B40:E40"/>
    <mergeCell ref="A1:E1"/>
    <mergeCell ref="B55:E55"/>
    <mergeCell ref="B20:E20"/>
    <mergeCell ref="B36:E36"/>
    <mergeCell ref="B45:E45"/>
    <mergeCell ref="B26:E26"/>
    <mergeCell ref="B35:E35"/>
    <mergeCell ref="A16:E16"/>
    <mergeCell ref="A25:E25"/>
    <mergeCell ref="B54:E54"/>
    <mergeCell ref="B47:E49"/>
    <mergeCell ref="B46:E46"/>
    <mergeCell ref="B22:E22"/>
    <mergeCell ref="A3:E3"/>
  </mergeCells>
  <dataValidations count="3">
    <dataValidation type="list" sqref="B13" xr:uid="{00000000-0002-0000-0800-000000000000}">
      <formula1>"Draft,Final,Requires Remediation,Re-assessment Required"</formula1>
    </dataValidation>
    <dataValidation type="list" sqref="B46" xr:uid="{00000000-0002-0000-0800-000001000000}">
      <formula1>"Approved,Approved with Conditions,Rejected"</formula1>
    </dataValidation>
    <dataValidation type="list" sqref="B31 B40" xr:uid="{00000000-0002-0000-0800-000002000000}">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Instructions &amp; Legend</vt:lpstr>
      <vt:lpstr>Network_Segment_Inventory</vt:lpstr>
      <vt:lpstr>Coverage_Matrix</vt:lpstr>
      <vt:lpstr>Gap_Identification</vt:lpstr>
      <vt:lpstr>Device_Inventory</vt:lpstr>
      <vt:lpstr>Exemption_Register</vt:lpstr>
      <vt:lpstr>Coverage_Verification</vt:lpstr>
      <vt:lpstr>Evidence_Register</vt:lpstr>
      <vt:lpstr>Approval_Sign_Off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Gregory Griffin</cp:lastModifiedBy>
  <dcterms:created xsi:type="dcterms:W3CDTF">2026-01-11T19:09:23Z</dcterms:created>
  <dcterms:modified xsi:type="dcterms:W3CDTF">2026-01-11T19:34:59Z</dcterms:modified>
</cp:coreProperties>
</file>