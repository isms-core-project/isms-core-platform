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1E208DD5-102B-A542-AB39-FFBE072283E0}" xr6:coauthVersionLast="47" xr6:coauthVersionMax="47" xr10:uidLastSave="{00000000-0000-0000-0000-000000000000}"/>
  <bookViews>
    <workbookView xWindow="0" yWindow="600" windowWidth="38400" windowHeight="19660" xr2:uid="{00000000-000D-0000-FFFF-FFFF00000000}"/>
  </bookViews>
  <sheets>
    <sheet name="Instructions &amp; Legend" sheetId="1" r:id="rId1"/>
    <sheet name="1.1 External HTTPS-TLS" sheetId="2" r:id="rId2"/>
    <sheet name="1.2 Internal HTTPS-TLS" sheetId="3" r:id="rId3"/>
    <sheet name="2.1 Email Encryption" sheetId="4" r:id="rId4"/>
    <sheet name="2.2 Digital Signatures" sheetId="5" r:id="rId5"/>
    <sheet name="3.1 File Transfer Protocols" sheetId="6" r:id="rId6"/>
    <sheet name="4.1 VPN" sheetId="7" r:id="rId7"/>
    <sheet name="4.2 SSH" sheetId="8" r:id="rId8"/>
    <sheet name="4.3 RDP" sheetId="9" r:id="rId9"/>
    <sheet name="5.1 API Security" sheetId="10" r:id="rId10"/>
    <sheet name="6.1 Database Connections" sheetId="11" r:id="rId11"/>
    <sheet name="6.2 Wireless Networks" sheetId="12" r:id="rId12"/>
    <sheet name="7.1 Cloud Transmission" sheetId="13" r:id="rId13"/>
    <sheet name="Summary Dashboard" sheetId="14" r:id="rId14"/>
    <sheet name="Evidence Register" sheetId="15" r:id="rId15"/>
    <sheet name="Approval Sign-Off" sheetId="16" r:id="rId1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4" l="1"/>
  <c r="F15" i="14"/>
  <c r="E15" i="14"/>
  <c r="D15" i="14"/>
  <c r="C15" i="14"/>
  <c r="B15" i="14"/>
  <c r="F14" i="14"/>
  <c r="E14" i="14"/>
  <c r="D14" i="14"/>
  <c r="C14" i="14"/>
  <c r="B14" i="14"/>
  <c r="G14" i="14" s="1"/>
  <c r="F13" i="14"/>
  <c r="E13" i="14"/>
  <c r="D13" i="14"/>
  <c r="C13" i="14"/>
  <c r="B13" i="14"/>
  <c r="G13" i="14" s="1"/>
  <c r="F12" i="14"/>
  <c r="E12" i="14"/>
  <c r="D12" i="14"/>
  <c r="C12" i="14"/>
  <c r="B12" i="14"/>
  <c r="G12" i="14" s="1"/>
  <c r="F11" i="14"/>
  <c r="G11" i="14" s="1"/>
  <c r="E11" i="14"/>
  <c r="D11" i="14"/>
  <c r="C11" i="14"/>
  <c r="B11" i="14"/>
  <c r="F10" i="14"/>
  <c r="G10" i="14" s="1"/>
  <c r="E10" i="14"/>
  <c r="D10" i="14"/>
  <c r="C10" i="14"/>
  <c r="B10" i="14"/>
  <c r="F9" i="14"/>
  <c r="E9" i="14"/>
  <c r="D9" i="14"/>
  <c r="C9" i="14"/>
  <c r="B9" i="14"/>
  <c r="G9" i="14" s="1"/>
  <c r="F8" i="14"/>
  <c r="E8" i="14"/>
  <c r="D8" i="14"/>
  <c r="C8" i="14"/>
  <c r="B8" i="14"/>
  <c r="G8" i="14" s="1"/>
  <c r="F7" i="14"/>
  <c r="G7" i="14" s="1"/>
  <c r="E7" i="14"/>
  <c r="D7" i="14"/>
  <c r="C7" i="14"/>
  <c r="B7" i="14"/>
  <c r="F6" i="14"/>
  <c r="G6" i="14" s="1"/>
  <c r="E6" i="14"/>
  <c r="D6" i="14"/>
  <c r="C6" i="14"/>
  <c r="B6" i="14"/>
  <c r="F5" i="14"/>
  <c r="E5" i="14"/>
  <c r="D5" i="14"/>
  <c r="C5" i="14"/>
  <c r="B5" i="14"/>
  <c r="G5" i="14" s="1"/>
  <c r="F4" i="14"/>
  <c r="F16" i="14" s="1"/>
  <c r="E4" i="14"/>
  <c r="E16" i="14" s="1"/>
  <c r="D4" i="14"/>
  <c r="D16" i="14" s="1"/>
  <c r="C4" i="14"/>
  <c r="C16" i="14" s="1"/>
  <c r="B4" i="14"/>
  <c r="G4" i="14" s="1"/>
  <c r="B43" i="13"/>
  <c r="B46" i="12"/>
  <c r="B42" i="11"/>
  <c r="B51" i="10"/>
  <c r="B46" i="9"/>
  <c r="B49" i="8"/>
  <c r="B49" i="7"/>
  <c r="B45" i="6"/>
  <c r="B42" i="5"/>
  <c r="B45" i="4"/>
  <c r="B45" i="3"/>
  <c r="B51" i="2"/>
  <c r="B16" i="14" l="1"/>
  <c r="G16" i="14" s="1"/>
</calcChain>
</file>

<file path=xl/sharedStrings.xml><?xml version="1.0" encoding="utf-8"?>
<sst xmlns="http://schemas.openxmlformats.org/spreadsheetml/2006/main" count="1904" uniqueCount="974">
  <si>
    <t>ISMS-IMP-A.8.24.1  -  Data Transmission Assessment
ISO/IEC 27001:2022 - Control A.8.24: Use of Cryptography</t>
  </si>
  <si>
    <t>Document Information</t>
  </si>
  <si>
    <t>Document ID</t>
  </si>
  <si>
    <t>ISMS-IMP-A.8.24.1</t>
  </si>
  <si>
    <t>Assessment Area</t>
  </si>
  <si>
    <t>Data Transmission Cryptographic Controls</t>
  </si>
  <si>
    <t>Related Policy</t>
  </si>
  <si>
    <t>ISMS-POL-A.8.24-S2.2</t>
  </si>
  <si>
    <t>Version</t>
  </si>
  <si>
    <t>1.0</t>
  </si>
  <si>
    <t>Assessment Date</t>
  </si>
  <si>
    <t>Completed By</t>
  </si>
  <si>
    <t>Organization</t>
  </si>
  <si>
    <t>Review Cycle</t>
  </si>
  <si>
    <t>Quarterly</t>
  </si>
  <si>
    <t>HOW TO USE THIS WORKBOOK</t>
  </si>
  <si>
    <t>1. Complete each worksheet tab for applicable systems/services.</t>
  </si>
  <si>
    <t>2. Use dropdown menus for standardized entries (Status, Remediation, etc.).</t>
  </si>
  <si>
    <t>3. Fill in yellow-highlighted cells with your information.</t>
  </si>
  <si>
    <t>4. If Status = Partial or Non-Compliant, complete the Exception/Deviation section.</t>
  </si>
  <si>
    <t>5. Check all applicable items in the Compliance Checklist for each section.</t>
  </si>
  <si>
    <t>6. Provide evidence location/path for each implementation entry.</t>
  </si>
  <si>
    <t>7. Summary Dashboard auto-calculates compliance statistics.</t>
  </si>
  <si>
    <t>8. Maintain the Evidence Register for audit traceability.</t>
  </si>
  <si>
    <t>9. Obtain final approval and sign-off in the Approval Sign-Off sheet.</t>
  </si>
  <si>
    <t>STATUS LEGEND</t>
  </si>
  <si>
    <t>Symbol</t>
  </si>
  <si>
    <t>Status</t>
  </si>
  <si>
    <t>Description</t>
  </si>
  <si>
    <t>✅</t>
  </si>
  <si>
    <t>Compliant</t>
  </si>
  <si>
    <t>Fully meets policy requirements</t>
  </si>
  <si>
    <t>⚠️</t>
  </si>
  <si>
    <t>Partial</t>
  </si>
  <si>
    <t>Some requirements met, gaps exist</t>
  </si>
  <si>
    <t>❌</t>
  </si>
  <si>
    <t>Non-Compliant</t>
  </si>
  <si>
    <t>Does not meet policy requirements</t>
  </si>
  <si>
    <t>N/A</t>
  </si>
  <si>
    <t>Not Applicable</t>
  </si>
  <si>
    <t>Requirement does not apply</t>
  </si>
  <si>
    <t>ACCEPTABLE EVIDENCE (examples)</t>
  </si>
  <si>
    <t>✓ Configuration files or screenshots</t>
  </si>
  <si>
    <t>✓ Network scan results (e.g., SSL Labs, nmap, testssl.sh)</t>
  </si>
  <si>
    <t>✓ System documentation / architecture diagrams</t>
  </si>
  <si>
    <t>✓ Vendor specifications / encryption statements</t>
  </si>
  <si>
    <t>✓ Certificate inventory / key management records</t>
  </si>
  <si>
    <t>✓ Audit logs / SIEM evidence</t>
  </si>
  <si>
    <t>✓ Compliance reports / exception approvals</t>
  </si>
  <si>
    <t>1.1 HTTPS/TLS - External Web Services
Policy Requirement: All externally accessible web services MUST use TLS encryption with valid certificates from trusted CAs (Policy Section 2.2.1)</t>
  </si>
  <si>
    <t>Does your organization have external-facing web services or websites?</t>
  </si>
  <si>
    <t>Response:</t>
  </si>
  <si>
    <t>Service Description</t>
  </si>
  <si>
    <t>Current TLS Version</t>
  </si>
  <si>
    <t>Certificate Source (CA)</t>
  </si>
  <si>
    <t>Certificate Validity</t>
  </si>
  <si>
    <t>Evidence Location</t>
  </si>
  <si>
    <t>Gap Description</t>
  </si>
  <si>
    <t>Remediation Needed</t>
  </si>
  <si>
    <t>Example entry (see markdown spec)</t>
  </si>
  <si>
    <t>www.company.com</t>
  </si>
  <si>
    <t>TLS 1.3</t>
  </si>
  <si>
    <t>DigiCert SHA-256</t>
  </si>
  <si>
    <t>Valid until 2026-12-31</t>
  </si>
  <si>
    <t>✅ Compliant</t>
  </si>
  <si>
    <t>SSL Labs Report A+</t>
  </si>
  <si>
    <t>No</t>
  </si>
  <si>
    <t>portal.company.com</t>
  </si>
  <si>
    <t>Let's Encrypt</t>
  </si>
  <si>
    <t>Valid until 2026-06-15</t>
  </si>
  <si>
    <t>Certbot auto-renew logs</t>
  </si>
  <si>
    <t>api.company.com</t>
  </si>
  <si>
    <t>DigiCert EV SSL</t>
  </si>
  <si>
    <t>Valid until 2027-03-20</t>
  </si>
  <si>
    <t>AWS Certificate Manager</t>
  </si>
  <si>
    <t>mail.company.com</t>
  </si>
  <si>
    <t>TLS 1.2</t>
  </si>
  <si>
    <t>GoDaddy SSL</t>
  </si>
  <si>
    <t>Expires 2026-02-28</t>
  </si>
  <si>
    <t>⚠️ Partial</t>
  </si>
  <si>
    <t>Renewal scheduled Q1</t>
  </si>
  <si>
    <t>Upgrade to TLS 1.3</t>
  </si>
  <si>
    <t>Yes</t>
  </si>
  <si>
    <t>mobile-api.company.com</t>
  </si>
  <si>
    <t>DigiCert</t>
  </si>
  <si>
    <t>Valid until 2026-11-30</t>
  </si>
  <si>
    <t>Auto-rotation enabled</t>
  </si>
  <si>
    <t>partners.company.com</t>
  </si>
  <si>
    <t>GlobalSign</t>
  </si>
  <si>
    <t>Valid until 2027-01-15</t>
  </si>
  <si>
    <t>SAN certificate</t>
  </si>
  <si>
    <t>cdn.company.com</t>
  </si>
  <si>
    <t>Cloudflare Universal</t>
  </si>
  <si>
    <t>Valid until 2027-06-01</t>
  </si>
  <si>
    <t>Cloudflare managed</t>
  </si>
  <si>
    <t>admin.company.com</t>
  </si>
  <si>
    <t>Valid until 2026-09-15</t>
  </si>
  <si>
    <t>EV cert + HSM backup</t>
  </si>
  <si>
    <t>shop.company.com</t>
  </si>
  <si>
    <t>Sectigo</t>
  </si>
  <si>
    <t>Valid until 2026-08-20</t>
  </si>
  <si>
    <t>E-commerce certificate</t>
  </si>
  <si>
    <t>docs.company.com</t>
  </si>
  <si>
    <t>Valid until 2026-04-10</t>
  </si>
  <si>
    <t>Auto-renew via certbot</t>
  </si>
  <si>
    <t>legacy.company.com</t>
  </si>
  <si>
    <t>TLS 1.1</t>
  </si>
  <si>
    <t>Self-signed</t>
  </si>
  <si>
    <t>Expired 2024-01-01</t>
  </si>
  <si>
    <t>❌ Non-Compliant</t>
  </si>
  <si>
    <t>Legacy system logs</t>
  </si>
  <si>
    <t>URGENT: Decommission or upgrade</t>
  </si>
  <si>
    <t>vpn.company.com</t>
  </si>
  <si>
    <t>Internal CA</t>
  </si>
  <si>
    <t>Valid until 2025-12-31</t>
  </si>
  <si>
    <t>Internal PKI</t>
  </si>
  <si>
    <t>Plan TLS 1.3 upgrade</t>
  </si>
  <si>
    <t>test.company.com</t>
  </si>
  <si>
    <t>Valid until 2026-03-01</t>
  </si>
  <si>
    <t>Test environment</t>
  </si>
  <si>
    <t>Use valid certificate</t>
  </si>
  <si>
    <t>blog.company.com</t>
  </si>
  <si>
    <t>Valid until 2026-07-15</t>
  </si>
  <si>
    <t>WordPress auto-SSL</t>
  </si>
  <si>
    <t>status.company.com</t>
  </si>
  <si>
    <t>Valid until 2026-10-01</t>
  </si>
  <si>
    <t>Status page service</t>
  </si>
  <si>
    <t>Additional Details</t>
  </si>
  <si>
    <t>Number of external web services:</t>
  </si>
  <si>
    <t>Certificate expiration monitoring configured:</t>
  </si>
  <si>
    <t>Automated certificate renewal (REQUIRED for public CAs by Mar 2026):</t>
  </si>
  <si>
    <t>Certificate inventory maintained:</t>
  </si>
  <si>
    <t>COMPLIANCE CHECKLIST</t>
  </si>
  <si>
    <t>☐</t>
  </si>
  <si>
    <t>Requirement</t>
  </si>
  <si>
    <t>TLS 1.3 preferred OR TLS 1.2 minimum</t>
  </si>
  <si>
    <t>Valid certificates from trusted public CA</t>
  </si>
  <si>
    <t>Certificate validity: ≤398d (until Mar 2026), ≤200d (Mar 2026+), ≤100d (Mar 2027+), ≤47d (Mar 2029+)</t>
  </si>
  <si>
    <t>Self-signed certificates NOT used in production</t>
  </si>
  <si>
    <t>HTTP automatically redirects to HTTPS</t>
  </si>
  <si>
    <t>HSTS header configured</t>
  </si>
  <si>
    <t>Strong cipher suites configured</t>
  </si>
  <si>
    <t>Weak protocols disabled (TLS 1.1, 1.0, SSL)</t>
  </si>
  <si>
    <t>Perfect Forward Secrecy (PFS) enabled</t>
  </si>
  <si>
    <t>Certificate expiration alerts (≥ 30 days)</t>
  </si>
  <si>
    <t>Automation infrastructure ready for 47-day certificate lifecycle (by Mar 2029)</t>
  </si>
  <si>
    <t>Checklist Score:</t>
  </si>
  <si>
    <t>EXCEPTION / DEVIATION DOCUMENTATION (Complete if Status = Partial or Non-Compliant)</t>
  </si>
  <si>
    <t>Formal exception request submitted:</t>
  </si>
  <si>
    <t>Exception ID:</t>
  </si>
  <si>
    <t>Risk acceptance documented:</t>
  </si>
  <si>
    <t>Risk ID:</t>
  </si>
  <si>
    <t>Compensating Controls (summary):</t>
  </si>
  <si>
    <t>☐ Network segmentation / firewall restrictions</t>
  </si>
  <si>
    <t>☐ Enhanced monitoring / alerting</t>
  </si>
  <si>
    <t>☐ IP allowlisting / access restrictions</t>
  </si>
  <si>
    <t>☐ Other (describe):</t>
  </si>
  <si>
    <t>Remediation actions required:</t>
  </si>
  <si>
    <t>Responsible person:</t>
  </si>
  <si>
    <t>Target completion date:</t>
  </si>
  <si>
    <t>Budget required:</t>
  </si>
  <si>
    <t>ADDITIONAL NOTES / COMMENTS</t>
  </si>
  <si>
    <t>1.2 HTTPS/TLS - Internal Web Services
Policy Requirement: Internal web services containing sensitive data (Confidential or Restricted classification) MUST use TLS (Policy Section 2.2.1)</t>
  </si>
  <si>
    <t>Does your organization have internal web services (intranet, internal portals, internal APIs)?</t>
  </si>
  <si>
    <t>Data Classification</t>
  </si>
  <si>
    <t>Certificate Type</t>
  </si>
  <si>
    <t>intranet.internal</t>
  </si>
  <si>
    <t>Valid until 2026-12-01</t>
  </si>
  <si>
    <t>AD Certificate Services</t>
  </si>
  <si>
    <t>gitlab.internal</t>
  </si>
  <si>
    <t>Valid until 2026-11-15</t>
  </si>
  <si>
    <t>GitLab SSL config</t>
  </si>
  <si>
    <t>jenkins.internal</t>
  </si>
  <si>
    <t>Valid until 2026-10-20</t>
  </si>
  <si>
    <t>Jenkins HTTPS setup</t>
  </si>
  <si>
    <t>grafana.internal</t>
  </si>
  <si>
    <t>Valid until 2026-09-30</t>
  </si>
  <si>
    <t>Grafana SSL logs</t>
  </si>
  <si>
    <t>prometheus.internal</t>
  </si>
  <si>
    <t>Prometheus config</t>
  </si>
  <si>
    <t>vault.internal</t>
  </si>
  <si>
    <t>Internal CA + HSM</t>
  </si>
  <si>
    <t>Valid until 2027-01-01</t>
  </si>
  <si>
    <t>Vault audit logs</t>
  </si>
  <si>
    <t>elasticsearch.internal</t>
  </si>
  <si>
    <t>ES cluster config</t>
  </si>
  <si>
    <t>kibana.internal</t>
  </si>
  <si>
    <t>Kibana SSL settings</t>
  </si>
  <si>
    <t>confluence.internal</t>
  </si>
  <si>
    <t>Confluence config</t>
  </si>
  <si>
    <t>jira.internal</t>
  </si>
  <si>
    <t>Jira SSL config</t>
  </si>
  <si>
    <t>monitoring.internal</t>
  </si>
  <si>
    <t>Valid until 2026-07-01</t>
  </si>
  <si>
    <t>Monitoring stack</t>
  </si>
  <si>
    <t>backup.internal</t>
  </si>
  <si>
    <t>Expired 2025-11-01</t>
  </si>
  <si>
    <t>Backup server logs</t>
  </si>
  <si>
    <t>Replace with valid cert</t>
  </si>
  <si>
    <t>Number of internal web services:</t>
  </si>
  <si>
    <t>Data classification(s) handled:</t>
  </si>
  <si>
    <t>Internal CA in use:</t>
  </si>
  <si>
    <t>Certificate management process documented:</t>
  </si>
  <si>
    <t>TLS 1.2+ for services with Confidential/Restricted data</t>
  </si>
  <si>
    <t>Valid certificates (internal CA acceptable)</t>
  </si>
  <si>
    <t>Services with non-sensitive data: Risk assessed and documented</t>
  </si>
  <si>
    <t>Certificate inventory maintained</t>
  </si>
  <si>
    <t>Certificate expiration monitoring configured</t>
  </si>
  <si>
    <t>2.1 Email Encryption
Policy Requirement: Emails containing classified information (Confidential or Restricted) MUST be encrypted when sent externally (Policy Section 2.2.2)</t>
  </si>
  <si>
    <t>Does your organization send emails containing classified information to external parties?</t>
  </si>
  <si>
    <t>Email System</t>
  </si>
  <si>
    <t>Encryption Solution</t>
  </si>
  <si>
    <t>Encryption Method</t>
  </si>
  <si>
    <t>User Adoption Rate</t>
  </si>
  <si>
    <t>Microsoft 365</t>
  </si>
  <si>
    <t>TLS 1.3 + S/MIME</t>
  </si>
  <si>
    <t>85% user adoption</t>
  </si>
  <si>
    <t>M365 Admin Center</t>
  </si>
  <si>
    <t>Increase S/MIME adoption to 95%</t>
  </si>
  <si>
    <t>Gmail Business</t>
  </si>
  <si>
    <t>Google Trust Services</t>
  </si>
  <si>
    <t>100% enforced</t>
  </si>
  <si>
    <t>Google Workspace Admin</t>
  </si>
  <si>
    <t>Internal Mail Server</t>
  </si>
  <si>
    <t>TLS 1.2 + PGP</t>
  </si>
  <si>
    <t>45% PGP adoption</t>
  </si>
  <si>
    <t>Postfix logs</t>
  </si>
  <si>
    <t>Promote PGP key usage</t>
  </si>
  <si>
    <t>Executive Email</t>
  </si>
  <si>
    <t>100% mandatory</t>
  </si>
  <si>
    <t>Certificate store audit</t>
  </si>
  <si>
    <t>Partner Email Gateway</t>
  </si>
  <si>
    <t>StartTLS</t>
  </si>
  <si>
    <t>90% TLS coverage</t>
  </si>
  <si>
    <t>Mail gateway logs</t>
  </si>
  <si>
    <t>Marketing Automation</t>
  </si>
  <si>
    <t>SendGrid</t>
  </si>
  <si>
    <t>100%</t>
  </si>
  <si>
    <t>SendGrid dashboard</t>
  </si>
  <si>
    <t>Support Tickets</t>
  </si>
  <si>
    <t>Zendesk</t>
  </si>
  <si>
    <t>Zendesk security</t>
  </si>
  <si>
    <t>Notification System</t>
  </si>
  <si>
    <t>AWS SES</t>
  </si>
  <si>
    <t>SES configuration</t>
  </si>
  <si>
    <t>Encryption solution in use:</t>
  </si>
  <si>
    <t>PKI infrastructure for email:</t>
  </si>
  <si>
    <t>User training provided:</t>
  </si>
  <si>
    <t>Encryption enforced via policy/DLP:</t>
  </si>
  <si>
    <t>S/MIME or PGP/GPG encryption available</t>
  </si>
  <si>
    <t>Users trained on when/how to encrypt sensitive emails</t>
  </si>
  <si>
    <t>PKI infrastructure in place for S/MIME</t>
  </si>
  <si>
    <t>Opportunistic TLS enabled for mail server connections</t>
  </si>
  <si>
    <t>STARTTLS enabled for SMTP</t>
  </si>
  <si>
    <t>2.2 Digital Signatures
Policy Requirement: Digital signatures RECOMMENDED for all external emails, REQUIRED for legal/financial/official communications (Policy Section 2.2.2)</t>
  </si>
  <si>
    <t>Does your organization use digital signatures for email?</t>
  </si>
  <si>
    <t>Use Case</t>
  </si>
  <si>
    <t>Signature Method</t>
  </si>
  <si>
    <t>Certificate Source</t>
  </si>
  <si>
    <t>Executive Contracts</t>
  </si>
  <si>
    <t>RSA-4096 + SHA-256</t>
  </si>
  <si>
    <t>DocuSign</t>
  </si>
  <si>
    <t>100% signed</t>
  </si>
  <si>
    <t>DocuSign audit trail</t>
  </si>
  <si>
    <t>Financial Documents</t>
  </si>
  <si>
    <t>Adobe Sign</t>
  </si>
  <si>
    <t>100% required</t>
  </si>
  <si>
    <t>Adobe audit logs</t>
  </si>
  <si>
    <t>Code Signing</t>
  </si>
  <si>
    <t>YubiKey HSM</t>
  </si>
  <si>
    <t>All releases</t>
  </si>
  <si>
    <t>CI/CD signing logs</t>
  </si>
  <si>
    <t>Internal Approvals</t>
  </si>
  <si>
    <t>RSA-2048 + SHA-256</t>
  </si>
  <si>
    <t>80% adoption</t>
  </si>
  <si>
    <t>Approval workflow logs</t>
  </si>
  <si>
    <t>Increase to 95%</t>
  </si>
  <si>
    <t>PDF Documents</t>
  </si>
  <si>
    <t>Adobe Acrobat</t>
  </si>
  <si>
    <t>All sensitive docs</t>
  </si>
  <si>
    <t>Document management</t>
  </si>
  <si>
    <t>Email Signatures</t>
  </si>
  <si>
    <t>S/MIME</t>
  </si>
  <si>
    <t>Executive only</t>
  </si>
  <si>
    <t>Certificate logs</t>
  </si>
  <si>
    <t>Expand to all users</t>
  </si>
  <si>
    <t>Legal Documents</t>
  </si>
  <si>
    <t>DocuSign + PKI</t>
  </si>
  <si>
    <t>Legal system logs</t>
  </si>
  <si>
    <t>Digital signatures used for:</t>
  </si>
  <si>
    <t>Certificate source:</t>
  </si>
  <si>
    <t>Digital signatures available for required use cases</t>
  </si>
  <si>
    <t>Email certificates issued from trusted CA or internal PKI</t>
  </si>
  <si>
    <t>Certificate validity ≤ 1 year</t>
  </si>
  <si>
    <t>Users trained on digital signature usage</t>
  </si>
  <si>
    <t>3.1 Secure File Transfer
Policy Requirement: File transfers containing sensitive data MUST use encrypted protocols (SFTP, FTPS, HTTPS). Unencrypted FTP is PROHIBITED (Policy Section 2.2.3)</t>
  </si>
  <si>
    <t>Does your organization transfer files containing sensitive data to/from external parties or between systems?</t>
  </si>
  <si>
    <t>Transfer Method/System</t>
  </si>
  <si>
    <t>Protocol Used</t>
  </si>
  <si>
    <t>Authentication Method</t>
  </si>
  <si>
    <t>SFTP Production</t>
  </si>
  <si>
    <t>SSH-2 (RSA-4096)</t>
  </si>
  <si>
    <t>Key-based</t>
  </si>
  <si>
    <t>Port 22</t>
  </si>
  <si>
    <t>SFTP server logs</t>
  </si>
  <si>
    <t>FTPS Partner Gateway</t>
  </si>
  <si>
    <t>Certificate-based</t>
  </si>
  <si>
    <t>Port 990</t>
  </si>
  <si>
    <t>FileZilla logs</t>
  </si>
  <si>
    <t>SCP Internal</t>
  </si>
  <si>
    <t>SSH-2 (Ed25519)</t>
  </si>
  <si>
    <t>SSH audit logs</t>
  </si>
  <si>
    <t>Legacy FTP</t>
  </si>
  <si>
    <t>FTP (plaintext)</t>
  </si>
  <si>
    <t>Password</t>
  </si>
  <si>
    <t>Port 21</t>
  </si>
  <si>
    <t>Old FTP logs</t>
  </si>
  <si>
    <t>URGENT: Migrate to SFTP</t>
  </si>
  <si>
    <t>HTTPS File Upload</t>
  </si>
  <si>
    <t>Certificate</t>
  </si>
  <si>
    <t>Port 443</t>
  </si>
  <si>
    <t>Web server logs</t>
  </si>
  <si>
    <t>rsync Backups</t>
  </si>
  <si>
    <t>Backup logs</t>
  </si>
  <si>
    <t>AWS S3 Transfer</t>
  </si>
  <si>
    <t>IAM + KMS</t>
  </si>
  <si>
    <t>CloudTrail logs</t>
  </si>
  <si>
    <t>Azure Files</t>
  </si>
  <si>
    <t>SMB 3.1.1 + TLS 1.3</t>
  </si>
  <si>
    <t>Kerberos + cert</t>
  </si>
  <si>
    <t>Port 445</t>
  </si>
  <si>
    <t>Azure Storage logs</t>
  </si>
  <si>
    <t>Approved protocols in use:</t>
  </si>
  <si>
    <t>Prohibited protocols detected:</t>
  </si>
  <si>
    <t>Authentication:</t>
  </si>
  <si>
    <t>SFTP, FTPS, or HTTPS used for sensitive file transfers</t>
  </si>
  <si>
    <t>Plain FTP NOT used for sensitive data</t>
  </si>
  <si>
    <t>Strong authentication configured (key-based preferred)</t>
  </si>
  <si>
    <t>MFA required for external file transfer</t>
  </si>
  <si>
    <t>File transfer logging enabled</t>
  </si>
  <si>
    <t>SSH keys rotated annually (if SFTP used)</t>
  </si>
  <si>
    <t>4.1 VPN (Virtual Private Network)
Policy Requirement: All remote access to organizational networks MUST use encrypted VPN with approved protocols (IPsec, WireGuard, OpenVPN). MFA REQUIRED (Policy Section 2.2.4)</t>
  </si>
  <si>
    <t>Does your organization provide remote access via VPN?</t>
  </si>
  <si>
    <t>VPN Solution</t>
  </si>
  <si>
    <t>Protocol</t>
  </si>
  <si>
    <t>Encryption Algorithm</t>
  </si>
  <si>
    <t>MFA Enabled</t>
  </si>
  <si>
    <t>Employee VPN (OpenVPN)</t>
  </si>
  <si>
    <t>AES-256-GCM + RSA-4096</t>
  </si>
  <si>
    <t>MFA required</t>
  </si>
  <si>
    <t>VPN server logs + MFA logs</t>
  </si>
  <si>
    <t>Site-to-Site VPN (IPSec)</t>
  </si>
  <si>
    <t>IKEv2</t>
  </si>
  <si>
    <t>AES-256-CBC + DH Group 14</t>
  </si>
  <si>
    <t>Pre-shared key</t>
  </si>
  <si>
    <t>Firewall logs</t>
  </si>
  <si>
    <t>Add certificate auth + DH 20</t>
  </si>
  <si>
    <t>Executive VPN (WireGuard)</t>
  </si>
  <si>
    <t>WireGuard</t>
  </si>
  <si>
    <t>ChaCha20-Poly1305 + Curve25519</t>
  </si>
  <si>
    <t>MFA + device cert</t>
  </si>
  <si>
    <t>WireGuard logs + MDM</t>
  </si>
  <si>
    <t>Partner VPN (SSL)</t>
  </si>
  <si>
    <t>AES-256-GCM + ECDHE</t>
  </si>
  <si>
    <t>Certificate + MFA</t>
  </si>
  <si>
    <t>SSL VPN access logs</t>
  </si>
  <si>
    <t>Contractor VPN (OpenVPN)</t>
  </si>
  <si>
    <t>AES-128-CBC + RSA-2048</t>
  </si>
  <si>
    <t>Password only</t>
  </si>
  <si>
    <t>Legacy VPN config</t>
  </si>
  <si>
    <t>Upgrade: TLS 1.3 + MFA + AES-256</t>
  </si>
  <si>
    <t>Remote Admin VPN</t>
  </si>
  <si>
    <t>MFA + FIDO2</t>
  </si>
  <si>
    <t>Admin VPN audit logs</t>
  </si>
  <si>
    <t>Vendor VPN (Temporary)</t>
  </si>
  <si>
    <t>AES-256-GCM</t>
  </si>
  <si>
    <t>Time-limited certs</t>
  </si>
  <si>
    <t>Vendor access logs</t>
  </si>
  <si>
    <t>VPN protocol in use:</t>
  </si>
  <si>
    <t>Encryption algorithm:</t>
  </si>
  <si>
    <t>Number of VPN users:</t>
  </si>
  <si>
    <t>MFA solution:</t>
  </si>
  <si>
    <t>Split-tunneling:</t>
  </si>
  <si>
    <t>Approved VPN protocol (IPsec/IKEv2, WireGuard, OpenVPN with TLS 1.2+)</t>
  </si>
  <si>
    <t>AES-256 or ChaCha20 encryption</t>
  </si>
  <si>
    <t>MFA required for all VPN connections</t>
  </si>
  <si>
    <t>Certificate-based authentication (preferred) OR strong pre-shared key</t>
  </si>
  <si>
    <t>VPN session timeout configured (≤30 minutes idle)</t>
  </si>
  <si>
    <t>Split-tunneling disabled (or documented exception)</t>
  </si>
  <si>
    <t>VPN access logs retained and reviewed</t>
  </si>
  <si>
    <t>4.2 SSH (Secure Shell)
Policy Requirement: SSH REQUIRED for all administrative and remote terminal access. SSH protocol version 2 REQUIRED, password authentication SHOULD be disabled (Policy Section 2.2.4)</t>
  </si>
  <si>
    <t>Does your organization use SSH for remote system administration?</t>
  </si>
  <si>
    <t>System/Service</t>
  </si>
  <si>
    <t>SSH Version</t>
  </si>
  <si>
    <t>Key Algorithm</t>
  </si>
  <si>
    <t>Production Servers</t>
  </si>
  <si>
    <t>Key-based + FIDO2</t>
  </si>
  <si>
    <t>Bastion required</t>
  </si>
  <si>
    <t>SSH audit logs + Bastion</t>
  </si>
  <si>
    <t>Development Servers</t>
  </si>
  <si>
    <t>Direct access</t>
  </si>
  <si>
    <t>Dev SSH logs</t>
  </si>
  <si>
    <t>Database Servers</t>
  </si>
  <si>
    <t>Key + MFA</t>
  </si>
  <si>
    <t>Bastion + audit</t>
  </si>
  <si>
    <t>DB SSH logs</t>
  </si>
  <si>
    <t>Network Devices</t>
  </si>
  <si>
    <t>SSH-2 (RSA-2048)</t>
  </si>
  <si>
    <t>Password + TACACS+</t>
  </si>
  <si>
    <t>Cisco devices</t>
  </si>
  <si>
    <t>TACACS+ logs</t>
  </si>
  <si>
    <t>Migrate to key-based</t>
  </si>
  <si>
    <t>IoT Devices</t>
  </si>
  <si>
    <t>Default passwords</t>
  </si>
  <si>
    <t>Embedded systems</t>
  </si>
  <si>
    <t>IoT inventory</t>
  </si>
  <si>
    <t>Implement key management</t>
  </si>
  <si>
    <t>Jump/Bastion Host</t>
  </si>
  <si>
    <t>Key + FIDO2 + session recording</t>
  </si>
  <si>
    <t>All access logged</t>
  </si>
  <si>
    <t>Bastion audit logs</t>
  </si>
  <si>
    <t>Git Repository Access</t>
  </si>
  <si>
    <t>GitLab/GitHub</t>
  </si>
  <si>
    <t>Git SSH logs</t>
  </si>
  <si>
    <t>Backup Server Access</t>
  </si>
  <si>
    <t>Restricted IPs</t>
  </si>
  <si>
    <t>Backup SSH logs</t>
  </si>
  <si>
    <t>SSH protocol version:</t>
  </si>
  <si>
    <t>Authentication method:</t>
  </si>
  <si>
    <t>SSH key types in use:</t>
  </si>
  <si>
    <t>Root login via SSH:</t>
  </si>
  <si>
    <t>SSH key rotation schedule:</t>
  </si>
  <si>
    <t>SSH protocol version 2 only (SSHv1 disabled)</t>
  </si>
  <si>
    <t>Key-based authentication (password auth disabled preferred)</t>
  </si>
  <si>
    <t>Minimum key length: RSA 2048-bit or Ed25519</t>
  </si>
  <si>
    <t>Root login disabled</t>
  </si>
  <si>
    <t>SSH keys rotated annually</t>
  </si>
  <si>
    <t>Unused SSH keys removed</t>
  </si>
  <si>
    <t>Strong algorithms configured (per Policy Appendix A)</t>
  </si>
  <si>
    <t>Weak algorithms disabled (DSA, MD5, SHA-1)</t>
  </si>
  <si>
    <t>4.3 RDP (Remote Desktop Protocol)
Policy Requirement: RDP connections MUST be encrypted using TLS. RDP MUST NOT be directly exposed to the Internet (Policy Section 2.2.4)</t>
  </si>
  <si>
    <t>Does your organization use RDP for remote access?</t>
  </si>
  <si>
    <t>System/Environment</t>
  </si>
  <si>
    <t>RDP Access Method</t>
  </si>
  <si>
    <t>TLS Encryption</t>
  </si>
  <si>
    <t>NLA Enabled</t>
  </si>
  <si>
    <t>Windows Servers</t>
  </si>
  <si>
    <t>RDP with NLA + TLS 1.3</t>
  </si>
  <si>
    <t>AES-256</t>
  </si>
  <si>
    <t>MFA enforced</t>
  </si>
  <si>
    <t>RDP logs + MFA events</t>
  </si>
  <si>
    <t>Windows Workstations</t>
  </si>
  <si>
    <t>RDP with NLA + TLS 1.2</t>
  </si>
  <si>
    <t>AES-128</t>
  </si>
  <si>
    <t>Workstation RDP logs</t>
  </si>
  <si>
    <t>Enforce MFA + TLS 1.3</t>
  </si>
  <si>
    <t>Terminal Servers</t>
  </si>
  <si>
    <t>MFA + smartcard</t>
  </si>
  <si>
    <t>Terminal server logs</t>
  </si>
  <si>
    <t>Legacy Systems</t>
  </si>
  <si>
    <t>RDP without NLA</t>
  </si>
  <si>
    <t>RC4 (weak)</t>
  </si>
  <si>
    <t>Legacy RDP logs</t>
  </si>
  <si>
    <t>URGENT: Enable NLA + TLS 1.3</t>
  </si>
  <si>
    <t>Admin Workstations</t>
  </si>
  <si>
    <t>FIDO2 required</t>
  </si>
  <si>
    <t>Admin RDP audit</t>
  </si>
  <si>
    <t>Jump Server RDP</t>
  </si>
  <si>
    <t>AES-256 + session recording</t>
  </si>
  <si>
    <t>Jump server logs</t>
  </si>
  <si>
    <t>RDP access method:</t>
  </si>
  <si>
    <t>Network Level Authentication (NLA):</t>
  </si>
  <si>
    <t>MFA for RDP:</t>
  </si>
  <si>
    <t>RDP encryption level:</t>
  </si>
  <si>
    <t>RDP accessed through VPN or jump host (NOT directly exposed)</t>
  </si>
  <si>
    <t>TLS encryption configured</t>
  </si>
  <si>
    <t>Network Level Authentication (NLA) enabled</t>
  </si>
  <si>
    <t>RDP encryption level set to 'High'</t>
  </si>
  <si>
    <t>MFA required for production system access</t>
  </si>
  <si>
    <t>RDP session recording (recommended for privileged access)</t>
  </si>
  <si>
    <t>5.1 API Security
Policy Requirement: API endpoints MUST use HTTPS with TLS 1.2+. API authentication MUST use OAuth 2.0, API keys (256-bit entropy), or mutual TLS (Policy Section 2.2.5)</t>
  </si>
  <si>
    <t>Does your organization expose APIs (REST, SOAP, GraphQL, etc.)?</t>
  </si>
  <si>
    <t>API Name/Service</t>
  </si>
  <si>
    <t>TLS Version</t>
  </si>
  <si>
    <t>API Key Management</t>
  </si>
  <si>
    <t>Token Expiry</t>
  </si>
  <si>
    <t>REST API (Public)</t>
  </si>
  <si>
    <t>JWT + OAuth 2.0</t>
  </si>
  <si>
    <t>API Gateway logs</t>
  </si>
  <si>
    <t>GraphQL API</t>
  </si>
  <si>
    <t>API Key + JWT</t>
  </si>
  <si>
    <t>GraphQL server logs</t>
  </si>
  <si>
    <t>Internal Microservices</t>
  </si>
  <si>
    <t>mTLS (TLS 1.3)</t>
  </si>
  <si>
    <t>Service mesh certs</t>
  </si>
  <si>
    <t>Istio/Linkerd logs</t>
  </si>
  <si>
    <t>Partner API</t>
  </si>
  <si>
    <t>Client certificates</t>
  </si>
  <si>
    <t>Partner API logs</t>
  </si>
  <si>
    <t>Mobile App API</t>
  </si>
  <si>
    <t>TLS 1.3 + Certificate Pinning</t>
  </si>
  <si>
    <t>JWT + refresh tokens</t>
  </si>
  <si>
    <t>Mobile API logs</t>
  </si>
  <si>
    <t>Legacy SOAP API</t>
  </si>
  <si>
    <t>AES-128-CBC</t>
  </si>
  <si>
    <t>WS-Security (username)</t>
  </si>
  <si>
    <t>SOAP logs</t>
  </si>
  <si>
    <t>Upgrade TLS 1.3 + OAuth</t>
  </si>
  <si>
    <t>Webhook Endpoints</t>
  </si>
  <si>
    <t>HMAC signatures</t>
  </si>
  <si>
    <t>Webhook logs</t>
  </si>
  <si>
    <t>Admin API</t>
  </si>
  <si>
    <t>TLS 1.3 + mTLS</t>
  </si>
  <si>
    <t>Client cert + RBAC</t>
  </si>
  <si>
    <t>Admin API audit</t>
  </si>
  <si>
    <t>Number of APIs:</t>
  </si>
  <si>
    <t>API authentication:</t>
  </si>
  <si>
    <t>API key entropy:</t>
  </si>
  <si>
    <t>API key rotation:</t>
  </si>
  <si>
    <t>API keys stored in:</t>
  </si>
  <si>
    <t>All API endpoints use HTTPS (TLS 1.2+)</t>
  </si>
  <si>
    <t>HTTP endpoints disabled or blocked</t>
  </si>
  <si>
    <t>OAuth 2.0 with PKCE (for user-facing APIs)</t>
  </si>
  <si>
    <t>API keys have ≥256-bit entropy</t>
  </si>
  <si>
    <t>API keys rotate every 90 days</t>
  </si>
  <si>
    <t>API keys stored in secrets manager (NOT in code/config)</t>
  </si>
  <si>
    <t>Access tokens expire within 1 hour</t>
  </si>
  <si>
    <t>Refresh tokens expire within 24 hours</t>
  </si>
  <si>
    <t>Rate limiting implemented per API key</t>
  </si>
  <si>
    <t>API keys NOT passed in URL query parameters</t>
  </si>
  <si>
    <t>6.1 Database Connections
Policy Requirement: Database connections MUST use encrypted protocols (TLS for PostgreSQL/MySQL, encrypted connections for MSSQL) (Policy Section 2.2.6)</t>
  </si>
  <si>
    <t>Does your organization have applications connecting to databases?</t>
  </si>
  <si>
    <t>Database System</t>
  </si>
  <si>
    <t>Connection Encryption</t>
  </si>
  <si>
    <t>Certificate Validation</t>
  </si>
  <si>
    <t>PostgreSQL Production</t>
  </si>
  <si>
    <t>TLS 1.3 + SCRAM-SHA-256</t>
  </si>
  <si>
    <t>Certificate required</t>
  </si>
  <si>
    <t>PostgreSQL logs</t>
  </si>
  <si>
    <t>MySQL Cluster</t>
  </si>
  <si>
    <t>Certificate + password</t>
  </si>
  <si>
    <t>MySQL SSL status</t>
  </si>
  <si>
    <t>SQL Server</t>
  </si>
  <si>
    <t>TLS 1.3 + Kerberos</t>
  </si>
  <si>
    <t>Windows Auth</t>
  </si>
  <si>
    <t>SQL Server DMVs</t>
  </si>
  <si>
    <t>MongoDB</t>
  </si>
  <si>
    <t>TLS 1.3 + SCRAM</t>
  </si>
  <si>
    <t>X.509 certificates</t>
  </si>
  <si>
    <t>MongoDB logs</t>
  </si>
  <si>
    <t>Redis</t>
  </si>
  <si>
    <t>ACL + password</t>
  </si>
  <si>
    <t>Redis ACL logs</t>
  </si>
  <si>
    <t>Oracle Database</t>
  </si>
  <si>
    <t>TLS 1.2 + Oracle Native</t>
  </si>
  <si>
    <t>AES-192</t>
  </si>
  <si>
    <t>Oracle audit</t>
  </si>
  <si>
    <t>Upgrade TLS 1.3 + AES-256</t>
  </si>
  <si>
    <t>Elasticsearch</t>
  </si>
  <si>
    <t>TLS 1.3 + SAML</t>
  </si>
  <si>
    <t>Certificate + RBAC</t>
  </si>
  <si>
    <t>ES security logs</t>
  </si>
  <si>
    <t>Cassandra</t>
  </si>
  <si>
    <t>Certificate auth</t>
  </si>
  <si>
    <t>Cassandra audit</t>
  </si>
  <si>
    <t>MariaDB</t>
  </si>
  <si>
    <t>MariaDB SSL logs</t>
  </si>
  <si>
    <t>DynamoDB</t>
  </si>
  <si>
    <t>TLS 1.3 + IAM</t>
  </si>
  <si>
    <t>IAM roles</t>
  </si>
  <si>
    <t>Database systems in use:</t>
  </si>
  <si>
    <t>Connection encryption enforced:</t>
  </si>
  <si>
    <t>Database connections encrypted (TLS/SSL)</t>
  </si>
  <si>
    <t>Certificate validation enabled (not 'trust any certificate')</t>
  </si>
  <si>
    <t>Self-signed certificates only for internal databases (with proper CA)</t>
  </si>
  <si>
    <t>Unencrypted connections disabled or documented exception</t>
  </si>
  <si>
    <t>6.2 Wireless Networks
Policy Requirement: Wireless networks MUST use WPA3-Enterprise or WPA2-Enterprise minimum. WEP and WPA (original) PROHIBITED (Policy Section 2.2.6)</t>
  </si>
  <si>
    <t>Does your organization have wireless networks?</t>
  </si>
  <si>
    <t>Network SSID</t>
  </si>
  <si>
    <t>Encryption Standard</t>
  </si>
  <si>
    <t>Corporate WiFi</t>
  </si>
  <si>
    <t>WPA3-Enterprise</t>
  </si>
  <si>
    <t>AES-256 + 802.1X</t>
  </si>
  <si>
    <t>RADIUS + certificates</t>
  </si>
  <si>
    <t>RADIUS logs + AP logs</t>
  </si>
  <si>
    <t>Guest WiFi</t>
  </si>
  <si>
    <t>WPA3-Personal</t>
  </si>
  <si>
    <t>Captive portal</t>
  </si>
  <si>
    <t>Guest access logs</t>
  </si>
  <si>
    <t>IoT WiFi</t>
  </si>
  <si>
    <t>WPA2-Enterprise</t>
  </si>
  <si>
    <t>Device certificates</t>
  </si>
  <si>
    <t>IoT VLAN logs</t>
  </si>
  <si>
    <t>Migrate to WPA3</t>
  </si>
  <si>
    <t>Executive Floor</t>
  </si>
  <si>
    <t>RADIUS + FIDO2</t>
  </si>
  <si>
    <t>Executive AP logs</t>
  </si>
  <si>
    <t>Conference Rooms</t>
  </si>
  <si>
    <t>Daily rotating PSK</t>
  </si>
  <si>
    <t>Conference WiFi logs</t>
  </si>
  <si>
    <t>Warehouse WiFi</t>
  </si>
  <si>
    <t>WPA2-Personal</t>
  </si>
  <si>
    <t>Shared PSK</t>
  </si>
  <si>
    <t>Warehouse AP logs</t>
  </si>
  <si>
    <t>Upgrade WPA3 + 802.1X</t>
  </si>
  <si>
    <t>Data Center WiFi</t>
  </si>
  <si>
    <t>Disabled</t>
  </si>
  <si>
    <t>Wired only</t>
  </si>
  <si>
    <t>DC access policy</t>
  </si>
  <si>
    <t>Corporate WiFi encryption:</t>
  </si>
  <si>
    <t>Guest WiFi:</t>
  </si>
  <si>
    <t>802.1X authentication:</t>
  </si>
  <si>
    <t>WiFi password strength:</t>
  </si>
  <si>
    <t>WPA3-Enterprise or WPA2-Enterprise for corporate networks</t>
  </si>
  <si>
    <t>802.1X with EAP-TLS (certificate-based) preferred</t>
  </si>
  <si>
    <t>WPA2-Personal only with strong passphrase (≥20 characters)</t>
  </si>
  <si>
    <t>WEP and WPA (original) NOT used</t>
  </si>
  <si>
    <t>Guest wireless isolated from corporate network</t>
  </si>
  <si>
    <t>WiFi passwords rotated quarterly (for PSK networks)</t>
  </si>
  <si>
    <t>7.1 Cloud Data Transmission
Policy Requirement: Connections to cloud provider APIs MUST use TLS 1.2+. Private connectivity options (PrivateLink, Private Link, Private Service Connect) RECOMMENDED for high-volume or sensitive data (Policy Section 2.2.7)</t>
  </si>
  <si>
    <t>Does your organization use cloud services (AWS, Azure, GCP, SaaS)?</t>
  </si>
  <si>
    <t>Cloud Provider/Service</t>
  </si>
  <si>
    <t>Connection Method</t>
  </si>
  <si>
    <t>Encryption</t>
  </si>
  <si>
    <t>AWS Services</t>
  </si>
  <si>
    <t>CloudTrail + VPC Flow</t>
  </si>
  <si>
    <t>Azure Services</t>
  </si>
  <si>
    <t>Azure AD + Key Vault</t>
  </si>
  <si>
    <t>Azure Monitor</t>
  </si>
  <si>
    <t>GCP Services</t>
  </si>
  <si>
    <t>IAM + Cloud KMS</t>
  </si>
  <si>
    <t>Cloud Audit Logs</t>
  </si>
  <si>
    <t>AWS VPC Peering</t>
  </si>
  <si>
    <t>Encrypted in-transit</t>
  </si>
  <si>
    <t>VPC routing</t>
  </si>
  <si>
    <t>VPC peering logs</t>
  </si>
  <si>
    <t>Azure ExpressRoute</t>
  </si>
  <si>
    <t>Private connection + IPsec</t>
  </si>
  <si>
    <t>MACsec enabled</t>
  </si>
  <si>
    <t>ExpressRoute metrics</t>
  </si>
  <si>
    <t>GCP Interconnect</t>
  </si>
  <si>
    <t>Cloud VPN</t>
  </si>
  <si>
    <t>Interconnect logs</t>
  </si>
  <si>
    <t>Multi-cloud VPN</t>
  </si>
  <si>
    <t>TLS 1.3 + IPsec</t>
  </si>
  <si>
    <t>Site-to-site</t>
  </si>
  <si>
    <t>Multi-cloud logs</t>
  </si>
  <si>
    <t>CDN (CloudFront)</t>
  </si>
  <si>
    <t>AWS managed</t>
  </si>
  <si>
    <t>CloudFront logs</t>
  </si>
  <si>
    <t>CDN (Azure CDN)</t>
  </si>
  <si>
    <t>Azure managed</t>
  </si>
  <si>
    <t>CDN analytics</t>
  </si>
  <si>
    <t>SaaS Applications</t>
  </si>
  <si>
    <t>OAuth + SAML</t>
  </si>
  <si>
    <t>SSO audit logs</t>
  </si>
  <si>
    <t>Connection type:</t>
  </si>
  <si>
    <t>Data classification transmitted:</t>
  </si>
  <si>
    <t>Cloud providers used:</t>
  </si>
  <si>
    <t>TLS 1.2+ for all cloud API connections</t>
  </si>
  <si>
    <t>Private connectivity for Confidential/Restricted data (preferred)</t>
  </si>
  <si>
    <t>Cloud provider native encryption enabled</t>
  </si>
  <si>
    <t>Data encrypted in transit to/from cloud</t>
  </si>
  <si>
    <t>DATA TRANSMISSION ASSESSMENT - COMPLIANCE SUMMARY</t>
  </si>
  <si>
    <t>Total Items</t>
  </si>
  <si>
    <t>Compliance %</t>
  </si>
  <si>
    <t>1.1 External HTTPS/TLS</t>
  </si>
  <si>
    <t>1.2 Internal HTTPS/TLS</t>
  </si>
  <si>
    <t>2.1 Email Encryption</t>
  </si>
  <si>
    <t>2.2 Digital Signatures</t>
  </si>
  <si>
    <t>3.1 File Transfer</t>
  </si>
  <si>
    <t>4.1 VPN</t>
  </si>
  <si>
    <t>4.2 SSH</t>
  </si>
  <si>
    <t>4.3 RDP</t>
  </si>
  <si>
    <t>5.1 API Security</t>
  </si>
  <si>
    <t>6.1 Database Connections</t>
  </si>
  <si>
    <t>6.2 Wireless Networks</t>
  </si>
  <si>
    <t>7.1 Cloud Transmission</t>
  </si>
  <si>
    <t>TOTAL</t>
  </si>
  <si>
    <t>CRITICAL GAPS REQUIRING IMMEDIATE ATTENTION</t>
  </si>
  <si>
    <t>Priority</t>
  </si>
  <si>
    <t>Responsible Person</t>
  </si>
  <si>
    <t>Target Date</t>
  </si>
  <si>
    <t>EVIDENCE REGISTER</t>
  </si>
  <si>
    <t>List all evidence files/documents referenced in this assessment (audit traceability).</t>
  </si>
  <si>
    <t>Evidence ID</t>
  </si>
  <si>
    <t>Evidence Type</t>
  </si>
  <si>
    <t>Location/Path</t>
  </si>
  <si>
    <t>Date Collected</t>
  </si>
  <si>
    <t>Collected By</t>
  </si>
  <si>
    <t>Verification Status</t>
  </si>
  <si>
    <t>EV-001</t>
  </si>
  <si>
    <t>EV-002</t>
  </si>
  <si>
    <t>EV-003</t>
  </si>
  <si>
    <t>EV-004</t>
  </si>
  <si>
    <t>EV-005</t>
  </si>
  <si>
    <t>EVD-824.1-001</t>
  </si>
  <si>
    <t>SSL Labs Security Report - www.company.com</t>
  </si>
  <si>
    <t>Technical Report</t>
  </si>
  <si>
    <t>1.1 External HTTPS-TLS</t>
  </si>
  <si>
    <t>SharePoint/Evidence/TLS</t>
  </si>
  <si>
    <t>2026-01-10</t>
  </si>
  <si>
    <t>Security Team</t>
  </si>
  <si>
    <t>3 years</t>
  </si>
  <si>
    <t>Current</t>
  </si>
  <si>
    <t>EVD-824.1-002</t>
  </si>
  <si>
    <t>Certificate Inventory Export</t>
  </si>
  <si>
    <t>Spreadsheet</t>
  </si>
  <si>
    <t>SharePoint/Evidence/Certificates</t>
  </si>
  <si>
    <t>EVD-824.1-003</t>
  </si>
  <si>
    <t>Let's Encrypt Auto-Renewal Logs</t>
  </si>
  <si>
    <t>Log File</t>
  </si>
  <si>
    <t>S3/evidence/certbot-logs</t>
  </si>
  <si>
    <t>DevOps</t>
  </si>
  <si>
    <t>1 year</t>
  </si>
  <si>
    <t>EVD-824.1-004</t>
  </si>
  <si>
    <t>AWS ACM Certificate Configuration</t>
  </si>
  <si>
    <t>Screenshot</t>
  </si>
  <si>
    <t>SharePoint/Evidence/AWS</t>
  </si>
  <si>
    <t>Cloud Team</t>
  </si>
  <si>
    <t>2 years</t>
  </si>
  <si>
    <t>EVD-824.1-005</t>
  </si>
  <si>
    <t>Internal PKI Certificate Policy</t>
  </si>
  <si>
    <t>Policy Document</t>
  </si>
  <si>
    <t>1.2 Internal HTTPS-TLS</t>
  </si>
  <si>
    <t>SharePoint/Policies</t>
  </si>
  <si>
    <t>2025-06-01</t>
  </si>
  <si>
    <t>5 years</t>
  </si>
  <si>
    <t>EVD-824.1-006</t>
  </si>
  <si>
    <t>AD Certificate Services Audit Report</t>
  </si>
  <si>
    <t>Audit Report</t>
  </si>
  <si>
    <t>SharePoint/Audits/2025</t>
  </si>
  <si>
    <t>2025-12-15</t>
  </si>
  <si>
    <t>Internal Audit</t>
  </si>
  <si>
    <t>7 years</t>
  </si>
  <si>
    <t>EVD-824.1-007</t>
  </si>
  <si>
    <t>M365 Admin Center - S/MIME Adoption Report</t>
  </si>
  <si>
    <t>Dashboard Export</t>
  </si>
  <si>
    <t>SharePoint/Evidence/M365</t>
  </si>
  <si>
    <t>2026-01-09</t>
  </si>
  <si>
    <t>IT Admin</t>
  </si>
  <si>
    <t>EVD-824.1-008</t>
  </si>
  <si>
    <t>Google Workspace Security Settings</t>
  </si>
  <si>
    <t>SharePoint/Evidence/Google</t>
  </si>
  <si>
    <t>EVD-824.1-009</t>
  </si>
  <si>
    <t>Postfix TLS Configuration File</t>
  </si>
  <si>
    <t>Config File</t>
  </si>
  <si>
    <t>Git/configs/postfix</t>
  </si>
  <si>
    <t>2025-11-20</t>
  </si>
  <si>
    <t>Email Admin</t>
  </si>
  <si>
    <t>EVD-824.1-010</t>
  </si>
  <si>
    <t>Executive S/MIME Certificate Audit</t>
  </si>
  <si>
    <t>SharePoint/Audits/Certs</t>
  </si>
  <si>
    <t>2025-12-01</t>
  </si>
  <si>
    <t>EVD-824.1-011</t>
  </si>
  <si>
    <t>DocuSign Audit Trail Report</t>
  </si>
  <si>
    <t>Audit Log</t>
  </si>
  <si>
    <t>DocuSign/Audit-Trails</t>
  </si>
  <si>
    <t>2026-01-08</t>
  </si>
  <si>
    <t>Legal Team</t>
  </si>
  <si>
    <t>EVD-824.1-012</t>
  </si>
  <si>
    <t>Adobe Sign Security Configuration</t>
  </si>
  <si>
    <t>SharePoint/Evidence/Adobe</t>
  </si>
  <si>
    <t>EVD-824.1-013</t>
  </si>
  <si>
    <t>Code Signing Certificate - YubiKey HSM</t>
  </si>
  <si>
    <t>Certificate Copy</t>
  </si>
  <si>
    <t>PKI/Code-Signing</t>
  </si>
  <si>
    <t>2025-09-15</t>
  </si>
  <si>
    <t>EVD-824.1-014</t>
  </si>
  <si>
    <t>CI/CD Pipeline Signing Logs</t>
  </si>
  <si>
    <t>Log Export</t>
  </si>
  <si>
    <t>Jenkins/Logs/Signing</t>
  </si>
  <si>
    <t>2026-01-07</t>
  </si>
  <si>
    <t>EVD-824.1-015</t>
  </si>
  <si>
    <t>SFTP Server Configuration</t>
  </si>
  <si>
    <t>Git/configs/sftp</t>
  </si>
  <si>
    <t>2025-10-01</t>
  </si>
  <si>
    <t>SysAdmin</t>
  </si>
  <si>
    <t>EVD-824.1-016</t>
  </si>
  <si>
    <t>FTPS Partner Gateway Access Logs</t>
  </si>
  <si>
    <t>S3/logs/ftps</t>
  </si>
  <si>
    <t>Network Team</t>
  </si>
  <si>
    <t>EVD-824.1-017</t>
  </si>
  <si>
    <t>Legacy FTP Decommission Plan</t>
  </si>
  <si>
    <t>Project Plan</t>
  </si>
  <si>
    <t>SharePoint/Projects/FTP</t>
  </si>
  <si>
    <t>2026-01-05</t>
  </si>
  <si>
    <t>IT Manager</t>
  </si>
  <si>
    <t>EVD-824.1-018</t>
  </si>
  <si>
    <t>OpenVPN Server Configuration</t>
  </si>
  <si>
    <t>Vault/configs/vpn</t>
  </si>
  <si>
    <t>2025-11-01</t>
  </si>
  <si>
    <t>EVD-824.1-019</t>
  </si>
  <si>
    <t>VPN MFA Enforcement Policy</t>
  </si>
  <si>
    <t>SharePoint/Policies/VPN</t>
  </si>
  <si>
    <t>2025-08-15</t>
  </si>
  <si>
    <t>EVD-824.1-020</t>
  </si>
  <si>
    <t>WireGuard Configuration - Executive VPN</t>
  </si>
  <si>
    <t>Vault/configs/wireguard</t>
  </si>
  <si>
    <t>EVD-824.1-021</t>
  </si>
  <si>
    <t>SSH Bastion Host Audit Logs</t>
  </si>
  <si>
    <t>SIEM/ssh-bastion-logs</t>
  </si>
  <si>
    <t>EVD-824.1-022</t>
  </si>
  <si>
    <t>SSH Key Management Policy</t>
  </si>
  <si>
    <t>SharePoint/Policies/SSH</t>
  </si>
  <si>
    <t>2025-07-01</t>
  </si>
  <si>
    <t>EVD-824.1-023</t>
  </si>
  <si>
    <t>Production Server SSH Key Inventory</t>
  </si>
  <si>
    <t>SharePoint/Inventory/SSH-Keys</t>
  </si>
  <si>
    <t>EVD-824.1-024</t>
  </si>
  <si>
    <t>RDP NLA Configuration - Windows Servers</t>
  </si>
  <si>
    <t>GPO Export</t>
  </si>
  <si>
    <t>SharePoint/GPO/RDP</t>
  </si>
  <si>
    <t>2025-10-15</t>
  </si>
  <si>
    <t>Windows Admin</t>
  </si>
  <si>
    <t>EVD-824.1-025</t>
  </si>
  <si>
    <t>RDP MFA Enforcement - Event Logs</t>
  </si>
  <si>
    <t>SIEM/rdp-mfa-events</t>
  </si>
  <si>
    <t>EVD-824.1-026</t>
  </si>
  <si>
    <t>Legacy RDP System Remediation Ticket</t>
  </si>
  <si>
    <t>Ticket</t>
  </si>
  <si>
    <t>Jira/SEC-1245</t>
  </si>
  <si>
    <t>2026-01-06</t>
  </si>
  <si>
    <t>EVD-824.1-027</t>
  </si>
  <si>
    <t>API Gateway Security Configuration</t>
  </si>
  <si>
    <t>Config Export</t>
  </si>
  <si>
    <t>Git/configs/api-gateway</t>
  </si>
  <si>
    <t>2025-12-10</t>
  </si>
  <si>
    <t>API Team</t>
  </si>
  <si>
    <t>EVD-824.1-028</t>
  </si>
  <si>
    <t>OAuth 2.0 Implementation Documentation</t>
  </si>
  <si>
    <t>Technical Doc</t>
  </si>
  <si>
    <t>Confluence/API-Security</t>
  </si>
  <si>
    <t>2025-09-20</t>
  </si>
  <si>
    <t>Dev Team</t>
  </si>
  <si>
    <t>EVD-824.1-029</t>
  </si>
  <si>
    <t>Service Mesh mTLS Configuration</t>
  </si>
  <si>
    <t>Git/k8s/istio-config</t>
  </si>
  <si>
    <t>2025-11-15</t>
  </si>
  <si>
    <t>Platform Team</t>
  </si>
  <si>
    <t>EVD-824.1-030</t>
  </si>
  <si>
    <t>PostgreSQL TLS Configuration</t>
  </si>
  <si>
    <t>Vault/configs/postgres</t>
  </si>
  <si>
    <t>2025-10-20</t>
  </si>
  <si>
    <t>DBA Team</t>
  </si>
  <si>
    <t>EVD-824.1-031</t>
  </si>
  <si>
    <t>MongoDB X.509 Certificate Setup</t>
  </si>
  <si>
    <t>Confluence/MongoDB</t>
  </si>
  <si>
    <t>2025-11-05</t>
  </si>
  <si>
    <t>EVD-824.1-032</t>
  </si>
  <si>
    <t>SQL Server Kerberos Authentication</t>
  </si>
  <si>
    <t>Config Doc</t>
  </si>
  <si>
    <t>SharePoint/SQL-Security</t>
  </si>
  <si>
    <t>2025-09-30</t>
  </si>
  <si>
    <t>EVD-824.1-033</t>
  </si>
  <si>
    <t>Corporate WiFi WPA3 Deployment Report</t>
  </si>
  <si>
    <t>Project Report</t>
  </si>
  <si>
    <t>SharePoint/Projects/WiFi</t>
  </si>
  <si>
    <t>2025-08-01</t>
  </si>
  <si>
    <t>EVD-824.1-034</t>
  </si>
  <si>
    <t>RADIUS Server Configuration</t>
  </si>
  <si>
    <t>Vault/configs/radius</t>
  </si>
  <si>
    <t>2025-10-10</t>
  </si>
  <si>
    <t>EVD-824.1-035</t>
  </si>
  <si>
    <t>Wireless Access Point Inventory</t>
  </si>
  <si>
    <t>SharePoint/Inventory/WiFi</t>
  </si>
  <si>
    <t>EVD-824.1-036</t>
  </si>
  <si>
    <t>AWS CloudTrail - VPC Flow Logs</t>
  </si>
  <si>
    <t>S3/cloudtrail/2026-01</t>
  </si>
  <si>
    <t>EVD-824.1-037</t>
  </si>
  <si>
    <t>Azure Monitor - Network Security Logs</t>
  </si>
  <si>
    <t>Azure/Monitor/Security</t>
  </si>
  <si>
    <t>EVD-824.1-038</t>
  </si>
  <si>
    <t>GCP Cloud Audit Logs - Network</t>
  </si>
  <si>
    <t>GCP/Logging/Audit</t>
  </si>
  <si>
    <t>EVD-824.1-039</t>
  </si>
  <si>
    <t>Multi-Cloud VPN Architecture Diagram</t>
  </si>
  <si>
    <t>Diagram</t>
  </si>
  <si>
    <t>SharePoint/Diagrams/Network</t>
  </si>
  <si>
    <t>Network Architect</t>
  </si>
  <si>
    <t>EVD-824.1-040</t>
  </si>
  <si>
    <t>CDN TLS Configuration - CloudFront</t>
  </si>
  <si>
    <t>Config Screenshot</t>
  </si>
  <si>
    <t>SharePoint/Evidence/CDN</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</si>
  <si>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</si>
  <si>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</si>
  <si>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</si>
  <si>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</si>
  <si>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</si>
  <si>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</si>
  <si>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</si>
  <si>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</si>
  <si>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</si>
  <si>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</si>
  <si>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</si>
  <si>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</si>
  <si>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</si>
  <si>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</si>
  <si>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</si>
  <si>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</si>
  <si>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</si>
  <si>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</si>
  <si>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</si>
  <si>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</si>
  <si>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</si>
  <si>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</si>
  <si>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</si>
  <si>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</si>
  <si>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</si>
  <si>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</si>
  <si>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</si>
  <si>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</si>
  <si>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</si>
  <si>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</si>
  <si>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</si>
  <si>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</si>
  <si>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</si>
  <si>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</si>
  <si>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</si>
  <si>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</si>
  <si>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</si>
  <si>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</si>
  <si>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</si>
  <si>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</si>
  <si>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</si>
  <si>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</si>
  <si>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</si>
  <si>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</si>
  <si>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</si>
  <si>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</si>
  <si>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</si>
  <si>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</si>
  <si>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</si>
  <si>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</si>
  <si>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</si>
  <si>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</si>
  <si>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</si>
  <si>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</si>
  <si>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</si>
  <si>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ASSESSMENT APPROVAL AND SIGN-OFF</t>
  </si>
  <si>
    <t>Assessment Summary</t>
  </si>
  <si>
    <t>Assessment Document</t>
  </si>
  <si>
    <t>ISMS-IMP-A.8.24.1 - Data Transmission Assessment</t>
  </si>
  <si>
    <t>Assessment Period</t>
  </si>
  <si>
    <t>John Smith</t>
  </si>
  <si>
    <t>Overall Compliance Rate</t>
  </si>
  <si>
    <t>Senior Security Engineer</t>
  </si>
  <si>
    <t>Assessment Status</t>
  </si>
  <si>
    <t>Information Security</t>
  </si>
  <si>
    <t>john.smith@company.com</t>
  </si>
  <si>
    <t>2026-01-13</t>
  </si>
  <si>
    <t>ASSESSMENT COMPLETED BY</t>
  </si>
  <si>
    <t>Name:</t>
  </si>
  <si>
    <t>Role/Title:</t>
  </si>
  <si>
    <t>Department:</t>
  </si>
  <si>
    <t>Email:</t>
  </si>
  <si>
    <t>Sarah Johnson</t>
  </si>
  <si>
    <t>Date:</t>
  </si>
  <si>
    <t>2026-01-15</t>
  </si>
  <si>
    <t>Reviewed and verified all TLS configurations and certificate validations. Minor gaps identified in legacy systems.</t>
  </si>
  <si>
    <t>REVIEWED BY (Information Security Officer)</t>
  </si>
  <si>
    <t>Signature:</t>
  </si>
  <si>
    <t>Michael Chen</t>
  </si>
  <si>
    <t>2026-01-16</t>
  </si>
  <si>
    <t>Security controls are adequate. Priority items: Legacy FTP migration and contractor VPN upgrade.</t>
  </si>
  <si>
    <t>APPROVED BY (CISO)</t>
  </si>
  <si>
    <t>Approval Decision:</t>
  </si>
  <si>
    <t>Jennifer Williams</t>
  </si>
  <si>
    <t>2026-01-18</t>
  </si>
  <si>
    <t>Approved with conditions</t>
  </si>
  <si>
    <t>Next Review Date:</t>
  </si>
  <si>
    <t>Approved pending completion of high-priority remediation items by Q2 2026.</t>
  </si>
  <si>
    <t>2026-04-13</t>
  </si>
  <si>
    <t>Q2 2026 reassessment after remediation of critical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</si>
</sst>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FFFFFF"/>
      <name val="Calibri"/>
      <family val="2"/>
    </font>
    <font>
      <b/>
      <sz val="12"/>
      <name val="Calibri"/>
      <family val="2"/>
    </font>
    <font>
      <b/>
      <sz val="11"/>
      <name val="Calibri"/>
      <family val="2"/>
    </font>
    <font>
      <b/>
      <sz val="10"/>
      <name val="Calibri"/>
      <family val="2"/>
    </font>
    <font>
      <b/>
      <sz val="11"/>
      <name val="Calibri"/>
      <family val="2"/>
    </font>
    <font>
      <i/>
      <sz val="11"/>
      <color rgb="FF808080"/>
      <name val="Calibri"/>
      <family val="2"/>
    </font>
    <font>
      <b/>
      <sz val="11"/>
      <color rgb="FF0000FF"/>
      <name val="Calibri"/>
      <family val="2"/>
    </font>
    <font>
      <b/>
      <sz val="11"/>
      <color rgb="FFFFFFFF"/>
      <name val="Calibri"/>
      <family val="2"/>
    </font>
    <font>
      <b/>
      <sz val="12"/>
      <color rgb="FF0000FF"/>
      <name val="Calibri"/>
      <family val="2"/>
    </font>
    <font>
      <b/>
      <sz val="12"/>
      <color rgb="FFFFFFFF"/>
      <name val="Calibri"/>
      <family val="2"/>
    </font>
    <font>
      <i/>
      <sz val="11"/>
      <name val="Calibri"/>
      <family val="2"/>
    </font>
    <font>
      <sz val="11"/>
      <color rgb="FF808080"/>
      <name val="Calibri"/>
      <family val="2"/>
    </font>
  </fonts>
  <fills count="10">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C00000"/>
        <bgColor rgb="FFC00000"/>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6">
    <xf numFmtId="0" fontId="0" fillId="0" borderId="0" xfId="0"/>
    <xf numFmtId="0" fontId="2" fillId="0" borderId="0" xfId="0" applyFont="1"/>
    <xf numFmtId="0" fontId="3" fillId="0" borderId="0" xfId="0" applyFont="1"/>
    <xf numFmtId="0" fontId="0" fillId="3" borderId="1" xfId="0" applyFill="1" applyBorder="1"/>
    <xf numFmtId="0" fontId="4" fillId="4" borderId="1" xfId="0" applyFont="1" applyFill="1"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6" fillId="0" borderId="0" xfId="0" applyFont="1" applyAlignment="1">
      <alignment horizontal="left" vertical="center" wrapText="1"/>
    </xf>
    <xf numFmtId="0" fontId="0" fillId="3" borderId="1" xfId="0" applyFill="1" applyBorder="1" applyAlignment="1">
      <alignment horizontal="left" vertical="center" wrapText="1"/>
    </xf>
    <xf numFmtId="0" fontId="5" fillId="0" borderId="0" xfId="0" applyFont="1"/>
    <xf numFmtId="0" fontId="7" fillId="0" borderId="0" xfId="0" applyFont="1"/>
    <xf numFmtId="0" fontId="9" fillId="0" borderId="0" xfId="0" applyFont="1"/>
    <xf numFmtId="0" fontId="12" fillId="0" borderId="0" xfId="0" applyFont="1"/>
    <xf numFmtId="0" fontId="1" fillId="2" borderId="0" xfId="0" applyFont="1" applyFill="1" applyAlignment="1">
      <alignment horizontal="center" vertical="center" wrapText="1"/>
    </xf>
    <xf numFmtId="0" fontId="0" fillId="0" borderId="0" xfId="0"/>
    <xf numFmtId="0" fontId="0" fillId="3" borderId="1" xfId="0" applyFill="1" applyBorder="1" applyAlignment="1">
      <alignment horizontal="left" vertical="center" wrapText="1"/>
    </xf>
    <xf numFmtId="0" fontId="0" fillId="0" borderId="4" xfId="0" applyBorder="1"/>
    <xf numFmtId="0" fontId="0" fillId="0" borderId="5" xfId="0" applyBorder="1"/>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applyAlignment="1">
      <alignment horizontal="left" vertical="center" wrapText="1"/>
    </xf>
    <xf numFmtId="0" fontId="8" fillId="8" borderId="0" xfId="0" applyFont="1" applyFill="1" applyAlignment="1">
      <alignment horizontal="center" vertical="center"/>
    </xf>
    <xf numFmtId="0" fontId="5" fillId="0" borderId="0" xfId="0" applyFont="1"/>
    <xf numFmtId="0" fontId="10" fillId="8" borderId="0" xfId="0" applyFont="1" applyFill="1" applyAlignment="1">
      <alignment horizontal="center" vertical="center"/>
    </xf>
    <xf numFmtId="0" fontId="11" fillId="0" borderId="0" xfId="0" applyFont="1" applyAlignment="1">
      <alignment horizontal="left" vertical="center"/>
    </xf>
    <xf numFmtId="0" fontId="8" fillId="2" borderId="0" xfId="0" applyFont="1" applyFill="1" applyAlignment="1">
      <alignment horizontal="center" vertical="center"/>
    </xf>
    <xf numFmtId="0" fontId="8" fillId="9"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pane ySplit="3" topLeftCell="A4" activePane="bottomLeft" state="frozen"/>
      <selection pane="bottomLeft" sqref="A1:G1"/>
    </sheetView>
  </sheetViews>
  <sheetFormatPr baseColWidth="10" defaultColWidth="8.83203125" defaultRowHeight="15" x14ac:dyDescent="0.2"/>
  <cols>
    <col min="1" max="1" width="28" customWidth="1"/>
    <col min="2" max="2" width="45" customWidth="1"/>
    <col min="3" max="3" width="70" customWidth="1"/>
  </cols>
  <sheetData>
    <row r="1" spans="1:7" ht="40" customHeight="1" x14ac:dyDescent="0.2">
      <c r="A1" s="16" t="s">
        <v>0</v>
      </c>
      <c r="B1" s="17"/>
      <c r="C1" s="17"/>
      <c r="D1" s="17"/>
      <c r="E1" s="17"/>
      <c r="F1" s="17"/>
      <c r="G1" s="17"/>
    </row>
    <row r="3" spans="1:7" ht="16" x14ac:dyDescent="0.2">
      <c r="A3" s="1" t="s">
        <v>1</v>
      </c>
    </row>
    <row r="4" spans="1:7" x14ac:dyDescent="0.2">
      <c r="A4" s="2" t="s">
        <v>2</v>
      </c>
      <c r="B4" t="s">
        <v>3</v>
      </c>
    </row>
    <row r="5" spans="1:7" x14ac:dyDescent="0.2">
      <c r="A5" s="2" t="s">
        <v>4</v>
      </c>
      <c r="B5" t="s">
        <v>5</v>
      </c>
    </row>
    <row r="6" spans="1:7" x14ac:dyDescent="0.2">
      <c r="A6" s="2" t="s">
        <v>6</v>
      </c>
      <c r="B6" t="s">
        <v>7</v>
      </c>
    </row>
    <row r="7" spans="1:7" x14ac:dyDescent="0.2">
      <c r="A7" s="2" t="s">
        <v>8</v>
      </c>
      <c r="B7" t="s">
        <v>9</v>
      </c>
    </row>
    <row r="8" spans="1:7" x14ac:dyDescent="0.2">
      <c r="A8" s="2" t="s">
        <v>10</v>
      </c>
      <c r="B8" s="3"/>
    </row>
    <row r="9" spans="1:7" x14ac:dyDescent="0.2">
      <c r="A9" s="2" t="s">
        <v>11</v>
      </c>
      <c r="B9" s="3"/>
    </row>
    <row r="10" spans="1:7" x14ac:dyDescent="0.2">
      <c r="A10" s="2" t="s">
        <v>12</v>
      </c>
      <c r="B10" s="3"/>
    </row>
    <row r="11" spans="1:7" x14ac:dyDescent="0.2">
      <c r="A11" s="2" t="s">
        <v>13</v>
      </c>
      <c r="B11" t="s">
        <v>14</v>
      </c>
    </row>
    <row r="13" spans="1:7" ht="16" x14ac:dyDescent="0.2">
      <c r="A13" s="1" t="s">
        <v>15</v>
      </c>
    </row>
    <row r="14" spans="1:7" x14ac:dyDescent="0.2">
      <c r="A14" t="s">
        <v>16</v>
      </c>
    </row>
    <row r="15" spans="1:7" x14ac:dyDescent="0.2">
      <c r="A15" t="s">
        <v>17</v>
      </c>
    </row>
    <row r="16" spans="1:7" x14ac:dyDescent="0.2">
      <c r="A16" t="s">
        <v>18</v>
      </c>
    </row>
    <row r="17" spans="1:3" x14ac:dyDescent="0.2">
      <c r="A17" t="s">
        <v>19</v>
      </c>
    </row>
    <row r="18" spans="1:3" x14ac:dyDescent="0.2">
      <c r="A18" t="s">
        <v>20</v>
      </c>
    </row>
    <row r="19" spans="1:3" x14ac:dyDescent="0.2">
      <c r="A19" t="s">
        <v>21</v>
      </c>
    </row>
    <row r="20" spans="1:3" x14ac:dyDescent="0.2">
      <c r="A20" t="s">
        <v>22</v>
      </c>
    </row>
    <row r="21" spans="1:3" x14ac:dyDescent="0.2">
      <c r="A21" t="s">
        <v>23</v>
      </c>
    </row>
    <row r="22" spans="1:3" x14ac:dyDescent="0.2">
      <c r="A22" t="s">
        <v>24</v>
      </c>
    </row>
    <row r="24" spans="1:3" ht="16" x14ac:dyDescent="0.2">
      <c r="A24" s="1" t="s">
        <v>25</v>
      </c>
    </row>
    <row r="25" spans="1:3" x14ac:dyDescent="0.2">
      <c r="A25" s="4" t="s">
        <v>26</v>
      </c>
      <c r="B25" s="4" t="s">
        <v>27</v>
      </c>
      <c r="C25" s="4" t="s">
        <v>28</v>
      </c>
    </row>
    <row r="26" spans="1:3" ht="16" x14ac:dyDescent="0.2">
      <c r="A26" s="5" t="s">
        <v>29</v>
      </c>
      <c r="B26" s="6" t="s">
        <v>30</v>
      </c>
      <c r="C26" s="7" t="s">
        <v>31</v>
      </c>
    </row>
    <row r="27" spans="1:3" ht="16" x14ac:dyDescent="0.2">
      <c r="A27" s="5" t="s">
        <v>32</v>
      </c>
      <c r="B27" s="8" t="s">
        <v>33</v>
      </c>
      <c r="C27" s="7" t="s">
        <v>34</v>
      </c>
    </row>
    <row r="28" spans="1:3" ht="16" x14ac:dyDescent="0.2">
      <c r="A28" s="5" t="s">
        <v>35</v>
      </c>
      <c r="B28" s="9" t="s">
        <v>36</v>
      </c>
      <c r="C28" s="7" t="s">
        <v>37</v>
      </c>
    </row>
    <row r="29" spans="1:3" ht="16" x14ac:dyDescent="0.2">
      <c r="A29" s="5" t="s">
        <v>38</v>
      </c>
      <c r="B29" s="7" t="s">
        <v>39</v>
      </c>
      <c r="C29" s="7" t="s">
        <v>40</v>
      </c>
    </row>
    <row r="32" spans="1:3" ht="16" x14ac:dyDescent="0.2">
      <c r="A32" s="1" t="s">
        <v>41</v>
      </c>
    </row>
    <row r="33" spans="1:1" x14ac:dyDescent="0.2">
      <c r="A33" t="s">
        <v>42</v>
      </c>
    </row>
    <row r="34" spans="1:1" x14ac:dyDescent="0.2">
      <c r="A34" t="s">
        <v>43</v>
      </c>
    </row>
    <row r="35" spans="1:1" x14ac:dyDescent="0.2">
      <c r="A35" t="s">
        <v>44</v>
      </c>
    </row>
    <row r="36" spans="1:1" x14ac:dyDescent="0.2">
      <c r="A36" t="s">
        <v>45</v>
      </c>
    </row>
    <row r="37" spans="1:1" x14ac:dyDescent="0.2">
      <c r="A37" t="s">
        <v>46</v>
      </c>
    </row>
    <row r="38" spans="1:1" x14ac:dyDescent="0.2">
      <c r="A38" t="s">
        <v>47</v>
      </c>
    </row>
    <row r="39" spans="1:1" x14ac:dyDescent="0.2">
      <c r="A39" t="s">
        <v>48</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4"/>
  <sheetViews>
    <sheetView workbookViewId="0">
      <pane ySplit="6" topLeftCell="A7" activePane="bottomLeft" state="frozen"/>
      <selection pane="bottomLeft"/>
    </sheetView>
  </sheetViews>
  <sheetFormatPr baseColWidth="10" defaultColWidth="8.83203125" defaultRowHeight="15" x14ac:dyDescent="0.2"/>
  <cols>
    <col min="1" max="1" width="35" customWidth="1"/>
    <col min="2" max="2" width="18" customWidth="1"/>
    <col min="3" max="3" width="22" customWidth="1"/>
    <col min="4" max="4" width="16" customWidth="1"/>
    <col min="5" max="5" width="15" customWidth="1"/>
    <col min="6" max="7" width="30" customWidth="1"/>
    <col min="8" max="8" width="16" customWidth="1"/>
  </cols>
  <sheetData>
    <row r="1" spans="1:8" ht="40" customHeight="1" x14ac:dyDescent="0.2">
      <c r="A1" s="16" t="s">
        <v>49</v>
      </c>
      <c r="B1" s="17"/>
      <c r="C1" s="17"/>
      <c r="D1" s="17"/>
      <c r="E1" s="17"/>
      <c r="F1" s="17"/>
      <c r="G1" s="17"/>
      <c r="H1" s="17"/>
    </row>
    <row r="3" spans="1:8" ht="30" customHeight="1" x14ac:dyDescent="0.2">
      <c r="A3" s="29" t="s">
        <v>50</v>
      </c>
      <c r="B3" s="17"/>
      <c r="C3" s="17"/>
      <c r="D3" s="17"/>
      <c r="E3" s="17"/>
      <c r="F3" s="17"/>
      <c r="G3" s="17"/>
      <c r="H3" s="17"/>
    </row>
    <row r="4" spans="1:8" x14ac:dyDescent="0.2">
      <c r="A4" s="2" t="s">
        <v>51</v>
      </c>
      <c r="B4" s="3"/>
    </row>
    <row r="6" spans="1:8" x14ac:dyDescent="0.2">
      <c r="A6" s="4" t="s">
        <v>52</v>
      </c>
      <c r="B6" s="4" t="s">
        <v>53</v>
      </c>
      <c r="C6" s="4" t="s">
        <v>54</v>
      </c>
      <c r="D6" s="4" t="s">
        <v>55</v>
      </c>
      <c r="E6" s="4" t="s">
        <v>27</v>
      </c>
      <c r="F6" s="4" t="s">
        <v>56</v>
      </c>
      <c r="G6" s="4" t="s">
        <v>57</v>
      </c>
      <c r="H6" s="4" t="s">
        <v>58</v>
      </c>
    </row>
    <row r="7" spans="1:8" ht="16" x14ac:dyDescent="0.2">
      <c r="A7" s="10" t="s">
        <v>59</v>
      </c>
      <c r="B7" s="10"/>
      <c r="C7" s="10"/>
      <c r="D7" s="10"/>
      <c r="E7" s="10"/>
      <c r="F7" s="10"/>
      <c r="G7" s="10"/>
      <c r="H7" s="10"/>
    </row>
    <row r="8" spans="1:8" ht="32" x14ac:dyDescent="0.2">
      <c r="A8" s="11" t="s">
        <v>60</v>
      </c>
      <c r="B8" s="11" t="s">
        <v>61</v>
      </c>
      <c r="C8" s="11" t="s">
        <v>62</v>
      </c>
      <c r="D8" s="11" t="s">
        <v>63</v>
      </c>
      <c r="E8" s="11" t="s">
        <v>64</v>
      </c>
      <c r="F8" s="11" t="s">
        <v>65</v>
      </c>
      <c r="G8" s="11"/>
      <c r="H8" s="11" t="s">
        <v>66</v>
      </c>
    </row>
    <row r="9" spans="1:8" ht="32" x14ac:dyDescent="0.2">
      <c r="A9" s="11" t="s">
        <v>67</v>
      </c>
      <c r="B9" s="11" t="s">
        <v>61</v>
      </c>
      <c r="C9" s="11" t="s">
        <v>68</v>
      </c>
      <c r="D9" s="11" t="s">
        <v>69</v>
      </c>
      <c r="E9" s="11" t="s">
        <v>64</v>
      </c>
      <c r="F9" s="11" t="s">
        <v>70</v>
      </c>
      <c r="G9" s="11"/>
      <c r="H9" s="11" t="s">
        <v>66</v>
      </c>
    </row>
    <row r="10" spans="1:8" ht="32" x14ac:dyDescent="0.2">
      <c r="A10" s="11" t="s">
        <v>71</v>
      </c>
      <c r="B10" s="11" t="s">
        <v>61</v>
      </c>
      <c r="C10" s="11" t="s">
        <v>72</v>
      </c>
      <c r="D10" s="11" t="s">
        <v>73</v>
      </c>
      <c r="E10" s="11" t="s">
        <v>64</v>
      </c>
      <c r="F10" s="11" t="s">
        <v>74</v>
      </c>
      <c r="G10" s="11"/>
      <c r="H10" s="11" t="s">
        <v>66</v>
      </c>
    </row>
    <row r="11" spans="1:8" ht="16" x14ac:dyDescent="0.2">
      <c r="A11" s="11" t="s">
        <v>75</v>
      </c>
      <c r="B11" s="11" t="s">
        <v>76</v>
      </c>
      <c r="C11" s="11" t="s">
        <v>77</v>
      </c>
      <c r="D11" s="11" t="s">
        <v>78</v>
      </c>
      <c r="E11" s="11" t="s">
        <v>79</v>
      </c>
      <c r="F11" s="11" t="s">
        <v>80</v>
      </c>
      <c r="G11" s="11" t="s">
        <v>81</v>
      </c>
      <c r="H11" s="11" t="s">
        <v>82</v>
      </c>
    </row>
    <row r="12" spans="1:8" ht="32" x14ac:dyDescent="0.2">
      <c r="A12" s="11" t="s">
        <v>83</v>
      </c>
      <c r="B12" s="11" t="s">
        <v>61</v>
      </c>
      <c r="C12" s="11" t="s">
        <v>84</v>
      </c>
      <c r="D12" s="11" t="s">
        <v>85</v>
      </c>
      <c r="E12" s="11" t="s">
        <v>64</v>
      </c>
      <c r="F12" s="11" t="s">
        <v>86</v>
      </c>
      <c r="G12" s="11"/>
      <c r="H12" s="11" t="s">
        <v>66</v>
      </c>
    </row>
    <row r="13" spans="1:8" ht="32" x14ac:dyDescent="0.2">
      <c r="A13" s="11" t="s">
        <v>87</v>
      </c>
      <c r="B13" s="11" t="s">
        <v>61</v>
      </c>
      <c r="C13" s="11" t="s">
        <v>88</v>
      </c>
      <c r="D13" s="11" t="s">
        <v>89</v>
      </c>
      <c r="E13" s="11" t="s">
        <v>64</v>
      </c>
      <c r="F13" s="11" t="s">
        <v>90</v>
      </c>
      <c r="G13" s="11"/>
      <c r="H13" s="11" t="s">
        <v>66</v>
      </c>
    </row>
    <row r="14" spans="1:8" ht="32" x14ac:dyDescent="0.2">
      <c r="A14" s="11" t="s">
        <v>91</v>
      </c>
      <c r="B14" s="11" t="s">
        <v>61</v>
      </c>
      <c r="C14" s="11" t="s">
        <v>92</v>
      </c>
      <c r="D14" s="11" t="s">
        <v>93</v>
      </c>
      <c r="E14" s="11" t="s">
        <v>64</v>
      </c>
      <c r="F14" s="11" t="s">
        <v>94</v>
      </c>
      <c r="G14" s="11"/>
      <c r="H14" s="11" t="s">
        <v>66</v>
      </c>
    </row>
    <row r="15" spans="1:8" ht="32" x14ac:dyDescent="0.2">
      <c r="A15" s="11" t="s">
        <v>95</v>
      </c>
      <c r="B15" s="11" t="s">
        <v>61</v>
      </c>
      <c r="C15" s="11" t="s">
        <v>72</v>
      </c>
      <c r="D15" s="11" t="s">
        <v>96</v>
      </c>
      <c r="E15" s="11" t="s">
        <v>64</v>
      </c>
      <c r="F15" s="11" t="s">
        <v>97</v>
      </c>
      <c r="G15" s="11"/>
      <c r="H15" s="11" t="s">
        <v>66</v>
      </c>
    </row>
    <row r="16" spans="1:8" ht="32" x14ac:dyDescent="0.2">
      <c r="A16" s="11" t="s">
        <v>98</v>
      </c>
      <c r="B16" s="11" t="s">
        <v>61</v>
      </c>
      <c r="C16" s="11" t="s">
        <v>99</v>
      </c>
      <c r="D16" s="11" t="s">
        <v>100</v>
      </c>
      <c r="E16" s="11" t="s">
        <v>64</v>
      </c>
      <c r="F16" s="11" t="s">
        <v>101</v>
      </c>
      <c r="G16" s="11"/>
      <c r="H16" s="11" t="s">
        <v>66</v>
      </c>
    </row>
    <row r="17" spans="1:8" ht="32" x14ac:dyDescent="0.2">
      <c r="A17" s="11" t="s">
        <v>102</v>
      </c>
      <c r="B17" s="11" t="s">
        <v>61</v>
      </c>
      <c r="C17" s="11" t="s">
        <v>68</v>
      </c>
      <c r="D17" s="11" t="s">
        <v>103</v>
      </c>
      <c r="E17" s="11" t="s">
        <v>64</v>
      </c>
      <c r="F17" s="11" t="s">
        <v>104</v>
      </c>
      <c r="G17" s="11"/>
      <c r="H17" s="11" t="s">
        <v>66</v>
      </c>
    </row>
    <row r="18" spans="1:8" ht="32" x14ac:dyDescent="0.2">
      <c r="A18" s="11" t="s">
        <v>105</v>
      </c>
      <c r="B18" s="11" t="s">
        <v>106</v>
      </c>
      <c r="C18" s="11" t="s">
        <v>107</v>
      </c>
      <c r="D18" s="11" t="s">
        <v>108</v>
      </c>
      <c r="E18" s="11" t="s">
        <v>109</v>
      </c>
      <c r="F18" s="11" t="s">
        <v>110</v>
      </c>
      <c r="G18" s="11" t="s">
        <v>111</v>
      </c>
      <c r="H18" s="11" t="s">
        <v>82</v>
      </c>
    </row>
    <row r="19" spans="1:8" ht="32" x14ac:dyDescent="0.2">
      <c r="A19" s="11" t="s">
        <v>112</v>
      </c>
      <c r="B19" s="11" t="s">
        <v>76</v>
      </c>
      <c r="C19" s="11" t="s">
        <v>113</v>
      </c>
      <c r="D19" s="11" t="s">
        <v>114</v>
      </c>
      <c r="E19" s="11" t="s">
        <v>79</v>
      </c>
      <c r="F19" s="11" t="s">
        <v>115</v>
      </c>
      <c r="G19" s="11" t="s">
        <v>116</v>
      </c>
      <c r="H19" s="11" t="s">
        <v>82</v>
      </c>
    </row>
    <row r="20" spans="1:8" ht="32" x14ac:dyDescent="0.2">
      <c r="A20" s="11" t="s">
        <v>117</v>
      </c>
      <c r="B20" s="11" t="s">
        <v>76</v>
      </c>
      <c r="C20" s="11" t="s">
        <v>107</v>
      </c>
      <c r="D20" s="11" t="s">
        <v>118</v>
      </c>
      <c r="E20" s="11" t="s">
        <v>79</v>
      </c>
      <c r="F20" s="11" t="s">
        <v>119</v>
      </c>
      <c r="G20" s="11" t="s">
        <v>120</v>
      </c>
      <c r="H20" s="11" t="s">
        <v>82</v>
      </c>
    </row>
    <row r="21" spans="1:8" ht="32" x14ac:dyDescent="0.2">
      <c r="A21" s="11" t="s">
        <v>121</v>
      </c>
      <c r="B21" s="11" t="s">
        <v>61</v>
      </c>
      <c r="C21" s="11" t="s">
        <v>68</v>
      </c>
      <c r="D21" s="11" t="s">
        <v>122</v>
      </c>
      <c r="E21" s="11" t="s">
        <v>64</v>
      </c>
      <c r="F21" s="11" t="s">
        <v>123</v>
      </c>
      <c r="G21" s="11"/>
      <c r="H21" s="11" t="s">
        <v>66</v>
      </c>
    </row>
    <row r="22" spans="1:8" ht="32" x14ac:dyDescent="0.2">
      <c r="A22" s="11" t="s">
        <v>124</v>
      </c>
      <c r="B22" s="11" t="s">
        <v>61</v>
      </c>
      <c r="C22" s="11" t="s">
        <v>84</v>
      </c>
      <c r="D22" s="11" t="s">
        <v>125</v>
      </c>
      <c r="E22" s="11" t="s">
        <v>64</v>
      </c>
      <c r="F22" s="11" t="s">
        <v>126</v>
      </c>
      <c r="G22" s="11"/>
      <c r="H22" s="11" t="s">
        <v>66</v>
      </c>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4" x14ac:dyDescent="0.2">
      <c r="A33" s="2" t="s">
        <v>128</v>
      </c>
      <c r="B33" s="18"/>
      <c r="C33" s="19"/>
      <c r="D33" s="20"/>
    </row>
    <row r="34" spans="1:4" x14ac:dyDescent="0.2">
      <c r="A34" s="2" t="s">
        <v>129</v>
      </c>
      <c r="B34" s="18"/>
      <c r="C34" s="19"/>
      <c r="D34" s="20"/>
    </row>
    <row r="35" spans="1:4" x14ac:dyDescent="0.2">
      <c r="A35" s="2" t="s">
        <v>130</v>
      </c>
      <c r="B35" s="18"/>
      <c r="C35" s="19"/>
      <c r="D35" s="20"/>
    </row>
    <row r="36" spans="1:4" x14ac:dyDescent="0.2">
      <c r="A36" s="2" t="s">
        <v>131</v>
      </c>
      <c r="B36" s="18"/>
      <c r="C36" s="19"/>
      <c r="D36" s="20"/>
    </row>
    <row r="38" spans="1:4" x14ac:dyDescent="0.2">
      <c r="A38" s="12" t="s">
        <v>132</v>
      </c>
    </row>
    <row r="39" spans="1:4" x14ac:dyDescent="0.2">
      <c r="A39" s="2" t="s">
        <v>133</v>
      </c>
      <c r="B39" s="2" t="s">
        <v>134</v>
      </c>
      <c r="C39" s="2" t="s">
        <v>27</v>
      </c>
    </row>
    <row r="40" spans="1:4" x14ac:dyDescent="0.2">
      <c r="A40" t="s">
        <v>133</v>
      </c>
      <c r="B40" t="s">
        <v>135</v>
      </c>
      <c r="C40" s="3"/>
    </row>
    <row r="41" spans="1:4" x14ac:dyDescent="0.2">
      <c r="A41" t="s">
        <v>133</v>
      </c>
      <c r="B41" t="s">
        <v>136</v>
      </c>
      <c r="C41" s="3"/>
    </row>
    <row r="42" spans="1:4" x14ac:dyDescent="0.2">
      <c r="A42" t="s">
        <v>133</v>
      </c>
      <c r="B42" t="s">
        <v>137</v>
      </c>
      <c r="C42" s="3"/>
    </row>
    <row r="43" spans="1:4" x14ac:dyDescent="0.2">
      <c r="A43" t="s">
        <v>133</v>
      </c>
      <c r="B43" t="s">
        <v>138</v>
      </c>
      <c r="C43" s="3"/>
    </row>
    <row r="44" spans="1:4" x14ac:dyDescent="0.2">
      <c r="A44" t="s">
        <v>133</v>
      </c>
      <c r="B44" t="s">
        <v>139</v>
      </c>
      <c r="C44" s="3"/>
    </row>
    <row r="45" spans="1:4" x14ac:dyDescent="0.2">
      <c r="A45" t="s">
        <v>133</v>
      </c>
      <c r="B45" t="s">
        <v>140</v>
      </c>
      <c r="C45" s="3"/>
    </row>
    <row r="46" spans="1:4" x14ac:dyDescent="0.2">
      <c r="A46" t="s">
        <v>133</v>
      </c>
      <c r="B46" t="s">
        <v>141</v>
      </c>
      <c r="C46" s="3"/>
    </row>
    <row r="47" spans="1:4" x14ac:dyDescent="0.2">
      <c r="A47" t="s">
        <v>133</v>
      </c>
      <c r="B47" t="s">
        <v>142</v>
      </c>
      <c r="C47" s="3"/>
    </row>
    <row r="48" spans="1:4" x14ac:dyDescent="0.2">
      <c r="A48" t="s">
        <v>133</v>
      </c>
      <c r="B48" t="s">
        <v>143</v>
      </c>
      <c r="C48" s="3"/>
    </row>
    <row r="49" spans="1:8" x14ac:dyDescent="0.2">
      <c r="A49" t="s">
        <v>133</v>
      </c>
      <c r="B49" t="s">
        <v>144</v>
      </c>
      <c r="C49" s="3"/>
    </row>
    <row r="50" spans="1:8" x14ac:dyDescent="0.2">
      <c r="A50" t="s">
        <v>133</v>
      </c>
      <c r="B50" t="s">
        <v>145</v>
      </c>
      <c r="C50" s="3"/>
    </row>
    <row r="51" spans="1:8" x14ac:dyDescent="0.2">
      <c r="A51" s="2" t="s">
        <v>146</v>
      </c>
      <c r="B51" s="13" t="e">
        <f>COUNTIF(C40:C50,"Yes")/COUNTA(C40:C50)*100&amp;"%"</f>
        <v>#DIV/0!</v>
      </c>
    </row>
    <row r="53" spans="1:8" x14ac:dyDescent="0.2">
      <c r="A53" s="30" t="s">
        <v>147</v>
      </c>
      <c r="B53" s="17"/>
      <c r="C53" s="17"/>
      <c r="D53" s="17"/>
      <c r="E53" s="17"/>
      <c r="F53" s="17"/>
      <c r="G53" s="17"/>
      <c r="H53" s="17"/>
    </row>
    <row r="54" spans="1:8" x14ac:dyDescent="0.2">
      <c r="A54" s="2" t="s">
        <v>148</v>
      </c>
      <c r="B54" s="18"/>
      <c r="C54" s="19"/>
      <c r="D54" s="20"/>
    </row>
    <row r="55" spans="1:8" x14ac:dyDescent="0.2">
      <c r="A55" s="2" t="s">
        <v>149</v>
      </c>
      <c r="B55" s="18"/>
      <c r="C55" s="19"/>
      <c r="D55" s="20"/>
    </row>
    <row r="56" spans="1:8" x14ac:dyDescent="0.2">
      <c r="A56" s="2" t="s">
        <v>150</v>
      </c>
      <c r="B56" s="18"/>
      <c r="C56" s="19"/>
      <c r="D56" s="20"/>
    </row>
    <row r="57" spans="1:8" x14ac:dyDescent="0.2">
      <c r="A57" s="2" t="s">
        <v>151</v>
      </c>
      <c r="B57" s="18"/>
      <c r="C57" s="19"/>
      <c r="D57" s="20"/>
    </row>
    <row r="58" spans="1:8" x14ac:dyDescent="0.2">
      <c r="A58" s="2" t="s">
        <v>152</v>
      </c>
      <c r="B58" s="18"/>
      <c r="C58" s="19"/>
      <c r="D58" s="20"/>
    </row>
    <row r="59" spans="1:8" x14ac:dyDescent="0.2">
      <c r="A59" s="2" t="s">
        <v>153</v>
      </c>
      <c r="B59" s="18"/>
      <c r="C59" s="19"/>
      <c r="D59" s="20"/>
    </row>
    <row r="60" spans="1:8" x14ac:dyDescent="0.2">
      <c r="A60" s="2" t="s">
        <v>154</v>
      </c>
      <c r="B60" s="18"/>
      <c r="C60" s="19"/>
      <c r="D60" s="20"/>
    </row>
    <row r="61" spans="1:8" x14ac:dyDescent="0.2">
      <c r="A61" s="2" t="s">
        <v>155</v>
      </c>
      <c r="B61" s="18"/>
      <c r="C61" s="19"/>
      <c r="D61" s="20"/>
    </row>
    <row r="62" spans="1:8" x14ac:dyDescent="0.2">
      <c r="A62" s="2" t="s">
        <v>156</v>
      </c>
      <c r="B62" s="18"/>
      <c r="C62" s="19"/>
      <c r="D62" s="20"/>
    </row>
    <row r="63" spans="1:8" x14ac:dyDescent="0.2">
      <c r="A63" s="2" t="s">
        <v>157</v>
      </c>
      <c r="B63" s="18"/>
      <c r="C63" s="19"/>
      <c r="D63" s="20"/>
    </row>
    <row r="64" spans="1:8" x14ac:dyDescent="0.2">
      <c r="A64" s="2" t="s">
        <v>158</v>
      </c>
      <c r="B64" s="18"/>
      <c r="C64" s="19"/>
      <c r="D64" s="20"/>
    </row>
    <row r="65" spans="1:8" x14ac:dyDescent="0.2">
      <c r="A65" s="2" t="s">
        <v>159</v>
      </c>
      <c r="B65" s="18"/>
      <c r="C65" s="19"/>
      <c r="D65" s="20"/>
    </row>
    <row r="66" spans="1:8" x14ac:dyDescent="0.2">
      <c r="A66" s="2" t="s">
        <v>160</v>
      </c>
      <c r="B66" s="18"/>
      <c r="C66" s="19"/>
      <c r="D66" s="20"/>
    </row>
    <row r="68" spans="1:8" x14ac:dyDescent="0.2">
      <c r="A68" s="31" t="s">
        <v>161</v>
      </c>
      <c r="B68" s="17"/>
      <c r="C68" s="17"/>
      <c r="D68" s="17"/>
      <c r="E68" s="17"/>
      <c r="F68" s="17"/>
      <c r="G68" s="17"/>
      <c r="H68" s="17"/>
    </row>
    <row r="69" spans="1:8" x14ac:dyDescent="0.2">
      <c r="A69" s="21"/>
      <c r="B69" s="22"/>
      <c r="C69" s="22"/>
      <c r="D69" s="22"/>
      <c r="E69" s="22"/>
      <c r="F69" s="22"/>
      <c r="G69" s="22"/>
      <c r="H69" s="23"/>
    </row>
    <row r="70" spans="1:8" x14ac:dyDescent="0.2">
      <c r="A70" s="24"/>
      <c r="B70" s="17"/>
      <c r="C70" s="17"/>
      <c r="D70" s="17"/>
      <c r="E70" s="17"/>
      <c r="F70" s="17"/>
      <c r="G70" s="17"/>
      <c r="H70" s="25"/>
    </row>
    <row r="71" spans="1:8" x14ac:dyDescent="0.2">
      <c r="A71" s="24"/>
      <c r="B71" s="17"/>
      <c r="C71" s="17"/>
      <c r="D71" s="17"/>
      <c r="E71" s="17"/>
      <c r="F71" s="17"/>
      <c r="G71" s="17"/>
      <c r="H71" s="25"/>
    </row>
    <row r="72" spans="1:8" x14ac:dyDescent="0.2">
      <c r="A72" s="24"/>
      <c r="B72" s="17"/>
      <c r="C72" s="17"/>
      <c r="D72" s="17"/>
      <c r="E72" s="17"/>
      <c r="F72" s="17"/>
      <c r="G72" s="17"/>
      <c r="H72" s="25"/>
    </row>
    <row r="73" spans="1:8" x14ac:dyDescent="0.2">
      <c r="A73" s="24"/>
      <c r="B73" s="17"/>
      <c r="C73" s="17"/>
      <c r="D73" s="17"/>
      <c r="E73" s="17"/>
      <c r="F73" s="17"/>
      <c r="G73" s="17"/>
      <c r="H73" s="25"/>
    </row>
    <row r="74" spans="1:8" x14ac:dyDescent="0.2">
      <c r="A74" s="26"/>
      <c r="B74" s="27"/>
      <c r="C74" s="27"/>
      <c r="D74" s="27"/>
      <c r="E74" s="27"/>
      <c r="F74" s="27"/>
      <c r="G74" s="27"/>
      <c r="H74" s="28"/>
    </row>
  </sheetData>
  <mergeCells count="22">
    <mergeCell ref="A68:H68"/>
    <mergeCell ref="B59:D59"/>
    <mergeCell ref="A53:H53"/>
    <mergeCell ref="B66:D66"/>
    <mergeCell ref="B56:D56"/>
    <mergeCell ref="B58:D58"/>
    <mergeCell ref="B60:D60"/>
    <mergeCell ref="A69:H74"/>
    <mergeCell ref="B61:D61"/>
    <mergeCell ref="B57:D57"/>
    <mergeCell ref="A1:H1"/>
    <mergeCell ref="B34:D34"/>
    <mergeCell ref="B65:D65"/>
    <mergeCell ref="B55:D55"/>
    <mergeCell ref="B64:D64"/>
    <mergeCell ref="B33:D33"/>
    <mergeCell ref="A3:H3"/>
    <mergeCell ref="B36:D36"/>
    <mergeCell ref="B63:D63"/>
    <mergeCell ref="B35:D35"/>
    <mergeCell ref="B62:D62"/>
    <mergeCell ref="B54:D54"/>
  </mergeCells>
  <dataValidations count="6">
    <dataValidation type="list" sqref="B4" xr:uid="{00000000-0002-0000-0100-000000000000}">
      <formula1>"Yes,No,Not Applicable"</formula1>
    </dataValidation>
    <dataValidation type="list" sqref="E8 E9 E10 E11 E12 E13 E14 E15 E16 E17 E18 E19 E20 E21 E22 E23 E24 E25 E26 E27 E28 E29 E30" xr:uid="{00000000-0002-0000-0100-000001000000}">
      <formula1>"✅ Compliant,⚠️ Partial,❌ Non-Compliant,N/A"</formula1>
    </dataValidation>
    <dataValidation type="list" sqref="H8:H30 B56 B54 B36 B34" xr:uid="{00000000-0002-0000-0100-000002000000}">
      <formula1>"Yes,No"</formula1>
    </dataValidation>
    <dataValidation type="list" sqref="B35" xr:uid="{00000000-0002-0000-0100-000004000000}">
      <formula1>"Yes,No,Planned"</formula1>
    </dataValidation>
    <dataValidation type="list" sqref="C40:C50" xr:uid="{00000000-0002-0000-0100-000006000000}">
      <formula1>"Yes,No,N/A"</formula1>
    </dataValidation>
    <dataValidation type="list" sqref="B66" xr:uid="{00000000-0002-0000-0100-000013000000}">
      <formula1>"Yes,No,Unknown"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8"/>
  <sheetViews>
    <sheetView workbookViewId="0">
      <pane ySplit="6" topLeftCell="A7" activePane="bottomLeft" state="frozen"/>
      <selection pane="bottomLeft"/>
    </sheetView>
  </sheetViews>
  <sheetFormatPr baseColWidth="10" defaultColWidth="8.83203125" defaultRowHeight="15" x14ac:dyDescent="0.2"/>
  <cols>
    <col min="1" max="1" width="35" customWidth="1"/>
    <col min="2" max="3" width="18" customWidth="1"/>
    <col min="4" max="4" width="20" customWidth="1"/>
    <col min="5" max="5" width="15" customWidth="1"/>
    <col min="6" max="7" width="30" customWidth="1"/>
    <col min="8" max="8" width="16" customWidth="1"/>
  </cols>
  <sheetData>
    <row r="1" spans="1:8" ht="40" customHeight="1" x14ac:dyDescent="0.2">
      <c r="A1" s="16" t="s">
        <v>162</v>
      </c>
      <c r="B1" s="17"/>
      <c r="C1" s="17"/>
      <c r="D1" s="17"/>
      <c r="E1" s="17"/>
      <c r="F1" s="17"/>
      <c r="G1" s="17"/>
      <c r="H1" s="17"/>
    </row>
    <row r="3" spans="1:8" ht="30" customHeight="1" x14ac:dyDescent="0.2">
      <c r="A3" s="29" t="s">
        <v>163</v>
      </c>
      <c r="B3" s="17"/>
      <c r="C3" s="17"/>
      <c r="D3" s="17"/>
      <c r="E3" s="17"/>
      <c r="F3" s="17"/>
      <c r="G3" s="17"/>
      <c r="H3" s="17"/>
    </row>
    <row r="4" spans="1:8" x14ac:dyDescent="0.2">
      <c r="A4" s="2" t="s">
        <v>51</v>
      </c>
      <c r="B4" s="3"/>
    </row>
    <row r="6" spans="1:8" x14ac:dyDescent="0.2">
      <c r="A6" s="4" t="s">
        <v>52</v>
      </c>
      <c r="B6" s="4" t="s">
        <v>164</v>
      </c>
      <c r="C6" s="4" t="s">
        <v>53</v>
      </c>
      <c r="D6" s="4" t="s">
        <v>165</v>
      </c>
      <c r="E6" s="4" t="s">
        <v>27</v>
      </c>
      <c r="F6" s="4" t="s">
        <v>56</v>
      </c>
      <c r="G6" s="4" t="s">
        <v>57</v>
      </c>
      <c r="H6" s="4" t="s">
        <v>58</v>
      </c>
    </row>
    <row r="7" spans="1:8" ht="16" x14ac:dyDescent="0.2">
      <c r="A7" s="10" t="s">
        <v>59</v>
      </c>
      <c r="B7" s="10"/>
      <c r="C7" s="10"/>
      <c r="D7" s="10"/>
      <c r="E7" s="10"/>
      <c r="F7" s="10"/>
      <c r="G7" s="10"/>
      <c r="H7" s="10"/>
    </row>
    <row r="8" spans="1:8" ht="16" x14ac:dyDescent="0.2">
      <c r="A8" s="11" t="s">
        <v>166</v>
      </c>
      <c r="B8" s="11" t="s">
        <v>61</v>
      </c>
      <c r="C8" s="11" t="s">
        <v>113</v>
      </c>
      <c r="D8" s="11" t="s">
        <v>167</v>
      </c>
      <c r="E8" s="11" t="s">
        <v>64</v>
      </c>
      <c r="F8" s="11" t="s">
        <v>168</v>
      </c>
      <c r="G8" s="11"/>
      <c r="H8" s="11" t="s">
        <v>66</v>
      </c>
    </row>
    <row r="9" spans="1:8" ht="16" x14ac:dyDescent="0.2">
      <c r="A9" s="11" t="s">
        <v>169</v>
      </c>
      <c r="B9" s="11" t="s">
        <v>61</v>
      </c>
      <c r="C9" s="11" t="s">
        <v>113</v>
      </c>
      <c r="D9" s="11" t="s">
        <v>170</v>
      </c>
      <c r="E9" s="11" t="s">
        <v>64</v>
      </c>
      <c r="F9" s="11" t="s">
        <v>171</v>
      </c>
      <c r="G9" s="11"/>
      <c r="H9" s="11" t="s">
        <v>66</v>
      </c>
    </row>
    <row r="10" spans="1:8" ht="16" x14ac:dyDescent="0.2">
      <c r="A10" s="11" t="s">
        <v>172</v>
      </c>
      <c r="B10" s="11" t="s">
        <v>61</v>
      </c>
      <c r="C10" s="11" t="s">
        <v>113</v>
      </c>
      <c r="D10" s="11" t="s">
        <v>173</v>
      </c>
      <c r="E10" s="11" t="s">
        <v>64</v>
      </c>
      <c r="F10" s="11" t="s">
        <v>174</v>
      </c>
      <c r="G10" s="11"/>
      <c r="H10" s="11" t="s">
        <v>66</v>
      </c>
    </row>
    <row r="11" spans="1:8" ht="16" x14ac:dyDescent="0.2">
      <c r="A11" s="11" t="s">
        <v>175</v>
      </c>
      <c r="B11" s="11" t="s">
        <v>61</v>
      </c>
      <c r="C11" s="11" t="s">
        <v>113</v>
      </c>
      <c r="D11" s="11" t="s">
        <v>176</v>
      </c>
      <c r="E11" s="11" t="s">
        <v>64</v>
      </c>
      <c r="F11" s="11" t="s">
        <v>177</v>
      </c>
      <c r="G11" s="11"/>
      <c r="H11" s="11" t="s">
        <v>66</v>
      </c>
    </row>
    <row r="12" spans="1:8" ht="16" x14ac:dyDescent="0.2">
      <c r="A12" s="11" t="s">
        <v>178</v>
      </c>
      <c r="B12" s="11" t="s">
        <v>61</v>
      </c>
      <c r="C12" s="11" t="s">
        <v>113</v>
      </c>
      <c r="D12" s="11" t="s">
        <v>96</v>
      </c>
      <c r="E12" s="11" t="s">
        <v>64</v>
      </c>
      <c r="F12" s="11" t="s">
        <v>179</v>
      </c>
      <c r="G12" s="11"/>
      <c r="H12" s="11" t="s">
        <v>66</v>
      </c>
    </row>
    <row r="13" spans="1:8" ht="16" x14ac:dyDescent="0.2">
      <c r="A13" s="11" t="s">
        <v>180</v>
      </c>
      <c r="B13" s="11" t="s">
        <v>61</v>
      </c>
      <c r="C13" s="11" t="s">
        <v>181</v>
      </c>
      <c r="D13" s="11" t="s">
        <v>182</v>
      </c>
      <c r="E13" s="11" t="s">
        <v>64</v>
      </c>
      <c r="F13" s="11" t="s">
        <v>183</v>
      </c>
      <c r="G13" s="11"/>
      <c r="H13" s="11" t="s">
        <v>66</v>
      </c>
    </row>
    <row r="14" spans="1:8" ht="16" x14ac:dyDescent="0.2">
      <c r="A14" s="11" t="s">
        <v>184</v>
      </c>
      <c r="B14" s="11" t="s">
        <v>61</v>
      </c>
      <c r="C14" s="11" t="s">
        <v>113</v>
      </c>
      <c r="D14" s="11" t="s">
        <v>100</v>
      </c>
      <c r="E14" s="11" t="s">
        <v>64</v>
      </c>
      <c r="F14" s="11" t="s">
        <v>185</v>
      </c>
      <c r="G14" s="11"/>
      <c r="H14" s="11" t="s">
        <v>66</v>
      </c>
    </row>
    <row r="15" spans="1:8" ht="16" x14ac:dyDescent="0.2">
      <c r="A15" s="11" t="s">
        <v>186</v>
      </c>
      <c r="B15" s="11" t="s">
        <v>61</v>
      </c>
      <c r="C15" s="11" t="s">
        <v>113</v>
      </c>
      <c r="D15" s="11" t="s">
        <v>100</v>
      </c>
      <c r="E15" s="11" t="s">
        <v>64</v>
      </c>
      <c r="F15" s="11" t="s">
        <v>187</v>
      </c>
      <c r="G15" s="11"/>
      <c r="H15" s="11" t="s">
        <v>66</v>
      </c>
    </row>
    <row r="16" spans="1:8" ht="16" x14ac:dyDescent="0.2">
      <c r="A16" s="11" t="s">
        <v>188</v>
      </c>
      <c r="B16" s="11" t="s">
        <v>76</v>
      </c>
      <c r="C16" s="11" t="s">
        <v>113</v>
      </c>
      <c r="D16" s="11" t="s">
        <v>114</v>
      </c>
      <c r="E16" s="11" t="s">
        <v>79</v>
      </c>
      <c r="F16" s="11" t="s">
        <v>189</v>
      </c>
      <c r="G16" s="11" t="s">
        <v>81</v>
      </c>
      <c r="H16" s="11" t="s">
        <v>82</v>
      </c>
    </row>
    <row r="17" spans="1:8" ht="16" x14ac:dyDescent="0.2">
      <c r="A17" s="11" t="s">
        <v>190</v>
      </c>
      <c r="B17" s="11" t="s">
        <v>76</v>
      </c>
      <c r="C17" s="11" t="s">
        <v>113</v>
      </c>
      <c r="D17" s="11" t="s">
        <v>114</v>
      </c>
      <c r="E17" s="11" t="s">
        <v>79</v>
      </c>
      <c r="F17" s="11" t="s">
        <v>191</v>
      </c>
      <c r="G17" s="11" t="s">
        <v>81</v>
      </c>
      <c r="H17" s="11" t="s">
        <v>82</v>
      </c>
    </row>
    <row r="18" spans="1:8" ht="16" x14ac:dyDescent="0.2">
      <c r="A18" s="11" t="s">
        <v>192</v>
      </c>
      <c r="B18" s="11" t="s">
        <v>61</v>
      </c>
      <c r="C18" s="11" t="s">
        <v>113</v>
      </c>
      <c r="D18" s="11" t="s">
        <v>193</v>
      </c>
      <c r="E18" s="11" t="s">
        <v>64</v>
      </c>
      <c r="F18" s="11" t="s">
        <v>194</v>
      </c>
      <c r="G18" s="11"/>
      <c r="H18" s="11" t="s">
        <v>66</v>
      </c>
    </row>
    <row r="19" spans="1:8" ht="32" x14ac:dyDescent="0.2">
      <c r="A19" s="11" t="s">
        <v>195</v>
      </c>
      <c r="B19" s="11" t="s">
        <v>76</v>
      </c>
      <c r="C19" s="11" t="s">
        <v>107</v>
      </c>
      <c r="D19" s="11" t="s">
        <v>196</v>
      </c>
      <c r="E19" s="11" t="s">
        <v>109</v>
      </c>
      <c r="F19" s="11" t="s">
        <v>197</v>
      </c>
      <c r="G19" s="11" t="s">
        <v>198</v>
      </c>
      <c r="H19" s="11" t="s">
        <v>82</v>
      </c>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8" x14ac:dyDescent="0.2">
      <c r="A33" s="2" t="s">
        <v>199</v>
      </c>
      <c r="B33" s="18"/>
      <c r="C33" s="19"/>
      <c r="D33" s="20"/>
    </row>
    <row r="34" spans="1:8" x14ac:dyDescent="0.2">
      <c r="A34" s="2" t="s">
        <v>200</v>
      </c>
      <c r="B34" s="18"/>
      <c r="C34" s="19"/>
      <c r="D34" s="20"/>
    </row>
    <row r="35" spans="1:8" x14ac:dyDescent="0.2">
      <c r="A35" s="2" t="s">
        <v>201</v>
      </c>
      <c r="B35" s="18"/>
      <c r="C35" s="19"/>
      <c r="D35" s="20"/>
    </row>
    <row r="36" spans="1:8" x14ac:dyDescent="0.2">
      <c r="A36" s="2" t="s">
        <v>202</v>
      </c>
      <c r="B36" s="18"/>
      <c r="C36" s="19"/>
      <c r="D36" s="20"/>
    </row>
    <row r="38" spans="1:8" x14ac:dyDescent="0.2">
      <c r="A38" s="12" t="s">
        <v>132</v>
      </c>
    </row>
    <row r="39" spans="1:8" x14ac:dyDescent="0.2">
      <c r="A39" s="2" t="s">
        <v>133</v>
      </c>
      <c r="B39" s="2" t="s">
        <v>134</v>
      </c>
      <c r="C39" s="2" t="s">
        <v>27</v>
      </c>
    </row>
    <row r="40" spans="1:8" x14ac:dyDescent="0.2">
      <c r="A40" t="s">
        <v>133</v>
      </c>
      <c r="B40" t="s">
        <v>203</v>
      </c>
      <c r="C40" s="3"/>
    </row>
    <row r="41" spans="1:8" x14ac:dyDescent="0.2">
      <c r="A41" t="s">
        <v>133</v>
      </c>
      <c r="B41" t="s">
        <v>204</v>
      </c>
      <c r="C41" s="3"/>
    </row>
    <row r="42" spans="1:8" x14ac:dyDescent="0.2">
      <c r="A42" t="s">
        <v>133</v>
      </c>
      <c r="B42" t="s">
        <v>205</v>
      </c>
      <c r="C42" s="3"/>
    </row>
    <row r="43" spans="1:8" x14ac:dyDescent="0.2">
      <c r="A43" t="s">
        <v>133</v>
      </c>
      <c r="B43" t="s">
        <v>206</v>
      </c>
      <c r="C43" s="3"/>
    </row>
    <row r="44" spans="1:8" x14ac:dyDescent="0.2">
      <c r="A44" t="s">
        <v>133</v>
      </c>
      <c r="B44" t="s">
        <v>207</v>
      </c>
      <c r="C44" s="3"/>
    </row>
    <row r="45" spans="1:8" x14ac:dyDescent="0.2">
      <c r="A45" s="2" t="s">
        <v>146</v>
      </c>
      <c r="B45" s="13" t="e">
        <f>COUNTIF(C40:C44,"Yes")/COUNTA(C40:C44)*100&amp;"%"</f>
        <v>#DIV/0!</v>
      </c>
    </row>
    <row r="47" spans="1:8" x14ac:dyDescent="0.2">
      <c r="A47" s="30" t="s">
        <v>147</v>
      </c>
      <c r="B47" s="17"/>
      <c r="C47" s="17"/>
      <c r="D47" s="17"/>
      <c r="E47" s="17"/>
      <c r="F47" s="17"/>
      <c r="G47" s="17"/>
      <c r="H47" s="17"/>
    </row>
    <row r="48" spans="1:8" x14ac:dyDescent="0.2">
      <c r="A48" s="2" t="s">
        <v>148</v>
      </c>
      <c r="B48" s="18"/>
      <c r="C48" s="19"/>
      <c r="D48" s="20"/>
    </row>
    <row r="49" spans="1:8" x14ac:dyDescent="0.2">
      <c r="A49" s="2" t="s">
        <v>149</v>
      </c>
      <c r="B49" s="18"/>
      <c r="C49" s="19"/>
      <c r="D49" s="20"/>
    </row>
    <row r="50" spans="1:8" x14ac:dyDescent="0.2">
      <c r="A50" s="2" t="s">
        <v>150</v>
      </c>
      <c r="B50" s="18"/>
      <c r="C50" s="19"/>
      <c r="D50" s="20"/>
    </row>
    <row r="51" spans="1:8" x14ac:dyDescent="0.2">
      <c r="A51" s="2" t="s">
        <v>151</v>
      </c>
      <c r="B51" s="18"/>
      <c r="C51" s="19"/>
      <c r="D51" s="20"/>
    </row>
    <row r="52" spans="1:8" x14ac:dyDescent="0.2">
      <c r="A52" s="2" t="s">
        <v>152</v>
      </c>
      <c r="B52" s="18"/>
      <c r="C52" s="19"/>
      <c r="D52" s="20"/>
    </row>
    <row r="53" spans="1:8" x14ac:dyDescent="0.2">
      <c r="A53" s="2" t="s">
        <v>153</v>
      </c>
      <c r="B53" s="18"/>
      <c r="C53" s="19"/>
      <c r="D53" s="20"/>
    </row>
    <row r="54" spans="1:8" x14ac:dyDescent="0.2">
      <c r="A54" s="2" t="s">
        <v>154</v>
      </c>
      <c r="B54" s="18"/>
      <c r="C54" s="19"/>
      <c r="D54" s="20"/>
    </row>
    <row r="55" spans="1:8" x14ac:dyDescent="0.2">
      <c r="A55" s="2" t="s">
        <v>155</v>
      </c>
      <c r="B55" s="18"/>
      <c r="C55" s="19"/>
      <c r="D55" s="20"/>
    </row>
    <row r="56" spans="1:8" x14ac:dyDescent="0.2">
      <c r="A56" s="2" t="s">
        <v>156</v>
      </c>
      <c r="B56" s="18"/>
      <c r="C56" s="19"/>
      <c r="D56" s="20"/>
    </row>
    <row r="57" spans="1:8" x14ac:dyDescent="0.2">
      <c r="A57" s="2" t="s">
        <v>157</v>
      </c>
      <c r="B57" s="18"/>
      <c r="C57" s="19"/>
      <c r="D57" s="20"/>
    </row>
    <row r="58" spans="1:8" x14ac:dyDescent="0.2">
      <c r="A58" s="2" t="s">
        <v>158</v>
      </c>
      <c r="B58" s="18"/>
      <c r="C58" s="19"/>
      <c r="D58" s="20"/>
    </row>
    <row r="59" spans="1:8" x14ac:dyDescent="0.2">
      <c r="A59" s="2" t="s">
        <v>159</v>
      </c>
      <c r="B59" s="18"/>
      <c r="C59" s="19"/>
      <c r="D59" s="20"/>
    </row>
    <row r="60" spans="1:8" x14ac:dyDescent="0.2">
      <c r="A60" s="2" t="s">
        <v>160</v>
      </c>
      <c r="B60" s="18"/>
      <c r="C60" s="19"/>
      <c r="D60" s="20"/>
    </row>
    <row r="62" spans="1:8" x14ac:dyDescent="0.2">
      <c r="A62" s="31" t="s">
        <v>161</v>
      </c>
      <c r="B62" s="17"/>
      <c r="C62" s="17"/>
      <c r="D62" s="17"/>
      <c r="E62" s="17"/>
      <c r="F62" s="17"/>
      <c r="G62" s="17"/>
      <c r="H62" s="17"/>
    </row>
    <row r="63" spans="1:8" x14ac:dyDescent="0.2">
      <c r="A63" s="21"/>
      <c r="B63" s="22"/>
      <c r="C63" s="22"/>
      <c r="D63" s="22"/>
      <c r="E63" s="22"/>
      <c r="F63" s="22"/>
      <c r="G63" s="22"/>
      <c r="H63" s="23"/>
    </row>
    <row r="64" spans="1:8" x14ac:dyDescent="0.2">
      <c r="A64" s="24"/>
      <c r="B64" s="17"/>
      <c r="C64" s="17"/>
      <c r="D64" s="17"/>
      <c r="E64" s="17"/>
      <c r="F64" s="17"/>
      <c r="G64" s="17"/>
      <c r="H64" s="25"/>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6"/>
      <c r="B68" s="27"/>
      <c r="C68" s="27"/>
      <c r="D68" s="27"/>
      <c r="E68" s="27"/>
      <c r="F68" s="27"/>
      <c r="G68" s="27"/>
      <c r="H68" s="28"/>
    </row>
  </sheetData>
  <mergeCells count="22">
    <mergeCell ref="A63:H68"/>
    <mergeCell ref="B35:D35"/>
    <mergeCell ref="B50:D50"/>
    <mergeCell ref="A47:H47"/>
    <mergeCell ref="B54:D54"/>
    <mergeCell ref="A62:H62"/>
    <mergeCell ref="B59:D59"/>
    <mergeCell ref="B56:D56"/>
    <mergeCell ref="B58:D58"/>
    <mergeCell ref="B52:D52"/>
    <mergeCell ref="B48:D48"/>
    <mergeCell ref="B60:D60"/>
    <mergeCell ref="B57:D57"/>
    <mergeCell ref="B53:D53"/>
    <mergeCell ref="A1:H1"/>
    <mergeCell ref="B34:D34"/>
    <mergeCell ref="B49:D49"/>
    <mergeCell ref="B55:D55"/>
    <mergeCell ref="B51:D51"/>
    <mergeCell ref="B33:D33"/>
    <mergeCell ref="A3:H3"/>
    <mergeCell ref="B36:D36"/>
  </mergeCells>
  <dataValidations count="6">
    <dataValidation type="list" sqref="B4" xr:uid="{00000000-0002-0000-0200-000000000000}">
      <formula1>"Yes,No,Not Applicable"</formula1>
    </dataValidation>
    <dataValidation type="list" sqref="E8 E9 E10 E11 E12 E13 E14 E15 E16 E17 E18 E19 E20 E21 E22 E23 E24 E25 E26 E27 E28 E29 E30" xr:uid="{00000000-0002-0000-0200-000001000000}">
      <formula1>"✅ Compliant,⚠️ Partial,❌ Non-Compliant,N/A"</formula1>
    </dataValidation>
    <dataValidation type="list" sqref="H8:H30 B50 B48 B35:B36" xr:uid="{00000000-0002-0000-0200-000002000000}">
      <formula1>"Yes,No"</formula1>
    </dataValidation>
    <dataValidation type="list" sqref="B34" xr:uid="{00000000-0002-0000-0200-000003000000}">
      <formula1>"Public,Internal,Confidential,Restricted"</formula1>
    </dataValidation>
    <dataValidation type="list" sqref="C40:C44" xr:uid="{00000000-0002-0000-0200-000006000000}">
      <formula1>"Yes,No,N/A"</formula1>
    </dataValidation>
    <dataValidation type="list" sqref="B60" xr:uid="{00000000-0002-0000-0200-00000D000000}">
      <formula1>"Yes,No,Unknown"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8"/>
  <sheetViews>
    <sheetView workbookViewId="0">
      <pane ySplit="6" topLeftCell="A7" activePane="bottomLeft" state="frozen"/>
      <selection pane="bottomLeft"/>
    </sheetView>
  </sheetViews>
  <sheetFormatPr baseColWidth="10" defaultColWidth="8.83203125" defaultRowHeight="15" x14ac:dyDescent="0.2"/>
  <cols>
    <col min="1" max="1" width="25" customWidth="1"/>
    <col min="2" max="2" width="22" customWidth="1"/>
    <col min="3" max="3" width="20" customWidth="1"/>
    <col min="4" max="4" width="16" customWidth="1"/>
    <col min="5" max="5" width="15" customWidth="1"/>
    <col min="6" max="7" width="30" customWidth="1"/>
    <col min="8" max="8" width="16" customWidth="1"/>
  </cols>
  <sheetData>
    <row r="1" spans="1:8" ht="40" customHeight="1" x14ac:dyDescent="0.2">
      <c r="A1" s="16" t="s">
        <v>208</v>
      </c>
      <c r="B1" s="17"/>
      <c r="C1" s="17"/>
      <c r="D1" s="17"/>
      <c r="E1" s="17"/>
      <c r="F1" s="17"/>
      <c r="G1" s="17"/>
      <c r="H1" s="17"/>
    </row>
    <row r="3" spans="1:8" ht="30" customHeight="1" x14ac:dyDescent="0.2">
      <c r="A3" s="29" t="s">
        <v>209</v>
      </c>
      <c r="B3" s="17"/>
      <c r="C3" s="17"/>
      <c r="D3" s="17"/>
      <c r="E3" s="17"/>
      <c r="F3" s="17"/>
      <c r="G3" s="17"/>
      <c r="H3" s="17"/>
    </row>
    <row r="4" spans="1:8" x14ac:dyDescent="0.2">
      <c r="A4" s="2" t="s">
        <v>51</v>
      </c>
      <c r="B4" s="3"/>
    </row>
    <row r="6" spans="1:8" x14ac:dyDescent="0.2">
      <c r="A6" s="4" t="s">
        <v>210</v>
      </c>
      <c r="B6" s="4" t="s">
        <v>211</v>
      </c>
      <c r="C6" s="4" t="s">
        <v>212</v>
      </c>
      <c r="D6" s="4" t="s">
        <v>213</v>
      </c>
      <c r="E6" s="4" t="s">
        <v>27</v>
      </c>
      <c r="F6" s="4" t="s">
        <v>56</v>
      </c>
      <c r="G6" s="4" t="s">
        <v>57</v>
      </c>
      <c r="H6" s="4" t="s">
        <v>58</v>
      </c>
    </row>
    <row r="7" spans="1:8" ht="32" x14ac:dyDescent="0.2">
      <c r="A7" s="10" t="s">
        <v>59</v>
      </c>
      <c r="B7" s="10"/>
      <c r="C7" s="10"/>
      <c r="D7" s="10"/>
      <c r="E7" s="10"/>
      <c r="F7" s="10"/>
      <c r="G7" s="10"/>
      <c r="H7" s="10"/>
    </row>
    <row r="8" spans="1:8" ht="16" x14ac:dyDescent="0.2">
      <c r="A8" s="11" t="s">
        <v>214</v>
      </c>
      <c r="B8" s="11" t="s">
        <v>215</v>
      </c>
      <c r="C8" s="11" t="s">
        <v>84</v>
      </c>
      <c r="D8" s="11" t="s">
        <v>216</v>
      </c>
      <c r="E8" s="11" t="s">
        <v>79</v>
      </c>
      <c r="F8" s="11" t="s">
        <v>217</v>
      </c>
      <c r="G8" s="11" t="s">
        <v>218</v>
      </c>
      <c r="H8" s="11" t="s">
        <v>82</v>
      </c>
    </row>
    <row r="9" spans="1:8" ht="16" x14ac:dyDescent="0.2">
      <c r="A9" s="11" t="s">
        <v>219</v>
      </c>
      <c r="B9" s="11" t="s">
        <v>61</v>
      </c>
      <c r="C9" s="11" t="s">
        <v>220</v>
      </c>
      <c r="D9" s="11" t="s">
        <v>221</v>
      </c>
      <c r="E9" s="11" t="s">
        <v>64</v>
      </c>
      <c r="F9" s="11" t="s">
        <v>222</v>
      </c>
      <c r="G9" s="11"/>
      <c r="H9" s="11" t="s">
        <v>66</v>
      </c>
    </row>
    <row r="10" spans="1:8" ht="16" x14ac:dyDescent="0.2">
      <c r="A10" s="11" t="s">
        <v>223</v>
      </c>
      <c r="B10" s="11" t="s">
        <v>224</v>
      </c>
      <c r="C10" s="11" t="s">
        <v>113</v>
      </c>
      <c r="D10" s="11" t="s">
        <v>225</v>
      </c>
      <c r="E10" s="11" t="s">
        <v>79</v>
      </c>
      <c r="F10" s="11" t="s">
        <v>226</v>
      </c>
      <c r="G10" s="11" t="s">
        <v>227</v>
      </c>
      <c r="H10" s="11" t="s">
        <v>82</v>
      </c>
    </row>
    <row r="11" spans="1:8" ht="16" x14ac:dyDescent="0.2">
      <c r="A11" s="11" t="s">
        <v>228</v>
      </c>
      <c r="B11" s="11" t="s">
        <v>215</v>
      </c>
      <c r="C11" s="11" t="s">
        <v>84</v>
      </c>
      <c r="D11" s="11" t="s">
        <v>229</v>
      </c>
      <c r="E11" s="11" t="s">
        <v>64</v>
      </c>
      <c r="F11" s="11" t="s">
        <v>230</v>
      </c>
      <c r="G11" s="11"/>
      <c r="H11" s="11" t="s">
        <v>66</v>
      </c>
    </row>
    <row r="12" spans="1:8" ht="16" x14ac:dyDescent="0.2">
      <c r="A12" s="11" t="s">
        <v>231</v>
      </c>
      <c r="B12" s="11" t="s">
        <v>76</v>
      </c>
      <c r="C12" s="11" t="s">
        <v>232</v>
      </c>
      <c r="D12" s="11" t="s">
        <v>233</v>
      </c>
      <c r="E12" s="11" t="s">
        <v>64</v>
      </c>
      <c r="F12" s="11" t="s">
        <v>234</v>
      </c>
      <c r="G12" s="11"/>
      <c r="H12" s="11" t="s">
        <v>66</v>
      </c>
    </row>
    <row r="13" spans="1:8" ht="16" x14ac:dyDescent="0.2">
      <c r="A13" s="11" t="s">
        <v>235</v>
      </c>
      <c r="B13" s="11" t="s">
        <v>61</v>
      </c>
      <c r="C13" s="11" t="s">
        <v>236</v>
      </c>
      <c r="D13" s="11" t="s">
        <v>237</v>
      </c>
      <c r="E13" s="11" t="s">
        <v>64</v>
      </c>
      <c r="F13" s="11" t="s">
        <v>238</v>
      </c>
      <c r="G13" s="11"/>
      <c r="H13" s="11" t="s">
        <v>66</v>
      </c>
    </row>
    <row r="14" spans="1:8" ht="16" x14ac:dyDescent="0.2">
      <c r="A14" s="11" t="s">
        <v>239</v>
      </c>
      <c r="B14" s="11" t="s">
        <v>61</v>
      </c>
      <c r="C14" s="11" t="s">
        <v>240</v>
      </c>
      <c r="D14" s="11" t="s">
        <v>237</v>
      </c>
      <c r="E14" s="11" t="s">
        <v>64</v>
      </c>
      <c r="F14" s="11" t="s">
        <v>241</v>
      </c>
      <c r="G14" s="11"/>
      <c r="H14" s="11" t="s">
        <v>66</v>
      </c>
    </row>
    <row r="15" spans="1:8" ht="16" x14ac:dyDescent="0.2">
      <c r="A15" s="11" t="s">
        <v>242</v>
      </c>
      <c r="B15" s="11" t="s">
        <v>61</v>
      </c>
      <c r="C15" s="11" t="s">
        <v>243</v>
      </c>
      <c r="D15" s="11" t="s">
        <v>237</v>
      </c>
      <c r="E15" s="11" t="s">
        <v>64</v>
      </c>
      <c r="F15" s="11" t="s">
        <v>244</v>
      </c>
      <c r="G15" s="11"/>
      <c r="H15" s="11" t="s">
        <v>66</v>
      </c>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8" x14ac:dyDescent="0.2">
      <c r="A33" s="2" t="s">
        <v>245</v>
      </c>
      <c r="B33" s="18"/>
      <c r="C33" s="19"/>
      <c r="D33" s="20"/>
    </row>
    <row r="34" spans="1:8" x14ac:dyDescent="0.2">
      <c r="A34" s="2" t="s">
        <v>246</v>
      </c>
      <c r="B34" s="18"/>
      <c r="C34" s="19"/>
      <c r="D34" s="20"/>
    </row>
    <row r="35" spans="1:8" x14ac:dyDescent="0.2">
      <c r="A35" s="2" t="s">
        <v>247</v>
      </c>
      <c r="B35" s="18"/>
      <c r="C35" s="19"/>
      <c r="D35" s="20"/>
    </row>
    <row r="36" spans="1:8" x14ac:dyDescent="0.2">
      <c r="A36" s="2" t="s">
        <v>248</v>
      </c>
      <c r="B36" s="18"/>
      <c r="C36" s="19"/>
      <c r="D36" s="20"/>
    </row>
    <row r="38" spans="1:8" x14ac:dyDescent="0.2">
      <c r="A38" s="12" t="s">
        <v>132</v>
      </c>
    </row>
    <row r="39" spans="1:8" x14ac:dyDescent="0.2">
      <c r="A39" s="2" t="s">
        <v>133</v>
      </c>
      <c r="B39" s="2" t="s">
        <v>134</v>
      </c>
      <c r="C39" s="2" t="s">
        <v>27</v>
      </c>
    </row>
    <row r="40" spans="1:8" x14ac:dyDescent="0.2">
      <c r="A40" t="s">
        <v>133</v>
      </c>
      <c r="B40" t="s">
        <v>249</v>
      </c>
      <c r="C40" s="3"/>
    </row>
    <row r="41" spans="1:8" x14ac:dyDescent="0.2">
      <c r="A41" t="s">
        <v>133</v>
      </c>
      <c r="B41" t="s">
        <v>250</v>
      </c>
      <c r="C41" s="3"/>
    </row>
    <row r="42" spans="1:8" x14ac:dyDescent="0.2">
      <c r="A42" t="s">
        <v>133</v>
      </c>
      <c r="B42" t="s">
        <v>251</v>
      </c>
      <c r="C42" s="3"/>
    </row>
    <row r="43" spans="1:8" x14ac:dyDescent="0.2">
      <c r="A43" t="s">
        <v>133</v>
      </c>
      <c r="B43" t="s">
        <v>252</v>
      </c>
      <c r="C43" s="3"/>
    </row>
    <row r="44" spans="1:8" x14ac:dyDescent="0.2">
      <c r="A44" t="s">
        <v>133</v>
      </c>
      <c r="B44" t="s">
        <v>253</v>
      </c>
      <c r="C44" s="3"/>
    </row>
    <row r="45" spans="1:8" x14ac:dyDescent="0.2">
      <c r="A45" s="2" t="s">
        <v>146</v>
      </c>
      <c r="B45" s="13" t="e">
        <f>COUNTIF(C40:C44,"Yes")/COUNTA(C40:C44)*100&amp;"%"</f>
        <v>#DIV/0!</v>
      </c>
    </row>
    <row r="47" spans="1:8" x14ac:dyDescent="0.2">
      <c r="A47" s="30" t="s">
        <v>147</v>
      </c>
      <c r="B47" s="17"/>
      <c r="C47" s="17"/>
      <c r="D47" s="17"/>
      <c r="E47" s="17"/>
      <c r="F47" s="17"/>
      <c r="G47" s="17"/>
      <c r="H47" s="17"/>
    </row>
    <row r="48" spans="1:8" x14ac:dyDescent="0.2">
      <c r="A48" s="2" t="s">
        <v>148</v>
      </c>
      <c r="B48" s="18"/>
      <c r="C48" s="19"/>
      <c r="D48" s="20"/>
    </row>
    <row r="49" spans="1:8" x14ac:dyDescent="0.2">
      <c r="A49" s="2" t="s">
        <v>149</v>
      </c>
      <c r="B49" s="18"/>
      <c r="C49" s="19"/>
      <c r="D49" s="20"/>
    </row>
    <row r="50" spans="1:8" x14ac:dyDescent="0.2">
      <c r="A50" s="2" t="s">
        <v>150</v>
      </c>
      <c r="B50" s="18"/>
      <c r="C50" s="19"/>
      <c r="D50" s="20"/>
    </row>
    <row r="51" spans="1:8" x14ac:dyDescent="0.2">
      <c r="A51" s="2" t="s">
        <v>151</v>
      </c>
      <c r="B51" s="18"/>
      <c r="C51" s="19"/>
      <c r="D51" s="20"/>
    </row>
    <row r="52" spans="1:8" x14ac:dyDescent="0.2">
      <c r="A52" s="2" t="s">
        <v>152</v>
      </c>
      <c r="B52" s="18"/>
      <c r="C52" s="19"/>
      <c r="D52" s="20"/>
    </row>
    <row r="53" spans="1:8" x14ac:dyDescent="0.2">
      <c r="A53" s="2" t="s">
        <v>153</v>
      </c>
      <c r="B53" s="18"/>
      <c r="C53" s="19"/>
      <c r="D53" s="20"/>
    </row>
    <row r="54" spans="1:8" x14ac:dyDescent="0.2">
      <c r="A54" s="2" t="s">
        <v>154</v>
      </c>
      <c r="B54" s="18"/>
      <c r="C54" s="19"/>
      <c r="D54" s="20"/>
    </row>
    <row r="55" spans="1:8" x14ac:dyDescent="0.2">
      <c r="A55" s="2" t="s">
        <v>155</v>
      </c>
      <c r="B55" s="18"/>
      <c r="C55" s="19"/>
      <c r="D55" s="20"/>
    </row>
    <row r="56" spans="1:8" x14ac:dyDescent="0.2">
      <c r="A56" s="2" t="s">
        <v>156</v>
      </c>
      <c r="B56" s="18"/>
      <c r="C56" s="19"/>
      <c r="D56" s="20"/>
    </row>
    <row r="57" spans="1:8" x14ac:dyDescent="0.2">
      <c r="A57" s="2" t="s">
        <v>157</v>
      </c>
      <c r="B57" s="18"/>
      <c r="C57" s="19"/>
      <c r="D57" s="20"/>
    </row>
    <row r="58" spans="1:8" x14ac:dyDescent="0.2">
      <c r="A58" s="2" t="s">
        <v>158</v>
      </c>
      <c r="B58" s="18"/>
      <c r="C58" s="19"/>
      <c r="D58" s="20"/>
    </row>
    <row r="59" spans="1:8" x14ac:dyDescent="0.2">
      <c r="A59" s="2" t="s">
        <v>159</v>
      </c>
      <c r="B59" s="18"/>
      <c r="C59" s="19"/>
      <c r="D59" s="20"/>
    </row>
    <row r="60" spans="1:8" x14ac:dyDescent="0.2">
      <c r="A60" s="2" t="s">
        <v>160</v>
      </c>
      <c r="B60" s="18"/>
      <c r="C60" s="19"/>
      <c r="D60" s="20"/>
    </row>
    <row r="62" spans="1:8" x14ac:dyDescent="0.2">
      <c r="A62" s="31" t="s">
        <v>161</v>
      </c>
      <c r="B62" s="17"/>
      <c r="C62" s="17"/>
      <c r="D62" s="17"/>
      <c r="E62" s="17"/>
      <c r="F62" s="17"/>
      <c r="G62" s="17"/>
      <c r="H62" s="17"/>
    </row>
    <row r="63" spans="1:8" x14ac:dyDescent="0.2">
      <c r="A63" s="21"/>
      <c r="B63" s="22"/>
      <c r="C63" s="22"/>
      <c r="D63" s="22"/>
      <c r="E63" s="22"/>
      <c r="F63" s="22"/>
      <c r="G63" s="22"/>
      <c r="H63" s="23"/>
    </row>
    <row r="64" spans="1:8" x14ac:dyDescent="0.2">
      <c r="A64" s="24"/>
      <c r="B64" s="17"/>
      <c r="C64" s="17"/>
      <c r="D64" s="17"/>
      <c r="E64" s="17"/>
      <c r="F64" s="17"/>
      <c r="G64" s="17"/>
      <c r="H64" s="25"/>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6"/>
      <c r="B68" s="27"/>
      <c r="C68" s="27"/>
      <c r="D68" s="27"/>
      <c r="E68" s="27"/>
      <c r="F68" s="27"/>
      <c r="G68" s="27"/>
      <c r="H68" s="28"/>
    </row>
  </sheetData>
  <mergeCells count="22">
    <mergeCell ref="A63:H68"/>
    <mergeCell ref="B35:D35"/>
    <mergeCell ref="B50:D50"/>
    <mergeCell ref="A47:H47"/>
    <mergeCell ref="B54:D54"/>
    <mergeCell ref="A62:H62"/>
    <mergeCell ref="B59:D59"/>
    <mergeCell ref="B56:D56"/>
    <mergeCell ref="B58:D58"/>
    <mergeCell ref="B52:D52"/>
    <mergeCell ref="B48:D48"/>
    <mergeCell ref="B60:D60"/>
    <mergeCell ref="B57:D57"/>
    <mergeCell ref="B53:D53"/>
    <mergeCell ref="A1:H1"/>
    <mergeCell ref="B34:D34"/>
    <mergeCell ref="B49:D49"/>
    <mergeCell ref="B55:D55"/>
    <mergeCell ref="B51:D51"/>
    <mergeCell ref="B33:D33"/>
    <mergeCell ref="A3:H3"/>
    <mergeCell ref="B36:D36"/>
  </mergeCells>
  <dataValidations count="7">
    <dataValidation type="list" sqref="B4" xr:uid="{00000000-0002-0000-0300-000000000000}">
      <formula1>"Yes,No,Not Applicable"</formula1>
    </dataValidation>
    <dataValidation type="list" sqref="E8 E9 E10 E11 E12 E13 E14 E15 E16 E17 E18 E19 E20 E21 E22 E23 E24 E25 E26 E27 E28 E29 E30" xr:uid="{00000000-0002-0000-0300-000001000000}">
      <formula1>"✅ Compliant,⚠️ Partial,❌ Non-Compliant,N/A"</formula1>
    </dataValidation>
    <dataValidation type="list" sqref="H8:H30 B50 B48 B35:B36" xr:uid="{00000000-0002-0000-0300-000002000000}">
      <formula1>"Yes,No"</formula1>
    </dataValidation>
    <dataValidation type="list" sqref="B33" xr:uid="{00000000-0002-0000-0300-000003000000}">
      <formula1>"S/MIME,PGP/GPG,TLS-only,Other"</formula1>
    </dataValidation>
    <dataValidation type="list" sqref="B34" xr:uid="{00000000-0002-0000-0300-000004000000}">
      <formula1>"Implemented,Planned,Not implemented"</formula1>
    </dataValidation>
    <dataValidation type="list" sqref="C40:C44" xr:uid="{00000000-0002-0000-0300-000007000000}">
      <formula1>"Yes,No,N/A"</formula1>
    </dataValidation>
    <dataValidation type="list" sqref="B60" xr:uid="{00000000-0002-0000-0300-00000E000000}">
      <formula1>"Yes,No,Unknown"</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20" customWidth="1"/>
    <col min="3" max="3" width="22" customWidth="1"/>
    <col min="4" max="4" width="15" customWidth="1"/>
    <col min="5" max="6" width="30" customWidth="1"/>
    <col min="7" max="7" width="16" customWidth="1"/>
  </cols>
  <sheetData>
    <row r="1" spans="1:8" ht="40" customHeight="1" x14ac:dyDescent="0.2">
      <c r="A1" s="16" t="s">
        <v>254</v>
      </c>
      <c r="B1" s="17"/>
      <c r="C1" s="17"/>
      <c r="D1" s="17"/>
      <c r="E1" s="17"/>
      <c r="F1" s="17"/>
      <c r="G1" s="17"/>
      <c r="H1" s="17"/>
    </row>
    <row r="3" spans="1:8" ht="30" customHeight="1" x14ac:dyDescent="0.2">
      <c r="A3" s="29" t="s">
        <v>255</v>
      </c>
      <c r="B3" s="17"/>
      <c r="C3" s="17"/>
      <c r="D3" s="17"/>
      <c r="E3" s="17"/>
      <c r="F3" s="17"/>
      <c r="G3" s="17"/>
      <c r="H3" s="17"/>
    </row>
    <row r="4" spans="1:8" x14ac:dyDescent="0.2">
      <c r="A4" s="2" t="s">
        <v>51</v>
      </c>
      <c r="B4" s="3"/>
    </row>
    <row r="6" spans="1:8" x14ac:dyDescent="0.2">
      <c r="A6" s="4" t="s">
        <v>256</v>
      </c>
      <c r="B6" s="4" t="s">
        <v>257</v>
      </c>
      <c r="C6" s="4" t="s">
        <v>258</v>
      </c>
      <c r="D6" s="4" t="s">
        <v>27</v>
      </c>
      <c r="E6" s="4" t="s">
        <v>56</v>
      </c>
      <c r="F6" s="4" t="s">
        <v>57</v>
      </c>
      <c r="G6" s="4" t="s">
        <v>58</v>
      </c>
    </row>
    <row r="7" spans="1:8" ht="16" x14ac:dyDescent="0.2">
      <c r="A7" s="10" t="s">
        <v>59</v>
      </c>
      <c r="B7" s="10"/>
      <c r="C7" s="10"/>
      <c r="D7" s="10"/>
      <c r="E7" s="10"/>
      <c r="F7" s="10"/>
      <c r="G7" s="10"/>
    </row>
    <row r="8" spans="1:8" ht="16" x14ac:dyDescent="0.2">
      <c r="A8" s="11" t="s">
        <v>259</v>
      </c>
      <c r="B8" s="11" t="s">
        <v>260</v>
      </c>
      <c r="C8" s="11" t="s">
        <v>261</v>
      </c>
      <c r="D8" s="11" t="s">
        <v>262</v>
      </c>
      <c r="E8" s="11" t="s">
        <v>64</v>
      </c>
      <c r="F8" s="11" t="s">
        <v>263</v>
      </c>
      <c r="G8" s="11"/>
      <c r="H8" t="s">
        <v>66</v>
      </c>
    </row>
    <row r="9" spans="1:8" ht="16" x14ac:dyDescent="0.2">
      <c r="A9" s="11" t="s">
        <v>264</v>
      </c>
      <c r="B9" s="11" t="s">
        <v>260</v>
      </c>
      <c r="C9" s="11" t="s">
        <v>265</v>
      </c>
      <c r="D9" s="11" t="s">
        <v>266</v>
      </c>
      <c r="E9" s="11" t="s">
        <v>64</v>
      </c>
      <c r="F9" s="11" t="s">
        <v>267</v>
      </c>
      <c r="G9" s="11"/>
      <c r="H9" t="s">
        <v>66</v>
      </c>
    </row>
    <row r="10" spans="1:8" ht="16" x14ac:dyDescent="0.2">
      <c r="A10" s="11" t="s">
        <v>268</v>
      </c>
      <c r="B10" s="11" t="s">
        <v>260</v>
      </c>
      <c r="C10" s="11" t="s">
        <v>269</v>
      </c>
      <c r="D10" s="11" t="s">
        <v>270</v>
      </c>
      <c r="E10" s="11" t="s">
        <v>64</v>
      </c>
      <c r="F10" s="11" t="s">
        <v>271</v>
      </c>
      <c r="G10" s="11"/>
      <c r="H10" t="s">
        <v>66</v>
      </c>
    </row>
    <row r="11" spans="1:8" ht="16" x14ac:dyDescent="0.2">
      <c r="A11" s="11" t="s">
        <v>272</v>
      </c>
      <c r="B11" s="11" t="s">
        <v>273</v>
      </c>
      <c r="C11" s="11" t="s">
        <v>115</v>
      </c>
      <c r="D11" s="11" t="s">
        <v>274</v>
      </c>
      <c r="E11" s="11" t="s">
        <v>79</v>
      </c>
      <c r="F11" s="11" t="s">
        <v>275</v>
      </c>
      <c r="G11" s="11" t="s">
        <v>276</v>
      </c>
      <c r="H11" t="s">
        <v>82</v>
      </c>
    </row>
    <row r="12" spans="1:8" ht="16" x14ac:dyDescent="0.2">
      <c r="A12" s="11" t="s">
        <v>277</v>
      </c>
      <c r="B12" s="11" t="s">
        <v>260</v>
      </c>
      <c r="C12" s="11" t="s">
        <v>278</v>
      </c>
      <c r="D12" s="11" t="s">
        <v>279</v>
      </c>
      <c r="E12" s="11" t="s">
        <v>64</v>
      </c>
      <c r="F12" s="11" t="s">
        <v>280</v>
      </c>
      <c r="G12" s="11"/>
      <c r="H12" t="s">
        <v>66</v>
      </c>
    </row>
    <row r="13" spans="1:8" ht="16" x14ac:dyDescent="0.2">
      <c r="A13" s="11" t="s">
        <v>281</v>
      </c>
      <c r="B13" s="11" t="s">
        <v>273</v>
      </c>
      <c r="C13" s="11" t="s">
        <v>282</v>
      </c>
      <c r="D13" s="11" t="s">
        <v>283</v>
      </c>
      <c r="E13" s="11" t="s">
        <v>79</v>
      </c>
      <c r="F13" s="11" t="s">
        <v>284</v>
      </c>
      <c r="G13" s="11" t="s">
        <v>285</v>
      </c>
      <c r="H13" t="s">
        <v>82</v>
      </c>
    </row>
    <row r="14" spans="1:8" ht="16" x14ac:dyDescent="0.2">
      <c r="A14" s="11" t="s">
        <v>286</v>
      </c>
      <c r="B14" s="11" t="s">
        <v>260</v>
      </c>
      <c r="C14" s="11" t="s">
        <v>287</v>
      </c>
      <c r="D14" s="11" t="s">
        <v>266</v>
      </c>
      <c r="E14" s="11" t="s">
        <v>64</v>
      </c>
      <c r="F14" s="11" t="s">
        <v>288</v>
      </c>
      <c r="G14" s="11"/>
      <c r="H14" t="s">
        <v>66</v>
      </c>
    </row>
    <row r="15" spans="1:8" x14ac:dyDescent="0.2">
      <c r="A15" s="11"/>
      <c r="B15" s="11"/>
      <c r="C15" s="11"/>
      <c r="D15" s="11"/>
      <c r="E15" s="11"/>
      <c r="F15" s="11"/>
      <c r="G15" s="11"/>
    </row>
    <row r="16" spans="1:8" x14ac:dyDescent="0.2">
      <c r="A16" s="11"/>
      <c r="B16" s="11"/>
      <c r="C16" s="11"/>
      <c r="D16" s="11"/>
      <c r="E16" s="11"/>
      <c r="F16" s="11"/>
      <c r="G16" s="11"/>
    </row>
    <row r="17" spans="1:7" x14ac:dyDescent="0.2">
      <c r="A17" s="11"/>
      <c r="B17" s="11"/>
      <c r="C17" s="11"/>
      <c r="D17" s="11"/>
      <c r="E17" s="11"/>
      <c r="F17" s="11"/>
      <c r="G17" s="11"/>
    </row>
    <row r="18" spans="1:7" x14ac:dyDescent="0.2">
      <c r="A18" s="11"/>
      <c r="B18" s="11"/>
      <c r="C18" s="11"/>
      <c r="D18" s="11"/>
      <c r="E18" s="11"/>
      <c r="F18" s="11"/>
      <c r="G18" s="11"/>
    </row>
    <row r="19" spans="1:7" x14ac:dyDescent="0.2">
      <c r="A19" s="11"/>
      <c r="B19" s="11"/>
      <c r="C19" s="11"/>
      <c r="D19" s="11"/>
      <c r="E19" s="11"/>
      <c r="F19" s="11"/>
      <c r="G19" s="11"/>
    </row>
    <row r="20" spans="1:7" x14ac:dyDescent="0.2">
      <c r="A20" s="11"/>
      <c r="B20" s="11"/>
      <c r="C20" s="11"/>
      <c r="D20" s="11"/>
      <c r="E20" s="11"/>
      <c r="F20" s="11"/>
      <c r="G20" s="11"/>
    </row>
    <row r="21" spans="1:7" x14ac:dyDescent="0.2">
      <c r="A21" s="11"/>
      <c r="B21" s="11"/>
      <c r="C21" s="11"/>
      <c r="D21" s="11"/>
      <c r="E21" s="11"/>
      <c r="F21" s="11"/>
      <c r="G21" s="11"/>
    </row>
    <row r="22" spans="1:7" x14ac:dyDescent="0.2">
      <c r="A22" s="11"/>
      <c r="B22" s="11"/>
      <c r="C22" s="11"/>
      <c r="D22" s="11"/>
      <c r="E22" s="11"/>
      <c r="F22" s="11"/>
      <c r="G22" s="11"/>
    </row>
    <row r="23" spans="1:7" x14ac:dyDescent="0.2">
      <c r="A23" s="11"/>
      <c r="B23" s="11"/>
      <c r="C23" s="11"/>
      <c r="D23" s="11"/>
      <c r="E23" s="11"/>
      <c r="F23" s="11"/>
      <c r="G23" s="11"/>
    </row>
    <row r="24" spans="1:7" x14ac:dyDescent="0.2">
      <c r="A24" s="11"/>
      <c r="B24" s="11"/>
      <c r="C24" s="11"/>
      <c r="D24" s="11"/>
      <c r="E24" s="11"/>
      <c r="F24" s="11"/>
      <c r="G24" s="11"/>
    </row>
    <row r="25" spans="1:7" x14ac:dyDescent="0.2">
      <c r="A25" s="11"/>
      <c r="B25" s="11"/>
      <c r="C25" s="11"/>
      <c r="D25" s="11"/>
      <c r="E25" s="11"/>
      <c r="F25" s="11"/>
      <c r="G25" s="11"/>
    </row>
    <row r="26" spans="1:7" x14ac:dyDescent="0.2">
      <c r="A26" s="11"/>
      <c r="B26" s="11"/>
      <c r="C26" s="11"/>
      <c r="D26" s="11"/>
      <c r="E26" s="11"/>
      <c r="F26" s="11"/>
      <c r="G26" s="11"/>
    </row>
    <row r="27" spans="1:7" x14ac:dyDescent="0.2">
      <c r="A27" s="11"/>
      <c r="B27" s="11"/>
      <c r="C27" s="11"/>
      <c r="D27" s="11"/>
      <c r="E27" s="11"/>
      <c r="F27" s="11"/>
      <c r="G27" s="11"/>
    </row>
    <row r="28" spans="1:7" x14ac:dyDescent="0.2">
      <c r="A28" s="11"/>
      <c r="B28" s="11"/>
      <c r="C28" s="11"/>
      <c r="D28" s="11"/>
      <c r="E28" s="11"/>
      <c r="F28" s="11"/>
      <c r="G28" s="11"/>
    </row>
    <row r="29" spans="1:7" x14ac:dyDescent="0.2">
      <c r="A29" s="11"/>
      <c r="B29" s="11"/>
      <c r="C29" s="11"/>
      <c r="D29" s="11"/>
      <c r="E29" s="11"/>
      <c r="F29" s="11"/>
      <c r="G29" s="11"/>
    </row>
    <row r="30" spans="1:7" x14ac:dyDescent="0.2">
      <c r="A30" s="11"/>
      <c r="B30" s="11"/>
      <c r="C30" s="11"/>
      <c r="D30" s="11"/>
      <c r="E30" s="11"/>
      <c r="F30" s="11"/>
      <c r="G30" s="11"/>
    </row>
    <row r="32" spans="1:7" x14ac:dyDescent="0.2">
      <c r="A32" s="12" t="s">
        <v>127</v>
      </c>
    </row>
    <row r="33" spans="1:8" x14ac:dyDescent="0.2">
      <c r="A33" s="2" t="s">
        <v>289</v>
      </c>
      <c r="B33" s="18"/>
      <c r="C33" s="19"/>
      <c r="D33" s="20"/>
    </row>
    <row r="34" spans="1:8" x14ac:dyDescent="0.2">
      <c r="A34" s="2" t="s">
        <v>290</v>
      </c>
      <c r="B34" s="18"/>
      <c r="C34" s="19"/>
      <c r="D34" s="20"/>
    </row>
    <row r="36" spans="1:8" x14ac:dyDescent="0.2">
      <c r="A36" s="12" t="s">
        <v>132</v>
      </c>
    </row>
    <row r="37" spans="1:8" x14ac:dyDescent="0.2">
      <c r="A37" s="2" t="s">
        <v>133</v>
      </c>
      <c r="B37" s="2" t="s">
        <v>134</v>
      </c>
      <c r="C37" s="2" t="s">
        <v>27</v>
      </c>
    </row>
    <row r="38" spans="1:8" x14ac:dyDescent="0.2">
      <c r="A38" t="s">
        <v>133</v>
      </c>
      <c r="B38" t="s">
        <v>291</v>
      </c>
      <c r="C38" s="3"/>
    </row>
    <row r="39" spans="1:8" x14ac:dyDescent="0.2">
      <c r="A39" t="s">
        <v>133</v>
      </c>
      <c r="B39" t="s">
        <v>292</v>
      </c>
      <c r="C39" s="3"/>
    </row>
    <row r="40" spans="1:8" x14ac:dyDescent="0.2">
      <c r="A40" t="s">
        <v>133</v>
      </c>
      <c r="B40" t="s">
        <v>293</v>
      </c>
      <c r="C40" s="3"/>
    </row>
    <row r="41" spans="1:8" x14ac:dyDescent="0.2">
      <c r="A41" t="s">
        <v>133</v>
      </c>
      <c r="B41" t="s">
        <v>294</v>
      </c>
      <c r="C41" s="3"/>
    </row>
    <row r="42" spans="1:8" x14ac:dyDescent="0.2">
      <c r="A42" s="2" t="s">
        <v>146</v>
      </c>
      <c r="B42" s="13" t="e">
        <f>COUNTIF(C38:C41,"Yes")/COUNTA(C38:C41)*100&amp;"%"</f>
        <v>#DIV/0!</v>
      </c>
    </row>
    <row r="44" spans="1:8" x14ac:dyDescent="0.2">
      <c r="A44" s="30" t="s">
        <v>147</v>
      </c>
      <c r="B44" s="17"/>
      <c r="C44" s="17"/>
      <c r="D44" s="17"/>
      <c r="E44" s="17"/>
      <c r="F44" s="17"/>
      <c r="G44" s="17"/>
      <c r="H44" s="17"/>
    </row>
    <row r="45" spans="1:8" x14ac:dyDescent="0.2">
      <c r="A45" s="2" t="s">
        <v>148</v>
      </c>
      <c r="B45" s="18"/>
      <c r="C45" s="19"/>
      <c r="D45" s="20"/>
    </row>
    <row r="46" spans="1:8" x14ac:dyDescent="0.2">
      <c r="A46" s="2" t="s">
        <v>149</v>
      </c>
      <c r="B46" s="18"/>
      <c r="C46" s="19"/>
      <c r="D46" s="20"/>
    </row>
    <row r="47" spans="1:8" x14ac:dyDescent="0.2">
      <c r="A47" s="2" t="s">
        <v>150</v>
      </c>
      <c r="B47" s="18"/>
      <c r="C47" s="19"/>
      <c r="D47" s="20"/>
    </row>
    <row r="48" spans="1:8" x14ac:dyDescent="0.2">
      <c r="A48" s="2" t="s">
        <v>151</v>
      </c>
      <c r="B48" s="18"/>
      <c r="C48" s="19"/>
      <c r="D48" s="20"/>
    </row>
    <row r="49" spans="1:8" x14ac:dyDescent="0.2">
      <c r="A49" s="2" t="s">
        <v>152</v>
      </c>
      <c r="B49" s="18"/>
      <c r="C49" s="19"/>
      <c r="D49" s="20"/>
    </row>
    <row r="50" spans="1:8" x14ac:dyDescent="0.2">
      <c r="A50" s="2" t="s">
        <v>153</v>
      </c>
      <c r="B50" s="18"/>
      <c r="C50" s="19"/>
      <c r="D50" s="20"/>
    </row>
    <row r="51" spans="1:8" x14ac:dyDescent="0.2">
      <c r="A51" s="2" t="s">
        <v>154</v>
      </c>
      <c r="B51" s="18"/>
      <c r="C51" s="19"/>
      <c r="D51" s="20"/>
    </row>
    <row r="52" spans="1:8" x14ac:dyDescent="0.2">
      <c r="A52" s="2" t="s">
        <v>155</v>
      </c>
      <c r="B52" s="18"/>
      <c r="C52" s="19"/>
      <c r="D52" s="20"/>
    </row>
    <row r="53" spans="1:8" x14ac:dyDescent="0.2">
      <c r="A53" s="2" t="s">
        <v>156</v>
      </c>
      <c r="B53" s="18"/>
      <c r="C53" s="19"/>
      <c r="D53" s="20"/>
    </row>
    <row r="54" spans="1:8" x14ac:dyDescent="0.2">
      <c r="A54" s="2" t="s">
        <v>157</v>
      </c>
      <c r="B54" s="18"/>
      <c r="C54" s="19"/>
      <c r="D54" s="20"/>
    </row>
    <row r="55" spans="1:8" x14ac:dyDescent="0.2">
      <c r="A55" s="2" t="s">
        <v>158</v>
      </c>
      <c r="B55" s="18"/>
      <c r="C55" s="19"/>
      <c r="D55" s="20"/>
    </row>
    <row r="56" spans="1:8" x14ac:dyDescent="0.2">
      <c r="A56" s="2" t="s">
        <v>159</v>
      </c>
      <c r="B56" s="18"/>
      <c r="C56" s="19"/>
      <c r="D56" s="20"/>
    </row>
    <row r="57" spans="1:8" x14ac:dyDescent="0.2">
      <c r="A57" s="2" t="s">
        <v>160</v>
      </c>
      <c r="B57" s="18"/>
      <c r="C57" s="19"/>
      <c r="D57" s="20"/>
    </row>
    <row r="59" spans="1:8" x14ac:dyDescent="0.2">
      <c r="A59" s="31" t="s">
        <v>161</v>
      </c>
      <c r="B59" s="17"/>
      <c r="C59" s="17"/>
      <c r="D59" s="17"/>
      <c r="E59" s="17"/>
      <c r="F59" s="17"/>
      <c r="G59" s="17"/>
      <c r="H59" s="17"/>
    </row>
    <row r="60" spans="1:8" x14ac:dyDescent="0.2">
      <c r="A60" s="21"/>
      <c r="B60" s="22"/>
      <c r="C60" s="22"/>
      <c r="D60" s="22"/>
      <c r="E60" s="22"/>
      <c r="F60" s="22"/>
      <c r="G60" s="22"/>
      <c r="H60" s="23"/>
    </row>
    <row r="61" spans="1:8" x14ac:dyDescent="0.2">
      <c r="A61" s="24"/>
      <c r="B61" s="17"/>
      <c r="C61" s="17"/>
      <c r="D61" s="17"/>
      <c r="E61" s="17"/>
      <c r="F61" s="17"/>
      <c r="G61" s="17"/>
      <c r="H61" s="25"/>
    </row>
    <row r="62" spans="1:8" x14ac:dyDescent="0.2">
      <c r="A62" s="24"/>
      <c r="B62" s="17"/>
      <c r="C62" s="17"/>
      <c r="D62" s="17"/>
      <c r="E62" s="17"/>
      <c r="F62" s="17"/>
      <c r="G62" s="17"/>
      <c r="H62" s="25"/>
    </row>
    <row r="63" spans="1:8" x14ac:dyDescent="0.2">
      <c r="A63" s="24"/>
      <c r="B63" s="17"/>
      <c r="C63" s="17"/>
      <c r="D63" s="17"/>
      <c r="E63" s="17"/>
      <c r="F63" s="17"/>
      <c r="G63" s="17"/>
      <c r="H63" s="25"/>
    </row>
    <row r="64" spans="1:8" x14ac:dyDescent="0.2">
      <c r="A64" s="24"/>
      <c r="B64" s="17"/>
      <c r="C64" s="17"/>
      <c r="D64" s="17"/>
      <c r="E64" s="17"/>
      <c r="F64" s="17"/>
      <c r="G64" s="17"/>
      <c r="H64" s="25"/>
    </row>
    <row r="65" spans="1:8" x14ac:dyDescent="0.2">
      <c r="A65" s="26"/>
      <c r="B65" s="27"/>
      <c r="C65" s="27"/>
      <c r="D65" s="27"/>
      <c r="E65" s="27"/>
      <c r="F65" s="27"/>
      <c r="G65" s="27"/>
      <c r="H65" s="28"/>
    </row>
  </sheetData>
  <mergeCells count="20">
    <mergeCell ref="A60:H65"/>
    <mergeCell ref="B56:D56"/>
    <mergeCell ref="B52:D52"/>
    <mergeCell ref="A44:H44"/>
    <mergeCell ref="B48:D48"/>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s>
  <dataValidations count="7">
    <dataValidation type="list" sqref="B4" xr:uid="{00000000-0002-0000-0400-000000000000}">
      <formula1>"Yes,No,Not Applicable"</formula1>
    </dataValidation>
    <dataValidation type="list" sqref="D8 D9 D10 D11 D12 D13 D14 D15 D16 D17 D18 D19 D20 D21 D22 D23 D24 D25 D26 D27 D28 D29 D30" xr:uid="{00000000-0002-0000-0400-000001000000}">
      <formula1>"✅ Compliant,⚠️ Partial,❌ Non-Compliant,N/A"</formula1>
    </dataValidation>
    <dataValidation type="list" sqref="G8:G30 B47 B45" xr:uid="{00000000-0002-0000-0400-000002000000}">
      <formula1>"Yes,No"</formula1>
    </dataValidation>
    <dataValidation type="list" sqref="B33" xr:uid="{00000000-0002-0000-0400-000003000000}">
      <formula1>"All emails,Legal docs only,Executives only,Not used"</formula1>
    </dataValidation>
    <dataValidation type="list" sqref="B34" xr:uid="{00000000-0002-0000-0400-000004000000}">
      <formula1>"Public CA,Internal PKI,Both"</formula1>
    </dataValidation>
    <dataValidation type="list" sqref="C38:C41" xr:uid="{00000000-0002-0000-0400-000005000000}">
      <formula1>"Yes,No,N/A"</formula1>
    </dataValidation>
    <dataValidation type="list" sqref="B57" xr:uid="{00000000-0002-0000-0400-00000B000000}">
      <formula1>"Yes,No,Unknown"</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8"/>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18" customWidth="1"/>
    <col min="3" max="3" width="22" customWidth="1"/>
    <col min="4" max="4" width="18" customWidth="1"/>
    <col min="5" max="5" width="15" customWidth="1"/>
    <col min="6" max="7" width="30" customWidth="1"/>
    <col min="8" max="8" width="16" customWidth="1"/>
  </cols>
  <sheetData>
    <row r="1" spans="1:8" ht="40" customHeight="1" x14ac:dyDescent="0.2">
      <c r="A1" s="16" t="s">
        <v>295</v>
      </c>
      <c r="B1" s="17"/>
      <c r="C1" s="17"/>
      <c r="D1" s="17"/>
      <c r="E1" s="17"/>
      <c r="F1" s="17"/>
      <c r="G1" s="17"/>
      <c r="H1" s="17"/>
    </row>
    <row r="3" spans="1:8" ht="30" customHeight="1" x14ac:dyDescent="0.2">
      <c r="A3" s="29" t="s">
        <v>296</v>
      </c>
      <c r="B3" s="17"/>
      <c r="C3" s="17"/>
      <c r="D3" s="17"/>
      <c r="E3" s="17"/>
      <c r="F3" s="17"/>
      <c r="G3" s="17"/>
      <c r="H3" s="17"/>
    </row>
    <row r="4" spans="1:8" x14ac:dyDescent="0.2">
      <c r="A4" s="2" t="s">
        <v>51</v>
      </c>
      <c r="B4" s="3"/>
    </row>
    <row r="6" spans="1:8" x14ac:dyDescent="0.2">
      <c r="A6" s="4" t="s">
        <v>297</v>
      </c>
      <c r="B6" s="4" t="s">
        <v>298</v>
      </c>
      <c r="C6" s="4" t="s">
        <v>299</v>
      </c>
      <c r="D6" s="4" t="s">
        <v>164</v>
      </c>
      <c r="E6" s="4" t="s">
        <v>27</v>
      </c>
      <c r="F6" s="4" t="s">
        <v>56</v>
      </c>
      <c r="G6" s="4" t="s">
        <v>57</v>
      </c>
      <c r="H6" s="4" t="s">
        <v>58</v>
      </c>
    </row>
    <row r="7" spans="1:8" ht="16" x14ac:dyDescent="0.2">
      <c r="A7" s="10" t="s">
        <v>59</v>
      </c>
      <c r="B7" s="10"/>
      <c r="C7" s="10"/>
      <c r="D7" s="10"/>
      <c r="E7" s="10"/>
      <c r="F7" s="10"/>
      <c r="G7" s="10"/>
      <c r="H7" s="10"/>
    </row>
    <row r="8" spans="1:8" ht="16" x14ac:dyDescent="0.2">
      <c r="A8" s="11" t="s">
        <v>300</v>
      </c>
      <c r="B8" s="11" t="s">
        <v>301</v>
      </c>
      <c r="C8" s="11" t="s">
        <v>302</v>
      </c>
      <c r="D8" s="11" t="s">
        <v>303</v>
      </c>
      <c r="E8" s="11" t="s">
        <v>64</v>
      </c>
      <c r="F8" s="11" t="s">
        <v>304</v>
      </c>
      <c r="G8" s="11"/>
      <c r="H8" s="11" t="s">
        <v>66</v>
      </c>
    </row>
    <row r="9" spans="1:8" ht="16" x14ac:dyDescent="0.2">
      <c r="A9" s="11" t="s">
        <v>305</v>
      </c>
      <c r="B9" s="11" t="s">
        <v>61</v>
      </c>
      <c r="C9" s="11" t="s">
        <v>306</v>
      </c>
      <c r="D9" s="11" t="s">
        <v>307</v>
      </c>
      <c r="E9" s="11" t="s">
        <v>64</v>
      </c>
      <c r="F9" s="11" t="s">
        <v>308</v>
      </c>
      <c r="G9" s="11"/>
      <c r="H9" s="11" t="s">
        <v>66</v>
      </c>
    </row>
    <row r="10" spans="1:8" ht="16" x14ac:dyDescent="0.2">
      <c r="A10" s="11" t="s">
        <v>309</v>
      </c>
      <c r="B10" s="11" t="s">
        <v>310</v>
      </c>
      <c r="C10" s="11" t="s">
        <v>302</v>
      </c>
      <c r="D10" s="11" t="s">
        <v>303</v>
      </c>
      <c r="E10" s="11" t="s">
        <v>64</v>
      </c>
      <c r="F10" s="11" t="s">
        <v>311</v>
      </c>
      <c r="G10" s="11"/>
      <c r="H10" s="11" t="s">
        <v>66</v>
      </c>
    </row>
    <row r="11" spans="1:8" ht="32" x14ac:dyDescent="0.2">
      <c r="A11" s="11" t="s">
        <v>312</v>
      </c>
      <c r="B11" s="11" t="s">
        <v>313</v>
      </c>
      <c r="C11" s="11" t="s">
        <v>314</v>
      </c>
      <c r="D11" s="11" t="s">
        <v>315</v>
      </c>
      <c r="E11" s="11" t="s">
        <v>109</v>
      </c>
      <c r="F11" s="11" t="s">
        <v>316</v>
      </c>
      <c r="G11" s="11" t="s">
        <v>317</v>
      </c>
      <c r="H11" s="11" t="s">
        <v>82</v>
      </c>
    </row>
    <row r="12" spans="1:8" ht="16" x14ac:dyDescent="0.2">
      <c r="A12" s="11" t="s">
        <v>318</v>
      </c>
      <c r="B12" s="11" t="s">
        <v>61</v>
      </c>
      <c r="C12" s="11" t="s">
        <v>319</v>
      </c>
      <c r="D12" s="11" t="s">
        <v>320</v>
      </c>
      <c r="E12" s="11" t="s">
        <v>64</v>
      </c>
      <c r="F12" s="11" t="s">
        <v>321</v>
      </c>
      <c r="G12" s="11"/>
      <c r="H12" s="11" t="s">
        <v>66</v>
      </c>
    </row>
    <row r="13" spans="1:8" ht="16" x14ac:dyDescent="0.2">
      <c r="A13" s="11" t="s">
        <v>322</v>
      </c>
      <c r="B13" s="11" t="s">
        <v>301</v>
      </c>
      <c r="C13" s="11" t="s">
        <v>302</v>
      </c>
      <c r="D13" s="11" t="s">
        <v>303</v>
      </c>
      <c r="E13" s="11" t="s">
        <v>64</v>
      </c>
      <c r="F13" s="11" t="s">
        <v>323</v>
      </c>
      <c r="G13" s="11"/>
      <c r="H13" s="11" t="s">
        <v>66</v>
      </c>
    </row>
    <row r="14" spans="1:8" ht="16" x14ac:dyDescent="0.2">
      <c r="A14" s="11" t="s">
        <v>324</v>
      </c>
      <c r="B14" s="11" t="s">
        <v>61</v>
      </c>
      <c r="C14" s="11" t="s">
        <v>325</v>
      </c>
      <c r="D14" s="11" t="s">
        <v>320</v>
      </c>
      <c r="E14" s="11" t="s">
        <v>64</v>
      </c>
      <c r="F14" s="11" t="s">
        <v>326</v>
      </c>
      <c r="G14" s="11"/>
      <c r="H14" s="11" t="s">
        <v>66</v>
      </c>
    </row>
    <row r="15" spans="1:8" ht="16" x14ac:dyDescent="0.2">
      <c r="A15" s="11" t="s">
        <v>327</v>
      </c>
      <c r="B15" s="11" t="s">
        <v>328</v>
      </c>
      <c r="C15" s="11" t="s">
        <v>329</v>
      </c>
      <c r="D15" s="11" t="s">
        <v>330</v>
      </c>
      <c r="E15" s="11" t="s">
        <v>64</v>
      </c>
      <c r="F15" s="11" t="s">
        <v>331</v>
      </c>
      <c r="G15" s="11"/>
      <c r="H15" s="11" t="s">
        <v>66</v>
      </c>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8" x14ac:dyDescent="0.2">
      <c r="A33" s="2" t="s">
        <v>332</v>
      </c>
      <c r="B33" s="18"/>
      <c r="C33" s="19"/>
      <c r="D33" s="20"/>
    </row>
    <row r="34" spans="1:8" x14ac:dyDescent="0.2">
      <c r="A34" s="2" t="s">
        <v>333</v>
      </c>
      <c r="B34" s="18"/>
      <c r="C34" s="19"/>
      <c r="D34" s="20"/>
    </row>
    <row r="35" spans="1:8" x14ac:dyDescent="0.2">
      <c r="A35" s="2" t="s">
        <v>334</v>
      </c>
      <c r="B35" s="18"/>
      <c r="C35" s="19"/>
      <c r="D35" s="20"/>
    </row>
    <row r="37" spans="1:8" x14ac:dyDescent="0.2">
      <c r="A37" s="12" t="s">
        <v>132</v>
      </c>
    </row>
    <row r="38" spans="1:8" x14ac:dyDescent="0.2">
      <c r="A38" s="2" t="s">
        <v>133</v>
      </c>
      <c r="B38" s="2" t="s">
        <v>134</v>
      </c>
      <c r="C38" s="2" t="s">
        <v>27</v>
      </c>
    </row>
    <row r="39" spans="1:8" x14ac:dyDescent="0.2">
      <c r="A39" t="s">
        <v>133</v>
      </c>
      <c r="B39" t="s">
        <v>335</v>
      </c>
      <c r="C39" s="3"/>
    </row>
    <row r="40" spans="1:8" x14ac:dyDescent="0.2">
      <c r="A40" t="s">
        <v>133</v>
      </c>
      <c r="B40" t="s">
        <v>336</v>
      </c>
      <c r="C40" s="3"/>
    </row>
    <row r="41" spans="1:8" x14ac:dyDescent="0.2">
      <c r="A41" t="s">
        <v>133</v>
      </c>
      <c r="B41" t="s">
        <v>337</v>
      </c>
      <c r="C41" s="3"/>
    </row>
    <row r="42" spans="1:8" x14ac:dyDescent="0.2">
      <c r="A42" t="s">
        <v>133</v>
      </c>
      <c r="B42" t="s">
        <v>338</v>
      </c>
      <c r="C42" s="3"/>
    </row>
    <row r="43" spans="1:8" x14ac:dyDescent="0.2">
      <c r="A43" t="s">
        <v>133</v>
      </c>
      <c r="B43" t="s">
        <v>339</v>
      </c>
      <c r="C43" s="3"/>
    </row>
    <row r="44" spans="1:8" x14ac:dyDescent="0.2">
      <c r="A44" t="s">
        <v>133</v>
      </c>
      <c r="B44" t="s">
        <v>340</v>
      </c>
      <c r="C44" s="3"/>
    </row>
    <row r="45" spans="1:8" x14ac:dyDescent="0.2">
      <c r="A45" s="2" t="s">
        <v>146</v>
      </c>
      <c r="B45" s="13" t="e">
        <f>COUNTIF(C39:C44,"Yes")/COUNTA(C39:C44)*100&amp;"%"</f>
        <v>#DIV/0!</v>
      </c>
    </row>
    <row r="47" spans="1:8" x14ac:dyDescent="0.2">
      <c r="A47" s="30" t="s">
        <v>147</v>
      </c>
      <c r="B47" s="17"/>
      <c r="C47" s="17"/>
      <c r="D47" s="17"/>
      <c r="E47" s="17"/>
      <c r="F47" s="17"/>
      <c r="G47" s="17"/>
      <c r="H47" s="17"/>
    </row>
    <row r="48" spans="1:8" x14ac:dyDescent="0.2">
      <c r="A48" s="2" t="s">
        <v>148</v>
      </c>
      <c r="B48" s="18"/>
      <c r="C48" s="19"/>
      <c r="D48" s="20"/>
    </row>
    <row r="49" spans="1:8" x14ac:dyDescent="0.2">
      <c r="A49" s="2" t="s">
        <v>149</v>
      </c>
      <c r="B49" s="18"/>
      <c r="C49" s="19"/>
      <c r="D49" s="20"/>
    </row>
    <row r="50" spans="1:8" x14ac:dyDescent="0.2">
      <c r="A50" s="2" t="s">
        <v>150</v>
      </c>
      <c r="B50" s="18"/>
      <c r="C50" s="19"/>
      <c r="D50" s="20"/>
    </row>
    <row r="51" spans="1:8" x14ac:dyDescent="0.2">
      <c r="A51" s="2" t="s">
        <v>151</v>
      </c>
      <c r="B51" s="18"/>
      <c r="C51" s="19"/>
      <c r="D51" s="20"/>
    </row>
    <row r="52" spans="1:8" x14ac:dyDescent="0.2">
      <c r="A52" s="2" t="s">
        <v>152</v>
      </c>
      <c r="B52" s="18"/>
      <c r="C52" s="19"/>
      <c r="D52" s="20"/>
    </row>
    <row r="53" spans="1:8" x14ac:dyDescent="0.2">
      <c r="A53" s="2" t="s">
        <v>153</v>
      </c>
      <c r="B53" s="18"/>
      <c r="C53" s="19"/>
      <c r="D53" s="20"/>
    </row>
    <row r="54" spans="1:8" x14ac:dyDescent="0.2">
      <c r="A54" s="2" t="s">
        <v>154</v>
      </c>
      <c r="B54" s="18"/>
      <c r="C54" s="19"/>
      <c r="D54" s="20"/>
    </row>
    <row r="55" spans="1:8" x14ac:dyDescent="0.2">
      <c r="A55" s="2" t="s">
        <v>155</v>
      </c>
      <c r="B55" s="18"/>
      <c r="C55" s="19"/>
      <c r="D55" s="20"/>
    </row>
    <row r="56" spans="1:8" x14ac:dyDescent="0.2">
      <c r="A56" s="2" t="s">
        <v>156</v>
      </c>
      <c r="B56" s="18"/>
      <c r="C56" s="19"/>
      <c r="D56" s="20"/>
    </row>
    <row r="57" spans="1:8" x14ac:dyDescent="0.2">
      <c r="A57" s="2" t="s">
        <v>157</v>
      </c>
      <c r="B57" s="18"/>
      <c r="C57" s="19"/>
      <c r="D57" s="20"/>
    </row>
    <row r="58" spans="1:8" x14ac:dyDescent="0.2">
      <c r="A58" s="2" t="s">
        <v>158</v>
      </c>
      <c r="B58" s="18"/>
      <c r="C58" s="19"/>
      <c r="D58" s="20"/>
    </row>
    <row r="59" spans="1:8" x14ac:dyDescent="0.2">
      <c r="A59" s="2" t="s">
        <v>159</v>
      </c>
      <c r="B59" s="18"/>
      <c r="C59" s="19"/>
      <c r="D59" s="20"/>
    </row>
    <row r="60" spans="1:8" x14ac:dyDescent="0.2">
      <c r="A60" s="2" t="s">
        <v>160</v>
      </c>
      <c r="B60" s="18"/>
      <c r="C60" s="19"/>
      <c r="D60" s="20"/>
    </row>
    <row r="62" spans="1:8" x14ac:dyDescent="0.2">
      <c r="A62" s="31" t="s">
        <v>161</v>
      </c>
      <c r="B62" s="17"/>
      <c r="C62" s="17"/>
      <c r="D62" s="17"/>
      <c r="E62" s="17"/>
      <c r="F62" s="17"/>
      <c r="G62" s="17"/>
      <c r="H62" s="17"/>
    </row>
    <row r="63" spans="1:8" x14ac:dyDescent="0.2">
      <c r="A63" s="21"/>
      <c r="B63" s="22"/>
      <c r="C63" s="22"/>
      <c r="D63" s="22"/>
      <c r="E63" s="22"/>
      <c r="F63" s="22"/>
      <c r="G63" s="22"/>
      <c r="H63" s="23"/>
    </row>
    <row r="64" spans="1:8" x14ac:dyDescent="0.2">
      <c r="A64" s="24"/>
      <c r="B64" s="17"/>
      <c r="C64" s="17"/>
      <c r="D64" s="17"/>
      <c r="E64" s="17"/>
      <c r="F64" s="17"/>
      <c r="G64" s="17"/>
      <c r="H64" s="25"/>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6"/>
      <c r="B68" s="27"/>
      <c r="C68" s="27"/>
      <c r="D68" s="27"/>
      <c r="E68" s="27"/>
      <c r="F68" s="27"/>
      <c r="G68" s="27"/>
      <c r="H68" s="28"/>
    </row>
  </sheetData>
  <mergeCells count="21">
    <mergeCell ref="A63:H68"/>
    <mergeCell ref="B35:D35"/>
    <mergeCell ref="B50:D50"/>
    <mergeCell ref="A47:H47"/>
    <mergeCell ref="B54:D54"/>
    <mergeCell ref="A62:H62"/>
    <mergeCell ref="B59:D59"/>
    <mergeCell ref="B56:D56"/>
    <mergeCell ref="B58:D58"/>
    <mergeCell ref="B52:D52"/>
    <mergeCell ref="B48:D48"/>
    <mergeCell ref="B60:D60"/>
    <mergeCell ref="B57:D57"/>
    <mergeCell ref="B53:D53"/>
    <mergeCell ref="A1:H1"/>
    <mergeCell ref="B34:D34"/>
    <mergeCell ref="B49:D49"/>
    <mergeCell ref="B55:D55"/>
    <mergeCell ref="B51:D51"/>
    <mergeCell ref="B33:D33"/>
    <mergeCell ref="A3:H3"/>
  </mergeCells>
  <dataValidations count="8">
    <dataValidation type="list" sqref="B4" xr:uid="{00000000-0002-0000-0500-000000000000}">
      <formula1>"Yes,No,Not Applicable"</formula1>
    </dataValidation>
    <dataValidation type="list" sqref="E8 E9 E10 E11 E12 E13 E14 E15 E16 E17 E18 E19 E20 E21 E22 E23 E24 E25 E26 E27 E28 E29 E30" xr:uid="{00000000-0002-0000-0500-000001000000}">
      <formula1>"✅ Compliant,⚠️ Partial,❌ Non-Compliant,N/A"</formula1>
    </dataValidation>
    <dataValidation type="list" sqref="H8:H30 B50 B48" xr:uid="{00000000-0002-0000-0500-000002000000}">
      <formula1>"Yes,No"</formula1>
    </dataValidation>
    <dataValidation type="list" sqref="B33" xr:uid="{00000000-0002-0000-0500-000003000000}">
      <formula1>"SFTP,FTPS,HTTPS,SCP,Other"</formula1>
    </dataValidation>
    <dataValidation type="list" sqref="B34" xr:uid="{00000000-0002-0000-0500-000004000000}">
      <formula1>"FTP,TFTP,None"</formula1>
    </dataValidation>
    <dataValidation type="list" sqref="B35" xr:uid="{00000000-0002-0000-0500-000005000000}">
      <formula1>"Password,Key-based,MFA,Certificate"</formula1>
    </dataValidation>
    <dataValidation type="list" sqref="C39:C44" xr:uid="{00000000-0002-0000-0500-000006000000}">
      <formula1>"Yes,No,N/A"</formula1>
    </dataValidation>
    <dataValidation type="list" sqref="B60" xr:uid="{00000000-0002-0000-0500-00000E000000}">
      <formula1>"Yes,No,Unknown"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2"/>
  <sheetViews>
    <sheetView workbookViewId="0">
      <pane ySplit="6" topLeftCell="A7" activePane="bottomLeft" state="frozen"/>
      <selection pane="bottomLeft"/>
    </sheetView>
  </sheetViews>
  <sheetFormatPr baseColWidth="10" defaultColWidth="8.83203125" defaultRowHeight="15" x14ac:dyDescent="0.2"/>
  <cols>
    <col min="1" max="1" width="25" customWidth="1"/>
    <col min="2" max="2" width="18" customWidth="1"/>
    <col min="3" max="3" width="20" customWidth="1"/>
    <col min="4" max="4" width="14" customWidth="1"/>
    <col min="5" max="5" width="15" customWidth="1"/>
    <col min="6" max="7" width="30" customWidth="1"/>
    <col min="8" max="8" width="16" customWidth="1"/>
  </cols>
  <sheetData>
    <row r="1" spans="1:8" ht="40" customHeight="1" x14ac:dyDescent="0.2">
      <c r="A1" s="16" t="s">
        <v>341</v>
      </c>
      <c r="B1" s="17"/>
      <c r="C1" s="17"/>
      <c r="D1" s="17"/>
      <c r="E1" s="17"/>
      <c r="F1" s="17"/>
      <c r="G1" s="17"/>
      <c r="H1" s="17"/>
    </row>
    <row r="3" spans="1:8" ht="30" customHeight="1" x14ac:dyDescent="0.2">
      <c r="A3" s="29" t="s">
        <v>342</v>
      </c>
      <c r="B3" s="17"/>
      <c r="C3" s="17"/>
      <c r="D3" s="17"/>
      <c r="E3" s="17"/>
      <c r="F3" s="17"/>
      <c r="G3" s="17"/>
      <c r="H3" s="17"/>
    </row>
    <row r="4" spans="1:8" x14ac:dyDescent="0.2">
      <c r="A4" s="2" t="s">
        <v>51</v>
      </c>
      <c r="B4" s="3"/>
    </row>
    <row r="6" spans="1:8" x14ac:dyDescent="0.2">
      <c r="A6" s="4" t="s">
        <v>343</v>
      </c>
      <c r="B6" s="4" t="s">
        <v>344</v>
      </c>
      <c r="C6" s="4" t="s">
        <v>345</v>
      </c>
      <c r="D6" s="4" t="s">
        <v>346</v>
      </c>
      <c r="E6" s="4" t="s">
        <v>27</v>
      </c>
      <c r="F6" s="4" t="s">
        <v>56</v>
      </c>
      <c r="G6" s="4" t="s">
        <v>57</v>
      </c>
      <c r="H6" s="4" t="s">
        <v>58</v>
      </c>
    </row>
    <row r="7" spans="1:8" ht="32" x14ac:dyDescent="0.2">
      <c r="A7" s="10" t="s">
        <v>59</v>
      </c>
      <c r="B7" s="10"/>
      <c r="C7" s="10"/>
      <c r="D7" s="10"/>
      <c r="E7" s="10"/>
      <c r="F7" s="10"/>
      <c r="G7" s="10"/>
      <c r="H7" s="10"/>
    </row>
    <row r="8" spans="1:8" ht="32" x14ac:dyDescent="0.2">
      <c r="A8" s="11" t="s">
        <v>347</v>
      </c>
      <c r="B8" s="11" t="s">
        <v>61</v>
      </c>
      <c r="C8" s="11" t="s">
        <v>348</v>
      </c>
      <c r="D8" s="11" t="s">
        <v>349</v>
      </c>
      <c r="E8" s="11" t="s">
        <v>64</v>
      </c>
      <c r="F8" s="11" t="s">
        <v>350</v>
      </c>
      <c r="G8" s="11"/>
      <c r="H8" s="11" t="s">
        <v>66</v>
      </c>
    </row>
    <row r="9" spans="1:8" ht="32" x14ac:dyDescent="0.2">
      <c r="A9" s="11" t="s">
        <v>351</v>
      </c>
      <c r="B9" s="11" t="s">
        <v>352</v>
      </c>
      <c r="C9" s="11" t="s">
        <v>353</v>
      </c>
      <c r="D9" s="11" t="s">
        <v>354</v>
      </c>
      <c r="E9" s="11" t="s">
        <v>79</v>
      </c>
      <c r="F9" s="11" t="s">
        <v>355</v>
      </c>
      <c r="G9" s="11" t="s">
        <v>356</v>
      </c>
      <c r="H9" s="11" t="s">
        <v>82</v>
      </c>
    </row>
    <row r="10" spans="1:8" ht="32" x14ac:dyDescent="0.2">
      <c r="A10" s="11" t="s">
        <v>357</v>
      </c>
      <c r="B10" s="11" t="s">
        <v>358</v>
      </c>
      <c r="C10" s="11" t="s">
        <v>359</v>
      </c>
      <c r="D10" s="11" t="s">
        <v>360</v>
      </c>
      <c r="E10" s="11" t="s">
        <v>64</v>
      </c>
      <c r="F10" s="11" t="s">
        <v>361</v>
      </c>
      <c r="G10" s="11"/>
      <c r="H10" s="11" t="s">
        <v>66</v>
      </c>
    </row>
    <row r="11" spans="1:8" ht="16" x14ac:dyDescent="0.2">
      <c r="A11" s="11" t="s">
        <v>362</v>
      </c>
      <c r="B11" s="11" t="s">
        <v>61</v>
      </c>
      <c r="C11" s="11" t="s">
        <v>363</v>
      </c>
      <c r="D11" s="11" t="s">
        <v>364</v>
      </c>
      <c r="E11" s="11" t="s">
        <v>64</v>
      </c>
      <c r="F11" s="11" t="s">
        <v>365</v>
      </c>
      <c r="G11" s="11"/>
      <c r="H11" s="11" t="s">
        <v>66</v>
      </c>
    </row>
    <row r="12" spans="1:8" ht="32" x14ac:dyDescent="0.2">
      <c r="A12" s="11" t="s">
        <v>366</v>
      </c>
      <c r="B12" s="11" t="s">
        <v>76</v>
      </c>
      <c r="C12" s="11" t="s">
        <v>367</v>
      </c>
      <c r="D12" s="11" t="s">
        <v>368</v>
      </c>
      <c r="E12" s="11" t="s">
        <v>109</v>
      </c>
      <c r="F12" s="11" t="s">
        <v>369</v>
      </c>
      <c r="G12" s="11" t="s">
        <v>370</v>
      </c>
      <c r="H12" s="11" t="s">
        <v>82</v>
      </c>
    </row>
    <row r="13" spans="1:8" ht="32" x14ac:dyDescent="0.2">
      <c r="A13" s="11" t="s">
        <v>371</v>
      </c>
      <c r="B13" s="11" t="s">
        <v>61</v>
      </c>
      <c r="C13" s="11" t="s">
        <v>348</v>
      </c>
      <c r="D13" s="11" t="s">
        <v>372</v>
      </c>
      <c r="E13" s="11" t="s">
        <v>64</v>
      </c>
      <c r="F13" s="11" t="s">
        <v>373</v>
      </c>
      <c r="G13" s="11"/>
      <c r="H13" s="11" t="s">
        <v>66</v>
      </c>
    </row>
    <row r="14" spans="1:8" ht="32" x14ac:dyDescent="0.2">
      <c r="A14" s="11" t="s">
        <v>374</v>
      </c>
      <c r="B14" s="11" t="s">
        <v>61</v>
      </c>
      <c r="C14" s="11" t="s">
        <v>375</v>
      </c>
      <c r="D14" s="11" t="s">
        <v>376</v>
      </c>
      <c r="E14" s="11" t="s">
        <v>64</v>
      </c>
      <c r="F14" s="11" t="s">
        <v>377</v>
      </c>
      <c r="G14" s="11"/>
      <c r="H14" s="11" t="s">
        <v>66</v>
      </c>
    </row>
    <row r="15" spans="1:8" x14ac:dyDescent="0.2">
      <c r="A15" s="11"/>
      <c r="B15" s="11"/>
      <c r="C15" s="11"/>
      <c r="D15" s="11"/>
      <c r="E15" s="11"/>
      <c r="F15" s="11"/>
      <c r="G15" s="11"/>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4" x14ac:dyDescent="0.2">
      <c r="A33" s="2" t="s">
        <v>378</v>
      </c>
      <c r="B33" s="18"/>
      <c r="C33" s="19"/>
      <c r="D33" s="20"/>
    </row>
    <row r="34" spans="1:4" x14ac:dyDescent="0.2">
      <c r="A34" s="2" t="s">
        <v>379</v>
      </c>
      <c r="B34" s="18"/>
      <c r="C34" s="19"/>
      <c r="D34" s="20"/>
    </row>
    <row r="35" spans="1:4" x14ac:dyDescent="0.2">
      <c r="A35" s="2" t="s">
        <v>380</v>
      </c>
      <c r="B35" s="18"/>
      <c r="C35" s="19"/>
      <c r="D35" s="20"/>
    </row>
    <row r="36" spans="1:4" x14ac:dyDescent="0.2">
      <c r="A36" s="2" t="s">
        <v>381</v>
      </c>
      <c r="B36" s="18"/>
      <c r="C36" s="19"/>
      <c r="D36" s="20"/>
    </row>
    <row r="37" spans="1:4" x14ac:dyDescent="0.2">
      <c r="A37" s="2" t="s">
        <v>382</v>
      </c>
      <c r="B37" s="18"/>
      <c r="C37" s="19"/>
      <c r="D37" s="20"/>
    </row>
    <row r="39" spans="1:4" x14ac:dyDescent="0.2">
      <c r="A39" s="12" t="s">
        <v>132</v>
      </c>
    </row>
    <row r="40" spans="1:4" x14ac:dyDescent="0.2">
      <c r="A40" s="2" t="s">
        <v>133</v>
      </c>
      <c r="B40" s="2" t="s">
        <v>134</v>
      </c>
      <c r="C40" s="2" t="s">
        <v>27</v>
      </c>
    </row>
    <row r="41" spans="1:4" x14ac:dyDescent="0.2">
      <c r="A41" t="s">
        <v>133</v>
      </c>
      <c r="B41" t="s">
        <v>383</v>
      </c>
      <c r="C41" s="3"/>
    </row>
    <row r="42" spans="1:4" x14ac:dyDescent="0.2">
      <c r="A42" t="s">
        <v>133</v>
      </c>
      <c r="B42" t="s">
        <v>384</v>
      </c>
      <c r="C42" s="3"/>
    </row>
    <row r="43" spans="1:4" x14ac:dyDescent="0.2">
      <c r="A43" t="s">
        <v>133</v>
      </c>
      <c r="B43" t="s">
        <v>143</v>
      </c>
      <c r="C43" s="3"/>
    </row>
    <row r="44" spans="1:4" x14ac:dyDescent="0.2">
      <c r="A44" t="s">
        <v>133</v>
      </c>
      <c r="B44" t="s">
        <v>385</v>
      </c>
      <c r="C44" s="3"/>
    </row>
    <row r="45" spans="1:4" x14ac:dyDescent="0.2">
      <c r="A45" t="s">
        <v>133</v>
      </c>
      <c r="B45" t="s">
        <v>386</v>
      </c>
      <c r="C45" s="3"/>
    </row>
    <row r="46" spans="1:4" x14ac:dyDescent="0.2">
      <c r="A46" t="s">
        <v>133</v>
      </c>
      <c r="B46" t="s">
        <v>387</v>
      </c>
      <c r="C46" s="3"/>
    </row>
    <row r="47" spans="1:4" x14ac:dyDescent="0.2">
      <c r="A47" t="s">
        <v>133</v>
      </c>
      <c r="B47" t="s">
        <v>388</v>
      </c>
      <c r="C47" s="3"/>
    </row>
    <row r="48" spans="1:4" x14ac:dyDescent="0.2">
      <c r="A48" t="s">
        <v>133</v>
      </c>
      <c r="B48" t="s">
        <v>389</v>
      </c>
      <c r="C48" s="3"/>
    </row>
    <row r="49" spans="1:8" x14ac:dyDescent="0.2">
      <c r="A49" s="2" t="s">
        <v>146</v>
      </c>
      <c r="B49" s="13" t="e">
        <f>COUNTIF(C41:C48,"Yes")/COUNTA(C41:C48)*100&amp;"%"</f>
        <v>#DIV/0!</v>
      </c>
    </row>
    <row r="51" spans="1:8" x14ac:dyDescent="0.2">
      <c r="A51" s="30" t="s">
        <v>147</v>
      </c>
      <c r="B51" s="17"/>
      <c r="C51" s="17"/>
      <c r="D51" s="17"/>
      <c r="E51" s="17"/>
      <c r="F51" s="17"/>
      <c r="G51" s="17"/>
      <c r="H51" s="17"/>
    </row>
    <row r="52" spans="1:8" x14ac:dyDescent="0.2">
      <c r="A52" s="2" t="s">
        <v>148</v>
      </c>
      <c r="B52" s="18"/>
      <c r="C52" s="19"/>
      <c r="D52" s="20"/>
    </row>
    <row r="53" spans="1:8" x14ac:dyDescent="0.2">
      <c r="A53" s="2" t="s">
        <v>149</v>
      </c>
      <c r="B53" s="18"/>
      <c r="C53" s="19"/>
      <c r="D53" s="20"/>
    </row>
    <row r="54" spans="1:8" x14ac:dyDescent="0.2">
      <c r="A54" s="2" t="s">
        <v>150</v>
      </c>
      <c r="B54" s="18"/>
      <c r="C54" s="19"/>
      <c r="D54" s="20"/>
    </row>
    <row r="55" spans="1:8" x14ac:dyDescent="0.2">
      <c r="A55" s="2" t="s">
        <v>151</v>
      </c>
      <c r="B55" s="18"/>
      <c r="C55" s="19"/>
      <c r="D55" s="20"/>
    </row>
    <row r="56" spans="1:8" x14ac:dyDescent="0.2">
      <c r="A56" s="2" t="s">
        <v>152</v>
      </c>
      <c r="B56" s="18"/>
      <c r="C56" s="19"/>
      <c r="D56" s="20"/>
    </row>
    <row r="57" spans="1:8" x14ac:dyDescent="0.2">
      <c r="A57" s="2" t="s">
        <v>153</v>
      </c>
      <c r="B57" s="18"/>
      <c r="C57" s="19"/>
      <c r="D57" s="20"/>
    </row>
    <row r="58" spans="1:8" x14ac:dyDescent="0.2">
      <c r="A58" s="2" t="s">
        <v>154</v>
      </c>
      <c r="B58" s="18"/>
      <c r="C58" s="19"/>
      <c r="D58" s="20"/>
    </row>
    <row r="59" spans="1:8" x14ac:dyDescent="0.2">
      <c r="A59" s="2" t="s">
        <v>155</v>
      </c>
      <c r="B59" s="18"/>
      <c r="C59" s="19"/>
      <c r="D59" s="20"/>
    </row>
    <row r="60" spans="1:8" x14ac:dyDescent="0.2">
      <c r="A60" s="2" t="s">
        <v>156</v>
      </c>
      <c r="B60" s="18"/>
      <c r="C60" s="19"/>
      <c r="D60" s="20"/>
    </row>
    <row r="61" spans="1:8" x14ac:dyDescent="0.2">
      <c r="A61" s="2" t="s">
        <v>157</v>
      </c>
      <c r="B61" s="18"/>
      <c r="C61" s="19"/>
      <c r="D61" s="20"/>
    </row>
    <row r="62" spans="1:8" x14ac:dyDescent="0.2">
      <c r="A62" s="2" t="s">
        <v>158</v>
      </c>
      <c r="B62" s="18"/>
      <c r="C62" s="19"/>
      <c r="D62" s="20"/>
    </row>
    <row r="63" spans="1:8" x14ac:dyDescent="0.2">
      <c r="A63" s="2" t="s">
        <v>159</v>
      </c>
      <c r="B63" s="18"/>
      <c r="C63" s="19"/>
      <c r="D63" s="20"/>
    </row>
    <row r="64" spans="1:8" x14ac:dyDescent="0.2">
      <c r="A64" s="2" t="s">
        <v>160</v>
      </c>
      <c r="B64" s="18"/>
      <c r="C64" s="19"/>
      <c r="D64" s="20"/>
    </row>
    <row r="66" spans="1:8" x14ac:dyDescent="0.2">
      <c r="A66" s="31" t="s">
        <v>161</v>
      </c>
      <c r="B66" s="17"/>
      <c r="C66" s="17"/>
      <c r="D66" s="17"/>
      <c r="E66" s="17"/>
      <c r="F66" s="17"/>
      <c r="G66" s="17"/>
      <c r="H66" s="17"/>
    </row>
    <row r="67" spans="1:8" x14ac:dyDescent="0.2">
      <c r="A67" s="21"/>
      <c r="B67" s="22"/>
      <c r="C67" s="22"/>
      <c r="D67" s="22"/>
      <c r="E67" s="22"/>
      <c r="F67" s="22"/>
      <c r="G67" s="22"/>
      <c r="H67" s="23"/>
    </row>
    <row r="68" spans="1:8" x14ac:dyDescent="0.2">
      <c r="A68" s="24"/>
      <c r="B68" s="17"/>
      <c r="C68" s="17"/>
      <c r="D68" s="17"/>
      <c r="E68" s="17"/>
      <c r="F68" s="17"/>
      <c r="G68" s="17"/>
      <c r="H68" s="25"/>
    </row>
    <row r="69" spans="1:8" x14ac:dyDescent="0.2">
      <c r="A69" s="24"/>
      <c r="B69" s="17"/>
      <c r="C69" s="17"/>
      <c r="D69" s="17"/>
      <c r="E69" s="17"/>
      <c r="F69" s="17"/>
      <c r="G69" s="17"/>
      <c r="H69" s="25"/>
    </row>
    <row r="70" spans="1:8" x14ac:dyDescent="0.2">
      <c r="A70" s="24"/>
      <c r="B70" s="17"/>
      <c r="C70" s="17"/>
      <c r="D70" s="17"/>
      <c r="E70" s="17"/>
      <c r="F70" s="17"/>
      <c r="G70" s="17"/>
      <c r="H70" s="25"/>
    </row>
    <row r="71" spans="1:8" x14ac:dyDescent="0.2">
      <c r="A71" s="24"/>
      <c r="B71" s="17"/>
      <c r="C71" s="17"/>
      <c r="D71" s="17"/>
      <c r="E71" s="17"/>
      <c r="F71" s="17"/>
      <c r="G71" s="17"/>
      <c r="H71" s="25"/>
    </row>
    <row r="72" spans="1:8" x14ac:dyDescent="0.2">
      <c r="A72" s="26"/>
      <c r="B72" s="27"/>
      <c r="C72" s="27"/>
      <c r="D72" s="27"/>
      <c r="E72" s="27"/>
      <c r="F72" s="27"/>
      <c r="G72" s="27"/>
      <c r="H72" s="28"/>
    </row>
  </sheetData>
  <mergeCells count="23">
    <mergeCell ref="A67:H72"/>
    <mergeCell ref="B52:D52"/>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B60:D60"/>
    <mergeCell ref="B61:D61"/>
    <mergeCell ref="B57:D57"/>
    <mergeCell ref="A51:H51"/>
    <mergeCell ref="B53:D53"/>
  </mergeCells>
  <dataValidations count="8">
    <dataValidation type="list" sqref="B4" xr:uid="{00000000-0002-0000-0600-000000000000}">
      <formula1>"Yes,No,Not Applicable"</formula1>
    </dataValidation>
    <dataValidation type="list" sqref="E8 E9 E10 E11 E12 E13 E14 E15 E16 E17 E18 E19 E20 E21 E22 E23 E24 E25 E26 E27 E28 E29 E30" xr:uid="{00000000-0002-0000-0600-000001000000}">
      <formula1>"✅ Compliant,⚠️ Partial,❌ Non-Compliant,N/A"</formula1>
    </dataValidation>
    <dataValidation type="list" sqref="H8:H30 B54 B52" xr:uid="{00000000-0002-0000-0600-000002000000}">
      <formula1>"Yes,No"</formula1>
    </dataValidation>
    <dataValidation type="list" sqref="B33" xr:uid="{00000000-0002-0000-0600-000003000000}">
      <formula1>"IPsec/IKEv2,WireGuard,OpenVPN,Other"</formula1>
    </dataValidation>
    <dataValidation type="list" sqref="B36" xr:uid="{00000000-0002-0000-0600-000004000000}">
      <formula1>"TOTP,Push notification,SMS,Hardware token,None"</formula1>
    </dataValidation>
    <dataValidation type="list" sqref="B37" xr:uid="{00000000-0002-0000-0600-000005000000}">
      <formula1>"Disabled,Enabled (with justification)"</formula1>
    </dataValidation>
    <dataValidation type="list" sqref="C41:C48" xr:uid="{00000000-0002-0000-0600-000006000000}">
      <formula1>"Yes,No,N/A"</formula1>
    </dataValidation>
    <dataValidation type="list" sqref="B64" xr:uid="{00000000-0002-0000-0600-000010000000}">
      <formula1>"Yes,No,Unknown"</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2"/>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14" customWidth="1"/>
    <col min="3" max="3" width="22" customWidth="1"/>
    <col min="4" max="4" width="18" customWidth="1"/>
    <col min="5" max="5" width="15" customWidth="1"/>
    <col min="6" max="7" width="30" customWidth="1"/>
    <col min="8" max="8" width="16" customWidth="1"/>
  </cols>
  <sheetData>
    <row r="1" spans="1:8" ht="40" customHeight="1" x14ac:dyDescent="0.2">
      <c r="A1" s="16" t="s">
        <v>390</v>
      </c>
      <c r="B1" s="17"/>
      <c r="C1" s="17"/>
      <c r="D1" s="17"/>
      <c r="E1" s="17"/>
      <c r="F1" s="17"/>
      <c r="G1" s="17"/>
      <c r="H1" s="17"/>
    </row>
    <row r="3" spans="1:8" ht="30" customHeight="1" x14ac:dyDescent="0.2">
      <c r="A3" s="29" t="s">
        <v>391</v>
      </c>
      <c r="B3" s="17"/>
      <c r="C3" s="17"/>
      <c r="D3" s="17"/>
      <c r="E3" s="17"/>
      <c r="F3" s="17"/>
      <c r="G3" s="17"/>
      <c r="H3" s="17"/>
    </row>
    <row r="4" spans="1:8" x14ac:dyDescent="0.2">
      <c r="A4" s="2" t="s">
        <v>51</v>
      </c>
      <c r="B4" s="3"/>
    </row>
    <row r="6" spans="1:8" x14ac:dyDescent="0.2">
      <c r="A6" s="4" t="s">
        <v>392</v>
      </c>
      <c r="B6" s="4" t="s">
        <v>393</v>
      </c>
      <c r="C6" s="4" t="s">
        <v>299</v>
      </c>
      <c r="D6" s="4" t="s">
        <v>394</v>
      </c>
      <c r="E6" s="4" t="s">
        <v>27</v>
      </c>
      <c r="F6" s="4" t="s">
        <v>56</v>
      </c>
      <c r="G6" s="4" t="s">
        <v>57</v>
      </c>
      <c r="H6" s="4" t="s">
        <v>58</v>
      </c>
    </row>
    <row r="7" spans="1:8" ht="16" x14ac:dyDescent="0.2">
      <c r="A7" s="10" t="s">
        <v>59</v>
      </c>
      <c r="B7" s="10"/>
      <c r="C7" s="10"/>
      <c r="D7" s="10"/>
      <c r="E7" s="10"/>
      <c r="F7" s="10"/>
      <c r="G7" s="10"/>
      <c r="H7" s="10"/>
    </row>
    <row r="8" spans="1:8" ht="16" x14ac:dyDescent="0.2">
      <c r="A8" s="11" t="s">
        <v>395</v>
      </c>
      <c r="B8" s="11" t="s">
        <v>310</v>
      </c>
      <c r="C8" s="11" t="s">
        <v>396</v>
      </c>
      <c r="D8" s="11" t="s">
        <v>397</v>
      </c>
      <c r="E8" s="11" t="s">
        <v>64</v>
      </c>
      <c r="F8" s="11" t="s">
        <v>398</v>
      </c>
      <c r="G8" s="11"/>
      <c r="H8" s="11" t="s">
        <v>66</v>
      </c>
    </row>
    <row r="9" spans="1:8" ht="32" x14ac:dyDescent="0.2">
      <c r="A9" s="11" t="s">
        <v>399</v>
      </c>
      <c r="B9" s="11" t="s">
        <v>301</v>
      </c>
      <c r="C9" s="11" t="s">
        <v>302</v>
      </c>
      <c r="D9" s="11" t="s">
        <v>400</v>
      </c>
      <c r="E9" s="11" t="s">
        <v>64</v>
      </c>
      <c r="F9" s="11" t="s">
        <v>401</v>
      </c>
      <c r="G9" s="11"/>
      <c r="H9" s="11" t="s">
        <v>66</v>
      </c>
    </row>
    <row r="10" spans="1:8" ht="16" x14ac:dyDescent="0.2">
      <c r="A10" s="11" t="s">
        <v>402</v>
      </c>
      <c r="B10" s="11" t="s">
        <v>310</v>
      </c>
      <c r="C10" s="11" t="s">
        <v>403</v>
      </c>
      <c r="D10" s="11" t="s">
        <v>404</v>
      </c>
      <c r="E10" s="11" t="s">
        <v>64</v>
      </c>
      <c r="F10" s="11" t="s">
        <v>405</v>
      </c>
      <c r="G10" s="11"/>
      <c r="H10" s="11" t="s">
        <v>66</v>
      </c>
    </row>
    <row r="11" spans="1:8" ht="32" x14ac:dyDescent="0.2">
      <c r="A11" s="11" t="s">
        <v>406</v>
      </c>
      <c r="B11" s="11" t="s">
        <v>407</v>
      </c>
      <c r="C11" s="11" t="s">
        <v>408</v>
      </c>
      <c r="D11" s="11" t="s">
        <v>409</v>
      </c>
      <c r="E11" s="11" t="s">
        <v>79</v>
      </c>
      <c r="F11" s="11" t="s">
        <v>410</v>
      </c>
      <c r="G11" s="11" t="s">
        <v>411</v>
      </c>
      <c r="H11" s="11" t="s">
        <v>82</v>
      </c>
    </row>
    <row r="12" spans="1:8" ht="32" x14ac:dyDescent="0.2">
      <c r="A12" s="11" t="s">
        <v>412</v>
      </c>
      <c r="B12" s="11" t="s">
        <v>407</v>
      </c>
      <c r="C12" s="11" t="s">
        <v>413</v>
      </c>
      <c r="D12" s="11" t="s">
        <v>414</v>
      </c>
      <c r="E12" s="11" t="s">
        <v>109</v>
      </c>
      <c r="F12" s="11" t="s">
        <v>415</v>
      </c>
      <c r="G12" s="11" t="s">
        <v>416</v>
      </c>
      <c r="H12" s="11" t="s">
        <v>82</v>
      </c>
    </row>
    <row r="13" spans="1:8" ht="32" x14ac:dyDescent="0.2">
      <c r="A13" s="11" t="s">
        <v>417</v>
      </c>
      <c r="B13" s="11" t="s">
        <v>310</v>
      </c>
      <c r="C13" s="11" t="s">
        <v>418</v>
      </c>
      <c r="D13" s="11" t="s">
        <v>419</v>
      </c>
      <c r="E13" s="11" t="s">
        <v>64</v>
      </c>
      <c r="F13" s="11" t="s">
        <v>420</v>
      </c>
      <c r="G13" s="11"/>
      <c r="H13" s="11" t="s">
        <v>66</v>
      </c>
    </row>
    <row r="14" spans="1:8" ht="16" x14ac:dyDescent="0.2">
      <c r="A14" s="11" t="s">
        <v>421</v>
      </c>
      <c r="B14" s="11" t="s">
        <v>310</v>
      </c>
      <c r="C14" s="11" t="s">
        <v>302</v>
      </c>
      <c r="D14" s="11" t="s">
        <v>422</v>
      </c>
      <c r="E14" s="11" t="s">
        <v>64</v>
      </c>
      <c r="F14" s="11" t="s">
        <v>423</v>
      </c>
      <c r="G14" s="11"/>
      <c r="H14" s="11" t="s">
        <v>66</v>
      </c>
    </row>
    <row r="15" spans="1:8" ht="32" x14ac:dyDescent="0.2">
      <c r="A15" s="11" t="s">
        <v>424</v>
      </c>
      <c r="B15" s="11" t="s">
        <v>301</v>
      </c>
      <c r="C15" s="11" t="s">
        <v>302</v>
      </c>
      <c r="D15" s="11" t="s">
        <v>425</v>
      </c>
      <c r="E15" s="11" t="s">
        <v>64</v>
      </c>
      <c r="F15" s="11" t="s">
        <v>426</v>
      </c>
      <c r="G15" s="11"/>
      <c r="H15" s="11" t="s">
        <v>66</v>
      </c>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4" x14ac:dyDescent="0.2">
      <c r="A33" s="2" t="s">
        <v>427</v>
      </c>
      <c r="B33" s="18"/>
      <c r="C33" s="19"/>
      <c r="D33" s="20"/>
    </row>
    <row r="34" spans="1:4" x14ac:dyDescent="0.2">
      <c r="A34" s="2" t="s">
        <v>428</v>
      </c>
      <c r="B34" s="18"/>
      <c r="C34" s="19"/>
      <c r="D34" s="20"/>
    </row>
    <row r="35" spans="1:4" x14ac:dyDescent="0.2">
      <c r="A35" s="2" t="s">
        <v>429</v>
      </c>
      <c r="B35" s="18"/>
      <c r="C35" s="19"/>
      <c r="D35" s="20"/>
    </row>
    <row r="36" spans="1:4" x14ac:dyDescent="0.2">
      <c r="A36" s="2" t="s">
        <v>430</v>
      </c>
      <c r="B36" s="18"/>
      <c r="C36" s="19"/>
      <c r="D36" s="20"/>
    </row>
    <row r="37" spans="1:4" x14ac:dyDescent="0.2">
      <c r="A37" s="2" t="s">
        <v>431</v>
      </c>
      <c r="B37" s="18"/>
      <c r="C37" s="19"/>
      <c r="D37" s="20"/>
    </row>
    <row r="39" spans="1:4" x14ac:dyDescent="0.2">
      <c r="A39" s="12" t="s">
        <v>132</v>
      </c>
    </row>
    <row r="40" spans="1:4" x14ac:dyDescent="0.2">
      <c r="A40" s="2" t="s">
        <v>133</v>
      </c>
      <c r="B40" s="2" t="s">
        <v>134</v>
      </c>
      <c r="C40" s="2" t="s">
        <v>27</v>
      </c>
    </row>
    <row r="41" spans="1:4" x14ac:dyDescent="0.2">
      <c r="A41" t="s">
        <v>133</v>
      </c>
      <c r="B41" t="s">
        <v>432</v>
      </c>
      <c r="C41" s="3"/>
    </row>
    <row r="42" spans="1:4" x14ac:dyDescent="0.2">
      <c r="A42" t="s">
        <v>133</v>
      </c>
      <c r="B42" t="s">
        <v>433</v>
      </c>
      <c r="C42" s="3"/>
    </row>
    <row r="43" spans="1:4" x14ac:dyDescent="0.2">
      <c r="A43" t="s">
        <v>133</v>
      </c>
      <c r="B43" t="s">
        <v>434</v>
      </c>
      <c r="C43" s="3"/>
    </row>
    <row r="44" spans="1:4" x14ac:dyDescent="0.2">
      <c r="A44" t="s">
        <v>133</v>
      </c>
      <c r="B44" t="s">
        <v>435</v>
      </c>
      <c r="C44" s="3"/>
    </row>
    <row r="45" spans="1:4" x14ac:dyDescent="0.2">
      <c r="A45" t="s">
        <v>133</v>
      </c>
      <c r="B45" t="s">
        <v>436</v>
      </c>
      <c r="C45" s="3"/>
    </row>
    <row r="46" spans="1:4" x14ac:dyDescent="0.2">
      <c r="A46" t="s">
        <v>133</v>
      </c>
      <c r="B46" t="s">
        <v>437</v>
      </c>
      <c r="C46" s="3"/>
    </row>
    <row r="47" spans="1:4" x14ac:dyDescent="0.2">
      <c r="A47" t="s">
        <v>133</v>
      </c>
      <c r="B47" t="s">
        <v>438</v>
      </c>
      <c r="C47" s="3"/>
    </row>
    <row r="48" spans="1:4" x14ac:dyDescent="0.2">
      <c r="A48" t="s">
        <v>133</v>
      </c>
      <c r="B48" t="s">
        <v>439</v>
      </c>
      <c r="C48" s="3"/>
    </row>
    <row r="49" spans="1:8" x14ac:dyDescent="0.2">
      <c r="A49" s="2" t="s">
        <v>146</v>
      </c>
      <c r="B49" s="13" t="e">
        <f>COUNTIF(C41:C48,"Yes")/COUNTA(C41:C48)*100&amp;"%"</f>
        <v>#DIV/0!</v>
      </c>
    </row>
    <row r="51" spans="1:8" x14ac:dyDescent="0.2">
      <c r="A51" s="30" t="s">
        <v>147</v>
      </c>
      <c r="B51" s="17"/>
      <c r="C51" s="17"/>
      <c r="D51" s="17"/>
      <c r="E51" s="17"/>
      <c r="F51" s="17"/>
      <c r="G51" s="17"/>
      <c r="H51" s="17"/>
    </row>
    <row r="52" spans="1:8" x14ac:dyDescent="0.2">
      <c r="A52" s="2" t="s">
        <v>148</v>
      </c>
      <c r="B52" s="18"/>
      <c r="C52" s="19"/>
      <c r="D52" s="20"/>
    </row>
    <row r="53" spans="1:8" x14ac:dyDescent="0.2">
      <c r="A53" s="2" t="s">
        <v>149</v>
      </c>
      <c r="B53" s="18"/>
      <c r="C53" s="19"/>
      <c r="D53" s="20"/>
    </row>
    <row r="54" spans="1:8" x14ac:dyDescent="0.2">
      <c r="A54" s="2" t="s">
        <v>150</v>
      </c>
      <c r="B54" s="18"/>
      <c r="C54" s="19"/>
      <c r="D54" s="20"/>
    </row>
    <row r="55" spans="1:8" x14ac:dyDescent="0.2">
      <c r="A55" s="2" t="s">
        <v>151</v>
      </c>
      <c r="B55" s="18"/>
      <c r="C55" s="19"/>
      <c r="D55" s="20"/>
    </row>
    <row r="56" spans="1:8" x14ac:dyDescent="0.2">
      <c r="A56" s="2" t="s">
        <v>152</v>
      </c>
      <c r="B56" s="18"/>
      <c r="C56" s="19"/>
      <c r="D56" s="20"/>
    </row>
    <row r="57" spans="1:8" x14ac:dyDescent="0.2">
      <c r="A57" s="2" t="s">
        <v>153</v>
      </c>
      <c r="B57" s="18"/>
      <c r="C57" s="19"/>
      <c r="D57" s="20"/>
    </row>
    <row r="58" spans="1:8" x14ac:dyDescent="0.2">
      <c r="A58" s="2" t="s">
        <v>154</v>
      </c>
      <c r="B58" s="18"/>
      <c r="C58" s="19"/>
      <c r="D58" s="20"/>
    </row>
    <row r="59" spans="1:8" x14ac:dyDescent="0.2">
      <c r="A59" s="2" t="s">
        <v>155</v>
      </c>
      <c r="B59" s="18"/>
      <c r="C59" s="19"/>
      <c r="D59" s="20"/>
    </row>
    <row r="60" spans="1:8" x14ac:dyDescent="0.2">
      <c r="A60" s="2" t="s">
        <v>156</v>
      </c>
      <c r="B60" s="18"/>
      <c r="C60" s="19"/>
      <c r="D60" s="20"/>
    </row>
    <row r="61" spans="1:8" x14ac:dyDescent="0.2">
      <c r="A61" s="2" t="s">
        <v>157</v>
      </c>
      <c r="B61" s="18"/>
      <c r="C61" s="19"/>
      <c r="D61" s="20"/>
    </row>
    <row r="62" spans="1:8" x14ac:dyDescent="0.2">
      <c r="A62" s="2" t="s">
        <v>158</v>
      </c>
      <c r="B62" s="18"/>
      <c r="C62" s="19"/>
      <c r="D62" s="20"/>
    </row>
    <row r="63" spans="1:8" x14ac:dyDescent="0.2">
      <c r="A63" s="2" t="s">
        <v>159</v>
      </c>
      <c r="B63" s="18"/>
      <c r="C63" s="19"/>
      <c r="D63" s="20"/>
    </row>
    <row r="64" spans="1:8" x14ac:dyDescent="0.2">
      <c r="A64" s="2" t="s">
        <v>160</v>
      </c>
      <c r="B64" s="18"/>
      <c r="C64" s="19"/>
      <c r="D64" s="20"/>
    </row>
    <row r="66" spans="1:8" x14ac:dyDescent="0.2">
      <c r="A66" s="31" t="s">
        <v>161</v>
      </c>
      <c r="B66" s="17"/>
      <c r="C66" s="17"/>
      <c r="D66" s="17"/>
      <c r="E66" s="17"/>
      <c r="F66" s="17"/>
      <c r="G66" s="17"/>
      <c r="H66" s="17"/>
    </row>
    <row r="67" spans="1:8" x14ac:dyDescent="0.2">
      <c r="A67" s="21"/>
      <c r="B67" s="22"/>
      <c r="C67" s="22"/>
      <c r="D67" s="22"/>
      <c r="E67" s="22"/>
      <c r="F67" s="22"/>
      <c r="G67" s="22"/>
      <c r="H67" s="23"/>
    </row>
    <row r="68" spans="1:8" x14ac:dyDescent="0.2">
      <c r="A68" s="24"/>
      <c r="B68" s="17"/>
      <c r="C68" s="17"/>
      <c r="D68" s="17"/>
      <c r="E68" s="17"/>
      <c r="F68" s="17"/>
      <c r="G68" s="17"/>
      <c r="H68" s="25"/>
    </row>
    <row r="69" spans="1:8" x14ac:dyDescent="0.2">
      <c r="A69" s="24"/>
      <c r="B69" s="17"/>
      <c r="C69" s="17"/>
      <c r="D69" s="17"/>
      <c r="E69" s="17"/>
      <c r="F69" s="17"/>
      <c r="G69" s="17"/>
      <c r="H69" s="25"/>
    </row>
    <row r="70" spans="1:8" x14ac:dyDescent="0.2">
      <c r="A70" s="24"/>
      <c r="B70" s="17"/>
      <c r="C70" s="17"/>
      <c r="D70" s="17"/>
      <c r="E70" s="17"/>
      <c r="F70" s="17"/>
      <c r="G70" s="17"/>
      <c r="H70" s="25"/>
    </row>
    <row r="71" spans="1:8" x14ac:dyDescent="0.2">
      <c r="A71" s="24"/>
      <c r="B71" s="17"/>
      <c r="C71" s="17"/>
      <c r="D71" s="17"/>
      <c r="E71" s="17"/>
      <c r="F71" s="17"/>
      <c r="G71" s="17"/>
      <c r="H71" s="25"/>
    </row>
    <row r="72" spans="1:8" x14ac:dyDescent="0.2">
      <c r="A72" s="26"/>
      <c r="B72" s="27"/>
      <c r="C72" s="27"/>
      <c r="D72" s="27"/>
      <c r="E72" s="27"/>
      <c r="F72" s="27"/>
      <c r="G72" s="27"/>
      <c r="H72" s="28"/>
    </row>
  </sheetData>
  <mergeCells count="23">
    <mergeCell ref="A67:H72"/>
    <mergeCell ref="B52:D52"/>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B60:D60"/>
    <mergeCell ref="B61:D61"/>
    <mergeCell ref="B57:D57"/>
    <mergeCell ref="A51:H51"/>
    <mergeCell ref="B53:D53"/>
  </mergeCells>
  <dataValidations count="10">
    <dataValidation type="list" sqref="B4" xr:uid="{00000000-0002-0000-0700-000000000000}">
      <formula1>"Yes,No,Not Applicable"</formula1>
    </dataValidation>
    <dataValidation type="list" sqref="E8 E9 E10 E11 E12 E13 E14 E15 E16 E17 E18 E19 E20 E21 E22 E23 E24 E25 E26 E27 E28 E29 E30" xr:uid="{00000000-0002-0000-0700-000001000000}">
      <formula1>"✅ Compliant,⚠️ Partial,❌ Non-Compliant,N/A"</formula1>
    </dataValidation>
    <dataValidation type="list" sqref="H8:H30 B54 B52" xr:uid="{00000000-0002-0000-0700-000002000000}">
      <formula1>"Yes,No"</formula1>
    </dataValidation>
    <dataValidation type="list" sqref="B33" xr:uid="{00000000-0002-0000-0700-000003000000}">
      <formula1>"SSHv2 only,SSHv1 (legacy - prohibited)"</formula1>
    </dataValidation>
    <dataValidation type="list" sqref="B34" xr:uid="{00000000-0002-0000-0700-000004000000}">
      <formula1>"Key-based only,Password allowed,Both"</formula1>
    </dataValidation>
    <dataValidation type="list" sqref="B35" xr:uid="{00000000-0002-0000-0700-000005000000}">
      <formula1>"Ed25519,RSA 3072+,RSA 2048,ECDSA,Other"</formula1>
    </dataValidation>
    <dataValidation type="list" sqref="B36" xr:uid="{00000000-0002-0000-0700-000006000000}">
      <formula1>"Disabled,Enabled"</formula1>
    </dataValidation>
    <dataValidation type="list" sqref="B37" xr:uid="{00000000-0002-0000-0700-000007000000}">
      <formula1>"Annual,On personnel change,No rotation"</formula1>
    </dataValidation>
    <dataValidation type="list" sqref="C41:C48" xr:uid="{00000000-0002-0000-0700-000008000000}">
      <formula1>"Yes,No,N/A"</formula1>
    </dataValidation>
    <dataValidation type="list" sqref="B64" xr:uid="{00000000-0002-0000-0700-000012000000}">
      <formula1>"Yes,No,Unknown"</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9"/>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22" customWidth="1"/>
    <col min="3" max="3" width="16" customWidth="1"/>
    <col min="4" max="4" width="14" customWidth="1"/>
    <col min="5" max="5" width="15" customWidth="1"/>
    <col min="6" max="7" width="30" customWidth="1"/>
    <col min="8" max="8" width="16" customWidth="1"/>
  </cols>
  <sheetData>
    <row r="1" spans="1:8" ht="40" customHeight="1" x14ac:dyDescent="0.2">
      <c r="A1" s="16" t="s">
        <v>440</v>
      </c>
      <c r="B1" s="17"/>
      <c r="C1" s="17"/>
      <c r="D1" s="17"/>
      <c r="E1" s="17"/>
      <c r="F1" s="17"/>
      <c r="G1" s="17"/>
      <c r="H1" s="17"/>
    </row>
    <row r="3" spans="1:8" ht="30" customHeight="1" x14ac:dyDescent="0.2">
      <c r="A3" s="29" t="s">
        <v>441</v>
      </c>
      <c r="B3" s="17"/>
      <c r="C3" s="17"/>
      <c r="D3" s="17"/>
      <c r="E3" s="17"/>
      <c r="F3" s="17"/>
      <c r="G3" s="17"/>
      <c r="H3" s="17"/>
    </row>
    <row r="4" spans="1:8" x14ac:dyDescent="0.2">
      <c r="A4" s="2" t="s">
        <v>51</v>
      </c>
      <c r="B4" s="3"/>
    </row>
    <row r="6" spans="1:8" x14ac:dyDescent="0.2">
      <c r="A6" s="4" t="s">
        <v>442</v>
      </c>
      <c r="B6" s="4" t="s">
        <v>443</v>
      </c>
      <c r="C6" s="4" t="s">
        <v>444</v>
      </c>
      <c r="D6" s="4" t="s">
        <v>445</v>
      </c>
      <c r="E6" s="4" t="s">
        <v>27</v>
      </c>
      <c r="F6" s="4" t="s">
        <v>56</v>
      </c>
      <c r="G6" s="4" t="s">
        <v>57</v>
      </c>
      <c r="H6" s="4" t="s">
        <v>58</v>
      </c>
    </row>
    <row r="7" spans="1:8" ht="16" x14ac:dyDescent="0.2">
      <c r="A7" s="10" t="s">
        <v>59</v>
      </c>
      <c r="B7" s="10"/>
      <c r="C7" s="10"/>
      <c r="D7" s="10"/>
      <c r="E7" s="10"/>
      <c r="F7" s="10"/>
      <c r="G7" s="10"/>
      <c r="H7" s="10"/>
    </row>
    <row r="8" spans="1:8" ht="16" x14ac:dyDescent="0.2">
      <c r="A8" s="11" t="s">
        <v>446</v>
      </c>
      <c r="B8" s="11" t="s">
        <v>447</v>
      </c>
      <c r="C8" s="11" t="s">
        <v>448</v>
      </c>
      <c r="D8" s="11" t="s">
        <v>449</v>
      </c>
      <c r="E8" s="11" t="s">
        <v>64</v>
      </c>
      <c r="F8" s="11" t="s">
        <v>450</v>
      </c>
      <c r="G8" s="11"/>
      <c r="H8" s="11" t="s">
        <v>66</v>
      </c>
    </row>
    <row r="9" spans="1:8" ht="16" x14ac:dyDescent="0.2">
      <c r="A9" s="11" t="s">
        <v>451</v>
      </c>
      <c r="B9" s="11" t="s">
        <v>452</v>
      </c>
      <c r="C9" s="11" t="s">
        <v>453</v>
      </c>
      <c r="D9" s="11" t="s">
        <v>368</v>
      </c>
      <c r="E9" s="11" t="s">
        <v>79</v>
      </c>
      <c r="F9" s="11" t="s">
        <v>454</v>
      </c>
      <c r="G9" s="11" t="s">
        <v>455</v>
      </c>
      <c r="H9" s="11" t="s">
        <v>82</v>
      </c>
    </row>
    <row r="10" spans="1:8" ht="16" x14ac:dyDescent="0.2">
      <c r="A10" s="11" t="s">
        <v>456</v>
      </c>
      <c r="B10" s="11" t="s">
        <v>447</v>
      </c>
      <c r="C10" s="11" t="s">
        <v>448</v>
      </c>
      <c r="D10" s="11" t="s">
        <v>457</v>
      </c>
      <c r="E10" s="11" t="s">
        <v>64</v>
      </c>
      <c r="F10" s="11" t="s">
        <v>458</v>
      </c>
      <c r="G10" s="11"/>
      <c r="H10" s="11" t="s">
        <v>66</v>
      </c>
    </row>
    <row r="11" spans="1:8" ht="32" x14ac:dyDescent="0.2">
      <c r="A11" s="11" t="s">
        <v>459</v>
      </c>
      <c r="B11" s="11" t="s">
        <v>460</v>
      </c>
      <c r="C11" s="11" t="s">
        <v>461</v>
      </c>
      <c r="D11" s="11" t="s">
        <v>314</v>
      </c>
      <c r="E11" s="11" t="s">
        <v>109</v>
      </c>
      <c r="F11" s="11" t="s">
        <v>462</v>
      </c>
      <c r="G11" s="11" t="s">
        <v>463</v>
      </c>
      <c r="H11" s="11" t="s">
        <v>82</v>
      </c>
    </row>
    <row r="12" spans="1:8" ht="16" x14ac:dyDescent="0.2">
      <c r="A12" s="11" t="s">
        <v>464</v>
      </c>
      <c r="B12" s="11" t="s">
        <v>447</v>
      </c>
      <c r="C12" s="11" t="s">
        <v>375</v>
      </c>
      <c r="D12" s="11" t="s">
        <v>465</v>
      </c>
      <c r="E12" s="11" t="s">
        <v>64</v>
      </c>
      <c r="F12" s="11" t="s">
        <v>466</v>
      </c>
      <c r="G12" s="11"/>
      <c r="H12" s="11" t="s">
        <v>66</v>
      </c>
    </row>
    <row r="13" spans="1:8" ht="32" x14ac:dyDescent="0.2">
      <c r="A13" s="11" t="s">
        <v>467</v>
      </c>
      <c r="B13" s="11" t="s">
        <v>447</v>
      </c>
      <c r="C13" s="11" t="s">
        <v>468</v>
      </c>
      <c r="D13" s="11" t="s">
        <v>364</v>
      </c>
      <c r="E13" s="11" t="s">
        <v>64</v>
      </c>
      <c r="F13" s="11" t="s">
        <v>469</v>
      </c>
      <c r="G13" s="11"/>
      <c r="H13" s="11" t="s">
        <v>66</v>
      </c>
    </row>
    <row r="14" spans="1:8" x14ac:dyDescent="0.2">
      <c r="A14" s="11"/>
      <c r="B14" s="11"/>
      <c r="C14" s="11"/>
      <c r="D14" s="11"/>
      <c r="E14" s="11"/>
      <c r="F14" s="11"/>
      <c r="G14" s="11"/>
      <c r="H14" s="11"/>
    </row>
    <row r="15" spans="1:8" x14ac:dyDescent="0.2">
      <c r="A15" s="11"/>
      <c r="B15" s="11"/>
      <c r="C15" s="11"/>
      <c r="D15" s="11"/>
      <c r="E15" s="11"/>
      <c r="F15" s="11"/>
      <c r="G15" s="11"/>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8" x14ac:dyDescent="0.2">
      <c r="A33" s="2" t="s">
        <v>470</v>
      </c>
      <c r="B33" s="18"/>
      <c r="C33" s="19"/>
      <c r="D33" s="20"/>
    </row>
    <row r="34" spans="1:8" x14ac:dyDescent="0.2">
      <c r="A34" s="2" t="s">
        <v>471</v>
      </c>
      <c r="B34" s="18"/>
      <c r="C34" s="19"/>
      <c r="D34" s="20"/>
    </row>
    <row r="35" spans="1:8" x14ac:dyDescent="0.2">
      <c r="A35" s="2" t="s">
        <v>472</v>
      </c>
      <c r="B35" s="18"/>
      <c r="C35" s="19"/>
      <c r="D35" s="20"/>
    </row>
    <row r="36" spans="1:8" x14ac:dyDescent="0.2">
      <c r="A36" s="2" t="s">
        <v>473</v>
      </c>
      <c r="B36" s="18"/>
      <c r="C36" s="19"/>
      <c r="D36" s="20"/>
    </row>
    <row r="38" spans="1:8" x14ac:dyDescent="0.2">
      <c r="A38" s="12" t="s">
        <v>132</v>
      </c>
    </row>
    <row r="39" spans="1:8" x14ac:dyDescent="0.2">
      <c r="A39" s="2" t="s">
        <v>133</v>
      </c>
      <c r="B39" s="2" t="s">
        <v>134</v>
      </c>
      <c r="C39" s="2" t="s">
        <v>27</v>
      </c>
    </row>
    <row r="40" spans="1:8" x14ac:dyDescent="0.2">
      <c r="A40" t="s">
        <v>133</v>
      </c>
      <c r="B40" t="s">
        <v>474</v>
      </c>
      <c r="C40" s="3"/>
    </row>
    <row r="41" spans="1:8" x14ac:dyDescent="0.2">
      <c r="A41" t="s">
        <v>133</v>
      </c>
      <c r="B41" t="s">
        <v>475</v>
      </c>
      <c r="C41" s="3"/>
    </row>
    <row r="42" spans="1:8" x14ac:dyDescent="0.2">
      <c r="A42" t="s">
        <v>133</v>
      </c>
      <c r="B42" t="s">
        <v>476</v>
      </c>
      <c r="C42" s="3"/>
    </row>
    <row r="43" spans="1:8" x14ac:dyDescent="0.2">
      <c r="A43" t="s">
        <v>133</v>
      </c>
      <c r="B43" t="s">
        <v>477</v>
      </c>
      <c r="C43" s="3"/>
    </row>
    <row r="44" spans="1:8" x14ac:dyDescent="0.2">
      <c r="A44" t="s">
        <v>133</v>
      </c>
      <c r="B44" t="s">
        <v>478</v>
      </c>
      <c r="C44" s="3"/>
    </row>
    <row r="45" spans="1:8" x14ac:dyDescent="0.2">
      <c r="A45" t="s">
        <v>133</v>
      </c>
      <c r="B45" t="s">
        <v>479</v>
      </c>
      <c r="C45" s="3"/>
    </row>
    <row r="46" spans="1:8" x14ac:dyDescent="0.2">
      <c r="A46" s="2" t="s">
        <v>146</v>
      </c>
      <c r="B46" s="13" t="e">
        <f>COUNTIF(C40:C45,"Yes")/COUNTA(C40:C45)*100&amp;"%"</f>
        <v>#DIV/0!</v>
      </c>
    </row>
    <row r="48" spans="1:8" x14ac:dyDescent="0.2">
      <c r="A48" s="30" t="s">
        <v>147</v>
      </c>
      <c r="B48" s="17"/>
      <c r="C48" s="17"/>
      <c r="D48" s="17"/>
      <c r="E48" s="17"/>
      <c r="F48" s="17"/>
      <c r="G48" s="17"/>
      <c r="H48" s="17"/>
    </row>
    <row r="49" spans="1:8" x14ac:dyDescent="0.2">
      <c r="A49" s="2" t="s">
        <v>148</v>
      </c>
      <c r="B49" s="18"/>
      <c r="C49" s="19"/>
      <c r="D49" s="20"/>
    </row>
    <row r="50" spans="1:8" x14ac:dyDescent="0.2">
      <c r="A50" s="2" t="s">
        <v>149</v>
      </c>
      <c r="B50" s="18"/>
      <c r="C50" s="19"/>
      <c r="D50" s="20"/>
    </row>
    <row r="51" spans="1:8" x14ac:dyDescent="0.2">
      <c r="A51" s="2" t="s">
        <v>150</v>
      </c>
      <c r="B51" s="18"/>
      <c r="C51" s="19"/>
      <c r="D51" s="20"/>
    </row>
    <row r="52" spans="1:8" x14ac:dyDescent="0.2">
      <c r="A52" s="2" t="s">
        <v>151</v>
      </c>
      <c r="B52" s="18"/>
      <c r="C52" s="19"/>
      <c r="D52" s="20"/>
    </row>
    <row r="53" spans="1:8" x14ac:dyDescent="0.2">
      <c r="A53" s="2" t="s">
        <v>152</v>
      </c>
      <c r="B53" s="18"/>
      <c r="C53" s="19"/>
      <c r="D53" s="20"/>
    </row>
    <row r="54" spans="1:8" x14ac:dyDescent="0.2">
      <c r="A54" s="2" t="s">
        <v>153</v>
      </c>
      <c r="B54" s="18"/>
      <c r="C54" s="19"/>
      <c r="D54" s="20"/>
    </row>
    <row r="55" spans="1:8" x14ac:dyDescent="0.2">
      <c r="A55" s="2" t="s">
        <v>154</v>
      </c>
      <c r="B55" s="18"/>
      <c r="C55" s="19"/>
      <c r="D55" s="20"/>
    </row>
    <row r="56" spans="1:8" x14ac:dyDescent="0.2">
      <c r="A56" s="2" t="s">
        <v>155</v>
      </c>
      <c r="B56" s="18"/>
      <c r="C56" s="19"/>
      <c r="D56" s="20"/>
    </row>
    <row r="57" spans="1:8" x14ac:dyDescent="0.2">
      <c r="A57" s="2" t="s">
        <v>156</v>
      </c>
      <c r="B57" s="18"/>
      <c r="C57" s="19"/>
      <c r="D57" s="20"/>
    </row>
    <row r="58" spans="1:8" x14ac:dyDescent="0.2">
      <c r="A58" s="2" t="s">
        <v>157</v>
      </c>
      <c r="B58" s="18"/>
      <c r="C58" s="19"/>
      <c r="D58" s="20"/>
    </row>
    <row r="59" spans="1:8" x14ac:dyDescent="0.2">
      <c r="A59" s="2" t="s">
        <v>158</v>
      </c>
      <c r="B59" s="18"/>
      <c r="C59" s="19"/>
      <c r="D59" s="20"/>
    </row>
    <row r="60" spans="1:8" x14ac:dyDescent="0.2">
      <c r="A60" s="2" t="s">
        <v>159</v>
      </c>
      <c r="B60" s="18"/>
      <c r="C60" s="19"/>
      <c r="D60" s="20"/>
    </row>
    <row r="61" spans="1:8" x14ac:dyDescent="0.2">
      <c r="A61" s="2" t="s">
        <v>160</v>
      </c>
      <c r="B61" s="18"/>
      <c r="C61" s="19"/>
      <c r="D61" s="20"/>
    </row>
    <row r="63" spans="1:8" x14ac:dyDescent="0.2">
      <c r="A63" s="31" t="s">
        <v>161</v>
      </c>
      <c r="B63" s="17"/>
      <c r="C63" s="17"/>
      <c r="D63" s="17"/>
      <c r="E63" s="17"/>
      <c r="F63" s="17"/>
      <c r="G63" s="17"/>
      <c r="H63" s="17"/>
    </row>
    <row r="64" spans="1:8" x14ac:dyDescent="0.2">
      <c r="A64" s="21"/>
      <c r="B64" s="22"/>
      <c r="C64" s="22"/>
      <c r="D64" s="22"/>
      <c r="E64" s="22"/>
      <c r="F64" s="22"/>
      <c r="G64" s="22"/>
      <c r="H64" s="23"/>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4"/>
      <c r="B68" s="17"/>
      <c r="C68" s="17"/>
      <c r="D68" s="17"/>
      <c r="E68" s="17"/>
      <c r="F68" s="17"/>
      <c r="G68" s="17"/>
      <c r="H68" s="25"/>
    </row>
    <row r="69" spans="1:8" x14ac:dyDescent="0.2">
      <c r="A69" s="26"/>
      <c r="B69" s="27"/>
      <c r="C69" s="27"/>
      <c r="D69" s="27"/>
      <c r="E69" s="27"/>
      <c r="F69" s="27"/>
      <c r="G69" s="27"/>
      <c r="H69" s="28"/>
    </row>
  </sheetData>
  <mergeCells count="22">
    <mergeCell ref="A63:H63"/>
    <mergeCell ref="A64:H69"/>
    <mergeCell ref="B56:D56"/>
    <mergeCell ref="B58:D58"/>
    <mergeCell ref="B52:D52"/>
    <mergeCell ref="A1:H1"/>
    <mergeCell ref="B34:D34"/>
    <mergeCell ref="B49:D49"/>
    <mergeCell ref="B55:D55"/>
    <mergeCell ref="B51:D51"/>
    <mergeCell ref="B33:D33"/>
    <mergeCell ref="A3:H3"/>
    <mergeCell ref="B36:D36"/>
    <mergeCell ref="B35:D35"/>
    <mergeCell ref="B50:D50"/>
    <mergeCell ref="B54:D54"/>
    <mergeCell ref="A48:H48"/>
    <mergeCell ref="B60:D60"/>
    <mergeCell ref="B61:D61"/>
    <mergeCell ref="B57:D57"/>
    <mergeCell ref="B53:D53"/>
    <mergeCell ref="B59:D59"/>
  </mergeCells>
  <dataValidations count="9">
    <dataValidation type="list" sqref="B4" xr:uid="{00000000-0002-0000-0800-000000000000}">
      <formula1>"Yes,No,Not Applicable"</formula1>
    </dataValidation>
    <dataValidation type="list" sqref="E8 E9 E10 E11 E12 E13 E14 E15 E16 E17 E18 E19 E20 E21 E22 E23 E24 E25 E26 E27 E28 E29 E30" xr:uid="{00000000-0002-0000-0800-000001000000}">
      <formula1>"✅ Compliant,⚠️ Partial,❌ Non-Compliant,N/A"</formula1>
    </dataValidation>
    <dataValidation type="list" sqref="H8:H30 B51 B49" xr:uid="{00000000-0002-0000-0800-000002000000}">
      <formula1>"Yes,No"</formula1>
    </dataValidation>
    <dataValidation type="list" sqref="B33" xr:uid="{00000000-0002-0000-0800-000003000000}">
      <formula1>"VPN required,Jump host/bastion,Direct (prohibited),Zero-trust gateway"</formula1>
    </dataValidation>
    <dataValidation type="list" sqref="B34" xr:uid="{00000000-0002-0000-0800-000004000000}">
      <formula1>"Enabled,Disabled"</formula1>
    </dataValidation>
    <dataValidation type="list" sqref="B35" xr:uid="{00000000-0002-0000-0800-000005000000}">
      <formula1>"Required,Optional,Not implemented"</formula1>
    </dataValidation>
    <dataValidation type="list" sqref="B36" xr:uid="{00000000-0002-0000-0800-000006000000}">
      <formula1>"High,Medium,Low"</formula1>
    </dataValidation>
    <dataValidation type="list" sqref="C40:C45" xr:uid="{00000000-0002-0000-0800-000007000000}">
      <formula1>"Yes,No,N/A"</formula1>
    </dataValidation>
    <dataValidation type="list" sqref="B61" xr:uid="{00000000-0002-0000-0800-00000F000000}">
      <formula1>"Yes,No,Unknown"</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4"/>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22" customWidth="1"/>
    <col min="3" max="3" width="14" customWidth="1"/>
    <col min="4" max="4" width="22" customWidth="1"/>
    <col min="5" max="5" width="16" customWidth="1"/>
    <col min="6" max="6" width="15" customWidth="1"/>
    <col min="7" max="8" width="30" customWidth="1"/>
    <col min="9" max="9" width="16" customWidth="1"/>
  </cols>
  <sheetData>
    <row r="1" spans="1:9" ht="40" customHeight="1" x14ac:dyDescent="0.2">
      <c r="A1" s="16" t="s">
        <v>480</v>
      </c>
      <c r="B1" s="17"/>
      <c r="C1" s="17"/>
      <c r="D1" s="17"/>
      <c r="E1" s="17"/>
      <c r="F1" s="17"/>
      <c r="G1" s="17"/>
      <c r="H1" s="17"/>
    </row>
    <row r="3" spans="1:9" ht="30" customHeight="1" x14ac:dyDescent="0.2">
      <c r="A3" s="29" t="s">
        <v>481</v>
      </c>
      <c r="B3" s="17"/>
      <c r="C3" s="17"/>
      <c r="D3" s="17"/>
      <c r="E3" s="17"/>
      <c r="F3" s="17"/>
      <c r="G3" s="17"/>
      <c r="H3" s="17"/>
    </row>
    <row r="4" spans="1:9" x14ac:dyDescent="0.2">
      <c r="A4" s="2" t="s">
        <v>51</v>
      </c>
      <c r="B4" s="3"/>
    </row>
    <row r="6" spans="1:9" x14ac:dyDescent="0.2">
      <c r="A6" s="4" t="s">
        <v>482</v>
      </c>
      <c r="B6" s="4" t="s">
        <v>299</v>
      </c>
      <c r="C6" s="4" t="s">
        <v>483</v>
      </c>
      <c r="D6" s="4" t="s">
        <v>484</v>
      </c>
      <c r="E6" s="4" t="s">
        <v>485</v>
      </c>
      <c r="F6" s="4" t="s">
        <v>27</v>
      </c>
      <c r="G6" s="4" t="s">
        <v>56</v>
      </c>
      <c r="H6" s="4" t="s">
        <v>57</v>
      </c>
      <c r="I6" s="4" t="s">
        <v>58</v>
      </c>
    </row>
    <row r="7" spans="1:9" ht="16" x14ac:dyDescent="0.2">
      <c r="A7" s="10" t="s">
        <v>59</v>
      </c>
      <c r="B7" s="10"/>
      <c r="C7" s="10"/>
      <c r="D7" s="10"/>
      <c r="E7" s="10"/>
      <c r="F7" s="10"/>
      <c r="G7" s="10"/>
      <c r="H7" s="10"/>
      <c r="I7" s="10"/>
    </row>
    <row r="8" spans="1:9" ht="32" x14ac:dyDescent="0.2">
      <c r="A8" s="11" t="s">
        <v>486</v>
      </c>
      <c r="B8" s="11" t="s">
        <v>61</v>
      </c>
      <c r="C8" s="11" t="s">
        <v>363</v>
      </c>
      <c r="D8" s="11" t="s">
        <v>487</v>
      </c>
      <c r="E8" s="11" t="s">
        <v>64</v>
      </c>
      <c r="F8" s="11" t="s">
        <v>488</v>
      </c>
      <c r="G8" s="11"/>
      <c r="H8" s="11" t="s">
        <v>66</v>
      </c>
      <c r="I8" s="11"/>
    </row>
    <row r="9" spans="1:9" ht="32" x14ac:dyDescent="0.2">
      <c r="A9" s="11" t="s">
        <v>489</v>
      </c>
      <c r="B9" s="11" t="s">
        <v>61</v>
      </c>
      <c r="C9" s="11" t="s">
        <v>375</v>
      </c>
      <c r="D9" s="11" t="s">
        <v>490</v>
      </c>
      <c r="E9" s="11" t="s">
        <v>64</v>
      </c>
      <c r="F9" s="11" t="s">
        <v>491</v>
      </c>
      <c r="G9" s="11"/>
      <c r="H9" s="11" t="s">
        <v>66</v>
      </c>
      <c r="I9" s="11"/>
    </row>
    <row r="10" spans="1:9" ht="16" x14ac:dyDescent="0.2">
      <c r="A10" s="11" t="s">
        <v>492</v>
      </c>
      <c r="B10" s="11" t="s">
        <v>493</v>
      </c>
      <c r="C10" s="11" t="s">
        <v>375</v>
      </c>
      <c r="D10" s="11" t="s">
        <v>494</v>
      </c>
      <c r="E10" s="11" t="s">
        <v>64</v>
      </c>
      <c r="F10" s="11" t="s">
        <v>495</v>
      </c>
      <c r="G10" s="11"/>
      <c r="H10" s="11" t="s">
        <v>66</v>
      </c>
      <c r="I10" s="11"/>
    </row>
    <row r="11" spans="1:9" ht="16" x14ac:dyDescent="0.2">
      <c r="A11" s="11" t="s">
        <v>496</v>
      </c>
      <c r="B11" s="11" t="s">
        <v>61</v>
      </c>
      <c r="C11" s="11" t="s">
        <v>375</v>
      </c>
      <c r="D11" s="11" t="s">
        <v>497</v>
      </c>
      <c r="E11" s="11" t="s">
        <v>64</v>
      </c>
      <c r="F11" s="11" t="s">
        <v>498</v>
      </c>
      <c r="G11" s="11"/>
      <c r="H11" s="11" t="s">
        <v>66</v>
      </c>
      <c r="I11" s="11"/>
    </row>
    <row r="12" spans="1:9" ht="32" x14ac:dyDescent="0.2">
      <c r="A12" s="11" t="s">
        <v>499</v>
      </c>
      <c r="B12" s="11" t="s">
        <v>500</v>
      </c>
      <c r="C12" s="11" t="s">
        <v>375</v>
      </c>
      <c r="D12" s="11" t="s">
        <v>501</v>
      </c>
      <c r="E12" s="11" t="s">
        <v>64</v>
      </c>
      <c r="F12" s="11" t="s">
        <v>502</v>
      </c>
      <c r="G12" s="11"/>
      <c r="H12" s="11" t="s">
        <v>66</v>
      </c>
      <c r="I12" s="11"/>
    </row>
    <row r="13" spans="1:9" ht="16" x14ac:dyDescent="0.2">
      <c r="A13" s="11" t="s">
        <v>503</v>
      </c>
      <c r="B13" s="11" t="s">
        <v>76</v>
      </c>
      <c r="C13" s="11" t="s">
        <v>504</v>
      </c>
      <c r="D13" s="11" t="s">
        <v>505</v>
      </c>
      <c r="E13" s="11" t="s">
        <v>79</v>
      </c>
      <c r="F13" s="11" t="s">
        <v>506</v>
      </c>
      <c r="G13" s="11" t="s">
        <v>507</v>
      </c>
      <c r="H13" s="11" t="s">
        <v>82</v>
      </c>
      <c r="I13" s="11"/>
    </row>
    <row r="14" spans="1:9" ht="16" x14ac:dyDescent="0.2">
      <c r="A14" s="11" t="s">
        <v>508</v>
      </c>
      <c r="B14" s="11" t="s">
        <v>61</v>
      </c>
      <c r="C14" s="11" t="s">
        <v>375</v>
      </c>
      <c r="D14" s="11" t="s">
        <v>509</v>
      </c>
      <c r="E14" s="11" t="s">
        <v>64</v>
      </c>
      <c r="F14" s="11" t="s">
        <v>510</v>
      </c>
      <c r="G14" s="11"/>
      <c r="H14" s="11" t="s">
        <v>66</v>
      </c>
      <c r="I14" s="11"/>
    </row>
    <row r="15" spans="1:9" ht="16" x14ac:dyDescent="0.2">
      <c r="A15" s="11" t="s">
        <v>511</v>
      </c>
      <c r="B15" s="11" t="s">
        <v>512</v>
      </c>
      <c r="C15" s="11" t="s">
        <v>375</v>
      </c>
      <c r="D15" s="11" t="s">
        <v>513</v>
      </c>
      <c r="E15" s="11" t="s">
        <v>64</v>
      </c>
      <c r="F15" s="11" t="s">
        <v>514</v>
      </c>
      <c r="G15" s="11"/>
      <c r="H15" s="11" t="s">
        <v>66</v>
      </c>
      <c r="I15" s="11"/>
    </row>
    <row r="16" spans="1:9" x14ac:dyDescent="0.2">
      <c r="A16" s="11"/>
      <c r="B16" s="11"/>
      <c r="C16" s="11"/>
      <c r="D16" s="11"/>
      <c r="E16" s="11"/>
      <c r="F16" s="11"/>
      <c r="G16" s="11"/>
      <c r="H16" s="11"/>
      <c r="I16" s="11"/>
    </row>
    <row r="17" spans="1:9" x14ac:dyDescent="0.2">
      <c r="A17" s="11"/>
      <c r="B17" s="11"/>
      <c r="C17" s="11"/>
      <c r="D17" s="11"/>
      <c r="E17" s="11"/>
      <c r="F17" s="11"/>
      <c r="G17" s="11"/>
      <c r="H17" s="11"/>
      <c r="I17" s="11"/>
    </row>
    <row r="18" spans="1:9" x14ac:dyDescent="0.2">
      <c r="A18" s="11"/>
      <c r="B18" s="11"/>
      <c r="C18" s="11"/>
      <c r="D18" s="11"/>
      <c r="E18" s="11"/>
      <c r="F18" s="11"/>
      <c r="G18" s="11"/>
      <c r="H18" s="11"/>
      <c r="I18" s="11"/>
    </row>
    <row r="19" spans="1:9" x14ac:dyDescent="0.2">
      <c r="A19" s="11"/>
      <c r="B19" s="11"/>
      <c r="C19" s="11"/>
      <c r="D19" s="11"/>
      <c r="E19" s="11"/>
      <c r="F19" s="11"/>
      <c r="G19" s="11"/>
      <c r="H19" s="11"/>
      <c r="I19" s="11"/>
    </row>
    <row r="20" spans="1:9" x14ac:dyDescent="0.2">
      <c r="A20" s="11"/>
      <c r="B20" s="11"/>
      <c r="C20" s="11"/>
      <c r="D20" s="11"/>
      <c r="E20" s="11"/>
      <c r="F20" s="11"/>
      <c r="G20" s="11"/>
      <c r="H20" s="11"/>
      <c r="I20" s="11"/>
    </row>
    <row r="21" spans="1:9" x14ac:dyDescent="0.2">
      <c r="A21" s="11"/>
      <c r="B21" s="11"/>
      <c r="C21" s="11"/>
      <c r="D21" s="11"/>
      <c r="E21" s="11"/>
      <c r="F21" s="11"/>
      <c r="G21" s="11"/>
      <c r="H21" s="11"/>
      <c r="I21" s="11"/>
    </row>
    <row r="22" spans="1:9" x14ac:dyDescent="0.2">
      <c r="A22" s="11"/>
      <c r="B22" s="11"/>
      <c r="C22" s="11"/>
      <c r="D22" s="11"/>
      <c r="E22" s="11"/>
      <c r="F22" s="11"/>
      <c r="G22" s="11"/>
      <c r="H22" s="11"/>
      <c r="I22" s="11"/>
    </row>
    <row r="23" spans="1:9" x14ac:dyDescent="0.2">
      <c r="A23" s="11"/>
      <c r="B23" s="11"/>
      <c r="C23" s="11"/>
      <c r="D23" s="11"/>
      <c r="E23" s="11"/>
      <c r="F23" s="11"/>
      <c r="G23" s="11"/>
      <c r="H23" s="11"/>
      <c r="I23" s="11"/>
    </row>
    <row r="24" spans="1:9" x14ac:dyDescent="0.2">
      <c r="A24" s="11"/>
      <c r="B24" s="11"/>
      <c r="C24" s="11"/>
      <c r="D24" s="11"/>
      <c r="E24" s="11"/>
      <c r="F24" s="11"/>
      <c r="G24" s="11"/>
      <c r="H24" s="11"/>
      <c r="I24" s="11"/>
    </row>
    <row r="25" spans="1:9" x14ac:dyDescent="0.2">
      <c r="A25" s="11"/>
      <c r="B25" s="11"/>
      <c r="C25" s="11"/>
      <c r="D25" s="11"/>
      <c r="E25" s="11"/>
      <c r="F25" s="11"/>
      <c r="G25" s="11"/>
      <c r="H25" s="11"/>
      <c r="I25" s="11"/>
    </row>
    <row r="26" spans="1:9" x14ac:dyDescent="0.2">
      <c r="A26" s="11"/>
      <c r="B26" s="11"/>
      <c r="C26" s="11"/>
      <c r="D26" s="11"/>
      <c r="E26" s="11"/>
      <c r="F26" s="11"/>
      <c r="G26" s="11"/>
      <c r="H26" s="11"/>
      <c r="I26" s="11"/>
    </row>
    <row r="27" spans="1:9" x14ac:dyDescent="0.2">
      <c r="A27" s="11"/>
      <c r="B27" s="11"/>
      <c r="C27" s="11"/>
      <c r="D27" s="11"/>
      <c r="E27" s="11"/>
      <c r="F27" s="11"/>
      <c r="G27" s="11"/>
      <c r="H27" s="11"/>
      <c r="I27" s="11"/>
    </row>
    <row r="28" spans="1:9" x14ac:dyDescent="0.2">
      <c r="A28" s="11"/>
      <c r="B28" s="11"/>
      <c r="C28" s="11"/>
      <c r="D28" s="11"/>
      <c r="E28" s="11"/>
      <c r="F28" s="11"/>
      <c r="G28" s="11"/>
      <c r="H28" s="11"/>
      <c r="I28" s="11"/>
    </row>
    <row r="29" spans="1:9" x14ac:dyDescent="0.2">
      <c r="A29" s="11"/>
      <c r="B29" s="11"/>
      <c r="C29" s="11"/>
      <c r="D29" s="11"/>
      <c r="E29" s="11"/>
      <c r="F29" s="11"/>
      <c r="G29" s="11"/>
      <c r="H29" s="11"/>
      <c r="I29" s="11"/>
    </row>
    <row r="30" spans="1:9" x14ac:dyDescent="0.2">
      <c r="A30" s="11"/>
      <c r="B30" s="11"/>
      <c r="C30" s="11"/>
      <c r="D30" s="11"/>
      <c r="E30" s="11"/>
      <c r="F30" s="11"/>
      <c r="G30" s="11"/>
      <c r="H30" s="11"/>
      <c r="I30" s="11"/>
    </row>
    <row r="32" spans="1:9" x14ac:dyDescent="0.2">
      <c r="A32" s="12" t="s">
        <v>127</v>
      </c>
    </row>
    <row r="33" spans="1:4" x14ac:dyDescent="0.2">
      <c r="A33" s="2" t="s">
        <v>515</v>
      </c>
      <c r="B33" s="18"/>
      <c r="C33" s="19"/>
      <c r="D33" s="20"/>
    </row>
    <row r="34" spans="1:4" x14ac:dyDescent="0.2">
      <c r="A34" s="2" t="s">
        <v>516</v>
      </c>
      <c r="B34" s="18"/>
      <c r="C34" s="19"/>
      <c r="D34" s="20"/>
    </row>
    <row r="35" spans="1:4" x14ac:dyDescent="0.2">
      <c r="A35" s="2" t="s">
        <v>517</v>
      </c>
      <c r="B35" s="18"/>
      <c r="C35" s="19"/>
      <c r="D35" s="20"/>
    </row>
    <row r="36" spans="1:4" x14ac:dyDescent="0.2">
      <c r="A36" s="2" t="s">
        <v>518</v>
      </c>
      <c r="B36" s="18"/>
      <c r="C36" s="19"/>
      <c r="D36" s="20"/>
    </row>
    <row r="37" spans="1:4" x14ac:dyDescent="0.2">
      <c r="A37" s="2" t="s">
        <v>519</v>
      </c>
      <c r="B37" s="18"/>
      <c r="C37" s="19"/>
      <c r="D37" s="20"/>
    </row>
    <row r="39" spans="1:4" x14ac:dyDescent="0.2">
      <c r="A39" s="12" t="s">
        <v>132</v>
      </c>
    </row>
    <row r="40" spans="1:4" x14ac:dyDescent="0.2">
      <c r="A40" s="2" t="s">
        <v>133</v>
      </c>
      <c r="B40" s="2" t="s">
        <v>134</v>
      </c>
      <c r="C40" s="2" t="s">
        <v>27</v>
      </c>
    </row>
    <row r="41" spans="1:4" x14ac:dyDescent="0.2">
      <c r="A41" t="s">
        <v>133</v>
      </c>
      <c r="B41" t="s">
        <v>520</v>
      </c>
      <c r="C41" s="3"/>
    </row>
    <row r="42" spans="1:4" x14ac:dyDescent="0.2">
      <c r="A42" t="s">
        <v>133</v>
      </c>
      <c r="B42" t="s">
        <v>521</v>
      </c>
      <c r="C42" s="3"/>
    </row>
    <row r="43" spans="1:4" x14ac:dyDescent="0.2">
      <c r="A43" t="s">
        <v>133</v>
      </c>
      <c r="B43" t="s">
        <v>522</v>
      </c>
      <c r="C43" s="3"/>
    </row>
    <row r="44" spans="1:4" x14ac:dyDescent="0.2">
      <c r="A44" t="s">
        <v>133</v>
      </c>
      <c r="B44" t="s">
        <v>523</v>
      </c>
      <c r="C44" s="3"/>
    </row>
    <row r="45" spans="1:4" x14ac:dyDescent="0.2">
      <c r="A45" t="s">
        <v>133</v>
      </c>
      <c r="B45" t="s">
        <v>524</v>
      </c>
      <c r="C45" s="3"/>
    </row>
    <row r="46" spans="1:4" x14ac:dyDescent="0.2">
      <c r="A46" t="s">
        <v>133</v>
      </c>
      <c r="B46" t="s">
        <v>525</v>
      </c>
      <c r="C46" s="3"/>
    </row>
    <row r="47" spans="1:4" x14ac:dyDescent="0.2">
      <c r="A47" t="s">
        <v>133</v>
      </c>
      <c r="B47" t="s">
        <v>526</v>
      </c>
      <c r="C47" s="3"/>
    </row>
    <row r="48" spans="1:4" x14ac:dyDescent="0.2">
      <c r="A48" t="s">
        <v>133</v>
      </c>
      <c r="B48" t="s">
        <v>527</v>
      </c>
      <c r="C48" s="3"/>
    </row>
    <row r="49" spans="1:8" x14ac:dyDescent="0.2">
      <c r="A49" t="s">
        <v>133</v>
      </c>
      <c r="B49" t="s">
        <v>528</v>
      </c>
      <c r="C49" s="3"/>
    </row>
    <row r="50" spans="1:8" x14ac:dyDescent="0.2">
      <c r="A50" t="s">
        <v>133</v>
      </c>
      <c r="B50" t="s">
        <v>529</v>
      </c>
      <c r="C50" s="3"/>
    </row>
    <row r="51" spans="1:8" x14ac:dyDescent="0.2">
      <c r="A51" s="2" t="s">
        <v>146</v>
      </c>
      <c r="B51" s="13" t="e">
        <f>COUNTIF(C41:C50,"Yes")/COUNTA(C41:C50)*100&amp;"%"</f>
        <v>#DIV/0!</v>
      </c>
    </row>
    <row r="53" spans="1:8" x14ac:dyDescent="0.2">
      <c r="A53" s="30" t="s">
        <v>147</v>
      </c>
      <c r="B53" s="17"/>
      <c r="C53" s="17"/>
      <c r="D53" s="17"/>
      <c r="E53" s="17"/>
      <c r="F53" s="17"/>
      <c r="G53" s="17"/>
      <c r="H53" s="17"/>
    </row>
    <row r="54" spans="1:8" x14ac:dyDescent="0.2">
      <c r="A54" s="2" t="s">
        <v>148</v>
      </c>
      <c r="B54" s="18"/>
      <c r="C54" s="19"/>
      <c r="D54" s="20"/>
    </row>
    <row r="55" spans="1:8" x14ac:dyDescent="0.2">
      <c r="A55" s="2" t="s">
        <v>149</v>
      </c>
      <c r="B55" s="18"/>
      <c r="C55" s="19"/>
      <c r="D55" s="20"/>
    </row>
    <row r="56" spans="1:8" x14ac:dyDescent="0.2">
      <c r="A56" s="2" t="s">
        <v>150</v>
      </c>
      <c r="B56" s="18"/>
      <c r="C56" s="19"/>
      <c r="D56" s="20"/>
    </row>
    <row r="57" spans="1:8" x14ac:dyDescent="0.2">
      <c r="A57" s="2" t="s">
        <v>151</v>
      </c>
      <c r="B57" s="18"/>
      <c r="C57" s="19"/>
      <c r="D57" s="20"/>
    </row>
    <row r="58" spans="1:8" x14ac:dyDescent="0.2">
      <c r="A58" s="2" t="s">
        <v>152</v>
      </c>
      <c r="B58" s="18"/>
      <c r="C58" s="19"/>
      <c r="D58" s="20"/>
    </row>
    <row r="59" spans="1:8" x14ac:dyDescent="0.2">
      <c r="A59" s="2" t="s">
        <v>153</v>
      </c>
      <c r="B59" s="18"/>
      <c r="C59" s="19"/>
      <c r="D59" s="20"/>
    </row>
    <row r="60" spans="1:8" x14ac:dyDescent="0.2">
      <c r="A60" s="2" t="s">
        <v>154</v>
      </c>
      <c r="B60" s="18"/>
      <c r="C60" s="19"/>
      <c r="D60" s="20"/>
    </row>
    <row r="61" spans="1:8" x14ac:dyDescent="0.2">
      <c r="A61" s="2" t="s">
        <v>155</v>
      </c>
      <c r="B61" s="18"/>
      <c r="C61" s="19"/>
      <c r="D61" s="20"/>
    </row>
    <row r="62" spans="1:8" x14ac:dyDescent="0.2">
      <c r="A62" s="2" t="s">
        <v>156</v>
      </c>
      <c r="B62" s="18"/>
      <c r="C62" s="19"/>
      <c r="D62" s="20"/>
    </row>
    <row r="63" spans="1:8" x14ac:dyDescent="0.2">
      <c r="A63" s="2" t="s">
        <v>157</v>
      </c>
      <c r="B63" s="18"/>
      <c r="C63" s="19"/>
      <c r="D63" s="20"/>
    </row>
    <row r="64" spans="1:8" x14ac:dyDescent="0.2">
      <c r="A64" s="2" t="s">
        <v>158</v>
      </c>
      <c r="B64" s="18"/>
      <c r="C64" s="19"/>
      <c r="D64" s="20"/>
    </row>
    <row r="65" spans="1:8" x14ac:dyDescent="0.2">
      <c r="A65" s="2" t="s">
        <v>159</v>
      </c>
      <c r="B65" s="18"/>
      <c r="C65" s="19"/>
      <c r="D65" s="20"/>
    </row>
    <row r="66" spans="1:8" x14ac:dyDescent="0.2">
      <c r="A66" s="2" t="s">
        <v>160</v>
      </c>
      <c r="B66" s="18"/>
      <c r="C66" s="19"/>
      <c r="D66" s="20"/>
    </row>
    <row r="68" spans="1:8" x14ac:dyDescent="0.2">
      <c r="A68" s="31" t="s">
        <v>161</v>
      </c>
      <c r="B68" s="17"/>
      <c r="C68" s="17"/>
      <c r="D68" s="17"/>
      <c r="E68" s="17"/>
      <c r="F68" s="17"/>
      <c r="G68" s="17"/>
      <c r="H68" s="17"/>
    </row>
    <row r="69" spans="1:8" x14ac:dyDescent="0.2">
      <c r="A69" s="21"/>
      <c r="B69" s="22"/>
      <c r="C69" s="22"/>
      <c r="D69" s="22"/>
      <c r="E69" s="22"/>
      <c r="F69" s="22"/>
      <c r="G69" s="22"/>
      <c r="H69" s="23"/>
    </row>
    <row r="70" spans="1:8" x14ac:dyDescent="0.2">
      <c r="A70" s="24"/>
      <c r="B70" s="17"/>
      <c r="C70" s="17"/>
      <c r="D70" s="17"/>
      <c r="E70" s="17"/>
      <c r="F70" s="17"/>
      <c r="G70" s="17"/>
      <c r="H70" s="25"/>
    </row>
    <row r="71" spans="1:8" x14ac:dyDescent="0.2">
      <c r="A71" s="24"/>
      <c r="B71" s="17"/>
      <c r="C71" s="17"/>
      <c r="D71" s="17"/>
      <c r="E71" s="17"/>
      <c r="F71" s="17"/>
      <c r="G71" s="17"/>
      <c r="H71" s="25"/>
    </row>
    <row r="72" spans="1:8" x14ac:dyDescent="0.2">
      <c r="A72" s="24"/>
      <c r="B72" s="17"/>
      <c r="C72" s="17"/>
      <c r="D72" s="17"/>
      <c r="E72" s="17"/>
      <c r="F72" s="17"/>
      <c r="G72" s="17"/>
      <c r="H72" s="25"/>
    </row>
    <row r="73" spans="1:8" x14ac:dyDescent="0.2">
      <c r="A73" s="24"/>
      <c r="B73" s="17"/>
      <c r="C73" s="17"/>
      <c r="D73" s="17"/>
      <c r="E73" s="17"/>
      <c r="F73" s="17"/>
      <c r="G73" s="17"/>
      <c r="H73" s="25"/>
    </row>
    <row r="74" spans="1:8" x14ac:dyDescent="0.2">
      <c r="A74" s="26"/>
      <c r="B74" s="27"/>
      <c r="C74" s="27"/>
      <c r="D74" s="27"/>
      <c r="E74" s="27"/>
      <c r="F74" s="27"/>
      <c r="G74" s="27"/>
      <c r="H74" s="28"/>
    </row>
  </sheetData>
  <mergeCells count="23">
    <mergeCell ref="A68:H68"/>
    <mergeCell ref="B54:D54"/>
    <mergeCell ref="B59:D59"/>
    <mergeCell ref="A53:H53"/>
    <mergeCell ref="B66:D66"/>
    <mergeCell ref="B56:D56"/>
    <mergeCell ref="B58:D58"/>
    <mergeCell ref="B60:D60"/>
    <mergeCell ref="A69:H74"/>
    <mergeCell ref="B61:D61"/>
    <mergeCell ref="B57:D57"/>
    <mergeCell ref="A1:H1"/>
    <mergeCell ref="B34:D34"/>
    <mergeCell ref="B37:D37"/>
    <mergeCell ref="B65:D65"/>
    <mergeCell ref="B55:D55"/>
    <mergeCell ref="B64:D64"/>
    <mergeCell ref="B33:D33"/>
    <mergeCell ref="A3:H3"/>
    <mergeCell ref="B36:D36"/>
    <mergeCell ref="B63:D63"/>
    <mergeCell ref="B35:D35"/>
    <mergeCell ref="B62:D62"/>
  </mergeCells>
  <dataValidations count="9">
    <dataValidation type="list" sqref="B4" xr:uid="{00000000-0002-0000-0900-000000000000}">
      <formula1>"Yes,No,Not Applicable"</formula1>
    </dataValidation>
    <dataValidation type="list" sqref="F8 F9 F10 F11 F12 F13 F14 F15 F16 F17 F18 F19 F20 F21 F22 F23 F24 F25 F26 F27 F28 F29 F30" xr:uid="{00000000-0002-0000-0900-000001000000}">
      <formula1>"✅ Compliant,⚠️ Partial,❌ Non-Compliant,N/A"</formula1>
    </dataValidation>
    <dataValidation type="list" sqref="I8:I30 B56 B54" xr:uid="{00000000-0002-0000-0900-000002000000}">
      <formula1>"Yes,No"</formula1>
    </dataValidation>
    <dataValidation type="list" sqref="B34" xr:uid="{00000000-0002-0000-0900-000003000000}">
      <formula1>"OAuth 2.0,API keys,Mutual TLS,JWT,Basic auth,None"</formula1>
    </dataValidation>
    <dataValidation type="list" sqref="B35" xr:uid="{00000000-0002-0000-0900-000004000000}">
      <formula1>"≥256 bits,&lt;256 bits,Unknown"</formula1>
    </dataValidation>
    <dataValidation type="list" sqref="B36" xr:uid="{00000000-0002-0000-0900-000005000000}">
      <formula1>"Automated (90 days),Manual,No rotation"</formula1>
    </dataValidation>
    <dataValidation type="list" sqref="B37" xr:uid="{00000000-0002-0000-0900-000006000000}">
      <formula1>"Secrets manager,Environment variables,Code (prohibited),Config files"</formula1>
    </dataValidation>
    <dataValidation type="list" sqref="C41:C50" xr:uid="{00000000-0002-0000-0900-000007000000}">
      <formula1>"Yes,No,N/A"</formula1>
    </dataValidation>
    <dataValidation type="list" sqref="B66" xr:uid="{00000000-0002-0000-0900-000013000000}">
      <formula1>"Yes,No,Unknown"</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5"/>
  <sheetViews>
    <sheetView workbookViewId="0">
      <pane ySplit="6" topLeftCell="A7" activePane="bottomLeft" state="frozen"/>
      <selection pane="bottomLeft"/>
    </sheetView>
  </sheetViews>
  <sheetFormatPr baseColWidth="10" defaultColWidth="8.83203125" defaultRowHeight="15" x14ac:dyDescent="0.2"/>
  <cols>
    <col min="1" max="1" width="25" customWidth="1"/>
    <col min="2" max="2" width="22" customWidth="1"/>
    <col min="3" max="3" width="20" customWidth="1"/>
    <col min="4" max="4" width="15" customWidth="1"/>
    <col min="5" max="6" width="30" customWidth="1"/>
    <col min="7" max="7" width="16" customWidth="1"/>
  </cols>
  <sheetData>
    <row r="1" spans="1:8" ht="40" customHeight="1" x14ac:dyDescent="0.2">
      <c r="A1" s="16" t="s">
        <v>530</v>
      </c>
      <c r="B1" s="17"/>
      <c r="C1" s="17"/>
      <c r="D1" s="17"/>
      <c r="E1" s="17"/>
      <c r="F1" s="17"/>
      <c r="G1" s="17"/>
      <c r="H1" s="17"/>
    </row>
    <row r="3" spans="1:8" ht="30" customHeight="1" x14ac:dyDescent="0.2">
      <c r="A3" s="29" t="s">
        <v>531</v>
      </c>
      <c r="B3" s="17"/>
      <c r="C3" s="17"/>
      <c r="D3" s="17"/>
      <c r="E3" s="17"/>
      <c r="F3" s="17"/>
      <c r="G3" s="17"/>
      <c r="H3" s="17"/>
    </row>
    <row r="4" spans="1:8" x14ac:dyDescent="0.2">
      <c r="A4" s="2" t="s">
        <v>51</v>
      </c>
      <c r="B4" s="3"/>
    </row>
    <row r="6" spans="1:8" x14ac:dyDescent="0.2">
      <c r="A6" s="4" t="s">
        <v>532</v>
      </c>
      <c r="B6" s="4" t="s">
        <v>533</v>
      </c>
      <c r="C6" s="4" t="s">
        <v>534</v>
      </c>
      <c r="D6" s="4" t="s">
        <v>27</v>
      </c>
      <c r="E6" s="4" t="s">
        <v>56</v>
      </c>
      <c r="F6" s="4" t="s">
        <v>57</v>
      </c>
      <c r="G6" s="4" t="s">
        <v>58</v>
      </c>
    </row>
    <row r="7" spans="1:8" ht="32" x14ac:dyDescent="0.2">
      <c r="A7" s="10" t="s">
        <v>59</v>
      </c>
      <c r="B7" s="10"/>
      <c r="C7" s="10"/>
      <c r="D7" s="10"/>
      <c r="E7" s="10"/>
      <c r="F7" s="10"/>
      <c r="G7" s="10"/>
    </row>
    <row r="8" spans="1:8" ht="32" x14ac:dyDescent="0.2">
      <c r="A8" s="11" t="s">
        <v>535</v>
      </c>
      <c r="B8" s="11" t="s">
        <v>536</v>
      </c>
      <c r="C8" s="11" t="s">
        <v>375</v>
      </c>
      <c r="D8" s="11" t="s">
        <v>537</v>
      </c>
      <c r="E8" s="11" t="s">
        <v>64</v>
      </c>
      <c r="F8" s="11" t="s">
        <v>538</v>
      </c>
      <c r="G8" s="11"/>
      <c r="H8" t="s">
        <v>66</v>
      </c>
    </row>
    <row r="9" spans="1:8" ht="32" x14ac:dyDescent="0.2">
      <c r="A9" s="11" t="s">
        <v>539</v>
      </c>
      <c r="B9" s="11" t="s">
        <v>61</v>
      </c>
      <c r="C9" s="11" t="s">
        <v>448</v>
      </c>
      <c r="D9" s="11" t="s">
        <v>540</v>
      </c>
      <c r="E9" s="11" t="s">
        <v>64</v>
      </c>
      <c r="F9" s="11" t="s">
        <v>541</v>
      </c>
      <c r="G9" s="11"/>
      <c r="H9" t="s">
        <v>66</v>
      </c>
    </row>
    <row r="10" spans="1:8" ht="16" x14ac:dyDescent="0.2">
      <c r="A10" s="11" t="s">
        <v>542</v>
      </c>
      <c r="B10" s="11" t="s">
        <v>543</v>
      </c>
      <c r="C10" s="11" t="s">
        <v>448</v>
      </c>
      <c r="D10" s="11" t="s">
        <v>544</v>
      </c>
      <c r="E10" s="11" t="s">
        <v>64</v>
      </c>
      <c r="F10" s="11" t="s">
        <v>545</v>
      </c>
      <c r="G10" s="11"/>
      <c r="H10" t="s">
        <v>66</v>
      </c>
    </row>
    <row r="11" spans="1:8" ht="16" x14ac:dyDescent="0.2">
      <c r="A11" s="11" t="s">
        <v>546</v>
      </c>
      <c r="B11" s="11" t="s">
        <v>547</v>
      </c>
      <c r="C11" s="11" t="s">
        <v>375</v>
      </c>
      <c r="D11" s="11" t="s">
        <v>548</v>
      </c>
      <c r="E11" s="11" t="s">
        <v>64</v>
      </c>
      <c r="F11" s="11" t="s">
        <v>549</v>
      </c>
      <c r="G11" s="11"/>
      <c r="H11" t="s">
        <v>66</v>
      </c>
    </row>
    <row r="12" spans="1:8" ht="16" x14ac:dyDescent="0.2">
      <c r="A12" s="11" t="s">
        <v>550</v>
      </c>
      <c r="B12" s="11" t="s">
        <v>61</v>
      </c>
      <c r="C12" s="11" t="s">
        <v>375</v>
      </c>
      <c r="D12" s="11" t="s">
        <v>551</v>
      </c>
      <c r="E12" s="11" t="s">
        <v>64</v>
      </c>
      <c r="F12" s="11" t="s">
        <v>552</v>
      </c>
      <c r="G12" s="11"/>
      <c r="H12" t="s">
        <v>66</v>
      </c>
    </row>
    <row r="13" spans="1:8" ht="32" x14ac:dyDescent="0.2">
      <c r="A13" s="11" t="s">
        <v>553</v>
      </c>
      <c r="B13" s="11" t="s">
        <v>554</v>
      </c>
      <c r="C13" s="11" t="s">
        <v>555</v>
      </c>
      <c r="D13" s="11" t="s">
        <v>368</v>
      </c>
      <c r="E13" s="11" t="s">
        <v>79</v>
      </c>
      <c r="F13" s="11" t="s">
        <v>556</v>
      </c>
      <c r="G13" s="11" t="s">
        <v>557</v>
      </c>
      <c r="H13" t="s">
        <v>82</v>
      </c>
    </row>
    <row r="14" spans="1:8" ht="16" x14ac:dyDescent="0.2">
      <c r="A14" s="11" t="s">
        <v>558</v>
      </c>
      <c r="B14" s="11" t="s">
        <v>559</v>
      </c>
      <c r="C14" s="11" t="s">
        <v>375</v>
      </c>
      <c r="D14" s="11" t="s">
        <v>560</v>
      </c>
      <c r="E14" s="11" t="s">
        <v>64</v>
      </c>
      <c r="F14" s="11" t="s">
        <v>561</v>
      </c>
      <c r="G14" s="11"/>
      <c r="H14" t="s">
        <v>66</v>
      </c>
    </row>
    <row r="15" spans="1:8" ht="16" x14ac:dyDescent="0.2">
      <c r="A15" s="11" t="s">
        <v>562</v>
      </c>
      <c r="B15" s="11" t="s">
        <v>61</v>
      </c>
      <c r="C15" s="11" t="s">
        <v>448</v>
      </c>
      <c r="D15" s="11" t="s">
        <v>563</v>
      </c>
      <c r="E15" s="11" t="s">
        <v>64</v>
      </c>
      <c r="F15" s="11" t="s">
        <v>564</v>
      </c>
      <c r="G15" s="11"/>
      <c r="H15" t="s">
        <v>66</v>
      </c>
    </row>
    <row r="16" spans="1:8" ht="32" x14ac:dyDescent="0.2">
      <c r="A16" s="11" t="s">
        <v>565</v>
      </c>
      <c r="B16" s="11" t="s">
        <v>61</v>
      </c>
      <c r="C16" s="11" t="s">
        <v>448</v>
      </c>
      <c r="D16" s="11" t="s">
        <v>537</v>
      </c>
      <c r="E16" s="11" t="s">
        <v>64</v>
      </c>
      <c r="F16" s="11" t="s">
        <v>566</v>
      </c>
      <c r="G16" s="11"/>
      <c r="H16" t="s">
        <v>66</v>
      </c>
    </row>
    <row r="17" spans="1:8" ht="16" x14ac:dyDescent="0.2">
      <c r="A17" s="11" t="s">
        <v>567</v>
      </c>
      <c r="B17" s="11" t="s">
        <v>568</v>
      </c>
      <c r="C17" s="11" t="s">
        <v>375</v>
      </c>
      <c r="D17" s="11" t="s">
        <v>569</v>
      </c>
      <c r="E17" s="11" t="s">
        <v>64</v>
      </c>
      <c r="F17" s="11" t="s">
        <v>326</v>
      </c>
      <c r="G17" s="11"/>
      <c r="H17" t="s">
        <v>66</v>
      </c>
    </row>
    <row r="18" spans="1:8" x14ac:dyDescent="0.2">
      <c r="A18" s="11"/>
      <c r="B18" s="11"/>
      <c r="C18" s="11"/>
      <c r="D18" s="11"/>
      <c r="E18" s="11"/>
      <c r="F18" s="11"/>
      <c r="G18" s="11"/>
    </row>
    <row r="19" spans="1:8" x14ac:dyDescent="0.2">
      <c r="A19" s="11"/>
      <c r="B19" s="11"/>
      <c r="C19" s="11"/>
      <c r="D19" s="11"/>
      <c r="E19" s="11"/>
      <c r="F19" s="11"/>
      <c r="G19" s="11"/>
    </row>
    <row r="20" spans="1:8" x14ac:dyDescent="0.2">
      <c r="A20" s="11"/>
      <c r="B20" s="11"/>
      <c r="C20" s="11"/>
      <c r="D20" s="11"/>
      <c r="E20" s="11"/>
      <c r="F20" s="11"/>
      <c r="G20" s="11"/>
    </row>
    <row r="21" spans="1:8" x14ac:dyDescent="0.2">
      <c r="A21" s="11"/>
      <c r="B21" s="11"/>
      <c r="C21" s="11"/>
      <c r="D21" s="11"/>
      <c r="E21" s="11"/>
      <c r="F21" s="11"/>
      <c r="G21" s="11"/>
    </row>
    <row r="22" spans="1:8" x14ac:dyDescent="0.2">
      <c r="A22" s="11"/>
      <c r="B22" s="11"/>
      <c r="C22" s="11"/>
      <c r="D22" s="11"/>
      <c r="E22" s="11"/>
      <c r="F22" s="11"/>
      <c r="G22" s="11"/>
    </row>
    <row r="23" spans="1:8" x14ac:dyDescent="0.2">
      <c r="A23" s="11"/>
      <c r="B23" s="11"/>
      <c r="C23" s="11"/>
      <c r="D23" s="11"/>
      <c r="E23" s="11"/>
      <c r="F23" s="11"/>
      <c r="G23" s="11"/>
    </row>
    <row r="24" spans="1:8" x14ac:dyDescent="0.2">
      <c r="A24" s="11"/>
      <c r="B24" s="11"/>
      <c r="C24" s="11"/>
      <c r="D24" s="11"/>
      <c r="E24" s="11"/>
      <c r="F24" s="11"/>
      <c r="G24" s="11"/>
    </row>
    <row r="25" spans="1:8" x14ac:dyDescent="0.2">
      <c r="A25" s="11"/>
      <c r="B25" s="11"/>
      <c r="C25" s="11"/>
      <c r="D25" s="11"/>
      <c r="E25" s="11"/>
      <c r="F25" s="11"/>
      <c r="G25" s="11"/>
    </row>
    <row r="26" spans="1:8" x14ac:dyDescent="0.2">
      <c r="A26" s="11"/>
      <c r="B26" s="11"/>
      <c r="C26" s="11"/>
      <c r="D26" s="11"/>
      <c r="E26" s="11"/>
      <c r="F26" s="11"/>
      <c r="G26" s="11"/>
    </row>
    <row r="27" spans="1:8" x14ac:dyDescent="0.2">
      <c r="A27" s="11"/>
      <c r="B27" s="11"/>
      <c r="C27" s="11"/>
      <c r="D27" s="11"/>
      <c r="E27" s="11"/>
      <c r="F27" s="11"/>
      <c r="G27" s="11"/>
    </row>
    <row r="28" spans="1:8" x14ac:dyDescent="0.2">
      <c r="A28" s="11"/>
      <c r="B28" s="11"/>
      <c r="C28" s="11"/>
      <c r="D28" s="11"/>
      <c r="E28" s="11"/>
      <c r="F28" s="11"/>
      <c r="G28" s="11"/>
    </row>
    <row r="29" spans="1:8" x14ac:dyDescent="0.2">
      <c r="A29" s="11"/>
      <c r="B29" s="11"/>
      <c r="C29" s="11"/>
      <c r="D29" s="11"/>
      <c r="E29" s="11"/>
      <c r="F29" s="11"/>
      <c r="G29" s="11"/>
    </row>
    <row r="30" spans="1:8" x14ac:dyDescent="0.2">
      <c r="A30" s="11"/>
      <c r="B30" s="11"/>
      <c r="C30" s="11"/>
      <c r="D30" s="11"/>
      <c r="E30" s="11"/>
      <c r="F30" s="11"/>
      <c r="G30" s="11"/>
    </row>
    <row r="32" spans="1:8" x14ac:dyDescent="0.2">
      <c r="A32" s="12" t="s">
        <v>127</v>
      </c>
    </row>
    <row r="33" spans="1:8" x14ac:dyDescent="0.2">
      <c r="A33" s="2" t="s">
        <v>570</v>
      </c>
      <c r="B33" s="18"/>
      <c r="C33" s="19"/>
      <c r="D33" s="20"/>
    </row>
    <row r="34" spans="1:8" x14ac:dyDescent="0.2">
      <c r="A34" s="2" t="s">
        <v>571</v>
      </c>
      <c r="B34" s="18"/>
      <c r="C34" s="19"/>
      <c r="D34" s="20"/>
    </row>
    <row r="36" spans="1:8" x14ac:dyDescent="0.2">
      <c r="A36" s="12" t="s">
        <v>132</v>
      </c>
    </row>
    <row r="37" spans="1:8" x14ac:dyDescent="0.2">
      <c r="A37" s="2" t="s">
        <v>133</v>
      </c>
      <c r="B37" s="2" t="s">
        <v>134</v>
      </c>
      <c r="C37" s="2" t="s">
        <v>27</v>
      </c>
    </row>
    <row r="38" spans="1:8" x14ac:dyDescent="0.2">
      <c r="A38" t="s">
        <v>133</v>
      </c>
      <c r="B38" t="s">
        <v>572</v>
      </c>
      <c r="C38" s="3"/>
    </row>
    <row r="39" spans="1:8" x14ac:dyDescent="0.2">
      <c r="A39" t="s">
        <v>133</v>
      </c>
      <c r="B39" t="s">
        <v>573</v>
      </c>
      <c r="C39" s="3"/>
    </row>
    <row r="40" spans="1:8" x14ac:dyDescent="0.2">
      <c r="A40" t="s">
        <v>133</v>
      </c>
      <c r="B40" t="s">
        <v>574</v>
      </c>
      <c r="C40" s="3"/>
    </row>
    <row r="41" spans="1:8" x14ac:dyDescent="0.2">
      <c r="A41" t="s">
        <v>133</v>
      </c>
      <c r="B41" t="s">
        <v>575</v>
      </c>
      <c r="C41" s="3"/>
    </row>
    <row r="42" spans="1:8" x14ac:dyDescent="0.2">
      <c r="A42" s="2" t="s">
        <v>146</v>
      </c>
      <c r="B42" s="13" t="e">
        <f>COUNTIF(C38:C41,"Yes")/COUNTA(C38:C41)*100&amp;"%"</f>
        <v>#DIV/0!</v>
      </c>
    </row>
    <row r="44" spans="1:8" x14ac:dyDescent="0.2">
      <c r="A44" s="30" t="s">
        <v>147</v>
      </c>
      <c r="B44" s="17"/>
      <c r="C44" s="17"/>
      <c r="D44" s="17"/>
      <c r="E44" s="17"/>
      <c r="F44" s="17"/>
      <c r="G44" s="17"/>
      <c r="H44" s="17"/>
    </row>
    <row r="45" spans="1:8" x14ac:dyDescent="0.2">
      <c r="A45" s="2" t="s">
        <v>148</v>
      </c>
      <c r="B45" s="18"/>
      <c r="C45" s="19"/>
      <c r="D45" s="20"/>
    </row>
    <row r="46" spans="1:8" x14ac:dyDescent="0.2">
      <c r="A46" s="2" t="s">
        <v>149</v>
      </c>
      <c r="B46" s="18"/>
      <c r="C46" s="19"/>
      <c r="D46" s="20"/>
    </row>
    <row r="47" spans="1:8" x14ac:dyDescent="0.2">
      <c r="A47" s="2" t="s">
        <v>150</v>
      </c>
      <c r="B47" s="18"/>
      <c r="C47" s="19"/>
      <c r="D47" s="20"/>
    </row>
    <row r="48" spans="1:8" x14ac:dyDescent="0.2">
      <c r="A48" s="2" t="s">
        <v>151</v>
      </c>
      <c r="B48" s="18"/>
      <c r="C48" s="19"/>
      <c r="D48" s="20"/>
    </row>
    <row r="49" spans="1:8" x14ac:dyDescent="0.2">
      <c r="A49" s="2" t="s">
        <v>152</v>
      </c>
      <c r="B49" s="18"/>
      <c r="C49" s="19"/>
      <c r="D49" s="20"/>
    </row>
    <row r="50" spans="1:8" x14ac:dyDescent="0.2">
      <c r="A50" s="2" t="s">
        <v>153</v>
      </c>
      <c r="B50" s="18"/>
      <c r="C50" s="19"/>
      <c r="D50" s="20"/>
    </row>
    <row r="51" spans="1:8" x14ac:dyDescent="0.2">
      <c r="A51" s="2" t="s">
        <v>154</v>
      </c>
      <c r="B51" s="18"/>
      <c r="C51" s="19"/>
      <c r="D51" s="20"/>
    </row>
    <row r="52" spans="1:8" x14ac:dyDescent="0.2">
      <c r="A52" s="2" t="s">
        <v>155</v>
      </c>
      <c r="B52" s="18"/>
      <c r="C52" s="19"/>
      <c r="D52" s="20"/>
    </row>
    <row r="53" spans="1:8" x14ac:dyDescent="0.2">
      <c r="A53" s="2" t="s">
        <v>156</v>
      </c>
      <c r="B53" s="18"/>
      <c r="C53" s="19"/>
      <c r="D53" s="20"/>
    </row>
    <row r="54" spans="1:8" x14ac:dyDescent="0.2">
      <c r="A54" s="2" t="s">
        <v>157</v>
      </c>
      <c r="B54" s="18"/>
      <c r="C54" s="19"/>
      <c r="D54" s="20"/>
    </row>
    <row r="55" spans="1:8" x14ac:dyDescent="0.2">
      <c r="A55" s="2" t="s">
        <v>158</v>
      </c>
      <c r="B55" s="18"/>
      <c r="C55" s="19"/>
      <c r="D55" s="20"/>
    </row>
    <row r="56" spans="1:8" x14ac:dyDescent="0.2">
      <c r="A56" s="2" t="s">
        <v>159</v>
      </c>
      <c r="B56" s="18"/>
      <c r="C56" s="19"/>
      <c r="D56" s="20"/>
    </row>
    <row r="57" spans="1:8" x14ac:dyDescent="0.2">
      <c r="A57" s="2" t="s">
        <v>160</v>
      </c>
      <c r="B57" s="18"/>
      <c r="C57" s="19"/>
      <c r="D57" s="20"/>
    </row>
    <row r="59" spans="1:8" x14ac:dyDescent="0.2">
      <c r="A59" s="31" t="s">
        <v>161</v>
      </c>
      <c r="B59" s="17"/>
      <c r="C59" s="17"/>
      <c r="D59" s="17"/>
      <c r="E59" s="17"/>
      <c r="F59" s="17"/>
      <c r="G59" s="17"/>
      <c r="H59" s="17"/>
    </row>
    <row r="60" spans="1:8" x14ac:dyDescent="0.2">
      <c r="A60" s="21"/>
      <c r="B60" s="22"/>
      <c r="C60" s="22"/>
      <c r="D60" s="22"/>
      <c r="E60" s="22"/>
      <c r="F60" s="22"/>
      <c r="G60" s="22"/>
      <c r="H60" s="23"/>
    </row>
    <row r="61" spans="1:8" x14ac:dyDescent="0.2">
      <c r="A61" s="24"/>
      <c r="B61" s="17"/>
      <c r="C61" s="17"/>
      <c r="D61" s="17"/>
      <c r="E61" s="17"/>
      <c r="F61" s="17"/>
      <c r="G61" s="17"/>
      <c r="H61" s="25"/>
    </row>
    <row r="62" spans="1:8" x14ac:dyDescent="0.2">
      <c r="A62" s="24"/>
      <c r="B62" s="17"/>
      <c r="C62" s="17"/>
      <c r="D62" s="17"/>
      <c r="E62" s="17"/>
      <c r="F62" s="17"/>
      <c r="G62" s="17"/>
      <c r="H62" s="25"/>
    </row>
    <row r="63" spans="1:8" x14ac:dyDescent="0.2">
      <c r="A63" s="24"/>
      <c r="B63" s="17"/>
      <c r="C63" s="17"/>
      <c r="D63" s="17"/>
      <c r="E63" s="17"/>
      <c r="F63" s="17"/>
      <c r="G63" s="17"/>
      <c r="H63" s="25"/>
    </row>
    <row r="64" spans="1:8" x14ac:dyDescent="0.2">
      <c r="A64" s="24"/>
      <c r="B64" s="17"/>
      <c r="C64" s="17"/>
      <c r="D64" s="17"/>
      <c r="E64" s="17"/>
      <c r="F64" s="17"/>
      <c r="G64" s="17"/>
      <c r="H64" s="25"/>
    </row>
    <row r="65" spans="1:8" x14ac:dyDescent="0.2">
      <c r="A65" s="26"/>
      <c r="B65" s="27"/>
      <c r="C65" s="27"/>
      <c r="D65" s="27"/>
      <c r="E65" s="27"/>
      <c r="F65" s="27"/>
      <c r="G65" s="27"/>
      <c r="H65" s="28"/>
    </row>
  </sheetData>
  <mergeCells count="20">
    <mergeCell ref="A60:H65"/>
    <mergeCell ref="B56:D56"/>
    <mergeCell ref="B52:D52"/>
    <mergeCell ref="A44:H44"/>
    <mergeCell ref="B48:D48"/>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s>
  <dataValidations count="7">
    <dataValidation type="list" sqref="B4" xr:uid="{00000000-0002-0000-0A00-000000000000}">
      <formula1>"Yes,No,Not Applicable"</formula1>
    </dataValidation>
    <dataValidation type="list" sqref="D8 D9 D10 D11 D12 D13 D14 D15 D16 D17 D18 D19 D20 D21 D22 D23 D24 D25 D26 D27 D28 D29 D30" xr:uid="{00000000-0002-0000-0A00-000001000000}">
      <formula1>"✅ Compliant,⚠️ Partial,❌ Non-Compliant,N/A"</formula1>
    </dataValidation>
    <dataValidation type="list" sqref="G8:G30 B47 B45" xr:uid="{00000000-0002-0000-0A00-000002000000}">
      <formula1>"Yes,No"</formula1>
    </dataValidation>
    <dataValidation type="list" sqref="B33" xr:uid="{00000000-0002-0000-0A00-000003000000}">
      <formula1>"PostgreSQL,MySQL,MSSQL,Oracle,MongoDB,Other"</formula1>
    </dataValidation>
    <dataValidation type="list" sqref="B34" xr:uid="{00000000-0002-0000-0A00-000004000000}">
      <formula1>"Yes,No,Mixed"</formula1>
    </dataValidation>
    <dataValidation type="list" sqref="C38:C41" xr:uid="{00000000-0002-0000-0A00-000005000000}">
      <formula1>"Yes,No,N/A"</formula1>
    </dataValidation>
    <dataValidation type="list" sqref="B57" xr:uid="{00000000-0002-0000-0A00-00000B000000}">
      <formula1>"Yes,No,Unknown"</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9"/>
  <sheetViews>
    <sheetView workbookViewId="0">
      <pane ySplit="6" topLeftCell="A7" activePane="bottomLeft" state="frozen"/>
      <selection pane="bottomLeft"/>
    </sheetView>
  </sheetViews>
  <sheetFormatPr baseColWidth="10" defaultColWidth="8.83203125" defaultRowHeight="15" x14ac:dyDescent="0.2"/>
  <cols>
    <col min="1" max="1" width="25" customWidth="1"/>
    <col min="2" max="2" width="20" customWidth="1"/>
    <col min="3" max="3" width="22" customWidth="1"/>
    <col min="4" max="4" width="15" customWidth="1"/>
    <col min="5" max="6" width="30" customWidth="1"/>
    <col min="7" max="7" width="16" customWidth="1"/>
  </cols>
  <sheetData>
    <row r="1" spans="1:8" ht="40" customHeight="1" x14ac:dyDescent="0.2">
      <c r="A1" s="16" t="s">
        <v>576</v>
      </c>
      <c r="B1" s="17"/>
      <c r="C1" s="17"/>
      <c r="D1" s="17"/>
      <c r="E1" s="17"/>
      <c r="F1" s="17"/>
      <c r="G1" s="17"/>
      <c r="H1" s="17"/>
    </row>
    <row r="3" spans="1:8" ht="30" customHeight="1" x14ac:dyDescent="0.2">
      <c r="A3" s="29" t="s">
        <v>577</v>
      </c>
      <c r="B3" s="17"/>
      <c r="C3" s="17"/>
      <c r="D3" s="17"/>
      <c r="E3" s="17"/>
      <c r="F3" s="17"/>
      <c r="G3" s="17"/>
      <c r="H3" s="17"/>
    </row>
    <row r="4" spans="1:8" x14ac:dyDescent="0.2">
      <c r="A4" s="2" t="s">
        <v>51</v>
      </c>
      <c r="B4" s="3"/>
    </row>
    <row r="6" spans="1:8" x14ac:dyDescent="0.2">
      <c r="A6" s="4" t="s">
        <v>578</v>
      </c>
      <c r="B6" s="4" t="s">
        <v>579</v>
      </c>
      <c r="C6" s="4" t="s">
        <v>299</v>
      </c>
      <c r="D6" s="4" t="s">
        <v>27</v>
      </c>
      <c r="E6" s="4" t="s">
        <v>56</v>
      </c>
      <c r="F6" s="4" t="s">
        <v>57</v>
      </c>
      <c r="G6" s="4" t="s">
        <v>58</v>
      </c>
    </row>
    <row r="7" spans="1:8" ht="32" x14ac:dyDescent="0.2">
      <c r="A7" s="10" t="s">
        <v>59</v>
      </c>
      <c r="B7" s="10"/>
      <c r="C7" s="10"/>
      <c r="D7" s="10"/>
      <c r="E7" s="10"/>
      <c r="F7" s="10"/>
      <c r="G7" s="10"/>
    </row>
    <row r="8" spans="1:8" ht="32" x14ac:dyDescent="0.2">
      <c r="A8" s="11" t="s">
        <v>580</v>
      </c>
      <c r="B8" s="11" t="s">
        <v>581</v>
      </c>
      <c r="C8" s="11" t="s">
        <v>582</v>
      </c>
      <c r="D8" s="11" t="s">
        <v>583</v>
      </c>
      <c r="E8" s="11" t="s">
        <v>64</v>
      </c>
      <c r="F8" s="11" t="s">
        <v>584</v>
      </c>
      <c r="G8" s="11"/>
      <c r="H8" t="s">
        <v>66</v>
      </c>
    </row>
    <row r="9" spans="1:8" ht="16" x14ac:dyDescent="0.2">
      <c r="A9" s="11" t="s">
        <v>585</v>
      </c>
      <c r="B9" s="11" t="s">
        <v>586</v>
      </c>
      <c r="C9" s="11" t="s">
        <v>448</v>
      </c>
      <c r="D9" s="11" t="s">
        <v>587</v>
      </c>
      <c r="E9" s="11" t="s">
        <v>64</v>
      </c>
      <c r="F9" s="11" t="s">
        <v>588</v>
      </c>
      <c r="G9" s="11"/>
      <c r="H9" t="s">
        <v>66</v>
      </c>
    </row>
    <row r="10" spans="1:8" ht="16" x14ac:dyDescent="0.2">
      <c r="A10" s="11" t="s">
        <v>589</v>
      </c>
      <c r="B10" s="11" t="s">
        <v>590</v>
      </c>
      <c r="C10" s="11" t="s">
        <v>582</v>
      </c>
      <c r="D10" s="11" t="s">
        <v>591</v>
      </c>
      <c r="E10" s="11" t="s">
        <v>79</v>
      </c>
      <c r="F10" s="11" t="s">
        <v>592</v>
      </c>
      <c r="G10" s="11" t="s">
        <v>593</v>
      </c>
      <c r="H10" t="s">
        <v>82</v>
      </c>
    </row>
    <row r="11" spans="1:8" ht="16" x14ac:dyDescent="0.2">
      <c r="A11" s="11" t="s">
        <v>594</v>
      </c>
      <c r="B11" s="11" t="s">
        <v>581</v>
      </c>
      <c r="C11" s="11" t="s">
        <v>582</v>
      </c>
      <c r="D11" s="11" t="s">
        <v>595</v>
      </c>
      <c r="E11" s="11" t="s">
        <v>64</v>
      </c>
      <c r="F11" s="11" t="s">
        <v>596</v>
      </c>
      <c r="G11" s="11"/>
      <c r="H11" t="s">
        <v>66</v>
      </c>
    </row>
    <row r="12" spans="1:8" ht="16" x14ac:dyDescent="0.2">
      <c r="A12" s="11" t="s">
        <v>597</v>
      </c>
      <c r="B12" s="11" t="s">
        <v>586</v>
      </c>
      <c r="C12" s="11" t="s">
        <v>448</v>
      </c>
      <c r="D12" s="11" t="s">
        <v>598</v>
      </c>
      <c r="E12" s="11" t="s">
        <v>64</v>
      </c>
      <c r="F12" s="11" t="s">
        <v>599</v>
      </c>
      <c r="G12" s="11"/>
      <c r="H12" t="s">
        <v>66</v>
      </c>
    </row>
    <row r="13" spans="1:8" ht="32" x14ac:dyDescent="0.2">
      <c r="A13" s="11" t="s">
        <v>600</v>
      </c>
      <c r="B13" s="11" t="s">
        <v>601</v>
      </c>
      <c r="C13" s="11" t="s">
        <v>453</v>
      </c>
      <c r="D13" s="11" t="s">
        <v>602</v>
      </c>
      <c r="E13" s="11" t="s">
        <v>109</v>
      </c>
      <c r="F13" s="11" t="s">
        <v>603</v>
      </c>
      <c r="G13" s="11" t="s">
        <v>604</v>
      </c>
      <c r="H13" t="s">
        <v>82</v>
      </c>
    </row>
    <row r="14" spans="1:8" ht="16" x14ac:dyDescent="0.2">
      <c r="A14" s="11" t="s">
        <v>605</v>
      </c>
      <c r="B14" s="11" t="s">
        <v>606</v>
      </c>
      <c r="C14" s="11" t="s">
        <v>38</v>
      </c>
      <c r="D14" s="11" t="s">
        <v>607</v>
      </c>
      <c r="E14" s="11" t="s">
        <v>64</v>
      </c>
      <c r="F14" s="11" t="s">
        <v>608</v>
      </c>
      <c r="G14" s="11"/>
      <c r="H14" t="s">
        <v>66</v>
      </c>
    </row>
    <row r="15" spans="1:8" x14ac:dyDescent="0.2">
      <c r="A15" s="11"/>
      <c r="B15" s="11"/>
      <c r="C15" s="11"/>
      <c r="D15" s="11"/>
      <c r="E15" s="11"/>
      <c r="F15" s="11"/>
      <c r="G15" s="11"/>
    </row>
    <row r="16" spans="1:8" x14ac:dyDescent="0.2">
      <c r="A16" s="11"/>
      <c r="B16" s="11"/>
      <c r="C16" s="11"/>
      <c r="D16" s="11"/>
      <c r="E16" s="11"/>
      <c r="F16" s="11"/>
      <c r="G16" s="11"/>
    </row>
    <row r="17" spans="1:7" x14ac:dyDescent="0.2">
      <c r="A17" s="11"/>
      <c r="B17" s="11"/>
      <c r="C17" s="11"/>
      <c r="D17" s="11"/>
      <c r="E17" s="11"/>
      <c r="F17" s="11"/>
      <c r="G17" s="11"/>
    </row>
    <row r="18" spans="1:7" x14ac:dyDescent="0.2">
      <c r="A18" s="11"/>
      <c r="B18" s="11"/>
      <c r="C18" s="11"/>
      <c r="D18" s="11"/>
      <c r="E18" s="11"/>
      <c r="F18" s="11"/>
      <c r="G18" s="11"/>
    </row>
    <row r="19" spans="1:7" x14ac:dyDescent="0.2">
      <c r="A19" s="11"/>
      <c r="B19" s="11"/>
      <c r="C19" s="11"/>
      <c r="D19" s="11"/>
      <c r="E19" s="11"/>
      <c r="F19" s="11"/>
      <c r="G19" s="11"/>
    </row>
    <row r="20" spans="1:7" x14ac:dyDescent="0.2">
      <c r="A20" s="11"/>
      <c r="B20" s="11"/>
      <c r="C20" s="11"/>
      <c r="D20" s="11"/>
      <c r="E20" s="11"/>
      <c r="F20" s="11"/>
      <c r="G20" s="11"/>
    </row>
    <row r="21" spans="1:7" x14ac:dyDescent="0.2">
      <c r="A21" s="11"/>
      <c r="B21" s="11"/>
      <c r="C21" s="11"/>
      <c r="D21" s="11"/>
      <c r="E21" s="11"/>
      <c r="F21" s="11"/>
      <c r="G21" s="11"/>
    </row>
    <row r="22" spans="1:7" x14ac:dyDescent="0.2">
      <c r="A22" s="11"/>
      <c r="B22" s="11"/>
      <c r="C22" s="11"/>
      <c r="D22" s="11"/>
      <c r="E22" s="11"/>
      <c r="F22" s="11"/>
      <c r="G22" s="11"/>
    </row>
    <row r="23" spans="1:7" x14ac:dyDescent="0.2">
      <c r="A23" s="11"/>
      <c r="B23" s="11"/>
      <c r="C23" s="11"/>
      <c r="D23" s="11"/>
      <c r="E23" s="11"/>
      <c r="F23" s="11"/>
      <c r="G23" s="11"/>
    </row>
    <row r="24" spans="1:7" x14ac:dyDescent="0.2">
      <c r="A24" s="11"/>
      <c r="B24" s="11"/>
      <c r="C24" s="11"/>
      <c r="D24" s="11"/>
      <c r="E24" s="11"/>
      <c r="F24" s="11"/>
      <c r="G24" s="11"/>
    </row>
    <row r="25" spans="1:7" x14ac:dyDescent="0.2">
      <c r="A25" s="11"/>
      <c r="B25" s="11"/>
      <c r="C25" s="11"/>
      <c r="D25" s="11"/>
      <c r="E25" s="11"/>
      <c r="F25" s="11"/>
      <c r="G25" s="11"/>
    </row>
    <row r="26" spans="1:7" x14ac:dyDescent="0.2">
      <c r="A26" s="11"/>
      <c r="B26" s="11"/>
      <c r="C26" s="11"/>
      <c r="D26" s="11"/>
      <c r="E26" s="11"/>
      <c r="F26" s="11"/>
      <c r="G26" s="11"/>
    </row>
    <row r="27" spans="1:7" x14ac:dyDescent="0.2">
      <c r="A27" s="11"/>
      <c r="B27" s="11"/>
      <c r="C27" s="11"/>
      <c r="D27" s="11"/>
      <c r="E27" s="11"/>
      <c r="F27" s="11"/>
      <c r="G27" s="11"/>
    </row>
    <row r="28" spans="1:7" x14ac:dyDescent="0.2">
      <c r="A28" s="11"/>
      <c r="B28" s="11"/>
      <c r="C28" s="11"/>
      <c r="D28" s="11"/>
      <c r="E28" s="11"/>
      <c r="F28" s="11"/>
      <c r="G28" s="11"/>
    </row>
    <row r="29" spans="1:7" x14ac:dyDescent="0.2">
      <c r="A29" s="11"/>
      <c r="B29" s="11"/>
      <c r="C29" s="11"/>
      <c r="D29" s="11"/>
      <c r="E29" s="11"/>
      <c r="F29" s="11"/>
      <c r="G29" s="11"/>
    </row>
    <row r="30" spans="1:7" x14ac:dyDescent="0.2">
      <c r="A30" s="11"/>
      <c r="B30" s="11"/>
      <c r="C30" s="11"/>
      <c r="D30" s="11"/>
      <c r="E30" s="11"/>
      <c r="F30" s="11"/>
      <c r="G30" s="11"/>
    </row>
    <row r="32" spans="1:7" x14ac:dyDescent="0.2">
      <c r="A32" s="12" t="s">
        <v>127</v>
      </c>
    </row>
    <row r="33" spans="1:8" x14ac:dyDescent="0.2">
      <c r="A33" s="2" t="s">
        <v>609</v>
      </c>
      <c r="B33" s="18"/>
      <c r="C33" s="19"/>
      <c r="D33" s="20"/>
    </row>
    <row r="34" spans="1:8" x14ac:dyDescent="0.2">
      <c r="A34" s="2" t="s">
        <v>610</v>
      </c>
      <c r="B34" s="18"/>
      <c r="C34" s="19"/>
      <c r="D34" s="20"/>
    </row>
    <row r="35" spans="1:8" x14ac:dyDescent="0.2">
      <c r="A35" s="2" t="s">
        <v>611</v>
      </c>
      <c r="B35" s="18"/>
      <c r="C35" s="19"/>
      <c r="D35" s="20"/>
    </row>
    <row r="36" spans="1:8" x14ac:dyDescent="0.2">
      <c r="A36" s="2" t="s">
        <v>612</v>
      </c>
      <c r="B36" s="18"/>
      <c r="C36" s="19"/>
      <c r="D36" s="20"/>
    </row>
    <row r="38" spans="1:8" x14ac:dyDescent="0.2">
      <c r="A38" s="12" t="s">
        <v>132</v>
      </c>
    </row>
    <row r="39" spans="1:8" x14ac:dyDescent="0.2">
      <c r="A39" s="2" t="s">
        <v>133</v>
      </c>
      <c r="B39" s="2" t="s">
        <v>134</v>
      </c>
      <c r="C39" s="2" t="s">
        <v>27</v>
      </c>
    </row>
    <row r="40" spans="1:8" x14ac:dyDescent="0.2">
      <c r="A40" t="s">
        <v>133</v>
      </c>
      <c r="B40" t="s">
        <v>613</v>
      </c>
      <c r="C40" s="3"/>
    </row>
    <row r="41" spans="1:8" x14ac:dyDescent="0.2">
      <c r="A41" t="s">
        <v>133</v>
      </c>
      <c r="B41" t="s">
        <v>614</v>
      </c>
      <c r="C41" s="3"/>
    </row>
    <row r="42" spans="1:8" x14ac:dyDescent="0.2">
      <c r="A42" t="s">
        <v>133</v>
      </c>
      <c r="B42" t="s">
        <v>615</v>
      </c>
      <c r="C42" s="3"/>
    </row>
    <row r="43" spans="1:8" x14ac:dyDescent="0.2">
      <c r="A43" t="s">
        <v>133</v>
      </c>
      <c r="B43" t="s">
        <v>616</v>
      </c>
      <c r="C43" s="3"/>
    </row>
    <row r="44" spans="1:8" x14ac:dyDescent="0.2">
      <c r="A44" t="s">
        <v>133</v>
      </c>
      <c r="B44" t="s">
        <v>617</v>
      </c>
      <c r="C44" s="3"/>
    </row>
    <row r="45" spans="1:8" x14ac:dyDescent="0.2">
      <c r="A45" t="s">
        <v>133</v>
      </c>
      <c r="B45" t="s">
        <v>618</v>
      </c>
      <c r="C45" s="3"/>
    </row>
    <row r="46" spans="1:8" x14ac:dyDescent="0.2">
      <c r="A46" s="2" t="s">
        <v>146</v>
      </c>
      <c r="B46" s="13" t="e">
        <f>COUNTIF(C40:C45,"Yes")/COUNTA(C40:C45)*100&amp;"%"</f>
        <v>#DIV/0!</v>
      </c>
    </row>
    <row r="48" spans="1:8" x14ac:dyDescent="0.2">
      <c r="A48" s="30" t="s">
        <v>147</v>
      </c>
      <c r="B48" s="17"/>
      <c r="C48" s="17"/>
      <c r="D48" s="17"/>
      <c r="E48" s="17"/>
      <c r="F48" s="17"/>
      <c r="G48" s="17"/>
      <c r="H48" s="17"/>
    </row>
    <row r="49" spans="1:8" x14ac:dyDescent="0.2">
      <c r="A49" s="2" t="s">
        <v>148</v>
      </c>
      <c r="B49" s="18"/>
      <c r="C49" s="19"/>
      <c r="D49" s="20"/>
    </row>
    <row r="50" spans="1:8" x14ac:dyDescent="0.2">
      <c r="A50" s="2" t="s">
        <v>149</v>
      </c>
      <c r="B50" s="18"/>
      <c r="C50" s="19"/>
      <c r="D50" s="20"/>
    </row>
    <row r="51" spans="1:8" x14ac:dyDescent="0.2">
      <c r="A51" s="2" t="s">
        <v>150</v>
      </c>
      <c r="B51" s="18"/>
      <c r="C51" s="19"/>
      <c r="D51" s="20"/>
    </row>
    <row r="52" spans="1:8" x14ac:dyDescent="0.2">
      <c r="A52" s="2" t="s">
        <v>151</v>
      </c>
      <c r="B52" s="18"/>
      <c r="C52" s="19"/>
      <c r="D52" s="20"/>
    </row>
    <row r="53" spans="1:8" x14ac:dyDescent="0.2">
      <c r="A53" s="2" t="s">
        <v>152</v>
      </c>
      <c r="B53" s="18"/>
      <c r="C53" s="19"/>
      <c r="D53" s="20"/>
    </row>
    <row r="54" spans="1:8" x14ac:dyDescent="0.2">
      <c r="A54" s="2" t="s">
        <v>153</v>
      </c>
      <c r="B54" s="18"/>
      <c r="C54" s="19"/>
      <c r="D54" s="20"/>
    </row>
    <row r="55" spans="1:8" x14ac:dyDescent="0.2">
      <c r="A55" s="2" t="s">
        <v>154</v>
      </c>
      <c r="B55" s="18"/>
      <c r="C55" s="19"/>
      <c r="D55" s="20"/>
    </row>
    <row r="56" spans="1:8" x14ac:dyDescent="0.2">
      <c r="A56" s="2" t="s">
        <v>155</v>
      </c>
      <c r="B56" s="18"/>
      <c r="C56" s="19"/>
      <c r="D56" s="20"/>
    </row>
    <row r="57" spans="1:8" x14ac:dyDescent="0.2">
      <c r="A57" s="2" t="s">
        <v>156</v>
      </c>
      <c r="B57" s="18"/>
      <c r="C57" s="19"/>
      <c r="D57" s="20"/>
    </row>
    <row r="58" spans="1:8" x14ac:dyDescent="0.2">
      <c r="A58" s="2" t="s">
        <v>157</v>
      </c>
      <c r="B58" s="18"/>
      <c r="C58" s="19"/>
      <c r="D58" s="20"/>
    </row>
    <row r="59" spans="1:8" x14ac:dyDescent="0.2">
      <c r="A59" s="2" t="s">
        <v>158</v>
      </c>
      <c r="B59" s="18"/>
      <c r="C59" s="19"/>
      <c r="D59" s="20"/>
    </row>
    <row r="60" spans="1:8" x14ac:dyDescent="0.2">
      <c r="A60" s="2" t="s">
        <v>159</v>
      </c>
      <c r="B60" s="18"/>
      <c r="C60" s="19"/>
      <c r="D60" s="20"/>
    </row>
    <row r="61" spans="1:8" x14ac:dyDescent="0.2">
      <c r="A61" s="2" t="s">
        <v>160</v>
      </c>
      <c r="B61" s="18"/>
      <c r="C61" s="19"/>
      <c r="D61" s="20"/>
    </row>
    <row r="63" spans="1:8" x14ac:dyDescent="0.2">
      <c r="A63" s="31" t="s">
        <v>161</v>
      </c>
      <c r="B63" s="17"/>
      <c r="C63" s="17"/>
      <c r="D63" s="17"/>
      <c r="E63" s="17"/>
      <c r="F63" s="17"/>
      <c r="G63" s="17"/>
      <c r="H63" s="17"/>
    </row>
    <row r="64" spans="1:8" x14ac:dyDescent="0.2">
      <c r="A64" s="21"/>
      <c r="B64" s="22"/>
      <c r="C64" s="22"/>
      <c r="D64" s="22"/>
      <c r="E64" s="22"/>
      <c r="F64" s="22"/>
      <c r="G64" s="22"/>
      <c r="H64" s="23"/>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4"/>
      <c r="B68" s="17"/>
      <c r="C68" s="17"/>
      <c r="D68" s="17"/>
      <c r="E68" s="17"/>
      <c r="F68" s="17"/>
      <c r="G68" s="17"/>
      <c r="H68" s="25"/>
    </row>
    <row r="69" spans="1:8" x14ac:dyDescent="0.2">
      <c r="A69" s="26"/>
      <c r="B69" s="27"/>
      <c r="C69" s="27"/>
      <c r="D69" s="27"/>
      <c r="E69" s="27"/>
      <c r="F69" s="27"/>
      <c r="G69" s="27"/>
      <c r="H69" s="28"/>
    </row>
  </sheetData>
  <mergeCells count="22">
    <mergeCell ref="A63:H63"/>
    <mergeCell ref="A64:H69"/>
    <mergeCell ref="B56:D56"/>
    <mergeCell ref="B58:D58"/>
    <mergeCell ref="B52:D52"/>
    <mergeCell ref="A1:H1"/>
    <mergeCell ref="B34:D34"/>
    <mergeCell ref="B49:D49"/>
    <mergeCell ref="B55:D55"/>
    <mergeCell ref="B51:D51"/>
    <mergeCell ref="B33:D33"/>
    <mergeCell ref="A3:H3"/>
    <mergeCell ref="B36:D36"/>
    <mergeCell ref="B35:D35"/>
    <mergeCell ref="B50:D50"/>
    <mergeCell ref="B54:D54"/>
    <mergeCell ref="A48:H48"/>
    <mergeCell ref="B60:D60"/>
    <mergeCell ref="B61:D61"/>
    <mergeCell ref="B57:D57"/>
    <mergeCell ref="B53:D53"/>
    <mergeCell ref="B59:D59"/>
  </mergeCells>
  <dataValidations count="9">
    <dataValidation type="list" sqref="B4" xr:uid="{00000000-0002-0000-0B00-000000000000}">
      <formula1>"Yes,No,Not Applicable"</formula1>
    </dataValidation>
    <dataValidation type="list" sqref="D8 D9 D10 D11 D12 D13 D14 D15 D16 D17 D18 D19 D20 D21 D22 D23 D24 D25 D26 D27 D28 D29 D30" xr:uid="{00000000-0002-0000-0B00-000001000000}">
      <formula1>"✅ Compliant,⚠️ Partial,❌ Non-Compliant,N/A"</formula1>
    </dataValidation>
    <dataValidation type="list" sqref="G8:G30 B51 B49" xr:uid="{00000000-0002-0000-0B00-000002000000}">
      <formula1>"Yes,No"</formula1>
    </dataValidation>
    <dataValidation type="list" sqref="B33" xr:uid="{00000000-0002-0000-0B00-000003000000}">
      <formula1>"WPA3-Enterprise,WPA2-Enterprise,WPA2-Personal,Other"</formula1>
    </dataValidation>
    <dataValidation type="list" sqref="B34" xr:uid="{00000000-0002-0000-0B00-000004000000}">
      <formula1>"Isolated network,Captive portal,Open (no encryption)"</formula1>
    </dataValidation>
    <dataValidation type="list" sqref="B35" xr:uid="{00000000-0002-0000-0B00-000005000000}">
      <formula1>"Implemented,Planned,Not implemented"</formula1>
    </dataValidation>
    <dataValidation type="list" sqref="B36" xr:uid="{00000000-0002-0000-0B00-000006000000}">
      <formula1>"≥20 characters,&lt;20 characters"</formula1>
    </dataValidation>
    <dataValidation type="list" sqref="C40:C45" xr:uid="{00000000-0002-0000-0B00-000007000000}">
      <formula1>"Yes,No,N/A"</formula1>
    </dataValidation>
    <dataValidation type="list" sqref="B61" xr:uid="{00000000-0002-0000-0B00-00000F000000}">
      <formula1>"Yes,No,Unknown"</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6"/>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22" customWidth="1"/>
    <col min="3" max="3" width="18" customWidth="1"/>
    <col min="4" max="4" width="15" customWidth="1"/>
    <col min="5" max="6" width="30" customWidth="1"/>
    <col min="7" max="7" width="16" customWidth="1"/>
  </cols>
  <sheetData>
    <row r="1" spans="1:8" ht="40" customHeight="1" x14ac:dyDescent="0.2">
      <c r="A1" s="16" t="s">
        <v>619</v>
      </c>
      <c r="B1" s="17"/>
      <c r="C1" s="17"/>
      <c r="D1" s="17"/>
      <c r="E1" s="17"/>
      <c r="F1" s="17"/>
      <c r="G1" s="17"/>
      <c r="H1" s="17"/>
    </row>
    <row r="3" spans="1:8" ht="30" customHeight="1" x14ac:dyDescent="0.2">
      <c r="A3" s="29" t="s">
        <v>620</v>
      </c>
      <c r="B3" s="17"/>
      <c r="C3" s="17"/>
      <c r="D3" s="17"/>
      <c r="E3" s="17"/>
      <c r="F3" s="17"/>
      <c r="G3" s="17"/>
      <c r="H3" s="17"/>
    </row>
    <row r="4" spans="1:8" x14ac:dyDescent="0.2">
      <c r="A4" s="2" t="s">
        <v>51</v>
      </c>
      <c r="B4" s="3"/>
    </row>
    <row r="6" spans="1:8" x14ac:dyDescent="0.2">
      <c r="A6" s="4" t="s">
        <v>621</v>
      </c>
      <c r="B6" s="4" t="s">
        <v>622</v>
      </c>
      <c r="C6" s="4" t="s">
        <v>623</v>
      </c>
      <c r="D6" s="4" t="s">
        <v>27</v>
      </c>
      <c r="E6" s="4" t="s">
        <v>56</v>
      </c>
      <c r="F6" s="4" t="s">
        <v>57</v>
      </c>
      <c r="G6" s="4" t="s">
        <v>58</v>
      </c>
    </row>
    <row r="7" spans="1:8" ht="16" x14ac:dyDescent="0.2">
      <c r="A7" s="10" t="s">
        <v>59</v>
      </c>
      <c r="B7" s="10"/>
      <c r="C7" s="10"/>
      <c r="D7" s="10"/>
      <c r="E7" s="10"/>
      <c r="F7" s="10"/>
      <c r="G7" s="10"/>
    </row>
    <row r="8" spans="1:8" ht="16" x14ac:dyDescent="0.2">
      <c r="A8" s="11" t="s">
        <v>624</v>
      </c>
      <c r="B8" s="11" t="s">
        <v>61</v>
      </c>
      <c r="C8" s="11" t="s">
        <v>375</v>
      </c>
      <c r="D8" s="11" t="s">
        <v>325</v>
      </c>
      <c r="E8" s="11" t="s">
        <v>64</v>
      </c>
      <c r="F8" s="11" t="s">
        <v>625</v>
      </c>
      <c r="G8" s="11"/>
      <c r="H8" t="s">
        <v>66</v>
      </c>
    </row>
    <row r="9" spans="1:8" ht="32" x14ac:dyDescent="0.2">
      <c r="A9" s="11" t="s">
        <v>626</v>
      </c>
      <c r="B9" s="11" t="s">
        <v>61</v>
      </c>
      <c r="C9" s="11" t="s">
        <v>375</v>
      </c>
      <c r="D9" s="11" t="s">
        <v>627</v>
      </c>
      <c r="E9" s="11" t="s">
        <v>64</v>
      </c>
      <c r="F9" s="11" t="s">
        <v>628</v>
      </c>
      <c r="G9" s="11"/>
      <c r="H9" t="s">
        <v>66</v>
      </c>
    </row>
    <row r="10" spans="1:8" ht="16" x14ac:dyDescent="0.2">
      <c r="A10" s="11" t="s">
        <v>629</v>
      </c>
      <c r="B10" s="11" t="s">
        <v>61</v>
      </c>
      <c r="C10" s="11" t="s">
        <v>375</v>
      </c>
      <c r="D10" s="11" t="s">
        <v>630</v>
      </c>
      <c r="E10" s="11" t="s">
        <v>64</v>
      </c>
      <c r="F10" s="11" t="s">
        <v>631</v>
      </c>
      <c r="G10" s="11"/>
      <c r="H10" t="s">
        <v>66</v>
      </c>
    </row>
    <row r="11" spans="1:8" ht="16" x14ac:dyDescent="0.2">
      <c r="A11" s="11" t="s">
        <v>632</v>
      </c>
      <c r="B11" s="11" t="s">
        <v>633</v>
      </c>
      <c r="C11" s="11" t="s">
        <v>375</v>
      </c>
      <c r="D11" s="11" t="s">
        <v>634</v>
      </c>
      <c r="E11" s="11" t="s">
        <v>64</v>
      </c>
      <c r="F11" s="11" t="s">
        <v>635</v>
      </c>
      <c r="G11" s="11"/>
      <c r="H11" t="s">
        <v>66</v>
      </c>
    </row>
    <row r="12" spans="1:8" ht="16" x14ac:dyDescent="0.2">
      <c r="A12" s="11" t="s">
        <v>636</v>
      </c>
      <c r="B12" s="11" t="s">
        <v>637</v>
      </c>
      <c r="C12" s="11" t="s">
        <v>448</v>
      </c>
      <c r="D12" s="11" t="s">
        <v>638</v>
      </c>
      <c r="E12" s="11" t="s">
        <v>64</v>
      </c>
      <c r="F12" s="11" t="s">
        <v>639</v>
      </c>
      <c r="G12" s="11"/>
      <c r="H12" t="s">
        <v>66</v>
      </c>
    </row>
    <row r="13" spans="1:8" ht="16" x14ac:dyDescent="0.2">
      <c r="A13" s="11" t="s">
        <v>640</v>
      </c>
      <c r="B13" s="11" t="s">
        <v>637</v>
      </c>
      <c r="C13" s="11" t="s">
        <v>448</v>
      </c>
      <c r="D13" s="11" t="s">
        <v>641</v>
      </c>
      <c r="E13" s="11" t="s">
        <v>64</v>
      </c>
      <c r="F13" s="11" t="s">
        <v>642</v>
      </c>
      <c r="G13" s="11"/>
      <c r="H13" t="s">
        <v>66</v>
      </c>
    </row>
    <row r="14" spans="1:8" ht="16" x14ac:dyDescent="0.2">
      <c r="A14" s="11" t="s">
        <v>643</v>
      </c>
      <c r="B14" s="11" t="s">
        <v>644</v>
      </c>
      <c r="C14" s="11" t="s">
        <v>375</v>
      </c>
      <c r="D14" s="11" t="s">
        <v>645</v>
      </c>
      <c r="E14" s="11" t="s">
        <v>64</v>
      </c>
      <c r="F14" s="11" t="s">
        <v>646</v>
      </c>
      <c r="G14" s="11"/>
      <c r="H14" t="s">
        <v>66</v>
      </c>
    </row>
    <row r="15" spans="1:8" ht="16" x14ac:dyDescent="0.2">
      <c r="A15" s="11" t="s">
        <v>647</v>
      </c>
      <c r="B15" s="11" t="s">
        <v>61</v>
      </c>
      <c r="C15" s="11" t="s">
        <v>375</v>
      </c>
      <c r="D15" s="11" t="s">
        <v>648</v>
      </c>
      <c r="E15" s="11" t="s">
        <v>64</v>
      </c>
      <c r="F15" s="11" t="s">
        <v>649</v>
      </c>
      <c r="G15" s="11"/>
      <c r="H15" t="s">
        <v>66</v>
      </c>
    </row>
    <row r="16" spans="1:8" ht="16" x14ac:dyDescent="0.2">
      <c r="A16" s="11" t="s">
        <v>650</v>
      </c>
      <c r="B16" s="11" t="s">
        <v>61</v>
      </c>
      <c r="C16" s="11" t="s">
        <v>375</v>
      </c>
      <c r="D16" s="11" t="s">
        <v>651</v>
      </c>
      <c r="E16" s="11" t="s">
        <v>64</v>
      </c>
      <c r="F16" s="11" t="s">
        <v>652</v>
      </c>
      <c r="G16" s="11"/>
      <c r="H16" t="s">
        <v>66</v>
      </c>
    </row>
    <row r="17" spans="1:8" ht="16" x14ac:dyDescent="0.2">
      <c r="A17" s="11" t="s">
        <v>653</v>
      </c>
      <c r="B17" s="11" t="s">
        <v>61</v>
      </c>
      <c r="C17" s="11" t="s">
        <v>448</v>
      </c>
      <c r="D17" s="11" t="s">
        <v>654</v>
      </c>
      <c r="E17" s="11" t="s">
        <v>64</v>
      </c>
      <c r="F17" s="11" t="s">
        <v>655</v>
      </c>
      <c r="G17" s="11"/>
      <c r="H17" t="s">
        <v>66</v>
      </c>
    </row>
    <row r="18" spans="1:8" x14ac:dyDescent="0.2">
      <c r="A18" s="11"/>
      <c r="B18" s="11"/>
      <c r="C18" s="11"/>
      <c r="D18" s="11"/>
      <c r="E18" s="11"/>
      <c r="F18" s="11"/>
      <c r="G18" s="11"/>
    </row>
    <row r="19" spans="1:8" x14ac:dyDescent="0.2">
      <c r="A19" s="11"/>
      <c r="B19" s="11"/>
      <c r="C19" s="11"/>
      <c r="D19" s="11"/>
      <c r="E19" s="11"/>
      <c r="F19" s="11"/>
      <c r="G19" s="11"/>
    </row>
    <row r="20" spans="1:8" x14ac:dyDescent="0.2">
      <c r="A20" s="11"/>
      <c r="B20" s="11"/>
      <c r="C20" s="11"/>
      <c r="D20" s="11"/>
      <c r="E20" s="11"/>
      <c r="F20" s="11"/>
      <c r="G20" s="11"/>
    </row>
    <row r="21" spans="1:8" x14ac:dyDescent="0.2">
      <c r="A21" s="11"/>
      <c r="B21" s="11"/>
      <c r="C21" s="11"/>
      <c r="D21" s="11"/>
      <c r="E21" s="11"/>
      <c r="F21" s="11"/>
      <c r="G21" s="11"/>
    </row>
    <row r="22" spans="1:8" x14ac:dyDescent="0.2">
      <c r="A22" s="11"/>
      <c r="B22" s="11"/>
      <c r="C22" s="11"/>
      <c r="D22" s="11"/>
      <c r="E22" s="11"/>
      <c r="F22" s="11"/>
      <c r="G22" s="11"/>
    </row>
    <row r="23" spans="1:8" x14ac:dyDescent="0.2">
      <c r="A23" s="11"/>
      <c r="B23" s="11"/>
      <c r="C23" s="11"/>
      <c r="D23" s="11"/>
      <c r="E23" s="11"/>
      <c r="F23" s="11"/>
      <c r="G23" s="11"/>
    </row>
    <row r="24" spans="1:8" x14ac:dyDescent="0.2">
      <c r="A24" s="11"/>
      <c r="B24" s="11"/>
      <c r="C24" s="11"/>
      <c r="D24" s="11"/>
      <c r="E24" s="11"/>
      <c r="F24" s="11"/>
      <c r="G24" s="11"/>
    </row>
    <row r="25" spans="1:8" x14ac:dyDescent="0.2">
      <c r="A25" s="11"/>
      <c r="B25" s="11"/>
      <c r="C25" s="11"/>
      <c r="D25" s="11"/>
      <c r="E25" s="11"/>
      <c r="F25" s="11"/>
      <c r="G25" s="11"/>
    </row>
    <row r="26" spans="1:8" x14ac:dyDescent="0.2">
      <c r="A26" s="11"/>
      <c r="B26" s="11"/>
      <c r="C26" s="11"/>
      <c r="D26" s="11"/>
      <c r="E26" s="11"/>
      <c r="F26" s="11"/>
      <c r="G26" s="11"/>
    </row>
    <row r="27" spans="1:8" x14ac:dyDescent="0.2">
      <c r="A27" s="11"/>
      <c r="B27" s="11"/>
      <c r="C27" s="11"/>
      <c r="D27" s="11"/>
      <c r="E27" s="11"/>
      <c r="F27" s="11"/>
      <c r="G27" s="11"/>
    </row>
    <row r="28" spans="1:8" x14ac:dyDescent="0.2">
      <c r="A28" s="11"/>
      <c r="B28" s="11"/>
      <c r="C28" s="11"/>
      <c r="D28" s="11"/>
      <c r="E28" s="11"/>
      <c r="F28" s="11"/>
      <c r="G28" s="11"/>
    </row>
    <row r="29" spans="1:8" x14ac:dyDescent="0.2">
      <c r="A29" s="11"/>
      <c r="B29" s="11"/>
      <c r="C29" s="11"/>
      <c r="D29" s="11"/>
      <c r="E29" s="11"/>
      <c r="F29" s="11"/>
      <c r="G29" s="11"/>
    </row>
    <row r="30" spans="1:8" x14ac:dyDescent="0.2">
      <c r="A30" s="11"/>
      <c r="B30" s="11"/>
      <c r="C30" s="11"/>
      <c r="D30" s="11"/>
      <c r="E30" s="11"/>
      <c r="F30" s="11"/>
      <c r="G30" s="11"/>
    </row>
    <row r="32" spans="1:8" x14ac:dyDescent="0.2">
      <c r="A32" s="12" t="s">
        <v>127</v>
      </c>
    </row>
    <row r="33" spans="1:8" x14ac:dyDescent="0.2">
      <c r="A33" s="2" t="s">
        <v>656</v>
      </c>
      <c r="B33" s="18"/>
      <c r="C33" s="19"/>
      <c r="D33" s="20"/>
    </row>
    <row r="34" spans="1:8" x14ac:dyDescent="0.2">
      <c r="A34" s="2" t="s">
        <v>657</v>
      </c>
      <c r="B34" s="18"/>
      <c r="C34" s="19"/>
      <c r="D34" s="20"/>
    </row>
    <row r="35" spans="1:8" x14ac:dyDescent="0.2">
      <c r="A35" s="2" t="s">
        <v>658</v>
      </c>
      <c r="B35" s="18"/>
      <c r="C35" s="19"/>
      <c r="D35" s="20"/>
    </row>
    <row r="37" spans="1:8" x14ac:dyDescent="0.2">
      <c r="A37" s="12" t="s">
        <v>132</v>
      </c>
    </row>
    <row r="38" spans="1:8" x14ac:dyDescent="0.2">
      <c r="A38" s="2" t="s">
        <v>133</v>
      </c>
      <c r="B38" s="2" t="s">
        <v>134</v>
      </c>
      <c r="C38" s="2" t="s">
        <v>27</v>
      </c>
    </row>
    <row r="39" spans="1:8" x14ac:dyDescent="0.2">
      <c r="A39" t="s">
        <v>133</v>
      </c>
      <c r="B39" t="s">
        <v>659</v>
      </c>
      <c r="C39" s="3"/>
    </row>
    <row r="40" spans="1:8" x14ac:dyDescent="0.2">
      <c r="A40" t="s">
        <v>133</v>
      </c>
      <c r="B40" t="s">
        <v>660</v>
      </c>
      <c r="C40" s="3"/>
    </row>
    <row r="41" spans="1:8" x14ac:dyDescent="0.2">
      <c r="A41" t="s">
        <v>133</v>
      </c>
      <c r="B41" t="s">
        <v>661</v>
      </c>
      <c r="C41" s="3"/>
    </row>
    <row r="42" spans="1:8" x14ac:dyDescent="0.2">
      <c r="A42" t="s">
        <v>133</v>
      </c>
      <c r="B42" t="s">
        <v>662</v>
      </c>
      <c r="C42" s="3"/>
    </row>
    <row r="43" spans="1:8" x14ac:dyDescent="0.2">
      <c r="A43" s="2" t="s">
        <v>146</v>
      </c>
      <c r="B43" s="13" t="e">
        <f>COUNTIF(C39:C42,"Yes")/COUNTA(C39:C42)*100&amp;"%"</f>
        <v>#DIV/0!</v>
      </c>
    </row>
    <row r="45" spans="1:8" x14ac:dyDescent="0.2">
      <c r="A45" s="30" t="s">
        <v>147</v>
      </c>
      <c r="B45" s="17"/>
      <c r="C45" s="17"/>
      <c r="D45" s="17"/>
      <c r="E45" s="17"/>
      <c r="F45" s="17"/>
      <c r="G45" s="17"/>
      <c r="H45" s="17"/>
    </row>
    <row r="46" spans="1:8" x14ac:dyDescent="0.2">
      <c r="A46" s="2" t="s">
        <v>148</v>
      </c>
      <c r="B46" s="18"/>
      <c r="C46" s="19"/>
      <c r="D46" s="20"/>
    </row>
    <row r="47" spans="1:8" x14ac:dyDescent="0.2">
      <c r="A47" s="2" t="s">
        <v>149</v>
      </c>
      <c r="B47" s="18"/>
      <c r="C47" s="19"/>
      <c r="D47" s="20"/>
    </row>
    <row r="48" spans="1:8" x14ac:dyDescent="0.2">
      <c r="A48" s="2" t="s">
        <v>150</v>
      </c>
      <c r="B48" s="18"/>
      <c r="C48" s="19"/>
      <c r="D48" s="20"/>
    </row>
    <row r="49" spans="1:8" x14ac:dyDescent="0.2">
      <c r="A49" s="2" t="s">
        <v>151</v>
      </c>
      <c r="B49" s="18"/>
      <c r="C49" s="19"/>
      <c r="D49" s="20"/>
    </row>
    <row r="50" spans="1:8" x14ac:dyDescent="0.2">
      <c r="A50" s="2" t="s">
        <v>152</v>
      </c>
      <c r="B50" s="18"/>
      <c r="C50" s="19"/>
      <c r="D50" s="20"/>
    </row>
    <row r="51" spans="1:8" x14ac:dyDescent="0.2">
      <c r="A51" s="2" t="s">
        <v>153</v>
      </c>
      <c r="B51" s="18"/>
      <c r="C51" s="19"/>
      <c r="D51" s="20"/>
    </row>
    <row r="52" spans="1:8" x14ac:dyDescent="0.2">
      <c r="A52" s="2" t="s">
        <v>154</v>
      </c>
      <c r="B52" s="18"/>
      <c r="C52" s="19"/>
      <c r="D52" s="20"/>
    </row>
    <row r="53" spans="1:8" x14ac:dyDescent="0.2">
      <c r="A53" s="2" t="s">
        <v>155</v>
      </c>
      <c r="B53" s="18"/>
      <c r="C53" s="19"/>
      <c r="D53" s="20"/>
    </row>
    <row r="54" spans="1:8" x14ac:dyDescent="0.2">
      <c r="A54" s="2" t="s">
        <v>156</v>
      </c>
      <c r="B54" s="18"/>
      <c r="C54" s="19"/>
      <c r="D54" s="20"/>
    </row>
    <row r="55" spans="1:8" x14ac:dyDescent="0.2">
      <c r="A55" s="2" t="s">
        <v>157</v>
      </c>
      <c r="B55" s="18"/>
      <c r="C55" s="19"/>
      <c r="D55" s="20"/>
    </row>
    <row r="56" spans="1:8" x14ac:dyDescent="0.2">
      <c r="A56" s="2" t="s">
        <v>158</v>
      </c>
      <c r="B56" s="18"/>
      <c r="C56" s="19"/>
      <c r="D56" s="20"/>
    </row>
    <row r="57" spans="1:8" x14ac:dyDescent="0.2">
      <c r="A57" s="2" t="s">
        <v>159</v>
      </c>
      <c r="B57" s="18"/>
      <c r="C57" s="19"/>
      <c r="D57" s="20"/>
    </row>
    <row r="58" spans="1:8" x14ac:dyDescent="0.2">
      <c r="A58" s="2" t="s">
        <v>160</v>
      </c>
      <c r="B58" s="18"/>
      <c r="C58" s="19"/>
      <c r="D58" s="20"/>
    </row>
    <row r="60" spans="1:8" x14ac:dyDescent="0.2">
      <c r="A60" s="31" t="s">
        <v>161</v>
      </c>
      <c r="B60" s="17"/>
      <c r="C60" s="17"/>
      <c r="D60" s="17"/>
      <c r="E60" s="17"/>
      <c r="F60" s="17"/>
      <c r="G60" s="17"/>
      <c r="H60" s="17"/>
    </row>
    <row r="61" spans="1:8" x14ac:dyDescent="0.2">
      <c r="A61" s="21"/>
      <c r="B61" s="22"/>
      <c r="C61" s="22"/>
      <c r="D61" s="22"/>
      <c r="E61" s="22"/>
      <c r="F61" s="22"/>
      <c r="G61" s="22"/>
      <c r="H61" s="23"/>
    </row>
    <row r="62" spans="1:8" x14ac:dyDescent="0.2">
      <c r="A62" s="24"/>
      <c r="B62" s="17"/>
      <c r="C62" s="17"/>
      <c r="D62" s="17"/>
      <c r="E62" s="17"/>
      <c r="F62" s="17"/>
      <c r="G62" s="17"/>
      <c r="H62" s="25"/>
    </row>
    <row r="63" spans="1:8" x14ac:dyDescent="0.2">
      <c r="A63" s="24"/>
      <c r="B63" s="17"/>
      <c r="C63" s="17"/>
      <c r="D63" s="17"/>
      <c r="E63" s="17"/>
      <c r="F63" s="17"/>
      <c r="G63" s="17"/>
      <c r="H63" s="25"/>
    </row>
    <row r="64" spans="1:8" x14ac:dyDescent="0.2">
      <c r="A64" s="24"/>
      <c r="B64" s="17"/>
      <c r="C64" s="17"/>
      <c r="D64" s="17"/>
      <c r="E64" s="17"/>
      <c r="F64" s="17"/>
      <c r="G64" s="17"/>
      <c r="H64" s="25"/>
    </row>
    <row r="65" spans="1:8" x14ac:dyDescent="0.2">
      <c r="A65" s="24"/>
      <c r="B65" s="17"/>
      <c r="C65" s="17"/>
      <c r="D65" s="17"/>
      <c r="E65" s="17"/>
      <c r="F65" s="17"/>
      <c r="G65" s="17"/>
      <c r="H65" s="25"/>
    </row>
    <row r="66" spans="1:8" x14ac:dyDescent="0.2">
      <c r="A66" s="26"/>
      <c r="B66" s="27"/>
      <c r="C66" s="27"/>
      <c r="D66" s="27"/>
      <c r="E66" s="27"/>
      <c r="F66" s="27"/>
      <c r="G66" s="27"/>
      <c r="H66" s="28"/>
    </row>
  </sheetData>
  <mergeCells count="21">
    <mergeCell ref="B56:D56"/>
    <mergeCell ref="B58:D58"/>
    <mergeCell ref="B52:D52"/>
    <mergeCell ref="A61:H66"/>
    <mergeCell ref="B48:D48"/>
    <mergeCell ref="B57:D57"/>
    <mergeCell ref="A60:H60"/>
    <mergeCell ref="B53:D53"/>
    <mergeCell ref="A45:H45"/>
    <mergeCell ref="A1:H1"/>
    <mergeCell ref="B34:D34"/>
    <mergeCell ref="B49:D49"/>
    <mergeCell ref="B55:D55"/>
    <mergeCell ref="B51:D51"/>
    <mergeCell ref="B33:D33"/>
    <mergeCell ref="A3:H3"/>
    <mergeCell ref="B35:D35"/>
    <mergeCell ref="B50:D50"/>
    <mergeCell ref="B47:D47"/>
    <mergeCell ref="B54:D54"/>
    <mergeCell ref="B46:D46"/>
  </mergeCells>
  <dataValidations count="8">
    <dataValidation type="list" sqref="B4" xr:uid="{00000000-0002-0000-0C00-000000000000}">
      <formula1>"Yes,No,Not Applicable"</formula1>
    </dataValidation>
    <dataValidation type="list" sqref="D8 D9 D10 D11 D12 D13 D14 D15 D16 D17 D18 D19 D20 D21 D22 D23 D24 D25 D26 D27 D28 D29 D30" xr:uid="{00000000-0002-0000-0C00-000001000000}">
      <formula1>"✅ Compliant,⚠️ Partial,❌ Non-Compliant,N/A"</formula1>
    </dataValidation>
    <dataValidation type="list" sqref="G8:G30 B48 B46" xr:uid="{00000000-0002-0000-0C00-000002000000}">
      <formula1>"Yes,No"</formula1>
    </dataValidation>
    <dataValidation type="list" sqref="B33" xr:uid="{00000000-0002-0000-0C00-000003000000}">
      <formula1>"Public internet (TLS),VPN,Private Link/PrivateLink,Direct Connect/ExpressRoute"</formula1>
    </dataValidation>
    <dataValidation type="list" sqref="B34" xr:uid="{00000000-0002-0000-0C00-000004000000}">
      <formula1>"Public,Internal,Confidential,Restricted"</formula1>
    </dataValidation>
    <dataValidation type="list" sqref="B35" xr:uid="{00000000-0002-0000-0C00-000005000000}">
      <formula1>"AWS,Azure,GCP,Office 365,Salesforce,Other"</formula1>
    </dataValidation>
    <dataValidation type="list" sqref="C39:C42" xr:uid="{00000000-0002-0000-0C00-000006000000}">
      <formula1>"Yes,No,N/A"</formula1>
    </dataValidation>
    <dataValidation type="list" sqref="B58" xr:uid="{00000000-0002-0000-0C00-00000C000000}">
      <formula1>"Yes,No,Unknown"</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0"/>
  <sheetViews>
    <sheetView workbookViewId="0">
      <pane ySplit="3" topLeftCell="A4" activePane="bottomLeft" state="frozen"/>
      <selection pane="bottomLeft"/>
    </sheetView>
  </sheetViews>
  <sheetFormatPr baseColWidth="10" defaultColWidth="8.83203125" defaultRowHeight="15" x14ac:dyDescent="0.2"/>
  <cols>
    <col min="1" max="1" width="30" customWidth="1"/>
    <col min="2" max="7" width="15" customWidth="1"/>
  </cols>
  <sheetData>
    <row r="1" spans="1:7" ht="30" customHeight="1" x14ac:dyDescent="0.2">
      <c r="A1" s="16" t="s">
        <v>663</v>
      </c>
      <c r="B1" s="17"/>
      <c r="C1" s="17"/>
      <c r="D1" s="17"/>
      <c r="E1" s="17"/>
      <c r="F1" s="17"/>
      <c r="G1" s="17"/>
    </row>
    <row r="3" spans="1:7" x14ac:dyDescent="0.2">
      <c r="A3" s="4" t="s">
        <v>4</v>
      </c>
      <c r="B3" s="4" t="s">
        <v>664</v>
      </c>
      <c r="C3" s="4" t="s">
        <v>30</v>
      </c>
      <c r="D3" s="4" t="s">
        <v>33</v>
      </c>
      <c r="E3" s="4" t="s">
        <v>36</v>
      </c>
      <c r="F3" s="4" t="s">
        <v>38</v>
      </c>
      <c r="G3" s="4" t="s">
        <v>665</v>
      </c>
    </row>
    <row r="4" spans="1:7" x14ac:dyDescent="0.2">
      <c r="A4" t="s">
        <v>666</v>
      </c>
      <c r="B4">
        <f>COUNTA('1.1 External HTTPS-TLS'!E8:E30)</f>
        <v>15</v>
      </c>
      <c r="C4">
        <f>COUNTIF('1.1 External HTTPS-TLS'!E8:E30,"✅*")</f>
        <v>11</v>
      </c>
      <c r="D4">
        <f>COUNTIF('1.1 External HTTPS-TLS'!E8:E30,"⚠️*")</f>
        <v>3</v>
      </c>
      <c r="E4">
        <f>COUNTIF('1.1 External HTTPS-TLS'!E8:E30,"❌*")</f>
        <v>1</v>
      </c>
      <c r="F4">
        <f>COUNTIF('1.1 External HTTPS-TLS'!E8:E30,"N/A")</f>
        <v>0</v>
      </c>
      <c r="G4" t="str">
        <f t="shared" ref="G4:G16" si="0">IF((B4-F4)=0,"0%",ROUND(C4/(B4-F4)*100,1)&amp;"%")</f>
        <v>73.3%</v>
      </c>
    </row>
    <row r="5" spans="1:7" x14ac:dyDescent="0.2">
      <c r="A5" t="s">
        <v>667</v>
      </c>
      <c r="B5">
        <f>COUNTA('1.2 Internal HTTPS-TLS'!E8:E30)</f>
        <v>12</v>
      </c>
      <c r="C5">
        <f>COUNTIF('1.2 Internal HTTPS-TLS'!E8:E30,"✅*")</f>
        <v>9</v>
      </c>
      <c r="D5">
        <f>COUNTIF('1.2 Internal HTTPS-TLS'!E8:E30,"⚠️*")</f>
        <v>2</v>
      </c>
      <c r="E5">
        <f>COUNTIF('1.2 Internal HTTPS-TLS'!E8:E30,"❌*")</f>
        <v>1</v>
      </c>
      <c r="F5">
        <f>COUNTIF('1.2 Internal HTTPS-TLS'!E8:E30,"N/A")</f>
        <v>0</v>
      </c>
      <c r="G5" t="str">
        <f t="shared" si="0"/>
        <v>75%</v>
      </c>
    </row>
    <row r="6" spans="1:7" x14ac:dyDescent="0.2">
      <c r="A6" t="s">
        <v>668</v>
      </c>
      <c r="B6">
        <f>COUNTA('2.1 Email Encryption'!E8:E30)</f>
        <v>8</v>
      </c>
      <c r="C6">
        <f>COUNTIF('2.1 Email Encryption'!E8:E30,"✅*")</f>
        <v>6</v>
      </c>
      <c r="D6">
        <f>COUNTIF('2.1 Email Encryption'!E8:E30,"⚠️*")</f>
        <v>2</v>
      </c>
      <c r="E6">
        <f>COUNTIF('2.1 Email Encryption'!E8:E30,"❌*")</f>
        <v>0</v>
      </c>
      <c r="F6">
        <f>COUNTIF('2.1 Email Encryption'!E8:E30,"N/A")</f>
        <v>0</v>
      </c>
      <c r="G6" t="str">
        <f t="shared" si="0"/>
        <v>75%</v>
      </c>
    </row>
    <row r="7" spans="1:7" x14ac:dyDescent="0.2">
      <c r="A7" t="s">
        <v>669</v>
      </c>
      <c r="B7">
        <f>COUNTA('2.2 Digital Signatures'!D8:D30)</f>
        <v>7</v>
      </c>
      <c r="C7">
        <f>COUNTIF('2.2 Digital Signatures'!D8:D30,"✅*")</f>
        <v>0</v>
      </c>
      <c r="D7">
        <f>COUNTIF('2.2 Digital Signatures'!D8:D30,"⚠️*")</f>
        <v>0</v>
      </c>
      <c r="E7">
        <f>COUNTIF('2.2 Digital Signatures'!D8:D30,"❌*")</f>
        <v>0</v>
      </c>
      <c r="F7">
        <f>COUNTIF('2.2 Digital Signatures'!D8:D30,"N/A")</f>
        <v>0</v>
      </c>
      <c r="G7" t="str">
        <f t="shared" si="0"/>
        <v>0%</v>
      </c>
    </row>
    <row r="8" spans="1:7" x14ac:dyDescent="0.2">
      <c r="A8" t="s">
        <v>670</v>
      </c>
      <c r="B8">
        <f>COUNTA('3.1 File Transfer Protocols'!E8:E30)</f>
        <v>8</v>
      </c>
      <c r="C8">
        <f>COUNTIF('3.1 File Transfer Protocols'!E8:E30,"✅*")</f>
        <v>7</v>
      </c>
      <c r="D8">
        <f>COUNTIF('3.1 File Transfer Protocols'!E8:E30,"⚠️*")</f>
        <v>0</v>
      </c>
      <c r="E8">
        <f>COUNTIF('3.1 File Transfer Protocols'!E8:E30,"❌*")</f>
        <v>1</v>
      </c>
      <c r="F8">
        <f>COUNTIF('3.1 File Transfer Protocols'!E8:E30,"N/A")</f>
        <v>0</v>
      </c>
      <c r="G8" t="str">
        <f t="shared" si="0"/>
        <v>87.5%</v>
      </c>
    </row>
    <row r="9" spans="1:7" x14ac:dyDescent="0.2">
      <c r="A9" t="s">
        <v>671</v>
      </c>
      <c r="B9">
        <f>COUNTA('4.1 VPN'!E8:E30)</f>
        <v>7</v>
      </c>
      <c r="C9">
        <f>COUNTIF('4.1 VPN'!E8:E30,"✅*")</f>
        <v>5</v>
      </c>
      <c r="D9">
        <f>COUNTIF('4.1 VPN'!E8:E30,"⚠️*")</f>
        <v>1</v>
      </c>
      <c r="E9">
        <f>COUNTIF('4.1 VPN'!E8:E30,"❌*")</f>
        <v>1</v>
      </c>
      <c r="F9">
        <f>COUNTIF('4.1 VPN'!E8:E30,"N/A")</f>
        <v>0</v>
      </c>
      <c r="G9" t="str">
        <f t="shared" si="0"/>
        <v>71.4%</v>
      </c>
    </row>
    <row r="10" spans="1:7" x14ac:dyDescent="0.2">
      <c r="A10" t="s">
        <v>672</v>
      </c>
      <c r="B10">
        <f>COUNTA('4.2 SSH'!E8:E30)</f>
        <v>8</v>
      </c>
      <c r="C10">
        <f>COUNTIF('4.2 SSH'!E8:E30,"✅*")</f>
        <v>6</v>
      </c>
      <c r="D10">
        <f>COUNTIF('4.2 SSH'!E8:E30,"⚠️*")</f>
        <v>1</v>
      </c>
      <c r="E10">
        <f>COUNTIF('4.2 SSH'!E8:E30,"❌*")</f>
        <v>1</v>
      </c>
      <c r="F10">
        <f>COUNTIF('4.2 SSH'!E8:E30,"N/A")</f>
        <v>0</v>
      </c>
      <c r="G10" t="str">
        <f t="shared" si="0"/>
        <v>75%</v>
      </c>
    </row>
    <row r="11" spans="1:7" x14ac:dyDescent="0.2">
      <c r="A11" t="s">
        <v>673</v>
      </c>
      <c r="B11">
        <f>COUNTA('4.3 RDP'!E8:E30)</f>
        <v>6</v>
      </c>
      <c r="C11">
        <f>COUNTIF('4.3 RDP'!E8:E30,"✅*")</f>
        <v>4</v>
      </c>
      <c r="D11">
        <f>COUNTIF('4.3 RDP'!E8:E30,"⚠️*")</f>
        <v>1</v>
      </c>
      <c r="E11">
        <f>COUNTIF('4.3 RDP'!E8:E30,"❌*")</f>
        <v>1</v>
      </c>
      <c r="F11">
        <f>COUNTIF('4.3 RDP'!E8:E30,"N/A")</f>
        <v>0</v>
      </c>
      <c r="G11" t="str">
        <f t="shared" si="0"/>
        <v>66.7%</v>
      </c>
    </row>
    <row r="12" spans="1:7" x14ac:dyDescent="0.2">
      <c r="A12" t="s">
        <v>674</v>
      </c>
      <c r="B12">
        <f>COUNTA('5.1 API Security'!F8:F30)</f>
        <v>8</v>
      </c>
      <c r="C12">
        <f>COUNTIF('5.1 API Security'!F8:F30,"✅*")</f>
        <v>0</v>
      </c>
      <c r="D12">
        <f>COUNTIF('5.1 API Security'!F8:F30,"⚠️*")</f>
        <v>0</v>
      </c>
      <c r="E12">
        <f>COUNTIF('5.1 API Security'!F8:F30,"❌*")</f>
        <v>0</v>
      </c>
      <c r="F12">
        <f>COUNTIF('5.1 API Security'!F8:F30,"N/A")</f>
        <v>0</v>
      </c>
      <c r="G12" t="str">
        <f t="shared" si="0"/>
        <v>0%</v>
      </c>
    </row>
    <row r="13" spans="1:7" x14ac:dyDescent="0.2">
      <c r="A13" t="s">
        <v>675</v>
      </c>
      <c r="B13">
        <f>COUNTA('6.1 Database Connections'!D8:D30)</f>
        <v>10</v>
      </c>
      <c r="C13">
        <f>COUNTIF('6.1 Database Connections'!D8:D30,"✅*")</f>
        <v>0</v>
      </c>
      <c r="D13">
        <f>COUNTIF('6.1 Database Connections'!D8:D30,"⚠️*")</f>
        <v>0</v>
      </c>
      <c r="E13">
        <f>COUNTIF('6.1 Database Connections'!D8:D30,"❌*")</f>
        <v>0</v>
      </c>
      <c r="F13">
        <f>COUNTIF('6.1 Database Connections'!D8:D30,"N/A")</f>
        <v>0</v>
      </c>
      <c r="G13" t="str">
        <f t="shared" si="0"/>
        <v>0%</v>
      </c>
    </row>
    <row r="14" spans="1:7" x14ac:dyDescent="0.2">
      <c r="A14" t="s">
        <v>676</v>
      </c>
      <c r="B14">
        <f>COUNTA('6.2 Wireless Networks'!D8:D30)</f>
        <v>7</v>
      </c>
      <c r="C14">
        <f>COUNTIF('6.2 Wireless Networks'!D8:D30,"✅*")</f>
        <v>0</v>
      </c>
      <c r="D14">
        <f>COUNTIF('6.2 Wireless Networks'!D8:D30,"⚠️*")</f>
        <v>0</v>
      </c>
      <c r="E14">
        <f>COUNTIF('6.2 Wireless Networks'!D8:D30,"❌*")</f>
        <v>0</v>
      </c>
      <c r="F14">
        <f>COUNTIF('6.2 Wireless Networks'!D8:D30,"N/A")</f>
        <v>0</v>
      </c>
      <c r="G14" t="str">
        <f t="shared" si="0"/>
        <v>0%</v>
      </c>
    </row>
    <row r="15" spans="1:7" x14ac:dyDescent="0.2">
      <c r="A15" t="s">
        <v>677</v>
      </c>
      <c r="B15">
        <f>COUNTA('7.1 Cloud Transmission'!D8:D30)</f>
        <v>10</v>
      </c>
      <c r="C15">
        <f>COUNTIF('7.1 Cloud Transmission'!D8:D30,"✅*")</f>
        <v>0</v>
      </c>
      <c r="D15">
        <f>COUNTIF('7.1 Cloud Transmission'!D8:D30,"⚠️*")</f>
        <v>0</v>
      </c>
      <c r="E15">
        <f>COUNTIF('7.1 Cloud Transmission'!D8:D30,"❌*")</f>
        <v>0</v>
      </c>
      <c r="F15">
        <f>COUNTIF('7.1 Cloud Transmission'!D8:D30,"N/A")</f>
        <v>0</v>
      </c>
      <c r="G15" t="str">
        <f t="shared" si="0"/>
        <v>0%</v>
      </c>
    </row>
    <row r="16" spans="1:7" ht="16" x14ac:dyDescent="0.2">
      <c r="A16" s="2" t="s">
        <v>678</v>
      </c>
      <c r="B16" s="2">
        <f>SUM(B4:B15)</f>
        <v>106</v>
      </c>
      <c r="C16" s="2">
        <f>SUM(C4:C15)</f>
        <v>48</v>
      </c>
      <c r="D16" s="2">
        <f>SUM(D4:D15)</f>
        <v>10</v>
      </c>
      <c r="E16" s="2">
        <f>SUM(E4:E15)</f>
        <v>6</v>
      </c>
      <c r="F16" s="2">
        <f>SUM(F4:F15)</f>
        <v>0</v>
      </c>
      <c r="G16" s="14" t="str">
        <f t="shared" si="0"/>
        <v>45.3%</v>
      </c>
    </row>
    <row r="19" spans="1:7" ht="16" x14ac:dyDescent="0.2">
      <c r="A19" s="32" t="s">
        <v>679</v>
      </c>
      <c r="B19" s="17"/>
      <c r="C19" s="17"/>
      <c r="D19" s="17"/>
      <c r="E19" s="17"/>
      <c r="F19" s="17"/>
      <c r="G19" s="17"/>
    </row>
    <row r="20" spans="1:7" x14ac:dyDescent="0.2">
      <c r="A20" s="4" t="s">
        <v>680</v>
      </c>
      <c r="B20" s="4" t="s">
        <v>4</v>
      </c>
      <c r="C20" s="4" t="s">
        <v>57</v>
      </c>
      <c r="D20" s="4" t="s">
        <v>681</v>
      </c>
      <c r="E20" s="4" t="s">
        <v>682</v>
      </c>
      <c r="F20" s="4" t="s">
        <v>27</v>
      </c>
    </row>
    <row r="21" spans="1:7" x14ac:dyDescent="0.2">
      <c r="A21" s="3"/>
      <c r="B21" s="11"/>
      <c r="C21" s="11"/>
      <c r="D21" s="11"/>
      <c r="E21" s="11"/>
      <c r="F21" s="11"/>
    </row>
    <row r="22" spans="1:7" x14ac:dyDescent="0.2">
      <c r="A22" s="3"/>
      <c r="B22" s="11"/>
      <c r="C22" s="11"/>
      <c r="D22" s="11"/>
      <c r="E22" s="11"/>
      <c r="F22" s="11"/>
    </row>
    <row r="23" spans="1:7" x14ac:dyDescent="0.2">
      <c r="A23" s="3"/>
      <c r="B23" s="11"/>
      <c r="C23" s="11"/>
      <c r="D23" s="11"/>
      <c r="E23" s="11"/>
      <c r="F23" s="11"/>
    </row>
    <row r="24" spans="1:7" x14ac:dyDescent="0.2">
      <c r="A24" s="3"/>
      <c r="B24" s="11"/>
      <c r="C24" s="11"/>
      <c r="D24" s="11"/>
      <c r="E24" s="11"/>
      <c r="F24" s="11"/>
    </row>
    <row r="25" spans="1:7" x14ac:dyDescent="0.2">
      <c r="A25" s="3"/>
      <c r="B25" s="11"/>
      <c r="C25" s="11"/>
      <c r="D25" s="11"/>
      <c r="E25" s="11"/>
      <c r="F25" s="11"/>
    </row>
    <row r="26" spans="1:7" x14ac:dyDescent="0.2">
      <c r="A26" s="3"/>
      <c r="B26" s="11"/>
      <c r="C26" s="11"/>
      <c r="D26" s="11"/>
      <c r="E26" s="11"/>
      <c r="F26" s="11"/>
    </row>
    <row r="27" spans="1:7" x14ac:dyDescent="0.2">
      <c r="A27" s="3"/>
      <c r="B27" s="11"/>
      <c r="C27" s="11"/>
      <c r="D27" s="11"/>
      <c r="E27" s="11"/>
      <c r="F27" s="11"/>
    </row>
    <row r="28" spans="1:7" x14ac:dyDescent="0.2">
      <c r="A28" s="3"/>
      <c r="B28" s="11"/>
      <c r="C28" s="11"/>
      <c r="D28" s="11"/>
      <c r="E28" s="11"/>
      <c r="F28" s="11"/>
    </row>
    <row r="29" spans="1:7" x14ac:dyDescent="0.2">
      <c r="A29" s="3"/>
      <c r="B29" s="11"/>
      <c r="C29" s="11"/>
      <c r="D29" s="11"/>
      <c r="E29" s="11"/>
      <c r="F29" s="11"/>
    </row>
    <row r="30" spans="1:7" x14ac:dyDescent="0.2">
      <c r="A30" s="3"/>
      <c r="B30" s="11"/>
      <c r="C30" s="11"/>
      <c r="D30" s="11"/>
      <c r="E30" s="11"/>
      <c r="F30" s="11"/>
    </row>
  </sheetData>
  <mergeCells count="2">
    <mergeCell ref="A19:G19"/>
    <mergeCell ref="A1:G1"/>
  </mergeCells>
  <dataValidations count="2">
    <dataValidation type="list" sqref="A21 A22 A23 A24 A25 A26 A27 A28 A29 A30" xr:uid="{00000000-0002-0000-0D00-000000000000}">
      <formula1>"High,Medium,Low"</formula1>
    </dataValidation>
    <dataValidation type="list" sqref="F21 F22 F23 F24 F25 F26 F27 F28 F29 F30" xr:uid="{00000000-0002-0000-0D00-000001000000}">
      <formula1>"Not started,In progress,Completed,Blocked"</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2" customWidth="1"/>
    <col min="4" max="4" width="40" customWidth="1"/>
    <col min="5" max="5" width="45" customWidth="1"/>
    <col min="6" max="6" width="16" customWidth="1"/>
    <col min="7" max="7" width="20" customWidth="1"/>
    <col min="8" max="8" width="22" customWidth="1"/>
  </cols>
  <sheetData>
    <row r="1" spans="1:9" ht="30" customHeight="1" x14ac:dyDescent="0.2">
      <c r="A1" s="16" t="s">
        <v>683</v>
      </c>
      <c r="B1" s="17"/>
      <c r="C1" s="17"/>
      <c r="D1" s="17"/>
      <c r="E1" s="17"/>
      <c r="F1" s="17"/>
      <c r="G1" s="17"/>
      <c r="H1" s="17"/>
    </row>
    <row r="2" spans="1:9" x14ac:dyDescent="0.2">
      <c r="A2" s="33" t="s">
        <v>684</v>
      </c>
      <c r="B2" s="17"/>
      <c r="C2" s="17"/>
      <c r="D2" s="17"/>
      <c r="E2" s="17"/>
      <c r="F2" s="17"/>
      <c r="G2" s="17"/>
      <c r="H2" s="17"/>
    </row>
    <row r="4" spans="1:9" x14ac:dyDescent="0.2">
      <c r="A4" s="4" t="s">
        <v>685</v>
      </c>
      <c r="B4" s="4" t="s">
        <v>4</v>
      </c>
      <c r="C4" s="4" t="s">
        <v>686</v>
      </c>
      <c r="D4" s="4" t="s">
        <v>28</v>
      </c>
      <c r="E4" s="4" t="s">
        <v>687</v>
      </c>
      <c r="F4" s="4" t="s">
        <v>688</v>
      </c>
      <c r="G4" s="4" t="s">
        <v>689</v>
      </c>
      <c r="H4" s="4" t="s">
        <v>690</v>
      </c>
    </row>
    <row r="5" spans="1:9" x14ac:dyDescent="0.2">
      <c r="A5" s="15" t="s">
        <v>691</v>
      </c>
      <c r="B5" s="11"/>
      <c r="C5" s="11"/>
      <c r="D5" s="11"/>
      <c r="E5" s="11"/>
      <c r="F5" s="11"/>
      <c r="G5" s="11"/>
      <c r="H5" s="11"/>
    </row>
    <row r="6" spans="1:9" x14ac:dyDescent="0.2">
      <c r="A6" s="15" t="s">
        <v>692</v>
      </c>
      <c r="B6" s="11"/>
      <c r="C6" s="11"/>
      <c r="D6" s="11"/>
      <c r="E6" s="11"/>
      <c r="F6" s="11"/>
      <c r="G6" s="11"/>
      <c r="H6" s="11"/>
    </row>
    <row r="7" spans="1:9" x14ac:dyDescent="0.2">
      <c r="A7" s="15" t="s">
        <v>693</v>
      </c>
      <c r="B7" s="11"/>
      <c r="C7" s="11"/>
      <c r="D7" s="11"/>
      <c r="E7" s="11"/>
      <c r="F7" s="11"/>
      <c r="G7" s="11"/>
      <c r="H7" s="11"/>
    </row>
    <row r="8" spans="1:9" x14ac:dyDescent="0.2">
      <c r="A8" s="15" t="s">
        <v>694</v>
      </c>
      <c r="B8" s="11"/>
      <c r="C8" s="11"/>
      <c r="D8" s="11"/>
      <c r="E8" s="11"/>
      <c r="F8" s="11"/>
      <c r="G8" s="11"/>
      <c r="H8" s="11"/>
    </row>
    <row r="9" spans="1:9" x14ac:dyDescent="0.2">
      <c r="A9" s="15" t="s">
        <v>695</v>
      </c>
      <c r="B9" s="11"/>
      <c r="C9" s="11"/>
      <c r="D9" s="11"/>
      <c r="E9" s="11"/>
      <c r="F9" s="11"/>
      <c r="G9" s="11"/>
      <c r="H9" s="11"/>
    </row>
    <row r="10" spans="1:9" ht="32" x14ac:dyDescent="0.2">
      <c r="A10" s="15" t="s">
        <v>696</v>
      </c>
      <c r="B10" s="11" t="s">
        <v>697</v>
      </c>
      <c r="C10" s="11" t="s">
        <v>698</v>
      </c>
      <c r="D10" s="11" t="s">
        <v>699</v>
      </c>
      <c r="E10" s="11" t="s">
        <v>700</v>
      </c>
      <c r="F10" s="11" t="s">
        <v>701</v>
      </c>
      <c r="G10" s="11" t="s">
        <v>702</v>
      </c>
      <c r="H10" s="11" t="s">
        <v>703</v>
      </c>
      <c r="I10" t="s">
        <v>704</v>
      </c>
    </row>
    <row r="11" spans="1:9" ht="16" x14ac:dyDescent="0.2">
      <c r="A11" s="15" t="s">
        <v>705</v>
      </c>
      <c r="B11" s="11" t="s">
        <v>706</v>
      </c>
      <c r="C11" s="11" t="s">
        <v>707</v>
      </c>
      <c r="D11" s="11" t="s">
        <v>699</v>
      </c>
      <c r="E11" s="11" t="s">
        <v>708</v>
      </c>
      <c r="F11" s="11" t="s">
        <v>701</v>
      </c>
      <c r="G11" s="11" t="s">
        <v>702</v>
      </c>
      <c r="H11" s="11" t="s">
        <v>703</v>
      </c>
      <c r="I11" t="s">
        <v>704</v>
      </c>
    </row>
    <row r="12" spans="1:9" ht="32" x14ac:dyDescent="0.2">
      <c r="A12" s="15" t="s">
        <v>709</v>
      </c>
      <c r="B12" s="11" t="s">
        <v>710</v>
      </c>
      <c r="C12" s="11" t="s">
        <v>711</v>
      </c>
      <c r="D12" s="11" t="s">
        <v>699</v>
      </c>
      <c r="E12" s="11" t="s">
        <v>712</v>
      </c>
      <c r="F12" s="11" t="s">
        <v>701</v>
      </c>
      <c r="G12" s="11" t="s">
        <v>713</v>
      </c>
      <c r="H12" s="11" t="s">
        <v>714</v>
      </c>
      <c r="I12" t="s">
        <v>704</v>
      </c>
    </row>
    <row r="13" spans="1:9" ht="32" x14ac:dyDescent="0.2">
      <c r="A13" s="15" t="s">
        <v>715</v>
      </c>
      <c r="B13" s="11" t="s">
        <v>716</v>
      </c>
      <c r="C13" s="11" t="s">
        <v>717</v>
      </c>
      <c r="D13" s="11" t="s">
        <v>699</v>
      </c>
      <c r="E13" s="11" t="s">
        <v>718</v>
      </c>
      <c r="F13" s="11" t="s">
        <v>701</v>
      </c>
      <c r="G13" s="11" t="s">
        <v>719</v>
      </c>
      <c r="H13" s="11" t="s">
        <v>720</v>
      </c>
      <c r="I13" t="s">
        <v>704</v>
      </c>
    </row>
    <row r="14" spans="1:9" ht="16" x14ac:dyDescent="0.2">
      <c r="A14" s="15" t="s">
        <v>721</v>
      </c>
      <c r="B14" s="11" t="s">
        <v>722</v>
      </c>
      <c r="C14" s="11" t="s">
        <v>723</v>
      </c>
      <c r="D14" s="11" t="s">
        <v>724</v>
      </c>
      <c r="E14" s="11" t="s">
        <v>725</v>
      </c>
      <c r="F14" s="11" t="s">
        <v>726</v>
      </c>
      <c r="G14" s="11" t="s">
        <v>702</v>
      </c>
      <c r="H14" s="11" t="s">
        <v>727</v>
      </c>
      <c r="I14" t="s">
        <v>704</v>
      </c>
    </row>
    <row r="15" spans="1:9" ht="32" x14ac:dyDescent="0.2">
      <c r="A15" s="15" t="s">
        <v>728</v>
      </c>
      <c r="B15" s="11" t="s">
        <v>729</v>
      </c>
      <c r="C15" s="11" t="s">
        <v>730</v>
      </c>
      <c r="D15" s="11" t="s">
        <v>724</v>
      </c>
      <c r="E15" s="11" t="s">
        <v>731</v>
      </c>
      <c r="F15" s="11" t="s">
        <v>732</v>
      </c>
      <c r="G15" s="11" t="s">
        <v>733</v>
      </c>
      <c r="H15" s="11" t="s">
        <v>734</v>
      </c>
      <c r="I15" t="s">
        <v>704</v>
      </c>
    </row>
    <row r="16" spans="1:9" ht="32" x14ac:dyDescent="0.2">
      <c r="A16" s="15" t="s">
        <v>735</v>
      </c>
      <c r="B16" s="11" t="s">
        <v>736</v>
      </c>
      <c r="C16" s="11" t="s">
        <v>737</v>
      </c>
      <c r="D16" s="11" t="s">
        <v>668</v>
      </c>
      <c r="E16" s="11" t="s">
        <v>738</v>
      </c>
      <c r="F16" s="11" t="s">
        <v>739</v>
      </c>
      <c r="G16" s="11" t="s">
        <v>740</v>
      </c>
      <c r="H16" s="11" t="s">
        <v>714</v>
      </c>
      <c r="I16" t="s">
        <v>704</v>
      </c>
    </row>
    <row r="17" spans="1:9" ht="32" x14ac:dyDescent="0.2">
      <c r="A17" s="15" t="s">
        <v>741</v>
      </c>
      <c r="B17" s="11" t="s">
        <v>742</v>
      </c>
      <c r="C17" s="11" t="s">
        <v>717</v>
      </c>
      <c r="D17" s="11" t="s">
        <v>668</v>
      </c>
      <c r="E17" s="11" t="s">
        <v>743</v>
      </c>
      <c r="F17" s="11" t="s">
        <v>739</v>
      </c>
      <c r="G17" s="11" t="s">
        <v>740</v>
      </c>
      <c r="H17" s="11" t="s">
        <v>720</v>
      </c>
      <c r="I17" t="s">
        <v>704</v>
      </c>
    </row>
    <row r="18" spans="1:9" ht="16" x14ac:dyDescent="0.2">
      <c r="A18" s="15" t="s">
        <v>744</v>
      </c>
      <c r="B18" s="11" t="s">
        <v>745</v>
      </c>
      <c r="C18" s="11" t="s">
        <v>746</v>
      </c>
      <c r="D18" s="11" t="s">
        <v>668</v>
      </c>
      <c r="E18" s="11" t="s">
        <v>747</v>
      </c>
      <c r="F18" s="11" t="s">
        <v>748</v>
      </c>
      <c r="G18" s="11" t="s">
        <v>749</v>
      </c>
      <c r="H18" s="11" t="s">
        <v>720</v>
      </c>
      <c r="I18" t="s">
        <v>704</v>
      </c>
    </row>
    <row r="19" spans="1:9" ht="32" x14ac:dyDescent="0.2">
      <c r="A19" s="15" t="s">
        <v>750</v>
      </c>
      <c r="B19" s="11" t="s">
        <v>751</v>
      </c>
      <c r="C19" s="11" t="s">
        <v>730</v>
      </c>
      <c r="D19" s="11" t="s">
        <v>668</v>
      </c>
      <c r="E19" s="11" t="s">
        <v>752</v>
      </c>
      <c r="F19" s="11" t="s">
        <v>753</v>
      </c>
      <c r="G19" s="11" t="s">
        <v>702</v>
      </c>
      <c r="H19" s="11" t="s">
        <v>703</v>
      </c>
      <c r="I19" t="s">
        <v>704</v>
      </c>
    </row>
    <row r="20" spans="1:9" ht="16" x14ac:dyDescent="0.2">
      <c r="A20" s="15" t="s">
        <v>754</v>
      </c>
      <c r="B20" s="11" t="s">
        <v>755</v>
      </c>
      <c r="C20" s="11" t="s">
        <v>756</v>
      </c>
      <c r="D20" s="11" t="s">
        <v>669</v>
      </c>
      <c r="E20" s="11" t="s">
        <v>757</v>
      </c>
      <c r="F20" s="11" t="s">
        <v>758</v>
      </c>
      <c r="G20" s="11" t="s">
        <v>759</v>
      </c>
      <c r="H20" s="11" t="s">
        <v>734</v>
      </c>
      <c r="I20" t="s">
        <v>704</v>
      </c>
    </row>
    <row r="21" spans="1:9" ht="32" x14ac:dyDescent="0.2">
      <c r="A21" s="15" t="s">
        <v>760</v>
      </c>
      <c r="B21" s="11" t="s">
        <v>761</v>
      </c>
      <c r="C21" s="11" t="s">
        <v>717</v>
      </c>
      <c r="D21" s="11" t="s">
        <v>669</v>
      </c>
      <c r="E21" s="11" t="s">
        <v>762</v>
      </c>
      <c r="F21" s="11" t="s">
        <v>758</v>
      </c>
      <c r="G21" s="11" t="s">
        <v>759</v>
      </c>
      <c r="H21" s="11" t="s">
        <v>703</v>
      </c>
      <c r="I21" t="s">
        <v>704</v>
      </c>
    </row>
    <row r="22" spans="1:9" ht="32" x14ac:dyDescent="0.2">
      <c r="A22" s="15" t="s">
        <v>763</v>
      </c>
      <c r="B22" s="11" t="s">
        <v>764</v>
      </c>
      <c r="C22" s="11" t="s">
        <v>765</v>
      </c>
      <c r="D22" s="11" t="s">
        <v>669</v>
      </c>
      <c r="E22" s="11" t="s">
        <v>766</v>
      </c>
      <c r="F22" s="11" t="s">
        <v>767</v>
      </c>
      <c r="G22" s="11" t="s">
        <v>713</v>
      </c>
      <c r="H22" s="11" t="s">
        <v>727</v>
      </c>
      <c r="I22" t="s">
        <v>704</v>
      </c>
    </row>
    <row r="23" spans="1:9" ht="16" x14ac:dyDescent="0.2">
      <c r="A23" s="15" t="s">
        <v>768</v>
      </c>
      <c r="B23" s="11" t="s">
        <v>769</v>
      </c>
      <c r="C23" s="11" t="s">
        <v>770</v>
      </c>
      <c r="D23" s="11" t="s">
        <v>669</v>
      </c>
      <c r="E23" s="11" t="s">
        <v>771</v>
      </c>
      <c r="F23" s="11" t="s">
        <v>772</v>
      </c>
      <c r="G23" s="11" t="s">
        <v>713</v>
      </c>
      <c r="H23" s="11" t="s">
        <v>714</v>
      </c>
      <c r="I23" t="s">
        <v>704</v>
      </c>
    </row>
    <row r="24" spans="1:9" ht="16" x14ac:dyDescent="0.2">
      <c r="A24" s="15" t="s">
        <v>773</v>
      </c>
      <c r="B24" s="11" t="s">
        <v>774</v>
      </c>
      <c r="C24" s="11" t="s">
        <v>746</v>
      </c>
      <c r="D24" s="11" t="s">
        <v>670</v>
      </c>
      <c r="E24" s="11" t="s">
        <v>775</v>
      </c>
      <c r="F24" s="11" t="s">
        <v>776</v>
      </c>
      <c r="G24" s="11" t="s">
        <v>777</v>
      </c>
      <c r="H24" s="11" t="s">
        <v>720</v>
      </c>
      <c r="I24" t="s">
        <v>704</v>
      </c>
    </row>
    <row r="25" spans="1:9" ht="32" x14ac:dyDescent="0.2">
      <c r="A25" s="15" t="s">
        <v>778</v>
      </c>
      <c r="B25" s="11" t="s">
        <v>779</v>
      </c>
      <c r="C25" s="11" t="s">
        <v>711</v>
      </c>
      <c r="D25" s="11" t="s">
        <v>670</v>
      </c>
      <c r="E25" s="11" t="s">
        <v>780</v>
      </c>
      <c r="F25" s="11" t="s">
        <v>701</v>
      </c>
      <c r="G25" s="11" t="s">
        <v>781</v>
      </c>
      <c r="H25" s="11" t="s">
        <v>714</v>
      </c>
      <c r="I25" t="s">
        <v>704</v>
      </c>
    </row>
    <row r="26" spans="1:9" ht="16" x14ac:dyDescent="0.2">
      <c r="A26" s="15" t="s">
        <v>782</v>
      </c>
      <c r="B26" s="11" t="s">
        <v>783</v>
      </c>
      <c r="C26" s="11" t="s">
        <v>784</v>
      </c>
      <c r="D26" s="11" t="s">
        <v>670</v>
      </c>
      <c r="E26" s="11" t="s">
        <v>785</v>
      </c>
      <c r="F26" s="11" t="s">
        <v>786</v>
      </c>
      <c r="G26" s="11" t="s">
        <v>787</v>
      </c>
      <c r="H26" s="11" t="s">
        <v>703</v>
      </c>
      <c r="I26" t="s">
        <v>704</v>
      </c>
    </row>
    <row r="27" spans="1:9" ht="16" x14ac:dyDescent="0.2">
      <c r="A27" s="15" t="s">
        <v>788</v>
      </c>
      <c r="B27" s="11" t="s">
        <v>789</v>
      </c>
      <c r="C27" s="11" t="s">
        <v>746</v>
      </c>
      <c r="D27" s="11" t="s">
        <v>671</v>
      </c>
      <c r="E27" s="11" t="s">
        <v>790</v>
      </c>
      <c r="F27" s="11" t="s">
        <v>791</v>
      </c>
      <c r="G27" s="11" t="s">
        <v>781</v>
      </c>
      <c r="H27" s="11" t="s">
        <v>720</v>
      </c>
      <c r="I27" t="s">
        <v>704</v>
      </c>
    </row>
    <row r="28" spans="1:9" ht="16" x14ac:dyDescent="0.2">
      <c r="A28" s="15" t="s">
        <v>792</v>
      </c>
      <c r="B28" s="11" t="s">
        <v>793</v>
      </c>
      <c r="C28" s="11" t="s">
        <v>723</v>
      </c>
      <c r="D28" s="11" t="s">
        <v>671</v>
      </c>
      <c r="E28" s="11" t="s">
        <v>794</v>
      </c>
      <c r="F28" s="11" t="s">
        <v>795</v>
      </c>
      <c r="G28" s="11" t="s">
        <v>702</v>
      </c>
      <c r="H28" s="11" t="s">
        <v>727</v>
      </c>
      <c r="I28" t="s">
        <v>704</v>
      </c>
    </row>
    <row r="29" spans="1:9" ht="32" x14ac:dyDescent="0.2">
      <c r="A29" s="15" t="s">
        <v>796</v>
      </c>
      <c r="B29" s="11" t="s">
        <v>797</v>
      </c>
      <c r="C29" s="11" t="s">
        <v>746</v>
      </c>
      <c r="D29" s="11" t="s">
        <v>671</v>
      </c>
      <c r="E29" s="11" t="s">
        <v>798</v>
      </c>
      <c r="F29" s="11" t="s">
        <v>753</v>
      </c>
      <c r="G29" s="11" t="s">
        <v>702</v>
      </c>
      <c r="H29" s="11" t="s">
        <v>720</v>
      </c>
      <c r="I29" t="s">
        <v>704</v>
      </c>
    </row>
    <row r="30" spans="1:9" ht="16" x14ac:dyDescent="0.2">
      <c r="A30" s="15" t="s">
        <v>799</v>
      </c>
      <c r="B30" s="11" t="s">
        <v>800</v>
      </c>
      <c r="C30" s="11" t="s">
        <v>770</v>
      </c>
      <c r="D30" s="11" t="s">
        <v>672</v>
      </c>
      <c r="E30" s="11" t="s">
        <v>801</v>
      </c>
      <c r="F30" s="11" t="s">
        <v>701</v>
      </c>
      <c r="G30" s="11" t="s">
        <v>702</v>
      </c>
      <c r="H30" s="11" t="s">
        <v>714</v>
      </c>
      <c r="I30" t="s">
        <v>704</v>
      </c>
    </row>
    <row r="31" spans="1:9" ht="16" x14ac:dyDescent="0.2">
      <c r="A31" s="15" t="s">
        <v>802</v>
      </c>
      <c r="B31" s="11" t="s">
        <v>803</v>
      </c>
      <c r="C31" s="11" t="s">
        <v>723</v>
      </c>
      <c r="D31" s="11" t="s">
        <v>672</v>
      </c>
      <c r="E31" s="11" t="s">
        <v>804</v>
      </c>
      <c r="F31" s="11" t="s">
        <v>805</v>
      </c>
      <c r="G31" s="11" t="s">
        <v>702</v>
      </c>
      <c r="H31" s="11" t="s">
        <v>727</v>
      </c>
      <c r="I31" t="s">
        <v>704</v>
      </c>
    </row>
    <row r="32" spans="1:9" ht="32" x14ac:dyDescent="0.2">
      <c r="A32" s="15" t="s">
        <v>806</v>
      </c>
      <c r="B32" s="11" t="s">
        <v>807</v>
      </c>
      <c r="C32" s="11" t="s">
        <v>707</v>
      </c>
      <c r="D32" s="11" t="s">
        <v>672</v>
      </c>
      <c r="E32" s="11" t="s">
        <v>808</v>
      </c>
      <c r="F32" s="11" t="s">
        <v>758</v>
      </c>
      <c r="G32" s="11" t="s">
        <v>777</v>
      </c>
      <c r="H32" s="11" t="s">
        <v>720</v>
      </c>
      <c r="I32" t="s">
        <v>704</v>
      </c>
    </row>
    <row r="33" spans="1:9" ht="32" x14ac:dyDescent="0.2">
      <c r="A33" s="15" t="s">
        <v>809</v>
      </c>
      <c r="B33" s="11" t="s">
        <v>810</v>
      </c>
      <c r="C33" s="11" t="s">
        <v>811</v>
      </c>
      <c r="D33" s="11" t="s">
        <v>673</v>
      </c>
      <c r="E33" s="11" t="s">
        <v>812</v>
      </c>
      <c r="F33" s="11" t="s">
        <v>813</v>
      </c>
      <c r="G33" s="11" t="s">
        <v>814</v>
      </c>
      <c r="H33" s="11" t="s">
        <v>720</v>
      </c>
      <c r="I33" t="s">
        <v>704</v>
      </c>
    </row>
    <row r="34" spans="1:9" ht="32" x14ac:dyDescent="0.2">
      <c r="A34" s="15" t="s">
        <v>815</v>
      </c>
      <c r="B34" s="11" t="s">
        <v>816</v>
      </c>
      <c r="C34" s="11" t="s">
        <v>770</v>
      </c>
      <c r="D34" s="11" t="s">
        <v>673</v>
      </c>
      <c r="E34" s="11" t="s">
        <v>817</v>
      </c>
      <c r="F34" s="11" t="s">
        <v>739</v>
      </c>
      <c r="G34" s="11" t="s">
        <v>702</v>
      </c>
      <c r="H34" s="11" t="s">
        <v>714</v>
      </c>
      <c r="I34" t="s">
        <v>704</v>
      </c>
    </row>
    <row r="35" spans="1:9" ht="32" x14ac:dyDescent="0.2">
      <c r="A35" s="15" t="s">
        <v>818</v>
      </c>
      <c r="B35" s="11" t="s">
        <v>819</v>
      </c>
      <c r="C35" s="11" t="s">
        <v>820</v>
      </c>
      <c r="D35" s="11" t="s">
        <v>673</v>
      </c>
      <c r="E35" s="11" t="s">
        <v>821</v>
      </c>
      <c r="F35" s="11" t="s">
        <v>822</v>
      </c>
      <c r="G35" s="11" t="s">
        <v>702</v>
      </c>
      <c r="H35" s="11" t="s">
        <v>703</v>
      </c>
      <c r="I35" t="s">
        <v>704</v>
      </c>
    </row>
    <row r="36" spans="1:9" ht="32" x14ac:dyDescent="0.2">
      <c r="A36" s="15" t="s">
        <v>823</v>
      </c>
      <c r="B36" s="11" t="s">
        <v>824</v>
      </c>
      <c r="C36" s="11" t="s">
        <v>825</v>
      </c>
      <c r="D36" s="11" t="s">
        <v>674</v>
      </c>
      <c r="E36" s="11" t="s">
        <v>826</v>
      </c>
      <c r="F36" s="11" t="s">
        <v>827</v>
      </c>
      <c r="G36" s="11" t="s">
        <v>828</v>
      </c>
      <c r="H36" s="11" t="s">
        <v>720</v>
      </c>
      <c r="I36" t="s">
        <v>704</v>
      </c>
    </row>
    <row r="37" spans="1:9" ht="32" x14ac:dyDescent="0.2">
      <c r="A37" s="15" t="s">
        <v>829</v>
      </c>
      <c r="B37" s="11" t="s">
        <v>830</v>
      </c>
      <c r="C37" s="11" t="s">
        <v>831</v>
      </c>
      <c r="D37" s="11" t="s">
        <v>674</v>
      </c>
      <c r="E37" s="11" t="s">
        <v>832</v>
      </c>
      <c r="F37" s="11" t="s">
        <v>833</v>
      </c>
      <c r="G37" s="11" t="s">
        <v>834</v>
      </c>
      <c r="H37" s="11" t="s">
        <v>703</v>
      </c>
      <c r="I37" t="s">
        <v>704</v>
      </c>
    </row>
    <row r="38" spans="1:9" ht="32" x14ac:dyDescent="0.2">
      <c r="A38" s="15" t="s">
        <v>835</v>
      </c>
      <c r="B38" s="11" t="s">
        <v>836</v>
      </c>
      <c r="C38" s="11" t="s">
        <v>746</v>
      </c>
      <c r="D38" s="11" t="s">
        <v>674</v>
      </c>
      <c r="E38" s="11" t="s">
        <v>837</v>
      </c>
      <c r="F38" s="11" t="s">
        <v>838</v>
      </c>
      <c r="G38" s="11" t="s">
        <v>839</v>
      </c>
      <c r="H38" s="11" t="s">
        <v>720</v>
      </c>
      <c r="I38" t="s">
        <v>704</v>
      </c>
    </row>
    <row r="39" spans="1:9" ht="16" x14ac:dyDescent="0.2">
      <c r="A39" s="15" t="s">
        <v>840</v>
      </c>
      <c r="B39" s="11" t="s">
        <v>841</v>
      </c>
      <c r="C39" s="11" t="s">
        <v>746</v>
      </c>
      <c r="D39" s="11" t="s">
        <v>675</v>
      </c>
      <c r="E39" s="11" t="s">
        <v>842</v>
      </c>
      <c r="F39" s="11" t="s">
        <v>843</v>
      </c>
      <c r="G39" s="11" t="s">
        <v>844</v>
      </c>
      <c r="H39" s="11" t="s">
        <v>720</v>
      </c>
      <c r="I39" t="s">
        <v>704</v>
      </c>
    </row>
    <row r="40" spans="1:9" ht="32" x14ac:dyDescent="0.2">
      <c r="A40" s="15" t="s">
        <v>845</v>
      </c>
      <c r="B40" s="11" t="s">
        <v>846</v>
      </c>
      <c r="C40" s="11" t="s">
        <v>831</v>
      </c>
      <c r="D40" s="11" t="s">
        <v>675</v>
      </c>
      <c r="E40" s="11" t="s">
        <v>847</v>
      </c>
      <c r="F40" s="11" t="s">
        <v>848</v>
      </c>
      <c r="G40" s="11" t="s">
        <v>844</v>
      </c>
      <c r="H40" s="11" t="s">
        <v>703</v>
      </c>
      <c r="I40" t="s">
        <v>704</v>
      </c>
    </row>
    <row r="41" spans="1:9" ht="32" x14ac:dyDescent="0.2">
      <c r="A41" s="15" t="s">
        <v>849</v>
      </c>
      <c r="B41" s="11" t="s">
        <v>850</v>
      </c>
      <c r="C41" s="11" t="s">
        <v>851</v>
      </c>
      <c r="D41" s="11" t="s">
        <v>675</v>
      </c>
      <c r="E41" s="11" t="s">
        <v>852</v>
      </c>
      <c r="F41" s="11" t="s">
        <v>853</v>
      </c>
      <c r="G41" s="11" t="s">
        <v>844</v>
      </c>
      <c r="H41" s="11" t="s">
        <v>720</v>
      </c>
      <c r="I41" t="s">
        <v>704</v>
      </c>
    </row>
    <row r="42" spans="1:9" ht="32" x14ac:dyDescent="0.2">
      <c r="A42" s="15" t="s">
        <v>854</v>
      </c>
      <c r="B42" s="11" t="s">
        <v>855</v>
      </c>
      <c r="C42" s="11" t="s">
        <v>856</v>
      </c>
      <c r="D42" s="11" t="s">
        <v>676</v>
      </c>
      <c r="E42" s="11" t="s">
        <v>857</v>
      </c>
      <c r="F42" s="11" t="s">
        <v>858</v>
      </c>
      <c r="G42" s="11" t="s">
        <v>781</v>
      </c>
      <c r="H42" s="11" t="s">
        <v>703</v>
      </c>
      <c r="I42" t="s">
        <v>704</v>
      </c>
    </row>
    <row r="43" spans="1:9" ht="16" x14ac:dyDescent="0.2">
      <c r="A43" s="15" t="s">
        <v>859</v>
      </c>
      <c r="B43" s="11" t="s">
        <v>860</v>
      </c>
      <c r="C43" s="11" t="s">
        <v>746</v>
      </c>
      <c r="D43" s="11" t="s">
        <v>676</v>
      </c>
      <c r="E43" s="11" t="s">
        <v>861</v>
      </c>
      <c r="F43" s="11" t="s">
        <v>862</v>
      </c>
      <c r="G43" s="11" t="s">
        <v>781</v>
      </c>
      <c r="H43" s="11" t="s">
        <v>720</v>
      </c>
      <c r="I43" t="s">
        <v>704</v>
      </c>
    </row>
    <row r="44" spans="1:9" ht="32" x14ac:dyDescent="0.2">
      <c r="A44" s="15" t="s">
        <v>863</v>
      </c>
      <c r="B44" s="11" t="s">
        <v>864</v>
      </c>
      <c r="C44" s="11" t="s">
        <v>707</v>
      </c>
      <c r="D44" s="11" t="s">
        <v>676</v>
      </c>
      <c r="E44" s="11" t="s">
        <v>865</v>
      </c>
      <c r="F44" s="11" t="s">
        <v>758</v>
      </c>
      <c r="G44" s="11" t="s">
        <v>781</v>
      </c>
      <c r="H44" s="11" t="s">
        <v>720</v>
      </c>
      <c r="I44" t="s">
        <v>704</v>
      </c>
    </row>
    <row r="45" spans="1:9" ht="16" x14ac:dyDescent="0.2">
      <c r="A45" s="15" t="s">
        <v>866</v>
      </c>
      <c r="B45" s="11" t="s">
        <v>867</v>
      </c>
      <c r="C45" s="11" t="s">
        <v>770</v>
      </c>
      <c r="D45" s="11" t="s">
        <v>677</v>
      </c>
      <c r="E45" s="11" t="s">
        <v>868</v>
      </c>
      <c r="F45" s="11" t="s">
        <v>701</v>
      </c>
      <c r="G45" s="11" t="s">
        <v>719</v>
      </c>
      <c r="H45" s="11" t="s">
        <v>714</v>
      </c>
      <c r="I45" t="s">
        <v>704</v>
      </c>
    </row>
    <row r="46" spans="1:9" ht="32" x14ac:dyDescent="0.2">
      <c r="A46" s="15" t="s">
        <v>869</v>
      </c>
      <c r="B46" s="11" t="s">
        <v>870</v>
      </c>
      <c r="C46" s="11" t="s">
        <v>737</v>
      </c>
      <c r="D46" s="11" t="s">
        <v>677</v>
      </c>
      <c r="E46" s="11" t="s">
        <v>871</v>
      </c>
      <c r="F46" s="11" t="s">
        <v>701</v>
      </c>
      <c r="G46" s="11" t="s">
        <v>719</v>
      </c>
      <c r="H46" s="11" t="s">
        <v>714</v>
      </c>
      <c r="I46" t="s">
        <v>704</v>
      </c>
    </row>
    <row r="47" spans="1:9" ht="32" x14ac:dyDescent="0.2">
      <c r="A47" s="15" t="s">
        <v>872</v>
      </c>
      <c r="B47" s="11" t="s">
        <v>873</v>
      </c>
      <c r="C47" s="11" t="s">
        <v>770</v>
      </c>
      <c r="D47" s="11" t="s">
        <v>677</v>
      </c>
      <c r="E47" s="11" t="s">
        <v>874</v>
      </c>
      <c r="F47" s="11" t="s">
        <v>701</v>
      </c>
      <c r="G47" s="11" t="s">
        <v>719</v>
      </c>
      <c r="H47" s="11" t="s">
        <v>714</v>
      </c>
      <c r="I47" t="s">
        <v>704</v>
      </c>
    </row>
    <row r="48" spans="1:9" ht="32" x14ac:dyDescent="0.2">
      <c r="A48" s="15" t="s">
        <v>875</v>
      </c>
      <c r="B48" s="11" t="s">
        <v>876</v>
      </c>
      <c r="C48" s="11" t="s">
        <v>877</v>
      </c>
      <c r="D48" s="11" t="s">
        <v>677</v>
      </c>
      <c r="E48" s="11" t="s">
        <v>878</v>
      </c>
      <c r="F48" s="11" t="s">
        <v>753</v>
      </c>
      <c r="G48" s="11" t="s">
        <v>879</v>
      </c>
      <c r="H48" s="11" t="s">
        <v>727</v>
      </c>
      <c r="I48" t="s">
        <v>704</v>
      </c>
    </row>
    <row r="49" spans="1:9" ht="32" x14ac:dyDescent="0.2">
      <c r="A49" s="15" t="s">
        <v>880</v>
      </c>
      <c r="B49" s="11" t="s">
        <v>881</v>
      </c>
      <c r="C49" s="11" t="s">
        <v>882</v>
      </c>
      <c r="D49" s="11" t="s">
        <v>677</v>
      </c>
      <c r="E49" s="11" t="s">
        <v>883</v>
      </c>
      <c r="F49" s="11" t="s">
        <v>739</v>
      </c>
      <c r="G49" s="11" t="s">
        <v>719</v>
      </c>
      <c r="H49" s="11" t="s">
        <v>720</v>
      </c>
      <c r="I49" t="s">
        <v>704</v>
      </c>
    </row>
    <row r="50" spans="1:9" x14ac:dyDescent="0.2">
      <c r="A50" s="15" t="s">
        <v>884</v>
      </c>
      <c r="B50" s="11"/>
      <c r="C50" s="11"/>
      <c r="D50" s="11"/>
      <c r="E50" s="11"/>
      <c r="F50" s="11"/>
      <c r="G50" s="11"/>
      <c r="H50" s="11"/>
    </row>
    <row r="51" spans="1:9" x14ac:dyDescent="0.2">
      <c r="A51" s="15" t="s">
        <v>885</v>
      </c>
      <c r="B51" s="11"/>
      <c r="C51" s="11"/>
      <c r="D51" s="11"/>
      <c r="E51" s="11"/>
      <c r="F51" s="11"/>
      <c r="G51" s="11"/>
      <c r="H51" s="11"/>
    </row>
    <row r="52" spans="1:9" x14ac:dyDescent="0.2">
      <c r="A52" s="15" t="s">
        <v>886</v>
      </c>
      <c r="B52" s="11"/>
      <c r="C52" s="11"/>
      <c r="D52" s="11"/>
      <c r="E52" s="11"/>
      <c r="F52" s="11"/>
      <c r="G52" s="11"/>
      <c r="H52" s="11"/>
    </row>
    <row r="53" spans="1:9" x14ac:dyDescent="0.2">
      <c r="A53" s="15" t="s">
        <v>887</v>
      </c>
      <c r="B53" s="11"/>
      <c r="C53" s="11"/>
      <c r="D53" s="11"/>
      <c r="E53" s="11"/>
      <c r="F53" s="11"/>
      <c r="G53" s="11"/>
      <c r="H53" s="11"/>
    </row>
    <row r="54" spans="1:9" x14ac:dyDescent="0.2">
      <c r="A54" s="15" t="s">
        <v>888</v>
      </c>
      <c r="B54" s="11"/>
      <c r="C54" s="11"/>
      <c r="D54" s="11"/>
      <c r="E54" s="11"/>
      <c r="F54" s="11"/>
      <c r="G54" s="11"/>
      <c r="H54" s="11"/>
    </row>
    <row r="55" spans="1:9" x14ac:dyDescent="0.2">
      <c r="A55" s="15" t="s">
        <v>889</v>
      </c>
      <c r="B55" s="11"/>
      <c r="C55" s="11"/>
      <c r="D55" s="11"/>
      <c r="E55" s="11"/>
      <c r="F55" s="11"/>
      <c r="G55" s="11"/>
      <c r="H55" s="11"/>
    </row>
    <row r="56" spans="1:9" x14ac:dyDescent="0.2">
      <c r="A56" s="15" t="s">
        <v>890</v>
      </c>
      <c r="B56" s="11"/>
      <c r="C56" s="11"/>
      <c r="D56" s="11"/>
      <c r="E56" s="11"/>
      <c r="F56" s="11"/>
      <c r="G56" s="11"/>
      <c r="H56" s="11"/>
    </row>
    <row r="57" spans="1:9" x14ac:dyDescent="0.2">
      <c r="A57" s="15" t="s">
        <v>891</v>
      </c>
      <c r="B57" s="11"/>
      <c r="C57" s="11"/>
      <c r="D57" s="11"/>
      <c r="E57" s="11"/>
      <c r="F57" s="11"/>
      <c r="G57" s="11"/>
      <c r="H57" s="11"/>
    </row>
    <row r="58" spans="1:9" x14ac:dyDescent="0.2">
      <c r="A58" s="15" t="s">
        <v>892</v>
      </c>
      <c r="B58" s="11"/>
      <c r="C58" s="11"/>
      <c r="D58" s="11"/>
      <c r="E58" s="11"/>
      <c r="F58" s="11"/>
      <c r="G58" s="11"/>
      <c r="H58" s="11"/>
    </row>
    <row r="59" spans="1:9" x14ac:dyDescent="0.2">
      <c r="A59" s="15" t="s">
        <v>893</v>
      </c>
      <c r="B59" s="11"/>
      <c r="C59" s="11"/>
      <c r="D59" s="11"/>
      <c r="E59" s="11"/>
      <c r="F59" s="11"/>
      <c r="G59" s="11"/>
      <c r="H59" s="11"/>
    </row>
    <row r="60" spans="1:9" x14ac:dyDescent="0.2">
      <c r="A60" s="15" t="s">
        <v>894</v>
      </c>
      <c r="B60" s="11"/>
      <c r="C60" s="11"/>
      <c r="D60" s="11"/>
      <c r="E60" s="11"/>
      <c r="F60" s="11"/>
      <c r="G60" s="11"/>
      <c r="H60" s="11"/>
    </row>
    <row r="61" spans="1:9" x14ac:dyDescent="0.2">
      <c r="A61" s="15" t="s">
        <v>895</v>
      </c>
      <c r="B61" s="11"/>
      <c r="C61" s="11"/>
      <c r="D61" s="11"/>
      <c r="E61" s="11"/>
      <c r="F61" s="11"/>
      <c r="G61" s="11"/>
      <c r="H61" s="11"/>
    </row>
    <row r="62" spans="1:9" x14ac:dyDescent="0.2">
      <c r="A62" s="15" t="s">
        <v>896</v>
      </c>
      <c r="B62" s="11"/>
      <c r="C62" s="11"/>
      <c r="D62" s="11"/>
      <c r="E62" s="11"/>
      <c r="F62" s="11"/>
      <c r="G62" s="11"/>
      <c r="H62" s="11"/>
    </row>
    <row r="63" spans="1:9" x14ac:dyDescent="0.2">
      <c r="A63" s="15" t="s">
        <v>897</v>
      </c>
      <c r="B63" s="11"/>
      <c r="C63" s="11"/>
      <c r="D63" s="11"/>
      <c r="E63" s="11"/>
      <c r="F63" s="11"/>
      <c r="G63" s="11"/>
      <c r="H63" s="11"/>
    </row>
    <row r="64" spans="1:9" x14ac:dyDescent="0.2">
      <c r="A64" s="15" t="s">
        <v>898</v>
      </c>
      <c r="B64" s="11"/>
      <c r="C64" s="11"/>
      <c r="D64" s="11"/>
      <c r="E64" s="11"/>
      <c r="F64" s="11"/>
      <c r="G64" s="11"/>
      <c r="H64" s="11"/>
    </row>
    <row r="65" spans="1:8" x14ac:dyDescent="0.2">
      <c r="A65" s="15" t="s">
        <v>899</v>
      </c>
      <c r="B65" s="11"/>
      <c r="C65" s="11"/>
      <c r="D65" s="11"/>
      <c r="E65" s="11"/>
      <c r="F65" s="11"/>
      <c r="G65" s="11"/>
      <c r="H65" s="11"/>
    </row>
    <row r="66" spans="1:8" x14ac:dyDescent="0.2">
      <c r="A66" s="15" t="s">
        <v>900</v>
      </c>
      <c r="B66" s="11"/>
      <c r="C66" s="11"/>
      <c r="D66" s="11"/>
      <c r="E66" s="11"/>
      <c r="F66" s="11"/>
      <c r="G66" s="11"/>
      <c r="H66" s="11"/>
    </row>
    <row r="67" spans="1:8" x14ac:dyDescent="0.2">
      <c r="A67" s="15" t="s">
        <v>901</v>
      </c>
      <c r="B67" s="11"/>
      <c r="C67" s="11"/>
      <c r="D67" s="11"/>
      <c r="E67" s="11"/>
      <c r="F67" s="11"/>
      <c r="G67" s="11"/>
      <c r="H67" s="11"/>
    </row>
    <row r="68" spans="1:8" x14ac:dyDescent="0.2">
      <c r="A68" s="15" t="s">
        <v>902</v>
      </c>
      <c r="B68" s="11"/>
      <c r="C68" s="11"/>
      <c r="D68" s="11"/>
      <c r="E68" s="11"/>
      <c r="F68" s="11"/>
      <c r="G68" s="11"/>
      <c r="H68" s="11"/>
    </row>
    <row r="69" spans="1:8" x14ac:dyDescent="0.2">
      <c r="A69" s="15" t="s">
        <v>903</v>
      </c>
      <c r="B69" s="11"/>
      <c r="C69" s="11"/>
      <c r="D69" s="11"/>
      <c r="E69" s="11"/>
      <c r="F69" s="11"/>
      <c r="G69" s="11"/>
      <c r="H69" s="11"/>
    </row>
    <row r="70" spans="1:8" x14ac:dyDescent="0.2">
      <c r="A70" s="15" t="s">
        <v>904</v>
      </c>
      <c r="B70" s="11"/>
      <c r="C70" s="11"/>
      <c r="D70" s="11"/>
      <c r="E70" s="11"/>
      <c r="F70" s="11"/>
      <c r="G70" s="11"/>
      <c r="H70" s="11"/>
    </row>
    <row r="71" spans="1:8" x14ac:dyDescent="0.2">
      <c r="A71" s="15" t="s">
        <v>905</v>
      </c>
      <c r="B71" s="11"/>
      <c r="C71" s="11"/>
      <c r="D71" s="11"/>
      <c r="E71" s="11"/>
      <c r="F71" s="11"/>
      <c r="G71" s="11"/>
      <c r="H71" s="11"/>
    </row>
    <row r="72" spans="1:8" x14ac:dyDescent="0.2">
      <c r="A72" s="15" t="s">
        <v>906</v>
      </c>
      <c r="B72" s="11"/>
      <c r="C72" s="11"/>
      <c r="D72" s="11"/>
      <c r="E72" s="11"/>
      <c r="F72" s="11"/>
      <c r="G72" s="11"/>
      <c r="H72" s="11"/>
    </row>
    <row r="73" spans="1:8" x14ac:dyDescent="0.2">
      <c r="A73" s="15" t="s">
        <v>907</v>
      </c>
      <c r="B73" s="11"/>
      <c r="C73" s="11"/>
      <c r="D73" s="11"/>
      <c r="E73" s="11"/>
      <c r="F73" s="11"/>
      <c r="G73" s="11"/>
      <c r="H73" s="11"/>
    </row>
    <row r="74" spans="1:8" x14ac:dyDescent="0.2">
      <c r="A74" s="15" t="s">
        <v>908</v>
      </c>
      <c r="B74" s="11"/>
      <c r="C74" s="11"/>
      <c r="D74" s="11"/>
      <c r="E74" s="11"/>
      <c r="F74" s="11"/>
      <c r="G74" s="11"/>
      <c r="H74" s="11"/>
    </row>
    <row r="75" spans="1:8" x14ac:dyDescent="0.2">
      <c r="A75" s="15" t="s">
        <v>909</v>
      </c>
      <c r="B75" s="11"/>
      <c r="C75" s="11"/>
      <c r="D75" s="11"/>
      <c r="E75" s="11"/>
      <c r="F75" s="11"/>
      <c r="G75" s="11"/>
      <c r="H75" s="11"/>
    </row>
    <row r="76" spans="1:8" x14ac:dyDescent="0.2">
      <c r="A76" s="15" t="s">
        <v>910</v>
      </c>
      <c r="B76" s="11"/>
      <c r="C76" s="11"/>
      <c r="D76" s="11"/>
      <c r="E76" s="11"/>
      <c r="F76" s="11"/>
      <c r="G76" s="11"/>
      <c r="H76" s="11"/>
    </row>
    <row r="77" spans="1:8" x14ac:dyDescent="0.2">
      <c r="A77" s="15" t="s">
        <v>911</v>
      </c>
      <c r="B77" s="11"/>
      <c r="C77" s="11"/>
      <c r="D77" s="11"/>
      <c r="E77" s="11"/>
      <c r="F77" s="11"/>
      <c r="G77" s="11"/>
      <c r="H77" s="11"/>
    </row>
    <row r="78" spans="1:8" x14ac:dyDescent="0.2">
      <c r="A78" s="15" t="s">
        <v>912</v>
      </c>
      <c r="B78" s="11"/>
      <c r="C78" s="11"/>
      <c r="D78" s="11"/>
      <c r="E78" s="11"/>
      <c r="F78" s="11"/>
      <c r="G78" s="11"/>
      <c r="H78" s="11"/>
    </row>
    <row r="79" spans="1:8" x14ac:dyDescent="0.2">
      <c r="A79" s="15" t="s">
        <v>913</v>
      </c>
      <c r="B79" s="11"/>
      <c r="C79" s="11"/>
      <c r="D79" s="11"/>
      <c r="E79" s="11"/>
      <c r="F79" s="11"/>
      <c r="G79" s="11"/>
      <c r="H79" s="11"/>
    </row>
    <row r="80" spans="1:8" x14ac:dyDescent="0.2">
      <c r="A80" s="15" t="s">
        <v>914</v>
      </c>
      <c r="B80" s="11"/>
      <c r="C80" s="11"/>
      <c r="D80" s="11"/>
      <c r="E80" s="11"/>
      <c r="F80" s="11"/>
      <c r="G80" s="11"/>
      <c r="H80" s="11"/>
    </row>
    <row r="81" spans="1:8" x14ac:dyDescent="0.2">
      <c r="A81" s="15" t="s">
        <v>915</v>
      </c>
      <c r="B81" s="11"/>
      <c r="C81" s="11"/>
      <c r="D81" s="11"/>
      <c r="E81" s="11"/>
      <c r="F81" s="11"/>
      <c r="G81" s="11"/>
      <c r="H81" s="11"/>
    </row>
    <row r="82" spans="1:8" x14ac:dyDescent="0.2">
      <c r="A82" s="15" t="s">
        <v>916</v>
      </c>
      <c r="B82" s="11"/>
      <c r="C82" s="11"/>
      <c r="D82" s="11"/>
      <c r="E82" s="11"/>
      <c r="F82" s="11"/>
      <c r="G82" s="11"/>
      <c r="H82" s="11"/>
    </row>
    <row r="83" spans="1:8" x14ac:dyDescent="0.2">
      <c r="A83" s="15" t="s">
        <v>917</v>
      </c>
      <c r="B83" s="11"/>
      <c r="C83" s="11"/>
      <c r="D83" s="11"/>
      <c r="E83" s="11"/>
      <c r="F83" s="11"/>
      <c r="G83" s="11"/>
      <c r="H83" s="11"/>
    </row>
    <row r="84" spans="1:8" x14ac:dyDescent="0.2">
      <c r="A84" s="15" t="s">
        <v>918</v>
      </c>
      <c r="B84" s="11"/>
      <c r="C84" s="11"/>
      <c r="D84" s="11"/>
      <c r="E84" s="11"/>
      <c r="F84" s="11"/>
      <c r="G84" s="11"/>
      <c r="H84" s="11"/>
    </row>
    <row r="85" spans="1:8" x14ac:dyDescent="0.2">
      <c r="A85" s="15" t="s">
        <v>919</v>
      </c>
      <c r="B85" s="11"/>
      <c r="C85" s="11"/>
      <c r="D85" s="11"/>
      <c r="E85" s="11"/>
      <c r="F85" s="11"/>
      <c r="G85" s="11"/>
      <c r="H85" s="11"/>
    </row>
    <row r="86" spans="1:8" x14ac:dyDescent="0.2">
      <c r="A86" s="15" t="s">
        <v>920</v>
      </c>
      <c r="B86" s="11"/>
      <c r="C86" s="11"/>
      <c r="D86" s="11"/>
      <c r="E86" s="11"/>
      <c r="F86" s="11"/>
      <c r="G86" s="11"/>
      <c r="H86" s="11"/>
    </row>
    <row r="87" spans="1:8" x14ac:dyDescent="0.2">
      <c r="A87" s="15" t="s">
        <v>921</v>
      </c>
      <c r="B87" s="11"/>
      <c r="C87" s="11"/>
      <c r="D87" s="11"/>
      <c r="E87" s="11"/>
      <c r="F87" s="11"/>
      <c r="G87" s="11"/>
      <c r="H87" s="11"/>
    </row>
    <row r="88" spans="1:8" x14ac:dyDescent="0.2">
      <c r="A88" s="15" t="s">
        <v>922</v>
      </c>
      <c r="B88" s="11"/>
      <c r="C88" s="11"/>
      <c r="D88" s="11"/>
      <c r="E88" s="11"/>
      <c r="F88" s="11"/>
      <c r="G88" s="11"/>
      <c r="H88" s="11"/>
    </row>
    <row r="89" spans="1:8" x14ac:dyDescent="0.2">
      <c r="A89" s="15" t="s">
        <v>923</v>
      </c>
      <c r="B89" s="11"/>
      <c r="C89" s="11"/>
      <c r="D89" s="11"/>
      <c r="E89" s="11"/>
      <c r="F89" s="11"/>
      <c r="G89" s="11"/>
      <c r="H89" s="11"/>
    </row>
    <row r="90" spans="1:8" x14ac:dyDescent="0.2">
      <c r="A90" s="15" t="s">
        <v>924</v>
      </c>
      <c r="B90" s="11"/>
      <c r="C90" s="11"/>
      <c r="D90" s="11"/>
      <c r="E90" s="11"/>
      <c r="F90" s="11"/>
      <c r="G90" s="11"/>
      <c r="H90" s="11"/>
    </row>
    <row r="91" spans="1:8" x14ac:dyDescent="0.2">
      <c r="A91" s="15" t="s">
        <v>925</v>
      </c>
      <c r="B91" s="11"/>
      <c r="C91" s="11"/>
      <c r="D91" s="11"/>
      <c r="E91" s="11"/>
      <c r="F91" s="11"/>
      <c r="G91" s="11"/>
      <c r="H91" s="11"/>
    </row>
    <row r="92" spans="1:8" x14ac:dyDescent="0.2">
      <c r="A92" s="15" t="s">
        <v>926</v>
      </c>
      <c r="B92" s="11"/>
      <c r="C92" s="11"/>
      <c r="D92" s="11"/>
      <c r="E92" s="11"/>
      <c r="F92" s="11"/>
      <c r="G92" s="11"/>
      <c r="H92" s="11"/>
    </row>
    <row r="93" spans="1:8" x14ac:dyDescent="0.2">
      <c r="A93" s="15" t="s">
        <v>927</v>
      </c>
      <c r="B93" s="11"/>
      <c r="C93" s="11"/>
      <c r="D93" s="11"/>
      <c r="E93" s="11"/>
      <c r="F93" s="11"/>
      <c r="G93" s="11"/>
      <c r="H93" s="11"/>
    </row>
    <row r="94" spans="1:8" x14ac:dyDescent="0.2">
      <c r="A94" s="15" t="s">
        <v>928</v>
      </c>
      <c r="B94" s="11"/>
      <c r="C94" s="11"/>
      <c r="D94" s="11"/>
      <c r="E94" s="11"/>
      <c r="F94" s="11"/>
      <c r="G94" s="11"/>
      <c r="H94" s="11"/>
    </row>
    <row r="95" spans="1:8" x14ac:dyDescent="0.2">
      <c r="A95" s="15" t="s">
        <v>929</v>
      </c>
      <c r="B95" s="11"/>
      <c r="C95" s="11"/>
      <c r="D95" s="11"/>
      <c r="E95" s="11"/>
      <c r="F95" s="11"/>
      <c r="G95" s="11"/>
      <c r="H95" s="11"/>
    </row>
    <row r="96" spans="1:8" x14ac:dyDescent="0.2">
      <c r="A96" s="15" t="s">
        <v>930</v>
      </c>
      <c r="B96" s="11"/>
      <c r="C96" s="11"/>
      <c r="D96" s="11"/>
      <c r="E96" s="11"/>
      <c r="F96" s="11"/>
      <c r="G96" s="11"/>
      <c r="H96" s="11"/>
    </row>
    <row r="97" spans="1:8" x14ac:dyDescent="0.2">
      <c r="A97" s="15" t="s">
        <v>931</v>
      </c>
      <c r="B97" s="11"/>
      <c r="C97" s="11"/>
      <c r="D97" s="11"/>
      <c r="E97" s="11"/>
      <c r="F97" s="11"/>
      <c r="G97" s="11"/>
      <c r="H97" s="11"/>
    </row>
    <row r="98" spans="1:8" x14ac:dyDescent="0.2">
      <c r="A98" s="15" t="s">
        <v>932</v>
      </c>
      <c r="B98" s="11"/>
      <c r="C98" s="11"/>
      <c r="D98" s="11"/>
      <c r="E98" s="11"/>
      <c r="F98" s="11"/>
      <c r="G98" s="11"/>
      <c r="H98" s="11"/>
    </row>
    <row r="99" spans="1:8" x14ac:dyDescent="0.2">
      <c r="A99" s="15" t="s">
        <v>933</v>
      </c>
      <c r="B99" s="11"/>
      <c r="C99" s="11"/>
      <c r="D99" s="11"/>
      <c r="E99" s="11"/>
      <c r="F99" s="11"/>
      <c r="G99" s="11"/>
      <c r="H99" s="11"/>
    </row>
    <row r="100" spans="1:8" x14ac:dyDescent="0.2">
      <c r="A100" s="15" t="s">
        <v>934</v>
      </c>
      <c r="B100" s="11"/>
      <c r="C100" s="11"/>
      <c r="D100" s="11"/>
      <c r="E100" s="11"/>
      <c r="F100" s="11"/>
      <c r="G100" s="11"/>
      <c r="H100" s="11"/>
    </row>
    <row r="101" spans="1:8" x14ac:dyDescent="0.2">
      <c r="A101" s="15" t="s">
        <v>935</v>
      </c>
      <c r="B101" s="11"/>
      <c r="C101" s="11"/>
      <c r="D101" s="11"/>
      <c r="E101" s="11"/>
      <c r="F101" s="11"/>
      <c r="G101" s="11"/>
      <c r="H101" s="11"/>
    </row>
    <row r="102" spans="1:8" x14ac:dyDescent="0.2">
      <c r="A102" s="15" t="s">
        <v>936</v>
      </c>
      <c r="B102" s="11"/>
      <c r="C102" s="11"/>
      <c r="D102" s="11"/>
      <c r="E102" s="11"/>
      <c r="F102" s="11"/>
      <c r="G102" s="11"/>
      <c r="H102" s="11"/>
    </row>
    <row r="103" spans="1:8" x14ac:dyDescent="0.2">
      <c r="A103" s="15" t="s">
        <v>937</v>
      </c>
      <c r="B103" s="11"/>
      <c r="C103" s="11"/>
      <c r="D103" s="11"/>
      <c r="E103" s="11"/>
      <c r="F103" s="11"/>
      <c r="G103" s="11"/>
      <c r="H103" s="11"/>
    </row>
    <row r="104" spans="1:8" x14ac:dyDescent="0.2">
      <c r="A104" s="15" t="s">
        <v>938</v>
      </c>
      <c r="B104" s="11"/>
      <c r="C104" s="11"/>
      <c r="D104" s="11"/>
      <c r="E104" s="11"/>
      <c r="F104" s="11"/>
      <c r="G104" s="11"/>
      <c r="H104" s="11"/>
    </row>
  </sheetData>
  <mergeCells count="2">
    <mergeCell ref="A2:H2"/>
    <mergeCell ref="A1:H1"/>
  </mergeCells>
  <dataValidations count="2">
    <dataValidation type="list"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xr:uid="{00000000-0002-0000-0E00-000000000000}">
      <formula1>"Configuration file,Screenshot,Network scan,Documentation,Vendor spec,Certificate inventory,Audit log,Compliance report,Other"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E00-000001000000}">
      <formula1>"Verified,Pending verification,Not verified,Requires update"</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8"/>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16" t="s">
        <v>939</v>
      </c>
      <c r="B1" s="17"/>
      <c r="C1" s="17"/>
      <c r="D1" s="17"/>
      <c r="E1" s="17"/>
    </row>
    <row r="3" spans="1:5" ht="16" x14ac:dyDescent="0.2">
      <c r="A3" s="1" t="s">
        <v>940</v>
      </c>
    </row>
    <row r="4" spans="1:5" ht="32" x14ac:dyDescent="0.2">
      <c r="A4" s="2" t="s">
        <v>941</v>
      </c>
      <c r="B4" s="11" t="s">
        <v>942</v>
      </c>
    </row>
    <row r="5" spans="1:5" ht="16" x14ac:dyDescent="0.2">
      <c r="A5" s="2" t="s">
        <v>943</v>
      </c>
      <c r="B5" s="11" t="s">
        <v>944</v>
      </c>
    </row>
    <row r="6" spans="1:5" ht="16" x14ac:dyDescent="0.2">
      <c r="A6" s="2" t="s">
        <v>945</v>
      </c>
      <c r="B6" s="11" t="s">
        <v>946</v>
      </c>
    </row>
    <row r="7" spans="1:5" ht="16" x14ac:dyDescent="0.2">
      <c r="A7" s="2" t="s">
        <v>947</v>
      </c>
      <c r="B7" s="11" t="s">
        <v>948</v>
      </c>
    </row>
    <row r="8" spans="1:5" x14ac:dyDescent="0.2">
      <c r="B8" t="s">
        <v>949</v>
      </c>
    </row>
    <row r="9" spans="1:5" x14ac:dyDescent="0.2">
      <c r="B9" t="s">
        <v>950</v>
      </c>
    </row>
    <row r="10" spans="1:5" x14ac:dyDescent="0.2">
      <c r="A10" s="35" t="s">
        <v>951</v>
      </c>
      <c r="B10" s="17"/>
      <c r="C10" s="17"/>
      <c r="D10" s="17"/>
      <c r="E10" s="17"/>
    </row>
    <row r="11" spans="1:5" x14ac:dyDescent="0.2">
      <c r="A11" s="2" t="s">
        <v>952</v>
      </c>
      <c r="B11" s="18"/>
      <c r="C11" s="19"/>
      <c r="D11" s="19"/>
      <c r="E11" s="20"/>
    </row>
    <row r="12" spans="1:5" x14ac:dyDescent="0.2">
      <c r="A12" s="2" t="s">
        <v>953</v>
      </c>
      <c r="B12" s="18"/>
      <c r="C12" s="19"/>
      <c r="D12" s="19"/>
      <c r="E12" s="20"/>
    </row>
    <row r="13" spans="1:5" x14ac:dyDescent="0.2">
      <c r="A13" s="2" t="s">
        <v>954</v>
      </c>
      <c r="B13" s="18"/>
      <c r="C13" s="19"/>
      <c r="D13" s="19"/>
      <c r="E13" s="20"/>
    </row>
    <row r="14" spans="1:5" x14ac:dyDescent="0.2">
      <c r="A14" s="2" t="s">
        <v>955</v>
      </c>
      <c r="B14" s="18" t="s">
        <v>956</v>
      </c>
      <c r="C14" s="19"/>
      <c r="D14" s="19"/>
      <c r="E14" s="20"/>
    </row>
    <row r="15" spans="1:5" x14ac:dyDescent="0.2">
      <c r="A15" s="2" t="s">
        <v>957</v>
      </c>
      <c r="B15" s="18" t="s">
        <v>958</v>
      </c>
      <c r="C15" s="19"/>
      <c r="D15" s="19"/>
      <c r="E15" s="20"/>
    </row>
    <row r="16" spans="1:5" x14ac:dyDescent="0.2">
      <c r="B16" t="s">
        <v>959</v>
      </c>
    </row>
    <row r="18" spans="1:5" x14ac:dyDescent="0.2">
      <c r="A18" s="35" t="s">
        <v>960</v>
      </c>
      <c r="B18" s="17"/>
      <c r="C18" s="17"/>
      <c r="D18" s="17"/>
      <c r="E18" s="17"/>
    </row>
    <row r="19" spans="1:5" x14ac:dyDescent="0.2">
      <c r="A19" s="2" t="s">
        <v>952</v>
      </c>
      <c r="B19" s="18"/>
      <c r="C19" s="19"/>
      <c r="D19" s="19"/>
      <c r="E19" s="20"/>
    </row>
    <row r="20" spans="1:5" x14ac:dyDescent="0.2">
      <c r="A20" s="2" t="s">
        <v>957</v>
      </c>
      <c r="B20" s="18"/>
      <c r="C20" s="19"/>
      <c r="D20" s="19"/>
      <c r="E20" s="20"/>
    </row>
    <row r="21" spans="1:5" x14ac:dyDescent="0.2">
      <c r="A21" s="2" t="s">
        <v>961</v>
      </c>
      <c r="B21" s="18" t="s">
        <v>962</v>
      </c>
      <c r="C21" s="19"/>
      <c r="D21" s="19"/>
      <c r="E21" s="20"/>
    </row>
    <row r="22" spans="1:5" x14ac:dyDescent="0.2">
      <c r="B22" t="s">
        <v>963</v>
      </c>
    </row>
    <row r="23" spans="1:5" x14ac:dyDescent="0.2">
      <c r="B23" t="s">
        <v>964</v>
      </c>
    </row>
    <row r="24" spans="1:5" x14ac:dyDescent="0.2">
      <c r="A24" s="34" t="s">
        <v>965</v>
      </c>
      <c r="B24" s="17"/>
      <c r="C24" s="17"/>
      <c r="D24" s="17"/>
      <c r="E24" s="17"/>
    </row>
    <row r="25" spans="1:5" x14ac:dyDescent="0.2">
      <c r="A25" s="2" t="s">
        <v>952</v>
      </c>
      <c r="B25" s="18"/>
      <c r="C25" s="19"/>
      <c r="D25" s="19"/>
      <c r="E25" s="20"/>
    </row>
    <row r="26" spans="1:5" x14ac:dyDescent="0.2">
      <c r="A26" s="2" t="s">
        <v>957</v>
      </c>
      <c r="B26" s="18"/>
      <c r="C26" s="19"/>
      <c r="D26" s="19"/>
      <c r="E26" s="20"/>
    </row>
    <row r="27" spans="1:5" x14ac:dyDescent="0.2">
      <c r="A27" s="2" t="s">
        <v>966</v>
      </c>
      <c r="B27" s="18"/>
      <c r="C27" s="19"/>
      <c r="D27" s="19"/>
      <c r="E27" s="20"/>
    </row>
    <row r="28" spans="1:5" x14ac:dyDescent="0.2">
      <c r="A28" s="2" t="s">
        <v>961</v>
      </c>
      <c r="B28" s="18" t="s">
        <v>967</v>
      </c>
      <c r="C28" s="19"/>
      <c r="D28" s="19"/>
      <c r="E28" s="20"/>
    </row>
    <row r="29" spans="1:5" x14ac:dyDescent="0.2">
      <c r="B29" t="s">
        <v>968</v>
      </c>
    </row>
    <row r="30" spans="1:5" x14ac:dyDescent="0.2">
      <c r="B30" t="s">
        <v>969</v>
      </c>
    </row>
    <row r="31" spans="1:5" x14ac:dyDescent="0.2">
      <c r="A31" s="2" t="s">
        <v>970</v>
      </c>
      <c r="B31" s="18" t="s">
        <v>971</v>
      </c>
      <c r="C31" s="19"/>
      <c r="D31" s="19"/>
      <c r="E31" s="20"/>
    </row>
    <row r="36" spans="2:2" x14ac:dyDescent="0.2">
      <c r="B36" t="s">
        <v>972</v>
      </c>
    </row>
    <row r="37" spans="2:2" x14ac:dyDescent="0.2">
      <c r="B37" t="s">
        <v>956</v>
      </c>
    </row>
    <row r="38" spans="2:2" x14ac:dyDescent="0.2">
      <c r="B38" t="s">
        <v>973</v>
      </c>
    </row>
  </sheetData>
  <mergeCells count="17">
    <mergeCell ref="A10:E10"/>
    <mergeCell ref="B21:E21"/>
    <mergeCell ref="B15:E15"/>
    <mergeCell ref="A1:E1"/>
    <mergeCell ref="B11:E11"/>
    <mergeCell ref="B19:E19"/>
    <mergeCell ref="B20:E20"/>
    <mergeCell ref="A18:E18"/>
    <mergeCell ref="B14:E14"/>
    <mergeCell ref="B31:E31"/>
    <mergeCell ref="B26:E26"/>
    <mergeCell ref="B27:E27"/>
    <mergeCell ref="A24:E24"/>
    <mergeCell ref="B12:E12"/>
    <mergeCell ref="B13:E13"/>
    <mergeCell ref="B25:E25"/>
    <mergeCell ref="B28:E28"/>
  </mergeCells>
  <dataValidations count="2">
    <dataValidation type="list" sqref="B7" xr:uid="{00000000-0002-0000-0F00-000000000000}">
      <formula1>"Draft,Final,Requires remediation,Re-assessment required"</formula1>
    </dataValidation>
    <dataValidation type="list" sqref="B27" xr:uid="{00000000-0002-0000-0F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 &amp; Legend</vt:lpstr>
      <vt:lpstr>1.1 External HTTPS-TLS</vt:lpstr>
      <vt:lpstr>1.2 Internal HTTPS-TLS</vt:lpstr>
      <vt:lpstr>2.1 Email Encryption</vt:lpstr>
      <vt:lpstr>2.2 Digital Signatures</vt:lpstr>
      <vt:lpstr>3.1 File Transfer Protocols</vt:lpstr>
      <vt:lpstr>4.1 VPN</vt:lpstr>
      <vt:lpstr>4.2 SSH</vt:lpstr>
      <vt:lpstr>4.3 RDP</vt:lpstr>
      <vt:lpstr>5.1 API Security</vt:lpstr>
      <vt:lpstr>6.1 Database Connections</vt:lpstr>
      <vt:lpstr>6.2 Wireless Networks</vt:lpstr>
      <vt:lpstr>7.1 Cloud Transmission</vt:lpstr>
      <vt:lpstr>Summary Dashboard</vt:lpstr>
      <vt:lpstr>Evidence Register</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2026-01-13T22:05:37Z</dcterms:created>
  <dcterms:modified xsi:type="dcterms:W3CDTF">2026-01-13T22:07:39Z</dcterms:modified>
</cp:coreProperties>
</file>