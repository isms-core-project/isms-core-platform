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reg/Downloads/"/>
    </mc:Choice>
  </mc:AlternateContent>
  <xr:revisionPtr revIDLastSave="0" documentId="8_{7CD13C52-52B8-BE4E-AB47-F3F8C749E919}" xr6:coauthVersionLast="47" xr6:coauthVersionMax="47" xr10:uidLastSave="{00000000-0000-0000-0000-000000000000}"/>
  <bookViews>
    <workbookView xWindow="0" yWindow="600" windowWidth="38400" windowHeight="19660" xr2:uid="{00000000-000D-0000-FFFF-FFFF00000000}"/>
  </bookViews>
  <sheets>
    <sheet name="Instructions &amp; Legend" sheetId="1" r:id="rId1"/>
    <sheet name="1. Password Security" sheetId="2" r:id="rId2"/>
    <sheet name="2. Multi-Factor Authentication" sheetId="3" r:id="rId3"/>
    <sheet name="3. Certificate-Based Auth" sheetId="4" r:id="rId4"/>
    <sheet name="4. Service Accounts" sheetId="5" r:id="rId5"/>
    <sheet name="5. SSO &amp; Federation" sheetId="6" r:id="rId6"/>
    <sheet name="Summary Dashboard" sheetId="7" r:id="rId7"/>
    <sheet name="Evidence Register" sheetId="8" r:id="rId8"/>
    <sheet name="Approval Sign-Off" sheetId="9"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7" l="1"/>
  <c r="D69" i="7"/>
  <c r="D68" i="7"/>
  <c r="D67" i="7"/>
  <c r="D66" i="7"/>
  <c r="D71" i="7" s="1"/>
  <c r="C40" i="7"/>
  <c r="C39" i="7"/>
  <c r="C38" i="7"/>
  <c r="C37" i="7"/>
  <c r="C36" i="7"/>
  <c r="C35" i="7"/>
  <c r="C34" i="7"/>
  <c r="C33" i="7"/>
  <c r="D28" i="7"/>
  <c r="D27" i="7"/>
  <c r="D26" i="7"/>
  <c r="D25" i="7"/>
  <c r="D24" i="7"/>
  <c r="C19" i="7"/>
  <c r="C18" i="7"/>
  <c r="C17" i="7"/>
  <c r="C16" i="7"/>
  <c r="C15" i="7"/>
  <c r="C14" i="7"/>
  <c r="F8" i="7"/>
  <c r="E8" i="7"/>
  <c r="D8" i="7"/>
  <c r="C8" i="7"/>
  <c r="B8" i="7"/>
  <c r="G8" i="7" s="1"/>
  <c r="F7" i="7"/>
  <c r="E7" i="7"/>
  <c r="D7" i="7"/>
  <c r="C7" i="7"/>
  <c r="B7" i="7"/>
  <c r="G7" i="7" s="1"/>
  <c r="F6" i="7"/>
  <c r="G6" i="7" s="1"/>
  <c r="E6" i="7"/>
  <c r="D6" i="7"/>
  <c r="C6" i="7"/>
  <c r="B6" i="7"/>
  <c r="F5" i="7"/>
  <c r="F9" i="7" s="1"/>
  <c r="E5" i="7"/>
  <c r="E9" i="7" s="1"/>
  <c r="D5" i="7"/>
  <c r="D9" i="7" s="1"/>
  <c r="C5" i="7"/>
  <c r="B5" i="7"/>
  <c r="G5" i="7" s="1"/>
  <c r="F4" i="7"/>
  <c r="E4" i="7"/>
  <c r="D4" i="7"/>
  <c r="C4" i="7"/>
  <c r="C9" i="7" s="1"/>
  <c r="B4" i="7"/>
  <c r="B9" i="7" s="1"/>
  <c r="B44" i="6"/>
  <c r="B43" i="5"/>
  <c r="B42" i="4"/>
  <c r="B43" i="3"/>
  <c r="B44" i="2"/>
  <c r="G9" i="7" l="1"/>
  <c r="G4" i="7"/>
</calcChain>
</file>

<file path=xl/sharedStrings.xml><?xml version="1.0" encoding="utf-8"?>
<sst xmlns="http://schemas.openxmlformats.org/spreadsheetml/2006/main" count="1714" uniqueCount="1077">
  <si>
    <t>ISMS-IMP-A.8.24.3 – Authentication Assessment
ISO/IEC 27001:2022 - Control A.8.24: Use of Cryptography</t>
  </si>
  <si>
    <t>Document Information</t>
  </si>
  <si>
    <t>Document ID</t>
  </si>
  <si>
    <t>ISMS-IMP-A.8.24.3</t>
  </si>
  <si>
    <t>Assessment Area</t>
  </si>
  <si>
    <t>Authentication Cryptographic Controls</t>
  </si>
  <si>
    <t>Related Policy</t>
  </si>
  <si>
    <t>ISMS-POL-A.8.24-S2.5</t>
  </si>
  <si>
    <t>Version</t>
  </si>
  <si>
    <t>1.0</t>
  </si>
  <si>
    <t>Assessment Date</t>
  </si>
  <si>
    <t>Completed By</t>
  </si>
  <si>
    <t>Organization</t>
  </si>
  <si>
    <t>Review Cycle</t>
  </si>
  <si>
    <t>Quarterly</t>
  </si>
  <si>
    <t>HOW TO USE THIS WORKBOOK</t>
  </si>
  <si>
    <t>1. Complete each worksheet tab (1–5) for applicable authentication methods</t>
  </si>
  <si>
    <t>2. Use dropdown menus for standardized entries (Status, Auth Method, Algorithm, etc.)</t>
  </si>
  <si>
    <t>3. Fill in yellow-highlighted cells with your information</t>
  </si>
  <si>
    <t>4. If Status = Partial or Non-Compliant, complete the Exception/Deviation section</t>
  </si>
  <si>
    <t>5. Document password policies, MFA implementations, certificate usage, and SSO configurations</t>
  </si>
  <si>
    <t>6. Provide evidence location/path for each implementation entry</t>
  </si>
  <si>
    <t>7. Summary Dashboard auto-calculates compliance statistics per authentication area</t>
  </si>
  <si>
    <t>8. Maintain the Evidence Register for audit traceability</t>
  </si>
  <si>
    <t>9. Obtain final approval and sign-off in the Approval Sign-Off sheet</t>
  </si>
  <si>
    <t>STATUS LEGEND</t>
  </si>
  <si>
    <t>Symbol</t>
  </si>
  <si>
    <t>Status</t>
  </si>
  <si>
    <t>Description</t>
  </si>
  <si>
    <t>✅</t>
  </si>
  <si>
    <t>Compliant</t>
  </si>
  <si>
    <t>Fully meets policy requirements</t>
  </si>
  <si>
    <t>⚠️</t>
  </si>
  <si>
    <t>Partial</t>
  </si>
  <si>
    <t>Some requirements met, gaps exist</t>
  </si>
  <si>
    <t>❌</t>
  </si>
  <si>
    <t>Non-Compliant</t>
  </si>
  <si>
    <t>Does not meet policy requirements</t>
  </si>
  <si>
    <t>N/A</t>
  </si>
  <si>
    <t>Not Applicable</t>
  </si>
  <si>
    <t>Requirement does not apply</t>
  </si>
  <si>
    <t>ACCEPTABLE EVIDENCE (examples)</t>
  </si>
  <si>
    <t>✓ Password policy documentation</t>
  </si>
  <si>
    <t>✓ Active Directory Group Policy Objects (GPO)</t>
  </si>
  <si>
    <t>✓ MFA enrollment reports</t>
  </si>
  <si>
    <t>✓ Certificate authority configurations</t>
  </si>
  <si>
    <t>✓ PKI infrastructure documentation</t>
  </si>
  <si>
    <t>✓ SSO/SAML configuration screenshots</t>
  </si>
  <si>
    <t>✓ Identity provider (IdP) settings</t>
  </si>
  <si>
    <t>✓ Service account inventory</t>
  </si>
  <si>
    <t>✓ Authentication logs and audit trails</t>
  </si>
  <si>
    <t>✓ Password hash algorithm verification</t>
  </si>
  <si>
    <t>✓ Account lockout policy screenshots</t>
  </si>
  <si>
    <t>✓ MFA bypass exception approvals</t>
  </si>
  <si>
    <t>✓ Federation trust relationships</t>
  </si>
  <si>
    <t>✓ Privilege access management (PAM) reports</t>
  </si>
  <si>
    <t>1. PASSWORD SECURITY - PASSWORD AUTHENTICATION CONTROLS
Policy Requirement: Passwords MUST be hashed using approved algorithms (bcrypt, Argon2, PBKDF2, scrypt). Minimum 12 characters, complexity requirements enforced (Policy Section 2.5.1)</t>
  </si>
  <si>
    <t>Does your organization use password-based authentication for any systems or applications?</t>
  </si>
  <si>
    <t>Response:</t>
  </si>
  <si>
    <t>System/Application</t>
  </si>
  <si>
    <t>Authentication Method</t>
  </si>
  <si>
    <t>User Type</t>
  </si>
  <si>
    <t>Data Classification</t>
  </si>
  <si>
    <t>Cryptographic Algorithm</t>
  </si>
  <si>
    <t>Hash/Encryption Status</t>
  </si>
  <si>
    <t>Password Complexity</t>
  </si>
  <si>
    <t>Evidence Location</t>
  </si>
  <si>
    <t>Gap Description</t>
  </si>
  <si>
    <t>Remediation Needed</t>
  </si>
  <si>
    <t>Exception ID</t>
  </si>
  <si>
    <t>Risk ID</t>
  </si>
  <si>
    <t>Compensating Controls</t>
  </si>
  <si>
    <t>Responsible Person</t>
  </si>
  <si>
    <t>Target Date</t>
  </si>
  <si>
    <t>Budget Required</t>
  </si>
  <si>
    <t>Min Password Length</t>
  </si>
  <si>
    <t>Complexity Enforced</t>
  </si>
  <si>
    <t>Password Expiry</t>
  </si>
  <si>
    <t>Password History</t>
  </si>
  <si>
    <t>Account Lockout</t>
  </si>
  <si>
    <t>Password Strength Meter</t>
  </si>
  <si>
    <t>Default Passwords</t>
  </si>
  <si>
    <t>Example: Production HR System - Workday</t>
  </si>
  <si>
    <t>Password</t>
  </si>
  <si>
    <t>End User</t>
  </si>
  <si>
    <t>Confidential</t>
  </si>
  <si>
    <t>bcrypt</t>
  </si>
  <si>
    <t>Properly Hashed</t>
  </si>
  <si>
    <t>Strong (≥14 chars)</t>
  </si>
  <si>
    <t>✅ Compliant</t>
  </si>
  <si>
    <t>/evidence/auth/workday-password-policy.pdf</t>
  </si>
  <si>
    <t>None</t>
  </si>
  <si>
    <t>No</t>
  </si>
  <si>
    <t>≥14 chars</t>
  </si>
  <si>
    <t>Yes</t>
  </si>
  <si>
    <t>90 days</t>
  </si>
  <si>
    <t>≥10 passwords</t>
  </si>
  <si>
    <t>Changed</t>
  </si>
  <si>
    <t>Active Directory</t>
  </si>
  <si>
    <t>NIST SP 800-63B compliant</t>
  </si>
  <si>
    <t>Argon2id</t>
  </si>
  <si>
    <t>12 characters minimum</t>
  </si>
  <si>
    <t>Yes - 90 days</t>
  </si>
  <si>
    <t>GPO enforced</t>
  </si>
  <si>
    <t>Password policy GPO</t>
  </si>
  <si>
    <t>AD audit logs</t>
  </si>
  <si>
    <t>Azure AD</t>
  </si>
  <si>
    <t>NIST compliant + MFA</t>
  </si>
  <si>
    <t>Azure AD hash</t>
  </si>
  <si>
    <t>12 characters + complexity</t>
  </si>
  <si>
    <t>Yes - Conditional</t>
  </si>
  <si>
    <t>Conditional Access</t>
  </si>
  <si>
    <t>Azure AD security</t>
  </si>
  <si>
    <t>Azure AD logs</t>
  </si>
  <si>
    <t>Linux PAM</t>
  </si>
  <si>
    <t>NIST compliant</t>
  </si>
  <si>
    <t>SHA-512 + salt</t>
  </si>
  <si>
    <t>14 characters</t>
  </si>
  <si>
    <t>PAM config</t>
  </si>
  <si>
    <t>PAM config files</t>
  </si>
  <si>
    <t>/etc/pam.d/ audit</t>
  </si>
  <si>
    <t>Database Accounts</t>
  </si>
  <si>
    <t>Application-specific</t>
  </si>
  <si>
    <t>SCRAM-SHA-256</t>
  </si>
  <si>
    <t>16 characters</t>
  </si>
  <si>
    <t>Yes - 180 days</t>
  </si>
  <si>
    <t>DB password policy</t>
  </si>
  <si>
    <t>DB security audit</t>
  </si>
  <si>
    <t>DB password logs</t>
  </si>
  <si>
    <t>Application Users</t>
  </si>
  <si>
    <t>OWASP compliant</t>
  </si>
  <si>
    <t>bcrypt (cost 12)</t>
  </si>
  <si>
    <t>12 characters + 2FA</t>
  </si>
  <si>
    <t>Yes - 120 days</t>
  </si>
  <si>
    <t>App password policy</t>
  </si>
  <si>
    <t>App security config</t>
  </si>
  <si>
    <t>App audit logs</t>
  </si>
  <si>
    <t>Legacy Applications</t>
  </si>
  <si>
    <t>Basic requirements</t>
  </si>
  <si>
    <t>MD5 hash</t>
  </si>
  <si>
    <t>8 characters</t>
  </si>
  <si>
    <t>No expiry</t>
  </si>
  <si>
    <t>No policy</t>
  </si>
  <si>
    <t>Legacy app list</t>
  </si>
  <si>
    <t>❌ Non-Compliant</t>
  </si>
  <si>
    <t>Legacy audit</t>
  </si>
  <si>
    <t>Migrate or decommission</t>
  </si>
  <si>
    <t>Service Accounts (AD)</t>
  </si>
  <si>
    <t>Strong passwords</t>
  </si>
  <si>
    <t>Kerberos AES-256</t>
  </si>
  <si>
    <t>20+ random chars</t>
  </si>
  <si>
    <t>No expiry + monitoring</t>
  </si>
  <si>
    <t>Managed Service Accounts</t>
  </si>
  <si>
    <t>AD service account policy</t>
  </si>
  <si>
    <t>AD service logs</t>
  </si>
  <si>
    <t>API Keys</t>
  </si>
  <si>
    <t>Cryptographically strong</t>
  </si>
  <si>
    <t>HMAC-SHA-256</t>
  </si>
  <si>
    <t>32+ bytes entropy</t>
  </si>
  <si>
    <t>Vault rotation</t>
  </si>
  <si>
    <t>API key management</t>
  </si>
  <si>
    <t>Vault audit logs</t>
  </si>
  <si>
    <t>1. PASSWORD SECURITY CHECKLIST</t>
  </si>
  <si>
    <t>☐</t>
  </si>
  <si>
    <t>Requirement</t>
  </si>
  <si>
    <t>Passwords hashed with approved algorithm (bcrypt, Argon2, PBKDF2, scrypt)</t>
  </si>
  <si>
    <t>Passwords NOT stored in plaintext anywhere</t>
  </si>
  <si>
    <t>Passwords NOT stored with reversible encryption</t>
  </si>
  <si>
    <t>Password hashes salted (unique salt per user)</t>
  </si>
  <si>
    <t>Minimum password length ≥12 characters</t>
  </si>
  <si>
    <t>Recommended password length ≥14 characters</t>
  </si>
  <si>
    <t>Complexity requirements enforced (uppercase, lowercase, numbers, symbols)</t>
  </si>
  <si>
    <t>Password expiration policy: 90 days maximum (or risk-based)</t>
  </si>
  <si>
    <t>Password history enforced (minimum 10 previous passwords)</t>
  </si>
  <si>
    <t>Account lockout after failed attempts (5-10 attempts)</t>
  </si>
  <si>
    <t>Lockout duration or CAPTCHA implemented</t>
  </si>
  <si>
    <t>Common/weak passwords blocked (breach database check)</t>
  </si>
  <si>
    <t>Default/vendor passwords changed before production</t>
  </si>
  <si>
    <t>Password strength meter provided to users</t>
  </si>
  <si>
    <t>Password reset process secure (no email plaintext passwords)</t>
  </si>
  <si>
    <t>Temporary passwords expire after first use</t>
  </si>
  <si>
    <t>Passwords not displayed during entry (masked)</t>
  </si>
  <si>
    <t>Failed login attempts logged</t>
  </si>
  <si>
    <t>Password policy documented and communicated</t>
  </si>
  <si>
    <t>Privileged accounts require stronger passwords (≥14 characters)</t>
  </si>
  <si>
    <t>Checklist Score:</t>
  </si>
  <si>
    <t>APPROVED PASSWORD HASHING ALGORITHMS</t>
  </si>
  <si>
    <t>Algorithm</t>
  </si>
  <si>
    <t>Work Factor</t>
  </si>
  <si>
    <t>Salt Required</t>
  </si>
  <si>
    <t>Security Level</t>
  </si>
  <si>
    <t>Use Case</t>
  </si>
  <si>
    <t>High (configurable)</t>
  </si>
  <si>
    <t>Highest</t>
  </si>
  <si>
    <t>New implementations (recommended)</t>
  </si>
  <si>
    <t>Medium-High (cost factor 10-12)</t>
  </si>
  <si>
    <t>High</t>
  </si>
  <si>
    <t>Widely supported, proven</t>
  </si>
  <si>
    <t>PBKDF2-SHA256</t>
  </si>
  <si>
    <t>High (100,000+ iterations)</t>
  </si>
  <si>
    <t>Standards compliance (NIST)</t>
  </si>
  <si>
    <t>scrypt</t>
  </si>
  <si>
    <t>Memory-hard function</t>
  </si>
  <si>
    <t>PASSWORD COMPLEXITY STANDARDS</t>
  </si>
  <si>
    <t>Account Type</t>
  </si>
  <si>
    <t>Min Length</t>
  </si>
  <si>
    <t>Complexity</t>
  </si>
  <si>
    <t>Expiry</t>
  </si>
  <si>
    <t>MFA Required</t>
  </si>
  <si>
    <t>Standard User</t>
  </si>
  <si>
    <t>12 chars</t>
  </si>
  <si>
    <t>Upper, lower, number, symbol</t>
  </si>
  <si>
    <t>Recommended</t>
  </si>
  <si>
    <t>Administrator</t>
  </si>
  <si>
    <t>14 chars</t>
  </si>
  <si>
    <t>Required</t>
  </si>
  <si>
    <t>Service Account</t>
  </si>
  <si>
    <t>20 chars</t>
  </si>
  <si>
    <t>Random generation</t>
  </si>
  <si>
    <t>No expiry (monitor)</t>
  </si>
  <si>
    <t>Certificate preferred</t>
  </si>
  <si>
    <t>External User</t>
  </si>
  <si>
    <t>API Access</t>
  </si>
  <si>
    <t>Use API keys/tokens</t>
  </si>
  <si>
    <t>Token expiry</t>
  </si>
  <si>
    <t>EXCEPTION / DEVIATION DOCUMENTATION (Complete if Status = Partial or Non-Compliant)</t>
  </si>
  <si>
    <t>Formal exception request submitted:</t>
  </si>
  <si>
    <t>Exception ID:</t>
  </si>
  <si>
    <t>Risk acceptance documented:</t>
  </si>
  <si>
    <t>Risk ID:</t>
  </si>
  <si>
    <t>Compensating Controls (summary):</t>
  </si>
  <si>
    <t>☐ Enhanced monitoring and alerting</t>
  </si>
  <si>
    <t>☐ Network segmentation / restricted access</t>
  </si>
  <si>
    <t>☐ Additional authentication factor</t>
  </si>
  <si>
    <t>☐ Manual approval process</t>
  </si>
  <si>
    <t>☐ Increased audit frequency</t>
  </si>
  <si>
    <t>☐ Time-limited exception (expiry date required)</t>
  </si>
  <si>
    <t>☐ Other (describe):</t>
  </si>
  <si>
    <t>ADDITIONAL NOTES / COMMENTS</t>
  </si>
  <si>
    <t>2. MULTI-FACTOR AUTHENTICATION (MFA) - STRONG AUTHENTICATION
Policy Requirement: MFA REQUIRED for all administrative access, remote access, and access to Confidential/Restricted data. Approved factors: TOTP, Push notification, Hardware token, Biometric (Policy Section 2.5.2)</t>
  </si>
  <si>
    <t>Does your organization require multi-factor authentication for any systems or user types?</t>
  </si>
  <si>
    <t>MFA Factor Type</t>
  </si>
  <si>
    <t>MFA Enrollment Rate</t>
  </si>
  <si>
    <t>MFA Enforcement</t>
  </si>
  <si>
    <t>Backup MFA Method</t>
  </si>
  <si>
    <t>MFA Bypass Allowed</t>
  </si>
  <si>
    <t>Passwordless Option</t>
  </si>
  <si>
    <t>Example: AWS Production Account</t>
  </si>
  <si>
    <t>MFA</t>
  </si>
  <si>
    <t>Restricted</t>
  </si>
  <si>
    <t>TOTP</t>
  </si>
  <si>
    <t>Encrypted</t>
  </si>
  <si>
    <t>/evidence/auth/aws-mfa-config.pdf</t>
  </si>
  <si>
    <t>TOTP (Authenticator App)</t>
  </si>
  <si>
    <t>100%</t>
  </si>
  <si>
    <t>Never</t>
  </si>
  <si>
    <t>Available</t>
  </si>
  <si>
    <t>Azure AD MFA</t>
  </si>
  <si>
    <t>TOTP + Push + FIDO2</t>
  </si>
  <si>
    <t>100% admin, 95% users</t>
  </si>
  <si>
    <t>Authenticator app</t>
  </si>
  <si>
    <t>Yes - Conditional Access</t>
  </si>
  <si>
    <t>Azure MFA report</t>
  </si>
  <si>
    <t>Azure AD MFA logs</t>
  </si>
  <si>
    <t>VPN Access MFA</t>
  </si>
  <si>
    <t>TOTP + Push</t>
  </si>
  <si>
    <t>100% required</t>
  </si>
  <si>
    <t>Duo Security</t>
  </si>
  <si>
    <t>Yes - Always</t>
  </si>
  <si>
    <t>Duo MFA</t>
  </si>
  <si>
    <t>Duo admin dashboard</t>
  </si>
  <si>
    <t>Duo authentication logs</t>
  </si>
  <si>
    <t>SSH Bastion MFA</t>
  </si>
  <si>
    <t>FIDO2 hardware keys</t>
  </si>
  <si>
    <t>YubiKey 5</t>
  </si>
  <si>
    <t>PAM + Yubikey</t>
  </si>
  <si>
    <t>SSH bastion config</t>
  </si>
  <si>
    <t>SSH audit logs</t>
  </si>
  <si>
    <t>Admin Portal MFA</t>
  </si>
  <si>
    <t>TOTP + Backup codes</t>
  </si>
  <si>
    <t>Google Authenticator</t>
  </si>
  <si>
    <t>App-level MFA</t>
  </si>
  <si>
    <t>Admin portal config</t>
  </si>
  <si>
    <t>Admin access logs</t>
  </si>
  <si>
    <t>AWS Console MFA</t>
  </si>
  <si>
    <t>Virtual MFA + U2F</t>
  </si>
  <si>
    <t>100% IAM users</t>
  </si>
  <si>
    <t>AWS MFA</t>
  </si>
  <si>
    <t>IAM MFA policies</t>
  </si>
  <si>
    <t>IAM credential report</t>
  </si>
  <si>
    <t>CloudTrail MFA events</t>
  </si>
  <si>
    <t>Critical Systems</t>
  </si>
  <si>
    <t>FIDO2 + Biometric</t>
  </si>
  <si>
    <t>Windows Hello + YubiKey</t>
  </si>
  <si>
    <t>Critical system policy</t>
  </si>
  <si>
    <t>Access audit logs</t>
  </si>
  <si>
    <t>Developer Systems</t>
  </si>
  <si>
    <t>85% adoption</t>
  </si>
  <si>
    <t>Various</t>
  </si>
  <si>
    <t>Not enforced</t>
  </si>
  <si>
    <t>Dev MFA report</t>
  </si>
  <si>
    <t>⚠️ Partial</t>
  </si>
  <si>
    <t>Dev access logs</t>
  </si>
  <si>
    <t>Enforce 100% MFA</t>
  </si>
  <si>
    <t>Legacy Systems</t>
  </si>
  <si>
    <t>No MFA</t>
  </si>
  <si>
    <t>0% coverage</t>
  </si>
  <si>
    <t>Not supported</t>
  </si>
  <si>
    <t>Legacy system list</t>
  </si>
  <si>
    <t>Legacy access logs</t>
  </si>
  <si>
    <t>Implement MFA proxy</t>
  </si>
  <si>
    <t>2. MULTI CHECKLIST</t>
  </si>
  <si>
    <t>MFA required for all administrative/privileged access</t>
  </si>
  <si>
    <t>MFA required for remote access (VPN, RDP, SSH)</t>
  </si>
  <si>
    <t>MFA required for access to Confidential/Restricted data</t>
  </si>
  <si>
    <t>MFA required for cloud service access (AWS, Azure, GCP, M365)</t>
  </si>
  <si>
    <t>MFA enrollment mandatory for all users</t>
  </si>
  <si>
    <t>TOTP (time-based one-time password) supported</t>
  </si>
  <si>
    <t>Push notification MFA supported</t>
  </si>
  <si>
    <t>Hardware security keys (FIDO2/WebAuthn) supported</t>
  </si>
  <si>
    <t>SMS-based MFA deprecated or phased out</t>
  </si>
  <si>
    <t>Biometric authentication available (where appropriate)</t>
  </si>
  <si>
    <t>Backup MFA methods configured for each user</t>
  </si>
  <si>
    <t>MFA bypass requests logged and approved</t>
  </si>
  <si>
    <t>MFA fatigue/prompt bombing protections implemented</t>
  </si>
  <si>
    <t>Device trust/registration for MFA</t>
  </si>
  <si>
    <t>MFA enrollment monitoring and alerts</t>
  </si>
  <si>
    <t>MFA recovery process documented</t>
  </si>
  <si>
    <t>Passwordless authentication option available</t>
  </si>
  <si>
    <t>MFA audit logs retained and reviewed</t>
  </si>
  <si>
    <t>Adaptive/risk-based MFA implemented</t>
  </si>
  <si>
    <t>MFA FACTOR SECURITY COMPARISON</t>
  </si>
  <si>
    <t>MFA Factor</t>
  </si>
  <si>
    <t>Phishing Resistant</t>
  </si>
  <si>
    <t>User Convenience</t>
  </si>
  <si>
    <t>Recommended Use</t>
  </si>
  <si>
    <t>FIDO2/WebAuthn (Hardware Key)</t>
  </si>
  <si>
    <t>Privileged accounts, high-security</t>
  </si>
  <si>
    <t>Certificate-based</t>
  </si>
  <si>
    <t>Medium</t>
  </si>
  <si>
    <t>Service accounts, automation</t>
  </si>
  <si>
    <t>General users, widely supported</t>
  </si>
  <si>
    <t>Push Notification</t>
  </si>
  <si>
    <t>General users, mobile-friendly</t>
  </si>
  <si>
    <t>Biometric (with device trust)</t>
  </si>
  <si>
    <t>Endpoints, mobile devices</t>
  </si>
  <si>
    <t>SMS/Voice</t>
  </si>
  <si>
    <t>Low</t>
  </si>
  <si>
    <t>DEPRECATED - legacy only</t>
  </si>
  <si>
    <t>MFA IMPLEMENTATION PRIORITIES</t>
  </si>
  <si>
    <t>Priority</t>
  </si>
  <si>
    <t>MFA Requirement</t>
  </si>
  <si>
    <t>Recommended Factor</t>
  </si>
  <si>
    <t>Critical</t>
  </si>
  <si>
    <t>Domain Administrators</t>
  </si>
  <si>
    <t>Hardware key + Backup TOTP</t>
  </si>
  <si>
    <t>Cloud Admins (AWS/Azure/GCP)</t>
  </si>
  <si>
    <t>Privileged Access Management</t>
  </si>
  <si>
    <t>Hardware key or Certificate</t>
  </si>
  <si>
    <t>Standard Remote Users</t>
  </si>
  <si>
    <t>TOTP or Push</t>
  </si>
  <si>
    <t>Access to Confidential Data</t>
  </si>
  <si>
    <t>Internal Users (on-premises)</t>
  </si>
  <si>
    <t>Read-only Public Data</t>
  </si>
  <si>
    <t>Optional</t>
  </si>
  <si>
    <t>3. CERTIFICATE-BASED AUTHENTICATION - PKI &amp; DIGITAL CERTIFICATES
Policy Requirement: Certificate-based authentication REQUIRED for service accounts, automated processes, and high-security environments. Certificates issued from trusted CA with proper key management (Policy Section 2.5.3)</t>
  </si>
  <si>
    <t>Does your organization use digital certificates for authentication (client certificates, smart cards, machine authentication)?</t>
  </si>
  <si>
    <t>Certificate Type</t>
  </si>
  <si>
    <t>Issuing CA</t>
  </si>
  <si>
    <t>Key Algorithm</t>
  </si>
  <si>
    <t>Certificate Validity</t>
  </si>
  <si>
    <t>CRL/OCSP Configured</t>
  </si>
  <si>
    <t>Smart Card Required</t>
  </si>
  <si>
    <t>PIV/CAC Compliant</t>
  </si>
  <si>
    <t>Example: VPN Gateway - Cisco ASA</t>
  </si>
  <si>
    <t>Certificate</t>
  </si>
  <si>
    <t>RSA-3072</t>
  </si>
  <si>
    <t>/evidence/auth/vpn-cert-config.pdf</t>
  </si>
  <si>
    <t>Client Certificate</t>
  </si>
  <si>
    <t>Internal CA</t>
  </si>
  <si>
    <t>≤1 year</t>
  </si>
  <si>
    <t>Smart Card Logon (PIV)</t>
  </si>
  <si>
    <t>X.509 certificates</t>
  </si>
  <si>
    <t>100% executives</t>
  </si>
  <si>
    <t>PIV smart cards</t>
  </si>
  <si>
    <t>Annual cert renewal</t>
  </si>
  <si>
    <t>AD Certificate Services</t>
  </si>
  <si>
    <t>PIV deployment docs</t>
  </si>
  <si>
    <t>Smart card logs</t>
  </si>
  <si>
    <t>Client Certificates (mTLS)</t>
  </si>
  <si>
    <t>100% API clients</t>
  </si>
  <si>
    <t>Client certs</t>
  </si>
  <si>
    <t>Certificate rotation</t>
  </si>
  <si>
    <t>Internal PKI</t>
  </si>
  <si>
    <t>mTLS architecture</t>
  </si>
  <si>
    <t>PKI audit logs</t>
  </si>
  <si>
    <t>Machine Certificates</t>
  </si>
  <si>
    <t>100% managed devices</t>
  </si>
  <si>
    <t>MDM-issued</t>
  </si>
  <si>
    <t>Automatic renewal</t>
  </si>
  <si>
    <t>MDM PKI integration</t>
  </si>
  <si>
    <t>MDM certificate policy</t>
  </si>
  <si>
    <t>MDM cert logs</t>
  </si>
  <si>
    <t>VPN Certificates</t>
  </si>
  <si>
    <t>X.509 + username</t>
  </si>
  <si>
    <t>Partner VPN only</t>
  </si>
  <si>
    <t>Client certificates</t>
  </si>
  <si>
    <t>Annual renewal</t>
  </si>
  <si>
    <t>VPN CA</t>
  </si>
  <si>
    <t>VPN cert config</t>
  </si>
  <si>
    <t>VPN authentication logs</t>
  </si>
  <si>
    <t>Email Signing (S/MIME)</t>
  </si>
  <si>
    <t>85% executives</t>
  </si>
  <si>
    <t>S/MIME certs</t>
  </si>
  <si>
    <t>Public CA + Internal</t>
  </si>
  <si>
    <t>S/MIME deployment</t>
  </si>
  <si>
    <t>Certificate store audit</t>
  </si>
  <si>
    <t>Increase to 100%</t>
  </si>
  <si>
    <t>Code Signing</t>
  </si>
  <si>
    <t>X.509 + HSM</t>
  </si>
  <si>
    <t>100% releases</t>
  </si>
  <si>
    <t>EV code signing</t>
  </si>
  <si>
    <t>YubiKey HSM</t>
  </si>
  <si>
    <t>Code signing procedure</t>
  </si>
  <si>
    <t>Signing logs</t>
  </si>
  <si>
    <t>3. CERTIFICATE CHECKLIST</t>
  </si>
  <si>
    <t>Certificates issued from trusted CA (internal PKI or public CA)</t>
  </si>
  <si>
    <t>Certificate-based auth required for service accounts</t>
  </si>
  <si>
    <t>Certificate-based auth required for automated processes</t>
  </si>
  <si>
    <t>Client certificates used for VPN/remote access</t>
  </si>
  <si>
    <t>Smart cards issued for privileged users</t>
  </si>
  <si>
    <t>Machine/device certificates for endpoint authentication</t>
  </si>
  <si>
    <t>Certificate validity ≤2 years (1 year preferred)</t>
  </si>
  <si>
    <t>Certificate revocation checking enabled (CRL/OCSP)</t>
  </si>
  <si>
    <t>Certificate pinning implemented for critical services</t>
  </si>
  <si>
    <t>Private keys stored in HSM/TPM/smart card</t>
  </si>
  <si>
    <t>Private keys never exported in plaintext</t>
  </si>
  <si>
    <t>Certificate enrollment process documented</t>
  </si>
  <si>
    <t>Certificate inventory maintained</t>
  </si>
  <si>
    <t>Certificate expiration monitoring configured</t>
  </si>
  <si>
    <t>Mutual TLS (mTLS) implemented for API authentication</t>
  </si>
  <si>
    <t>PIV/CAC compliance (government/high-security)</t>
  </si>
  <si>
    <t>Certificate-based SSH authentication enabled</t>
  </si>
  <si>
    <t>Certificate revocation process tested</t>
  </si>
  <si>
    <t>CERTIFICATE AUTHENTICATION USE CASES</t>
  </si>
  <si>
    <t>Validity</t>
  </si>
  <si>
    <t>Storage</t>
  </si>
  <si>
    <t>Service Account Auth</t>
  </si>
  <si>
    <t>RSA-3072+</t>
  </si>
  <si>
    <t>1 year</t>
  </si>
  <si>
    <t>HSM/KMS</t>
  </si>
  <si>
    <t>Smart Card Login</t>
  </si>
  <si>
    <t>User Certificate (PIV)</t>
  </si>
  <si>
    <t>RSA-2048+ or ECDSA P-256+</t>
  </si>
  <si>
    <t>1-3 years</t>
  </si>
  <si>
    <t>Smart Card</t>
  </si>
  <si>
    <t>VPN Client Auth</t>
  </si>
  <si>
    <t>RSA-3072+ or ECDSA P-256+</t>
  </si>
  <si>
    <t>TPM/Smart Card</t>
  </si>
  <si>
    <t>Machine/Device Auth</t>
  </si>
  <si>
    <t>Device Certificate</t>
  </si>
  <si>
    <t>1-2 years</t>
  </si>
  <si>
    <t>TPM</t>
  </si>
  <si>
    <t>Mutual TLS (mTLS)</t>
  </si>
  <si>
    <t>Client &amp; Server Cert</t>
  </si>
  <si>
    <t>Code Signing Cert</t>
  </si>
  <si>
    <t>Hardware Token</t>
  </si>
  <si>
    <t>Email Certificate</t>
  </si>
  <si>
    <t>Smart Card/Keystore</t>
  </si>
  <si>
    <t>PKI INFRASTRUCTURE CHECKLIST</t>
  </si>
  <si>
    <t>Component</t>
  </si>
  <si>
    <t>Implementation Status</t>
  </si>
  <si>
    <t>Root CA</t>
  </si>
  <si>
    <t>Offline, HSM-protected</t>
  </si>
  <si>
    <t>Online, HSM-protected</t>
  </si>
  <si>
    <t>Registration Authority</t>
  </si>
  <si>
    <t>Enrollment process automation</t>
  </si>
  <si>
    <t>CRL Distribution</t>
  </si>
  <si>
    <t>HTTP/LDAP accessible</t>
  </si>
  <si>
    <t>OCSP Responder</t>
  </si>
  <si>
    <t>Real-time revocation checking</t>
  </si>
  <si>
    <t>Certificate Templates</t>
  </si>
  <si>
    <t>Standardized certificate profiles</t>
  </si>
  <si>
    <t>Auto-enrollment</t>
  </si>
  <si>
    <t>User/machine certificate automation</t>
  </si>
  <si>
    <t>4. SERVICE ACCOUNTS - NON-HUMAN AUTHENTICATION
Policy Requirement: Service accounts MUST use certificate-based authentication or long random passwords (≥20 characters). Password expiry disabled with monitoring. MFA or certificate preferred (Policy Section 2.5.4)</t>
  </si>
  <si>
    <t>Does your organization use service accounts for application-to-application or automated process authentication?</t>
  </si>
  <si>
    <t>Service Account Type</t>
  </si>
  <si>
    <t>Auth Method</t>
  </si>
  <si>
    <t>Password Rotation</t>
  </si>
  <si>
    <t>Privileged Account</t>
  </si>
  <si>
    <t>Account Monitoring</t>
  </si>
  <si>
    <t>Interactive Login</t>
  </si>
  <si>
    <t>Least Privilege</t>
  </si>
  <si>
    <t>Example: Database Service Account - SQL_SVC</t>
  </si>
  <si>
    <t>/evidence/auth/sqlsvc-cert.pdf</t>
  </si>
  <si>
    <t>Database Service</t>
  </si>
  <si>
    <t>Never (Monitored)</t>
  </si>
  <si>
    <t>Disabled</t>
  </si>
  <si>
    <t>Azure Managed Identities</t>
  </si>
  <si>
    <t>Azure AD workload identity</t>
  </si>
  <si>
    <t>100% Azure resources</t>
  </si>
  <si>
    <t>Managed Identity</t>
  </si>
  <si>
    <t>N/A - Automatic</t>
  </si>
  <si>
    <t>Azure RBAC</t>
  </si>
  <si>
    <t>Azure MI configuration</t>
  </si>
  <si>
    <t>Azure activity logs</t>
  </si>
  <si>
    <t>AWS IAM Roles</t>
  </si>
  <si>
    <t>IAM role assumption</t>
  </si>
  <si>
    <t>100% AWS resources</t>
  </si>
  <si>
    <t>IAM Roles</t>
  </si>
  <si>
    <t>N/A - Temporary creds</t>
  </si>
  <si>
    <t>IAM policies</t>
  </si>
  <si>
    <t>IAM role documentation</t>
  </si>
  <si>
    <t>CloudTrail AssumeRole</t>
  </si>
  <si>
    <t>GCP Service Accounts</t>
  </si>
  <si>
    <t>GCP service account</t>
  </si>
  <si>
    <t>100% GCP resources</t>
  </si>
  <si>
    <t>Service Account keys</t>
  </si>
  <si>
    <t>Key rotation 90 days</t>
  </si>
  <si>
    <t>GCP IAM</t>
  </si>
  <si>
    <t>GCP SA inventory</t>
  </si>
  <si>
    <t>Cloud Audit Logs</t>
  </si>
  <si>
    <t>AD Group Managed Service Accounts</t>
  </si>
  <si>
    <t>gMSA</t>
  </si>
  <si>
    <t>80% Windows services</t>
  </si>
  <si>
    <t>N/A - AD managed</t>
  </si>
  <si>
    <t>AD gMSA</t>
  </si>
  <si>
    <t>gMSA deployment</t>
  </si>
  <si>
    <t>Migrate remaining services</t>
  </si>
  <si>
    <t>Kubernetes Service Accounts</t>
  </si>
  <si>
    <t>K8s SA + RBAC</t>
  </si>
  <si>
    <t>100% pods</t>
  </si>
  <si>
    <t>JWT tokens</t>
  </si>
  <si>
    <t>Automatic rotation</t>
  </si>
  <si>
    <t>K8s RBAC</t>
  </si>
  <si>
    <t>K8s SA policies</t>
  </si>
  <si>
    <t>K8s audit logs</t>
  </si>
  <si>
    <t>Database Service Accounts</t>
  </si>
  <si>
    <t>DB-specific</t>
  </si>
  <si>
    <t>100% apps</t>
  </si>
  <si>
    <t>180 days</t>
  </si>
  <si>
    <t>Secret rotation</t>
  </si>
  <si>
    <t>DB account inventory</t>
  </si>
  <si>
    <t>DB audit logs</t>
  </si>
  <si>
    <t>Implement secret manager</t>
  </si>
  <si>
    <t>Legacy Service Accounts</t>
  </si>
  <si>
    <t>Hardcoded passwords</t>
  </si>
  <si>
    <t>Legacy apps</t>
  </si>
  <si>
    <t>Static passwords</t>
  </si>
  <si>
    <t>No rotation</t>
  </si>
  <si>
    <t>No management</t>
  </si>
  <si>
    <t>Legacy SA list</t>
  </si>
  <si>
    <t>Legacy app audit</t>
  </si>
  <si>
    <t>Modernize authentication</t>
  </si>
  <si>
    <t>4. SERVICE ACCOUNTS CHECKLIST</t>
  </si>
  <si>
    <t>Service account inventory maintained and up to date</t>
  </si>
  <si>
    <t>Certificate-based authentication used (preferred)</t>
  </si>
  <si>
    <t>Managed identities used for cloud services (AWS IAM, Azure MI)</t>
  </si>
  <si>
    <t>Long random passwords (≥20 characters) if certificate not available</t>
  </si>
  <si>
    <t>Password expiry disabled with compensating monitoring</t>
  </si>
  <si>
    <t>Service account passwords stored in secrets vault</t>
  </si>
  <si>
    <t>Service account passwords NEVER hardcoded in code</t>
  </si>
  <si>
    <t>Service account passwords NEVER in configuration files</t>
  </si>
  <si>
    <t>Interactive login disabled for service accounts</t>
  </si>
  <si>
    <t>Service accounts follow least privilege principle</t>
  </si>
  <si>
    <t>Service account usage logged and monitored</t>
  </si>
  <si>
    <t>Service account activity anomaly detection configured</t>
  </si>
  <si>
    <t>Privileged service accounts require additional controls</t>
  </si>
  <si>
    <t>Service account ownership documented</t>
  </si>
  <si>
    <t>Unused service accounts disabled/removed</t>
  </si>
  <si>
    <t>Service account naming convention followed</t>
  </si>
  <si>
    <t>Service account access reviewed quarterly</t>
  </si>
  <si>
    <t>Credential rotation tested in non-production</t>
  </si>
  <si>
    <t>Break-glass procedures for service account failures</t>
  </si>
  <si>
    <t>SERVICE ACCOUNT AUTHENTICATION METHODS</t>
  </si>
  <si>
    <t>Implementation</t>
  </si>
  <si>
    <t>Managed Identity (Cloud)</t>
  </si>
  <si>
    <t>Cloud services (AWS, Azure, GCP)</t>
  </si>
  <si>
    <t>AWS IAM Roles, Azure Managed Identity</t>
  </si>
  <si>
    <t>On-premises, API integration</t>
  </si>
  <si>
    <t>Client certificates, mTLS</t>
  </si>
  <si>
    <t>Secrets Vault (HashiCorp/CyberArk)</t>
  </si>
  <si>
    <t>Dynamic secret generation</t>
  </si>
  <si>
    <t>Vault dynamic credentials</t>
  </si>
  <si>
    <t>API Key (Long, Random)</t>
  </si>
  <si>
    <t>Medium-High</t>
  </si>
  <si>
    <t>API services, integrations</t>
  </si>
  <si>
    <t>≥256-bit entropy, rotated 90 days</t>
  </si>
  <si>
    <t>Long Password (≥20 chars)</t>
  </si>
  <si>
    <t>Legacy systems, compatibility</t>
  </si>
  <si>
    <t>Random generation, vault storage</t>
  </si>
  <si>
    <t>Shared Secret</t>
  </si>
  <si>
    <t>DEPRECATED</t>
  </si>
  <si>
    <t>Phase out</t>
  </si>
  <si>
    <t>SERVICE ACCOUNT LIFECYCLE MANAGEMENT</t>
  </si>
  <si>
    <t>Lifecycle Stage</t>
  </si>
  <si>
    <t>Actions</t>
  </si>
  <si>
    <t>Responsible Role</t>
  </si>
  <si>
    <t>Frequency</t>
  </si>
  <si>
    <t>Request</t>
  </si>
  <si>
    <t>Business justification, owner assignment</t>
  </si>
  <si>
    <t>Service Owner</t>
  </si>
  <si>
    <t>As needed</t>
  </si>
  <si>
    <t>Provisioning</t>
  </si>
  <si>
    <t>Create account, assign permissions, document</t>
  </si>
  <si>
    <t>IAM Admin</t>
  </si>
  <si>
    <t>Upon approval</t>
  </si>
  <si>
    <t>Credential Storage</t>
  </si>
  <si>
    <t>Store in secrets vault, configure rotation</t>
  </si>
  <si>
    <t>Security Team</t>
  </si>
  <si>
    <t>At creation</t>
  </si>
  <si>
    <t>Monitoring</t>
  </si>
  <si>
    <t>Log usage, detect anomalies, alert</t>
  </si>
  <si>
    <t>SOC/Security Team</t>
  </si>
  <si>
    <t>Continuous</t>
  </si>
  <si>
    <t>Review</t>
  </si>
  <si>
    <t>Validate ownership, access, necessity</t>
  </si>
  <si>
    <t>Rotation</t>
  </si>
  <si>
    <t>Update credentials, test connectivity</t>
  </si>
  <si>
    <t>90 days (if password)</t>
  </si>
  <si>
    <t>Decommissioning</t>
  </si>
  <si>
    <t>Disable account, remove access, document</t>
  </si>
  <si>
    <t>Upon request</t>
  </si>
  <si>
    <t>5. SSO &amp; FEDERATION - CENTRALIZED AUTHENTICATION
Policy Requirement: SSO/Federation REQUIRED using SAML 2.0, OAuth 2.0/OIDC, or WS-Federation. Identity Provider (IdP) must enforce strong authentication and MFA (Policy Section 2.5.5)</t>
  </si>
  <si>
    <t>Does your organization use Single Sign-On (SSO) or federated authentication for applications and services?</t>
  </si>
  <si>
    <t>SSO Protocol</t>
  </si>
  <si>
    <t>Identity Provider</t>
  </si>
  <si>
    <t>MFA at IdP</t>
  </si>
  <si>
    <t>Just-In-Time Provisioning</t>
  </si>
  <si>
    <t>Session Timeout</t>
  </si>
  <si>
    <t>Certificate Validation</t>
  </si>
  <si>
    <t>Token Encryption</t>
  </si>
  <si>
    <t>Example: Office 365 SSO - Azure AD</t>
  </si>
  <si>
    <t>SSO</t>
  </si>
  <si>
    <t>SHA-256</t>
  </si>
  <si>
    <t>/evidence/auth/o365-sso-config.pdf</t>
  </si>
  <si>
    <t>SAML 2.0</t>
  </si>
  <si>
    <t>Enabled</t>
  </si>
  <si>
    <t>≤1 hour</t>
  </si>
  <si>
    <t>Azure AD SSO</t>
  </si>
  <si>
    <t>SAML 2.0 + OpenID Connect</t>
  </si>
  <si>
    <t>95% SaaS apps</t>
  </si>
  <si>
    <t>Conditional Access enforced</t>
  </si>
  <si>
    <t>Azure AD app gallery</t>
  </si>
  <si>
    <t>Azure AD sign-ins</t>
  </si>
  <si>
    <t>Okta SSO</t>
  </si>
  <si>
    <t>SAML 2.0 + OAuth 2.0</t>
  </si>
  <si>
    <t>100% federated apps</t>
  </si>
  <si>
    <t>Okta</t>
  </si>
  <si>
    <t>MFA + Adaptive Auth</t>
  </si>
  <si>
    <t>Okta Universal Directory</t>
  </si>
  <si>
    <t>Okta app integrations</t>
  </si>
  <si>
    <t>Okta system logs</t>
  </si>
  <si>
    <t>ADFS Federation</t>
  </si>
  <si>
    <t>WS-Federation + SAML</t>
  </si>
  <si>
    <t>100% AD-integrated</t>
  </si>
  <si>
    <t>ADFS</t>
  </si>
  <si>
    <t>MFA enforced</t>
  </si>
  <si>
    <t>ADFS + Azure AD</t>
  </si>
  <si>
    <t>ADFS architecture</t>
  </si>
  <si>
    <t>ADFS audit logs</t>
  </si>
  <si>
    <t>Google Workspace SSO</t>
  </si>
  <si>
    <t>100% Google apps</t>
  </si>
  <si>
    <t>Google SSO</t>
  </si>
  <si>
    <t>Security key enforced</t>
  </si>
  <si>
    <t>Google Admin</t>
  </si>
  <si>
    <t>Google SSO config</t>
  </si>
  <si>
    <t>Google Admin logs</t>
  </si>
  <si>
    <t>AWS SSO (IAM Identity Center)</t>
  </si>
  <si>
    <t>100% AWS accounts</t>
  </si>
  <si>
    <t>AWS SSO</t>
  </si>
  <si>
    <t>MFA required</t>
  </si>
  <si>
    <t>AWS Organizations</t>
  </si>
  <si>
    <t>AWS SSO configuration</t>
  </si>
  <si>
    <t>CloudTrail SSO events</t>
  </si>
  <si>
    <t>Custom Apps with SSO</t>
  </si>
  <si>
    <t>SAML 2.0 + OIDC</t>
  </si>
  <si>
    <t>80% custom apps</t>
  </si>
  <si>
    <t>Various IdPs</t>
  </si>
  <si>
    <t>MFA where supported</t>
  </si>
  <si>
    <t>App-specific</t>
  </si>
  <si>
    <t>Custom app inventory</t>
  </si>
  <si>
    <t>App authentication logs</t>
  </si>
  <si>
    <t>Complete SSO integration</t>
  </si>
  <si>
    <t>Legacy Apps (No SSO)</t>
  </si>
  <si>
    <t>Local authentication</t>
  </si>
  <si>
    <t>20% legacy apps</t>
  </si>
  <si>
    <t>Local credentials</t>
  </si>
  <si>
    <t>Local auth logs</t>
  </si>
  <si>
    <t>Implement SSO proxy</t>
  </si>
  <si>
    <t>5. SSO &amp; FEDERATION CHECKLIST</t>
  </si>
  <si>
    <t>SSO implemented for all compatible applications</t>
  </si>
  <si>
    <t>SAML 2.0, OAuth 2.0/OIDC, or WS-Federation protocols used</t>
  </si>
  <si>
    <t>Centralized Identity Provider (IdP) configured</t>
  </si>
  <si>
    <t>MFA enforced at IdP level</t>
  </si>
  <si>
    <t>SAML assertions signed and encrypted</t>
  </si>
  <si>
    <t>Certificate-based trust established (SAML metadata)</t>
  </si>
  <si>
    <t>Token lifetime/expiration configured (≤1 hour access token)</t>
  </si>
  <si>
    <t>Refresh token rotation implemented</t>
  </si>
  <si>
    <t>Just-in-time (JIT) user provisioning configured</t>
  </si>
  <si>
    <t>Attribute/claim mapping documented</t>
  </si>
  <si>
    <t>SSO session timeout configured (≤8 hours)</t>
  </si>
  <si>
    <t>Conditional access policies implemented</t>
  </si>
  <si>
    <t>Device compliance checks before SSO access</t>
  </si>
  <si>
    <t>SSO authentication logs centralized</t>
  </si>
  <si>
    <t>SSO bypass/backdoor disabled</t>
  </si>
  <si>
    <t>Federation trust relationships documented</t>
  </si>
  <si>
    <t>External federation partners vetted and approved</t>
  </si>
  <si>
    <t>SSO failover/redundancy configured</t>
  </si>
  <si>
    <t>IdP high availability implemented</t>
  </si>
  <si>
    <t>Privileged access management (PAM) integrated with SSO</t>
  </si>
  <si>
    <t>SSO PROTOCOL COMPARISON</t>
  </si>
  <si>
    <t>Protocol</t>
  </si>
  <si>
    <t>Security Features</t>
  </si>
  <si>
    <t>Token Type</t>
  </si>
  <si>
    <t>Best For</t>
  </si>
  <si>
    <t>Enterprise SSO, SaaS</t>
  </si>
  <si>
    <t>Signed/encrypted assertions, strong binding</t>
  </si>
  <si>
    <t>XML assertions</t>
  </si>
  <si>
    <t>Enterprise applications, legacy systems</t>
  </si>
  <si>
    <t>OAuth 2.0 + OIDC</t>
  </si>
  <si>
    <t>Modern web/mobile apps, APIs</t>
  </si>
  <si>
    <t>JWT tokens, PKCE, scopes</t>
  </si>
  <si>
    <t>JSON Web Tokens (JWT)</t>
  </si>
  <si>
    <t>Cloud-native apps, mobile, APIs</t>
  </si>
  <si>
    <t>WS-Federation</t>
  </si>
  <si>
    <t>Microsoft ecosystems</t>
  </si>
  <si>
    <t>Encrypted tokens, claims-based</t>
  </si>
  <si>
    <t>SAML tokens</t>
  </si>
  <si>
    <t>Active Directory Federation Services (ADFS)</t>
  </si>
  <si>
    <t>Kerberos</t>
  </si>
  <si>
    <t>On-premises Windows</t>
  </si>
  <si>
    <t>Ticket-based, mutual authentication</t>
  </si>
  <si>
    <t>Kerberos tickets</t>
  </si>
  <si>
    <t>Internal Windows environments</t>
  </si>
  <si>
    <t>IDENTITY PROVIDER SECURITY CHECKLIST</t>
  </si>
  <si>
    <t>Notes</t>
  </si>
  <si>
    <t>MFA enforcement at IdP</t>
  </si>
  <si>
    <t>Required for all users</t>
  </si>
  <si>
    <t>Conditional access policies</t>
  </si>
  <si>
    <t>Risk-based authentication</t>
  </si>
  <si>
    <t>Device compliance checking</t>
  </si>
  <si>
    <t>Managed devices only</t>
  </si>
  <si>
    <t>Geo-location restrictions</t>
  </si>
  <si>
    <t>Block suspicious locations</t>
  </si>
  <si>
    <t>Adaptive authentication</t>
  </si>
  <si>
    <t>Risk scoring, step-up auth</t>
  </si>
  <si>
    <t>Session management</t>
  </si>
  <si>
    <t>Timeout, revocation</t>
  </si>
  <si>
    <t>Audit logging</t>
  </si>
  <si>
    <t>All auth events logged</t>
  </si>
  <si>
    <t>High availability</t>
  </si>
  <si>
    <t>99.9%+ uptime SLA</t>
  </si>
  <si>
    <t>TOKEN LIFETIME BEST PRACTICES</t>
  </si>
  <si>
    <t>Recommended Lifetime</t>
  </si>
  <si>
    <t>Maximum Lifetime</t>
  </si>
  <si>
    <t>Access Token (OAuth)</t>
  </si>
  <si>
    <t>15 minutes</t>
  </si>
  <si>
    <t>1 hour</t>
  </si>
  <si>
    <t>Auto-expire</t>
  </si>
  <si>
    <t>Refresh Token (OAuth)</t>
  </si>
  <si>
    <t>Rotate on use</t>
  </si>
  <si>
    <t>ID Token (OIDC)</t>
  </si>
  <si>
    <t>5 minutes</t>
  </si>
  <si>
    <t>Per request</t>
  </si>
  <si>
    <t>SAML Assertion</t>
  </si>
  <si>
    <t>Session Token</t>
  </si>
  <si>
    <t>1 hour inactive</t>
  </si>
  <si>
    <t>8 hours absolute</t>
  </si>
  <si>
    <t>Extend on activity</t>
  </si>
  <si>
    <t>AUTHENTICATION ASSESSMENT - COMPLIANCE SUMMARY</t>
  </si>
  <si>
    <t>Total Items</t>
  </si>
  <si>
    <t>Compliance %</t>
  </si>
  <si>
    <t>1. Password Security</t>
  </si>
  <si>
    <t>2. Multi-Factor Authentication</t>
  </si>
  <si>
    <t>3. Certificate-Based Auth</t>
  </si>
  <si>
    <t>4. Service Accounts</t>
  </si>
  <si>
    <t>5. SSO &amp; Federation</t>
  </si>
  <si>
    <t>TOTAL</t>
  </si>
  <si>
    <t>AUTHENTICATION METHOD DISTRIBUTION</t>
  </si>
  <si>
    <t>Count</t>
  </si>
  <si>
    <t>Percentage</t>
  </si>
  <si>
    <t>Security Rating</t>
  </si>
  <si>
    <t>Password Only</t>
  </si>
  <si>
    <t>LOW RISK ⚠️</t>
  </si>
  <si>
    <t>Password + MFA</t>
  </si>
  <si>
    <t>Good ✅</t>
  </si>
  <si>
    <t>Excellent ✅</t>
  </si>
  <si>
    <t>SSO + MFA</t>
  </si>
  <si>
    <t>Biometric + MFA</t>
  </si>
  <si>
    <t>Legacy/Weak</t>
  </si>
  <si>
    <t>CRITICAL RISK ❌</t>
  </si>
  <si>
    <t>MFA ADOPTION METRICS</t>
  </si>
  <si>
    <t>Total Users</t>
  </si>
  <si>
    <t>MFA Enrolled</t>
  </si>
  <si>
    <t>Enrollment %</t>
  </si>
  <si>
    <t>Administrators</t>
  </si>
  <si>
    <t>Remote Users</t>
  </si>
  <si>
    <t>Internal Users</t>
  </si>
  <si>
    <t>External Users</t>
  </si>
  <si>
    <t>Service Accounts</t>
  </si>
  <si>
    <t>PASSWORD SECURITY METRICS</t>
  </si>
  <si>
    <t>Password Metric</t>
  </si>
  <si>
    <t>Compliance Status</t>
  </si>
  <si>
    <t>Hashed with Approved Algorithm</t>
  </si>
  <si>
    <t>Plaintext Storage</t>
  </si>
  <si>
    <t>❌ CRITICAL</t>
  </si>
  <si>
    <t>Weak Hashing (MD5/SHA-1)</t>
  </si>
  <si>
    <t>Min Length ≥14 chars</t>
  </si>
  <si>
    <t>✅ Recommended</t>
  </si>
  <si>
    <t>Min Length 12-13 chars</t>
  </si>
  <si>
    <t>⚠️ Adequate</t>
  </si>
  <si>
    <t>Min Length &lt;12 chars</t>
  </si>
  <si>
    <t>❌ Weak</t>
  </si>
  <si>
    <t>Account Lockout Enabled</t>
  </si>
  <si>
    <t>✅ Required</t>
  </si>
  <si>
    <t>Password Expiry Configured</t>
  </si>
  <si>
    <t>SERVICE ACCOUNT SECURITY</t>
  </si>
  <si>
    <t>Service Account Metric</t>
  </si>
  <si>
    <t>Total Service Accounts</t>
  </si>
  <si>
    <t>Certificate-based Auth</t>
  </si>
  <si>
    <t>Weak Password (&lt;20 chars)</t>
  </si>
  <si>
    <t>Interactive Login Disabled</t>
  </si>
  <si>
    <t>Stored in Secrets Vault</t>
  </si>
  <si>
    <t>Privileged Accounts</t>
  </si>
  <si>
    <t>SSO COVERAGE ANALYSIS</t>
  </si>
  <si>
    <t>SSO Metric</t>
  </si>
  <si>
    <t>Applications with SSO</t>
  </si>
  <si>
    <t>SAML 2.0 Implementations</t>
  </si>
  <si>
    <t>OAuth 2.0/OIDC Implementations</t>
  </si>
  <si>
    <t>MFA Required at IdP</t>
  </si>
  <si>
    <t>Legacy Protocols (LDAP/Kerberos)</t>
  </si>
  <si>
    <t>JIT Provisioning Enabled</t>
  </si>
  <si>
    <t>OVERALL AUTHENTICATION SECURITY SCORE</t>
  </si>
  <si>
    <t>Weight</t>
  </si>
  <si>
    <t>Score</t>
  </si>
  <si>
    <t>Weighted Score</t>
  </si>
  <si>
    <t>Password Security (20%)</t>
  </si>
  <si>
    <t>0.20</t>
  </si>
  <si>
    <t>MFA Coverage (30%)</t>
  </si>
  <si>
    <t>0.30</t>
  </si>
  <si>
    <t>Certificate Auth (15%)</t>
  </si>
  <si>
    <t>0.15</t>
  </si>
  <si>
    <t>Service Accounts (15%)</t>
  </si>
  <si>
    <t>SSO &amp; Federation (20%)</t>
  </si>
  <si>
    <t>TOTAL WEIGHTED SCORE:</t>
  </si>
  <si>
    <t>Security Posture Rating:</t>
  </si>
  <si>
    <t>CRITICAL GAPS REQUIRING IMMEDIATE ATTENTION</t>
  </si>
  <si>
    <t>Risk Level</t>
  </si>
  <si>
    <t>EVIDENCE REGISTER</t>
  </si>
  <si>
    <t>List all evidence files/documents referenced in this assessment (audit traceability).</t>
  </si>
  <si>
    <t>Evidence ID</t>
  </si>
  <si>
    <t>Evidence Type</t>
  </si>
  <si>
    <t>Location/Path</t>
  </si>
  <si>
    <t>Date Collected</t>
  </si>
  <si>
    <t>Collected By</t>
  </si>
  <si>
    <t>Verification Status</t>
  </si>
  <si>
    <t>EV-001</t>
  </si>
  <si>
    <t>EV-002</t>
  </si>
  <si>
    <t>EV-003</t>
  </si>
  <si>
    <t>EV-004</t>
  </si>
  <si>
    <t>EV-005</t>
  </si>
  <si>
    <t>EVD-824.3-001</t>
  </si>
  <si>
    <t>Active Directory Password Policy GPO</t>
  </si>
  <si>
    <t>GPO Export</t>
  </si>
  <si>
    <t>AD/GPO/Password</t>
  </si>
  <si>
    <t>2026-01-10</t>
  </si>
  <si>
    <t>Windows Admin</t>
  </si>
  <si>
    <t>3 years</t>
  </si>
  <si>
    <t>Current</t>
  </si>
  <si>
    <t>EVD-824.3-002</t>
  </si>
  <si>
    <t>Azure AD Password Policy Configuration</t>
  </si>
  <si>
    <t>Screenshot</t>
  </si>
  <si>
    <t>Azure/AAD/Security</t>
  </si>
  <si>
    <t>Cloud Admin</t>
  </si>
  <si>
    <t>2 years</t>
  </si>
  <si>
    <t>EVD-824.3-003</t>
  </si>
  <si>
    <t>Linux PAM Configuration Audit</t>
  </si>
  <si>
    <t>Config Files</t>
  </si>
  <si>
    <t>Linux/PAM/Config</t>
  </si>
  <si>
    <t>2026-01-09</t>
  </si>
  <si>
    <t>Linux Admin</t>
  </si>
  <si>
    <t>EVD-824.3-004</t>
  </si>
  <si>
    <t>Password Security Standard v3.2</t>
  </si>
  <si>
    <t>Standard Document</t>
  </si>
  <si>
    <t>SharePoint/Standards</t>
  </si>
  <si>
    <t>2025-08-01</t>
  </si>
  <si>
    <t>5 years</t>
  </si>
  <si>
    <t>EVD-824.3-005</t>
  </si>
  <si>
    <t>Azure MFA Adoption Report</t>
  </si>
  <si>
    <t>Compliance Report</t>
  </si>
  <si>
    <t>Azure/MFA/Reports</t>
  </si>
  <si>
    <t>EVD-824.3-006</t>
  </si>
  <si>
    <t>Duo Security Deployment Configuration</t>
  </si>
  <si>
    <t>Config Export</t>
  </si>
  <si>
    <t>Duo/Admin/Config</t>
  </si>
  <si>
    <t>EVD-824.3-007</t>
  </si>
  <si>
    <t>YubiKey Deployment Inventory</t>
  </si>
  <si>
    <t>Inventory List</t>
  </si>
  <si>
    <t>SharePoint/Inventory/MFA</t>
  </si>
  <si>
    <t>2026-01-08</t>
  </si>
  <si>
    <t>IT Admin</t>
  </si>
  <si>
    <t>EVD-824.3-008</t>
  </si>
  <si>
    <t>MFA Policy Document v2.5</t>
  </si>
  <si>
    <t>Policy</t>
  </si>
  <si>
    <t>SharePoint/Policies/MFA</t>
  </si>
  <si>
    <t>2025-09-01</t>
  </si>
  <si>
    <t>EVD-824.3-009</t>
  </si>
  <si>
    <t>PIV Smart Card Deployment Guide</t>
  </si>
  <si>
    <t>Technical Guide</t>
  </si>
  <si>
    <t>SharePoint/Guides/PIV</t>
  </si>
  <si>
    <t>2025-10-15</t>
  </si>
  <si>
    <t>EVD-824.3-010</t>
  </si>
  <si>
    <t>PKI Certificate Policy</t>
  </si>
  <si>
    <t>Policy Document</t>
  </si>
  <si>
    <t>SharePoint/Policies/PKI</t>
  </si>
  <si>
    <t>2025-06-01</t>
  </si>
  <si>
    <t>EVD-824.3-011</t>
  </si>
  <si>
    <t>mTLS Architecture Documentation</t>
  </si>
  <si>
    <t>Architecture Doc</t>
  </si>
  <si>
    <t>Confluence/mTLS</t>
  </si>
  <si>
    <t>2025-11-01</t>
  </si>
  <si>
    <t>Platform Team</t>
  </si>
  <si>
    <t>EVD-824.3-012</t>
  </si>
  <si>
    <t>S/MIME Certificate Deployment Report</t>
  </si>
  <si>
    <t>Deployment Report</t>
  </si>
  <si>
    <t>SharePoint/Certificates</t>
  </si>
  <si>
    <t>Email Admin</t>
  </si>
  <si>
    <t>EVD-824.3-013</t>
  </si>
  <si>
    <t>Azure Managed Identity Implementation</t>
  </si>
  <si>
    <t>Technical Doc</t>
  </si>
  <si>
    <t>Azure/Documentation</t>
  </si>
  <si>
    <t>2025-12-01</t>
  </si>
  <si>
    <t>Cloud Team</t>
  </si>
  <si>
    <t>EVD-824.3-014</t>
  </si>
  <si>
    <t>AWS IAM Role Best Practices</t>
  </si>
  <si>
    <t>Best Practices Doc</t>
  </si>
  <si>
    <t>AWS/Documentation</t>
  </si>
  <si>
    <t>2025-11-15</t>
  </si>
  <si>
    <t>EVD-824.3-015</t>
  </si>
  <si>
    <t>gMSA Deployment Status Report</t>
  </si>
  <si>
    <t>Status Report</t>
  </si>
  <si>
    <t>AD/gMSA/Reports</t>
  </si>
  <si>
    <t>EVD-824.3-016</t>
  </si>
  <si>
    <t>Service Account Inventory Q1 2026</t>
  </si>
  <si>
    <t>Inventory</t>
  </si>
  <si>
    <t>SharePoint/Inventory/SA</t>
  </si>
  <si>
    <t>EVD-824.3-017</t>
  </si>
  <si>
    <t>Azure AD SSO Configuration</t>
  </si>
  <si>
    <t>Azure/AAD/SSO</t>
  </si>
  <si>
    <t>EVD-824.3-018</t>
  </si>
  <si>
    <t>Okta Application Integration List</t>
  </si>
  <si>
    <t>Integration List</t>
  </si>
  <si>
    <t>Okta/Admin/Apps</t>
  </si>
  <si>
    <t>EVD-824.3-019</t>
  </si>
  <si>
    <t>ADFS Federation Configuration</t>
  </si>
  <si>
    <t>Config Documentation</t>
  </si>
  <si>
    <t>ADFS/Configuration</t>
  </si>
  <si>
    <t>2025-12-15</t>
  </si>
  <si>
    <t>Identity Team</t>
  </si>
  <si>
    <t>EVD-824.3-020</t>
  </si>
  <si>
    <t>SSO Implementation Standard</t>
  </si>
  <si>
    <t>SharePoint/Standards/SSO</t>
  </si>
  <si>
    <t>EV-026</t>
  </si>
  <si>
    <t>EV-027</t>
  </si>
  <si>
    <t>EV-028</t>
  </si>
  <si>
    <t>EV-029</t>
  </si>
  <si>
    <t>EV-030</t>
  </si>
  <si>
    <t>EV-031</t>
  </si>
  <si>
    <t>EV-032</t>
  </si>
  <si>
    <t>EV-033</t>
  </si>
  <si>
    <t>EV-034</t>
  </si>
  <si>
    <t>EV-035</t>
  </si>
  <si>
    <t>EV-036</t>
  </si>
  <si>
    <t>EV-037</t>
  </si>
  <si>
    <t>EV-038</t>
  </si>
  <si>
    <t>EV-039</t>
  </si>
  <si>
    <t>EV-040</t>
  </si>
  <si>
    <t>EV-041</t>
  </si>
  <si>
    <t>EV-042</t>
  </si>
  <si>
    <t>EV-043</t>
  </si>
  <si>
    <t>EV-044</t>
  </si>
  <si>
    <t>EV-045</t>
  </si>
  <si>
    <t>EV-046</t>
  </si>
  <si>
    <t>EV-047</t>
  </si>
  <si>
    <t>EV-048</t>
  </si>
  <si>
    <t>EV-049</t>
  </si>
  <si>
    <t>EV-050</t>
  </si>
  <si>
    <t>EV-051</t>
  </si>
  <si>
    <t>EV-052</t>
  </si>
  <si>
    <t>EV-053</t>
  </si>
  <si>
    <t>EV-054</t>
  </si>
  <si>
    <t>EV-055</t>
  </si>
  <si>
    <t>EV-056</t>
  </si>
  <si>
    <t>EV-057</t>
  </si>
  <si>
    <t>EV-058</t>
  </si>
  <si>
    <t>EV-059</t>
  </si>
  <si>
    <t>EV-060</t>
  </si>
  <si>
    <t>EV-061</t>
  </si>
  <si>
    <t>EV-062</t>
  </si>
  <si>
    <t>EV-063</t>
  </si>
  <si>
    <t>EV-064</t>
  </si>
  <si>
    <t>EV-065</t>
  </si>
  <si>
    <t>EV-066</t>
  </si>
  <si>
    <t>EV-067</t>
  </si>
  <si>
    <t>EV-068</t>
  </si>
  <si>
    <t>EV-069</t>
  </si>
  <si>
    <t>EV-070</t>
  </si>
  <si>
    <t>EV-071</t>
  </si>
  <si>
    <t>EV-072</t>
  </si>
  <si>
    <t>EV-073</t>
  </si>
  <si>
    <t>EV-074</t>
  </si>
  <si>
    <t>EV-075</t>
  </si>
  <si>
    <t>EV-076</t>
  </si>
  <si>
    <t>EV-077</t>
  </si>
  <si>
    <t>EV-078</t>
  </si>
  <si>
    <t>EV-079</t>
  </si>
  <si>
    <t>EV-080</t>
  </si>
  <si>
    <t>EV-081</t>
  </si>
  <si>
    <t>EV-082</t>
  </si>
  <si>
    <t>EV-083</t>
  </si>
  <si>
    <t>EV-084</t>
  </si>
  <si>
    <t>EV-085</t>
  </si>
  <si>
    <t>EV-086</t>
  </si>
  <si>
    <t>EV-087</t>
  </si>
  <si>
    <t>EV-088</t>
  </si>
  <si>
    <t>EV-089</t>
  </si>
  <si>
    <t>EV-090</t>
  </si>
  <si>
    <t>EV-091</t>
  </si>
  <si>
    <t>EV-092</t>
  </si>
  <si>
    <t>EV-093</t>
  </si>
  <si>
    <t>EV-094</t>
  </si>
  <si>
    <t>EV-095</t>
  </si>
  <si>
    <t>EV-096</t>
  </si>
  <si>
    <t>EV-097</t>
  </si>
  <si>
    <t>EV-098</t>
  </si>
  <si>
    <t>EV-099</t>
  </si>
  <si>
    <t>EV-100</t>
  </si>
  <si>
    <t>ASSESSMENT APPROVAL AND SIGN-OFF</t>
  </si>
  <si>
    <t>Assessment Summary</t>
  </si>
  <si>
    <t>Assessment Document</t>
  </si>
  <si>
    <t>ISMS-IMP-A.8.24.3 - Authentication Assessment</t>
  </si>
  <si>
    <t>Assessment Period</t>
  </si>
  <si>
    <t>Alex Thompson</t>
  </si>
  <si>
    <t>Overall Compliance Rate</t>
  </si>
  <si>
    <t>Identity &amp; Access Management Engineer</t>
  </si>
  <si>
    <t>Assessment Status</t>
  </si>
  <si>
    <t>Information Security</t>
  </si>
  <si>
    <t>alex.thompson@company.com</t>
  </si>
  <si>
    <t>2026-01-13</t>
  </si>
  <si>
    <t>ASSESSMENT COMPLETED BY</t>
  </si>
  <si>
    <t>Name:</t>
  </si>
  <si>
    <t>Role/Title:</t>
  </si>
  <si>
    <t>Department:</t>
  </si>
  <si>
    <t>Email:</t>
  </si>
  <si>
    <t>Lisa Martinez</t>
  </si>
  <si>
    <t>Date:</t>
  </si>
  <si>
    <t>2026-01-15</t>
  </si>
  <si>
    <t>Reviewed and verified all authentication controls. Legacy system SSO integration needs attention.</t>
  </si>
  <si>
    <t>REVIEWED BY (INFORMATION SECURITY OFFICER)</t>
  </si>
  <si>
    <t>Review Notes:</t>
  </si>
  <si>
    <t>Michael Chen</t>
  </si>
  <si>
    <t>2026-01-16</t>
  </si>
  <si>
    <t>MFA coverage excellent. Focus on completing developer MFA enforcement and legacy app modernization.</t>
  </si>
  <si>
    <t>APPROVED BY (CISO)</t>
  </si>
  <si>
    <t>Approval Decision:</t>
  </si>
  <si>
    <t>Conditions/Notes:</t>
  </si>
  <si>
    <t>Jennifer Williams</t>
  </si>
  <si>
    <t>2026-01-18</t>
  </si>
  <si>
    <t>Approved</t>
  </si>
  <si>
    <t>NEXT REVIEW DETAILS</t>
  </si>
  <si>
    <t>Next Review Date:</t>
  </si>
  <si>
    <t>Review Responsible:</t>
  </si>
  <si>
    <t>Special Considerations:</t>
  </si>
  <si>
    <t>2026-04-13</t>
  </si>
  <si>
    <t>Q2 2026 follow-up on legacy application authentication modernization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</si>
</sst>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Calibri"/>
      <family val="2"/>
    </font>
    <font>
      <b/>
      <sz val="12"/>
      <name val="Calibri"/>
      <family val="2"/>
    </font>
    <font>
      <b/>
      <sz val="11"/>
      <name val="Calibri"/>
      <family val="2"/>
    </font>
    <font>
      <b/>
      <sz val="10"/>
      <name val="Calibri"/>
      <family val="2"/>
    </font>
    <font>
      <b/>
      <sz val="11"/>
      <name val="Calibri"/>
      <family val="2"/>
    </font>
    <font>
      <i/>
      <sz val="11"/>
      <color rgb="FF808080"/>
      <name val="Calibri"/>
      <family val="2"/>
    </font>
    <font>
      <b/>
      <sz val="11"/>
      <color rgb="FF0000FF"/>
      <name val="Calibri"/>
      <family val="2"/>
    </font>
    <font>
      <b/>
      <sz val="11"/>
      <color rgb="FFFFFFFF"/>
      <name val="Calibri"/>
      <family val="2"/>
    </font>
    <font>
      <b/>
      <sz val="12"/>
      <color rgb="FF0000FF"/>
      <name val="Calibri"/>
      <family val="2"/>
    </font>
    <font>
      <b/>
      <sz val="12"/>
      <color rgb="FFFFFFFF"/>
      <name val="Calibri"/>
      <family val="2"/>
    </font>
    <font>
      <i/>
      <sz val="11"/>
      <name val="Calibri"/>
      <family val="2"/>
    </font>
    <font>
      <sz val="11"/>
      <color rgb="FF808080"/>
      <name val="Calibri"/>
      <family val="2"/>
    </font>
    <font>
      <b/>
      <sz val="11"/>
      <color rgb="FFFFFFFF"/>
      <name val="Calibri"/>
      <family val="2"/>
    </font>
  </fonts>
  <fills count="10">
    <fill>
      <patternFill patternType="none"/>
    </fill>
    <fill>
      <patternFill patternType="gray125"/>
    </fill>
    <fill>
      <patternFill patternType="solid">
        <fgColor rgb="FF003366"/>
        <bgColor rgb="FF003366"/>
      </patternFill>
    </fill>
    <fill>
      <patternFill patternType="solid">
        <fgColor rgb="FFFFFFCC"/>
        <bgColor rgb="FFFFFFCC"/>
      </patternFill>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C00000"/>
        <bgColor rgb="FFC00000"/>
      </patternFill>
    </fill>
    <fill>
      <patternFill patternType="solid">
        <fgColor rgb="FF4472C4"/>
        <bgColor rgb="FF4472C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9">
    <xf numFmtId="0" fontId="0" fillId="0" borderId="0" xfId="0"/>
    <xf numFmtId="0" fontId="2" fillId="0" borderId="0" xfId="0" applyFont="1"/>
    <xf numFmtId="0" fontId="3" fillId="0" borderId="0" xfId="0" applyFont="1"/>
    <xf numFmtId="0" fontId="0" fillId="3" borderId="1" xfId="0" applyFill="1" applyBorder="1"/>
    <xf numFmtId="0" fontId="4" fillId="4" borderId="1" xfId="0" applyFont="1" applyFill="1" applyBorder="1" applyAlignment="1">
      <alignment horizontal="center" vertical="center" wrapText="1"/>
    </xf>
    <xf numFmtId="0" fontId="0" fillId="0" borderId="1" xfId="0" applyBorder="1"/>
    <xf numFmtId="0" fontId="0" fillId="5" borderId="1" xfId="0" applyFill="1" applyBorder="1" applyAlignment="1">
      <alignment horizontal="left" vertical="center" wrapText="1"/>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6" fillId="0" borderId="0" xfId="0" applyFont="1" applyAlignment="1">
      <alignment horizontal="left" vertical="center" wrapText="1"/>
    </xf>
    <xf numFmtId="0" fontId="0" fillId="3" borderId="1" xfId="0" applyFill="1" applyBorder="1" applyAlignment="1">
      <alignment horizontal="left" vertical="center" wrapText="1"/>
    </xf>
    <xf numFmtId="0" fontId="5" fillId="0" borderId="0" xfId="0" applyFont="1"/>
    <xf numFmtId="0" fontId="7" fillId="0" borderId="0" xfId="0" applyFont="1"/>
    <xf numFmtId="0" fontId="9" fillId="0" borderId="0" xfId="0" applyFont="1"/>
    <xf numFmtId="0" fontId="0" fillId="3" borderId="0" xfId="0" applyFill="1"/>
    <xf numFmtId="0" fontId="12" fillId="0" borderId="0" xfId="0" applyFont="1"/>
    <xf numFmtId="0" fontId="1" fillId="2" borderId="0" xfId="0" applyFont="1" applyFill="1" applyAlignment="1">
      <alignment horizontal="center" vertical="center" wrapText="1"/>
    </xf>
    <xf numFmtId="0" fontId="0" fillId="0" borderId="0" xfId="0"/>
    <xf numFmtId="0" fontId="0" fillId="3" borderId="1" xfId="0" applyFill="1" applyBorder="1" applyAlignment="1">
      <alignment horizontal="left" vertical="center" wrapText="1"/>
    </xf>
    <xf numFmtId="0" fontId="0" fillId="0" borderId="4" xfId="0" applyBorder="1"/>
    <xf numFmtId="0" fontId="0" fillId="0" borderId="5" xfId="0" applyBorder="1"/>
    <xf numFmtId="0" fontId="5" fillId="0" borderId="0" xfId="0" applyFont="1" applyAlignment="1">
      <alignment horizontal="left" vertical="center" wrapText="1"/>
    </xf>
    <xf numFmtId="0" fontId="5" fillId="0" borderId="0" xfId="0" applyFont="1"/>
    <xf numFmtId="0" fontId="8" fillId="8" borderId="0" xfId="0" applyFont="1" applyFill="1" applyAlignment="1">
      <alignment horizontal="center" vertical="center"/>
    </xf>
    <xf numFmtId="0" fontId="0" fillId="3" borderId="1" xfId="0"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applyAlignment="1">
      <alignment horizontal="center" vertical="center"/>
    </xf>
    <xf numFmtId="0" fontId="10" fillId="2" borderId="0" xfId="0" applyFont="1" applyFill="1" applyAlignment="1">
      <alignment horizontal="center" vertical="center"/>
    </xf>
    <xf numFmtId="0" fontId="10" fillId="8" borderId="0" xfId="0" applyFont="1" applyFill="1" applyAlignment="1">
      <alignment horizontal="center" vertical="center"/>
    </xf>
    <xf numFmtId="0" fontId="11" fillId="0" borderId="0" xfId="0" applyFont="1" applyAlignment="1">
      <alignment horizontal="left" vertical="center"/>
    </xf>
    <xf numFmtId="0" fontId="13" fillId="2" borderId="0" xfId="0" applyFont="1" applyFill="1" applyAlignment="1">
      <alignment horizontal="center" vertical="center"/>
    </xf>
    <xf numFmtId="0" fontId="8" fillId="9"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workbookViewId="0">
      <pane ySplit="3" topLeftCell="A4" activePane="bottomLeft" state="frozen"/>
      <selection pane="bottomLeft" sqref="A1:G1"/>
    </sheetView>
  </sheetViews>
  <sheetFormatPr baseColWidth="10" defaultColWidth="8.83203125" defaultRowHeight="15" x14ac:dyDescent="0.2"/>
  <cols>
    <col min="1" max="1" width="28" customWidth="1"/>
    <col min="2" max="2" width="45" customWidth="1"/>
    <col min="3" max="3" width="70" customWidth="1"/>
  </cols>
  <sheetData>
    <row r="1" spans="1:7" ht="40" customHeight="1" x14ac:dyDescent="0.2">
      <c r="A1" s="17" t="s">
        <v>0</v>
      </c>
      <c r="B1" s="18"/>
      <c r="C1" s="18"/>
      <c r="D1" s="18"/>
      <c r="E1" s="18"/>
      <c r="F1" s="18"/>
      <c r="G1" s="18"/>
    </row>
    <row r="3" spans="1:7" ht="16" x14ac:dyDescent="0.2">
      <c r="A3" s="1" t="s">
        <v>1</v>
      </c>
    </row>
    <row r="4" spans="1:7" x14ac:dyDescent="0.2">
      <c r="A4" s="2" t="s">
        <v>2</v>
      </c>
      <c r="B4" t="s">
        <v>3</v>
      </c>
    </row>
    <row r="5" spans="1:7" x14ac:dyDescent="0.2">
      <c r="A5" s="2" t="s">
        <v>4</v>
      </c>
      <c r="B5" t="s">
        <v>5</v>
      </c>
    </row>
    <row r="6" spans="1:7" x14ac:dyDescent="0.2">
      <c r="A6" s="2" t="s">
        <v>6</v>
      </c>
      <c r="B6" t="s">
        <v>7</v>
      </c>
    </row>
    <row r="7" spans="1:7" x14ac:dyDescent="0.2">
      <c r="A7" s="2" t="s">
        <v>8</v>
      </c>
      <c r="B7" t="s">
        <v>9</v>
      </c>
    </row>
    <row r="8" spans="1:7" x14ac:dyDescent="0.2">
      <c r="A8" s="2" t="s">
        <v>10</v>
      </c>
      <c r="B8" s="3"/>
    </row>
    <row r="9" spans="1:7" x14ac:dyDescent="0.2">
      <c r="A9" s="2" t="s">
        <v>11</v>
      </c>
      <c r="B9" s="3"/>
    </row>
    <row r="10" spans="1:7" x14ac:dyDescent="0.2">
      <c r="A10" s="2" t="s">
        <v>12</v>
      </c>
      <c r="B10" s="3"/>
    </row>
    <row r="11" spans="1:7" x14ac:dyDescent="0.2">
      <c r="A11" s="2" t="s">
        <v>13</v>
      </c>
      <c r="B11" t="s">
        <v>14</v>
      </c>
    </row>
    <row r="13" spans="1:7" ht="16" x14ac:dyDescent="0.2">
      <c r="A13" s="1" t="s">
        <v>15</v>
      </c>
    </row>
    <row r="14" spans="1:7" x14ac:dyDescent="0.2">
      <c r="A14" t="s">
        <v>16</v>
      </c>
    </row>
    <row r="15" spans="1:7" x14ac:dyDescent="0.2">
      <c r="A15" t="s">
        <v>17</v>
      </c>
    </row>
    <row r="16" spans="1:7" x14ac:dyDescent="0.2">
      <c r="A16" t="s">
        <v>18</v>
      </c>
    </row>
    <row r="17" spans="1:3" x14ac:dyDescent="0.2">
      <c r="A17" t="s">
        <v>19</v>
      </c>
    </row>
    <row r="18" spans="1:3" x14ac:dyDescent="0.2">
      <c r="A18" t="s">
        <v>20</v>
      </c>
    </row>
    <row r="19" spans="1:3" x14ac:dyDescent="0.2">
      <c r="A19" t="s">
        <v>21</v>
      </c>
    </row>
    <row r="20" spans="1:3" x14ac:dyDescent="0.2">
      <c r="A20" t="s">
        <v>22</v>
      </c>
    </row>
    <row r="21" spans="1:3" x14ac:dyDescent="0.2">
      <c r="A21" t="s">
        <v>23</v>
      </c>
    </row>
    <row r="22" spans="1:3" x14ac:dyDescent="0.2">
      <c r="A22" t="s">
        <v>24</v>
      </c>
    </row>
    <row r="24" spans="1:3" ht="16" x14ac:dyDescent="0.2">
      <c r="A24" s="1" t="s">
        <v>25</v>
      </c>
    </row>
    <row r="25" spans="1:3" x14ac:dyDescent="0.2">
      <c r="A25" s="4" t="s">
        <v>26</v>
      </c>
      <c r="B25" s="4" t="s">
        <v>27</v>
      </c>
      <c r="C25" s="4" t="s">
        <v>28</v>
      </c>
    </row>
    <row r="26" spans="1:3" ht="16" x14ac:dyDescent="0.2">
      <c r="A26" s="5" t="s">
        <v>29</v>
      </c>
      <c r="B26" s="6" t="s">
        <v>30</v>
      </c>
      <c r="C26" s="7" t="s">
        <v>31</v>
      </c>
    </row>
    <row r="27" spans="1:3" ht="16" x14ac:dyDescent="0.2">
      <c r="A27" s="5" t="s">
        <v>32</v>
      </c>
      <c r="B27" s="8" t="s">
        <v>33</v>
      </c>
      <c r="C27" s="7" t="s">
        <v>34</v>
      </c>
    </row>
    <row r="28" spans="1:3" ht="16" x14ac:dyDescent="0.2">
      <c r="A28" s="5" t="s">
        <v>35</v>
      </c>
      <c r="B28" s="9" t="s">
        <v>36</v>
      </c>
      <c r="C28" s="7" t="s">
        <v>37</v>
      </c>
    </row>
    <row r="29" spans="1:3" ht="16" x14ac:dyDescent="0.2">
      <c r="A29" s="5" t="s">
        <v>38</v>
      </c>
      <c r="B29" s="7" t="s">
        <v>39</v>
      </c>
      <c r="C29" s="7" t="s">
        <v>40</v>
      </c>
    </row>
    <row r="32" spans="1:3" ht="16" x14ac:dyDescent="0.2">
      <c r="A32" s="1" t="s">
        <v>41</v>
      </c>
    </row>
    <row r="33" spans="1:1" x14ac:dyDescent="0.2">
      <c r="A33" t="s">
        <v>42</v>
      </c>
    </row>
    <row r="34" spans="1:1" x14ac:dyDescent="0.2">
      <c r="A34" t="s">
        <v>43</v>
      </c>
    </row>
    <row r="35" spans="1:1" x14ac:dyDescent="0.2">
      <c r="A35" t="s">
        <v>44</v>
      </c>
    </row>
    <row r="36" spans="1:1" x14ac:dyDescent="0.2">
      <c r="A36" t="s">
        <v>45</v>
      </c>
    </row>
    <row r="37" spans="1:1" x14ac:dyDescent="0.2">
      <c r="A37" t="s">
        <v>46</v>
      </c>
    </row>
    <row r="38" spans="1:1" x14ac:dyDescent="0.2">
      <c r="A38" t="s">
        <v>47</v>
      </c>
    </row>
    <row r="39" spans="1:1" x14ac:dyDescent="0.2">
      <c r="A39" t="s">
        <v>48</v>
      </c>
    </row>
    <row r="40" spans="1:1" x14ac:dyDescent="0.2">
      <c r="A40" t="s">
        <v>49</v>
      </c>
    </row>
    <row r="41" spans="1:1" x14ac:dyDescent="0.2">
      <c r="A41" t="s">
        <v>50</v>
      </c>
    </row>
    <row r="42" spans="1:1" x14ac:dyDescent="0.2">
      <c r="A42" t="s">
        <v>51</v>
      </c>
    </row>
    <row r="43" spans="1:1" x14ac:dyDescent="0.2">
      <c r="A43" t="s">
        <v>52</v>
      </c>
    </row>
    <row r="44" spans="1:1" x14ac:dyDescent="0.2">
      <c r="A44" t="s">
        <v>53</v>
      </c>
    </row>
    <row r="45" spans="1:1" x14ac:dyDescent="0.2">
      <c r="A45" t="s">
        <v>54</v>
      </c>
    </row>
    <row r="46" spans="1:1" x14ac:dyDescent="0.2">
      <c r="A46" t="s">
        <v>55</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84"/>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8" customWidth="1"/>
    <col min="5" max="5" width="22" customWidth="1"/>
    <col min="6" max="7" width="20"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9" width="16" customWidth="1"/>
    <col min="20" max="20" width="18" customWidth="1"/>
    <col min="21" max="22" width="16" customWidth="1"/>
    <col min="23" max="24" width="18" customWidth="1"/>
  </cols>
  <sheetData>
    <row r="1" spans="1:24" ht="40" customHeight="1" x14ac:dyDescent="0.2">
      <c r="A1" s="17" t="s">
        <v>56</v>
      </c>
      <c r="B1" s="18"/>
      <c r="C1" s="18"/>
      <c r="D1" s="18"/>
      <c r="E1" s="18"/>
      <c r="F1" s="18"/>
      <c r="G1" s="18"/>
      <c r="H1" s="18"/>
      <c r="I1" s="18"/>
      <c r="J1" s="18"/>
      <c r="K1" s="18"/>
      <c r="L1" s="18"/>
      <c r="M1" s="18"/>
      <c r="N1" s="18"/>
      <c r="O1" s="18"/>
      <c r="P1" s="18"/>
      <c r="Q1" s="18"/>
      <c r="R1" s="18"/>
      <c r="S1" s="18"/>
      <c r="T1" s="18"/>
      <c r="U1" s="18"/>
      <c r="V1" s="18"/>
      <c r="W1" s="18"/>
      <c r="X1" s="18"/>
    </row>
    <row r="3" spans="1:24" ht="30" customHeight="1" x14ac:dyDescent="0.2">
      <c r="A3" s="22" t="s">
        <v>57</v>
      </c>
      <c r="B3" s="18"/>
      <c r="C3" s="18"/>
      <c r="D3" s="18"/>
      <c r="E3" s="18"/>
      <c r="F3" s="18"/>
      <c r="G3" s="18"/>
      <c r="H3" s="18"/>
      <c r="I3" s="18"/>
      <c r="J3" s="18"/>
      <c r="K3" s="18"/>
      <c r="L3" s="18"/>
      <c r="M3" s="18"/>
      <c r="N3" s="18"/>
      <c r="O3" s="18"/>
      <c r="P3" s="18"/>
      <c r="Q3" s="18"/>
      <c r="R3" s="18"/>
      <c r="S3" s="18"/>
      <c r="T3" s="18"/>
      <c r="U3" s="18"/>
      <c r="V3" s="18"/>
      <c r="W3" s="18"/>
      <c r="X3" s="18"/>
    </row>
    <row r="4" spans="1:24" x14ac:dyDescent="0.2">
      <c r="A4" s="2" t="s">
        <v>58</v>
      </c>
      <c r="B4" s="3"/>
    </row>
    <row r="6" spans="1:24"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75</v>
      </c>
      <c r="S6" s="4" t="s">
        <v>76</v>
      </c>
      <c r="T6" s="4" t="s">
        <v>77</v>
      </c>
      <c r="U6" s="4" t="s">
        <v>78</v>
      </c>
      <c r="V6" s="4" t="s">
        <v>79</v>
      </c>
      <c r="W6" s="4" t="s">
        <v>80</v>
      </c>
      <c r="X6" s="4" t="s">
        <v>81</v>
      </c>
    </row>
    <row r="7" spans="1:24" ht="32" x14ac:dyDescent="0.2">
      <c r="A7" s="10" t="s">
        <v>82</v>
      </c>
      <c r="B7" s="10" t="s">
        <v>83</v>
      </c>
      <c r="C7" s="10" t="s">
        <v>84</v>
      </c>
      <c r="D7" s="10" t="s">
        <v>85</v>
      </c>
      <c r="E7" s="10" t="s">
        <v>86</v>
      </c>
      <c r="F7" s="10" t="s">
        <v>87</v>
      </c>
      <c r="G7" s="10" t="s">
        <v>88</v>
      </c>
      <c r="H7" s="10" t="s">
        <v>89</v>
      </c>
      <c r="I7" s="10" t="s">
        <v>90</v>
      </c>
      <c r="J7" s="10" t="s">
        <v>91</v>
      </c>
      <c r="K7" s="10" t="s">
        <v>92</v>
      </c>
      <c r="L7" s="10" t="s">
        <v>38</v>
      </c>
      <c r="M7" s="10" t="s">
        <v>38</v>
      </c>
      <c r="N7" s="10" t="s">
        <v>38</v>
      </c>
      <c r="O7" s="10" t="s">
        <v>38</v>
      </c>
      <c r="P7" s="10" t="s">
        <v>38</v>
      </c>
      <c r="Q7" s="10" t="s">
        <v>92</v>
      </c>
      <c r="R7" s="10" t="s">
        <v>93</v>
      </c>
      <c r="S7" s="10" t="s">
        <v>94</v>
      </c>
      <c r="T7" s="10" t="s">
        <v>95</v>
      </c>
      <c r="U7" s="10" t="s">
        <v>96</v>
      </c>
      <c r="V7" s="10" t="s">
        <v>94</v>
      </c>
      <c r="W7" s="10" t="s">
        <v>94</v>
      </c>
      <c r="X7" s="10" t="s">
        <v>97</v>
      </c>
    </row>
    <row r="8" spans="1:24" ht="32" x14ac:dyDescent="0.2">
      <c r="A8" s="11" t="s">
        <v>98</v>
      </c>
      <c r="B8" s="11" t="s">
        <v>99</v>
      </c>
      <c r="C8" s="11" t="s">
        <v>100</v>
      </c>
      <c r="D8" s="11" t="s">
        <v>101</v>
      </c>
      <c r="E8" s="11" t="s">
        <v>102</v>
      </c>
      <c r="F8" s="11" t="s">
        <v>103</v>
      </c>
      <c r="G8" s="11" t="s">
        <v>104</v>
      </c>
      <c r="H8" s="11" t="s">
        <v>89</v>
      </c>
      <c r="I8" s="11" t="s">
        <v>105</v>
      </c>
      <c r="J8" s="11"/>
      <c r="K8" s="11" t="s">
        <v>92</v>
      </c>
      <c r="L8" s="11"/>
      <c r="M8" s="11"/>
      <c r="N8" s="11"/>
      <c r="O8" s="11"/>
      <c r="P8" s="11"/>
      <c r="Q8" s="11"/>
      <c r="R8" s="11"/>
      <c r="S8" s="11"/>
      <c r="T8" s="11"/>
      <c r="U8" s="11"/>
      <c r="V8" s="11"/>
      <c r="W8" s="11"/>
      <c r="X8" s="11"/>
    </row>
    <row r="9" spans="1:24" ht="32" x14ac:dyDescent="0.2">
      <c r="A9" s="11" t="s">
        <v>106</v>
      </c>
      <c r="B9" s="11" t="s">
        <v>107</v>
      </c>
      <c r="C9" s="11" t="s">
        <v>108</v>
      </c>
      <c r="D9" s="11" t="s">
        <v>109</v>
      </c>
      <c r="E9" s="11" t="s">
        <v>110</v>
      </c>
      <c r="F9" s="11" t="s">
        <v>111</v>
      </c>
      <c r="G9" s="11" t="s">
        <v>112</v>
      </c>
      <c r="H9" s="11" t="s">
        <v>89</v>
      </c>
      <c r="I9" s="11" t="s">
        <v>113</v>
      </c>
      <c r="J9" s="11"/>
      <c r="K9" s="11" t="s">
        <v>92</v>
      </c>
      <c r="L9" s="11"/>
      <c r="M9" s="11"/>
      <c r="N9" s="11"/>
      <c r="O9" s="11"/>
      <c r="P9" s="11"/>
      <c r="Q9" s="11"/>
      <c r="R9" s="11"/>
      <c r="S9" s="11"/>
      <c r="T9" s="11"/>
      <c r="U9" s="11"/>
      <c r="V9" s="11"/>
      <c r="W9" s="11"/>
      <c r="X9" s="11"/>
    </row>
    <row r="10" spans="1:24" ht="16" x14ac:dyDescent="0.2">
      <c r="A10" s="11" t="s">
        <v>114</v>
      </c>
      <c r="B10" s="11" t="s">
        <v>115</v>
      </c>
      <c r="C10" s="11" t="s">
        <v>116</v>
      </c>
      <c r="D10" s="11" t="s">
        <v>117</v>
      </c>
      <c r="E10" s="11" t="s">
        <v>102</v>
      </c>
      <c r="F10" s="11" t="s">
        <v>118</v>
      </c>
      <c r="G10" s="11" t="s">
        <v>119</v>
      </c>
      <c r="H10" s="11" t="s">
        <v>89</v>
      </c>
      <c r="I10" s="11" t="s">
        <v>120</v>
      </c>
      <c r="J10" s="11"/>
      <c r="K10" s="11" t="s">
        <v>92</v>
      </c>
      <c r="L10" s="11"/>
      <c r="M10" s="11"/>
      <c r="N10" s="11"/>
      <c r="O10" s="11"/>
      <c r="P10" s="11"/>
      <c r="Q10" s="11"/>
      <c r="R10" s="11"/>
      <c r="S10" s="11"/>
      <c r="T10" s="11"/>
      <c r="U10" s="11"/>
      <c r="V10" s="11"/>
      <c r="W10" s="11"/>
      <c r="X10" s="11"/>
    </row>
    <row r="11" spans="1:24" ht="16" x14ac:dyDescent="0.2">
      <c r="A11" s="11" t="s">
        <v>121</v>
      </c>
      <c r="B11" s="11" t="s">
        <v>122</v>
      </c>
      <c r="C11" s="11" t="s">
        <v>123</v>
      </c>
      <c r="D11" s="11" t="s">
        <v>124</v>
      </c>
      <c r="E11" s="11" t="s">
        <v>125</v>
      </c>
      <c r="F11" s="11" t="s">
        <v>126</v>
      </c>
      <c r="G11" s="11" t="s">
        <v>127</v>
      </c>
      <c r="H11" s="11" t="s">
        <v>89</v>
      </c>
      <c r="I11" s="11" t="s">
        <v>128</v>
      </c>
      <c r="J11" s="11"/>
      <c r="K11" s="11" t="s">
        <v>92</v>
      </c>
      <c r="L11" s="11"/>
      <c r="M11" s="11"/>
      <c r="N11" s="11"/>
      <c r="O11" s="11"/>
      <c r="P11" s="11"/>
      <c r="Q11" s="11"/>
      <c r="R11" s="11"/>
      <c r="S11" s="11"/>
      <c r="T11" s="11"/>
      <c r="U11" s="11"/>
      <c r="V11" s="11"/>
      <c r="W11" s="11"/>
      <c r="X11" s="11"/>
    </row>
    <row r="12" spans="1:24" ht="16" x14ac:dyDescent="0.2">
      <c r="A12" s="11" t="s">
        <v>129</v>
      </c>
      <c r="B12" s="11" t="s">
        <v>130</v>
      </c>
      <c r="C12" s="11" t="s">
        <v>131</v>
      </c>
      <c r="D12" s="11" t="s">
        <v>132</v>
      </c>
      <c r="E12" s="11" t="s">
        <v>133</v>
      </c>
      <c r="F12" s="11" t="s">
        <v>134</v>
      </c>
      <c r="G12" s="11" t="s">
        <v>135</v>
      </c>
      <c r="H12" s="11" t="s">
        <v>89</v>
      </c>
      <c r="I12" s="11" t="s">
        <v>136</v>
      </c>
      <c r="J12" s="11"/>
      <c r="K12" s="11" t="s">
        <v>92</v>
      </c>
      <c r="L12" s="11"/>
      <c r="M12" s="11"/>
      <c r="N12" s="11"/>
      <c r="O12" s="11"/>
      <c r="P12" s="11"/>
      <c r="Q12" s="11"/>
      <c r="R12" s="11"/>
      <c r="S12" s="11"/>
      <c r="T12" s="11"/>
      <c r="U12" s="11"/>
      <c r="V12" s="11"/>
      <c r="W12" s="11"/>
      <c r="X12" s="11"/>
    </row>
    <row r="13" spans="1:24" ht="32" x14ac:dyDescent="0.2">
      <c r="A13" s="11" t="s">
        <v>137</v>
      </c>
      <c r="B13" s="11" t="s">
        <v>138</v>
      </c>
      <c r="C13" s="11" t="s">
        <v>139</v>
      </c>
      <c r="D13" s="11" t="s">
        <v>140</v>
      </c>
      <c r="E13" s="11" t="s">
        <v>141</v>
      </c>
      <c r="F13" s="11" t="s">
        <v>142</v>
      </c>
      <c r="G13" s="11" t="s">
        <v>143</v>
      </c>
      <c r="H13" s="11" t="s">
        <v>144</v>
      </c>
      <c r="I13" s="11" t="s">
        <v>145</v>
      </c>
      <c r="J13" s="11" t="s">
        <v>146</v>
      </c>
      <c r="K13" s="11" t="s">
        <v>94</v>
      </c>
      <c r="L13" s="11"/>
      <c r="M13" s="11"/>
      <c r="N13" s="11"/>
      <c r="O13" s="11"/>
      <c r="P13" s="11"/>
      <c r="Q13" s="11"/>
      <c r="R13" s="11"/>
      <c r="S13" s="11"/>
      <c r="T13" s="11"/>
      <c r="U13" s="11"/>
      <c r="V13" s="11"/>
      <c r="W13" s="11"/>
      <c r="X13" s="11"/>
    </row>
    <row r="14" spans="1:24" ht="32" x14ac:dyDescent="0.2">
      <c r="A14" s="11" t="s">
        <v>147</v>
      </c>
      <c r="B14" s="11" t="s">
        <v>148</v>
      </c>
      <c r="C14" s="11" t="s">
        <v>149</v>
      </c>
      <c r="D14" s="11" t="s">
        <v>150</v>
      </c>
      <c r="E14" s="11" t="s">
        <v>151</v>
      </c>
      <c r="F14" s="11" t="s">
        <v>152</v>
      </c>
      <c r="G14" s="11" t="s">
        <v>153</v>
      </c>
      <c r="H14" s="11" t="s">
        <v>89</v>
      </c>
      <c r="I14" s="11" t="s">
        <v>154</v>
      </c>
      <c r="J14" s="11"/>
      <c r="K14" s="11" t="s">
        <v>92</v>
      </c>
      <c r="L14" s="11"/>
      <c r="M14" s="11"/>
      <c r="N14" s="11"/>
      <c r="O14" s="11"/>
      <c r="P14" s="11"/>
      <c r="Q14" s="11"/>
      <c r="R14" s="11"/>
      <c r="S14" s="11"/>
      <c r="T14" s="11"/>
      <c r="U14" s="11"/>
      <c r="V14" s="11"/>
      <c r="W14" s="11"/>
      <c r="X14" s="11"/>
    </row>
    <row r="15" spans="1:24" ht="16" x14ac:dyDescent="0.2">
      <c r="A15" s="11" t="s">
        <v>155</v>
      </c>
      <c r="B15" s="11" t="s">
        <v>156</v>
      </c>
      <c r="C15" s="11" t="s">
        <v>157</v>
      </c>
      <c r="D15" s="11" t="s">
        <v>158</v>
      </c>
      <c r="E15" s="11" t="s">
        <v>125</v>
      </c>
      <c r="F15" s="11" t="s">
        <v>159</v>
      </c>
      <c r="G15" s="11" t="s">
        <v>160</v>
      </c>
      <c r="H15" s="11" t="s">
        <v>89</v>
      </c>
      <c r="I15" s="11" t="s">
        <v>161</v>
      </c>
      <c r="J15" s="11"/>
      <c r="K15" s="11" t="s">
        <v>92</v>
      </c>
      <c r="L15" s="11"/>
      <c r="M15" s="11"/>
      <c r="N15" s="11"/>
      <c r="O15" s="11"/>
      <c r="P15" s="11"/>
      <c r="Q15" s="11"/>
      <c r="R15" s="11"/>
      <c r="S15" s="11"/>
      <c r="T15" s="11"/>
      <c r="U15" s="11"/>
      <c r="V15" s="11"/>
      <c r="W15" s="11"/>
      <c r="X15" s="11"/>
    </row>
    <row r="16" spans="1:24"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row>
    <row r="22" spans="1:24" x14ac:dyDescent="0.2">
      <c r="A22" s="12" t="s">
        <v>162</v>
      </c>
    </row>
    <row r="23" spans="1:24" x14ac:dyDescent="0.2">
      <c r="A23" s="2" t="s">
        <v>163</v>
      </c>
      <c r="B23" s="2" t="s">
        <v>164</v>
      </c>
      <c r="C23" s="2" t="s">
        <v>27</v>
      </c>
    </row>
    <row r="24" spans="1:24" x14ac:dyDescent="0.2">
      <c r="A24" t="s">
        <v>163</v>
      </c>
      <c r="B24" t="s">
        <v>165</v>
      </c>
      <c r="C24" s="3"/>
    </row>
    <row r="25" spans="1:24" x14ac:dyDescent="0.2">
      <c r="A25" t="s">
        <v>163</v>
      </c>
      <c r="B25" t="s">
        <v>166</v>
      </c>
      <c r="C25" s="3"/>
    </row>
    <row r="26" spans="1:24" x14ac:dyDescent="0.2">
      <c r="A26" t="s">
        <v>163</v>
      </c>
      <c r="B26" t="s">
        <v>167</v>
      </c>
      <c r="C26" s="3"/>
    </row>
    <row r="27" spans="1:24" x14ac:dyDescent="0.2">
      <c r="A27" t="s">
        <v>163</v>
      </c>
      <c r="B27" t="s">
        <v>168</v>
      </c>
      <c r="C27" s="3"/>
    </row>
    <row r="28" spans="1:24" x14ac:dyDescent="0.2">
      <c r="A28" t="s">
        <v>163</v>
      </c>
      <c r="B28" t="s">
        <v>169</v>
      </c>
      <c r="C28" s="3"/>
    </row>
    <row r="29" spans="1:24" x14ac:dyDescent="0.2">
      <c r="A29" t="s">
        <v>163</v>
      </c>
      <c r="B29" t="s">
        <v>170</v>
      </c>
      <c r="C29" s="3"/>
    </row>
    <row r="30" spans="1:24" x14ac:dyDescent="0.2">
      <c r="A30" t="s">
        <v>163</v>
      </c>
      <c r="B30" t="s">
        <v>171</v>
      </c>
      <c r="C30" s="3"/>
    </row>
    <row r="31" spans="1:24" x14ac:dyDescent="0.2">
      <c r="A31" t="s">
        <v>163</v>
      </c>
      <c r="B31" t="s">
        <v>172</v>
      </c>
      <c r="C31" s="3"/>
    </row>
    <row r="32" spans="1:24" x14ac:dyDescent="0.2">
      <c r="A32" t="s">
        <v>163</v>
      </c>
      <c r="B32" t="s">
        <v>173</v>
      </c>
      <c r="C32" s="3"/>
    </row>
    <row r="33" spans="1:5" x14ac:dyDescent="0.2">
      <c r="A33" t="s">
        <v>163</v>
      </c>
      <c r="B33" t="s">
        <v>174</v>
      </c>
      <c r="C33" s="3"/>
    </row>
    <row r="34" spans="1:5" x14ac:dyDescent="0.2">
      <c r="A34" t="s">
        <v>163</v>
      </c>
      <c r="B34" t="s">
        <v>175</v>
      </c>
      <c r="C34" s="3"/>
    </row>
    <row r="35" spans="1:5" x14ac:dyDescent="0.2">
      <c r="A35" t="s">
        <v>163</v>
      </c>
      <c r="B35" t="s">
        <v>176</v>
      </c>
      <c r="C35" s="3"/>
    </row>
    <row r="36" spans="1:5" x14ac:dyDescent="0.2">
      <c r="A36" t="s">
        <v>163</v>
      </c>
      <c r="B36" t="s">
        <v>177</v>
      </c>
      <c r="C36" s="3"/>
    </row>
    <row r="37" spans="1:5" x14ac:dyDescent="0.2">
      <c r="A37" t="s">
        <v>163</v>
      </c>
      <c r="B37" t="s">
        <v>178</v>
      </c>
      <c r="C37" s="3"/>
    </row>
    <row r="38" spans="1:5" x14ac:dyDescent="0.2">
      <c r="A38" t="s">
        <v>163</v>
      </c>
      <c r="B38" t="s">
        <v>179</v>
      </c>
      <c r="C38" s="3"/>
    </row>
    <row r="39" spans="1:5" x14ac:dyDescent="0.2">
      <c r="A39" t="s">
        <v>163</v>
      </c>
      <c r="B39" t="s">
        <v>180</v>
      </c>
      <c r="C39" s="3"/>
    </row>
    <row r="40" spans="1:5" x14ac:dyDescent="0.2">
      <c r="A40" t="s">
        <v>163</v>
      </c>
      <c r="B40" t="s">
        <v>181</v>
      </c>
      <c r="C40" s="3"/>
    </row>
    <row r="41" spans="1:5" x14ac:dyDescent="0.2">
      <c r="A41" t="s">
        <v>163</v>
      </c>
      <c r="B41" t="s">
        <v>182</v>
      </c>
      <c r="C41" s="3"/>
    </row>
    <row r="42" spans="1:5" x14ac:dyDescent="0.2">
      <c r="A42" t="s">
        <v>163</v>
      </c>
      <c r="B42" t="s">
        <v>183</v>
      </c>
      <c r="C42" s="3"/>
    </row>
    <row r="43" spans="1:5" x14ac:dyDescent="0.2">
      <c r="A43" t="s">
        <v>163</v>
      </c>
      <c r="B43" t="s">
        <v>184</v>
      </c>
      <c r="C43" s="3"/>
    </row>
    <row r="44" spans="1:5" x14ac:dyDescent="0.2">
      <c r="A44" s="2" t="s">
        <v>185</v>
      </c>
      <c r="B44" s="13" t="e">
        <f>COUNTIF(C24:C43,"Yes")/COUNTA(C24:C43)*100&amp;"%"</f>
        <v>#DIV/0!</v>
      </c>
    </row>
    <row r="46" spans="1:5" x14ac:dyDescent="0.2">
      <c r="A46" s="12" t="s">
        <v>186</v>
      </c>
    </row>
    <row r="47" spans="1:5" x14ac:dyDescent="0.2">
      <c r="A47" s="4" t="s">
        <v>187</v>
      </c>
      <c r="B47" s="4" t="s">
        <v>188</v>
      </c>
      <c r="C47" s="4" t="s">
        <v>189</v>
      </c>
      <c r="D47" s="4" t="s">
        <v>190</v>
      </c>
      <c r="E47" s="4" t="s">
        <v>191</v>
      </c>
    </row>
    <row r="48" spans="1:5" ht="32" x14ac:dyDescent="0.2">
      <c r="A48" s="7" t="s">
        <v>100</v>
      </c>
      <c r="B48" s="7" t="s">
        <v>192</v>
      </c>
      <c r="C48" s="7" t="s">
        <v>94</v>
      </c>
      <c r="D48" s="7" t="s">
        <v>193</v>
      </c>
      <c r="E48" s="7" t="s">
        <v>194</v>
      </c>
    </row>
    <row r="49" spans="1:24" ht="16" x14ac:dyDescent="0.2">
      <c r="A49" s="7" t="s">
        <v>86</v>
      </c>
      <c r="B49" s="7" t="s">
        <v>195</v>
      </c>
      <c r="C49" s="7" t="s">
        <v>94</v>
      </c>
      <c r="D49" s="7" t="s">
        <v>196</v>
      </c>
      <c r="E49" s="7" t="s">
        <v>197</v>
      </c>
    </row>
    <row r="50" spans="1:24" ht="32" x14ac:dyDescent="0.2">
      <c r="A50" s="7" t="s">
        <v>198</v>
      </c>
      <c r="B50" s="7" t="s">
        <v>199</v>
      </c>
      <c r="C50" s="7" t="s">
        <v>94</v>
      </c>
      <c r="D50" s="7" t="s">
        <v>196</v>
      </c>
      <c r="E50" s="7" t="s">
        <v>200</v>
      </c>
    </row>
    <row r="51" spans="1:24" ht="16" x14ac:dyDescent="0.2">
      <c r="A51" s="7" t="s">
        <v>201</v>
      </c>
      <c r="B51" s="7" t="s">
        <v>192</v>
      </c>
      <c r="C51" s="7" t="s">
        <v>94</v>
      </c>
      <c r="D51" s="7" t="s">
        <v>196</v>
      </c>
      <c r="E51" s="7" t="s">
        <v>202</v>
      </c>
    </row>
    <row r="53" spans="1:24" x14ac:dyDescent="0.2">
      <c r="A53" s="12" t="s">
        <v>203</v>
      </c>
    </row>
    <row r="54" spans="1:24" x14ac:dyDescent="0.2">
      <c r="A54" s="4" t="s">
        <v>204</v>
      </c>
      <c r="B54" s="4" t="s">
        <v>205</v>
      </c>
      <c r="C54" s="4" t="s">
        <v>206</v>
      </c>
      <c r="D54" s="4" t="s">
        <v>207</v>
      </c>
      <c r="E54" s="4" t="s">
        <v>208</v>
      </c>
    </row>
    <row r="55" spans="1:24" ht="32" x14ac:dyDescent="0.2">
      <c r="A55" s="7" t="s">
        <v>209</v>
      </c>
      <c r="B55" s="7" t="s">
        <v>210</v>
      </c>
      <c r="C55" s="7" t="s">
        <v>211</v>
      </c>
      <c r="D55" s="7" t="s">
        <v>95</v>
      </c>
      <c r="E55" s="7" t="s">
        <v>212</v>
      </c>
    </row>
    <row r="56" spans="1:24" ht="32" x14ac:dyDescent="0.2">
      <c r="A56" s="7" t="s">
        <v>213</v>
      </c>
      <c r="B56" s="7" t="s">
        <v>214</v>
      </c>
      <c r="C56" s="7" t="s">
        <v>211</v>
      </c>
      <c r="D56" s="7" t="s">
        <v>95</v>
      </c>
      <c r="E56" s="7" t="s">
        <v>215</v>
      </c>
    </row>
    <row r="57" spans="1:24" ht="16" x14ac:dyDescent="0.2">
      <c r="A57" s="7" t="s">
        <v>216</v>
      </c>
      <c r="B57" s="7" t="s">
        <v>217</v>
      </c>
      <c r="C57" s="7" t="s">
        <v>218</v>
      </c>
      <c r="D57" s="7" t="s">
        <v>219</v>
      </c>
      <c r="E57" s="7" t="s">
        <v>220</v>
      </c>
    </row>
    <row r="58" spans="1:24" ht="32" x14ac:dyDescent="0.2">
      <c r="A58" s="7" t="s">
        <v>221</v>
      </c>
      <c r="B58" s="7" t="s">
        <v>210</v>
      </c>
      <c r="C58" s="7" t="s">
        <v>211</v>
      </c>
      <c r="D58" s="7" t="s">
        <v>95</v>
      </c>
      <c r="E58" s="7" t="s">
        <v>215</v>
      </c>
    </row>
    <row r="59" spans="1:24" ht="16" x14ac:dyDescent="0.2">
      <c r="A59" s="7" t="s">
        <v>222</v>
      </c>
      <c r="B59" s="7" t="s">
        <v>38</v>
      </c>
      <c r="C59" s="7" t="s">
        <v>223</v>
      </c>
      <c r="D59" s="7" t="s">
        <v>224</v>
      </c>
      <c r="E59" s="7" t="s">
        <v>94</v>
      </c>
    </row>
    <row r="61" spans="1:24" x14ac:dyDescent="0.2">
      <c r="A61" s="24" t="s">
        <v>225</v>
      </c>
      <c r="B61" s="18"/>
      <c r="C61" s="18"/>
      <c r="D61" s="18"/>
      <c r="E61" s="18"/>
      <c r="F61" s="18"/>
      <c r="G61" s="18"/>
      <c r="H61" s="18"/>
      <c r="I61" s="18"/>
      <c r="J61" s="18"/>
      <c r="K61" s="18"/>
      <c r="L61" s="18"/>
      <c r="M61" s="18"/>
      <c r="N61" s="18"/>
      <c r="O61" s="18"/>
      <c r="P61" s="18"/>
      <c r="Q61" s="18"/>
      <c r="R61" s="18"/>
      <c r="S61" s="18"/>
      <c r="T61" s="18"/>
      <c r="U61" s="18"/>
      <c r="V61" s="18"/>
      <c r="W61" s="18"/>
      <c r="X61" s="18"/>
    </row>
    <row r="62" spans="1:24" x14ac:dyDescent="0.2">
      <c r="A62" s="2" t="s">
        <v>226</v>
      </c>
      <c r="B62" s="19"/>
      <c r="C62" s="20"/>
      <c r="D62" s="21"/>
    </row>
    <row r="63" spans="1:24" x14ac:dyDescent="0.2">
      <c r="A63" s="2" t="s">
        <v>227</v>
      </c>
      <c r="B63" s="19"/>
      <c r="C63" s="20"/>
      <c r="D63" s="21"/>
    </row>
    <row r="64" spans="1:24" x14ac:dyDescent="0.2">
      <c r="A64" s="2" t="s">
        <v>228</v>
      </c>
      <c r="B64" s="19"/>
      <c r="C64" s="20"/>
      <c r="D64" s="21"/>
    </row>
    <row r="65" spans="1:24" x14ac:dyDescent="0.2">
      <c r="A65" s="2" t="s">
        <v>229</v>
      </c>
      <c r="B65" s="19"/>
      <c r="C65" s="20"/>
      <c r="D65" s="21"/>
    </row>
    <row r="66" spans="1:24" x14ac:dyDescent="0.2">
      <c r="A66" s="2" t="s">
        <v>230</v>
      </c>
      <c r="B66" s="19"/>
      <c r="C66" s="20"/>
      <c r="D66" s="21"/>
    </row>
    <row r="67" spans="1:24" x14ac:dyDescent="0.2">
      <c r="A67" s="2" t="s">
        <v>231</v>
      </c>
      <c r="B67" s="19"/>
      <c r="C67" s="20"/>
      <c r="D67" s="21"/>
    </row>
    <row r="68" spans="1:24" x14ac:dyDescent="0.2">
      <c r="A68" s="2" t="s">
        <v>232</v>
      </c>
      <c r="B68" s="19"/>
      <c r="C68" s="20"/>
      <c r="D68" s="21"/>
    </row>
    <row r="69" spans="1:24" x14ac:dyDescent="0.2">
      <c r="A69" s="2" t="s">
        <v>233</v>
      </c>
      <c r="B69" s="19"/>
      <c r="C69" s="20"/>
      <c r="D69" s="21"/>
    </row>
    <row r="70" spans="1:24" x14ac:dyDescent="0.2">
      <c r="A70" s="2" t="s">
        <v>234</v>
      </c>
      <c r="B70" s="19"/>
      <c r="C70" s="20"/>
      <c r="D70" s="21"/>
    </row>
    <row r="71" spans="1:24" x14ac:dyDescent="0.2">
      <c r="A71" s="2" t="s">
        <v>235</v>
      </c>
      <c r="B71" s="19"/>
      <c r="C71" s="20"/>
      <c r="D71" s="21"/>
    </row>
    <row r="72" spans="1:24" x14ac:dyDescent="0.2">
      <c r="A72" s="2" t="s">
        <v>236</v>
      </c>
      <c r="B72" s="19"/>
      <c r="C72" s="20"/>
      <c r="D72" s="21"/>
    </row>
    <row r="73" spans="1:24" x14ac:dyDescent="0.2">
      <c r="A73" s="2" t="s">
        <v>237</v>
      </c>
      <c r="B73" s="19"/>
      <c r="C73" s="20"/>
      <c r="D73" s="21"/>
    </row>
    <row r="75" spans="1:24" x14ac:dyDescent="0.2">
      <c r="A75" s="23" t="s">
        <v>238</v>
      </c>
      <c r="B75" s="18"/>
      <c r="C75" s="18"/>
      <c r="D75" s="18"/>
      <c r="E75" s="18"/>
      <c r="F75" s="18"/>
      <c r="G75" s="18"/>
      <c r="H75" s="18"/>
      <c r="I75" s="18"/>
      <c r="J75" s="18"/>
      <c r="K75" s="18"/>
      <c r="L75" s="18"/>
      <c r="M75" s="18"/>
      <c r="N75" s="18"/>
      <c r="O75" s="18"/>
      <c r="P75" s="18"/>
      <c r="Q75" s="18"/>
      <c r="R75" s="18"/>
      <c r="S75" s="18"/>
      <c r="T75" s="18"/>
      <c r="U75" s="18"/>
      <c r="V75" s="18"/>
      <c r="W75" s="18"/>
      <c r="X75" s="18"/>
    </row>
    <row r="76" spans="1:24" x14ac:dyDescent="0.2">
      <c r="A76" s="25"/>
      <c r="B76" s="26"/>
      <c r="C76" s="26"/>
      <c r="D76" s="26"/>
      <c r="E76" s="26"/>
      <c r="F76" s="26"/>
      <c r="G76" s="26"/>
      <c r="H76" s="26"/>
      <c r="I76" s="26"/>
      <c r="J76" s="26"/>
      <c r="K76" s="26"/>
      <c r="L76" s="26"/>
      <c r="M76" s="26"/>
      <c r="N76" s="26"/>
      <c r="O76" s="26"/>
      <c r="P76" s="26"/>
      <c r="Q76" s="26"/>
      <c r="R76" s="26"/>
      <c r="S76" s="26"/>
      <c r="T76" s="26"/>
      <c r="U76" s="26"/>
      <c r="V76" s="26"/>
      <c r="W76" s="26"/>
      <c r="X76" s="27"/>
    </row>
    <row r="77" spans="1:24" x14ac:dyDescent="0.2">
      <c r="A77" s="28"/>
      <c r="B77" s="18"/>
      <c r="C77" s="18"/>
      <c r="D77" s="18"/>
      <c r="E77" s="18"/>
      <c r="F77" s="18"/>
      <c r="G77" s="18"/>
      <c r="H77" s="18"/>
      <c r="I77" s="18"/>
      <c r="J77" s="18"/>
      <c r="K77" s="18"/>
      <c r="L77" s="18"/>
      <c r="M77" s="18"/>
      <c r="N77" s="18"/>
      <c r="O77" s="18"/>
      <c r="P77" s="18"/>
      <c r="Q77" s="18"/>
      <c r="R77" s="18"/>
      <c r="S77" s="18"/>
      <c r="T77" s="18"/>
      <c r="U77" s="18"/>
      <c r="V77" s="18"/>
      <c r="W77" s="18"/>
      <c r="X77" s="29"/>
    </row>
    <row r="78" spans="1:24" x14ac:dyDescent="0.2">
      <c r="A78" s="28"/>
      <c r="B78" s="18"/>
      <c r="C78" s="18"/>
      <c r="D78" s="18"/>
      <c r="E78" s="18"/>
      <c r="F78" s="18"/>
      <c r="G78" s="18"/>
      <c r="H78" s="18"/>
      <c r="I78" s="18"/>
      <c r="J78" s="18"/>
      <c r="K78" s="18"/>
      <c r="L78" s="18"/>
      <c r="M78" s="18"/>
      <c r="N78" s="18"/>
      <c r="O78" s="18"/>
      <c r="P78" s="18"/>
      <c r="Q78" s="18"/>
      <c r="R78" s="18"/>
      <c r="S78" s="18"/>
      <c r="T78" s="18"/>
      <c r="U78" s="18"/>
      <c r="V78" s="18"/>
      <c r="W78" s="18"/>
      <c r="X78" s="29"/>
    </row>
    <row r="79" spans="1:24" x14ac:dyDescent="0.2">
      <c r="A79" s="28"/>
      <c r="B79" s="18"/>
      <c r="C79" s="18"/>
      <c r="D79" s="18"/>
      <c r="E79" s="18"/>
      <c r="F79" s="18"/>
      <c r="G79" s="18"/>
      <c r="H79" s="18"/>
      <c r="I79" s="18"/>
      <c r="J79" s="18"/>
      <c r="K79" s="18"/>
      <c r="L79" s="18"/>
      <c r="M79" s="18"/>
      <c r="N79" s="18"/>
      <c r="O79" s="18"/>
      <c r="P79" s="18"/>
      <c r="Q79" s="18"/>
      <c r="R79" s="18"/>
      <c r="S79" s="18"/>
      <c r="T79" s="18"/>
      <c r="U79" s="18"/>
      <c r="V79" s="18"/>
      <c r="W79" s="18"/>
      <c r="X79" s="29"/>
    </row>
    <row r="80" spans="1:24" x14ac:dyDescent="0.2">
      <c r="A80" s="28"/>
      <c r="B80" s="18"/>
      <c r="C80" s="18"/>
      <c r="D80" s="18"/>
      <c r="E80" s="18"/>
      <c r="F80" s="18"/>
      <c r="G80" s="18"/>
      <c r="H80" s="18"/>
      <c r="I80" s="18"/>
      <c r="J80" s="18"/>
      <c r="K80" s="18"/>
      <c r="L80" s="18"/>
      <c r="M80" s="18"/>
      <c r="N80" s="18"/>
      <c r="O80" s="18"/>
      <c r="P80" s="18"/>
      <c r="Q80" s="18"/>
      <c r="R80" s="18"/>
      <c r="S80" s="18"/>
      <c r="T80" s="18"/>
      <c r="U80" s="18"/>
      <c r="V80" s="18"/>
      <c r="W80" s="18"/>
      <c r="X80" s="29"/>
    </row>
    <row r="81" spans="1:24" x14ac:dyDescent="0.2">
      <c r="A81" s="28"/>
      <c r="B81" s="18"/>
      <c r="C81" s="18"/>
      <c r="D81" s="18"/>
      <c r="E81" s="18"/>
      <c r="F81" s="18"/>
      <c r="G81" s="18"/>
      <c r="H81" s="18"/>
      <c r="I81" s="18"/>
      <c r="J81" s="18"/>
      <c r="K81" s="18"/>
      <c r="L81" s="18"/>
      <c r="M81" s="18"/>
      <c r="N81" s="18"/>
      <c r="O81" s="18"/>
      <c r="P81" s="18"/>
      <c r="Q81" s="18"/>
      <c r="R81" s="18"/>
      <c r="S81" s="18"/>
      <c r="T81" s="18"/>
      <c r="U81" s="18"/>
      <c r="V81" s="18"/>
      <c r="W81" s="18"/>
      <c r="X81" s="29"/>
    </row>
    <row r="82" spans="1:24" x14ac:dyDescent="0.2">
      <c r="A82" s="28"/>
      <c r="B82" s="18"/>
      <c r="C82" s="18"/>
      <c r="D82" s="18"/>
      <c r="E82" s="18"/>
      <c r="F82" s="18"/>
      <c r="G82" s="18"/>
      <c r="H82" s="18"/>
      <c r="I82" s="18"/>
      <c r="J82" s="18"/>
      <c r="K82" s="18"/>
      <c r="L82" s="18"/>
      <c r="M82" s="18"/>
      <c r="N82" s="18"/>
      <c r="O82" s="18"/>
      <c r="P82" s="18"/>
      <c r="Q82" s="18"/>
      <c r="R82" s="18"/>
      <c r="S82" s="18"/>
      <c r="T82" s="18"/>
      <c r="U82" s="18"/>
      <c r="V82" s="18"/>
      <c r="W82" s="18"/>
      <c r="X82" s="29"/>
    </row>
    <row r="83" spans="1:24" x14ac:dyDescent="0.2">
      <c r="A83" s="28"/>
      <c r="B83" s="18"/>
      <c r="C83" s="18"/>
      <c r="D83" s="18"/>
      <c r="E83" s="18"/>
      <c r="F83" s="18"/>
      <c r="G83" s="18"/>
      <c r="H83" s="18"/>
      <c r="I83" s="18"/>
      <c r="J83" s="18"/>
      <c r="K83" s="18"/>
      <c r="L83" s="18"/>
      <c r="M83" s="18"/>
      <c r="N83" s="18"/>
      <c r="O83" s="18"/>
      <c r="P83" s="18"/>
      <c r="Q83" s="18"/>
      <c r="R83" s="18"/>
      <c r="S83" s="18"/>
      <c r="T83" s="18"/>
      <c r="U83" s="18"/>
      <c r="V83" s="18"/>
      <c r="W83" s="18"/>
      <c r="X83" s="29"/>
    </row>
    <row r="84" spans="1:24" x14ac:dyDescent="0.2">
      <c r="A84" s="30"/>
      <c r="B84" s="31"/>
      <c r="C84" s="31"/>
      <c r="D84" s="31"/>
      <c r="E84" s="31"/>
      <c r="F84" s="31"/>
      <c r="G84" s="31"/>
      <c r="H84" s="31"/>
      <c r="I84" s="31"/>
      <c r="J84" s="31"/>
      <c r="K84" s="31"/>
      <c r="L84" s="31"/>
      <c r="M84" s="31"/>
      <c r="N84" s="31"/>
      <c r="O84" s="31"/>
      <c r="P84" s="31"/>
      <c r="Q84" s="31"/>
      <c r="R84" s="31"/>
      <c r="S84" s="31"/>
      <c r="T84" s="31"/>
      <c r="U84" s="31"/>
      <c r="V84" s="31"/>
      <c r="W84" s="31"/>
      <c r="X84" s="32"/>
    </row>
  </sheetData>
  <mergeCells count="17">
    <mergeCell ref="A76:X84"/>
    <mergeCell ref="A1:X1"/>
    <mergeCell ref="B68:D68"/>
    <mergeCell ref="B69:D69"/>
    <mergeCell ref="A61:X61"/>
    <mergeCell ref="B64:D64"/>
    <mergeCell ref="B73:D73"/>
    <mergeCell ref="B70:D70"/>
    <mergeCell ref="B65:D65"/>
    <mergeCell ref="B62:D62"/>
    <mergeCell ref="A75:X75"/>
    <mergeCell ref="B72:D72"/>
    <mergeCell ref="A3:X3"/>
    <mergeCell ref="B66:D66"/>
    <mergeCell ref="B67:D67"/>
    <mergeCell ref="B63:D63"/>
    <mergeCell ref="B71:D71"/>
  </mergeCells>
  <dataValidations count="15">
    <dataValidation type="list" sqref="B8 B9 B10 B11 B12 B13 B14 B15 B16 B17 B18 B19 B20" xr:uid="{00000000-0002-0000-0100-000000000000}">
      <formula1>"Password,MFA,Certificate,Token,SSO,Federation,Biometric,API Key,Service Account,N/A"</formula1>
    </dataValidation>
    <dataValidation type="list" sqref="C8 C9 C10 C11 C12 C13 C14 C15 C16 C17 C18 C19 C20" xr:uid="{00000000-0002-0000-0100-000001000000}">
      <formula1>"End User,Administrator,Service Account,External User,API Client,N/A"</formula1>
    </dataValidation>
    <dataValidation type="list" sqref="D8 D9 D10 D11 D12 D13 D14 D15 D16 D17 D18 D19 D20" xr:uid="{00000000-0002-0000-0100-000002000000}">
      <formula1>"Public,Internal,Confidential,Restricted,N/A"</formula1>
    </dataValidation>
    <dataValidation type="list" sqref="E8 E9 E10 E11 E12 E13 E14 E15 E16 E17 E18 E19 E20" xr:uid="{00000000-0002-0000-0100-000003000000}">
      <formula1>"bcrypt,Argon2,PBKDF2,scrypt,SHA-256,SHA-512,RSA-2048+,ECDSA,None,N/A"</formula1>
    </dataValidation>
    <dataValidation type="list" sqref="F8 F9 F10 F11 F12 F13 F14 F15 F16 F17 F18 F19 F20" xr:uid="{00000000-0002-0000-0100-000004000000}">
      <formula1>"Properly Hashed,Encrypted,Plaintext (Non-compliant),Salted,N/A"</formula1>
    </dataValidation>
    <dataValidation type="list" sqref="G8 G9 G10 G11 G12 G13 G14 G15 G16 G17 G18 G19 G20" xr:uid="{00000000-0002-0000-0100-000005000000}">
      <formula1>"Strong (≥14 chars),Adequate (12-13),Weak (&lt;12),N/A"</formula1>
    </dataValidation>
    <dataValidation type="list" sqref="H8 H9 H10 H11 H12 H13 H14 H15 H16 H17 H18 H19 H20" xr:uid="{00000000-0002-0000-0100-000006000000}">
      <formula1>"✅ Compliant,⚠️ Partial,❌ Non-Compliant,N/A"</formula1>
    </dataValidation>
    <dataValidation type="list" sqref="K8:K20 B62 B64" xr:uid="{00000000-0002-0000-0100-000007000000}">
      <formula1>"Yes,No"</formula1>
    </dataValidation>
    <dataValidation type="list" sqref="Q8 Q9 Q10 Q11 Q12 Q13 Q14 Q15 Q16 Q17 Q18 Q19 Q20" xr:uid="{00000000-0002-0000-0100-000008000000}">
      <formula1>"Yes,No,Unknown"</formula1>
    </dataValidation>
    <dataValidation type="list" sqref="B4" xr:uid="{00000000-0002-0000-0100-000009000000}">
      <formula1>"Yes,No,Not Applicable"</formula1>
    </dataValidation>
    <dataValidation type="list" sqref="C24:C43 S8:S20 V8:W20" xr:uid="{00000000-0002-0000-0100-00000A000000}">
      <formula1>"Yes,No,N/A"</formula1>
    </dataValidation>
    <dataValidation type="list" sqref="R8 R9 R10 R11 R12 R13 R14 R15 R16 R17 R18 R19 R20" xr:uid="{00000000-0002-0000-0100-00000C000000}">
      <formula1>"≥14 chars,12-13 chars,&lt;12 chars (weak),N/A"</formula1>
    </dataValidation>
    <dataValidation type="list" sqref="T8 T9 T10 T11 T12 T13 T14 T15 T16 T17 T18 T19 T20" xr:uid="{00000000-0002-0000-0100-00000D000000}">
      <formula1>"90 days,180 days,365 days,Never,N/A"</formula1>
    </dataValidation>
    <dataValidation type="list" sqref="U8 U9 U10 U11 U12 U13 U14 U15 U16 U17 U18 U19 U20" xr:uid="{00000000-0002-0000-0100-00000E000000}">
      <formula1>"≥10 passwords,5-9 passwords,&lt;5 passwords,None,N/A"</formula1>
    </dataValidation>
    <dataValidation type="list" sqref="X8 X9 X10 X11 X12 X13 X14 X15 X16 X17 X18 X19 X20" xr:uid="{00000000-0002-0000-0100-00000F000000}">
      <formula1>"Changed,Not Changed (Non-compliant),N/A"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87"/>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8" customWidth="1"/>
    <col min="5" max="5" width="22" customWidth="1"/>
    <col min="6" max="7" width="20"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2" customWidth="1"/>
    <col min="19" max="19" width="18" customWidth="1"/>
    <col min="20" max="20" width="16" customWidth="1"/>
    <col min="21" max="21" width="20" customWidth="1"/>
    <col min="22" max="23" width="18" customWidth="1"/>
  </cols>
  <sheetData>
    <row r="1" spans="1:23" ht="40" customHeight="1" x14ac:dyDescent="0.2">
      <c r="A1" s="17" t="s">
        <v>239</v>
      </c>
      <c r="B1" s="18"/>
      <c r="C1" s="18"/>
      <c r="D1" s="18"/>
      <c r="E1" s="18"/>
      <c r="F1" s="18"/>
      <c r="G1" s="18"/>
      <c r="H1" s="18"/>
      <c r="I1" s="18"/>
      <c r="J1" s="18"/>
      <c r="K1" s="18"/>
      <c r="L1" s="18"/>
      <c r="M1" s="18"/>
      <c r="N1" s="18"/>
      <c r="O1" s="18"/>
      <c r="P1" s="18"/>
      <c r="Q1" s="18"/>
      <c r="R1" s="18"/>
      <c r="S1" s="18"/>
      <c r="T1" s="18"/>
      <c r="U1" s="18"/>
      <c r="V1" s="18"/>
      <c r="W1" s="18"/>
    </row>
    <row r="3" spans="1:23" ht="30" customHeight="1" x14ac:dyDescent="0.2">
      <c r="A3" s="22" t="s">
        <v>240</v>
      </c>
      <c r="B3" s="18"/>
      <c r="C3" s="18"/>
      <c r="D3" s="18"/>
      <c r="E3" s="18"/>
      <c r="F3" s="18"/>
      <c r="G3" s="18"/>
      <c r="H3" s="18"/>
      <c r="I3" s="18"/>
      <c r="J3" s="18"/>
      <c r="K3" s="18"/>
      <c r="L3" s="18"/>
      <c r="M3" s="18"/>
      <c r="N3" s="18"/>
      <c r="O3" s="18"/>
      <c r="P3" s="18"/>
      <c r="Q3" s="18"/>
      <c r="R3" s="18"/>
      <c r="S3" s="18"/>
      <c r="T3" s="18"/>
      <c r="U3" s="18"/>
      <c r="V3" s="18"/>
      <c r="W3" s="18"/>
    </row>
    <row r="4" spans="1:23" x14ac:dyDescent="0.2">
      <c r="A4" s="2" t="s">
        <v>58</v>
      </c>
      <c r="B4" s="3"/>
    </row>
    <row r="6" spans="1:23"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241</v>
      </c>
      <c r="S6" s="4" t="s">
        <v>242</v>
      </c>
      <c r="T6" s="4" t="s">
        <v>243</v>
      </c>
      <c r="U6" s="4" t="s">
        <v>244</v>
      </c>
      <c r="V6" s="4" t="s">
        <v>245</v>
      </c>
      <c r="W6" s="4" t="s">
        <v>246</v>
      </c>
    </row>
    <row r="7" spans="1:23" ht="32" x14ac:dyDescent="0.2">
      <c r="A7" s="10" t="s">
        <v>247</v>
      </c>
      <c r="B7" s="10" t="s">
        <v>248</v>
      </c>
      <c r="C7" s="10" t="s">
        <v>213</v>
      </c>
      <c r="D7" s="10" t="s">
        <v>249</v>
      </c>
      <c r="E7" s="10" t="s">
        <v>250</v>
      </c>
      <c r="F7" s="10" t="s">
        <v>251</v>
      </c>
      <c r="G7" s="10" t="s">
        <v>38</v>
      </c>
      <c r="H7" s="10" t="s">
        <v>89</v>
      </c>
      <c r="I7" s="10" t="s">
        <v>252</v>
      </c>
      <c r="J7" s="10" t="s">
        <v>91</v>
      </c>
      <c r="K7" s="10" t="s">
        <v>92</v>
      </c>
      <c r="L7" s="10" t="s">
        <v>38</v>
      </c>
      <c r="M7" s="10" t="s">
        <v>38</v>
      </c>
      <c r="N7" s="10" t="s">
        <v>38</v>
      </c>
      <c r="O7" s="10" t="s">
        <v>38</v>
      </c>
      <c r="P7" s="10" t="s">
        <v>38</v>
      </c>
      <c r="Q7" s="10" t="s">
        <v>92</v>
      </c>
      <c r="R7" s="10" t="s">
        <v>253</v>
      </c>
      <c r="S7" s="10" t="s">
        <v>254</v>
      </c>
      <c r="T7" s="10" t="s">
        <v>215</v>
      </c>
      <c r="U7" s="10" t="s">
        <v>94</v>
      </c>
      <c r="V7" s="10" t="s">
        <v>255</v>
      </c>
      <c r="W7" s="10" t="s">
        <v>256</v>
      </c>
    </row>
    <row r="8" spans="1:23" ht="16" x14ac:dyDescent="0.2">
      <c r="A8" s="11" t="s">
        <v>257</v>
      </c>
      <c r="B8" s="11" t="s">
        <v>258</v>
      </c>
      <c r="C8" s="11" t="s">
        <v>259</v>
      </c>
      <c r="D8" s="11" t="s">
        <v>260</v>
      </c>
      <c r="E8" s="11" t="s">
        <v>261</v>
      </c>
      <c r="F8" s="11" t="s">
        <v>257</v>
      </c>
      <c r="G8" s="11" t="s">
        <v>262</v>
      </c>
      <c r="H8" s="11" t="s">
        <v>89</v>
      </c>
      <c r="I8" s="11" t="s">
        <v>263</v>
      </c>
      <c r="J8" s="11"/>
      <c r="K8" s="11" t="s">
        <v>92</v>
      </c>
      <c r="L8" s="11"/>
      <c r="M8" s="11"/>
      <c r="N8" s="11"/>
      <c r="O8" s="11"/>
      <c r="P8" s="11"/>
      <c r="Q8" s="11"/>
      <c r="R8" s="11"/>
      <c r="S8" s="11"/>
      <c r="T8" s="11"/>
      <c r="U8" s="11"/>
      <c r="V8" s="11"/>
      <c r="W8" s="11"/>
    </row>
    <row r="9" spans="1:23" ht="16" x14ac:dyDescent="0.2">
      <c r="A9" s="11" t="s">
        <v>264</v>
      </c>
      <c r="B9" s="11" t="s">
        <v>265</v>
      </c>
      <c r="C9" s="11" t="s">
        <v>266</v>
      </c>
      <c r="D9" s="11" t="s">
        <v>267</v>
      </c>
      <c r="E9" s="11" t="s">
        <v>268</v>
      </c>
      <c r="F9" s="11" t="s">
        <v>269</v>
      </c>
      <c r="G9" s="11" t="s">
        <v>270</v>
      </c>
      <c r="H9" s="11" t="s">
        <v>89</v>
      </c>
      <c r="I9" s="11" t="s">
        <v>271</v>
      </c>
      <c r="J9" s="11"/>
      <c r="K9" s="11" t="s">
        <v>92</v>
      </c>
      <c r="L9" s="11"/>
      <c r="M9" s="11"/>
      <c r="N9" s="11"/>
      <c r="O9" s="11"/>
      <c r="P9" s="11"/>
      <c r="Q9" s="11"/>
      <c r="R9" s="11"/>
      <c r="S9" s="11"/>
      <c r="T9" s="11"/>
      <c r="U9" s="11"/>
      <c r="V9" s="11"/>
      <c r="W9" s="11"/>
    </row>
    <row r="10" spans="1:23" ht="16" x14ac:dyDescent="0.2">
      <c r="A10" s="11" t="s">
        <v>272</v>
      </c>
      <c r="B10" s="11" t="s">
        <v>273</v>
      </c>
      <c r="C10" s="11" t="s">
        <v>266</v>
      </c>
      <c r="D10" s="11" t="s">
        <v>274</v>
      </c>
      <c r="E10" s="11" t="s">
        <v>268</v>
      </c>
      <c r="F10" s="11" t="s">
        <v>275</v>
      </c>
      <c r="G10" s="11" t="s">
        <v>276</v>
      </c>
      <c r="H10" s="11" t="s">
        <v>89</v>
      </c>
      <c r="I10" s="11" t="s">
        <v>277</v>
      </c>
      <c r="J10" s="11"/>
      <c r="K10" s="11" t="s">
        <v>92</v>
      </c>
      <c r="L10" s="11"/>
      <c r="M10" s="11"/>
      <c r="N10" s="11"/>
      <c r="O10" s="11"/>
      <c r="P10" s="11"/>
      <c r="Q10" s="11"/>
      <c r="R10" s="11"/>
      <c r="S10" s="11"/>
      <c r="T10" s="11"/>
      <c r="U10" s="11"/>
      <c r="V10" s="11"/>
      <c r="W10" s="11"/>
    </row>
    <row r="11" spans="1:23" ht="16" x14ac:dyDescent="0.2">
      <c r="A11" s="11" t="s">
        <v>278</v>
      </c>
      <c r="B11" s="11" t="s">
        <v>279</v>
      </c>
      <c r="C11" s="11" t="s">
        <v>266</v>
      </c>
      <c r="D11" s="11" t="s">
        <v>280</v>
      </c>
      <c r="E11" s="11" t="s">
        <v>268</v>
      </c>
      <c r="F11" s="11" t="s">
        <v>281</v>
      </c>
      <c r="G11" s="11" t="s">
        <v>282</v>
      </c>
      <c r="H11" s="11" t="s">
        <v>89</v>
      </c>
      <c r="I11" s="11" t="s">
        <v>283</v>
      </c>
      <c r="J11" s="11"/>
      <c r="K11" s="11" t="s">
        <v>92</v>
      </c>
      <c r="L11" s="11"/>
      <c r="M11" s="11"/>
      <c r="N11" s="11"/>
      <c r="O11" s="11"/>
      <c r="P11" s="11"/>
      <c r="Q11" s="11"/>
      <c r="R11" s="11"/>
      <c r="S11" s="11"/>
      <c r="T11" s="11"/>
      <c r="U11" s="11"/>
      <c r="V11" s="11"/>
      <c r="W11" s="11"/>
    </row>
    <row r="12" spans="1:23" ht="16" x14ac:dyDescent="0.2">
      <c r="A12" s="11" t="s">
        <v>284</v>
      </c>
      <c r="B12" s="11" t="s">
        <v>285</v>
      </c>
      <c r="C12" s="11" t="s">
        <v>286</v>
      </c>
      <c r="D12" s="11" t="s">
        <v>287</v>
      </c>
      <c r="E12" s="11" t="s">
        <v>268</v>
      </c>
      <c r="F12" s="11" t="s">
        <v>288</v>
      </c>
      <c r="G12" s="11" t="s">
        <v>289</v>
      </c>
      <c r="H12" s="11" t="s">
        <v>89</v>
      </c>
      <c r="I12" s="11" t="s">
        <v>290</v>
      </c>
      <c r="J12" s="11"/>
      <c r="K12" s="11" t="s">
        <v>92</v>
      </c>
      <c r="L12" s="11"/>
      <c r="M12" s="11"/>
      <c r="N12" s="11"/>
      <c r="O12" s="11"/>
      <c r="P12" s="11"/>
      <c r="Q12" s="11"/>
      <c r="R12" s="11"/>
      <c r="S12" s="11"/>
      <c r="T12" s="11"/>
      <c r="U12" s="11"/>
      <c r="V12" s="11"/>
      <c r="W12" s="11"/>
    </row>
    <row r="13" spans="1:23" ht="32" x14ac:dyDescent="0.2">
      <c r="A13" s="11" t="s">
        <v>291</v>
      </c>
      <c r="B13" s="11" t="s">
        <v>292</v>
      </c>
      <c r="C13" s="11" t="s">
        <v>266</v>
      </c>
      <c r="D13" s="11" t="s">
        <v>293</v>
      </c>
      <c r="E13" s="11" t="s">
        <v>268</v>
      </c>
      <c r="F13" s="11" t="s">
        <v>111</v>
      </c>
      <c r="G13" s="11" t="s">
        <v>294</v>
      </c>
      <c r="H13" s="11" t="s">
        <v>89</v>
      </c>
      <c r="I13" s="11" t="s">
        <v>295</v>
      </c>
      <c r="J13" s="11"/>
      <c r="K13" s="11" t="s">
        <v>92</v>
      </c>
      <c r="L13" s="11"/>
      <c r="M13" s="11"/>
      <c r="N13" s="11"/>
      <c r="O13" s="11"/>
      <c r="P13" s="11"/>
      <c r="Q13" s="11"/>
      <c r="R13" s="11"/>
      <c r="S13" s="11"/>
      <c r="T13" s="11"/>
      <c r="U13" s="11"/>
      <c r="V13" s="11"/>
      <c r="W13" s="11"/>
    </row>
    <row r="14" spans="1:23" ht="16" x14ac:dyDescent="0.2">
      <c r="A14" s="11" t="s">
        <v>296</v>
      </c>
      <c r="B14" s="11" t="s">
        <v>250</v>
      </c>
      <c r="C14" s="11" t="s">
        <v>297</v>
      </c>
      <c r="D14" s="11" t="s">
        <v>298</v>
      </c>
      <c r="E14" s="11" t="s">
        <v>212</v>
      </c>
      <c r="F14" s="11" t="s">
        <v>299</v>
      </c>
      <c r="G14" s="11" t="s">
        <v>300</v>
      </c>
      <c r="H14" s="11" t="s">
        <v>301</v>
      </c>
      <c r="I14" s="11" t="s">
        <v>302</v>
      </c>
      <c r="J14" s="11" t="s">
        <v>303</v>
      </c>
      <c r="K14" s="11" t="s">
        <v>94</v>
      </c>
      <c r="L14" s="11"/>
      <c r="M14" s="11"/>
      <c r="N14" s="11"/>
      <c r="O14" s="11"/>
      <c r="P14" s="11"/>
      <c r="Q14" s="11"/>
      <c r="R14" s="11"/>
      <c r="S14" s="11"/>
      <c r="T14" s="11"/>
      <c r="U14" s="11"/>
      <c r="V14" s="11"/>
      <c r="W14" s="11"/>
    </row>
    <row r="15" spans="1:23" ht="32" x14ac:dyDescent="0.2">
      <c r="A15" s="11" t="s">
        <v>304</v>
      </c>
      <c r="B15" s="11" t="s">
        <v>305</v>
      </c>
      <c r="C15" s="11" t="s">
        <v>306</v>
      </c>
      <c r="D15" s="11" t="s">
        <v>38</v>
      </c>
      <c r="E15" s="11" t="s">
        <v>307</v>
      </c>
      <c r="F15" s="11" t="s">
        <v>38</v>
      </c>
      <c r="G15" s="11" t="s">
        <v>308</v>
      </c>
      <c r="H15" s="11" t="s">
        <v>144</v>
      </c>
      <c r="I15" s="11" t="s">
        <v>309</v>
      </c>
      <c r="J15" s="11" t="s">
        <v>310</v>
      </c>
      <c r="K15" s="11" t="s">
        <v>94</v>
      </c>
      <c r="L15" s="11"/>
      <c r="M15" s="11"/>
      <c r="N15" s="11"/>
      <c r="O15" s="11"/>
      <c r="P15" s="11"/>
      <c r="Q15" s="11"/>
      <c r="R15" s="11"/>
      <c r="S15" s="11"/>
      <c r="T15" s="11"/>
      <c r="U15" s="11"/>
      <c r="V15" s="11"/>
      <c r="W15" s="11"/>
    </row>
    <row r="16" spans="1:23" x14ac:dyDescent="0.2">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2">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2">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2">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2">
      <c r="A20" s="11"/>
      <c r="B20" s="11"/>
      <c r="C20" s="11"/>
      <c r="D20" s="11"/>
      <c r="E20" s="11"/>
      <c r="F20" s="11"/>
      <c r="G20" s="11"/>
      <c r="H20" s="11"/>
      <c r="I20" s="11"/>
      <c r="J20" s="11"/>
      <c r="K20" s="11"/>
      <c r="L20" s="11"/>
      <c r="M20" s="11"/>
      <c r="N20" s="11"/>
      <c r="O20" s="11"/>
      <c r="P20" s="11"/>
      <c r="Q20" s="11"/>
      <c r="R20" s="11"/>
      <c r="S20" s="11"/>
      <c r="T20" s="11"/>
      <c r="U20" s="11"/>
      <c r="V20" s="11"/>
      <c r="W20" s="11"/>
    </row>
    <row r="22" spans="1:23" x14ac:dyDescent="0.2">
      <c r="A22" s="12" t="s">
        <v>311</v>
      </c>
    </row>
    <row r="23" spans="1:23" x14ac:dyDescent="0.2">
      <c r="A23" s="2" t="s">
        <v>163</v>
      </c>
      <c r="B23" s="2" t="s">
        <v>164</v>
      </c>
      <c r="C23" s="2" t="s">
        <v>27</v>
      </c>
    </row>
    <row r="24" spans="1:23" x14ac:dyDescent="0.2">
      <c r="A24" t="s">
        <v>163</v>
      </c>
      <c r="B24" t="s">
        <v>312</v>
      </c>
      <c r="C24" s="3"/>
    </row>
    <row r="25" spans="1:23" x14ac:dyDescent="0.2">
      <c r="A25" t="s">
        <v>163</v>
      </c>
      <c r="B25" t="s">
        <v>313</v>
      </c>
      <c r="C25" s="3"/>
    </row>
    <row r="26" spans="1:23" x14ac:dyDescent="0.2">
      <c r="A26" t="s">
        <v>163</v>
      </c>
      <c r="B26" t="s">
        <v>314</v>
      </c>
      <c r="C26" s="3"/>
    </row>
    <row r="27" spans="1:23" x14ac:dyDescent="0.2">
      <c r="A27" t="s">
        <v>163</v>
      </c>
      <c r="B27" t="s">
        <v>315</v>
      </c>
      <c r="C27" s="3"/>
    </row>
    <row r="28" spans="1:23" x14ac:dyDescent="0.2">
      <c r="A28" t="s">
        <v>163</v>
      </c>
      <c r="B28" t="s">
        <v>316</v>
      </c>
      <c r="C28" s="3"/>
    </row>
    <row r="29" spans="1:23" x14ac:dyDescent="0.2">
      <c r="A29" t="s">
        <v>163</v>
      </c>
      <c r="B29" t="s">
        <v>317</v>
      </c>
      <c r="C29" s="3"/>
    </row>
    <row r="30" spans="1:23" x14ac:dyDescent="0.2">
      <c r="A30" t="s">
        <v>163</v>
      </c>
      <c r="B30" t="s">
        <v>318</v>
      </c>
      <c r="C30" s="3"/>
    </row>
    <row r="31" spans="1:23" x14ac:dyDescent="0.2">
      <c r="A31" t="s">
        <v>163</v>
      </c>
      <c r="B31" t="s">
        <v>319</v>
      </c>
      <c r="C31" s="3"/>
    </row>
    <row r="32" spans="1:23" x14ac:dyDescent="0.2">
      <c r="A32" t="s">
        <v>163</v>
      </c>
      <c r="B32" t="s">
        <v>320</v>
      </c>
      <c r="C32" s="3"/>
    </row>
    <row r="33" spans="1:5" x14ac:dyDescent="0.2">
      <c r="A33" t="s">
        <v>163</v>
      </c>
      <c r="B33" t="s">
        <v>321</v>
      </c>
      <c r="C33" s="3"/>
    </row>
    <row r="34" spans="1:5" x14ac:dyDescent="0.2">
      <c r="A34" t="s">
        <v>163</v>
      </c>
      <c r="B34" t="s">
        <v>322</v>
      </c>
      <c r="C34" s="3"/>
    </row>
    <row r="35" spans="1:5" x14ac:dyDescent="0.2">
      <c r="A35" t="s">
        <v>163</v>
      </c>
      <c r="B35" t="s">
        <v>323</v>
      </c>
      <c r="C35" s="3"/>
    </row>
    <row r="36" spans="1:5" x14ac:dyDescent="0.2">
      <c r="A36" t="s">
        <v>163</v>
      </c>
      <c r="B36" t="s">
        <v>324</v>
      </c>
      <c r="C36" s="3"/>
    </row>
    <row r="37" spans="1:5" x14ac:dyDescent="0.2">
      <c r="A37" t="s">
        <v>163</v>
      </c>
      <c r="B37" t="s">
        <v>325</v>
      </c>
      <c r="C37" s="3"/>
    </row>
    <row r="38" spans="1:5" x14ac:dyDescent="0.2">
      <c r="A38" t="s">
        <v>163</v>
      </c>
      <c r="B38" t="s">
        <v>326</v>
      </c>
      <c r="C38" s="3"/>
    </row>
    <row r="39" spans="1:5" x14ac:dyDescent="0.2">
      <c r="A39" t="s">
        <v>163</v>
      </c>
      <c r="B39" t="s">
        <v>327</v>
      </c>
      <c r="C39" s="3"/>
    </row>
    <row r="40" spans="1:5" x14ac:dyDescent="0.2">
      <c r="A40" t="s">
        <v>163</v>
      </c>
      <c r="B40" t="s">
        <v>328</v>
      </c>
      <c r="C40" s="3"/>
    </row>
    <row r="41" spans="1:5" x14ac:dyDescent="0.2">
      <c r="A41" t="s">
        <v>163</v>
      </c>
      <c r="B41" t="s">
        <v>329</v>
      </c>
      <c r="C41" s="3"/>
    </row>
    <row r="42" spans="1:5" x14ac:dyDescent="0.2">
      <c r="A42" t="s">
        <v>163</v>
      </c>
      <c r="B42" t="s">
        <v>330</v>
      </c>
      <c r="C42" s="3"/>
    </row>
    <row r="43" spans="1:5" x14ac:dyDescent="0.2">
      <c r="A43" s="2" t="s">
        <v>185</v>
      </c>
      <c r="B43" s="13" t="e">
        <f>COUNTIF(C24:C42,"Yes")/COUNTA(C24:C42)*100&amp;"%"</f>
        <v>#DIV/0!</v>
      </c>
    </row>
    <row r="45" spans="1:5" x14ac:dyDescent="0.2">
      <c r="A45" s="12" t="s">
        <v>331</v>
      </c>
    </row>
    <row r="46" spans="1:5" x14ac:dyDescent="0.2">
      <c r="A46" s="4" t="s">
        <v>332</v>
      </c>
      <c r="B46" s="4" t="s">
        <v>190</v>
      </c>
      <c r="C46" s="4" t="s">
        <v>333</v>
      </c>
      <c r="D46" s="4" t="s">
        <v>334</v>
      </c>
      <c r="E46" s="4" t="s">
        <v>335</v>
      </c>
    </row>
    <row r="47" spans="1:5" ht="32" x14ac:dyDescent="0.2">
      <c r="A47" s="7" t="s">
        <v>336</v>
      </c>
      <c r="B47" s="7" t="s">
        <v>193</v>
      </c>
      <c r="C47" s="7" t="s">
        <v>94</v>
      </c>
      <c r="D47" s="7" t="s">
        <v>196</v>
      </c>
      <c r="E47" s="7" t="s">
        <v>337</v>
      </c>
    </row>
    <row r="48" spans="1:5" ht="32" x14ac:dyDescent="0.2">
      <c r="A48" s="7" t="s">
        <v>338</v>
      </c>
      <c r="B48" s="7" t="s">
        <v>193</v>
      </c>
      <c r="C48" s="7" t="s">
        <v>94</v>
      </c>
      <c r="D48" s="7" t="s">
        <v>339</v>
      </c>
      <c r="E48" s="7" t="s">
        <v>340</v>
      </c>
    </row>
    <row r="49" spans="1:23" ht="32" x14ac:dyDescent="0.2">
      <c r="A49" s="7" t="s">
        <v>253</v>
      </c>
      <c r="B49" s="7" t="s">
        <v>196</v>
      </c>
      <c r="C49" s="7" t="s">
        <v>92</v>
      </c>
      <c r="D49" s="7" t="s">
        <v>196</v>
      </c>
      <c r="E49" s="7" t="s">
        <v>341</v>
      </c>
    </row>
    <row r="50" spans="1:23" ht="32" x14ac:dyDescent="0.2">
      <c r="A50" s="7" t="s">
        <v>342</v>
      </c>
      <c r="B50" s="7" t="s">
        <v>196</v>
      </c>
      <c r="C50" s="7" t="s">
        <v>33</v>
      </c>
      <c r="D50" s="7" t="s">
        <v>196</v>
      </c>
      <c r="E50" s="7" t="s">
        <v>343</v>
      </c>
    </row>
    <row r="51" spans="1:23" ht="16" x14ac:dyDescent="0.2">
      <c r="A51" s="7" t="s">
        <v>344</v>
      </c>
      <c r="B51" s="7" t="s">
        <v>196</v>
      </c>
      <c r="C51" s="7" t="s">
        <v>33</v>
      </c>
      <c r="D51" s="7" t="s">
        <v>193</v>
      </c>
      <c r="E51" s="7" t="s">
        <v>345</v>
      </c>
    </row>
    <row r="52" spans="1:23" ht="16" x14ac:dyDescent="0.2">
      <c r="A52" s="7" t="s">
        <v>346</v>
      </c>
      <c r="B52" s="7" t="s">
        <v>347</v>
      </c>
      <c r="C52" s="7" t="s">
        <v>92</v>
      </c>
      <c r="D52" s="7" t="s">
        <v>339</v>
      </c>
      <c r="E52" s="7" t="s">
        <v>348</v>
      </c>
    </row>
    <row r="54" spans="1:23" x14ac:dyDescent="0.2">
      <c r="A54" s="12" t="s">
        <v>349</v>
      </c>
    </row>
    <row r="55" spans="1:23" x14ac:dyDescent="0.2">
      <c r="A55" s="4" t="s">
        <v>350</v>
      </c>
      <c r="B55" s="4" t="s">
        <v>204</v>
      </c>
      <c r="C55" s="4" t="s">
        <v>351</v>
      </c>
      <c r="D55" s="4" t="s">
        <v>352</v>
      </c>
    </row>
    <row r="56" spans="1:23" ht="32" x14ac:dyDescent="0.2">
      <c r="A56" s="7" t="s">
        <v>353</v>
      </c>
      <c r="B56" s="7" t="s">
        <v>354</v>
      </c>
      <c r="C56" s="7" t="s">
        <v>215</v>
      </c>
      <c r="D56" s="7" t="s">
        <v>355</v>
      </c>
    </row>
    <row r="57" spans="1:23" ht="32" x14ac:dyDescent="0.2">
      <c r="A57" s="7" t="s">
        <v>353</v>
      </c>
      <c r="B57" s="7" t="s">
        <v>356</v>
      </c>
      <c r="C57" s="7" t="s">
        <v>215</v>
      </c>
      <c r="D57" s="7" t="s">
        <v>355</v>
      </c>
    </row>
    <row r="58" spans="1:23" ht="32" x14ac:dyDescent="0.2">
      <c r="A58" s="7" t="s">
        <v>353</v>
      </c>
      <c r="B58" s="7" t="s">
        <v>357</v>
      </c>
      <c r="C58" s="7" t="s">
        <v>215</v>
      </c>
      <c r="D58" s="7" t="s">
        <v>358</v>
      </c>
    </row>
    <row r="59" spans="1:23" ht="16" x14ac:dyDescent="0.2">
      <c r="A59" s="7" t="s">
        <v>196</v>
      </c>
      <c r="B59" s="7" t="s">
        <v>359</v>
      </c>
      <c r="C59" s="7" t="s">
        <v>215</v>
      </c>
      <c r="D59" s="7" t="s">
        <v>360</v>
      </c>
    </row>
    <row r="60" spans="1:23" ht="16" x14ac:dyDescent="0.2">
      <c r="A60" s="7" t="s">
        <v>196</v>
      </c>
      <c r="B60" s="7" t="s">
        <v>361</v>
      </c>
      <c r="C60" s="7" t="s">
        <v>215</v>
      </c>
      <c r="D60" s="7" t="s">
        <v>360</v>
      </c>
    </row>
    <row r="61" spans="1:23" ht="16" x14ac:dyDescent="0.2">
      <c r="A61" s="7" t="s">
        <v>339</v>
      </c>
      <c r="B61" s="7" t="s">
        <v>362</v>
      </c>
      <c r="C61" s="7" t="s">
        <v>212</v>
      </c>
      <c r="D61" s="7" t="s">
        <v>360</v>
      </c>
    </row>
    <row r="62" spans="1:23" ht="16" x14ac:dyDescent="0.2">
      <c r="A62" s="7" t="s">
        <v>347</v>
      </c>
      <c r="B62" s="7" t="s">
        <v>363</v>
      </c>
      <c r="C62" s="7" t="s">
        <v>364</v>
      </c>
      <c r="D62" s="7" t="s">
        <v>250</v>
      </c>
    </row>
    <row r="64" spans="1:23" x14ac:dyDescent="0.2">
      <c r="A64" s="24" t="s">
        <v>225</v>
      </c>
      <c r="B64" s="18"/>
      <c r="C64" s="18"/>
      <c r="D64" s="18"/>
      <c r="E64" s="18"/>
      <c r="F64" s="18"/>
      <c r="G64" s="18"/>
      <c r="H64" s="18"/>
      <c r="I64" s="18"/>
      <c r="J64" s="18"/>
      <c r="K64" s="18"/>
      <c r="L64" s="18"/>
      <c r="M64" s="18"/>
      <c r="N64" s="18"/>
      <c r="O64" s="18"/>
      <c r="P64" s="18"/>
      <c r="Q64" s="18"/>
      <c r="R64" s="18"/>
      <c r="S64" s="18"/>
      <c r="T64" s="18"/>
      <c r="U64" s="18"/>
      <c r="V64" s="18"/>
      <c r="W64" s="18"/>
    </row>
    <row r="65" spans="1:23" x14ac:dyDescent="0.2">
      <c r="A65" s="2" t="s">
        <v>226</v>
      </c>
      <c r="B65" s="19"/>
      <c r="C65" s="20"/>
      <c r="D65" s="21"/>
    </row>
    <row r="66" spans="1:23" x14ac:dyDescent="0.2">
      <c r="A66" s="2" t="s">
        <v>227</v>
      </c>
      <c r="B66" s="19"/>
      <c r="C66" s="20"/>
      <c r="D66" s="21"/>
    </row>
    <row r="67" spans="1:23" x14ac:dyDescent="0.2">
      <c r="A67" s="2" t="s">
        <v>228</v>
      </c>
      <c r="B67" s="19"/>
      <c r="C67" s="20"/>
      <c r="D67" s="21"/>
    </row>
    <row r="68" spans="1:23" x14ac:dyDescent="0.2">
      <c r="A68" s="2" t="s">
        <v>229</v>
      </c>
      <c r="B68" s="19"/>
      <c r="C68" s="20"/>
      <c r="D68" s="21"/>
    </row>
    <row r="69" spans="1:23" x14ac:dyDescent="0.2">
      <c r="A69" s="2" t="s">
        <v>230</v>
      </c>
      <c r="B69" s="19"/>
      <c r="C69" s="20"/>
      <c r="D69" s="21"/>
    </row>
    <row r="70" spans="1:23" x14ac:dyDescent="0.2">
      <c r="A70" s="2" t="s">
        <v>231</v>
      </c>
      <c r="B70" s="19"/>
      <c r="C70" s="20"/>
      <c r="D70" s="21"/>
    </row>
    <row r="71" spans="1:23" x14ac:dyDescent="0.2">
      <c r="A71" s="2" t="s">
        <v>232</v>
      </c>
      <c r="B71" s="19"/>
      <c r="C71" s="20"/>
      <c r="D71" s="21"/>
    </row>
    <row r="72" spans="1:23" x14ac:dyDescent="0.2">
      <c r="A72" s="2" t="s">
        <v>233</v>
      </c>
      <c r="B72" s="19"/>
      <c r="C72" s="20"/>
      <c r="D72" s="21"/>
    </row>
    <row r="73" spans="1:23" x14ac:dyDescent="0.2">
      <c r="A73" s="2" t="s">
        <v>234</v>
      </c>
      <c r="B73" s="19"/>
      <c r="C73" s="20"/>
      <c r="D73" s="21"/>
    </row>
    <row r="74" spans="1:23" x14ac:dyDescent="0.2">
      <c r="A74" s="2" t="s">
        <v>235</v>
      </c>
      <c r="B74" s="19"/>
      <c r="C74" s="20"/>
      <c r="D74" s="21"/>
    </row>
    <row r="75" spans="1:23" x14ac:dyDescent="0.2">
      <c r="A75" s="2" t="s">
        <v>236</v>
      </c>
      <c r="B75" s="19"/>
      <c r="C75" s="20"/>
      <c r="D75" s="21"/>
    </row>
    <row r="76" spans="1:23" x14ac:dyDescent="0.2">
      <c r="A76" s="2" t="s">
        <v>237</v>
      </c>
      <c r="B76" s="19"/>
      <c r="C76" s="20"/>
      <c r="D76" s="21"/>
    </row>
    <row r="78" spans="1:23" x14ac:dyDescent="0.2">
      <c r="A78" s="23" t="s">
        <v>238</v>
      </c>
      <c r="B78" s="18"/>
      <c r="C78" s="18"/>
      <c r="D78" s="18"/>
      <c r="E78" s="18"/>
      <c r="F78" s="18"/>
      <c r="G78" s="18"/>
      <c r="H78" s="18"/>
      <c r="I78" s="18"/>
      <c r="J78" s="18"/>
      <c r="K78" s="18"/>
      <c r="L78" s="18"/>
      <c r="M78" s="18"/>
      <c r="N78" s="18"/>
      <c r="O78" s="18"/>
      <c r="P78" s="18"/>
      <c r="Q78" s="18"/>
      <c r="R78" s="18"/>
      <c r="S78" s="18"/>
      <c r="T78" s="18"/>
      <c r="U78" s="18"/>
      <c r="V78" s="18"/>
      <c r="W78" s="18"/>
    </row>
    <row r="79" spans="1:23" x14ac:dyDescent="0.2">
      <c r="A79" s="25"/>
      <c r="B79" s="26"/>
      <c r="C79" s="26"/>
      <c r="D79" s="26"/>
      <c r="E79" s="26"/>
      <c r="F79" s="26"/>
      <c r="G79" s="26"/>
      <c r="H79" s="26"/>
      <c r="I79" s="26"/>
      <c r="J79" s="26"/>
      <c r="K79" s="26"/>
      <c r="L79" s="26"/>
      <c r="M79" s="26"/>
      <c r="N79" s="26"/>
      <c r="O79" s="26"/>
      <c r="P79" s="26"/>
      <c r="Q79" s="26"/>
      <c r="R79" s="26"/>
      <c r="S79" s="26"/>
      <c r="T79" s="26"/>
      <c r="U79" s="26"/>
      <c r="V79" s="26"/>
      <c r="W79" s="27"/>
    </row>
    <row r="80" spans="1:23" x14ac:dyDescent="0.2">
      <c r="A80" s="28"/>
      <c r="B80" s="18"/>
      <c r="C80" s="18"/>
      <c r="D80" s="18"/>
      <c r="E80" s="18"/>
      <c r="F80" s="18"/>
      <c r="G80" s="18"/>
      <c r="H80" s="18"/>
      <c r="I80" s="18"/>
      <c r="J80" s="18"/>
      <c r="K80" s="18"/>
      <c r="L80" s="18"/>
      <c r="M80" s="18"/>
      <c r="N80" s="18"/>
      <c r="O80" s="18"/>
      <c r="P80" s="18"/>
      <c r="Q80" s="18"/>
      <c r="R80" s="18"/>
      <c r="S80" s="18"/>
      <c r="T80" s="18"/>
      <c r="U80" s="18"/>
      <c r="V80" s="18"/>
      <c r="W80" s="29"/>
    </row>
    <row r="81" spans="1:23" x14ac:dyDescent="0.2">
      <c r="A81" s="28"/>
      <c r="B81" s="18"/>
      <c r="C81" s="18"/>
      <c r="D81" s="18"/>
      <c r="E81" s="18"/>
      <c r="F81" s="18"/>
      <c r="G81" s="18"/>
      <c r="H81" s="18"/>
      <c r="I81" s="18"/>
      <c r="J81" s="18"/>
      <c r="K81" s="18"/>
      <c r="L81" s="18"/>
      <c r="M81" s="18"/>
      <c r="N81" s="18"/>
      <c r="O81" s="18"/>
      <c r="P81" s="18"/>
      <c r="Q81" s="18"/>
      <c r="R81" s="18"/>
      <c r="S81" s="18"/>
      <c r="T81" s="18"/>
      <c r="U81" s="18"/>
      <c r="V81" s="18"/>
      <c r="W81" s="29"/>
    </row>
    <row r="82" spans="1:23" x14ac:dyDescent="0.2">
      <c r="A82" s="28"/>
      <c r="B82" s="18"/>
      <c r="C82" s="18"/>
      <c r="D82" s="18"/>
      <c r="E82" s="18"/>
      <c r="F82" s="18"/>
      <c r="G82" s="18"/>
      <c r="H82" s="18"/>
      <c r="I82" s="18"/>
      <c r="J82" s="18"/>
      <c r="K82" s="18"/>
      <c r="L82" s="18"/>
      <c r="M82" s="18"/>
      <c r="N82" s="18"/>
      <c r="O82" s="18"/>
      <c r="P82" s="18"/>
      <c r="Q82" s="18"/>
      <c r="R82" s="18"/>
      <c r="S82" s="18"/>
      <c r="T82" s="18"/>
      <c r="U82" s="18"/>
      <c r="V82" s="18"/>
      <c r="W82" s="29"/>
    </row>
    <row r="83" spans="1:23" x14ac:dyDescent="0.2">
      <c r="A83" s="28"/>
      <c r="B83" s="18"/>
      <c r="C83" s="18"/>
      <c r="D83" s="18"/>
      <c r="E83" s="18"/>
      <c r="F83" s="18"/>
      <c r="G83" s="18"/>
      <c r="H83" s="18"/>
      <c r="I83" s="18"/>
      <c r="J83" s="18"/>
      <c r="K83" s="18"/>
      <c r="L83" s="18"/>
      <c r="M83" s="18"/>
      <c r="N83" s="18"/>
      <c r="O83" s="18"/>
      <c r="P83" s="18"/>
      <c r="Q83" s="18"/>
      <c r="R83" s="18"/>
      <c r="S83" s="18"/>
      <c r="T83" s="18"/>
      <c r="U83" s="18"/>
      <c r="V83" s="18"/>
      <c r="W83" s="29"/>
    </row>
    <row r="84" spans="1:23" x14ac:dyDescent="0.2">
      <c r="A84" s="28"/>
      <c r="B84" s="18"/>
      <c r="C84" s="18"/>
      <c r="D84" s="18"/>
      <c r="E84" s="18"/>
      <c r="F84" s="18"/>
      <c r="G84" s="18"/>
      <c r="H84" s="18"/>
      <c r="I84" s="18"/>
      <c r="J84" s="18"/>
      <c r="K84" s="18"/>
      <c r="L84" s="18"/>
      <c r="M84" s="18"/>
      <c r="N84" s="18"/>
      <c r="O84" s="18"/>
      <c r="P84" s="18"/>
      <c r="Q84" s="18"/>
      <c r="R84" s="18"/>
      <c r="S84" s="18"/>
      <c r="T84" s="18"/>
      <c r="U84" s="18"/>
      <c r="V84" s="18"/>
      <c r="W84" s="29"/>
    </row>
    <row r="85" spans="1:23" x14ac:dyDescent="0.2">
      <c r="A85" s="28"/>
      <c r="B85" s="18"/>
      <c r="C85" s="18"/>
      <c r="D85" s="18"/>
      <c r="E85" s="18"/>
      <c r="F85" s="18"/>
      <c r="G85" s="18"/>
      <c r="H85" s="18"/>
      <c r="I85" s="18"/>
      <c r="J85" s="18"/>
      <c r="K85" s="18"/>
      <c r="L85" s="18"/>
      <c r="M85" s="18"/>
      <c r="N85" s="18"/>
      <c r="O85" s="18"/>
      <c r="P85" s="18"/>
      <c r="Q85" s="18"/>
      <c r="R85" s="18"/>
      <c r="S85" s="18"/>
      <c r="T85" s="18"/>
      <c r="U85" s="18"/>
      <c r="V85" s="18"/>
      <c r="W85" s="29"/>
    </row>
    <row r="86" spans="1:23" x14ac:dyDescent="0.2">
      <c r="A86" s="28"/>
      <c r="B86" s="18"/>
      <c r="C86" s="18"/>
      <c r="D86" s="18"/>
      <c r="E86" s="18"/>
      <c r="F86" s="18"/>
      <c r="G86" s="18"/>
      <c r="H86" s="18"/>
      <c r="I86" s="18"/>
      <c r="J86" s="18"/>
      <c r="K86" s="18"/>
      <c r="L86" s="18"/>
      <c r="M86" s="18"/>
      <c r="N86" s="18"/>
      <c r="O86" s="18"/>
      <c r="P86" s="18"/>
      <c r="Q86" s="18"/>
      <c r="R86" s="18"/>
      <c r="S86" s="18"/>
      <c r="T86" s="18"/>
      <c r="U86" s="18"/>
      <c r="V86" s="18"/>
      <c r="W86" s="29"/>
    </row>
    <row r="87" spans="1:23" x14ac:dyDescent="0.2">
      <c r="A87" s="30"/>
      <c r="B87" s="31"/>
      <c r="C87" s="31"/>
      <c r="D87" s="31"/>
      <c r="E87" s="31"/>
      <c r="F87" s="31"/>
      <c r="G87" s="31"/>
      <c r="H87" s="31"/>
      <c r="I87" s="31"/>
      <c r="J87" s="31"/>
      <c r="K87" s="31"/>
      <c r="L87" s="31"/>
      <c r="M87" s="31"/>
      <c r="N87" s="31"/>
      <c r="O87" s="31"/>
      <c r="P87" s="31"/>
      <c r="Q87" s="31"/>
      <c r="R87" s="31"/>
      <c r="S87" s="31"/>
      <c r="T87" s="31"/>
      <c r="U87" s="31"/>
      <c r="V87" s="31"/>
      <c r="W87" s="32"/>
    </row>
  </sheetData>
  <mergeCells count="17">
    <mergeCell ref="A79:W87"/>
    <mergeCell ref="A3:W3"/>
    <mergeCell ref="B73:D73"/>
    <mergeCell ref="B74:D74"/>
    <mergeCell ref="A78:W78"/>
    <mergeCell ref="A64:W64"/>
    <mergeCell ref="B65:D65"/>
    <mergeCell ref="B68:D68"/>
    <mergeCell ref="B75:D75"/>
    <mergeCell ref="B70:D70"/>
    <mergeCell ref="B69:D69"/>
    <mergeCell ref="B72:D72"/>
    <mergeCell ref="A1:W1"/>
    <mergeCell ref="B66:D66"/>
    <mergeCell ref="B67:D67"/>
    <mergeCell ref="B76:D76"/>
    <mergeCell ref="B71:D71"/>
  </mergeCells>
  <dataValidations count="15">
    <dataValidation type="list" sqref="B8 B9 B10 B11 B12 B13 B14 B15 B16 B17 B18 B19 B20" xr:uid="{00000000-0002-0000-0200-000000000000}">
      <formula1>"Password,MFA,Certificate,Token,SSO,Federation,Biometric,API Key,Service Account,N/A"</formula1>
    </dataValidation>
    <dataValidation type="list" sqref="C8 C9 C10 C11 C12 C13 C14 C15 C16 C17 C18 C19 C20" xr:uid="{00000000-0002-0000-0200-000001000000}">
      <formula1>"End User,Administrator,Service Account,External User,API Client,N/A"</formula1>
    </dataValidation>
    <dataValidation type="list" sqref="D8 D9 D10 D11 D12 D13 D14 D15 D16 D17 D18 D19 D20" xr:uid="{00000000-0002-0000-0200-000002000000}">
      <formula1>"Public,Internal,Confidential,Restricted,N/A"</formula1>
    </dataValidation>
    <dataValidation type="list" sqref="E8 E9 E10 E11 E12 E13 E14 E15 E16 E17 E18 E19 E20" xr:uid="{00000000-0002-0000-0200-000003000000}">
      <formula1>"bcrypt,Argon2,PBKDF2,scrypt,SHA-256,SHA-512,RSA-2048+,ECDSA,None,N/A"</formula1>
    </dataValidation>
    <dataValidation type="list" sqref="F8 F9 F10 F11 F12 F13 F14 F15 F16 F17 F18 F19 F20" xr:uid="{00000000-0002-0000-0200-000004000000}">
      <formula1>"Properly Hashed,Encrypted,Plaintext (Non-compliant),Salted,N/A"</formula1>
    </dataValidation>
    <dataValidation type="list" sqref="G8 G9 G10 G11 G12 G13 G14 G15 G16 G17 G18 G19 G20" xr:uid="{00000000-0002-0000-0200-000005000000}">
      <formula1>"Strong (≥14 chars),Adequate (12-13),Weak (&lt;12),N/A"</formula1>
    </dataValidation>
    <dataValidation type="list" sqref="H8 H9 H10 H11 H12 H13 H14 H15 H16 H17 H18 H19 H20" xr:uid="{00000000-0002-0000-0200-000006000000}">
      <formula1>"✅ Compliant,⚠️ Partial,❌ Non-Compliant,N/A"</formula1>
    </dataValidation>
    <dataValidation type="list" sqref="K8:K20 B65 B67" xr:uid="{00000000-0002-0000-0200-000007000000}">
      <formula1>"Yes,No"</formula1>
    </dataValidation>
    <dataValidation type="list" sqref="Q8 Q9 Q10 Q11 Q12 Q13 Q14 Q15 Q16 Q17 Q18 Q19 Q20" xr:uid="{00000000-0002-0000-0200-000008000000}">
      <formula1>"Yes,No,Unknown"</formula1>
    </dataValidation>
    <dataValidation type="list" sqref="B4" xr:uid="{00000000-0002-0000-0200-000009000000}">
      <formula1>"Yes,No,Not Applicable"</formula1>
    </dataValidation>
    <dataValidation type="list" sqref="C24:C42 U8:U20 W8:W20" xr:uid="{00000000-0002-0000-0200-00000A000000}">
      <formula1>"Yes,No,N/A"</formula1>
    </dataValidation>
    <dataValidation type="list" sqref="R8 R9 R10 R11 R12 R13 R14 R15 R16 R17 R18 R19 R20" xr:uid="{00000000-0002-0000-0200-00000C000000}">
      <formula1>"TOTP (Authenticator App),Push Notification,SMS (Deprecated),Hardware Token,Biometric,Certificate,None,N/A"</formula1>
    </dataValidation>
    <dataValidation type="list" sqref="S8 S9 S10 S11 S12 S13 S14 S15 S16 S17 S18 S19 S20" xr:uid="{00000000-0002-0000-0200-00000D000000}">
      <formula1>"100%,90-99%,75-89%,&lt;75%,N/A"</formula1>
    </dataValidation>
    <dataValidation type="list" sqref="T8 T9 T10 T11 T12 T13 T14 T15 T16 T17 T18 T19 T20" xr:uid="{00000000-0002-0000-0200-00000E000000}">
      <formula1>"Required,Optional,Not Configured,N/A"</formula1>
    </dataValidation>
    <dataValidation type="list" sqref="V8 V9 V10 V11 V12 V13 V14 V15 V16 V17 V18 V19 V20" xr:uid="{00000000-0002-0000-0200-00000F000000}">
      <formula1>"Never,With Approval,Emergency Only,Always (Non-compliant),N/A"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87"/>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8" customWidth="1"/>
    <col min="5" max="5" width="22" customWidth="1"/>
    <col min="6" max="7" width="20"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2" customWidth="1"/>
    <col min="19" max="19" width="25" customWidth="1"/>
    <col min="20" max="20" width="18" customWidth="1"/>
    <col min="21" max="21" width="16" customWidth="1"/>
    <col min="22" max="24" width="18" customWidth="1"/>
  </cols>
  <sheetData>
    <row r="1" spans="1:24" ht="40" customHeight="1" x14ac:dyDescent="0.2">
      <c r="A1" s="17" t="s">
        <v>365</v>
      </c>
      <c r="B1" s="18"/>
      <c r="C1" s="18"/>
      <c r="D1" s="18"/>
      <c r="E1" s="18"/>
      <c r="F1" s="18"/>
      <c r="G1" s="18"/>
      <c r="H1" s="18"/>
      <c r="I1" s="18"/>
      <c r="J1" s="18"/>
      <c r="K1" s="18"/>
      <c r="L1" s="18"/>
      <c r="M1" s="18"/>
      <c r="N1" s="18"/>
      <c r="O1" s="18"/>
      <c r="P1" s="18"/>
      <c r="Q1" s="18"/>
      <c r="R1" s="18"/>
      <c r="S1" s="18"/>
      <c r="T1" s="18"/>
      <c r="U1" s="18"/>
      <c r="V1" s="18"/>
      <c r="W1" s="18"/>
      <c r="X1" s="18"/>
    </row>
    <row r="3" spans="1:24" ht="30" customHeight="1" x14ac:dyDescent="0.2">
      <c r="A3" s="22" t="s">
        <v>366</v>
      </c>
      <c r="B3" s="18"/>
      <c r="C3" s="18"/>
      <c r="D3" s="18"/>
      <c r="E3" s="18"/>
      <c r="F3" s="18"/>
      <c r="G3" s="18"/>
      <c r="H3" s="18"/>
      <c r="I3" s="18"/>
      <c r="J3" s="18"/>
      <c r="K3" s="18"/>
      <c r="L3" s="18"/>
      <c r="M3" s="18"/>
      <c r="N3" s="18"/>
      <c r="O3" s="18"/>
      <c r="P3" s="18"/>
      <c r="Q3" s="18"/>
      <c r="R3" s="18"/>
      <c r="S3" s="18"/>
      <c r="T3" s="18"/>
      <c r="U3" s="18"/>
      <c r="V3" s="18"/>
      <c r="W3" s="18"/>
      <c r="X3" s="18"/>
    </row>
    <row r="4" spans="1:24" x14ac:dyDescent="0.2">
      <c r="A4" s="2" t="s">
        <v>58</v>
      </c>
      <c r="B4" s="3"/>
    </row>
    <row r="6" spans="1:24"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367</v>
      </c>
      <c r="S6" s="4" t="s">
        <v>368</v>
      </c>
      <c r="T6" s="4" t="s">
        <v>369</v>
      </c>
      <c r="U6" s="4" t="s">
        <v>370</v>
      </c>
      <c r="V6" s="4" t="s">
        <v>371</v>
      </c>
      <c r="W6" s="4" t="s">
        <v>372</v>
      </c>
      <c r="X6" s="4" t="s">
        <v>373</v>
      </c>
    </row>
    <row r="7" spans="1:24" ht="32" x14ac:dyDescent="0.2">
      <c r="A7" s="10" t="s">
        <v>374</v>
      </c>
      <c r="B7" s="10" t="s">
        <v>375</v>
      </c>
      <c r="C7" s="10" t="s">
        <v>84</v>
      </c>
      <c r="D7" s="10" t="s">
        <v>85</v>
      </c>
      <c r="E7" s="10" t="s">
        <v>376</v>
      </c>
      <c r="F7" s="10" t="s">
        <v>251</v>
      </c>
      <c r="G7" s="10" t="s">
        <v>38</v>
      </c>
      <c r="H7" s="10" t="s">
        <v>89</v>
      </c>
      <c r="I7" s="10" t="s">
        <v>377</v>
      </c>
      <c r="J7" s="10" t="s">
        <v>91</v>
      </c>
      <c r="K7" s="10" t="s">
        <v>92</v>
      </c>
      <c r="L7" s="10" t="s">
        <v>38</v>
      </c>
      <c r="M7" s="10" t="s">
        <v>38</v>
      </c>
      <c r="N7" s="10" t="s">
        <v>38</v>
      </c>
      <c r="O7" s="10" t="s">
        <v>38</v>
      </c>
      <c r="P7" s="10" t="s">
        <v>38</v>
      </c>
      <c r="Q7" s="10" t="s">
        <v>92</v>
      </c>
      <c r="R7" s="10" t="s">
        <v>378</v>
      </c>
      <c r="S7" s="10" t="s">
        <v>379</v>
      </c>
      <c r="T7" s="10" t="s">
        <v>376</v>
      </c>
      <c r="U7" s="10" t="s">
        <v>380</v>
      </c>
      <c r="V7" s="10" t="s">
        <v>94</v>
      </c>
      <c r="W7" s="10" t="s">
        <v>92</v>
      </c>
      <c r="X7" s="10" t="s">
        <v>92</v>
      </c>
    </row>
    <row r="8" spans="1:24" ht="16" x14ac:dyDescent="0.2">
      <c r="A8" s="11" t="s">
        <v>381</v>
      </c>
      <c r="B8" s="11" t="s">
        <v>382</v>
      </c>
      <c r="C8" s="11" t="s">
        <v>383</v>
      </c>
      <c r="D8" s="11" t="s">
        <v>384</v>
      </c>
      <c r="E8" s="11" t="s">
        <v>385</v>
      </c>
      <c r="F8" s="11" t="s">
        <v>386</v>
      </c>
      <c r="G8" s="11" t="s">
        <v>387</v>
      </c>
      <c r="H8" s="11" t="s">
        <v>89</v>
      </c>
      <c r="I8" s="11" t="s">
        <v>388</v>
      </c>
      <c r="J8" s="11"/>
      <c r="K8" s="11" t="s">
        <v>92</v>
      </c>
      <c r="L8" s="11"/>
      <c r="M8" s="11"/>
      <c r="N8" s="11"/>
      <c r="O8" s="11"/>
      <c r="P8" s="11"/>
      <c r="Q8" s="11"/>
      <c r="R8" s="11"/>
      <c r="S8" s="11"/>
      <c r="T8" s="11"/>
      <c r="U8" s="11"/>
      <c r="V8" s="11"/>
      <c r="W8" s="11"/>
      <c r="X8" s="11"/>
    </row>
    <row r="9" spans="1:24" ht="16" x14ac:dyDescent="0.2">
      <c r="A9" s="11" t="s">
        <v>389</v>
      </c>
      <c r="B9" s="11" t="s">
        <v>382</v>
      </c>
      <c r="C9" s="11" t="s">
        <v>390</v>
      </c>
      <c r="D9" s="11" t="s">
        <v>391</v>
      </c>
      <c r="E9" s="11" t="s">
        <v>392</v>
      </c>
      <c r="F9" s="11" t="s">
        <v>393</v>
      </c>
      <c r="G9" s="11" t="s">
        <v>394</v>
      </c>
      <c r="H9" s="11" t="s">
        <v>89</v>
      </c>
      <c r="I9" s="11" t="s">
        <v>395</v>
      </c>
      <c r="J9" s="11"/>
      <c r="K9" s="11" t="s">
        <v>92</v>
      </c>
      <c r="L9" s="11"/>
      <c r="M9" s="11"/>
      <c r="N9" s="11"/>
      <c r="O9" s="11"/>
      <c r="P9" s="11"/>
      <c r="Q9" s="11"/>
      <c r="R9" s="11"/>
      <c r="S9" s="11"/>
      <c r="T9" s="11"/>
      <c r="U9" s="11"/>
      <c r="V9" s="11"/>
      <c r="W9" s="11"/>
      <c r="X9" s="11"/>
    </row>
    <row r="10" spans="1:24" ht="16" x14ac:dyDescent="0.2">
      <c r="A10" s="11" t="s">
        <v>396</v>
      </c>
      <c r="B10" s="11" t="s">
        <v>382</v>
      </c>
      <c r="C10" s="11" t="s">
        <v>397</v>
      </c>
      <c r="D10" s="11" t="s">
        <v>398</v>
      </c>
      <c r="E10" s="11" t="s">
        <v>399</v>
      </c>
      <c r="F10" s="11" t="s">
        <v>400</v>
      </c>
      <c r="G10" s="11" t="s">
        <v>401</v>
      </c>
      <c r="H10" s="11" t="s">
        <v>89</v>
      </c>
      <c r="I10" s="11" t="s">
        <v>402</v>
      </c>
      <c r="J10" s="11"/>
      <c r="K10" s="11" t="s">
        <v>92</v>
      </c>
      <c r="L10" s="11"/>
      <c r="M10" s="11"/>
      <c r="N10" s="11"/>
      <c r="O10" s="11"/>
      <c r="P10" s="11"/>
      <c r="Q10" s="11"/>
      <c r="R10" s="11"/>
      <c r="S10" s="11"/>
      <c r="T10" s="11"/>
      <c r="U10" s="11"/>
      <c r="V10" s="11"/>
      <c r="W10" s="11"/>
      <c r="X10" s="11"/>
    </row>
    <row r="11" spans="1:24" ht="16" x14ac:dyDescent="0.2">
      <c r="A11" s="11" t="s">
        <v>403</v>
      </c>
      <c r="B11" s="11" t="s">
        <v>404</v>
      </c>
      <c r="C11" s="11" t="s">
        <v>405</v>
      </c>
      <c r="D11" s="11" t="s">
        <v>406</v>
      </c>
      <c r="E11" s="11" t="s">
        <v>407</v>
      </c>
      <c r="F11" s="11" t="s">
        <v>408</v>
      </c>
      <c r="G11" s="11" t="s">
        <v>409</v>
      </c>
      <c r="H11" s="11" t="s">
        <v>89</v>
      </c>
      <c r="I11" s="11" t="s">
        <v>410</v>
      </c>
      <c r="J11" s="11"/>
      <c r="K11" s="11" t="s">
        <v>92</v>
      </c>
      <c r="L11" s="11"/>
      <c r="M11" s="11"/>
      <c r="N11" s="11"/>
      <c r="O11" s="11"/>
      <c r="P11" s="11"/>
      <c r="Q11" s="11"/>
      <c r="R11" s="11"/>
      <c r="S11" s="11"/>
      <c r="T11" s="11"/>
      <c r="U11" s="11"/>
      <c r="V11" s="11"/>
      <c r="W11" s="11"/>
      <c r="X11" s="11"/>
    </row>
    <row r="12" spans="1:24" ht="16" x14ac:dyDescent="0.2">
      <c r="A12" s="11" t="s">
        <v>411</v>
      </c>
      <c r="B12" s="11" t="s">
        <v>382</v>
      </c>
      <c r="C12" s="11" t="s">
        <v>412</v>
      </c>
      <c r="D12" s="11" t="s">
        <v>413</v>
      </c>
      <c r="E12" s="11" t="s">
        <v>407</v>
      </c>
      <c r="F12" s="11" t="s">
        <v>414</v>
      </c>
      <c r="G12" s="11" t="s">
        <v>415</v>
      </c>
      <c r="H12" s="11" t="s">
        <v>301</v>
      </c>
      <c r="I12" s="11" t="s">
        <v>416</v>
      </c>
      <c r="J12" s="11" t="s">
        <v>417</v>
      </c>
      <c r="K12" s="11" t="s">
        <v>94</v>
      </c>
      <c r="L12" s="11"/>
      <c r="M12" s="11"/>
      <c r="N12" s="11"/>
      <c r="O12" s="11"/>
      <c r="P12" s="11"/>
      <c r="Q12" s="11"/>
      <c r="R12" s="11"/>
      <c r="S12" s="11"/>
      <c r="T12" s="11"/>
      <c r="U12" s="11"/>
      <c r="V12" s="11"/>
      <c r="W12" s="11"/>
      <c r="X12" s="11"/>
    </row>
    <row r="13" spans="1:24" ht="16" x14ac:dyDescent="0.2">
      <c r="A13" s="11" t="s">
        <v>418</v>
      </c>
      <c r="B13" s="11" t="s">
        <v>419</v>
      </c>
      <c r="C13" s="11" t="s">
        <v>420</v>
      </c>
      <c r="D13" s="11" t="s">
        <v>421</v>
      </c>
      <c r="E13" s="11" t="s">
        <v>407</v>
      </c>
      <c r="F13" s="11" t="s">
        <v>422</v>
      </c>
      <c r="G13" s="11" t="s">
        <v>423</v>
      </c>
      <c r="H13" s="11" t="s">
        <v>89</v>
      </c>
      <c r="I13" s="11" t="s">
        <v>424</v>
      </c>
      <c r="J13" s="11"/>
      <c r="K13" s="11" t="s">
        <v>92</v>
      </c>
      <c r="L13" s="11"/>
      <c r="M13" s="11"/>
      <c r="N13" s="11"/>
      <c r="O13" s="11"/>
      <c r="P13" s="11"/>
      <c r="Q13" s="11"/>
      <c r="R13" s="11"/>
      <c r="S13" s="11"/>
      <c r="T13" s="11"/>
      <c r="U13" s="11"/>
      <c r="V13" s="11"/>
      <c r="W13" s="11"/>
      <c r="X13" s="11"/>
    </row>
    <row r="14" spans="1:24" x14ac:dyDescent="0.2">
      <c r="A14" s="11"/>
      <c r="B14" s="11"/>
      <c r="C14" s="11"/>
      <c r="D14" s="11"/>
      <c r="E14" s="11"/>
      <c r="F14" s="11"/>
      <c r="G14" s="11"/>
      <c r="H14" s="11"/>
      <c r="I14" s="11"/>
      <c r="J14" s="11"/>
      <c r="K14" s="11"/>
      <c r="L14" s="11"/>
      <c r="M14" s="11"/>
      <c r="N14" s="11"/>
      <c r="O14" s="11"/>
      <c r="P14" s="11"/>
      <c r="Q14" s="11"/>
      <c r="R14" s="11"/>
      <c r="S14" s="11"/>
      <c r="T14" s="11"/>
      <c r="U14" s="11"/>
      <c r="V14" s="11"/>
      <c r="W14" s="11"/>
      <c r="X14" s="11"/>
    </row>
    <row r="15" spans="1:24" x14ac:dyDescent="0.2">
      <c r="A15" s="11"/>
      <c r="B15" s="11"/>
      <c r="C15" s="11"/>
      <c r="D15" s="11"/>
      <c r="E15" s="11"/>
      <c r="F15" s="11"/>
      <c r="G15" s="11"/>
      <c r="H15" s="11"/>
      <c r="I15" s="11"/>
      <c r="J15" s="11"/>
      <c r="K15" s="11"/>
      <c r="L15" s="11"/>
      <c r="M15" s="11"/>
      <c r="N15" s="11"/>
      <c r="O15" s="11"/>
      <c r="P15" s="11"/>
      <c r="Q15" s="11"/>
      <c r="R15" s="11"/>
      <c r="S15" s="11"/>
      <c r="T15" s="11"/>
      <c r="U15" s="11"/>
      <c r="V15" s="11"/>
      <c r="W15" s="11"/>
      <c r="X15" s="11"/>
    </row>
    <row r="16" spans="1:24"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row>
    <row r="22" spans="1:24" x14ac:dyDescent="0.2">
      <c r="A22" s="12" t="s">
        <v>425</v>
      </c>
    </row>
    <row r="23" spans="1:24" x14ac:dyDescent="0.2">
      <c r="A23" s="2" t="s">
        <v>163</v>
      </c>
      <c r="B23" s="2" t="s">
        <v>164</v>
      </c>
      <c r="C23" s="2" t="s">
        <v>27</v>
      </c>
    </row>
    <row r="24" spans="1:24" x14ac:dyDescent="0.2">
      <c r="A24" t="s">
        <v>163</v>
      </c>
      <c r="B24" t="s">
        <v>426</v>
      </c>
      <c r="C24" s="3"/>
    </row>
    <row r="25" spans="1:24" x14ac:dyDescent="0.2">
      <c r="A25" t="s">
        <v>163</v>
      </c>
      <c r="B25" t="s">
        <v>427</v>
      </c>
      <c r="C25" s="3"/>
    </row>
    <row r="26" spans="1:24" x14ac:dyDescent="0.2">
      <c r="A26" t="s">
        <v>163</v>
      </c>
      <c r="B26" t="s">
        <v>428</v>
      </c>
      <c r="C26" s="3"/>
    </row>
    <row r="27" spans="1:24" x14ac:dyDescent="0.2">
      <c r="A27" t="s">
        <v>163</v>
      </c>
      <c r="B27" t="s">
        <v>429</v>
      </c>
      <c r="C27" s="3"/>
    </row>
    <row r="28" spans="1:24" x14ac:dyDescent="0.2">
      <c r="A28" t="s">
        <v>163</v>
      </c>
      <c r="B28" t="s">
        <v>430</v>
      </c>
      <c r="C28" s="3"/>
    </row>
    <row r="29" spans="1:24" x14ac:dyDescent="0.2">
      <c r="A29" t="s">
        <v>163</v>
      </c>
      <c r="B29" t="s">
        <v>431</v>
      </c>
      <c r="C29" s="3"/>
    </row>
    <row r="30" spans="1:24" x14ac:dyDescent="0.2">
      <c r="A30" t="s">
        <v>163</v>
      </c>
      <c r="B30" t="s">
        <v>432</v>
      </c>
      <c r="C30" s="3"/>
    </row>
    <row r="31" spans="1:24" x14ac:dyDescent="0.2">
      <c r="A31" t="s">
        <v>163</v>
      </c>
      <c r="B31" t="s">
        <v>433</v>
      </c>
      <c r="C31" s="3"/>
    </row>
    <row r="32" spans="1:24" x14ac:dyDescent="0.2">
      <c r="A32" t="s">
        <v>163</v>
      </c>
      <c r="B32" t="s">
        <v>434</v>
      </c>
      <c r="C32" s="3"/>
    </row>
    <row r="33" spans="1:5" x14ac:dyDescent="0.2">
      <c r="A33" t="s">
        <v>163</v>
      </c>
      <c r="B33" t="s">
        <v>435</v>
      </c>
      <c r="C33" s="3"/>
    </row>
    <row r="34" spans="1:5" x14ac:dyDescent="0.2">
      <c r="A34" t="s">
        <v>163</v>
      </c>
      <c r="B34" t="s">
        <v>436</v>
      </c>
      <c r="C34" s="3"/>
    </row>
    <row r="35" spans="1:5" x14ac:dyDescent="0.2">
      <c r="A35" t="s">
        <v>163</v>
      </c>
      <c r="B35" t="s">
        <v>437</v>
      </c>
      <c r="C35" s="3"/>
    </row>
    <row r="36" spans="1:5" x14ac:dyDescent="0.2">
      <c r="A36" t="s">
        <v>163</v>
      </c>
      <c r="B36" t="s">
        <v>438</v>
      </c>
      <c r="C36" s="3"/>
    </row>
    <row r="37" spans="1:5" x14ac:dyDescent="0.2">
      <c r="A37" t="s">
        <v>163</v>
      </c>
      <c r="B37" t="s">
        <v>439</v>
      </c>
      <c r="C37" s="3"/>
    </row>
    <row r="38" spans="1:5" x14ac:dyDescent="0.2">
      <c r="A38" t="s">
        <v>163</v>
      </c>
      <c r="B38" t="s">
        <v>440</v>
      </c>
      <c r="C38" s="3"/>
    </row>
    <row r="39" spans="1:5" x14ac:dyDescent="0.2">
      <c r="A39" t="s">
        <v>163</v>
      </c>
      <c r="B39" t="s">
        <v>441</v>
      </c>
      <c r="C39" s="3"/>
    </row>
    <row r="40" spans="1:5" x14ac:dyDescent="0.2">
      <c r="A40" t="s">
        <v>163</v>
      </c>
      <c r="B40" t="s">
        <v>442</v>
      </c>
      <c r="C40" s="3"/>
    </row>
    <row r="41" spans="1:5" x14ac:dyDescent="0.2">
      <c r="A41" t="s">
        <v>163</v>
      </c>
      <c r="B41" t="s">
        <v>443</v>
      </c>
      <c r="C41" s="3"/>
    </row>
    <row r="42" spans="1:5" x14ac:dyDescent="0.2">
      <c r="A42" s="2" t="s">
        <v>185</v>
      </c>
      <c r="B42" s="13" t="e">
        <f>COUNTIF(C24:C41,"Yes")/COUNTA(C24:C41)*100&amp;"%"</f>
        <v>#DIV/0!</v>
      </c>
    </row>
    <row r="44" spans="1:5" x14ac:dyDescent="0.2">
      <c r="A44" s="12" t="s">
        <v>444</v>
      </c>
    </row>
    <row r="45" spans="1:5" x14ac:dyDescent="0.2">
      <c r="A45" s="4" t="s">
        <v>191</v>
      </c>
      <c r="B45" s="4" t="s">
        <v>367</v>
      </c>
      <c r="C45" s="4" t="s">
        <v>369</v>
      </c>
      <c r="D45" s="4" t="s">
        <v>445</v>
      </c>
      <c r="E45" s="4" t="s">
        <v>446</v>
      </c>
    </row>
    <row r="46" spans="1:5" ht="16" x14ac:dyDescent="0.2">
      <c r="A46" s="7" t="s">
        <v>447</v>
      </c>
      <c r="B46" s="7" t="s">
        <v>378</v>
      </c>
      <c r="C46" s="7" t="s">
        <v>448</v>
      </c>
      <c r="D46" s="7" t="s">
        <v>449</v>
      </c>
      <c r="E46" s="7" t="s">
        <v>450</v>
      </c>
    </row>
    <row r="47" spans="1:5" ht="32" x14ac:dyDescent="0.2">
      <c r="A47" s="7" t="s">
        <v>451</v>
      </c>
      <c r="B47" s="7" t="s">
        <v>452</v>
      </c>
      <c r="C47" s="7" t="s">
        <v>453</v>
      </c>
      <c r="D47" s="7" t="s">
        <v>454</v>
      </c>
      <c r="E47" s="7" t="s">
        <v>455</v>
      </c>
    </row>
    <row r="48" spans="1:5" ht="32" x14ac:dyDescent="0.2">
      <c r="A48" s="7" t="s">
        <v>456</v>
      </c>
      <c r="B48" s="7" t="s">
        <v>378</v>
      </c>
      <c r="C48" s="7" t="s">
        <v>457</v>
      </c>
      <c r="D48" s="7" t="s">
        <v>449</v>
      </c>
      <c r="E48" s="7" t="s">
        <v>458</v>
      </c>
    </row>
    <row r="49" spans="1:24" ht="32" x14ac:dyDescent="0.2">
      <c r="A49" s="7" t="s">
        <v>459</v>
      </c>
      <c r="B49" s="7" t="s">
        <v>460</v>
      </c>
      <c r="C49" s="7" t="s">
        <v>453</v>
      </c>
      <c r="D49" s="7" t="s">
        <v>461</v>
      </c>
      <c r="E49" s="7" t="s">
        <v>462</v>
      </c>
    </row>
    <row r="50" spans="1:24" ht="32" x14ac:dyDescent="0.2">
      <c r="A50" s="7" t="s">
        <v>463</v>
      </c>
      <c r="B50" s="7" t="s">
        <v>464</v>
      </c>
      <c r="C50" s="7" t="s">
        <v>457</v>
      </c>
      <c r="D50" s="7" t="s">
        <v>449</v>
      </c>
      <c r="E50" s="7" t="s">
        <v>450</v>
      </c>
    </row>
    <row r="51" spans="1:24" ht="16" x14ac:dyDescent="0.2">
      <c r="A51" s="7" t="s">
        <v>418</v>
      </c>
      <c r="B51" s="7" t="s">
        <v>465</v>
      </c>
      <c r="C51" s="7" t="s">
        <v>448</v>
      </c>
      <c r="D51" s="7" t="s">
        <v>454</v>
      </c>
      <c r="E51" s="7" t="s">
        <v>466</v>
      </c>
    </row>
    <row r="52" spans="1:24" ht="32" x14ac:dyDescent="0.2">
      <c r="A52" s="7" t="s">
        <v>411</v>
      </c>
      <c r="B52" s="7" t="s">
        <v>467</v>
      </c>
      <c r="C52" s="7" t="s">
        <v>453</v>
      </c>
      <c r="D52" s="7" t="s">
        <v>449</v>
      </c>
      <c r="E52" s="7" t="s">
        <v>468</v>
      </c>
    </row>
    <row r="54" spans="1:24" x14ac:dyDescent="0.2">
      <c r="A54" s="12" t="s">
        <v>469</v>
      </c>
    </row>
    <row r="55" spans="1:24" x14ac:dyDescent="0.2">
      <c r="A55" s="4" t="s">
        <v>470</v>
      </c>
      <c r="B55" s="4" t="s">
        <v>164</v>
      </c>
      <c r="C55" s="4" t="s">
        <v>471</v>
      </c>
    </row>
    <row r="56" spans="1:24" ht="16" x14ac:dyDescent="0.2">
      <c r="A56" s="7" t="s">
        <v>472</v>
      </c>
      <c r="B56" s="7" t="s">
        <v>473</v>
      </c>
      <c r="C56" s="11"/>
    </row>
    <row r="57" spans="1:24" ht="16" x14ac:dyDescent="0.2">
      <c r="A57" s="7" t="s">
        <v>368</v>
      </c>
      <c r="B57" s="7" t="s">
        <v>474</v>
      </c>
      <c r="C57" s="11"/>
    </row>
    <row r="58" spans="1:24" ht="16" x14ac:dyDescent="0.2">
      <c r="A58" s="7" t="s">
        <v>475</v>
      </c>
      <c r="B58" s="7" t="s">
        <v>476</v>
      </c>
      <c r="C58" s="11"/>
    </row>
    <row r="59" spans="1:24" ht="16" x14ac:dyDescent="0.2">
      <c r="A59" s="7" t="s">
        <v>477</v>
      </c>
      <c r="B59" s="7" t="s">
        <v>478</v>
      </c>
      <c r="C59" s="11"/>
    </row>
    <row r="60" spans="1:24" ht="16" x14ac:dyDescent="0.2">
      <c r="A60" s="7" t="s">
        <v>479</v>
      </c>
      <c r="B60" s="7" t="s">
        <v>480</v>
      </c>
      <c r="C60" s="11"/>
    </row>
    <row r="61" spans="1:24" ht="16" x14ac:dyDescent="0.2">
      <c r="A61" s="7" t="s">
        <v>481</v>
      </c>
      <c r="B61" s="7" t="s">
        <v>482</v>
      </c>
      <c r="C61" s="11"/>
    </row>
    <row r="62" spans="1:24" ht="16" x14ac:dyDescent="0.2">
      <c r="A62" s="7" t="s">
        <v>483</v>
      </c>
      <c r="B62" s="7" t="s">
        <v>484</v>
      </c>
      <c r="C62" s="11"/>
    </row>
    <row r="64" spans="1:24" x14ac:dyDescent="0.2">
      <c r="A64" s="24" t="s">
        <v>225</v>
      </c>
      <c r="B64" s="18"/>
      <c r="C64" s="18"/>
      <c r="D64" s="18"/>
      <c r="E64" s="18"/>
      <c r="F64" s="18"/>
      <c r="G64" s="18"/>
      <c r="H64" s="18"/>
      <c r="I64" s="18"/>
      <c r="J64" s="18"/>
      <c r="K64" s="18"/>
      <c r="L64" s="18"/>
      <c r="M64" s="18"/>
      <c r="N64" s="18"/>
      <c r="O64" s="18"/>
      <c r="P64" s="18"/>
      <c r="Q64" s="18"/>
      <c r="R64" s="18"/>
      <c r="S64" s="18"/>
      <c r="T64" s="18"/>
      <c r="U64" s="18"/>
      <c r="V64" s="18"/>
      <c r="W64" s="18"/>
      <c r="X64" s="18"/>
    </row>
    <row r="65" spans="1:24" x14ac:dyDescent="0.2">
      <c r="A65" s="2" t="s">
        <v>226</v>
      </c>
      <c r="B65" s="19"/>
      <c r="C65" s="20"/>
      <c r="D65" s="21"/>
    </row>
    <row r="66" spans="1:24" x14ac:dyDescent="0.2">
      <c r="A66" s="2" t="s">
        <v>227</v>
      </c>
      <c r="B66" s="19"/>
      <c r="C66" s="20"/>
      <c r="D66" s="21"/>
    </row>
    <row r="67" spans="1:24" x14ac:dyDescent="0.2">
      <c r="A67" s="2" t="s">
        <v>228</v>
      </c>
      <c r="B67" s="19"/>
      <c r="C67" s="20"/>
      <c r="D67" s="21"/>
    </row>
    <row r="68" spans="1:24" x14ac:dyDescent="0.2">
      <c r="A68" s="2" t="s">
        <v>229</v>
      </c>
      <c r="B68" s="19"/>
      <c r="C68" s="20"/>
      <c r="D68" s="21"/>
    </row>
    <row r="69" spans="1:24" x14ac:dyDescent="0.2">
      <c r="A69" s="2" t="s">
        <v>230</v>
      </c>
      <c r="B69" s="19"/>
      <c r="C69" s="20"/>
      <c r="D69" s="21"/>
    </row>
    <row r="70" spans="1:24" x14ac:dyDescent="0.2">
      <c r="A70" s="2" t="s">
        <v>231</v>
      </c>
      <c r="B70" s="19"/>
      <c r="C70" s="20"/>
      <c r="D70" s="21"/>
    </row>
    <row r="71" spans="1:24" x14ac:dyDescent="0.2">
      <c r="A71" s="2" t="s">
        <v>232</v>
      </c>
      <c r="B71" s="19"/>
      <c r="C71" s="20"/>
      <c r="D71" s="21"/>
    </row>
    <row r="72" spans="1:24" x14ac:dyDescent="0.2">
      <c r="A72" s="2" t="s">
        <v>233</v>
      </c>
      <c r="B72" s="19"/>
      <c r="C72" s="20"/>
      <c r="D72" s="21"/>
    </row>
    <row r="73" spans="1:24" x14ac:dyDescent="0.2">
      <c r="A73" s="2" t="s">
        <v>234</v>
      </c>
      <c r="B73" s="19"/>
      <c r="C73" s="20"/>
      <c r="D73" s="21"/>
    </row>
    <row r="74" spans="1:24" x14ac:dyDescent="0.2">
      <c r="A74" s="2" t="s">
        <v>235</v>
      </c>
      <c r="B74" s="19"/>
      <c r="C74" s="20"/>
      <c r="D74" s="21"/>
    </row>
    <row r="75" spans="1:24" x14ac:dyDescent="0.2">
      <c r="A75" s="2" t="s">
        <v>236</v>
      </c>
      <c r="B75" s="19"/>
      <c r="C75" s="20"/>
      <c r="D75" s="21"/>
    </row>
    <row r="76" spans="1:24" x14ac:dyDescent="0.2">
      <c r="A76" s="2" t="s">
        <v>237</v>
      </c>
      <c r="B76" s="19"/>
      <c r="C76" s="20"/>
      <c r="D76" s="21"/>
    </row>
    <row r="78" spans="1:24" x14ac:dyDescent="0.2">
      <c r="A78" s="23" t="s">
        <v>238</v>
      </c>
      <c r="B78" s="18"/>
      <c r="C78" s="18"/>
      <c r="D78" s="18"/>
      <c r="E78" s="18"/>
      <c r="F78" s="18"/>
      <c r="G78" s="18"/>
      <c r="H78" s="18"/>
      <c r="I78" s="18"/>
      <c r="J78" s="18"/>
      <c r="K78" s="18"/>
      <c r="L78" s="18"/>
      <c r="M78" s="18"/>
      <c r="N78" s="18"/>
      <c r="O78" s="18"/>
      <c r="P78" s="18"/>
      <c r="Q78" s="18"/>
      <c r="R78" s="18"/>
      <c r="S78" s="18"/>
      <c r="T78" s="18"/>
      <c r="U78" s="18"/>
      <c r="V78" s="18"/>
      <c r="W78" s="18"/>
      <c r="X78" s="18"/>
    </row>
    <row r="79" spans="1:24" x14ac:dyDescent="0.2">
      <c r="A79" s="25"/>
      <c r="B79" s="26"/>
      <c r="C79" s="26"/>
      <c r="D79" s="26"/>
      <c r="E79" s="26"/>
      <c r="F79" s="26"/>
      <c r="G79" s="26"/>
      <c r="H79" s="26"/>
      <c r="I79" s="26"/>
      <c r="J79" s="26"/>
      <c r="K79" s="26"/>
      <c r="L79" s="26"/>
      <c r="M79" s="26"/>
      <c r="N79" s="26"/>
      <c r="O79" s="26"/>
      <c r="P79" s="26"/>
      <c r="Q79" s="26"/>
      <c r="R79" s="26"/>
      <c r="S79" s="26"/>
      <c r="T79" s="26"/>
      <c r="U79" s="26"/>
      <c r="V79" s="26"/>
      <c r="W79" s="26"/>
      <c r="X79" s="27"/>
    </row>
    <row r="80" spans="1:24" x14ac:dyDescent="0.2">
      <c r="A80" s="28"/>
      <c r="B80" s="18"/>
      <c r="C80" s="18"/>
      <c r="D80" s="18"/>
      <c r="E80" s="18"/>
      <c r="F80" s="18"/>
      <c r="G80" s="18"/>
      <c r="H80" s="18"/>
      <c r="I80" s="18"/>
      <c r="J80" s="18"/>
      <c r="K80" s="18"/>
      <c r="L80" s="18"/>
      <c r="M80" s="18"/>
      <c r="N80" s="18"/>
      <c r="O80" s="18"/>
      <c r="P80" s="18"/>
      <c r="Q80" s="18"/>
      <c r="R80" s="18"/>
      <c r="S80" s="18"/>
      <c r="T80" s="18"/>
      <c r="U80" s="18"/>
      <c r="V80" s="18"/>
      <c r="W80" s="18"/>
      <c r="X80" s="29"/>
    </row>
    <row r="81" spans="1:24" x14ac:dyDescent="0.2">
      <c r="A81" s="28"/>
      <c r="B81" s="18"/>
      <c r="C81" s="18"/>
      <c r="D81" s="18"/>
      <c r="E81" s="18"/>
      <c r="F81" s="18"/>
      <c r="G81" s="18"/>
      <c r="H81" s="18"/>
      <c r="I81" s="18"/>
      <c r="J81" s="18"/>
      <c r="K81" s="18"/>
      <c r="L81" s="18"/>
      <c r="M81" s="18"/>
      <c r="N81" s="18"/>
      <c r="O81" s="18"/>
      <c r="P81" s="18"/>
      <c r="Q81" s="18"/>
      <c r="R81" s="18"/>
      <c r="S81" s="18"/>
      <c r="T81" s="18"/>
      <c r="U81" s="18"/>
      <c r="V81" s="18"/>
      <c r="W81" s="18"/>
      <c r="X81" s="29"/>
    </row>
    <row r="82" spans="1:24" x14ac:dyDescent="0.2">
      <c r="A82" s="28"/>
      <c r="B82" s="18"/>
      <c r="C82" s="18"/>
      <c r="D82" s="18"/>
      <c r="E82" s="18"/>
      <c r="F82" s="18"/>
      <c r="G82" s="18"/>
      <c r="H82" s="18"/>
      <c r="I82" s="18"/>
      <c r="J82" s="18"/>
      <c r="K82" s="18"/>
      <c r="L82" s="18"/>
      <c r="M82" s="18"/>
      <c r="N82" s="18"/>
      <c r="O82" s="18"/>
      <c r="P82" s="18"/>
      <c r="Q82" s="18"/>
      <c r="R82" s="18"/>
      <c r="S82" s="18"/>
      <c r="T82" s="18"/>
      <c r="U82" s="18"/>
      <c r="V82" s="18"/>
      <c r="W82" s="18"/>
      <c r="X82" s="29"/>
    </row>
    <row r="83" spans="1:24" x14ac:dyDescent="0.2">
      <c r="A83" s="28"/>
      <c r="B83" s="18"/>
      <c r="C83" s="18"/>
      <c r="D83" s="18"/>
      <c r="E83" s="18"/>
      <c r="F83" s="18"/>
      <c r="G83" s="18"/>
      <c r="H83" s="18"/>
      <c r="I83" s="18"/>
      <c r="J83" s="18"/>
      <c r="K83" s="18"/>
      <c r="L83" s="18"/>
      <c r="M83" s="18"/>
      <c r="N83" s="18"/>
      <c r="O83" s="18"/>
      <c r="P83" s="18"/>
      <c r="Q83" s="18"/>
      <c r="R83" s="18"/>
      <c r="S83" s="18"/>
      <c r="T83" s="18"/>
      <c r="U83" s="18"/>
      <c r="V83" s="18"/>
      <c r="W83" s="18"/>
      <c r="X83" s="29"/>
    </row>
    <row r="84" spans="1:24" x14ac:dyDescent="0.2">
      <c r="A84" s="28"/>
      <c r="B84" s="18"/>
      <c r="C84" s="18"/>
      <c r="D84" s="18"/>
      <c r="E84" s="18"/>
      <c r="F84" s="18"/>
      <c r="G84" s="18"/>
      <c r="H84" s="18"/>
      <c r="I84" s="18"/>
      <c r="J84" s="18"/>
      <c r="K84" s="18"/>
      <c r="L84" s="18"/>
      <c r="M84" s="18"/>
      <c r="N84" s="18"/>
      <c r="O84" s="18"/>
      <c r="P84" s="18"/>
      <c r="Q84" s="18"/>
      <c r="R84" s="18"/>
      <c r="S84" s="18"/>
      <c r="T84" s="18"/>
      <c r="U84" s="18"/>
      <c r="V84" s="18"/>
      <c r="W84" s="18"/>
      <c r="X84" s="29"/>
    </row>
    <row r="85" spans="1:24" x14ac:dyDescent="0.2">
      <c r="A85" s="28"/>
      <c r="B85" s="18"/>
      <c r="C85" s="18"/>
      <c r="D85" s="18"/>
      <c r="E85" s="18"/>
      <c r="F85" s="18"/>
      <c r="G85" s="18"/>
      <c r="H85" s="18"/>
      <c r="I85" s="18"/>
      <c r="J85" s="18"/>
      <c r="K85" s="18"/>
      <c r="L85" s="18"/>
      <c r="M85" s="18"/>
      <c r="N85" s="18"/>
      <c r="O85" s="18"/>
      <c r="P85" s="18"/>
      <c r="Q85" s="18"/>
      <c r="R85" s="18"/>
      <c r="S85" s="18"/>
      <c r="T85" s="18"/>
      <c r="U85" s="18"/>
      <c r="V85" s="18"/>
      <c r="W85" s="18"/>
      <c r="X85" s="29"/>
    </row>
    <row r="86" spans="1:24" x14ac:dyDescent="0.2">
      <c r="A86" s="28"/>
      <c r="B86" s="18"/>
      <c r="C86" s="18"/>
      <c r="D86" s="18"/>
      <c r="E86" s="18"/>
      <c r="F86" s="18"/>
      <c r="G86" s="18"/>
      <c r="H86" s="18"/>
      <c r="I86" s="18"/>
      <c r="J86" s="18"/>
      <c r="K86" s="18"/>
      <c r="L86" s="18"/>
      <c r="M86" s="18"/>
      <c r="N86" s="18"/>
      <c r="O86" s="18"/>
      <c r="P86" s="18"/>
      <c r="Q86" s="18"/>
      <c r="R86" s="18"/>
      <c r="S86" s="18"/>
      <c r="T86" s="18"/>
      <c r="U86" s="18"/>
      <c r="V86" s="18"/>
      <c r="W86" s="18"/>
      <c r="X86" s="29"/>
    </row>
    <row r="87" spans="1:24" x14ac:dyDescent="0.2">
      <c r="A87" s="30"/>
      <c r="B87" s="31"/>
      <c r="C87" s="31"/>
      <c r="D87" s="31"/>
      <c r="E87" s="31"/>
      <c r="F87" s="31"/>
      <c r="G87" s="31"/>
      <c r="H87" s="31"/>
      <c r="I87" s="31"/>
      <c r="J87" s="31"/>
      <c r="K87" s="31"/>
      <c r="L87" s="31"/>
      <c r="M87" s="31"/>
      <c r="N87" s="31"/>
      <c r="O87" s="31"/>
      <c r="P87" s="31"/>
      <c r="Q87" s="31"/>
      <c r="R87" s="31"/>
      <c r="S87" s="31"/>
      <c r="T87" s="31"/>
      <c r="U87" s="31"/>
      <c r="V87" s="31"/>
      <c r="W87" s="31"/>
      <c r="X87" s="32"/>
    </row>
  </sheetData>
  <mergeCells count="17">
    <mergeCell ref="A1:X1"/>
    <mergeCell ref="B75:D75"/>
    <mergeCell ref="B68:D68"/>
    <mergeCell ref="B69:D69"/>
    <mergeCell ref="A79:X87"/>
    <mergeCell ref="B72:D72"/>
    <mergeCell ref="A3:X3"/>
    <mergeCell ref="B66:D66"/>
    <mergeCell ref="B67:D67"/>
    <mergeCell ref="B76:D76"/>
    <mergeCell ref="A78:X78"/>
    <mergeCell ref="B71:D71"/>
    <mergeCell ref="A64:X64"/>
    <mergeCell ref="B73:D73"/>
    <mergeCell ref="B74:D74"/>
    <mergeCell ref="B70:D70"/>
    <mergeCell ref="B65:D65"/>
  </mergeCells>
  <dataValidations count="15">
    <dataValidation type="list" sqref="B8 B9 B10 B11 B12 B13 B14 B15 B16 B17 B18 B19 B20" xr:uid="{00000000-0002-0000-0300-000000000000}">
      <formula1>"Password,MFA,Certificate,Token,SSO,Federation,Biometric,API Key,Service Account,N/A"</formula1>
    </dataValidation>
    <dataValidation type="list" sqref="C8 C9 C10 C11 C12 C13 C14 C15 C16 C17 C18 C19 C20" xr:uid="{00000000-0002-0000-0300-000001000000}">
      <formula1>"End User,Administrator,Service Account,External User,API Client,N/A"</formula1>
    </dataValidation>
    <dataValidation type="list" sqref="D8 D9 D10 D11 D12 D13 D14 D15 D16 D17 D18 D19 D20" xr:uid="{00000000-0002-0000-0300-000002000000}">
      <formula1>"Public,Internal,Confidential,Restricted,N/A"</formula1>
    </dataValidation>
    <dataValidation type="list" sqref="E8 E9 E10 E11 E12 E13 E14 E15 E16 E17 E18 E19 E20" xr:uid="{00000000-0002-0000-0300-000003000000}">
      <formula1>"bcrypt,Argon2,PBKDF2,scrypt,SHA-256,SHA-512,RSA-2048+,ECDSA,None,N/A"</formula1>
    </dataValidation>
    <dataValidation type="list" sqref="F8 F9 F10 F11 F12 F13 F14 F15 F16 F17 F18 F19 F20" xr:uid="{00000000-0002-0000-0300-000004000000}">
      <formula1>"Properly Hashed,Encrypted,Plaintext (Non-compliant),Salted,N/A"</formula1>
    </dataValidation>
    <dataValidation type="list" sqref="G8 G9 G10 G11 G12 G13 G14 G15 G16 G17 G18 G19 G20" xr:uid="{00000000-0002-0000-0300-000005000000}">
      <formula1>"Strong (≥14 chars),Adequate (12-13),Weak (&lt;12),N/A"</formula1>
    </dataValidation>
    <dataValidation type="list" sqref="H8 H9 H10 H11 H12 H13 H14 H15 H16 H17 H18 H19 H20" xr:uid="{00000000-0002-0000-0300-000006000000}">
      <formula1>"✅ Compliant,⚠️ Partial,❌ Non-Compliant,N/A"</formula1>
    </dataValidation>
    <dataValidation type="list" sqref="K8:K20 B65 B67" xr:uid="{00000000-0002-0000-0300-000007000000}">
      <formula1>"Yes,No"</formula1>
    </dataValidation>
    <dataValidation type="list" sqref="Q8 Q9 Q10 Q11 Q12 Q13 Q14 Q15 Q16 Q17 Q18 Q19 Q20" xr:uid="{00000000-0002-0000-0300-000008000000}">
      <formula1>"Yes,No,Unknown"</formula1>
    </dataValidation>
    <dataValidation type="list" sqref="B4" xr:uid="{00000000-0002-0000-0300-000009000000}">
      <formula1>"Yes,No,Not Applicable"</formula1>
    </dataValidation>
    <dataValidation type="list" sqref="C24:C41 V8:X20" xr:uid="{00000000-0002-0000-0300-00000A000000}">
      <formula1>"Yes,No,N/A"</formula1>
    </dataValidation>
    <dataValidation type="list" sqref="R8 R9 R10 R11 R12 R13 R14 R15 R16 R17 R18 R19 R20" xr:uid="{00000000-0002-0000-0300-00000C000000}">
      <formula1>"Client Certificate,Smart Card,Machine/Device,Code Signing,Email,User,N/A"</formula1>
    </dataValidation>
    <dataValidation type="list" sqref="U8 U9 U10 U11 U12 U13 U14 U15 U16 U17 U18 U19 U20" xr:uid="{00000000-0002-0000-0300-00000D000000}">
      <formula1>"≤1 year,1-2 years,&gt;2 years,Expired,N/A"</formula1>
    </dataValidation>
    <dataValidation type="list" sqref="T8 T9 T10 T11 T12 T13 T14 T15 T16 T17 T18 T19 T20" xr:uid="{00000000-0002-0000-0300-00000E000000}">
      <formula1>"RSA-4096,RSA-3072,RSA-2048,ECDSA P-256,ECDSA P-384,Ed25519,N/A"</formula1>
    </dataValidation>
    <dataValidation type="list" sqref="C56:C62" xr:uid="{00000000-0002-0000-0300-000010000000}">
      <formula1>"Implemented,Planned,Not Implemented"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87"/>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8" customWidth="1"/>
    <col min="5" max="5" width="22" customWidth="1"/>
    <col min="6" max="7" width="20"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2" customWidth="1"/>
    <col min="19" max="19" width="20" customWidth="1"/>
    <col min="20" max="20" width="18" customWidth="1"/>
    <col min="21" max="21" width="16" customWidth="1"/>
    <col min="22" max="23" width="18" customWidth="1"/>
    <col min="24" max="24" width="16" customWidth="1"/>
  </cols>
  <sheetData>
    <row r="1" spans="1:24" ht="40" customHeight="1" x14ac:dyDescent="0.2">
      <c r="A1" s="17" t="s">
        <v>485</v>
      </c>
      <c r="B1" s="18"/>
      <c r="C1" s="18"/>
      <c r="D1" s="18"/>
      <c r="E1" s="18"/>
      <c r="F1" s="18"/>
      <c r="G1" s="18"/>
      <c r="H1" s="18"/>
      <c r="I1" s="18"/>
      <c r="J1" s="18"/>
      <c r="K1" s="18"/>
      <c r="L1" s="18"/>
      <c r="M1" s="18"/>
      <c r="N1" s="18"/>
      <c r="O1" s="18"/>
      <c r="P1" s="18"/>
      <c r="Q1" s="18"/>
      <c r="R1" s="18"/>
      <c r="S1" s="18"/>
      <c r="T1" s="18"/>
      <c r="U1" s="18"/>
      <c r="V1" s="18"/>
      <c r="W1" s="18"/>
      <c r="X1" s="18"/>
    </row>
    <row r="3" spans="1:24" ht="30" customHeight="1" x14ac:dyDescent="0.2">
      <c r="A3" s="22" t="s">
        <v>486</v>
      </c>
      <c r="B3" s="18"/>
      <c r="C3" s="18"/>
      <c r="D3" s="18"/>
      <c r="E3" s="18"/>
      <c r="F3" s="18"/>
      <c r="G3" s="18"/>
      <c r="H3" s="18"/>
      <c r="I3" s="18"/>
      <c r="J3" s="18"/>
      <c r="K3" s="18"/>
      <c r="L3" s="18"/>
      <c r="M3" s="18"/>
      <c r="N3" s="18"/>
      <c r="O3" s="18"/>
      <c r="P3" s="18"/>
      <c r="Q3" s="18"/>
      <c r="R3" s="18"/>
      <c r="S3" s="18"/>
      <c r="T3" s="18"/>
      <c r="U3" s="18"/>
      <c r="V3" s="18"/>
      <c r="W3" s="18"/>
      <c r="X3" s="18"/>
    </row>
    <row r="4" spans="1:24" x14ac:dyDescent="0.2">
      <c r="A4" s="2" t="s">
        <v>58</v>
      </c>
      <c r="B4" s="3"/>
    </row>
    <row r="6" spans="1:24"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487</v>
      </c>
      <c r="S6" s="4" t="s">
        <v>488</v>
      </c>
      <c r="T6" s="4" t="s">
        <v>489</v>
      </c>
      <c r="U6" s="4" t="s">
        <v>490</v>
      </c>
      <c r="V6" s="4" t="s">
        <v>491</v>
      </c>
      <c r="W6" s="4" t="s">
        <v>492</v>
      </c>
      <c r="X6" s="4" t="s">
        <v>493</v>
      </c>
    </row>
    <row r="7" spans="1:24" ht="32" x14ac:dyDescent="0.2">
      <c r="A7" s="10" t="s">
        <v>494</v>
      </c>
      <c r="B7" s="10" t="s">
        <v>216</v>
      </c>
      <c r="C7" s="10" t="s">
        <v>216</v>
      </c>
      <c r="D7" s="10" t="s">
        <v>249</v>
      </c>
      <c r="E7" s="10" t="s">
        <v>375</v>
      </c>
      <c r="F7" s="10" t="s">
        <v>251</v>
      </c>
      <c r="G7" s="10" t="s">
        <v>38</v>
      </c>
      <c r="H7" s="10" t="s">
        <v>89</v>
      </c>
      <c r="I7" s="10" t="s">
        <v>495</v>
      </c>
      <c r="J7" s="10" t="s">
        <v>91</v>
      </c>
      <c r="K7" s="10" t="s">
        <v>92</v>
      </c>
      <c r="L7" s="10" t="s">
        <v>38</v>
      </c>
      <c r="M7" s="10" t="s">
        <v>38</v>
      </c>
      <c r="N7" s="10" t="s">
        <v>38</v>
      </c>
      <c r="O7" s="10" t="s">
        <v>38</v>
      </c>
      <c r="P7" s="10" t="s">
        <v>38</v>
      </c>
      <c r="Q7" s="10" t="s">
        <v>92</v>
      </c>
      <c r="R7" s="10" t="s">
        <v>496</v>
      </c>
      <c r="S7" s="10" t="s">
        <v>375</v>
      </c>
      <c r="T7" s="10" t="s">
        <v>497</v>
      </c>
      <c r="U7" s="10" t="s">
        <v>94</v>
      </c>
      <c r="V7" s="10" t="s">
        <v>94</v>
      </c>
      <c r="W7" s="10" t="s">
        <v>498</v>
      </c>
      <c r="X7" s="10" t="s">
        <v>94</v>
      </c>
    </row>
    <row r="8" spans="1:24" ht="16" x14ac:dyDescent="0.2">
      <c r="A8" s="11" t="s">
        <v>499</v>
      </c>
      <c r="B8" s="11" t="s">
        <v>500</v>
      </c>
      <c r="C8" s="11" t="s">
        <v>501</v>
      </c>
      <c r="D8" s="11" t="s">
        <v>502</v>
      </c>
      <c r="E8" s="11" t="s">
        <v>503</v>
      </c>
      <c r="F8" s="11" t="s">
        <v>504</v>
      </c>
      <c r="G8" s="11" t="s">
        <v>505</v>
      </c>
      <c r="H8" s="11" t="s">
        <v>89</v>
      </c>
      <c r="I8" s="11" t="s">
        <v>506</v>
      </c>
      <c r="J8" s="11"/>
      <c r="K8" s="11" t="s">
        <v>92</v>
      </c>
      <c r="L8" s="11"/>
      <c r="M8" s="11"/>
      <c r="N8" s="11"/>
      <c r="O8" s="11"/>
      <c r="P8" s="11"/>
      <c r="Q8" s="11"/>
      <c r="R8" s="11"/>
      <c r="S8" s="11"/>
      <c r="T8" s="11"/>
      <c r="U8" s="11"/>
      <c r="V8" s="11"/>
      <c r="W8" s="11"/>
      <c r="X8" s="11"/>
    </row>
    <row r="9" spans="1:24" ht="16" x14ac:dyDescent="0.2">
      <c r="A9" s="11" t="s">
        <v>507</v>
      </c>
      <c r="B9" s="11" t="s">
        <v>508</v>
      </c>
      <c r="C9" s="11" t="s">
        <v>509</v>
      </c>
      <c r="D9" s="11" t="s">
        <v>510</v>
      </c>
      <c r="E9" s="11" t="s">
        <v>511</v>
      </c>
      <c r="F9" s="11" t="s">
        <v>512</v>
      </c>
      <c r="G9" s="11" t="s">
        <v>513</v>
      </c>
      <c r="H9" s="11" t="s">
        <v>89</v>
      </c>
      <c r="I9" s="11" t="s">
        <v>514</v>
      </c>
      <c r="J9" s="11"/>
      <c r="K9" s="11" t="s">
        <v>92</v>
      </c>
      <c r="L9" s="11"/>
      <c r="M9" s="11"/>
      <c r="N9" s="11"/>
      <c r="O9" s="11"/>
      <c r="P9" s="11"/>
      <c r="Q9" s="11"/>
      <c r="R9" s="11"/>
      <c r="S9" s="11"/>
      <c r="T9" s="11"/>
      <c r="U9" s="11"/>
      <c r="V9" s="11"/>
      <c r="W9" s="11"/>
      <c r="X9" s="11"/>
    </row>
    <row r="10" spans="1:24" ht="16" x14ac:dyDescent="0.2">
      <c r="A10" s="11" t="s">
        <v>515</v>
      </c>
      <c r="B10" s="11" t="s">
        <v>516</v>
      </c>
      <c r="C10" s="11" t="s">
        <v>517</v>
      </c>
      <c r="D10" s="11" t="s">
        <v>518</v>
      </c>
      <c r="E10" s="11" t="s">
        <v>519</v>
      </c>
      <c r="F10" s="11" t="s">
        <v>520</v>
      </c>
      <c r="G10" s="11" t="s">
        <v>521</v>
      </c>
      <c r="H10" s="11" t="s">
        <v>89</v>
      </c>
      <c r="I10" s="11" t="s">
        <v>522</v>
      </c>
      <c r="J10" s="11"/>
      <c r="K10" s="11" t="s">
        <v>92</v>
      </c>
      <c r="L10" s="11"/>
      <c r="M10" s="11"/>
      <c r="N10" s="11"/>
      <c r="O10" s="11"/>
      <c r="P10" s="11"/>
      <c r="Q10" s="11"/>
      <c r="R10" s="11"/>
      <c r="S10" s="11"/>
      <c r="T10" s="11"/>
      <c r="U10" s="11"/>
      <c r="V10" s="11"/>
      <c r="W10" s="11"/>
      <c r="X10" s="11"/>
    </row>
    <row r="11" spans="1:24" ht="16" x14ac:dyDescent="0.2">
      <c r="A11" s="11" t="s">
        <v>523</v>
      </c>
      <c r="B11" s="11" t="s">
        <v>524</v>
      </c>
      <c r="C11" s="11" t="s">
        <v>525</v>
      </c>
      <c r="D11" s="11" t="s">
        <v>524</v>
      </c>
      <c r="E11" s="11" t="s">
        <v>526</v>
      </c>
      <c r="F11" s="11" t="s">
        <v>527</v>
      </c>
      <c r="G11" s="11" t="s">
        <v>528</v>
      </c>
      <c r="H11" s="11" t="s">
        <v>301</v>
      </c>
      <c r="I11" s="11" t="s">
        <v>154</v>
      </c>
      <c r="J11" s="11" t="s">
        <v>529</v>
      </c>
      <c r="K11" s="11" t="s">
        <v>94</v>
      </c>
      <c r="L11" s="11"/>
      <c r="M11" s="11"/>
      <c r="N11" s="11"/>
      <c r="O11" s="11"/>
      <c r="P11" s="11"/>
      <c r="Q11" s="11"/>
      <c r="R11" s="11"/>
      <c r="S11" s="11"/>
      <c r="T11" s="11"/>
      <c r="U11" s="11"/>
      <c r="V11" s="11"/>
      <c r="W11" s="11"/>
      <c r="X11" s="11"/>
    </row>
    <row r="12" spans="1:24" ht="16" x14ac:dyDescent="0.2">
      <c r="A12" s="11" t="s">
        <v>530</v>
      </c>
      <c r="B12" s="11" t="s">
        <v>531</v>
      </c>
      <c r="C12" s="11" t="s">
        <v>532</v>
      </c>
      <c r="D12" s="11" t="s">
        <v>533</v>
      </c>
      <c r="E12" s="11" t="s">
        <v>534</v>
      </c>
      <c r="F12" s="11" t="s">
        <v>535</v>
      </c>
      <c r="G12" s="11" t="s">
        <v>536</v>
      </c>
      <c r="H12" s="11" t="s">
        <v>89</v>
      </c>
      <c r="I12" s="11" t="s">
        <v>537</v>
      </c>
      <c r="J12" s="11"/>
      <c r="K12" s="11" t="s">
        <v>92</v>
      </c>
      <c r="L12" s="11"/>
      <c r="M12" s="11"/>
      <c r="N12" s="11"/>
      <c r="O12" s="11"/>
      <c r="P12" s="11"/>
      <c r="Q12" s="11"/>
      <c r="R12" s="11"/>
      <c r="S12" s="11"/>
      <c r="T12" s="11"/>
      <c r="U12" s="11"/>
      <c r="V12" s="11"/>
      <c r="W12" s="11"/>
      <c r="X12" s="11"/>
    </row>
    <row r="13" spans="1:24" ht="16" x14ac:dyDescent="0.2">
      <c r="A13" s="11" t="s">
        <v>538</v>
      </c>
      <c r="B13" s="11" t="s">
        <v>539</v>
      </c>
      <c r="C13" s="11" t="s">
        <v>540</v>
      </c>
      <c r="D13" s="11" t="s">
        <v>148</v>
      </c>
      <c r="E13" s="11" t="s">
        <v>541</v>
      </c>
      <c r="F13" s="11" t="s">
        <v>542</v>
      </c>
      <c r="G13" s="11" t="s">
        <v>543</v>
      </c>
      <c r="H13" s="11" t="s">
        <v>301</v>
      </c>
      <c r="I13" s="11" t="s">
        <v>544</v>
      </c>
      <c r="J13" s="11" t="s">
        <v>545</v>
      </c>
      <c r="K13" s="11" t="s">
        <v>94</v>
      </c>
      <c r="L13" s="11"/>
      <c r="M13" s="11"/>
      <c r="N13" s="11"/>
      <c r="O13" s="11"/>
      <c r="P13" s="11"/>
      <c r="Q13" s="11"/>
      <c r="R13" s="11"/>
      <c r="S13" s="11"/>
      <c r="T13" s="11"/>
      <c r="U13" s="11"/>
      <c r="V13" s="11"/>
      <c r="W13" s="11"/>
      <c r="X13" s="11"/>
    </row>
    <row r="14" spans="1:24" ht="32" x14ac:dyDescent="0.2">
      <c r="A14" s="11" t="s">
        <v>546</v>
      </c>
      <c r="B14" s="11" t="s">
        <v>547</v>
      </c>
      <c r="C14" s="11" t="s">
        <v>548</v>
      </c>
      <c r="D14" s="11" t="s">
        <v>549</v>
      </c>
      <c r="E14" s="11" t="s">
        <v>550</v>
      </c>
      <c r="F14" s="11" t="s">
        <v>551</v>
      </c>
      <c r="G14" s="11" t="s">
        <v>552</v>
      </c>
      <c r="H14" s="11" t="s">
        <v>144</v>
      </c>
      <c r="I14" s="11" t="s">
        <v>553</v>
      </c>
      <c r="J14" s="11" t="s">
        <v>554</v>
      </c>
      <c r="K14" s="11" t="s">
        <v>94</v>
      </c>
      <c r="L14" s="11"/>
      <c r="M14" s="11"/>
      <c r="N14" s="11"/>
      <c r="O14" s="11"/>
      <c r="P14" s="11"/>
      <c r="Q14" s="11"/>
      <c r="R14" s="11"/>
      <c r="S14" s="11"/>
      <c r="T14" s="11"/>
      <c r="U14" s="11"/>
      <c r="V14" s="11"/>
      <c r="W14" s="11"/>
      <c r="X14" s="11"/>
    </row>
    <row r="15" spans="1:24" x14ac:dyDescent="0.2">
      <c r="A15" s="11"/>
      <c r="B15" s="11"/>
      <c r="C15" s="11"/>
      <c r="D15" s="11"/>
      <c r="E15" s="11"/>
      <c r="F15" s="11"/>
      <c r="G15" s="11"/>
      <c r="H15" s="11"/>
      <c r="I15" s="11"/>
      <c r="J15" s="11"/>
      <c r="K15" s="11"/>
      <c r="L15" s="11"/>
      <c r="M15" s="11"/>
      <c r="N15" s="11"/>
      <c r="O15" s="11"/>
      <c r="P15" s="11"/>
      <c r="Q15" s="11"/>
      <c r="R15" s="11"/>
      <c r="S15" s="11"/>
      <c r="T15" s="11"/>
      <c r="U15" s="11"/>
      <c r="V15" s="11"/>
      <c r="W15" s="11"/>
      <c r="X15" s="11"/>
    </row>
    <row r="16" spans="1:24"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row>
    <row r="22" spans="1:24" x14ac:dyDescent="0.2">
      <c r="A22" s="12" t="s">
        <v>555</v>
      </c>
    </row>
    <row r="23" spans="1:24" x14ac:dyDescent="0.2">
      <c r="A23" s="2" t="s">
        <v>163</v>
      </c>
      <c r="B23" s="2" t="s">
        <v>164</v>
      </c>
      <c r="C23" s="2" t="s">
        <v>27</v>
      </c>
    </row>
    <row r="24" spans="1:24" x14ac:dyDescent="0.2">
      <c r="A24" t="s">
        <v>163</v>
      </c>
      <c r="B24" t="s">
        <v>556</v>
      </c>
      <c r="C24" s="3"/>
    </row>
    <row r="25" spans="1:24" x14ac:dyDescent="0.2">
      <c r="A25" t="s">
        <v>163</v>
      </c>
      <c r="B25" t="s">
        <v>557</v>
      </c>
      <c r="C25" s="3"/>
    </row>
    <row r="26" spans="1:24" x14ac:dyDescent="0.2">
      <c r="A26" t="s">
        <v>163</v>
      </c>
      <c r="B26" t="s">
        <v>558</v>
      </c>
      <c r="C26" s="3"/>
    </row>
    <row r="27" spans="1:24" x14ac:dyDescent="0.2">
      <c r="A27" t="s">
        <v>163</v>
      </c>
      <c r="B27" t="s">
        <v>559</v>
      </c>
      <c r="C27" s="3"/>
    </row>
    <row r="28" spans="1:24" x14ac:dyDescent="0.2">
      <c r="A28" t="s">
        <v>163</v>
      </c>
      <c r="B28" t="s">
        <v>560</v>
      </c>
      <c r="C28" s="3"/>
    </row>
    <row r="29" spans="1:24" x14ac:dyDescent="0.2">
      <c r="A29" t="s">
        <v>163</v>
      </c>
      <c r="B29" t="s">
        <v>561</v>
      </c>
      <c r="C29" s="3"/>
    </row>
    <row r="30" spans="1:24" x14ac:dyDescent="0.2">
      <c r="A30" t="s">
        <v>163</v>
      </c>
      <c r="B30" t="s">
        <v>562</v>
      </c>
      <c r="C30" s="3"/>
    </row>
    <row r="31" spans="1:24" x14ac:dyDescent="0.2">
      <c r="A31" t="s">
        <v>163</v>
      </c>
      <c r="B31" t="s">
        <v>563</v>
      </c>
      <c r="C31" s="3"/>
    </row>
    <row r="32" spans="1:24" x14ac:dyDescent="0.2">
      <c r="A32" t="s">
        <v>163</v>
      </c>
      <c r="B32" t="s">
        <v>564</v>
      </c>
      <c r="C32" s="3"/>
    </row>
    <row r="33" spans="1:4" x14ac:dyDescent="0.2">
      <c r="A33" t="s">
        <v>163</v>
      </c>
      <c r="B33" t="s">
        <v>565</v>
      </c>
      <c r="C33" s="3"/>
    </row>
    <row r="34" spans="1:4" x14ac:dyDescent="0.2">
      <c r="A34" t="s">
        <v>163</v>
      </c>
      <c r="B34" t="s">
        <v>566</v>
      </c>
      <c r="C34" s="3"/>
    </row>
    <row r="35" spans="1:4" x14ac:dyDescent="0.2">
      <c r="A35" t="s">
        <v>163</v>
      </c>
      <c r="B35" t="s">
        <v>567</v>
      </c>
      <c r="C35" s="3"/>
    </row>
    <row r="36" spans="1:4" x14ac:dyDescent="0.2">
      <c r="A36" t="s">
        <v>163</v>
      </c>
      <c r="B36" t="s">
        <v>568</v>
      </c>
      <c r="C36" s="3"/>
    </row>
    <row r="37" spans="1:4" x14ac:dyDescent="0.2">
      <c r="A37" t="s">
        <v>163</v>
      </c>
      <c r="B37" t="s">
        <v>569</v>
      </c>
      <c r="C37" s="3"/>
    </row>
    <row r="38" spans="1:4" x14ac:dyDescent="0.2">
      <c r="A38" t="s">
        <v>163</v>
      </c>
      <c r="B38" t="s">
        <v>570</v>
      </c>
      <c r="C38" s="3"/>
    </row>
    <row r="39" spans="1:4" x14ac:dyDescent="0.2">
      <c r="A39" t="s">
        <v>163</v>
      </c>
      <c r="B39" t="s">
        <v>571</v>
      </c>
      <c r="C39" s="3"/>
    </row>
    <row r="40" spans="1:4" x14ac:dyDescent="0.2">
      <c r="A40" t="s">
        <v>163</v>
      </c>
      <c r="B40" t="s">
        <v>572</v>
      </c>
      <c r="C40" s="3"/>
    </row>
    <row r="41" spans="1:4" x14ac:dyDescent="0.2">
      <c r="A41" t="s">
        <v>163</v>
      </c>
      <c r="B41" t="s">
        <v>573</v>
      </c>
      <c r="C41" s="3"/>
    </row>
    <row r="42" spans="1:4" x14ac:dyDescent="0.2">
      <c r="A42" t="s">
        <v>163</v>
      </c>
      <c r="B42" t="s">
        <v>574</v>
      </c>
      <c r="C42" s="3"/>
    </row>
    <row r="43" spans="1:4" x14ac:dyDescent="0.2">
      <c r="A43" s="2" t="s">
        <v>185</v>
      </c>
      <c r="B43" s="13" t="e">
        <f>COUNTIF(C24:C42,"Yes")/COUNTA(C24:C42)*100&amp;"%"</f>
        <v>#DIV/0!</v>
      </c>
    </row>
    <row r="45" spans="1:4" x14ac:dyDescent="0.2">
      <c r="A45" s="12" t="s">
        <v>575</v>
      </c>
    </row>
    <row r="46" spans="1:4" x14ac:dyDescent="0.2">
      <c r="A46" s="4" t="s">
        <v>60</v>
      </c>
      <c r="B46" s="4" t="s">
        <v>190</v>
      </c>
      <c r="C46" s="4" t="s">
        <v>191</v>
      </c>
      <c r="D46" s="4" t="s">
        <v>576</v>
      </c>
    </row>
    <row r="47" spans="1:4" ht="32" x14ac:dyDescent="0.2">
      <c r="A47" s="7" t="s">
        <v>577</v>
      </c>
      <c r="B47" s="7" t="s">
        <v>193</v>
      </c>
      <c r="C47" s="7" t="s">
        <v>578</v>
      </c>
      <c r="D47" s="7" t="s">
        <v>579</v>
      </c>
    </row>
    <row r="48" spans="1:4" ht="32" x14ac:dyDescent="0.2">
      <c r="A48" s="7" t="s">
        <v>338</v>
      </c>
      <c r="B48" s="7" t="s">
        <v>193</v>
      </c>
      <c r="C48" s="7" t="s">
        <v>580</v>
      </c>
      <c r="D48" s="7" t="s">
        <v>581</v>
      </c>
    </row>
    <row r="49" spans="1:24" ht="32" x14ac:dyDescent="0.2">
      <c r="A49" s="7" t="s">
        <v>582</v>
      </c>
      <c r="B49" s="7" t="s">
        <v>196</v>
      </c>
      <c r="C49" s="7" t="s">
        <v>583</v>
      </c>
      <c r="D49" s="7" t="s">
        <v>584</v>
      </c>
    </row>
    <row r="50" spans="1:24" ht="32" x14ac:dyDescent="0.2">
      <c r="A50" s="7" t="s">
        <v>585</v>
      </c>
      <c r="B50" s="7" t="s">
        <v>586</v>
      </c>
      <c r="C50" s="7" t="s">
        <v>587</v>
      </c>
      <c r="D50" s="7" t="s">
        <v>588</v>
      </c>
    </row>
    <row r="51" spans="1:24" ht="32" x14ac:dyDescent="0.2">
      <c r="A51" s="7" t="s">
        <v>589</v>
      </c>
      <c r="B51" s="7" t="s">
        <v>339</v>
      </c>
      <c r="C51" s="7" t="s">
        <v>590</v>
      </c>
      <c r="D51" s="7" t="s">
        <v>591</v>
      </c>
    </row>
    <row r="52" spans="1:24" ht="16" x14ac:dyDescent="0.2">
      <c r="A52" s="7" t="s">
        <v>592</v>
      </c>
      <c r="B52" s="7" t="s">
        <v>347</v>
      </c>
      <c r="C52" s="7" t="s">
        <v>593</v>
      </c>
      <c r="D52" s="7" t="s">
        <v>594</v>
      </c>
    </row>
    <row r="54" spans="1:24" x14ac:dyDescent="0.2">
      <c r="A54" s="12" t="s">
        <v>595</v>
      </c>
    </row>
    <row r="55" spans="1:24" x14ac:dyDescent="0.2">
      <c r="A55" s="4" t="s">
        <v>596</v>
      </c>
      <c r="B55" s="4" t="s">
        <v>597</v>
      </c>
      <c r="C55" s="4" t="s">
        <v>598</v>
      </c>
      <c r="D55" s="4" t="s">
        <v>599</v>
      </c>
    </row>
    <row r="56" spans="1:24" ht="16" x14ac:dyDescent="0.2">
      <c r="A56" s="7" t="s">
        <v>600</v>
      </c>
      <c r="B56" s="7" t="s">
        <v>601</v>
      </c>
      <c r="C56" s="7" t="s">
        <v>602</v>
      </c>
      <c r="D56" s="7" t="s">
        <v>603</v>
      </c>
    </row>
    <row r="57" spans="1:24" ht="16" x14ac:dyDescent="0.2">
      <c r="A57" s="7" t="s">
        <v>604</v>
      </c>
      <c r="B57" s="7" t="s">
        <v>605</v>
      </c>
      <c r="C57" s="7" t="s">
        <v>606</v>
      </c>
      <c r="D57" s="7" t="s">
        <v>607</v>
      </c>
    </row>
    <row r="58" spans="1:24" ht="16" x14ac:dyDescent="0.2">
      <c r="A58" s="7" t="s">
        <v>608</v>
      </c>
      <c r="B58" s="7" t="s">
        <v>609</v>
      </c>
      <c r="C58" s="7" t="s">
        <v>610</v>
      </c>
      <c r="D58" s="7" t="s">
        <v>611</v>
      </c>
    </row>
    <row r="59" spans="1:24" ht="16" x14ac:dyDescent="0.2">
      <c r="A59" s="7" t="s">
        <v>612</v>
      </c>
      <c r="B59" s="7" t="s">
        <v>613</v>
      </c>
      <c r="C59" s="7" t="s">
        <v>614</v>
      </c>
      <c r="D59" s="7" t="s">
        <v>615</v>
      </c>
    </row>
    <row r="60" spans="1:24" ht="16" x14ac:dyDescent="0.2">
      <c r="A60" s="7" t="s">
        <v>616</v>
      </c>
      <c r="B60" s="7" t="s">
        <v>617</v>
      </c>
      <c r="C60" s="7" t="s">
        <v>606</v>
      </c>
      <c r="D60" s="7" t="s">
        <v>14</v>
      </c>
    </row>
    <row r="61" spans="1:24" ht="16" x14ac:dyDescent="0.2">
      <c r="A61" s="7" t="s">
        <v>618</v>
      </c>
      <c r="B61" s="7" t="s">
        <v>619</v>
      </c>
      <c r="C61" s="7" t="s">
        <v>602</v>
      </c>
      <c r="D61" s="7" t="s">
        <v>620</v>
      </c>
    </row>
    <row r="62" spans="1:24" ht="16" x14ac:dyDescent="0.2">
      <c r="A62" s="7" t="s">
        <v>621</v>
      </c>
      <c r="B62" s="7" t="s">
        <v>622</v>
      </c>
      <c r="C62" s="7" t="s">
        <v>606</v>
      </c>
      <c r="D62" s="7" t="s">
        <v>623</v>
      </c>
    </row>
    <row r="64" spans="1:24" x14ac:dyDescent="0.2">
      <c r="A64" s="24" t="s">
        <v>225</v>
      </c>
      <c r="B64" s="18"/>
      <c r="C64" s="18"/>
      <c r="D64" s="18"/>
      <c r="E64" s="18"/>
      <c r="F64" s="18"/>
      <c r="G64" s="18"/>
      <c r="H64" s="18"/>
      <c r="I64" s="18"/>
      <c r="J64" s="18"/>
      <c r="K64" s="18"/>
      <c r="L64" s="18"/>
      <c r="M64" s="18"/>
      <c r="N64" s="18"/>
      <c r="O64" s="18"/>
      <c r="P64" s="18"/>
      <c r="Q64" s="18"/>
      <c r="R64" s="18"/>
      <c r="S64" s="18"/>
      <c r="T64" s="18"/>
      <c r="U64" s="18"/>
      <c r="V64" s="18"/>
      <c r="W64" s="18"/>
      <c r="X64" s="18"/>
    </row>
    <row r="65" spans="1:24" x14ac:dyDescent="0.2">
      <c r="A65" s="2" t="s">
        <v>226</v>
      </c>
      <c r="B65" s="19"/>
      <c r="C65" s="20"/>
      <c r="D65" s="21"/>
    </row>
    <row r="66" spans="1:24" x14ac:dyDescent="0.2">
      <c r="A66" s="2" t="s">
        <v>227</v>
      </c>
      <c r="B66" s="19"/>
      <c r="C66" s="20"/>
      <c r="D66" s="21"/>
    </row>
    <row r="67" spans="1:24" x14ac:dyDescent="0.2">
      <c r="A67" s="2" t="s">
        <v>228</v>
      </c>
      <c r="B67" s="19"/>
      <c r="C67" s="20"/>
      <c r="D67" s="21"/>
    </row>
    <row r="68" spans="1:24" x14ac:dyDescent="0.2">
      <c r="A68" s="2" t="s">
        <v>229</v>
      </c>
      <c r="B68" s="19"/>
      <c r="C68" s="20"/>
      <c r="D68" s="21"/>
    </row>
    <row r="69" spans="1:24" x14ac:dyDescent="0.2">
      <c r="A69" s="2" t="s">
        <v>230</v>
      </c>
      <c r="B69" s="19"/>
      <c r="C69" s="20"/>
      <c r="D69" s="21"/>
    </row>
    <row r="70" spans="1:24" x14ac:dyDescent="0.2">
      <c r="A70" s="2" t="s">
        <v>231</v>
      </c>
      <c r="B70" s="19"/>
      <c r="C70" s="20"/>
      <c r="D70" s="21"/>
    </row>
    <row r="71" spans="1:24" x14ac:dyDescent="0.2">
      <c r="A71" s="2" t="s">
        <v>232</v>
      </c>
      <c r="B71" s="19"/>
      <c r="C71" s="20"/>
      <c r="D71" s="21"/>
    </row>
    <row r="72" spans="1:24" x14ac:dyDescent="0.2">
      <c r="A72" s="2" t="s">
        <v>233</v>
      </c>
      <c r="B72" s="19"/>
      <c r="C72" s="20"/>
      <c r="D72" s="21"/>
    </row>
    <row r="73" spans="1:24" x14ac:dyDescent="0.2">
      <c r="A73" s="2" t="s">
        <v>234</v>
      </c>
      <c r="B73" s="19"/>
      <c r="C73" s="20"/>
      <c r="D73" s="21"/>
    </row>
    <row r="74" spans="1:24" x14ac:dyDescent="0.2">
      <c r="A74" s="2" t="s">
        <v>235</v>
      </c>
      <c r="B74" s="19"/>
      <c r="C74" s="20"/>
      <c r="D74" s="21"/>
    </row>
    <row r="75" spans="1:24" x14ac:dyDescent="0.2">
      <c r="A75" s="2" t="s">
        <v>236</v>
      </c>
      <c r="B75" s="19"/>
      <c r="C75" s="20"/>
      <c r="D75" s="21"/>
    </row>
    <row r="76" spans="1:24" x14ac:dyDescent="0.2">
      <c r="A76" s="2" t="s">
        <v>237</v>
      </c>
      <c r="B76" s="19"/>
      <c r="C76" s="20"/>
      <c r="D76" s="21"/>
    </row>
    <row r="78" spans="1:24" x14ac:dyDescent="0.2">
      <c r="A78" s="23" t="s">
        <v>238</v>
      </c>
      <c r="B78" s="18"/>
      <c r="C78" s="18"/>
      <c r="D78" s="18"/>
      <c r="E78" s="18"/>
      <c r="F78" s="18"/>
      <c r="G78" s="18"/>
      <c r="H78" s="18"/>
      <c r="I78" s="18"/>
      <c r="J78" s="18"/>
      <c r="K78" s="18"/>
      <c r="L78" s="18"/>
      <c r="M78" s="18"/>
      <c r="N78" s="18"/>
      <c r="O78" s="18"/>
      <c r="P78" s="18"/>
      <c r="Q78" s="18"/>
      <c r="R78" s="18"/>
      <c r="S78" s="18"/>
      <c r="T78" s="18"/>
      <c r="U78" s="18"/>
      <c r="V78" s="18"/>
      <c r="W78" s="18"/>
      <c r="X78" s="18"/>
    </row>
    <row r="79" spans="1:24" x14ac:dyDescent="0.2">
      <c r="A79" s="25"/>
      <c r="B79" s="26"/>
      <c r="C79" s="26"/>
      <c r="D79" s="26"/>
      <c r="E79" s="26"/>
      <c r="F79" s="26"/>
      <c r="G79" s="26"/>
      <c r="H79" s="26"/>
      <c r="I79" s="26"/>
      <c r="J79" s="26"/>
      <c r="K79" s="26"/>
      <c r="L79" s="26"/>
      <c r="M79" s="26"/>
      <c r="N79" s="26"/>
      <c r="O79" s="26"/>
      <c r="P79" s="26"/>
      <c r="Q79" s="26"/>
      <c r="R79" s="26"/>
      <c r="S79" s="26"/>
      <c r="T79" s="26"/>
      <c r="U79" s="26"/>
      <c r="V79" s="26"/>
      <c r="W79" s="26"/>
      <c r="X79" s="27"/>
    </row>
    <row r="80" spans="1:24" x14ac:dyDescent="0.2">
      <c r="A80" s="28"/>
      <c r="B80" s="18"/>
      <c r="C80" s="18"/>
      <c r="D80" s="18"/>
      <c r="E80" s="18"/>
      <c r="F80" s="18"/>
      <c r="G80" s="18"/>
      <c r="H80" s="18"/>
      <c r="I80" s="18"/>
      <c r="J80" s="18"/>
      <c r="K80" s="18"/>
      <c r="L80" s="18"/>
      <c r="M80" s="18"/>
      <c r="N80" s="18"/>
      <c r="O80" s="18"/>
      <c r="P80" s="18"/>
      <c r="Q80" s="18"/>
      <c r="R80" s="18"/>
      <c r="S80" s="18"/>
      <c r="T80" s="18"/>
      <c r="U80" s="18"/>
      <c r="V80" s="18"/>
      <c r="W80" s="18"/>
      <c r="X80" s="29"/>
    </row>
    <row r="81" spans="1:24" x14ac:dyDescent="0.2">
      <c r="A81" s="28"/>
      <c r="B81" s="18"/>
      <c r="C81" s="18"/>
      <c r="D81" s="18"/>
      <c r="E81" s="18"/>
      <c r="F81" s="18"/>
      <c r="G81" s="18"/>
      <c r="H81" s="18"/>
      <c r="I81" s="18"/>
      <c r="J81" s="18"/>
      <c r="K81" s="18"/>
      <c r="L81" s="18"/>
      <c r="M81" s="18"/>
      <c r="N81" s="18"/>
      <c r="O81" s="18"/>
      <c r="P81" s="18"/>
      <c r="Q81" s="18"/>
      <c r="R81" s="18"/>
      <c r="S81" s="18"/>
      <c r="T81" s="18"/>
      <c r="U81" s="18"/>
      <c r="V81" s="18"/>
      <c r="W81" s="18"/>
      <c r="X81" s="29"/>
    </row>
    <row r="82" spans="1:24" x14ac:dyDescent="0.2">
      <c r="A82" s="28"/>
      <c r="B82" s="18"/>
      <c r="C82" s="18"/>
      <c r="D82" s="18"/>
      <c r="E82" s="18"/>
      <c r="F82" s="18"/>
      <c r="G82" s="18"/>
      <c r="H82" s="18"/>
      <c r="I82" s="18"/>
      <c r="J82" s="18"/>
      <c r="K82" s="18"/>
      <c r="L82" s="18"/>
      <c r="M82" s="18"/>
      <c r="N82" s="18"/>
      <c r="O82" s="18"/>
      <c r="P82" s="18"/>
      <c r="Q82" s="18"/>
      <c r="R82" s="18"/>
      <c r="S82" s="18"/>
      <c r="T82" s="18"/>
      <c r="U82" s="18"/>
      <c r="V82" s="18"/>
      <c r="W82" s="18"/>
      <c r="X82" s="29"/>
    </row>
    <row r="83" spans="1:24" x14ac:dyDescent="0.2">
      <c r="A83" s="28"/>
      <c r="B83" s="18"/>
      <c r="C83" s="18"/>
      <c r="D83" s="18"/>
      <c r="E83" s="18"/>
      <c r="F83" s="18"/>
      <c r="G83" s="18"/>
      <c r="H83" s="18"/>
      <c r="I83" s="18"/>
      <c r="J83" s="18"/>
      <c r="K83" s="18"/>
      <c r="L83" s="18"/>
      <c r="M83" s="18"/>
      <c r="N83" s="18"/>
      <c r="O83" s="18"/>
      <c r="P83" s="18"/>
      <c r="Q83" s="18"/>
      <c r="R83" s="18"/>
      <c r="S83" s="18"/>
      <c r="T83" s="18"/>
      <c r="U83" s="18"/>
      <c r="V83" s="18"/>
      <c r="W83" s="18"/>
      <c r="X83" s="29"/>
    </row>
    <row r="84" spans="1:24" x14ac:dyDescent="0.2">
      <c r="A84" s="28"/>
      <c r="B84" s="18"/>
      <c r="C84" s="18"/>
      <c r="D84" s="18"/>
      <c r="E84" s="18"/>
      <c r="F84" s="18"/>
      <c r="G84" s="18"/>
      <c r="H84" s="18"/>
      <c r="I84" s="18"/>
      <c r="J84" s="18"/>
      <c r="K84" s="18"/>
      <c r="L84" s="18"/>
      <c r="M84" s="18"/>
      <c r="N84" s="18"/>
      <c r="O84" s="18"/>
      <c r="P84" s="18"/>
      <c r="Q84" s="18"/>
      <c r="R84" s="18"/>
      <c r="S84" s="18"/>
      <c r="T84" s="18"/>
      <c r="U84" s="18"/>
      <c r="V84" s="18"/>
      <c r="W84" s="18"/>
      <c r="X84" s="29"/>
    </row>
    <row r="85" spans="1:24" x14ac:dyDescent="0.2">
      <c r="A85" s="28"/>
      <c r="B85" s="18"/>
      <c r="C85" s="18"/>
      <c r="D85" s="18"/>
      <c r="E85" s="18"/>
      <c r="F85" s="18"/>
      <c r="G85" s="18"/>
      <c r="H85" s="18"/>
      <c r="I85" s="18"/>
      <c r="J85" s="18"/>
      <c r="K85" s="18"/>
      <c r="L85" s="18"/>
      <c r="M85" s="18"/>
      <c r="N85" s="18"/>
      <c r="O85" s="18"/>
      <c r="P85" s="18"/>
      <c r="Q85" s="18"/>
      <c r="R85" s="18"/>
      <c r="S85" s="18"/>
      <c r="T85" s="18"/>
      <c r="U85" s="18"/>
      <c r="V85" s="18"/>
      <c r="W85" s="18"/>
      <c r="X85" s="29"/>
    </row>
    <row r="86" spans="1:24" x14ac:dyDescent="0.2">
      <c r="A86" s="28"/>
      <c r="B86" s="18"/>
      <c r="C86" s="18"/>
      <c r="D86" s="18"/>
      <c r="E86" s="18"/>
      <c r="F86" s="18"/>
      <c r="G86" s="18"/>
      <c r="H86" s="18"/>
      <c r="I86" s="18"/>
      <c r="J86" s="18"/>
      <c r="K86" s="18"/>
      <c r="L86" s="18"/>
      <c r="M86" s="18"/>
      <c r="N86" s="18"/>
      <c r="O86" s="18"/>
      <c r="P86" s="18"/>
      <c r="Q86" s="18"/>
      <c r="R86" s="18"/>
      <c r="S86" s="18"/>
      <c r="T86" s="18"/>
      <c r="U86" s="18"/>
      <c r="V86" s="18"/>
      <c r="W86" s="18"/>
      <c r="X86" s="29"/>
    </row>
    <row r="87" spans="1:24" x14ac:dyDescent="0.2">
      <c r="A87" s="30"/>
      <c r="B87" s="31"/>
      <c r="C87" s="31"/>
      <c r="D87" s="31"/>
      <c r="E87" s="31"/>
      <c r="F87" s="31"/>
      <c r="G87" s="31"/>
      <c r="H87" s="31"/>
      <c r="I87" s="31"/>
      <c r="J87" s="31"/>
      <c r="K87" s="31"/>
      <c r="L87" s="31"/>
      <c r="M87" s="31"/>
      <c r="N87" s="31"/>
      <c r="O87" s="31"/>
      <c r="P87" s="31"/>
      <c r="Q87" s="31"/>
      <c r="R87" s="31"/>
      <c r="S87" s="31"/>
      <c r="T87" s="31"/>
      <c r="U87" s="31"/>
      <c r="V87" s="31"/>
      <c r="W87" s="31"/>
      <c r="X87" s="32"/>
    </row>
  </sheetData>
  <mergeCells count="17">
    <mergeCell ref="A1:X1"/>
    <mergeCell ref="B75:D75"/>
    <mergeCell ref="B68:D68"/>
    <mergeCell ref="B69:D69"/>
    <mergeCell ref="A79:X87"/>
    <mergeCell ref="B72:D72"/>
    <mergeCell ref="A3:X3"/>
    <mergeCell ref="B66:D66"/>
    <mergeCell ref="B67:D67"/>
    <mergeCell ref="B76:D76"/>
    <mergeCell ref="A78:X78"/>
    <mergeCell ref="B71:D71"/>
    <mergeCell ref="A64:X64"/>
    <mergeCell ref="B73:D73"/>
    <mergeCell ref="B74:D74"/>
    <mergeCell ref="B70:D70"/>
    <mergeCell ref="B65:D65"/>
  </mergeCells>
  <dataValidations count="15">
    <dataValidation type="list" sqref="B8 B9 B10 B11 B12 B13 B14 B15 B16 B17 B18 B19 B20" xr:uid="{00000000-0002-0000-0400-000000000000}">
      <formula1>"Password,MFA,Certificate,Token,SSO,Federation,Biometric,API Key,Service Account,N/A"</formula1>
    </dataValidation>
    <dataValidation type="list" sqref="C8 C9 C10 C11 C12 C13 C14 C15 C16 C17 C18 C19 C20" xr:uid="{00000000-0002-0000-0400-000001000000}">
      <formula1>"End User,Administrator,Service Account,External User,API Client,N/A"</formula1>
    </dataValidation>
    <dataValidation type="list" sqref="D8 D9 D10 D11 D12 D13 D14 D15 D16 D17 D18 D19 D20" xr:uid="{00000000-0002-0000-0400-000002000000}">
      <formula1>"Public,Internal,Confidential,Restricted,N/A"</formula1>
    </dataValidation>
    <dataValidation type="list" sqref="E8 E9 E10 E11 E12 E13 E14 E15 E16 E17 E18 E19 E20" xr:uid="{00000000-0002-0000-0400-000003000000}">
      <formula1>"bcrypt,Argon2,PBKDF2,scrypt,SHA-256,SHA-512,RSA-2048+,ECDSA,None,N/A"</formula1>
    </dataValidation>
    <dataValidation type="list" sqref="F8 F9 F10 F11 F12 F13 F14 F15 F16 F17 F18 F19 F20" xr:uid="{00000000-0002-0000-0400-000004000000}">
      <formula1>"Properly Hashed,Encrypted,Plaintext (Non-compliant),Salted,N/A"</formula1>
    </dataValidation>
    <dataValidation type="list" sqref="G8 G9 G10 G11 G12 G13 G14 G15 G16 G17 G18 G19 G20" xr:uid="{00000000-0002-0000-0400-000005000000}">
      <formula1>"Strong (≥14 chars),Adequate (12-13),Weak (&lt;12),N/A"</formula1>
    </dataValidation>
    <dataValidation type="list" sqref="H8 H9 H10 H11 H12 H13 H14 H15 H16 H17 H18 H19 H20" xr:uid="{00000000-0002-0000-0400-000006000000}">
      <formula1>"✅ Compliant,⚠️ Partial,❌ Non-Compliant,N/A"</formula1>
    </dataValidation>
    <dataValidation type="list" sqref="K8:K20 B65 B67" xr:uid="{00000000-0002-0000-0400-000007000000}">
      <formula1>"Yes,No"</formula1>
    </dataValidation>
    <dataValidation type="list" sqref="Q8 Q9 Q10 Q11 Q12 Q13 Q14 Q15 Q16 Q17 Q18 Q19 Q20" xr:uid="{00000000-0002-0000-0400-000008000000}">
      <formula1>"Yes,No,Unknown"</formula1>
    </dataValidation>
    <dataValidation type="list" sqref="B4" xr:uid="{00000000-0002-0000-0400-000009000000}">
      <formula1>"Yes,No,Not Applicable"</formula1>
    </dataValidation>
    <dataValidation type="list" sqref="C24:C42 U8:V20 X8:X20" xr:uid="{00000000-0002-0000-0400-00000A000000}">
      <formula1>"Yes,No,N/A"</formula1>
    </dataValidation>
    <dataValidation type="list" sqref="R8 R9 R10 R11 R12 R13 R14 R15 R16 R17 R18 R19 R20" xr:uid="{00000000-0002-0000-0400-00000C000000}">
      <formula1>"Database Service,Application Service,API Service,Scheduled Task,Integration,N/A"</formula1>
    </dataValidation>
    <dataValidation type="list" sqref="S8 S9 S10 S11 S12 S13 S14 S15 S16 S17 S18 S19 S20" xr:uid="{00000000-0002-0000-0400-00000D000000}">
      <formula1>"Certificate,Long Password (≥20 chars),API Key,Managed Identity,Secret,N/A"</formula1>
    </dataValidation>
    <dataValidation type="list" sqref="T8 T9 T10 T11 T12 T13 T14 T15 T16 T17 T18 T19 T20" xr:uid="{00000000-0002-0000-0400-00000E000000}">
      <formula1>"Never (Monitored),90 days,180 days,365 days,On Change Only,N/A"</formula1>
    </dataValidation>
    <dataValidation type="list" sqref="W8 W9 W10 W11 W12 W13 W14 W15 W16 W17 W18 W19 W20" xr:uid="{00000000-0002-0000-0400-00000F000000}">
      <formula1>"Disabled,Enabled (Non-compliant),N/A"</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95"/>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8" customWidth="1"/>
    <col min="5" max="5" width="22" customWidth="1"/>
    <col min="6" max="7" width="20"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0" customWidth="1"/>
    <col min="19" max="19" width="25" customWidth="1"/>
    <col min="20" max="20" width="16" customWidth="1"/>
    <col min="21" max="23" width="18" customWidth="1"/>
    <col min="24" max="24" width="16" customWidth="1"/>
  </cols>
  <sheetData>
    <row r="1" spans="1:24" ht="40" customHeight="1" x14ac:dyDescent="0.2">
      <c r="A1" s="17" t="s">
        <v>624</v>
      </c>
      <c r="B1" s="18"/>
      <c r="C1" s="18"/>
      <c r="D1" s="18"/>
      <c r="E1" s="18"/>
      <c r="F1" s="18"/>
      <c r="G1" s="18"/>
      <c r="H1" s="18"/>
      <c r="I1" s="18"/>
      <c r="J1" s="18"/>
      <c r="K1" s="18"/>
      <c r="L1" s="18"/>
      <c r="M1" s="18"/>
      <c r="N1" s="18"/>
      <c r="O1" s="18"/>
      <c r="P1" s="18"/>
      <c r="Q1" s="18"/>
      <c r="R1" s="18"/>
      <c r="S1" s="18"/>
      <c r="T1" s="18"/>
      <c r="U1" s="18"/>
      <c r="V1" s="18"/>
      <c r="W1" s="18"/>
      <c r="X1" s="18"/>
    </row>
    <row r="3" spans="1:24" ht="30" customHeight="1" x14ac:dyDescent="0.2">
      <c r="A3" s="22" t="s">
        <v>625</v>
      </c>
      <c r="B3" s="18"/>
      <c r="C3" s="18"/>
      <c r="D3" s="18"/>
      <c r="E3" s="18"/>
      <c r="F3" s="18"/>
      <c r="G3" s="18"/>
      <c r="H3" s="18"/>
      <c r="I3" s="18"/>
      <c r="J3" s="18"/>
      <c r="K3" s="18"/>
      <c r="L3" s="18"/>
      <c r="M3" s="18"/>
      <c r="N3" s="18"/>
      <c r="O3" s="18"/>
      <c r="P3" s="18"/>
      <c r="Q3" s="18"/>
      <c r="R3" s="18"/>
      <c r="S3" s="18"/>
      <c r="T3" s="18"/>
      <c r="U3" s="18"/>
      <c r="V3" s="18"/>
      <c r="W3" s="18"/>
      <c r="X3" s="18"/>
    </row>
    <row r="4" spans="1:24" x14ac:dyDescent="0.2">
      <c r="A4" s="2" t="s">
        <v>58</v>
      </c>
      <c r="B4" s="3"/>
    </row>
    <row r="6" spans="1:24"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626</v>
      </c>
      <c r="S6" s="4" t="s">
        <v>627</v>
      </c>
      <c r="T6" s="4" t="s">
        <v>628</v>
      </c>
      <c r="U6" s="4" t="s">
        <v>629</v>
      </c>
      <c r="V6" s="4" t="s">
        <v>630</v>
      </c>
      <c r="W6" s="4" t="s">
        <v>631</v>
      </c>
      <c r="X6" s="4" t="s">
        <v>632</v>
      </c>
    </row>
    <row r="7" spans="1:24" ht="32" x14ac:dyDescent="0.2">
      <c r="A7" s="10" t="s">
        <v>633</v>
      </c>
      <c r="B7" s="10" t="s">
        <v>634</v>
      </c>
      <c r="C7" s="10" t="s">
        <v>84</v>
      </c>
      <c r="D7" s="10" t="s">
        <v>85</v>
      </c>
      <c r="E7" s="10" t="s">
        <v>635</v>
      </c>
      <c r="F7" s="10" t="s">
        <v>251</v>
      </c>
      <c r="G7" s="10" t="s">
        <v>38</v>
      </c>
      <c r="H7" s="10" t="s">
        <v>89</v>
      </c>
      <c r="I7" s="10" t="s">
        <v>636</v>
      </c>
      <c r="J7" s="10" t="s">
        <v>91</v>
      </c>
      <c r="K7" s="10" t="s">
        <v>92</v>
      </c>
      <c r="L7" s="10" t="s">
        <v>38</v>
      </c>
      <c r="M7" s="10" t="s">
        <v>38</v>
      </c>
      <c r="N7" s="10" t="s">
        <v>38</v>
      </c>
      <c r="O7" s="10" t="s">
        <v>38</v>
      </c>
      <c r="P7" s="10" t="s">
        <v>38</v>
      </c>
      <c r="Q7" s="10" t="s">
        <v>92</v>
      </c>
      <c r="R7" s="10" t="s">
        <v>637</v>
      </c>
      <c r="S7" s="10" t="s">
        <v>106</v>
      </c>
      <c r="T7" s="10" t="s">
        <v>94</v>
      </c>
      <c r="U7" s="10" t="s">
        <v>638</v>
      </c>
      <c r="V7" s="10" t="s">
        <v>639</v>
      </c>
      <c r="W7" s="10" t="s">
        <v>94</v>
      </c>
      <c r="X7" s="10" t="s">
        <v>94</v>
      </c>
    </row>
    <row r="8" spans="1:24" ht="32" x14ac:dyDescent="0.2">
      <c r="A8" s="11" t="s">
        <v>640</v>
      </c>
      <c r="B8" s="11" t="s">
        <v>641</v>
      </c>
      <c r="C8" s="11" t="s">
        <v>642</v>
      </c>
      <c r="D8" s="11" t="s">
        <v>106</v>
      </c>
      <c r="E8" s="11" t="s">
        <v>643</v>
      </c>
      <c r="F8" s="11" t="s">
        <v>640</v>
      </c>
      <c r="G8" s="11" t="s">
        <v>644</v>
      </c>
      <c r="H8" s="11" t="s">
        <v>89</v>
      </c>
      <c r="I8" s="11" t="s">
        <v>645</v>
      </c>
      <c r="J8" s="11"/>
      <c r="K8" s="11" t="s">
        <v>92</v>
      </c>
      <c r="L8" s="11"/>
      <c r="M8" s="11"/>
      <c r="N8" s="11"/>
      <c r="O8" s="11"/>
      <c r="P8" s="11"/>
      <c r="Q8" s="11"/>
      <c r="R8" s="11"/>
      <c r="S8" s="11"/>
      <c r="T8" s="11"/>
      <c r="U8" s="11"/>
      <c r="V8" s="11"/>
      <c r="W8" s="11"/>
      <c r="X8" s="11"/>
    </row>
    <row r="9" spans="1:24" ht="16" x14ac:dyDescent="0.2">
      <c r="A9" s="11" t="s">
        <v>646</v>
      </c>
      <c r="B9" s="11" t="s">
        <v>647</v>
      </c>
      <c r="C9" s="11" t="s">
        <v>648</v>
      </c>
      <c r="D9" s="11" t="s">
        <v>649</v>
      </c>
      <c r="E9" s="11" t="s">
        <v>650</v>
      </c>
      <c r="F9" s="11" t="s">
        <v>651</v>
      </c>
      <c r="G9" s="11" t="s">
        <v>652</v>
      </c>
      <c r="H9" s="11" t="s">
        <v>89</v>
      </c>
      <c r="I9" s="11" t="s">
        <v>653</v>
      </c>
      <c r="J9" s="11"/>
      <c r="K9" s="11" t="s">
        <v>92</v>
      </c>
      <c r="L9" s="11"/>
      <c r="M9" s="11"/>
      <c r="N9" s="11"/>
      <c r="O9" s="11"/>
      <c r="P9" s="11"/>
      <c r="Q9" s="11"/>
      <c r="R9" s="11"/>
      <c r="S9" s="11"/>
      <c r="T9" s="11"/>
      <c r="U9" s="11"/>
      <c r="V9" s="11"/>
      <c r="W9" s="11"/>
      <c r="X9" s="11"/>
    </row>
    <row r="10" spans="1:24" ht="16" x14ac:dyDescent="0.2">
      <c r="A10" s="11" t="s">
        <v>654</v>
      </c>
      <c r="B10" s="11" t="s">
        <v>655</v>
      </c>
      <c r="C10" s="11" t="s">
        <v>656</v>
      </c>
      <c r="D10" s="11" t="s">
        <v>657</v>
      </c>
      <c r="E10" s="11" t="s">
        <v>658</v>
      </c>
      <c r="F10" s="11" t="s">
        <v>659</v>
      </c>
      <c r="G10" s="11" t="s">
        <v>660</v>
      </c>
      <c r="H10" s="11" t="s">
        <v>89</v>
      </c>
      <c r="I10" s="11" t="s">
        <v>661</v>
      </c>
      <c r="J10" s="11"/>
      <c r="K10" s="11" t="s">
        <v>92</v>
      </c>
      <c r="L10" s="11"/>
      <c r="M10" s="11"/>
      <c r="N10" s="11"/>
      <c r="O10" s="11"/>
      <c r="P10" s="11"/>
      <c r="Q10" s="11"/>
      <c r="R10" s="11"/>
      <c r="S10" s="11"/>
      <c r="T10" s="11"/>
      <c r="U10" s="11"/>
      <c r="V10" s="11"/>
      <c r="W10" s="11"/>
      <c r="X10" s="11"/>
    </row>
    <row r="11" spans="1:24" ht="16" x14ac:dyDescent="0.2">
      <c r="A11" s="11" t="s">
        <v>662</v>
      </c>
      <c r="B11" s="11" t="s">
        <v>637</v>
      </c>
      <c r="C11" s="11" t="s">
        <v>663</v>
      </c>
      <c r="D11" s="11" t="s">
        <v>664</v>
      </c>
      <c r="E11" s="11" t="s">
        <v>665</v>
      </c>
      <c r="F11" s="11" t="s">
        <v>666</v>
      </c>
      <c r="G11" s="11" t="s">
        <v>667</v>
      </c>
      <c r="H11" s="11" t="s">
        <v>89</v>
      </c>
      <c r="I11" s="11" t="s">
        <v>668</v>
      </c>
      <c r="J11" s="11"/>
      <c r="K11" s="11" t="s">
        <v>92</v>
      </c>
      <c r="L11" s="11"/>
      <c r="M11" s="11"/>
      <c r="N11" s="11"/>
      <c r="O11" s="11"/>
      <c r="P11" s="11"/>
      <c r="Q11" s="11"/>
      <c r="R11" s="11"/>
      <c r="S11" s="11"/>
      <c r="T11" s="11"/>
      <c r="U11" s="11"/>
      <c r="V11" s="11"/>
      <c r="W11" s="11"/>
      <c r="X11" s="11"/>
    </row>
    <row r="12" spans="1:24" ht="16" x14ac:dyDescent="0.2">
      <c r="A12" s="11" t="s">
        <v>669</v>
      </c>
      <c r="B12" s="11" t="s">
        <v>637</v>
      </c>
      <c r="C12" s="11" t="s">
        <v>670</v>
      </c>
      <c r="D12" s="11" t="s">
        <v>671</v>
      </c>
      <c r="E12" s="11" t="s">
        <v>672</v>
      </c>
      <c r="F12" s="11" t="s">
        <v>673</v>
      </c>
      <c r="G12" s="11" t="s">
        <v>674</v>
      </c>
      <c r="H12" s="11" t="s">
        <v>89</v>
      </c>
      <c r="I12" s="11" t="s">
        <v>675</v>
      </c>
      <c r="J12" s="11"/>
      <c r="K12" s="11" t="s">
        <v>92</v>
      </c>
      <c r="L12" s="11"/>
      <c r="M12" s="11"/>
      <c r="N12" s="11"/>
      <c r="O12" s="11"/>
      <c r="P12" s="11"/>
      <c r="Q12" s="11"/>
      <c r="R12" s="11"/>
      <c r="S12" s="11"/>
      <c r="T12" s="11"/>
      <c r="U12" s="11"/>
      <c r="V12" s="11"/>
      <c r="W12" s="11"/>
      <c r="X12" s="11"/>
    </row>
    <row r="13" spans="1:24" ht="16" x14ac:dyDescent="0.2">
      <c r="A13" s="11" t="s">
        <v>676</v>
      </c>
      <c r="B13" s="11" t="s">
        <v>677</v>
      </c>
      <c r="C13" s="11" t="s">
        <v>678</v>
      </c>
      <c r="D13" s="11" t="s">
        <v>679</v>
      </c>
      <c r="E13" s="11" t="s">
        <v>680</v>
      </c>
      <c r="F13" s="11" t="s">
        <v>681</v>
      </c>
      <c r="G13" s="11" t="s">
        <v>682</v>
      </c>
      <c r="H13" s="11" t="s">
        <v>301</v>
      </c>
      <c r="I13" s="11" t="s">
        <v>683</v>
      </c>
      <c r="J13" s="11" t="s">
        <v>684</v>
      </c>
      <c r="K13" s="11" t="s">
        <v>94</v>
      </c>
      <c r="L13" s="11"/>
      <c r="M13" s="11"/>
      <c r="N13" s="11"/>
      <c r="O13" s="11"/>
      <c r="P13" s="11"/>
      <c r="Q13" s="11"/>
      <c r="R13" s="11"/>
      <c r="S13" s="11"/>
      <c r="T13" s="11"/>
      <c r="U13" s="11"/>
      <c r="V13" s="11"/>
      <c r="W13" s="11"/>
      <c r="X13" s="11"/>
    </row>
    <row r="14" spans="1:24" ht="32" x14ac:dyDescent="0.2">
      <c r="A14" s="11" t="s">
        <v>685</v>
      </c>
      <c r="B14" s="11" t="s">
        <v>686</v>
      </c>
      <c r="C14" s="11" t="s">
        <v>687</v>
      </c>
      <c r="D14" s="11" t="s">
        <v>38</v>
      </c>
      <c r="E14" s="11" t="s">
        <v>38</v>
      </c>
      <c r="F14" s="11" t="s">
        <v>688</v>
      </c>
      <c r="G14" s="11" t="s">
        <v>143</v>
      </c>
      <c r="H14" s="11" t="s">
        <v>144</v>
      </c>
      <c r="I14" s="11" t="s">
        <v>689</v>
      </c>
      <c r="J14" s="11" t="s">
        <v>690</v>
      </c>
      <c r="K14" s="11" t="s">
        <v>94</v>
      </c>
      <c r="L14" s="11"/>
      <c r="M14" s="11"/>
      <c r="N14" s="11"/>
      <c r="O14" s="11"/>
      <c r="P14" s="11"/>
      <c r="Q14" s="11"/>
      <c r="R14" s="11"/>
      <c r="S14" s="11"/>
      <c r="T14" s="11"/>
      <c r="U14" s="11"/>
      <c r="V14" s="11"/>
      <c r="W14" s="11"/>
      <c r="X14" s="11"/>
    </row>
    <row r="15" spans="1:24" x14ac:dyDescent="0.2">
      <c r="A15" s="11"/>
      <c r="B15" s="11"/>
      <c r="C15" s="11"/>
      <c r="D15" s="11"/>
      <c r="E15" s="11"/>
      <c r="F15" s="11"/>
      <c r="G15" s="11"/>
      <c r="H15" s="11"/>
      <c r="I15" s="11"/>
      <c r="J15" s="11"/>
      <c r="K15" s="11"/>
      <c r="L15" s="11"/>
      <c r="M15" s="11"/>
      <c r="N15" s="11"/>
      <c r="O15" s="11"/>
      <c r="P15" s="11"/>
      <c r="Q15" s="11"/>
      <c r="R15" s="11"/>
      <c r="S15" s="11"/>
      <c r="T15" s="11"/>
      <c r="U15" s="11"/>
      <c r="V15" s="11"/>
      <c r="W15" s="11"/>
      <c r="X15" s="11"/>
    </row>
    <row r="16" spans="1:24"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row>
    <row r="22" spans="1:24" x14ac:dyDescent="0.2">
      <c r="A22" s="12" t="s">
        <v>691</v>
      </c>
    </row>
    <row r="23" spans="1:24" x14ac:dyDescent="0.2">
      <c r="A23" s="2" t="s">
        <v>163</v>
      </c>
      <c r="B23" s="2" t="s">
        <v>164</v>
      </c>
      <c r="C23" s="2" t="s">
        <v>27</v>
      </c>
    </row>
    <row r="24" spans="1:24" x14ac:dyDescent="0.2">
      <c r="A24" t="s">
        <v>163</v>
      </c>
      <c r="B24" t="s">
        <v>692</v>
      </c>
      <c r="C24" s="3"/>
    </row>
    <row r="25" spans="1:24" x14ac:dyDescent="0.2">
      <c r="A25" t="s">
        <v>163</v>
      </c>
      <c r="B25" t="s">
        <v>693</v>
      </c>
      <c r="C25" s="3"/>
    </row>
    <row r="26" spans="1:24" x14ac:dyDescent="0.2">
      <c r="A26" t="s">
        <v>163</v>
      </c>
      <c r="B26" t="s">
        <v>694</v>
      </c>
      <c r="C26" s="3"/>
    </row>
    <row r="27" spans="1:24" x14ac:dyDescent="0.2">
      <c r="A27" t="s">
        <v>163</v>
      </c>
      <c r="B27" t="s">
        <v>695</v>
      </c>
      <c r="C27" s="3"/>
    </row>
    <row r="28" spans="1:24" x14ac:dyDescent="0.2">
      <c r="A28" t="s">
        <v>163</v>
      </c>
      <c r="B28" t="s">
        <v>696</v>
      </c>
      <c r="C28" s="3"/>
    </row>
    <row r="29" spans="1:24" x14ac:dyDescent="0.2">
      <c r="A29" t="s">
        <v>163</v>
      </c>
      <c r="B29" t="s">
        <v>697</v>
      </c>
      <c r="C29" s="3"/>
    </row>
    <row r="30" spans="1:24" x14ac:dyDescent="0.2">
      <c r="A30" t="s">
        <v>163</v>
      </c>
      <c r="B30" t="s">
        <v>698</v>
      </c>
      <c r="C30" s="3"/>
    </row>
    <row r="31" spans="1:24" x14ac:dyDescent="0.2">
      <c r="A31" t="s">
        <v>163</v>
      </c>
      <c r="B31" t="s">
        <v>699</v>
      </c>
      <c r="C31" s="3"/>
    </row>
    <row r="32" spans="1:24" x14ac:dyDescent="0.2">
      <c r="A32" t="s">
        <v>163</v>
      </c>
      <c r="B32" t="s">
        <v>700</v>
      </c>
      <c r="C32" s="3"/>
    </row>
    <row r="33" spans="1:5" x14ac:dyDescent="0.2">
      <c r="A33" t="s">
        <v>163</v>
      </c>
      <c r="B33" t="s">
        <v>701</v>
      </c>
      <c r="C33" s="3"/>
    </row>
    <row r="34" spans="1:5" x14ac:dyDescent="0.2">
      <c r="A34" t="s">
        <v>163</v>
      </c>
      <c r="B34" t="s">
        <v>702</v>
      </c>
      <c r="C34" s="3"/>
    </row>
    <row r="35" spans="1:5" x14ac:dyDescent="0.2">
      <c r="A35" t="s">
        <v>163</v>
      </c>
      <c r="B35" t="s">
        <v>703</v>
      </c>
      <c r="C35" s="3"/>
    </row>
    <row r="36" spans="1:5" x14ac:dyDescent="0.2">
      <c r="A36" t="s">
        <v>163</v>
      </c>
      <c r="B36" t="s">
        <v>704</v>
      </c>
      <c r="C36" s="3"/>
    </row>
    <row r="37" spans="1:5" x14ac:dyDescent="0.2">
      <c r="A37" t="s">
        <v>163</v>
      </c>
      <c r="B37" t="s">
        <v>705</v>
      </c>
      <c r="C37" s="3"/>
    </row>
    <row r="38" spans="1:5" x14ac:dyDescent="0.2">
      <c r="A38" t="s">
        <v>163</v>
      </c>
      <c r="B38" t="s">
        <v>706</v>
      </c>
      <c r="C38" s="3"/>
    </row>
    <row r="39" spans="1:5" x14ac:dyDescent="0.2">
      <c r="A39" t="s">
        <v>163</v>
      </c>
      <c r="B39" t="s">
        <v>707</v>
      </c>
      <c r="C39" s="3"/>
    </row>
    <row r="40" spans="1:5" x14ac:dyDescent="0.2">
      <c r="A40" t="s">
        <v>163</v>
      </c>
      <c r="B40" t="s">
        <v>708</v>
      </c>
      <c r="C40" s="3"/>
    </row>
    <row r="41" spans="1:5" x14ac:dyDescent="0.2">
      <c r="A41" t="s">
        <v>163</v>
      </c>
      <c r="B41" t="s">
        <v>709</v>
      </c>
      <c r="C41" s="3"/>
    </row>
    <row r="42" spans="1:5" x14ac:dyDescent="0.2">
      <c r="A42" t="s">
        <v>163</v>
      </c>
      <c r="B42" t="s">
        <v>710</v>
      </c>
      <c r="C42" s="3"/>
    </row>
    <row r="43" spans="1:5" x14ac:dyDescent="0.2">
      <c r="A43" t="s">
        <v>163</v>
      </c>
      <c r="B43" t="s">
        <v>711</v>
      </c>
      <c r="C43" s="3"/>
    </row>
    <row r="44" spans="1:5" x14ac:dyDescent="0.2">
      <c r="A44" s="2" t="s">
        <v>185</v>
      </c>
      <c r="B44" s="13" t="e">
        <f>COUNTIF(C24:C43,"Yes")/COUNTA(C24:C43)*100&amp;"%"</f>
        <v>#DIV/0!</v>
      </c>
    </row>
    <row r="46" spans="1:5" x14ac:dyDescent="0.2">
      <c r="A46" s="12" t="s">
        <v>712</v>
      </c>
    </row>
    <row r="47" spans="1:5" x14ac:dyDescent="0.2">
      <c r="A47" s="4" t="s">
        <v>713</v>
      </c>
      <c r="B47" s="4" t="s">
        <v>191</v>
      </c>
      <c r="C47" s="4" t="s">
        <v>714</v>
      </c>
      <c r="D47" s="4" t="s">
        <v>715</v>
      </c>
      <c r="E47" s="4" t="s">
        <v>716</v>
      </c>
    </row>
    <row r="48" spans="1:5" ht="48" x14ac:dyDescent="0.2">
      <c r="A48" s="7" t="s">
        <v>637</v>
      </c>
      <c r="B48" s="7" t="s">
        <v>717</v>
      </c>
      <c r="C48" s="7" t="s">
        <v>718</v>
      </c>
      <c r="D48" s="7" t="s">
        <v>719</v>
      </c>
      <c r="E48" s="7" t="s">
        <v>720</v>
      </c>
    </row>
    <row r="49" spans="1:5" ht="32" x14ac:dyDescent="0.2">
      <c r="A49" s="7" t="s">
        <v>721</v>
      </c>
      <c r="B49" s="7" t="s">
        <v>722</v>
      </c>
      <c r="C49" s="7" t="s">
        <v>723</v>
      </c>
      <c r="D49" s="7" t="s">
        <v>724</v>
      </c>
      <c r="E49" s="7" t="s">
        <v>725</v>
      </c>
    </row>
    <row r="50" spans="1:5" ht="32" x14ac:dyDescent="0.2">
      <c r="A50" s="7" t="s">
        <v>726</v>
      </c>
      <c r="B50" s="7" t="s">
        <v>727</v>
      </c>
      <c r="C50" s="7" t="s">
        <v>728</v>
      </c>
      <c r="D50" s="7" t="s">
        <v>729</v>
      </c>
      <c r="E50" s="7" t="s">
        <v>730</v>
      </c>
    </row>
    <row r="51" spans="1:5" ht="32" x14ac:dyDescent="0.2">
      <c r="A51" s="7" t="s">
        <v>731</v>
      </c>
      <c r="B51" s="7" t="s">
        <v>732</v>
      </c>
      <c r="C51" s="7" t="s">
        <v>733</v>
      </c>
      <c r="D51" s="7" t="s">
        <v>734</v>
      </c>
      <c r="E51" s="7" t="s">
        <v>735</v>
      </c>
    </row>
    <row r="53" spans="1:5" x14ac:dyDescent="0.2">
      <c r="A53" s="12" t="s">
        <v>736</v>
      </c>
    </row>
    <row r="54" spans="1:5" x14ac:dyDescent="0.2">
      <c r="A54" s="4" t="s">
        <v>164</v>
      </c>
      <c r="B54" s="4" t="s">
        <v>471</v>
      </c>
      <c r="C54" s="4" t="s">
        <v>737</v>
      </c>
    </row>
    <row r="55" spans="1:5" ht="16" x14ac:dyDescent="0.2">
      <c r="A55" s="7" t="s">
        <v>738</v>
      </c>
      <c r="B55" s="7"/>
      <c r="C55" s="7" t="s">
        <v>739</v>
      </c>
    </row>
    <row r="56" spans="1:5" ht="32" x14ac:dyDescent="0.2">
      <c r="A56" s="7" t="s">
        <v>740</v>
      </c>
      <c r="B56" s="7"/>
      <c r="C56" s="7" t="s">
        <v>741</v>
      </c>
    </row>
    <row r="57" spans="1:5" ht="16" x14ac:dyDescent="0.2">
      <c r="A57" s="7" t="s">
        <v>742</v>
      </c>
      <c r="B57" s="7"/>
      <c r="C57" s="7" t="s">
        <v>743</v>
      </c>
    </row>
    <row r="58" spans="1:5" ht="32" x14ac:dyDescent="0.2">
      <c r="A58" s="7" t="s">
        <v>744</v>
      </c>
      <c r="B58" s="7"/>
      <c r="C58" s="7" t="s">
        <v>745</v>
      </c>
    </row>
    <row r="59" spans="1:5" ht="32" x14ac:dyDescent="0.2">
      <c r="A59" s="7" t="s">
        <v>746</v>
      </c>
      <c r="B59" s="7"/>
      <c r="C59" s="7" t="s">
        <v>747</v>
      </c>
    </row>
    <row r="60" spans="1:5" ht="16" x14ac:dyDescent="0.2">
      <c r="A60" s="7" t="s">
        <v>748</v>
      </c>
      <c r="B60" s="7"/>
      <c r="C60" s="7" t="s">
        <v>749</v>
      </c>
    </row>
    <row r="61" spans="1:5" ht="16" x14ac:dyDescent="0.2">
      <c r="A61" s="7" t="s">
        <v>750</v>
      </c>
      <c r="B61" s="7"/>
      <c r="C61" s="7" t="s">
        <v>751</v>
      </c>
    </row>
    <row r="62" spans="1:5" ht="16" x14ac:dyDescent="0.2">
      <c r="A62" s="7" t="s">
        <v>752</v>
      </c>
      <c r="B62" s="7"/>
      <c r="C62" s="7" t="s">
        <v>753</v>
      </c>
    </row>
    <row r="64" spans="1:5" x14ac:dyDescent="0.2">
      <c r="A64" s="12" t="s">
        <v>754</v>
      </c>
    </row>
    <row r="65" spans="1:24" x14ac:dyDescent="0.2">
      <c r="A65" s="4" t="s">
        <v>715</v>
      </c>
      <c r="B65" s="4" t="s">
        <v>755</v>
      </c>
      <c r="C65" s="4" t="s">
        <v>756</v>
      </c>
      <c r="D65" s="4" t="s">
        <v>618</v>
      </c>
    </row>
    <row r="66" spans="1:24" ht="16" x14ac:dyDescent="0.2">
      <c r="A66" s="7" t="s">
        <v>757</v>
      </c>
      <c r="B66" s="7" t="s">
        <v>758</v>
      </c>
      <c r="C66" s="7" t="s">
        <v>759</v>
      </c>
      <c r="D66" s="7" t="s">
        <v>760</v>
      </c>
    </row>
    <row r="67" spans="1:24" ht="16" x14ac:dyDescent="0.2">
      <c r="A67" s="7" t="s">
        <v>761</v>
      </c>
      <c r="B67" s="7" t="s">
        <v>95</v>
      </c>
      <c r="C67" s="7" t="s">
        <v>449</v>
      </c>
      <c r="D67" s="7" t="s">
        <v>762</v>
      </c>
    </row>
    <row r="68" spans="1:24" ht="16" x14ac:dyDescent="0.2">
      <c r="A68" s="7" t="s">
        <v>763</v>
      </c>
      <c r="B68" s="7" t="s">
        <v>764</v>
      </c>
      <c r="C68" s="7" t="s">
        <v>758</v>
      </c>
      <c r="D68" s="7" t="s">
        <v>765</v>
      </c>
    </row>
    <row r="69" spans="1:24" ht="16" x14ac:dyDescent="0.2">
      <c r="A69" s="7" t="s">
        <v>766</v>
      </c>
      <c r="B69" s="7" t="s">
        <v>764</v>
      </c>
      <c r="C69" s="7" t="s">
        <v>758</v>
      </c>
      <c r="D69" s="7" t="s">
        <v>765</v>
      </c>
    </row>
    <row r="70" spans="1:24" ht="16" x14ac:dyDescent="0.2">
      <c r="A70" s="7" t="s">
        <v>767</v>
      </c>
      <c r="B70" s="7" t="s">
        <v>768</v>
      </c>
      <c r="C70" s="7" t="s">
        <v>769</v>
      </c>
      <c r="D70" s="7" t="s">
        <v>770</v>
      </c>
    </row>
    <row r="72" spans="1:24" x14ac:dyDescent="0.2">
      <c r="A72" s="24" t="s">
        <v>225</v>
      </c>
      <c r="B72" s="18"/>
      <c r="C72" s="18"/>
      <c r="D72" s="18"/>
      <c r="E72" s="18"/>
      <c r="F72" s="18"/>
      <c r="G72" s="18"/>
      <c r="H72" s="18"/>
      <c r="I72" s="18"/>
      <c r="J72" s="18"/>
      <c r="K72" s="18"/>
      <c r="L72" s="18"/>
      <c r="M72" s="18"/>
      <c r="N72" s="18"/>
      <c r="O72" s="18"/>
      <c r="P72" s="18"/>
      <c r="Q72" s="18"/>
      <c r="R72" s="18"/>
      <c r="S72" s="18"/>
      <c r="T72" s="18"/>
      <c r="U72" s="18"/>
      <c r="V72" s="18"/>
      <c r="W72" s="18"/>
      <c r="X72" s="18"/>
    </row>
    <row r="73" spans="1:24" x14ac:dyDescent="0.2">
      <c r="A73" s="2" t="s">
        <v>226</v>
      </c>
      <c r="B73" s="19"/>
      <c r="C73" s="20"/>
      <c r="D73" s="21"/>
    </row>
    <row r="74" spans="1:24" x14ac:dyDescent="0.2">
      <c r="A74" s="2" t="s">
        <v>227</v>
      </c>
      <c r="B74" s="19"/>
      <c r="C74" s="20"/>
      <c r="D74" s="21"/>
    </row>
    <row r="75" spans="1:24" x14ac:dyDescent="0.2">
      <c r="A75" s="2" t="s">
        <v>228</v>
      </c>
      <c r="B75" s="19"/>
      <c r="C75" s="20"/>
      <c r="D75" s="21"/>
    </row>
    <row r="76" spans="1:24" x14ac:dyDescent="0.2">
      <c r="A76" s="2" t="s">
        <v>229</v>
      </c>
      <c r="B76" s="19"/>
      <c r="C76" s="20"/>
      <c r="D76" s="21"/>
    </row>
    <row r="77" spans="1:24" x14ac:dyDescent="0.2">
      <c r="A77" s="2" t="s">
        <v>230</v>
      </c>
      <c r="B77" s="19"/>
      <c r="C77" s="20"/>
      <c r="D77" s="21"/>
    </row>
    <row r="78" spans="1:24" x14ac:dyDescent="0.2">
      <c r="A78" s="2" t="s">
        <v>231</v>
      </c>
      <c r="B78" s="19"/>
      <c r="C78" s="20"/>
      <c r="D78" s="21"/>
    </row>
    <row r="79" spans="1:24" x14ac:dyDescent="0.2">
      <c r="A79" s="2" t="s">
        <v>232</v>
      </c>
      <c r="B79" s="19"/>
      <c r="C79" s="20"/>
      <c r="D79" s="21"/>
    </row>
    <row r="80" spans="1:24" x14ac:dyDescent="0.2">
      <c r="A80" s="2" t="s">
        <v>233</v>
      </c>
      <c r="B80" s="19"/>
      <c r="C80" s="20"/>
      <c r="D80" s="21"/>
    </row>
    <row r="81" spans="1:24" x14ac:dyDescent="0.2">
      <c r="A81" s="2" t="s">
        <v>234</v>
      </c>
      <c r="B81" s="19"/>
      <c r="C81" s="20"/>
      <c r="D81" s="21"/>
    </row>
    <row r="82" spans="1:24" x14ac:dyDescent="0.2">
      <c r="A82" s="2" t="s">
        <v>235</v>
      </c>
      <c r="B82" s="19"/>
      <c r="C82" s="20"/>
      <c r="D82" s="21"/>
    </row>
    <row r="83" spans="1:24" x14ac:dyDescent="0.2">
      <c r="A83" s="2" t="s">
        <v>236</v>
      </c>
      <c r="B83" s="19"/>
      <c r="C83" s="20"/>
      <c r="D83" s="21"/>
    </row>
    <row r="84" spans="1:24" x14ac:dyDescent="0.2">
      <c r="A84" s="2" t="s">
        <v>237</v>
      </c>
      <c r="B84" s="19"/>
      <c r="C84" s="20"/>
      <c r="D84" s="21"/>
    </row>
    <row r="86" spans="1:24" x14ac:dyDescent="0.2">
      <c r="A86" s="23" t="s">
        <v>238</v>
      </c>
      <c r="B86" s="18"/>
      <c r="C86" s="18"/>
      <c r="D86" s="18"/>
      <c r="E86" s="18"/>
      <c r="F86" s="18"/>
      <c r="G86" s="18"/>
      <c r="H86" s="18"/>
      <c r="I86" s="18"/>
      <c r="J86" s="18"/>
      <c r="K86" s="18"/>
      <c r="L86" s="18"/>
      <c r="M86" s="18"/>
      <c r="N86" s="18"/>
      <c r="O86" s="18"/>
      <c r="P86" s="18"/>
      <c r="Q86" s="18"/>
      <c r="R86" s="18"/>
      <c r="S86" s="18"/>
      <c r="T86" s="18"/>
      <c r="U86" s="18"/>
      <c r="V86" s="18"/>
      <c r="W86" s="18"/>
      <c r="X86" s="18"/>
    </row>
    <row r="87" spans="1:24" x14ac:dyDescent="0.2">
      <c r="A87" s="25"/>
      <c r="B87" s="26"/>
      <c r="C87" s="26"/>
      <c r="D87" s="26"/>
      <c r="E87" s="26"/>
      <c r="F87" s="26"/>
      <c r="G87" s="26"/>
      <c r="H87" s="26"/>
      <c r="I87" s="26"/>
      <c r="J87" s="26"/>
      <c r="K87" s="26"/>
      <c r="L87" s="26"/>
      <c r="M87" s="26"/>
      <c r="N87" s="26"/>
      <c r="O87" s="26"/>
      <c r="P87" s="26"/>
      <c r="Q87" s="26"/>
      <c r="R87" s="26"/>
      <c r="S87" s="26"/>
      <c r="T87" s="26"/>
      <c r="U87" s="26"/>
      <c r="V87" s="26"/>
      <c r="W87" s="26"/>
      <c r="X87" s="27"/>
    </row>
    <row r="88" spans="1:24" x14ac:dyDescent="0.2">
      <c r="A88" s="28"/>
      <c r="B88" s="18"/>
      <c r="C88" s="18"/>
      <c r="D88" s="18"/>
      <c r="E88" s="18"/>
      <c r="F88" s="18"/>
      <c r="G88" s="18"/>
      <c r="H88" s="18"/>
      <c r="I88" s="18"/>
      <c r="J88" s="18"/>
      <c r="K88" s="18"/>
      <c r="L88" s="18"/>
      <c r="M88" s="18"/>
      <c r="N88" s="18"/>
      <c r="O88" s="18"/>
      <c r="P88" s="18"/>
      <c r="Q88" s="18"/>
      <c r="R88" s="18"/>
      <c r="S88" s="18"/>
      <c r="T88" s="18"/>
      <c r="U88" s="18"/>
      <c r="V88" s="18"/>
      <c r="W88" s="18"/>
      <c r="X88" s="29"/>
    </row>
    <row r="89" spans="1:24" x14ac:dyDescent="0.2">
      <c r="A89" s="28"/>
      <c r="B89" s="18"/>
      <c r="C89" s="18"/>
      <c r="D89" s="18"/>
      <c r="E89" s="18"/>
      <c r="F89" s="18"/>
      <c r="G89" s="18"/>
      <c r="H89" s="18"/>
      <c r="I89" s="18"/>
      <c r="J89" s="18"/>
      <c r="K89" s="18"/>
      <c r="L89" s="18"/>
      <c r="M89" s="18"/>
      <c r="N89" s="18"/>
      <c r="O89" s="18"/>
      <c r="P89" s="18"/>
      <c r="Q89" s="18"/>
      <c r="R89" s="18"/>
      <c r="S89" s="18"/>
      <c r="T89" s="18"/>
      <c r="U89" s="18"/>
      <c r="V89" s="18"/>
      <c r="W89" s="18"/>
      <c r="X89" s="29"/>
    </row>
    <row r="90" spans="1:24" x14ac:dyDescent="0.2">
      <c r="A90" s="28"/>
      <c r="B90" s="18"/>
      <c r="C90" s="18"/>
      <c r="D90" s="18"/>
      <c r="E90" s="18"/>
      <c r="F90" s="18"/>
      <c r="G90" s="18"/>
      <c r="H90" s="18"/>
      <c r="I90" s="18"/>
      <c r="J90" s="18"/>
      <c r="K90" s="18"/>
      <c r="L90" s="18"/>
      <c r="M90" s="18"/>
      <c r="N90" s="18"/>
      <c r="O90" s="18"/>
      <c r="P90" s="18"/>
      <c r="Q90" s="18"/>
      <c r="R90" s="18"/>
      <c r="S90" s="18"/>
      <c r="T90" s="18"/>
      <c r="U90" s="18"/>
      <c r="V90" s="18"/>
      <c r="W90" s="18"/>
      <c r="X90" s="29"/>
    </row>
    <row r="91" spans="1:24" x14ac:dyDescent="0.2">
      <c r="A91" s="28"/>
      <c r="B91" s="18"/>
      <c r="C91" s="18"/>
      <c r="D91" s="18"/>
      <c r="E91" s="18"/>
      <c r="F91" s="18"/>
      <c r="G91" s="18"/>
      <c r="H91" s="18"/>
      <c r="I91" s="18"/>
      <c r="J91" s="18"/>
      <c r="K91" s="18"/>
      <c r="L91" s="18"/>
      <c r="M91" s="18"/>
      <c r="N91" s="18"/>
      <c r="O91" s="18"/>
      <c r="P91" s="18"/>
      <c r="Q91" s="18"/>
      <c r="R91" s="18"/>
      <c r="S91" s="18"/>
      <c r="T91" s="18"/>
      <c r="U91" s="18"/>
      <c r="V91" s="18"/>
      <c r="W91" s="18"/>
      <c r="X91" s="29"/>
    </row>
    <row r="92" spans="1:24" x14ac:dyDescent="0.2">
      <c r="A92" s="28"/>
      <c r="B92" s="18"/>
      <c r="C92" s="18"/>
      <c r="D92" s="18"/>
      <c r="E92" s="18"/>
      <c r="F92" s="18"/>
      <c r="G92" s="18"/>
      <c r="H92" s="18"/>
      <c r="I92" s="18"/>
      <c r="J92" s="18"/>
      <c r="K92" s="18"/>
      <c r="L92" s="18"/>
      <c r="M92" s="18"/>
      <c r="N92" s="18"/>
      <c r="O92" s="18"/>
      <c r="P92" s="18"/>
      <c r="Q92" s="18"/>
      <c r="R92" s="18"/>
      <c r="S92" s="18"/>
      <c r="T92" s="18"/>
      <c r="U92" s="18"/>
      <c r="V92" s="18"/>
      <c r="W92" s="18"/>
      <c r="X92" s="29"/>
    </row>
    <row r="93" spans="1:24" x14ac:dyDescent="0.2">
      <c r="A93" s="28"/>
      <c r="B93" s="18"/>
      <c r="C93" s="18"/>
      <c r="D93" s="18"/>
      <c r="E93" s="18"/>
      <c r="F93" s="18"/>
      <c r="G93" s="18"/>
      <c r="H93" s="18"/>
      <c r="I93" s="18"/>
      <c r="J93" s="18"/>
      <c r="K93" s="18"/>
      <c r="L93" s="18"/>
      <c r="M93" s="18"/>
      <c r="N93" s="18"/>
      <c r="O93" s="18"/>
      <c r="P93" s="18"/>
      <c r="Q93" s="18"/>
      <c r="R93" s="18"/>
      <c r="S93" s="18"/>
      <c r="T93" s="18"/>
      <c r="U93" s="18"/>
      <c r="V93" s="18"/>
      <c r="W93" s="18"/>
      <c r="X93" s="29"/>
    </row>
    <row r="94" spans="1:24" x14ac:dyDescent="0.2">
      <c r="A94" s="28"/>
      <c r="B94" s="18"/>
      <c r="C94" s="18"/>
      <c r="D94" s="18"/>
      <c r="E94" s="18"/>
      <c r="F94" s="18"/>
      <c r="G94" s="18"/>
      <c r="H94" s="18"/>
      <c r="I94" s="18"/>
      <c r="J94" s="18"/>
      <c r="K94" s="18"/>
      <c r="L94" s="18"/>
      <c r="M94" s="18"/>
      <c r="N94" s="18"/>
      <c r="O94" s="18"/>
      <c r="P94" s="18"/>
      <c r="Q94" s="18"/>
      <c r="R94" s="18"/>
      <c r="S94" s="18"/>
      <c r="T94" s="18"/>
      <c r="U94" s="18"/>
      <c r="V94" s="18"/>
      <c r="W94" s="18"/>
      <c r="X94" s="29"/>
    </row>
    <row r="95" spans="1:24" x14ac:dyDescent="0.2">
      <c r="A95" s="30"/>
      <c r="B95" s="31"/>
      <c r="C95" s="31"/>
      <c r="D95" s="31"/>
      <c r="E95" s="31"/>
      <c r="F95" s="31"/>
      <c r="G95" s="31"/>
      <c r="H95" s="31"/>
      <c r="I95" s="31"/>
      <c r="J95" s="31"/>
      <c r="K95" s="31"/>
      <c r="L95" s="31"/>
      <c r="M95" s="31"/>
      <c r="N95" s="31"/>
      <c r="O95" s="31"/>
      <c r="P95" s="31"/>
      <c r="Q95" s="31"/>
      <c r="R95" s="31"/>
      <c r="S95" s="31"/>
      <c r="T95" s="31"/>
      <c r="U95" s="31"/>
      <c r="V95" s="31"/>
      <c r="W95" s="31"/>
      <c r="X95" s="32"/>
    </row>
  </sheetData>
  <mergeCells count="17">
    <mergeCell ref="A1:X1"/>
    <mergeCell ref="B75:D75"/>
    <mergeCell ref="B83:D83"/>
    <mergeCell ref="B77:D77"/>
    <mergeCell ref="B78:D78"/>
    <mergeCell ref="B81:D81"/>
    <mergeCell ref="B84:D84"/>
    <mergeCell ref="A86:X86"/>
    <mergeCell ref="A87:X95"/>
    <mergeCell ref="B73:D73"/>
    <mergeCell ref="B74:D74"/>
    <mergeCell ref="B82:D82"/>
    <mergeCell ref="A3:X3"/>
    <mergeCell ref="B80:D80"/>
    <mergeCell ref="B76:D76"/>
    <mergeCell ref="B79:D79"/>
    <mergeCell ref="A72:X72"/>
  </mergeCells>
  <dataValidations count="13">
    <dataValidation type="list" sqref="B8 B9 B10 B11 B12 B13 B14 B15 B16 B17 B18 B19 B20" xr:uid="{00000000-0002-0000-0500-000000000000}">
      <formula1>"Password,MFA,Certificate,Token,SSO,Federation,Biometric,API Key,Service Account,N/A"</formula1>
    </dataValidation>
    <dataValidation type="list" sqref="C8 C9 C10 C11 C12 C13 C14 C15 C16 C17 C18 C19 C20" xr:uid="{00000000-0002-0000-0500-000001000000}">
      <formula1>"End User,Administrator,Service Account,External User,API Client,N/A"</formula1>
    </dataValidation>
    <dataValidation type="list" sqref="D8 D9 D10 D11 D12 D13 D14 D15 D16 D17 D18 D19 D20" xr:uid="{00000000-0002-0000-0500-000002000000}">
      <formula1>"Public,Internal,Confidential,Restricted,N/A"</formula1>
    </dataValidation>
    <dataValidation type="list" sqref="E8 E9 E10 E11 E12 E13 E14 E15 E16 E17 E18 E19 E20" xr:uid="{00000000-0002-0000-0500-000003000000}">
      <formula1>"bcrypt,Argon2,PBKDF2,scrypt,SHA-256,SHA-512,RSA-2048+,ECDSA,None,N/A"</formula1>
    </dataValidation>
    <dataValidation type="list" sqref="F8 F9 F10 F11 F12 F13 F14 F15 F16 F17 F18 F19 F20" xr:uid="{00000000-0002-0000-0500-000004000000}">
      <formula1>"Properly Hashed,Encrypted,Plaintext (Non-compliant),Salted,N/A"</formula1>
    </dataValidation>
    <dataValidation type="list" sqref="G8 G9 G10 G11 G12 G13 G14 G15 G16 G17 G18 G19 G20" xr:uid="{00000000-0002-0000-0500-000005000000}">
      <formula1>"Strong (≥14 chars),Adequate (12-13),Weak (&lt;12),N/A"</formula1>
    </dataValidation>
    <dataValidation type="list" sqref="H8 H9 H10 H11 H12 H13 H14 H15 H16 H17 H18 H19 H20" xr:uid="{00000000-0002-0000-0500-000006000000}">
      <formula1>"✅ Compliant,⚠️ Partial,❌ Non-Compliant,N/A"</formula1>
    </dataValidation>
    <dataValidation type="list" sqref="K8:K20 B73 B75" xr:uid="{00000000-0002-0000-0500-000007000000}">
      <formula1>"Yes,No"</formula1>
    </dataValidation>
    <dataValidation type="list" sqref="Q8 Q9 Q10 Q11 Q12 Q13 Q14 Q15 Q16 Q17 Q18 Q19 Q20" xr:uid="{00000000-0002-0000-0500-000008000000}">
      <formula1>"Yes,No,Unknown"</formula1>
    </dataValidation>
    <dataValidation type="list" sqref="B4" xr:uid="{00000000-0002-0000-0500-000009000000}">
      <formula1>"Yes,No,Not Applicable"</formula1>
    </dataValidation>
    <dataValidation type="list" sqref="C24:C43 T8:U20 W8:X20" xr:uid="{00000000-0002-0000-0500-00000A000000}">
      <formula1>"Yes,No,N/A"</formula1>
    </dataValidation>
    <dataValidation type="list" sqref="R8 R9 R10 R11 R12 R13 R14 R15 R16 R17 R18 R19 R20" xr:uid="{00000000-0002-0000-0500-00000C000000}">
      <formula1>"SAML 2.0,OAuth 2.0,OIDC,WS-Federation,Kerberos,LDAP,None,N/A"</formula1>
    </dataValidation>
    <dataValidation type="list" sqref="V8 V9 V10 V11 V12 V13 V14 V15 V16 V17 V18 V19 V20" xr:uid="{00000000-0002-0000-0500-00000D000000}">
      <formula1>"≤1 hour,1-8 hours,&gt;8 hours,No timeout,N/A"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4"/>
  <sheetViews>
    <sheetView workbookViewId="0">
      <pane ySplit="3" topLeftCell="A4" activePane="bottomLeft" state="frozen"/>
      <selection pane="bottomLeft"/>
    </sheetView>
  </sheetViews>
  <sheetFormatPr baseColWidth="10" defaultColWidth="8.83203125" defaultRowHeight="15" x14ac:dyDescent="0.2"/>
  <cols>
    <col min="1" max="1" width="30" customWidth="1"/>
    <col min="2" max="7" width="15" customWidth="1"/>
  </cols>
  <sheetData>
    <row r="1" spans="1:7" ht="30" customHeight="1" x14ac:dyDescent="0.2">
      <c r="A1" s="17" t="s">
        <v>771</v>
      </c>
      <c r="B1" s="18"/>
      <c r="C1" s="18"/>
      <c r="D1" s="18"/>
      <c r="E1" s="18"/>
      <c r="F1" s="18"/>
      <c r="G1" s="18"/>
    </row>
    <row r="3" spans="1:7" x14ac:dyDescent="0.2">
      <c r="A3" s="4" t="s">
        <v>4</v>
      </c>
      <c r="B3" s="4" t="s">
        <v>772</v>
      </c>
      <c r="C3" s="4" t="s">
        <v>30</v>
      </c>
      <c r="D3" s="4" t="s">
        <v>33</v>
      </c>
      <c r="E3" s="4" t="s">
        <v>36</v>
      </c>
      <c r="F3" s="4" t="s">
        <v>38</v>
      </c>
      <c r="G3" s="4" t="s">
        <v>773</v>
      </c>
    </row>
    <row r="4" spans="1:7" x14ac:dyDescent="0.2">
      <c r="A4" t="s">
        <v>774</v>
      </c>
      <c r="B4">
        <f>COUNTA('1. Password Security'!H8:H20)</f>
        <v>8</v>
      </c>
      <c r="C4">
        <f>COUNTIF('1. Password Security'!H8:H20,"✅*")</f>
        <v>7</v>
      </c>
      <c r="D4">
        <f>COUNTIF('1. Password Security'!H8:H20,"⚠️*")</f>
        <v>0</v>
      </c>
      <c r="E4">
        <f>COUNTIF('1. Password Security'!H8:H20,"❌*")</f>
        <v>1</v>
      </c>
      <c r="F4">
        <f>COUNTIF('1. Password Security'!H8:H20,"N/A")</f>
        <v>0</v>
      </c>
      <c r="G4" t="str">
        <f t="shared" ref="G4:G9" si="0">IF((B4-F4)=0,"0%",ROUND(C4/(B4-F4)*100,1)&amp;"%")</f>
        <v>87.5%</v>
      </c>
    </row>
    <row r="5" spans="1:7" x14ac:dyDescent="0.2">
      <c r="A5" t="s">
        <v>775</v>
      </c>
      <c r="B5">
        <f>COUNTA('2. Multi-Factor Authentication'!H8:H20)</f>
        <v>8</v>
      </c>
      <c r="C5">
        <f>COUNTIF('2. Multi-Factor Authentication'!H8:H20,"✅*")</f>
        <v>6</v>
      </c>
      <c r="D5">
        <f>COUNTIF('2. Multi-Factor Authentication'!H8:H20,"⚠️*")</f>
        <v>1</v>
      </c>
      <c r="E5">
        <f>COUNTIF('2. Multi-Factor Authentication'!H8:H20,"❌*")</f>
        <v>1</v>
      </c>
      <c r="F5">
        <f>COUNTIF('2. Multi-Factor Authentication'!H8:H20,"N/A")</f>
        <v>0</v>
      </c>
      <c r="G5" t="str">
        <f t="shared" si="0"/>
        <v>75%</v>
      </c>
    </row>
    <row r="6" spans="1:7" x14ac:dyDescent="0.2">
      <c r="A6" t="s">
        <v>776</v>
      </c>
      <c r="B6">
        <f>COUNTA('3. Certificate-Based Auth'!H8:H20)</f>
        <v>6</v>
      </c>
      <c r="C6">
        <f>COUNTIF('3. Certificate-Based Auth'!H8:H20,"✅*")</f>
        <v>5</v>
      </c>
      <c r="D6">
        <f>COUNTIF('3. Certificate-Based Auth'!H8:H20,"⚠️*")</f>
        <v>1</v>
      </c>
      <c r="E6">
        <f>COUNTIF('3. Certificate-Based Auth'!H8:H20,"❌*")</f>
        <v>0</v>
      </c>
      <c r="F6">
        <f>COUNTIF('3. Certificate-Based Auth'!H8:H20,"N/A")</f>
        <v>0</v>
      </c>
      <c r="G6" t="str">
        <f t="shared" si="0"/>
        <v>83.3%</v>
      </c>
    </row>
    <row r="7" spans="1:7" x14ac:dyDescent="0.2">
      <c r="A7" t="s">
        <v>777</v>
      </c>
      <c r="B7">
        <f>COUNTA('4. Service Accounts'!H8:H20)</f>
        <v>7</v>
      </c>
      <c r="C7">
        <f>COUNTIF('4. Service Accounts'!H8:H20,"✅*")</f>
        <v>4</v>
      </c>
      <c r="D7">
        <f>COUNTIF('4. Service Accounts'!H8:H20,"⚠️*")</f>
        <v>2</v>
      </c>
      <c r="E7">
        <f>COUNTIF('4. Service Accounts'!H8:H20,"❌*")</f>
        <v>1</v>
      </c>
      <c r="F7">
        <f>COUNTIF('4. Service Accounts'!H8:H20,"N/A")</f>
        <v>0</v>
      </c>
      <c r="G7" t="str">
        <f t="shared" si="0"/>
        <v>57.1%</v>
      </c>
    </row>
    <row r="8" spans="1:7" x14ac:dyDescent="0.2">
      <c r="A8" t="s">
        <v>778</v>
      </c>
      <c r="B8">
        <f>COUNTA('5. SSO &amp; Federation'!H8:H20)</f>
        <v>7</v>
      </c>
      <c r="C8">
        <f>COUNTIF('5. SSO &amp; Federation'!H8:H20,"✅*")</f>
        <v>5</v>
      </c>
      <c r="D8">
        <f>COUNTIF('5. SSO &amp; Federation'!H8:H20,"⚠️*")</f>
        <v>1</v>
      </c>
      <c r="E8">
        <f>COUNTIF('5. SSO &amp; Federation'!H8:H20,"❌*")</f>
        <v>1</v>
      </c>
      <c r="F8">
        <f>COUNTIF('5. SSO &amp; Federation'!H8:H20,"N/A")</f>
        <v>0</v>
      </c>
      <c r="G8" t="str">
        <f t="shared" si="0"/>
        <v>71.4%</v>
      </c>
    </row>
    <row r="9" spans="1:7" ht="16" x14ac:dyDescent="0.2">
      <c r="A9" s="2" t="s">
        <v>779</v>
      </c>
      <c r="B9" s="2">
        <f>SUM(B4:B8)</f>
        <v>36</v>
      </c>
      <c r="C9" s="2">
        <f>SUM(C4:C8)</f>
        <v>27</v>
      </c>
      <c r="D9" s="2">
        <f>SUM(D4:D8)</f>
        <v>5</v>
      </c>
      <c r="E9" s="2">
        <f>SUM(E4:E8)</f>
        <v>4</v>
      </c>
      <c r="F9" s="2">
        <f>SUM(F4:F8)</f>
        <v>0</v>
      </c>
      <c r="G9" s="14" t="str">
        <f t="shared" si="0"/>
        <v>75%</v>
      </c>
    </row>
    <row r="12" spans="1:7" ht="16" x14ac:dyDescent="0.2">
      <c r="A12" s="33" t="s">
        <v>780</v>
      </c>
      <c r="B12" s="18"/>
      <c r="C12" s="18"/>
      <c r="D12" s="18"/>
    </row>
    <row r="13" spans="1:7" x14ac:dyDescent="0.2">
      <c r="A13" s="4" t="s">
        <v>60</v>
      </c>
      <c r="B13" s="4" t="s">
        <v>781</v>
      </c>
      <c r="C13" s="4" t="s">
        <v>782</v>
      </c>
      <c r="D13" s="4" t="s">
        <v>783</v>
      </c>
    </row>
    <row r="14" spans="1:7" x14ac:dyDescent="0.2">
      <c r="A14" t="s">
        <v>784</v>
      </c>
      <c r="B14" s="15"/>
      <c r="C14" t="str">
        <f>IF(SUM(B14:B14)=0,"0%",ROUND(B14/SUM(B$14:B$14)*100,1)&amp;"%")</f>
        <v>0%</v>
      </c>
      <c r="D14" t="s">
        <v>785</v>
      </c>
    </row>
    <row r="15" spans="1:7" x14ac:dyDescent="0.2">
      <c r="A15" t="s">
        <v>786</v>
      </c>
      <c r="B15" s="15"/>
      <c r="C15" t="str">
        <f>IF(SUM(B14:B15)=0,"0%",ROUND(B15/SUM(B$14:B$15)*100,1)&amp;"%")</f>
        <v>0%</v>
      </c>
      <c r="D15" t="s">
        <v>787</v>
      </c>
    </row>
    <row r="16" spans="1:7" x14ac:dyDescent="0.2">
      <c r="A16" t="s">
        <v>338</v>
      </c>
      <c r="B16" s="15"/>
      <c r="C16" t="str">
        <f>IF(SUM(B14:B16)=0,"0%",ROUND(B16/SUM(B$14:B$16)*100,1)&amp;"%")</f>
        <v>0%</v>
      </c>
      <c r="D16" t="s">
        <v>788</v>
      </c>
    </row>
    <row r="17" spans="1:5" x14ac:dyDescent="0.2">
      <c r="A17" t="s">
        <v>789</v>
      </c>
      <c r="B17" s="15"/>
      <c r="C17" t="str">
        <f>IF(SUM(B14:B17)=0,"0%",ROUND(B17/SUM(B$14:B$17)*100,1)&amp;"%")</f>
        <v>0%</v>
      </c>
      <c r="D17" t="s">
        <v>788</v>
      </c>
    </row>
    <row r="18" spans="1:5" x14ac:dyDescent="0.2">
      <c r="A18" t="s">
        <v>790</v>
      </c>
      <c r="B18" s="15"/>
      <c r="C18" t="str">
        <f>IF(SUM(B14:B18)=0,"0%",ROUND(B18/SUM(B$14:B$18)*100,1)&amp;"%")</f>
        <v>0%</v>
      </c>
      <c r="D18" t="s">
        <v>788</v>
      </c>
    </row>
    <row r="19" spans="1:5" x14ac:dyDescent="0.2">
      <c r="A19" t="s">
        <v>791</v>
      </c>
      <c r="B19" s="15"/>
      <c r="C19" t="str">
        <f>IF(SUM(B14:B19)=0,"0%",ROUND(B19/SUM(B$14:B$19)*100,1)&amp;"%")</f>
        <v>0%</v>
      </c>
      <c r="D19" t="s">
        <v>792</v>
      </c>
    </row>
    <row r="22" spans="1:5" ht="16" x14ac:dyDescent="0.2">
      <c r="A22" s="33" t="s">
        <v>793</v>
      </c>
      <c r="B22" s="18"/>
      <c r="C22" s="18"/>
      <c r="D22" s="18"/>
      <c r="E22" s="18"/>
    </row>
    <row r="23" spans="1:5" x14ac:dyDescent="0.2">
      <c r="A23" s="4" t="s">
        <v>61</v>
      </c>
      <c r="B23" s="4" t="s">
        <v>794</v>
      </c>
      <c r="C23" s="4" t="s">
        <v>795</v>
      </c>
      <c r="D23" s="4" t="s">
        <v>796</v>
      </c>
      <c r="E23" s="4" t="s">
        <v>243</v>
      </c>
    </row>
    <row r="24" spans="1:5" x14ac:dyDescent="0.2">
      <c r="A24" t="s">
        <v>797</v>
      </c>
      <c r="B24" s="15"/>
      <c r="C24" s="15"/>
      <c r="D24" t="str">
        <f>IF(B24&gt;0,C24/B24*100&amp;"%","N/A")</f>
        <v>N/A</v>
      </c>
      <c r="E24" s="15"/>
    </row>
    <row r="25" spans="1:5" x14ac:dyDescent="0.2">
      <c r="A25" t="s">
        <v>798</v>
      </c>
      <c r="B25" s="15"/>
      <c r="C25" s="15"/>
      <c r="D25" t="str">
        <f>IF(B25&gt;0,C25/B25*100&amp;"%","N/A")</f>
        <v>N/A</v>
      </c>
      <c r="E25" s="15"/>
    </row>
    <row r="26" spans="1:5" x14ac:dyDescent="0.2">
      <c r="A26" t="s">
        <v>799</v>
      </c>
      <c r="B26" s="15"/>
      <c r="C26" s="15"/>
      <c r="D26" t="str">
        <f>IF(B26&gt;0,C26/B26*100&amp;"%","N/A")</f>
        <v>N/A</v>
      </c>
      <c r="E26" s="15"/>
    </row>
    <row r="27" spans="1:5" x14ac:dyDescent="0.2">
      <c r="A27" t="s">
        <v>800</v>
      </c>
      <c r="B27" s="15"/>
      <c r="C27" s="15"/>
      <c r="D27" t="str">
        <f>IF(B27&gt;0,C27/B27*100&amp;"%","N/A")</f>
        <v>N/A</v>
      </c>
      <c r="E27" s="15"/>
    </row>
    <row r="28" spans="1:5" x14ac:dyDescent="0.2">
      <c r="A28" t="s">
        <v>801</v>
      </c>
      <c r="B28" s="15"/>
      <c r="C28" s="15"/>
      <c r="D28" t="str">
        <f>IF(B28&gt;0,C28/B28*100&amp;"%","N/A")</f>
        <v>N/A</v>
      </c>
      <c r="E28" s="15"/>
    </row>
    <row r="31" spans="1:5" ht="16" x14ac:dyDescent="0.2">
      <c r="A31" s="33" t="s">
        <v>802</v>
      </c>
      <c r="B31" s="18"/>
      <c r="C31" s="18"/>
      <c r="D31" s="18"/>
    </row>
    <row r="32" spans="1:5" x14ac:dyDescent="0.2">
      <c r="A32" s="4" t="s">
        <v>803</v>
      </c>
      <c r="B32" s="4" t="s">
        <v>781</v>
      </c>
      <c r="C32" s="4" t="s">
        <v>782</v>
      </c>
      <c r="D32" s="4" t="s">
        <v>804</v>
      </c>
    </row>
    <row r="33" spans="1:4" x14ac:dyDescent="0.2">
      <c r="A33" t="s">
        <v>805</v>
      </c>
      <c r="B33" s="15"/>
      <c r="C33" t="str">
        <f>IF(SUM(B33:B33)=0,"0%",ROUND(B33/SUM(B$33:B$33)*100,1)&amp;"%")</f>
        <v>0%</v>
      </c>
      <c r="D33" t="s">
        <v>89</v>
      </c>
    </row>
    <row r="34" spans="1:4" x14ac:dyDescent="0.2">
      <c r="A34" t="s">
        <v>806</v>
      </c>
      <c r="B34" s="15"/>
      <c r="C34" t="str">
        <f>IF(SUM(B33:B34)=0,"0%",ROUND(B34/SUM(B$33:B$34)*100,1)&amp;"%")</f>
        <v>0%</v>
      </c>
      <c r="D34" t="s">
        <v>807</v>
      </c>
    </row>
    <row r="35" spans="1:4" x14ac:dyDescent="0.2">
      <c r="A35" t="s">
        <v>808</v>
      </c>
      <c r="B35" s="15"/>
      <c r="C35" t="str">
        <f>IF(SUM(B33:B35)=0,"0%",ROUND(B35/SUM(B$33:B$35)*100,1)&amp;"%")</f>
        <v>0%</v>
      </c>
      <c r="D35" t="s">
        <v>144</v>
      </c>
    </row>
    <row r="36" spans="1:4" x14ac:dyDescent="0.2">
      <c r="A36" t="s">
        <v>809</v>
      </c>
      <c r="B36" s="15"/>
      <c r="C36" t="str">
        <f>IF(SUM(B33:B36)=0,"0%",ROUND(B36/SUM(B$33:B$36)*100,1)&amp;"%")</f>
        <v>0%</v>
      </c>
      <c r="D36" t="s">
        <v>810</v>
      </c>
    </row>
    <row r="37" spans="1:4" x14ac:dyDescent="0.2">
      <c r="A37" t="s">
        <v>811</v>
      </c>
      <c r="B37" s="15"/>
      <c r="C37" t="str">
        <f>IF(SUM(B33:B37)=0,"0%",ROUND(B37/SUM(B$33:B$37)*100,1)&amp;"%")</f>
        <v>0%</v>
      </c>
      <c r="D37" t="s">
        <v>812</v>
      </c>
    </row>
    <row r="38" spans="1:4" x14ac:dyDescent="0.2">
      <c r="A38" t="s">
        <v>813</v>
      </c>
      <c r="B38" s="15"/>
      <c r="C38" t="str">
        <f>IF(SUM(B33:B38)=0,"0%",ROUND(B38/SUM(B$33:B$38)*100,1)&amp;"%")</f>
        <v>0%</v>
      </c>
      <c r="D38" t="s">
        <v>814</v>
      </c>
    </row>
    <row r="39" spans="1:4" x14ac:dyDescent="0.2">
      <c r="A39" t="s">
        <v>815</v>
      </c>
      <c r="B39" s="15"/>
      <c r="C39" t="str">
        <f>IF(SUM(B33:B39)=0,"0%",ROUND(B39/SUM(B$33:B$39)*100,1)&amp;"%")</f>
        <v>0%</v>
      </c>
      <c r="D39" t="s">
        <v>816</v>
      </c>
    </row>
    <row r="40" spans="1:4" x14ac:dyDescent="0.2">
      <c r="A40" t="s">
        <v>817</v>
      </c>
      <c r="B40" s="15"/>
      <c r="C40" t="str">
        <f>IF(SUM(B33:B40)=0,"0%",ROUND(B40/SUM(B$33:B$40)*100,1)&amp;"%")</f>
        <v>0%</v>
      </c>
      <c r="D40" t="s">
        <v>816</v>
      </c>
    </row>
    <row r="43" spans="1:4" ht="16" x14ac:dyDescent="0.2">
      <c r="A43" s="33" t="s">
        <v>818</v>
      </c>
      <c r="B43" s="18"/>
      <c r="C43" s="18"/>
    </row>
    <row r="44" spans="1:4" x14ac:dyDescent="0.2">
      <c r="A44" s="4" t="s">
        <v>819</v>
      </c>
      <c r="B44" s="4" t="s">
        <v>781</v>
      </c>
      <c r="C44" s="4" t="s">
        <v>27</v>
      </c>
    </row>
    <row r="45" spans="1:4" x14ac:dyDescent="0.2">
      <c r="A45" t="s">
        <v>820</v>
      </c>
      <c r="B45" s="15"/>
    </row>
    <row r="46" spans="1:4" x14ac:dyDescent="0.2">
      <c r="A46" t="s">
        <v>821</v>
      </c>
      <c r="B46" s="15"/>
      <c r="C46" t="s">
        <v>29</v>
      </c>
    </row>
    <row r="47" spans="1:4" x14ac:dyDescent="0.2">
      <c r="A47" t="s">
        <v>589</v>
      </c>
      <c r="B47" s="15"/>
      <c r="C47" t="s">
        <v>29</v>
      </c>
    </row>
    <row r="48" spans="1:4" x14ac:dyDescent="0.2">
      <c r="A48" t="s">
        <v>822</v>
      </c>
      <c r="B48" s="15"/>
      <c r="C48" t="s">
        <v>35</v>
      </c>
    </row>
    <row r="49" spans="1:4" x14ac:dyDescent="0.2">
      <c r="A49" t="s">
        <v>823</v>
      </c>
      <c r="B49" s="15"/>
      <c r="C49" t="s">
        <v>29</v>
      </c>
    </row>
    <row r="50" spans="1:4" x14ac:dyDescent="0.2">
      <c r="A50" t="s">
        <v>824</v>
      </c>
      <c r="B50" s="15"/>
      <c r="C50" t="s">
        <v>29</v>
      </c>
    </row>
    <row r="51" spans="1:4" x14ac:dyDescent="0.2">
      <c r="A51" t="s">
        <v>825</v>
      </c>
      <c r="B51" s="15"/>
      <c r="C51" t="s">
        <v>32</v>
      </c>
    </row>
    <row r="54" spans="1:4" ht="16" x14ac:dyDescent="0.2">
      <c r="A54" s="33" t="s">
        <v>826</v>
      </c>
      <c r="B54" s="18"/>
      <c r="C54" s="18"/>
    </row>
    <row r="55" spans="1:4" x14ac:dyDescent="0.2">
      <c r="A55" s="4" t="s">
        <v>827</v>
      </c>
      <c r="B55" s="4" t="s">
        <v>781</v>
      </c>
      <c r="C55" s="4" t="s">
        <v>27</v>
      </c>
    </row>
    <row r="56" spans="1:4" x14ac:dyDescent="0.2">
      <c r="A56" t="s">
        <v>828</v>
      </c>
      <c r="B56" s="15"/>
    </row>
    <row r="57" spans="1:4" x14ac:dyDescent="0.2">
      <c r="A57" t="s">
        <v>829</v>
      </c>
      <c r="B57" s="15"/>
    </row>
    <row r="58" spans="1:4" x14ac:dyDescent="0.2">
      <c r="A58" t="s">
        <v>830</v>
      </c>
      <c r="B58" s="15"/>
    </row>
    <row r="59" spans="1:4" x14ac:dyDescent="0.2">
      <c r="A59" t="s">
        <v>831</v>
      </c>
      <c r="B59" s="15"/>
      <c r="C59" t="s">
        <v>29</v>
      </c>
    </row>
    <row r="60" spans="1:4" x14ac:dyDescent="0.2">
      <c r="A60" t="s">
        <v>832</v>
      </c>
      <c r="B60" s="15"/>
      <c r="C60" t="s">
        <v>32</v>
      </c>
    </row>
    <row r="61" spans="1:4" x14ac:dyDescent="0.2">
      <c r="A61" t="s">
        <v>833</v>
      </c>
      <c r="B61" s="15"/>
      <c r="C61" t="s">
        <v>29</v>
      </c>
    </row>
    <row r="64" spans="1:4" ht="16" x14ac:dyDescent="0.2">
      <c r="A64" s="34" t="s">
        <v>834</v>
      </c>
      <c r="B64" s="18"/>
      <c r="C64" s="18"/>
      <c r="D64" s="18"/>
    </row>
    <row r="65" spans="1:7" x14ac:dyDescent="0.2">
      <c r="A65" s="2" t="s">
        <v>470</v>
      </c>
      <c r="B65" s="2" t="s">
        <v>835</v>
      </c>
      <c r="C65" s="2" t="s">
        <v>836</v>
      </c>
      <c r="D65" s="2" t="s">
        <v>837</v>
      </c>
    </row>
    <row r="66" spans="1:7" x14ac:dyDescent="0.2">
      <c r="A66" t="s">
        <v>838</v>
      </c>
      <c r="B66" t="s">
        <v>839</v>
      </c>
      <c r="C66" s="15"/>
      <c r="D66">
        <f>C66*B66</f>
        <v>0</v>
      </c>
    </row>
    <row r="67" spans="1:7" x14ac:dyDescent="0.2">
      <c r="A67" t="s">
        <v>840</v>
      </c>
      <c r="B67" t="s">
        <v>841</v>
      </c>
      <c r="C67" s="15"/>
      <c r="D67">
        <f>C67*B67</f>
        <v>0</v>
      </c>
    </row>
    <row r="68" spans="1:7" x14ac:dyDescent="0.2">
      <c r="A68" t="s">
        <v>842</v>
      </c>
      <c r="B68" t="s">
        <v>843</v>
      </c>
      <c r="C68" s="15"/>
      <c r="D68">
        <f>C68*B68</f>
        <v>0</v>
      </c>
    </row>
    <row r="69" spans="1:7" x14ac:dyDescent="0.2">
      <c r="A69" t="s">
        <v>844</v>
      </c>
      <c r="B69" t="s">
        <v>843</v>
      </c>
      <c r="C69" s="15"/>
      <c r="D69">
        <f>C69*B69</f>
        <v>0</v>
      </c>
    </row>
    <row r="70" spans="1:7" x14ac:dyDescent="0.2">
      <c r="A70" t="s">
        <v>845</v>
      </c>
      <c r="B70" t="s">
        <v>839</v>
      </c>
      <c r="C70" s="15"/>
      <c r="D70">
        <f>C70*B70</f>
        <v>0</v>
      </c>
    </row>
    <row r="71" spans="1:7" ht="16" x14ac:dyDescent="0.2">
      <c r="A71" s="2" t="s">
        <v>846</v>
      </c>
      <c r="D71" s="14" t="str">
        <f>SUM(D66:D70)*100&amp;"%"</f>
        <v>0%</v>
      </c>
    </row>
    <row r="72" spans="1:7" x14ac:dyDescent="0.2">
      <c r="A72" s="2" t="s">
        <v>847</v>
      </c>
      <c r="B72" s="15"/>
    </row>
    <row r="75" spans="1:7" ht="16" x14ac:dyDescent="0.2">
      <c r="A75" s="35" t="s">
        <v>848</v>
      </c>
      <c r="B75" s="18"/>
      <c r="C75" s="18"/>
      <c r="D75" s="18"/>
      <c r="E75" s="18"/>
      <c r="F75" s="18"/>
      <c r="G75" s="18"/>
    </row>
    <row r="76" spans="1:7" x14ac:dyDescent="0.2">
      <c r="A76" s="4" t="s">
        <v>350</v>
      </c>
      <c r="B76" s="4" t="s">
        <v>4</v>
      </c>
      <c r="C76" s="4" t="s">
        <v>67</v>
      </c>
      <c r="D76" s="4" t="s">
        <v>849</v>
      </c>
      <c r="E76" s="4" t="s">
        <v>72</v>
      </c>
      <c r="F76" s="4" t="s">
        <v>73</v>
      </c>
      <c r="G76" s="4" t="s">
        <v>27</v>
      </c>
    </row>
    <row r="77" spans="1:7" x14ac:dyDescent="0.2">
      <c r="A77" s="15"/>
      <c r="B77" s="11"/>
      <c r="C77" s="11"/>
      <c r="D77" s="11"/>
      <c r="E77" s="11"/>
      <c r="F77" s="15"/>
      <c r="G77" s="15"/>
    </row>
    <row r="78" spans="1:7" x14ac:dyDescent="0.2">
      <c r="A78" s="15"/>
      <c r="B78" s="11"/>
      <c r="C78" s="11"/>
      <c r="D78" s="11"/>
      <c r="E78" s="11"/>
      <c r="F78" s="15"/>
      <c r="G78" s="15"/>
    </row>
    <row r="79" spans="1:7" x14ac:dyDescent="0.2">
      <c r="A79" s="15"/>
      <c r="B79" s="11"/>
      <c r="C79" s="11"/>
      <c r="D79" s="11"/>
      <c r="E79" s="11"/>
      <c r="F79" s="15"/>
      <c r="G79" s="15"/>
    </row>
    <row r="80" spans="1:7" x14ac:dyDescent="0.2">
      <c r="A80" s="15"/>
      <c r="B80" s="11"/>
      <c r="C80" s="11"/>
      <c r="D80" s="11"/>
      <c r="E80" s="11"/>
      <c r="F80" s="15"/>
      <c r="G80" s="15"/>
    </row>
    <row r="81" spans="1:7" x14ac:dyDescent="0.2">
      <c r="A81" s="15"/>
      <c r="B81" s="11"/>
      <c r="C81" s="11"/>
      <c r="D81" s="11"/>
      <c r="E81" s="11"/>
      <c r="F81" s="15"/>
      <c r="G81" s="15"/>
    </row>
    <row r="82" spans="1:7" x14ac:dyDescent="0.2">
      <c r="A82" s="15"/>
      <c r="B82" s="11"/>
      <c r="C82" s="11"/>
      <c r="D82" s="11"/>
      <c r="E82" s="11"/>
      <c r="F82" s="15"/>
      <c r="G82" s="15"/>
    </row>
    <row r="83" spans="1:7" x14ac:dyDescent="0.2">
      <c r="A83" s="15"/>
      <c r="B83" s="11"/>
      <c r="C83" s="11"/>
      <c r="D83" s="11"/>
      <c r="E83" s="11"/>
      <c r="F83" s="15"/>
      <c r="G83" s="15"/>
    </row>
    <row r="84" spans="1:7" x14ac:dyDescent="0.2">
      <c r="A84" s="15"/>
      <c r="B84" s="11"/>
      <c r="C84" s="11"/>
      <c r="D84" s="11"/>
      <c r="E84" s="11"/>
      <c r="F84" s="15"/>
      <c r="G84" s="15"/>
    </row>
  </sheetData>
  <mergeCells count="8">
    <mergeCell ref="A75:G75"/>
    <mergeCell ref="A31:D31"/>
    <mergeCell ref="A1:G1"/>
    <mergeCell ref="A12:D12"/>
    <mergeCell ref="A64:D64"/>
    <mergeCell ref="A22:E22"/>
    <mergeCell ref="A43:C43"/>
    <mergeCell ref="A54:C54"/>
  </mergeCells>
  <dataValidations count="3">
    <dataValidation type="list" sqref="A77 A78 A79 A80 A81 A82 A83 A84" xr:uid="{00000000-0002-0000-0600-000000000000}">
      <formula1>"High,Medium,Low"</formula1>
    </dataValidation>
    <dataValidation type="list" sqref="D77 D78 D79 D80 D81 D82 D83 D84" xr:uid="{00000000-0002-0000-0600-000001000000}">
      <formula1>"Critical,High,Medium,Low"</formula1>
    </dataValidation>
    <dataValidation type="list" sqref="G77 G78 G79 G80 G81 G82 G83 G84" xr:uid="{00000000-0002-0000-0600-000002000000}">
      <formula1>"Open,In Progress,Resolved,Closed"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4"/>
  <sheetViews>
    <sheetView workbookViewId="0">
      <pane ySplit="4" topLeftCell="A5" activePane="bottomLeft" state="frozen"/>
      <selection pane="bottomLeft"/>
    </sheetView>
  </sheetViews>
  <sheetFormatPr baseColWidth="10" defaultColWidth="8.83203125" defaultRowHeight="15" x14ac:dyDescent="0.2"/>
  <cols>
    <col min="1" max="1" width="15" customWidth="1"/>
    <col min="2" max="2" width="25" customWidth="1"/>
    <col min="3" max="3" width="22" customWidth="1"/>
    <col min="4" max="4" width="40" customWidth="1"/>
    <col min="5" max="5" width="45" customWidth="1"/>
    <col min="6" max="6" width="16" customWidth="1"/>
    <col min="7" max="7" width="20" customWidth="1"/>
    <col min="8" max="8" width="22" customWidth="1"/>
  </cols>
  <sheetData>
    <row r="1" spans="1:9" ht="30" customHeight="1" x14ac:dyDescent="0.2">
      <c r="A1" s="17" t="s">
        <v>850</v>
      </c>
      <c r="B1" s="18"/>
      <c r="C1" s="18"/>
      <c r="D1" s="18"/>
      <c r="E1" s="18"/>
      <c r="F1" s="18"/>
      <c r="G1" s="18"/>
      <c r="H1" s="18"/>
    </row>
    <row r="2" spans="1:9" x14ac:dyDescent="0.2">
      <c r="A2" s="36" t="s">
        <v>851</v>
      </c>
      <c r="B2" s="18"/>
      <c r="C2" s="18"/>
      <c r="D2" s="18"/>
      <c r="E2" s="18"/>
      <c r="F2" s="18"/>
      <c r="G2" s="18"/>
      <c r="H2" s="18"/>
    </row>
    <row r="4" spans="1:9" x14ac:dyDescent="0.2">
      <c r="A4" s="4" t="s">
        <v>852</v>
      </c>
      <c r="B4" s="4" t="s">
        <v>4</v>
      </c>
      <c r="C4" s="4" t="s">
        <v>853</v>
      </c>
      <c r="D4" s="4" t="s">
        <v>28</v>
      </c>
      <c r="E4" s="4" t="s">
        <v>854</v>
      </c>
      <c r="F4" s="4" t="s">
        <v>855</v>
      </c>
      <c r="G4" s="4" t="s">
        <v>856</v>
      </c>
      <c r="H4" s="4" t="s">
        <v>857</v>
      </c>
    </row>
    <row r="5" spans="1:9" x14ac:dyDescent="0.2">
      <c r="A5" s="16" t="s">
        <v>858</v>
      </c>
      <c r="B5" s="11"/>
      <c r="C5" s="11"/>
      <c r="D5" s="11"/>
      <c r="E5" s="11"/>
      <c r="F5" s="11"/>
      <c r="G5" s="11"/>
      <c r="H5" s="11"/>
    </row>
    <row r="6" spans="1:9" x14ac:dyDescent="0.2">
      <c r="A6" s="16" t="s">
        <v>859</v>
      </c>
      <c r="B6" s="11"/>
      <c r="C6" s="11"/>
      <c r="D6" s="11"/>
      <c r="E6" s="11"/>
      <c r="F6" s="11"/>
      <c r="G6" s="11"/>
      <c r="H6" s="11"/>
    </row>
    <row r="7" spans="1:9" x14ac:dyDescent="0.2">
      <c r="A7" s="16" t="s">
        <v>860</v>
      </c>
      <c r="B7" s="11"/>
      <c r="C7" s="11"/>
      <c r="D7" s="11"/>
      <c r="E7" s="11"/>
      <c r="F7" s="11"/>
      <c r="G7" s="11"/>
      <c r="H7" s="11"/>
    </row>
    <row r="8" spans="1:9" x14ac:dyDescent="0.2">
      <c r="A8" s="16" t="s">
        <v>861</v>
      </c>
      <c r="B8" s="11"/>
      <c r="C8" s="11"/>
      <c r="D8" s="11"/>
      <c r="E8" s="11"/>
      <c r="F8" s="11"/>
      <c r="G8" s="11"/>
      <c r="H8" s="11"/>
    </row>
    <row r="9" spans="1:9" x14ac:dyDescent="0.2">
      <c r="A9" s="16" t="s">
        <v>862</v>
      </c>
      <c r="B9" s="11"/>
      <c r="C9" s="11"/>
      <c r="D9" s="11"/>
      <c r="E9" s="11"/>
      <c r="F9" s="11"/>
      <c r="G9" s="11"/>
      <c r="H9" s="11"/>
    </row>
    <row r="10" spans="1:9" ht="32" x14ac:dyDescent="0.2">
      <c r="A10" s="16" t="s">
        <v>863</v>
      </c>
      <c r="B10" s="11" t="s">
        <v>864</v>
      </c>
      <c r="C10" s="11" t="s">
        <v>865</v>
      </c>
      <c r="D10" s="11" t="s">
        <v>774</v>
      </c>
      <c r="E10" s="11" t="s">
        <v>866</v>
      </c>
      <c r="F10" s="11" t="s">
        <v>867</v>
      </c>
      <c r="G10" s="11" t="s">
        <v>868</v>
      </c>
      <c r="H10" s="11" t="s">
        <v>869</v>
      </c>
      <c r="I10" t="s">
        <v>870</v>
      </c>
    </row>
    <row r="11" spans="1:9" ht="32" x14ac:dyDescent="0.2">
      <c r="A11" s="16" t="s">
        <v>871</v>
      </c>
      <c r="B11" s="11" t="s">
        <v>872</v>
      </c>
      <c r="C11" s="11" t="s">
        <v>873</v>
      </c>
      <c r="D11" s="11" t="s">
        <v>774</v>
      </c>
      <c r="E11" s="11" t="s">
        <v>874</v>
      </c>
      <c r="F11" s="11" t="s">
        <v>867</v>
      </c>
      <c r="G11" s="11" t="s">
        <v>875</v>
      </c>
      <c r="H11" s="11" t="s">
        <v>876</v>
      </c>
      <c r="I11" t="s">
        <v>870</v>
      </c>
    </row>
    <row r="12" spans="1:9" ht="16" x14ac:dyDescent="0.2">
      <c r="A12" s="16" t="s">
        <v>877</v>
      </c>
      <c r="B12" s="11" t="s">
        <v>878</v>
      </c>
      <c r="C12" s="11" t="s">
        <v>879</v>
      </c>
      <c r="D12" s="11" t="s">
        <v>774</v>
      </c>
      <c r="E12" s="11" t="s">
        <v>880</v>
      </c>
      <c r="F12" s="11" t="s">
        <v>881</v>
      </c>
      <c r="G12" s="11" t="s">
        <v>882</v>
      </c>
      <c r="H12" s="11" t="s">
        <v>876</v>
      </c>
      <c r="I12" t="s">
        <v>870</v>
      </c>
    </row>
    <row r="13" spans="1:9" ht="32" x14ac:dyDescent="0.2">
      <c r="A13" s="16" t="s">
        <v>883</v>
      </c>
      <c r="B13" s="11" t="s">
        <v>884</v>
      </c>
      <c r="C13" s="11" t="s">
        <v>885</v>
      </c>
      <c r="D13" s="11" t="s">
        <v>774</v>
      </c>
      <c r="E13" s="11" t="s">
        <v>886</v>
      </c>
      <c r="F13" s="11" t="s">
        <v>887</v>
      </c>
      <c r="G13" s="11" t="s">
        <v>610</v>
      </c>
      <c r="H13" s="11" t="s">
        <v>888</v>
      </c>
      <c r="I13" t="s">
        <v>870</v>
      </c>
    </row>
    <row r="14" spans="1:9" ht="16" x14ac:dyDescent="0.2">
      <c r="A14" s="16" t="s">
        <v>889</v>
      </c>
      <c r="B14" s="11" t="s">
        <v>890</v>
      </c>
      <c r="C14" s="11" t="s">
        <v>891</v>
      </c>
      <c r="D14" s="11" t="s">
        <v>775</v>
      </c>
      <c r="E14" s="11" t="s">
        <v>892</v>
      </c>
      <c r="F14" s="11" t="s">
        <v>867</v>
      </c>
      <c r="G14" s="11" t="s">
        <v>610</v>
      </c>
      <c r="H14" s="11" t="s">
        <v>449</v>
      </c>
      <c r="I14" t="s">
        <v>870</v>
      </c>
    </row>
    <row r="15" spans="1:9" ht="32" x14ac:dyDescent="0.2">
      <c r="A15" s="16" t="s">
        <v>893</v>
      </c>
      <c r="B15" s="11" t="s">
        <v>894</v>
      </c>
      <c r="C15" s="11" t="s">
        <v>895</v>
      </c>
      <c r="D15" s="11" t="s">
        <v>775</v>
      </c>
      <c r="E15" s="11" t="s">
        <v>896</v>
      </c>
      <c r="F15" s="11" t="s">
        <v>881</v>
      </c>
      <c r="G15" s="11" t="s">
        <v>610</v>
      </c>
      <c r="H15" s="11" t="s">
        <v>876</v>
      </c>
      <c r="I15" t="s">
        <v>870</v>
      </c>
    </row>
    <row r="16" spans="1:9" ht="16" x14ac:dyDescent="0.2">
      <c r="A16" s="16" t="s">
        <v>897</v>
      </c>
      <c r="B16" s="11" t="s">
        <v>898</v>
      </c>
      <c r="C16" s="11" t="s">
        <v>899</v>
      </c>
      <c r="D16" s="11" t="s">
        <v>775</v>
      </c>
      <c r="E16" s="11" t="s">
        <v>900</v>
      </c>
      <c r="F16" s="11" t="s">
        <v>901</v>
      </c>
      <c r="G16" s="11" t="s">
        <v>902</v>
      </c>
      <c r="H16" s="11" t="s">
        <v>876</v>
      </c>
      <c r="I16" t="s">
        <v>870</v>
      </c>
    </row>
    <row r="17" spans="1:9" ht="16" x14ac:dyDescent="0.2">
      <c r="A17" s="16" t="s">
        <v>903</v>
      </c>
      <c r="B17" s="11" t="s">
        <v>904</v>
      </c>
      <c r="C17" s="11" t="s">
        <v>905</v>
      </c>
      <c r="D17" s="11" t="s">
        <v>775</v>
      </c>
      <c r="E17" s="11" t="s">
        <v>906</v>
      </c>
      <c r="F17" s="11" t="s">
        <v>907</v>
      </c>
      <c r="G17" s="11" t="s">
        <v>610</v>
      </c>
      <c r="H17" s="11" t="s">
        <v>888</v>
      </c>
      <c r="I17" t="s">
        <v>870</v>
      </c>
    </row>
    <row r="18" spans="1:9" ht="32" x14ac:dyDescent="0.2">
      <c r="A18" s="16" t="s">
        <v>908</v>
      </c>
      <c r="B18" s="11" t="s">
        <v>909</v>
      </c>
      <c r="C18" s="11" t="s">
        <v>910</v>
      </c>
      <c r="D18" s="11" t="s">
        <v>776</v>
      </c>
      <c r="E18" s="11" t="s">
        <v>911</v>
      </c>
      <c r="F18" s="11" t="s">
        <v>912</v>
      </c>
      <c r="G18" s="11" t="s">
        <v>610</v>
      </c>
      <c r="H18" s="11" t="s">
        <v>869</v>
      </c>
      <c r="I18" t="s">
        <v>870</v>
      </c>
    </row>
    <row r="19" spans="1:9" ht="16" x14ac:dyDescent="0.2">
      <c r="A19" s="16" t="s">
        <v>913</v>
      </c>
      <c r="B19" s="11" t="s">
        <v>914</v>
      </c>
      <c r="C19" s="11" t="s">
        <v>915</v>
      </c>
      <c r="D19" s="11" t="s">
        <v>776</v>
      </c>
      <c r="E19" s="11" t="s">
        <v>916</v>
      </c>
      <c r="F19" s="11" t="s">
        <v>917</v>
      </c>
      <c r="G19" s="11" t="s">
        <v>610</v>
      </c>
      <c r="H19" s="11" t="s">
        <v>888</v>
      </c>
      <c r="I19" t="s">
        <v>870</v>
      </c>
    </row>
    <row r="20" spans="1:9" ht="32" x14ac:dyDescent="0.2">
      <c r="A20" s="16" t="s">
        <v>918</v>
      </c>
      <c r="B20" s="11" t="s">
        <v>919</v>
      </c>
      <c r="C20" s="11" t="s">
        <v>920</v>
      </c>
      <c r="D20" s="11" t="s">
        <v>776</v>
      </c>
      <c r="E20" s="11" t="s">
        <v>921</v>
      </c>
      <c r="F20" s="11" t="s">
        <v>922</v>
      </c>
      <c r="G20" s="11" t="s">
        <v>923</v>
      </c>
      <c r="H20" s="11" t="s">
        <v>869</v>
      </c>
      <c r="I20" t="s">
        <v>870</v>
      </c>
    </row>
    <row r="21" spans="1:9" ht="32" x14ac:dyDescent="0.2">
      <c r="A21" s="16" t="s">
        <v>924</v>
      </c>
      <c r="B21" s="11" t="s">
        <v>925</v>
      </c>
      <c r="C21" s="11" t="s">
        <v>926</v>
      </c>
      <c r="D21" s="11" t="s">
        <v>776</v>
      </c>
      <c r="E21" s="11" t="s">
        <v>927</v>
      </c>
      <c r="F21" s="11" t="s">
        <v>881</v>
      </c>
      <c r="G21" s="11" t="s">
        <v>928</v>
      </c>
      <c r="H21" s="11" t="s">
        <v>876</v>
      </c>
      <c r="I21" t="s">
        <v>870</v>
      </c>
    </row>
    <row r="22" spans="1:9" ht="32" x14ac:dyDescent="0.2">
      <c r="A22" s="16" t="s">
        <v>929</v>
      </c>
      <c r="B22" s="11" t="s">
        <v>930</v>
      </c>
      <c r="C22" s="11" t="s">
        <v>931</v>
      </c>
      <c r="D22" s="11" t="s">
        <v>777</v>
      </c>
      <c r="E22" s="11" t="s">
        <v>932</v>
      </c>
      <c r="F22" s="11" t="s">
        <v>933</v>
      </c>
      <c r="G22" s="11" t="s">
        <v>934</v>
      </c>
      <c r="H22" s="11" t="s">
        <v>869</v>
      </c>
      <c r="I22" t="s">
        <v>870</v>
      </c>
    </row>
    <row r="23" spans="1:9" ht="16" x14ac:dyDescent="0.2">
      <c r="A23" s="16" t="s">
        <v>935</v>
      </c>
      <c r="B23" s="11" t="s">
        <v>936</v>
      </c>
      <c r="C23" s="11" t="s">
        <v>937</v>
      </c>
      <c r="D23" s="11" t="s">
        <v>777</v>
      </c>
      <c r="E23" s="11" t="s">
        <v>938</v>
      </c>
      <c r="F23" s="11" t="s">
        <v>939</v>
      </c>
      <c r="G23" s="11" t="s">
        <v>934</v>
      </c>
      <c r="H23" s="11" t="s">
        <v>869</v>
      </c>
      <c r="I23" t="s">
        <v>870</v>
      </c>
    </row>
    <row r="24" spans="1:9" ht="32" x14ac:dyDescent="0.2">
      <c r="A24" s="16" t="s">
        <v>940</v>
      </c>
      <c r="B24" s="11" t="s">
        <v>941</v>
      </c>
      <c r="C24" s="11" t="s">
        <v>942</v>
      </c>
      <c r="D24" s="11" t="s">
        <v>777</v>
      </c>
      <c r="E24" s="11" t="s">
        <v>943</v>
      </c>
      <c r="F24" s="11" t="s">
        <v>901</v>
      </c>
      <c r="G24" s="11" t="s">
        <v>868</v>
      </c>
      <c r="H24" s="11" t="s">
        <v>876</v>
      </c>
      <c r="I24" t="s">
        <v>870</v>
      </c>
    </row>
    <row r="25" spans="1:9" ht="32" x14ac:dyDescent="0.2">
      <c r="A25" s="16" t="s">
        <v>944</v>
      </c>
      <c r="B25" s="11" t="s">
        <v>945</v>
      </c>
      <c r="C25" s="11" t="s">
        <v>946</v>
      </c>
      <c r="D25" s="11" t="s">
        <v>777</v>
      </c>
      <c r="E25" s="11" t="s">
        <v>947</v>
      </c>
      <c r="F25" s="11" t="s">
        <v>867</v>
      </c>
      <c r="G25" s="11" t="s">
        <v>610</v>
      </c>
      <c r="H25" s="11" t="s">
        <v>876</v>
      </c>
      <c r="I25" t="s">
        <v>870</v>
      </c>
    </row>
    <row r="26" spans="1:9" ht="16" x14ac:dyDescent="0.2">
      <c r="A26" s="16" t="s">
        <v>948</v>
      </c>
      <c r="B26" s="11" t="s">
        <v>949</v>
      </c>
      <c r="C26" s="11" t="s">
        <v>895</v>
      </c>
      <c r="D26" s="11" t="s">
        <v>778</v>
      </c>
      <c r="E26" s="11" t="s">
        <v>950</v>
      </c>
      <c r="F26" s="11" t="s">
        <v>867</v>
      </c>
      <c r="G26" s="11" t="s">
        <v>875</v>
      </c>
      <c r="H26" s="11" t="s">
        <v>876</v>
      </c>
      <c r="I26" t="s">
        <v>870</v>
      </c>
    </row>
    <row r="27" spans="1:9" ht="32" x14ac:dyDescent="0.2">
      <c r="A27" s="16" t="s">
        <v>951</v>
      </c>
      <c r="B27" s="11" t="s">
        <v>952</v>
      </c>
      <c r="C27" s="11" t="s">
        <v>953</v>
      </c>
      <c r="D27" s="11" t="s">
        <v>778</v>
      </c>
      <c r="E27" s="11" t="s">
        <v>954</v>
      </c>
      <c r="F27" s="11" t="s">
        <v>881</v>
      </c>
      <c r="G27" s="11" t="s">
        <v>902</v>
      </c>
      <c r="H27" s="11" t="s">
        <v>876</v>
      </c>
      <c r="I27" t="s">
        <v>870</v>
      </c>
    </row>
    <row r="28" spans="1:9" ht="16" x14ac:dyDescent="0.2">
      <c r="A28" s="16" t="s">
        <v>955</v>
      </c>
      <c r="B28" s="11" t="s">
        <v>956</v>
      </c>
      <c r="C28" s="11" t="s">
        <v>957</v>
      </c>
      <c r="D28" s="11" t="s">
        <v>778</v>
      </c>
      <c r="E28" s="11" t="s">
        <v>958</v>
      </c>
      <c r="F28" s="11" t="s">
        <v>959</v>
      </c>
      <c r="G28" s="11" t="s">
        <v>960</v>
      </c>
      <c r="H28" s="11" t="s">
        <v>869</v>
      </c>
      <c r="I28" t="s">
        <v>870</v>
      </c>
    </row>
    <row r="29" spans="1:9" ht="16" x14ac:dyDescent="0.2">
      <c r="A29" s="16" t="s">
        <v>961</v>
      </c>
      <c r="B29" s="11" t="s">
        <v>962</v>
      </c>
      <c r="C29" s="11" t="s">
        <v>885</v>
      </c>
      <c r="D29" s="11" t="s">
        <v>778</v>
      </c>
      <c r="E29" s="11" t="s">
        <v>963</v>
      </c>
      <c r="F29" s="11" t="s">
        <v>907</v>
      </c>
      <c r="G29" s="11" t="s">
        <v>610</v>
      </c>
      <c r="H29" s="11" t="s">
        <v>888</v>
      </c>
      <c r="I29" t="s">
        <v>870</v>
      </c>
    </row>
    <row r="30" spans="1:9" x14ac:dyDescent="0.2">
      <c r="A30" s="16" t="s">
        <v>964</v>
      </c>
      <c r="B30" s="11"/>
      <c r="C30" s="11"/>
      <c r="D30" s="11"/>
      <c r="E30" s="11"/>
      <c r="F30" s="11"/>
      <c r="G30" s="11"/>
      <c r="H30" s="11"/>
    </row>
    <row r="31" spans="1:9" x14ac:dyDescent="0.2">
      <c r="A31" s="16" t="s">
        <v>965</v>
      </c>
      <c r="B31" s="11"/>
      <c r="C31" s="11"/>
      <c r="D31" s="11"/>
      <c r="E31" s="11"/>
      <c r="F31" s="11"/>
      <c r="G31" s="11"/>
      <c r="H31" s="11"/>
    </row>
    <row r="32" spans="1:9" x14ac:dyDescent="0.2">
      <c r="A32" s="16" t="s">
        <v>966</v>
      </c>
      <c r="B32" s="11"/>
      <c r="C32" s="11"/>
      <c r="D32" s="11"/>
      <c r="E32" s="11"/>
      <c r="F32" s="11"/>
      <c r="G32" s="11"/>
      <c r="H32" s="11"/>
    </row>
    <row r="33" spans="1:8" x14ac:dyDescent="0.2">
      <c r="A33" s="16" t="s">
        <v>967</v>
      </c>
      <c r="B33" s="11"/>
      <c r="C33" s="11"/>
      <c r="D33" s="11"/>
      <c r="E33" s="11"/>
      <c r="F33" s="11"/>
      <c r="G33" s="11"/>
      <c r="H33" s="11"/>
    </row>
    <row r="34" spans="1:8" x14ac:dyDescent="0.2">
      <c r="A34" s="16" t="s">
        <v>968</v>
      </c>
      <c r="B34" s="11"/>
      <c r="C34" s="11"/>
      <c r="D34" s="11"/>
      <c r="E34" s="11"/>
      <c r="F34" s="11"/>
      <c r="G34" s="11"/>
      <c r="H34" s="11"/>
    </row>
    <row r="35" spans="1:8" x14ac:dyDescent="0.2">
      <c r="A35" s="16" t="s">
        <v>969</v>
      </c>
      <c r="B35" s="11"/>
      <c r="C35" s="11"/>
      <c r="D35" s="11"/>
      <c r="E35" s="11"/>
      <c r="F35" s="11"/>
      <c r="G35" s="11"/>
      <c r="H35" s="11"/>
    </row>
    <row r="36" spans="1:8" x14ac:dyDescent="0.2">
      <c r="A36" s="16" t="s">
        <v>970</v>
      </c>
      <c r="B36" s="11"/>
      <c r="C36" s="11"/>
      <c r="D36" s="11"/>
      <c r="E36" s="11"/>
      <c r="F36" s="11"/>
      <c r="G36" s="11"/>
      <c r="H36" s="11"/>
    </row>
    <row r="37" spans="1:8" x14ac:dyDescent="0.2">
      <c r="A37" s="16" t="s">
        <v>971</v>
      </c>
      <c r="B37" s="11"/>
      <c r="C37" s="11"/>
      <c r="D37" s="11"/>
      <c r="E37" s="11"/>
      <c r="F37" s="11"/>
      <c r="G37" s="11"/>
      <c r="H37" s="11"/>
    </row>
    <row r="38" spans="1:8" x14ac:dyDescent="0.2">
      <c r="A38" s="16" t="s">
        <v>972</v>
      </c>
      <c r="B38" s="11"/>
      <c r="C38" s="11"/>
      <c r="D38" s="11"/>
      <c r="E38" s="11"/>
      <c r="F38" s="11"/>
      <c r="G38" s="11"/>
      <c r="H38" s="11"/>
    </row>
    <row r="39" spans="1:8" x14ac:dyDescent="0.2">
      <c r="A39" s="16" t="s">
        <v>973</v>
      </c>
      <c r="B39" s="11"/>
      <c r="C39" s="11"/>
      <c r="D39" s="11"/>
      <c r="E39" s="11"/>
      <c r="F39" s="11"/>
      <c r="G39" s="11"/>
      <c r="H39" s="11"/>
    </row>
    <row r="40" spans="1:8" x14ac:dyDescent="0.2">
      <c r="A40" s="16" t="s">
        <v>974</v>
      </c>
      <c r="B40" s="11"/>
      <c r="C40" s="11"/>
      <c r="D40" s="11"/>
      <c r="E40" s="11"/>
      <c r="F40" s="11"/>
      <c r="G40" s="11"/>
      <c r="H40" s="11"/>
    </row>
    <row r="41" spans="1:8" x14ac:dyDescent="0.2">
      <c r="A41" s="16" t="s">
        <v>975</v>
      </c>
      <c r="B41" s="11"/>
      <c r="C41" s="11"/>
      <c r="D41" s="11"/>
      <c r="E41" s="11"/>
      <c r="F41" s="11"/>
      <c r="G41" s="11"/>
      <c r="H41" s="11"/>
    </row>
    <row r="42" spans="1:8" x14ac:dyDescent="0.2">
      <c r="A42" s="16" t="s">
        <v>976</v>
      </c>
      <c r="B42" s="11"/>
      <c r="C42" s="11"/>
      <c r="D42" s="11"/>
      <c r="E42" s="11"/>
      <c r="F42" s="11"/>
      <c r="G42" s="11"/>
      <c r="H42" s="11"/>
    </row>
    <row r="43" spans="1:8" x14ac:dyDescent="0.2">
      <c r="A43" s="16" t="s">
        <v>977</v>
      </c>
      <c r="B43" s="11"/>
      <c r="C43" s="11"/>
      <c r="D43" s="11"/>
      <c r="E43" s="11"/>
      <c r="F43" s="11"/>
      <c r="G43" s="11"/>
      <c r="H43" s="11"/>
    </row>
    <row r="44" spans="1:8" x14ac:dyDescent="0.2">
      <c r="A44" s="16" t="s">
        <v>978</v>
      </c>
      <c r="B44" s="11"/>
      <c r="C44" s="11"/>
      <c r="D44" s="11"/>
      <c r="E44" s="11"/>
      <c r="F44" s="11"/>
      <c r="G44" s="11"/>
      <c r="H44" s="11"/>
    </row>
    <row r="45" spans="1:8" x14ac:dyDescent="0.2">
      <c r="A45" s="16" t="s">
        <v>979</v>
      </c>
      <c r="B45" s="11"/>
      <c r="C45" s="11"/>
      <c r="D45" s="11"/>
      <c r="E45" s="11"/>
      <c r="F45" s="11"/>
      <c r="G45" s="11"/>
      <c r="H45" s="11"/>
    </row>
    <row r="46" spans="1:8" x14ac:dyDescent="0.2">
      <c r="A46" s="16" t="s">
        <v>980</v>
      </c>
      <c r="B46" s="11"/>
      <c r="C46" s="11"/>
      <c r="D46" s="11"/>
      <c r="E46" s="11"/>
      <c r="F46" s="11"/>
      <c r="G46" s="11"/>
      <c r="H46" s="11"/>
    </row>
    <row r="47" spans="1:8" x14ac:dyDescent="0.2">
      <c r="A47" s="16" t="s">
        <v>981</v>
      </c>
      <c r="B47" s="11"/>
      <c r="C47" s="11"/>
      <c r="D47" s="11"/>
      <c r="E47" s="11"/>
      <c r="F47" s="11"/>
      <c r="G47" s="11"/>
      <c r="H47" s="11"/>
    </row>
    <row r="48" spans="1:8" x14ac:dyDescent="0.2">
      <c r="A48" s="16" t="s">
        <v>982</v>
      </c>
      <c r="B48" s="11"/>
      <c r="C48" s="11"/>
      <c r="D48" s="11"/>
      <c r="E48" s="11"/>
      <c r="F48" s="11"/>
      <c r="G48" s="11"/>
      <c r="H48" s="11"/>
    </row>
    <row r="49" spans="1:8" x14ac:dyDescent="0.2">
      <c r="A49" s="16" t="s">
        <v>983</v>
      </c>
      <c r="B49" s="11"/>
      <c r="C49" s="11"/>
      <c r="D49" s="11"/>
      <c r="E49" s="11"/>
      <c r="F49" s="11"/>
      <c r="G49" s="11"/>
      <c r="H49" s="11"/>
    </row>
    <row r="50" spans="1:8" x14ac:dyDescent="0.2">
      <c r="A50" s="16" t="s">
        <v>984</v>
      </c>
      <c r="B50" s="11"/>
      <c r="C50" s="11"/>
      <c r="D50" s="11"/>
      <c r="E50" s="11"/>
      <c r="F50" s="11"/>
      <c r="G50" s="11"/>
      <c r="H50" s="11"/>
    </row>
    <row r="51" spans="1:8" x14ac:dyDescent="0.2">
      <c r="A51" s="16" t="s">
        <v>985</v>
      </c>
      <c r="B51" s="11"/>
      <c r="C51" s="11"/>
      <c r="D51" s="11"/>
      <c r="E51" s="11"/>
      <c r="F51" s="11"/>
      <c r="G51" s="11"/>
      <c r="H51" s="11"/>
    </row>
    <row r="52" spans="1:8" x14ac:dyDescent="0.2">
      <c r="A52" s="16" t="s">
        <v>986</v>
      </c>
      <c r="B52" s="11"/>
      <c r="C52" s="11"/>
      <c r="D52" s="11"/>
      <c r="E52" s="11"/>
      <c r="F52" s="11"/>
      <c r="G52" s="11"/>
      <c r="H52" s="11"/>
    </row>
    <row r="53" spans="1:8" x14ac:dyDescent="0.2">
      <c r="A53" s="16" t="s">
        <v>987</v>
      </c>
      <c r="B53" s="11"/>
      <c r="C53" s="11"/>
      <c r="D53" s="11"/>
      <c r="E53" s="11"/>
      <c r="F53" s="11"/>
      <c r="G53" s="11"/>
      <c r="H53" s="11"/>
    </row>
    <row r="54" spans="1:8" x14ac:dyDescent="0.2">
      <c r="A54" s="16" t="s">
        <v>988</v>
      </c>
      <c r="B54" s="11"/>
      <c r="C54" s="11"/>
      <c r="D54" s="11"/>
      <c r="E54" s="11"/>
      <c r="F54" s="11"/>
      <c r="G54" s="11"/>
      <c r="H54" s="11"/>
    </row>
    <row r="55" spans="1:8" x14ac:dyDescent="0.2">
      <c r="A55" s="16" t="s">
        <v>989</v>
      </c>
      <c r="B55" s="11"/>
      <c r="C55" s="11"/>
      <c r="D55" s="11"/>
      <c r="E55" s="11"/>
      <c r="F55" s="11"/>
      <c r="G55" s="11"/>
      <c r="H55" s="11"/>
    </row>
    <row r="56" spans="1:8" x14ac:dyDescent="0.2">
      <c r="A56" s="16" t="s">
        <v>990</v>
      </c>
      <c r="B56" s="11"/>
      <c r="C56" s="11"/>
      <c r="D56" s="11"/>
      <c r="E56" s="11"/>
      <c r="F56" s="11"/>
      <c r="G56" s="11"/>
      <c r="H56" s="11"/>
    </row>
    <row r="57" spans="1:8" x14ac:dyDescent="0.2">
      <c r="A57" s="16" t="s">
        <v>991</v>
      </c>
      <c r="B57" s="11"/>
      <c r="C57" s="11"/>
      <c r="D57" s="11"/>
      <c r="E57" s="11"/>
      <c r="F57" s="11"/>
      <c r="G57" s="11"/>
      <c r="H57" s="11"/>
    </row>
    <row r="58" spans="1:8" x14ac:dyDescent="0.2">
      <c r="A58" s="16" t="s">
        <v>992</v>
      </c>
      <c r="B58" s="11"/>
      <c r="C58" s="11"/>
      <c r="D58" s="11"/>
      <c r="E58" s="11"/>
      <c r="F58" s="11"/>
      <c r="G58" s="11"/>
      <c r="H58" s="11"/>
    </row>
    <row r="59" spans="1:8" x14ac:dyDescent="0.2">
      <c r="A59" s="16" t="s">
        <v>993</v>
      </c>
      <c r="B59" s="11"/>
      <c r="C59" s="11"/>
      <c r="D59" s="11"/>
      <c r="E59" s="11"/>
      <c r="F59" s="11"/>
      <c r="G59" s="11"/>
      <c r="H59" s="11"/>
    </row>
    <row r="60" spans="1:8" x14ac:dyDescent="0.2">
      <c r="A60" s="16" t="s">
        <v>994</v>
      </c>
      <c r="B60" s="11"/>
      <c r="C60" s="11"/>
      <c r="D60" s="11"/>
      <c r="E60" s="11"/>
      <c r="F60" s="11"/>
      <c r="G60" s="11"/>
      <c r="H60" s="11"/>
    </row>
    <row r="61" spans="1:8" x14ac:dyDescent="0.2">
      <c r="A61" s="16" t="s">
        <v>995</v>
      </c>
      <c r="B61" s="11"/>
      <c r="C61" s="11"/>
      <c r="D61" s="11"/>
      <c r="E61" s="11"/>
      <c r="F61" s="11"/>
      <c r="G61" s="11"/>
      <c r="H61" s="11"/>
    </row>
    <row r="62" spans="1:8" x14ac:dyDescent="0.2">
      <c r="A62" s="16" t="s">
        <v>996</v>
      </c>
      <c r="B62" s="11"/>
      <c r="C62" s="11"/>
      <c r="D62" s="11"/>
      <c r="E62" s="11"/>
      <c r="F62" s="11"/>
      <c r="G62" s="11"/>
      <c r="H62" s="11"/>
    </row>
    <row r="63" spans="1:8" x14ac:dyDescent="0.2">
      <c r="A63" s="16" t="s">
        <v>997</v>
      </c>
      <c r="B63" s="11"/>
      <c r="C63" s="11"/>
      <c r="D63" s="11"/>
      <c r="E63" s="11"/>
      <c r="F63" s="11"/>
      <c r="G63" s="11"/>
      <c r="H63" s="11"/>
    </row>
    <row r="64" spans="1:8" x14ac:dyDescent="0.2">
      <c r="A64" s="16" t="s">
        <v>998</v>
      </c>
      <c r="B64" s="11"/>
      <c r="C64" s="11"/>
      <c r="D64" s="11"/>
      <c r="E64" s="11"/>
      <c r="F64" s="11"/>
      <c r="G64" s="11"/>
      <c r="H64" s="11"/>
    </row>
    <row r="65" spans="1:8" x14ac:dyDescent="0.2">
      <c r="A65" s="16" t="s">
        <v>999</v>
      </c>
      <c r="B65" s="11"/>
      <c r="C65" s="11"/>
      <c r="D65" s="11"/>
      <c r="E65" s="11"/>
      <c r="F65" s="11"/>
      <c r="G65" s="11"/>
      <c r="H65" s="11"/>
    </row>
    <row r="66" spans="1:8" x14ac:dyDescent="0.2">
      <c r="A66" s="16" t="s">
        <v>1000</v>
      </c>
      <c r="B66" s="11"/>
      <c r="C66" s="11"/>
      <c r="D66" s="11"/>
      <c r="E66" s="11"/>
      <c r="F66" s="11"/>
      <c r="G66" s="11"/>
      <c r="H66" s="11"/>
    </row>
    <row r="67" spans="1:8" x14ac:dyDescent="0.2">
      <c r="A67" s="16" t="s">
        <v>1001</v>
      </c>
      <c r="B67" s="11"/>
      <c r="C67" s="11"/>
      <c r="D67" s="11"/>
      <c r="E67" s="11"/>
      <c r="F67" s="11"/>
      <c r="G67" s="11"/>
      <c r="H67" s="11"/>
    </row>
    <row r="68" spans="1:8" x14ac:dyDescent="0.2">
      <c r="A68" s="16" t="s">
        <v>1002</v>
      </c>
      <c r="B68" s="11"/>
      <c r="C68" s="11"/>
      <c r="D68" s="11"/>
      <c r="E68" s="11"/>
      <c r="F68" s="11"/>
      <c r="G68" s="11"/>
      <c r="H68" s="11"/>
    </row>
    <row r="69" spans="1:8" x14ac:dyDescent="0.2">
      <c r="A69" s="16" t="s">
        <v>1003</v>
      </c>
      <c r="B69" s="11"/>
      <c r="C69" s="11"/>
      <c r="D69" s="11"/>
      <c r="E69" s="11"/>
      <c r="F69" s="11"/>
      <c r="G69" s="11"/>
      <c r="H69" s="11"/>
    </row>
    <row r="70" spans="1:8" x14ac:dyDescent="0.2">
      <c r="A70" s="16" t="s">
        <v>1004</v>
      </c>
      <c r="B70" s="11"/>
      <c r="C70" s="11"/>
      <c r="D70" s="11"/>
      <c r="E70" s="11"/>
      <c r="F70" s="11"/>
      <c r="G70" s="11"/>
      <c r="H70" s="11"/>
    </row>
    <row r="71" spans="1:8" x14ac:dyDescent="0.2">
      <c r="A71" s="16" t="s">
        <v>1005</v>
      </c>
      <c r="B71" s="11"/>
      <c r="C71" s="11"/>
      <c r="D71" s="11"/>
      <c r="E71" s="11"/>
      <c r="F71" s="11"/>
      <c r="G71" s="11"/>
      <c r="H71" s="11"/>
    </row>
    <row r="72" spans="1:8" x14ac:dyDescent="0.2">
      <c r="A72" s="16" t="s">
        <v>1006</v>
      </c>
      <c r="B72" s="11"/>
      <c r="C72" s="11"/>
      <c r="D72" s="11"/>
      <c r="E72" s="11"/>
      <c r="F72" s="11"/>
      <c r="G72" s="11"/>
      <c r="H72" s="11"/>
    </row>
    <row r="73" spans="1:8" x14ac:dyDescent="0.2">
      <c r="A73" s="16" t="s">
        <v>1007</v>
      </c>
      <c r="B73" s="11"/>
      <c r="C73" s="11"/>
      <c r="D73" s="11"/>
      <c r="E73" s="11"/>
      <c r="F73" s="11"/>
      <c r="G73" s="11"/>
      <c r="H73" s="11"/>
    </row>
    <row r="74" spans="1:8" x14ac:dyDescent="0.2">
      <c r="A74" s="16" t="s">
        <v>1008</v>
      </c>
      <c r="B74" s="11"/>
      <c r="C74" s="11"/>
      <c r="D74" s="11"/>
      <c r="E74" s="11"/>
      <c r="F74" s="11"/>
      <c r="G74" s="11"/>
      <c r="H74" s="11"/>
    </row>
    <row r="75" spans="1:8" x14ac:dyDescent="0.2">
      <c r="A75" s="16" t="s">
        <v>1009</v>
      </c>
      <c r="B75" s="11"/>
      <c r="C75" s="11"/>
      <c r="D75" s="11"/>
      <c r="E75" s="11"/>
      <c r="F75" s="11"/>
      <c r="G75" s="11"/>
      <c r="H75" s="11"/>
    </row>
    <row r="76" spans="1:8" x14ac:dyDescent="0.2">
      <c r="A76" s="16" t="s">
        <v>1010</v>
      </c>
      <c r="B76" s="11"/>
      <c r="C76" s="11"/>
      <c r="D76" s="11"/>
      <c r="E76" s="11"/>
      <c r="F76" s="11"/>
      <c r="G76" s="11"/>
      <c r="H76" s="11"/>
    </row>
    <row r="77" spans="1:8" x14ac:dyDescent="0.2">
      <c r="A77" s="16" t="s">
        <v>1011</v>
      </c>
      <c r="B77" s="11"/>
      <c r="C77" s="11"/>
      <c r="D77" s="11"/>
      <c r="E77" s="11"/>
      <c r="F77" s="11"/>
      <c r="G77" s="11"/>
      <c r="H77" s="11"/>
    </row>
    <row r="78" spans="1:8" x14ac:dyDescent="0.2">
      <c r="A78" s="16" t="s">
        <v>1012</v>
      </c>
      <c r="B78" s="11"/>
      <c r="C78" s="11"/>
      <c r="D78" s="11"/>
      <c r="E78" s="11"/>
      <c r="F78" s="11"/>
      <c r="G78" s="11"/>
      <c r="H78" s="11"/>
    </row>
    <row r="79" spans="1:8" x14ac:dyDescent="0.2">
      <c r="A79" s="16" t="s">
        <v>1013</v>
      </c>
      <c r="B79" s="11"/>
      <c r="C79" s="11"/>
      <c r="D79" s="11"/>
      <c r="E79" s="11"/>
      <c r="F79" s="11"/>
      <c r="G79" s="11"/>
      <c r="H79" s="11"/>
    </row>
    <row r="80" spans="1:8" x14ac:dyDescent="0.2">
      <c r="A80" s="16" t="s">
        <v>1014</v>
      </c>
      <c r="B80" s="11"/>
      <c r="C80" s="11"/>
      <c r="D80" s="11"/>
      <c r="E80" s="11"/>
      <c r="F80" s="11"/>
      <c r="G80" s="11"/>
      <c r="H80" s="11"/>
    </row>
    <row r="81" spans="1:8" x14ac:dyDescent="0.2">
      <c r="A81" s="16" t="s">
        <v>1015</v>
      </c>
      <c r="B81" s="11"/>
      <c r="C81" s="11"/>
      <c r="D81" s="11"/>
      <c r="E81" s="11"/>
      <c r="F81" s="11"/>
      <c r="G81" s="11"/>
      <c r="H81" s="11"/>
    </row>
    <row r="82" spans="1:8" x14ac:dyDescent="0.2">
      <c r="A82" s="16" t="s">
        <v>1016</v>
      </c>
      <c r="B82" s="11"/>
      <c r="C82" s="11"/>
      <c r="D82" s="11"/>
      <c r="E82" s="11"/>
      <c r="F82" s="11"/>
      <c r="G82" s="11"/>
      <c r="H82" s="11"/>
    </row>
    <row r="83" spans="1:8" x14ac:dyDescent="0.2">
      <c r="A83" s="16" t="s">
        <v>1017</v>
      </c>
      <c r="B83" s="11"/>
      <c r="C83" s="11"/>
      <c r="D83" s="11"/>
      <c r="E83" s="11"/>
      <c r="F83" s="11"/>
      <c r="G83" s="11"/>
      <c r="H83" s="11"/>
    </row>
    <row r="84" spans="1:8" x14ac:dyDescent="0.2">
      <c r="A84" s="16" t="s">
        <v>1018</v>
      </c>
      <c r="B84" s="11"/>
      <c r="C84" s="11"/>
      <c r="D84" s="11"/>
      <c r="E84" s="11"/>
      <c r="F84" s="11"/>
      <c r="G84" s="11"/>
      <c r="H84" s="11"/>
    </row>
    <row r="85" spans="1:8" x14ac:dyDescent="0.2">
      <c r="A85" s="16" t="s">
        <v>1019</v>
      </c>
      <c r="B85" s="11"/>
      <c r="C85" s="11"/>
      <c r="D85" s="11"/>
      <c r="E85" s="11"/>
      <c r="F85" s="11"/>
      <c r="G85" s="11"/>
      <c r="H85" s="11"/>
    </row>
    <row r="86" spans="1:8" x14ac:dyDescent="0.2">
      <c r="A86" s="16" t="s">
        <v>1020</v>
      </c>
      <c r="B86" s="11"/>
      <c r="C86" s="11"/>
      <c r="D86" s="11"/>
      <c r="E86" s="11"/>
      <c r="F86" s="11"/>
      <c r="G86" s="11"/>
      <c r="H86" s="11"/>
    </row>
    <row r="87" spans="1:8" x14ac:dyDescent="0.2">
      <c r="A87" s="16" t="s">
        <v>1021</v>
      </c>
      <c r="B87" s="11"/>
      <c r="C87" s="11"/>
      <c r="D87" s="11"/>
      <c r="E87" s="11"/>
      <c r="F87" s="11"/>
      <c r="G87" s="11"/>
      <c r="H87" s="11"/>
    </row>
    <row r="88" spans="1:8" x14ac:dyDescent="0.2">
      <c r="A88" s="16" t="s">
        <v>1022</v>
      </c>
      <c r="B88" s="11"/>
      <c r="C88" s="11"/>
      <c r="D88" s="11"/>
      <c r="E88" s="11"/>
      <c r="F88" s="11"/>
      <c r="G88" s="11"/>
      <c r="H88" s="11"/>
    </row>
    <row r="89" spans="1:8" x14ac:dyDescent="0.2">
      <c r="A89" s="16" t="s">
        <v>1023</v>
      </c>
      <c r="B89" s="11"/>
      <c r="C89" s="11"/>
      <c r="D89" s="11"/>
      <c r="E89" s="11"/>
      <c r="F89" s="11"/>
      <c r="G89" s="11"/>
      <c r="H89" s="11"/>
    </row>
    <row r="90" spans="1:8" x14ac:dyDescent="0.2">
      <c r="A90" s="16" t="s">
        <v>1024</v>
      </c>
      <c r="B90" s="11"/>
      <c r="C90" s="11"/>
      <c r="D90" s="11"/>
      <c r="E90" s="11"/>
      <c r="F90" s="11"/>
      <c r="G90" s="11"/>
      <c r="H90" s="11"/>
    </row>
    <row r="91" spans="1:8" x14ac:dyDescent="0.2">
      <c r="A91" s="16" t="s">
        <v>1025</v>
      </c>
      <c r="B91" s="11"/>
      <c r="C91" s="11"/>
      <c r="D91" s="11"/>
      <c r="E91" s="11"/>
      <c r="F91" s="11"/>
      <c r="G91" s="11"/>
      <c r="H91" s="11"/>
    </row>
    <row r="92" spans="1:8" x14ac:dyDescent="0.2">
      <c r="A92" s="16" t="s">
        <v>1026</v>
      </c>
      <c r="B92" s="11"/>
      <c r="C92" s="11"/>
      <c r="D92" s="11"/>
      <c r="E92" s="11"/>
      <c r="F92" s="11"/>
      <c r="G92" s="11"/>
      <c r="H92" s="11"/>
    </row>
    <row r="93" spans="1:8" x14ac:dyDescent="0.2">
      <c r="A93" s="16" t="s">
        <v>1027</v>
      </c>
      <c r="B93" s="11"/>
      <c r="C93" s="11"/>
      <c r="D93" s="11"/>
      <c r="E93" s="11"/>
      <c r="F93" s="11"/>
      <c r="G93" s="11"/>
      <c r="H93" s="11"/>
    </row>
    <row r="94" spans="1:8" x14ac:dyDescent="0.2">
      <c r="A94" s="16" t="s">
        <v>1028</v>
      </c>
      <c r="B94" s="11"/>
      <c r="C94" s="11"/>
      <c r="D94" s="11"/>
      <c r="E94" s="11"/>
      <c r="F94" s="11"/>
      <c r="G94" s="11"/>
      <c r="H94" s="11"/>
    </row>
    <row r="95" spans="1:8" x14ac:dyDescent="0.2">
      <c r="A95" s="16" t="s">
        <v>1029</v>
      </c>
      <c r="B95" s="11"/>
      <c r="C95" s="11"/>
      <c r="D95" s="11"/>
      <c r="E95" s="11"/>
      <c r="F95" s="11"/>
      <c r="G95" s="11"/>
      <c r="H95" s="11"/>
    </row>
    <row r="96" spans="1:8" x14ac:dyDescent="0.2">
      <c r="A96" s="16" t="s">
        <v>1030</v>
      </c>
      <c r="B96" s="11"/>
      <c r="C96" s="11"/>
      <c r="D96" s="11"/>
      <c r="E96" s="11"/>
      <c r="F96" s="11"/>
      <c r="G96" s="11"/>
      <c r="H96" s="11"/>
    </row>
    <row r="97" spans="1:8" x14ac:dyDescent="0.2">
      <c r="A97" s="16" t="s">
        <v>1031</v>
      </c>
      <c r="B97" s="11"/>
      <c r="C97" s="11"/>
      <c r="D97" s="11"/>
      <c r="E97" s="11"/>
      <c r="F97" s="11"/>
      <c r="G97" s="11"/>
      <c r="H97" s="11"/>
    </row>
    <row r="98" spans="1:8" x14ac:dyDescent="0.2">
      <c r="A98" s="16" t="s">
        <v>1032</v>
      </c>
      <c r="B98" s="11"/>
      <c r="C98" s="11"/>
      <c r="D98" s="11"/>
      <c r="E98" s="11"/>
      <c r="F98" s="11"/>
      <c r="G98" s="11"/>
      <c r="H98" s="11"/>
    </row>
    <row r="99" spans="1:8" x14ac:dyDescent="0.2">
      <c r="A99" s="16" t="s">
        <v>1033</v>
      </c>
      <c r="B99" s="11"/>
      <c r="C99" s="11"/>
      <c r="D99" s="11"/>
      <c r="E99" s="11"/>
      <c r="F99" s="11"/>
      <c r="G99" s="11"/>
      <c r="H99" s="11"/>
    </row>
    <row r="100" spans="1:8" x14ac:dyDescent="0.2">
      <c r="A100" s="16" t="s">
        <v>1034</v>
      </c>
      <c r="B100" s="11"/>
      <c r="C100" s="11"/>
      <c r="D100" s="11"/>
      <c r="E100" s="11"/>
      <c r="F100" s="11"/>
      <c r="G100" s="11"/>
      <c r="H100" s="11"/>
    </row>
    <row r="101" spans="1:8" x14ac:dyDescent="0.2">
      <c r="A101" s="16" t="s">
        <v>1035</v>
      </c>
      <c r="B101" s="11"/>
      <c r="C101" s="11"/>
      <c r="D101" s="11"/>
      <c r="E101" s="11"/>
      <c r="F101" s="11"/>
      <c r="G101" s="11"/>
      <c r="H101" s="11"/>
    </row>
    <row r="102" spans="1:8" x14ac:dyDescent="0.2">
      <c r="A102" s="16" t="s">
        <v>1036</v>
      </c>
      <c r="B102" s="11"/>
      <c r="C102" s="11"/>
      <c r="D102" s="11"/>
      <c r="E102" s="11"/>
      <c r="F102" s="11"/>
      <c r="G102" s="11"/>
      <c r="H102" s="11"/>
    </row>
    <row r="103" spans="1:8" x14ac:dyDescent="0.2">
      <c r="A103" s="16" t="s">
        <v>1037</v>
      </c>
      <c r="B103" s="11"/>
      <c r="C103" s="11"/>
      <c r="D103" s="11"/>
      <c r="E103" s="11"/>
      <c r="F103" s="11"/>
      <c r="G103" s="11"/>
      <c r="H103" s="11"/>
    </row>
    <row r="104" spans="1:8" x14ac:dyDescent="0.2">
      <c r="A104" s="16" t="s">
        <v>1038</v>
      </c>
      <c r="B104" s="11"/>
      <c r="C104" s="11"/>
      <c r="D104" s="11"/>
      <c r="E104" s="11"/>
      <c r="F104" s="11"/>
      <c r="G104" s="11"/>
      <c r="H104" s="11"/>
    </row>
  </sheetData>
  <mergeCells count="2">
    <mergeCell ref="A2:H2"/>
    <mergeCell ref="A1:H1"/>
  </mergeCells>
  <dataValidations count="2">
    <dataValidation type="list"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xr:uid="{00000000-0002-0000-0700-000000000000}">
      <formula1>"Password policy,GPO screenshot,MFA enrollment report,Certificate config,PKI documentation,SAML configuration,IdP settings,Service account inventory,Authentication logs,Audit trail,Policy document,Security assessment,Penetration test,Compliance scan,Other"</formula1>
    </dataValidation>
    <dataValidation type="list"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xr:uid="{00000000-0002-0000-0700-000001000000}">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8"/>
  <sheetViews>
    <sheetView workbookViewId="0">
      <pane ySplit="2" topLeftCell="A3" activePane="bottomLeft" state="frozen"/>
      <selection pane="bottomLeft"/>
    </sheetView>
  </sheetViews>
  <sheetFormatPr baseColWidth="10" defaultColWidth="8.83203125" defaultRowHeight="15" x14ac:dyDescent="0.2"/>
  <cols>
    <col min="1" max="1" width="28" customWidth="1"/>
    <col min="2" max="2" width="30" customWidth="1"/>
    <col min="3" max="5" width="18" customWidth="1"/>
  </cols>
  <sheetData>
    <row r="1" spans="1:5" ht="30" customHeight="1" x14ac:dyDescent="0.2">
      <c r="A1" s="17" t="s">
        <v>1039</v>
      </c>
      <c r="B1" s="18"/>
      <c r="C1" s="18"/>
      <c r="D1" s="18"/>
      <c r="E1" s="18"/>
    </row>
    <row r="3" spans="1:5" ht="16" x14ac:dyDescent="0.2">
      <c r="A3" s="1" t="s">
        <v>1040</v>
      </c>
    </row>
    <row r="4" spans="1:5" ht="32" x14ac:dyDescent="0.2">
      <c r="A4" s="2" t="s">
        <v>1041</v>
      </c>
      <c r="B4" s="11" t="s">
        <v>1042</v>
      </c>
    </row>
    <row r="5" spans="1:5" ht="16" x14ac:dyDescent="0.2">
      <c r="A5" s="2" t="s">
        <v>1043</v>
      </c>
      <c r="B5" s="11" t="s">
        <v>1044</v>
      </c>
    </row>
    <row r="6" spans="1:5" ht="32" x14ac:dyDescent="0.2">
      <c r="A6" s="2" t="s">
        <v>1045</v>
      </c>
      <c r="B6" s="11" t="s">
        <v>1046</v>
      </c>
    </row>
    <row r="7" spans="1:5" ht="16" x14ac:dyDescent="0.2">
      <c r="A7" s="2" t="s">
        <v>1047</v>
      </c>
      <c r="B7" s="11" t="s">
        <v>1048</v>
      </c>
    </row>
    <row r="8" spans="1:5" x14ac:dyDescent="0.2">
      <c r="B8" t="s">
        <v>1049</v>
      </c>
    </row>
    <row r="9" spans="1:5" x14ac:dyDescent="0.2">
      <c r="B9" t="s">
        <v>1050</v>
      </c>
    </row>
    <row r="10" spans="1:5" x14ac:dyDescent="0.2">
      <c r="A10" s="38" t="s">
        <v>1051</v>
      </c>
      <c r="B10" s="18"/>
      <c r="C10" s="18"/>
      <c r="D10" s="18"/>
      <c r="E10" s="18"/>
    </row>
    <row r="11" spans="1:5" x14ac:dyDescent="0.2">
      <c r="A11" s="2" t="s">
        <v>1052</v>
      </c>
      <c r="B11" s="19"/>
      <c r="C11" s="20"/>
      <c r="D11" s="20"/>
      <c r="E11" s="21"/>
    </row>
    <row r="12" spans="1:5" x14ac:dyDescent="0.2">
      <c r="A12" s="2" t="s">
        <v>1053</v>
      </c>
      <c r="B12" s="19"/>
      <c r="C12" s="20"/>
      <c r="D12" s="20"/>
      <c r="E12" s="21"/>
    </row>
    <row r="13" spans="1:5" x14ac:dyDescent="0.2">
      <c r="A13" s="2" t="s">
        <v>1054</v>
      </c>
      <c r="B13" s="19"/>
      <c r="C13" s="20"/>
      <c r="D13" s="20"/>
      <c r="E13" s="21"/>
    </row>
    <row r="14" spans="1:5" x14ac:dyDescent="0.2">
      <c r="A14" s="2" t="s">
        <v>1055</v>
      </c>
      <c r="B14" s="19" t="s">
        <v>1056</v>
      </c>
      <c r="C14" s="20"/>
      <c r="D14" s="20"/>
      <c r="E14" s="21"/>
    </row>
    <row r="15" spans="1:5" x14ac:dyDescent="0.2">
      <c r="A15" s="2" t="s">
        <v>1057</v>
      </c>
      <c r="B15" s="19" t="s">
        <v>1058</v>
      </c>
      <c r="C15" s="20"/>
      <c r="D15" s="20"/>
      <c r="E15" s="21"/>
    </row>
    <row r="16" spans="1:5" x14ac:dyDescent="0.2">
      <c r="B16" t="s">
        <v>1059</v>
      </c>
    </row>
    <row r="18" spans="1:5" x14ac:dyDescent="0.2">
      <c r="A18" s="38" t="s">
        <v>1060</v>
      </c>
      <c r="B18" s="18"/>
      <c r="C18" s="18"/>
      <c r="D18" s="18"/>
      <c r="E18" s="18"/>
    </row>
    <row r="19" spans="1:5" x14ac:dyDescent="0.2">
      <c r="A19" s="2" t="s">
        <v>1052</v>
      </c>
      <c r="B19" s="19"/>
      <c r="C19" s="20"/>
      <c r="D19" s="20"/>
      <c r="E19" s="21"/>
    </row>
    <row r="20" spans="1:5" x14ac:dyDescent="0.2">
      <c r="A20" s="2" t="s">
        <v>1057</v>
      </c>
      <c r="B20" s="19"/>
      <c r="C20" s="20"/>
      <c r="D20" s="20"/>
      <c r="E20" s="21"/>
    </row>
    <row r="21" spans="1:5" x14ac:dyDescent="0.2">
      <c r="A21" s="2" t="s">
        <v>1061</v>
      </c>
      <c r="B21" s="19" t="s">
        <v>1062</v>
      </c>
      <c r="C21" s="20"/>
      <c r="D21" s="20"/>
      <c r="E21" s="21"/>
    </row>
    <row r="22" spans="1:5" x14ac:dyDescent="0.2">
      <c r="B22" t="s">
        <v>1063</v>
      </c>
    </row>
    <row r="23" spans="1:5" x14ac:dyDescent="0.2">
      <c r="B23" t="s">
        <v>1064</v>
      </c>
    </row>
    <row r="24" spans="1:5" x14ac:dyDescent="0.2">
      <c r="A24" s="37" t="s">
        <v>1065</v>
      </c>
      <c r="B24" s="18"/>
      <c r="C24" s="18"/>
      <c r="D24" s="18"/>
      <c r="E24" s="18"/>
    </row>
    <row r="25" spans="1:5" x14ac:dyDescent="0.2">
      <c r="A25" s="2" t="s">
        <v>1052</v>
      </c>
      <c r="B25" s="19"/>
      <c r="C25" s="20"/>
      <c r="D25" s="20"/>
      <c r="E25" s="21"/>
    </row>
    <row r="26" spans="1:5" x14ac:dyDescent="0.2">
      <c r="A26" s="2" t="s">
        <v>1057</v>
      </c>
      <c r="B26" s="19"/>
      <c r="C26" s="20"/>
      <c r="D26" s="20"/>
      <c r="E26" s="21"/>
    </row>
    <row r="27" spans="1:5" x14ac:dyDescent="0.2">
      <c r="A27" s="2" t="s">
        <v>1066</v>
      </c>
      <c r="B27" s="19"/>
      <c r="C27" s="20"/>
      <c r="D27" s="20"/>
      <c r="E27" s="21"/>
    </row>
    <row r="28" spans="1:5" x14ac:dyDescent="0.2">
      <c r="A28" s="2" t="s">
        <v>1067</v>
      </c>
      <c r="B28" s="19" t="s">
        <v>1068</v>
      </c>
      <c r="C28" s="20"/>
      <c r="D28" s="20"/>
      <c r="E28" s="21"/>
    </row>
    <row r="29" spans="1:5" x14ac:dyDescent="0.2">
      <c r="B29" t="s">
        <v>1069</v>
      </c>
    </row>
    <row r="30" spans="1:5" x14ac:dyDescent="0.2">
      <c r="B30" t="s">
        <v>1070</v>
      </c>
    </row>
    <row r="31" spans="1:5" x14ac:dyDescent="0.2">
      <c r="A31" s="23" t="s">
        <v>1071</v>
      </c>
      <c r="B31" s="18"/>
      <c r="C31" s="18"/>
      <c r="D31" s="18"/>
      <c r="E31" s="18"/>
    </row>
    <row r="32" spans="1:5" x14ac:dyDescent="0.2">
      <c r="A32" s="2" t="s">
        <v>1072</v>
      </c>
      <c r="B32" s="19"/>
      <c r="C32" s="20"/>
      <c r="D32" s="20"/>
      <c r="E32" s="21"/>
    </row>
    <row r="33" spans="1:5" x14ac:dyDescent="0.2">
      <c r="A33" s="2" t="s">
        <v>1073</v>
      </c>
      <c r="B33" s="19"/>
      <c r="C33" s="20"/>
      <c r="D33" s="20"/>
      <c r="E33" s="21"/>
    </row>
    <row r="34" spans="1:5" x14ac:dyDescent="0.2">
      <c r="A34" s="2" t="s">
        <v>1074</v>
      </c>
      <c r="B34" s="19"/>
      <c r="C34" s="20"/>
      <c r="D34" s="20"/>
      <c r="E34" s="21"/>
    </row>
    <row r="36" spans="1:5" x14ac:dyDescent="0.2">
      <c r="B36" t="s">
        <v>1075</v>
      </c>
    </row>
    <row r="37" spans="1:5" x14ac:dyDescent="0.2">
      <c r="B37" t="s">
        <v>1056</v>
      </c>
    </row>
    <row r="38" spans="1:5" x14ac:dyDescent="0.2">
      <c r="B38" t="s">
        <v>1076</v>
      </c>
    </row>
  </sheetData>
  <mergeCells count="20">
    <mergeCell ref="B19:E19"/>
    <mergeCell ref="A31:E31"/>
    <mergeCell ref="B28:E28"/>
    <mergeCell ref="B34:E34"/>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s>
  <dataValidations count="2">
    <dataValidation type="list" sqref="B7" xr:uid="{00000000-0002-0000-0800-000000000000}">
      <formula1>"Draft,Final,Requires remediation,Re-assessment required"</formula1>
    </dataValidation>
    <dataValidation type="list" sqref="B27" xr:uid="{00000000-0002-0000-0800-000001000000}">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Instructions &amp; Legend</vt:lpstr>
      <vt:lpstr>1. Password Security</vt:lpstr>
      <vt:lpstr>2. Multi-Factor Authentication</vt:lpstr>
      <vt:lpstr>3. Certificate-Based Auth</vt:lpstr>
      <vt:lpstr>4. Service Accounts</vt:lpstr>
      <vt:lpstr>5. SSO &amp; Federation</vt:lpstr>
      <vt:lpstr>Summary Dashboard</vt:lpstr>
      <vt:lpstr>Evidence Register</vt:lpstr>
      <vt:lpstr>Approval 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Griffin</cp:lastModifiedBy>
  <dcterms:created xsi:type="dcterms:W3CDTF">2026-01-13T22:05:37Z</dcterms:created>
  <dcterms:modified xsi:type="dcterms:W3CDTF">2026-01-13T22:07:20Z</dcterms:modified>
</cp:coreProperties>
</file>