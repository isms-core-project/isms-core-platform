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2. Access Review" sheetId="2" state="visible" r:id="rId2"/>
    <sheet xmlns:r="http://schemas.openxmlformats.org/officeDocument/2006/relationships" name="3. Change Management" sheetId="3" state="visible" r:id="rId3"/>
    <sheet xmlns:r="http://schemas.openxmlformats.org/officeDocument/2006/relationships" name="4. Incident Management" sheetId="4" state="visible" r:id="rId4"/>
    <sheet xmlns:r="http://schemas.openxmlformats.org/officeDocument/2006/relationships" name="5. Business Continuity" sheetId="5" state="visible" r:id="rId5"/>
    <sheet xmlns:r="http://schemas.openxmlformats.org/officeDocument/2006/relationships" name="6. Vendor Risk Monitoring" sheetId="6" state="visible" r:id="rId6"/>
    <sheet xmlns:r="http://schemas.openxmlformats.org/officeDocument/2006/relationships" name="7. Exit Strategy Review" sheetId="7" state="visible" r:id="rId7"/>
    <sheet xmlns:r="http://schemas.openxmlformats.org/officeDocument/2006/relationships" name="8. Jurisdictional Risk" sheetId="8" state="visible" r:id="rId8"/>
    <sheet xmlns:r="http://schemas.openxmlformats.org/officeDocument/2006/relationships" name="9. Summary Dashboard" sheetId="9" state="visible" r:id="rId9"/>
    <sheet xmlns:r="http://schemas.openxmlformats.org/officeDocument/2006/relationships" name="10. Evidence Register" sheetId="10" state="visible" r:id="rId10"/>
    <sheet xmlns:r="http://schemas.openxmlformats.org/officeDocument/2006/relationships" name="11. Approval Sign-Of" sheetId="11" state="visible" r:id="rId11"/>
  </sheets>
  <definedNames/>
  <calcPr calcId="124519" fullCalcOnLoad="1"/>
</workbook>
</file>

<file path=xl/styles.xml><?xml version="1.0" encoding="utf-8"?>
<styleSheet xmlns="http://schemas.openxmlformats.org/spreadsheetml/2006/main">
  <numFmts count="1">
    <numFmt numFmtId="164" formatCode="YYYY-MM-DD"/>
  </numFmts>
  <fonts count="15">
    <font>
      <name val="Calibri"/>
      <family val="2"/>
      <color theme="1"/>
      <sz val="11"/>
      <scheme val="minor"/>
    </font>
    <font>
      <b val="1"/>
      <color rgb="00FFFFFF"/>
      <sz val="14"/>
    </font>
    <font>
      <b val="1"/>
      <color rgb="00FFFFFF"/>
      <sz val="11"/>
    </font>
    <font>
      <b val="1"/>
      <sz val="11"/>
    </font>
    <font>
      <sz val="10"/>
    </font>
    <font>
      <b val="1"/>
      <color rgb="00FF0000"/>
      <sz val="11"/>
    </font>
    <font>
      <i val="1"/>
      <sz val="10"/>
    </font>
    <font>
      <i val="1"/>
      <color rgb="00808080"/>
      <sz val="10"/>
    </font>
    <font>
      <b val="1"/>
      <color rgb="000000FF"/>
      <sz val="12"/>
    </font>
    <font>
      <name val="Calibri"/>
      <i val="1"/>
      <sz val="9"/>
    </font>
    <font>
      <name val="Calibri"/>
      <b val="1"/>
      <sz val="10"/>
    </font>
    <font>
      <name val="Calibri"/>
      <b val="1"/>
      <color rgb="00FFFFFF"/>
      <sz val="12"/>
    </font>
    <font>
      <b val="1"/>
      <color rgb="00FF0000"/>
      <sz val="10"/>
    </font>
    <font>
      <b val="1"/>
    </font>
    <font>
      <b val="1"/>
      <color rgb="000000FF"/>
      <sz val="18"/>
    </font>
  </fonts>
  <fills count="11">
    <fill>
      <patternFill/>
    </fill>
    <fill>
      <patternFill patternType="gray125"/>
    </fill>
    <fill>
      <patternFill patternType="solid">
        <fgColor rgb="00003366"/>
        <bgColor rgb="00003366"/>
      </patternFill>
    </fill>
    <fill>
      <patternFill patternType="solid">
        <fgColor rgb="004472C4"/>
        <bgColor rgb="004472C4"/>
      </patternFill>
    </fill>
    <fill>
      <patternFill patternType="solid">
        <fgColor rgb="00FFFFCC"/>
        <bgColor rgb="00FFFFCC"/>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D9D9D9"/>
        <bgColor rgb="00D9D9D9"/>
      </patternFill>
    </fill>
    <fill>
      <patternFill patternType="solid">
        <fgColor rgb="00E7E6E6"/>
        <bgColor rgb="00E7E6E6"/>
      </patternFill>
    </fill>
    <fill>
      <patternFill patternType="solid">
        <fgColor rgb="0070AD47"/>
        <bgColor rgb="0070AD47"/>
      </patternFill>
    </fill>
  </fills>
  <borders count="7">
    <border>
      <left/>
      <right/>
      <top/>
      <bottom/>
      <diagonal/>
    </border>
    <border>
      <left style="thin">
        <color rgb="00000000"/>
      </left>
      <right style="thin">
        <color rgb="00000000"/>
      </right>
      <top style="thin">
        <color rgb="00000000"/>
      </top>
      <bottom style="thin">
        <color rgb="00000000"/>
      </bottom>
    </border>
    <border>
      <left style="thin"/>
      <right style="thin"/>
      <top style="thin"/>
      <bottom style="thin"/>
    </border>
    <border>
      <left/>
      <right/>
      <top style="thin">
        <color rgb="00000000"/>
      </top>
      <bottom/>
      <diagonal/>
    </border>
    <border>
      <left/>
      <right style="thin">
        <color rgb="00000000"/>
      </right>
      <top style="thin">
        <color rgb="00000000"/>
      </top>
      <bottom/>
      <diagonal/>
    </border>
    <border>
      <left/>
      <right/>
      <top style="thin">
        <color rgb="00000000"/>
      </top>
      <bottom style="thin">
        <color rgb="00000000"/>
      </bottom>
      <diagonal/>
    </border>
    <border>
      <left/>
      <right style="thin">
        <color rgb="00000000"/>
      </right>
      <top style="thin">
        <color rgb="00000000"/>
      </top>
      <bottom style="thin">
        <color rgb="00000000"/>
      </bottom>
      <diagonal/>
    </border>
  </borders>
  <cellStyleXfs count="1">
    <xf numFmtId="0" fontId="0" fillId="0" borderId="0"/>
  </cellStyleXfs>
  <cellXfs count="43">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0" borderId="0" pivotButton="0" quotePrefix="0" xfId="0"/>
    <xf numFmtId="0" fontId="0" fillId="0" borderId="1" pivotButton="0" quotePrefix="0" xfId="0"/>
    <xf numFmtId="0" fontId="0" fillId="4" borderId="1" pivotButton="0" quotePrefix="0" xfId="0"/>
    <xf numFmtId="0" fontId="4" fillId="0" borderId="0" pivotButton="0" quotePrefix="0" xfId="0"/>
    <xf numFmtId="0" fontId="3" fillId="0" borderId="1" pivotButton="0" quotePrefix="0" xfId="0"/>
    <xf numFmtId="0" fontId="0" fillId="5" borderId="1" pivotButton="0" quotePrefix="0" xfId="0"/>
    <xf numFmtId="0" fontId="0" fillId="6" borderId="1" pivotButton="0" quotePrefix="0" xfId="0"/>
    <xf numFmtId="0" fontId="0" fillId="7" borderId="1" pivotButton="0" quotePrefix="0" xfId="0"/>
    <xf numFmtId="0" fontId="0" fillId="8" borderId="1" pivotButton="0" quotePrefix="0" xfId="0"/>
    <xf numFmtId="0" fontId="5" fillId="0" borderId="0" pivotButton="0" quotePrefix="0" xfId="0"/>
    <xf numFmtId="0" fontId="6" fillId="0" borderId="0" applyAlignment="1" pivotButton="0" quotePrefix="0" xfId="0">
      <alignment horizontal="left" wrapText="1"/>
    </xf>
    <xf numFmtId="0" fontId="3" fillId="8" borderId="1" applyAlignment="1" pivotButton="0" quotePrefix="0" xfId="0">
      <alignment horizontal="center" wrapText="1"/>
    </xf>
    <xf numFmtId="0" fontId="7" fillId="0" borderId="1" pivotButton="0" quotePrefix="0" xfId="0"/>
    <xf numFmtId="0" fontId="2" fillId="3" borderId="0" pivotButton="0" quotePrefix="0" xfId="0"/>
    <xf numFmtId="0" fontId="0" fillId="0" borderId="0" applyAlignment="1" pivotButton="0" quotePrefix="0" xfId="0">
      <alignment horizontal="center"/>
    </xf>
    <xf numFmtId="0" fontId="0" fillId="0" borderId="0" applyAlignment="1" pivotButton="0" quotePrefix="0" xfId="0">
      <alignment wrapText="1"/>
    </xf>
    <xf numFmtId="0" fontId="8" fillId="0" borderId="0" pivotButton="0" quotePrefix="0" xfId="0"/>
    <xf numFmtId="0" fontId="1" fillId="2" borderId="0" applyAlignment="1" pivotButton="0" quotePrefix="0" xfId="0">
      <alignment horizontal="center" vertical="center" wrapText="1"/>
    </xf>
    <xf numFmtId="0" fontId="9" fillId="9" borderId="0" applyAlignment="1" pivotButton="0" quotePrefix="0" xfId="0">
      <alignment horizontal="center" vertical="center" wrapText="1"/>
    </xf>
    <xf numFmtId="0" fontId="10" fillId="8" borderId="2" applyAlignment="1" pivotButton="0" quotePrefix="0" xfId="0">
      <alignment horizontal="center" vertical="center" wrapText="1"/>
    </xf>
    <xf numFmtId="0" fontId="0" fillId="4" borderId="2" pivotButton="0" quotePrefix="0" xfId="0"/>
    <xf numFmtId="164" fontId="0" fillId="4" borderId="2" pivotButton="0" quotePrefix="0" xfId="0"/>
    <xf numFmtId="0" fontId="11" fillId="3" borderId="0" applyAlignment="1" pivotButton="0" quotePrefix="0" xfId="0">
      <alignment horizontal="center" vertical="center"/>
    </xf>
    <xf numFmtId="0" fontId="0" fillId="0" borderId="0" applyAlignment="1" pivotButton="0" quotePrefix="0" xfId="0">
      <alignment horizontal="left" vertical="center" wrapText="1"/>
    </xf>
    <xf numFmtId="0" fontId="11" fillId="10" borderId="0" applyAlignment="1" pivotButton="0" quotePrefix="0" xfId="0">
      <alignment horizontal="center" vertical="center"/>
    </xf>
    <xf numFmtId="0" fontId="12" fillId="6" borderId="0" applyAlignment="1" pivotButton="0" quotePrefix="0" xfId="0">
      <alignment horizontal="center" vertical="center" wrapText="1"/>
    </xf>
    <xf numFmtId="0" fontId="13" fillId="8" borderId="0" pivotButton="0" quotePrefix="0" xfId="0"/>
    <xf numFmtId="0" fontId="0" fillId="4" borderId="0" pivotButton="0" quotePrefix="0" xfId="0"/>
    <xf numFmtId="0" fontId="2" fillId="2" borderId="0" pivotButton="0" quotePrefix="0" xfId="0"/>
    <xf numFmtId="0" fontId="3" fillId="8" borderId="1" applyAlignment="1" pivotButton="0" quotePrefix="0" xfId="0">
      <alignment horizontal="center"/>
    </xf>
    <xf numFmtId="0" fontId="8" fillId="0" borderId="1" pivotButton="0" quotePrefix="0" xfId="0"/>
    <xf numFmtId="0" fontId="3" fillId="8" borderId="1" pivotButton="0" quotePrefix="0" xfId="0"/>
    <xf numFmtId="0" fontId="1" fillId="2" borderId="0" pivotButton="0" quotePrefix="0" xfId="0"/>
    <xf numFmtId="0" fontId="14" fillId="0" borderId="0" pivotButton="0" quotePrefix="0" xfId="0"/>
    <xf numFmtId="0" fontId="6" fillId="0" borderId="0" applyAlignment="1" pivotButton="0" quotePrefix="0" xfId="0">
      <alignment horizontal="center"/>
    </xf>
    <xf numFmtId="0" fontId="13" fillId="8" borderId="1" pivotButton="0" quotePrefix="0" xfId="0"/>
    <xf numFmtId="0" fontId="2" fillId="3" borderId="0" applyAlignment="1" pivotButton="0" quotePrefix="0" xfId="0">
      <alignment horizontal="center"/>
    </xf>
    <xf numFmtId="0" fontId="2" fillId="2" borderId="0" applyAlignment="1" pivotButton="0" quotePrefix="0" xfId="0">
      <alignment horizontal="center"/>
    </xf>
    <xf numFmtId="0" fontId="0" fillId="0" borderId="5" pivotButton="0" quotePrefix="0" xfId="0"/>
    <xf numFmtId="0" fontId="0" fillId="0" borderId="6" pivotButton="0" quotePrefix="0" xfId="0"/>
  </cellXfs>
  <cellStyles count="1">
    <cellStyle name="Normal" xfId="0" builtinId="0" hidden="0"/>
  </cellStyles>
  <dxfs count="3">
    <dxf>
      <font>
        <b val="1"/>
        <color rgb="00FFFFFF"/>
      </font>
      <fill>
        <patternFill patternType="solid">
          <fgColor rgb="00FF0000"/>
          <bgColor rgb="00FF0000"/>
        </patternFill>
      </fill>
    </dxf>
    <dxf>
      <font>
        <b val="1"/>
      </font>
      <fill>
        <patternFill patternType="solid">
          <fgColor rgb="00FFC000"/>
          <bgColor rgb="00FFC000"/>
        </patternFill>
      </fill>
    </dxf>
    <dxf>
      <fill>
        <patternFill patternType="solid">
          <fgColor rgb="00FFFF00"/>
          <bgColor rgb="00FFFF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4"/>
  <sheetViews>
    <sheetView workbookViewId="0">
      <selection activeCell="A1" sqref="A1"/>
    </sheetView>
  </sheetViews>
  <sheetFormatPr baseColWidth="8" defaultRowHeight="15"/>
  <cols>
    <col width="50" customWidth="1" min="1" max="1"/>
    <col width="50" customWidth="1" min="2" max="2"/>
    <col width="40" customWidth="1" min="3" max="3"/>
  </cols>
  <sheetData>
    <row r="1" ht="40" customHeight="1">
      <c r="A1" s="1" t="inlineStr">
        <is>
          <t>ISMS-IMP-A.5.23.S4 - Ongoing Governance &amp; Risk Management v1.0</t>
        </is>
      </c>
    </row>
    <row r="2" ht="25" customHeight="1">
      <c r="A2" s="2" t="inlineStr">
        <is>
          <t>ISO/IEC 27001:2022 - Control A.5.23: Cloud Services Security</t>
        </is>
      </c>
    </row>
    <row r="4">
      <c r="A4" s="3" t="inlineStr">
        <is>
          <t>Document ID:</t>
        </is>
      </c>
      <c r="B4" s="4" t="inlineStr">
        <is>
          <t>ISMS-IMP-A.5.23.S4</t>
        </is>
      </c>
    </row>
    <row r="5">
      <c r="A5" s="3" t="inlineStr">
        <is>
          <t>Assessment Area:</t>
        </is>
      </c>
      <c r="B5" s="4" t="inlineStr">
        <is>
          <t>Ongoing Cloud Service Governance &amp; Risk Management</t>
        </is>
      </c>
    </row>
    <row r="6">
      <c r="A6" s="3" t="inlineStr">
        <is>
          <t>Related Policy:</t>
        </is>
      </c>
      <c r="B6" s="4" t="inlineStr">
        <is>
          <t>ISMS-POL-A.5.19-23-S5 Section 6</t>
        </is>
      </c>
    </row>
    <row r="7">
      <c r="A7" s="3" t="inlineStr">
        <is>
          <t>Version:</t>
        </is>
      </c>
      <c r="B7" s="4" t="inlineStr">
        <is>
          <t>2.0 (Regulatory Update)</t>
        </is>
      </c>
    </row>
    <row r="8">
      <c r="A8" s="3" t="inlineStr">
        <is>
          <t>Assessment Date:</t>
        </is>
      </c>
      <c r="B8" s="5" t="inlineStr">
        <is>
          <t>[ENTER DATE]</t>
        </is>
      </c>
    </row>
    <row r="9">
      <c r="A9" s="3" t="inlineStr">
        <is>
          <t>Completed By:</t>
        </is>
      </c>
      <c r="B9" s="5" t="inlineStr">
        <is>
          <t>[ENTER NAME]</t>
        </is>
      </c>
    </row>
    <row r="10">
      <c r="A10" s="3" t="inlineStr">
        <is>
          <t>Organization:</t>
        </is>
      </c>
      <c r="B10" s="5" t="inlineStr">
        <is>
          <t>[ENTER ORGANIZATION]</t>
        </is>
      </c>
    </row>
    <row r="11">
      <c r="A11" s="3" t="inlineStr">
        <is>
          <t>Review Cycle:</t>
        </is>
      </c>
      <c r="B11" s="4" t="inlineStr">
        <is>
          <t>Quarterly</t>
        </is>
      </c>
    </row>
    <row r="13">
      <c r="A13" s="3" t="inlineStr">
        <is>
          <t>HOW TO USE THIS WORKBOOK</t>
        </is>
      </c>
    </row>
    <row r="14">
      <c r="A14" s="6" t="inlineStr">
        <is>
          <t>1. Complete each assessment sheet (2-7) for all cloud services in scope</t>
        </is>
      </c>
    </row>
    <row r="15">
      <c r="A15" s="6" t="inlineStr">
        <is>
          <t>2. Use dropdown menus for standardized entries</t>
        </is>
      </c>
    </row>
    <row r="16">
      <c r="A16" s="6" t="inlineStr">
        <is>
          <t>3. Fill in yellow-highlighted cells with your information</t>
        </is>
      </c>
    </row>
    <row r="17">
      <c r="A17" s="6" t="inlineStr">
        <is>
          <t>4. If Status = Partial or Non-Compliant, document gaps and remediation</t>
        </is>
      </c>
    </row>
    <row r="18">
      <c r="A18" s="6" t="inlineStr">
        <is>
          <t>5. Provide evidence location/path for each assessment entry</t>
        </is>
      </c>
    </row>
    <row r="19">
      <c r="A19" s="6" t="inlineStr">
        <is>
          <t>6. Complete Jurisdictional Risk sheet (8) for all US-nexus providers (NEW)</t>
        </is>
      </c>
    </row>
    <row r="20">
      <c r="A20" s="6" t="inlineStr">
        <is>
          <t>7. Document DORA ICT risk monitoring frequency if in scope</t>
        </is>
      </c>
    </row>
    <row r="21">
      <c r="A21" s="6" t="inlineStr">
        <is>
          <t>8. Classify NIS2 incidents according to severity thresholds</t>
        </is>
      </c>
    </row>
    <row r="22">
      <c r="A22" s="6" t="inlineStr">
        <is>
          <t>9. Monitor AI systems according to AI Act risk classification</t>
        </is>
      </c>
    </row>
    <row r="23">
      <c r="A23" s="6" t="inlineStr">
        <is>
          <t>10. Assign regulatory risk owners for all identified risks</t>
        </is>
      </c>
    </row>
    <row r="24">
      <c r="A24" s="6" t="inlineStr">
        <is>
          <t>11. Summary Dashboard auto-calculates compliance statistics</t>
        </is>
      </c>
    </row>
    <row r="25">
      <c r="A25" s="6" t="inlineStr">
        <is>
          <t>12. Maintain Evidence Register for audit traceability</t>
        </is>
      </c>
    </row>
    <row r="26">
      <c r="A26" s="6" t="inlineStr">
        <is>
          <t>13. Obtain sign-offs in sequence: IT Ops → Compliance → DPO → CRO → CISO</t>
        </is>
      </c>
    </row>
    <row r="28">
      <c r="A28" s="3" t="inlineStr">
        <is>
          <t>STATUS LEGEND</t>
        </is>
      </c>
    </row>
    <row r="29">
      <c r="A29" s="7" t="inlineStr">
        <is>
          <t>Status</t>
        </is>
      </c>
      <c r="B29" s="7" t="inlineStr">
        <is>
          <t>Color</t>
        </is>
      </c>
      <c r="C29" s="7" t="inlineStr">
        <is>
          <t>Meaning</t>
        </is>
      </c>
    </row>
    <row r="30">
      <c r="A30" s="4" t="inlineStr">
        <is>
          <t>{CHECK} Compliant</t>
        </is>
      </c>
      <c r="B30" s="8" t="n"/>
      <c r="C30" s="4" t="inlineStr">
        <is>
          <t>Fully meets requirements</t>
        </is>
      </c>
    </row>
    <row r="31">
      <c r="A31" s="4" t="inlineStr">
        <is>
          <t>{WARNING} Partial</t>
        </is>
      </c>
      <c r="B31" s="9" t="n"/>
      <c r="C31" s="4" t="inlineStr">
        <is>
          <t>Partially implemented, gaps exist</t>
        </is>
      </c>
    </row>
    <row r="32">
      <c r="A32" s="4" t="inlineStr">
        <is>
          <t>{XMARK} Non-Compliant</t>
        </is>
      </c>
      <c r="B32" s="10" t="n"/>
      <c r="C32" s="4" t="inlineStr">
        <is>
          <t>Not implemented or major gaps</t>
        </is>
      </c>
    </row>
    <row r="33">
      <c r="A33" s="4" t="inlineStr">
        <is>
          <t>N/A</t>
        </is>
      </c>
      <c r="B33" s="11" t="n"/>
      <c r="C33" s="4" t="inlineStr">
        <is>
          <t>Not applicable to this service</t>
        </is>
      </c>
    </row>
    <row r="36">
      <c r="A36" s="12" t="inlineStr">
        <is>
          <t>REGULATORY COMPLIANCE (NEW IN v1.0)</t>
        </is>
      </c>
    </row>
    <row r="37">
      <c r="A37" t="inlineStr">
        <is>
          <t>This workbook includes updated requirements for:</t>
        </is>
      </c>
    </row>
    <row r="38">
      <c r="A38" t="inlineStr">
        <is>
          <t>• DORA (Digital Operational Resilience Act) - ICT risk management</t>
        </is>
      </c>
    </row>
    <row r="39">
      <c r="A39" t="inlineStr">
        <is>
          <t>• NIS2 (Network and Information Security Directive 2) - Incident management</t>
        </is>
      </c>
    </row>
    <row r="40">
      <c r="A40" t="inlineStr">
        <is>
          <t>• EU AI Act - AI system risk monitoring</t>
        </is>
      </c>
    </row>
    <row r="41">
      <c r="A41" t="inlineStr">
        <is>
          <t>• US CLOUD Act - Jurisdictional risk assessment (NEW Sheet 8)</t>
        </is>
      </c>
    </row>
    <row r="43">
      <c r="A43" s="3" t="inlineStr">
        <is>
          <t>REGULATORY APPLICABILITY GUIDANCE</t>
        </is>
      </c>
    </row>
    <row r="44">
      <c r="A44" s="3" t="inlineStr">
        <is>
          <t>If You Are...</t>
        </is>
      </c>
      <c r="B44" s="3" t="inlineStr">
        <is>
          <t>Complete These Fields</t>
        </is>
      </c>
    </row>
    <row r="45">
      <c r="A45" t="inlineStr">
        <is>
          <t>EU Financial Entity (DORA scope)</t>
        </is>
      </c>
      <c r="B45" t="inlineStr">
        <is>
          <t>All DORA fields (mandatory)</t>
        </is>
      </c>
    </row>
    <row r="46">
      <c r="A46" t="inlineStr">
        <is>
          <t>EU Essential/Important Entity (NIS2)</t>
        </is>
      </c>
      <c r="B46" t="inlineStr">
        <is>
          <t>All NIS2 fields (mandatory)</t>
        </is>
      </c>
    </row>
    <row r="47">
      <c r="A47" t="inlineStr">
        <is>
          <t>Operating AI Systems from vendors</t>
        </is>
      </c>
      <c r="B47" t="inlineStr">
        <is>
          <t>All AI Act risk monitoring fields</t>
        </is>
      </c>
    </row>
    <row r="48">
      <c r="A48" t="inlineStr">
        <is>
          <t>Using US-HQ Providers</t>
        </is>
      </c>
      <c r="B48" t="inlineStr">
        <is>
          <t>Sheet 8 Jurisdictional Risk (all)</t>
        </is>
      </c>
    </row>
    <row r="49">
      <c r="A49" t="inlineStr">
        <is>
          <t>None of the Above</t>
        </is>
      </c>
      <c r="B49" t="inlineStr">
        <is>
          <t>Mark as "N/A" or "Not Applicable"</t>
        </is>
      </c>
    </row>
    <row r="52">
      <c r="A52" s="3" t="inlineStr">
        <is>
          <t>RISK MONITORING CONSIDERATIONS</t>
        </is>
      </c>
    </row>
    <row r="53">
      <c r="A53" t="inlineStr">
        <is>
          <t>• DORA: Quarterly ICT risk register reviews mandatory</t>
        </is>
      </c>
    </row>
    <row r="54">
      <c r="A54" t="inlineStr">
        <is>
          <t>• NIS2: Significant incidents require ≤24h notification to authorities</t>
        </is>
      </c>
    </row>
    <row r="55">
      <c r="A55" t="inlineStr">
        <is>
          <t>• AI Act: High-risk AI systems require continuous monitoring</t>
        </is>
      </c>
    </row>
    <row r="56">
      <c r="A56" t="inlineStr">
        <is>
          <t>• Maintain audit trail of all risk assessments and decisions</t>
        </is>
      </c>
    </row>
    <row r="57">
      <c r="A57" t="inlineStr">
        <is>
          <t>• Document vendor concentration risks (single-vendor dependencies)</t>
        </is>
      </c>
    </row>
    <row r="58">
      <c r="A58" t="inlineStr">
        <is>
          <t>• Test business continuity plans annually minimum</t>
        </is>
      </c>
    </row>
    <row r="61">
      <c r="A61" s="3" t="inlineStr">
        <is>
          <t>ACCEPTABLE EVIDENCE (EXAMPLES)</t>
        </is>
      </c>
    </row>
    <row r="62">
      <c r="A62" t="inlineStr">
        <is>
          <t>✓ Access review reports with sign-offs</t>
        </is>
      </c>
    </row>
    <row r="63">
      <c r="A63" t="inlineStr">
        <is>
          <t>✓ Change management tickets and approvals</t>
        </is>
      </c>
    </row>
    <row r="64">
      <c r="A64" t="inlineStr">
        <is>
          <t>✓ Incident reports and root cause analyses</t>
        </is>
      </c>
    </row>
    <row r="65">
      <c r="A65" t="inlineStr">
        <is>
          <t>✓ BC/DR test results and RTO/RPO measurements</t>
        </is>
      </c>
    </row>
    <row r="66">
      <c r="A66" t="inlineStr">
        <is>
          <t>✓ Vendor risk assessments and scorecards</t>
        </is>
      </c>
    </row>
    <row r="67">
      <c r="A67" t="inlineStr">
        <is>
          <t>✓ Quarterly ICT risk register reviews (DORA)</t>
        </is>
      </c>
    </row>
    <row r="68">
      <c r="A68" t="inlineStr">
        <is>
          <t>✓ Vendor concentration risk assessment</t>
        </is>
      </c>
    </row>
    <row r="69">
      <c r="A69" t="inlineStr">
        <is>
          <t>✓ Business continuity test reports (annual minimum)</t>
        </is>
      </c>
    </row>
    <row r="70">
      <c r="A70" t="inlineStr">
        <is>
          <t>✓ Incident notification records (NIS2 ≤24h threshold)</t>
        </is>
      </c>
    </row>
    <row r="71">
      <c r="A71" t="inlineStr">
        <is>
          <t>✓ AI system monitoring logs (for high-risk AI)</t>
        </is>
      </c>
    </row>
    <row r="72">
      <c r="A72" t="inlineStr">
        <is>
          <t>✓ Risk ownership assignments (signed by risk owners)</t>
        </is>
      </c>
    </row>
    <row r="73">
      <c r="A73" t="inlineStr">
        <is>
          <t>✓ Jurisdictional risk assessment (for US-nexus providers)</t>
        </is>
      </c>
    </row>
    <row r="74">
      <c r="A74" t="inlineStr">
        <is>
          <t>✓ Risk acceptance forms (signed by CISO/DPO/CRO)</t>
        </is>
      </c>
    </row>
  </sheetData>
  <mergeCells count="4">
    <mergeCell ref="A36:H36"/>
    <mergeCell ref="A2:H2"/>
    <mergeCell ref="A13:H13"/>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44"/>
  <sheetViews>
    <sheetView workbookViewId="0">
      <pane ySplit="5" topLeftCell="A6" activePane="bottomLeft" state="frozen"/>
      <selection pane="bottomLeft" activeCell="A1" sqref="A1"/>
    </sheetView>
  </sheetViews>
  <sheetFormatPr baseColWidth="8" defaultRowHeight="15"/>
  <cols>
    <col width="28" customWidth="1" min="1" max="1"/>
    <col width="65" customWidth="1" min="2" max="2"/>
    <col width="20" customWidth="1" min="3" max="3"/>
    <col width="16" customWidth="1" min="4" max="4"/>
    <col width="18" customWidth="1" min="5" max="5"/>
    <col width="20" customWidth="1" min="6" max="6"/>
    <col width="18" customWidth="1" min="7" max="7"/>
    <col width="15" customWidth="1" min="8" max="8"/>
    <col width="30" customWidth="1" min="9" max="9"/>
    <col width="35" customWidth="1" min="10" max="10"/>
    <col width="16" customWidth="1" min="11" max="11"/>
    <col width="14" customWidth="1" min="12" max="12"/>
    <col width="14" customWidth="1" min="13" max="13"/>
    <col width="30" customWidth="1" min="14" max="14"/>
    <col width="20" customWidth="1" min="15" max="15"/>
    <col width="18" customWidth="1" min="16" max="16"/>
    <col width="18" customWidth="1" min="17" max="17"/>
    <col width="16" customWidth="1" min="18" max="18"/>
    <col width="18" customWidth="1" min="19" max="19"/>
    <col width="18" customWidth="1" min="20" max="20"/>
    <col width="18" customWidth="1" min="21" max="21"/>
    <col width="20" customWidth="1" min="22" max="22"/>
    <col width="18" customWidth="1" min="23" max="23"/>
    <col width="16" customWidth="1" min="24" max="24"/>
  </cols>
  <sheetData>
    <row r="1" ht="35" customHeight="1">
      <c r="A1" s="1" t="inlineStr">
        <is>
          <t>2. ACCESS REVIEW &amp; RECERTIFICATION</t>
        </is>
      </c>
    </row>
    <row r="2" ht="30" customHeight="1">
      <c r="A2" s="13" t="inlineStr">
        <is>
          <t>Policy Reference: Access to cloud services MUST be reviewed quarterly. Orphan accounts MUST be disabled within 24 hours. (Policy Section 6.1)</t>
        </is>
      </c>
    </row>
    <row r="4" ht="30" customHeight="1">
      <c r="A4" s="14" t="inlineStr">
        <is>
          <t>Microsoft 365</t>
        </is>
      </c>
      <c r="B4" s="14" t="inlineStr">
        <is>
          <t>2024-12-01</t>
        </is>
      </c>
      <c r="C4" s="14" t="inlineStr">
        <is>
          <t>2025-03-01</t>
        </is>
      </c>
      <c r="D4" s="14" t="inlineStr">
        <is>
          <t>IT Security</t>
        </is>
      </c>
      <c r="E4" s="14" t="inlineStr">
        <is>
          <t>Completed</t>
        </is>
      </c>
      <c r="F4" s="14" t="inlineStr">
        <is>
          <t>2 users removed</t>
        </is>
      </c>
      <c r="G4" s="14" t="inlineStr">
        <is>
          <t>✓ Compliant</t>
        </is>
      </c>
      <c r="H4" s="14" t="inlineStr">
        <is>
          <t>Status</t>
        </is>
      </c>
      <c r="I4" s="14" t="inlineStr">
        <is>
          <t>Evidence Location</t>
        </is>
      </c>
      <c r="J4" s="14" t="inlineStr">
        <is>
          <t>Gap Description</t>
        </is>
      </c>
      <c r="K4" s="14" t="inlineStr">
        <is>
          <t>Remediation Needed</t>
        </is>
      </c>
      <c r="L4" s="14" t="inlineStr">
        <is>
          <t>Exception ID</t>
        </is>
      </c>
      <c r="M4" s="14" t="inlineStr">
        <is>
          <t>Risk ID</t>
        </is>
      </c>
      <c r="N4" s="14" t="inlineStr">
        <is>
          <t>Compensating Controls</t>
        </is>
      </c>
      <c r="O4" s="14" t="inlineStr">
        <is>
          <t>Responsible Team/Owner</t>
        </is>
      </c>
      <c r="P4" s="14" t="inlineStr">
        <is>
          <t>Target Remediation Date</t>
        </is>
      </c>
      <c r="Q4" s="14" t="inlineStr">
        <is>
          <t>Last Review Date</t>
        </is>
      </c>
      <c r="R4" s="14" t="inlineStr">
        <is>
          <t>Last Review Date</t>
        </is>
      </c>
      <c r="S4" s="14" t="inlineStr">
        <is>
          <t>Review Outcome</t>
        </is>
      </c>
      <c r="T4" s="14" t="inlineStr">
        <is>
          <t>Total Accounts Reviewed</t>
        </is>
      </c>
      <c r="U4" s="14" t="inlineStr">
        <is>
          <t>Orphan Accounts Found</t>
        </is>
      </c>
      <c r="V4" s="14" t="inlineStr">
        <is>
          <t>Excessive Privileges Found</t>
        </is>
      </c>
      <c r="W4" s="14" t="inlineStr">
        <is>
          <t>Accounts Remediated</t>
        </is>
      </c>
      <c r="X4" s="14" t="inlineStr">
        <is>
          <t>Next Review Due</t>
        </is>
      </c>
    </row>
    <row r="5">
      <c r="A5" s="15" t="inlineStr">
        <is>
          <t>Azure Cloud Platform</t>
        </is>
      </c>
      <c r="B5" s="15" t="inlineStr">
        <is>
          <t>2024-12-01</t>
        </is>
      </c>
      <c r="C5" s="15" t="inlineStr">
        <is>
          <t>2025-03-01</t>
        </is>
      </c>
      <c r="D5" s="15" t="inlineStr">
        <is>
          <t>IT Security</t>
        </is>
      </c>
      <c r="E5" s="15" t="inlineStr">
        <is>
          <t>Completed</t>
        </is>
      </c>
      <c r="F5" s="15" t="inlineStr">
        <is>
          <t>2 users removed</t>
        </is>
      </c>
      <c r="G5" s="15" t="inlineStr">
        <is>
          <t>✓ Compliant</t>
        </is>
      </c>
      <c r="H5" s="15" t="inlineStr">
        <is>
          <t>✅ Compliant</t>
        </is>
      </c>
      <c r="I5" s="15" t="inlineStr">
        <is>
          <t>/evidence/access/M365</t>
        </is>
      </c>
      <c r="J5" s="15" t="inlineStr"/>
      <c r="K5" s="15" t="inlineStr">
        <is>
          <t>No</t>
        </is>
      </c>
      <c r="L5" s="15" t="inlineStr"/>
      <c r="M5" s="15" t="inlineStr"/>
      <c r="N5" s="15" t="inlineStr"/>
      <c r="O5" s="15" t="inlineStr">
        <is>
          <t>IT Ops</t>
        </is>
      </c>
      <c r="P5" s="15" t="inlineStr"/>
      <c r="Q5" s="15" t="inlineStr">
        <is>
          <t>2025-12-15</t>
        </is>
      </c>
      <c r="R5" s="15" t="inlineStr">
        <is>
          <t>2025-12-15</t>
        </is>
      </c>
      <c r="S5" s="15" t="inlineStr">
        <is>
          <t>Passed</t>
        </is>
      </c>
      <c r="T5" s="15" t="inlineStr">
        <is>
          <t>245</t>
        </is>
      </c>
      <c r="U5" s="15" t="inlineStr">
        <is>
          <t>3</t>
        </is>
      </c>
      <c r="V5" s="15" t="inlineStr">
        <is>
          <t>5</t>
        </is>
      </c>
      <c r="W5" s="15" t="inlineStr">
        <is>
          <t>8</t>
        </is>
      </c>
      <c r="X5" s="15" t="inlineStr">
        <is>
          <t>2026-03-15</t>
        </is>
      </c>
    </row>
    <row r="6">
      <c r="A6" s="5" t="inlineStr">
        <is>
          <t>AWS S3 Storage</t>
        </is>
      </c>
      <c r="B6" s="5" t="inlineStr">
        <is>
          <t>2024-12-01</t>
        </is>
      </c>
      <c r="C6" s="5" t="inlineStr">
        <is>
          <t>2025-03-01</t>
        </is>
      </c>
      <c r="D6" s="5" t="inlineStr">
        <is>
          <t>IT Security</t>
        </is>
      </c>
      <c r="E6" s="5" t="inlineStr">
        <is>
          <t>Completed</t>
        </is>
      </c>
      <c r="F6" s="5" t="inlineStr">
        <is>
          <t>2 users removed</t>
        </is>
      </c>
      <c r="G6" s="5" t="inlineStr">
        <is>
          <t>✓ Compliant</t>
        </is>
      </c>
      <c r="H6" s="5" t="n"/>
      <c r="I6" s="5" t="n"/>
      <c r="J6" s="5" t="n"/>
      <c r="K6" s="5" t="n"/>
      <c r="L6" s="5" t="n"/>
      <c r="M6" s="5" t="n"/>
      <c r="N6" s="5" t="n"/>
      <c r="O6" s="5" t="n"/>
      <c r="P6" s="5" t="n"/>
      <c r="Q6" s="5" t="n"/>
      <c r="R6" s="5" t="n"/>
      <c r="S6" s="5" t="n"/>
      <c r="T6" s="5" t="n"/>
      <c r="U6" s="5" t="n"/>
      <c r="V6" s="5" t="n"/>
      <c r="W6" s="5" t="n"/>
      <c r="X6" s="5" t="n"/>
    </row>
    <row r="7">
      <c r="A7" s="5" t="inlineStr">
        <is>
          <t>Salesforce CRM</t>
        </is>
      </c>
      <c r="B7" s="5" t="inlineStr">
        <is>
          <t>2024-12-01</t>
        </is>
      </c>
      <c r="C7" s="5" t="inlineStr">
        <is>
          <t>2025-03-01</t>
        </is>
      </c>
      <c r="D7" s="5" t="inlineStr">
        <is>
          <t>IT Security</t>
        </is>
      </c>
      <c r="E7" s="5" t="inlineStr">
        <is>
          <t>Completed</t>
        </is>
      </c>
      <c r="F7" s="5" t="inlineStr">
        <is>
          <t>2 users removed</t>
        </is>
      </c>
      <c r="G7" s="5" t="inlineStr">
        <is>
          <t>✓ Compliant</t>
        </is>
      </c>
      <c r="H7" s="5" t="n"/>
      <c r="I7" s="5" t="n"/>
      <c r="J7" s="5" t="n"/>
      <c r="K7" s="5" t="n"/>
      <c r="L7" s="5" t="n"/>
      <c r="M7" s="5" t="n"/>
      <c r="N7" s="5" t="n"/>
      <c r="O7" s="5" t="n"/>
      <c r="P7" s="5" t="n"/>
      <c r="Q7" s="5" t="n"/>
      <c r="R7" s="5" t="n"/>
      <c r="S7" s="5" t="n"/>
      <c r="T7" s="5" t="n"/>
      <c r="U7" s="5" t="n"/>
      <c r="V7" s="5" t="n"/>
      <c r="W7" s="5" t="n"/>
      <c r="X7" s="5" t="n"/>
    </row>
    <row r="8">
      <c r="A8" s="5" t="inlineStr">
        <is>
          <t>ServiceNow ITSM</t>
        </is>
      </c>
      <c r="B8" s="5" t="inlineStr">
        <is>
          <t>2024-12-01</t>
        </is>
      </c>
      <c r="C8" s="5" t="inlineStr">
        <is>
          <t>2025-03-01</t>
        </is>
      </c>
      <c r="D8" s="5" t="inlineStr">
        <is>
          <t>IT Security</t>
        </is>
      </c>
      <c r="E8" s="5" t="inlineStr">
        <is>
          <t>Completed</t>
        </is>
      </c>
      <c r="F8" s="5" t="inlineStr">
        <is>
          <t>2 users removed</t>
        </is>
      </c>
      <c r="G8" s="5" t="inlineStr">
        <is>
          <t>✓ Compliant</t>
        </is>
      </c>
      <c r="H8" s="5" t="n"/>
      <c r="I8" s="5" t="n"/>
      <c r="J8" s="5" t="n"/>
      <c r="K8" s="5" t="n"/>
      <c r="L8" s="5" t="n"/>
      <c r="M8" s="5" t="n"/>
      <c r="N8" s="5" t="n"/>
      <c r="O8" s="5" t="n"/>
      <c r="P8" s="5" t="n"/>
      <c r="Q8" s="5" t="n"/>
      <c r="R8" s="5" t="n"/>
      <c r="S8" s="5" t="n"/>
      <c r="T8" s="5" t="n"/>
      <c r="U8" s="5" t="n"/>
      <c r="V8" s="5" t="n"/>
      <c r="W8" s="5" t="n"/>
      <c r="X8" s="5" t="n"/>
    </row>
    <row r="9">
      <c r="A9" s="5" t="n"/>
      <c r="B9" s="5" t="n"/>
      <c r="C9" s="5" t="n"/>
      <c r="D9" s="5" t="n"/>
      <c r="E9" s="5" t="n"/>
      <c r="F9" s="5" t="n"/>
      <c r="G9" s="5" t="n"/>
      <c r="H9" s="5" t="n"/>
      <c r="I9" s="5" t="n"/>
      <c r="J9" s="5" t="n"/>
      <c r="K9" s="5" t="n"/>
      <c r="L9" s="5" t="n"/>
      <c r="M9" s="5" t="n"/>
      <c r="N9" s="5" t="n"/>
      <c r="O9" s="5" t="n"/>
      <c r="P9" s="5" t="n"/>
      <c r="Q9" s="5" t="n"/>
      <c r="R9" s="5" t="n"/>
      <c r="S9" s="5" t="n"/>
      <c r="T9" s="5" t="n"/>
      <c r="U9" s="5" t="n"/>
      <c r="V9" s="5" t="n"/>
      <c r="W9" s="5" t="n"/>
      <c r="X9" s="5" t="n"/>
    </row>
    <row r="10">
      <c r="A10" s="5" t="n"/>
      <c r="B10" s="5" t="n"/>
      <c r="C10" s="5" t="n"/>
      <c r="D10" s="5" t="n"/>
      <c r="E10" s="5" t="n"/>
      <c r="F10" s="5" t="n"/>
      <c r="G10" s="5" t="n"/>
      <c r="H10" s="5" t="n"/>
      <c r="I10" s="5" t="n"/>
      <c r="J10" s="5" t="n"/>
      <c r="K10" s="5" t="n"/>
      <c r="L10" s="5" t="n"/>
      <c r="M10" s="5" t="n"/>
      <c r="N10" s="5" t="n"/>
      <c r="O10" s="5" t="n"/>
      <c r="P10" s="5" t="n"/>
      <c r="Q10" s="5" t="n"/>
      <c r="R10" s="5" t="n"/>
      <c r="S10" s="5" t="n"/>
      <c r="T10" s="5" t="n"/>
      <c r="U10" s="5" t="n"/>
      <c r="V10" s="5" t="n"/>
      <c r="W10" s="5" t="n"/>
      <c r="X10" s="5" t="n"/>
    </row>
    <row r="11">
      <c r="A11" s="5" t="n"/>
      <c r="B11" s="5" t="n"/>
      <c r="C11" s="5" t="n"/>
      <c r="D11" s="5" t="n"/>
      <c r="E11" s="5" t="n"/>
      <c r="F11" s="5" t="n"/>
      <c r="G11" s="5" t="n"/>
      <c r="H11" s="5" t="n"/>
      <c r="I11" s="5" t="n"/>
      <c r="J11" s="5" t="n"/>
      <c r="K11" s="5" t="n"/>
      <c r="L11" s="5" t="n"/>
      <c r="M11" s="5" t="n"/>
      <c r="N11" s="5" t="n"/>
      <c r="O11" s="5" t="n"/>
      <c r="P11" s="5" t="n"/>
      <c r="Q11" s="5" t="n"/>
      <c r="R11" s="5" t="n"/>
      <c r="S11" s="5" t="n"/>
      <c r="T11" s="5" t="n"/>
      <c r="U11" s="5" t="n"/>
      <c r="V11" s="5" t="n"/>
      <c r="W11" s="5" t="n"/>
      <c r="X11" s="5" t="n"/>
    </row>
    <row r="12">
      <c r="A12" s="5" t="n"/>
      <c r="B12" s="5" t="n"/>
      <c r="C12" s="5" t="n"/>
      <c r="D12" s="5" t="n"/>
      <c r="E12" s="5" t="n"/>
      <c r="F12" s="5" t="n"/>
      <c r="G12" s="5" t="n"/>
      <c r="H12" s="5" t="n"/>
      <c r="I12" s="5" t="n"/>
      <c r="J12" s="5" t="n"/>
      <c r="K12" s="5" t="n"/>
      <c r="L12" s="5" t="n"/>
      <c r="M12" s="5" t="n"/>
      <c r="N12" s="5" t="n"/>
      <c r="O12" s="5" t="n"/>
      <c r="P12" s="5" t="n"/>
      <c r="Q12" s="5" t="n"/>
      <c r="R12" s="5" t="n"/>
      <c r="S12" s="5" t="n"/>
      <c r="T12" s="5" t="n"/>
      <c r="U12" s="5" t="n"/>
      <c r="V12" s="5" t="n"/>
      <c r="W12" s="5" t="n"/>
      <c r="X12" s="5" t="n"/>
    </row>
    <row r="13">
      <c r="A13" s="5" t="n"/>
      <c r="B13" s="5" t="n"/>
      <c r="C13" s="5" t="n"/>
      <c r="D13" s="5" t="n"/>
      <c r="E13" s="5" t="n"/>
      <c r="F13" s="5" t="n"/>
      <c r="G13" s="5" t="n"/>
      <c r="H13" s="5" t="n"/>
      <c r="I13" s="5" t="n"/>
      <c r="J13" s="5" t="n"/>
      <c r="K13" s="5" t="n"/>
      <c r="L13" s="5" t="n"/>
      <c r="M13" s="5" t="n"/>
      <c r="N13" s="5" t="n"/>
      <c r="O13" s="5" t="n"/>
      <c r="P13" s="5" t="n"/>
      <c r="Q13" s="5" t="n"/>
      <c r="R13" s="5" t="n"/>
      <c r="S13" s="5" t="n"/>
      <c r="T13" s="5" t="n"/>
      <c r="U13" s="5" t="n"/>
      <c r="V13" s="5" t="n"/>
      <c r="W13" s="5" t="n"/>
      <c r="X13" s="5" t="n"/>
    </row>
    <row r="14">
      <c r="A14" s="5" t="n"/>
      <c r="B14" s="5" t="n"/>
      <c r="C14" s="5" t="n"/>
      <c r="D14" s="5" t="n"/>
      <c r="E14" s="5" t="n"/>
      <c r="F14" s="5" t="n"/>
      <c r="G14" s="5" t="n"/>
      <c r="H14" s="5" t="n"/>
      <c r="I14" s="5" t="n"/>
      <c r="J14" s="5" t="n"/>
      <c r="K14" s="5" t="n"/>
      <c r="L14" s="5" t="n"/>
      <c r="M14" s="5" t="n"/>
      <c r="N14" s="5" t="n"/>
      <c r="O14" s="5" t="n"/>
      <c r="P14" s="5" t="n"/>
      <c r="Q14" s="5" t="n"/>
      <c r="R14" s="5" t="n"/>
      <c r="S14" s="5" t="n"/>
      <c r="T14" s="5" t="n"/>
      <c r="U14" s="5" t="n"/>
      <c r="V14" s="5" t="n"/>
      <c r="W14" s="5" t="n"/>
      <c r="X14" s="5" t="n"/>
    </row>
    <row r="15">
      <c r="A15" s="5" t="n"/>
      <c r="B15" s="5" t="n"/>
      <c r="C15" s="5" t="n"/>
      <c r="D15" s="5" t="n"/>
      <c r="E15" s="5" t="n"/>
      <c r="F15" s="5" t="n"/>
      <c r="G15" s="5" t="n"/>
      <c r="H15" s="5" t="n"/>
      <c r="I15" s="5" t="n"/>
      <c r="J15" s="5" t="n"/>
      <c r="K15" s="5" t="n"/>
      <c r="L15" s="5" t="n"/>
      <c r="M15" s="5" t="n"/>
      <c r="N15" s="5" t="n"/>
      <c r="O15" s="5" t="n"/>
      <c r="P15" s="5" t="n"/>
      <c r="Q15" s="5" t="n"/>
      <c r="R15" s="5" t="n"/>
      <c r="S15" s="5" t="n"/>
      <c r="T15" s="5" t="n"/>
      <c r="U15" s="5" t="n"/>
      <c r="V15" s="5" t="n"/>
      <c r="W15" s="5" t="n"/>
      <c r="X15" s="5" t="n"/>
    </row>
    <row r="16">
      <c r="A16" s="5" t="n"/>
      <c r="B16" s="5" t="n"/>
      <c r="C16" s="5" t="n"/>
      <c r="D16" s="5" t="n"/>
      <c r="E16" s="5" t="n"/>
      <c r="F16" s="5" t="n"/>
      <c r="G16" s="5" t="n"/>
      <c r="H16" s="5" t="n"/>
      <c r="I16" s="5" t="n"/>
      <c r="J16" s="5" t="n"/>
      <c r="K16" s="5" t="n"/>
      <c r="L16" s="5" t="n"/>
      <c r="M16" s="5" t="n"/>
      <c r="N16" s="5" t="n"/>
      <c r="O16" s="5" t="n"/>
      <c r="P16" s="5" t="n"/>
      <c r="Q16" s="5" t="n"/>
      <c r="R16" s="5" t="n"/>
      <c r="S16" s="5" t="n"/>
      <c r="T16" s="5" t="n"/>
      <c r="U16" s="5" t="n"/>
      <c r="V16" s="5" t="n"/>
      <c r="W16" s="5" t="n"/>
      <c r="X16" s="5" t="n"/>
    </row>
    <row r="17">
      <c r="A17" s="5" t="n"/>
      <c r="B17" s="5" t="n"/>
      <c r="C17" s="5" t="n"/>
      <c r="D17" s="5" t="n"/>
      <c r="E17" s="5" t="n"/>
      <c r="F17" s="5" t="n"/>
      <c r="G17" s="5" t="n"/>
      <c r="H17" s="5" t="n"/>
      <c r="I17" s="5" t="n"/>
      <c r="J17" s="5" t="n"/>
      <c r="K17" s="5" t="n"/>
      <c r="L17" s="5" t="n"/>
      <c r="M17" s="5" t="n"/>
      <c r="N17" s="5" t="n"/>
      <c r="O17" s="5" t="n"/>
      <c r="P17" s="5" t="n"/>
      <c r="Q17" s="5" t="n"/>
      <c r="R17" s="5" t="n"/>
      <c r="S17" s="5" t="n"/>
      <c r="T17" s="5" t="n"/>
      <c r="U17" s="5" t="n"/>
      <c r="V17" s="5" t="n"/>
      <c r="W17" s="5" t="n"/>
      <c r="X17" s="5" t="n"/>
    </row>
    <row r="18">
      <c r="A18" s="5" t="n"/>
      <c r="B18" s="5" t="n"/>
      <c r="C18" s="5" t="n"/>
      <c r="D18" s="5" t="n"/>
      <c r="E18" s="5" t="n"/>
      <c r="F18" s="5" t="n"/>
      <c r="G18" s="5" t="n"/>
      <c r="H18" s="5" t="n"/>
      <c r="I18" s="5" t="n"/>
      <c r="J18" s="5" t="n"/>
      <c r="K18" s="5" t="n"/>
      <c r="L18" s="5" t="n"/>
      <c r="M18" s="5" t="n"/>
      <c r="N18" s="5" t="n"/>
      <c r="O18" s="5" t="n"/>
      <c r="P18" s="5" t="n"/>
      <c r="Q18" s="5" t="n"/>
      <c r="R18" s="5" t="n"/>
      <c r="S18" s="5" t="n"/>
      <c r="T18" s="5" t="n"/>
      <c r="U18" s="5" t="n"/>
      <c r="V18" s="5" t="n"/>
      <c r="W18" s="5" t="n"/>
      <c r="X18" s="5" t="n"/>
    </row>
    <row r="19">
      <c r="A19" s="5" t="n"/>
      <c r="B19" s="5" t="n"/>
      <c r="C19" s="5" t="n"/>
      <c r="D19" s="5" t="n"/>
      <c r="E19" s="5" t="n"/>
      <c r="F19" s="5" t="n"/>
      <c r="G19" s="5" t="n"/>
      <c r="H19" s="5" t="n"/>
      <c r="I19" s="5" t="n"/>
      <c r="J19" s="5" t="n"/>
      <c r="K19" s="5" t="n"/>
      <c r="L19" s="5" t="n"/>
      <c r="M19" s="5" t="n"/>
      <c r="N19" s="5" t="n"/>
      <c r="O19" s="5" t="n"/>
      <c r="P19" s="5" t="n"/>
      <c r="Q19" s="5" t="n"/>
      <c r="R19" s="5" t="n"/>
      <c r="S19" s="5" t="n"/>
      <c r="T19" s="5" t="n"/>
      <c r="U19" s="5" t="n"/>
      <c r="V19" s="5" t="n"/>
      <c r="W19" s="5" t="n"/>
      <c r="X19" s="5" t="n"/>
    </row>
    <row r="20">
      <c r="A20" s="5" t="n"/>
      <c r="B20" s="5" t="n"/>
      <c r="C20" s="5" t="n"/>
      <c r="D20" s="5" t="n"/>
      <c r="E20" s="5" t="n"/>
      <c r="F20" s="5" t="n"/>
      <c r="G20" s="5" t="n"/>
      <c r="H20" s="5" t="n"/>
      <c r="I20" s="5" t="n"/>
      <c r="J20" s="5" t="n"/>
      <c r="K20" s="5" t="n"/>
      <c r="L20" s="5" t="n"/>
      <c r="M20" s="5" t="n"/>
      <c r="N20" s="5" t="n"/>
      <c r="O20" s="5" t="n"/>
      <c r="P20" s="5" t="n"/>
      <c r="Q20" s="5" t="n"/>
      <c r="R20" s="5" t="n"/>
      <c r="S20" s="5" t="n"/>
      <c r="T20" s="5" t="n"/>
      <c r="U20" s="5" t="n"/>
      <c r="V20" s="5" t="n"/>
      <c r="W20" s="5" t="n"/>
      <c r="X20" s="5" t="n"/>
    </row>
    <row r="21">
      <c r="A21" s="5" t="n"/>
      <c r="B21" s="5" t="n"/>
      <c r="C21" s="5" t="n"/>
      <c r="D21" s="5" t="n"/>
      <c r="E21" s="5" t="n"/>
      <c r="F21" s="5" t="n"/>
      <c r="G21" s="5" t="n"/>
      <c r="H21" s="5" t="n"/>
      <c r="I21" s="5" t="n"/>
      <c r="J21" s="5" t="n"/>
      <c r="K21" s="5" t="n"/>
      <c r="L21" s="5" t="n"/>
      <c r="M21" s="5" t="n"/>
      <c r="N21" s="5" t="n"/>
      <c r="O21" s="5" t="n"/>
      <c r="P21" s="5" t="n"/>
      <c r="Q21" s="5" t="n"/>
      <c r="R21" s="5" t="n"/>
      <c r="S21" s="5" t="n"/>
      <c r="T21" s="5" t="n"/>
      <c r="U21" s="5" t="n"/>
      <c r="V21" s="5" t="n"/>
      <c r="W21" s="5" t="n"/>
      <c r="X21" s="5" t="n"/>
    </row>
    <row r="22">
      <c r="A22" s="5" t="n"/>
      <c r="B22" s="5" t="n"/>
      <c r="C22" s="5" t="n"/>
      <c r="D22" s="5" t="n"/>
      <c r="E22" s="5" t="n"/>
      <c r="F22" s="5" t="n"/>
      <c r="G22" s="5" t="n"/>
      <c r="H22" s="5" t="n"/>
      <c r="I22" s="5" t="n"/>
      <c r="J22" s="5" t="n"/>
      <c r="K22" s="5" t="n"/>
      <c r="L22" s="5" t="n"/>
      <c r="M22" s="5" t="n"/>
      <c r="N22" s="5" t="n"/>
      <c r="O22" s="5" t="n"/>
      <c r="P22" s="5" t="n"/>
      <c r="Q22" s="5" t="n"/>
      <c r="R22" s="5" t="n"/>
      <c r="S22" s="5" t="n"/>
      <c r="T22" s="5" t="n"/>
      <c r="U22" s="5" t="n"/>
      <c r="V22" s="5" t="n"/>
      <c r="W22" s="5" t="n"/>
      <c r="X22" s="5" t="n"/>
    </row>
    <row r="23">
      <c r="A23" s="5" t="n"/>
      <c r="B23" s="5" t="n"/>
      <c r="C23" s="5" t="n"/>
      <c r="D23" s="5" t="n"/>
      <c r="E23" s="5" t="n"/>
      <c r="F23" s="5" t="n"/>
      <c r="G23" s="5" t="n"/>
      <c r="H23" s="5" t="n"/>
      <c r="I23" s="5" t="n"/>
      <c r="J23" s="5" t="n"/>
      <c r="K23" s="5" t="n"/>
      <c r="L23" s="5" t="n"/>
      <c r="M23" s="5" t="n"/>
      <c r="N23" s="5" t="n"/>
      <c r="O23" s="5" t="n"/>
      <c r="P23" s="5" t="n"/>
      <c r="Q23" s="5" t="n"/>
      <c r="R23" s="5" t="n"/>
      <c r="S23" s="5" t="n"/>
      <c r="T23" s="5" t="n"/>
      <c r="U23" s="5" t="n"/>
      <c r="V23" s="5" t="n"/>
      <c r="W23" s="5" t="n"/>
      <c r="X23" s="5" t="n"/>
    </row>
    <row r="24">
      <c r="A24" s="5" t="n"/>
      <c r="B24" s="5" t="n"/>
      <c r="C24" s="5" t="n"/>
      <c r="D24" s="5" t="n"/>
      <c r="E24" s="5" t="n"/>
      <c r="F24" s="5" t="n"/>
      <c r="G24" s="5" t="n"/>
      <c r="H24" s="5" t="n"/>
      <c r="I24" s="5" t="n"/>
      <c r="J24" s="5" t="n"/>
      <c r="K24" s="5" t="n"/>
      <c r="L24" s="5" t="n"/>
      <c r="M24" s="5" t="n"/>
      <c r="N24" s="5" t="n"/>
      <c r="O24" s="5" t="n"/>
      <c r="P24" s="5" t="n"/>
      <c r="Q24" s="5" t="n"/>
      <c r="R24" s="5" t="n"/>
      <c r="S24" s="5" t="n"/>
      <c r="T24" s="5" t="n"/>
      <c r="U24" s="5" t="n"/>
      <c r="V24" s="5" t="n"/>
      <c r="W24" s="5" t="n"/>
      <c r="X24" s="5" t="n"/>
    </row>
    <row r="26">
      <c r="A26" s="16" t="inlineStr">
        <is>
          <t>ACCESS REVIEW &amp; RECERTIFICATION - COMPLIANCE CHECKLIST</t>
        </is>
      </c>
    </row>
    <row r="27">
      <c r="A27" s="7" t="inlineStr">
        <is>
          <t>☐</t>
        </is>
      </c>
      <c r="B27" s="7" t="inlineStr">
        <is>
          <t>Requirement</t>
        </is>
      </c>
      <c r="C27" s="7" t="inlineStr">
        <is>
          <t>Status</t>
        </is>
      </c>
      <c r="D27" s="7" t="inlineStr">
        <is>
          <t>Notes/Evidence</t>
        </is>
      </c>
    </row>
    <row r="28" ht="25" customHeight="1">
      <c r="A28" s="17" t="inlineStr">
        <is>
          <t>☐</t>
        </is>
      </c>
      <c r="B28" s="18" t="inlineStr">
        <is>
          <t>Quarterly access review schedule documented and communicated</t>
        </is>
      </c>
      <c r="C28" s="5" t="n"/>
      <c r="D28" s="5" t="n"/>
      <c r="E28" s="41" t="n"/>
      <c r="F28" s="42" t="n"/>
    </row>
    <row r="29" ht="25" customHeight="1">
      <c r="A29" s="17" t="inlineStr">
        <is>
          <t>☐</t>
        </is>
      </c>
      <c r="B29" s="18" t="inlineStr">
        <is>
          <t>Access review covers all user types (employees, contractors, service accounts)</t>
        </is>
      </c>
      <c r="C29" s="5" t="n"/>
      <c r="D29" s="5" t="n"/>
      <c r="E29" s="41" t="n"/>
      <c r="F29" s="42" t="n"/>
    </row>
    <row r="30" ht="25" customHeight="1">
      <c r="A30" s="17" t="inlineStr">
        <is>
          <t>☐</t>
        </is>
      </c>
      <c r="B30" s="18" t="inlineStr">
        <is>
          <t>Privileged access reviewed separately with enhanced scrutiny</t>
        </is>
      </c>
      <c r="C30" s="5" t="n"/>
      <c r="D30" s="5" t="n"/>
      <c r="E30" s="41" t="n"/>
      <c r="F30" s="42" t="n"/>
    </row>
    <row r="31" ht="25" customHeight="1">
      <c r="A31" s="17" t="inlineStr">
        <is>
          <t>☐</t>
        </is>
      </c>
      <c r="B31" s="18" t="inlineStr">
        <is>
          <t>Review includes comparison against job role/least privilege</t>
        </is>
      </c>
      <c r="C31" s="5" t="n"/>
      <c r="D31" s="5" t="n"/>
      <c r="E31" s="41" t="n"/>
      <c r="F31" s="42" t="n"/>
    </row>
    <row r="32" ht="25" customHeight="1">
      <c r="A32" s="17" t="inlineStr">
        <is>
          <t>☐</t>
        </is>
      </c>
      <c r="B32" s="18" t="inlineStr">
        <is>
          <t>Orphan account detection process automated or scheduled</t>
        </is>
      </c>
      <c r="C32" s="5" t="n"/>
      <c r="D32" s="5" t="n"/>
      <c r="E32" s="41" t="n"/>
      <c r="F32" s="42" t="n"/>
    </row>
    <row r="33" ht="25" customHeight="1">
      <c r="A33" s="17" t="inlineStr">
        <is>
          <t>☐</t>
        </is>
      </c>
      <c r="B33" s="18" t="inlineStr">
        <is>
          <t>Orphan accounts disabled within 24 hours of detection</t>
        </is>
      </c>
      <c r="C33" s="5" t="n"/>
      <c r="D33" s="5" t="n"/>
      <c r="E33" s="41" t="n"/>
      <c r="F33" s="42" t="n"/>
    </row>
    <row r="34" ht="25" customHeight="1">
      <c r="A34" s="17" t="inlineStr">
        <is>
          <t>☐</t>
        </is>
      </c>
      <c r="B34" s="18" t="inlineStr">
        <is>
          <t>Terminated user access revoked within SLA (24 hours)</t>
        </is>
      </c>
      <c r="C34" s="5" t="n"/>
      <c r="D34" s="5" t="n"/>
      <c r="E34" s="41" t="n"/>
      <c r="F34" s="42" t="n"/>
    </row>
    <row r="35" ht="25" customHeight="1">
      <c r="A35" s="17" t="inlineStr">
        <is>
          <t>☐</t>
        </is>
      </c>
      <c r="B35" s="18" t="inlineStr">
        <is>
          <t>Service account ownership verified and documented</t>
        </is>
      </c>
      <c r="C35" s="5" t="n"/>
      <c r="D35" s="5" t="n"/>
      <c r="E35" s="41" t="n"/>
      <c r="F35" s="42" t="n"/>
    </row>
    <row r="36" ht="25" customHeight="1">
      <c r="A36" s="17" t="inlineStr">
        <is>
          <t>☐</t>
        </is>
      </c>
      <c r="B36" s="18" t="inlineStr">
        <is>
          <t>Shared account usage minimized and justified</t>
        </is>
      </c>
      <c r="C36" s="5" t="n"/>
      <c r="D36" s="5" t="n"/>
      <c r="E36" s="41" t="n"/>
      <c r="F36" s="42" t="n"/>
    </row>
    <row r="37" ht="25" customHeight="1">
      <c r="A37" s="17" t="inlineStr">
        <is>
          <t>☐</t>
        </is>
      </c>
      <c r="B37" s="18" t="inlineStr">
        <is>
          <t>MFA status verified during access review</t>
        </is>
      </c>
      <c r="C37" s="5" t="n"/>
      <c r="D37" s="5" t="n"/>
      <c r="E37" s="41" t="n"/>
      <c r="F37" s="42" t="n"/>
    </row>
    <row r="38" ht="25" customHeight="1">
      <c r="A38" s="17" t="inlineStr">
        <is>
          <t>☐</t>
        </is>
      </c>
      <c r="B38" s="18" t="inlineStr">
        <is>
          <t>External/guest access reviewed and time-limited</t>
        </is>
      </c>
      <c r="C38" s="5" t="n"/>
      <c r="D38" s="5" t="n"/>
      <c r="E38" s="41" t="n"/>
      <c r="F38" s="42" t="n"/>
    </row>
    <row r="39" ht="25" customHeight="1">
      <c r="A39" s="17" t="inlineStr">
        <is>
          <t>☐</t>
        </is>
      </c>
      <c r="B39" s="18" t="inlineStr">
        <is>
          <t>Access review findings documented with evidence</t>
        </is>
      </c>
      <c r="C39" s="5" t="n"/>
      <c r="D39" s="5" t="n"/>
      <c r="E39" s="41" t="n"/>
      <c r="F39" s="42" t="n"/>
    </row>
    <row r="40" ht="25" customHeight="1">
      <c r="A40" s="17" t="inlineStr">
        <is>
          <t>☐</t>
        </is>
      </c>
      <c r="B40" s="18" t="inlineStr">
        <is>
          <t>Non-compliance escalated to service owner</t>
        </is>
      </c>
      <c r="C40" s="5" t="n"/>
      <c r="D40" s="5" t="n"/>
      <c r="E40" s="41" t="n"/>
      <c r="F40" s="42" t="n"/>
    </row>
    <row r="41" ht="25" customHeight="1">
      <c r="A41" s="17" t="inlineStr">
        <is>
          <t>☐</t>
        </is>
      </c>
      <c r="B41" s="18" t="inlineStr">
        <is>
          <t>Review completion rates tracked and reported</t>
        </is>
      </c>
      <c r="C41" s="5" t="n"/>
      <c r="D41" s="5" t="n"/>
      <c r="E41" s="41" t="n"/>
      <c r="F41" s="42" t="n"/>
    </row>
    <row r="42" ht="25" customHeight="1">
      <c r="A42" s="17" t="inlineStr">
        <is>
          <t>☐</t>
        </is>
      </c>
      <c r="B42" s="18" t="inlineStr">
        <is>
          <t>Access review process covers all cloud services in inventory</t>
        </is>
      </c>
      <c r="C42" s="5" t="n"/>
      <c r="D42" s="5" t="n"/>
      <c r="E42" s="41" t="n"/>
      <c r="F42" s="42" t="n"/>
    </row>
    <row r="44">
      <c r="A44" s="3" t="inlineStr">
        <is>
          <t>Checklist Compliance Score:</t>
        </is>
      </c>
      <c r="C44" s="19">
        <f>IF(COUNTA(C28:C42)=0,"N/A",ROUND(COUNTIF(C28:C42,"Yes")/COUNTIF(C28:C42,"&lt;&gt;N/A")*100,1)&amp;"%")</f>
        <v/>
      </c>
    </row>
  </sheetData>
  <mergeCells count="33">
    <mergeCell ref="B40"/>
    <mergeCell ref="D41:F41"/>
    <mergeCell ref="B30"/>
    <mergeCell ref="D32:F32"/>
    <mergeCell ref="B33"/>
    <mergeCell ref="B36"/>
    <mergeCell ref="B41"/>
    <mergeCell ref="B32"/>
    <mergeCell ref="B35"/>
    <mergeCell ref="D28:F28"/>
    <mergeCell ref="D37:F37"/>
    <mergeCell ref="A26:X26"/>
    <mergeCell ref="A2:X2"/>
    <mergeCell ref="D30:F30"/>
    <mergeCell ref="D39:F39"/>
    <mergeCell ref="D33:F33"/>
    <mergeCell ref="B31"/>
    <mergeCell ref="D42:F42"/>
    <mergeCell ref="D38:F38"/>
    <mergeCell ref="D29:F29"/>
    <mergeCell ref="B39"/>
    <mergeCell ref="D35:F35"/>
    <mergeCell ref="B42"/>
    <mergeCell ref="D34:F34"/>
    <mergeCell ref="D31:F31"/>
    <mergeCell ref="B29"/>
    <mergeCell ref="D40:F40"/>
    <mergeCell ref="D36:F36"/>
    <mergeCell ref="B38"/>
    <mergeCell ref="B34"/>
    <mergeCell ref="B28"/>
    <mergeCell ref="A1:X1"/>
    <mergeCell ref="B37"/>
  </mergeCells>
  <dataValidations count="10">
    <dataValidation sqref="C6 C7 C8 C9 C10 C11 C12 C13 C14 C15 C16 C17 C18 C19 C20 C21 C22 C23 C24" showDropDown="0" showInputMessage="0" showErrorMessage="0" allowBlank="1" errorTitle="Service Type" error="Select valid service type" promptTitle="Service Type" prompt="Select Service Type" type="list">
      <formula1>"SaaS,IaaS,PaaS,Security Service,Cloud Storage,Other"</formula1>
    </dataValidation>
    <dataValidation sqref="D6 D7 D8 D9 D10 D11 D12 D13 D14 D15 D16 D17 D18 D19 D20 D21 D22 D23 D24" showDropDown="0" showInputMessage="0" showErrorMessage="0" allowBlank="1" errorTitle="Review Period" error="Select valid review period" promptTitle="Review Period" prompt="Select Review Period" type="list">
      <formula1>"Q1,Q2,Q3,Q4,Annual,Ad-Hoc"</formula1>
    </dataValidation>
    <dataValidation sqref="E6 E7 E8 E9 E10 E11 E12 E13 E14 E15 E16 E17 E18 E19 E20 E21 E22 E23 E24" showDropDown="0" showInputMessage="0" showErrorMessage="0" allowBlank="1" errorTitle="Service Criticality" error="Select valid criticality" promptTitle="Service Criticality" prompt="Select Service Criticality" type="list">
      <formula1>"Critical,High,Medium,Low"</formula1>
    </dataValidation>
    <dataValidation sqref="F6 F7 F8 F9 F10 F11 F12 F13 F14 F15 F16 F17 F18 F19 F20 F21 F22 F23 F24" showDropDown="0" showInputMessage="0" showErrorMessage="0" allowBlank="1" errorTitle="Data Classification" error="Select valid classification" promptTitle="Data Classification" prompt="Select Data Classification" type="list">
      <formula1>"Restricted,Confidential,Internal,Public,N/A"</formula1>
    </dataValidation>
    <dataValidation sqref="H6 H7 H8 H9 H10 H11 H12 H13 H14 H15 H16 H17 H18 H19 H20 H21 H22 H23 H24" showDropDown="0" showInputMessage="0" showErrorMessage="0" allowBlank="1" errorTitle="Status" error="Select valid status" promptTitle="Status" prompt="Select Status" type="list">
      <formula1>f"{CHECK} Compliant,⚠️ Partial,❌ Non-Compliant,N/A"</formula1>
    </dataValidation>
    <dataValidation sqref="K6 K7 K8 K9 K10 K11 K12 K13 K14 K15 K16 K17 K18 K19 K20 K21 K22 K23 K24" showDropDown="0" showInputMessage="0" showErrorMessage="0" allowBlank="1" errorTitle="Yes/No" error="Select Yes or No" promptTitle="Yes/No" prompt="Select Yes/No" type="list">
      <formula1>"Yes,No"</formula1>
    </dataValidation>
    <dataValidation sqref="O6 O7 O8 O9 O10 O11 O12 O13 O14 O15 O16 O17 O18 O19 O20 O21 O22 O23 O24" showDropDown="0" showInputMessage="0" showErrorMessage="0" allowBlank="1" errorTitle="Responsible Team" error="Select valid team" promptTitle="Responsible Team" prompt="Select Responsible Team" type="list">
      <formula1>"IT Ops,Compliance,Risk Management,Security,Business Owners"</formula1>
    </dataValidation>
    <dataValidation sqref="G6 G7 G8 G9 G10 G11 G12 G13 G14 G15 G16 G17 G18 G19 G20 G21 G22 G23 G24" showDropDown="0" showInputMessage="0" showErrorMessage="0" allowBlank="1" errorTitle="Review Type" error="Select valid Review Type" type="list">
      <formula1>"Full Recertification,Privileged Access,Standard Access,Service Account"</formula1>
    </dataValidation>
    <dataValidation sqref="S6 S7 S8 S9 S10 S11 S12 S13 S14 S15 S16 S17 S18 S19 S20 S21 S22 S23 S24" showDropDown="0" showInputMessage="0" showErrorMessage="0" allowBlank="1" errorTitle="Review Outcome" error="Select valid Review Outcome" type="list">
      <formula1>"Passed,Issues Found,Overdue,Not Started"</formula1>
    </dataValidation>
    <dataValidation sqref="C28 C29 C30 C31 C32 C33 C34 C35 C36 C37 C38 C39 C40 C41 C42" showDropDown="0" showInputMessage="0" showErrorMessage="0" allowBlank="1" type="list">
      <formula1>"Yes,No,N/A"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44"/>
  <sheetViews>
    <sheetView workbookViewId="0">
      <pane ySplit="5" topLeftCell="A6" activePane="bottomLeft" state="frozen"/>
      <selection pane="bottomLeft" activeCell="A1" sqref="A1"/>
    </sheetView>
  </sheetViews>
  <sheetFormatPr baseColWidth="8" defaultRowHeight="15"/>
  <cols>
    <col width="28" customWidth="1" min="1" max="1"/>
    <col width="65" customWidth="1" min="2" max="2"/>
    <col width="20" customWidth="1" min="3" max="3"/>
    <col width="16" customWidth="1" min="4" max="4"/>
    <col width="18" customWidth="1" min="5" max="5"/>
    <col width="20" customWidth="1" min="6" max="6"/>
    <col width="18" customWidth="1" min="7" max="7"/>
    <col width="15" customWidth="1" min="8" max="8"/>
    <col width="30" customWidth="1" min="9" max="9"/>
    <col width="35" customWidth="1" min="10" max="10"/>
    <col width="16" customWidth="1" min="11" max="11"/>
    <col width="14" customWidth="1" min="12" max="12"/>
    <col width="14" customWidth="1" min="13" max="13"/>
    <col width="30" customWidth="1" min="14" max="14"/>
    <col width="20" customWidth="1" min="15" max="15"/>
    <col width="18" customWidth="1" min="16" max="16"/>
    <col width="18" customWidth="1" min="17" max="17"/>
    <col width="18" customWidth="1" min="18" max="18"/>
    <col width="16" customWidth="1" min="19" max="19"/>
    <col width="18" customWidth="1" min="20" max="20"/>
    <col width="20" customWidth="1" min="21" max="21"/>
    <col width="16" customWidth="1" min="22" max="22"/>
    <col width="20" customWidth="1" min="23" max="23"/>
    <col width="20" customWidth="1" min="24" max="24"/>
  </cols>
  <sheetData>
    <row r="1" ht="35" customHeight="1">
      <c r="A1" s="1" t="inlineStr">
        <is>
          <t>3. CHANGE MANAGEMENT</t>
        </is>
      </c>
    </row>
    <row r="2" ht="30" customHeight="1">
      <c r="A2" s="13" t="inlineStr">
        <is>
          <t>Policy Reference: All cloud service changes MUST follow change management process. Emergency changes require post-review within 48 hours. (Policy Section 6.2)</t>
        </is>
      </c>
    </row>
    <row r="4" ht="30" customHeight="1">
      <c r="A4" s="14" t="inlineStr">
        <is>
          <t>Cloud Service Name</t>
        </is>
      </c>
      <c r="B4" s="14" t="inlineStr">
        <is>
          <t>Vendor Name</t>
        </is>
      </c>
      <c r="C4" s="14" t="inlineStr">
        <is>
          <t>Service Type</t>
        </is>
      </c>
      <c r="D4" s="14" t="inlineStr">
        <is>
          <t>Review Period</t>
        </is>
      </c>
      <c r="E4" s="14" t="inlineStr">
        <is>
          <t>Service Criticality</t>
        </is>
      </c>
      <c r="F4" s="14" t="inlineStr">
        <is>
          <t>Data Classification</t>
        </is>
      </c>
      <c r="G4" s="14" t="inlineStr">
        <is>
          <t>Change Type</t>
        </is>
      </c>
      <c r="H4" s="14" t="inlineStr">
        <is>
          <t>Status</t>
        </is>
      </c>
      <c r="I4" s="14" t="inlineStr">
        <is>
          <t>Evidence Location</t>
        </is>
      </c>
      <c r="J4" s="14" t="inlineStr">
        <is>
          <t>Gap Description</t>
        </is>
      </c>
      <c r="K4" s="14" t="inlineStr">
        <is>
          <t>Remediation Needed</t>
        </is>
      </c>
      <c r="L4" s="14" t="inlineStr">
        <is>
          <t>Exception ID</t>
        </is>
      </c>
      <c r="M4" s="14" t="inlineStr">
        <is>
          <t>Risk ID</t>
        </is>
      </c>
      <c r="N4" s="14" t="inlineStr">
        <is>
          <t>Compensating Controls</t>
        </is>
      </c>
      <c r="O4" s="14" t="inlineStr">
        <is>
          <t>Responsible Team/Owner</t>
        </is>
      </c>
      <c r="P4" s="14" t="inlineStr">
        <is>
          <t>Target Remediation Date</t>
        </is>
      </c>
      <c r="Q4" s="14" t="inlineStr">
        <is>
          <t>Last Review Date</t>
        </is>
      </c>
      <c r="R4" s="14" t="inlineStr">
        <is>
          <t>Change Count (Period)</t>
        </is>
      </c>
      <c r="S4" s="14" t="inlineStr">
        <is>
          <t>Impact Level</t>
        </is>
      </c>
      <c r="T4" s="14" t="inlineStr">
        <is>
          <t>Approval Status</t>
        </is>
      </c>
      <c r="U4" s="14" t="inlineStr">
        <is>
          <t>Rollback Plan Documented</t>
        </is>
      </c>
      <c r="V4" s="14" t="inlineStr">
        <is>
          <t>Rollback Tested</t>
        </is>
      </c>
      <c r="W4" s="14" t="inlineStr">
        <is>
          <t>Post-Change Review Done</t>
        </is>
      </c>
      <c r="X4" s="14" t="inlineStr">
        <is>
          <t>Security Impact Assessed</t>
        </is>
      </c>
    </row>
    <row r="5">
      <c r="A5" s="15" t="inlineStr">
        <is>
          <t>Example: Microsoft 365</t>
        </is>
      </c>
      <c r="B5" s="15" t="inlineStr">
        <is>
          <t>Microsoft</t>
        </is>
      </c>
      <c r="C5" s="15" t="inlineStr">
        <is>
          <t>SaaS</t>
        </is>
      </c>
      <c r="D5" s="15" t="inlineStr">
        <is>
          <t>Q4</t>
        </is>
      </c>
      <c r="E5" s="15" t="inlineStr">
        <is>
          <t>Critical</t>
        </is>
      </c>
      <c r="F5" s="15" t="inlineStr">
        <is>
          <t>Confidential</t>
        </is>
      </c>
      <c r="G5" s="15" t="inlineStr">
        <is>
          <t>Config Change</t>
        </is>
      </c>
      <c r="H5" s="15" t="inlineStr">
        <is>
          <t>⚠ Partial</t>
        </is>
      </c>
      <c r="I5" s="15" t="inlineStr">
        <is>
          <t>/evidence/changes/M365</t>
        </is>
      </c>
      <c r="J5" s="15" t="inlineStr">
        <is>
          <t>Rollback not tested</t>
        </is>
      </c>
      <c r="K5" s="15" t="inlineStr">
        <is>
          <t>Yes</t>
        </is>
      </c>
      <c r="L5" s="15" t="inlineStr"/>
      <c r="M5" s="15" t="inlineStr">
        <is>
          <t>RSK-2025-042</t>
        </is>
      </c>
      <c r="N5" s="15" t="inlineStr">
        <is>
          <t>Manual verification</t>
        </is>
      </c>
      <c r="O5" s="15" t="inlineStr">
        <is>
          <t>IT Ops</t>
        </is>
      </c>
      <c r="P5" s="15" t="inlineStr">
        <is>
          <t>2026-01-31</t>
        </is>
      </c>
      <c r="Q5" s="15" t="inlineStr">
        <is>
          <t>2025-12-01</t>
        </is>
      </c>
      <c r="R5" s="15" t="inlineStr">
        <is>
          <t>12</t>
        </is>
      </c>
      <c r="S5" s="15" t="inlineStr">
        <is>
          <t>Medium</t>
        </is>
      </c>
      <c r="T5" s="15" t="inlineStr">
        <is>
          <t>Approved</t>
        </is>
      </c>
      <c r="U5" s="15" t="inlineStr">
        <is>
          <t>Yes</t>
        </is>
      </c>
      <c r="V5" s="15" t="inlineStr">
        <is>
          <t>No</t>
        </is>
      </c>
      <c r="W5" s="15" t="inlineStr">
        <is>
          <t>Yes</t>
        </is>
      </c>
      <c r="X5" s="15" t="inlineStr">
        <is>
          <t>Yes</t>
        </is>
      </c>
    </row>
    <row r="6">
      <c r="A6" s="5" t="n"/>
      <c r="B6" s="5" t="n"/>
      <c r="C6" s="5" t="n"/>
      <c r="D6" s="5" t="n"/>
      <c r="E6" s="5" t="n"/>
      <c r="F6" s="5" t="n"/>
      <c r="G6" s="5" t="n"/>
      <c r="H6" s="5" t="n"/>
      <c r="I6" s="5" t="n"/>
      <c r="J6" s="5" t="n"/>
      <c r="K6" s="5" t="n"/>
      <c r="L6" s="5" t="n"/>
      <c r="M6" s="5" t="n"/>
      <c r="N6" s="5" t="n"/>
      <c r="O6" s="5" t="n"/>
      <c r="P6" s="5" t="n"/>
      <c r="Q6" s="5" t="n"/>
      <c r="R6" s="5" t="n"/>
      <c r="S6" s="5" t="n"/>
      <c r="T6" s="5" t="n"/>
      <c r="U6" s="5" t="n"/>
      <c r="V6" s="5" t="n"/>
      <c r="W6" s="5" t="n"/>
      <c r="X6" s="5" t="n"/>
    </row>
    <row r="7">
      <c r="A7" s="5" t="n"/>
      <c r="B7" s="5" t="n"/>
      <c r="C7" s="5" t="n"/>
      <c r="D7" s="5" t="n"/>
      <c r="E7" s="5" t="n"/>
      <c r="F7" s="5" t="n"/>
      <c r="G7" s="5" t="n"/>
      <c r="H7" s="5" t="n"/>
      <c r="I7" s="5" t="n"/>
      <c r="J7" s="5" t="n"/>
      <c r="K7" s="5" t="n"/>
      <c r="L7" s="5" t="n"/>
      <c r="M7" s="5" t="n"/>
      <c r="N7" s="5" t="n"/>
      <c r="O7" s="5" t="n"/>
      <c r="P7" s="5" t="n"/>
      <c r="Q7" s="5" t="n"/>
      <c r="R7" s="5" t="n"/>
      <c r="S7" s="5" t="n"/>
      <c r="T7" s="5" t="n"/>
      <c r="U7" s="5" t="n"/>
      <c r="V7" s="5" t="n"/>
      <c r="W7" s="5" t="n"/>
      <c r="X7" s="5" t="n"/>
    </row>
    <row r="8">
      <c r="A8" s="5" t="n"/>
      <c r="B8" s="5" t="n"/>
      <c r="C8" s="5" t="n"/>
      <c r="D8" s="5" t="n"/>
      <c r="E8" s="5" t="n"/>
      <c r="F8" s="5" t="n"/>
      <c r="G8" s="5" t="n"/>
      <c r="H8" s="5" t="n"/>
      <c r="I8" s="5" t="n"/>
      <c r="J8" s="5" t="n"/>
      <c r="K8" s="5" t="n"/>
      <c r="L8" s="5" t="n"/>
      <c r="M8" s="5" t="n"/>
      <c r="N8" s="5" t="n"/>
      <c r="O8" s="5" t="n"/>
      <c r="P8" s="5" t="n"/>
      <c r="Q8" s="5" t="n"/>
      <c r="R8" s="5" t="n"/>
      <c r="S8" s="5" t="n"/>
      <c r="T8" s="5" t="n"/>
      <c r="U8" s="5" t="n"/>
      <c r="V8" s="5" t="n"/>
      <c r="W8" s="5" t="n"/>
      <c r="X8" s="5" t="n"/>
    </row>
    <row r="9">
      <c r="A9" s="5" t="n"/>
      <c r="B9" s="5" t="n"/>
      <c r="C9" s="5" t="n"/>
      <c r="D9" s="5" t="n"/>
      <c r="E9" s="5" t="n"/>
      <c r="F9" s="5" t="n"/>
      <c r="G9" s="5" t="n"/>
      <c r="H9" s="5" t="n"/>
      <c r="I9" s="5" t="n"/>
      <c r="J9" s="5" t="n"/>
      <c r="K9" s="5" t="n"/>
      <c r="L9" s="5" t="n"/>
      <c r="M9" s="5" t="n"/>
      <c r="N9" s="5" t="n"/>
      <c r="O9" s="5" t="n"/>
      <c r="P9" s="5" t="n"/>
      <c r="Q9" s="5" t="n"/>
      <c r="R9" s="5" t="n"/>
      <c r="S9" s="5" t="n"/>
      <c r="T9" s="5" t="n"/>
      <c r="U9" s="5" t="n"/>
      <c r="V9" s="5" t="n"/>
      <c r="W9" s="5" t="n"/>
      <c r="X9" s="5" t="n"/>
    </row>
    <row r="10">
      <c r="A10" s="5" t="n"/>
      <c r="B10" s="5" t="n"/>
      <c r="C10" s="5" t="n"/>
      <c r="D10" s="5" t="n"/>
      <c r="E10" s="5" t="n"/>
      <c r="F10" s="5" t="n"/>
      <c r="G10" s="5" t="n"/>
      <c r="H10" s="5" t="n"/>
      <c r="I10" s="5" t="n"/>
      <c r="J10" s="5" t="n"/>
      <c r="K10" s="5" t="n"/>
      <c r="L10" s="5" t="n"/>
      <c r="M10" s="5" t="n"/>
      <c r="N10" s="5" t="n"/>
      <c r="O10" s="5" t="n"/>
      <c r="P10" s="5" t="n"/>
      <c r="Q10" s="5" t="n"/>
      <c r="R10" s="5" t="n"/>
      <c r="S10" s="5" t="n"/>
      <c r="T10" s="5" t="n"/>
      <c r="U10" s="5" t="n"/>
      <c r="V10" s="5" t="n"/>
      <c r="W10" s="5" t="n"/>
      <c r="X10" s="5" t="n"/>
    </row>
    <row r="11">
      <c r="A11" s="5" t="n"/>
      <c r="B11" s="5" t="n"/>
      <c r="C11" s="5" t="n"/>
      <c r="D11" s="5" t="n"/>
      <c r="E11" s="5" t="n"/>
      <c r="F11" s="5" t="n"/>
      <c r="G11" s="5" t="n"/>
      <c r="H11" s="5" t="n"/>
      <c r="I11" s="5" t="n"/>
      <c r="J11" s="5" t="n"/>
      <c r="K11" s="5" t="n"/>
      <c r="L11" s="5" t="n"/>
      <c r="M11" s="5" t="n"/>
      <c r="N11" s="5" t="n"/>
      <c r="O11" s="5" t="n"/>
      <c r="P11" s="5" t="n"/>
      <c r="Q11" s="5" t="n"/>
      <c r="R11" s="5" t="n"/>
      <c r="S11" s="5" t="n"/>
      <c r="T11" s="5" t="n"/>
      <c r="U11" s="5" t="n"/>
      <c r="V11" s="5" t="n"/>
      <c r="W11" s="5" t="n"/>
      <c r="X11" s="5" t="n"/>
    </row>
    <row r="12">
      <c r="A12" s="5" t="n"/>
      <c r="B12" s="5" t="n"/>
      <c r="C12" s="5" t="n"/>
      <c r="D12" s="5" t="n"/>
      <c r="E12" s="5" t="n"/>
      <c r="F12" s="5" t="n"/>
      <c r="G12" s="5" t="n"/>
      <c r="H12" s="5" t="n"/>
      <c r="I12" s="5" t="n"/>
      <c r="J12" s="5" t="n"/>
      <c r="K12" s="5" t="n"/>
      <c r="L12" s="5" t="n"/>
      <c r="M12" s="5" t="n"/>
      <c r="N12" s="5" t="n"/>
      <c r="O12" s="5" t="n"/>
      <c r="P12" s="5" t="n"/>
      <c r="Q12" s="5" t="n"/>
      <c r="R12" s="5" t="n"/>
      <c r="S12" s="5" t="n"/>
      <c r="T12" s="5" t="n"/>
      <c r="U12" s="5" t="n"/>
      <c r="V12" s="5" t="n"/>
      <c r="W12" s="5" t="n"/>
      <c r="X12" s="5" t="n"/>
    </row>
    <row r="13">
      <c r="A13" s="5" t="n"/>
      <c r="B13" s="5" t="n"/>
      <c r="C13" s="5" t="n"/>
      <c r="D13" s="5" t="n"/>
      <c r="E13" s="5" t="n"/>
      <c r="F13" s="5" t="n"/>
      <c r="G13" s="5" t="n"/>
      <c r="H13" s="5" t="n"/>
      <c r="I13" s="5" t="n"/>
      <c r="J13" s="5" t="n"/>
      <c r="K13" s="5" t="n"/>
      <c r="L13" s="5" t="n"/>
      <c r="M13" s="5" t="n"/>
      <c r="N13" s="5" t="n"/>
      <c r="O13" s="5" t="n"/>
      <c r="P13" s="5" t="n"/>
      <c r="Q13" s="5" t="n"/>
      <c r="R13" s="5" t="n"/>
      <c r="S13" s="5" t="n"/>
      <c r="T13" s="5" t="n"/>
      <c r="U13" s="5" t="n"/>
      <c r="V13" s="5" t="n"/>
      <c r="W13" s="5" t="n"/>
      <c r="X13" s="5" t="n"/>
    </row>
    <row r="14">
      <c r="A14" s="5" t="n"/>
      <c r="B14" s="5" t="n"/>
      <c r="C14" s="5" t="n"/>
      <c r="D14" s="5" t="n"/>
      <c r="E14" s="5" t="n"/>
      <c r="F14" s="5" t="n"/>
      <c r="G14" s="5" t="n"/>
      <c r="H14" s="5" t="n"/>
      <c r="I14" s="5" t="n"/>
      <c r="J14" s="5" t="n"/>
      <c r="K14" s="5" t="n"/>
      <c r="L14" s="5" t="n"/>
      <c r="M14" s="5" t="n"/>
      <c r="N14" s="5" t="n"/>
      <c r="O14" s="5" t="n"/>
      <c r="P14" s="5" t="n"/>
      <c r="Q14" s="5" t="n"/>
      <c r="R14" s="5" t="n"/>
      <c r="S14" s="5" t="n"/>
      <c r="T14" s="5" t="n"/>
      <c r="U14" s="5" t="n"/>
      <c r="V14" s="5" t="n"/>
      <c r="W14" s="5" t="n"/>
      <c r="X14" s="5" t="n"/>
    </row>
    <row r="15">
      <c r="A15" s="5" t="n"/>
      <c r="B15" s="5" t="n"/>
      <c r="C15" s="5" t="n"/>
      <c r="D15" s="5" t="n"/>
      <c r="E15" s="5" t="n"/>
      <c r="F15" s="5" t="n"/>
      <c r="G15" s="5" t="n"/>
      <c r="H15" s="5" t="n"/>
      <c r="I15" s="5" t="n"/>
      <c r="J15" s="5" t="n"/>
      <c r="K15" s="5" t="n"/>
      <c r="L15" s="5" t="n"/>
      <c r="M15" s="5" t="n"/>
      <c r="N15" s="5" t="n"/>
      <c r="O15" s="5" t="n"/>
      <c r="P15" s="5" t="n"/>
      <c r="Q15" s="5" t="n"/>
      <c r="R15" s="5" t="n"/>
      <c r="S15" s="5" t="n"/>
      <c r="T15" s="5" t="n"/>
      <c r="U15" s="5" t="n"/>
      <c r="V15" s="5" t="n"/>
      <c r="W15" s="5" t="n"/>
      <c r="X15" s="5" t="n"/>
    </row>
    <row r="16">
      <c r="A16" s="5" t="n"/>
      <c r="B16" s="5" t="n"/>
      <c r="C16" s="5" t="n"/>
      <c r="D16" s="5" t="n"/>
      <c r="E16" s="5" t="n"/>
      <c r="F16" s="5" t="n"/>
      <c r="G16" s="5" t="n"/>
      <c r="H16" s="5" t="n"/>
      <c r="I16" s="5" t="n"/>
      <c r="J16" s="5" t="n"/>
      <c r="K16" s="5" t="n"/>
      <c r="L16" s="5" t="n"/>
      <c r="M16" s="5" t="n"/>
      <c r="N16" s="5" t="n"/>
      <c r="O16" s="5" t="n"/>
      <c r="P16" s="5" t="n"/>
      <c r="Q16" s="5" t="n"/>
      <c r="R16" s="5" t="n"/>
      <c r="S16" s="5" t="n"/>
      <c r="T16" s="5" t="n"/>
      <c r="U16" s="5" t="n"/>
      <c r="V16" s="5" t="n"/>
      <c r="W16" s="5" t="n"/>
      <c r="X16" s="5" t="n"/>
    </row>
    <row r="17">
      <c r="A17" s="5" t="n"/>
      <c r="B17" s="5" t="n"/>
      <c r="C17" s="5" t="n"/>
      <c r="D17" s="5" t="n"/>
      <c r="E17" s="5" t="n"/>
      <c r="F17" s="5" t="n"/>
      <c r="G17" s="5" t="n"/>
      <c r="H17" s="5" t="n"/>
      <c r="I17" s="5" t="n"/>
      <c r="J17" s="5" t="n"/>
      <c r="K17" s="5" t="n"/>
      <c r="L17" s="5" t="n"/>
      <c r="M17" s="5" t="n"/>
      <c r="N17" s="5" t="n"/>
      <c r="O17" s="5" t="n"/>
      <c r="P17" s="5" t="n"/>
      <c r="Q17" s="5" t="n"/>
      <c r="R17" s="5" t="n"/>
      <c r="S17" s="5" t="n"/>
      <c r="T17" s="5" t="n"/>
      <c r="U17" s="5" t="n"/>
      <c r="V17" s="5" t="n"/>
      <c r="W17" s="5" t="n"/>
      <c r="X17" s="5" t="n"/>
    </row>
    <row r="18">
      <c r="A18" s="5" t="n"/>
      <c r="B18" s="5" t="n"/>
      <c r="C18" s="5" t="n"/>
      <c r="D18" s="5" t="n"/>
      <c r="E18" s="5" t="n"/>
      <c r="F18" s="5" t="n"/>
      <c r="G18" s="5" t="n"/>
      <c r="H18" s="5" t="n"/>
      <c r="I18" s="5" t="n"/>
      <c r="J18" s="5" t="n"/>
      <c r="K18" s="5" t="n"/>
      <c r="L18" s="5" t="n"/>
      <c r="M18" s="5" t="n"/>
      <c r="N18" s="5" t="n"/>
      <c r="O18" s="5" t="n"/>
      <c r="P18" s="5" t="n"/>
      <c r="Q18" s="5" t="n"/>
      <c r="R18" s="5" t="n"/>
      <c r="S18" s="5" t="n"/>
      <c r="T18" s="5" t="n"/>
      <c r="U18" s="5" t="n"/>
      <c r="V18" s="5" t="n"/>
      <c r="W18" s="5" t="n"/>
      <c r="X18" s="5" t="n"/>
    </row>
    <row r="19">
      <c r="A19" s="5" t="n"/>
      <c r="B19" s="5" t="n"/>
      <c r="C19" s="5" t="n"/>
      <c r="D19" s="5" t="n"/>
      <c r="E19" s="5" t="n"/>
      <c r="F19" s="5" t="n"/>
      <c r="G19" s="5" t="n"/>
      <c r="H19" s="5" t="n"/>
      <c r="I19" s="5" t="n"/>
      <c r="J19" s="5" t="n"/>
      <c r="K19" s="5" t="n"/>
      <c r="L19" s="5" t="n"/>
      <c r="M19" s="5" t="n"/>
      <c r="N19" s="5" t="n"/>
      <c r="O19" s="5" t="n"/>
      <c r="P19" s="5" t="n"/>
      <c r="Q19" s="5" t="n"/>
      <c r="R19" s="5" t="n"/>
      <c r="S19" s="5" t="n"/>
      <c r="T19" s="5" t="n"/>
      <c r="U19" s="5" t="n"/>
      <c r="V19" s="5" t="n"/>
      <c r="W19" s="5" t="n"/>
      <c r="X19" s="5" t="n"/>
    </row>
    <row r="20">
      <c r="A20" s="5" t="n"/>
      <c r="B20" s="5" t="n"/>
      <c r="C20" s="5" t="n"/>
      <c r="D20" s="5" t="n"/>
      <c r="E20" s="5" t="n"/>
      <c r="F20" s="5" t="n"/>
      <c r="G20" s="5" t="n"/>
      <c r="H20" s="5" t="n"/>
      <c r="I20" s="5" t="n"/>
      <c r="J20" s="5" t="n"/>
      <c r="K20" s="5" t="n"/>
      <c r="L20" s="5" t="n"/>
      <c r="M20" s="5" t="n"/>
      <c r="N20" s="5" t="n"/>
      <c r="O20" s="5" t="n"/>
      <c r="P20" s="5" t="n"/>
      <c r="Q20" s="5" t="n"/>
      <c r="R20" s="5" t="n"/>
      <c r="S20" s="5" t="n"/>
      <c r="T20" s="5" t="n"/>
      <c r="U20" s="5" t="n"/>
      <c r="V20" s="5" t="n"/>
      <c r="W20" s="5" t="n"/>
      <c r="X20" s="5" t="n"/>
    </row>
    <row r="21">
      <c r="A21" s="5" t="n"/>
      <c r="B21" s="5" t="n"/>
      <c r="C21" s="5" t="n"/>
      <c r="D21" s="5" t="n"/>
      <c r="E21" s="5" t="n"/>
      <c r="F21" s="5" t="n"/>
      <c r="G21" s="5" t="n"/>
      <c r="H21" s="5" t="n"/>
      <c r="I21" s="5" t="n"/>
      <c r="J21" s="5" t="n"/>
      <c r="K21" s="5" t="n"/>
      <c r="L21" s="5" t="n"/>
      <c r="M21" s="5" t="n"/>
      <c r="N21" s="5" t="n"/>
      <c r="O21" s="5" t="n"/>
      <c r="P21" s="5" t="n"/>
      <c r="Q21" s="5" t="n"/>
      <c r="R21" s="5" t="n"/>
      <c r="S21" s="5" t="n"/>
      <c r="T21" s="5" t="n"/>
      <c r="U21" s="5" t="n"/>
      <c r="V21" s="5" t="n"/>
      <c r="W21" s="5" t="n"/>
      <c r="X21" s="5" t="n"/>
    </row>
    <row r="22">
      <c r="A22" s="5" t="n"/>
      <c r="B22" s="5" t="n"/>
      <c r="C22" s="5" t="n"/>
      <c r="D22" s="5" t="n"/>
      <c r="E22" s="5" t="n"/>
      <c r="F22" s="5" t="n"/>
      <c r="G22" s="5" t="n"/>
      <c r="H22" s="5" t="n"/>
      <c r="I22" s="5" t="n"/>
      <c r="J22" s="5" t="n"/>
      <c r="K22" s="5" t="n"/>
      <c r="L22" s="5" t="n"/>
      <c r="M22" s="5" t="n"/>
      <c r="N22" s="5" t="n"/>
      <c r="O22" s="5" t="n"/>
      <c r="P22" s="5" t="n"/>
      <c r="Q22" s="5" t="n"/>
      <c r="R22" s="5" t="n"/>
      <c r="S22" s="5" t="n"/>
      <c r="T22" s="5" t="n"/>
      <c r="U22" s="5" t="n"/>
      <c r="V22" s="5" t="n"/>
      <c r="W22" s="5" t="n"/>
      <c r="X22" s="5" t="n"/>
    </row>
    <row r="23">
      <c r="A23" s="5" t="n"/>
      <c r="B23" s="5" t="n"/>
      <c r="C23" s="5" t="n"/>
      <c r="D23" s="5" t="n"/>
      <c r="E23" s="5" t="n"/>
      <c r="F23" s="5" t="n"/>
      <c r="G23" s="5" t="n"/>
      <c r="H23" s="5" t="n"/>
      <c r="I23" s="5" t="n"/>
      <c r="J23" s="5" t="n"/>
      <c r="K23" s="5" t="n"/>
      <c r="L23" s="5" t="n"/>
      <c r="M23" s="5" t="n"/>
      <c r="N23" s="5" t="n"/>
      <c r="O23" s="5" t="n"/>
      <c r="P23" s="5" t="n"/>
      <c r="Q23" s="5" t="n"/>
      <c r="R23" s="5" t="n"/>
      <c r="S23" s="5" t="n"/>
      <c r="T23" s="5" t="n"/>
      <c r="U23" s="5" t="n"/>
      <c r="V23" s="5" t="n"/>
      <c r="W23" s="5" t="n"/>
      <c r="X23" s="5" t="n"/>
    </row>
    <row r="24">
      <c r="A24" s="5" t="n"/>
      <c r="B24" s="5" t="n"/>
      <c r="C24" s="5" t="n"/>
      <c r="D24" s="5" t="n"/>
      <c r="E24" s="5" t="n"/>
      <c r="F24" s="5" t="n"/>
      <c r="G24" s="5" t="n"/>
      <c r="H24" s="5" t="n"/>
      <c r="I24" s="5" t="n"/>
      <c r="J24" s="5" t="n"/>
      <c r="K24" s="5" t="n"/>
      <c r="L24" s="5" t="n"/>
      <c r="M24" s="5" t="n"/>
      <c r="N24" s="5" t="n"/>
      <c r="O24" s="5" t="n"/>
      <c r="P24" s="5" t="n"/>
      <c r="Q24" s="5" t="n"/>
      <c r="R24" s="5" t="n"/>
      <c r="S24" s="5" t="n"/>
      <c r="T24" s="5" t="n"/>
      <c r="U24" s="5" t="n"/>
      <c r="V24" s="5" t="n"/>
      <c r="W24" s="5" t="n"/>
      <c r="X24" s="5" t="n"/>
    </row>
    <row r="26">
      <c r="A26" s="16" t="inlineStr">
        <is>
          <t>CHANGE MANAGEMENT - COMPLIANCE CHECKLIST</t>
        </is>
      </c>
    </row>
    <row r="27">
      <c r="A27" s="7" t="inlineStr">
        <is>
          <t>☐</t>
        </is>
      </c>
      <c r="B27" s="7" t="inlineStr">
        <is>
          <t>Requirement</t>
        </is>
      </c>
      <c r="C27" s="7" t="inlineStr">
        <is>
          <t>Status</t>
        </is>
      </c>
      <c r="D27" s="7" t="inlineStr">
        <is>
          <t>Notes/Evidence</t>
        </is>
      </c>
    </row>
    <row r="28" ht="25" customHeight="1">
      <c r="A28" s="17" t="inlineStr">
        <is>
          <t>☐</t>
        </is>
      </c>
      <c r="B28" s="18" t="inlineStr">
        <is>
          <t>Change management process documented for cloud services</t>
        </is>
      </c>
      <c r="C28" s="5" t="n"/>
      <c r="D28" s="5" t="n"/>
      <c r="E28" s="41" t="n"/>
      <c r="F28" s="42" t="n"/>
    </row>
    <row r="29" ht="25" customHeight="1">
      <c r="A29" s="17" t="inlineStr">
        <is>
          <t>☐</t>
        </is>
      </c>
      <c r="B29" s="18" t="inlineStr">
        <is>
          <t>Provider change notifications monitored and assessed</t>
        </is>
      </c>
      <c r="C29" s="5" t="n"/>
      <c r="D29" s="5" t="n"/>
      <c r="E29" s="41" t="n"/>
      <c r="F29" s="42" t="n"/>
    </row>
    <row r="30" ht="25" customHeight="1">
      <c r="A30" s="17" t="inlineStr">
        <is>
          <t>☐</t>
        </is>
      </c>
      <c r="B30" s="18" t="inlineStr">
        <is>
          <t>Configuration changes require security review before approval</t>
        </is>
      </c>
      <c r="C30" s="5" t="n"/>
      <c r="D30" s="5" t="n"/>
      <c r="E30" s="41" t="n"/>
      <c r="F30" s="42" t="n"/>
    </row>
    <row r="31" ht="25" customHeight="1">
      <c r="A31" s="17" t="inlineStr">
        <is>
          <t>☐</t>
        </is>
      </c>
      <c r="B31" s="18" t="inlineStr">
        <is>
          <t>Integration changes assessed for data flow impact</t>
        </is>
      </c>
      <c r="C31" s="5" t="n"/>
      <c r="D31" s="5" t="n"/>
      <c r="E31" s="41" t="n"/>
      <c r="F31" s="42" t="n"/>
    </row>
    <row r="32" ht="25" customHeight="1">
      <c r="A32" s="17" t="inlineStr">
        <is>
          <t>☐</t>
        </is>
      </c>
      <c r="B32" s="18" t="inlineStr">
        <is>
          <t>Emergency change process defined with post-review requirement</t>
        </is>
      </c>
      <c r="C32" s="5" t="n"/>
      <c r="D32" s="5" t="n"/>
      <c r="E32" s="41" t="n"/>
      <c r="F32" s="42" t="n"/>
    </row>
    <row r="33" ht="25" customHeight="1">
      <c r="A33" s="17" t="inlineStr">
        <is>
          <t>☐</t>
        </is>
      </c>
      <c r="B33" s="18" t="inlineStr">
        <is>
          <t>Emergency changes reviewed within 48 hours</t>
        </is>
      </c>
      <c r="C33" s="5" t="n"/>
      <c r="D33" s="5" t="n"/>
      <c r="E33" s="41" t="n"/>
      <c r="F33" s="42" t="n"/>
    </row>
    <row r="34" ht="25" customHeight="1">
      <c r="A34" s="17" t="inlineStr">
        <is>
          <t>☐</t>
        </is>
      </c>
      <c r="B34" s="18" t="inlineStr">
        <is>
          <t>Rollback procedures documented for critical changes</t>
        </is>
      </c>
      <c r="C34" s="5" t="n"/>
      <c r="D34" s="5" t="n"/>
      <c r="E34" s="41" t="n"/>
      <c r="F34" s="42" t="n"/>
    </row>
    <row r="35" ht="25" customHeight="1">
      <c r="A35" s="17" t="inlineStr">
        <is>
          <t>☐</t>
        </is>
      </c>
      <c r="B35" s="18" t="inlineStr">
        <is>
          <t>Rollback procedures tested before go-live (critical changes)</t>
        </is>
      </c>
      <c r="C35" s="5" t="n"/>
      <c r="D35" s="5" t="n"/>
      <c r="E35" s="41" t="n"/>
      <c r="F35" s="42" t="n"/>
    </row>
    <row r="36" ht="25" customHeight="1">
      <c r="A36" s="17" t="inlineStr">
        <is>
          <t>☐</t>
        </is>
      </c>
      <c r="B36" s="18" t="inlineStr">
        <is>
          <t>Change calendar maintained and communicated</t>
        </is>
      </c>
      <c r="C36" s="5" t="n"/>
      <c r="D36" s="5" t="n"/>
      <c r="E36" s="41" t="n"/>
      <c r="F36" s="42" t="n"/>
    </row>
    <row r="37" ht="25" customHeight="1">
      <c r="A37" s="17" t="inlineStr">
        <is>
          <t>☐</t>
        </is>
      </c>
      <c r="B37" s="18" t="inlineStr">
        <is>
          <t>Change conflicts identified and resolved</t>
        </is>
      </c>
      <c r="C37" s="5" t="n"/>
      <c r="D37" s="5" t="n"/>
      <c r="E37" s="41" t="n"/>
      <c r="F37" s="42" t="n"/>
    </row>
    <row r="38" ht="25" customHeight="1">
      <c r="A38" s="17" t="inlineStr">
        <is>
          <t>☐</t>
        </is>
      </c>
      <c r="B38" s="18" t="inlineStr">
        <is>
          <t>Security impact assessment required for all changes</t>
        </is>
      </c>
      <c r="C38" s="5" t="n"/>
      <c r="D38" s="5" t="n"/>
      <c r="E38" s="41" t="n"/>
      <c r="F38" s="42" t="n"/>
    </row>
    <row r="39" ht="25" customHeight="1">
      <c r="A39" s="17" t="inlineStr">
        <is>
          <t>☐</t>
        </is>
      </c>
      <c r="B39" s="18" t="inlineStr">
        <is>
          <t>Change audit trail maintained in ticketing system</t>
        </is>
      </c>
      <c r="C39" s="5" t="n"/>
      <c r="D39" s="5" t="n"/>
      <c r="E39" s="41" t="n"/>
      <c r="F39" s="42" t="n"/>
    </row>
    <row r="40" ht="25" customHeight="1">
      <c r="A40" s="17" t="inlineStr">
        <is>
          <t>☐</t>
        </is>
      </c>
      <c r="B40" s="18" t="inlineStr">
        <is>
          <t>Failed changes documented with root cause</t>
        </is>
      </c>
      <c r="C40" s="5" t="n"/>
      <c r="D40" s="5" t="n"/>
      <c r="E40" s="41" t="n"/>
      <c r="F40" s="42" t="n"/>
    </row>
    <row r="41" ht="25" customHeight="1">
      <c r="A41" s="17" t="inlineStr">
        <is>
          <t>☐</t>
        </is>
      </c>
      <c r="B41" s="18" t="inlineStr">
        <is>
          <t>Change success metrics tracked (success rate, rollback rate)</t>
        </is>
      </c>
      <c r="C41" s="5" t="n"/>
      <c r="D41" s="5" t="n"/>
      <c r="E41" s="41" t="n"/>
      <c r="F41" s="42" t="n"/>
    </row>
    <row r="42" ht="25" customHeight="1">
      <c r="A42" s="17" t="inlineStr">
        <is>
          <t>☐</t>
        </is>
      </c>
      <c r="B42" s="18" t="inlineStr">
        <is>
          <t>Provider maintenance windows tracked and planned for</t>
        </is>
      </c>
      <c r="C42" s="5" t="n"/>
      <c r="D42" s="5" t="n"/>
      <c r="E42" s="41" t="n"/>
      <c r="F42" s="42" t="n"/>
    </row>
    <row r="44">
      <c r="A44" s="3" t="inlineStr">
        <is>
          <t>Checklist Compliance Score:</t>
        </is>
      </c>
      <c r="C44" s="19">
        <f>IF(COUNTA(C28:C42)=0,"N/A",ROUND(COUNTIF(C28:C42,"Yes")/COUNTIF(C28:C42,"&lt;&gt;N/A")*100,1)&amp;"%")</f>
        <v/>
      </c>
    </row>
  </sheetData>
  <mergeCells count="33">
    <mergeCell ref="B40"/>
    <mergeCell ref="D41:F41"/>
    <mergeCell ref="B30"/>
    <mergeCell ref="D32:F32"/>
    <mergeCell ref="B33"/>
    <mergeCell ref="B36"/>
    <mergeCell ref="B41"/>
    <mergeCell ref="B32"/>
    <mergeCell ref="B35"/>
    <mergeCell ref="D28:F28"/>
    <mergeCell ref="D37:F37"/>
    <mergeCell ref="A26:X26"/>
    <mergeCell ref="A2:X2"/>
    <mergeCell ref="D30:F30"/>
    <mergeCell ref="D39:F39"/>
    <mergeCell ref="D33:F33"/>
    <mergeCell ref="B31"/>
    <mergeCell ref="D42:F42"/>
    <mergeCell ref="D38:F38"/>
    <mergeCell ref="D29:F29"/>
    <mergeCell ref="B39"/>
    <mergeCell ref="D35:F35"/>
    <mergeCell ref="B42"/>
    <mergeCell ref="D34:F34"/>
    <mergeCell ref="D31:F31"/>
    <mergeCell ref="B29"/>
    <mergeCell ref="D40:F40"/>
    <mergeCell ref="D36:F36"/>
    <mergeCell ref="B38"/>
    <mergeCell ref="B34"/>
    <mergeCell ref="B28"/>
    <mergeCell ref="A1:X1"/>
    <mergeCell ref="B37"/>
  </mergeCells>
  <dataValidations count="15">
    <dataValidation sqref="C6 C7 C8 C9 C10 C11 C12 C13 C14 C15 C16 C17 C18 C19 C20 C21 C22 C23 C24" showDropDown="0" showInputMessage="0" showErrorMessage="0" allowBlank="1" errorTitle="Service Type" error="Select valid service type" promptTitle="Service Type" prompt="Select Service Type" type="list">
      <formula1>"SaaS,IaaS,PaaS,Security Service,Cloud Storage,Other"</formula1>
    </dataValidation>
    <dataValidation sqref="D6 D7 D8 D9 D10 D11 D12 D13 D14 D15 D16 D17 D18 D19 D20 D21 D22 D23 D24" showDropDown="0" showInputMessage="0" showErrorMessage="0" allowBlank="1" errorTitle="Review Period" error="Select valid review period" promptTitle="Review Period" prompt="Select Review Period" type="list">
      <formula1>"Q1,Q2,Q3,Q4,Annual,Ad-Hoc"</formula1>
    </dataValidation>
    <dataValidation sqref="E6 E7 E8 E9 E10 E11 E12 E13 E14 E15 E16 E17 E18 E19 E20 E21 E22 E23 E24" showDropDown="0" showInputMessage="0" showErrorMessage="0" allowBlank="1" errorTitle="Service Criticality" error="Select valid criticality" promptTitle="Service Criticality" prompt="Select Service Criticality" type="list">
      <formula1>"Critical,High,Medium,Low"</formula1>
    </dataValidation>
    <dataValidation sqref="F6 F7 F8 F9 F10 F11 F12 F13 F14 F15 F16 F17 F18 F19 F20 F21 F22 F23 F24" showDropDown="0" showInputMessage="0" showErrorMessage="0" allowBlank="1" errorTitle="Data Classification" error="Select valid classification" promptTitle="Data Classification" prompt="Select Data Classification" type="list">
      <formula1>"Restricted,Confidential,Internal,Public,N/A"</formula1>
    </dataValidation>
    <dataValidation sqref="H6 H7 H8 H9 H10 H11 H12 H13 H14 H15 H16 H17 H18 H19 H20 H21 H22 H23 H24" showDropDown="0" showInputMessage="0" showErrorMessage="0" allowBlank="1" errorTitle="Status" error="Select valid status" promptTitle="Status" prompt="Select Status" type="list">
      <formula1>f"{CHECK} Compliant,⚠️ Partial,❌ Non-Compliant,N/A"</formula1>
    </dataValidation>
    <dataValidation sqref="K6 K7 K8 K9 K10 K11 K12 K13 K14 K15 K16 K17 K18 K19 K20 K21 K22 K23 K24" showDropDown="0" showInputMessage="0" showErrorMessage="0" allowBlank="1" errorTitle="Yes/No" error="Select Yes or No" promptTitle="Yes/No" prompt="Select Yes/No" type="list">
      <formula1>"Yes,No"</formula1>
    </dataValidation>
    <dataValidation sqref="O6 O7 O8 O9 O10 O11 O12 O13 O14 O15 O16 O17 O18 O19 O20 O21 O22 O23 O24" showDropDown="0" showInputMessage="0" showErrorMessage="0" allowBlank="1" errorTitle="Responsible Team" error="Select valid team" promptTitle="Responsible Team" prompt="Select Responsible Team" type="list">
      <formula1>"IT Ops,Compliance,Risk Management,Security,Business Owners"</formula1>
    </dataValidation>
    <dataValidation sqref="G6 G7 G8 G9 G10 G11 G12 G13 G14 G15 G16 G17 G18 G19 G20 G21 G22 G23 G24" showDropDown="0" showInputMessage="0" showErrorMessage="0" allowBlank="1" errorTitle="Change Type" error="Select valid Change Type" type="list">
      <formula1>"Provider Change,Config Change,Integration Change,Emergency Change,Scheduled Maintenance"</formula1>
    </dataValidation>
    <dataValidation sqref="S6 S7 S8 S9 S10 S11 S12 S13 S14 S15 S16 S17 S18 S19 S20 S21 S22 S23 S24" showDropDown="0" showInputMessage="0" showErrorMessage="0" allowBlank="1" errorTitle="Impact Level" error="Select valid Impact Level" type="list">
      <formula1>"Critical,High,Medium,Low"</formula1>
    </dataValidation>
    <dataValidation sqref="T6 T7 T8 T9 T10 T11 T12 T13 T14 T15 T16 T17 T18 T19 T20 T21 T22 T23 T24" showDropDown="0" showInputMessage="0" showErrorMessage="0" allowBlank="1" errorTitle="Approval Status" error="Select valid Approval Status" type="list">
      <formula1>"Approved,Pending,Rejected,Emergency"</formula1>
    </dataValidation>
    <dataValidation sqref="U6 U7 U8 U9 U10 U11 U12 U13 U14 U15 U16 U17 U18 U19 U20 U21 U22 U23 U24" showDropDown="0" showInputMessage="0" showErrorMessage="0" allowBlank="1" errorTitle="Rollback Plan" error="Select valid Rollback Plan" type="list">
      <formula1>"Yes,No,N/A"</formula1>
    </dataValidation>
    <dataValidation sqref="V6 V7 V8 V9 V10 V11 V12 V13 V14 V15 V16 V17 V18 V19 V20 V21 V22 V23 V24" showDropDown="0" showInputMessage="0" showErrorMessage="0" allowBlank="1" errorTitle="Rollback Tested" error="Select valid Rollback Tested" type="list">
      <formula1>"Yes,No,N/A"</formula1>
    </dataValidation>
    <dataValidation sqref="W6 W7 W8 W9 W10 W11 W12 W13 W14 W15 W16 W17 W18 W19 W20 W21 W22 W23 W24" showDropDown="0" showInputMessage="0" showErrorMessage="0" allowBlank="1" errorTitle="Post-Change Review" error="Select valid Post-Change Review" type="list">
      <formula1>"Yes,No,Pending"</formula1>
    </dataValidation>
    <dataValidation sqref="X6 X7 X8 X9 X10 X11 X12 X13 X14 X15 X16 X17 X18 X19 X20 X21 X22 X23 X24" showDropDown="0" showInputMessage="0" showErrorMessage="0" allowBlank="1" errorTitle="Security Impact" error="Select valid Security Impact" type="list">
      <formula1>"Yes,No,N/A"</formula1>
    </dataValidation>
    <dataValidation sqref="C28 C29 C30 C31 C32 C33 C34 C35 C36 C37 C38 C39 C40 C41 C42" showDropDown="0" showInputMessage="0" showErrorMessage="0" allowBlank="1" type="list">
      <formula1>"Yes,No,N/A"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B63"/>
  <sheetViews>
    <sheetView workbookViewId="0">
      <pane ySplit="5" topLeftCell="A6" activePane="bottomLeft" state="frozen"/>
      <selection pane="bottomLeft" activeCell="A1" sqref="A1"/>
    </sheetView>
  </sheetViews>
  <sheetFormatPr baseColWidth="8" defaultRowHeight="15"/>
  <cols>
    <col width="28" customWidth="1" min="1" max="1"/>
    <col width="65" customWidth="1" min="2" max="2"/>
    <col width="20" customWidth="1" min="3" max="3"/>
    <col width="16" customWidth="1" min="4" max="4"/>
    <col width="18" customWidth="1" min="5" max="5"/>
    <col width="20" customWidth="1" min="6" max="6"/>
    <col width="18" customWidth="1" min="7" max="7"/>
    <col width="15" customWidth="1" min="8" max="8"/>
    <col width="30" customWidth="1" min="9" max="9"/>
    <col width="35" customWidth="1" min="10" max="10"/>
    <col width="16" customWidth="1" min="11" max="11"/>
    <col width="14" customWidth="1" min="12" max="12"/>
    <col width="14" customWidth="1" min="13" max="13"/>
    <col width="30" customWidth="1" min="14" max="14"/>
    <col width="20" customWidth="1" min="15" max="15"/>
    <col width="18" customWidth="1" min="16" max="16"/>
    <col width="18" customWidth="1" min="17" max="17"/>
    <col width="18" customWidth="1" min="18" max="18"/>
    <col width="14" customWidth="1" min="19" max="19"/>
    <col width="20" customWidth="1" min="20" max="20"/>
    <col width="16" customWidth="1" min="21" max="21"/>
    <col width="16" customWidth="1" min="22" max="22"/>
    <col width="18" customWidth="1" min="23" max="23"/>
    <col width="20" customWidth="1" min="24" max="24"/>
    <col width="20" customWidth="1" min="25" max="25"/>
    <col width="22" customWidth="1" min="26" max="26"/>
    <col width="22" customWidth="1" min="27" max="27"/>
    <col width="20" customWidth="1" min="28" max="28"/>
  </cols>
  <sheetData>
    <row r="1" ht="35" customHeight="1">
      <c r="A1" s="1" t="inlineStr">
        <is>
          <t>4. INCIDENT &amp; PROBLEM MANAGEMENT</t>
        </is>
      </c>
    </row>
    <row r="2" ht="30" customHeight="1">
      <c r="A2" s="13" t="inlineStr">
        <is>
          <t>Policy Reference: Cloud service incidents MUST be detected, reported, and resolved per incident management procedures. (Policy Section 6.3)</t>
        </is>
      </c>
    </row>
    <row r="4" ht="30" customHeight="1">
      <c r="A4" s="14" t="inlineStr">
        <is>
          <t>INC-001</t>
        </is>
      </c>
      <c r="B4" s="14" t="inlineStr">
        <is>
          <t>M365 Phishing Attempt</t>
        </is>
      </c>
      <c r="C4" s="14" t="inlineStr">
        <is>
          <t>Medium</t>
        </is>
      </c>
      <c r="D4" s="14" t="inlineStr">
        <is>
          <t>Detected</t>
        </is>
      </c>
      <c r="E4" s="14" t="inlineStr">
        <is>
          <t>Security Team</t>
        </is>
      </c>
      <c r="F4" s="14" t="inlineStr">
        <is>
          <t>DORA Reported</t>
        </is>
      </c>
      <c r="G4" s="14" t="inlineStr">
        <is>
          <t>Incident Severity</t>
        </is>
      </c>
      <c r="H4" s="14" t="inlineStr">
        <is>
          <t>Status</t>
        </is>
      </c>
      <c r="I4" s="14" t="inlineStr">
        <is>
          <t>Evidence Location</t>
        </is>
      </c>
      <c r="J4" s="14" t="inlineStr">
        <is>
          <t>Gap Description</t>
        </is>
      </c>
      <c r="K4" s="14" t="inlineStr">
        <is>
          <t>Remediation Needed</t>
        </is>
      </c>
      <c r="L4" s="14" t="inlineStr">
        <is>
          <t>Exception ID</t>
        </is>
      </c>
      <c r="M4" s="14" t="inlineStr">
        <is>
          <t>Risk ID</t>
        </is>
      </c>
      <c r="N4" s="14" t="inlineStr">
        <is>
          <t>Compensating Controls</t>
        </is>
      </c>
      <c r="O4" s="14" t="inlineStr">
        <is>
          <t>Responsible Team/Owner</t>
        </is>
      </c>
      <c r="P4" s="14" t="inlineStr">
        <is>
          <t>Target Remediation Date</t>
        </is>
      </c>
      <c r="Q4" s="14" t="inlineStr">
        <is>
          <t>Last Review Date</t>
        </is>
      </c>
      <c r="R4" s="14" t="inlineStr">
        <is>
          <t>Incident Count (Period)</t>
        </is>
      </c>
      <c r="S4" s="14" t="inlineStr">
        <is>
          <t>MTTR (Hours)</t>
        </is>
      </c>
      <c r="T4" s="14" t="inlineStr">
        <is>
          <t>Root Cause Documented</t>
        </is>
      </c>
      <c r="U4" s="14" t="inlineStr">
        <is>
          <t>Playbook Updated</t>
        </is>
      </c>
      <c r="V4" s="14" t="inlineStr">
        <is>
          <t>Vendor Notified</t>
        </is>
      </c>
      <c r="W4" s="14" t="inlineStr">
        <is>
          <t>Customer Impact</t>
        </is>
      </c>
      <c r="X4" s="14" t="inlineStr">
        <is>
          <t>Lessons Learned Captured</t>
        </is>
      </c>
      <c r="Y4" s="14" t="inlineStr">
        <is>
          <t>DORA_Risk_Monitoring</t>
        </is>
      </c>
      <c r="Z4" s="14" t="inlineStr">
        <is>
          <t>NIS2_Incident_Classification</t>
        </is>
      </c>
      <c r="AA4" s="14" t="inlineStr">
        <is>
          <t>AI_Risk_Monitoring_Status</t>
        </is>
      </c>
      <c r="AB4" s="14" t="inlineStr">
        <is>
          <t>Regulatory_Risk_Owner</t>
        </is>
      </c>
    </row>
    <row r="5">
      <c r="A5" s="15" t="inlineStr">
        <is>
          <t>INC-002</t>
        </is>
      </c>
      <c r="B5" s="15" t="inlineStr">
        <is>
          <t>AWS S3 Misconfiguration</t>
        </is>
      </c>
      <c r="C5" s="15" t="inlineStr">
        <is>
          <t>High</t>
        </is>
      </c>
      <c r="D5" s="15" t="inlineStr">
        <is>
          <t>Resolved</t>
        </is>
      </c>
      <c r="E5" s="15" t="inlineStr">
        <is>
          <t>Cloud Team</t>
        </is>
      </c>
      <c r="F5" s="15" t="inlineStr">
        <is>
          <t>DORA Reported</t>
        </is>
      </c>
      <c r="G5" s="15" t="inlineStr">
        <is>
          <t>P3-Medium</t>
        </is>
      </c>
      <c r="H5" s="15" t="inlineStr">
        <is>
          <t>✅ Compliant</t>
        </is>
      </c>
      <c r="I5" s="15" t="inlineStr">
        <is>
          <t>/evidence/incidents/M365</t>
        </is>
      </c>
      <c r="J5" s="15" t="inlineStr"/>
      <c r="K5" s="15" t="inlineStr">
        <is>
          <t>No</t>
        </is>
      </c>
      <c r="L5" s="15" t="inlineStr"/>
      <c r="M5" s="15" t="inlineStr"/>
      <c r="N5" s="15" t="inlineStr"/>
      <c r="O5" s="15" t="inlineStr">
        <is>
          <t>Security</t>
        </is>
      </c>
      <c r="P5" s="15" t="inlineStr"/>
      <c r="Q5" s="15" t="inlineStr">
        <is>
          <t>2025-12-20</t>
        </is>
      </c>
      <c r="R5" s="15" t="inlineStr">
        <is>
          <t>4</t>
        </is>
      </c>
      <c r="S5" s="15" t="inlineStr">
        <is>
          <t>2.5</t>
        </is>
      </c>
      <c r="T5" s="15" t="inlineStr">
        <is>
          <t>Yes</t>
        </is>
      </c>
      <c r="U5" s="15" t="inlineStr">
        <is>
          <t>Yes</t>
        </is>
      </c>
      <c r="V5" s="15" t="inlineStr">
        <is>
          <t>N/A</t>
        </is>
      </c>
      <c r="W5" s="15" t="inlineStr">
        <is>
          <t>No</t>
        </is>
      </c>
      <c r="X5" s="15" t="inlineStr">
        <is>
          <t>Yes</t>
        </is>
      </c>
      <c r="Y5" s="15" t="inlineStr">
        <is>
          <t>Quarterly Reviews</t>
        </is>
      </c>
      <c r="Z5" s="15" t="inlineStr">
        <is>
          <t>Minor (No notification required)</t>
        </is>
      </c>
      <c r="AA5" s="15" t="inlineStr">
        <is>
          <t>Periodic Review</t>
        </is>
      </c>
      <c r="AB5" s="15" t="inlineStr">
        <is>
          <t>CISO</t>
        </is>
      </c>
    </row>
    <row r="6">
      <c r="A6" s="5" t="inlineStr">
        <is>
          <t>INC-003</t>
        </is>
      </c>
      <c r="B6" s="5" t="inlineStr">
        <is>
          <t>Salesforce Login Anomaly</t>
        </is>
      </c>
      <c r="C6" s="5" t="inlineStr">
        <is>
          <t>Low</t>
        </is>
      </c>
      <c r="D6" s="5" t="inlineStr">
        <is>
          <t>Closed</t>
        </is>
      </c>
      <c r="E6" s="5" t="inlineStr">
        <is>
          <t>SOC</t>
        </is>
      </c>
      <c r="F6" s="5" t="inlineStr">
        <is>
          <t>Not Applicable</t>
        </is>
      </c>
      <c r="G6" s="5" t="n"/>
      <c r="H6" s="5" t="n"/>
      <c r="I6" s="5" t="n"/>
      <c r="J6" s="5" t="n"/>
      <c r="K6" s="5" t="n"/>
      <c r="L6" s="5" t="n"/>
      <c r="M6" s="5" t="n"/>
      <c r="N6" s="5" t="n"/>
      <c r="O6" s="5" t="n"/>
      <c r="P6" s="5" t="n"/>
      <c r="Q6" s="5" t="n"/>
      <c r="R6" s="5" t="n"/>
      <c r="S6" s="5" t="n"/>
      <c r="T6" s="5" t="n"/>
      <c r="U6" s="5" t="n"/>
      <c r="V6" s="5" t="n"/>
      <c r="W6" s="5" t="n"/>
      <c r="X6" s="5" t="n"/>
      <c r="Y6" s="5" t="n"/>
      <c r="Z6" s="5" t="n"/>
      <c r="AA6" s="5" t="n"/>
      <c r="AB6" s="5" t="n"/>
    </row>
    <row r="7">
      <c r="A7" s="5" t="n"/>
      <c r="B7" s="5" t="n"/>
      <c r="C7" s="5" t="n"/>
      <c r="D7" s="5" t="n"/>
      <c r="E7" s="5" t="n"/>
      <c r="F7" s="5" t="n"/>
      <c r="G7" s="5" t="n"/>
      <c r="H7" s="5" t="n"/>
      <c r="I7" s="5" t="n"/>
      <c r="J7" s="5" t="n"/>
      <c r="K7" s="5" t="n"/>
      <c r="L7" s="5" t="n"/>
      <c r="M7" s="5" t="n"/>
      <c r="N7" s="5" t="n"/>
      <c r="O7" s="5" t="n"/>
      <c r="P7" s="5" t="n"/>
      <c r="Q7" s="5" t="n"/>
      <c r="R7" s="5" t="n"/>
      <c r="S7" s="5" t="n"/>
      <c r="T7" s="5" t="n"/>
      <c r="U7" s="5" t="n"/>
      <c r="V7" s="5" t="n"/>
      <c r="W7" s="5" t="n"/>
      <c r="X7" s="5" t="n"/>
      <c r="Y7" s="5" t="n"/>
      <c r="Z7" s="5" t="n"/>
      <c r="AA7" s="5" t="n"/>
      <c r="AB7" s="5" t="n"/>
    </row>
    <row r="8">
      <c r="A8" s="5" t="n"/>
      <c r="B8" s="5" t="n"/>
      <c r="C8" s="5" t="n"/>
      <c r="D8" s="5" t="n"/>
      <c r="E8" s="5" t="n"/>
      <c r="F8" s="5" t="n"/>
      <c r="G8" s="5" t="n"/>
      <c r="H8" s="5" t="n"/>
      <c r="I8" s="5" t="n"/>
      <c r="J8" s="5" t="n"/>
      <c r="K8" s="5" t="n"/>
      <c r="L8" s="5" t="n"/>
      <c r="M8" s="5" t="n"/>
      <c r="N8" s="5" t="n"/>
      <c r="O8" s="5" t="n"/>
      <c r="P8" s="5" t="n"/>
      <c r="Q8" s="5" t="n"/>
      <c r="R8" s="5" t="n"/>
      <c r="S8" s="5" t="n"/>
      <c r="T8" s="5" t="n"/>
      <c r="U8" s="5" t="n"/>
      <c r="V8" s="5" t="n"/>
      <c r="W8" s="5" t="n"/>
      <c r="X8" s="5" t="n"/>
      <c r="Y8" s="5" t="n"/>
      <c r="Z8" s="5" t="n"/>
      <c r="AA8" s="5" t="n"/>
      <c r="AB8" s="5" t="n"/>
    </row>
    <row r="9">
      <c r="A9" s="5" t="n"/>
      <c r="B9" s="5" t="n"/>
      <c r="C9" s="5" t="n"/>
      <c r="D9" s="5" t="n"/>
      <c r="E9" s="5" t="n"/>
      <c r="F9" s="5" t="n"/>
      <c r="G9" s="5" t="n"/>
      <c r="H9" s="5" t="n"/>
      <c r="I9" s="5" t="n"/>
      <c r="J9" s="5" t="n"/>
      <c r="K9" s="5" t="n"/>
      <c r="L9" s="5" t="n"/>
      <c r="M9" s="5" t="n"/>
      <c r="N9" s="5" t="n"/>
      <c r="O9" s="5" t="n"/>
      <c r="P9" s="5" t="n"/>
      <c r="Q9" s="5" t="n"/>
      <c r="R9" s="5" t="n"/>
      <c r="S9" s="5" t="n"/>
      <c r="T9" s="5" t="n"/>
      <c r="U9" s="5" t="n"/>
      <c r="V9" s="5" t="n"/>
      <c r="W9" s="5" t="n"/>
      <c r="X9" s="5" t="n"/>
      <c r="Y9" s="5" t="n"/>
      <c r="Z9" s="5" t="n"/>
      <c r="AA9" s="5" t="n"/>
      <c r="AB9" s="5" t="n"/>
    </row>
    <row r="10">
      <c r="A10" s="5" t="n"/>
      <c r="B10" s="5" t="n"/>
      <c r="C10" s="5" t="n"/>
      <c r="D10" s="5" t="n"/>
      <c r="E10" s="5" t="n"/>
      <c r="F10" s="5" t="n"/>
      <c r="G10" s="5" t="n"/>
      <c r="H10" s="5" t="n"/>
      <c r="I10" s="5" t="n"/>
      <c r="J10" s="5" t="n"/>
      <c r="K10" s="5" t="n"/>
      <c r="L10" s="5" t="n"/>
      <c r="M10" s="5" t="n"/>
      <c r="N10" s="5" t="n"/>
      <c r="O10" s="5" t="n"/>
      <c r="P10" s="5" t="n"/>
      <c r="Q10" s="5" t="n"/>
      <c r="R10" s="5" t="n"/>
      <c r="S10" s="5" t="n"/>
      <c r="T10" s="5" t="n"/>
      <c r="U10" s="5" t="n"/>
      <c r="V10" s="5" t="n"/>
      <c r="W10" s="5" t="n"/>
      <c r="X10" s="5" t="n"/>
      <c r="Y10" s="5" t="n"/>
      <c r="Z10" s="5" t="n"/>
      <c r="AA10" s="5" t="n"/>
      <c r="AB10" s="5" t="n"/>
    </row>
    <row r="11">
      <c r="A11" s="5" t="n"/>
      <c r="B11" s="5" t="n"/>
      <c r="C11" s="5" t="n"/>
      <c r="D11" s="5" t="n"/>
      <c r="E11" s="5" t="n"/>
      <c r="F11" s="5" t="n"/>
      <c r="G11" s="5" t="n"/>
      <c r="H11" s="5" t="n"/>
      <c r="I11" s="5" t="n"/>
      <c r="J11" s="5" t="n"/>
      <c r="K11" s="5" t="n"/>
      <c r="L11" s="5" t="n"/>
      <c r="M11" s="5" t="n"/>
      <c r="N11" s="5" t="n"/>
      <c r="O11" s="5" t="n"/>
      <c r="P11" s="5" t="n"/>
      <c r="Q11" s="5" t="n"/>
      <c r="R11" s="5" t="n"/>
      <c r="S11" s="5" t="n"/>
      <c r="T11" s="5" t="n"/>
      <c r="U11" s="5" t="n"/>
      <c r="V11" s="5" t="n"/>
      <c r="W11" s="5" t="n"/>
      <c r="X11" s="5" t="n"/>
      <c r="Y11" s="5" t="n"/>
      <c r="Z11" s="5" t="n"/>
      <c r="AA11" s="5" t="n"/>
      <c r="AB11" s="5" t="n"/>
    </row>
    <row r="12">
      <c r="A12" s="5" t="n"/>
      <c r="B12" s="5" t="n"/>
      <c r="C12" s="5" t="n"/>
      <c r="D12" s="5" t="n"/>
      <c r="E12" s="5" t="n"/>
      <c r="F12" s="5" t="n"/>
      <c r="G12" s="5" t="n"/>
      <c r="H12" s="5" t="n"/>
      <c r="I12" s="5" t="n"/>
      <c r="J12" s="5" t="n"/>
      <c r="K12" s="5" t="n"/>
      <c r="L12" s="5" t="n"/>
      <c r="M12" s="5" t="n"/>
      <c r="N12" s="5" t="n"/>
      <c r="O12" s="5" t="n"/>
      <c r="P12" s="5" t="n"/>
      <c r="Q12" s="5" t="n"/>
      <c r="R12" s="5" t="n"/>
      <c r="S12" s="5" t="n"/>
      <c r="T12" s="5" t="n"/>
      <c r="U12" s="5" t="n"/>
      <c r="V12" s="5" t="n"/>
      <c r="W12" s="5" t="n"/>
      <c r="X12" s="5" t="n"/>
      <c r="Y12" s="5" t="n"/>
      <c r="Z12" s="5" t="n"/>
      <c r="AA12" s="5" t="n"/>
      <c r="AB12" s="5" t="n"/>
    </row>
    <row r="13">
      <c r="A13" s="5" t="n"/>
      <c r="B13" s="5" t="n"/>
      <c r="C13" s="5" t="n"/>
      <c r="D13" s="5" t="n"/>
      <c r="E13" s="5" t="n"/>
      <c r="F13" s="5" t="n"/>
      <c r="G13" s="5" t="n"/>
      <c r="H13" s="5" t="n"/>
      <c r="I13" s="5" t="n"/>
      <c r="J13" s="5" t="n"/>
      <c r="K13" s="5" t="n"/>
      <c r="L13" s="5" t="n"/>
      <c r="M13" s="5" t="n"/>
      <c r="N13" s="5" t="n"/>
      <c r="O13" s="5" t="n"/>
      <c r="P13" s="5" t="n"/>
      <c r="Q13" s="5" t="n"/>
      <c r="R13" s="5" t="n"/>
      <c r="S13" s="5" t="n"/>
      <c r="T13" s="5" t="n"/>
      <c r="U13" s="5" t="n"/>
      <c r="V13" s="5" t="n"/>
      <c r="W13" s="5" t="n"/>
      <c r="X13" s="5" t="n"/>
      <c r="Y13" s="5" t="n"/>
      <c r="Z13" s="5" t="n"/>
      <c r="AA13" s="5" t="n"/>
      <c r="AB13" s="5" t="n"/>
    </row>
    <row r="14">
      <c r="A14" s="5" t="n"/>
      <c r="B14" s="5" t="n"/>
      <c r="C14" s="5" t="n"/>
      <c r="D14" s="5" t="n"/>
      <c r="E14" s="5" t="n"/>
      <c r="F14" s="5" t="n"/>
      <c r="G14" s="5" t="n"/>
      <c r="H14" s="5" t="n"/>
      <c r="I14" s="5" t="n"/>
      <c r="J14" s="5" t="n"/>
      <c r="K14" s="5" t="n"/>
      <c r="L14" s="5" t="n"/>
      <c r="M14" s="5" t="n"/>
      <c r="N14" s="5" t="n"/>
      <c r="O14" s="5" t="n"/>
      <c r="P14" s="5" t="n"/>
      <c r="Q14" s="5" t="n"/>
      <c r="R14" s="5" t="n"/>
      <c r="S14" s="5" t="n"/>
      <c r="T14" s="5" t="n"/>
      <c r="U14" s="5" t="n"/>
      <c r="V14" s="5" t="n"/>
      <c r="W14" s="5" t="n"/>
      <c r="X14" s="5" t="n"/>
      <c r="Y14" s="5" t="n"/>
      <c r="Z14" s="5" t="n"/>
      <c r="AA14" s="5" t="n"/>
      <c r="AB14" s="5" t="n"/>
    </row>
    <row r="15">
      <c r="A15" s="5" t="n"/>
      <c r="B15" s="5" t="n"/>
      <c r="C15" s="5" t="n"/>
      <c r="D15" s="5" t="n"/>
      <c r="E15" s="5" t="n"/>
      <c r="F15" s="5" t="n"/>
      <c r="G15" s="5" t="n"/>
      <c r="H15" s="5" t="n"/>
      <c r="I15" s="5" t="n"/>
      <c r="J15" s="5" t="n"/>
      <c r="K15" s="5" t="n"/>
      <c r="L15" s="5" t="n"/>
      <c r="M15" s="5" t="n"/>
      <c r="N15" s="5" t="n"/>
      <c r="O15" s="5" t="n"/>
      <c r="P15" s="5" t="n"/>
      <c r="Q15" s="5" t="n"/>
      <c r="R15" s="5" t="n"/>
      <c r="S15" s="5" t="n"/>
      <c r="T15" s="5" t="n"/>
      <c r="U15" s="5" t="n"/>
      <c r="V15" s="5" t="n"/>
      <c r="W15" s="5" t="n"/>
      <c r="X15" s="5" t="n"/>
      <c r="Y15" s="5" t="n"/>
      <c r="Z15" s="5" t="n"/>
      <c r="AA15" s="5" t="n"/>
      <c r="AB15" s="5" t="n"/>
    </row>
    <row r="16">
      <c r="A16" s="5" t="n"/>
      <c r="B16" s="5" t="n"/>
      <c r="C16" s="5" t="n"/>
      <c r="D16" s="5" t="n"/>
      <c r="E16" s="5" t="n"/>
      <c r="F16" s="5" t="n"/>
      <c r="G16" s="5" t="n"/>
      <c r="H16" s="5" t="n"/>
      <c r="I16" s="5" t="n"/>
      <c r="J16" s="5" t="n"/>
      <c r="K16" s="5" t="n"/>
      <c r="L16" s="5" t="n"/>
      <c r="M16" s="5" t="n"/>
      <c r="N16" s="5" t="n"/>
      <c r="O16" s="5" t="n"/>
      <c r="P16" s="5" t="n"/>
      <c r="Q16" s="5" t="n"/>
      <c r="R16" s="5" t="n"/>
      <c r="S16" s="5" t="n"/>
      <c r="T16" s="5" t="n"/>
      <c r="U16" s="5" t="n"/>
      <c r="V16" s="5" t="n"/>
      <c r="W16" s="5" t="n"/>
      <c r="X16" s="5" t="n"/>
      <c r="Y16" s="5" t="n"/>
      <c r="Z16" s="5" t="n"/>
      <c r="AA16" s="5" t="n"/>
      <c r="AB16" s="5" t="n"/>
    </row>
    <row r="17">
      <c r="A17" s="5" t="n"/>
      <c r="B17" s="5" t="n"/>
      <c r="C17" s="5" t="n"/>
      <c r="D17" s="5" t="n"/>
      <c r="E17" s="5" t="n"/>
      <c r="F17" s="5" t="n"/>
      <c r="G17" s="5" t="n"/>
      <c r="H17" s="5" t="n"/>
      <c r="I17" s="5" t="n"/>
      <c r="J17" s="5" t="n"/>
      <c r="K17" s="5" t="n"/>
      <c r="L17" s="5" t="n"/>
      <c r="M17" s="5" t="n"/>
      <c r="N17" s="5" t="n"/>
      <c r="O17" s="5" t="n"/>
      <c r="P17" s="5" t="n"/>
      <c r="Q17" s="5" t="n"/>
      <c r="R17" s="5" t="n"/>
      <c r="S17" s="5" t="n"/>
      <c r="T17" s="5" t="n"/>
      <c r="U17" s="5" t="n"/>
      <c r="V17" s="5" t="n"/>
      <c r="W17" s="5" t="n"/>
      <c r="X17" s="5" t="n"/>
      <c r="Y17" s="5" t="n"/>
      <c r="Z17" s="5" t="n"/>
      <c r="AA17" s="5" t="n"/>
      <c r="AB17" s="5" t="n"/>
    </row>
    <row r="18">
      <c r="A18" s="5" t="n"/>
      <c r="B18" s="5" t="n"/>
      <c r="C18" s="5" t="n"/>
      <c r="D18" s="5" t="n"/>
      <c r="E18" s="5" t="n"/>
      <c r="F18" s="5" t="n"/>
      <c r="G18" s="5" t="n"/>
      <c r="H18" s="5" t="n"/>
      <c r="I18" s="5" t="n"/>
      <c r="J18" s="5" t="n"/>
      <c r="K18" s="5" t="n"/>
      <c r="L18" s="5" t="n"/>
      <c r="M18" s="5" t="n"/>
      <c r="N18" s="5" t="n"/>
      <c r="O18" s="5" t="n"/>
      <c r="P18" s="5" t="n"/>
      <c r="Q18" s="5" t="n"/>
      <c r="R18" s="5" t="n"/>
      <c r="S18" s="5" t="n"/>
      <c r="T18" s="5" t="n"/>
      <c r="U18" s="5" t="n"/>
      <c r="V18" s="5" t="n"/>
      <c r="W18" s="5" t="n"/>
      <c r="X18" s="5" t="n"/>
      <c r="Y18" s="5" t="n"/>
      <c r="Z18" s="5" t="n"/>
      <c r="AA18" s="5" t="n"/>
      <c r="AB18" s="5" t="n"/>
    </row>
    <row r="19">
      <c r="A19" s="5" t="n"/>
      <c r="B19" s="5" t="n"/>
      <c r="C19" s="5" t="n"/>
      <c r="D19" s="5" t="n"/>
      <c r="E19" s="5" t="n"/>
      <c r="F19" s="5" t="n"/>
      <c r="G19" s="5" t="n"/>
      <c r="H19" s="5" t="n"/>
      <c r="I19" s="5" t="n"/>
      <c r="J19" s="5" t="n"/>
      <c r="K19" s="5" t="n"/>
      <c r="L19" s="5" t="n"/>
      <c r="M19" s="5" t="n"/>
      <c r="N19" s="5" t="n"/>
      <c r="O19" s="5" t="n"/>
      <c r="P19" s="5" t="n"/>
      <c r="Q19" s="5" t="n"/>
      <c r="R19" s="5" t="n"/>
      <c r="S19" s="5" t="n"/>
      <c r="T19" s="5" t="n"/>
      <c r="U19" s="5" t="n"/>
      <c r="V19" s="5" t="n"/>
      <c r="W19" s="5" t="n"/>
      <c r="X19" s="5" t="n"/>
      <c r="Y19" s="5" t="n"/>
      <c r="Z19" s="5" t="n"/>
      <c r="AA19" s="5" t="n"/>
      <c r="AB19" s="5" t="n"/>
    </row>
    <row r="20">
      <c r="A20" s="5" t="n"/>
      <c r="B20" s="5" t="n"/>
      <c r="C20" s="5" t="n"/>
      <c r="D20" s="5" t="n"/>
      <c r="E20" s="5" t="n"/>
      <c r="F20" s="5" t="n"/>
      <c r="G20" s="5" t="n"/>
      <c r="H20" s="5" t="n"/>
      <c r="I20" s="5" t="n"/>
      <c r="J20" s="5" t="n"/>
      <c r="K20" s="5" t="n"/>
      <c r="L20" s="5" t="n"/>
      <c r="M20" s="5" t="n"/>
      <c r="N20" s="5" t="n"/>
      <c r="O20" s="5" t="n"/>
      <c r="P20" s="5" t="n"/>
      <c r="Q20" s="5" t="n"/>
      <c r="R20" s="5" t="n"/>
      <c r="S20" s="5" t="n"/>
      <c r="T20" s="5" t="n"/>
      <c r="U20" s="5" t="n"/>
      <c r="V20" s="5" t="n"/>
      <c r="W20" s="5" t="n"/>
      <c r="X20" s="5" t="n"/>
      <c r="Y20" s="5" t="n"/>
      <c r="Z20" s="5" t="n"/>
      <c r="AA20" s="5" t="n"/>
      <c r="AB20" s="5" t="n"/>
    </row>
    <row r="21">
      <c r="A21" s="5" t="n"/>
      <c r="B21" s="5" t="n"/>
      <c r="C21" s="5" t="n"/>
      <c r="D21" s="5" t="n"/>
      <c r="E21" s="5" t="n"/>
      <c r="F21" s="5" t="n"/>
      <c r="G21" s="5" t="n"/>
      <c r="H21" s="5" t="n"/>
      <c r="I21" s="5" t="n"/>
      <c r="J21" s="5" t="n"/>
      <c r="K21" s="5" t="n"/>
      <c r="L21" s="5" t="n"/>
      <c r="M21" s="5" t="n"/>
      <c r="N21" s="5" t="n"/>
      <c r="O21" s="5" t="n"/>
      <c r="P21" s="5" t="n"/>
      <c r="Q21" s="5" t="n"/>
      <c r="R21" s="5" t="n"/>
      <c r="S21" s="5" t="n"/>
      <c r="T21" s="5" t="n"/>
      <c r="U21" s="5" t="n"/>
      <c r="V21" s="5" t="n"/>
      <c r="W21" s="5" t="n"/>
      <c r="X21" s="5" t="n"/>
      <c r="Y21" s="5" t="n"/>
      <c r="Z21" s="5" t="n"/>
      <c r="AA21" s="5" t="n"/>
      <c r="AB21" s="5" t="n"/>
    </row>
    <row r="22">
      <c r="A22" s="5" t="n"/>
      <c r="B22" s="5" t="n"/>
      <c r="C22" s="5" t="n"/>
      <c r="D22" s="5" t="n"/>
      <c r="E22" s="5" t="n"/>
      <c r="F22" s="5" t="n"/>
      <c r="G22" s="5" t="n"/>
      <c r="H22" s="5" t="n"/>
      <c r="I22" s="5" t="n"/>
      <c r="J22" s="5" t="n"/>
      <c r="K22" s="5" t="n"/>
      <c r="L22" s="5" t="n"/>
      <c r="M22" s="5" t="n"/>
      <c r="N22" s="5" t="n"/>
      <c r="O22" s="5" t="n"/>
      <c r="P22" s="5" t="n"/>
      <c r="Q22" s="5" t="n"/>
      <c r="R22" s="5" t="n"/>
      <c r="S22" s="5" t="n"/>
      <c r="T22" s="5" t="n"/>
      <c r="U22" s="5" t="n"/>
      <c r="V22" s="5" t="n"/>
      <c r="W22" s="5" t="n"/>
      <c r="X22" s="5" t="n"/>
      <c r="Y22" s="5" t="n"/>
      <c r="Z22" s="5" t="n"/>
      <c r="AA22" s="5" t="n"/>
      <c r="AB22" s="5" t="n"/>
    </row>
    <row r="23">
      <c r="A23" s="5" t="n"/>
      <c r="B23" s="5" t="n"/>
      <c r="C23" s="5" t="n"/>
      <c r="D23" s="5" t="n"/>
      <c r="E23" s="5" t="n"/>
      <c r="F23" s="5" t="n"/>
      <c r="G23" s="5" t="n"/>
      <c r="H23" s="5" t="n"/>
      <c r="I23" s="5" t="n"/>
      <c r="J23" s="5" t="n"/>
      <c r="K23" s="5" t="n"/>
      <c r="L23" s="5" t="n"/>
      <c r="M23" s="5" t="n"/>
      <c r="N23" s="5" t="n"/>
      <c r="O23" s="5" t="n"/>
      <c r="P23" s="5" t="n"/>
      <c r="Q23" s="5" t="n"/>
      <c r="R23" s="5" t="n"/>
      <c r="S23" s="5" t="n"/>
      <c r="T23" s="5" t="n"/>
      <c r="U23" s="5" t="n"/>
      <c r="V23" s="5" t="n"/>
      <c r="W23" s="5" t="n"/>
      <c r="X23" s="5" t="n"/>
      <c r="Y23" s="5" t="n"/>
      <c r="Z23" s="5" t="n"/>
      <c r="AA23" s="5" t="n"/>
      <c r="AB23" s="5" t="n"/>
    </row>
    <row r="24">
      <c r="A24" s="5" t="n"/>
      <c r="B24" s="5" t="n"/>
      <c r="C24" s="5" t="n"/>
      <c r="D24" s="5" t="n"/>
      <c r="E24" s="5" t="n"/>
      <c r="F24" s="5" t="n"/>
      <c r="G24" s="5" t="n"/>
      <c r="H24" s="5" t="n"/>
      <c r="I24" s="5" t="n"/>
      <c r="J24" s="5" t="n"/>
      <c r="K24" s="5" t="n"/>
      <c r="L24" s="5" t="n"/>
      <c r="M24" s="5" t="n"/>
      <c r="N24" s="5" t="n"/>
      <c r="O24" s="5" t="n"/>
      <c r="P24" s="5" t="n"/>
      <c r="Q24" s="5" t="n"/>
      <c r="R24" s="5" t="n"/>
      <c r="S24" s="5" t="n"/>
      <c r="T24" s="5" t="n"/>
      <c r="U24" s="5" t="n"/>
      <c r="V24" s="5" t="n"/>
      <c r="W24" s="5" t="n"/>
      <c r="X24" s="5" t="n"/>
      <c r="Y24" s="5" t="n"/>
      <c r="Z24" s="5" t="n"/>
      <c r="AA24" s="5" t="n"/>
      <c r="AB24" s="5" t="n"/>
    </row>
    <row r="26">
      <c r="A26" s="16" t="inlineStr">
        <is>
          <t>INCIDENT &amp; PROBLEM MANAGEMENT - COMPLIANCE CHECKLIST</t>
        </is>
      </c>
    </row>
    <row r="27">
      <c r="A27" s="7" t="inlineStr">
        <is>
          <t>☐</t>
        </is>
      </c>
      <c r="B27" s="7" t="inlineStr">
        <is>
          <t>Requirement</t>
        </is>
      </c>
      <c r="C27" s="7" t="inlineStr">
        <is>
          <t>Status</t>
        </is>
      </c>
      <c r="D27" s="7" t="inlineStr">
        <is>
          <t>Notes/Evidence</t>
        </is>
      </c>
    </row>
    <row r="28" ht="25" customHeight="1">
      <c r="A28" s="17" t="inlineStr">
        <is>
          <t>☐</t>
        </is>
      </c>
      <c r="B28" s="18" t="inlineStr">
        <is>
          <t>Incident detection mechanisms in place for cloud services</t>
        </is>
      </c>
      <c r="C28" s="5" t="n"/>
      <c r="D28" s="5" t="n"/>
      <c r="E28" s="41" t="n"/>
      <c r="F28" s="42" t="n"/>
    </row>
    <row r="29" ht="25" customHeight="1">
      <c r="A29" s="17" t="inlineStr">
        <is>
          <t>☐</t>
        </is>
      </c>
      <c r="B29" s="18" t="inlineStr">
        <is>
          <t>Alerting thresholds defined and tuned</t>
        </is>
      </c>
      <c r="C29" s="5" t="n"/>
      <c r="D29" s="5" t="n"/>
      <c r="E29" s="41" t="n"/>
      <c r="F29" s="42" t="n"/>
    </row>
    <row r="30" ht="25" customHeight="1">
      <c r="A30" s="17" t="inlineStr">
        <is>
          <t>☐</t>
        </is>
      </c>
      <c r="B30" s="18" t="inlineStr">
        <is>
          <t>Incident classification aligned with org severity matrix</t>
        </is>
      </c>
      <c r="C30" s="5" t="n"/>
      <c r="D30" s="5" t="n"/>
      <c r="E30" s="41" t="n"/>
      <c r="F30" s="42" t="n"/>
    </row>
    <row r="31" ht="25" customHeight="1">
      <c r="A31" s="17" t="inlineStr">
        <is>
          <t>☐</t>
        </is>
      </c>
      <c r="B31" s="18" t="inlineStr">
        <is>
          <t>Escalation paths defined for cloud service incidents</t>
        </is>
      </c>
      <c r="C31" s="5" t="n"/>
      <c r="D31" s="5" t="n"/>
      <c r="E31" s="41" t="n"/>
      <c r="F31" s="42" t="n"/>
    </row>
    <row r="32" ht="25" customHeight="1">
      <c r="A32" s="17" t="inlineStr">
        <is>
          <t>☐</t>
        </is>
      </c>
      <c r="B32" s="18" t="inlineStr">
        <is>
          <t>Vendor notification procedures documented</t>
        </is>
      </c>
      <c r="C32" s="5" t="n"/>
      <c r="D32" s="5" t="n"/>
      <c r="E32" s="41" t="n"/>
      <c r="F32" s="42" t="n"/>
    </row>
    <row r="33" ht="25" customHeight="1">
      <c r="A33" s="17" t="inlineStr">
        <is>
          <t>☐</t>
        </is>
      </c>
      <c r="B33" s="18" t="inlineStr">
        <is>
          <t>Vendor incident response SLAs tracked</t>
        </is>
      </c>
      <c r="C33" s="5" t="n"/>
      <c r="D33" s="5" t="n"/>
      <c r="E33" s="41" t="n"/>
      <c r="F33" s="42" t="n"/>
    </row>
    <row r="34" ht="25" customHeight="1">
      <c r="A34" s="17" t="inlineStr">
        <is>
          <t>☐</t>
        </is>
      </c>
      <c r="B34" s="18" t="inlineStr">
        <is>
          <t>Internal incident response playbooks exist per service</t>
        </is>
      </c>
      <c r="C34" s="5" t="n"/>
      <c r="D34" s="5" t="n"/>
      <c r="E34" s="41" t="n"/>
      <c r="F34" s="42" t="n"/>
    </row>
    <row r="35" ht="25" customHeight="1">
      <c r="A35" s="17" t="inlineStr">
        <is>
          <t>☐</t>
        </is>
      </c>
      <c r="B35" s="18" t="inlineStr">
        <is>
          <t>Playbooks reviewed/updated after incidents</t>
        </is>
      </c>
      <c r="C35" s="5" t="n"/>
      <c r="D35" s="5" t="n"/>
      <c r="E35" s="41" t="n"/>
      <c r="F35" s="42" t="n"/>
    </row>
    <row r="36" ht="25" customHeight="1">
      <c r="A36" s="17" t="inlineStr">
        <is>
          <t>☐</t>
        </is>
      </c>
      <c r="B36" s="18" t="inlineStr">
        <is>
          <t>Root cause analysis performed for P1/P2 incidents</t>
        </is>
      </c>
      <c r="C36" s="5" t="n"/>
      <c r="D36" s="5" t="n"/>
      <c r="E36" s="41" t="n"/>
      <c r="F36" s="42" t="n"/>
    </row>
    <row r="37" ht="25" customHeight="1">
      <c r="A37" s="17" t="inlineStr">
        <is>
          <t>☐</t>
        </is>
      </c>
      <c r="B37" s="18" t="inlineStr">
        <is>
          <t>Lessons learned documented and shared</t>
        </is>
      </c>
      <c r="C37" s="5" t="n"/>
      <c r="D37" s="5" t="n"/>
      <c r="E37" s="41" t="n"/>
      <c r="F37" s="42" t="n"/>
    </row>
    <row r="38" ht="25" customHeight="1">
      <c r="A38" s="17" t="inlineStr">
        <is>
          <t>☐</t>
        </is>
      </c>
      <c r="B38" s="18" t="inlineStr">
        <is>
          <t>Problem management process identifies recurring issues</t>
        </is>
      </c>
      <c r="C38" s="5" t="n"/>
      <c r="D38" s="5" t="n"/>
      <c r="E38" s="41" t="n"/>
      <c r="F38" s="42" t="n"/>
    </row>
    <row r="39" ht="25" customHeight="1">
      <c r="A39" s="17" t="inlineStr">
        <is>
          <t>☐</t>
        </is>
      </c>
      <c r="B39" s="18" t="inlineStr">
        <is>
          <t>Known error database maintained for cloud services</t>
        </is>
      </c>
      <c r="C39" s="5" t="n"/>
      <c r="D39" s="5" t="n"/>
      <c r="E39" s="41" t="n"/>
      <c r="F39" s="42" t="n"/>
    </row>
    <row r="40" ht="25" customHeight="1">
      <c r="A40" s="17" t="inlineStr">
        <is>
          <t>☐</t>
        </is>
      </c>
      <c r="B40" s="18" t="inlineStr">
        <is>
          <t>Incident metrics reported to management</t>
        </is>
      </c>
      <c r="C40" s="5" t="n"/>
      <c r="D40" s="5" t="n"/>
      <c r="E40" s="41" t="n"/>
      <c r="F40" s="42" t="n"/>
    </row>
    <row r="41" ht="25" customHeight="1">
      <c r="A41" s="17" t="inlineStr">
        <is>
          <t>☐</t>
        </is>
      </c>
      <c r="B41" s="18" t="inlineStr">
        <is>
          <t>MTTR/MTTD tracked per service</t>
        </is>
      </c>
      <c r="C41" s="5" t="n"/>
      <c r="D41" s="5" t="n"/>
      <c r="E41" s="41" t="n"/>
      <c r="F41" s="42" t="n"/>
    </row>
    <row r="42" ht="25" customHeight="1">
      <c r="A42" s="17" t="inlineStr">
        <is>
          <t>☐</t>
        </is>
      </c>
      <c r="B42" s="18" t="inlineStr">
        <is>
          <t>Post-incident reviews conducted within defined timeframe</t>
        </is>
      </c>
      <c r="C42" s="5" t="n"/>
      <c r="D42" s="5" t="n"/>
      <c r="E42" s="41" t="n"/>
      <c r="F42" s="42" t="n"/>
    </row>
    <row r="43" ht="25" customHeight="1">
      <c r="A43" s="17" t="inlineStr">
        <is>
          <t>☐</t>
        </is>
      </c>
      <c r="B43" s="18" t="inlineStr">
        <is>
          <t>DORA-INC-01: ICT-related incidents identified and logged</t>
        </is>
      </c>
      <c r="C43" s="5" t="n"/>
      <c r="D43" s="5" t="n"/>
      <c r="E43" s="41" t="n"/>
      <c r="F43" s="42" t="n"/>
    </row>
    <row r="44" ht="25" customHeight="1">
      <c r="A44" s="17" t="inlineStr">
        <is>
          <t>☐</t>
        </is>
      </c>
      <c r="B44" s="18" t="inlineStr">
        <is>
          <t>DORA-INC-02: Major ICT incidents classified according to DORA criteria</t>
        </is>
      </c>
      <c r="C44" s="5" t="n"/>
      <c r="D44" s="5" t="n"/>
      <c r="E44" s="41" t="n"/>
      <c r="F44" s="42" t="n"/>
    </row>
    <row r="45" ht="25" customHeight="1">
      <c r="A45" s="17" t="inlineStr">
        <is>
          <t>☐</t>
        </is>
      </c>
      <c r="B45" s="18" t="inlineStr">
        <is>
          <t>DORA-INC-03: ICT incident root causes analyzed and documented</t>
        </is>
      </c>
      <c r="C45" s="5" t="n"/>
      <c r="D45" s="5" t="n"/>
      <c r="E45" s="41" t="n"/>
      <c r="F45" s="42" t="n"/>
    </row>
    <row r="46" ht="25" customHeight="1">
      <c r="A46" s="17" t="inlineStr">
        <is>
          <t>☐</t>
        </is>
      </c>
      <c r="B46" s="18" t="inlineStr">
        <is>
          <t>DORA-INC-04: Lessons learned from incidents incorporated into processes</t>
        </is>
      </c>
      <c r="C46" s="5" t="n"/>
      <c r="D46" s="5" t="n"/>
      <c r="E46" s="41" t="n"/>
      <c r="F46" s="42" t="n"/>
    </row>
    <row r="47" ht="25" customHeight="1">
      <c r="A47" s="17" t="inlineStr">
        <is>
          <t>☐</t>
        </is>
      </c>
      <c r="B47" s="18" t="inlineStr">
        <is>
          <t>DORA-INC-05: ICT incident metrics tracked and reported quarterly</t>
        </is>
      </c>
      <c r="C47" s="5" t="n"/>
      <c r="D47" s="5" t="n"/>
      <c r="E47" s="41" t="n"/>
      <c r="F47" s="42" t="n"/>
    </row>
    <row r="48" ht="25" customHeight="1">
      <c r="A48" s="17" t="inlineStr">
        <is>
          <t>☐</t>
        </is>
      </c>
      <c r="B48" s="18" t="inlineStr">
        <is>
          <t>DORA-INC-06: Third-party ICT incidents monitored and escalated</t>
        </is>
      </c>
      <c r="C48" s="5" t="n"/>
      <c r="D48" s="5" t="n"/>
      <c r="E48" s="41" t="n"/>
      <c r="F48" s="42" t="n"/>
    </row>
    <row r="49" ht="25" customHeight="1">
      <c r="A49" s="17" t="inlineStr">
        <is>
          <t>☐</t>
        </is>
      </c>
      <c r="B49" s="18" t="inlineStr">
        <is>
          <t>DORA-INC-07: Business impact of ICT incidents assessed and documented</t>
        </is>
      </c>
      <c r="C49" s="5" t="n"/>
      <c r="D49" s="5" t="n"/>
      <c r="E49" s="41" t="n"/>
      <c r="F49" s="42" t="n"/>
    </row>
    <row r="50" ht="25" customHeight="1">
      <c r="A50" s="17" t="inlineStr">
        <is>
          <t>☐</t>
        </is>
      </c>
      <c r="B50" s="18" t="inlineStr">
        <is>
          <t>DORA-INC-08: ICT incident recovery tested and validated</t>
        </is>
      </c>
      <c r="C50" s="5" t="n"/>
      <c r="D50" s="5" t="n"/>
      <c r="E50" s="41" t="n"/>
      <c r="F50" s="42" t="n"/>
    </row>
    <row r="51" ht="25" customHeight="1">
      <c r="A51" s="17" t="inlineStr">
        <is>
          <t>☐</t>
        </is>
      </c>
      <c r="B51" s="18" t="inlineStr">
        <is>
          <t>NIS2-INC-01: Significant incidents (≤24h notification) identified and reported</t>
        </is>
      </c>
      <c r="C51" s="5" t="n"/>
      <c r="D51" s="5" t="n"/>
      <c r="E51" s="41" t="n"/>
      <c r="F51" s="42" t="n"/>
    </row>
    <row r="52" ht="25" customHeight="1">
      <c r="A52" s="17" t="inlineStr">
        <is>
          <t>☐</t>
        </is>
      </c>
      <c r="B52" s="18" t="inlineStr">
        <is>
          <t>NIS2-INC-02: Incident notification process to authorities documented</t>
        </is>
      </c>
      <c r="C52" s="5" t="n"/>
      <c r="D52" s="5" t="n"/>
      <c r="E52" s="41" t="n"/>
      <c r="F52" s="42" t="n"/>
    </row>
    <row r="53" ht="25" customHeight="1">
      <c r="A53" s="17" t="inlineStr">
        <is>
          <t>☐</t>
        </is>
      </c>
      <c r="B53" s="18" t="inlineStr">
        <is>
          <t>NIS2-INC-03: Incident response plan tested annually</t>
        </is>
      </c>
      <c r="C53" s="5" t="n"/>
      <c r="D53" s="5" t="n"/>
      <c r="E53" s="41" t="n"/>
      <c r="F53" s="42" t="n"/>
    </row>
    <row r="54" ht="25" customHeight="1">
      <c r="A54" s="17" t="inlineStr">
        <is>
          <t>☐</t>
        </is>
      </c>
      <c r="B54" s="18" t="inlineStr">
        <is>
          <t>NIS2-INC-04: Supply chain incidents assessed for impact</t>
        </is>
      </c>
      <c r="C54" s="5" t="n"/>
      <c r="D54" s="5" t="n"/>
      <c r="E54" s="41" t="n"/>
      <c r="F54" s="42" t="n"/>
    </row>
    <row r="55" ht="25" customHeight="1">
      <c r="A55" s="17" t="inlineStr">
        <is>
          <t>☐</t>
        </is>
      </c>
      <c r="B55" s="18" t="inlineStr">
        <is>
          <t>NIS2-INC-05: Incident communication plan for stakeholders operational</t>
        </is>
      </c>
      <c r="C55" s="5" t="n"/>
      <c r="D55" s="5" t="n"/>
      <c r="E55" s="41" t="n"/>
      <c r="F55" s="42" t="n"/>
    </row>
    <row r="56" ht="25" customHeight="1">
      <c r="A56" s="17" t="inlineStr">
        <is>
          <t>☐</t>
        </is>
      </c>
      <c r="B56" s="18" t="inlineStr">
        <is>
          <t>AI-INC-01: AI system incidents and malfunctions logged</t>
        </is>
      </c>
      <c r="C56" s="5" t="n"/>
      <c r="D56" s="5" t="n"/>
      <c r="E56" s="41" t="n"/>
      <c r="F56" s="42" t="n"/>
    </row>
    <row r="57" ht="25" customHeight="1">
      <c r="A57" s="17" t="inlineStr">
        <is>
          <t>☐</t>
        </is>
      </c>
      <c r="B57" s="18" t="inlineStr">
        <is>
          <t>AI-INC-02: High-risk AI incidents trigger immediate investigation</t>
        </is>
      </c>
      <c r="C57" s="5" t="n"/>
      <c r="D57" s="5" t="n"/>
      <c r="E57" s="41" t="n"/>
      <c r="F57" s="42" t="n"/>
    </row>
    <row r="58" ht="25" customHeight="1">
      <c r="A58" s="17" t="inlineStr">
        <is>
          <t>☐</t>
        </is>
      </c>
      <c r="B58" s="18" t="inlineStr">
        <is>
          <t>AI-INC-03: AI bias/discrimination incidents documented and addressed</t>
        </is>
      </c>
      <c r="C58" s="5" t="n"/>
      <c r="D58" s="5" t="n"/>
      <c r="E58" s="41" t="n"/>
      <c r="F58" s="42" t="n"/>
    </row>
    <row r="59" ht="25" customHeight="1">
      <c r="A59" s="17" t="inlineStr">
        <is>
          <t>☐</t>
        </is>
      </c>
      <c r="B59" s="18" t="inlineStr">
        <is>
          <t>AI-INC-04: AI system incident response procedures defined</t>
        </is>
      </c>
      <c r="C59" s="5" t="n"/>
      <c r="D59" s="5" t="n"/>
      <c r="E59" s="41" t="n"/>
      <c r="F59" s="42" t="n"/>
    </row>
    <row r="60" ht="25" customHeight="1">
      <c r="A60" s="17" t="inlineStr">
        <is>
          <t>☐</t>
        </is>
      </c>
      <c r="B60" s="18" t="inlineStr">
        <is>
          <t>AI-INC-05: AI incident transparency notifications issued when required</t>
        </is>
      </c>
      <c r="C60" s="5" t="n"/>
      <c r="D60" s="5" t="n"/>
      <c r="E60" s="41" t="n"/>
      <c r="F60" s="42" t="n"/>
    </row>
    <row r="61" ht="25" customHeight="1">
      <c r="A61" s="17" t="inlineStr">
        <is>
          <t>☐</t>
        </is>
      </c>
      <c r="B61" s="18" t="inlineStr">
        <is>
          <t>AI-INC-06: Human oversight failures documented and remediated</t>
        </is>
      </c>
      <c r="C61" s="5" t="n"/>
      <c r="D61" s="5" t="n"/>
      <c r="E61" s="41" t="n"/>
      <c r="F61" s="42" t="n"/>
    </row>
    <row r="63">
      <c r="A63" s="3" t="inlineStr">
        <is>
          <t>Checklist Compliance Score:</t>
        </is>
      </c>
      <c r="C63" s="19">
        <f>IF(COUNTA(C28:C61)=0,"N/A",ROUND(COUNTIF(C28:C61,"Yes")/COUNTIF(C28:C61,"&lt;&gt;N/A")*100,1)&amp;"%")</f>
        <v/>
      </c>
    </row>
  </sheetData>
  <mergeCells count="71">
    <mergeCell ref="A2:AB2"/>
    <mergeCell ref="B49"/>
    <mergeCell ref="B40"/>
    <mergeCell ref="D41:F41"/>
    <mergeCell ref="B30"/>
    <mergeCell ref="D32:F32"/>
    <mergeCell ref="D61:F61"/>
    <mergeCell ref="B33"/>
    <mergeCell ref="B55"/>
    <mergeCell ref="D48:F48"/>
    <mergeCell ref="B51"/>
    <mergeCell ref="D53:F53"/>
    <mergeCell ref="B36"/>
    <mergeCell ref="D47:F47"/>
    <mergeCell ref="D43:F43"/>
    <mergeCell ref="B45"/>
    <mergeCell ref="B41"/>
    <mergeCell ref="B32"/>
    <mergeCell ref="B35"/>
    <mergeCell ref="D28:F28"/>
    <mergeCell ref="B50"/>
    <mergeCell ref="D37:F37"/>
    <mergeCell ref="D56:F56"/>
    <mergeCell ref="B47"/>
    <mergeCell ref="B54"/>
    <mergeCell ref="D58:F58"/>
    <mergeCell ref="B46"/>
    <mergeCell ref="D30:F30"/>
    <mergeCell ref="D39:F39"/>
    <mergeCell ref="B59"/>
    <mergeCell ref="D33:F33"/>
    <mergeCell ref="B31"/>
    <mergeCell ref="D55:F55"/>
    <mergeCell ref="D42:F42"/>
    <mergeCell ref="D51:F51"/>
    <mergeCell ref="D38:F38"/>
    <mergeCell ref="D29:F29"/>
    <mergeCell ref="B43"/>
    <mergeCell ref="B56"/>
    <mergeCell ref="B58"/>
    <mergeCell ref="B52"/>
    <mergeCell ref="B48"/>
    <mergeCell ref="B39"/>
    <mergeCell ref="D54:F54"/>
    <mergeCell ref="D35:F35"/>
    <mergeCell ref="D50:F50"/>
    <mergeCell ref="A1:AB1"/>
    <mergeCell ref="D44:F44"/>
    <mergeCell ref="D59:F59"/>
    <mergeCell ref="B42"/>
    <mergeCell ref="D60:F60"/>
    <mergeCell ref="D57:F57"/>
    <mergeCell ref="B60"/>
    <mergeCell ref="D34:F34"/>
    <mergeCell ref="B61"/>
    <mergeCell ref="B57"/>
    <mergeCell ref="B44"/>
    <mergeCell ref="D31:F31"/>
    <mergeCell ref="D46:F46"/>
    <mergeCell ref="B29"/>
    <mergeCell ref="B53"/>
    <mergeCell ref="D40:F40"/>
    <mergeCell ref="D36:F36"/>
    <mergeCell ref="B38"/>
    <mergeCell ref="B34"/>
    <mergeCell ref="D45:F45"/>
    <mergeCell ref="B28"/>
    <mergeCell ref="D52:F52"/>
    <mergeCell ref="B37"/>
    <mergeCell ref="D49:F49"/>
    <mergeCell ref="A26:AB26"/>
  </mergeCells>
  <dataValidations count="18">
    <dataValidation sqref="C6 C7 C8 C9 C10 C11 C12 C13 C14 C15 C16 C17 C18 C19 C20 C21 C22 C23 C24" showDropDown="0" showInputMessage="0" showErrorMessage="0" allowBlank="1" errorTitle="Service Type" error="Select valid service type" promptTitle="Service Type" prompt="Select Service Type" type="list">
      <formula1>"SaaS,IaaS,PaaS,Security Service,Cloud Storage,Other"</formula1>
    </dataValidation>
    <dataValidation sqref="D6 D7 D8 D9 D10 D11 D12 D13 D14 D15 D16 D17 D18 D19 D20 D21 D22 D23 D24" showDropDown="0" showInputMessage="0" showErrorMessage="0" allowBlank="1" errorTitle="Review Period" error="Select valid review period" promptTitle="Review Period" prompt="Select Review Period" type="list">
      <formula1>"Q1,Q2,Q3,Q4,Annual,Ad-Hoc"</formula1>
    </dataValidation>
    <dataValidation sqref="E6 E7 E8 E9 E10 E11 E12 E13 E14 E15 E16 E17 E18 E19 E20 E21 E22 E23 E24" showDropDown="0" showInputMessage="0" showErrorMessage="0" allowBlank="1" errorTitle="Service Criticality" error="Select valid criticality" promptTitle="Service Criticality" prompt="Select Service Criticality" type="list">
      <formula1>"Critical,High,Medium,Low"</formula1>
    </dataValidation>
    <dataValidation sqref="F6 F7 F8 F9 F10 F11 F12 F13 F14 F15 F16 F17 F18 F19 F20 F21 F22 F23 F24" showDropDown="0" showInputMessage="0" showErrorMessage="0" allowBlank="1" errorTitle="Data Classification" error="Select valid classification" promptTitle="Data Classification" prompt="Select Data Classification" type="list">
      <formula1>"Restricted,Confidential,Internal,Public,N/A"</formula1>
    </dataValidation>
    <dataValidation sqref="H6 H7 H8 H9 H10 H11 H12 H13 H14 H15 H16 H17 H18 H19 H20 H21 H22 H23 H24" showDropDown="0" showInputMessage="0" showErrorMessage="0" allowBlank="1" errorTitle="Status" error="Select valid status" promptTitle="Status" prompt="Select Status" type="list">
      <formula1>f"{CHECK} Compliant,⚠️ Partial,❌ Non-Compliant,N/A"</formula1>
    </dataValidation>
    <dataValidation sqref="K6 K7 K8 K9 K10 K11 K12 K13 K14 K15 K16 K17 K18 K19 K20 K21 K22 K23 K24" showDropDown="0" showInputMessage="0" showErrorMessage="0" allowBlank="1" errorTitle="Yes/No" error="Select Yes or No" promptTitle="Yes/No" prompt="Select Yes/No" type="list">
      <formula1>"Yes,No"</formula1>
    </dataValidation>
    <dataValidation sqref="O6 O7 O8 O9 O10 O11 O12 O13 O14 O15 O16 O17 O18 O19 O20 O21 O22 O23 O24" showDropDown="0" showInputMessage="0" showErrorMessage="0" allowBlank="1" errorTitle="Responsible Team" error="Select valid team" promptTitle="Responsible Team" prompt="Select Responsible Team" type="list">
      <formula1>"IT Ops,Compliance,Risk Management,Security,Business Owners"</formula1>
    </dataValidation>
    <dataValidation sqref="G6 G7 G8 G9 G10 G11 G12 G13 G14 G15 G16 G17 G18 G19 G20 G21 G22 G23 G24" showDropDown="0" showInputMessage="0" showErrorMessage="0" allowBlank="1" errorTitle="Incident Severity" error="Select valid Incident Severity" type="list">
      <formula1>"P1-Critical,P2-High,P3-Medium,P4-Low"</formula1>
    </dataValidation>
    <dataValidation sqref="T6 T7 T8 T9 T10 T11 T12 T13 T14 T15 T16 T17 T18 T19 T20 T21 T22 T23 T24" showDropDown="0" showInputMessage="0" showErrorMessage="0" allowBlank="1" errorTitle="Root Cause" error="Select valid Root Cause" type="list">
      <formula1>"Yes,No,Pending"</formula1>
    </dataValidation>
    <dataValidation sqref="U6 U7 U8 U9 U10 U11 U12 U13 U14 U15 U16 U17 U18 U19 U20 U21 U22 U23 U24" showDropDown="0" showInputMessage="0" showErrorMessage="0" allowBlank="1" errorTitle="Playbook Updated" error="Select valid Playbook Updated" type="list">
      <formula1>"Yes,No,N/A"</formula1>
    </dataValidation>
    <dataValidation sqref="V6 V7 V8 V9 V10 V11 V12 V13 V14 V15 V16 V17 V18 V19 V20 V21 V22 V23 V24" showDropDown="0" showInputMessage="0" showErrorMessage="0" allowBlank="1" errorTitle="Vendor Notified" error="Select valid Vendor Notified" type="list">
      <formula1>"Yes,No,N/A"</formula1>
    </dataValidation>
    <dataValidation sqref="W6 W7 W8 W9 W10 W11 W12 W13 W14 W15 W16 W17 W18 W19 W20 W21 W22 W23 W24" showDropDown="0" showInputMessage="0" showErrorMessage="0" allowBlank="1" errorTitle="Customer Impact" error="Select valid Customer Impact" type="list">
      <formula1>"Yes,No,Unknown"</formula1>
    </dataValidation>
    <dataValidation sqref="X6 X7 X8 X9 X10 X11 X12 X13 X14 X15 X16 X17 X18 X19 X20 X21 X22 X23 X24" showDropDown="0" showInputMessage="0" showErrorMessage="0" allowBlank="1" errorTitle="Lessons Learned" error="Select valid Lessons Learned" type="list">
      <formula1>"Yes,No,Pending"</formula1>
    </dataValidation>
    <dataValidation sqref="Y6 Y7 Y8 Y9 Y10 Y11 Y12 Y13 Y14 Y15 Y16 Y17 Y18 Y19 Y20 Y21 Y22 Y23 Y24" showDropDown="0" showInputMessage="0" showErrorMessage="0" allowBlank="1" errorTitle="DORA Risk Monitoring" error="Select valid DORA Risk Monitoring" type="list">
      <formula1>"Continuous Monitoring,Quarterly Reviews,Annual Reviews,Not Monitored,N/A (Not in scope)"</formula1>
    </dataValidation>
    <dataValidation sqref="Z6 Z7 Z8 Z9 Z10 Z11 Z12 Z13 Z14 Z15 Z16 Z17 Z18 Z19 Z20 Z21 Z22 Z23 Z24" showDropDown="0" showInputMessage="0" showErrorMessage="0" allowBlank="1" errorTitle="NIS2 Incident Classification" error="Select valid NIS2 Incident Classification" type="list">
      <formula1>"Significant (≤24h notification),Major (≤72h notification),Minor (No notification required),Under Assessment,N/A"</formula1>
    </dataValidation>
    <dataValidation sqref="AA6 AA7 AA8 AA9 AA10 AA11 AA12 AA13 AA14 AA15 AA16 AA17 AA18 AA19 AA20 AA21 AA22 AA23 AA24" showDropDown="0" showInputMessage="0" showErrorMessage="0" allowBlank="1" errorTitle="AI Risk Monitoring Status" error="Select valid AI Risk Monitoring Status" type="list">
      <formula1>"Active Monitoring,Periodic Review,No Monitoring Required,Monitoring Pending,N/A"</formula1>
    </dataValidation>
    <dataValidation sqref="AB6 AB7 AB8 AB9 AB10 AB11 AB12 AB13 AB14 AB15 AB16 AB17 AB18 AB19 AB20 AB21 AB22 AB23 AB24" showDropDown="0" showInputMessage="0" showErrorMessage="0" allowBlank="1" errorTitle="Regulatory Risk Owner" error="Select valid Regulatory Risk Owner" type="list">
      <formula1>"CISO,CRO (Chief Risk Officer),DPO,Legal/Compliance,Business Unit Owner,Other"</formula1>
    </dataValidation>
    <dataValidation sqref="C28 C29 C30 C31 C32 C33 C34 C35 C36 C37 C38 C39 C40 C41 C42 C43 C44 C45 C46 C47 C48 C49 C50 C51 C52 C53 C54 C55 C56 C57 C58 C59 C60 C61" showDropDown="0" showInputMessage="0" showErrorMessage="0" allowBlank="1" type="list">
      <formula1>"Yes,No,N/A"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44"/>
  <sheetViews>
    <sheetView workbookViewId="0">
      <pane ySplit="5" topLeftCell="A6" activePane="bottomLeft" state="frozen"/>
      <selection pane="bottomLeft" activeCell="A1" sqref="A1"/>
    </sheetView>
  </sheetViews>
  <sheetFormatPr baseColWidth="8" defaultRowHeight="15"/>
  <cols>
    <col width="28" customWidth="1" min="1" max="1"/>
    <col width="65" customWidth="1" min="2" max="2"/>
    <col width="20" customWidth="1" min="3" max="3"/>
    <col width="16" customWidth="1" min="4" max="4"/>
    <col width="18" customWidth="1" min="5" max="5"/>
    <col width="20" customWidth="1" min="6" max="6"/>
    <col width="16" customWidth="1" min="7" max="7"/>
    <col width="15" customWidth="1" min="8" max="8"/>
    <col width="30" customWidth="1" min="9" max="9"/>
    <col width="35" customWidth="1" min="10" max="10"/>
    <col width="16" customWidth="1" min="11" max="11"/>
    <col width="14" customWidth="1" min="12" max="12"/>
    <col width="14" customWidth="1" min="13" max="13"/>
    <col width="30" customWidth="1" min="14" max="14"/>
    <col width="20" customWidth="1" min="15" max="15"/>
    <col width="18" customWidth="1" min="16" max="16"/>
    <col width="18" customWidth="1" min="17" max="17"/>
    <col width="16" customWidth="1" min="18" max="18"/>
    <col width="16" customWidth="1" min="19" max="19"/>
    <col width="16" customWidth="1" min="20" max="20"/>
    <col width="18" customWidth="1" min="21" max="21"/>
    <col width="16" customWidth="1" min="22" max="22"/>
    <col width="18" customWidth="1" min="23" max="23"/>
    <col width="16" customWidth="1" min="24" max="24"/>
  </cols>
  <sheetData>
    <row r="1" ht="35" customHeight="1">
      <c r="A1" s="1" t="inlineStr">
        <is>
          <t>5. BUSINESS CONTINUITY</t>
        </is>
      </c>
    </row>
    <row r="2" ht="30" customHeight="1">
      <c r="A2" s="13" t="inlineStr">
        <is>
          <t>Policy Reference: BC/DR plans MUST exist for Critical/High services. Failover MUST be tested annually. RTO/RPO MUST be verified. (Policy Section 6.4)</t>
        </is>
      </c>
    </row>
    <row r="4" ht="30" customHeight="1">
      <c r="A4" s="14" t="inlineStr">
        <is>
          <t>Cloud Service Name</t>
        </is>
      </c>
      <c r="B4" s="14" t="inlineStr">
        <is>
          <t>Vendor Name</t>
        </is>
      </c>
      <c r="C4" s="14" t="inlineStr">
        <is>
          <t>Service Type</t>
        </is>
      </c>
      <c r="D4" s="14" t="inlineStr">
        <is>
          <t>Review Period</t>
        </is>
      </c>
      <c r="E4" s="14" t="inlineStr">
        <is>
          <t>Service Criticality</t>
        </is>
      </c>
      <c r="F4" s="14" t="inlineStr">
        <is>
          <t>Data Classification</t>
        </is>
      </c>
      <c r="G4" s="14" t="inlineStr">
        <is>
          <t>BC Tier</t>
        </is>
      </c>
      <c r="H4" s="14" t="inlineStr">
        <is>
          <t>Status</t>
        </is>
      </c>
      <c r="I4" s="14" t="inlineStr">
        <is>
          <t>Evidence Location</t>
        </is>
      </c>
      <c r="J4" s="14" t="inlineStr">
        <is>
          <t>Gap Description</t>
        </is>
      </c>
      <c r="K4" s="14" t="inlineStr">
        <is>
          <t>Remediation Needed</t>
        </is>
      </c>
      <c r="L4" s="14" t="inlineStr">
        <is>
          <t>Exception ID</t>
        </is>
      </c>
      <c r="M4" s="14" t="inlineStr">
        <is>
          <t>Risk ID</t>
        </is>
      </c>
      <c r="N4" s="14" t="inlineStr">
        <is>
          <t>Compensating Controls</t>
        </is>
      </c>
      <c r="O4" s="14" t="inlineStr">
        <is>
          <t>Responsible Team/Owner</t>
        </is>
      </c>
      <c r="P4" s="14" t="inlineStr">
        <is>
          <t>Target Remediation Date</t>
        </is>
      </c>
      <c r="Q4" s="14" t="inlineStr">
        <is>
          <t>Last Review Date</t>
        </is>
      </c>
      <c r="R4" s="14" t="inlineStr">
        <is>
          <t>Last Test Date</t>
        </is>
      </c>
      <c r="S4" s="14" t="inlineStr">
        <is>
          <t>Test Result</t>
        </is>
      </c>
      <c r="T4" s="14" t="inlineStr">
        <is>
          <t>RTO Target (Hours)</t>
        </is>
      </c>
      <c r="U4" s="14" t="inlineStr">
        <is>
          <t>RTO Achieved (Hours)</t>
        </is>
      </c>
      <c r="V4" s="14" t="inlineStr">
        <is>
          <t>RPO Target (Hours)</t>
        </is>
      </c>
      <c r="W4" s="14" t="inlineStr">
        <is>
          <t>RPO Achieved (Hours)</t>
        </is>
      </c>
      <c r="X4" s="14" t="inlineStr">
        <is>
          <t>Next Test Due</t>
        </is>
      </c>
    </row>
    <row r="5">
      <c r="A5" s="15" t="inlineStr">
        <is>
          <t>Example: Microsoft 365</t>
        </is>
      </c>
      <c r="B5" s="15" t="inlineStr">
        <is>
          <t>Microsoft</t>
        </is>
      </c>
      <c r="C5" s="15" t="inlineStr">
        <is>
          <t>SaaS</t>
        </is>
      </c>
      <c r="D5" s="15" t="inlineStr">
        <is>
          <t>Q4</t>
        </is>
      </c>
      <c r="E5" s="15" t="inlineStr">
        <is>
          <t>Critical</t>
        </is>
      </c>
      <c r="F5" s="15" t="inlineStr">
        <is>
          <t>Confidential</t>
        </is>
      </c>
      <c r="G5" s="15" t="inlineStr">
        <is>
          <t>Tier 1 (&lt;4hr)</t>
        </is>
      </c>
      <c r="H5" s="15" t="inlineStr">
        <is>
          <t>✅ Compliant</t>
        </is>
      </c>
      <c r="I5" s="15" t="inlineStr">
        <is>
          <t>/evidence/bcdr/M365</t>
        </is>
      </c>
      <c r="J5" s="15" t="inlineStr"/>
      <c r="K5" s="15" t="inlineStr">
        <is>
          <t>No</t>
        </is>
      </c>
      <c r="L5" s="15" t="inlineStr"/>
      <c r="M5" s="15" t="inlineStr"/>
      <c r="N5" s="15" t="inlineStr"/>
      <c r="O5" s="15" t="inlineStr">
        <is>
          <t>IT Ops</t>
        </is>
      </c>
      <c r="P5" s="15" t="inlineStr"/>
      <c r="Q5" s="15" t="inlineStr">
        <is>
          <t>2025-11-15</t>
        </is>
      </c>
      <c r="R5" s="15" t="inlineStr">
        <is>
          <t>2025-11-15</t>
        </is>
      </c>
      <c r="S5" s="15" t="inlineStr">
        <is>
          <t>Passed</t>
        </is>
      </c>
      <c r="T5" s="15" t="inlineStr">
        <is>
          <t>4</t>
        </is>
      </c>
      <c r="U5" s="15" t="inlineStr">
        <is>
          <t>3.5</t>
        </is>
      </c>
      <c r="V5" s="15" t="inlineStr">
        <is>
          <t>1</t>
        </is>
      </c>
      <c r="W5" s="15" t="inlineStr">
        <is>
          <t>0.5</t>
        </is>
      </c>
      <c r="X5" s="15" t="inlineStr">
        <is>
          <t>2026-11-15</t>
        </is>
      </c>
    </row>
    <row r="6">
      <c r="A6" s="5" t="n"/>
      <c r="B6" s="5" t="n"/>
      <c r="C6" s="5" t="n"/>
      <c r="D6" s="5" t="n"/>
      <c r="E6" s="5" t="n"/>
      <c r="F6" s="5" t="n"/>
      <c r="G6" s="5" t="n"/>
      <c r="H6" s="5" t="n"/>
      <c r="I6" s="5" t="n"/>
      <c r="J6" s="5" t="n"/>
      <c r="K6" s="5" t="n"/>
      <c r="L6" s="5" t="n"/>
      <c r="M6" s="5" t="n"/>
      <c r="N6" s="5" t="n"/>
      <c r="O6" s="5" t="n"/>
      <c r="P6" s="5" t="n"/>
      <c r="Q6" s="5" t="n"/>
      <c r="R6" s="5" t="n"/>
      <c r="S6" s="5" t="n"/>
      <c r="T6" s="5" t="n"/>
      <c r="U6" s="5" t="n"/>
      <c r="V6" s="5" t="n"/>
      <c r="W6" s="5" t="n"/>
      <c r="X6" s="5" t="n"/>
    </row>
    <row r="7">
      <c r="A7" s="5" t="n"/>
      <c r="B7" s="5" t="n"/>
      <c r="C7" s="5" t="n"/>
      <c r="D7" s="5" t="n"/>
      <c r="E7" s="5" t="n"/>
      <c r="F7" s="5" t="n"/>
      <c r="G7" s="5" t="n"/>
      <c r="H7" s="5" t="n"/>
      <c r="I7" s="5" t="n"/>
      <c r="J7" s="5" t="n"/>
      <c r="K7" s="5" t="n"/>
      <c r="L7" s="5" t="n"/>
      <c r="M7" s="5" t="n"/>
      <c r="N7" s="5" t="n"/>
      <c r="O7" s="5" t="n"/>
      <c r="P7" s="5" t="n"/>
      <c r="Q7" s="5" t="n"/>
      <c r="R7" s="5" t="n"/>
      <c r="S7" s="5" t="n"/>
      <c r="T7" s="5" t="n"/>
      <c r="U7" s="5" t="n"/>
      <c r="V7" s="5" t="n"/>
      <c r="W7" s="5" t="n"/>
      <c r="X7" s="5" t="n"/>
    </row>
    <row r="8">
      <c r="A8" s="5" t="n"/>
      <c r="B8" s="5" t="n"/>
      <c r="C8" s="5" t="n"/>
      <c r="D8" s="5" t="n"/>
      <c r="E8" s="5" t="n"/>
      <c r="F8" s="5" t="n"/>
      <c r="G8" s="5" t="n"/>
      <c r="H8" s="5" t="n"/>
      <c r="I8" s="5" t="n"/>
      <c r="J8" s="5" t="n"/>
      <c r="K8" s="5" t="n"/>
      <c r="L8" s="5" t="n"/>
      <c r="M8" s="5" t="n"/>
      <c r="N8" s="5" t="n"/>
      <c r="O8" s="5" t="n"/>
      <c r="P8" s="5" t="n"/>
      <c r="Q8" s="5" t="n"/>
      <c r="R8" s="5" t="n"/>
      <c r="S8" s="5" t="n"/>
      <c r="T8" s="5" t="n"/>
      <c r="U8" s="5" t="n"/>
      <c r="V8" s="5" t="n"/>
      <c r="W8" s="5" t="n"/>
      <c r="X8" s="5" t="n"/>
    </row>
    <row r="9">
      <c r="A9" s="5" t="n"/>
      <c r="B9" s="5" t="n"/>
      <c r="C9" s="5" t="n"/>
      <c r="D9" s="5" t="n"/>
      <c r="E9" s="5" t="n"/>
      <c r="F9" s="5" t="n"/>
      <c r="G9" s="5" t="n"/>
      <c r="H9" s="5" t="n"/>
      <c r="I9" s="5" t="n"/>
      <c r="J9" s="5" t="n"/>
      <c r="K9" s="5" t="n"/>
      <c r="L9" s="5" t="n"/>
      <c r="M9" s="5" t="n"/>
      <c r="N9" s="5" t="n"/>
      <c r="O9" s="5" t="n"/>
      <c r="P9" s="5" t="n"/>
      <c r="Q9" s="5" t="n"/>
      <c r="R9" s="5" t="n"/>
      <c r="S9" s="5" t="n"/>
      <c r="T9" s="5" t="n"/>
      <c r="U9" s="5" t="n"/>
      <c r="V9" s="5" t="n"/>
      <c r="W9" s="5" t="n"/>
      <c r="X9" s="5" t="n"/>
    </row>
    <row r="10">
      <c r="A10" s="5" t="n"/>
      <c r="B10" s="5" t="n"/>
      <c r="C10" s="5" t="n"/>
      <c r="D10" s="5" t="n"/>
      <c r="E10" s="5" t="n"/>
      <c r="F10" s="5" t="n"/>
      <c r="G10" s="5" t="n"/>
      <c r="H10" s="5" t="n"/>
      <c r="I10" s="5" t="n"/>
      <c r="J10" s="5" t="n"/>
      <c r="K10" s="5" t="n"/>
      <c r="L10" s="5" t="n"/>
      <c r="M10" s="5" t="n"/>
      <c r="N10" s="5" t="n"/>
      <c r="O10" s="5" t="n"/>
      <c r="P10" s="5" t="n"/>
      <c r="Q10" s="5" t="n"/>
      <c r="R10" s="5" t="n"/>
      <c r="S10" s="5" t="n"/>
      <c r="T10" s="5" t="n"/>
      <c r="U10" s="5" t="n"/>
      <c r="V10" s="5" t="n"/>
      <c r="W10" s="5" t="n"/>
      <c r="X10" s="5" t="n"/>
    </row>
    <row r="11">
      <c r="A11" s="5" t="n"/>
      <c r="B11" s="5" t="n"/>
      <c r="C11" s="5" t="n"/>
      <c r="D11" s="5" t="n"/>
      <c r="E11" s="5" t="n"/>
      <c r="F11" s="5" t="n"/>
      <c r="G11" s="5" t="n"/>
      <c r="H11" s="5" t="n"/>
      <c r="I11" s="5" t="n"/>
      <c r="J11" s="5" t="n"/>
      <c r="K11" s="5" t="n"/>
      <c r="L11" s="5" t="n"/>
      <c r="M11" s="5" t="n"/>
      <c r="N11" s="5" t="n"/>
      <c r="O11" s="5" t="n"/>
      <c r="P11" s="5" t="n"/>
      <c r="Q11" s="5" t="n"/>
      <c r="R11" s="5" t="n"/>
      <c r="S11" s="5" t="n"/>
      <c r="T11" s="5" t="n"/>
      <c r="U11" s="5" t="n"/>
      <c r="V11" s="5" t="n"/>
      <c r="W11" s="5" t="n"/>
      <c r="X11" s="5" t="n"/>
    </row>
    <row r="12">
      <c r="A12" s="5" t="n"/>
      <c r="B12" s="5" t="n"/>
      <c r="C12" s="5" t="n"/>
      <c r="D12" s="5" t="n"/>
      <c r="E12" s="5" t="n"/>
      <c r="F12" s="5" t="n"/>
      <c r="G12" s="5" t="n"/>
      <c r="H12" s="5" t="n"/>
      <c r="I12" s="5" t="n"/>
      <c r="J12" s="5" t="n"/>
      <c r="K12" s="5" t="n"/>
      <c r="L12" s="5" t="n"/>
      <c r="M12" s="5" t="n"/>
      <c r="N12" s="5" t="n"/>
      <c r="O12" s="5" t="n"/>
      <c r="P12" s="5" t="n"/>
      <c r="Q12" s="5" t="n"/>
      <c r="R12" s="5" t="n"/>
      <c r="S12" s="5" t="n"/>
      <c r="T12" s="5" t="n"/>
      <c r="U12" s="5" t="n"/>
      <c r="V12" s="5" t="n"/>
      <c r="W12" s="5" t="n"/>
      <c r="X12" s="5" t="n"/>
    </row>
    <row r="13">
      <c r="A13" s="5" t="n"/>
      <c r="B13" s="5" t="n"/>
      <c r="C13" s="5" t="n"/>
      <c r="D13" s="5" t="n"/>
      <c r="E13" s="5" t="n"/>
      <c r="F13" s="5" t="n"/>
      <c r="G13" s="5" t="n"/>
      <c r="H13" s="5" t="n"/>
      <c r="I13" s="5" t="n"/>
      <c r="J13" s="5" t="n"/>
      <c r="K13" s="5" t="n"/>
      <c r="L13" s="5" t="n"/>
      <c r="M13" s="5" t="n"/>
      <c r="N13" s="5" t="n"/>
      <c r="O13" s="5" t="n"/>
      <c r="P13" s="5" t="n"/>
      <c r="Q13" s="5" t="n"/>
      <c r="R13" s="5" t="n"/>
      <c r="S13" s="5" t="n"/>
      <c r="T13" s="5" t="n"/>
      <c r="U13" s="5" t="n"/>
      <c r="V13" s="5" t="n"/>
      <c r="W13" s="5" t="n"/>
      <c r="X13" s="5" t="n"/>
    </row>
    <row r="14">
      <c r="A14" s="5" t="n"/>
      <c r="B14" s="5" t="n"/>
      <c r="C14" s="5" t="n"/>
      <c r="D14" s="5" t="n"/>
      <c r="E14" s="5" t="n"/>
      <c r="F14" s="5" t="n"/>
      <c r="G14" s="5" t="n"/>
      <c r="H14" s="5" t="n"/>
      <c r="I14" s="5" t="n"/>
      <c r="J14" s="5" t="n"/>
      <c r="K14" s="5" t="n"/>
      <c r="L14" s="5" t="n"/>
      <c r="M14" s="5" t="n"/>
      <c r="N14" s="5" t="n"/>
      <c r="O14" s="5" t="n"/>
      <c r="P14" s="5" t="n"/>
      <c r="Q14" s="5" t="n"/>
      <c r="R14" s="5" t="n"/>
      <c r="S14" s="5" t="n"/>
      <c r="T14" s="5" t="n"/>
      <c r="U14" s="5" t="n"/>
      <c r="V14" s="5" t="n"/>
      <c r="W14" s="5" t="n"/>
      <c r="X14" s="5" t="n"/>
    </row>
    <row r="15">
      <c r="A15" s="5" t="n"/>
      <c r="B15" s="5" t="n"/>
      <c r="C15" s="5" t="n"/>
      <c r="D15" s="5" t="n"/>
      <c r="E15" s="5" t="n"/>
      <c r="F15" s="5" t="n"/>
      <c r="G15" s="5" t="n"/>
      <c r="H15" s="5" t="n"/>
      <c r="I15" s="5" t="n"/>
      <c r="J15" s="5" t="n"/>
      <c r="K15" s="5" t="n"/>
      <c r="L15" s="5" t="n"/>
      <c r="M15" s="5" t="n"/>
      <c r="N15" s="5" t="n"/>
      <c r="O15" s="5" t="n"/>
      <c r="P15" s="5" t="n"/>
      <c r="Q15" s="5" t="n"/>
      <c r="R15" s="5" t="n"/>
      <c r="S15" s="5" t="n"/>
      <c r="T15" s="5" t="n"/>
      <c r="U15" s="5" t="n"/>
      <c r="V15" s="5" t="n"/>
      <c r="W15" s="5" t="n"/>
      <c r="X15" s="5" t="n"/>
    </row>
    <row r="16">
      <c r="A16" s="5" t="n"/>
      <c r="B16" s="5" t="n"/>
      <c r="C16" s="5" t="n"/>
      <c r="D16" s="5" t="n"/>
      <c r="E16" s="5" t="n"/>
      <c r="F16" s="5" t="n"/>
      <c r="G16" s="5" t="n"/>
      <c r="H16" s="5" t="n"/>
      <c r="I16" s="5" t="n"/>
      <c r="J16" s="5" t="n"/>
      <c r="K16" s="5" t="n"/>
      <c r="L16" s="5" t="n"/>
      <c r="M16" s="5" t="n"/>
      <c r="N16" s="5" t="n"/>
      <c r="O16" s="5" t="n"/>
      <c r="P16" s="5" t="n"/>
      <c r="Q16" s="5" t="n"/>
      <c r="R16" s="5" t="n"/>
      <c r="S16" s="5" t="n"/>
      <c r="T16" s="5" t="n"/>
      <c r="U16" s="5" t="n"/>
      <c r="V16" s="5" t="n"/>
      <c r="W16" s="5" t="n"/>
      <c r="X16" s="5" t="n"/>
    </row>
    <row r="17">
      <c r="A17" s="5" t="n"/>
      <c r="B17" s="5" t="n"/>
      <c r="C17" s="5" t="n"/>
      <c r="D17" s="5" t="n"/>
      <c r="E17" s="5" t="n"/>
      <c r="F17" s="5" t="n"/>
      <c r="G17" s="5" t="n"/>
      <c r="H17" s="5" t="n"/>
      <c r="I17" s="5" t="n"/>
      <c r="J17" s="5" t="n"/>
      <c r="K17" s="5" t="n"/>
      <c r="L17" s="5" t="n"/>
      <c r="M17" s="5" t="n"/>
      <c r="N17" s="5" t="n"/>
      <c r="O17" s="5" t="n"/>
      <c r="P17" s="5" t="n"/>
      <c r="Q17" s="5" t="n"/>
      <c r="R17" s="5" t="n"/>
      <c r="S17" s="5" t="n"/>
      <c r="T17" s="5" t="n"/>
      <c r="U17" s="5" t="n"/>
      <c r="V17" s="5" t="n"/>
      <c r="W17" s="5" t="n"/>
      <c r="X17" s="5" t="n"/>
    </row>
    <row r="18">
      <c r="A18" s="5" t="n"/>
      <c r="B18" s="5" t="n"/>
      <c r="C18" s="5" t="n"/>
      <c r="D18" s="5" t="n"/>
      <c r="E18" s="5" t="n"/>
      <c r="F18" s="5" t="n"/>
      <c r="G18" s="5" t="n"/>
      <c r="H18" s="5" t="n"/>
      <c r="I18" s="5" t="n"/>
      <c r="J18" s="5" t="n"/>
      <c r="K18" s="5" t="n"/>
      <c r="L18" s="5" t="n"/>
      <c r="M18" s="5" t="n"/>
      <c r="N18" s="5" t="n"/>
      <c r="O18" s="5" t="n"/>
      <c r="P18" s="5" t="n"/>
      <c r="Q18" s="5" t="n"/>
      <c r="R18" s="5" t="n"/>
      <c r="S18" s="5" t="n"/>
      <c r="T18" s="5" t="n"/>
      <c r="U18" s="5" t="n"/>
      <c r="V18" s="5" t="n"/>
      <c r="W18" s="5" t="n"/>
      <c r="X18" s="5" t="n"/>
    </row>
    <row r="19">
      <c r="A19" s="5" t="n"/>
      <c r="B19" s="5" t="n"/>
      <c r="C19" s="5" t="n"/>
      <c r="D19" s="5" t="n"/>
      <c r="E19" s="5" t="n"/>
      <c r="F19" s="5" t="n"/>
      <c r="G19" s="5" t="n"/>
      <c r="H19" s="5" t="n"/>
      <c r="I19" s="5" t="n"/>
      <c r="J19" s="5" t="n"/>
      <c r="K19" s="5" t="n"/>
      <c r="L19" s="5" t="n"/>
      <c r="M19" s="5" t="n"/>
      <c r="N19" s="5" t="n"/>
      <c r="O19" s="5" t="n"/>
      <c r="P19" s="5" t="n"/>
      <c r="Q19" s="5" t="n"/>
      <c r="R19" s="5" t="n"/>
      <c r="S19" s="5" t="n"/>
      <c r="T19" s="5" t="n"/>
      <c r="U19" s="5" t="n"/>
      <c r="V19" s="5" t="n"/>
      <c r="W19" s="5" t="n"/>
      <c r="X19" s="5" t="n"/>
    </row>
    <row r="20">
      <c r="A20" s="5" t="n"/>
      <c r="B20" s="5" t="n"/>
      <c r="C20" s="5" t="n"/>
      <c r="D20" s="5" t="n"/>
      <c r="E20" s="5" t="n"/>
      <c r="F20" s="5" t="n"/>
      <c r="G20" s="5" t="n"/>
      <c r="H20" s="5" t="n"/>
      <c r="I20" s="5" t="n"/>
      <c r="J20" s="5" t="n"/>
      <c r="K20" s="5" t="n"/>
      <c r="L20" s="5" t="n"/>
      <c r="M20" s="5" t="n"/>
      <c r="N20" s="5" t="n"/>
      <c r="O20" s="5" t="n"/>
      <c r="P20" s="5" t="n"/>
      <c r="Q20" s="5" t="n"/>
      <c r="R20" s="5" t="n"/>
      <c r="S20" s="5" t="n"/>
      <c r="T20" s="5" t="n"/>
      <c r="U20" s="5" t="n"/>
      <c r="V20" s="5" t="n"/>
      <c r="W20" s="5" t="n"/>
      <c r="X20" s="5" t="n"/>
    </row>
    <row r="21">
      <c r="A21" s="5" t="n"/>
      <c r="B21" s="5" t="n"/>
      <c r="C21" s="5" t="n"/>
      <c r="D21" s="5" t="n"/>
      <c r="E21" s="5" t="n"/>
      <c r="F21" s="5" t="n"/>
      <c r="G21" s="5" t="n"/>
      <c r="H21" s="5" t="n"/>
      <c r="I21" s="5" t="n"/>
      <c r="J21" s="5" t="n"/>
      <c r="K21" s="5" t="n"/>
      <c r="L21" s="5" t="n"/>
      <c r="M21" s="5" t="n"/>
      <c r="N21" s="5" t="n"/>
      <c r="O21" s="5" t="n"/>
      <c r="P21" s="5" t="n"/>
      <c r="Q21" s="5" t="n"/>
      <c r="R21" s="5" t="n"/>
      <c r="S21" s="5" t="n"/>
      <c r="T21" s="5" t="n"/>
      <c r="U21" s="5" t="n"/>
      <c r="V21" s="5" t="n"/>
      <c r="W21" s="5" t="n"/>
      <c r="X21" s="5" t="n"/>
    </row>
    <row r="22">
      <c r="A22" s="5" t="n"/>
      <c r="B22" s="5" t="n"/>
      <c r="C22" s="5" t="n"/>
      <c r="D22" s="5" t="n"/>
      <c r="E22" s="5" t="n"/>
      <c r="F22" s="5" t="n"/>
      <c r="G22" s="5" t="n"/>
      <c r="H22" s="5" t="n"/>
      <c r="I22" s="5" t="n"/>
      <c r="J22" s="5" t="n"/>
      <c r="K22" s="5" t="n"/>
      <c r="L22" s="5" t="n"/>
      <c r="M22" s="5" t="n"/>
      <c r="N22" s="5" t="n"/>
      <c r="O22" s="5" t="n"/>
      <c r="P22" s="5" t="n"/>
      <c r="Q22" s="5" t="n"/>
      <c r="R22" s="5" t="n"/>
      <c r="S22" s="5" t="n"/>
      <c r="T22" s="5" t="n"/>
      <c r="U22" s="5" t="n"/>
      <c r="V22" s="5" t="n"/>
      <c r="W22" s="5" t="n"/>
      <c r="X22" s="5" t="n"/>
    </row>
    <row r="23">
      <c r="A23" s="5" t="n"/>
      <c r="B23" s="5" t="n"/>
      <c r="C23" s="5" t="n"/>
      <c r="D23" s="5" t="n"/>
      <c r="E23" s="5" t="n"/>
      <c r="F23" s="5" t="n"/>
      <c r="G23" s="5" t="n"/>
      <c r="H23" s="5" t="n"/>
      <c r="I23" s="5" t="n"/>
      <c r="J23" s="5" t="n"/>
      <c r="K23" s="5" t="n"/>
      <c r="L23" s="5" t="n"/>
      <c r="M23" s="5" t="n"/>
      <c r="N23" s="5" t="n"/>
      <c r="O23" s="5" t="n"/>
      <c r="P23" s="5" t="n"/>
      <c r="Q23" s="5" t="n"/>
      <c r="R23" s="5" t="n"/>
      <c r="S23" s="5" t="n"/>
      <c r="T23" s="5" t="n"/>
      <c r="U23" s="5" t="n"/>
      <c r="V23" s="5" t="n"/>
      <c r="W23" s="5" t="n"/>
      <c r="X23" s="5" t="n"/>
    </row>
    <row r="24">
      <c r="A24" s="5" t="n"/>
      <c r="B24" s="5" t="n"/>
      <c r="C24" s="5" t="n"/>
      <c r="D24" s="5" t="n"/>
      <c r="E24" s="5" t="n"/>
      <c r="F24" s="5" t="n"/>
      <c r="G24" s="5" t="n"/>
      <c r="H24" s="5" t="n"/>
      <c r="I24" s="5" t="n"/>
      <c r="J24" s="5" t="n"/>
      <c r="K24" s="5" t="n"/>
      <c r="L24" s="5" t="n"/>
      <c r="M24" s="5" t="n"/>
      <c r="N24" s="5" t="n"/>
      <c r="O24" s="5" t="n"/>
      <c r="P24" s="5" t="n"/>
      <c r="Q24" s="5" t="n"/>
      <c r="R24" s="5" t="n"/>
      <c r="S24" s="5" t="n"/>
      <c r="T24" s="5" t="n"/>
      <c r="U24" s="5" t="n"/>
      <c r="V24" s="5" t="n"/>
      <c r="W24" s="5" t="n"/>
      <c r="X24" s="5" t="n"/>
    </row>
    <row r="26">
      <c r="A26" s="16" t="inlineStr">
        <is>
          <t>BUSINESS CONTINUITY - COMPLIANCE CHECKLIST</t>
        </is>
      </c>
    </row>
    <row r="27">
      <c r="A27" s="7" t="inlineStr">
        <is>
          <t>☐</t>
        </is>
      </c>
      <c r="B27" s="7" t="inlineStr">
        <is>
          <t>Requirement</t>
        </is>
      </c>
      <c r="C27" s="7" t="inlineStr">
        <is>
          <t>Status</t>
        </is>
      </c>
      <c r="D27" s="7" t="inlineStr">
        <is>
          <t>Notes/Evidence</t>
        </is>
      </c>
    </row>
    <row r="28" ht="25" customHeight="1">
      <c r="A28" s="17" t="inlineStr">
        <is>
          <t>☐</t>
        </is>
      </c>
      <c r="B28" s="18" t="inlineStr">
        <is>
          <t>BC/DR plan documented for Critical/High services</t>
        </is>
      </c>
      <c r="C28" s="5" t="n"/>
      <c r="D28" s="5" t="n"/>
      <c r="E28" s="41" t="n"/>
      <c r="F28" s="42" t="n"/>
    </row>
    <row r="29" ht="25" customHeight="1">
      <c r="A29" s="17" t="inlineStr">
        <is>
          <t>☐</t>
        </is>
      </c>
      <c r="B29" s="18" t="inlineStr">
        <is>
          <t>Vendor BC/DR capabilities verified and documented</t>
        </is>
      </c>
      <c r="C29" s="5" t="n"/>
      <c r="D29" s="5" t="n"/>
      <c r="E29" s="41" t="n"/>
      <c r="F29" s="42" t="n"/>
    </row>
    <row r="30" ht="25" customHeight="1">
      <c r="A30" s="17" t="inlineStr">
        <is>
          <t>☐</t>
        </is>
      </c>
      <c r="B30" s="18" t="inlineStr">
        <is>
          <t>RTO requirements defined per service criticality</t>
        </is>
      </c>
      <c r="C30" s="5" t="n"/>
      <c r="D30" s="5" t="n"/>
      <c r="E30" s="41" t="n"/>
      <c r="F30" s="42" t="n"/>
    </row>
    <row r="31" ht="25" customHeight="1">
      <c r="A31" s="17" t="inlineStr">
        <is>
          <t>☐</t>
        </is>
      </c>
      <c r="B31" s="18" t="inlineStr">
        <is>
          <t>RPO requirements defined per data classification</t>
        </is>
      </c>
      <c r="C31" s="5" t="n"/>
      <c r="D31" s="5" t="n"/>
      <c r="E31" s="41" t="n"/>
      <c r="F31" s="42" t="n"/>
    </row>
    <row r="32" ht="25" customHeight="1">
      <c r="A32" s="17" t="inlineStr">
        <is>
          <t>☐</t>
        </is>
      </c>
      <c r="B32" s="18" t="inlineStr">
        <is>
          <t>Failover procedures documented and accessible</t>
        </is>
      </c>
      <c r="C32" s="5" t="n"/>
      <c r="D32" s="5" t="n"/>
      <c r="E32" s="41" t="n"/>
      <c r="F32" s="42" t="n"/>
    </row>
    <row r="33" ht="25" customHeight="1">
      <c r="A33" s="17" t="inlineStr">
        <is>
          <t>☐</t>
        </is>
      </c>
      <c r="B33" s="18" t="inlineStr">
        <is>
          <t>Failover tested annually (minimum)</t>
        </is>
      </c>
      <c r="C33" s="5" t="n"/>
      <c r="D33" s="5" t="n"/>
      <c r="E33" s="41" t="n"/>
      <c r="F33" s="42" t="n"/>
    </row>
    <row r="34" ht="25" customHeight="1">
      <c r="A34" s="17" t="inlineStr">
        <is>
          <t>☐</t>
        </is>
      </c>
      <c r="B34" s="18" t="inlineStr">
        <is>
          <t>Test results documented with evidence</t>
        </is>
      </c>
      <c r="C34" s="5" t="n"/>
      <c r="D34" s="5" t="n"/>
      <c r="E34" s="41" t="n"/>
      <c r="F34" s="42" t="n"/>
    </row>
    <row r="35" ht="25" customHeight="1">
      <c r="A35" s="17" t="inlineStr">
        <is>
          <t>☐</t>
        </is>
      </c>
      <c r="B35" s="18" t="inlineStr">
        <is>
          <t>RTO achievement verified during tests</t>
        </is>
      </c>
      <c r="C35" s="5" t="n"/>
      <c r="D35" s="5" t="n"/>
      <c r="E35" s="41" t="n"/>
      <c r="F35" s="42" t="n"/>
    </row>
    <row r="36" ht="25" customHeight="1">
      <c r="A36" s="17" t="inlineStr">
        <is>
          <t>☐</t>
        </is>
      </c>
      <c r="B36" s="18" t="inlineStr">
        <is>
          <t>RPO achievement verified during tests</t>
        </is>
      </c>
      <c r="C36" s="5" t="n"/>
      <c r="D36" s="5" t="n"/>
      <c r="E36" s="41" t="n"/>
      <c r="F36" s="42" t="n"/>
    </row>
    <row r="37" ht="25" customHeight="1">
      <c r="A37" s="17" t="inlineStr">
        <is>
          <t>☐</t>
        </is>
      </c>
      <c r="B37" s="18" t="inlineStr">
        <is>
          <t>Data backup restoration tested</t>
        </is>
      </c>
      <c r="C37" s="5" t="n"/>
      <c r="D37" s="5" t="n"/>
      <c r="E37" s="41" t="n"/>
      <c r="F37" s="42" t="n"/>
    </row>
    <row r="38" ht="25" customHeight="1">
      <c r="A38" s="17" t="inlineStr">
        <is>
          <t>☐</t>
        </is>
      </c>
      <c r="B38" s="18" t="inlineStr">
        <is>
          <t>Multi-region/availability zone strategy documented</t>
        </is>
      </c>
      <c r="C38" s="5" t="n"/>
      <c r="D38" s="5" t="n"/>
      <c r="E38" s="41" t="n"/>
      <c r="F38" s="42" t="n"/>
    </row>
    <row r="39" ht="25" customHeight="1">
      <c r="A39" s="17" t="inlineStr">
        <is>
          <t>☐</t>
        </is>
      </c>
      <c r="B39" s="18" t="inlineStr">
        <is>
          <t>Single points of failure identified and mitigated</t>
        </is>
      </c>
      <c r="C39" s="5" t="n"/>
      <c r="D39" s="5" t="n"/>
      <c r="E39" s="41" t="n"/>
      <c r="F39" s="42" t="n"/>
    </row>
    <row r="40" ht="25" customHeight="1">
      <c r="A40" s="17" t="inlineStr">
        <is>
          <t>☐</t>
        </is>
      </c>
      <c r="B40" s="18" t="inlineStr">
        <is>
          <t>Communication plan exists for BC events</t>
        </is>
      </c>
      <c r="C40" s="5" t="n"/>
      <c r="D40" s="5" t="n"/>
      <c r="E40" s="41" t="n"/>
      <c r="F40" s="42" t="n"/>
    </row>
    <row r="41" ht="25" customHeight="1">
      <c r="A41" s="17" t="inlineStr">
        <is>
          <t>☐</t>
        </is>
      </c>
      <c r="B41" s="18" t="inlineStr">
        <is>
          <t>Vendor dependency chain mapped for BC planning</t>
        </is>
      </c>
      <c r="C41" s="5" t="n"/>
      <c r="D41" s="5" t="n"/>
      <c r="E41" s="41" t="n"/>
      <c r="F41" s="42" t="n"/>
    </row>
    <row r="42" ht="25" customHeight="1">
      <c r="A42" s="17" t="inlineStr">
        <is>
          <t>☐</t>
        </is>
      </c>
      <c r="B42" s="18" t="inlineStr">
        <is>
          <t>BC plan reviewed after significant changes</t>
        </is>
      </c>
      <c r="C42" s="5" t="n"/>
      <c r="D42" s="5" t="n"/>
      <c r="E42" s="41" t="n"/>
      <c r="F42" s="42" t="n"/>
    </row>
    <row r="44">
      <c r="A44" s="3" t="inlineStr">
        <is>
          <t>Checklist Compliance Score:</t>
        </is>
      </c>
      <c r="C44" s="19">
        <f>IF(COUNTA(C28:C42)=0,"N/A",ROUND(COUNTIF(C28:C42,"Yes")/COUNTIF(C28:C42,"&lt;&gt;N/A")*100,1)&amp;"%")</f>
        <v/>
      </c>
    </row>
  </sheetData>
  <mergeCells count="33">
    <mergeCell ref="B40"/>
    <mergeCell ref="D41:F41"/>
    <mergeCell ref="B30"/>
    <mergeCell ref="D32:F32"/>
    <mergeCell ref="B33"/>
    <mergeCell ref="B36"/>
    <mergeCell ref="B41"/>
    <mergeCell ref="B32"/>
    <mergeCell ref="B35"/>
    <mergeCell ref="D28:F28"/>
    <mergeCell ref="D37:F37"/>
    <mergeCell ref="A26:X26"/>
    <mergeCell ref="A2:X2"/>
    <mergeCell ref="D30:F30"/>
    <mergeCell ref="D39:F39"/>
    <mergeCell ref="D33:F33"/>
    <mergeCell ref="B31"/>
    <mergeCell ref="D42:F42"/>
    <mergeCell ref="D38:F38"/>
    <mergeCell ref="D29:F29"/>
    <mergeCell ref="B39"/>
    <mergeCell ref="D35:F35"/>
    <mergeCell ref="B42"/>
    <mergeCell ref="D34:F34"/>
    <mergeCell ref="D31:F31"/>
    <mergeCell ref="B29"/>
    <mergeCell ref="D40:F40"/>
    <mergeCell ref="D36:F36"/>
    <mergeCell ref="B38"/>
    <mergeCell ref="B34"/>
    <mergeCell ref="B28"/>
    <mergeCell ref="A1:X1"/>
    <mergeCell ref="B37"/>
  </mergeCells>
  <dataValidations count="10">
    <dataValidation sqref="C6 C7 C8 C9 C10 C11 C12 C13 C14 C15 C16 C17 C18 C19 C20 C21 C22 C23 C24" showDropDown="0" showInputMessage="0" showErrorMessage="0" allowBlank="1" errorTitle="Service Type" error="Select valid service type" promptTitle="Service Type" prompt="Select Service Type" type="list">
      <formula1>"SaaS,IaaS,PaaS,Security Service,Cloud Storage,Other"</formula1>
    </dataValidation>
    <dataValidation sqref="D6 D7 D8 D9 D10 D11 D12 D13 D14 D15 D16 D17 D18 D19 D20 D21 D22 D23 D24" showDropDown="0" showInputMessage="0" showErrorMessage="0" allowBlank="1" errorTitle="Review Period" error="Select valid review period" promptTitle="Review Period" prompt="Select Review Period" type="list">
      <formula1>"Q1,Q2,Q3,Q4,Annual,Ad-Hoc"</formula1>
    </dataValidation>
    <dataValidation sqref="E6 E7 E8 E9 E10 E11 E12 E13 E14 E15 E16 E17 E18 E19 E20 E21 E22 E23 E24" showDropDown="0" showInputMessage="0" showErrorMessage="0" allowBlank="1" errorTitle="Service Criticality" error="Select valid criticality" promptTitle="Service Criticality" prompt="Select Service Criticality" type="list">
      <formula1>"Critical,High,Medium,Low"</formula1>
    </dataValidation>
    <dataValidation sqref="F6 F7 F8 F9 F10 F11 F12 F13 F14 F15 F16 F17 F18 F19 F20 F21 F22 F23 F24" showDropDown="0" showInputMessage="0" showErrorMessage="0" allowBlank="1" errorTitle="Data Classification" error="Select valid classification" promptTitle="Data Classification" prompt="Select Data Classification" type="list">
      <formula1>"Restricted,Confidential,Internal,Public,N/A"</formula1>
    </dataValidation>
    <dataValidation sqref="H6 H7 H8 H9 H10 H11 H12 H13 H14 H15 H16 H17 H18 H19 H20 H21 H22 H23 H24" showDropDown="0" showInputMessage="0" showErrorMessage="0" allowBlank="1" errorTitle="Status" error="Select valid status" promptTitle="Status" prompt="Select Status" type="list">
      <formula1>f"{CHECK} Compliant,⚠️ Partial,❌ Non-Compliant,N/A"</formula1>
    </dataValidation>
    <dataValidation sqref="K6 K7 K8 K9 K10 K11 K12 K13 K14 K15 K16 K17 K18 K19 K20 K21 K22 K23 K24" showDropDown="0" showInputMessage="0" showErrorMessage="0" allowBlank="1" errorTitle="Yes/No" error="Select Yes or No" promptTitle="Yes/No" prompt="Select Yes/No" type="list">
      <formula1>"Yes,No"</formula1>
    </dataValidation>
    <dataValidation sqref="O6 O7 O8 O9 O10 O11 O12 O13 O14 O15 O16 O17 O18 O19 O20 O21 O22 O23 O24" showDropDown="0" showInputMessage="0" showErrorMessage="0" allowBlank="1" errorTitle="Responsible Team" error="Select valid team" promptTitle="Responsible Team" prompt="Select Responsible Team" type="list">
      <formula1>"IT Ops,Compliance,Risk Management,Security,Business Owners"</formula1>
    </dataValidation>
    <dataValidation sqref="G6 G7 G8 G9 G10 G11 G12 G13 G14 G15 G16 G17 G18 G19 G20 G21 G22 G23 G24" showDropDown="0" showInputMessage="0" showErrorMessage="0" allowBlank="1" errorTitle="BC Tier" error="Select valid BC Tier" type="list">
      <formula1>"Tier 1 (&lt;4hr),Tier 2 (&lt;24hr),Tier 3 (&lt;72hr),Tier 4 (Best Effort)"</formula1>
    </dataValidation>
    <dataValidation sqref="S6 S7 S8 S9 S10 S11 S12 S13 S14 S15 S16 S17 S18 S19 S20 S21 S22 S23 S24" showDropDown="0" showInputMessage="0" showErrorMessage="0" allowBlank="1" errorTitle="Test Result" error="Select valid Test Result" type="list">
      <formula1>"Passed,Failed,Partial,Not Tested"</formula1>
    </dataValidation>
    <dataValidation sqref="C28 C29 C30 C31 C32 C33 C34 C35 C36 C37 C38 C39 C40 C41 C42" showDropDown="0" showInputMessage="0" showErrorMessage="0" allowBlank="1" type="list">
      <formula1>"Yes,No,N/A"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X44"/>
  <sheetViews>
    <sheetView workbookViewId="0">
      <pane ySplit="5" topLeftCell="A6" activePane="bottomLeft" state="frozen"/>
      <selection pane="bottomLeft" activeCell="A1" sqref="A1"/>
    </sheetView>
  </sheetViews>
  <sheetFormatPr baseColWidth="8" defaultRowHeight="15"/>
  <cols>
    <col width="28" customWidth="1" min="1" max="1"/>
    <col width="65" customWidth="1" min="2" max="2"/>
    <col width="20" customWidth="1" min="3" max="3"/>
    <col width="16" customWidth="1" min="4" max="4"/>
    <col width="18" customWidth="1" min="5" max="5"/>
    <col width="20" customWidth="1" min="6" max="6"/>
    <col width="16" customWidth="1" min="7" max="7"/>
    <col width="15" customWidth="1" min="8" max="8"/>
    <col width="30" customWidth="1" min="9" max="9"/>
    <col width="35" customWidth="1" min="10" max="10"/>
    <col width="16" customWidth="1" min="11" max="11"/>
    <col width="14" customWidth="1" min="12" max="12"/>
    <col width="14" customWidth="1" min="13" max="13"/>
    <col width="30" customWidth="1" min="14" max="14"/>
    <col width="20" customWidth="1" min="15" max="15"/>
    <col width="18" customWidth="1" min="16" max="16"/>
    <col width="18" customWidth="1" min="17" max="17"/>
    <col width="18" customWidth="1" min="18" max="18"/>
    <col width="20" customWidth="1" min="19" max="19"/>
    <col width="18" customWidth="1" min="20" max="20"/>
    <col width="16" customWidth="1" min="21" max="21"/>
    <col width="18" customWidth="1" min="22" max="22"/>
    <col width="18" customWidth="1" min="23" max="23"/>
    <col width="20" customWidth="1" min="24" max="24"/>
  </cols>
  <sheetData>
    <row r="1" ht="35" customHeight="1">
      <c r="A1" s="1" t="inlineStr">
        <is>
          <t>6. VENDOR RISK MONITORING</t>
        </is>
      </c>
    </row>
    <row r="2" ht="30" customHeight="1">
      <c r="A2" s="13" t="inlineStr">
        <is>
          <t>Policy Reference: Cloud vendor risk MUST be monitored continuously. Security posture changes MUST trigger reassessment. (Policy Section 6.5)</t>
        </is>
      </c>
    </row>
    <row r="4" ht="30" customHeight="1">
      <c r="A4" s="14" t="inlineStr">
        <is>
          <t>Cloud Service Name</t>
        </is>
      </c>
      <c r="B4" s="14" t="inlineStr">
        <is>
          <t>Vendor Name</t>
        </is>
      </c>
      <c r="C4" s="14" t="inlineStr">
        <is>
          <t>Service Type</t>
        </is>
      </c>
      <c r="D4" s="14" t="inlineStr">
        <is>
          <t>Review Period</t>
        </is>
      </c>
      <c r="E4" s="14" t="inlineStr">
        <is>
          <t>Service Criticality</t>
        </is>
      </c>
      <c r="F4" s="14" t="inlineStr">
        <is>
          <t>Data Classification</t>
        </is>
      </c>
      <c r="G4" s="14" t="inlineStr">
        <is>
          <t>Risk Rating</t>
        </is>
      </c>
      <c r="H4" s="14" t="inlineStr">
        <is>
          <t>Status</t>
        </is>
      </c>
      <c r="I4" s="14" t="inlineStr">
        <is>
          <t>Evidence Location</t>
        </is>
      </c>
      <c r="J4" s="14" t="inlineStr">
        <is>
          <t>Gap Description</t>
        </is>
      </c>
      <c r="K4" s="14" t="inlineStr">
        <is>
          <t>Remediation Needed</t>
        </is>
      </c>
      <c r="L4" s="14" t="inlineStr">
        <is>
          <t>Exception ID</t>
        </is>
      </c>
      <c r="M4" s="14" t="inlineStr">
        <is>
          <t>Risk ID</t>
        </is>
      </c>
      <c r="N4" s="14" t="inlineStr">
        <is>
          <t>Compensating Controls</t>
        </is>
      </c>
      <c r="O4" s="14" t="inlineStr">
        <is>
          <t>Responsible Team/Owner</t>
        </is>
      </c>
      <c r="P4" s="14" t="inlineStr">
        <is>
          <t>Target Remediation Date</t>
        </is>
      </c>
      <c r="Q4" s="14" t="inlineStr">
        <is>
          <t>Last Review Date</t>
        </is>
      </c>
      <c r="R4" s="14" t="inlineStr">
        <is>
          <t>Risk Score Trend</t>
        </is>
      </c>
      <c r="S4" s="14" t="inlineStr">
        <is>
          <t>Security Incidents (YTD)</t>
        </is>
      </c>
      <c r="T4" s="14" t="inlineStr">
        <is>
          <t>Cert Expiry Tracked</t>
        </is>
      </c>
      <c r="U4" s="14" t="inlineStr">
        <is>
          <t>Next Cert Expiry</t>
        </is>
      </c>
      <c r="V4" s="14" t="inlineStr">
        <is>
          <t>Financial Health</t>
        </is>
      </c>
      <c r="W4" s="14" t="inlineStr">
        <is>
          <t>Last Assessment Date</t>
        </is>
      </c>
      <c r="X4" s="14" t="inlineStr">
        <is>
          <t>Reassessment Trigger Met</t>
        </is>
      </c>
    </row>
    <row r="5">
      <c r="A5" s="15" t="inlineStr">
        <is>
          <t>Example: Microsoft 365</t>
        </is>
      </c>
      <c r="B5" s="15" t="inlineStr">
        <is>
          <t>Microsoft</t>
        </is>
      </c>
      <c r="C5" s="15" t="inlineStr">
        <is>
          <t>SaaS</t>
        </is>
      </c>
      <c r="D5" s="15" t="inlineStr">
        <is>
          <t>Q4</t>
        </is>
      </c>
      <c r="E5" s="15" t="inlineStr">
        <is>
          <t>Critical</t>
        </is>
      </c>
      <c r="F5" s="15" t="inlineStr">
        <is>
          <t>Confidential</t>
        </is>
      </c>
      <c r="G5" s="15" t="inlineStr">
        <is>
          <t>Low</t>
        </is>
      </c>
      <c r="H5" s="15" t="inlineStr">
        <is>
          <t>✅ Compliant</t>
        </is>
      </c>
      <c r="I5" s="15" t="inlineStr">
        <is>
          <t>/evidence/vendor/MSFT</t>
        </is>
      </c>
      <c r="J5" s="15" t="inlineStr"/>
      <c r="K5" s="15" t="inlineStr">
        <is>
          <t>No</t>
        </is>
      </c>
      <c r="L5" s="15" t="inlineStr"/>
      <c r="M5" s="15" t="inlineStr"/>
      <c r="N5" s="15" t="inlineStr"/>
      <c r="O5" s="15" t="inlineStr">
        <is>
          <t>Risk Management</t>
        </is>
      </c>
      <c r="P5" s="15" t="inlineStr"/>
      <c r="Q5" s="15" t="inlineStr">
        <is>
          <t>2025-10-01</t>
        </is>
      </c>
      <c r="R5" s="15" t="inlineStr">
        <is>
          <t>Stable</t>
        </is>
      </c>
      <c r="S5" s="15" t="inlineStr">
        <is>
          <t>0</t>
        </is>
      </c>
      <c r="T5" s="15" t="inlineStr">
        <is>
          <t>Yes</t>
        </is>
      </c>
      <c r="U5" s="15" t="inlineStr">
        <is>
          <t>2026-08-15</t>
        </is>
      </c>
      <c r="V5" s="15" t="inlineStr">
        <is>
          <t>Strong</t>
        </is>
      </c>
      <c r="W5" s="15" t="inlineStr">
        <is>
          <t>2025-10-01</t>
        </is>
      </c>
      <c r="X5" s="15" t="inlineStr">
        <is>
          <t>No</t>
        </is>
      </c>
    </row>
    <row r="6">
      <c r="A6" s="5" t="n"/>
      <c r="B6" s="5" t="n"/>
      <c r="C6" s="5" t="n"/>
      <c r="D6" s="5" t="n"/>
      <c r="E6" s="5" t="n"/>
      <c r="F6" s="5" t="n"/>
      <c r="G6" s="5" t="n"/>
      <c r="H6" s="5" t="n"/>
      <c r="I6" s="5" t="n"/>
      <c r="J6" s="5" t="n"/>
      <c r="K6" s="5" t="n"/>
      <c r="L6" s="5" t="n"/>
      <c r="M6" s="5" t="n"/>
      <c r="N6" s="5" t="n"/>
      <c r="O6" s="5" t="n"/>
      <c r="P6" s="5" t="n"/>
      <c r="Q6" s="5" t="n"/>
      <c r="R6" s="5" t="n"/>
      <c r="S6" s="5" t="n"/>
      <c r="T6" s="5" t="n"/>
      <c r="U6" s="5" t="n"/>
      <c r="V6" s="5" t="n"/>
      <c r="W6" s="5" t="n"/>
      <c r="X6" s="5" t="n"/>
    </row>
    <row r="7">
      <c r="A7" s="5" t="n"/>
      <c r="B7" s="5" t="n"/>
      <c r="C7" s="5" t="n"/>
      <c r="D7" s="5" t="n"/>
      <c r="E7" s="5" t="n"/>
      <c r="F7" s="5" t="n"/>
      <c r="G7" s="5" t="n"/>
      <c r="H7" s="5" t="n"/>
      <c r="I7" s="5" t="n"/>
      <c r="J7" s="5" t="n"/>
      <c r="K7" s="5" t="n"/>
      <c r="L7" s="5" t="n"/>
      <c r="M7" s="5" t="n"/>
      <c r="N7" s="5" t="n"/>
      <c r="O7" s="5" t="n"/>
      <c r="P7" s="5" t="n"/>
      <c r="Q7" s="5" t="n"/>
      <c r="R7" s="5" t="n"/>
      <c r="S7" s="5" t="n"/>
      <c r="T7" s="5" t="n"/>
      <c r="U7" s="5" t="n"/>
      <c r="V7" s="5" t="n"/>
      <c r="W7" s="5" t="n"/>
      <c r="X7" s="5" t="n"/>
    </row>
    <row r="8">
      <c r="A8" s="5" t="n"/>
      <c r="B8" s="5" t="n"/>
      <c r="C8" s="5" t="n"/>
      <c r="D8" s="5" t="n"/>
      <c r="E8" s="5" t="n"/>
      <c r="F8" s="5" t="n"/>
      <c r="G8" s="5" t="n"/>
      <c r="H8" s="5" t="n"/>
      <c r="I8" s="5" t="n"/>
      <c r="J8" s="5" t="n"/>
      <c r="K8" s="5" t="n"/>
      <c r="L8" s="5" t="n"/>
      <c r="M8" s="5" t="n"/>
      <c r="N8" s="5" t="n"/>
      <c r="O8" s="5" t="n"/>
      <c r="P8" s="5" t="n"/>
      <c r="Q8" s="5" t="n"/>
      <c r="R8" s="5" t="n"/>
      <c r="S8" s="5" t="n"/>
      <c r="T8" s="5" t="n"/>
      <c r="U8" s="5" t="n"/>
      <c r="V8" s="5" t="n"/>
      <c r="W8" s="5" t="n"/>
      <c r="X8" s="5" t="n"/>
    </row>
    <row r="9">
      <c r="A9" s="5" t="n"/>
      <c r="B9" s="5" t="n"/>
      <c r="C9" s="5" t="n"/>
      <c r="D9" s="5" t="n"/>
      <c r="E9" s="5" t="n"/>
      <c r="F9" s="5" t="n"/>
      <c r="G9" s="5" t="n"/>
      <c r="H9" s="5" t="n"/>
      <c r="I9" s="5" t="n"/>
      <c r="J9" s="5" t="n"/>
      <c r="K9" s="5" t="n"/>
      <c r="L9" s="5" t="n"/>
      <c r="M9" s="5" t="n"/>
      <c r="N9" s="5" t="n"/>
      <c r="O9" s="5" t="n"/>
      <c r="P9" s="5" t="n"/>
      <c r="Q9" s="5" t="n"/>
      <c r="R9" s="5" t="n"/>
      <c r="S9" s="5" t="n"/>
      <c r="T9" s="5" t="n"/>
      <c r="U9" s="5" t="n"/>
      <c r="V9" s="5" t="n"/>
      <c r="W9" s="5" t="n"/>
      <c r="X9" s="5" t="n"/>
    </row>
    <row r="10">
      <c r="A10" s="5" t="n"/>
      <c r="B10" s="5" t="n"/>
      <c r="C10" s="5" t="n"/>
      <c r="D10" s="5" t="n"/>
      <c r="E10" s="5" t="n"/>
      <c r="F10" s="5" t="n"/>
      <c r="G10" s="5" t="n"/>
      <c r="H10" s="5" t="n"/>
      <c r="I10" s="5" t="n"/>
      <c r="J10" s="5" t="n"/>
      <c r="K10" s="5" t="n"/>
      <c r="L10" s="5" t="n"/>
      <c r="M10" s="5" t="n"/>
      <c r="N10" s="5" t="n"/>
      <c r="O10" s="5" t="n"/>
      <c r="P10" s="5" t="n"/>
      <c r="Q10" s="5" t="n"/>
      <c r="R10" s="5" t="n"/>
      <c r="S10" s="5" t="n"/>
      <c r="T10" s="5" t="n"/>
      <c r="U10" s="5" t="n"/>
      <c r="V10" s="5" t="n"/>
      <c r="W10" s="5" t="n"/>
      <c r="X10" s="5" t="n"/>
    </row>
    <row r="11">
      <c r="A11" s="5" t="n"/>
      <c r="B11" s="5" t="n"/>
      <c r="C11" s="5" t="n"/>
      <c r="D11" s="5" t="n"/>
      <c r="E11" s="5" t="n"/>
      <c r="F11" s="5" t="n"/>
      <c r="G11" s="5" t="n"/>
      <c r="H11" s="5" t="n"/>
      <c r="I11" s="5" t="n"/>
      <c r="J11" s="5" t="n"/>
      <c r="K11" s="5" t="n"/>
      <c r="L11" s="5" t="n"/>
      <c r="M11" s="5" t="n"/>
      <c r="N11" s="5" t="n"/>
      <c r="O11" s="5" t="n"/>
      <c r="P11" s="5" t="n"/>
      <c r="Q11" s="5" t="n"/>
      <c r="R11" s="5" t="n"/>
      <c r="S11" s="5" t="n"/>
      <c r="T11" s="5" t="n"/>
      <c r="U11" s="5" t="n"/>
      <c r="V11" s="5" t="n"/>
      <c r="W11" s="5" t="n"/>
      <c r="X11" s="5" t="n"/>
    </row>
    <row r="12">
      <c r="A12" s="5" t="n"/>
      <c r="B12" s="5" t="n"/>
      <c r="C12" s="5" t="n"/>
      <c r="D12" s="5" t="n"/>
      <c r="E12" s="5" t="n"/>
      <c r="F12" s="5" t="n"/>
      <c r="G12" s="5" t="n"/>
      <c r="H12" s="5" t="n"/>
      <c r="I12" s="5" t="n"/>
      <c r="J12" s="5" t="n"/>
      <c r="K12" s="5" t="n"/>
      <c r="L12" s="5" t="n"/>
      <c r="M12" s="5" t="n"/>
      <c r="N12" s="5" t="n"/>
      <c r="O12" s="5" t="n"/>
      <c r="P12" s="5" t="n"/>
      <c r="Q12" s="5" t="n"/>
      <c r="R12" s="5" t="n"/>
      <c r="S12" s="5" t="n"/>
      <c r="T12" s="5" t="n"/>
      <c r="U12" s="5" t="n"/>
      <c r="V12" s="5" t="n"/>
      <c r="W12" s="5" t="n"/>
      <c r="X12" s="5" t="n"/>
    </row>
    <row r="13">
      <c r="A13" s="5" t="n"/>
      <c r="B13" s="5" t="n"/>
      <c r="C13" s="5" t="n"/>
      <c r="D13" s="5" t="n"/>
      <c r="E13" s="5" t="n"/>
      <c r="F13" s="5" t="n"/>
      <c r="G13" s="5" t="n"/>
      <c r="H13" s="5" t="n"/>
      <c r="I13" s="5" t="n"/>
      <c r="J13" s="5" t="n"/>
      <c r="K13" s="5" t="n"/>
      <c r="L13" s="5" t="n"/>
      <c r="M13" s="5" t="n"/>
      <c r="N13" s="5" t="n"/>
      <c r="O13" s="5" t="n"/>
      <c r="P13" s="5" t="n"/>
      <c r="Q13" s="5" t="n"/>
      <c r="R13" s="5" t="n"/>
      <c r="S13" s="5" t="n"/>
      <c r="T13" s="5" t="n"/>
      <c r="U13" s="5" t="n"/>
      <c r="V13" s="5" t="n"/>
      <c r="W13" s="5" t="n"/>
      <c r="X13" s="5" t="n"/>
    </row>
    <row r="14">
      <c r="A14" s="5" t="n"/>
      <c r="B14" s="5" t="n"/>
      <c r="C14" s="5" t="n"/>
      <c r="D14" s="5" t="n"/>
      <c r="E14" s="5" t="n"/>
      <c r="F14" s="5" t="n"/>
      <c r="G14" s="5" t="n"/>
      <c r="H14" s="5" t="n"/>
      <c r="I14" s="5" t="n"/>
      <c r="J14" s="5" t="n"/>
      <c r="K14" s="5" t="n"/>
      <c r="L14" s="5" t="n"/>
      <c r="M14" s="5" t="n"/>
      <c r="N14" s="5" t="n"/>
      <c r="O14" s="5" t="n"/>
      <c r="P14" s="5" t="n"/>
      <c r="Q14" s="5" t="n"/>
      <c r="R14" s="5" t="n"/>
      <c r="S14" s="5" t="n"/>
      <c r="T14" s="5" t="n"/>
      <c r="U14" s="5" t="n"/>
      <c r="V14" s="5" t="n"/>
      <c r="W14" s="5" t="n"/>
      <c r="X14" s="5" t="n"/>
    </row>
    <row r="15">
      <c r="A15" s="5" t="n"/>
      <c r="B15" s="5" t="n"/>
      <c r="C15" s="5" t="n"/>
      <c r="D15" s="5" t="n"/>
      <c r="E15" s="5" t="n"/>
      <c r="F15" s="5" t="n"/>
      <c r="G15" s="5" t="n"/>
      <c r="H15" s="5" t="n"/>
      <c r="I15" s="5" t="n"/>
      <c r="J15" s="5" t="n"/>
      <c r="K15" s="5" t="n"/>
      <c r="L15" s="5" t="n"/>
      <c r="M15" s="5" t="n"/>
      <c r="N15" s="5" t="n"/>
      <c r="O15" s="5" t="n"/>
      <c r="P15" s="5" t="n"/>
      <c r="Q15" s="5" t="n"/>
      <c r="R15" s="5" t="n"/>
      <c r="S15" s="5" t="n"/>
      <c r="T15" s="5" t="n"/>
      <c r="U15" s="5" t="n"/>
      <c r="V15" s="5" t="n"/>
      <c r="W15" s="5" t="n"/>
      <c r="X15" s="5" t="n"/>
    </row>
    <row r="16">
      <c r="A16" s="5" t="n"/>
      <c r="B16" s="5" t="n"/>
      <c r="C16" s="5" t="n"/>
      <c r="D16" s="5" t="n"/>
      <c r="E16" s="5" t="n"/>
      <c r="F16" s="5" t="n"/>
      <c r="G16" s="5" t="n"/>
      <c r="H16" s="5" t="n"/>
      <c r="I16" s="5" t="n"/>
      <c r="J16" s="5" t="n"/>
      <c r="K16" s="5" t="n"/>
      <c r="L16" s="5" t="n"/>
      <c r="M16" s="5" t="n"/>
      <c r="N16" s="5" t="n"/>
      <c r="O16" s="5" t="n"/>
      <c r="P16" s="5" t="n"/>
      <c r="Q16" s="5" t="n"/>
      <c r="R16" s="5" t="n"/>
      <c r="S16" s="5" t="n"/>
      <c r="T16" s="5" t="n"/>
      <c r="U16" s="5" t="n"/>
      <c r="V16" s="5" t="n"/>
      <c r="W16" s="5" t="n"/>
      <c r="X16" s="5" t="n"/>
    </row>
    <row r="17">
      <c r="A17" s="5" t="n"/>
      <c r="B17" s="5" t="n"/>
      <c r="C17" s="5" t="n"/>
      <c r="D17" s="5" t="n"/>
      <c r="E17" s="5" t="n"/>
      <c r="F17" s="5" t="n"/>
      <c r="G17" s="5" t="n"/>
      <c r="H17" s="5" t="n"/>
      <c r="I17" s="5" t="n"/>
      <c r="J17" s="5" t="n"/>
      <c r="K17" s="5" t="n"/>
      <c r="L17" s="5" t="n"/>
      <c r="M17" s="5" t="n"/>
      <c r="N17" s="5" t="n"/>
      <c r="O17" s="5" t="n"/>
      <c r="P17" s="5" t="n"/>
      <c r="Q17" s="5" t="n"/>
      <c r="R17" s="5" t="n"/>
      <c r="S17" s="5" t="n"/>
      <c r="T17" s="5" t="n"/>
      <c r="U17" s="5" t="n"/>
      <c r="V17" s="5" t="n"/>
      <c r="W17" s="5" t="n"/>
      <c r="X17" s="5" t="n"/>
    </row>
    <row r="18">
      <c r="A18" s="5" t="n"/>
      <c r="B18" s="5" t="n"/>
      <c r="C18" s="5" t="n"/>
      <c r="D18" s="5" t="n"/>
      <c r="E18" s="5" t="n"/>
      <c r="F18" s="5" t="n"/>
      <c r="G18" s="5" t="n"/>
      <c r="H18" s="5" t="n"/>
      <c r="I18" s="5" t="n"/>
      <c r="J18" s="5" t="n"/>
      <c r="K18" s="5" t="n"/>
      <c r="L18" s="5" t="n"/>
      <c r="M18" s="5" t="n"/>
      <c r="N18" s="5" t="n"/>
      <c r="O18" s="5" t="n"/>
      <c r="P18" s="5" t="n"/>
      <c r="Q18" s="5" t="n"/>
      <c r="R18" s="5" t="n"/>
      <c r="S18" s="5" t="n"/>
      <c r="T18" s="5" t="n"/>
      <c r="U18" s="5" t="n"/>
      <c r="V18" s="5" t="n"/>
      <c r="W18" s="5" t="n"/>
      <c r="X18" s="5" t="n"/>
    </row>
    <row r="19">
      <c r="A19" s="5" t="n"/>
      <c r="B19" s="5" t="n"/>
      <c r="C19" s="5" t="n"/>
      <c r="D19" s="5" t="n"/>
      <c r="E19" s="5" t="n"/>
      <c r="F19" s="5" t="n"/>
      <c r="G19" s="5" t="n"/>
      <c r="H19" s="5" t="n"/>
      <c r="I19" s="5" t="n"/>
      <c r="J19" s="5" t="n"/>
      <c r="K19" s="5" t="n"/>
      <c r="L19" s="5" t="n"/>
      <c r="M19" s="5" t="n"/>
      <c r="N19" s="5" t="n"/>
      <c r="O19" s="5" t="n"/>
      <c r="P19" s="5" t="n"/>
      <c r="Q19" s="5" t="n"/>
      <c r="R19" s="5" t="n"/>
      <c r="S19" s="5" t="n"/>
      <c r="T19" s="5" t="n"/>
      <c r="U19" s="5" t="n"/>
      <c r="V19" s="5" t="n"/>
      <c r="W19" s="5" t="n"/>
      <c r="X19" s="5" t="n"/>
    </row>
    <row r="20">
      <c r="A20" s="5" t="n"/>
      <c r="B20" s="5" t="n"/>
      <c r="C20" s="5" t="n"/>
      <c r="D20" s="5" t="n"/>
      <c r="E20" s="5" t="n"/>
      <c r="F20" s="5" t="n"/>
      <c r="G20" s="5" t="n"/>
      <c r="H20" s="5" t="n"/>
      <c r="I20" s="5" t="n"/>
      <c r="J20" s="5" t="n"/>
      <c r="K20" s="5" t="n"/>
      <c r="L20" s="5" t="n"/>
      <c r="M20" s="5" t="n"/>
      <c r="N20" s="5" t="n"/>
      <c r="O20" s="5" t="n"/>
      <c r="P20" s="5" t="n"/>
      <c r="Q20" s="5" t="n"/>
      <c r="R20" s="5" t="n"/>
      <c r="S20" s="5" t="n"/>
      <c r="T20" s="5" t="n"/>
      <c r="U20" s="5" t="n"/>
      <c r="V20" s="5" t="n"/>
      <c r="W20" s="5" t="n"/>
      <c r="X20" s="5" t="n"/>
    </row>
    <row r="21">
      <c r="A21" s="5" t="n"/>
      <c r="B21" s="5" t="n"/>
      <c r="C21" s="5" t="n"/>
      <c r="D21" s="5" t="n"/>
      <c r="E21" s="5" t="n"/>
      <c r="F21" s="5" t="n"/>
      <c r="G21" s="5" t="n"/>
      <c r="H21" s="5" t="n"/>
      <c r="I21" s="5" t="n"/>
      <c r="J21" s="5" t="n"/>
      <c r="K21" s="5" t="n"/>
      <c r="L21" s="5" t="n"/>
      <c r="M21" s="5" t="n"/>
      <c r="N21" s="5" t="n"/>
      <c r="O21" s="5" t="n"/>
      <c r="P21" s="5" t="n"/>
      <c r="Q21" s="5" t="n"/>
      <c r="R21" s="5" t="n"/>
      <c r="S21" s="5" t="n"/>
      <c r="T21" s="5" t="n"/>
      <c r="U21" s="5" t="n"/>
      <c r="V21" s="5" t="n"/>
      <c r="W21" s="5" t="n"/>
      <c r="X21" s="5" t="n"/>
    </row>
    <row r="22">
      <c r="A22" s="5" t="n"/>
      <c r="B22" s="5" t="n"/>
      <c r="C22" s="5" t="n"/>
      <c r="D22" s="5" t="n"/>
      <c r="E22" s="5" t="n"/>
      <c r="F22" s="5" t="n"/>
      <c r="G22" s="5" t="n"/>
      <c r="H22" s="5" t="n"/>
      <c r="I22" s="5" t="n"/>
      <c r="J22" s="5" t="n"/>
      <c r="K22" s="5" t="n"/>
      <c r="L22" s="5" t="n"/>
      <c r="M22" s="5" t="n"/>
      <c r="N22" s="5" t="n"/>
      <c r="O22" s="5" t="n"/>
      <c r="P22" s="5" t="n"/>
      <c r="Q22" s="5" t="n"/>
      <c r="R22" s="5" t="n"/>
      <c r="S22" s="5" t="n"/>
      <c r="T22" s="5" t="n"/>
      <c r="U22" s="5" t="n"/>
      <c r="V22" s="5" t="n"/>
      <c r="W22" s="5" t="n"/>
      <c r="X22" s="5" t="n"/>
    </row>
    <row r="23">
      <c r="A23" s="5" t="n"/>
      <c r="B23" s="5" t="n"/>
      <c r="C23" s="5" t="n"/>
      <c r="D23" s="5" t="n"/>
      <c r="E23" s="5" t="n"/>
      <c r="F23" s="5" t="n"/>
      <c r="G23" s="5" t="n"/>
      <c r="H23" s="5" t="n"/>
      <c r="I23" s="5" t="n"/>
      <c r="J23" s="5" t="n"/>
      <c r="K23" s="5" t="n"/>
      <c r="L23" s="5" t="n"/>
      <c r="M23" s="5" t="n"/>
      <c r="N23" s="5" t="n"/>
      <c r="O23" s="5" t="n"/>
      <c r="P23" s="5" t="n"/>
      <c r="Q23" s="5" t="n"/>
      <c r="R23" s="5" t="n"/>
      <c r="S23" s="5" t="n"/>
      <c r="T23" s="5" t="n"/>
      <c r="U23" s="5" t="n"/>
      <c r="V23" s="5" t="n"/>
      <c r="W23" s="5" t="n"/>
      <c r="X23" s="5" t="n"/>
    </row>
    <row r="24">
      <c r="A24" s="5" t="n"/>
      <c r="B24" s="5" t="n"/>
      <c r="C24" s="5" t="n"/>
      <c r="D24" s="5" t="n"/>
      <c r="E24" s="5" t="n"/>
      <c r="F24" s="5" t="n"/>
      <c r="G24" s="5" t="n"/>
      <c r="H24" s="5" t="n"/>
      <c r="I24" s="5" t="n"/>
      <c r="J24" s="5" t="n"/>
      <c r="K24" s="5" t="n"/>
      <c r="L24" s="5" t="n"/>
      <c r="M24" s="5" t="n"/>
      <c r="N24" s="5" t="n"/>
      <c r="O24" s="5" t="n"/>
      <c r="P24" s="5" t="n"/>
      <c r="Q24" s="5" t="n"/>
      <c r="R24" s="5" t="n"/>
      <c r="S24" s="5" t="n"/>
      <c r="T24" s="5" t="n"/>
      <c r="U24" s="5" t="n"/>
      <c r="V24" s="5" t="n"/>
      <c r="W24" s="5" t="n"/>
      <c r="X24" s="5" t="n"/>
    </row>
    <row r="26">
      <c r="A26" s="16" t="inlineStr">
        <is>
          <t>VENDOR RISK MONITORING - COMPLIANCE CHECKLIST</t>
        </is>
      </c>
    </row>
    <row r="27">
      <c r="A27" s="7" t="inlineStr">
        <is>
          <t>☐</t>
        </is>
      </c>
      <c r="B27" s="7" t="inlineStr">
        <is>
          <t>Requirement</t>
        </is>
      </c>
      <c r="C27" s="7" t="inlineStr">
        <is>
          <t>Status</t>
        </is>
      </c>
      <c r="D27" s="7" t="inlineStr">
        <is>
          <t>Notes/Evidence</t>
        </is>
      </c>
    </row>
    <row r="28" ht="25" customHeight="1">
      <c r="A28" s="17" t="inlineStr">
        <is>
          <t>☐</t>
        </is>
      </c>
      <c r="B28" s="18" t="inlineStr">
        <is>
          <t>Vendor risk assessment performed at onboarding</t>
        </is>
      </c>
      <c r="C28" s="5" t="n"/>
      <c r="D28" s="5" t="n"/>
      <c r="E28" s="41" t="n"/>
      <c r="F28" s="42" t="n"/>
    </row>
    <row r="29" ht="25" customHeight="1">
      <c r="A29" s="17" t="inlineStr">
        <is>
          <t>☐</t>
        </is>
      </c>
      <c r="B29" s="18" t="inlineStr">
        <is>
          <t>Annual vendor risk reassessment scheduled</t>
        </is>
      </c>
      <c r="C29" s="5" t="n"/>
      <c r="D29" s="5" t="n"/>
      <c r="E29" s="41" t="n"/>
      <c r="F29" s="42" t="n"/>
    </row>
    <row r="30" ht="25" customHeight="1">
      <c r="A30" s="17" t="inlineStr">
        <is>
          <t>☐</t>
        </is>
      </c>
      <c r="B30" s="18" t="inlineStr">
        <is>
          <t>Risk scoring methodology documented and consistent</t>
        </is>
      </c>
      <c r="C30" s="5" t="n"/>
      <c r="D30" s="5" t="n"/>
      <c r="E30" s="41" t="n"/>
      <c r="F30" s="42" t="n"/>
    </row>
    <row r="31" ht="25" customHeight="1">
      <c r="A31" s="17" t="inlineStr">
        <is>
          <t>☐</t>
        </is>
      </c>
      <c r="B31" s="18" t="inlineStr">
        <is>
          <t>Security certifications tracked (ISO 27001, SOC 2, etc.)</t>
        </is>
      </c>
      <c r="C31" s="5" t="n"/>
      <c r="D31" s="5" t="n"/>
      <c r="E31" s="41" t="n"/>
      <c r="F31" s="42" t="n"/>
    </row>
    <row r="32" ht="25" customHeight="1">
      <c r="A32" s="17" t="inlineStr">
        <is>
          <t>☐</t>
        </is>
      </c>
      <c r="B32" s="18" t="inlineStr">
        <is>
          <t>Certification expiry dates monitored with alerts</t>
        </is>
      </c>
      <c r="C32" s="5" t="n"/>
      <c r="D32" s="5" t="n"/>
      <c r="E32" s="41" t="n"/>
      <c r="F32" s="42" t="n"/>
    </row>
    <row r="33" ht="25" customHeight="1">
      <c r="A33" s="17" t="inlineStr">
        <is>
          <t>☐</t>
        </is>
      </c>
      <c r="B33" s="18" t="inlineStr">
        <is>
          <t>Vendor security incidents monitored via news/feeds</t>
        </is>
      </c>
      <c r="C33" s="5" t="n"/>
      <c r="D33" s="5" t="n"/>
      <c r="E33" s="41" t="n"/>
      <c r="F33" s="42" t="n"/>
    </row>
    <row r="34" ht="25" customHeight="1">
      <c r="A34" s="17" t="inlineStr">
        <is>
          <t>☐</t>
        </is>
      </c>
      <c r="B34" s="18" t="inlineStr">
        <is>
          <t>Vendor breach notification process documented</t>
        </is>
      </c>
      <c r="C34" s="5" t="n"/>
      <c r="D34" s="5" t="n"/>
      <c r="E34" s="41" t="n"/>
      <c r="F34" s="42" t="n"/>
    </row>
    <row r="35" ht="25" customHeight="1">
      <c r="A35" s="17" t="inlineStr">
        <is>
          <t>☐</t>
        </is>
      </c>
      <c r="B35" s="18" t="inlineStr">
        <is>
          <t>Financial health indicators monitored for critical vendors</t>
        </is>
      </c>
      <c r="C35" s="5" t="n"/>
      <c r="D35" s="5" t="n"/>
      <c r="E35" s="41" t="n"/>
      <c r="F35" s="42" t="n"/>
    </row>
    <row r="36" ht="25" customHeight="1">
      <c r="A36" s="17" t="inlineStr">
        <is>
          <t>☐</t>
        </is>
      </c>
      <c r="B36" s="18" t="inlineStr">
        <is>
          <t>Vendor concentration risk assessed</t>
        </is>
      </c>
      <c r="C36" s="5" t="n"/>
      <c r="D36" s="5" t="n"/>
      <c r="E36" s="41" t="n"/>
      <c r="F36" s="42" t="n"/>
    </row>
    <row r="37" ht="25" customHeight="1">
      <c r="A37" s="17" t="inlineStr">
        <is>
          <t>☐</t>
        </is>
      </c>
      <c r="B37" s="18" t="inlineStr">
        <is>
          <t>Sub-processor changes tracked and assessed</t>
        </is>
      </c>
      <c r="C37" s="5" t="n"/>
      <c r="D37" s="5" t="n"/>
      <c r="E37" s="41" t="n"/>
      <c r="F37" s="42" t="n"/>
    </row>
    <row r="38" ht="25" customHeight="1">
      <c r="A38" s="17" t="inlineStr">
        <is>
          <t>☐</t>
        </is>
      </c>
      <c r="B38" s="18" t="inlineStr">
        <is>
          <t>Geopolitical risk factors considered</t>
        </is>
      </c>
      <c r="C38" s="5" t="n"/>
      <c r="D38" s="5" t="n"/>
      <c r="E38" s="41" t="n"/>
      <c r="F38" s="42" t="n"/>
    </row>
    <row r="39" ht="25" customHeight="1">
      <c r="A39" s="17" t="inlineStr">
        <is>
          <t>☐</t>
        </is>
      </c>
      <c r="B39" s="18" t="inlineStr">
        <is>
          <t>Vendor security questionnaire refreshed periodically</t>
        </is>
      </c>
      <c r="C39" s="5" t="n"/>
      <c r="D39" s="5" t="n"/>
      <c r="E39" s="41" t="n"/>
      <c r="F39" s="42" t="n"/>
    </row>
    <row r="40" ht="25" customHeight="1">
      <c r="A40" s="17" t="inlineStr">
        <is>
          <t>☐</t>
        </is>
      </c>
      <c r="B40" s="18" t="inlineStr">
        <is>
          <t>Risk rating changes trigger stakeholder notification</t>
        </is>
      </c>
      <c r="C40" s="5" t="n"/>
      <c r="D40" s="5" t="n"/>
      <c r="E40" s="41" t="n"/>
      <c r="F40" s="42" t="n"/>
    </row>
    <row r="41" ht="25" customHeight="1">
      <c r="A41" s="17" t="inlineStr">
        <is>
          <t>☐</t>
        </is>
      </c>
      <c r="B41" s="18" t="inlineStr">
        <is>
          <t>High-risk vendors subject to enhanced monitoring</t>
        </is>
      </c>
      <c r="C41" s="5" t="n"/>
      <c r="D41" s="5" t="n"/>
      <c r="E41" s="41" t="n"/>
      <c r="F41" s="42" t="n"/>
    </row>
    <row r="42" ht="25" customHeight="1">
      <c r="A42" s="17" t="inlineStr">
        <is>
          <t>☐</t>
        </is>
      </c>
      <c r="B42" s="18" t="inlineStr">
        <is>
          <t>Vendor risk dashboard available to stakeholders</t>
        </is>
      </c>
      <c r="C42" s="5" t="n"/>
      <c r="D42" s="5" t="n"/>
      <c r="E42" s="41" t="n"/>
      <c r="F42" s="42" t="n"/>
    </row>
    <row r="44">
      <c r="A44" s="3" t="inlineStr">
        <is>
          <t>Checklist Compliance Score:</t>
        </is>
      </c>
      <c r="C44" s="19">
        <f>IF(COUNTA(C28:C42)=0,"N/A",ROUND(COUNTIF(C28:C42,"Yes")/COUNTIF(C28:C42,"&lt;&gt;N/A")*100,1)&amp;"%")</f>
        <v/>
      </c>
    </row>
  </sheetData>
  <mergeCells count="33">
    <mergeCell ref="B40"/>
    <mergeCell ref="D41:F41"/>
    <mergeCell ref="B30"/>
    <mergeCell ref="D32:F32"/>
    <mergeCell ref="B33"/>
    <mergeCell ref="B36"/>
    <mergeCell ref="B41"/>
    <mergeCell ref="B32"/>
    <mergeCell ref="B35"/>
    <mergeCell ref="D28:F28"/>
    <mergeCell ref="D37:F37"/>
    <mergeCell ref="A26:X26"/>
    <mergeCell ref="A2:X2"/>
    <mergeCell ref="D30:F30"/>
    <mergeCell ref="D39:F39"/>
    <mergeCell ref="D33:F33"/>
    <mergeCell ref="B31"/>
    <mergeCell ref="D42:F42"/>
    <mergeCell ref="D38:F38"/>
    <mergeCell ref="D29:F29"/>
    <mergeCell ref="B39"/>
    <mergeCell ref="D35:F35"/>
    <mergeCell ref="B42"/>
    <mergeCell ref="D34:F34"/>
    <mergeCell ref="D31:F31"/>
    <mergeCell ref="B29"/>
    <mergeCell ref="D40:F40"/>
    <mergeCell ref="D36:F36"/>
    <mergeCell ref="B38"/>
    <mergeCell ref="B34"/>
    <mergeCell ref="B28"/>
    <mergeCell ref="A1:X1"/>
    <mergeCell ref="B37"/>
  </mergeCells>
  <dataValidations count="13">
    <dataValidation sqref="C6 C7 C8 C9 C10 C11 C12 C13 C14 C15 C16 C17 C18 C19 C20 C21 C22 C23 C24" showDropDown="0" showInputMessage="0" showErrorMessage="0" allowBlank="1" errorTitle="Service Type" error="Select valid service type" promptTitle="Service Type" prompt="Select Service Type" type="list">
      <formula1>"SaaS,IaaS,PaaS,Security Service,Cloud Storage,Other"</formula1>
    </dataValidation>
    <dataValidation sqref="D6 D7 D8 D9 D10 D11 D12 D13 D14 D15 D16 D17 D18 D19 D20 D21 D22 D23 D24" showDropDown="0" showInputMessage="0" showErrorMessage="0" allowBlank="1" errorTitle="Review Period" error="Select valid review period" promptTitle="Review Period" prompt="Select Review Period" type="list">
      <formula1>"Q1,Q2,Q3,Q4,Annual,Ad-Hoc"</formula1>
    </dataValidation>
    <dataValidation sqref="E6 E7 E8 E9 E10 E11 E12 E13 E14 E15 E16 E17 E18 E19 E20 E21 E22 E23 E24" showDropDown="0" showInputMessage="0" showErrorMessage="0" allowBlank="1" errorTitle="Service Criticality" error="Select valid criticality" promptTitle="Service Criticality" prompt="Select Service Criticality" type="list">
      <formula1>"Critical,High,Medium,Low"</formula1>
    </dataValidation>
    <dataValidation sqref="F6 F7 F8 F9 F10 F11 F12 F13 F14 F15 F16 F17 F18 F19 F20 F21 F22 F23 F24" showDropDown="0" showInputMessage="0" showErrorMessage="0" allowBlank="1" errorTitle="Data Classification" error="Select valid classification" promptTitle="Data Classification" prompt="Select Data Classification" type="list">
      <formula1>"Restricted,Confidential,Internal,Public,N/A"</formula1>
    </dataValidation>
    <dataValidation sqref="H6 H7 H8 H9 H10 H11 H12 H13 H14 H15 H16 H17 H18 H19 H20 H21 H22 H23 H24" showDropDown="0" showInputMessage="0" showErrorMessage="0" allowBlank="1" errorTitle="Status" error="Select valid status" promptTitle="Status" prompt="Select Status" type="list">
      <formula1>f"{CHECK} Compliant,⚠️ Partial,❌ Non-Compliant,N/A"</formula1>
    </dataValidation>
    <dataValidation sqref="K6 K7 K8 K9 K10 K11 K12 K13 K14 K15 K16 K17 K18 K19 K20 K21 K22 K23 K24" showDropDown="0" showInputMessage="0" showErrorMessage="0" allowBlank="1" errorTitle="Yes/No" error="Select Yes or No" promptTitle="Yes/No" prompt="Select Yes/No" type="list">
      <formula1>"Yes,No"</formula1>
    </dataValidation>
    <dataValidation sqref="O6 O7 O8 O9 O10 O11 O12 O13 O14 O15 O16 O17 O18 O19 O20 O21 O22 O23 O24" showDropDown="0" showInputMessage="0" showErrorMessage="0" allowBlank="1" errorTitle="Responsible Team" error="Select valid team" promptTitle="Responsible Team" prompt="Select Responsible Team" type="list">
      <formula1>"IT Ops,Compliance,Risk Management,Security,Business Owners"</formula1>
    </dataValidation>
    <dataValidation sqref="G6 G7 G8 G9 G10 G11 G12 G13 G14 G15 G16 G17 G18 G19 G20 G21 G22 G23 G24" showDropDown="0" showInputMessage="0" showErrorMessage="0" allowBlank="1" errorTitle="Risk Rating" error="Select valid Risk Rating" type="list">
      <formula1>"Critical,High,Medium,Low,Minimal"</formula1>
    </dataValidation>
    <dataValidation sqref="R6 R7 R8 R9 R10 R11 R12 R13 R14 R15 R16 R17 R18 R19 R20 R21 R22 R23 R24" showDropDown="0" showInputMessage="0" showErrorMessage="0" allowBlank="1" errorTitle="Risk Trend" error="Select valid Risk Trend" type="list">
      <formula1>"Improving,Stable,Degrading,Unknown"</formula1>
    </dataValidation>
    <dataValidation sqref="T6 T7 T8 T9 T10 T11 T12 T13 T14 T15 T16 T17 T18 T19 T20 T21 T22 T23 T24" showDropDown="0" showInputMessage="0" showErrorMessage="0" allowBlank="1" errorTitle="Cert Tracked" error="Select valid Cert Tracked" type="list">
      <formula1>"Yes,No,N/A"</formula1>
    </dataValidation>
    <dataValidation sqref="V6 V7 V8 V9 V10 V11 V12 V13 V14 V15 V16 V17 V18 V19 V20 V21 V22 V23 V24" showDropDown="0" showInputMessage="0" showErrorMessage="0" allowBlank="1" errorTitle="Financial Health" error="Select valid Financial Health" type="list">
      <formula1>"Strong,Stable,Concerning,Unknown"</formula1>
    </dataValidation>
    <dataValidation sqref="X6 X7 X8 X9 X10 X11 X12 X13 X14 X15 X16 X17 X18 X19 X20 X21 X22 X23 X24" showDropDown="0" showInputMessage="0" showErrorMessage="0" allowBlank="1" errorTitle="Reassessment Trigger" error="Select valid Reassessment Trigger" type="list">
      <formula1>"Yes,No"</formula1>
    </dataValidation>
    <dataValidation sqref="C28 C29 C30 C31 C32 C33 C34 C35 C36 C37 C38 C39 C40 C41 C42" showDropDown="0" showInputMessage="0" showErrorMessage="0" allowBlank="1" type="list">
      <formula1>"Yes,No,N/A"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166"/>
  <sheetViews>
    <sheetView workbookViewId="0">
      <pane ySplit="3" topLeftCell="A4" activePane="bottomLeft" state="frozen"/>
      <selection pane="bottomLeft" activeCell="A1" sqref="A1"/>
    </sheetView>
  </sheetViews>
  <sheetFormatPr baseColWidth="8" defaultRowHeight="15"/>
  <cols>
    <col width="25" customWidth="1" min="1" max="1"/>
    <col width="20" customWidth="1" min="2" max="2"/>
    <col width="15" customWidth="1" min="3" max="3"/>
    <col width="22" customWidth="1" min="4" max="4"/>
    <col width="15" customWidth="1" min="5" max="5"/>
    <col width="15" customWidth="1" min="6" max="6"/>
    <col width="15" customWidth="1" min="7" max="7"/>
    <col width="20" customWidth="1" min="8" max="8"/>
    <col width="16" customWidth="1" min="9" max="9"/>
    <col width="18" customWidth="1" min="10" max="10"/>
    <col width="16" customWidth="1" min="11" max="11"/>
    <col width="20" customWidth="1" min="12" max="12"/>
    <col width="20" customWidth="1" min="13" max="13"/>
    <col width="40" customWidth="1" min="14" max="14"/>
  </cols>
  <sheetData>
    <row r="1" ht="40" customHeight="1">
      <c r="A1" s="20" t="inlineStr">
        <is>
          <t>EXIT STRATEGY ANNUAL REVIEW &amp; POC TESTING</t>
        </is>
      </c>
    </row>
    <row r="2" ht="30" customHeight="1">
      <c r="A2" s="21" t="inlineStr">
        <is>
          <t>POL-S5 Section 8: Annual review required. DORA Art. 28.6: Annual PoC testing for critical ICT providers.</t>
        </is>
      </c>
    </row>
    <row r="3">
      <c r="A3" s="22" t="inlineStr">
        <is>
          <t>Service Name</t>
        </is>
      </c>
      <c r="B3" s="22" t="inlineStr">
        <is>
          <t>Provider</t>
        </is>
      </c>
      <c r="C3" s="22" t="inlineStr">
        <is>
          <t>Criticality</t>
        </is>
      </c>
      <c r="D3" s="22" t="inlineStr">
        <is>
          <t>Exit Strategy Type (Current)</t>
        </is>
      </c>
      <c r="E3" s="22" t="inlineStr">
        <is>
          <t>Last Review Date</t>
        </is>
      </c>
      <c r="F3" s="22" t="inlineStr">
        <is>
          <t>Next Review Date</t>
        </is>
      </c>
      <c r="G3" s="22" t="inlineStr">
        <is>
          <t>Review Status</t>
        </is>
      </c>
      <c r="H3" s="22" t="inlineStr">
        <is>
          <t>PoC Testing Required?</t>
        </is>
      </c>
      <c r="I3" s="22" t="inlineStr">
        <is>
          <t>PoC Test Date (Last)</t>
        </is>
      </c>
      <c r="J3" s="22" t="inlineStr">
        <is>
          <t>PoC Test Result</t>
        </is>
      </c>
      <c r="K3" s="22" t="inlineStr">
        <is>
          <t>PoC Test Next Due</t>
        </is>
      </c>
      <c r="L3" s="22" t="inlineStr">
        <is>
          <t>Exit Strategy Changed?</t>
        </is>
      </c>
      <c r="M3" s="22" t="inlineStr">
        <is>
          <t>Reviewer Name</t>
        </is>
      </c>
      <c r="N3" s="22" t="inlineStr">
        <is>
          <t>Notes</t>
        </is>
      </c>
    </row>
    <row r="4">
      <c r="A4" s="23" t="inlineStr">
        <is>
          <t>Microsoft 365</t>
        </is>
      </c>
      <c r="B4" s="23" t="inlineStr">
        <is>
          <t>Microsoft</t>
        </is>
      </c>
      <c r="C4" s="23" t="inlineStr">
        <is>
          <t>Critical</t>
        </is>
      </c>
      <c r="D4" s="23" t="inlineStr">
        <is>
          <t>Cloud-to-Cloud</t>
        </is>
      </c>
      <c r="E4" s="24" t="inlineStr">
        <is>
          <t>2025-08-06</t>
        </is>
      </c>
      <c r="F4" s="24" t="inlineStr">
        <is>
          <t>2026-08-06</t>
        </is>
      </c>
      <c r="G4" s="23" t="inlineStr">
        <is>
          <t>Current</t>
        </is>
      </c>
      <c r="H4" s="23" t="inlineStr">
        <is>
          <t>Yes (Critical)</t>
        </is>
      </c>
      <c r="I4" s="24" t="inlineStr">
        <is>
          <t>2025-12-04</t>
        </is>
      </c>
      <c r="J4" s="23" t="inlineStr">
        <is>
          <t>Pass</t>
        </is>
      </c>
      <c r="K4" s="24" t="inlineStr">
        <is>
          <t>2026-12-04</t>
        </is>
      </c>
      <c r="L4" s="23" t="inlineStr">
        <is>
          <t>No</t>
        </is>
      </c>
      <c r="M4" s="23" t="inlineStr">
        <is>
          <t>J. Smith</t>
        </is>
      </c>
      <c r="N4" s="23" t="inlineStr">
        <is>
          <t>Annual review completed</t>
        </is>
      </c>
    </row>
    <row r="5">
      <c r="A5" s="23" t="inlineStr">
        <is>
          <t>Azure Cloud Platform</t>
        </is>
      </c>
      <c r="B5" s="23" t="inlineStr">
        <is>
          <t>Microsoft</t>
        </is>
      </c>
      <c r="C5" s="23" t="inlineStr">
        <is>
          <t>Critical</t>
        </is>
      </c>
      <c r="D5" s="23" t="inlineStr">
        <is>
          <t>Hybrid</t>
        </is>
      </c>
      <c r="E5" s="24" t="inlineStr">
        <is>
          <t>2025-08-06</t>
        </is>
      </c>
      <c r="F5" s="24" t="inlineStr">
        <is>
          <t>2026-08-06</t>
        </is>
      </c>
      <c r="G5" s="23" t="inlineStr">
        <is>
          <t>Current</t>
        </is>
      </c>
      <c r="H5" s="23" t="inlineStr">
        <is>
          <t>Yes (Critical)</t>
        </is>
      </c>
      <c r="I5" s="24" t="inlineStr">
        <is>
          <t>2025-12-04</t>
        </is>
      </c>
      <c r="J5" s="23" t="inlineStr">
        <is>
          <t>Pass</t>
        </is>
      </c>
      <c r="K5" s="24" t="inlineStr">
        <is>
          <t>2026-12-04</t>
        </is>
      </c>
      <c r="L5" s="23" t="inlineStr">
        <is>
          <t>No</t>
        </is>
      </c>
      <c r="M5" s="23" t="inlineStr">
        <is>
          <t>J. Smith</t>
        </is>
      </c>
      <c r="N5" s="23" t="inlineStr">
        <is>
          <t>Annual review completed</t>
        </is>
      </c>
    </row>
    <row r="6">
      <c r="A6" s="23" t="inlineStr">
        <is>
          <t>AWS S3 Storage</t>
        </is>
      </c>
      <c r="B6" s="23" t="inlineStr">
        <is>
          <t>Amazon</t>
        </is>
      </c>
      <c r="C6" s="23" t="inlineStr">
        <is>
          <t>High</t>
        </is>
      </c>
      <c r="D6" s="23" t="inlineStr">
        <is>
          <t>Cloud-to-Cloud</t>
        </is>
      </c>
      <c r="E6" s="24" t="inlineStr">
        <is>
          <t>2025-08-06</t>
        </is>
      </c>
      <c r="F6" s="24" t="inlineStr">
        <is>
          <t>2026-08-06</t>
        </is>
      </c>
      <c r="G6" s="23" t="inlineStr">
        <is>
          <t>Current</t>
        </is>
      </c>
      <c r="H6" s="23" t="inlineStr">
        <is>
          <t>No (Not Critical)</t>
        </is>
      </c>
      <c r="I6" s="24" t="inlineStr"/>
      <c r="J6" s="23" t="inlineStr">
        <is>
          <t>Not Applicable</t>
        </is>
      </c>
      <c r="K6" s="24" t="inlineStr"/>
      <c r="L6" s="23" t="inlineStr">
        <is>
          <t>No</t>
        </is>
      </c>
      <c r="M6" s="23" t="inlineStr">
        <is>
          <t>J. Smith</t>
        </is>
      </c>
      <c r="N6" s="23" t="inlineStr">
        <is>
          <t>Annual review completed</t>
        </is>
      </c>
    </row>
    <row r="7">
      <c r="A7" s="23" t="inlineStr">
        <is>
          <t>Salesforce CRM</t>
        </is>
      </c>
      <c r="B7" s="23" t="inlineStr">
        <is>
          <t>Salesforce</t>
        </is>
      </c>
      <c r="C7" s="23" t="inlineStr">
        <is>
          <t>High</t>
        </is>
      </c>
      <c r="D7" s="23" t="inlineStr">
        <is>
          <t>Cloud-to-Cloud</t>
        </is>
      </c>
      <c r="E7" s="24" t="inlineStr">
        <is>
          <t>2025-08-06</t>
        </is>
      </c>
      <c r="F7" s="24" t="inlineStr">
        <is>
          <t>2026-08-06</t>
        </is>
      </c>
      <c r="G7" s="23" t="inlineStr">
        <is>
          <t>Current</t>
        </is>
      </c>
      <c r="H7" s="23" t="inlineStr">
        <is>
          <t>No (Not Critical)</t>
        </is>
      </c>
      <c r="I7" s="24" t="inlineStr"/>
      <c r="J7" s="23" t="inlineStr">
        <is>
          <t>Not Applicable</t>
        </is>
      </c>
      <c r="K7" s="24" t="inlineStr"/>
      <c r="L7" s="23" t="inlineStr">
        <is>
          <t>No</t>
        </is>
      </c>
      <c r="M7" s="23" t="inlineStr">
        <is>
          <t>J. Smith</t>
        </is>
      </c>
      <c r="N7" s="23" t="inlineStr">
        <is>
          <t>Annual review completed</t>
        </is>
      </c>
    </row>
    <row r="8">
      <c r="A8" s="23" t="inlineStr">
        <is>
          <t>ServiceNow ITSM</t>
        </is>
      </c>
      <c r="B8" s="23" t="inlineStr">
        <is>
          <t>ServiceNow</t>
        </is>
      </c>
      <c r="C8" s="23" t="inlineStr">
        <is>
          <t>High</t>
        </is>
      </c>
      <c r="D8" s="23" t="inlineStr">
        <is>
          <t>Cloud-to-Cloud</t>
        </is>
      </c>
      <c r="E8" s="24" t="inlineStr">
        <is>
          <t>2025-08-06</t>
        </is>
      </c>
      <c r="F8" s="24" t="inlineStr">
        <is>
          <t>2026-08-06</t>
        </is>
      </c>
      <c r="G8" s="23" t="inlineStr">
        <is>
          <t>Current</t>
        </is>
      </c>
      <c r="H8" s="23" t="inlineStr">
        <is>
          <t>No (Not Critical)</t>
        </is>
      </c>
      <c r="I8" s="24" t="inlineStr"/>
      <c r="J8" s="23" t="inlineStr">
        <is>
          <t>Not Applicable</t>
        </is>
      </c>
      <c r="K8" s="24" t="inlineStr"/>
      <c r="L8" s="23" t="inlineStr">
        <is>
          <t>No</t>
        </is>
      </c>
      <c r="M8" s="23" t="inlineStr">
        <is>
          <t>J. Smith</t>
        </is>
      </c>
      <c r="N8" s="23" t="inlineStr">
        <is>
          <t>Annual review completed</t>
        </is>
      </c>
    </row>
    <row r="9">
      <c r="A9" s="23" t="inlineStr">
        <is>
          <t>SAP S/4HANA Cloud</t>
        </is>
      </c>
      <c r="B9" s="23" t="inlineStr">
        <is>
          <t>SAP</t>
        </is>
      </c>
      <c r="C9" s="23" t="inlineStr">
        <is>
          <t>Critical</t>
        </is>
      </c>
      <c r="D9" s="23" t="inlineStr">
        <is>
          <t>Hybrid</t>
        </is>
      </c>
      <c r="E9" s="24" t="inlineStr">
        <is>
          <t>2025-08-06</t>
        </is>
      </c>
      <c r="F9" s="24" t="inlineStr">
        <is>
          <t>2026-08-06</t>
        </is>
      </c>
      <c r="G9" s="23" t="inlineStr">
        <is>
          <t>Current</t>
        </is>
      </c>
      <c r="H9" s="23" t="inlineStr">
        <is>
          <t>Yes (Critical)</t>
        </is>
      </c>
      <c r="I9" s="24" t="inlineStr">
        <is>
          <t>2025-12-04</t>
        </is>
      </c>
      <c r="J9" s="23" t="inlineStr">
        <is>
          <t>Pass</t>
        </is>
      </c>
      <c r="K9" s="24" t="inlineStr">
        <is>
          <t>2026-12-04</t>
        </is>
      </c>
      <c r="L9" s="23" t="inlineStr">
        <is>
          <t>No</t>
        </is>
      </c>
      <c r="M9" s="23" t="inlineStr">
        <is>
          <t>J. Smith</t>
        </is>
      </c>
      <c r="N9" s="23" t="inlineStr">
        <is>
          <t>Annual review completed</t>
        </is>
      </c>
    </row>
    <row r="10">
      <c r="A10" s="23" t="inlineStr">
        <is>
          <t>Crowdstrike Falcon</t>
        </is>
      </c>
      <c r="B10" s="23" t="inlineStr">
        <is>
          <t>Crowdstrike</t>
        </is>
      </c>
      <c r="C10" s="23" t="inlineStr">
        <is>
          <t>Critical</t>
        </is>
      </c>
      <c r="D10" s="23" t="inlineStr">
        <is>
          <t>Cloud-to-Cloud</t>
        </is>
      </c>
      <c r="E10" s="24" t="inlineStr">
        <is>
          <t>2025-08-06</t>
        </is>
      </c>
      <c r="F10" s="24" t="inlineStr">
        <is>
          <t>2026-08-06</t>
        </is>
      </c>
      <c r="G10" s="23" t="inlineStr">
        <is>
          <t>Current</t>
        </is>
      </c>
      <c r="H10" s="23" t="inlineStr">
        <is>
          <t>Yes (Critical)</t>
        </is>
      </c>
      <c r="I10" s="24" t="inlineStr">
        <is>
          <t>2025-12-04</t>
        </is>
      </c>
      <c r="J10" s="23" t="inlineStr">
        <is>
          <t>Pass</t>
        </is>
      </c>
      <c r="K10" s="24" t="inlineStr">
        <is>
          <t>2026-12-04</t>
        </is>
      </c>
      <c r="L10" s="23" t="inlineStr">
        <is>
          <t>No</t>
        </is>
      </c>
      <c r="M10" s="23" t="inlineStr">
        <is>
          <t>J. Smith</t>
        </is>
      </c>
      <c r="N10" s="23" t="inlineStr">
        <is>
          <t>Annual review completed</t>
        </is>
      </c>
    </row>
    <row r="11">
      <c r="A11" s="23" t="inlineStr">
        <is>
          <t>Slack Enterprise</t>
        </is>
      </c>
      <c r="B11" s="23" t="inlineStr">
        <is>
          <t>Salesforce</t>
        </is>
      </c>
      <c r="C11" s="23" t="inlineStr">
        <is>
          <t>Medium</t>
        </is>
      </c>
      <c r="D11" s="23" t="inlineStr">
        <is>
          <t>Cloud-to-Cloud</t>
        </is>
      </c>
      <c r="E11" s="24" t="inlineStr">
        <is>
          <t>2025-08-06</t>
        </is>
      </c>
      <c r="F11" s="24" t="inlineStr">
        <is>
          <t>2026-08-06</t>
        </is>
      </c>
      <c r="G11" s="23" t="inlineStr">
        <is>
          <t>Current</t>
        </is>
      </c>
      <c r="H11" s="23" t="inlineStr">
        <is>
          <t>No (Not Critical)</t>
        </is>
      </c>
      <c r="I11" s="24" t="inlineStr"/>
      <c r="J11" s="23" t="inlineStr">
        <is>
          <t>Not Applicable</t>
        </is>
      </c>
      <c r="K11" s="24" t="inlineStr"/>
      <c r="L11" s="23" t="inlineStr">
        <is>
          <t>No</t>
        </is>
      </c>
      <c r="M11" s="23" t="inlineStr">
        <is>
          <t>J. Smith</t>
        </is>
      </c>
      <c r="N11" s="23" t="inlineStr">
        <is>
          <t>Annual review completed</t>
        </is>
      </c>
    </row>
    <row r="12">
      <c r="A12" s="23" t="n"/>
      <c r="B12" s="23" t="n"/>
      <c r="C12" s="23" t="n"/>
      <c r="D12" s="23" t="n"/>
      <c r="E12" s="24" t="n"/>
      <c r="F12" s="24" t="n"/>
      <c r="G12" s="23" t="n"/>
      <c r="H12" s="23" t="n"/>
      <c r="I12" s="24" t="n"/>
      <c r="J12" s="23" t="n"/>
      <c r="K12" s="24" t="n"/>
      <c r="L12" s="23" t="n"/>
      <c r="M12" s="23" t="n"/>
      <c r="N12" s="23" t="n"/>
    </row>
    <row r="13">
      <c r="A13" s="23" t="n"/>
      <c r="B13" s="23" t="n"/>
      <c r="C13" s="23" t="n"/>
      <c r="D13" s="23" t="n"/>
      <c r="E13" s="24" t="n"/>
      <c r="F13" s="24" t="n"/>
      <c r="G13" s="23" t="n"/>
      <c r="H13" s="23" t="n"/>
      <c r="I13" s="24" t="n"/>
      <c r="J13" s="23" t="n"/>
      <c r="K13" s="24" t="n"/>
      <c r="L13" s="23" t="n"/>
      <c r="M13" s="23" t="n"/>
      <c r="N13" s="23" t="n"/>
    </row>
    <row r="14">
      <c r="A14" s="23" t="n"/>
      <c r="B14" s="23" t="n"/>
      <c r="C14" s="23" t="n"/>
      <c r="D14" s="23" t="n"/>
      <c r="E14" s="24" t="n"/>
      <c r="F14" s="24" t="n"/>
      <c r="G14" s="23" t="n"/>
      <c r="H14" s="23" t="n"/>
      <c r="I14" s="24" t="n"/>
      <c r="J14" s="23" t="n"/>
      <c r="K14" s="24" t="n"/>
      <c r="L14" s="23" t="n"/>
      <c r="M14" s="23" t="n"/>
      <c r="N14" s="23" t="n"/>
    </row>
    <row r="15">
      <c r="A15" s="23" t="n"/>
      <c r="B15" s="23" t="n"/>
      <c r="C15" s="23" t="n"/>
      <c r="D15" s="23" t="n"/>
      <c r="E15" s="24" t="n"/>
      <c r="F15" s="24" t="n"/>
      <c r="G15" s="23" t="n"/>
      <c r="H15" s="23" t="n"/>
      <c r="I15" s="24" t="n"/>
      <c r="J15" s="23" t="n"/>
      <c r="K15" s="24" t="n"/>
      <c r="L15" s="23" t="n"/>
      <c r="M15" s="23" t="n"/>
      <c r="N15" s="23" t="n"/>
    </row>
    <row r="16">
      <c r="A16" s="23" t="n"/>
      <c r="B16" s="23" t="n"/>
      <c r="C16" s="23" t="n"/>
      <c r="D16" s="23" t="n"/>
      <c r="E16" s="24" t="n"/>
      <c r="F16" s="24" t="n"/>
      <c r="G16" s="23" t="n"/>
      <c r="H16" s="23" t="n"/>
      <c r="I16" s="24" t="n"/>
      <c r="J16" s="23" t="n"/>
      <c r="K16" s="24" t="n"/>
      <c r="L16" s="23" t="n"/>
      <c r="M16" s="23" t="n"/>
      <c r="N16" s="23" t="n"/>
    </row>
    <row r="17">
      <c r="A17" s="23" t="n"/>
      <c r="B17" s="23" t="n"/>
      <c r="C17" s="23" t="n"/>
      <c r="D17" s="23" t="n"/>
      <c r="E17" s="24" t="n"/>
      <c r="F17" s="24" t="n"/>
      <c r="G17" s="23" t="n"/>
      <c r="H17" s="23" t="n"/>
      <c r="I17" s="24" t="n"/>
      <c r="J17" s="23" t="n"/>
      <c r="K17" s="24" t="n"/>
      <c r="L17" s="23" t="n"/>
      <c r="M17" s="23" t="n"/>
      <c r="N17" s="23" t="n"/>
    </row>
    <row r="18">
      <c r="A18" s="23" t="n"/>
      <c r="B18" s="23" t="n"/>
      <c r="C18" s="23" t="n"/>
      <c r="D18" s="23" t="n"/>
      <c r="E18" s="24" t="n"/>
      <c r="F18" s="24" t="n"/>
      <c r="G18" s="23" t="n"/>
      <c r="H18" s="23" t="n"/>
      <c r="I18" s="24" t="n"/>
      <c r="J18" s="23" t="n"/>
      <c r="K18" s="24" t="n"/>
      <c r="L18" s="23" t="n"/>
      <c r="M18" s="23" t="n"/>
      <c r="N18" s="23" t="n"/>
    </row>
    <row r="19">
      <c r="A19" s="23" t="n"/>
      <c r="B19" s="23" t="n"/>
      <c r="C19" s="23" t="n"/>
      <c r="D19" s="23" t="n"/>
      <c r="E19" s="24" t="n"/>
      <c r="F19" s="24" t="n"/>
      <c r="G19" s="23" t="n"/>
      <c r="H19" s="23" t="n"/>
      <c r="I19" s="24" t="n"/>
      <c r="J19" s="23" t="n"/>
      <c r="K19" s="24" t="n"/>
      <c r="L19" s="23" t="n"/>
      <c r="M19" s="23" t="n"/>
      <c r="N19" s="23" t="n"/>
    </row>
    <row r="20">
      <c r="A20" s="23" t="n"/>
      <c r="B20" s="23" t="n"/>
      <c r="C20" s="23" t="n"/>
      <c r="D20" s="23" t="n"/>
      <c r="E20" s="24" t="n"/>
      <c r="F20" s="24" t="n"/>
      <c r="G20" s="23" t="n"/>
      <c r="H20" s="23" t="n"/>
      <c r="I20" s="24" t="n"/>
      <c r="J20" s="23" t="n"/>
      <c r="K20" s="24" t="n"/>
      <c r="L20" s="23" t="n"/>
      <c r="M20" s="23" t="n"/>
      <c r="N20" s="23" t="n"/>
    </row>
    <row r="21">
      <c r="A21" s="23" t="n"/>
      <c r="B21" s="23" t="n"/>
      <c r="C21" s="23" t="n"/>
      <c r="D21" s="23" t="n"/>
      <c r="E21" s="24" t="n"/>
      <c r="F21" s="24" t="n"/>
      <c r="G21" s="23" t="n"/>
      <c r="H21" s="23" t="n"/>
      <c r="I21" s="24" t="n"/>
      <c r="J21" s="23" t="n"/>
      <c r="K21" s="24" t="n"/>
      <c r="L21" s="23" t="n"/>
      <c r="M21" s="23" t="n"/>
      <c r="N21" s="23" t="n"/>
    </row>
    <row r="22">
      <c r="A22" s="23" t="n"/>
      <c r="B22" s="23" t="n"/>
      <c r="C22" s="23" t="n"/>
      <c r="D22" s="23" t="n"/>
      <c r="E22" s="24" t="n"/>
      <c r="F22" s="24" t="n"/>
      <c r="G22" s="23" t="n"/>
      <c r="H22" s="23" t="n"/>
      <c r="I22" s="24" t="n"/>
      <c r="J22" s="23" t="n"/>
      <c r="K22" s="24" t="n"/>
      <c r="L22" s="23" t="n"/>
      <c r="M22" s="23" t="n"/>
      <c r="N22" s="23" t="n"/>
    </row>
    <row r="23">
      <c r="A23" s="23" t="n"/>
      <c r="B23" s="23" t="n"/>
      <c r="C23" s="23" t="n"/>
      <c r="D23" s="23" t="n"/>
      <c r="E23" s="24" t="n"/>
      <c r="F23" s="24" t="n"/>
      <c r="G23" s="23" t="n"/>
      <c r="H23" s="23" t="n"/>
      <c r="I23" s="24" t="n"/>
      <c r="J23" s="23" t="n"/>
      <c r="K23" s="24" t="n"/>
      <c r="L23" s="23" t="n"/>
      <c r="M23" s="23" t="n"/>
      <c r="N23" s="23" t="n"/>
    </row>
    <row r="24">
      <c r="A24" s="23" t="n"/>
      <c r="B24" s="23" t="n"/>
      <c r="C24" s="23" t="n"/>
      <c r="D24" s="23" t="n"/>
      <c r="E24" s="24" t="n"/>
      <c r="F24" s="24" t="n"/>
      <c r="G24" s="23" t="n"/>
      <c r="H24" s="23" t="n"/>
      <c r="I24" s="24" t="n"/>
      <c r="J24" s="23" t="n"/>
      <c r="K24" s="24" t="n"/>
      <c r="L24" s="23" t="n"/>
      <c r="M24" s="23" t="n"/>
      <c r="N24" s="23" t="n"/>
    </row>
    <row r="25">
      <c r="A25" s="23" t="n"/>
      <c r="B25" s="23" t="n"/>
      <c r="C25" s="23" t="n"/>
      <c r="D25" s="23" t="n"/>
      <c r="E25" s="24" t="n"/>
      <c r="F25" s="24" t="n"/>
      <c r="G25" s="23" t="n"/>
      <c r="H25" s="23" t="n"/>
      <c r="I25" s="24" t="n"/>
      <c r="J25" s="23" t="n"/>
      <c r="K25" s="24" t="n"/>
      <c r="L25" s="23" t="n"/>
      <c r="M25" s="23" t="n"/>
      <c r="N25" s="23" t="n"/>
    </row>
    <row r="26">
      <c r="A26" s="23" t="n"/>
      <c r="B26" s="23" t="n"/>
      <c r="C26" s="23" t="n"/>
      <c r="D26" s="23" t="n"/>
      <c r="E26" s="24" t="n"/>
      <c r="F26" s="24" t="n"/>
      <c r="G26" s="23" t="n"/>
      <c r="H26" s="23" t="n"/>
      <c r="I26" s="24" t="n"/>
      <c r="J26" s="23" t="n"/>
      <c r="K26" s="24" t="n"/>
      <c r="L26" s="23" t="n"/>
      <c r="M26" s="23" t="n"/>
      <c r="N26" s="23" t="n"/>
    </row>
    <row r="27">
      <c r="A27" s="23" t="n"/>
      <c r="B27" s="23" t="n"/>
      <c r="C27" s="23" t="n"/>
      <c r="D27" s="23" t="n"/>
      <c r="E27" s="24" t="n"/>
      <c r="F27" s="24" t="n"/>
      <c r="G27" s="23" t="n"/>
      <c r="H27" s="23" t="n"/>
      <c r="I27" s="24" t="n"/>
      <c r="J27" s="23" t="n"/>
      <c r="K27" s="24" t="n"/>
      <c r="L27" s="23" t="n"/>
      <c r="M27" s="23" t="n"/>
      <c r="N27" s="23" t="n"/>
    </row>
    <row r="28">
      <c r="A28" s="23" t="n"/>
      <c r="B28" s="23" t="n"/>
      <c r="C28" s="23" t="n"/>
      <c r="D28" s="23" t="n"/>
      <c r="E28" s="24" t="n"/>
      <c r="F28" s="24" t="n"/>
      <c r="G28" s="23" t="n"/>
      <c r="H28" s="23" t="n"/>
      <c r="I28" s="24" t="n"/>
      <c r="J28" s="23" t="n"/>
      <c r="K28" s="24" t="n"/>
      <c r="L28" s="23" t="n"/>
      <c r="M28" s="23" t="n"/>
      <c r="N28" s="23" t="n"/>
    </row>
    <row r="29">
      <c r="A29" s="23" t="n"/>
      <c r="B29" s="23" t="n"/>
      <c r="C29" s="23" t="n"/>
      <c r="D29" s="23" t="n"/>
      <c r="E29" s="24" t="n"/>
      <c r="F29" s="24" t="n"/>
      <c r="G29" s="23" t="n"/>
      <c r="H29" s="23" t="n"/>
      <c r="I29" s="24" t="n"/>
      <c r="J29" s="23" t="n"/>
      <c r="K29" s="24" t="n"/>
      <c r="L29" s="23" t="n"/>
      <c r="M29" s="23" t="n"/>
      <c r="N29" s="23" t="n"/>
    </row>
    <row r="30">
      <c r="A30" s="23" t="n"/>
      <c r="B30" s="23" t="n"/>
      <c r="C30" s="23" t="n"/>
      <c r="D30" s="23" t="n"/>
      <c r="E30" s="24" t="n"/>
      <c r="F30" s="24" t="n"/>
      <c r="G30" s="23" t="n"/>
      <c r="H30" s="23" t="n"/>
      <c r="I30" s="24" t="n"/>
      <c r="J30" s="23" t="n"/>
      <c r="K30" s="24" t="n"/>
      <c r="L30" s="23" t="n"/>
      <c r="M30" s="23" t="n"/>
      <c r="N30" s="23" t="n"/>
    </row>
    <row r="31">
      <c r="A31" s="23" t="n"/>
      <c r="B31" s="23" t="n"/>
      <c r="C31" s="23" t="n"/>
      <c r="D31" s="23" t="n"/>
      <c r="E31" s="24" t="n"/>
      <c r="F31" s="24" t="n"/>
      <c r="G31" s="23" t="n"/>
      <c r="H31" s="23" t="n"/>
      <c r="I31" s="24" t="n"/>
      <c r="J31" s="23" t="n"/>
      <c r="K31" s="24" t="n"/>
      <c r="L31" s="23" t="n"/>
      <c r="M31" s="23" t="n"/>
      <c r="N31" s="23" t="n"/>
    </row>
    <row r="32">
      <c r="A32" s="23" t="n"/>
      <c r="B32" s="23" t="n"/>
      <c r="C32" s="23" t="n"/>
      <c r="D32" s="23" t="n"/>
      <c r="E32" s="24" t="n"/>
      <c r="F32" s="24" t="n"/>
      <c r="G32" s="23" t="n"/>
      <c r="H32" s="23" t="n"/>
      <c r="I32" s="24" t="n"/>
      <c r="J32" s="23" t="n"/>
      <c r="K32" s="24" t="n"/>
      <c r="L32" s="23" t="n"/>
      <c r="M32" s="23" t="n"/>
      <c r="N32" s="23" t="n"/>
    </row>
    <row r="33">
      <c r="A33" s="23" t="n"/>
      <c r="B33" s="23" t="n"/>
      <c r="C33" s="23" t="n"/>
      <c r="D33" s="23" t="n"/>
      <c r="E33" s="24" t="n"/>
      <c r="F33" s="24" t="n"/>
      <c r="G33" s="23" t="n"/>
      <c r="H33" s="23" t="n"/>
      <c r="I33" s="24" t="n"/>
      <c r="J33" s="23" t="n"/>
      <c r="K33" s="24" t="n"/>
      <c r="L33" s="23" t="n"/>
      <c r="M33" s="23" t="n"/>
      <c r="N33" s="23" t="n"/>
    </row>
    <row r="34">
      <c r="A34" s="23" t="n"/>
      <c r="B34" s="23" t="n"/>
      <c r="C34" s="23" t="n"/>
      <c r="D34" s="23" t="n"/>
      <c r="E34" s="24" t="n"/>
      <c r="F34" s="24" t="n"/>
      <c r="G34" s="23" t="n"/>
      <c r="H34" s="23" t="n"/>
      <c r="I34" s="24" t="n"/>
      <c r="J34" s="23" t="n"/>
      <c r="K34" s="24" t="n"/>
      <c r="L34" s="23" t="n"/>
      <c r="M34" s="23" t="n"/>
      <c r="N34" s="23" t="n"/>
    </row>
    <row r="35">
      <c r="A35" s="23" t="n"/>
      <c r="B35" s="23" t="n"/>
      <c r="C35" s="23" t="n"/>
      <c r="D35" s="23" t="n"/>
      <c r="E35" s="24" t="n"/>
      <c r="F35" s="24" t="n"/>
      <c r="G35" s="23" t="n"/>
      <c r="H35" s="23" t="n"/>
      <c r="I35" s="24" t="n"/>
      <c r="J35" s="23" t="n"/>
      <c r="K35" s="24" t="n"/>
      <c r="L35" s="23" t="n"/>
      <c r="M35" s="23" t="n"/>
      <c r="N35" s="23" t="n"/>
    </row>
    <row r="36">
      <c r="A36" s="23" t="n"/>
      <c r="B36" s="23" t="n"/>
      <c r="C36" s="23" t="n"/>
      <c r="D36" s="23" t="n"/>
      <c r="E36" s="24" t="n"/>
      <c r="F36" s="24" t="n"/>
      <c r="G36" s="23" t="n"/>
      <c r="H36" s="23" t="n"/>
      <c r="I36" s="24" t="n"/>
      <c r="J36" s="23" t="n"/>
      <c r="K36" s="24" t="n"/>
      <c r="L36" s="23" t="n"/>
      <c r="M36" s="23" t="n"/>
      <c r="N36" s="23" t="n"/>
    </row>
    <row r="37">
      <c r="A37" s="23" t="n"/>
      <c r="B37" s="23" t="n"/>
      <c r="C37" s="23" t="n"/>
      <c r="D37" s="23" t="n"/>
      <c r="E37" s="24" t="n"/>
      <c r="F37" s="24" t="n"/>
      <c r="G37" s="23" t="n"/>
      <c r="H37" s="23" t="n"/>
      <c r="I37" s="24" t="n"/>
      <c r="J37" s="23" t="n"/>
      <c r="K37" s="24" t="n"/>
      <c r="L37" s="23" t="n"/>
      <c r="M37" s="23" t="n"/>
      <c r="N37" s="23" t="n"/>
    </row>
    <row r="38">
      <c r="A38" s="23" t="n"/>
      <c r="B38" s="23" t="n"/>
      <c r="C38" s="23" t="n"/>
      <c r="D38" s="23" t="n"/>
      <c r="E38" s="24" t="n"/>
      <c r="F38" s="24" t="n"/>
      <c r="G38" s="23" t="n"/>
      <c r="H38" s="23" t="n"/>
      <c r="I38" s="24" t="n"/>
      <c r="J38" s="23" t="n"/>
      <c r="K38" s="24" t="n"/>
      <c r="L38" s="23" t="n"/>
      <c r="M38" s="23" t="n"/>
      <c r="N38" s="23" t="n"/>
    </row>
    <row r="39">
      <c r="A39" s="23" t="n"/>
      <c r="B39" s="23" t="n"/>
      <c r="C39" s="23" t="n"/>
      <c r="D39" s="23" t="n"/>
      <c r="E39" s="24" t="n"/>
      <c r="F39" s="24" t="n"/>
      <c r="G39" s="23" t="n"/>
      <c r="H39" s="23" t="n"/>
      <c r="I39" s="24" t="n"/>
      <c r="J39" s="23" t="n"/>
      <c r="K39" s="24" t="n"/>
      <c r="L39" s="23" t="n"/>
      <c r="M39" s="23" t="n"/>
      <c r="N39" s="23" t="n"/>
    </row>
    <row r="40">
      <c r="A40" s="23" t="n"/>
      <c r="B40" s="23" t="n"/>
      <c r="C40" s="23" t="n"/>
      <c r="D40" s="23" t="n"/>
      <c r="E40" s="24" t="n"/>
      <c r="F40" s="24" t="n"/>
      <c r="G40" s="23" t="n"/>
      <c r="H40" s="23" t="n"/>
      <c r="I40" s="24" t="n"/>
      <c r="J40" s="23" t="n"/>
      <c r="K40" s="24" t="n"/>
      <c r="L40" s="23" t="n"/>
      <c r="M40" s="23" t="n"/>
      <c r="N40" s="23" t="n"/>
    </row>
    <row r="41">
      <c r="A41" s="23" t="n"/>
      <c r="B41" s="23" t="n"/>
      <c r="C41" s="23" t="n"/>
      <c r="D41" s="23" t="n"/>
      <c r="E41" s="24" t="n"/>
      <c r="F41" s="24" t="n"/>
      <c r="G41" s="23" t="n"/>
      <c r="H41" s="23" t="n"/>
      <c r="I41" s="24" t="n"/>
      <c r="J41" s="23" t="n"/>
      <c r="K41" s="24" t="n"/>
      <c r="L41" s="23" t="n"/>
      <c r="M41" s="23" t="n"/>
      <c r="N41" s="23" t="n"/>
    </row>
    <row r="42">
      <c r="A42" s="23" t="n"/>
      <c r="B42" s="23" t="n"/>
      <c r="C42" s="23" t="n"/>
      <c r="D42" s="23" t="n"/>
      <c r="E42" s="24" t="n"/>
      <c r="F42" s="24" t="n"/>
      <c r="G42" s="23" t="n"/>
      <c r="H42" s="23" t="n"/>
      <c r="I42" s="24" t="n"/>
      <c r="J42" s="23" t="n"/>
      <c r="K42" s="24" t="n"/>
      <c r="L42" s="23" t="n"/>
      <c r="M42" s="23" t="n"/>
      <c r="N42" s="23" t="n"/>
    </row>
    <row r="43">
      <c r="A43" s="23" t="n"/>
      <c r="B43" s="23" t="n"/>
      <c r="C43" s="23" t="n"/>
      <c r="D43" s="23" t="n"/>
      <c r="E43" s="24" t="n"/>
      <c r="F43" s="24" t="n"/>
      <c r="G43" s="23" t="n"/>
      <c r="H43" s="23" t="n"/>
      <c r="I43" s="24" t="n"/>
      <c r="J43" s="23" t="n"/>
      <c r="K43" s="24" t="n"/>
      <c r="L43" s="23" t="n"/>
      <c r="M43" s="23" t="n"/>
      <c r="N43" s="23" t="n"/>
    </row>
    <row r="44">
      <c r="A44" s="23" t="n"/>
      <c r="B44" s="23" t="n"/>
      <c r="C44" s="23" t="n"/>
      <c r="D44" s="23" t="n"/>
      <c r="E44" s="24" t="n"/>
      <c r="F44" s="24" t="n"/>
      <c r="G44" s="23" t="n"/>
      <c r="H44" s="23" t="n"/>
      <c r="I44" s="24" t="n"/>
      <c r="J44" s="23" t="n"/>
      <c r="K44" s="24" t="n"/>
      <c r="L44" s="23" t="n"/>
      <c r="M44" s="23" t="n"/>
      <c r="N44" s="23" t="n"/>
    </row>
    <row r="45">
      <c r="A45" s="23" t="n"/>
      <c r="B45" s="23" t="n"/>
      <c r="C45" s="23" t="n"/>
      <c r="D45" s="23" t="n"/>
      <c r="E45" s="24" t="n"/>
      <c r="F45" s="24" t="n"/>
      <c r="G45" s="23" t="n"/>
      <c r="H45" s="23" t="n"/>
      <c r="I45" s="24" t="n"/>
      <c r="J45" s="23" t="n"/>
      <c r="K45" s="24" t="n"/>
      <c r="L45" s="23" t="n"/>
      <c r="M45" s="23" t="n"/>
      <c r="N45" s="23" t="n"/>
    </row>
    <row r="46">
      <c r="A46" s="23" t="n"/>
      <c r="B46" s="23" t="n"/>
      <c r="C46" s="23" t="n"/>
      <c r="D46" s="23" t="n"/>
      <c r="E46" s="24" t="n"/>
      <c r="F46" s="24" t="n"/>
      <c r="G46" s="23" t="n"/>
      <c r="H46" s="23" t="n"/>
      <c r="I46" s="24" t="n"/>
      <c r="J46" s="23" t="n"/>
      <c r="K46" s="24" t="n"/>
      <c r="L46" s="23" t="n"/>
      <c r="M46" s="23" t="n"/>
      <c r="N46" s="23" t="n"/>
    </row>
    <row r="47">
      <c r="A47" s="23" t="n"/>
      <c r="B47" s="23" t="n"/>
      <c r="C47" s="23" t="n"/>
      <c r="D47" s="23" t="n"/>
      <c r="E47" s="24" t="n"/>
      <c r="F47" s="24" t="n"/>
      <c r="G47" s="23" t="n"/>
      <c r="H47" s="23" t="n"/>
      <c r="I47" s="24" t="n"/>
      <c r="J47" s="23" t="n"/>
      <c r="K47" s="24" t="n"/>
      <c r="L47" s="23" t="n"/>
      <c r="M47" s="23" t="n"/>
      <c r="N47" s="23" t="n"/>
    </row>
    <row r="48">
      <c r="A48" s="23" t="n"/>
      <c r="B48" s="23" t="n"/>
      <c r="C48" s="23" t="n"/>
      <c r="D48" s="23" t="n"/>
      <c r="E48" s="24" t="n"/>
      <c r="F48" s="24" t="n"/>
      <c r="G48" s="23" t="n"/>
      <c r="H48" s="23" t="n"/>
      <c r="I48" s="24" t="n"/>
      <c r="J48" s="23" t="n"/>
      <c r="K48" s="24" t="n"/>
      <c r="L48" s="23" t="n"/>
      <c r="M48" s="23" t="n"/>
      <c r="N48" s="23" t="n"/>
    </row>
    <row r="49">
      <c r="A49" s="23" t="n"/>
      <c r="B49" s="23" t="n"/>
      <c r="C49" s="23" t="n"/>
      <c r="D49" s="23" t="n"/>
      <c r="E49" s="24" t="n"/>
      <c r="F49" s="24" t="n"/>
      <c r="G49" s="23" t="n"/>
      <c r="H49" s="23" t="n"/>
      <c r="I49" s="24" t="n"/>
      <c r="J49" s="23" t="n"/>
      <c r="K49" s="24" t="n"/>
      <c r="L49" s="23" t="n"/>
      <c r="M49" s="23" t="n"/>
      <c r="N49" s="23" t="n"/>
    </row>
    <row r="50">
      <c r="A50" s="23" t="n"/>
      <c r="B50" s="23" t="n"/>
      <c r="C50" s="23" t="n"/>
      <c r="D50" s="23" t="n"/>
      <c r="E50" s="24" t="n"/>
      <c r="F50" s="24" t="n"/>
      <c r="G50" s="23" t="n"/>
      <c r="H50" s="23" t="n"/>
      <c r="I50" s="24" t="n"/>
      <c r="J50" s="23" t="n"/>
      <c r="K50" s="24" t="n"/>
      <c r="L50" s="23" t="n"/>
      <c r="M50" s="23" t="n"/>
      <c r="N50" s="23" t="n"/>
    </row>
    <row r="51">
      <c r="A51" s="23" t="n"/>
      <c r="B51" s="23" t="n"/>
      <c r="C51" s="23" t="n"/>
      <c r="D51" s="23" t="n"/>
      <c r="E51" s="24" t="n"/>
      <c r="F51" s="24" t="n"/>
      <c r="G51" s="23" t="n"/>
      <c r="H51" s="23" t="n"/>
      <c r="I51" s="24" t="n"/>
      <c r="J51" s="23" t="n"/>
      <c r="K51" s="24" t="n"/>
      <c r="L51" s="23" t="n"/>
      <c r="M51" s="23" t="n"/>
      <c r="N51" s="23" t="n"/>
    </row>
    <row r="52">
      <c r="A52" s="23" t="n"/>
      <c r="B52" s="23" t="n"/>
      <c r="C52" s="23" t="n"/>
      <c r="D52" s="23" t="n"/>
      <c r="E52" s="24" t="n"/>
      <c r="F52" s="24" t="n"/>
      <c r="G52" s="23" t="n"/>
      <c r="H52" s="23" t="n"/>
      <c r="I52" s="24" t="n"/>
      <c r="J52" s="23" t="n"/>
      <c r="K52" s="24" t="n"/>
      <c r="L52" s="23" t="n"/>
      <c r="M52" s="23" t="n"/>
      <c r="N52" s="23" t="n"/>
    </row>
    <row r="53">
      <c r="A53" s="23" t="n"/>
      <c r="B53" s="23" t="n"/>
      <c r="C53" s="23" t="n"/>
      <c r="D53" s="23" t="n"/>
      <c r="E53" s="24" t="n"/>
      <c r="F53" s="24" t="n"/>
      <c r="G53" s="23" t="n"/>
      <c r="H53" s="23" t="n"/>
      <c r="I53" s="24" t="n"/>
      <c r="J53" s="23" t="n"/>
      <c r="K53" s="24" t="n"/>
      <c r="L53" s="23" t="n"/>
      <c r="M53" s="23" t="n"/>
      <c r="N53" s="23" t="n"/>
    </row>
    <row r="54">
      <c r="A54" s="23" t="n"/>
      <c r="B54" s="23" t="n"/>
      <c r="C54" s="23" t="n"/>
      <c r="D54" s="23" t="n"/>
      <c r="E54" s="24" t="n"/>
      <c r="F54" s="24" t="n"/>
      <c r="G54" s="23" t="n"/>
      <c r="H54" s="23" t="n"/>
      <c r="I54" s="24" t="n"/>
      <c r="J54" s="23" t="n"/>
      <c r="K54" s="24" t="n"/>
      <c r="L54" s="23" t="n"/>
      <c r="M54" s="23" t="n"/>
      <c r="N54" s="23" t="n"/>
    </row>
    <row r="55">
      <c r="A55" s="23" t="n"/>
      <c r="B55" s="23" t="n"/>
      <c r="C55" s="23" t="n"/>
      <c r="D55" s="23" t="n"/>
      <c r="E55" s="24" t="n"/>
      <c r="F55" s="24" t="n"/>
      <c r="G55" s="23" t="n"/>
      <c r="H55" s="23" t="n"/>
      <c r="I55" s="24" t="n"/>
      <c r="J55" s="23" t="n"/>
      <c r="K55" s="24" t="n"/>
      <c r="L55" s="23" t="n"/>
      <c r="M55" s="23" t="n"/>
      <c r="N55" s="23" t="n"/>
    </row>
    <row r="56">
      <c r="A56" s="23" t="n"/>
      <c r="B56" s="23" t="n"/>
      <c r="C56" s="23" t="n"/>
      <c r="D56" s="23" t="n"/>
      <c r="E56" s="24" t="n"/>
      <c r="F56" s="24" t="n"/>
      <c r="G56" s="23" t="n"/>
      <c r="H56" s="23" t="n"/>
      <c r="I56" s="24" t="n"/>
      <c r="J56" s="23" t="n"/>
      <c r="K56" s="24" t="n"/>
      <c r="L56" s="23" t="n"/>
      <c r="M56" s="23" t="n"/>
      <c r="N56" s="23" t="n"/>
    </row>
    <row r="57">
      <c r="A57" s="23" t="n"/>
      <c r="B57" s="23" t="n"/>
      <c r="C57" s="23" t="n"/>
      <c r="D57" s="23" t="n"/>
      <c r="E57" s="24" t="n"/>
      <c r="F57" s="24" t="n"/>
      <c r="G57" s="23" t="n"/>
      <c r="H57" s="23" t="n"/>
      <c r="I57" s="24" t="n"/>
      <c r="J57" s="23" t="n"/>
      <c r="K57" s="24" t="n"/>
      <c r="L57" s="23" t="n"/>
      <c r="M57" s="23" t="n"/>
      <c r="N57" s="23" t="n"/>
    </row>
    <row r="58">
      <c r="A58" s="23" t="n"/>
      <c r="B58" s="23" t="n"/>
      <c r="C58" s="23" t="n"/>
      <c r="D58" s="23" t="n"/>
      <c r="E58" s="24" t="n"/>
      <c r="F58" s="24" t="n"/>
      <c r="G58" s="23" t="n"/>
      <c r="H58" s="23" t="n"/>
      <c r="I58" s="24" t="n"/>
      <c r="J58" s="23" t="n"/>
      <c r="K58" s="24" t="n"/>
      <c r="L58" s="23" t="n"/>
      <c r="M58" s="23" t="n"/>
      <c r="N58" s="23" t="n"/>
    </row>
    <row r="59">
      <c r="A59" s="23" t="n"/>
      <c r="B59" s="23" t="n"/>
      <c r="C59" s="23" t="n"/>
      <c r="D59" s="23" t="n"/>
      <c r="E59" s="24" t="n"/>
      <c r="F59" s="24" t="n"/>
      <c r="G59" s="23" t="n"/>
      <c r="H59" s="23" t="n"/>
      <c r="I59" s="24" t="n"/>
      <c r="J59" s="23" t="n"/>
      <c r="K59" s="24" t="n"/>
      <c r="L59" s="23" t="n"/>
      <c r="M59" s="23" t="n"/>
      <c r="N59" s="23" t="n"/>
    </row>
    <row r="60">
      <c r="A60" s="23" t="n"/>
      <c r="B60" s="23" t="n"/>
      <c r="C60" s="23" t="n"/>
      <c r="D60" s="23" t="n"/>
      <c r="E60" s="24" t="n"/>
      <c r="F60" s="24" t="n"/>
      <c r="G60" s="23" t="n"/>
      <c r="H60" s="23" t="n"/>
      <c r="I60" s="24" t="n"/>
      <c r="J60" s="23" t="n"/>
      <c r="K60" s="24" t="n"/>
      <c r="L60" s="23" t="n"/>
      <c r="M60" s="23" t="n"/>
      <c r="N60" s="23" t="n"/>
    </row>
    <row r="61">
      <c r="A61" s="23" t="n"/>
      <c r="B61" s="23" t="n"/>
      <c r="C61" s="23" t="n"/>
      <c r="D61" s="23" t="n"/>
      <c r="E61" s="24" t="n"/>
      <c r="F61" s="24" t="n"/>
      <c r="G61" s="23" t="n"/>
      <c r="H61" s="23" t="n"/>
      <c r="I61" s="24" t="n"/>
      <c r="J61" s="23" t="n"/>
      <c r="K61" s="24" t="n"/>
      <c r="L61" s="23" t="n"/>
      <c r="M61" s="23" t="n"/>
      <c r="N61" s="23" t="n"/>
    </row>
    <row r="62">
      <c r="A62" s="23" t="n"/>
      <c r="B62" s="23" t="n"/>
      <c r="C62" s="23" t="n"/>
      <c r="D62" s="23" t="n"/>
      <c r="E62" s="24" t="n"/>
      <c r="F62" s="24" t="n"/>
      <c r="G62" s="23" t="n"/>
      <c r="H62" s="23" t="n"/>
      <c r="I62" s="24" t="n"/>
      <c r="J62" s="23" t="n"/>
      <c r="K62" s="24" t="n"/>
      <c r="L62" s="23" t="n"/>
      <c r="M62" s="23" t="n"/>
      <c r="N62" s="23" t="n"/>
    </row>
    <row r="63">
      <c r="A63" s="23" t="n"/>
      <c r="B63" s="23" t="n"/>
      <c r="C63" s="23" t="n"/>
      <c r="D63" s="23" t="n"/>
      <c r="E63" s="24" t="n"/>
      <c r="F63" s="24" t="n"/>
      <c r="G63" s="23" t="n"/>
      <c r="H63" s="23" t="n"/>
      <c r="I63" s="24" t="n"/>
      <c r="J63" s="23" t="n"/>
      <c r="K63" s="24" t="n"/>
      <c r="L63" s="23" t="n"/>
      <c r="M63" s="23" t="n"/>
      <c r="N63" s="23" t="n"/>
    </row>
    <row r="64">
      <c r="A64" s="23" t="n"/>
      <c r="B64" s="23" t="n"/>
      <c r="C64" s="23" t="n"/>
      <c r="D64" s="23" t="n"/>
      <c r="E64" s="24" t="n"/>
      <c r="F64" s="24" t="n"/>
      <c r="G64" s="23" t="n"/>
      <c r="H64" s="23" t="n"/>
      <c r="I64" s="24" t="n"/>
      <c r="J64" s="23" t="n"/>
      <c r="K64" s="24" t="n"/>
      <c r="L64" s="23" t="n"/>
      <c r="M64" s="23" t="n"/>
      <c r="N64" s="23" t="n"/>
    </row>
    <row r="65">
      <c r="A65" s="23" t="n"/>
      <c r="B65" s="23" t="n"/>
      <c r="C65" s="23" t="n"/>
      <c r="D65" s="23" t="n"/>
      <c r="E65" s="24" t="n"/>
      <c r="F65" s="24" t="n"/>
      <c r="G65" s="23" t="n"/>
      <c r="H65" s="23" t="n"/>
      <c r="I65" s="24" t="n"/>
      <c r="J65" s="23" t="n"/>
      <c r="K65" s="24" t="n"/>
      <c r="L65" s="23" t="n"/>
      <c r="M65" s="23" t="n"/>
      <c r="N65" s="23" t="n"/>
    </row>
    <row r="66">
      <c r="A66" s="23" t="n"/>
      <c r="B66" s="23" t="n"/>
      <c r="C66" s="23" t="n"/>
      <c r="D66" s="23" t="n"/>
      <c r="E66" s="24" t="n"/>
      <c r="F66" s="24" t="n"/>
      <c r="G66" s="23" t="n"/>
      <c r="H66" s="23" t="n"/>
      <c r="I66" s="24" t="n"/>
      <c r="J66" s="23" t="n"/>
      <c r="K66" s="24" t="n"/>
      <c r="L66" s="23" t="n"/>
      <c r="M66" s="23" t="n"/>
      <c r="N66" s="23" t="n"/>
    </row>
    <row r="67">
      <c r="A67" s="23" t="n"/>
      <c r="B67" s="23" t="n"/>
      <c r="C67" s="23" t="n"/>
      <c r="D67" s="23" t="n"/>
      <c r="E67" s="24" t="n"/>
      <c r="F67" s="24" t="n"/>
      <c r="G67" s="23" t="n"/>
      <c r="H67" s="23" t="n"/>
      <c r="I67" s="24" t="n"/>
      <c r="J67" s="23" t="n"/>
      <c r="K67" s="24" t="n"/>
      <c r="L67" s="23" t="n"/>
      <c r="M67" s="23" t="n"/>
      <c r="N67" s="23" t="n"/>
    </row>
    <row r="68">
      <c r="A68" s="23" t="n"/>
      <c r="B68" s="23" t="n"/>
      <c r="C68" s="23" t="n"/>
      <c r="D68" s="23" t="n"/>
      <c r="E68" s="24" t="n"/>
      <c r="F68" s="24" t="n"/>
      <c r="G68" s="23" t="n"/>
      <c r="H68" s="23" t="n"/>
      <c r="I68" s="24" t="n"/>
      <c r="J68" s="23" t="n"/>
      <c r="K68" s="24" t="n"/>
      <c r="L68" s="23" t="n"/>
      <c r="M68" s="23" t="n"/>
      <c r="N68" s="23" t="n"/>
    </row>
    <row r="69">
      <c r="A69" s="23" t="n"/>
      <c r="B69" s="23" t="n"/>
      <c r="C69" s="23" t="n"/>
      <c r="D69" s="23" t="n"/>
      <c r="E69" s="24" t="n"/>
      <c r="F69" s="24" t="n"/>
      <c r="G69" s="23" t="n"/>
      <c r="H69" s="23" t="n"/>
      <c r="I69" s="24" t="n"/>
      <c r="J69" s="23" t="n"/>
      <c r="K69" s="24" t="n"/>
      <c r="L69" s="23" t="n"/>
      <c r="M69" s="23" t="n"/>
      <c r="N69" s="23" t="n"/>
    </row>
    <row r="70">
      <c r="A70" s="23" t="n"/>
      <c r="B70" s="23" t="n"/>
      <c r="C70" s="23" t="n"/>
      <c r="D70" s="23" t="n"/>
      <c r="E70" s="24" t="n"/>
      <c r="F70" s="24" t="n"/>
      <c r="G70" s="23" t="n"/>
      <c r="H70" s="23" t="n"/>
      <c r="I70" s="24" t="n"/>
      <c r="J70" s="23" t="n"/>
      <c r="K70" s="24" t="n"/>
      <c r="L70" s="23" t="n"/>
      <c r="M70" s="23" t="n"/>
      <c r="N70" s="23" t="n"/>
    </row>
    <row r="71">
      <c r="A71" s="23" t="n"/>
      <c r="B71" s="23" t="n"/>
      <c r="C71" s="23" t="n"/>
      <c r="D71" s="23" t="n"/>
      <c r="E71" s="24" t="n"/>
      <c r="F71" s="24" t="n"/>
      <c r="G71" s="23" t="n"/>
      <c r="H71" s="23" t="n"/>
      <c r="I71" s="24" t="n"/>
      <c r="J71" s="23" t="n"/>
      <c r="K71" s="24" t="n"/>
      <c r="L71" s="23" t="n"/>
      <c r="M71" s="23" t="n"/>
      <c r="N71" s="23" t="n"/>
    </row>
    <row r="72">
      <c r="A72" s="23" t="n"/>
      <c r="B72" s="23" t="n"/>
      <c r="C72" s="23" t="n"/>
      <c r="D72" s="23" t="n"/>
      <c r="E72" s="24" t="n"/>
      <c r="F72" s="24" t="n"/>
      <c r="G72" s="23" t="n"/>
      <c r="H72" s="23" t="n"/>
      <c r="I72" s="24" t="n"/>
      <c r="J72" s="23" t="n"/>
      <c r="K72" s="24" t="n"/>
      <c r="L72" s="23" t="n"/>
      <c r="M72" s="23" t="n"/>
      <c r="N72" s="23" t="n"/>
    </row>
    <row r="73">
      <c r="A73" s="23" t="n"/>
      <c r="B73" s="23" t="n"/>
      <c r="C73" s="23" t="n"/>
      <c r="D73" s="23" t="n"/>
      <c r="E73" s="24" t="n"/>
      <c r="F73" s="24" t="n"/>
      <c r="G73" s="23" t="n"/>
      <c r="H73" s="23" t="n"/>
      <c r="I73" s="24" t="n"/>
      <c r="J73" s="23" t="n"/>
      <c r="K73" s="24" t="n"/>
      <c r="L73" s="23" t="n"/>
      <c r="M73" s="23" t="n"/>
      <c r="N73" s="23" t="n"/>
    </row>
    <row r="74">
      <c r="A74" s="23" t="n"/>
      <c r="B74" s="23" t="n"/>
      <c r="C74" s="23" t="n"/>
      <c r="D74" s="23" t="n"/>
      <c r="E74" s="24" t="n"/>
      <c r="F74" s="24" t="n"/>
      <c r="G74" s="23" t="n"/>
      <c r="H74" s="23" t="n"/>
      <c r="I74" s="24" t="n"/>
      <c r="J74" s="23" t="n"/>
      <c r="K74" s="24" t="n"/>
      <c r="L74" s="23" t="n"/>
      <c r="M74" s="23" t="n"/>
      <c r="N74" s="23" t="n"/>
    </row>
    <row r="75">
      <c r="A75" s="23" t="n"/>
      <c r="B75" s="23" t="n"/>
      <c r="C75" s="23" t="n"/>
      <c r="D75" s="23" t="n"/>
      <c r="E75" s="24" t="n"/>
      <c r="F75" s="24" t="n"/>
      <c r="G75" s="23" t="n"/>
      <c r="H75" s="23" t="n"/>
      <c r="I75" s="24" t="n"/>
      <c r="J75" s="23" t="n"/>
      <c r="K75" s="24" t="n"/>
      <c r="L75" s="23" t="n"/>
      <c r="M75" s="23" t="n"/>
      <c r="N75" s="23" t="n"/>
    </row>
    <row r="76">
      <c r="A76" s="23" t="n"/>
      <c r="B76" s="23" t="n"/>
      <c r="C76" s="23" t="n"/>
      <c r="D76" s="23" t="n"/>
      <c r="E76" s="24" t="n"/>
      <c r="F76" s="24" t="n"/>
      <c r="G76" s="23" t="n"/>
      <c r="H76" s="23" t="n"/>
      <c r="I76" s="24" t="n"/>
      <c r="J76" s="23" t="n"/>
      <c r="K76" s="24" t="n"/>
      <c r="L76" s="23" t="n"/>
      <c r="M76" s="23" t="n"/>
      <c r="N76" s="23" t="n"/>
    </row>
    <row r="77">
      <c r="A77" s="23" t="n"/>
      <c r="B77" s="23" t="n"/>
      <c r="C77" s="23" t="n"/>
      <c r="D77" s="23" t="n"/>
      <c r="E77" s="24" t="n"/>
      <c r="F77" s="24" t="n"/>
      <c r="G77" s="23" t="n"/>
      <c r="H77" s="23" t="n"/>
      <c r="I77" s="24" t="n"/>
      <c r="J77" s="23" t="n"/>
      <c r="K77" s="24" t="n"/>
      <c r="L77" s="23" t="n"/>
      <c r="M77" s="23" t="n"/>
      <c r="N77" s="23" t="n"/>
    </row>
    <row r="78">
      <c r="A78" s="23" t="n"/>
      <c r="B78" s="23" t="n"/>
      <c r="C78" s="23" t="n"/>
      <c r="D78" s="23" t="n"/>
      <c r="E78" s="24" t="n"/>
      <c r="F78" s="24" t="n"/>
      <c r="G78" s="23" t="n"/>
      <c r="H78" s="23" t="n"/>
      <c r="I78" s="24" t="n"/>
      <c r="J78" s="23" t="n"/>
      <c r="K78" s="24" t="n"/>
      <c r="L78" s="23" t="n"/>
      <c r="M78" s="23" t="n"/>
      <c r="N78" s="23" t="n"/>
    </row>
    <row r="79">
      <c r="A79" s="23" t="n"/>
      <c r="B79" s="23" t="n"/>
      <c r="C79" s="23" t="n"/>
      <c r="D79" s="23" t="n"/>
      <c r="E79" s="24" t="n"/>
      <c r="F79" s="24" t="n"/>
      <c r="G79" s="23" t="n"/>
      <c r="H79" s="23" t="n"/>
      <c r="I79" s="24" t="n"/>
      <c r="J79" s="23" t="n"/>
      <c r="K79" s="24" t="n"/>
      <c r="L79" s="23" t="n"/>
      <c r="M79" s="23" t="n"/>
      <c r="N79" s="23" t="n"/>
    </row>
    <row r="80">
      <c r="A80" s="23" t="n"/>
      <c r="B80" s="23" t="n"/>
      <c r="C80" s="23" t="n"/>
      <c r="D80" s="23" t="n"/>
      <c r="E80" s="24" t="n"/>
      <c r="F80" s="24" t="n"/>
      <c r="G80" s="23" t="n"/>
      <c r="H80" s="23" t="n"/>
      <c r="I80" s="24" t="n"/>
      <c r="J80" s="23" t="n"/>
      <c r="K80" s="24" t="n"/>
      <c r="L80" s="23" t="n"/>
      <c r="M80" s="23" t="n"/>
      <c r="N80" s="23" t="n"/>
    </row>
    <row r="81">
      <c r="A81" s="23" t="n"/>
      <c r="B81" s="23" t="n"/>
      <c r="C81" s="23" t="n"/>
      <c r="D81" s="23" t="n"/>
      <c r="E81" s="24" t="n"/>
      <c r="F81" s="24" t="n"/>
      <c r="G81" s="23" t="n"/>
      <c r="H81" s="23" t="n"/>
      <c r="I81" s="24" t="n"/>
      <c r="J81" s="23" t="n"/>
      <c r="K81" s="24" t="n"/>
      <c r="L81" s="23" t="n"/>
      <c r="M81" s="23" t="n"/>
      <c r="N81" s="23" t="n"/>
    </row>
    <row r="82">
      <c r="A82" s="23" t="n"/>
      <c r="B82" s="23" t="n"/>
      <c r="C82" s="23" t="n"/>
      <c r="D82" s="23" t="n"/>
      <c r="E82" s="24" t="n"/>
      <c r="F82" s="24" t="n"/>
      <c r="G82" s="23" t="n"/>
      <c r="H82" s="23" t="n"/>
      <c r="I82" s="24" t="n"/>
      <c r="J82" s="23" t="n"/>
      <c r="K82" s="24" t="n"/>
      <c r="L82" s="23" t="n"/>
      <c r="M82" s="23" t="n"/>
      <c r="N82" s="23" t="n"/>
    </row>
    <row r="83">
      <c r="A83" s="23" t="n"/>
      <c r="B83" s="23" t="n"/>
      <c r="C83" s="23" t="n"/>
      <c r="D83" s="23" t="n"/>
      <c r="E83" s="24" t="n"/>
      <c r="F83" s="24" t="n"/>
      <c r="G83" s="23" t="n"/>
      <c r="H83" s="23" t="n"/>
      <c r="I83" s="24" t="n"/>
      <c r="J83" s="23" t="n"/>
      <c r="K83" s="24" t="n"/>
      <c r="L83" s="23" t="n"/>
      <c r="M83" s="23" t="n"/>
      <c r="N83" s="23" t="n"/>
    </row>
    <row r="84">
      <c r="A84" s="23" t="n"/>
      <c r="B84" s="23" t="n"/>
      <c r="C84" s="23" t="n"/>
      <c r="D84" s="23" t="n"/>
      <c r="E84" s="24" t="n"/>
      <c r="F84" s="24" t="n"/>
      <c r="G84" s="23" t="n"/>
      <c r="H84" s="23" t="n"/>
      <c r="I84" s="24" t="n"/>
      <c r="J84" s="23" t="n"/>
      <c r="K84" s="24" t="n"/>
      <c r="L84" s="23" t="n"/>
      <c r="M84" s="23" t="n"/>
      <c r="N84" s="23" t="n"/>
    </row>
    <row r="85">
      <c r="A85" s="23" t="n"/>
      <c r="B85" s="23" t="n"/>
      <c r="C85" s="23" t="n"/>
      <c r="D85" s="23" t="n"/>
      <c r="E85" s="24" t="n"/>
      <c r="F85" s="24" t="n"/>
      <c r="G85" s="23" t="n"/>
      <c r="H85" s="23" t="n"/>
      <c r="I85" s="24" t="n"/>
      <c r="J85" s="23" t="n"/>
      <c r="K85" s="24" t="n"/>
      <c r="L85" s="23" t="n"/>
      <c r="M85" s="23" t="n"/>
      <c r="N85" s="23" t="n"/>
    </row>
    <row r="86">
      <c r="A86" s="23" t="n"/>
      <c r="B86" s="23" t="n"/>
      <c r="C86" s="23" t="n"/>
      <c r="D86" s="23" t="n"/>
      <c r="E86" s="24" t="n"/>
      <c r="F86" s="24" t="n"/>
      <c r="G86" s="23" t="n"/>
      <c r="H86" s="23" t="n"/>
      <c r="I86" s="24" t="n"/>
      <c r="J86" s="23" t="n"/>
      <c r="K86" s="24" t="n"/>
      <c r="L86" s="23" t="n"/>
      <c r="M86" s="23" t="n"/>
      <c r="N86" s="23" t="n"/>
    </row>
    <row r="87">
      <c r="A87" s="23" t="n"/>
      <c r="B87" s="23" t="n"/>
      <c r="C87" s="23" t="n"/>
      <c r="D87" s="23" t="n"/>
      <c r="E87" s="24" t="n"/>
      <c r="F87" s="24" t="n"/>
      <c r="G87" s="23" t="n"/>
      <c r="H87" s="23" t="n"/>
      <c r="I87" s="24" t="n"/>
      <c r="J87" s="23" t="n"/>
      <c r="K87" s="24" t="n"/>
      <c r="L87" s="23" t="n"/>
      <c r="M87" s="23" t="n"/>
      <c r="N87" s="23" t="n"/>
    </row>
    <row r="88">
      <c r="A88" s="23" t="n"/>
      <c r="B88" s="23" t="n"/>
      <c r="C88" s="23" t="n"/>
      <c r="D88" s="23" t="n"/>
      <c r="E88" s="24" t="n"/>
      <c r="F88" s="24" t="n"/>
      <c r="G88" s="23" t="n"/>
      <c r="H88" s="23" t="n"/>
      <c r="I88" s="24" t="n"/>
      <c r="J88" s="23" t="n"/>
      <c r="K88" s="24" t="n"/>
      <c r="L88" s="23" t="n"/>
      <c r="M88" s="23" t="n"/>
      <c r="N88" s="23" t="n"/>
    </row>
    <row r="89">
      <c r="A89" s="23" t="n"/>
      <c r="B89" s="23" t="n"/>
      <c r="C89" s="23" t="n"/>
      <c r="D89" s="23" t="n"/>
      <c r="E89" s="24" t="n"/>
      <c r="F89" s="24" t="n"/>
      <c r="G89" s="23" t="n"/>
      <c r="H89" s="23" t="n"/>
      <c r="I89" s="24" t="n"/>
      <c r="J89" s="23" t="n"/>
      <c r="K89" s="24" t="n"/>
      <c r="L89" s="23" t="n"/>
      <c r="M89" s="23" t="n"/>
      <c r="N89" s="23" t="n"/>
    </row>
    <row r="90">
      <c r="A90" s="23" t="n"/>
      <c r="B90" s="23" t="n"/>
      <c r="C90" s="23" t="n"/>
      <c r="D90" s="23" t="n"/>
      <c r="E90" s="24" t="n"/>
      <c r="F90" s="24" t="n"/>
      <c r="G90" s="23" t="n"/>
      <c r="H90" s="23" t="n"/>
      <c r="I90" s="24" t="n"/>
      <c r="J90" s="23" t="n"/>
      <c r="K90" s="24" t="n"/>
      <c r="L90" s="23" t="n"/>
      <c r="M90" s="23" t="n"/>
      <c r="N90" s="23" t="n"/>
    </row>
    <row r="91">
      <c r="A91" s="23" t="n"/>
      <c r="B91" s="23" t="n"/>
      <c r="C91" s="23" t="n"/>
      <c r="D91" s="23" t="n"/>
      <c r="E91" s="24" t="n"/>
      <c r="F91" s="24" t="n"/>
      <c r="G91" s="23" t="n"/>
      <c r="H91" s="23" t="n"/>
      <c r="I91" s="24" t="n"/>
      <c r="J91" s="23" t="n"/>
      <c r="K91" s="24" t="n"/>
      <c r="L91" s="23" t="n"/>
      <c r="M91" s="23" t="n"/>
      <c r="N91" s="23" t="n"/>
    </row>
    <row r="92">
      <c r="A92" s="23" t="n"/>
      <c r="B92" s="23" t="n"/>
      <c r="C92" s="23" t="n"/>
      <c r="D92" s="23" t="n"/>
      <c r="E92" s="24" t="n"/>
      <c r="F92" s="24" t="n"/>
      <c r="G92" s="23" t="n"/>
      <c r="H92" s="23" t="n"/>
      <c r="I92" s="24" t="n"/>
      <c r="J92" s="23" t="n"/>
      <c r="K92" s="24" t="n"/>
      <c r="L92" s="23" t="n"/>
      <c r="M92" s="23" t="n"/>
      <c r="N92" s="23" t="n"/>
    </row>
    <row r="93">
      <c r="A93" s="23" t="n"/>
      <c r="B93" s="23" t="n"/>
      <c r="C93" s="23" t="n"/>
      <c r="D93" s="23" t="n"/>
      <c r="E93" s="24" t="n"/>
      <c r="F93" s="24" t="n"/>
      <c r="G93" s="23" t="n"/>
      <c r="H93" s="23" t="n"/>
      <c r="I93" s="24" t="n"/>
      <c r="J93" s="23" t="n"/>
      <c r="K93" s="24" t="n"/>
      <c r="L93" s="23" t="n"/>
      <c r="M93" s="23" t="n"/>
      <c r="N93" s="23" t="n"/>
    </row>
    <row r="94">
      <c r="A94" s="23" t="n"/>
      <c r="B94" s="23" t="n"/>
      <c r="C94" s="23" t="n"/>
      <c r="D94" s="23" t="n"/>
      <c r="E94" s="24" t="n"/>
      <c r="F94" s="24" t="n"/>
      <c r="G94" s="23" t="n"/>
      <c r="H94" s="23" t="n"/>
      <c r="I94" s="24" t="n"/>
      <c r="J94" s="23" t="n"/>
      <c r="K94" s="24" t="n"/>
      <c r="L94" s="23" t="n"/>
      <c r="M94" s="23" t="n"/>
      <c r="N94" s="23" t="n"/>
    </row>
    <row r="95">
      <c r="A95" s="23" t="n"/>
      <c r="B95" s="23" t="n"/>
      <c r="C95" s="23" t="n"/>
      <c r="D95" s="23" t="n"/>
      <c r="E95" s="24" t="n"/>
      <c r="F95" s="24" t="n"/>
      <c r="G95" s="23" t="n"/>
      <c r="H95" s="23" t="n"/>
      <c r="I95" s="24" t="n"/>
      <c r="J95" s="23" t="n"/>
      <c r="K95" s="24" t="n"/>
      <c r="L95" s="23" t="n"/>
      <c r="M95" s="23" t="n"/>
      <c r="N95" s="23" t="n"/>
    </row>
    <row r="96">
      <c r="A96" s="23" t="n"/>
      <c r="B96" s="23" t="n"/>
      <c r="C96" s="23" t="n"/>
      <c r="D96" s="23" t="n"/>
      <c r="E96" s="24" t="n"/>
      <c r="F96" s="24" t="n"/>
      <c r="G96" s="23" t="n"/>
      <c r="H96" s="23" t="n"/>
      <c r="I96" s="24" t="n"/>
      <c r="J96" s="23" t="n"/>
      <c r="K96" s="24" t="n"/>
      <c r="L96" s="23" t="n"/>
      <c r="M96" s="23" t="n"/>
      <c r="N96" s="23" t="n"/>
    </row>
    <row r="97">
      <c r="A97" s="23" t="n"/>
      <c r="B97" s="23" t="n"/>
      <c r="C97" s="23" t="n"/>
      <c r="D97" s="23" t="n"/>
      <c r="E97" s="24" t="n"/>
      <c r="F97" s="24" t="n"/>
      <c r="G97" s="23" t="n"/>
      <c r="H97" s="23" t="n"/>
      <c r="I97" s="24" t="n"/>
      <c r="J97" s="23" t="n"/>
      <c r="K97" s="24" t="n"/>
      <c r="L97" s="23" t="n"/>
      <c r="M97" s="23" t="n"/>
      <c r="N97" s="23" t="n"/>
    </row>
    <row r="98">
      <c r="A98" s="23" t="n"/>
      <c r="B98" s="23" t="n"/>
      <c r="C98" s="23" t="n"/>
      <c r="D98" s="23" t="n"/>
      <c r="E98" s="24" t="n"/>
      <c r="F98" s="24" t="n"/>
      <c r="G98" s="23" t="n"/>
      <c r="H98" s="23" t="n"/>
      <c r="I98" s="24" t="n"/>
      <c r="J98" s="23" t="n"/>
      <c r="K98" s="24" t="n"/>
      <c r="L98" s="23" t="n"/>
      <c r="M98" s="23" t="n"/>
      <c r="N98" s="23" t="n"/>
    </row>
    <row r="99">
      <c r="A99" s="23" t="n"/>
      <c r="B99" s="23" t="n"/>
      <c r="C99" s="23" t="n"/>
      <c r="D99" s="23" t="n"/>
      <c r="E99" s="24" t="n"/>
      <c r="F99" s="24" t="n"/>
      <c r="G99" s="23" t="n"/>
      <c r="H99" s="23" t="n"/>
      <c r="I99" s="24" t="n"/>
      <c r="J99" s="23" t="n"/>
      <c r="K99" s="24" t="n"/>
      <c r="L99" s="23" t="n"/>
      <c r="M99" s="23" t="n"/>
      <c r="N99" s="23" t="n"/>
    </row>
    <row r="100">
      <c r="A100" s="23" t="n"/>
      <c r="B100" s="23" t="n"/>
      <c r="C100" s="23" t="n"/>
      <c r="D100" s="23" t="n"/>
      <c r="E100" s="24" t="n"/>
      <c r="F100" s="24" t="n"/>
      <c r="G100" s="23" t="n"/>
      <c r="H100" s="23" t="n"/>
      <c r="I100" s="24" t="n"/>
      <c r="J100" s="23" t="n"/>
      <c r="K100" s="24" t="n"/>
      <c r="L100" s="23" t="n"/>
      <c r="M100" s="23" t="n"/>
      <c r="N100" s="23" t="n"/>
    </row>
    <row r="105" ht="30" customHeight="1">
      <c r="A105" s="25" t="inlineStr">
        <is>
          <t>EXIT STRATEGY REVIEW COMPLIANCE CHECKLIST</t>
        </is>
      </c>
    </row>
    <row r="106" ht="22" customHeight="1">
      <c r="A106" s="26" t="inlineStr">
        <is>
          <t>1. ✅ Exit strategy review completed for all Critical/High services (annual)</t>
        </is>
      </c>
    </row>
    <row r="107" ht="22" customHeight="1">
      <c r="A107" s="26" t="inlineStr">
        <is>
          <t>2. ✅ Review dates scheduled for all services</t>
        </is>
      </c>
    </row>
    <row r="108" ht="22" customHeight="1">
      <c r="A108" s="26" t="inlineStr">
        <is>
          <t>3. ✅ Review status tracked (Current/Overdue/In Progress)</t>
        </is>
      </c>
    </row>
    <row r="109" ht="22" customHeight="1">
      <c r="A109" s="26" t="inlineStr">
        <is>
          <t>4. ✅ PoC testing completed for Critical services (DORA Art. 28.6)</t>
        </is>
      </c>
    </row>
    <row r="110" ht="22" customHeight="1">
      <c r="A110" s="26" t="inlineStr">
        <is>
          <t>5. ✅ PoC test results documented (Pass/Fail)</t>
        </is>
      </c>
    </row>
    <row r="111" ht="22" customHeight="1">
      <c r="A111" s="26" t="inlineStr">
        <is>
          <t>6. ✅ PoC testing scheduled annually (12-month cycle)</t>
        </is>
      </c>
    </row>
    <row r="112" ht="22" customHeight="1">
      <c r="A112" s="26" t="inlineStr">
        <is>
          <t>7. ✅ Exit strategy changes documented with justification</t>
        </is>
      </c>
    </row>
    <row r="113" ht="22" customHeight="1">
      <c r="A113" s="26" t="inlineStr">
        <is>
          <t>8. ✅ On-Premises selections validated by CISO (TCO analysis)</t>
        </is>
      </c>
    </row>
    <row r="114" ht="22" customHeight="1">
      <c r="A114" s="26" t="inlineStr">
        <is>
          <t>9. ✅ Alternative providers still viable (market check)</t>
        </is>
      </c>
    </row>
    <row r="115" ht="22" customHeight="1">
      <c r="A115" s="26" t="inlineStr">
        <is>
          <t>10. ✅ Migration complexity reassessed (technology changes)</t>
        </is>
      </c>
    </row>
    <row r="116" ht="22" customHeight="1">
      <c r="A116" s="26" t="inlineStr">
        <is>
          <t>11. ✅ Lock-in risk status verified (new integrations?)</t>
        </is>
      </c>
    </row>
    <row r="117" ht="22" customHeight="1">
      <c r="A117" s="26" t="inlineStr">
        <is>
          <t>12. ✅ Data export capability still functional (tested annually)</t>
        </is>
      </c>
    </row>
    <row r="118" ht="22" customHeight="1">
      <c r="A118" s="26" t="inlineStr">
        <is>
          <t>13. ✅ Reviewer names and dates recorded</t>
        </is>
      </c>
    </row>
    <row r="119" ht="22" customHeight="1">
      <c r="A119" s="26" t="inlineStr">
        <is>
          <t>14. ✅ Notes document any concerns or changes</t>
        </is>
      </c>
    </row>
    <row r="120" ht="22" customHeight="1">
      <c r="A120" s="26" t="inlineStr">
        <is>
          <t>15. ✅ Results reported to CISO/Risk Committee quarterly</t>
        </is>
      </c>
    </row>
    <row r="125" ht="25" customHeight="1">
      <c r="A125" s="27" t="inlineStr">
        <is>
          <t>EXIT STRATEGY REVIEW GUIDANCE</t>
        </is>
      </c>
    </row>
    <row r="126" ht="18" customHeight="1">
      <c r="A126" s="26" t="inlineStr"/>
    </row>
    <row r="127" ht="18" customHeight="1">
      <c r="A127" s="26" t="inlineStr">
        <is>
          <t>🎯 REVIEW FREQUENCY (POL-S5 Section 8):</t>
        </is>
      </c>
    </row>
    <row r="128" ht="18" customHeight="1">
      <c r="A128" s="26" t="inlineStr">
        <is>
          <t xml:space="preserve">   • Critical services: Annual review MANDATORY</t>
        </is>
      </c>
    </row>
    <row r="129" ht="18" customHeight="1">
      <c r="A129" s="26" t="inlineStr">
        <is>
          <t xml:space="preserve">   • High services: Annual review RECOMMENDED</t>
        </is>
      </c>
    </row>
    <row r="130" ht="18" customHeight="1">
      <c r="A130" s="26" t="inlineStr">
        <is>
          <t xml:space="preserve">   • Medium/Low services: Review as needed (when contract renewal, major change, or incident)</t>
        </is>
      </c>
    </row>
    <row r="131" ht="18" customHeight="1">
      <c r="A131" s="26" t="inlineStr"/>
    </row>
    <row r="132" ht="18" customHeight="1">
      <c r="A132" s="26" t="inlineStr">
        <is>
          <t>🛡 DORA COMPLIANCE (Article 28.6) - Financial Sector:</t>
        </is>
      </c>
    </row>
    <row r="133" ht="18" customHeight="1">
      <c r="A133" s="26" t="inlineStr">
        <is>
          <t xml:space="preserve">   • Annual PoC testing REQUIRED for critical ICT third-party providers</t>
        </is>
      </c>
    </row>
    <row r="134" ht="18" customHeight="1">
      <c r="A134" s="26" t="inlineStr">
        <is>
          <t xml:space="preserve">   • Test must demonstrate ability to exit service if needed</t>
        </is>
      </c>
    </row>
    <row r="135" ht="18" customHeight="1">
      <c r="A135" s="26" t="inlineStr">
        <is>
          <t xml:space="preserve">   • Document test results: Pass/Fail with evidence</t>
        </is>
      </c>
    </row>
    <row r="136" ht="18" customHeight="1">
      <c r="A136" s="26" t="inlineStr">
        <is>
          <t xml:space="preserve">   • Track next test due date (12 months from last test)</t>
        </is>
      </c>
    </row>
    <row r="137" ht="18" customHeight="1">
      <c r="A137" s="26" t="inlineStr">
        <is>
          <t xml:space="preserve">   • Report failures to CISO and Risk Committee immediately</t>
        </is>
      </c>
    </row>
    <row r="138" ht="18" customHeight="1">
      <c r="A138" s="26" t="inlineStr"/>
    </row>
    <row r="139" ht="18" customHeight="1">
      <c r="A139" s="26" t="inlineStr">
        <is>
          <t>⚠ EXIT STRATEGY TYPE CHANGES:</t>
        </is>
      </c>
    </row>
    <row r="140" ht="18" customHeight="1">
      <c r="A140" s="26" t="inlineStr">
        <is>
          <t xml:space="preserve">   • If exit strategy changed (e.g., Cloud-to-Cloud → Hybrid), document WHY</t>
        </is>
      </c>
    </row>
    <row r="141" ht="18" customHeight="1">
      <c r="A141" s="26" t="inlineStr">
        <is>
          <t xml:space="preserve">   • On-Premises selections require CISO approval and TCO validation</t>
        </is>
      </c>
    </row>
    <row r="142" ht="18" customHeight="1">
      <c r="A142" s="26" t="inlineStr">
        <is>
          <t xml:space="preserve">   • Update ISMS-IMP-A.5.23.S1 (Inventory Sheet 4) with new strategy</t>
        </is>
      </c>
    </row>
    <row r="143" ht="18" customHeight="1">
      <c r="A143" s="26" t="inlineStr">
        <is>
          <t xml:space="preserve">   • Reassess migration complexity and timeline estimates</t>
        </is>
      </c>
    </row>
    <row r="144" ht="18" customHeight="1">
      <c r="A144" s="26" t="inlineStr"/>
    </row>
    <row r="145" ht="18" customHeight="1">
      <c r="A145" s="26" t="inlineStr">
        <is>
          <t>🔒 WHAT TO REVIEW ANNUALLY:</t>
        </is>
      </c>
    </row>
    <row r="146" ht="18" customHeight="1">
      <c r="A146" s="26" t="inlineStr">
        <is>
          <t xml:space="preserve">   1. Alternative providers still exist and viable?</t>
        </is>
      </c>
    </row>
    <row r="147" ht="18" customHeight="1">
      <c r="A147" s="26" t="inlineStr">
        <is>
          <t xml:space="preserve">   2. Migration complexity changed? (new integrations, dependencies)</t>
        </is>
      </c>
    </row>
    <row r="148" ht="18" customHeight="1">
      <c r="A148" s="26" t="inlineStr">
        <is>
          <t xml:space="preserve">   3. Data export still functional? (test it!)</t>
        </is>
      </c>
    </row>
    <row r="149" ht="18" customHeight="1">
      <c r="A149" s="26" t="inlineStr">
        <is>
          <t xml:space="preserve">   4. Lock-in risk increased? (proprietary features added)</t>
        </is>
      </c>
    </row>
    <row r="150" ht="18" customHeight="1">
      <c r="A150" s="26" t="inlineStr">
        <is>
          <t xml:space="preserve">   5. Cost models still valid? (cloud pricing changes frequently)</t>
        </is>
      </c>
    </row>
    <row r="151" ht="18" customHeight="1">
      <c r="A151" s="26" t="inlineStr">
        <is>
          <t xml:space="preserve">   6. Regulatory requirements changed? (DORA, FADP, NIS2)</t>
        </is>
      </c>
    </row>
    <row r="152" ht="18" customHeight="1">
      <c r="A152" s="26" t="inlineStr"/>
    </row>
    <row r="153" ht="18" customHeight="1">
      <c r="A153" s="26" t="inlineStr">
        <is>
          <t>✅ POC TESTING PROCESS (DORA Art. 28.6):</t>
        </is>
      </c>
    </row>
    <row r="154" ht="18" customHeight="1">
      <c r="A154" s="26" t="inlineStr">
        <is>
          <t xml:space="preserve">   1. Select Critical service for PoC testing</t>
        </is>
      </c>
    </row>
    <row r="155" ht="18" customHeight="1">
      <c r="A155" s="26" t="inlineStr">
        <is>
          <t xml:space="preserve">   2. Identify alternative provider (from inventory Sheet 4)</t>
        </is>
      </c>
    </row>
    <row r="156" ht="18" customHeight="1">
      <c r="A156" s="26" t="inlineStr">
        <is>
          <t xml:space="preserve">   3. Test data export from current provider (full dataset or representative sample)</t>
        </is>
      </c>
    </row>
    <row r="157" ht="18" customHeight="1">
      <c r="A157" s="26" t="inlineStr">
        <is>
          <t xml:space="preserve">   4. Test data import to alternative provider (verify compatibility)</t>
        </is>
      </c>
    </row>
    <row r="158" ht="18" customHeight="1">
      <c r="A158" s="26" t="inlineStr">
        <is>
          <t xml:space="preserve">   5. Test critical functionality on alternative (basic sanity check)</t>
        </is>
      </c>
    </row>
    <row r="159" ht="18" customHeight="1">
      <c r="A159" s="26" t="inlineStr">
        <is>
          <t xml:space="preserve">   6. Document results: Pass (migration feasible) or Fail (issues identified)</t>
        </is>
      </c>
    </row>
    <row r="160" ht="18" customHeight="1">
      <c r="A160" s="26" t="inlineStr">
        <is>
          <t xml:space="preserve">   7. Schedule next test (12 months from completion date)</t>
        </is>
      </c>
    </row>
    <row r="161" ht="18" customHeight="1">
      <c r="A161" s="26" t="inlineStr">
        <is>
          <t xml:space="preserve">   8. Report to CISO and update risk register if Fail</t>
        </is>
      </c>
    </row>
    <row r="162" ht="18" customHeight="1">
      <c r="A162" s="26" t="inlineStr"/>
    </row>
    <row r="163" ht="18" customHeight="1">
      <c r="A163" s="26" t="inlineStr">
        <is>
          <t>For detailed exit strategy requirements, see:</t>
        </is>
      </c>
    </row>
    <row r="164" ht="18" customHeight="1">
      <c r="A164" s="26" t="inlineStr">
        <is>
          <t xml:space="preserve">   • ISMS-POL-A.5.19-23-S5 Section 8 (Exit Strategy Framework)</t>
        </is>
      </c>
    </row>
    <row r="165" ht="18" customHeight="1">
      <c r="A165" s="26" t="inlineStr">
        <is>
          <t xml:space="preserve">   • ISMS-IMP-A.5.23.S1 Sheet 4 (Exit Strategy Assessment)</t>
        </is>
      </c>
    </row>
    <row r="166" ht="18" customHeight="1">
      <c r="A166" s="26" t="inlineStr"/>
    </row>
  </sheetData>
  <mergeCells count="4">
    <mergeCell ref="A125:N125"/>
    <mergeCell ref="A2:N2"/>
    <mergeCell ref="A105:N105"/>
    <mergeCell ref="A1:N1"/>
  </mergeCells>
  <conditionalFormatting sqref="A4:N100">
    <cfRule type="expression" priority="1" dxfId="0" stopIfTrue="0">
      <formula>$F4&lt;TODAY()</formula>
    </cfRule>
    <cfRule type="expression" priority="2" dxfId="1" stopIfTrue="0">
      <formula>AND($H4="Yes (Critical)", $K4&lt;TODAY())</formula>
    </cfRule>
  </conditionalFormatting>
  <conditionalFormatting sqref="D4:D100">
    <cfRule type="expression" priority="3" dxfId="2" stopIfTrue="0">
      <formula>$D4="On-Premises"</formula>
    </cfRule>
  </conditionalFormatting>
  <dataValidations count="6">
    <dataValidation sqref="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showDropDown="0" showInputMessage="0" showErrorMessage="0" allowBlank="0" type="list">
      <formula1>"Critical,High,Medium,Low"</formula1>
    </dataValidation>
    <dataValidation sqref="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showDropDown="0" showInputMessage="0" showErrorMessage="0" allowBlank="0" errorTitle="Invalid Exit Strategy" error="Select current exit strategy type from inventory (Sheet 4)" type="list">
      <formula1>"Cloud-to-Cloud,Hybrid,On-Premises,Not Yet Determined"</formula1>
    </dataValidation>
    <dataValidation sqref="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showDropDown="0" showInputMessage="0" showErrorMessage="0" allowBlank="0" type="list">
      <formula1>"Current,Overdue,In Progress,Not Started"</formula1>
    </dataValidation>
    <dataValidation sqref="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showDropDown="0" showInputMessage="0" showErrorMessage="0" allowBlank="0" errorTitle="PoC Testing Requirement" error="DORA Art. 28.6 requires annual PoC testing for Critical services" type="list">
      <formula1>"Yes (Critical),No (Not Critical),Not Applicable"</formula1>
    </dataValidation>
    <dataValidation sqref="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showDropDown="0" showInputMessage="0" showErrorMessage="0" allowBlank="0" type="list">
      <formula1>"Pass,Fail,In Progress,Not Tested,Not Applicable"</formula1>
    </dataValidation>
    <dataValidation sqref="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showDropDown="0" showInputMessage="0" showErrorMessage="0" allowBlank="0"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44"/>
  <sheetViews>
    <sheetView workbookViewId="0">
      <pane ySplit="5" topLeftCell="A6" activePane="bottomLeft" state="frozen"/>
      <selection pane="bottomLeft" activeCell="A1" sqref="A1"/>
    </sheetView>
  </sheetViews>
  <sheetFormatPr baseColWidth="8" defaultRowHeight="15"/>
  <cols>
    <col width="14" customWidth="1" min="1" max="1"/>
    <col width="25" customWidth="1" min="2" max="2"/>
    <col width="22" customWidth="1" min="3" max="3"/>
    <col width="18" customWidth="1" min="4" max="4"/>
    <col width="20" customWidth="1" min="5" max="5"/>
    <col width="14" customWidth="1" min="6" max="6"/>
    <col width="20" customWidth="1" min="7" max="7"/>
    <col width="25" customWidth="1" min="8" max="8"/>
    <col width="18" customWidth="1" min="9" max="9"/>
    <col width="16" customWidth="1" min="10" max="10"/>
    <col width="18" customWidth="1" min="11" max="11"/>
    <col width="18" customWidth="1" min="12" max="12"/>
    <col width="16" customWidth="1" min="13" max="13"/>
    <col width="14" customWidth="1" min="14" max="14"/>
    <col width="18" customWidth="1" min="15" max="15"/>
    <col width="16" customWidth="1" min="16" max="16"/>
    <col width="28" customWidth="1" min="17" max="17"/>
    <col width="14" customWidth="1" min="18" max="18"/>
    <col width="20" customWidth="1" min="19" max="19"/>
    <col width="30" customWidth="1" min="20" max="20"/>
  </cols>
  <sheetData>
    <row r="1" ht="35" customHeight="1">
      <c r="A1" s="1" t="inlineStr">
        <is>
          <t>JURISDICTIONAL RISK ASSESSMENT</t>
        </is>
      </c>
    </row>
    <row r="2" ht="25" customHeight="1">
      <c r="A2" s="2" t="inlineStr">
        <is>
          <t>CLOUD Act, Data Sovereignty, and Cross-Border Transfer Analysis</t>
        </is>
      </c>
    </row>
    <row r="3" ht="30" customHeight="1">
      <c r="A3" s="28" t="inlineStr">
        <is>
          <t>⚠ US-headquartered providers may be compelled to disclose data under CLOUD Act regardless of data location.</t>
        </is>
      </c>
    </row>
    <row r="5">
      <c r="A5" s="14" t="inlineStr">
        <is>
          <t>Assessment_ID</t>
        </is>
      </c>
      <c r="B5" s="14" t="inlineStr">
        <is>
          <t>Cloud_Service_Name</t>
        </is>
      </c>
      <c r="C5" s="14" t="inlineStr">
        <is>
          <t>Provider_Name</t>
        </is>
      </c>
      <c r="D5" s="14" t="inlineStr">
        <is>
          <t>Provider_HQ_Country</t>
        </is>
      </c>
      <c r="E5" s="14" t="inlineStr">
        <is>
          <t>Provider_HQ_Jurisdiction</t>
        </is>
      </c>
      <c r="F5" s="14" t="inlineStr">
        <is>
          <t>US_Parent_Company</t>
        </is>
      </c>
      <c r="G5" s="14" t="inlineStr">
        <is>
          <t>CLOUD_Act_Applicability</t>
        </is>
      </c>
      <c r="H5" s="14" t="inlineStr">
        <is>
          <t>Data_Processing_Locations</t>
        </is>
      </c>
      <c r="I5" s="14" t="inlineStr">
        <is>
          <t>EU_Data_Boundary_Available</t>
        </is>
      </c>
      <c r="J5" s="14" t="inlineStr">
        <is>
          <t>Customer_Managed_Keys</t>
        </is>
      </c>
      <c r="K5" s="14" t="inlineStr">
        <is>
          <t>Legal_Challenge_Commitment</t>
        </is>
      </c>
      <c r="L5" s="14" t="inlineStr">
        <is>
          <t>Adequacy_Decision_Status</t>
        </is>
      </c>
      <c r="M5" s="14" t="inlineStr">
        <is>
          <t>Transfer_Mechanism</t>
        </is>
      </c>
      <c r="N5" s="14" t="inlineStr">
        <is>
          <t>Risk_Level</t>
        </is>
      </c>
      <c r="O5" s="14" t="inlineStr">
        <is>
          <t>Risk_Accepted_By</t>
        </is>
      </c>
      <c r="P5" s="14" t="inlineStr">
        <is>
          <t>Risk_Acceptance_Date</t>
        </is>
      </c>
      <c r="Q5" s="14" t="inlineStr">
        <is>
          <t>Compensating_Controls</t>
        </is>
      </c>
      <c r="R5" s="14" t="inlineStr">
        <is>
          <t>Review_Date</t>
        </is>
      </c>
      <c r="S5" s="14" t="inlineStr">
        <is>
          <t>Evidence_Reference</t>
        </is>
      </c>
      <c r="T5" s="14" t="inlineStr">
        <is>
          <t>Notes</t>
        </is>
      </c>
    </row>
    <row r="6">
      <c r="A6" s="29">
        <f>CONCATENATE("JRA-",TEXT(ROW()-5,"000"))</f>
        <v/>
      </c>
      <c r="B6" s="5" t="inlineStr"/>
      <c r="C6" s="5" t="inlineStr"/>
      <c r="D6" s="5" t="inlineStr"/>
      <c r="E6" s="5" t="inlineStr"/>
      <c r="F6" s="5" t="inlineStr"/>
      <c r="G6" s="5" t="inlineStr"/>
      <c r="H6" s="5" t="inlineStr"/>
      <c r="I6" s="5" t="inlineStr"/>
      <c r="J6" s="5" t="inlineStr"/>
      <c r="K6" s="5" t="inlineStr"/>
      <c r="L6" s="5" t="inlineStr"/>
      <c r="M6" s="5" t="inlineStr"/>
      <c r="N6" s="5" t="inlineStr"/>
      <c r="O6" s="5" t="inlineStr"/>
      <c r="P6" s="5" t="inlineStr"/>
      <c r="Q6" s="5" t="inlineStr"/>
      <c r="R6" s="5" t="inlineStr"/>
      <c r="S6" s="5" t="inlineStr"/>
      <c r="T6" s="5" t="inlineStr"/>
    </row>
    <row r="7">
      <c r="A7" s="29">
        <f>CONCATENATE("JRA-",TEXT(ROW()-5,"000"))</f>
        <v/>
      </c>
      <c r="B7" s="5" t="inlineStr"/>
      <c r="C7" s="5" t="inlineStr"/>
      <c r="D7" s="5" t="inlineStr"/>
      <c r="E7" s="5" t="inlineStr"/>
      <c r="F7" s="5" t="inlineStr"/>
      <c r="G7" s="5" t="inlineStr"/>
      <c r="H7" s="5" t="inlineStr"/>
      <c r="I7" s="5" t="inlineStr"/>
      <c r="J7" s="5" t="inlineStr"/>
      <c r="K7" s="5" t="inlineStr"/>
      <c r="L7" s="5" t="inlineStr"/>
      <c r="M7" s="5" t="inlineStr"/>
      <c r="N7" s="5" t="inlineStr"/>
      <c r="O7" s="5" t="inlineStr"/>
      <c r="P7" s="5" t="inlineStr"/>
      <c r="Q7" s="5" t="inlineStr"/>
      <c r="R7" s="5" t="inlineStr"/>
      <c r="S7" s="5" t="inlineStr"/>
      <c r="T7" s="5" t="inlineStr"/>
    </row>
    <row r="8">
      <c r="A8" s="29">
        <f>CONCATENATE("JRA-",TEXT(ROW()-5,"000"))</f>
        <v/>
      </c>
      <c r="B8" s="5" t="inlineStr"/>
      <c r="C8" s="5" t="inlineStr"/>
      <c r="D8" s="5" t="inlineStr"/>
      <c r="E8" s="5" t="inlineStr"/>
      <c r="F8" s="5" t="inlineStr"/>
      <c r="G8" s="5" t="inlineStr"/>
      <c r="H8" s="5" t="inlineStr"/>
      <c r="I8" s="5" t="inlineStr"/>
      <c r="J8" s="5" t="inlineStr"/>
      <c r="K8" s="5" t="inlineStr"/>
      <c r="L8" s="5" t="inlineStr"/>
      <c r="M8" s="5" t="inlineStr"/>
      <c r="N8" s="5" t="inlineStr"/>
      <c r="O8" s="5" t="inlineStr"/>
      <c r="P8" s="5" t="inlineStr"/>
      <c r="Q8" s="5" t="inlineStr"/>
      <c r="R8" s="5" t="inlineStr"/>
      <c r="S8" s="5" t="inlineStr"/>
      <c r="T8" s="5" t="inlineStr"/>
    </row>
    <row r="9">
      <c r="A9" s="29">
        <f>CONCATENATE("JRA-",TEXT(ROW()-5,"000"))</f>
        <v/>
      </c>
      <c r="B9" s="5" t="inlineStr"/>
      <c r="C9" s="5" t="inlineStr"/>
      <c r="D9" s="5" t="inlineStr"/>
      <c r="E9" s="5" t="inlineStr"/>
      <c r="F9" s="5" t="inlineStr"/>
      <c r="G9" s="5" t="inlineStr"/>
      <c r="H9" s="5" t="inlineStr"/>
      <c r="I9" s="5" t="inlineStr"/>
      <c r="J9" s="5" t="inlineStr"/>
      <c r="K9" s="5" t="inlineStr"/>
      <c r="L9" s="5" t="inlineStr"/>
      <c r="M9" s="5" t="inlineStr"/>
      <c r="N9" s="5" t="inlineStr"/>
      <c r="O9" s="5" t="inlineStr"/>
      <c r="P9" s="5" t="inlineStr"/>
      <c r="Q9" s="5" t="inlineStr"/>
      <c r="R9" s="5" t="inlineStr"/>
      <c r="S9" s="5" t="inlineStr"/>
      <c r="T9" s="5" t="inlineStr"/>
    </row>
    <row r="10">
      <c r="A10" s="29">
        <f>CONCATENATE("JRA-",TEXT(ROW()-5,"000"))</f>
        <v/>
      </c>
      <c r="B10" s="5" t="inlineStr"/>
      <c r="C10" s="5" t="inlineStr"/>
      <c r="D10" s="5" t="inlineStr"/>
      <c r="E10" s="5" t="inlineStr"/>
      <c r="F10" s="5" t="inlineStr"/>
      <c r="G10" s="5" t="inlineStr"/>
      <c r="H10" s="5" t="inlineStr"/>
      <c r="I10" s="5" t="inlineStr"/>
      <c r="J10" s="5" t="inlineStr"/>
      <c r="K10" s="5" t="inlineStr"/>
      <c r="L10" s="5" t="inlineStr"/>
      <c r="M10" s="5" t="inlineStr"/>
      <c r="N10" s="5" t="inlineStr"/>
      <c r="O10" s="5" t="inlineStr"/>
      <c r="P10" s="5" t="inlineStr"/>
      <c r="Q10" s="5" t="inlineStr"/>
      <c r="R10" s="5" t="inlineStr"/>
      <c r="S10" s="5" t="inlineStr"/>
      <c r="T10" s="5" t="inlineStr"/>
    </row>
    <row r="11">
      <c r="A11" s="29">
        <f>CONCATENATE("JRA-",TEXT(ROW()-5,"000"))</f>
        <v/>
      </c>
      <c r="B11" s="5" t="inlineStr"/>
      <c r="C11" s="5" t="inlineStr"/>
      <c r="D11" s="5" t="inlineStr"/>
      <c r="E11" s="5" t="inlineStr"/>
      <c r="F11" s="5" t="inlineStr"/>
      <c r="G11" s="5" t="inlineStr"/>
      <c r="H11" s="5" t="inlineStr"/>
      <c r="I11" s="5" t="inlineStr"/>
      <c r="J11" s="5" t="inlineStr"/>
      <c r="K11" s="5" t="inlineStr"/>
      <c r="L11" s="5" t="inlineStr"/>
      <c r="M11" s="5" t="inlineStr"/>
      <c r="N11" s="5" t="inlineStr"/>
      <c r="O11" s="5" t="inlineStr"/>
      <c r="P11" s="5" t="inlineStr"/>
      <c r="Q11" s="5" t="inlineStr"/>
      <c r="R11" s="5" t="inlineStr"/>
      <c r="S11" s="5" t="inlineStr"/>
      <c r="T11" s="5" t="inlineStr"/>
    </row>
    <row r="12">
      <c r="A12" s="29">
        <f>CONCATENATE("JRA-",TEXT(ROW()-5,"000"))</f>
        <v/>
      </c>
      <c r="B12" s="5" t="inlineStr"/>
      <c r="C12" s="5" t="inlineStr"/>
      <c r="D12" s="5" t="inlineStr"/>
      <c r="E12" s="5" t="inlineStr"/>
      <c r="F12" s="5" t="inlineStr"/>
      <c r="G12" s="5" t="inlineStr"/>
      <c r="H12" s="5" t="inlineStr"/>
      <c r="I12" s="5" t="inlineStr"/>
      <c r="J12" s="5" t="inlineStr"/>
      <c r="K12" s="5" t="inlineStr"/>
      <c r="L12" s="5" t="inlineStr"/>
      <c r="M12" s="5" t="inlineStr"/>
      <c r="N12" s="5" t="inlineStr"/>
      <c r="O12" s="5" t="inlineStr"/>
      <c r="P12" s="5" t="inlineStr"/>
      <c r="Q12" s="5" t="inlineStr"/>
      <c r="R12" s="5" t="inlineStr"/>
      <c r="S12" s="5" t="inlineStr"/>
      <c r="T12" s="5" t="inlineStr"/>
    </row>
    <row r="13">
      <c r="A13" s="29">
        <f>CONCATENATE("JRA-",TEXT(ROW()-5,"000"))</f>
        <v/>
      </c>
      <c r="B13" s="5" t="inlineStr"/>
      <c r="C13" s="5" t="inlineStr"/>
      <c r="D13" s="5" t="inlineStr"/>
      <c r="E13" s="5" t="inlineStr"/>
      <c r="F13" s="5" t="inlineStr"/>
      <c r="G13" s="5" t="inlineStr"/>
      <c r="H13" s="5" t="inlineStr"/>
      <c r="I13" s="5" t="inlineStr"/>
      <c r="J13" s="5" t="inlineStr"/>
      <c r="K13" s="5" t="inlineStr"/>
      <c r="L13" s="5" t="inlineStr"/>
      <c r="M13" s="5" t="inlineStr"/>
      <c r="N13" s="5" t="inlineStr"/>
      <c r="O13" s="5" t="inlineStr"/>
      <c r="P13" s="5" t="inlineStr"/>
      <c r="Q13" s="5" t="inlineStr"/>
      <c r="R13" s="5" t="inlineStr"/>
      <c r="S13" s="5" t="inlineStr"/>
      <c r="T13" s="5" t="inlineStr"/>
    </row>
    <row r="14">
      <c r="A14" s="29">
        <f>CONCATENATE("JRA-",TEXT(ROW()-5,"000"))</f>
        <v/>
      </c>
      <c r="B14" s="5" t="inlineStr"/>
      <c r="C14" s="5" t="inlineStr"/>
      <c r="D14" s="5" t="inlineStr"/>
      <c r="E14" s="5" t="inlineStr"/>
      <c r="F14" s="5" t="inlineStr"/>
      <c r="G14" s="5" t="inlineStr"/>
      <c r="H14" s="5" t="inlineStr"/>
      <c r="I14" s="5" t="inlineStr"/>
      <c r="J14" s="5" t="inlineStr"/>
      <c r="K14" s="5" t="inlineStr"/>
      <c r="L14" s="5" t="inlineStr"/>
      <c r="M14" s="5" t="inlineStr"/>
      <c r="N14" s="5" t="inlineStr"/>
      <c r="O14" s="5" t="inlineStr"/>
      <c r="P14" s="5" t="inlineStr"/>
      <c r="Q14" s="5" t="inlineStr"/>
      <c r="R14" s="5" t="inlineStr"/>
      <c r="S14" s="5" t="inlineStr"/>
      <c r="T14" s="5" t="inlineStr"/>
    </row>
    <row r="15">
      <c r="A15" s="29">
        <f>CONCATENATE("JRA-",TEXT(ROW()-5,"000"))</f>
        <v/>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c r="R15" s="5" t="inlineStr"/>
      <c r="S15" s="5" t="inlineStr"/>
      <c r="T15" s="5" t="inlineStr"/>
    </row>
    <row r="16">
      <c r="A16" s="29">
        <f>CONCATENATE("JRA-",TEXT(ROW()-5,"000"))</f>
        <v/>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c r="R16" s="5" t="inlineStr"/>
      <c r="S16" s="5" t="inlineStr"/>
      <c r="T16" s="5" t="inlineStr"/>
    </row>
    <row r="17">
      <c r="A17" s="29">
        <f>CONCATENATE("JRA-",TEXT(ROW()-5,"000"))</f>
        <v/>
      </c>
      <c r="B17" s="5" t="inlineStr"/>
      <c r="C17" s="5" t="inlineStr"/>
      <c r="D17" s="5" t="inlineStr"/>
      <c r="E17" s="5" t="inlineStr"/>
      <c r="F17" s="5" t="inlineStr"/>
      <c r="G17" s="5" t="inlineStr"/>
      <c r="H17" s="5" t="inlineStr"/>
      <c r="I17" s="5" t="inlineStr"/>
      <c r="J17" s="5" t="inlineStr"/>
      <c r="K17" s="5" t="inlineStr"/>
      <c r="L17" s="5" t="inlineStr"/>
      <c r="M17" s="5" t="inlineStr"/>
      <c r="N17" s="5" t="inlineStr"/>
      <c r="O17" s="5" t="inlineStr"/>
      <c r="P17" s="5" t="inlineStr"/>
      <c r="Q17" s="5" t="inlineStr"/>
      <c r="R17" s="5" t="inlineStr"/>
      <c r="S17" s="5" t="inlineStr"/>
      <c r="T17" s="5" t="inlineStr"/>
    </row>
    <row r="18">
      <c r="A18" s="29">
        <f>CONCATENATE("JRA-",TEXT(ROW()-5,"000"))</f>
        <v/>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c r="R18" s="5" t="inlineStr"/>
      <c r="S18" s="5" t="inlineStr"/>
      <c r="T18" s="5" t="inlineStr"/>
    </row>
    <row r="19">
      <c r="A19" s="29">
        <f>CONCATENATE("JRA-",TEXT(ROW()-5,"000"))</f>
        <v/>
      </c>
      <c r="B19" s="5" t="inlineStr"/>
      <c r="C19" s="5" t="inlineStr"/>
      <c r="D19" s="5" t="inlineStr"/>
      <c r="E19" s="5" t="inlineStr"/>
      <c r="F19" s="5" t="inlineStr"/>
      <c r="G19" s="5" t="inlineStr"/>
      <c r="H19" s="5" t="inlineStr"/>
      <c r="I19" s="5" t="inlineStr"/>
      <c r="J19" s="5" t="inlineStr"/>
      <c r="K19" s="5" t="inlineStr"/>
      <c r="L19" s="5" t="inlineStr"/>
      <c r="M19" s="5" t="inlineStr"/>
      <c r="N19" s="5" t="inlineStr"/>
      <c r="O19" s="5" t="inlineStr"/>
      <c r="P19" s="5" t="inlineStr"/>
      <c r="Q19" s="5" t="inlineStr"/>
      <c r="R19" s="5" t="inlineStr"/>
      <c r="S19" s="5" t="inlineStr"/>
      <c r="T19" s="5" t="inlineStr"/>
    </row>
    <row r="20">
      <c r="A20" s="29">
        <f>CONCATENATE("JRA-",TEXT(ROW()-5,"000"))</f>
        <v/>
      </c>
      <c r="B20" s="5" t="inlineStr"/>
      <c r="C20" s="5" t="inlineStr"/>
      <c r="D20" s="5" t="inlineStr"/>
      <c r="E20" s="5" t="inlineStr"/>
      <c r="F20" s="5" t="inlineStr"/>
      <c r="G20" s="5" t="inlineStr"/>
      <c r="H20" s="5" t="inlineStr"/>
      <c r="I20" s="5" t="inlineStr"/>
      <c r="J20" s="5" t="inlineStr"/>
      <c r="K20" s="5" t="inlineStr"/>
      <c r="L20" s="5" t="inlineStr"/>
      <c r="M20" s="5" t="inlineStr"/>
      <c r="N20" s="5" t="inlineStr"/>
      <c r="O20" s="5" t="inlineStr"/>
      <c r="P20" s="5" t="inlineStr"/>
      <c r="Q20" s="5" t="inlineStr"/>
      <c r="R20" s="5" t="inlineStr"/>
      <c r="S20" s="5" t="inlineStr"/>
      <c r="T20" s="5" t="inlineStr"/>
    </row>
    <row r="21">
      <c r="A21" s="29">
        <f>CONCATENATE("JRA-",TEXT(ROW()-5,"000"))</f>
        <v/>
      </c>
      <c r="B21" s="5" t="inlineStr"/>
      <c r="C21" s="5" t="inlineStr"/>
      <c r="D21" s="5" t="inlineStr"/>
      <c r="E21" s="5" t="inlineStr"/>
      <c r="F21" s="5" t="inlineStr"/>
      <c r="G21" s="5" t="inlineStr"/>
      <c r="H21" s="5" t="inlineStr"/>
      <c r="I21" s="5" t="inlineStr"/>
      <c r="J21" s="5" t="inlineStr"/>
      <c r="K21" s="5" t="inlineStr"/>
      <c r="L21" s="5" t="inlineStr"/>
      <c r="M21" s="5" t="inlineStr"/>
      <c r="N21" s="5" t="inlineStr"/>
      <c r="O21" s="5" t="inlineStr"/>
      <c r="P21" s="5" t="inlineStr"/>
      <c r="Q21" s="5" t="inlineStr"/>
      <c r="R21" s="5" t="inlineStr"/>
      <c r="S21" s="5" t="inlineStr"/>
      <c r="T21" s="5" t="inlineStr"/>
    </row>
    <row r="22">
      <c r="A22" s="29">
        <f>CONCATENATE("JRA-",TEXT(ROW()-5,"000"))</f>
        <v/>
      </c>
      <c r="B22" s="5" t="inlineStr"/>
      <c r="C22" s="5" t="inlineStr"/>
      <c r="D22" s="5" t="inlineStr"/>
      <c r="E22" s="5" t="inlineStr"/>
      <c r="F22" s="5" t="inlineStr"/>
      <c r="G22" s="5" t="inlineStr"/>
      <c r="H22" s="5" t="inlineStr"/>
      <c r="I22" s="5" t="inlineStr"/>
      <c r="J22" s="5" t="inlineStr"/>
      <c r="K22" s="5" t="inlineStr"/>
      <c r="L22" s="5" t="inlineStr"/>
      <c r="M22" s="5" t="inlineStr"/>
      <c r="N22" s="5" t="inlineStr"/>
      <c r="O22" s="5" t="inlineStr"/>
      <c r="P22" s="5" t="inlineStr"/>
      <c r="Q22" s="5" t="inlineStr"/>
      <c r="R22" s="5" t="inlineStr"/>
      <c r="S22" s="5" t="inlineStr"/>
      <c r="T22" s="5" t="inlineStr"/>
    </row>
    <row r="23">
      <c r="A23" s="29">
        <f>CONCATENATE("JRA-",TEXT(ROW()-5,"000"))</f>
        <v/>
      </c>
      <c r="B23" s="5" t="inlineStr"/>
      <c r="C23" s="5" t="inlineStr"/>
      <c r="D23" s="5" t="inlineStr"/>
      <c r="E23" s="5" t="inlineStr"/>
      <c r="F23" s="5" t="inlineStr"/>
      <c r="G23" s="5" t="inlineStr"/>
      <c r="H23" s="5" t="inlineStr"/>
      <c r="I23" s="5" t="inlineStr"/>
      <c r="J23" s="5" t="inlineStr"/>
      <c r="K23" s="5" t="inlineStr"/>
      <c r="L23" s="5" t="inlineStr"/>
      <c r="M23" s="5" t="inlineStr"/>
      <c r="N23" s="5" t="inlineStr"/>
      <c r="O23" s="5" t="inlineStr"/>
      <c r="P23" s="5" t="inlineStr"/>
      <c r="Q23" s="5" t="inlineStr"/>
      <c r="R23" s="5" t="inlineStr"/>
      <c r="S23" s="5" t="inlineStr"/>
      <c r="T23" s="5" t="inlineStr"/>
    </row>
    <row r="24">
      <c r="A24" s="29">
        <f>CONCATENATE("JRA-",TEXT(ROW()-5,"000"))</f>
        <v/>
      </c>
      <c r="B24" s="5" t="inlineStr"/>
      <c r="C24" s="5" t="inlineStr"/>
      <c r="D24" s="5" t="inlineStr"/>
      <c r="E24" s="5" t="inlineStr"/>
      <c r="F24" s="5" t="inlineStr"/>
      <c r="G24" s="5" t="inlineStr"/>
      <c r="H24" s="5" t="inlineStr"/>
      <c r="I24" s="5" t="inlineStr"/>
      <c r="J24" s="5" t="inlineStr"/>
      <c r="K24" s="5" t="inlineStr"/>
      <c r="L24" s="5" t="inlineStr"/>
      <c r="M24" s="5" t="inlineStr"/>
      <c r="N24" s="5" t="inlineStr"/>
      <c r="O24" s="5" t="inlineStr"/>
      <c r="P24" s="5" t="inlineStr"/>
      <c r="Q24" s="5" t="inlineStr"/>
      <c r="R24" s="5" t="inlineStr"/>
      <c r="S24" s="5" t="inlineStr"/>
      <c r="T24" s="5" t="inlineStr"/>
    </row>
    <row r="25">
      <c r="A25" s="29">
        <f>CONCATENATE("JRA-",TEXT(ROW()-5,"000"))</f>
        <v/>
      </c>
      <c r="B25" s="5" t="inlineStr"/>
      <c r="C25" s="5" t="inlineStr"/>
      <c r="D25" s="5" t="inlineStr"/>
      <c r="E25" s="5" t="inlineStr"/>
      <c r="F25" s="5" t="inlineStr"/>
      <c r="G25" s="5" t="inlineStr"/>
      <c r="H25" s="5" t="inlineStr"/>
      <c r="I25" s="5" t="inlineStr"/>
      <c r="J25" s="5" t="inlineStr"/>
      <c r="K25" s="5" t="inlineStr"/>
      <c r="L25" s="5" t="inlineStr"/>
      <c r="M25" s="5" t="inlineStr"/>
      <c r="N25" s="5" t="inlineStr"/>
      <c r="O25" s="5" t="inlineStr"/>
      <c r="P25" s="5" t="inlineStr"/>
      <c r="Q25" s="5" t="inlineStr"/>
      <c r="R25" s="5" t="inlineStr"/>
      <c r="S25" s="5" t="inlineStr"/>
      <c r="T25" s="5" t="inlineStr"/>
    </row>
    <row r="26">
      <c r="A26" s="29">
        <f>CONCATENATE("JRA-",TEXT(ROW()-5,"000"))</f>
        <v/>
      </c>
      <c r="B26" s="5" t="inlineStr"/>
      <c r="C26" s="5" t="inlineStr"/>
      <c r="D26" s="5" t="inlineStr"/>
      <c r="E26" s="5" t="inlineStr"/>
      <c r="F26" s="5" t="inlineStr"/>
      <c r="G26" s="5" t="inlineStr"/>
      <c r="H26" s="5" t="inlineStr"/>
      <c r="I26" s="5" t="inlineStr"/>
      <c r="J26" s="5" t="inlineStr"/>
      <c r="K26" s="5" t="inlineStr"/>
      <c r="L26" s="5" t="inlineStr"/>
      <c r="M26" s="5" t="inlineStr"/>
      <c r="N26" s="5" t="inlineStr"/>
      <c r="O26" s="5" t="inlineStr"/>
      <c r="P26" s="5" t="inlineStr"/>
      <c r="Q26" s="5" t="inlineStr"/>
      <c r="R26" s="5" t="inlineStr"/>
      <c r="S26" s="5" t="inlineStr"/>
      <c r="T26" s="5" t="inlineStr"/>
    </row>
    <row r="27">
      <c r="A27" s="29">
        <f>CONCATENATE("JRA-",TEXT(ROW()-5,"000"))</f>
        <v/>
      </c>
      <c r="B27" s="5" t="inlineStr"/>
      <c r="C27" s="5" t="inlineStr"/>
      <c r="D27" s="5" t="inlineStr"/>
      <c r="E27" s="5" t="inlineStr"/>
      <c r="F27" s="5" t="inlineStr"/>
      <c r="G27" s="5" t="inlineStr"/>
      <c r="H27" s="5" t="inlineStr"/>
      <c r="I27" s="5" t="inlineStr"/>
      <c r="J27" s="5" t="inlineStr"/>
      <c r="K27" s="5" t="inlineStr"/>
      <c r="L27" s="5" t="inlineStr"/>
      <c r="M27" s="5" t="inlineStr"/>
      <c r="N27" s="5" t="inlineStr"/>
      <c r="O27" s="5" t="inlineStr"/>
      <c r="P27" s="5" t="inlineStr"/>
      <c r="Q27" s="5" t="inlineStr"/>
      <c r="R27" s="5" t="inlineStr"/>
      <c r="S27" s="5" t="inlineStr"/>
      <c r="T27" s="5" t="inlineStr"/>
    </row>
    <row r="28">
      <c r="A28" s="29">
        <f>CONCATENATE("JRA-",TEXT(ROW()-5,"000"))</f>
        <v/>
      </c>
      <c r="B28" s="5" t="inlineStr"/>
      <c r="C28" s="5" t="inlineStr"/>
      <c r="D28" s="5" t="inlineStr"/>
      <c r="E28" s="5" t="inlineStr"/>
      <c r="F28" s="5" t="inlineStr"/>
      <c r="G28" s="5" t="inlineStr"/>
      <c r="H28" s="5" t="inlineStr"/>
      <c r="I28" s="5" t="inlineStr"/>
      <c r="J28" s="5" t="inlineStr"/>
      <c r="K28" s="5" t="inlineStr"/>
      <c r="L28" s="5" t="inlineStr"/>
      <c r="M28" s="5" t="inlineStr"/>
      <c r="N28" s="5" t="inlineStr"/>
      <c r="O28" s="5" t="inlineStr"/>
      <c r="P28" s="5" t="inlineStr"/>
      <c r="Q28" s="5" t="inlineStr"/>
      <c r="R28" s="5" t="inlineStr"/>
      <c r="S28" s="5" t="inlineStr"/>
      <c r="T28" s="5" t="inlineStr"/>
    </row>
    <row r="29">
      <c r="A29" s="29">
        <f>CONCATENATE("JRA-",TEXT(ROW()-5,"000"))</f>
        <v/>
      </c>
      <c r="B29" s="5" t="inlineStr"/>
      <c r="C29" s="5" t="inlineStr"/>
      <c r="D29" s="5" t="inlineStr"/>
      <c r="E29" s="5" t="inlineStr"/>
      <c r="F29" s="5" t="inlineStr"/>
      <c r="G29" s="5" t="inlineStr"/>
      <c r="H29" s="5" t="inlineStr"/>
      <c r="I29" s="5" t="inlineStr"/>
      <c r="J29" s="5" t="inlineStr"/>
      <c r="K29" s="5" t="inlineStr"/>
      <c r="L29" s="5" t="inlineStr"/>
      <c r="M29" s="5" t="inlineStr"/>
      <c r="N29" s="5" t="inlineStr"/>
      <c r="O29" s="5" t="inlineStr"/>
      <c r="P29" s="5" t="inlineStr"/>
      <c r="Q29" s="5" t="inlineStr"/>
      <c r="R29" s="5" t="inlineStr"/>
      <c r="S29" s="5" t="inlineStr"/>
      <c r="T29" s="5" t="inlineStr"/>
    </row>
    <row r="30">
      <c r="A30" s="29">
        <f>CONCATENATE("JRA-",TEXT(ROW()-5,"000"))</f>
        <v/>
      </c>
      <c r="B30" s="5" t="inlineStr"/>
      <c r="C30" s="5" t="inlineStr"/>
      <c r="D30" s="5" t="inlineStr"/>
      <c r="E30" s="5" t="inlineStr"/>
      <c r="F30" s="5" t="inlineStr"/>
      <c r="G30" s="5" t="inlineStr"/>
      <c r="H30" s="5" t="inlineStr"/>
      <c r="I30" s="5" t="inlineStr"/>
      <c r="J30" s="5" t="inlineStr"/>
      <c r="K30" s="5" t="inlineStr"/>
      <c r="L30" s="5" t="inlineStr"/>
      <c r="M30" s="5" t="inlineStr"/>
      <c r="N30" s="5" t="inlineStr"/>
      <c r="O30" s="5" t="inlineStr"/>
      <c r="P30" s="5" t="inlineStr"/>
      <c r="Q30" s="5" t="inlineStr"/>
      <c r="R30" s="5" t="inlineStr"/>
      <c r="S30" s="5" t="inlineStr"/>
      <c r="T30" s="5" t="inlineStr"/>
    </row>
    <row r="33">
      <c r="A33" s="16" t="inlineStr">
        <is>
          <t>JURISDICTIONAL RISK CHECKLIST</t>
        </is>
      </c>
    </row>
    <row r="34">
      <c r="A34" s="3" t="inlineStr">
        <is>
          <t>☐</t>
        </is>
      </c>
      <c r="B34" s="3" t="inlineStr">
        <is>
          <t>Requirement</t>
        </is>
      </c>
      <c r="C34" s="3" t="inlineStr">
        <is>
          <t>Evidence</t>
        </is>
      </c>
    </row>
    <row r="35" ht="25" customHeight="1">
      <c r="A35" t="inlineStr">
        <is>
          <t>☐</t>
        </is>
      </c>
      <c r="B35" s="18" t="inlineStr">
        <is>
          <t>Provider HQ jurisdiction identified and documented</t>
        </is>
      </c>
      <c r="Q35" s="30" t="n"/>
    </row>
    <row r="36" ht="25" customHeight="1">
      <c r="A36" t="inlineStr">
        <is>
          <t>☐</t>
        </is>
      </c>
      <c r="B36" s="18" t="inlineStr">
        <is>
          <t>US parent company status verified</t>
        </is>
      </c>
      <c r="Q36" s="30" t="n"/>
    </row>
    <row r="37" ht="25" customHeight="1">
      <c r="A37" t="inlineStr">
        <is>
          <t>☐</t>
        </is>
      </c>
      <c r="B37" s="18" t="inlineStr">
        <is>
          <t>CLOUD Act exposure assessed for US-nexus providers</t>
        </is>
      </c>
      <c r="Q37" s="30" t="n"/>
    </row>
    <row r="38" ht="25" customHeight="1">
      <c r="A38" t="inlineStr">
        <is>
          <t>☐</t>
        </is>
      </c>
      <c r="B38" s="18" t="inlineStr">
        <is>
          <t>Data processing locations documented in DPA</t>
        </is>
      </c>
      <c r="Q38" s="30" t="n"/>
    </row>
    <row r="39" ht="25" customHeight="1">
      <c r="A39" t="inlineStr">
        <is>
          <t>☐</t>
        </is>
      </c>
      <c r="B39" s="18" t="inlineStr">
        <is>
          <t>EU Data Boundary availability checked</t>
        </is>
      </c>
      <c r="Q39" s="30" t="n"/>
    </row>
    <row r="40" ht="25" customHeight="1">
      <c r="A40" t="inlineStr">
        <is>
          <t>☐</t>
        </is>
      </c>
      <c r="B40" s="18" t="inlineStr">
        <is>
          <t>Customer-managed encryption keys option evaluated</t>
        </is>
      </c>
      <c r="Q40" s="30" t="n"/>
    </row>
    <row r="41" ht="25" customHeight="1">
      <c r="A41" t="inlineStr">
        <is>
          <t>☐</t>
        </is>
      </c>
      <c r="B41" s="18" t="inlineStr">
        <is>
          <t>Legal challenge commitment verified</t>
        </is>
      </c>
      <c r="Q41" s="30" t="n"/>
    </row>
    <row r="42" ht="25" customHeight="1">
      <c r="A42" t="inlineStr">
        <is>
          <t>☐</t>
        </is>
      </c>
      <c r="B42" s="18" t="inlineStr">
        <is>
          <t>Transfer mechanism documented (SCCs, BCRs, etc.)</t>
        </is>
      </c>
      <c r="Q42" s="30" t="n"/>
    </row>
    <row r="43" ht="25" customHeight="1">
      <c r="A43" t="inlineStr">
        <is>
          <t>☐</t>
        </is>
      </c>
      <c r="B43" s="18" t="inlineStr">
        <is>
          <t>Risk acceptance recorded if residual risk remains</t>
        </is>
      </c>
      <c r="Q43" s="30" t="n"/>
    </row>
    <row r="44" ht="25" customHeight="1">
      <c r="A44" t="inlineStr">
        <is>
          <t>☐</t>
        </is>
      </c>
      <c r="B44" s="18" t="inlineStr">
        <is>
          <t>Compensating controls documented for high-risk providers</t>
        </is>
      </c>
      <c r="Q44" s="30" t="n"/>
    </row>
  </sheetData>
  <mergeCells count="24">
    <mergeCell ref="B43:P43"/>
    <mergeCell ref="B39:P39"/>
    <mergeCell ref="Q36:T36"/>
    <mergeCell ref="B42:P42"/>
    <mergeCell ref="B44:P44"/>
    <mergeCell ref="A1:T1"/>
    <mergeCell ref="Q41:T41"/>
    <mergeCell ref="B38:P38"/>
    <mergeCell ref="B37:P37"/>
    <mergeCell ref="Q43:T43"/>
    <mergeCell ref="Q37:T37"/>
    <mergeCell ref="B40:P40"/>
    <mergeCell ref="Q42:T42"/>
    <mergeCell ref="Q39:T39"/>
    <mergeCell ref="A3:T3"/>
    <mergeCell ref="B36:P36"/>
    <mergeCell ref="B41:P41"/>
    <mergeCell ref="A33:T33"/>
    <mergeCell ref="A2:T2"/>
    <mergeCell ref="B35:P35"/>
    <mergeCell ref="Q38:T38"/>
    <mergeCell ref="Q35:T35"/>
    <mergeCell ref="Q40:T40"/>
    <mergeCell ref="Q44:T44"/>
  </mergeCells>
  <dataValidations count="1">
    <dataValidation sqref="F6:F30" showDropDown="0" showInputMessage="0" showErrorMessage="0" allowBlank="1" type="list">
      <formula1>"Yes,No,Unknown"</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4"/>
  <sheetViews>
    <sheetView workbookViewId="0">
      <selection activeCell="A1" sqref="A1"/>
    </sheetView>
  </sheetViews>
  <sheetFormatPr baseColWidth="8" defaultRowHeight="15"/>
  <cols>
    <col width="45" customWidth="1" min="1" max="1"/>
    <col width="15" customWidth="1" min="2" max="2"/>
    <col width="18" customWidth="1" min="3" max="3"/>
    <col width="15" customWidth="1" min="4" max="4"/>
    <col width="15" customWidth="1" min="5" max="5"/>
    <col width="10" customWidth="1" min="6" max="6"/>
    <col width="15" customWidth="1" min="7" max="7"/>
  </cols>
  <sheetData>
    <row r="1" ht="40" customHeight="1">
      <c r="A1" s="1" t="inlineStr">
        <is>
          <t>ONGOING GOVERNANCE &amp; RISK - COMPLIANCE SUMMARY DASHBOARD v1.0</t>
        </is>
      </c>
    </row>
    <row r="3">
      <c r="A3" s="31" t="inlineStr">
        <is>
          <t>TABLE 1: COMPLIANCE SUMMARY BY ASSESSMENT AREA</t>
        </is>
      </c>
    </row>
    <row r="4">
      <c r="A4" s="32" t="inlineStr">
        <is>
          <t>Assessment Area</t>
        </is>
      </c>
      <c r="B4" s="32" t="inlineStr">
        <is>
          <t>Total Items</t>
        </is>
      </c>
      <c r="C4" s="32" t="inlineStr">
        <is>
          <t>Compliant</t>
        </is>
      </c>
      <c r="D4" s="32" t="inlineStr">
        <is>
          <t>Partial</t>
        </is>
      </c>
      <c r="E4" s="32" t="inlineStr">
        <is>
          <t>Non-Compliant</t>
        </is>
      </c>
      <c r="F4" s="32" t="inlineStr">
        <is>
          <t>N/A</t>
        </is>
      </c>
      <c r="G4" s="32" t="inlineStr">
        <is>
          <t>Compliance %</t>
        </is>
      </c>
    </row>
    <row r="5">
      <c r="A5" s="4" t="inlineStr">
        <is>
          <t>2. Access Review</t>
        </is>
      </c>
      <c r="B5" s="4">
        <f>COUNTA('2. Access Review'!A6:A24)</f>
        <v/>
      </c>
      <c r="C5" s="4">
        <f>COUNTIF('2. Access Review'!H6:H24,"✅ Compliant")</f>
        <v/>
      </c>
      <c r="D5" s="4">
        <f>COUNTIF('2. Access Review'!H6:H24,"⚠ Partial")</f>
        <v/>
      </c>
      <c r="E5" s="4">
        <f>COUNTIF('2. Access Review'!H6:H24,"❌ Non-Compliant")</f>
        <v/>
      </c>
      <c r="F5" s="4">
        <f>COUNTIF('2. Access Review'!H6:H24,"N/A")</f>
        <v/>
      </c>
      <c r="G5" s="4">
        <f>IF(B5-F5=0,"N/A",ROUND(C5/(B5-F5)*100,1)&amp;"%")</f>
        <v/>
      </c>
    </row>
    <row r="6">
      <c r="A6" s="4" t="inlineStr">
        <is>
          <t>3. Change Management</t>
        </is>
      </c>
      <c r="B6" s="4">
        <f>COUNTA('3. Change Management'!A6:A24)</f>
        <v/>
      </c>
      <c r="C6" s="4">
        <f>COUNTIF('3. Change Management'!H6:H24,"✅ Compliant")</f>
        <v/>
      </c>
      <c r="D6" s="4">
        <f>COUNTIF('3. Change Management'!H6:H24,"⚠ Partial")</f>
        <v/>
      </c>
      <c r="E6" s="4">
        <f>COUNTIF('3. Change Management'!H6:H24,"❌ Non-Compliant")</f>
        <v/>
      </c>
      <c r="F6" s="4">
        <f>COUNTIF('3. Change Management'!H6:H24,"N/A")</f>
        <v/>
      </c>
      <c r="G6" s="4">
        <f>IF(B6-F6=0,"N/A",ROUND(C6/(B6-F6)*100,1)&amp;"%")</f>
        <v/>
      </c>
    </row>
    <row r="7">
      <c r="A7" s="4" t="inlineStr">
        <is>
          <t>4. Incident Management</t>
        </is>
      </c>
      <c r="B7" s="4">
        <f>COUNTA('4. Incident Management'!A6:A24)</f>
        <v/>
      </c>
      <c r="C7" s="4">
        <f>COUNTIF('4. Incident Management'!H6:H24,"✅ Compliant")</f>
        <v/>
      </c>
      <c r="D7" s="4">
        <f>COUNTIF('4. Incident Management'!H6:H24,"⚠ Partial")</f>
        <v/>
      </c>
      <c r="E7" s="4">
        <f>COUNTIF('4. Incident Management'!H6:H24,"❌ Non-Compliant")</f>
        <v/>
      </c>
      <c r="F7" s="4">
        <f>COUNTIF('4. Incident Management'!H6:H24,"N/A")</f>
        <v/>
      </c>
      <c r="G7" s="4">
        <f>IF(B7-F7=0,"N/A",ROUND(C7/(B7-F7)*100,1)&amp;"%")</f>
        <v/>
      </c>
    </row>
    <row r="8">
      <c r="A8" s="4" t="inlineStr">
        <is>
          <t>5. Business Continuity</t>
        </is>
      </c>
      <c r="B8" s="4">
        <f>COUNTA('5. Business Continuity'!A6:A24)</f>
        <v/>
      </c>
      <c r="C8" s="4">
        <f>COUNTIF('5. Business Continuity'!H6:H24,"✅ Compliant")</f>
        <v/>
      </c>
      <c r="D8" s="4">
        <f>COUNTIF('5. Business Continuity'!H6:H24,"⚠ Partial")</f>
        <v/>
      </c>
      <c r="E8" s="4">
        <f>COUNTIF('5. Business Continuity'!H6:H24,"❌ Non-Compliant")</f>
        <v/>
      </c>
      <c r="F8" s="4">
        <f>COUNTIF('5. Business Continuity'!H6:H24,"N/A")</f>
        <v/>
      </c>
      <c r="G8" s="4">
        <f>IF(B8-F8=0,"N/A",ROUND(C8/(B8-F8)*100,1)&amp;"%")</f>
        <v/>
      </c>
    </row>
    <row r="9">
      <c r="A9" s="4" t="inlineStr">
        <is>
          <t>6. Vendor Risk Monitoring</t>
        </is>
      </c>
      <c r="B9" s="4">
        <f>COUNTA('6. Vendor Risk Monitoring'!A6:A24)</f>
        <v/>
      </c>
      <c r="C9" s="4">
        <f>COUNTIF('6. Vendor Risk Monitoring'!H6:H24,"✅ Compliant")</f>
        <v/>
      </c>
      <c r="D9" s="4">
        <f>COUNTIF('6. Vendor Risk Monitoring'!H6:H24,"⚠ Partial")</f>
        <v/>
      </c>
      <c r="E9" s="4">
        <f>COUNTIF('6. Vendor Risk Monitoring'!H6:H24,"❌ Non-Compliant")</f>
        <v/>
      </c>
      <c r="F9" s="4">
        <f>COUNTIF('6. Vendor Risk Monitoring'!H6:H24,"N/A")</f>
        <v/>
      </c>
      <c r="G9" s="4">
        <f>IF(B9-F9=0,"N/A",ROUND(C9/(B9-F9)*100,1)&amp;"%")</f>
        <v/>
      </c>
    </row>
    <row r="10">
      <c r="A10" s="7" t="inlineStr">
        <is>
          <t>TOTAL</t>
        </is>
      </c>
      <c r="B10" s="7">
        <f>SUM(B5:B9)</f>
        <v/>
      </c>
      <c r="C10" s="7">
        <f>SUM(C5:C9)</f>
        <v/>
      </c>
      <c r="D10" s="7">
        <f>SUM(D5:D9)</f>
        <v/>
      </c>
      <c r="E10" s="7">
        <f>SUM(E5:E9)</f>
        <v/>
      </c>
      <c r="F10" s="7">
        <f>SUM(F5:F9)</f>
        <v/>
      </c>
      <c r="G10" s="33">
        <f>IF(B10-F10=0,"N/A",ROUND(C10/(B10-F10)*100,1)&amp;"%")</f>
        <v/>
      </c>
    </row>
    <row r="13">
      <c r="A13" s="31" t="inlineStr">
        <is>
          <t>TABLE 2: JURISDICTIONAL &amp; CLOUD ACT RISK SUMMARY</t>
        </is>
      </c>
    </row>
    <row r="14">
      <c r="A14" s="34" t="inlineStr">
        <is>
          <t>Metric</t>
        </is>
      </c>
      <c r="B14" s="34" t="inlineStr">
        <is>
          <t>Count</t>
        </is>
      </c>
      <c r="C14" s="34" t="inlineStr">
        <is>
          <t>Status</t>
        </is>
      </c>
    </row>
    <row r="15">
      <c r="A15" s="4" t="inlineStr">
        <is>
          <t>US-HQ Providers (CLOUD Act Scope)</t>
        </is>
      </c>
      <c r="B15" s="4">
        <f>COUNTIF('8. Jurisdictional Risk'!E6:E30,"United States")</f>
        <v/>
      </c>
      <c r="C15" s="4">
        <f>IF(B15&gt;0,"{WARNING} Review","{CHECK} OK")</f>
        <v/>
      </c>
    </row>
    <row r="16">
      <c r="A16" s="4" t="inlineStr">
        <is>
          <t>Providers with US Parent Company</t>
        </is>
      </c>
      <c r="B16" s="4">
        <f>COUNTIF('8. Jurisdictional Risk'!F6:F30,"Yes")</f>
        <v/>
      </c>
      <c r="C16" s="4">
        <f>IF(B16&gt;0,"{WARNING} Review","{CHECK} OK")</f>
        <v/>
      </c>
    </row>
    <row r="17">
      <c r="A17" s="4" t="inlineStr">
        <is>
          <t>CLOUD Act Potential Exposure (Unmitigated)</t>
        </is>
      </c>
      <c r="B17" s="4">
        <f>COUNTIF('8. Jurisdictional Risk'!G6:G30,"Potential*")</f>
        <v/>
      </c>
      <c r="C17" s="4">
        <f>IF(B17&gt;0,"{WARNING} Review","{CHECK} OK")</f>
        <v/>
      </c>
    </row>
    <row r="18">
      <c r="A18" s="4" t="inlineStr">
        <is>
          <t>CLOUD Act Mitigated</t>
        </is>
      </c>
      <c r="B18" s="4">
        <f>COUNTIFS('8. Jurisdictional Risk'!G6:G30,"Mitigated*")</f>
        <v/>
      </c>
      <c r="C18" s="4" t="inlineStr">
        <is>
          <t>Info</t>
        </is>
      </c>
    </row>
    <row r="19">
      <c r="A19" s="4" t="inlineStr">
        <is>
          <t>High/Critical Jurisdictional Risk</t>
        </is>
      </c>
      <c r="B19" s="4">
        <f>COUNTIF('8. Jurisdictional Risk'!N6:N30,"High")+COUNTIF('8. Jurisdictional Risk'!N6:N30,"Critical")</f>
        <v/>
      </c>
      <c r="C19" s="4">
        <f>IF(B19&gt;0,"{XMARK} Action","{CHECK} OK")</f>
        <v/>
      </c>
    </row>
    <row r="20">
      <c r="A20" s="4" t="inlineStr">
        <is>
          <t>Providers Without EU Data Boundary</t>
        </is>
      </c>
      <c r="B20" s="4">
        <f>COUNTIF('8. Jurisdictional Risk'!I6:I30,"No")</f>
        <v/>
      </c>
      <c r="C20" s="4">
        <f>IF(B20&gt;0,"{WARNING} Review","{CHECK} OK")</f>
        <v/>
      </c>
    </row>
    <row r="21">
      <c r="A21" s="4" t="inlineStr">
        <is>
          <t>Providers Without Customer-Managed Keys</t>
        </is>
      </c>
      <c r="B21" s="4">
        <f>COUNTIF('8. Jurisdictional Risk'!J6:J30,"No")</f>
        <v/>
      </c>
      <c r="C21" s="4">
        <f>IF(B21&gt;0,"{WARNING} Review","{CHECK} OK")</f>
        <v/>
      </c>
    </row>
    <row r="24">
      <c r="A24" s="31" t="inlineStr">
        <is>
          <t>TABLE 3: REGULATORY RISK MONITORING STATUS</t>
        </is>
      </c>
    </row>
    <row r="25">
      <c r="A25" s="34" t="inlineStr">
        <is>
          <t>Metric</t>
        </is>
      </c>
      <c r="B25" s="34" t="inlineStr">
        <is>
          <t>Count</t>
        </is>
      </c>
      <c r="C25" s="34" t="inlineStr">
        <is>
          <t>Status</t>
        </is>
      </c>
    </row>
    <row r="26">
      <c r="A26" s="4" t="inlineStr">
        <is>
          <t>DORA Risks Not Monitored</t>
        </is>
      </c>
      <c r="B26" s="4">
        <f>COUNTIF('4. Incident Management'!Y6:Y30,"Not Monitored")</f>
        <v/>
      </c>
      <c r="C26" s="4">
        <f>IF(B26&gt;0,"{XMARK} Action","{CHECK} OK")</f>
        <v/>
      </c>
    </row>
    <row r="27">
      <c r="A27" s="4" t="inlineStr">
        <is>
          <t>NIS2 Significant Incidents (Require ≤24h notification)</t>
        </is>
      </c>
      <c r="B27" s="4">
        <f>COUNTIF('4. Incident Management'!Z6:Z30,"Significant*")</f>
        <v/>
      </c>
      <c r="C27" s="4">
        <f>IF(B27&gt;0,"{WARNING} Review","{CHECK} OK")</f>
        <v/>
      </c>
    </row>
    <row r="28">
      <c r="A28" s="4" t="inlineStr">
        <is>
          <t>AI Systems Requiring Active Monitoring</t>
        </is>
      </c>
      <c r="B28" s="4">
        <f>COUNTIF('4. Incident Management'!AA6:AA30,"Active Monitoring")</f>
        <v/>
      </c>
      <c r="C28" s="4" t="inlineStr">
        <is>
          <t>Info</t>
        </is>
      </c>
    </row>
    <row r="29">
      <c r="A29" s="4" t="inlineStr">
        <is>
          <t>Regulatory Risks Without Assigned Owner</t>
        </is>
      </c>
      <c r="B29" s="4">
        <f>COUNTIF('4. Incident Management'!AB6:AB30,"")</f>
        <v/>
      </c>
      <c r="C29" s="4">
        <f>IF(B29&gt;0,"{XMARK} Action","{CHECK} OK")</f>
        <v/>
      </c>
    </row>
    <row r="33">
      <c r="A33" s="16" t="inlineStr">
        <is>
          <t>KEY GOVERNANCE METRICS</t>
        </is>
      </c>
    </row>
    <row r="34">
      <c r="A34" s="3" t="inlineStr">
        <is>
          <t>Total Cloud Services Assessed:</t>
        </is>
      </c>
      <c r="C34" s="5">
        <f>B10</f>
        <v/>
      </c>
    </row>
    <row r="35">
      <c r="A35" s="3" t="inlineStr">
        <is>
          <t>Services Requiring Remediation:</t>
        </is>
      </c>
      <c r="C35" s="5">
        <f>COUNTIF('2. Access Review'!K6:K24,"Yes")+COUNTIF('3. Change Management'!K6:K24,"Yes")+COUNTIF('4. Incident Management'!K6:K24,"Yes")+COUNTIF('5. Business Continuity'!K6:K24,"Yes")+COUNTIF('6. Vendor Risk Monitoring'!K6:K24,"Yes")</f>
        <v/>
      </c>
    </row>
    <row r="36">
      <c r="A36" s="3" t="inlineStr">
        <is>
          <t>Access Reviews Overdue:</t>
        </is>
      </c>
      <c r="C36" s="5">
        <f>COUNTIF('2. Access Review'!S6:S24,"Overdue")</f>
        <v/>
      </c>
    </row>
    <row r="37">
      <c r="A37" s="3" t="inlineStr">
        <is>
          <t>Open P1/P2 Incidents:</t>
        </is>
      </c>
      <c r="C37" s="5">
        <f>COUNTIF('4. Incident Management'!G6:G24,"P1-Critical")+COUNTIF('4. Incident Management'!G6:G24,"P2-High")</f>
        <v/>
      </c>
    </row>
    <row r="38">
      <c r="A38" s="3" t="inlineStr">
        <is>
          <t>BC Tests Overdue:</t>
        </is>
      </c>
      <c r="C38" s="5">
        <f>COUNTIF('5. Business Continuity'!S6:S24,"Not Tested")</f>
        <v/>
      </c>
    </row>
    <row r="39">
      <c r="A39" s="3" t="inlineStr">
        <is>
          <t>High/Critical Risk Vendors:</t>
        </is>
      </c>
      <c r="C39" s="5">
        <f>COUNTIF('6. Vendor Risk Monitoring'!G6:G24,"Critical")+COUNTIF('6. Vendor Risk Monitoring'!G6:G24,"High")</f>
        <v/>
      </c>
    </row>
    <row r="42">
      <c r="A42" s="35" t="inlineStr">
        <is>
          <t>OVERALL GOVERNANCE HEALTH SCORE</t>
        </is>
      </c>
    </row>
    <row r="43">
      <c r="A43" s="3" t="inlineStr">
        <is>
          <t>Score:</t>
        </is>
      </c>
      <c r="B43" s="36">
        <f>G10</f>
        <v/>
      </c>
    </row>
    <row r="44">
      <c r="A44" s="3" t="inlineStr">
        <is>
          <t>Rating:</t>
        </is>
      </c>
      <c r="B44">
        <f>IF(G10="N/A","Not Assessed",IF(VALUE(SUBSTITUTE(G10,"%",""))&gt;=90,"Excellent",IF(VALUE(SUBSTITUTE(G10,"%",""))&gt;=75,"Good",IF(VALUE(SUBSTITUTE(G10,"%",""))&gt;=60,"Needs Improvement","Critical"))))</f>
        <v/>
      </c>
    </row>
  </sheetData>
  <mergeCells count="6">
    <mergeCell ref="A13:C13"/>
    <mergeCell ref="A1:G1"/>
    <mergeCell ref="A3:G3"/>
    <mergeCell ref="A33:D33"/>
    <mergeCell ref="A42:D42"/>
    <mergeCell ref="A24:C24"/>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24"/>
  <sheetViews>
    <sheetView workbookViewId="0">
      <pane ySplit="4" topLeftCell="A5" activePane="bottomLeft" state="frozen"/>
      <selection pane="bottomLeft" activeCell="A1" sqref="A1"/>
    </sheetView>
  </sheetViews>
  <sheetFormatPr baseColWidth="8" defaultRowHeight="15"/>
  <cols>
    <col width="15" customWidth="1" min="1" max="1"/>
    <col width="25" customWidth="1" min="2" max="2"/>
    <col width="25" customWidth="1" min="3" max="3"/>
    <col width="28" customWidth="1" min="4" max="4"/>
    <col width="40" customWidth="1" min="5" max="5"/>
    <col width="45" customWidth="1" min="6" max="6"/>
    <col width="16" customWidth="1" min="7" max="7"/>
    <col width="20" customWidth="1" min="8" max="8"/>
    <col width="20" customWidth="1" min="9" max="9"/>
  </cols>
  <sheetData>
    <row r="1" ht="35" customHeight="1">
      <c r="A1" s="1" t="inlineStr">
        <is>
          <t>EVIDENCE REGISTER - ONGOING GOVERNANCE &amp; RISK v1.0</t>
        </is>
      </c>
    </row>
    <row r="2">
      <c r="A2" s="37" t="inlineStr">
        <is>
          <t>Audit trail for governance assessments - Evidence ID Format: EV-OGR-###</t>
        </is>
      </c>
    </row>
    <row r="4">
      <c r="A4" s="32" t="inlineStr">
        <is>
          <t>Evidence ID</t>
        </is>
      </c>
      <c r="B4" s="32" t="inlineStr">
        <is>
          <t>Assessment Area</t>
        </is>
      </c>
      <c r="C4" s="32" t="inlineStr">
        <is>
          <t>Cloud Service</t>
        </is>
      </c>
      <c r="D4" s="32" t="inlineStr">
        <is>
          <t>Evidence Type</t>
        </is>
      </c>
      <c r="E4" s="32" t="inlineStr">
        <is>
          <t>Description</t>
        </is>
      </c>
      <c r="F4" s="32" t="inlineStr">
        <is>
          <t>Location/Path</t>
        </is>
      </c>
      <c r="G4" s="32" t="inlineStr">
        <is>
          <t>Date Collected</t>
        </is>
      </c>
      <c r="H4" s="32" t="inlineStr">
        <is>
          <t>Collected By</t>
        </is>
      </c>
      <c r="I4" s="32" t="inlineStr">
        <is>
          <t>Verification Status</t>
        </is>
      </c>
    </row>
    <row r="5">
      <c r="A5" s="38" t="inlineStr">
        <is>
          <t>EV-OGR-001</t>
        </is>
      </c>
      <c r="B5" s="5" t="n"/>
      <c r="C5" s="5" t="n"/>
      <c r="D5" s="5" t="n"/>
      <c r="E5" s="5" t="n"/>
      <c r="F5" s="5" t="n"/>
      <c r="G5" s="5" t="n"/>
      <c r="H5" s="5" t="n"/>
      <c r="I5" s="5" t="n"/>
    </row>
    <row r="6">
      <c r="A6" s="38" t="inlineStr">
        <is>
          <t>EV-OGR-002</t>
        </is>
      </c>
      <c r="B6" s="5" t="n"/>
      <c r="C6" s="5" t="n"/>
      <c r="D6" s="5" t="n"/>
      <c r="E6" s="5" t="n"/>
      <c r="F6" s="5" t="n"/>
      <c r="G6" s="5" t="n"/>
      <c r="H6" s="5" t="n"/>
      <c r="I6" s="5" t="n"/>
    </row>
    <row r="7">
      <c r="A7" s="38" t="inlineStr">
        <is>
          <t>EV-OGR-003</t>
        </is>
      </c>
      <c r="B7" s="5" t="n"/>
      <c r="C7" s="5" t="n"/>
      <c r="D7" s="5" t="n"/>
      <c r="E7" s="5" t="n"/>
      <c r="F7" s="5" t="n"/>
      <c r="G7" s="5" t="n"/>
      <c r="H7" s="5" t="n"/>
      <c r="I7" s="5" t="n"/>
    </row>
    <row r="8">
      <c r="A8" s="38" t="inlineStr">
        <is>
          <t>EV-OGR-004</t>
        </is>
      </c>
      <c r="B8" s="5" t="n"/>
      <c r="C8" s="5" t="n"/>
      <c r="D8" s="5" t="n"/>
      <c r="E8" s="5" t="n"/>
      <c r="F8" s="5" t="n"/>
      <c r="G8" s="5" t="n"/>
      <c r="H8" s="5" t="n"/>
      <c r="I8" s="5" t="n"/>
    </row>
    <row r="9">
      <c r="A9" s="38" t="inlineStr">
        <is>
          <t>EV-OGR-005</t>
        </is>
      </c>
      <c r="B9" s="5" t="n"/>
      <c r="C9" s="5" t="n"/>
      <c r="D9" s="5" t="n"/>
      <c r="E9" s="5" t="n"/>
      <c r="F9" s="5" t="n"/>
      <c r="G9" s="5" t="n"/>
      <c r="H9" s="5" t="n"/>
      <c r="I9" s="5" t="n"/>
    </row>
    <row r="10">
      <c r="A10" s="38" t="inlineStr">
        <is>
          <t>EV-OGR-006</t>
        </is>
      </c>
      <c r="B10" s="5" t="n"/>
      <c r="C10" s="5" t="n"/>
      <c r="D10" s="5" t="n"/>
      <c r="E10" s="5" t="n"/>
      <c r="F10" s="5" t="n"/>
      <c r="G10" s="5" t="n"/>
      <c r="H10" s="5" t="n"/>
      <c r="I10" s="5" t="n"/>
    </row>
    <row r="11">
      <c r="A11" s="38" t="inlineStr">
        <is>
          <t>EV-OGR-007</t>
        </is>
      </c>
      <c r="B11" s="5" t="n"/>
      <c r="C11" s="5" t="n"/>
      <c r="D11" s="5" t="n"/>
      <c r="E11" s="5" t="n"/>
      <c r="F11" s="5" t="n"/>
      <c r="G11" s="5" t="n"/>
      <c r="H11" s="5" t="n"/>
      <c r="I11" s="5" t="n"/>
    </row>
    <row r="12">
      <c r="A12" s="38" t="inlineStr">
        <is>
          <t>EV-OGR-008</t>
        </is>
      </c>
      <c r="B12" s="5" t="n"/>
      <c r="C12" s="5" t="n"/>
      <c r="D12" s="5" t="n"/>
      <c r="E12" s="5" t="n"/>
      <c r="F12" s="5" t="n"/>
      <c r="G12" s="5" t="n"/>
      <c r="H12" s="5" t="n"/>
      <c r="I12" s="5" t="n"/>
    </row>
    <row r="13">
      <c r="A13" s="38" t="inlineStr">
        <is>
          <t>EV-OGR-009</t>
        </is>
      </c>
      <c r="B13" s="5" t="n"/>
      <c r="C13" s="5" t="n"/>
      <c r="D13" s="5" t="n"/>
      <c r="E13" s="5" t="n"/>
      <c r="F13" s="5" t="n"/>
      <c r="G13" s="5" t="n"/>
      <c r="H13" s="5" t="n"/>
      <c r="I13" s="5" t="n"/>
    </row>
    <row r="14">
      <c r="A14" s="38" t="inlineStr">
        <is>
          <t>EV-OGR-010</t>
        </is>
      </c>
      <c r="B14" s="5" t="n"/>
      <c r="C14" s="5" t="n"/>
      <c r="D14" s="5" t="n"/>
      <c r="E14" s="5" t="n"/>
      <c r="F14" s="5" t="n"/>
      <c r="G14" s="5" t="n"/>
      <c r="H14" s="5" t="n"/>
      <c r="I14" s="5" t="n"/>
    </row>
    <row r="15">
      <c r="A15" s="38" t="inlineStr">
        <is>
          <t>EV-OGR-011</t>
        </is>
      </c>
      <c r="B15" s="5" t="n"/>
      <c r="C15" s="5" t="n"/>
      <c r="D15" s="5" t="n"/>
      <c r="E15" s="5" t="n"/>
      <c r="F15" s="5" t="n"/>
      <c r="G15" s="5" t="n"/>
      <c r="H15" s="5" t="n"/>
      <c r="I15" s="5" t="n"/>
    </row>
    <row r="16">
      <c r="A16" s="38" t="inlineStr">
        <is>
          <t>EV-OGR-012</t>
        </is>
      </c>
      <c r="B16" s="5" t="n"/>
      <c r="C16" s="5" t="n"/>
      <c r="D16" s="5" t="n"/>
      <c r="E16" s="5" t="n"/>
      <c r="F16" s="5" t="n"/>
      <c r="G16" s="5" t="n"/>
      <c r="H16" s="5" t="n"/>
      <c r="I16" s="5" t="n"/>
    </row>
    <row r="17">
      <c r="A17" s="38" t="inlineStr">
        <is>
          <t>EV-OGR-013</t>
        </is>
      </c>
      <c r="B17" s="5" t="n"/>
      <c r="C17" s="5" t="n"/>
      <c r="D17" s="5" t="n"/>
      <c r="E17" s="5" t="n"/>
      <c r="F17" s="5" t="n"/>
      <c r="G17" s="5" t="n"/>
      <c r="H17" s="5" t="n"/>
      <c r="I17" s="5" t="n"/>
    </row>
    <row r="18">
      <c r="A18" s="38" t="inlineStr">
        <is>
          <t>EV-OGR-014</t>
        </is>
      </c>
      <c r="B18" s="5" t="n"/>
      <c r="C18" s="5" t="n"/>
      <c r="D18" s="5" t="n"/>
      <c r="E18" s="5" t="n"/>
      <c r="F18" s="5" t="n"/>
      <c r="G18" s="5" t="n"/>
      <c r="H18" s="5" t="n"/>
      <c r="I18" s="5" t="n"/>
    </row>
    <row r="19">
      <c r="A19" s="38" t="inlineStr">
        <is>
          <t>EV-OGR-015</t>
        </is>
      </c>
      <c r="B19" s="5" t="n"/>
      <c r="C19" s="5" t="n"/>
      <c r="D19" s="5" t="n"/>
      <c r="E19" s="5" t="n"/>
      <c r="F19" s="5" t="n"/>
      <c r="G19" s="5" t="n"/>
      <c r="H19" s="5" t="n"/>
      <c r="I19" s="5" t="n"/>
    </row>
    <row r="20">
      <c r="A20" s="38" t="inlineStr">
        <is>
          <t>EV-OGR-016</t>
        </is>
      </c>
      <c r="B20" s="5" t="n"/>
      <c r="C20" s="5" t="n"/>
      <c r="D20" s="5" t="n"/>
      <c r="E20" s="5" t="n"/>
      <c r="F20" s="5" t="n"/>
      <c r="G20" s="5" t="n"/>
      <c r="H20" s="5" t="n"/>
      <c r="I20" s="5" t="n"/>
    </row>
    <row r="21">
      <c r="A21" s="38" t="inlineStr">
        <is>
          <t>EV-OGR-017</t>
        </is>
      </c>
      <c r="B21" s="5" t="n"/>
      <c r="C21" s="5" t="n"/>
      <c r="D21" s="5" t="n"/>
      <c r="E21" s="5" t="n"/>
      <c r="F21" s="5" t="n"/>
      <c r="G21" s="5" t="n"/>
      <c r="H21" s="5" t="n"/>
      <c r="I21" s="5" t="n"/>
    </row>
    <row r="22">
      <c r="A22" s="38" t="inlineStr">
        <is>
          <t>EV-OGR-018</t>
        </is>
      </c>
      <c r="B22" s="5" t="n"/>
      <c r="C22" s="5" t="n"/>
      <c r="D22" s="5" t="n"/>
      <c r="E22" s="5" t="n"/>
      <c r="F22" s="5" t="n"/>
      <c r="G22" s="5" t="n"/>
      <c r="H22" s="5" t="n"/>
      <c r="I22" s="5" t="n"/>
    </row>
    <row r="23">
      <c r="A23" s="38" t="inlineStr">
        <is>
          <t>EV-OGR-019</t>
        </is>
      </c>
      <c r="B23" s="5" t="n"/>
      <c r="C23" s="5" t="n"/>
      <c r="D23" s="5" t="n"/>
      <c r="E23" s="5" t="n"/>
      <c r="F23" s="5" t="n"/>
      <c r="G23" s="5" t="n"/>
      <c r="H23" s="5" t="n"/>
      <c r="I23" s="5" t="n"/>
    </row>
    <row r="24">
      <c r="A24" s="38" t="inlineStr">
        <is>
          <t>EV-OGR-020</t>
        </is>
      </c>
      <c r="B24" s="5" t="n"/>
      <c r="C24" s="5" t="n"/>
      <c r="D24" s="5" t="n"/>
      <c r="E24" s="5" t="n"/>
      <c r="F24" s="5" t="n"/>
      <c r="G24" s="5" t="n"/>
      <c r="H24" s="5" t="n"/>
      <c r="I24" s="5" t="n"/>
    </row>
    <row r="25">
      <c r="A25" s="38" t="inlineStr">
        <is>
          <t>EV-OGR-021</t>
        </is>
      </c>
      <c r="B25" s="5" t="n"/>
      <c r="C25" s="5" t="n"/>
      <c r="D25" s="5" t="n"/>
      <c r="E25" s="5" t="n"/>
      <c r="F25" s="5" t="n"/>
      <c r="G25" s="5" t="n"/>
      <c r="H25" s="5" t="n"/>
      <c r="I25" s="5" t="n"/>
    </row>
    <row r="26">
      <c r="A26" s="38" t="inlineStr">
        <is>
          <t>EV-OGR-022</t>
        </is>
      </c>
      <c r="B26" s="5" t="n"/>
      <c r="C26" s="5" t="n"/>
      <c r="D26" s="5" t="n"/>
      <c r="E26" s="5" t="n"/>
      <c r="F26" s="5" t="n"/>
      <c r="G26" s="5" t="n"/>
      <c r="H26" s="5" t="n"/>
      <c r="I26" s="5" t="n"/>
    </row>
    <row r="27">
      <c r="A27" s="38" t="inlineStr">
        <is>
          <t>EV-OGR-023</t>
        </is>
      </c>
      <c r="B27" s="5" t="n"/>
      <c r="C27" s="5" t="n"/>
      <c r="D27" s="5" t="n"/>
      <c r="E27" s="5" t="n"/>
      <c r="F27" s="5" t="n"/>
      <c r="G27" s="5" t="n"/>
      <c r="H27" s="5" t="n"/>
      <c r="I27" s="5" t="n"/>
    </row>
    <row r="28">
      <c r="A28" s="38" t="inlineStr">
        <is>
          <t>EV-OGR-024</t>
        </is>
      </c>
      <c r="B28" s="5" t="n"/>
      <c r="C28" s="5" t="n"/>
      <c r="D28" s="5" t="n"/>
      <c r="E28" s="5" t="n"/>
      <c r="F28" s="5" t="n"/>
      <c r="G28" s="5" t="n"/>
      <c r="H28" s="5" t="n"/>
      <c r="I28" s="5" t="n"/>
    </row>
    <row r="29">
      <c r="A29" s="38" t="inlineStr">
        <is>
          <t>EV-OGR-025</t>
        </is>
      </c>
      <c r="B29" s="5" t="n"/>
      <c r="C29" s="5" t="n"/>
      <c r="D29" s="5" t="n"/>
      <c r="E29" s="5" t="n"/>
      <c r="F29" s="5" t="n"/>
      <c r="G29" s="5" t="n"/>
      <c r="H29" s="5" t="n"/>
      <c r="I29" s="5" t="n"/>
    </row>
    <row r="30">
      <c r="A30" s="38" t="inlineStr">
        <is>
          <t>EV-OGR-026</t>
        </is>
      </c>
      <c r="B30" s="5" t="n"/>
      <c r="C30" s="5" t="n"/>
      <c r="D30" s="5" t="n"/>
      <c r="E30" s="5" t="n"/>
      <c r="F30" s="5" t="n"/>
      <c r="G30" s="5" t="n"/>
      <c r="H30" s="5" t="n"/>
      <c r="I30" s="5" t="n"/>
    </row>
    <row r="31">
      <c r="A31" s="38" t="inlineStr">
        <is>
          <t>EV-OGR-027</t>
        </is>
      </c>
      <c r="B31" s="5" t="n"/>
      <c r="C31" s="5" t="n"/>
      <c r="D31" s="5" t="n"/>
      <c r="E31" s="5" t="n"/>
      <c r="F31" s="5" t="n"/>
      <c r="G31" s="5" t="n"/>
      <c r="H31" s="5" t="n"/>
      <c r="I31" s="5" t="n"/>
    </row>
    <row r="32">
      <c r="A32" s="38" t="inlineStr">
        <is>
          <t>EV-OGR-028</t>
        </is>
      </c>
      <c r="B32" s="5" t="n"/>
      <c r="C32" s="5" t="n"/>
      <c r="D32" s="5" t="n"/>
      <c r="E32" s="5" t="n"/>
      <c r="F32" s="5" t="n"/>
      <c r="G32" s="5" t="n"/>
      <c r="H32" s="5" t="n"/>
      <c r="I32" s="5" t="n"/>
    </row>
    <row r="33">
      <c r="A33" s="38" t="inlineStr">
        <is>
          <t>EV-OGR-029</t>
        </is>
      </c>
      <c r="B33" s="5" t="n"/>
      <c r="C33" s="5" t="n"/>
      <c r="D33" s="5" t="n"/>
      <c r="E33" s="5" t="n"/>
      <c r="F33" s="5" t="n"/>
      <c r="G33" s="5" t="n"/>
      <c r="H33" s="5" t="n"/>
      <c r="I33" s="5" t="n"/>
    </row>
    <row r="34">
      <c r="A34" s="38" t="inlineStr">
        <is>
          <t>EV-OGR-030</t>
        </is>
      </c>
      <c r="B34" s="5" t="n"/>
      <c r="C34" s="5" t="n"/>
      <c r="D34" s="5" t="n"/>
      <c r="E34" s="5" t="n"/>
      <c r="F34" s="5" t="n"/>
      <c r="G34" s="5" t="n"/>
      <c r="H34" s="5" t="n"/>
      <c r="I34" s="5" t="n"/>
    </row>
    <row r="35">
      <c r="A35" s="38" t="inlineStr">
        <is>
          <t>EV-OGR-031</t>
        </is>
      </c>
      <c r="B35" s="5" t="n"/>
      <c r="C35" s="5" t="n"/>
      <c r="D35" s="5" t="n"/>
      <c r="E35" s="5" t="n"/>
      <c r="F35" s="5" t="n"/>
      <c r="G35" s="5" t="n"/>
      <c r="H35" s="5" t="n"/>
      <c r="I35" s="5" t="n"/>
    </row>
    <row r="36">
      <c r="A36" s="38" t="inlineStr">
        <is>
          <t>EV-OGR-032</t>
        </is>
      </c>
      <c r="B36" s="5" t="n"/>
      <c r="C36" s="5" t="n"/>
      <c r="D36" s="5" t="n"/>
      <c r="E36" s="5" t="n"/>
      <c r="F36" s="5" t="n"/>
      <c r="G36" s="5" t="n"/>
      <c r="H36" s="5" t="n"/>
      <c r="I36" s="5" t="n"/>
    </row>
    <row r="37">
      <c r="A37" s="38" t="inlineStr">
        <is>
          <t>EV-OGR-033</t>
        </is>
      </c>
      <c r="B37" s="5" t="n"/>
      <c r="C37" s="5" t="n"/>
      <c r="D37" s="5" t="n"/>
      <c r="E37" s="5" t="n"/>
      <c r="F37" s="5" t="n"/>
      <c r="G37" s="5" t="n"/>
      <c r="H37" s="5" t="n"/>
      <c r="I37" s="5" t="n"/>
    </row>
    <row r="38">
      <c r="A38" s="38" t="inlineStr">
        <is>
          <t>EV-OGR-034</t>
        </is>
      </c>
      <c r="B38" s="5" t="n"/>
      <c r="C38" s="5" t="n"/>
      <c r="D38" s="5" t="n"/>
      <c r="E38" s="5" t="n"/>
      <c r="F38" s="5" t="n"/>
      <c r="G38" s="5" t="n"/>
      <c r="H38" s="5" t="n"/>
      <c r="I38" s="5" t="n"/>
    </row>
    <row r="39">
      <c r="A39" s="38" t="inlineStr">
        <is>
          <t>EV-OGR-035</t>
        </is>
      </c>
      <c r="B39" s="5" t="n"/>
      <c r="C39" s="5" t="n"/>
      <c r="D39" s="5" t="n"/>
      <c r="E39" s="5" t="n"/>
      <c r="F39" s="5" t="n"/>
      <c r="G39" s="5" t="n"/>
      <c r="H39" s="5" t="n"/>
      <c r="I39" s="5" t="n"/>
    </row>
    <row r="40">
      <c r="A40" s="38" t="inlineStr">
        <is>
          <t>EV-OGR-036</t>
        </is>
      </c>
      <c r="B40" s="5" t="n"/>
      <c r="C40" s="5" t="n"/>
      <c r="D40" s="5" t="n"/>
      <c r="E40" s="5" t="n"/>
      <c r="F40" s="5" t="n"/>
      <c r="G40" s="5" t="n"/>
      <c r="H40" s="5" t="n"/>
      <c r="I40" s="5" t="n"/>
    </row>
    <row r="41">
      <c r="A41" s="38" t="inlineStr">
        <is>
          <t>EV-OGR-037</t>
        </is>
      </c>
      <c r="B41" s="5" t="n"/>
      <c r="C41" s="5" t="n"/>
      <c r="D41" s="5" t="n"/>
      <c r="E41" s="5" t="n"/>
      <c r="F41" s="5" t="n"/>
      <c r="G41" s="5" t="n"/>
      <c r="H41" s="5" t="n"/>
      <c r="I41" s="5" t="n"/>
    </row>
    <row r="42">
      <c r="A42" s="38" t="inlineStr">
        <is>
          <t>EV-OGR-038</t>
        </is>
      </c>
      <c r="B42" s="5" t="n"/>
      <c r="C42" s="5" t="n"/>
      <c r="D42" s="5" t="n"/>
      <c r="E42" s="5" t="n"/>
      <c r="F42" s="5" t="n"/>
      <c r="G42" s="5" t="n"/>
      <c r="H42" s="5" t="n"/>
      <c r="I42" s="5" t="n"/>
    </row>
    <row r="43">
      <c r="A43" s="38" t="inlineStr">
        <is>
          <t>EV-OGR-039</t>
        </is>
      </c>
      <c r="B43" s="5" t="n"/>
      <c r="C43" s="5" t="n"/>
      <c r="D43" s="5" t="n"/>
      <c r="E43" s="5" t="n"/>
      <c r="F43" s="5" t="n"/>
      <c r="G43" s="5" t="n"/>
      <c r="H43" s="5" t="n"/>
      <c r="I43" s="5" t="n"/>
    </row>
    <row r="44">
      <c r="A44" s="38" t="inlineStr">
        <is>
          <t>EV-OGR-040</t>
        </is>
      </c>
      <c r="B44" s="5" t="n"/>
      <c r="C44" s="5" t="n"/>
      <c r="D44" s="5" t="n"/>
      <c r="E44" s="5" t="n"/>
      <c r="F44" s="5" t="n"/>
      <c r="G44" s="5" t="n"/>
      <c r="H44" s="5" t="n"/>
      <c r="I44" s="5" t="n"/>
    </row>
    <row r="45">
      <c r="A45" s="38" t="inlineStr">
        <is>
          <t>EV-OGR-041</t>
        </is>
      </c>
      <c r="B45" s="5" t="n"/>
      <c r="C45" s="5" t="n"/>
      <c r="D45" s="5" t="n"/>
      <c r="E45" s="5" t="n"/>
      <c r="F45" s="5" t="n"/>
      <c r="G45" s="5" t="n"/>
      <c r="H45" s="5" t="n"/>
      <c r="I45" s="5" t="n"/>
    </row>
    <row r="46">
      <c r="A46" s="38" t="inlineStr">
        <is>
          <t>EV-OGR-042</t>
        </is>
      </c>
      <c r="B46" s="5" t="n"/>
      <c r="C46" s="5" t="n"/>
      <c r="D46" s="5" t="n"/>
      <c r="E46" s="5" t="n"/>
      <c r="F46" s="5" t="n"/>
      <c r="G46" s="5" t="n"/>
      <c r="H46" s="5" t="n"/>
      <c r="I46" s="5" t="n"/>
    </row>
    <row r="47">
      <c r="A47" s="38" t="inlineStr">
        <is>
          <t>EV-OGR-043</t>
        </is>
      </c>
      <c r="B47" s="5" t="n"/>
      <c r="C47" s="5" t="n"/>
      <c r="D47" s="5" t="n"/>
      <c r="E47" s="5" t="n"/>
      <c r="F47" s="5" t="n"/>
      <c r="G47" s="5" t="n"/>
      <c r="H47" s="5" t="n"/>
      <c r="I47" s="5" t="n"/>
    </row>
    <row r="48">
      <c r="A48" s="38" t="inlineStr">
        <is>
          <t>EV-OGR-044</t>
        </is>
      </c>
      <c r="B48" s="5" t="n"/>
      <c r="C48" s="5" t="n"/>
      <c r="D48" s="5" t="n"/>
      <c r="E48" s="5" t="n"/>
      <c r="F48" s="5" t="n"/>
      <c r="G48" s="5" t="n"/>
      <c r="H48" s="5" t="n"/>
      <c r="I48" s="5" t="n"/>
    </row>
    <row r="49">
      <c r="A49" s="38" t="inlineStr">
        <is>
          <t>EV-OGR-045</t>
        </is>
      </c>
      <c r="B49" s="5" t="n"/>
      <c r="C49" s="5" t="n"/>
      <c r="D49" s="5" t="n"/>
      <c r="E49" s="5" t="n"/>
      <c r="F49" s="5" t="n"/>
      <c r="G49" s="5" t="n"/>
      <c r="H49" s="5" t="n"/>
      <c r="I49" s="5" t="n"/>
    </row>
    <row r="50">
      <c r="A50" s="38" t="inlineStr">
        <is>
          <t>EV-OGR-046</t>
        </is>
      </c>
      <c r="B50" s="5" t="n"/>
      <c r="C50" s="5" t="n"/>
      <c r="D50" s="5" t="n"/>
      <c r="E50" s="5" t="n"/>
      <c r="F50" s="5" t="n"/>
      <c r="G50" s="5" t="n"/>
      <c r="H50" s="5" t="n"/>
      <c r="I50" s="5" t="n"/>
    </row>
    <row r="51">
      <c r="A51" s="38" t="inlineStr">
        <is>
          <t>EV-OGR-047</t>
        </is>
      </c>
      <c r="B51" s="5" t="n"/>
      <c r="C51" s="5" t="n"/>
      <c r="D51" s="5" t="n"/>
      <c r="E51" s="5" t="n"/>
      <c r="F51" s="5" t="n"/>
      <c r="G51" s="5" t="n"/>
      <c r="H51" s="5" t="n"/>
      <c r="I51" s="5" t="n"/>
    </row>
    <row r="52">
      <c r="A52" s="38" t="inlineStr">
        <is>
          <t>EV-OGR-048</t>
        </is>
      </c>
      <c r="B52" s="5" t="n"/>
      <c r="C52" s="5" t="n"/>
      <c r="D52" s="5" t="n"/>
      <c r="E52" s="5" t="n"/>
      <c r="F52" s="5" t="n"/>
      <c r="G52" s="5" t="n"/>
      <c r="H52" s="5" t="n"/>
      <c r="I52" s="5" t="n"/>
    </row>
    <row r="53">
      <c r="A53" s="38" t="inlineStr">
        <is>
          <t>EV-OGR-049</t>
        </is>
      </c>
      <c r="B53" s="5" t="n"/>
      <c r="C53" s="5" t="n"/>
      <c r="D53" s="5" t="n"/>
      <c r="E53" s="5" t="n"/>
      <c r="F53" s="5" t="n"/>
      <c r="G53" s="5" t="n"/>
      <c r="H53" s="5" t="n"/>
      <c r="I53" s="5" t="n"/>
    </row>
    <row r="54">
      <c r="A54" s="38" t="inlineStr">
        <is>
          <t>EV-OGR-050</t>
        </is>
      </c>
      <c r="B54" s="5" t="n"/>
      <c r="C54" s="5" t="n"/>
      <c r="D54" s="5" t="n"/>
      <c r="E54" s="5" t="n"/>
      <c r="F54" s="5" t="n"/>
      <c r="G54" s="5" t="n"/>
      <c r="H54" s="5" t="n"/>
      <c r="I54" s="5" t="n"/>
    </row>
    <row r="55">
      <c r="A55" s="38" t="inlineStr">
        <is>
          <t>EV-OGR-051</t>
        </is>
      </c>
      <c r="B55" s="5" t="n"/>
      <c r="C55" s="5" t="n"/>
      <c r="D55" s="5" t="n"/>
      <c r="E55" s="5" t="n"/>
      <c r="F55" s="5" t="n"/>
      <c r="G55" s="5" t="n"/>
      <c r="H55" s="5" t="n"/>
      <c r="I55" s="5" t="n"/>
    </row>
    <row r="56">
      <c r="A56" s="38" t="inlineStr">
        <is>
          <t>EV-OGR-052</t>
        </is>
      </c>
      <c r="B56" s="5" t="n"/>
      <c r="C56" s="5" t="n"/>
      <c r="D56" s="5" t="n"/>
      <c r="E56" s="5" t="n"/>
      <c r="F56" s="5" t="n"/>
      <c r="G56" s="5" t="n"/>
      <c r="H56" s="5" t="n"/>
      <c r="I56" s="5" t="n"/>
    </row>
    <row r="57">
      <c r="A57" s="38" t="inlineStr">
        <is>
          <t>EV-OGR-053</t>
        </is>
      </c>
      <c r="B57" s="5" t="n"/>
      <c r="C57" s="5" t="n"/>
      <c r="D57" s="5" t="n"/>
      <c r="E57" s="5" t="n"/>
      <c r="F57" s="5" t="n"/>
      <c r="G57" s="5" t="n"/>
      <c r="H57" s="5" t="n"/>
      <c r="I57" s="5" t="n"/>
    </row>
    <row r="58">
      <c r="A58" s="38" t="inlineStr">
        <is>
          <t>EV-OGR-054</t>
        </is>
      </c>
      <c r="B58" s="5" t="n"/>
      <c r="C58" s="5" t="n"/>
      <c r="D58" s="5" t="n"/>
      <c r="E58" s="5" t="n"/>
      <c r="F58" s="5" t="n"/>
      <c r="G58" s="5" t="n"/>
      <c r="H58" s="5" t="n"/>
      <c r="I58" s="5" t="n"/>
    </row>
    <row r="59">
      <c r="A59" s="38" t="inlineStr">
        <is>
          <t>EV-OGR-055</t>
        </is>
      </c>
      <c r="B59" s="5" t="n"/>
      <c r="C59" s="5" t="n"/>
      <c r="D59" s="5" t="n"/>
      <c r="E59" s="5" t="n"/>
      <c r="F59" s="5" t="n"/>
      <c r="G59" s="5" t="n"/>
      <c r="H59" s="5" t="n"/>
      <c r="I59" s="5" t="n"/>
    </row>
    <row r="60">
      <c r="A60" s="38" t="inlineStr">
        <is>
          <t>EV-OGR-056</t>
        </is>
      </c>
      <c r="B60" s="5" t="n"/>
      <c r="C60" s="5" t="n"/>
      <c r="D60" s="5" t="n"/>
      <c r="E60" s="5" t="n"/>
      <c r="F60" s="5" t="n"/>
      <c r="G60" s="5" t="n"/>
      <c r="H60" s="5" t="n"/>
      <c r="I60" s="5" t="n"/>
    </row>
    <row r="61">
      <c r="A61" s="38" t="inlineStr">
        <is>
          <t>EV-OGR-057</t>
        </is>
      </c>
      <c r="B61" s="5" t="n"/>
      <c r="C61" s="5" t="n"/>
      <c r="D61" s="5" t="n"/>
      <c r="E61" s="5" t="n"/>
      <c r="F61" s="5" t="n"/>
      <c r="G61" s="5" t="n"/>
      <c r="H61" s="5" t="n"/>
      <c r="I61" s="5" t="n"/>
    </row>
    <row r="62">
      <c r="A62" s="38" t="inlineStr">
        <is>
          <t>EV-OGR-058</t>
        </is>
      </c>
      <c r="B62" s="5" t="n"/>
      <c r="C62" s="5" t="n"/>
      <c r="D62" s="5" t="n"/>
      <c r="E62" s="5" t="n"/>
      <c r="F62" s="5" t="n"/>
      <c r="G62" s="5" t="n"/>
      <c r="H62" s="5" t="n"/>
      <c r="I62" s="5" t="n"/>
    </row>
    <row r="63">
      <c r="A63" s="38" t="inlineStr">
        <is>
          <t>EV-OGR-059</t>
        </is>
      </c>
      <c r="B63" s="5" t="n"/>
      <c r="C63" s="5" t="n"/>
      <c r="D63" s="5" t="n"/>
      <c r="E63" s="5" t="n"/>
      <c r="F63" s="5" t="n"/>
      <c r="G63" s="5" t="n"/>
      <c r="H63" s="5" t="n"/>
      <c r="I63" s="5" t="n"/>
    </row>
    <row r="64">
      <c r="A64" s="38" t="inlineStr">
        <is>
          <t>EV-OGR-060</t>
        </is>
      </c>
      <c r="B64" s="5" t="n"/>
      <c r="C64" s="5" t="n"/>
      <c r="D64" s="5" t="n"/>
      <c r="E64" s="5" t="n"/>
      <c r="F64" s="5" t="n"/>
      <c r="G64" s="5" t="n"/>
      <c r="H64" s="5" t="n"/>
      <c r="I64" s="5" t="n"/>
    </row>
    <row r="65">
      <c r="A65" s="38" t="inlineStr">
        <is>
          <t>EV-OGR-061</t>
        </is>
      </c>
      <c r="B65" s="5" t="n"/>
      <c r="C65" s="5" t="n"/>
      <c r="D65" s="5" t="n"/>
      <c r="E65" s="5" t="n"/>
      <c r="F65" s="5" t="n"/>
      <c r="G65" s="5" t="n"/>
      <c r="H65" s="5" t="n"/>
      <c r="I65" s="5" t="n"/>
    </row>
    <row r="66">
      <c r="A66" s="38" t="inlineStr">
        <is>
          <t>EV-OGR-062</t>
        </is>
      </c>
      <c r="B66" s="5" t="n"/>
      <c r="C66" s="5" t="n"/>
      <c r="D66" s="5" t="n"/>
      <c r="E66" s="5" t="n"/>
      <c r="F66" s="5" t="n"/>
      <c r="G66" s="5" t="n"/>
      <c r="H66" s="5" t="n"/>
      <c r="I66" s="5" t="n"/>
    </row>
    <row r="67">
      <c r="A67" s="38" t="inlineStr">
        <is>
          <t>EV-OGR-063</t>
        </is>
      </c>
      <c r="B67" s="5" t="n"/>
      <c r="C67" s="5" t="n"/>
      <c r="D67" s="5" t="n"/>
      <c r="E67" s="5" t="n"/>
      <c r="F67" s="5" t="n"/>
      <c r="G67" s="5" t="n"/>
      <c r="H67" s="5" t="n"/>
      <c r="I67" s="5" t="n"/>
    </row>
    <row r="68">
      <c r="A68" s="38" t="inlineStr">
        <is>
          <t>EV-OGR-064</t>
        </is>
      </c>
      <c r="B68" s="5" t="n"/>
      <c r="C68" s="5" t="n"/>
      <c r="D68" s="5" t="n"/>
      <c r="E68" s="5" t="n"/>
      <c r="F68" s="5" t="n"/>
      <c r="G68" s="5" t="n"/>
      <c r="H68" s="5" t="n"/>
      <c r="I68" s="5" t="n"/>
    </row>
    <row r="69">
      <c r="A69" s="38" t="inlineStr">
        <is>
          <t>EV-OGR-065</t>
        </is>
      </c>
      <c r="B69" s="5" t="n"/>
      <c r="C69" s="5" t="n"/>
      <c r="D69" s="5" t="n"/>
      <c r="E69" s="5" t="n"/>
      <c r="F69" s="5" t="n"/>
      <c r="G69" s="5" t="n"/>
      <c r="H69" s="5" t="n"/>
      <c r="I69" s="5" t="n"/>
    </row>
    <row r="70">
      <c r="A70" s="38" t="inlineStr">
        <is>
          <t>EV-OGR-066</t>
        </is>
      </c>
      <c r="B70" s="5" t="n"/>
      <c r="C70" s="5" t="n"/>
      <c r="D70" s="5" t="n"/>
      <c r="E70" s="5" t="n"/>
      <c r="F70" s="5" t="n"/>
      <c r="G70" s="5" t="n"/>
      <c r="H70" s="5" t="n"/>
      <c r="I70" s="5" t="n"/>
    </row>
    <row r="71">
      <c r="A71" s="38" t="inlineStr">
        <is>
          <t>EV-OGR-067</t>
        </is>
      </c>
      <c r="B71" s="5" t="n"/>
      <c r="C71" s="5" t="n"/>
      <c r="D71" s="5" t="n"/>
      <c r="E71" s="5" t="n"/>
      <c r="F71" s="5" t="n"/>
      <c r="G71" s="5" t="n"/>
      <c r="H71" s="5" t="n"/>
      <c r="I71" s="5" t="n"/>
    </row>
    <row r="72">
      <c r="A72" s="38" t="inlineStr">
        <is>
          <t>EV-OGR-068</t>
        </is>
      </c>
      <c r="B72" s="5" t="n"/>
      <c r="C72" s="5" t="n"/>
      <c r="D72" s="5" t="n"/>
      <c r="E72" s="5" t="n"/>
      <c r="F72" s="5" t="n"/>
      <c r="G72" s="5" t="n"/>
      <c r="H72" s="5" t="n"/>
      <c r="I72" s="5" t="n"/>
    </row>
    <row r="73">
      <c r="A73" s="38" t="inlineStr">
        <is>
          <t>EV-OGR-069</t>
        </is>
      </c>
      <c r="B73" s="5" t="n"/>
      <c r="C73" s="5" t="n"/>
      <c r="D73" s="5" t="n"/>
      <c r="E73" s="5" t="n"/>
      <c r="F73" s="5" t="n"/>
      <c r="G73" s="5" t="n"/>
      <c r="H73" s="5" t="n"/>
      <c r="I73" s="5" t="n"/>
    </row>
    <row r="74">
      <c r="A74" s="38" t="inlineStr">
        <is>
          <t>EV-OGR-070</t>
        </is>
      </c>
      <c r="B74" s="5" t="n"/>
      <c r="C74" s="5" t="n"/>
      <c r="D74" s="5" t="n"/>
      <c r="E74" s="5" t="n"/>
      <c r="F74" s="5" t="n"/>
      <c r="G74" s="5" t="n"/>
      <c r="H74" s="5" t="n"/>
      <c r="I74" s="5" t="n"/>
    </row>
    <row r="75">
      <c r="A75" s="38" t="inlineStr">
        <is>
          <t>EV-OGR-071</t>
        </is>
      </c>
      <c r="B75" s="5" t="n"/>
      <c r="C75" s="5" t="n"/>
      <c r="D75" s="5" t="n"/>
      <c r="E75" s="5" t="n"/>
      <c r="F75" s="5" t="n"/>
      <c r="G75" s="5" t="n"/>
      <c r="H75" s="5" t="n"/>
      <c r="I75" s="5" t="n"/>
    </row>
    <row r="76">
      <c r="A76" s="38" t="inlineStr">
        <is>
          <t>EV-OGR-072</t>
        </is>
      </c>
      <c r="B76" s="5" t="n"/>
      <c r="C76" s="5" t="n"/>
      <c r="D76" s="5" t="n"/>
      <c r="E76" s="5" t="n"/>
      <c r="F76" s="5" t="n"/>
      <c r="G76" s="5" t="n"/>
      <c r="H76" s="5" t="n"/>
      <c r="I76" s="5" t="n"/>
    </row>
    <row r="77">
      <c r="A77" s="38" t="inlineStr">
        <is>
          <t>EV-OGR-073</t>
        </is>
      </c>
      <c r="B77" s="5" t="n"/>
      <c r="C77" s="5" t="n"/>
      <c r="D77" s="5" t="n"/>
      <c r="E77" s="5" t="n"/>
      <c r="F77" s="5" t="n"/>
      <c r="G77" s="5" t="n"/>
      <c r="H77" s="5" t="n"/>
      <c r="I77" s="5" t="n"/>
    </row>
    <row r="78">
      <c r="A78" s="38" t="inlineStr">
        <is>
          <t>EV-OGR-074</t>
        </is>
      </c>
      <c r="B78" s="5" t="n"/>
      <c r="C78" s="5" t="n"/>
      <c r="D78" s="5" t="n"/>
      <c r="E78" s="5" t="n"/>
      <c r="F78" s="5" t="n"/>
      <c r="G78" s="5" t="n"/>
      <c r="H78" s="5" t="n"/>
      <c r="I78" s="5" t="n"/>
    </row>
    <row r="79">
      <c r="A79" s="38" t="inlineStr">
        <is>
          <t>EV-OGR-075</t>
        </is>
      </c>
      <c r="B79" s="5" t="n"/>
      <c r="C79" s="5" t="n"/>
      <c r="D79" s="5" t="n"/>
      <c r="E79" s="5" t="n"/>
      <c r="F79" s="5" t="n"/>
      <c r="G79" s="5" t="n"/>
      <c r="H79" s="5" t="n"/>
      <c r="I79" s="5" t="n"/>
    </row>
    <row r="80">
      <c r="A80" s="38" t="inlineStr">
        <is>
          <t>EV-OGR-076</t>
        </is>
      </c>
      <c r="B80" s="5" t="n"/>
      <c r="C80" s="5" t="n"/>
      <c r="D80" s="5" t="n"/>
      <c r="E80" s="5" t="n"/>
      <c r="F80" s="5" t="n"/>
      <c r="G80" s="5" t="n"/>
      <c r="H80" s="5" t="n"/>
      <c r="I80" s="5" t="n"/>
    </row>
    <row r="81">
      <c r="A81" s="38" t="inlineStr">
        <is>
          <t>EV-OGR-077</t>
        </is>
      </c>
      <c r="B81" s="5" t="n"/>
      <c r="C81" s="5" t="n"/>
      <c r="D81" s="5" t="n"/>
      <c r="E81" s="5" t="n"/>
      <c r="F81" s="5" t="n"/>
      <c r="G81" s="5" t="n"/>
      <c r="H81" s="5" t="n"/>
      <c r="I81" s="5" t="n"/>
    </row>
    <row r="82">
      <c r="A82" s="38" t="inlineStr">
        <is>
          <t>EV-OGR-078</t>
        </is>
      </c>
      <c r="B82" s="5" t="n"/>
      <c r="C82" s="5" t="n"/>
      <c r="D82" s="5" t="n"/>
      <c r="E82" s="5" t="n"/>
      <c r="F82" s="5" t="n"/>
      <c r="G82" s="5" t="n"/>
      <c r="H82" s="5" t="n"/>
      <c r="I82" s="5" t="n"/>
    </row>
    <row r="83">
      <c r="A83" s="38" t="inlineStr">
        <is>
          <t>EV-OGR-079</t>
        </is>
      </c>
      <c r="B83" s="5" t="n"/>
      <c r="C83" s="5" t="n"/>
      <c r="D83" s="5" t="n"/>
      <c r="E83" s="5" t="n"/>
      <c r="F83" s="5" t="n"/>
      <c r="G83" s="5" t="n"/>
      <c r="H83" s="5" t="n"/>
      <c r="I83" s="5" t="n"/>
    </row>
    <row r="84">
      <c r="A84" s="38" t="inlineStr">
        <is>
          <t>EV-OGR-080</t>
        </is>
      </c>
      <c r="B84" s="5" t="n"/>
      <c r="C84" s="5" t="n"/>
      <c r="D84" s="5" t="n"/>
      <c r="E84" s="5" t="n"/>
      <c r="F84" s="5" t="n"/>
      <c r="G84" s="5" t="n"/>
      <c r="H84" s="5" t="n"/>
      <c r="I84" s="5" t="n"/>
    </row>
    <row r="85">
      <c r="A85" s="38" t="inlineStr">
        <is>
          <t>EV-OGR-081</t>
        </is>
      </c>
      <c r="B85" s="5" t="n"/>
      <c r="C85" s="5" t="n"/>
      <c r="D85" s="5" t="n"/>
      <c r="E85" s="5" t="n"/>
      <c r="F85" s="5" t="n"/>
      <c r="G85" s="5" t="n"/>
      <c r="H85" s="5" t="n"/>
      <c r="I85" s="5" t="n"/>
    </row>
    <row r="86">
      <c r="A86" s="38" t="inlineStr">
        <is>
          <t>EV-OGR-082</t>
        </is>
      </c>
      <c r="B86" s="5" t="n"/>
      <c r="C86" s="5" t="n"/>
      <c r="D86" s="5" t="n"/>
      <c r="E86" s="5" t="n"/>
      <c r="F86" s="5" t="n"/>
      <c r="G86" s="5" t="n"/>
      <c r="H86" s="5" t="n"/>
      <c r="I86" s="5" t="n"/>
    </row>
    <row r="87">
      <c r="A87" s="38" t="inlineStr">
        <is>
          <t>EV-OGR-083</t>
        </is>
      </c>
      <c r="B87" s="5" t="n"/>
      <c r="C87" s="5" t="n"/>
      <c r="D87" s="5" t="n"/>
      <c r="E87" s="5" t="n"/>
      <c r="F87" s="5" t="n"/>
      <c r="G87" s="5" t="n"/>
      <c r="H87" s="5" t="n"/>
      <c r="I87" s="5" t="n"/>
    </row>
    <row r="88">
      <c r="A88" s="38" t="inlineStr">
        <is>
          <t>EV-OGR-084</t>
        </is>
      </c>
      <c r="B88" s="5" t="n"/>
      <c r="C88" s="5" t="n"/>
      <c r="D88" s="5" t="n"/>
      <c r="E88" s="5" t="n"/>
      <c r="F88" s="5" t="n"/>
      <c r="G88" s="5" t="n"/>
      <c r="H88" s="5" t="n"/>
      <c r="I88" s="5" t="n"/>
    </row>
    <row r="89">
      <c r="A89" s="38" t="inlineStr">
        <is>
          <t>EV-OGR-085</t>
        </is>
      </c>
      <c r="B89" s="5" t="n"/>
      <c r="C89" s="5" t="n"/>
      <c r="D89" s="5" t="n"/>
      <c r="E89" s="5" t="n"/>
      <c r="F89" s="5" t="n"/>
      <c r="G89" s="5" t="n"/>
      <c r="H89" s="5" t="n"/>
      <c r="I89" s="5" t="n"/>
    </row>
    <row r="90">
      <c r="A90" s="38" t="inlineStr">
        <is>
          <t>EV-OGR-086</t>
        </is>
      </c>
      <c r="B90" s="5" t="n"/>
      <c r="C90" s="5" t="n"/>
      <c r="D90" s="5" t="n"/>
      <c r="E90" s="5" t="n"/>
      <c r="F90" s="5" t="n"/>
      <c r="G90" s="5" t="n"/>
      <c r="H90" s="5" t="n"/>
      <c r="I90" s="5" t="n"/>
    </row>
    <row r="91">
      <c r="A91" s="38" t="inlineStr">
        <is>
          <t>EV-OGR-087</t>
        </is>
      </c>
      <c r="B91" s="5" t="n"/>
      <c r="C91" s="5" t="n"/>
      <c r="D91" s="5" t="n"/>
      <c r="E91" s="5" t="n"/>
      <c r="F91" s="5" t="n"/>
      <c r="G91" s="5" t="n"/>
      <c r="H91" s="5" t="n"/>
      <c r="I91" s="5" t="n"/>
    </row>
    <row r="92">
      <c r="A92" s="38" t="inlineStr">
        <is>
          <t>EV-OGR-088</t>
        </is>
      </c>
      <c r="B92" s="5" t="n"/>
      <c r="C92" s="5" t="n"/>
      <c r="D92" s="5" t="n"/>
      <c r="E92" s="5" t="n"/>
      <c r="F92" s="5" t="n"/>
      <c r="G92" s="5" t="n"/>
      <c r="H92" s="5" t="n"/>
      <c r="I92" s="5" t="n"/>
    </row>
    <row r="93">
      <c r="A93" s="38" t="inlineStr">
        <is>
          <t>EV-OGR-089</t>
        </is>
      </c>
      <c r="B93" s="5" t="n"/>
      <c r="C93" s="5" t="n"/>
      <c r="D93" s="5" t="n"/>
      <c r="E93" s="5" t="n"/>
      <c r="F93" s="5" t="n"/>
      <c r="G93" s="5" t="n"/>
      <c r="H93" s="5" t="n"/>
      <c r="I93" s="5" t="n"/>
    </row>
    <row r="94">
      <c r="A94" s="38" t="inlineStr">
        <is>
          <t>EV-OGR-090</t>
        </is>
      </c>
      <c r="B94" s="5" t="n"/>
      <c r="C94" s="5" t="n"/>
      <c r="D94" s="5" t="n"/>
      <c r="E94" s="5" t="n"/>
      <c r="F94" s="5" t="n"/>
      <c r="G94" s="5" t="n"/>
      <c r="H94" s="5" t="n"/>
      <c r="I94" s="5" t="n"/>
    </row>
    <row r="95">
      <c r="A95" s="38" t="inlineStr">
        <is>
          <t>EV-OGR-091</t>
        </is>
      </c>
      <c r="B95" s="5" t="n"/>
      <c r="C95" s="5" t="n"/>
      <c r="D95" s="5" t="n"/>
      <c r="E95" s="5" t="n"/>
      <c r="F95" s="5" t="n"/>
      <c r="G95" s="5" t="n"/>
      <c r="H95" s="5" t="n"/>
      <c r="I95" s="5" t="n"/>
    </row>
    <row r="96">
      <c r="A96" s="38" t="inlineStr">
        <is>
          <t>EV-OGR-092</t>
        </is>
      </c>
      <c r="B96" s="5" t="n"/>
      <c r="C96" s="5" t="n"/>
      <c r="D96" s="5" t="n"/>
      <c r="E96" s="5" t="n"/>
      <c r="F96" s="5" t="n"/>
      <c r="G96" s="5" t="n"/>
      <c r="H96" s="5" t="n"/>
      <c r="I96" s="5" t="n"/>
    </row>
    <row r="97">
      <c r="A97" s="38" t="inlineStr">
        <is>
          <t>EV-OGR-093</t>
        </is>
      </c>
      <c r="B97" s="5" t="n"/>
      <c r="C97" s="5" t="n"/>
      <c r="D97" s="5" t="n"/>
      <c r="E97" s="5" t="n"/>
      <c r="F97" s="5" t="n"/>
      <c r="G97" s="5" t="n"/>
      <c r="H97" s="5" t="n"/>
      <c r="I97" s="5" t="n"/>
    </row>
    <row r="98">
      <c r="A98" s="38" t="inlineStr">
        <is>
          <t>EV-OGR-094</t>
        </is>
      </c>
      <c r="B98" s="5" t="n"/>
      <c r="C98" s="5" t="n"/>
      <c r="D98" s="5" t="n"/>
      <c r="E98" s="5" t="n"/>
      <c r="F98" s="5" t="n"/>
      <c r="G98" s="5" t="n"/>
      <c r="H98" s="5" t="n"/>
      <c r="I98" s="5" t="n"/>
    </row>
    <row r="99">
      <c r="A99" s="38" t="inlineStr">
        <is>
          <t>EV-OGR-095</t>
        </is>
      </c>
      <c r="B99" s="5" t="n"/>
      <c r="C99" s="5" t="n"/>
      <c r="D99" s="5" t="n"/>
      <c r="E99" s="5" t="n"/>
      <c r="F99" s="5" t="n"/>
      <c r="G99" s="5" t="n"/>
      <c r="H99" s="5" t="n"/>
      <c r="I99" s="5" t="n"/>
    </row>
    <row r="100">
      <c r="A100" s="38" t="inlineStr">
        <is>
          <t>EV-OGR-096</t>
        </is>
      </c>
      <c r="B100" s="5" t="n"/>
      <c r="C100" s="5" t="n"/>
      <c r="D100" s="5" t="n"/>
      <c r="E100" s="5" t="n"/>
      <c r="F100" s="5" t="n"/>
      <c r="G100" s="5" t="n"/>
      <c r="H100" s="5" t="n"/>
      <c r="I100" s="5" t="n"/>
    </row>
    <row r="101">
      <c r="A101" s="38" t="inlineStr">
        <is>
          <t>EV-OGR-097</t>
        </is>
      </c>
      <c r="B101" s="5" t="n"/>
      <c r="C101" s="5" t="n"/>
      <c r="D101" s="5" t="n"/>
      <c r="E101" s="5" t="n"/>
      <c r="F101" s="5" t="n"/>
      <c r="G101" s="5" t="n"/>
      <c r="H101" s="5" t="n"/>
      <c r="I101" s="5" t="n"/>
    </row>
    <row r="102">
      <c r="A102" s="38" t="inlineStr">
        <is>
          <t>EV-OGR-098</t>
        </is>
      </c>
      <c r="B102" s="5" t="n"/>
      <c r="C102" s="5" t="n"/>
      <c r="D102" s="5" t="n"/>
      <c r="E102" s="5" t="n"/>
      <c r="F102" s="5" t="n"/>
      <c r="G102" s="5" t="n"/>
      <c r="H102" s="5" t="n"/>
      <c r="I102" s="5" t="n"/>
    </row>
    <row r="103">
      <c r="A103" s="38" t="inlineStr">
        <is>
          <t>EV-OGR-099</t>
        </is>
      </c>
      <c r="B103" s="5" t="n"/>
      <c r="C103" s="5" t="n"/>
      <c r="D103" s="5" t="n"/>
      <c r="E103" s="5" t="n"/>
      <c r="F103" s="5" t="n"/>
      <c r="G103" s="5" t="n"/>
      <c r="H103" s="5" t="n"/>
      <c r="I103" s="5" t="n"/>
    </row>
    <row r="104">
      <c r="A104" s="38" t="inlineStr">
        <is>
          <t>EV-OGR-100</t>
        </is>
      </c>
      <c r="B104" s="5" t="n"/>
      <c r="C104" s="5" t="n"/>
      <c r="D104" s="5" t="n"/>
      <c r="E104" s="5" t="n"/>
      <c r="F104" s="5" t="n"/>
      <c r="G104" s="5" t="n"/>
      <c r="H104" s="5" t="n"/>
      <c r="I104" s="5" t="n"/>
    </row>
    <row r="105">
      <c r="A105" s="38" t="inlineStr">
        <is>
          <t>EV-OGR-101</t>
        </is>
      </c>
      <c r="B105" s="5" t="n"/>
      <c r="C105" s="5" t="n"/>
      <c r="D105" s="5" t="n"/>
      <c r="E105" s="5" t="n"/>
      <c r="F105" s="5" t="n"/>
      <c r="G105" s="5" t="n"/>
      <c r="H105" s="5" t="n"/>
      <c r="I105" s="5" t="n"/>
    </row>
    <row r="106">
      <c r="A106" s="38" t="inlineStr">
        <is>
          <t>EV-OGR-102</t>
        </is>
      </c>
      <c r="B106" s="5" t="n"/>
      <c r="C106" s="5" t="n"/>
      <c r="D106" s="5" t="n"/>
      <c r="E106" s="5" t="n"/>
      <c r="F106" s="5" t="n"/>
      <c r="G106" s="5" t="n"/>
      <c r="H106" s="5" t="n"/>
      <c r="I106" s="5" t="n"/>
    </row>
    <row r="107">
      <c r="A107" s="38" t="inlineStr">
        <is>
          <t>EV-OGR-103</t>
        </is>
      </c>
      <c r="B107" s="5" t="n"/>
      <c r="C107" s="5" t="n"/>
      <c r="D107" s="5" t="n"/>
      <c r="E107" s="5" t="n"/>
      <c r="F107" s="5" t="n"/>
      <c r="G107" s="5" t="n"/>
      <c r="H107" s="5" t="n"/>
      <c r="I107" s="5" t="n"/>
    </row>
    <row r="108">
      <c r="A108" s="38" t="inlineStr">
        <is>
          <t>EV-OGR-104</t>
        </is>
      </c>
      <c r="B108" s="5" t="n"/>
      <c r="C108" s="5" t="n"/>
      <c r="D108" s="5" t="n"/>
      <c r="E108" s="5" t="n"/>
      <c r="F108" s="5" t="n"/>
      <c r="G108" s="5" t="n"/>
      <c r="H108" s="5" t="n"/>
      <c r="I108" s="5" t="n"/>
    </row>
    <row r="109">
      <c r="A109" s="38" t="inlineStr">
        <is>
          <t>EV-OGR-105</t>
        </is>
      </c>
      <c r="B109" s="5" t="n"/>
      <c r="C109" s="5" t="n"/>
      <c r="D109" s="5" t="n"/>
      <c r="E109" s="5" t="n"/>
      <c r="F109" s="5" t="n"/>
      <c r="G109" s="5" t="n"/>
      <c r="H109" s="5" t="n"/>
      <c r="I109" s="5" t="n"/>
    </row>
    <row r="110">
      <c r="A110" s="38" t="inlineStr">
        <is>
          <t>EV-OGR-106</t>
        </is>
      </c>
      <c r="B110" s="5" t="n"/>
      <c r="C110" s="5" t="n"/>
      <c r="D110" s="5" t="n"/>
      <c r="E110" s="5" t="n"/>
      <c r="F110" s="5" t="n"/>
      <c r="G110" s="5" t="n"/>
      <c r="H110" s="5" t="n"/>
      <c r="I110" s="5" t="n"/>
    </row>
    <row r="111">
      <c r="A111" s="38" t="inlineStr">
        <is>
          <t>EV-OGR-107</t>
        </is>
      </c>
      <c r="B111" s="5" t="n"/>
      <c r="C111" s="5" t="n"/>
      <c r="D111" s="5" t="n"/>
      <c r="E111" s="5" t="n"/>
      <c r="F111" s="5" t="n"/>
      <c r="G111" s="5" t="n"/>
      <c r="H111" s="5" t="n"/>
      <c r="I111" s="5" t="n"/>
    </row>
    <row r="112">
      <c r="A112" s="38" t="inlineStr">
        <is>
          <t>EV-OGR-108</t>
        </is>
      </c>
      <c r="B112" s="5" t="n"/>
      <c r="C112" s="5" t="n"/>
      <c r="D112" s="5" t="n"/>
      <c r="E112" s="5" t="n"/>
      <c r="F112" s="5" t="n"/>
      <c r="G112" s="5" t="n"/>
      <c r="H112" s="5" t="n"/>
      <c r="I112" s="5" t="n"/>
    </row>
    <row r="113">
      <c r="A113" s="38" t="inlineStr">
        <is>
          <t>EV-OGR-109</t>
        </is>
      </c>
      <c r="B113" s="5" t="n"/>
      <c r="C113" s="5" t="n"/>
      <c r="D113" s="5" t="n"/>
      <c r="E113" s="5" t="n"/>
      <c r="F113" s="5" t="n"/>
      <c r="G113" s="5" t="n"/>
      <c r="H113" s="5" t="n"/>
      <c r="I113" s="5" t="n"/>
    </row>
    <row r="114">
      <c r="A114" s="38" t="inlineStr">
        <is>
          <t>EV-OGR-110</t>
        </is>
      </c>
      <c r="B114" s="5" t="n"/>
      <c r="C114" s="5" t="n"/>
      <c r="D114" s="5" t="n"/>
      <c r="E114" s="5" t="n"/>
      <c r="F114" s="5" t="n"/>
      <c r="G114" s="5" t="n"/>
      <c r="H114" s="5" t="n"/>
      <c r="I114" s="5" t="n"/>
    </row>
    <row r="115">
      <c r="A115" s="38" t="inlineStr">
        <is>
          <t>EV-OGR-111</t>
        </is>
      </c>
      <c r="B115" s="5" t="n"/>
      <c r="C115" s="5" t="n"/>
      <c r="D115" s="5" t="n"/>
      <c r="E115" s="5" t="n"/>
      <c r="F115" s="5" t="n"/>
      <c r="G115" s="5" t="n"/>
      <c r="H115" s="5" t="n"/>
      <c r="I115" s="5" t="n"/>
    </row>
    <row r="116">
      <c r="A116" s="38" t="inlineStr">
        <is>
          <t>EV-OGR-112</t>
        </is>
      </c>
      <c r="B116" s="5" t="n"/>
      <c r="C116" s="5" t="n"/>
      <c r="D116" s="5" t="n"/>
      <c r="E116" s="5" t="n"/>
      <c r="F116" s="5" t="n"/>
      <c r="G116" s="5" t="n"/>
      <c r="H116" s="5" t="n"/>
      <c r="I116" s="5" t="n"/>
    </row>
    <row r="117">
      <c r="A117" s="38" t="inlineStr">
        <is>
          <t>EV-OGR-113</t>
        </is>
      </c>
      <c r="B117" s="5" t="n"/>
      <c r="C117" s="5" t="n"/>
      <c r="D117" s="5" t="n"/>
      <c r="E117" s="5" t="n"/>
      <c r="F117" s="5" t="n"/>
      <c r="G117" s="5" t="n"/>
      <c r="H117" s="5" t="n"/>
      <c r="I117" s="5" t="n"/>
    </row>
    <row r="118">
      <c r="A118" s="38" t="inlineStr">
        <is>
          <t>EV-OGR-114</t>
        </is>
      </c>
      <c r="B118" s="5" t="n"/>
      <c r="C118" s="5" t="n"/>
      <c r="D118" s="5" t="n"/>
      <c r="E118" s="5" t="n"/>
      <c r="F118" s="5" t="n"/>
      <c r="G118" s="5" t="n"/>
      <c r="H118" s="5" t="n"/>
      <c r="I118" s="5" t="n"/>
    </row>
    <row r="119">
      <c r="A119" s="38" t="inlineStr">
        <is>
          <t>EV-OGR-115</t>
        </is>
      </c>
      <c r="B119" s="5" t="n"/>
      <c r="C119" s="5" t="n"/>
      <c r="D119" s="5" t="n"/>
      <c r="E119" s="5" t="n"/>
      <c r="F119" s="5" t="n"/>
      <c r="G119" s="5" t="n"/>
      <c r="H119" s="5" t="n"/>
      <c r="I119" s="5" t="n"/>
    </row>
    <row r="120">
      <c r="A120" s="38" t="inlineStr">
        <is>
          <t>EV-OGR-116</t>
        </is>
      </c>
      <c r="B120" s="5" t="n"/>
      <c r="C120" s="5" t="n"/>
      <c r="D120" s="5" t="n"/>
      <c r="E120" s="5" t="n"/>
      <c r="F120" s="5" t="n"/>
      <c r="G120" s="5" t="n"/>
      <c r="H120" s="5" t="n"/>
      <c r="I120" s="5" t="n"/>
    </row>
    <row r="121">
      <c r="A121" s="38" t="inlineStr">
        <is>
          <t>EV-OGR-117</t>
        </is>
      </c>
      <c r="B121" s="5" t="n"/>
      <c r="C121" s="5" t="n"/>
      <c r="D121" s="5" t="n"/>
      <c r="E121" s="5" t="n"/>
      <c r="F121" s="5" t="n"/>
      <c r="G121" s="5" t="n"/>
      <c r="H121" s="5" t="n"/>
      <c r="I121" s="5" t="n"/>
    </row>
    <row r="122">
      <c r="A122" s="38" t="inlineStr">
        <is>
          <t>EV-OGR-118</t>
        </is>
      </c>
      <c r="B122" s="5" t="n"/>
      <c r="C122" s="5" t="n"/>
      <c r="D122" s="5" t="n"/>
      <c r="E122" s="5" t="n"/>
      <c r="F122" s="5" t="n"/>
      <c r="G122" s="5" t="n"/>
      <c r="H122" s="5" t="n"/>
      <c r="I122" s="5" t="n"/>
    </row>
    <row r="123">
      <c r="A123" s="38" t="inlineStr">
        <is>
          <t>EV-OGR-119</t>
        </is>
      </c>
      <c r="B123" s="5" t="n"/>
      <c r="C123" s="5" t="n"/>
      <c r="D123" s="5" t="n"/>
      <c r="E123" s="5" t="n"/>
      <c r="F123" s="5" t="n"/>
      <c r="G123" s="5" t="n"/>
      <c r="H123" s="5" t="n"/>
      <c r="I123" s="5" t="n"/>
    </row>
    <row r="124">
      <c r="A124" s="38" t="inlineStr">
        <is>
          <t>EV-OGR-120</t>
        </is>
      </c>
      <c r="B124" s="5" t="n"/>
      <c r="C124" s="5" t="n"/>
      <c r="D124" s="5" t="n"/>
      <c r="E124" s="5" t="n"/>
      <c r="F124" s="5" t="n"/>
      <c r="G124" s="5" t="n"/>
      <c r="H124" s="5" t="n"/>
      <c r="I124" s="5" t="n"/>
    </row>
  </sheetData>
  <mergeCells count="2">
    <mergeCell ref="A1:I1"/>
    <mergeCell ref="A2:I2"/>
  </mergeCells>
  <dataValidations count="3">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showDropDown="0" showInputMessage="0" showErrorMessage="0" allowBlank="1" type="list">
      <formula1>"Access review report,Change ticket,Incident report,BC/DR test report,Risk assessment,Audit log,Screenshot,Configuration export,Certification document,Contract/SLA,Meeting minutes,Email confirmation,Policy document,Quarterly ICT risk review (DORA),Vendor concentration risk assessment,NIS2 incident notification record,AI system monitoring log,Jurisdictional risk assessment,Risk acceptance form,DPA with SCCs/BCRs,Other"</formula1>
    </dataValidation>
    <dataValidation sqref="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showDropDown="0" showInputMessage="0" showErrorMessage="0" allowBlank="1" type="list">
      <formula1>"Access Review,Change Management,Incident Management,Business Continuity,Vendor Risk Monitoring,Jurisdictional Risk,DORA Compliance,NIS2 Compliance,AI Act Compliance"</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showDropDown="0" showInputMessage="0" showErrorMessage="0" allowBlank="1" type="list">
      <formula1>"Verified,Pending Review,Not Verified,Expired"</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67"/>
  <sheetViews>
    <sheetView workbookViewId="0">
      <selection activeCell="A1" sqref="A1"/>
    </sheetView>
  </sheetViews>
  <sheetFormatPr baseColWidth="8" defaultRowHeight="15"/>
  <cols>
    <col width="35" customWidth="1" min="1" max="1"/>
    <col width="25" customWidth="1" min="2" max="2"/>
    <col width="20" customWidth="1" min="3" max="3"/>
    <col width="20" customWidth="1" min="4" max="4"/>
    <col width="15" customWidth="1" min="5" max="5"/>
    <col width="15" customWidth="1" min="6" max="6"/>
  </cols>
  <sheetData>
    <row r="1" ht="40" customHeight="1">
      <c r="A1" s="1" t="inlineStr">
        <is>
          <t>ASSESSMENT APPROVAL AND SIGN-OFF v1.0</t>
        </is>
      </c>
    </row>
    <row r="3">
      <c r="A3" s="16" t="inlineStr">
        <is>
          <t>ASSESSMENT SUMMARY</t>
        </is>
      </c>
    </row>
    <row r="4">
      <c r="A4" s="3" t="inlineStr">
        <is>
          <t>Assessment Document:</t>
        </is>
      </c>
      <c r="B4" s="4" t="inlineStr">
        <is>
          <t>ISMS-IMP-A.5.23.S4 - Ongoing Governance &amp; Risk Management v1.0</t>
        </is>
      </c>
      <c r="C4" s="41" t="n"/>
      <c r="D4" s="42" t="n"/>
    </row>
    <row r="5">
      <c r="A5" s="3" t="inlineStr">
        <is>
          <t>Assessment Period:</t>
        </is>
      </c>
      <c r="B5" s="5" t="inlineStr">
        <is>
          <t>[ENTER PERIOD - e.g., Q4 2025]</t>
        </is>
      </c>
      <c r="C5" s="41" t="n"/>
      <c r="D5" s="42" t="n"/>
    </row>
    <row r="6">
      <c r="A6" s="3" t="inlineStr">
        <is>
          <t>Overall Compliance Rate:</t>
        </is>
      </c>
      <c r="B6" s="4">
        <f>'9. Summary Dashboard'!G10</f>
        <v/>
      </c>
      <c r="C6" s="41" t="n"/>
      <c r="D6" s="42" t="n"/>
    </row>
    <row r="7">
      <c r="A7" s="3" t="inlineStr">
        <is>
          <t>Jurisdictional Risks Identified:</t>
        </is>
      </c>
      <c r="B7" s="4">
        <f>'9. Summary Dashboard'!B20</f>
        <v/>
      </c>
      <c r="C7" s="41" t="n"/>
      <c r="D7" s="42" t="n"/>
    </row>
    <row r="8">
      <c r="A8" s="3" t="inlineStr">
        <is>
          <t>DORA Risks Not Monitored:</t>
        </is>
      </c>
      <c r="B8" s="4">
        <f>'9. Summary Dashboard'!B28</f>
        <v/>
      </c>
      <c r="C8" s="41" t="n"/>
      <c r="D8" s="42" t="n"/>
    </row>
    <row r="9">
      <c r="A9" s="3" t="inlineStr">
        <is>
          <t>NIS2 Significant Incidents:</t>
        </is>
      </c>
      <c r="B9" s="4">
        <f>'9. Summary Dashboard'!B29</f>
        <v/>
      </c>
      <c r="C9" s="41" t="n"/>
      <c r="D9" s="42" t="n"/>
    </row>
    <row r="10">
      <c r="A10" s="3" t="inlineStr">
        <is>
          <t>AI Monitoring Required:</t>
        </is>
      </c>
      <c r="B10" s="4">
        <f>'9. Summary Dashboard'!B30</f>
        <v/>
      </c>
      <c r="C10" s="41" t="n"/>
      <c r="D10" s="42" t="n"/>
    </row>
    <row r="11">
      <c r="A11" s="3" t="inlineStr">
        <is>
          <t>Assessment Status:</t>
        </is>
      </c>
      <c r="B11" s="5" t="inlineStr">
        <is>
          <t>[SELECT STATUS]</t>
        </is>
      </c>
      <c r="C11" s="41" t="n"/>
      <c r="D11" s="42" t="n"/>
    </row>
    <row r="14">
      <c r="A14" s="39" t="inlineStr">
        <is>
          <t>COMPLETED BY (ASSESSOR)</t>
        </is>
      </c>
    </row>
    <row r="15">
      <c r="A15" s="3" t="inlineStr">
        <is>
          <t>Name:</t>
        </is>
      </c>
      <c r="B15" s="5" t="n"/>
      <c r="C15" s="41" t="n"/>
      <c r="D15" s="42" t="n"/>
    </row>
    <row r="16">
      <c r="A16" s="3" t="inlineStr">
        <is>
          <t>Title:</t>
        </is>
      </c>
      <c r="B16" s="5" t="n"/>
      <c r="C16" s="41" t="n"/>
      <c r="D16" s="42" t="n"/>
    </row>
    <row r="17">
      <c r="A17" s="3" t="inlineStr">
        <is>
          <t>Department:</t>
        </is>
      </c>
      <c r="B17" s="5" t="n"/>
      <c r="C17" s="41" t="n"/>
      <c r="D17" s="42" t="n"/>
    </row>
    <row r="18">
      <c r="A18" s="3" t="inlineStr">
        <is>
          <t>Date:</t>
        </is>
      </c>
      <c r="B18" s="5" t="n"/>
      <c r="C18" s="41" t="n"/>
      <c r="D18" s="42" t="n"/>
    </row>
    <row r="19">
      <c r="A19" s="3" t="inlineStr">
        <is>
          <t>Signature:</t>
        </is>
      </c>
      <c r="B19" s="5" t="n"/>
      <c r="C19" s="41" t="n"/>
      <c r="D19" s="42" t="n"/>
    </row>
    <row r="20">
      <c r="A20" s="3" t="inlineStr">
        <is>
          <t>Comments:</t>
        </is>
      </c>
      <c r="B20" s="5" t="n"/>
      <c r="C20" s="41" t="n"/>
      <c r="D20" s="42" t="n"/>
    </row>
    <row r="22">
      <c r="A22" s="39" t="inlineStr">
        <is>
          <t>REVIEWED BY (IT OPERATIONS MANAGER)</t>
        </is>
      </c>
    </row>
    <row r="23">
      <c r="A23" s="3" t="inlineStr">
        <is>
          <t>Name:</t>
        </is>
      </c>
      <c r="B23" s="5" t="n"/>
      <c r="C23" s="41" t="n"/>
      <c r="D23" s="42" t="n"/>
    </row>
    <row r="24">
      <c r="A24" s="3" t="inlineStr">
        <is>
          <t>Title:</t>
        </is>
      </c>
      <c r="B24" s="5" t="n"/>
      <c r="C24" s="41" t="n"/>
      <c r="D24" s="42" t="n"/>
    </row>
    <row r="25">
      <c r="A25" s="3" t="inlineStr">
        <is>
          <t>Department:</t>
        </is>
      </c>
      <c r="B25" s="5" t="n"/>
      <c r="C25" s="41" t="n"/>
      <c r="D25" s="42" t="n"/>
    </row>
    <row r="26">
      <c r="A26" s="3" t="inlineStr">
        <is>
          <t>Date:</t>
        </is>
      </c>
      <c r="B26" s="5" t="n"/>
      <c r="C26" s="41" t="n"/>
      <c r="D26" s="42" t="n"/>
    </row>
    <row r="27">
      <c r="A27" s="3" t="inlineStr">
        <is>
          <t>Signature:</t>
        </is>
      </c>
      <c r="B27" s="5" t="n"/>
      <c r="C27" s="41" t="n"/>
      <c r="D27" s="42" t="n"/>
    </row>
    <row r="28">
      <c r="A28" s="3" t="inlineStr">
        <is>
          <t>Comments:</t>
        </is>
      </c>
      <c r="B28" s="5" t="n"/>
      <c r="C28" s="41" t="n"/>
      <c r="D28" s="42" t="n"/>
    </row>
    <row r="30">
      <c r="A30" s="39" t="inlineStr">
        <is>
          <t>REVIEWED BY (COMPLIANCE OFFICER)</t>
        </is>
      </c>
    </row>
    <row r="31">
      <c r="A31" s="3" t="inlineStr">
        <is>
          <t>Name:</t>
        </is>
      </c>
      <c r="B31" s="5" t="n"/>
      <c r="C31" s="41" t="n"/>
      <c r="D31" s="42" t="n"/>
    </row>
    <row r="32">
      <c r="A32" s="3" t="inlineStr">
        <is>
          <t>Title:</t>
        </is>
      </c>
      <c r="B32" s="5" t="n"/>
      <c r="C32" s="41" t="n"/>
      <c r="D32" s="42" t="n"/>
    </row>
    <row r="33">
      <c r="A33" s="3" t="inlineStr">
        <is>
          <t>Department:</t>
        </is>
      </c>
      <c r="B33" s="5" t="n"/>
      <c r="C33" s="41" t="n"/>
      <c r="D33" s="42" t="n"/>
    </row>
    <row r="34">
      <c r="A34" s="3" t="inlineStr">
        <is>
          <t>Date:</t>
        </is>
      </c>
      <c r="B34" s="5" t="n"/>
      <c r="C34" s="41" t="n"/>
      <c r="D34" s="42" t="n"/>
    </row>
    <row r="35">
      <c r="A35" s="3" t="inlineStr">
        <is>
          <t>Signature:</t>
        </is>
      </c>
      <c r="B35" s="5" t="n"/>
      <c r="C35" s="41" t="n"/>
      <c r="D35" s="42" t="n"/>
    </row>
    <row r="36">
      <c r="A36" s="3" t="inlineStr">
        <is>
          <t>Comments:</t>
        </is>
      </c>
      <c r="B36" s="5" t="n"/>
      <c r="C36" s="41" t="n"/>
      <c r="D36" s="42" t="n"/>
    </row>
    <row r="38">
      <c r="A38" s="39" t="inlineStr">
        <is>
          <t>REVIEWED BY (DATA PROTECTION OFFICER)</t>
        </is>
      </c>
    </row>
    <row r="39">
      <c r="A39" s="3" t="inlineStr">
        <is>
          <t>Name:</t>
        </is>
      </c>
      <c r="B39" s="5" t="n"/>
      <c r="C39" s="41" t="n"/>
      <c r="D39" s="42" t="n"/>
    </row>
    <row r="40">
      <c r="A40" s="3" t="inlineStr">
        <is>
          <t>Title:</t>
        </is>
      </c>
      <c r="B40" s="5" t="n"/>
      <c r="C40" s="41" t="n"/>
      <c r="D40" s="42" t="n"/>
    </row>
    <row r="41">
      <c r="A41" s="3" t="inlineStr">
        <is>
          <t>Department:</t>
        </is>
      </c>
      <c r="B41" s="5" t="n"/>
      <c r="C41" s="41" t="n"/>
      <c r="D41" s="42" t="n"/>
    </row>
    <row r="42">
      <c r="A42" s="3" t="inlineStr">
        <is>
          <t>Date:</t>
        </is>
      </c>
      <c r="B42" s="5" t="n"/>
      <c r="C42" s="41" t="n"/>
      <c r="D42" s="42" t="n"/>
    </row>
    <row r="43">
      <c r="A43" s="3" t="inlineStr">
        <is>
          <t>Signature:</t>
        </is>
      </c>
      <c r="B43" s="5" t="n"/>
      <c r="C43" s="41" t="n"/>
      <c r="D43" s="42" t="n"/>
    </row>
    <row r="44">
      <c r="A44" s="3" t="inlineStr">
        <is>
          <t>Data Protection Compliance:</t>
        </is>
      </c>
      <c r="B44" s="5" t="n"/>
      <c r="C44" s="41" t="n"/>
      <c r="D44" s="42" t="n"/>
    </row>
    <row r="45">
      <c r="A45" s="3" t="inlineStr">
        <is>
          <t>Cross-Border Transfer Status:</t>
        </is>
      </c>
      <c r="B45" s="5" t="n"/>
      <c r="C45" s="41" t="n"/>
      <c r="D45" s="42" t="n"/>
    </row>
    <row r="46">
      <c r="A46" s="3" t="inlineStr">
        <is>
          <t>DPO Comments:</t>
        </is>
      </c>
      <c r="B46" s="5" t="n"/>
      <c r="C46" s="41" t="n"/>
      <c r="D46" s="42" t="n"/>
    </row>
    <row r="48">
      <c r="A48" s="39" t="inlineStr">
        <is>
          <t>REVIEWED BY (CHIEF RISK OFFICER)</t>
        </is>
      </c>
    </row>
    <row r="49">
      <c r="A49" s="3" t="inlineStr">
        <is>
          <t>Name:</t>
        </is>
      </c>
      <c r="B49" s="5" t="n"/>
      <c r="C49" s="41" t="n"/>
      <c r="D49" s="42" t="n"/>
    </row>
    <row r="50">
      <c r="A50" s="3" t="inlineStr">
        <is>
          <t>Title:</t>
        </is>
      </c>
      <c r="B50" s="5" t="n"/>
      <c r="C50" s="41" t="n"/>
      <c r="D50" s="42" t="n"/>
    </row>
    <row r="51">
      <c r="A51" s="3" t="inlineStr">
        <is>
          <t>Department:</t>
        </is>
      </c>
      <c r="B51" s="5" t="n"/>
      <c r="C51" s="41" t="n"/>
      <c r="D51" s="42" t="n"/>
    </row>
    <row r="52">
      <c r="A52" s="3" t="inlineStr">
        <is>
          <t>Date:</t>
        </is>
      </c>
      <c r="B52" s="5" t="n"/>
      <c r="C52" s="41" t="n"/>
      <c r="D52" s="42" t="n"/>
    </row>
    <row r="53">
      <c r="A53" s="3" t="inlineStr">
        <is>
          <t>Signature:</t>
        </is>
      </c>
      <c r="B53" s="5" t="n"/>
      <c r="C53" s="41" t="n"/>
      <c r="D53" s="42" t="n"/>
    </row>
    <row r="54">
      <c r="A54" s="3" t="inlineStr">
        <is>
          <t>Enterprise Risk Acceptance:</t>
        </is>
      </c>
      <c r="B54" s="5" t="n"/>
      <c r="C54" s="41" t="n"/>
      <c r="D54" s="42" t="n"/>
    </row>
    <row r="55">
      <c r="A55" s="3" t="inlineStr">
        <is>
          <t>Regulatory Risk Status:</t>
        </is>
      </c>
      <c r="B55" s="5" t="n"/>
      <c r="C55" s="41" t="n"/>
      <c r="D55" s="42" t="n"/>
    </row>
    <row r="56">
      <c r="A56" s="3" t="inlineStr">
        <is>
          <t>CRO Comments:</t>
        </is>
      </c>
      <c r="B56" s="5" t="n"/>
      <c r="C56" s="41" t="n"/>
      <c r="D56" s="42" t="n"/>
    </row>
    <row r="58">
      <c r="A58" s="40" t="inlineStr">
        <is>
          <t>APPROVED BY (CISO)</t>
        </is>
      </c>
    </row>
    <row r="59">
      <c r="A59" s="3" t="inlineStr">
        <is>
          <t>Name:</t>
        </is>
      </c>
      <c r="B59" s="5" t="n"/>
      <c r="C59" s="41" t="n"/>
      <c r="D59" s="42" t="n"/>
    </row>
    <row r="60">
      <c r="A60" s="3" t="inlineStr">
        <is>
          <t>Title:</t>
        </is>
      </c>
      <c r="B60" s="5" t="n"/>
      <c r="C60" s="41" t="n"/>
      <c r="D60" s="42" t="n"/>
    </row>
    <row r="61">
      <c r="A61" s="3" t="inlineStr">
        <is>
          <t>Department:</t>
        </is>
      </c>
      <c r="B61" s="5" t="n"/>
      <c r="C61" s="41" t="n"/>
      <c r="D61" s="42" t="n"/>
    </row>
    <row r="62">
      <c r="A62" s="3" t="inlineStr">
        <is>
          <t>Date:</t>
        </is>
      </c>
      <c r="B62" s="5" t="n"/>
      <c r="C62" s="41" t="n"/>
      <c r="D62" s="42" t="n"/>
    </row>
    <row r="63">
      <c r="A63" s="3" t="inlineStr">
        <is>
          <t>Signature:</t>
        </is>
      </c>
      <c r="B63" s="5" t="n"/>
      <c r="C63" s="41" t="n"/>
      <c r="D63" s="42" t="n"/>
    </row>
    <row r="64">
      <c r="A64" s="3" t="inlineStr">
        <is>
          <t>Comments:</t>
        </is>
      </c>
      <c r="B64" s="5" t="n"/>
      <c r="C64" s="41" t="n"/>
      <c r="D64" s="42" t="n"/>
    </row>
    <row r="66">
      <c r="A66" s="35" t="inlineStr">
        <is>
          <t>FINAL APPROVAL DECISION</t>
        </is>
      </c>
    </row>
    <row r="67">
      <c r="A67" s="3" t="inlineStr">
        <is>
          <t>Decision:</t>
        </is>
      </c>
      <c r="B67" s="5" t="n"/>
      <c r="C67" s="41" t="n"/>
      <c r="D67" s="42" t="n"/>
    </row>
  </sheetData>
  <mergeCells count="58">
    <mergeCell ref="B11:D11"/>
    <mergeCell ref="B42:D42"/>
    <mergeCell ref="B60:D60"/>
    <mergeCell ref="B67:D67"/>
    <mergeCell ref="B23:D23"/>
    <mergeCell ref="B61:D61"/>
    <mergeCell ref="A66:F66"/>
    <mergeCell ref="B8:D8"/>
    <mergeCell ref="B17:D17"/>
    <mergeCell ref="B44:D44"/>
    <mergeCell ref="B53:D53"/>
    <mergeCell ref="A3:F3"/>
    <mergeCell ref="B34:D34"/>
    <mergeCell ref="B10:D10"/>
    <mergeCell ref="B28:D28"/>
    <mergeCell ref="B19:D19"/>
    <mergeCell ref="A14:F14"/>
    <mergeCell ref="B49:D49"/>
    <mergeCell ref="B40:D40"/>
    <mergeCell ref="B9:D9"/>
    <mergeCell ref="A22:F22"/>
    <mergeCell ref="B15:D15"/>
    <mergeCell ref="B55:D55"/>
    <mergeCell ref="B6:D6"/>
    <mergeCell ref="B24:D24"/>
    <mergeCell ref="B51:D51"/>
    <mergeCell ref="B20:D20"/>
    <mergeCell ref="B64:D64"/>
    <mergeCell ref="B33:D33"/>
    <mergeCell ref="A38:F38"/>
    <mergeCell ref="B5:D5"/>
    <mergeCell ref="B36:D36"/>
    <mergeCell ref="B45:D45"/>
    <mergeCell ref="B63:D63"/>
    <mergeCell ref="B41:D41"/>
    <mergeCell ref="B32:D32"/>
    <mergeCell ref="B4:D4"/>
    <mergeCell ref="B35:D35"/>
    <mergeCell ref="B26:D26"/>
    <mergeCell ref="B50:D50"/>
    <mergeCell ref="A58:F58"/>
    <mergeCell ref="B62:D62"/>
    <mergeCell ref="A48:F48"/>
    <mergeCell ref="B7:D7"/>
    <mergeCell ref="B25:D25"/>
    <mergeCell ref="A30:F30"/>
    <mergeCell ref="B16:D16"/>
    <mergeCell ref="B54:D54"/>
    <mergeCell ref="B59:D59"/>
    <mergeCell ref="B31:D31"/>
    <mergeCell ref="B46:D46"/>
    <mergeCell ref="A1:F1"/>
    <mergeCell ref="B18:D18"/>
    <mergeCell ref="B27:D27"/>
    <mergeCell ref="B56:D56"/>
    <mergeCell ref="B52:D52"/>
    <mergeCell ref="B43:D43"/>
    <mergeCell ref="B39:D39"/>
  </mergeCells>
  <dataValidations count="6">
    <dataValidation sqref="B11" showDropDown="0" showInputMessage="0" showErrorMessage="0" allowBlank="1" type="list">
      <formula1>"Draft,Final,Requires Remediation,Re-assessment Required"</formula1>
    </dataValidation>
    <dataValidation sqref="B44" showDropDown="0" showInputMessage="0" showErrorMessage="0" allowBlank="1" type="list">
      <formula1>"Compliant,Partially Compliant,Non-Compliant"</formula1>
    </dataValidation>
    <dataValidation sqref="B45" showDropDown="0" showInputMessage="0" showErrorMessage="0" allowBlank="1" type="list">
      <formula1>"Approved,Approved with SCCs,Requires TIA,Rejected"</formula1>
    </dataValidation>
    <dataValidation sqref="B54" showDropDown="0" showInputMessage="0" showErrorMessage="0" allowBlank="1" type="list">
      <formula1>"Approved,Conditionally Approved,Rejected"</formula1>
    </dataValidation>
    <dataValidation sqref="B55" showDropDown="0" showInputMessage="0" showErrorMessage="0" allowBlank="1" type="list">
      <formula1>"Acceptable,Requires Mitigation,Unacceptable"</formula1>
    </dataValidation>
    <dataValidation sqref="B67" showDropDown="0" showInputMessage="0" showErrorMessage="0" allowBlank="1" type="list">
      <formula1>"Approved,Approved with Conditions,Rejected - Remediation Required,Deferred"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2026-02-02T17:05:59Z</dcterms:created>
  <dcterms:modified xmlns:dcterms="http://purl.org/dc/terms/" xmlns:xsi="http://www.w3.org/2001/XMLSchema-instance" xsi:type="dcterms:W3CDTF">2026-02-02T17:09:04Z</dcterms:modified>
</cp:coreProperties>
</file>