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b val="1"/>
    </font>
    <font>
      <b val="1"/>
      <color rgb="00FF0000"/>
      <sz val="11"/>
    </font>
    <font>
      <name val="Calibri"/>
      <b val="1"/>
      <sz val="10"/>
    </font>
    <font>
      <name val="Calibri"/>
      <b val="1"/>
      <color rgb="00FF0000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8" fillId="2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30" customWidth="1" min="3" max="3"/>
  </cols>
  <sheetData>
    <row r="1" ht="40" customHeight="1">
      <c r="A1" s="1" t="inlineStr">
        <is>
          <t>ISMS-IMP-A.5.23.S3 — Secure Configuration &amp; Deployment v1.0</t>
        </is>
      </c>
    </row>
    <row r="2" ht="25" customHeight="1">
      <c r="A2" s="2" t="inlineStr">
        <is>
          <t>ISO/IEC 27001:2022 - Control A.5.23: Information security for use of cloud services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ISMS-IMP-A.5.23.S3</t>
        </is>
      </c>
    </row>
    <row r="6">
      <c r="A6" s="4" t="inlineStr">
        <is>
          <t>Assessment Area:</t>
        </is>
      </c>
      <c r="B6" t="inlineStr">
        <is>
          <t>Secure Configuration &amp; Deployment</t>
        </is>
      </c>
    </row>
    <row r="7">
      <c r="A7" s="4" t="inlineStr">
        <is>
          <t>Related Policy:</t>
        </is>
      </c>
      <c r="B7" t="inlineStr">
        <is>
          <t>ISMS-POL-A.5.19-23-S5</t>
        </is>
      </c>
    </row>
    <row r="8">
      <c r="A8" s="4" t="inlineStr">
        <is>
          <t>Version:</t>
        </is>
      </c>
      <c r="B8" t="inlineStr">
        <is>
          <t>2.0 (Regulatory Update)</t>
        </is>
      </c>
    </row>
    <row r="9">
      <c r="A9" s="4" t="inlineStr">
        <is>
          <t>Assessment Date:</t>
        </is>
      </c>
      <c r="B9" s="5" t="inlineStr"/>
    </row>
    <row r="10">
      <c r="A10" s="4" t="inlineStr">
        <is>
          <t>Completed By:</t>
        </is>
      </c>
      <c r="B10" s="5" t="inlineStr"/>
    </row>
    <row r="11">
      <c r="A11" s="4" t="inlineStr">
        <is>
          <t>Organization:</t>
        </is>
      </c>
      <c r="B11" s="5" t="inlineStr"/>
    </row>
    <row r="12">
      <c r="A12" s="4" t="inlineStr">
        <is>
          <t>Review Cycle:</t>
        </is>
      </c>
      <c r="B12" t="inlineStr">
        <is>
          <t>Quarterly</t>
        </is>
      </c>
    </row>
    <row r="15">
      <c r="A15" s="3" t="inlineStr">
        <is>
          <t>HOW TO USE THIS WORKBOOK</t>
        </is>
      </c>
    </row>
    <row r="16">
      <c r="A16" s="6" t="inlineStr">
        <is>
          <t>1. Reference ISMS-IMP-A.5.23.S1 (Inventory) for authoritative cloud service list</t>
        </is>
      </c>
    </row>
    <row r="17">
      <c r="A17" s="6" t="inlineStr">
        <is>
          <t>2. Complete each worksheet tab (2–7) for all cloud services requiring config assessment</t>
        </is>
      </c>
    </row>
    <row r="18">
      <c r="A18" s="6" t="inlineStr">
        <is>
          <t>3. Use dropdown menus for standardized entries (Environment, Status, etc.)</t>
        </is>
      </c>
    </row>
    <row r="19">
      <c r="A19" s="6" t="inlineStr">
        <is>
          <t>4. Fill in yellow-highlighted cells with your configuration-specific information</t>
        </is>
      </c>
    </row>
    <row r="20">
      <c r="A20" s="6" t="inlineStr">
        <is>
          <t>5. Complete Jurisdictional Risk sheet (7) for all US-nexus providers (NEW)</t>
        </is>
      </c>
    </row>
    <row r="21">
      <c r="A21" s="6" t="inlineStr">
        <is>
          <t>6. Document DORA configuration requirements if in scope</t>
        </is>
      </c>
    </row>
    <row r="22">
      <c r="A22" s="6" t="inlineStr">
        <is>
          <t>7. Validate NIS2 secure deployment procedures if applicable</t>
        </is>
      </c>
    </row>
    <row r="23">
      <c r="A23" s="6" t="inlineStr">
        <is>
          <t>8. Complete AI Act deployment controls for AI-enabled services</t>
        </is>
      </c>
    </row>
    <row r="24">
      <c r="A24" s="6" t="inlineStr">
        <is>
          <t>9. Provide evidence: screenshots, config exports, security scan results</t>
        </is>
      </c>
    </row>
    <row r="25">
      <c r="A25" s="6" t="inlineStr">
        <is>
          <t>10. Summary Dashboard auto-calculates compliance by config area and environment</t>
        </is>
      </c>
    </row>
    <row r="26">
      <c r="A26" s="6" t="inlineStr">
        <is>
          <t>11. Obtain final approval from IT Operations, Security, DPO, and CISO</t>
        </is>
      </c>
    </row>
    <row r="29">
      <c r="A29" s="3" t="inlineStr">
        <is>
          <t>STATUS LEGEND</t>
        </is>
      </c>
    </row>
    <row r="30">
      <c r="A30" s="7" t="inlineStr">
        <is>
          <t>{CHECK} Compliant</t>
        </is>
      </c>
      <c r="B30" t="inlineStr">
        <is>
          <t>Configuration meets security requirements</t>
        </is>
      </c>
    </row>
    <row r="31">
      <c r="A31" s="8" t="inlineStr">
        <is>
          <t>{WARNING} Partial</t>
        </is>
      </c>
      <c r="B31" t="inlineStr">
        <is>
          <t>Some settings correct, gaps exist</t>
        </is>
      </c>
    </row>
    <row r="32">
      <c r="A32" s="9" t="inlineStr">
        <is>
          <t>{XMARK} Non-Compliant</t>
        </is>
      </c>
      <c r="B32" t="inlineStr">
        <is>
          <t>Configuration does not meet requirements</t>
        </is>
      </c>
    </row>
    <row r="33">
      <c r="A33" s="10" t="inlineStr">
        <is>
          <t>N/A</t>
        </is>
      </c>
      <c r="B33" t="inlineStr">
        <is>
          <t>Control does not apply to this service</t>
        </is>
      </c>
    </row>
    <row r="36">
      <c r="A36" s="11" t="inlineStr">
        <is>
          <t>REGULATORY COMPLIANCE (NEW IN v1.0)</t>
        </is>
      </c>
    </row>
    <row r="37">
      <c r="A37" t="inlineStr">
        <is>
          <t>This workbook includes updated requirements for:</t>
        </is>
      </c>
    </row>
    <row r="38">
      <c r="A38" t="inlineStr">
        <is>
          <t>• DORA (Digital Operational Resilience Act) - Configuration documentation</t>
        </is>
      </c>
    </row>
    <row r="39">
      <c r="A39" t="inlineStr">
        <is>
          <t>• NIS2 (Network and Information Security Directive 2) - Secure deployment</t>
        </is>
      </c>
    </row>
    <row r="40">
      <c r="A40" t="inlineStr">
        <is>
          <t>• EU AI Act - AI system deployment controls</t>
        </is>
      </c>
    </row>
    <row r="41">
      <c r="A41" t="inlineStr">
        <is>
          <t>• US CLOUD Act - Jurisdictional risk assessment (NEW Sheet 7)</t>
        </is>
      </c>
    </row>
    <row r="43">
      <c r="A43" s="3" t="inlineStr">
        <is>
          <t>REGULATORY APPLICABILITY GUIDANCE</t>
        </is>
      </c>
    </row>
    <row r="44">
      <c r="A44" s="4" t="inlineStr">
        <is>
          <t>If You Are...</t>
        </is>
      </c>
      <c r="B44" s="4" t="inlineStr">
        <is>
          <t>Complete These Fields</t>
        </is>
      </c>
    </row>
    <row r="45">
      <c r="A45" t="inlineStr">
        <is>
          <t>EU Financial Entity (DORA scope)</t>
        </is>
      </c>
      <c r="B45" t="inlineStr">
        <is>
          <t>All DORA fields (mandatory)</t>
        </is>
      </c>
    </row>
    <row r="46">
      <c r="A46" t="inlineStr">
        <is>
          <t>EU Essential/Important Entity (NIS2)</t>
        </is>
      </c>
      <c r="B46" t="inlineStr">
        <is>
          <t>All NIS2 fields (mandatory)</t>
        </is>
      </c>
    </row>
    <row r="47">
      <c r="A47" t="inlineStr">
        <is>
          <t>Deploying AI Systems from vendors</t>
        </is>
      </c>
      <c r="B47" t="inlineStr">
        <is>
          <t>All AI Act deployment controls</t>
        </is>
      </c>
    </row>
    <row r="48">
      <c r="A48" t="inlineStr">
        <is>
          <t>Using US-HQ Providers</t>
        </is>
      </c>
      <c r="B48" t="inlineStr">
        <is>
          <t>Sheet 7 Jurisdictional Risk (all)</t>
        </is>
      </c>
    </row>
    <row r="49">
      <c r="A49" t="inlineStr">
        <is>
          <t>None of the Above</t>
        </is>
      </c>
      <c r="B49" t="inlineStr">
        <is>
          <t>Mark as "N/A" or "Not Applicable"</t>
        </is>
      </c>
    </row>
    <row r="52">
      <c r="A52" s="3" t="inlineStr">
        <is>
          <t>ACCEPTABLE EVIDENCE (EXAMPLES)</t>
        </is>
      </c>
    </row>
    <row r="53">
      <c r="A53" t="inlineStr">
        <is>
          <t>✓ Admin console screenshots (with timestamps)</t>
        </is>
      </c>
    </row>
    <row r="54">
      <c r="A54" t="inlineStr">
        <is>
          <t>✓ Configuration export files (JSON, YAML, XML)</t>
        </is>
      </c>
    </row>
    <row r="55">
      <c r="A55" t="inlineStr">
        <is>
          <t>✓ Security posture reports (Azure Secure Score, AWS Security Hub)</t>
        </is>
      </c>
    </row>
    <row r="56">
      <c r="A56" t="inlineStr">
        <is>
          <t>✓ Configuration baseline documentation (version-controlled)</t>
        </is>
      </c>
    </row>
    <row r="57">
      <c r="A57" t="inlineStr">
        <is>
          <t>✓ CIS benchmark compliance report</t>
        </is>
      </c>
    </row>
    <row r="58">
      <c r="A58" t="inlineStr">
        <is>
          <t>✓ Configuration drift monitoring screenshots</t>
        </is>
      </c>
    </row>
    <row r="59">
      <c r="A59" t="inlineStr">
        <is>
          <t>✓ Network segmentation diagrams</t>
        </is>
      </c>
    </row>
    <row r="60">
      <c r="A60" t="inlineStr">
        <is>
          <t>✓ AI system risk classification (if applicable)</t>
        </is>
      </c>
    </row>
    <row r="61">
      <c r="A61" t="inlineStr">
        <is>
          <t>✓ AI conformity assessment (for high-risk systems)</t>
        </is>
      </c>
    </row>
    <row r="62">
      <c r="A62" t="inlineStr">
        <is>
          <t>✓ Jurisdictional risk assessment (for US-nexus providers)</t>
        </is>
      </c>
    </row>
    <row r="63">
      <c r="A63" t="inlineStr">
        <is>
          <t>✓ Risk acceptance form (signed by CISO/DPO)</t>
        </is>
      </c>
    </row>
    <row r="64">
      <c r="A64" t="inlineStr">
        <is>
          <t>✓ Data Processing Agreement (DPA) with SCCs/BCRs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50" customHeight="1">
      <c r="A1" s="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2" t="inlineStr">
        <is>
          <t>Assessment Question: Are configuration baselines properly documented, version-controlled, and validated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Baseline_Version</t>
        </is>
      </c>
      <c r="S4" s="12" t="inlineStr">
        <is>
          <t>Change_Mgmt_ID</t>
        </is>
      </c>
      <c r="T4" s="12" t="inlineStr">
        <is>
          <t>Drift_Monitoring</t>
        </is>
      </c>
      <c r="U4" s="12" t="inlineStr">
        <is>
          <t>CIS_Benchmark</t>
        </is>
      </c>
      <c r="V4" s="12" t="inlineStr">
        <is>
          <t>Last_Validated</t>
        </is>
      </c>
      <c r="W4" s="12" t="inlineStr">
        <is>
          <t>Config_Backup</t>
        </is>
      </c>
      <c r="X4" s="12" t="inlineStr">
        <is>
          <t>Privileged_Access_Log</t>
        </is>
      </c>
      <c r="Y4" s="12" t="inlineStr">
        <is>
          <t>Security_By_Default</t>
        </is>
      </c>
      <c r="Z4" s="12" t="inlineStr">
        <is>
          <t>DORA_Config_Documentation</t>
        </is>
      </c>
      <c r="AA4" s="12" t="inlineStr">
        <is>
          <t>NIS2_Secure_Deployment</t>
        </is>
      </c>
      <c r="AB4" s="12" t="inlineStr">
        <is>
          <t>AI_System_Deployment_Controls</t>
        </is>
      </c>
    </row>
    <row r="5">
      <c r="A5">
        <f>CONCATENATE("CON-",TEXT(ROW()-4,"000"))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</row>
    <row r="6">
      <c r="A6">
        <f>CONCATENATE("CON-",TEXT(ROW()-4,"000"))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</row>
    <row r="7">
      <c r="A7">
        <f>CONCATENATE("CON-",TEXT(ROW()-4,"000"))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</row>
    <row r="8">
      <c r="A8">
        <f>CONCATENATE("CON-",TEXT(ROW()-4,"000"))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</row>
    <row r="9">
      <c r="A9">
        <f>CONCATENATE("CON-",TEXT(ROW()-4,"000"))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</row>
    <row r="10">
      <c r="A10">
        <f>CONCATENATE("CON-",TEXT(ROW()-4,"000"))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</row>
    <row r="11">
      <c r="A11">
        <f>CONCATENATE("CON-",TEXT(ROW()-4,"000"))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</row>
    <row r="12">
      <c r="A12">
        <f>CONCATENATE("CON-",TEXT(ROW()-4,"000"))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</row>
    <row r="13">
      <c r="A13">
        <f>CONCATENATE("CON-",TEXT(ROW()-4,"000"))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</row>
    <row r="14">
      <c r="A14">
        <f>CONCATENATE("CON-",TEXT(ROW()-4,"000"))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</row>
    <row r="15">
      <c r="A15">
        <f>CONCATENATE("CON-",TEXT(ROW()-4,"000"))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  <c r="AA15" s="13" t="inlineStr"/>
      <c r="AB15" s="13" t="inlineStr"/>
    </row>
    <row r="16">
      <c r="A16">
        <f>CONCATENATE("CON-",TEXT(ROW()-4,"000"))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</row>
    <row r="17">
      <c r="A17">
        <f>CONCATENATE("CON-",TEXT(ROW()-4,"000"))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3" t="inlineStr"/>
    </row>
    <row r="18">
      <c r="A18">
        <f>CONCATENATE("CON-",TEXT(ROW()-4,"000"))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</row>
    <row r="19">
      <c r="A19">
        <f>CONCATENATE("CON-",TEXT(ROW()-4,"000"))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  <c r="AA19" s="13" t="inlineStr"/>
      <c r="AB19" s="13" t="inlineStr"/>
    </row>
    <row r="20">
      <c r="A20">
        <f>CONCATENATE("CON-",TEXT(ROW()-4,"000"))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</row>
    <row r="21">
      <c r="A21">
        <f>CONCATENATE("CON-",TEXT(ROW()-4,"000"))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</row>
    <row r="22">
      <c r="A22">
        <f>CONCATENATE("CON-",TEXT(ROW()-4,"000"))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</row>
    <row r="23">
      <c r="A23">
        <f>CONCATENATE("CON-",TEXT(ROW()-4,"000"))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</row>
    <row r="24">
      <c r="A24">
        <f>CONCATENATE("CON-",TEXT(ROW()-4,"000"))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</row>
    <row r="25">
      <c r="A25">
        <f>CONCATENATE("CON-",TEXT(ROW()-4,"000"))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</row>
    <row r="26">
      <c r="A26">
        <f>CONCATENATE("CON-",TEXT(ROW()-4,"000"))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</row>
    <row r="27">
      <c r="A27">
        <f>CONCATENATE("CON-",TEXT(ROW()-4,"000"))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</row>
    <row r="28">
      <c r="A28">
        <f>CONCATENATE("CON-",TEXT(ROW()-4,"000"))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</row>
    <row r="29">
      <c r="A29">
        <f>CONCATENATE("CON-",TEXT(ROW()-4,"000"))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3" t="inlineStr"/>
      <c r="AA29" s="13" t="inlineStr"/>
      <c r="AB29" s="13" t="inlineStr"/>
    </row>
    <row r="30">
      <c r="A30">
        <f>CONCATENATE("CON-",TEXT(ROW()-4,"000"))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Configuration baseline documented and version-controlled</t>
        </is>
      </c>
      <c r="C35" t="inlineStr">
        <is>
          <t>Baseline doc + version history</t>
        </is>
      </c>
    </row>
    <row r="36">
      <c r="A36" t="inlineStr">
        <is>
          <t>☐</t>
        </is>
      </c>
      <c r="B36" t="inlineStr">
        <is>
          <t>Change management process for cloud configurations</t>
        </is>
      </c>
      <c r="C36" t="inlineStr">
        <is>
          <t>Change log/ITSM tickets</t>
        </is>
      </c>
    </row>
    <row r="37">
      <c r="A37" t="inlineStr">
        <is>
          <t>☐</t>
        </is>
      </c>
      <c r="B37" t="inlineStr">
        <is>
          <t>Configuration drift monitoring enabled</t>
        </is>
      </c>
      <c r="C37" t="inlineStr">
        <is>
          <t>Drift detection config</t>
        </is>
      </c>
    </row>
    <row r="38">
      <c r="A38" t="inlineStr">
        <is>
          <t>☐</t>
        </is>
      </c>
      <c r="B38" t="inlineStr">
        <is>
          <t>Security configuration validated against CIS benchmarks</t>
        </is>
      </c>
      <c r="C38" t="inlineStr">
        <is>
          <t>CIS scan report</t>
        </is>
      </c>
    </row>
    <row r="39">
      <c r="A39" t="inlineStr">
        <is>
          <t>☐</t>
        </is>
      </c>
      <c r="B39" t="inlineStr">
        <is>
          <t>Configuration backup and recovery tested</t>
        </is>
      </c>
      <c r="C39" t="inlineStr">
        <is>
          <t>Backup test results</t>
        </is>
      </c>
    </row>
    <row r="40">
      <c r="A40" t="inlineStr">
        <is>
          <t>☐</t>
        </is>
      </c>
      <c r="B40" t="inlineStr">
        <is>
          <t>Privileged access to configurations logged and monitored</t>
        </is>
      </c>
      <c r="C40" t="inlineStr">
        <is>
          <t>Access log screenshot</t>
        </is>
      </c>
    </row>
    <row r="41">
      <c r="A41" t="inlineStr">
        <is>
          <t>☐</t>
        </is>
      </c>
      <c r="B41" t="inlineStr">
        <is>
          <t>Security-by-default configurations applied</t>
        </is>
      </c>
      <c r="C41" t="inlineStr">
        <is>
          <t>Default settings review</t>
        </is>
      </c>
    </row>
    <row r="42">
      <c r="A42" t="inlineStr">
        <is>
          <t>☐</t>
        </is>
      </c>
      <c r="B42" t="inlineStr">
        <is>
          <t>CFG-DORA-01: Configuration baseline documented and version-controlled</t>
        </is>
      </c>
      <c r="C42" t="inlineStr">
        <is>
          <t>DORA: Version control</t>
        </is>
      </c>
    </row>
    <row r="43">
      <c r="A43" t="inlineStr">
        <is>
          <t>☐</t>
        </is>
      </c>
      <c r="B43" t="inlineStr">
        <is>
          <t>CFG-DORA-02: Change management process for cloud configurations</t>
        </is>
      </c>
      <c r="C43" t="inlineStr">
        <is>
          <t>DORA: Change records</t>
        </is>
      </c>
    </row>
    <row r="44">
      <c r="A44" t="inlineStr">
        <is>
          <t>☐</t>
        </is>
      </c>
      <c r="B44" t="inlineStr">
        <is>
          <t>CFG-DORA-03: Configuration drift monitoring enabled</t>
        </is>
      </c>
      <c r="C44" t="inlineStr">
        <is>
          <t>DORA: Monitoring config</t>
        </is>
      </c>
    </row>
    <row r="45">
      <c r="A45" t="inlineStr">
        <is>
          <t>☐</t>
        </is>
      </c>
      <c r="B45" t="inlineStr">
        <is>
          <t>CFG-DORA-04: Security configuration validated against CIS benchmarks</t>
        </is>
      </c>
      <c r="C45" t="inlineStr">
        <is>
          <t>DORA: CIS compliance</t>
        </is>
      </c>
    </row>
    <row r="46">
      <c r="A46" t="inlineStr">
        <is>
          <t>☐</t>
        </is>
      </c>
      <c r="B46" t="inlineStr">
        <is>
          <t>CFG-DORA-05: Configuration backup and recovery tested</t>
        </is>
      </c>
      <c r="C46" t="inlineStr">
        <is>
          <t>DORA: Test results</t>
        </is>
      </c>
    </row>
    <row r="47">
      <c r="A47" t="inlineStr">
        <is>
          <t>☐</t>
        </is>
      </c>
      <c r="B47" t="inlineStr">
        <is>
          <t>CFG-DORA-06: Privileged access to configurations logged and monitored</t>
        </is>
      </c>
      <c r="C47" t="inlineStr">
        <is>
          <t>DORA: Access logs</t>
        </is>
      </c>
    </row>
    <row r="48">
      <c r="A48" t="inlineStr">
        <is>
          <t>☐</t>
        </is>
      </c>
      <c r="B48" t="inlineStr">
        <is>
          <t>CFG-NIS2-01: Security-by-default configurations applied</t>
        </is>
      </c>
      <c r="C48" t="inlineStr">
        <is>
          <t>NIS2: Default settings</t>
        </is>
      </c>
    </row>
    <row r="49">
      <c r="A49" t="inlineStr">
        <is>
          <t>☐</t>
        </is>
      </c>
      <c r="B49" t="inlineStr">
        <is>
          <t>CFG-NIS2-02: Network segmentation implemented</t>
        </is>
      </c>
      <c r="C49" t="inlineStr">
        <is>
          <t>NIS2: Network diagram</t>
        </is>
      </c>
    </row>
    <row r="50">
      <c r="A50" t="inlineStr">
        <is>
          <t>☐</t>
        </is>
      </c>
      <c r="B50" t="inlineStr">
        <is>
          <t>CFG-NIS2-03: Multi-factor authentication enforced for admin access</t>
        </is>
      </c>
      <c r="C50" t="inlineStr">
        <is>
          <t>NIS2: MFA config</t>
        </is>
      </c>
    </row>
    <row r="51">
      <c r="A51" t="inlineStr">
        <is>
          <t>☐</t>
        </is>
      </c>
      <c r="B51" t="inlineStr">
        <is>
          <t>CFG-NIS2-04: Vulnerability scanning configured pre-deployment</t>
        </is>
      </c>
      <c r="C51" t="inlineStr">
        <is>
          <t>NIS2: Scan config</t>
        </is>
      </c>
    </row>
    <row r="52">
      <c r="A52" t="inlineStr">
        <is>
          <t>☐</t>
        </is>
      </c>
      <c r="B52" t="inlineStr">
        <is>
          <t>CFG-AI-01: AI system risk classification documented</t>
        </is>
      </c>
      <c r="C52" t="inlineStr">
        <is>
          <t>AI Act: Risk assessment</t>
        </is>
      </c>
    </row>
    <row r="53">
      <c r="A53" t="inlineStr">
        <is>
          <t>☐</t>
        </is>
      </c>
      <c r="B53" t="inlineStr">
        <is>
          <t>CFG-AI-02: High-risk AI systems have conformity assessment</t>
        </is>
      </c>
      <c r="C53" t="inlineStr">
        <is>
          <t>AI Act: Conformity cert</t>
        </is>
      </c>
    </row>
    <row r="54">
      <c r="A54" t="inlineStr">
        <is>
          <t>☐</t>
        </is>
      </c>
      <c r="B54" t="inlineStr">
        <is>
          <t>CFG-AI-03: AI system transparency notices configured</t>
        </is>
      </c>
      <c r="C54" t="inlineStr">
        <is>
          <t>AI Act: Notice config</t>
        </is>
      </c>
    </row>
    <row r="55">
      <c r="A55" t="inlineStr">
        <is>
          <t>☐</t>
        </is>
      </c>
      <c r="B55" t="inlineStr">
        <is>
          <t>CFG-AI-04: AI system logging and monitoring enabled</t>
        </is>
      </c>
      <c r="C55" t="inlineStr">
        <is>
          <t>AI Act: AI logs</t>
        </is>
      </c>
    </row>
    <row r="56">
      <c r="A56" t="inlineStr">
        <is>
          <t>☐</t>
        </is>
      </c>
      <c r="B56" t="inlineStr">
        <is>
          <t>CFG-AI-05: Human oversight mechanisms configured</t>
        </is>
      </c>
      <c r="C56" t="inlineStr">
        <is>
          <t>AI Act: Oversight config</t>
        </is>
      </c>
    </row>
  </sheetData>
  <mergeCells count="2">
    <mergeCell ref="A2:AB2"/>
    <mergeCell ref="A1:AB1"/>
  </mergeCells>
  <dataValidations count="11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T5:T30 U5:U30 V5:V30 W5:W30 X5:X30" showDropDown="0" showInputMessage="0" showErrorMessage="0" allowBlank="0" type="list">
      <formula1>"Yes,No,Partial,N/A"</formula1>
    </dataValidation>
    <dataValidation sqref="Y5:Y30" showDropDown="0" showInputMessage="0" showErrorMessage="0" allowBlank="0" type="list">
      <formula1>"Full Compliance,Partial Compliance,Non-Compliant,N/A (Not in scope)"</formula1>
    </dataValidation>
    <dataValidation sqref="Z5:Z30" showDropDown="0" showInputMessage="0" showErrorMessage="0" allowBlank="0" type="list">
      <formula1>"Compliant,Partial (In Progress),Non-Compliant,N/A (Not in scope)"</formula1>
    </dataValidation>
    <dataValidation sqref="AA5:AA30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50" customHeight="1">
      <c r="A1" s="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2" t="inlineStr">
        <is>
          <t>Assessment Question: Are identity and access controls properly configured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SSO_Integrated</t>
        </is>
      </c>
      <c r="S4" s="12" t="inlineStr">
        <is>
          <t>MFA_Enforced</t>
        </is>
      </c>
      <c r="T4" s="12" t="inlineStr">
        <is>
          <t>RBAC_Implemented</t>
        </is>
      </c>
      <c r="U4" s="12" t="inlineStr">
        <is>
          <t>Privileged_Access_JIT</t>
        </is>
      </c>
      <c r="V4" s="12" t="inlineStr">
        <is>
          <t>Service_Accounts_Inventoried</t>
        </is>
      </c>
      <c r="W4" s="12" t="inlineStr">
        <is>
          <t>Last_Access_Review</t>
        </is>
      </c>
      <c r="X4" s="12" t="inlineStr">
        <is>
          <t>Admin_Account_Count</t>
        </is>
      </c>
    </row>
    <row r="5">
      <c r="A5">
        <f>CONCATENATE("ACC-",TEXT(ROW()-4,"000"))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CONCATENATE("ACC-",TEXT(ROW()-4,"000"))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CONCATENATE("ACC-",TEXT(ROW()-4,"000"))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CONCATENATE("ACC-",TEXT(ROW()-4,"000"))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CONCATENATE("ACC-",TEXT(ROW()-4,"000"))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CONCATENATE("ACC-",TEXT(ROW()-4,"000"))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CONCATENATE("ACC-",TEXT(ROW()-4,"000"))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CONCATENATE("ACC-",TEXT(ROW()-4,"000"))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CONCATENATE("ACC-",TEXT(ROW()-4,"000"))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CONCATENATE("ACC-",TEXT(ROW()-4,"000"))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CONCATENATE("ACC-",TEXT(ROW()-4,"000"))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CONCATENATE("ACC-",TEXT(ROW()-4,"000"))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CONCATENATE("ACC-",TEXT(ROW()-4,"000"))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CONCATENATE("ACC-",TEXT(ROW()-4,"000"))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CONCATENATE("ACC-",TEXT(ROW()-4,"000"))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CONCATENATE("ACC-",TEXT(ROW()-4,"000"))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CONCATENATE("ACC-",TEXT(ROW()-4,"000"))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CONCATENATE("ACC-",TEXT(ROW()-4,"000"))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CONCATENATE("ACC-",TEXT(ROW()-4,"000"))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CONCATENATE("ACC-",TEXT(ROW()-4,"000"))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CONCATENATE("ACC-",TEXT(ROW()-4,"000"))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CONCATENATE("ACC-",TEXT(ROW()-4,"000"))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CONCATENATE("ACC-",TEXT(ROW()-4,"000"))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CONCATENATE("ACC-",TEXT(ROW()-4,"000"))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CONCATENATE("ACC-",TEXT(ROW()-4,"000"))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CONCATENATE("ACC-",TEXT(ROW()-4,"000"))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SSO configured via organizational IdP (Entra ID, Okta, etc.)</t>
        </is>
      </c>
      <c r="C35" t="inlineStr">
        <is>
          <t>SSO config screenshot</t>
        </is>
      </c>
    </row>
    <row r="36">
      <c r="A36" t="inlineStr">
        <is>
          <t>☐</t>
        </is>
      </c>
      <c r="B36" t="inlineStr">
        <is>
          <t>MFA enforced for all users</t>
        </is>
      </c>
      <c r="C36" t="inlineStr">
        <is>
          <t>MFA policy screenshot</t>
        </is>
      </c>
    </row>
    <row r="37">
      <c r="A37" t="inlineStr">
        <is>
          <t>☐</t>
        </is>
      </c>
      <c r="B37" t="inlineStr">
        <is>
          <t>MFA mandatory for privileged accounts</t>
        </is>
      </c>
      <c r="C37" t="inlineStr">
        <is>
          <t>Admin MFA verification</t>
        </is>
      </c>
    </row>
    <row r="38">
      <c r="A38" t="inlineStr">
        <is>
          <t>☐</t>
        </is>
      </c>
      <c r="B38" t="inlineStr">
        <is>
          <t>RBAC roles documented and implemented</t>
        </is>
      </c>
      <c r="C38" t="inlineStr">
        <is>
          <t>Role matrix document</t>
        </is>
      </c>
    </row>
    <row r="39">
      <c r="A39" t="inlineStr">
        <is>
          <t>☐</t>
        </is>
      </c>
      <c r="B39" t="inlineStr">
        <is>
          <t>Least privilege principle applied</t>
        </is>
      </c>
      <c r="C39" t="inlineStr">
        <is>
          <t>Permission audit</t>
        </is>
      </c>
    </row>
    <row r="40">
      <c r="A40" t="inlineStr">
        <is>
          <t>☐</t>
        </is>
      </c>
      <c r="B40" t="inlineStr">
        <is>
          <t>Service accounts inventoried with owners</t>
        </is>
      </c>
      <c r="C40" t="inlineStr">
        <is>
          <t>Service account register</t>
        </is>
      </c>
    </row>
    <row r="41">
      <c r="A41" t="inlineStr">
        <is>
          <t>☐</t>
        </is>
      </c>
      <c r="B41" t="inlineStr">
        <is>
          <t>Privileged access is time-limited (JIT)</t>
        </is>
      </c>
      <c r="C41" t="inlineStr">
        <is>
          <t>PAM configuration</t>
        </is>
      </c>
    </row>
    <row r="42">
      <c r="A42" t="inlineStr">
        <is>
          <t>☐</t>
        </is>
      </c>
      <c r="B42" t="inlineStr">
        <is>
          <t>Access reviews performed quarterly</t>
        </is>
      </c>
      <c r="C42" t="inlineStr">
        <is>
          <t>Access review report</t>
        </is>
      </c>
    </row>
    <row r="43">
      <c r="A43" t="inlineStr">
        <is>
          <t>☐</t>
        </is>
      </c>
      <c r="B43" t="inlineStr">
        <is>
          <t>Default accounts disabled or renamed</t>
        </is>
      </c>
      <c r="C43" t="inlineStr">
        <is>
          <t>Security baseline check</t>
        </is>
      </c>
    </row>
    <row r="44">
      <c r="A44" t="inlineStr">
        <is>
          <t>☐</t>
        </is>
      </c>
      <c r="B44" t="inlineStr">
        <is>
          <t>Failed login alerting configured</t>
        </is>
      </c>
      <c r="C44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"Yes,No,Partial,N/A"</formula1>
    </dataValidation>
    <dataValidation sqref="S5:S30" showDropDown="0" showInputMessage="0" showErrorMessage="0" allowBlank="0" type="list">
      <formula1>"Yes (All Users),Yes (Admins Only),No,N/A"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"Yes,No,Planned,N/A"</formula1>
    </dataValidation>
    <dataValidation sqref="V5:V30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50" customHeight="1">
      <c r="A1" s="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2" t="inlineStr">
        <is>
          <t>Assessment Question: Are network security controls properly configured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IP_Restrictions</t>
        </is>
      </c>
      <c r="S4" s="12" t="inlineStr">
        <is>
          <t>Private_Connectivity</t>
        </is>
      </c>
      <c r="T4" s="12" t="inlineStr">
        <is>
          <t>Network_Segmentation</t>
        </is>
      </c>
      <c r="U4" s="12" t="inlineStr">
        <is>
          <t>WAF_Enabled</t>
        </is>
      </c>
      <c r="V4" s="12" t="inlineStr">
        <is>
          <t>DDoS_Protection</t>
        </is>
      </c>
      <c r="W4" s="12" t="inlineStr">
        <is>
          <t>Firewall_Rules_Documented</t>
        </is>
      </c>
      <c r="X4" s="12" t="inlineStr">
        <is>
          <t>Public_Endpoints_Count</t>
        </is>
      </c>
    </row>
    <row r="5">
      <c r="A5">
        <f>CONCATENATE("NET-",TEXT(ROW()-4,"000"))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CONCATENATE("NET-",TEXT(ROW()-4,"000"))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CONCATENATE("NET-",TEXT(ROW()-4,"000"))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CONCATENATE("NET-",TEXT(ROW()-4,"000"))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CONCATENATE("NET-",TEXT(ROW()-4,"000"))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CONCATENATE("NET-",TEXT(ROW()-4,"000"))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CONCATENATE("NET-",TEXT(ROW()-4,"000"))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CONCATENATE("NET-",TEXT(ROW()-4,"000"))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CONCATENATE("NET-",TEXT(ROW()-4,"000"))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CONCATENATE("NET-",TEXT(ROW()-4,"000"))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CONCATENATE("NET-",TEXT(ROW()-4,"000"))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CONCATENATE("NET-",TEXT(ROW()-4,"000"))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CONCATENATE("NET-",TEXT(ROW()-4,"000"))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CONCATENATE("NET-",TEXT(ROW()-4,"000"))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CONCATENATE("NET-",TEXT(ROW()-4,"000"))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CONCATENATE("NET-",TEXT(ROW()-4,"000"))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CONCATENATE("NET-",TEXT(ROW()-4,"000"))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CONCATENATE("NET-",TEXT(ROW()-4,"000"))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CONCATENATE("NET-",TEXT(ROW()-4,"000"))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CONCATENATE("NET-",TEXT(ROW()-4,"000"))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CONCATENATE("NET-",TEXT(ROW()-4,"000"))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CONCATENATE("NET-",TEXT(ROW()-4,"000"))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CONCATENATE("NET-",TEXT(ROW()-4,"000"))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CONCATENATE("NET-",TEXT(ROW()-4,"000"))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CONCATENATE("NET-",TEXT(ROW()-4,"000"))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CONCATENATE("NET-",TEXT(ROW()-4,"000"))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IP allowlisting configured for admin access</t>
        </is>
      </c>
      <c r="C35" t="inlineStr">
        <is>
          <t>Firewall rules</t>
        </is>
      </c>
    </row>
    <row r="36">
      <c r="A36" t="inlineStr">
        <is>
          <t>☐</t>
        </is>
      </c>
      <c r="B36" t="inlineStr">
        <is>
          <t>Private endpoints used where available</t>
        </is>
      </c>
      <c r="C36" t="inlineStr">
        <is>
          <t>Network architecture</t>
        </is>
      </c>
    </row>
    <row r="37">
      <c r="A37" t="inlineStr">
        <is>
          <t>☐</t>
        </is>
      </c>
      <c r="B37" t="inlineStr">
        <is>
          <t>VPN/ExpressRoute for sensitive workloads</t>
        </is>
      </c>
      <c r="C37" t="inlineStr">
        <is>
          <t>Connectivity config</t>
        </is>
      </c>
    </row>
    <row r="38">
      <c r="A38" t="inlineStr">
        <is>
          <t>☐</t>
        </is>
      </c>
      <c r="B38" t="inlineStr">
        <is>
          <t>Network segmentation between environments</t>
        </is>
      </c>
      <c r="C38" t="inlineStr">
        <is>
          <t>Network diagram</t>
        </is>
      </c>
    </row>
    <row r="39">
      <c r="A39" t="inlineStr">
        <is>
          <t>☐</t>
        </is>
      </c>
      <c r="B39" t="inlineStr">
        <is>
          <t>WAF configured for web applications</t>
        </is>
      </c>
      <c r="C39" t="inlineStr">
        <is>
          <t>WAF rules export</t>
        </is>
      </c>
    </row>
    <row r="40">
      <c r="A40" t="inlineStr">
        <is>
          <t>☐</t>
        </is>
      </c>
      <c r="B40" t="inlineStr">
        <is>
          <t>DDoS protection enabled</t>
        </is>
      </c>
      <c r="C40" t="inlineStr">
        <is>
          <t>DDoS settings</t>
        </is>
      </c>
    </row>
    <row r="41">
      <c r="A41" t="inlineStr">
        <is>
          <t>☐</t>
        </is>
      </c>
      <c r="B41" t="inlineStr">
        <is>
          <t>Firewall rules documented and reviewed</t>
        </is>
      </c>
      <c r="C41" t="inlineStr">
        <is>
          <t>Rule documentation</t>
        </is>
      </c>
    </row>
    <row r="42">
      <c r="A42" t="inlineStr">
        <is>
          <t>☐</t>
        </is>
      </c>
      <c r="B42" t="inlineStr">
        <is>
          <t>Public endpoints minimized and justified</t>
        </is>
      </c>
      <c r="C42" t="inlineStr">
        <is>
          <t>Endpoint inventory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(Allowlist),Yes (Geo),No,N/A"</formula1>
    </dataValidation>
    <dataValidation sqref="S5:S30" showDropDown="0" showInputMessage="0" showErrorMessage="0" allowBlank="0" type="list">
      <formula1>"Yes (Private Link),Yes (VPN),Public Only,N/A"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"Yes,No,N/A"</formula1>
    </dataValidation>
    <dataValidation sqref="V5:V30" showDropDown="0" showInputMessage="0" showErrorMessage="0" allowBlank="0" type="list">
      <formula1>"Yes (Advanced),Yes (Basic),No,N/A"</formula1>
    </dataValidation>
    <dataValidation sqref="W5:W30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50" customHeight="1">
      <c r="A1" s="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2" t="inlineStr">
        <is>
          <t>Assessment Question: Are encryption controls properly configured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Encryption_At_Rest</t>
        </is>
      </c>
      <c r="S4" s="12" t="inlineStr">
        <is>
          <t>Encryption_In_Transit</t>
        </is>
      </c>
      <c r="T4" s="12" t="inlineStr">
        <is>
          <t>Encryption_Algorithm</t>
        </is>
      </c>
      <c r="U4" s="12" t="inlineStr">
        <is>
          <t>Key_Management</t>
        </is>
      </c>
      <c r="V4" s="12" t="inlineStr">
        <is>
          <t>Key_Rotation_Period</t>
        </is>
      </c>
      <c r="W4" s="12" t="inlineStr">
        <is>
          <t>HSM_Used</t>
        </is>
      </c>
      <c r="X4" s="12" t="inlineStr">
        <is>
          <t>Last_Key_Rotation</t>
        </is>
      </c>
    </row>
    <row r="5">
      <c r="A5">
        <f>CONCATENATE("ENC-",TEXT(ROW()-4,"000"))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CONCATENATE("ENC-",TEXT(ROW()-4,"000"))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CONCATENATE("ENC-",TEXT(ROW()-4,"000"))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CONCATENATE("ENC-",TEXT(ROW()-4,"000"))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CONCATENATE("ENC-",TEXT(ROW()-4,"000"))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CONCATENATE("ENC-",TEXT(ROW()-4,"000"))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CONCATENATE("ENC-",TEXT(ROW()-4,"000"))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CONCATENATE("ENC-",TEXT(ROW()-4,"000"))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CONCATENATE("ENC-",TEXT(ROW()-4,"000"))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CONCATENATE("ENC-",TEXT(ROW()-4,"000"))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CONCATENATE("ENC-",TEXT(ROW()-4,"000"))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CONCATENATE("ENC-",TEXT(ROW()-4,"000"))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CONCATENATE("ENC-",TEXT(ROW()-4,"000"))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CONCATENATE("ENC-",TEXT(ROW()-4,"000"))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CONCATENATE("ENC-",TEXT(ROW()-4,"000"))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CONCATENATE("ENC-",TEXT(ROW()-4,"000"))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CONCATENATE("ENC-",TEXT(ROW()-4,"000"))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CONCATENATE("ENC-",TEXT(ROW()-4,"000"))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CONCATENATE("ENC-",TEXT(ROW()-4,"000"))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CONCATENATE("ENC-",TEXT(ROW()-4,"000"))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CONCATENATE("ENC-",TEXT(ROW()-4,"000"))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CONCATENATE("ENC-",TEXT(ROW()-4,"000"))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CONCATENATE("ENC-",TEXT(ROW()-4,"000"))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CONCATENATE("ENC-",TEXT(ROW()-4,"000"))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CONCATENATE("ENC-",TEXT(ROW()-4,"000"))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CONCATENATE("ENC-",TEXT(ROW()-4,"000"))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TLS 1.2+ enforced for all connections</t>
        </is>
      </c>
      <c r="C35" t="inlineStr">
        <is>
          <t>TLS config, SSL scan</t>
        </is>
      </c>
    </row>
    <row r="36">
      <c r="A36" t="inlineStr">
        <is>
          <t>☐</t>
        </is>
      </c>
      <c r="B36" t="inlineStr">
        <is>
          <t>AES-256 encryption at rest enabled</t>
        </is>
      </c>
      <c r="C36" t="inlineStr">
        <is>
          <t>Encryption settings</t>
        </is>
      </c>
    </row>
    <row r="37">
      <c r="A37" t="inlineStr">
        <is>
          <t>☐</t>
        </is>
      </c>
      <c r="B37" t="inlineStr">
        <is>
          <t>Encryption keys stored securely (HSM/KMS)</t>
        </is>
      </c>
      <c r="C37" t="inlineStr">
        <is>
          <t>Key management config</t>
        </is>
      </c>
    </row>
    <row r="38">
      <c r="A38" t="inlineStr">
        <is>
          <t>☐</t>
        </is>
      </c>
      <c r="B38" t="inlineStr">
        <is>
          <t>Key rotation policy implemented</t>
        </is>
      </c>
      <c r="C38" t="inlineStr">
        <is>
          <t>Rotation schedule</t>
        </is>
      </c>
    </row>
    <row r="39">
      <c r="A39" t="inlineStr">
        <is>
          <t>☐</t>
        </is>
      </c>
      <c r="B39" t="inlineStr">
        <is>
          <t>Customer-managed keys (CMK) used for sensitive data</t>
        </is>
      </c>
      <c r="C39" t="inlineStr">
        <is>
          <t>CMK configuration</t>
        </is>
      </c>
    </row>
    <row r="40">
      <c r="A40" t="inlineStr">
        <is>
          <t>☐</t>
        </is>
      </c>
      <c r="B40" t="inlineStr">
        <is>
          <t>Key access logged and monitored</t>
        </is>
      </c>
      <c r="C40" t="inlineStr">
        <is>
          <t>Key access logs</t>
        </is>
      </c>
    </row>
    <row r="41">
      <c r="A41" t="inlineStr">
        <is>
          <t>☐</t>
        </is>
      </c>
      <c r="B41" t="inlineStr">
        <is>
          <t>Encryption validated for backups</t>
        </is>
      </c>
      <c r="C41" t="inlineStr">
        <is>
          <t>Backup encryption check</t>
        </is>
      </c>
    </row>
    <row r="42">
      <c r="A42" t="inlineStr">
        <is>
          <t>☐</t>
        </is>
      </c>
      <c r="B42" t="inlineStr">
        <is>
          <t>Secure deletion process documented</t>
        </is>
      </c>
      <c r="C42" t="inlineStr">
        <is>
          <t>Deletion procedures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(Provider Key),Yes (CMK),No,N/A"</formula1>
    </dataValidation>
    <dataValidation sqref="S5:S30" showDropDown="0" showInputMessage="0" showErrorMessage="0" allowBlank="0" type="list">
      <formula1>"Yes (TLS 1.3),Yes (TLS 1.2),No,N/A"</formula1>
    </dataValidation>
    <dataValidation sqref="T5:T30" showDropDown="0" showInputMessage="0" showErrorMessage="0" allowBlank="0" type="list">
      <formula1>"AES-256,AES-128,ChaCha20,Other,Unknown"</formula1>
    </dataValidation>
    <dataValidation sqref="U5:U30" showDropDown="0" showInputMessage="0" showErrorMessage="0" allowBlank="0" type="list">
      <formula1>"Provider Managed,Customer Managed (HSM),Customer Managed (Software),N/A"</formula1>
    </dataValidation>
    <dataValidation sqref="V5:V30" showDropDown="0" showInputMessage="0" showErrorMessage="0" allowBlank="0" type="list">
      <formula1>"90 days,180 days,365 days,Manual,N/A"</formula1>
    </dataValidation>
    <dataValidation sqref="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50" customHeight="1">
      <c r="A1" s="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2" t="inlineStr">
        <is>
          <t>Assessment Question: Have all deployment security requirements been met for your cloud services?</t>
        </is>
      </c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Pre_Deploy_Scan</t>
        </is>
      </c>
      <c r="S4" s="12" t="inlineStr">
        <is>
          <t>Security_Approved</t>
        </is>
      </c>
      <c r="T4" s="12" t="inlineStr">
        <is>
          <t>Backup_Tested</t>
        </is>
      </c>
      <c r="U4" s="12" t="inlineStr">
        <is>
          <t>Monitoring_Enabled</t>
        </is>
      </c>
      <c r="V4" s="12" t="inlineStr">
        <is>
          <t>Runbook_Available</t>
        </is>
      </c>
      <c r="W4" s="12" t="inlineStr">
        <is>
          <t>Rollback_Plan</t>
        </is>
      </c>
      <c r="X4" s="12" t="inlineStr">
        <is>
          <t>Deployment_Date</t>
        </is>
      </c>
    </row>
    <row r="5">
      <c r="A5">
        <f>CONCATENATE("DEP-",TEXT(ROW()-4,"000"))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CONCATENATE("DEP-",TEXT(ROW()-4,"000"))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CONCATENATE("DEP-",TEXT(ROW()-4,"000"))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CONCATENATE("DEP-",TEXT(ROW()-4,"000"))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CONCATENATE("DEP-",TEXT(ROW()-4,"000"))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CONCATENATE("DEP-",TEXT(ROW()-4,"000"))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CONCATENATE("DEP-",TEXT(ROW()-4,"000"))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CONCATENATE("DEP-",TEXT(ROW()-4,"000"))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CONCATENATE("DEP-",TEXT(ROW()-4,"000"))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CONCATENATE("DEP-",TEXT(ROW()-4,"000"))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CONCATENATE("DEP-",TEXT(ROW()-4,"000"))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CONCATENATE("DEP-",TEXT(ROW()-4,"000"))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CONCATENATE("DEP-",TEXT(ROW()-4,"000"))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CONCATENATE("DEP-",TEXT(ROW()-4,"000"))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CONCATENATE("DEP-",TEXT(ROW()-4,"000"))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CONCATENATE("DEP-",TEXT(ROW()-4,"000"))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CONCATENATE("DEP-",TEXT(ROW()-4,"000"))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CONCATENATE("DEP-",TEXT(ROW()-4,"000"))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CONCATENATE("DEP-",TEXT(ROW()-4,"000"))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CONCATENATE("DEP-",TEXT(ROW()-4,"000"))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CONCATENATE("DEP-",TEXT(ROW()-4,"000"))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CONCATENATE("DEP-",TEXT(ROW()-4,"000"))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CONCATENATE("DEP-",TEXT(ROW()-4,"000"))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CONCATENATE("DEP-",TEXT(ROW()-4,"000"))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CONCATENATE("DEP-",TEXT(ROW()-4,"000"))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CONCATENATE("DEP-",TEXT(ROW()-4,"000"))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Pre-deployment security scan completed</t>
        </is>
      </c>
      <c r="C35" t="inlineStr">
        <is>
          <t>Scan report</t>
        </is>
      </c>
    </row>
    <row r="36">
      <c r="A36" t="inlineStr">
        <is>
          <t>☐</t>
        </is>
      </c>
      <c r="B36" t="inlineStr">
        <is>
          <t>Security team approval obtained</t>
        </is>
      </c>
      <c r="C36" t="inlineStr">
        <is>
          <t>Approval ticket</t>
        </is>
      </c>
    </row>
    <row r="37">
      <c r="A37" t="inlineStr">
        <is>
          <t>☐</t>
        </is>
      </c>
      <c r="B37" t="inlineStr">
        <is>
          <t>Backup and recovery tested</t>
        </is>
      </c>
      <c r="C37" t="inlineStr">
        <is>
          <t>Test results</t>
        </is>
      </c>
    </row>
    <row r="38">
      <c r="A38" t="inlineStr">
        <is>
          <t>☐</t>
        </is>
      </c>
      <c r="B38" t="inlineStr">
        <is>
          <t>Monitoring and alerting configured</t>
        </is>
      </c>
      <c r="C38" t="inlineStr">
        <is>
          <t>Monitoring config</t>
        </is>
      </c>
    </row>
    <row r="39">
      <c r="A39" t="inlineStr">
        <is>
          <t>☐</t>
        </is>
      </c>
      <c r="B39" t="inlineStr">
        <is>
          <t>Deployment runbook available</t>
        </is>
      </c>
      <c r="C39" t="inlineStr">
        <is>
          <t>Runbook document</t>
        </is>
      </c>
    </row>
    <row r="40">
      <c r="A40" t="inlineStr">
        <is>
          <t>☐</t>
        </is>
      </c>
      <c r="B40" t="inlineStr">
        <is>
          <t>Rollback plan documented and tested</t>
        </is>
      </c>
      <c r="C40" t="inlineStr">
        <is>
          <t>Rollback procedure</t>
        </is>
      </c>
    </row>
    <row r="41">
      <c r="A41" t="inlineStr">
        <is>
          <t>☐</t>
        </is>
      </c>
      <c r="B41" t="inlineStr">
        <is>
          <t>Production deployment authorized</t>
        </is>
      </c>
      <c r="C41" t="inlineStr">
        <is>
          <t>Change approval</t>
        </is>
      </c>
    </row>
    <row r="42">
      <c r="A42" t="inlineStr">
        <is>
          <t>☐</t>
        </is>
      </c>
      <c r="B42" t="inlineStr">
        <is>
          <t>Post-deployment validation completed</t>
        </is>
      </c>
      <c r="C42" t="inlineStr">
        <is>
          <t>Validation report</t>
        </is>
      </c>
    </row>
  </sheetData>
  <mergeCells count="2">
    <mergeCell ref="A2:X2"/>
    <mergeCell ref="A1:X1"/>
  </mergeCells>
  <dataValidations count="8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S5:S30 T5:T30 U5:U30 V5:V30 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" t="inlineStr">
        <is>
          <t>JURISDICTIONAL RISK ASSESSMENT</t>
        </is>
      </c>
    </row>
    <row r="2" ht="25" customHeight="1">
      <c r="A2" s="2" t="inlineStr">
        <is>
          <t>CLOUD Act, Data Sovereignty, and Cross-Border Transfer Analysis</t>
        </is>
      </c>
    </row>
    <row r="3" ht="30" customHeight="1">
      <c r="A3" s="14" t="inlineStr">
        <is>
          <t>⚠ US-headquartered providers may be compelled to disclose data under CLOUD Act regardless of data location.</t>
        </is>
      </c>
    </row>
    <row r="5">
      <c r="A5" s="12" t="inlineStr">
        <is>
          <t>Assessment_ID</t>
        </is>
      </c>
      <c r="B5" s="12" t="inlineStr">
        <is>
          <t>Cloud_Service_Name</t>
        </is>
      </c>
      <c r="C5" s="12" t="inlineStr">
        <is>
          <t>Provider_Name</t>
        </is>
      </c>
      <c r="D5" s="12" t="inlineStr">
        <is>
          <t>Provider_HQ_Country</t>
        </is>
      </c>
      <c r="E5" s="12" t="inlineStr">
        <is>
          <t>Provider_HQ_Jurisdiction</t>
        </is>
      </c>
      <c r="F5" s="12" t="inlineStr">
        <is>
          <t>US_Parent_Company</t>
        </is>
      </c>
      <c r="G5" s="12" t="inlineStr">
        <is>
          <t>CLOUD_Act_Applicability</t>
        </is>
      </c>
      <c r="H5" s="12" t="inlineStr">
        <is>
          <t>Data_Processing_Locations</t>
        </is>
      </c>
      <c r="I5" s="12" t="inlineStr">
        <is>
          <t>EU_Data_Boundary_Available</t>
        </is>
      </c>
      <c r="J5" s="12" t="inlineStr">
        <is>
          <t>Customer_Managed_Keys</t>
        </is>
      </c>
      <c r="K5" s="12" t="inlineStr">
        <is>
          <t>Legal_Challenge_Commitment</t>
        </is>
      </c>
      <c r="L5" s="12" t="inlineStr">
        <is>
          <t>Adequacy_Decision_Status</t>
        </is>
      </c>
      <c r="M5" s="12" t="inlineStr">
        <is>
          <t>Transfer_Mechanism</t>
        </is>
      </c>
      <c r="N5" s="12" t="inlineStr">
        <is>
          <t>Risk_Level</t>
        </is>
      </c>
      <c r="O5" s="12" t="inlineStr">
        <is>
          <t>Risk_Accepted_By</t>
        </is>
      </c>
      <c r="P5" s="12" t="inlineStr">
        <is>
          <t>Risk_Acceptance_Date</t>
        </is>
      </c>
      <c r="Q5" s="12" t="inlineStr">
        <is>
          <t>Compensating_Controls</t>
        </is>
      </c>
      <c r="R5" s="12" t="inlineStr">
        <is>
          <t>Review_Date</t>
        </is>
      </c>
      <c r="S5" s="12" t="inlineStr">
        <is>
          <t>Evidence_Reference</t>
        </is>
      </c>
      <c r="T5" s="12" t="inlineStr">
        <is>
          <t>Notes</t>
        </is>
      </c>
    </row>
    <row r="6">
      <c r="A6">
        <f>CONCATENATE("JRA-",TEXT(ROW()-5,"000"))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</row>
    <row r="7">
      <c r="A7">
        <f>CONCATENATE("JRA-",TEXT(ROW()-5,"000"))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</row>
    <row r="8">
      <c r="A8">
        <f>CONCATENATE("JRA-",TEXT(ROW()-5,"000"))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>
      <c r="A9">
        <f>CONCATENATE("JRA-",TEXT(ROW()-5,"000"))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</row>
    <row r="10">
      <c r="A10">
        <f>CONCATENATE("JRA-",TEXT(ROW()-5,"000"))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</row>
    <row r="11">
      <c r="A11">
        <f>CONCATENATE("JRA-",TEXT(ROW()-5,"000"))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</row>
    <row r="12">
      <c r="A12">
        <f>CONCATENATE("JRA-",TEXT(ROW()-5,"000"))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</row>
    <row r="13">
      <c r="A13">
        <f>CONCATENATE("JRA-",TEXT(ROW()-5,"000"))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</row>
    <row r="14">
      <c r="A14">
        <f>CONCATENATE("JRA-",TEXT(ROW()-5,"000"))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>
        <f>CONCATENATE("JRA-",TEXT(ROW()-5,"000"))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</row>
    <row r="16">
      <c r="A16">
        <f>CONCATENATE("JRA-",TEXT(ROW()-5,"000"))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>
        <f>CONCATENATE("JRA-",TEXT(ROW()-5,"000"))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>
        <f>CONCATENATE("JRA-",TEXT(ROW()-5,"000"))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>
        <f>CONCATENATE("JRA-",TEXT(ROW()-5,"000"))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>
        <f>CONCATENATE("JRA-",TEXT(ROW()-5,"000"))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>
        <f>CONCATENATE("JRA-",TEXT(ROW()-5,"000"))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>
        <f>CONCATENATE("JRA-",TEXT(ROW()-5,"000"))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>
        <f>CONCATENATE("JRA-",TEXT(ROW()-5,"000"))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</row>
    <row r="24">
      <c r="A24">
        <f>CONCATENATE("JRA-",TEXT(ROW()-5,"000"))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</row>
    <row r="25">
      <c r="A25">
        <f>CONCATENATE("JRA-",TEXT(ROW()-5,"000"))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</row>
    <row r="26">
      <c r="A26">
        <f>CONCATENATE("JRA-",TEXT(ROW()-5,"000"))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</row>
    <row r="27">
      <c r="A27">
        <f>CONCATENATE("JRA-",TEXT(ROW()-5,"000"))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</row>
    <row r="28">
      <c r="A28">
        <f>CONCATENATE("JRA-",TEXT(ROW()-5,"000"))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</row>
    <row r="29">
      <c r="A29">
        <f>CONCATENATE("JRA-",TEXT(ROW()-5,"000"))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</row>
    <row r="30">
      <c r="A30">
        <f>CONCATENATE("JRA-",TEXT(ROW()-5,"000"))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</row>
    <row r="33">
      <c r="A33" s="3" t="inlineStr">
        <is>
          <t>JURISDICTIONAL RISK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5:E30" showDropDown="0" showInputMessage="0" showErrorMessage="0" allowBlank="0" type="list">
      <formula1>"Switzerland,EU/EEA,United Kingdom,United States,Other Adequate Country,Non-Adequate Country"</formula1>
    </dataValidation>
    <dataValidation sqref="G5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5:M30" showDropDown="0" showInputMessage="0" showErrorMessage="0" allowBlank="0" type="list">
      <formula1>"SCCs,BCRs,Adequacy Decision,None,N/A"</formula1>
    </dataValidation>
    <dataValidation sqref="N5:N30" showDropDown="0" showInputMessage="0" showErrorMessage="0" allowBlank="0" type="list">
      <formula1>"Low,Medium,High,Critical"</formula1>
    </dataValidation>
    <dataValidation sqref="K5:K30" showDropDown="0" showInputMessage="0" showErrorMessage="0" allowBlank="0" type="list">
      <formula1>"Yes,No,Partial,Unknown"</formula1>
    </dataValidation>
    <dataValidation sqref="I5:I30 J5:J30" showDropDown="0" showInputMessage="0" showErrorMessage="0" allowBlank="0" type="list">
      <formula1>"Yes,No,Planned"</formula1>
    </dataValidation>
    <dataValidation sqref="F5:F30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5" customWidth="1" min="4" max="4"/>
    <col width="18" customWidth="1" min="5" max="5"/>
    <col width="10" customWidth="1" min="6" max="6"/>
    <col width="15" customWidth="1" min="7" max="7"/>
  </cols>
  <sheetData>
    <row r="1" ht="35" customHeight="1">
      <c r="A1" s="1" t="inlineStr">
        <is>
          <t>SECURE CONFIGURATION - COMPLIANCE SUMMARY DASHBOARD v1.0</t>
        </is>
      </c>
    </row>
    <row r="3">
      <c r="A3" s="15" t="inlineStr">
        <is>
          <t>TABLE 1: COMPLIANCE BY CONFIGURATION AREA</t>
        </is>
      </c>
    </row>
    <row r="4">
      <c r="A4" s="12" t="inlineStr">
        <is>
          <t>Configuration Area</t>
        </is>
      </c>
      <c r="B4" s="12" t="inlineStr">
        <is>
          <t>Total Items</t>
        </is>
      </c>
      <c r="C4" s="12" t="inlineStr">
        <is>
          <t>✅ Compliant</t>
        </is>
      </c>
      <c r="D4" s="12" t="inlineStr">
        <is>
          <t>⚠ Partial</t>
        </is>
      </c>
      <c r="E4" s="12" t="inlineStr">
        <is>
          <t>❌ Non-Compliant</t>
        </is>
      </c>
      <c r="F4" s="12" t="inlineStr">
        <is>
          <t>N/A</t>
        </is>
      </c>
      <c r="G4" s="12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Baseline'!B5:B30)-COUNTBLANK('2. Configuration Baseline'!B5:B30)</f>
        <v/>
      </c>
      <c r="C5">
        <f>COUNTIF('2. Configuration Baseline'!I5:I30,"✅*")</f>
        <v/>
      </c>
      <c r="D5">
        <f>COUNTIF('2. Configuration Baseline'!I5:I30,"⚠*")</f>
        <v/>
      </c>
      <c r="E5">
        <f>COUNTIF('2. Configuration Baseline'!I5:I30,"❌*")</f>
        <v/>
      </c>
      <c r="F5">
        <f>COUNTIF('2. Configuration Baseline'!I5:I30,"N/A")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Setup'!B5:B30)-COUNTBLANK('3. Access Control Setup'!B5:B30)</f>
        <v/>
      </c>
      <c r="C6">
        <f>COUNTIF('3. Access Control Setup'!I5:I30,"✅*")</f>
        <v/>
      </c>
      <c r="D6">
        <f>COUNTIF('3. Access Control Setup'!I5:I30,"⚠*")</f>
        <v/>
      </c>
      <c r="E6">
        <f>COUNTIF('3. Access Control Setup'!I5:I30,"❌*")</f>
        <v/>
      </c>
      <c r="F6">
        <f>COUNTIF('3. Access Control Setup'!I5:I30,"N/A")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Security'!B5:B30)-COUNTBLANK('4. Network Security'!B5:B30)</f>
        <v/>
      </c>
      <c r="C7">
        <f>COUNTIF('4. Network Security'!I5:I30,"✅*")</f>
        <v/>
      </c>
      <c r="D7">
        <f>COUNTIF('4. Network Security'!I5:I30,"⚠*")</f>
        <v/>
      </c>
      <c r="E7">
        <f>COUNTIF('4. Network Security'!I5:I30,"❌*")</f>
        <v/>
      </c>
      <c r="F7">
        <f>COUNTIF('4. Network Security'!I5:I30,"N/A")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Configuration'!B5:B30)-COUNTBLANK('5. Encryption Configuration'!B5:B30)</f>
        <v/>
      </c>
      <c r="C8">
        <f>COUNTIF('5. Encryption Configuration'!I5:I30,"✅*")</f>
        <v/>
      </c>
      <c r="D8">
        <f>COUNTIF('5. Encryption Configuration'!I5:I30,"⚠*")</f>
        <v/>
      </c>
      <c r="E8">
        <f>COUNTIF('5. Encryption Configuration'!I5:I30,"❌*")</f>
        <v/>
      </c>
      <c r="F8">
        <f>COUNTIF('5. Encryption Configuration'!I5:I30,"N/A")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Checklist'!B5:B30)-COUNTBLANK('6. Deployment Checklist'!B5:B30)</f>
        <v/>
      </c>
      <c r="C9">
        <f>COUNTIF('6. Deployment Checklist'!I5:I30,"✅*")</f>
        <v/>
      </c>
      <c r="D9">
        <f>COUNTIF('6. Deployment Checklist'!I5:I30,"⚠*")</f>
        <v/>
      </c>
      <c r="E9">
        <f>COUNTIF('6. Deployment Checklist'!I5:I30,"❌*")</f>
        <v/>
      </c>
      <c r="F9">
        <f>COUNTIF('6. Deployment Checklist'!I5:I30,"N/A")</f>
        <v/>
      </c>
      <c r="G9">
        <f>IF(B9-F9&gt;0,ROUND(C9/(B9-F9)*100,1)&amp;"%","N/A")</f>
        <v/>
      </c>
    </row>
    <row r="10">
      <c r="A10" s="4" t="inlineStr">
        <is>
          <t>TOTAL</t>
        </is>
      </c>
      <c r="B10" s="4">
        <f>SUM(B5:B9)</f>
        <v/>
      </c>
      <c r="C10" s="4">
        <f>SUM(C5:C9)</f>
        <v/>
      </c>
      <c r="D10" s="4">
        <f>SUM(D5:D9)</f>
        <v/>
      </c>
      <c r="E10" s="4">
        <f>SUM(E5:E9)</f>
        <v/>
      </c>
      <c r="F10" s="4">
        <f>SUM(F5:F9)</f>
        <v/>
      </c>
      <c r="G10" s="4">
        <f>IF(B10-F10&gt;0,ROUND(C10/(B10-F10)*100,1)&amp;"%","N/A")</f>
        <v/>
      </c>
    </row>
    <row r="13">
      <c r="A13" s="15" t="inlineStr">
        <is>
          <t>TABLE 2: JURISDICTIONAL &amp; CLOUD ACT RISK SUMMARY</t>
        </is>
      </c>
    </row>
    <row r="14">
      <c r="A14" s="12" t="inlineStr">
        <is>
          <t>Metric</t>
        </is>
      </c>
      <c r="B14" s="12" t="inlineStr">
        <is>
          <t>Count</t>
        </is>
      </c>
      <c r="C14" s="12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Risk'!E6:E30,"United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Risk'!F6:F30,"Yes")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Risk'!G6:G30,"Potential*")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Risk'!G6:G30,"Mitigated*")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Risk'!N6:N30,"High")+COUNTIF('7. Jurisdictional Risk'!N6:N30,"Critical")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Risk'!I6:I30,"No")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Risk'!J6:J30,"No")</f>
        <v/>
      </c>
      <c r="C21">
        <f>IF(B21&gt;0,"{WARNING} Review","{CHECK} OK")</f>
        <v/>
      </c>
    </row>
    <row r="24">
      <c r="A24" s="15" t="inlineStr">
        <is>
          <t>TABLE 3: REGULATORY DEPLOYMENT COMPLIANCE</t>
        </is>
      </c>
    </row>
    <row r="25">
      <c r="A25" s="12" t="inlineStr">
        <is>
          <t>Metric</t>
        </is>
      </c>
      <c r="B25" s="12" t="inlineStr">
        <is>
          <t>Count</t>
        </is>
      </c>
      <c r="C25" s="12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Baseline'!Y5:Y30,"Non-Compliant")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Baseline'!Z5:Z30,"Non-Compliant")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Baseline'!AA5:AA30,"*Pending*")</f>
        <v/>
      </c>
      <c r="C28">
        <f>IF(B28&gt;0,"{WARNING} Review","{CHECK} OK")</f>
        <v/>
      </c>
    </row>
    <row r="32">
      <c r="A32" s="15" t="inlineStr">
        <is>
          <t>TABLE 4: CRITICAL GAPS BY ENVIRONMENT</t>
        </is>
      </c>
    </row>
    <row r="33">
      <c r="A33" s="12" t="inlineStr">
        <is>
          <t>Gap Type</t>
        </is>
      </c>
      <c r="B33" s="12" t="inlineStr">
        <is>
          <t>Count</t>
        </is>
      </c>
      <c r="C33" s="12" t="inlineStr">
        <is>
          <t>Priority</t>
        </is>
      </c>
    </row>
    <row r="34">
      <c r="A34" t="inlineStr">
        <is>
          <t>Production + Non-Compliant</t>
        </is>
      </c>
      <c r="B34" t="inlineStr">
        <is>
          <t>[Manual Count]</t>
        </is>
      </c>
      <c r="C34" s="9" t="inlineStr">
        <is>
          <t>Critical</t>
        </is>
      </c>
    </row>
    <row r="35">
      <c r="A35" t="inlineStr">
        <is>
          <t>Critical Service + Non-Compliant</t>
        </is>
      </c>
      <c r="B35" t="inlineStr">
        <is>
          <t>[Manual Count]</t>
        </is>
      </c>
      <c r="C35" s="9" t="inlineStr">
        <is>
          <t>Critical</t>
        </is>
      </c>
    </row>
    <row r="36">
      <c r="A36" t="inlineStr">
        <is>
          <t>MFA Not Enforced (Production)</t>
        </is>
      </c>
      <c r="B36" t="inlineStr">
        <is>
          <t>[Manual Count]</t>
        </is>
      </c>
      <c r="C36" s="8" t="inlineStr">
        <is>
          <t>High</t>
        </is>
      </c>
    </row>
    <row r="37">
      <c r="A37" t="inlineStr">
        <is>
          <t>No Encryption at Rest</t>
        </is>
      </c>
      <c r="B37" t="inlineStr">
        <is>
          <t>[Manual Count]</t>
        </is>
      </c>
      <c r="C37" s="8" t="inlineStr">
        <is>
          <t>High</t>
        </is>
      </c>
    </row>
    <row r="38">
      <c r="A38" t="inlineStr">
        <is>
          <t>Logging Not Enabled</t>
        </is>
      </c>
      <c r="B38" t="inlineStr">
        <is>
          <t>[Manual Count]</t>
        </is>
      </c>
      <c r="C38" s="8" t="inlineStr">
        <is>
          <t>High</t>
        </is>
      </c>
    </row>
    <row r="39">
      <c r="A39" t="inlineStr">
        <is>
          <t>No Backup for Critical Services</t>
        </is>
      </c>
      <c r="B39" t="inlineStr">
        <is>
          <t>[Manual Count]</t>
        </is>
      </c>
      <c r="C39" s="8" t="inlineStr">
        <is>
          <t>High</t>
        </is>
      </c>
    </row>
  </sheetData>
  <mergeCells count="5">
    <mergeCell ref="A13:C13"/>
    <mergeCell ref="A1:G1"/>
    <mergeCell ref="A32:C32"/>
    <mergeCell ref="A3:G3"/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5" customWidth="1" min="4" max="4"/>
    <col width="35" customWidth="1" min="5" max="5"/>
    <col width="35" customWidth="1" min="6" max="6"/>
    <col width="16" customWidth="1" min="7" max="7"/>
    <col width="18" customWidth="1" min="8" max="8"/>
    <col width="14" customWidth="1" min="9" max="9"/>
  </cols>
  <sheetData>
    <row r="1" ht="30" customHeight="1">
      <c r="A1" s="1" t="inlineStr">
        <is>
          <t>EVIDENCE REGISTER - SECURE CONFIGURATION &amp; DEPLOYMENT v1.0</t>
        </is>
      </c>
    </row>
    <row r="3">
      <c r="A3" s="12" t="inlineStr">
        <is>
          <t>Evidence ID</t>
        </is>
      </c>
      <c r="B3" s="12" t="inlineStr">
        <is>
          <t>Cloud Service Name</t>
        </is>
      </c>
      <c r="C3" s="12" t="inlineStr">
        <is>
          <t>Configuration Area</t>
        </is>
      </c>
      <c r="D3" s="12" t="inlineStr">
        <is>
          <t>Evidence Type</t>
        </is>
      </c>
      <c r="E3" s="12" t="inlineStr">
        <is>
          <t>Description</t>
        </is>
      </c>
      <c r="F3" s="12" t="inlineStr">
        <is>
          <t>File Location</t>
        </is>
      </c>
      <c r="G3" s="12" t="inlineStr">
        <is>
          <t>Capture Date</t>
        </is>
      </c>
      <c r="H3" s="12" t="inlineStr">
        <is>
          <t>Captured By</t>
        </is>
      </c>
      <c r="I3" s="12" t="inlineStr">
        <is>
          <t>Status</t>
        </is>
      </c>
    </row>
    <row r="4">
      <c r="A4">
        <f>CONCATENATE("EV-SCD-",TEXT(ROW()-3,"000"))</f>
        <v/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</row>
    <row r="5">
      <c r="A5">
        <f>CONCATENATE("EV-SCD-",TEXT(ROW()-3,"000"))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</row>
    <row r="6">
      <c r="A6">
        <f>CONCATENATE("EV-SCD-",TEXT(ROW()-3,"000"))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  <row r="7">
      <c r="A7">
        <f>CONCATENATE("EV-SCD-",TEXT(ROW()-3,"000"))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</row>
    <row r="8">
      <c r="A8">
        <f>CONCATENATE("EV-SCD-",TEXT(ROW()-3,"000"))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</row>
    <row r="9">
      <c r="A9">
        <f>CONCATENATE("EV-SCD-",TEXT(ROW()-3,"000"))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>
      <c r="A10">
        <f>CONCATENATE("EV-SCD-",TEXT(ROW()-3,"000"))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</row>
    <row r="11">
      <c r="A11">
        <f>CONCATENATE("EV-SCD-",TEXT(ROW()-3,"000"))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</row>
    <row r="12">
      <c r="A12">
        <f>CONCATENATE("EV-SCD-",TEXT(ROW()-3,"000"))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</row>
    <row r="13">
      <c r="A13">
        <f>CONCATENATE("EV-SCD-",TEXT(ROW()-3,"000"))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</row>
    <row r="14">
      <c r="A14">
        <f>CONCATENATE("EV-SCD-",TEXT(ROW()-3,"000"))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</row>
    <row r="15">
      <c r="A15">
        <f>CONCATENATE("EV-SCD-",TEXT(ROW()-3,"000"))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</row>
    <row r="16">
      <c r="A16">
        <f>CONCATENATE("EV-SCD-",TEXT(ROW()-3,"000"))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</row>
    <row r="17">
      <c r="A17">
        <f>CONCATENATE("EV-SCD-",TEXT(ROW()-3,"000"))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</row>
    <row r="18">
      <c r="A18">
        <f>CONCATENATE("EV-SCD-",TEXT(ROW()-3,"000"))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</row>
    <row r="19">
      <c r="A19">
        <f>CONCATENATE("EV-SCD-",TEXT(ROW()-3,"000"))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>
      <c r="A20">
        <f>CONCATENATE("EV-SCD-",TEXT(ROW()-3,"000"))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</row>
    <row r="21">
      <c r="A21">
        <f>CONCATENATE("EV-SCD-",TEXT(ROW()-3,"000"))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</row>
    <row r="22">
      <c r="A22">
        <f>CONCATENATE("EV-SCD-",TEXT(ROW()-3,"000"))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</row>
    <row r="23">
      <c r="A23">
        <f>CONCATENATE("EV-SCD-",TEXT(ROW()-3,"000"))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</row>
    <row r="24">
      <c r="A24">
        <f>CONCATENATE("EV-SCD-",TEXT(ROW()-3,"000"))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</row>
    <row r="25">
      <c r="A25">
        <f>CONCATENATE("EV-SCD-",TEXT(ROW()-3,"000"))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</row>
    <row r="26">
      <c r="A26">
        <f>CONCATENATE("EV-SCD-",TEXT(ROW()-3,"000"))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</row>
    <row r="27">
      <c r="A27">
        <f>CONCATENATE("EV-SCD-",TEXT(ROW()-3,"000"))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</row>
    <row r="28">
      <c r="A28">
        <f>CONCATENATE("EV-SCD-",TEXT(ROW()-3,"000"))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</row>
    <row r="29">
      <c r="A29">
        <f>CONCATENATE("EV-SCD-",TEXT(ROW()-3,"000"))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</row>
    <row r="30">
      <c r="A30">
        <f>CONCATENATE("EV-SCD-",TEXT(ROW()-3,"000"))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</row>
    <row r="31">
      <c r="A31">
        <f>CONCATENATE("EV-SCD-",TEXT(ROW()-3,"000"))</f>
        <v/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</row>
    <row r="32">
      <c r="A32">
        <f>CONCATENATE("EV-SCD-",TEXT(ROW()-3,"000"))</f>
        <v/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</row>
    <row r="33">
      <c r="A33">
        <f>CONCATENATE("EV-SCD-",TEXT(ROW()-3,"000"))</f>
        <v/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</row>
    <row r="34">
      <c r="A34">
        <f>CONCATENATE("EV-SCD-",TEXT(ROW()-3,"000"))</f>
        <v/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</row>
    <row r="35">
      <c r="A35">
        <f>CONCATENATE("EV-SCD-",TEXT(ROW()-3,"000"))</f>
        <v/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</row>
    <row r="36">
      <c r="A36">
        <f>CONCATENATE("EV-SCD-",TEXT(ROW()-3,"000"))</f>
        <v/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</row>
    <row r="37">
      <c r="A37">
        <f>CONCATENATE("EV-SCD-",TEXT(ROW()-3,"000"))</f>
        <v/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</row>
    <row r="38">
      <c r="A38">
        <f>CONCATENATE("EV-SCD-",TEXT(ROW()-3,"000"))</f>
        <v/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</row>
    <row r="39">
      <c r="A39">
        <f>CONCATENATE("EV-SCD-",TEXT(ROW()-3,"000"))</f>
        <v/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</row>
    <row r="40">
      <c r="A40">
        <f>CONCATENATE("EV-SCD-",TEXT(ROW()-3,"000"))</f>
        <v/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</row>
  </sheetData>
  <mergeCells count="1">
    <mergeCell ref="A1:I1"/>
  </mergeCells>
  <dataValidations count="3">
    <dataValidation sqref="C4:C40" showDropDown="0" showInputMessage="0" showErrorMessage="0" allowBlank="0" type="list">
      <formula1>"Configuration Baseline,Access Control,Network Security,Encryption,Deployment,Jurisdictional Risk,DORA Compliance,NIS2 Compliance,AI Act Compliance"</formula1>
    </dataValidation>
    <dataValidation sqref="D4:D40" showDropDown="0" showInputMessage="0" showErrorMessage="0" allowBlank="0" type="list">
      <formula1>"Screenshot,Config Export,Scan Report,Test Result,IaC Template,API Query,DPA with SCCs,Risk Assessment,Conformity Certificate,Legal Review,Vendor Documentation,Other"</formula1>
    </dataValidation>
    <dataValidation sqref="I4:I40" showDropDown="0" showInputMessage="0" showErrorMessage="0" allowBlank="0" type="list">
      <formula1>"Current,Outdated,Pending"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SECURE CONFIGURATION ASSESSMENT v1.0</t>
        </is>
      </c>
    </row>
    <row r="3">
      <c r="A3" s="16" t="inlineStr">
        <is>
          <t>ASSESSMENT SUMMARY</t>
        </is>
      </c>
    </row>
    <row r="4">
      <c r="A4" s="4" t="inlineStr">
        <is>
          <t>Assessment Completed By:</t>
        </is>
      </c>
      <c r="B4" s="5" t="n"/>
    </row>
    <row r="5">
      <c r="A5" s="4" t="inlineStr">
        <is>
          <t>Completion Date:</t>
        </is>
      </c>
      <c r="B5" s="5" t="n"/>
    </row>
    <row r="6">
      <c r="A6" s="4" t="inlineStr">
        <is>
          <t>Total Configurations Assessed:</t>
        </is>
      </c>
      <c r="B6">
        <f>'8. Summary Dashboard'!B9</f>
        <v/>
      </c>
    </row>
    <row r="7">
      <c r="A7" s="4" t="inlineStr">
        <is>
          <t>Overall Compliance %:</t>
        </is>
      </c>
      <c r="B7">
        <f>'8. Summary Dashboard'!G9</f>
        <v/>
      </c>
    </row>
    <row r="8">
      <c r="A8" s="4" t="inlineStr">
        <is>
          <t>Jurisdictional Risks Identified:</t>
        </is>
      </c>
      <c r="B8">
        <f>'8. Summary Dashboard'!B20</f>
        <v/>
      </c>
    </row>
    <row r="9">
      <c r="A9" s="4" t="inlineStr">
        <is>
          <t>DORA Config Non-Compliance:</t>
        </is>
      </c>
      <c r="B9">
        <f>'8. Summary Dashboard'!B27</f>
        <v/>
      </c>
    </row>
    <row r="10">
      <c r="A10" s="4" t="inlineStr">
        <is>
          <t>NIS2 Deployment Non-Compliance:</t>
        </is>
      </c>
      <c r="B10">
        <f>'8. Summary Dashboard'!B28</f>
        <v/>
      </c>
    </row>
    <row r="11">
      <c r="A11" s="4" t="inlineStr">
        <is>
          <t>Critical Gaps Identified:</t>
        </is>
      </c>
      <c r="B11" s="5" t="n"/>
    </row>
    <row r="12">
      <c r="A12" s="4" t="inlineStr">
        <is>
          <t>Remediation Plan Attached:</t>
        </is>
      </c>
      <c r="B12" s="5" t="n"/>
    </row>
    <row r="15">
      <c r="A15" s="16" t="inlineStr">
        <is>
          <t>IT OPERATIONS REVIEW</t>
        </is>
      </c>
    </row>
    <row r="16">
      <c r="A16" s="4" t="inlineStr">
        <is>
          <t>Reviewed By (IT Ops):</t>
        </is>
      </c>
      <c r="B16" s="5" t="n"/>
    </row>
    <row r="17">
      <c r="A17" s="4" t="inlineStr">
        <is>
          <t>Review Date:</t>
        </is>
      </c>
      <c r="B17" s="5" t="n"/>
    </row>
    <row r="18">
      <c r="A18" s="4" t="inlineStr">
        <is>
          <t>Technical Accuracy Status:</t>
        </is>
      </c>
      <c r="B18" s="5" t="n"/>
    </row>
    <row r="19">
      <c r="A19" s="4" t="inlineStr">
        <is>
          <t>IT Ops Comments:</t>
        </is>
      </c>
      <c r="B19" s="5" t="n"/>
    </row>
    <row r="22">
      <c r="A22" s="16" t="inlineStr">
        <is>
          <t>SECURITY TEAM REVIEW</t>
        </is>
      </c>
    </row>
    <row r="23">
      <c r="A23" s="4" t="inlineStr">
        <is>
          <t>Reviewed By (Security):</t>
        </is>
      </c>
      <c r="B23" s="5" t="n"/>
    </row>
    <row r="24">
      <c r="A24" s="4" t="inlineStr">
        <is>
          <t>Review Date:</t>
        </is>
      </c>
      <c r="B24" s="5" t="n"/>
    </row>
    <row r="25">
      <c r="A25" s="4" t="inlineStr">
        <is>
          <t>Security Compliance Status:</t>
        </is>
      </c>
      <c r="B25" s="5" t="n"/>
    </row>
    <row r="26">
      <c r="A26" s="4" t="inlineStr">
        <is>
          <t>Security Comments:</t>
        </is>
      </c>
      <c r="B26" s="5" t="n"/>
    </row>
    <row r="29">
      <c r="A29" s="16" t="inlineStr">
        <is>
          <t>DATA PROTECTION OFFICER REVIEW</t>
        </is>
      </c>
    </row>
    <row r="30">
      <c r="A30" s="4" t="inlineStr">
        <is>
          <t>Reviewed By (DPO):</t>
        </is>
      </c>
      <c r="B30" s="5" t="n"/>
    </row>
    <row r="31">
      <c r="A31" s="4" t="inlineStr">
        <is>
          <t>Review Date:</t>
        </is>
      </c>
      <c r="B31" s="5" t="n"/>
    </row>
    <row r="32">
      <c r="A32" s="4" t="inlineStr">
        <is>
          <t>Data Protection Compliance:</t>
        </is>
      </c>
      <c r="B32" s="5" t="n"/>
    </row>
    <row r="33">
      <c r="A33" s="4" t="inlineStr">
        <is>
          <t>Cross-Border Transfer Status:</t>
        </is>
      </c>
      <c r="B33" s="5" t="n"/>
    </row>
    <row r="34">
      <c r="A34" s="4" t="inlineStr">
        <is>
          <t>DPO Comments:</t>
        </is>
      </c>
      <c r="B34" s="5" t="n"/>
    </row>
    <row r="37">
      <c r="A37" s="16" t="inlineStr">
        <is>
          <t>CISO APPROVAL</t>
        </is>
      </c>
    </row>
    <row r="38">
      <c r="A38" s="4" t="inlineStr">
        <is>
          <t>Approved By (CISO):</t>
        </is>
      </c>
      <c r="B38" s="5" t="n"/>
    </row>
    <row r="39">
      <c r="A39" s="4" t="inlineStr">
        <is>
          <t>Approval Date:</t>
        </is>
      </c>
      <c r="B39" s="5" t="n"/>
    </row>
    <row r="40">
      <c r="A40" s="4" t="inlineStr">
        <is>
          <t>Approval Decision:</t>
        </is>
      </c>
      <c r="B40" s="5" t="n"/>
    </row>
    <row r="41">
      <c r="A41" s="4" t="inlineStr">
        <is>
          <t>Executive Comments:</t>
        </is>
      </c>
      <c r="B41" s="5" t="n"/>
    </row>
    <row r="44">
      <c r="A44" s="16" t="inlineStr">
        <is>
          <t>NEXT REVIEW DETAILS</t>
        </is>
      </c>
    </row>
    <row r="45">
      <c r="A45" s="4" t="inlineStr">
        <is>
          <t>Next Review Date:</t>
        </is>
      </c>
      <c r="B45" s="5" t="n"/>
    </row>
    <row r="46">
      <c r="A46" s="4" t="inlineStr">
        <is>
          <t>Review Responsible:</t>
        </is>
      </c>
      <c r="B46" s="5" t="n"/>
    </row>
    <row r="47">
      <c r="A47" s="4" t="inlineStr">
        <is>
          <t>Special Considerations:</t>
        </is>
      </c>
      <c r="B47" s="5" t="n"/>
    </row>
  </sheetData>
  <mergeCells count="36">
    <mergeCell ref="B40:E40"/>
    <mergeCell ref="B9:E9"/>
    <mergeCell ref="A15:E15"/>
    <mergeCell ref="B6:E6"/>
    <mergeCell ref="B30:E30"/>
    <mergeCell ref="B33:E33"/>
    <mergeCell ref="A1:E1"/>
    <mergeCell ref="B24:E24"/>
    <mergeCell ref="B5:E5"/>
    <mergeCell ref="B32:E32"/>
    <mergeCell ref="B45:E45"/>
    <mergeCell ref="B26:E26"/>
    <mergeCell ref="B41:E41"/>
    <mergeCell ref="B4:E4"/>
    <mergeCell ref="B16:E16"/>
    <mergeCell ref="B7:E7"/>
    <mergeCell ref="B25:E25"/>
    <mergeCell ref="A37:E37"/>
    <mergeCell ref="B47:E47"/>
    <mergeCell ref="B46:E46"/>
    <mergeCell ref="A3:E3"/>
    <mergeCell ref="B31:E31"/>
    <mergeCell ref="B18:E18"/>
    <mergeCell ref="B12:E12"/>
    <mergeCell ref="B39:E39"/>
    <mergeCell ref="B11:E11"/>
    <mergeCell ref="A22:E22"/>
    <mergeCell ref="B17:E17"/>
    <mergeCell ref="B23:E23"/>
    <mergeCell ref="A29:E29"/>
    <mergeCell ref="B8:E8"/>
    <mergeCell ref="B38:E38"/>
    <mergeCell ref="B19:E19"/>
    <mergeCell ref="B34:E34"/>
    <mergeCell ref="A44:E44"/>
    <mergeCell ref="B10:E10"/>
  </mergeCells>
  <dataValidations count="6">
    <dataValidation sqref="B12" showDropDown="0" showInputMessage="0" showErrorMessage="0" allowBlank="0" type="list">
      <formula1>"Yes,No,In Progress"</formula1>
    </dataValidation>
    <dataValidation sqref="B18" showDropDown="0" showInputMessage="0" showErrorMessage="0" allowBlank="0" type="list">
      <formula1>"Verified,Needs Review,Inaccurate"</formula1>
    </dataValidation>
    <dataValidation sqref="B25" showDropDown="0" showInputMessage="0" showErrorMessage="0" allowBlank="0" type="list">
      <formula1>"Compliant,Gaps Identified,Non-Compliant"</formula1>
    </dataValidation>
    <dataValidation sqref="B32" showDropDown="0" showInputMessage="0" showErrorMessage="0" allowBlank="0" type="list">
      <formula1>"Compliant,Partially Compliant,Non-Compliant"</formula1>
    </dataValidation>
    <dataValidation sqref="B33" showDropDown="0" showInputMessage="0" showErrorMessage="0" allowBlank="0" type="list">
      <formula1>"Approved,Approved with SCCs,Requires TIA,Rejected"</formula1>
    </dataValidation>
    <dataValidation sqref="B40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2026-02-02T14:07:39+00:00Z</dcterms:created>
  <dcterms:modified xmlns:dcterms="http://purl.org/dc/terms/" xmlns:xsi="http://www.w3.org/2001/XMLSchema-instance" xsi:type="dcterms:W3CDTF">2026-02-02T14:07:39+00:00Z</dcterms:modified>
</cp:coreProperties>
</file>