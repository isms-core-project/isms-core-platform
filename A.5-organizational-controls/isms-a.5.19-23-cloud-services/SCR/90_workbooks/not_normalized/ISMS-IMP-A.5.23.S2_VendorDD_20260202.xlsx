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2. Security Certifications" sheetId="2" state="visible" r:id="rId2"/>
    <sheet xmlns:r="http://schemas.openxmlformats.org/officeDocument/2006/relationships" name="3. Contract Terms" sheetId="3" state="visible" r:id="rId3"/>
    <sheet xmlns:r="http://schemas.openxmlformats.org/officeDocument/2006/relationships" name="4. SLA Performance" sheetId="4" state="visible" r:id="rId4"/>
    <sheet xmlns:r="http://schemas.openxmlformats.org/officeDocument/2006/relationships" name="5. Data Sovereignty" sheetId="5" state="visible" r:id="rId5"/>
    <sheet xmlns:r="http://schemas.openxmlformats.org/officeDocument/2006/relationships" name="6. Forensics &amp; Audit" sheetId="6" state="visible" r:id="rId6"/>
    <sheet xmlns:r="http://schemas.openxmlformats.org/officeDocument/2006/relationships" name="7. Jurisdictional Risk" sheetId="7" state="visible" r:id="rId7"/>
    <sheet xmlns:r="http://schemas.openxmlformats.org/officeDocument/2006/relationships" name="8. Summary Dashboard" sheetId="8" state="visible" r:id="rId8"/>
    <sheet xmlns:r="http://schemas.openxmlformats.org/officeDocument/2006/relationships" name="9. Evidence Register" sheetId="9" state="visible" r:id="rId9"/>
    <sheet xmlns:r="http://schemas.openxmlformats.org/officeDocument/2006/relationships" name="10. Approval Sign-Of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b val="1"/>
    </font>
    <font>
      <b val="1"/>
      <color rgb="00003366"/>
      <sz val="11"/>
    </font>
    <font>
      <name val="Calibri"/>
      <b val="1"/>
      <sz val="10"/>
    </font>
    <font>
      <i val="1"/>
      <color rgb="00C00000"/>
      <sz val="10"/>
    </font>
    <font>
      <i val="1"/>
      <color rgb="00666666"/>
    </font>
    <font>
      <b val="1"/>
      <color rgb="00FFFFFF"/>
      <sz val="11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7" fillId="0" borderId="0" applyAlignment="1" pivotButton="0" quotePrefix="0" xfId="0">
      <alignment wrapText="1"/>
    </xf>
    <xf numFmtId="0" fontId="8" fillId="4" borderId="1" pivotButton="0" quotePrefix="0" xfId="0"/>
    <xf numFmtId="0" fontId="9" fillId="2" borderId="0" pivotButton="0" quotePrefix="0" xfId="0"/>
    <xf numFmtId="0" fontId="10" fillId="0" borderId="0" pivotButton="0" quotePrefix="0" xfId="0"/>
    <xf numFmtId="0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30" customWidth="1" min="3" max="3"/>
  </cols>
  <sheetData>
    <row r="1" ht="40" customHeight="1">
      <c r="A1" s="1" t="inlineStr">
        <is>
          <t>ISMS-IMP-A.5.23.S2 — Vendor Due Diligence &amp; Contracts</t>
        </is>
      </c>
    </row>
    <row r="2" ht="25" customHeight="1">
      <c r="A2" s="2" t="inlineStr">
        <is>
          <t>ISO/IEC 27001:2022 - Control A.5.23: Information security for use of cloud services</t>
        </is>
      </c>
    </row>
    <row r="4">
      <c r="A4" s="3" t="inlineStr">
        <is>
          <t>DOCUMENT INFORMATION</t>
        </is>
      </c>
    </row>
    <row r="5">
      <c r="A5" s="4" t="inlineStr">
        <is>
          <t>Document ID:</t>
        </is>
      </c>
      <c r="B5" t="inlineStr">
        <is>
          <t>ISMS-IMP-A.5.23.S2</t>
        </is>
      </c>
    </row>
    <row r="6">
      <c r="A6" s="4" t="inlineStr">
        <is>
          <t>Assessment Area:</t>
        </is>
      </c>
      <c r="B6" t="inlineStr">
        <is>
          <t>Vendor Due Diligence &amp; Contracts</t>
        </is>
      </c>
    </row>
    <row r="7">
      <c r="A7" s="4" t="inlineStr">
        <is>
          <t>Related Policy:</t>
        </is>
      </c>
      <c r="B7" t="inlineStr">
        <is>
          <t>ISMS-POL-A.5.19-23-S2, S5</t>
        </is>
      </c>
    </row>
    <row r="8">
      <c r="A8" s="4" t="inlineStr">
        <is>
          <t>Version:</t>
        </is>
      </c>
      <c r="B8" t="inlineStr">
        <is>
          <t>2.0 (with DORA/NIS2/CLOUD Act)</t>
        </is>
      </c>
    </row>
    <row r="9">
      <c r="A9" s="4" t="inlineStr">
        <is>
          <t>Assessment Date:</t>
        </is>
      </c>
      <c r="B9" s="5" t="inlineStr"/>
    </row>
    <row r="10">
      <c r="A10" s="4" t="inlineStr">
        <is>
          <t>Completed By:</t>
        </is>
      </c>
      <c r="B10" s="5" t="inlineStr"/>
    </row>
    <row r="11">
      <c r="A11" s="4" t="inlineStr">
        <is>
          <t>Organization:</t>
        </is>
      </c>
      <c r="B11" s="5" t="inlineStr"/>
    </row>
    <row r="12">
      <c r="A12" s="4" t="inlineStr">
        <is>
          <t>Review Cycle:</t>
        </is>
      </c>
      <c r="B12" t="inlineStr">
        <is>
          <t>Quarterly</t>
        </is>
      </c>
    </row>
    <row r="15">
      <c r="A15" s="6" t="inlineStr">
        <is>
          <t>REGULATORY COMPLIANCE (NEW IN v1.0)</t>
        </is>
      </c>
    </row>
    <row r="16">
      <c r="A16" s="7" t="inlineStr">
        <is>
          <t>This workbook includes updated requirements for:</t>
        </is>
      </c>
    </row>
    <row r="17">
      <c r="A17" s="7" t="inlineStr">
        <is>
          <t>• DORA (Digital Operational Resilience Act) - Art.30 contract clauses</t>
        </is>
      </c>
    </row>
    <row r="18">
      <c r="A18" s="7" t="inlineStr">
        <is>
          <t>• NIS2 (Network and Information Security Directive 2) - Supply chain security</t>
        </is>
      </c>
    </row>
    <row r="19">
      <c r="A19" s="7" t="inlineStr">
        <is>
          <t>• EU AI Act - AI service provider evaluation criteria</t>
        </is>
      </c>
    </row>
    <row r="20">
      <c r="A20" s="7" t="inlineStr">
        <is>
          <t>• US CLOUD Act - Jurisdictional risk assessment (NEW Sheet 7)</t>
        </is>
      </c>
    </row>
    <row r="21">
      <c r="A21" s="7" t="inlineStr"/>
    </row>
    <row r="22">
      <c r="A22" s="7" t="inlineStr">
        <is>
          <t>Sheet 7 (Jurisdictional Risk) helps assess CLOUD Act exposure for US-nexus providers.</t>
        </is>
      </c>
    </row>
    <row r="23">
      <c r="A23" s="7" t="inlineStr">
        <is>
          <t>Contract Terms checklist now includes DORA Art.30 and NIS2 requirements.</t>
        </is>
      </c>
    </row>
    <row r="26">
      <c r="A26" s="3" t="inlineStr">
        <is>
          <t>HOW TO USE THIS WORKBOOK</t>
        </is>
      </c>
    </row>
    <row r="27">
      <c r="A27" s="7" t="inlineStr">
        <is>
          <t>1. Complete each worksheet tab (2–7) for all cloud service vendors</t>
        </is>
      </c>
    </row>
    <row r="28">
      <c r="A28" s="7" t="inlineStr">
        <is>
          <t>2. Use dropdown menus for standardized entries</t>
        </is>
      </c>
    </row>
    <row r="29">
      <c r="A29" s="7" t="inlineStr">
        <is>
          <t>3. Fill in yellow-highlighted cells with vendor-specific information</t>
        </is>
      </c>
    </row>
    <row r="30">
      <c r="A30" s="7" t="inlineStr">
        <is>
          <t>4. Attach evidence: contracts (MSA, DPA, SLA), security certifications, audit reports</t>
        </is>
      </c>
    </row>
    <row r="31">
      <c r="A31" s="7" t="inlineStr">
        <is>
          <t>5. Complete Jurisdictional Risk sheet (7) for all US-nexus providers</t>
        </is>
      </c>
    </row>
    <row r="32">
      <c r="A32" s="7" t="inlineStr">
        <is>
          <t>6. Document SLA performance metrics and track contract renewal dates</t>
        </is>
      </c>
    </row>
    <row r="33">
      <c r="A33" s="7" t="inlineStr">
        <is>
          <t>7. Update vendor security posture assessments annually or upon significant changes</t>
        </is>
      </c>
    </row>
    <row r="34">
      <c r="A34" s="7" t="inlineStr">
        <is>
          <t>8. Summary Dashboard auto-calculates vendor compliance statistics</t>
        </is>
      </c>
    </row>
    <row r="35">
      <c r="A35" s="7" t="inlineStr">
        <is>
          <t>9. Maintain the Evidence Register with all contract documents and certifications</t>
        </is>
      </c>
    </row>
    <row r="36">
      <c r="A36" s="7" t="inlineStr">
        <is>
          <t>10. Obtain final approval and sign-off from Legal, Procurement, and CISO</t>
        </is>
      </c>
    </row>
    <row r="39">
      <c r="A39" s="3" t="inlineStr">
        <is>
          <t>STATUS LEGEND</t>
        </is>
      </c>
    </row>
    <row r="40">
      <c r="A40" s="8" t="inlineStr">
        <is>
          <t>{CHECK} Compliant</t>
        </is>
      </c>
      <c r="B40" t="inlineStr">
        <is>
          <t>Vendor meets all security and contractual requirements</t>
        </is>
      </c>
    </row>
    <row r="41">
      <c r="A41" s="9" t="inlineStr">
        <is>
          <t>{WARNING} Partial</t>
        </is>
      </c>
      <c r="B41" t="inlineStr">
        <is>
          <t>Some requirements met, gaps exist (e.g., cert pending)</t>
        </is>
      </c>
    </row>
    <row r="42">
      <c r="A42" s="10" t="inlineStr">
        <is>
          <t>{XMARK} Non-Compliant</t>
        </is>
      </c>
      <c r="B42" t="inlineStr">
        <is>
          <t>Vendor does not meet minimum requirements</t>
        </is>
      </c>
    </row>
    <row r="43">
      <c r="A43" s="11" t="inlineStr">
        <is>
          <t>N/A</t>
        </is>
      </c>
      <c r="B43" t="inlineStr">
        <is>
          <t>Requirement does not apply to this vendor/service</t>
        </is>
      </c>
    </row>
    <row r="46">
      <c r="A46" s="3" t="inlineStr">
        <is>
          <t>ACCEPTABLE EVIDENCE (EXAMPLES)</t>
        </is>
      </c>
    </row>
    <row r="47">
      <c r="A47" t="inlineStr">
        <is>
          <t>✓ Master Service Agreement (MSA)</t>
        </is>
      </c>
    </row>
    <row r="48">
      <c r="A48" t="inlineStr">
        <is>
          <t>✓ Data Processing Agreement (DPA) / Addendum</t>
        </is>
      </c>
    </row>
    <row r="49">
      <c r="A49" t="inlineStr">
        <is>
          <t>✓ Service Level Agreement (SLA)</t>
        </is>
      </c>
    </row>
    <row r="50">
      <c r="A50" t="inlineStr">
        <is>
          <t>✓ ISO 27001 certificate (current, not expired)</t>
        </is>
      </c>
    </row>
    <row r="51">
      <c r="A51" t="inlineStr">
        <is>
          <t>✓ SOC 2 Type II report (within last 12 months)</t>
        </is>
      </c>
    </row>
    <row r="52">
      <c r="A52" t="inlineStr">
        <is>
          <t>✓ FedRAMP authorization letter</t>
        </is>
      </c>
    </row>
    <row r="53">
      <c r="A53" t="inlineStr">
        <is>
          <t>✓ GDPR/nFADP compliance attestation</t>
        </is>
      </c>
    </row>
    <row r="54">
      <c r="A54" t="inlineStr">
        <is>
          <t>✓ Vendor security questionnaire (completed)</t>
        </is>
      </c>
    </row>
    <row r="55">
      <c r="A55" t="inlineStr">
        <is>
          <t>✓ Penetration test results (if available)</t>
        </is>
      </c>
    </row>
    <row r="56">
      <c r="A56" t="inlineStr">
        <is>
          <t>✓ Incident response plan documentation</t>
        </is>
      </c>
    </row>
    <row r="57">
      <c r="A57" t="inlineStr">
        <is>
          <t>✓ Business continuity/disaster recovery plan</t>
        </is>
      </c>
    </row>
    <row r="58">
      <c r="A58" t="inlineStr">
        <is>
          <t>✓ Insurance certificates (cyber liability)</t>
        </is>
      </c>
    </row>
    <row r="59">
      <c r="A59" t="inlineStr">
        <is>
          <t>✓ Right to audit clause (contract section reference)</t>
        </is>
      </c>
    </row>
    <row r="60">
      <c r="A60" t="inlineStr">
        <is>
          <t>✓ Data sovereignty documentation (data center locations)</t>
        </is>
      </c>
    </row>
    <row r="61">
      <c r="A61" t="inlineStr">
        <is>
          <t>✓ Jurisdictional risk assessment (for US-nexus providers)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2" customWidth="1" min="19" max="19"/>
    <col width="18" customWidth="1" min="20" max="20"/>
    <col width="20" customWidth="1" min="21" max="21"/>
    <col width="18" customWidth="1" min="22" max="22"/>
    <col width="18" customWidth="1" min="23" max="23"/>
    <col width="30" customWidth="1" min="24" max="24"/>
  </cols>
  <sheetData>
    <row r="1" ht="50" customHeight="1">
      <c r="A1" s="1" t="inlineStr">
        <is>
          <t>VENDOR SECURITY CERTIFICATIONS
Policy Requirement: All cloud vendors must maintain ISO 27001 or equivalent security certification (Policy S2 Section 3.1)</t>
        </is>
      </c>
    </row>
    <row r="2" ht="30" customHeight="1">
      <c r="A2" s="2" t="inlineStr">
        <is>
          <t>Assessment Question: Do your cloud service vendors hold current security certifications (ISO 27001, SOC 2, FedRAMP, etc.)?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ISO 27001 Certified</t>
        </is>
      </c>
      <c r="S4" s="12" t="inlineStr">
        <is>
          <t>ISO 27001 Cert Number</t>
        </is>
      </c>
      <c r="T4" s="12" t="inlineStr">
        <is>
          <t>ISO 27001 Expiry Date</t>
        </is>
      </c>
      <c r="U4" s="12" t="inlineStr">
        <is>
          <t>SOC 2 Type II Report</t>
        </is>
      </c>
      <c r="V4" s="12" t="inlineStr">
        <is>
          <t>SOC 2 Report Date</t>
        </is>
      </c>
      <c r="W4" s="12" t="inlineStr">
        <is>
          <t>FedRAMP Authorized</t>
        </is>
      </c>
      <c r="X4" s="12" t="inlineStr">
        <is>
          <t>Other Certifications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All critical/high services have ISO 27001 or SOC 2 Type II</t>
        </is>
      </c>
      <c r="C29" s="5" t="inlineStr"/>
      <c r="D29" t="inlineStr">
        <is>
          <t>Certification register</t>
        </is>
      </c>
    </row>
    <row r="30">
      <c r="A30" t="inlineStr">
        <is>
          <t>☐</t>
        </is>
      </c>
      <c r="B30" t="inlineStr">
        <is>
          <t>Certificates verified as current (not expired)</t>
        </is>
      </c>
      <c r="C30" s="5" t="inlineStr"/>
      <c r="D30" t="inlineStr">
        <is>
          <t>Certificate expiry tracking</t>
        </is>
      </c>
    </row>
    <row r="31">
      <c r="A31" t="inlineStr">
        <is>
          <t>☐</t>
        </is>
      </c>
      <c r="B31" t="inlineStr">
        <is>
          <t>SOC 2 reports obtained within last 12 months</t>
        </is>
      </c>
      <c r="C31" s="5" t="inlineStr"/>
      <c r="D31" t="inlineStr">
        <is>
          <t>Vendor portal, NDA required</t>
        </is>
      </c>
    </row>
    <row r="32">
      <c r="A32" t="inlineStr">
        <is>
          <t>☐</t>
        </is>
      </c>
      <c r="B32" t="inlineStr">
        <is>
          <t>Certificate scope covers services in use</t>
        </is>
      </c>
      <c r="C32" s="5" t="inlineStr"/>
      <c r="D32" t="inlineStr">
        <is>
          <t>Certificate scope statement</t>
        </is>
      </c>
    </row>
    <row r="33">
      <c r="A33" t="inlineStr">
        <is>
          <t>☐</t>
        </is>
      </c>
      <c r="B33" t="inlineStr">
        <is>
          <t>Certificate issuing body is accredited (e.g., UKAS, ANAB)</t>
        </is>
      </c>
      <c r="C33" s="5" t="inlineStr"/>
      <c r="D33" t="inlineStr">
        <is>
          <t>Issuer verification</t>
        </is>
      </c>
    </row>
    <row r="34">
      <c r="A34" t="inlineStr">
        <is>
          <t>☐</t>
        </is>
      </c>
      <c r="B34" t="inlineStr">
        <is>
          <t>FedRAMP authorization verified for US government workloads</t>
        </is>
      </c>
      <c r="C34" s="5" t="inlineStr"/>
      <c r="D34" t="inlineStr">
        <is>
          <t>FedRAMP marketplace</t>
        </is>
      </c>
    </row>
    <row r="35">
      <c r="A35" t="inlineStr">
        <is>
          <t>☐</t>
        </is>
      </c>
      <c r="B35" t="inlineStr">
        <is>
          <t>Industry-specific certs documented (PCI-DSS, HIPAA, etc.)</t>
        </is>
      </c>
      <c r="C35" s="5" t="inlineStr"/>
      <c r="D35" t="inlineStr">
        <is>
          <t>Compliance attestations</t>
        </is>
      </c>
    </row>
    <row r="36">
      <c r="A36" t="inlineStr">
        <is>
          <t>☐</t>
        </is>
      </c>
      <c r="B36" t="inlineStr">
        <is>
          <t>Certificate renewal dates tracked in contract management system</t>
        </is>
      </c>
      <c r="C36" s="5" t="inlineStr"/>
      <c r="D36" t="inlineStr">
        <is>
          <t>CMS reports</t>
        </is>
      </c>
    </row>
  </sheetData>
  <mergeCells count="3">
    <mergeCell ref="A2:X2"/>
    <mergeCell ref="A27:D27"/>
    <mergeCell ref="A1:X1"/>
  </mergeCells>
  <dataValidations count="10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(Current),Yes (Expired),No,Unknown"</formula1>
    </dataValidation>
    <dataValidation sqref="U5:U24" showDropDown="0" showInputMessage="0" showErrorMessage="0" allowBlank="0" type="list">
      <formula1>"Yes (&lt; 6 months),Yes (6-12 months),No,Unknown"</formula1>
    </dataValidation>
    <dataValidation sqref="W5:W24" showDropDown="0" showInputMessage="0" showErrorMessage="0" allowBlank="0" type="list">
      <formula1>"Yes (High),Yes (Moderate),Yes (Low),No,N/A"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20" customWidth="1" min="20" max="20"/>
    <col width="18" customWidth="1" min="21" max="21"/>
    <col width="20" customWidth="1" min="22" max="22"/>
    <col width="20" customWidth="1" min="23" max="23"/>
    <col width="18" customWidth="1" min="24" max="24"/>
    <col width="20" customWidth="1" min="25" max="25"/>
    <col width="20" customWidth="1" min="26" max="26"/>
  </cols>
  <sheetData>
    <row r="1" ht="50" customHeight="1">
      <c r="A1" s="1" t="inlineStr">
        <is>
          <t>CONTRACT TERMS ANALYSIS (incl. DORA/NIS2)
Policy Requirement: All cloud service contracts must include security clauses, data protection terms, and termination rights (Policy S2 Section 3.2)</t>
        </is>
      </c>
    </row>
    <row r="2" ht="30" customHeight="1">
      <c r="A2" s="2" t="inlineStr">
        <is>
          <t>Assessment Question: Have all cloud service contracts been reviewed for security, data protection, and regulatory clauses (DORA Art.30, NIS2)?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Data Protection Clause</t>
        </is>
      </c>
      <c r="S4" s="12" t="inlineStr">
        <is>
          <t>Subprocessor Disclosure</t>
        </is>
      </c>
      <c r="T4" s="12" t="inlineStr">
        <is>
          <t>Liability Cap (CHF)</t>
        </is>
      </c>
      <c r="U4" s="12" t="inlineStr">
        <is>
          <t>Indemnification Clause</t>
        </is>
      </c>
      <c r="V4" s="12" t="inlineStr">
        <is>
          <t>Termination Notice Period</t>
        </is>
      </c>
      <c r="W4" s="12" t="inlineStr">
        <is>
          <t>Data Return on Termination</t>
        </is>
      </c>
      <c r="X4" s="12" t="inlineStr">
        <is>
          <t>Auto-Renewal Clause</t>
        </is>
      </c>
      <c r="Y4" s="12" t="inlineStr">
        <is>
          <t>DORA Art.30 Compliance</t>
        </is>
      </c>
      <c r="Z4" s="12" t="inlineStr">
        <is>
          <t>NIS2 Supply Chain Clause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  <c r="Y5" s="13" t="inlineStr"/>
      <c r="Z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  <c r="Y6" s="13" t="inlineStr"/>
      <c r="Z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  <c r="Y7" s="13" t="inlineStr"/>
      <c r="Z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  <c r="Y8" s="13" t="inlineStr"/>
      <c r="Z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  <c r="Y9" s="13" t="inlineStr"/>
      <c r="Z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  <c r="Y10" s="13" t="inlineStr"/>
      <c r="Z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  <c r="Y11" s="13" t="inlineStr"/>
      <c r="Z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  <c r="Y12" s="13" t="inlineStr"/>
      <c r="Z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  <c r="Y13" s="13" t="inlineStr"/>
      <c r="Z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  <c r="Y14" s="13" t="inlineStr"/>
      <c r="Z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  <c r="Y15" s="13" t="inlineStr"/>
      <c r="Z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  <c r="Y16" s="13" t="inlineStr"/>
      <c r="Z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  <c r="Y17" s="13" t="inlineStr"/>
      <c r="Z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  <c r="Y18" s="13" t="inlineStr"/>
      <c r="Z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  <c r="Y19" s="13" t="inlineStr"/>
      <c r="Z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  <c r="Y20" s="13" t="inlineStr"/>
      <c r="Z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  <c r="Y21" s="13" t="inlineStr"/>
      <c r="Z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  <c r="Y22" s="13" t="inlineStr"/>
      <c r="Z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  <c r="Y23" s="13" t="inlineStr"/>
      <c r="Z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  <c r="Y24" s="13" t="inlineStr"/>
      <c r="Z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Data protection clause references GDPR/nFADP</t>
        </is>
      </c>
      <c r="C29" s="5" t="inlineStr"/>
      <c r="D29" t="inlineStr">
        <is>
          <t>Contract review</t>
        </is>
      </c>
    </row>
    <row r="30">
      <c r="A30" t="inlineStr">
        <is>
          <t>☐</t>
        </is>
      </c>
      <c r="B30" t="inlineStr">
        <is>
          <t>Subprocessor list reviewed by Legal</t>
        </is>
      </c>
      <c r="C30" s="5" t="inlineStr"/>
      <c r="D30" t="inlineStr">
        <is>
          <t>Legal sign-of</t>
        </is>
      </c>
    </row>
    <row r="31">
      <c r="A31" t="inlineStr">
        <is>
          <t>☐</t>
        </is>
      </c>
      <c r="B31" t="inlineStr">
        <is>
          <t>Liability cap reasonable for service criticality</t>
        </is>
      </c>
      <c r="C31" s="5" t="inlineStr"/>
      <c r="D31" t="inlineStr">
        <is>
          <t>Risk assessment</t>
        </is>
      </c>
    </row>
    <row r="32">
      <c r="A32" t="inlineStr">
        <is>
          <t>☐</t>
        </is>
      </c>
      <c r="B32" t="inlineStr">
        <is>
          <t>Termination notice ≤90 days for non-critical services</t>
        </is>
      </c>
      <c r="C32" s="5" t="inlineStr"/>
      <c r="D32" t="inlineStr">
        <is>
          <t>Contract terms</t>
        </is>
      </c>
    </row>
    <row r="33">
      <c r="A33" t="inlineStr">
        <is>
          <t>☐</t>
        </is>
      </c>
      <c r="B33" t="inlineStr">
        <is>
          <t>Data return process documented with timeline</t>
        </is>
      </c>
      <c r="C33" s="5" t="inlineStr"/>
      <c r="D33" t="inlineStr">
        <is>
          <t>Exit annex</t>
        </is>
      </c>
    </row>
    <row r="34">
      <c r="A34" t="inlineStr">
        <is>
          <t>☐</t>
        </is>
      </c>
      <c r="B34" t="inlineStr">
        <is>
          <t>Insurance requirements verified (cyber liability)</t>
        </is>
      </c>
      <c r="C34" s="5" t="inlineStr"/>
      <c r="D34" t="inlineStr">
        <is>
          <t>Insurance cert</t>
        </is>
      </c>
    </row>
    <row r="35">
      <c r="A35" t="inlineStr">
        <is>
          <t>☐</t>
        </is>
      </c>
      <c r="B35" t="inlineStr">
        <is>
          <t>Governing law and jurisdiction acceptable</t>
        </is>
      </c>
      <c r="C35" s="5" t="inlineStr"/>
      <c r="D35" t="inlineStr">
        <is>
          <t>Legal review</t>
        </is>
      </c>
    </row>
    <row r="36">
      <c r="A36" t="inlineStr">
        <is>
          <t>☐</t>
        </is>
      </c>
      <c r="B36" t="inlineStr">
        <is>
          <t>DORA Art.30(2)(a): Clear service descriptions</t>
        </is>
      </c>
      <c r="C36" s="5" t="inlineStr"/>
      <c r="D36" t="inlineStr">
        <is>
          <t>Contract clause</t>
        </is>
      </c>
    </row>
    <row r="37">
      <c r="A37" t="inlineStr">
        <is>
          <t>☐</t>
        </is>
      </c>
      <c r="B37" t="inlineStr">
        <is>
          <t>DORA Art.30(2)(b): Data processing locations specified</t>
        </is>
      </c>
      <c r="C37" s="5" t="inlineStr"/>
      <c r="D37" t="inlineStr">
        <is>
          <t>DPA/Contract</t>
        </is>
      </c>
    </row>
    <row r="38">
      <c r="A38" t="inlineStr">
        <is>
          <t>☐</t>
        </is>
      </c>
      <c r="B38" t="inlineStr">
        <is>
          <t>DORA Art.30(2)(c): Subcontracting conditions defined</t>
        </is>
      </c>
      <c r="C38" s="5" t="inlineStr"/>
      <c r="D38" t="inlineStr">
        <is>
          <t>Subprocessor annex</t>
        </is>
      </c>
    </row>
    <row r="39">
      <c r="A39" t="inlineStr">
        <is>
          <t>☐</t>
        </is>
      </c>
      <c r="B39" t="inlineStr">
        <is>
          <t>DORA Art.30(2)(d): Full access and audit rights</t>
        </is>
      </c>
      <c r="C39" s="5" t="inlineStr"/>
      <c r="D39" t="inlineStr">
        <is>
          <t>Audit clause</t>
        </is>
      </c>
    </row>
    <row r="40">
      <c r="A40" t="inlineStr">
        <is>
          <t>☐</t>
        </is>
      </c>
      <c r="B40" t="inlineStr">
        <is>
          <t>DORA Art.30(2)(e): Cooperation with regulators</t>
        </is>
      </c>
      <c r="C40" s="5" t="inlineStr"/>
      <c r="D40" t="inlineStr">
        <is>
          <t>Regulatory clause</t>
        </is>
      </c>
    </row>
    <row r="41">
      <c r="A41" t="inlineStr">
        <is>
          <t>☐</t>
        </is>
      </c>
      <c r="B41" t="inlineStr">
        <is>
          <t>DORA Art.30(3): Exit strategy provisions</t>
        </is>
      </c>
      <c r="C41" s="5" t="inlineStr"/>
      <c r="D41" t="inlineStr">
        <is>
          <t>Exit annex</t>
        </is>
      </c>
    </row>
    <row r="42">
      <c r="A42" t="inlineStr">
        <is>
          <t>☐</t>
        </is>
      </c>
      <c r="B42" t="inlineStr">
        <is>
          <t>DORA Art.30(3): Termination rights defined</t>
        </is>
      </c>
      <c r="C42" s="5" t="inlineStr"/>
      <c r="D42" t="inlineStr">
        <is>
          <t>Termination clause</t>
        </is>
      </c>
    </row>
    <row r="43">
      <c r="A43" t="inlineStr">
        <is>
          <t>☐</t>
        </is>
      </c>
      <c r="B43" t="inlineStr">
        <is>
          <t>NIS2 Art.21: Supply chain security requirements</t>
        </is>
      </c>
      <c r="C43" s="5" t="inlineStr"/>
      <c r="D43" t="inlineStr">
        <is>
          <t>Security annex</t>
        </is>
      </c>
    </row>
    <row r="44">
      <c r="A44" t="inlineStr">
        <is>
          <t>☐</t>
        </is>
      </c>
      <c r="B44" t="inlineStr">
        <is>
          <t>NIS2: Incident notification ≤24h to customer</t>
        </is>
      </c>
      <c r="C44" s="5" t="inlineStr"/>
      <c r="D44" t="inlineStr">
        <is>
          <t>Incident clause</t>
        </is>
      </c>
    </row>
    <row r="45">
      <c r="A45" t="inlineStr">
        <is>
          <t>☐</t>
        </is>
      </c>
      <c r="B45" t="inlineStr">
        <is>
          <t>NIS2: Vulnerability handling process defined</t>
        </is>
      </c>
      <c r="C45" s="5" t="inlineStr"/>
      <c r="D45" t="inlineStr">
        <is>
          <t>Security annex</t>
        </is>
      </c>
    </row>
  </sheetData>
  <mergeCells count="3">
    <mergeCell ref="A1:Z1"/>
    <mergeCell ref="A27:D27"/>
    <mergeCell ref="A2:Z2"/>
  </mergeCells>
  <dataValidations count="15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(Adequate),Yes (Weak),No,Under Negotiation"</formula1>
    </dataValidation>
    <dataValidation sqref="S5:S24" showDropDown="0" showInputMessage="0" showErrorMessage="0" allowBlank="0" type="list">
      <formula1>"Yes (List Provided),Yes (Generic),No"</formula1>
    </dataValidation>
    <dataValidation sqref="U5:U24" showDropDown="0" showInputMessage="0" showErrorMessage="0" allowBlank="0" type="list">
      <formula1>"Yes (Favorable),Yes (Limited),No"</formula1>
    </dataValidation>
    <dataValidation sqref="V5:V24" showDropDown="0" showInputMessage="0" showErrorMessage="0" allowBlank="0" type="list">
      <formula1>"≤30 days,31-60 days,61-90 days,&gt;90 days"</formula1>
    </dataValidation>
    <dataValidation sqref="W5:W24" showDropDown="0" showInputMessage="0" showErrorMessage="0" allowBlank="0" type="list">
      <formula1>"Yes (30 days),Yes (60 days),Yes (90 days),No"</formula1>
    </dataValidation>
    <dataValidation sqref="X5:X24" showDropDown="0" showInputMessage="0" showErrorMessage="0" allowBlank="0" type="list">
      <formula1>"Yes (Opt-Out),Yes (Opt-In),No"</formula1>
    </dataValidation>
    <dataValidation sqref="Y5:Y24" showDropDown="0" showInputMessage="0" showErrorMessage="0" allowBlank="0" type="list">
      <formula1>"Yes (Full),Yes (Partial),No,N/A (Not in scope)"</formula1>
    </dataValidation>
    <dataValidation sqref="Z5:Z24" showDropDown="0" showInputMessage="0" showErrorMessage="0" allowBlank="0" type="list">
      <formula1>"Yes,No,N/A"</formula1>
    </dataValidation>
    <dataValidation sqref="C29 C30 C31 C32 C33 C34 C35 C36 C37 C38 C39 C40 C41 C42 C43 C44 C45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18" customWidth="1" min="18" max="18"/>
    <col width="20" customWidth="1" min="19" max="19"/>
    <col width="18" customWidth="1" min="20" max="20"/>
    <col width="22" customWidth="1" min="21" max="21"/>
    <col width="16" customWidth="1" min="22" max="22"/>
    <col width="18" customWidth="1" min="23" max="23"/>
    <col width="18" customWidth="1" min="24" max="24"/>
  </cols>
  <sheetData>
    <row r="1" ht="50" customHeight="1">
      <c r="A1" s="1" t="inlineStr">
        <is>
          <t>SLA REQUIREMENTS &amp; PERFORMANCE TRACKING
Policy Requirement: SLAs must define availability, support response times, and performance penalties (Policy S2 Section 3.3)</t>
        </is>
      </c>
    </row>
    <row r="2" ht="30" customHeight="1">
      <c r="A2" s="2" t="inlineStr">
        <is>
          <t>Assessment Question: Do all cloud services have documented SLAs with performance commitments?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SLA Availability %</t>
        </is>
      </c>
      <c r="S4" s="12" t="inlineStr">
        <is>
          <t>Actual Availability Q4</t>
        </is>
      </c>
      <c r="T4" s="12" t="inlineStr">
        <is>
          <t>SLA Credits Claimed</t>
        </is>
      </c>
      <c r="U4" s="12" t="inlineStr">
        <is>
          <t>Support Response Time</t>
        </is>
      </c>
      <c r="V4" s="12" t="inlineStr">
        <is>
          <t>Incident Count Q4</t>
        </is>
      </c>
      <c r="W4" s="12" t="inlineStr">
        <is>
          <t>Mean Time to Resolve</t>
        </is>
      </c>
      <c r="X4" s="12" t="inlineStr">
        <is>
          <t>SLA Review Date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SLA availability target documented (e.g., 99.9%)</t>
        </is>
      </c>
      <c r="C29" s="5" t="inlineStr"/>
      <c r="D29" t="inlineStr">
        <is>
          <t>SLA document</t>
        </is>
      </c>
    </row>
    <row r="30">
      <c r="A30" t="inlineStr">
        <is>
          <t>☐</t>
        </is>
      </c>
      <c r="B30" t="inlineStr">
        <is>
          <t>SLA credits/penalties defined for breaches</t>
        </is>
      </c>
      <c r="C30" s="5" t="inlineStr"/>
      <c r="D30" t="inlineStr">
        <is>
          <t>SLA terms</t>
        </is>
      </c>
    </row>
    <row r="31">
      <c r="A31" t="inlineStr">
        <is>
          <t>☐</t>
        </is>
      </c>
      <c r="B31" t="inlineStr">
        <is>
          <t>Support response times defined by severity</t>
        </is>
      </c>
      <c r="C31" s="5" t="inlineStr"/>
      <c r="D31" t="inlineStr">
        <is>
          <t>Support matrix</t>
        </is>
      </c>
    </row>
    <row r="32">
      <c r="A32" t="inlineStr">
        <is>
          <t>☐</t>
        </is>
      </c>
      <c r="B32" t="inlineStr">
        <is>
          <t>Incident escalation path documented</t>
        </is>
      </c>
      <c r="C32" s="5" t="inlineStr"/>
      <c r="D32" t="inlineStr">
        <is>
          <t>Support procedures</t>
        </is>
      </c>
    </row>
    <row r="33">
      <c r="A33" t="inlineStr">
        <is>
          <t>☐</t>
        </is>
      </c>
      <c r="B33" t="inlineStr">
        <is>
          <t>Planned maintenance notification requirements</t>
        </is>
      </c>
      <c r="C33" s="5" t="inlineStr"/>
      <c r="D33" t="inlineStr">
        <is>
          <t>SLA terms</t>
        </is>
      </c>
    </row>
    <row r="34">
      <c r="A34" t="inlineStr">
        <is>
          <t>☐</t>
        </is>
      </c>
      <c r="B34" t="inlineStr">
        <is>
          <t>Performance metrics reporting frequency defined</t>
        </is>
      </c>
      <c r="C34" s="5" t="inlineStr"/>
      <c r="D34" t="inlineStr">
        <is>
          <t>SLA reporting</t>
        </is>
      </c>
    </row>
    <row r="35">
      <c r="A35" t="inlineStr">
        <is>
          <t>☐</t>
        </is>
      </c>
      <c r="B35" t="inlineStr">
        <is>
          <t>SLA review cadence established (quarterly/annual)</t>
        </is>
      </c>
      <c r="C35" s="5" t="inlineStr"/>
      <c r="D35" t="inlineStr">
        <is>
          <t>Contract terms</t>
        </is>
      </c>
    </row>
    <row r="36">
      <c r="A36" t="inlineStr">
        <is>
          <t>☐</t>
        </is>
      </c>
      <c r="B36" t="inlineStr">
        <is>
          <t>Historical SLA performance reviewed</t>
        </is>
      </c>
      <c r="C36" s="5" t="inlineStr"/>
      <c r="D36" t="inlineStr">
        <is>
          <t>Vendor reports</t>
        </is>
      </c>
    </row>
  </sheetData>
  <mergeCells count="3">
    <mergeCell ref="A2:X2"/>
    <mergeCell ref="A27:D27"/>
    <mergeCell ref="A1:X1"/>
  </mergeCells>
  <dataValidations count="7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2" customWidth="1" min="18" max="18"/>
    <col width="20" customWidth="1" min="19" max="19"/>
    <col width="22" customWidth="1" min="20" max="20"/>
    <col width="22" customWidth="1" min="21" max="21"/>
    <col width="18" customWidth="1" min="22" max="22"/>
    <col width="20" customWidth="1" min="23" max="23"/>
    <col width="30" customWidth="1" min="24" max="24"/>
  </cols>
  <sheetData>
    <row r="1" ht="50" customHeight="1">
      <c r="A1" s="1" t="inlineStr">
        <is>
          <t>DATA SOVEREIGNTY &amp; COMPLIANCE
Policy Requirement: Vendor data processing locations must comply with organizational data residency requirements (Policy S2 Section 3.4)</t>
        </is>
      </c>
    </row>
    <row r="2" ht="30" customHeight="1">
      <c r="A2" s="2" t="inlineStr">
        <is>
          <t>Assessment Question: Do vendors comply with data sovereignty and regulatory requirements for your data?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Data Processing Region</t>
        </is>
      </c>
      <c r="S4" s="12" t="inlineStr">
        <is>
          <t>Data Residency Verified</t>
        </is>
      </c>
      <c r="T4" s="12" t="inlineStr">
        <is>
          <t>Standard Contractual Clauses</t>
        </is>
      </c>
      <c r="U4" s="12" t="inlineStr">
        <is>
          <t>Data Transfer Mechanism</t>
        </is>
      </c>
      <c r="V4" s="12" t="inlineStr">
        <is>
          <t>GDPR Compliance</t>
        </is>
      </c>
      <c r="W4" s="12" t="inlineStr">
        <is>
          <t>Swiss nFADP Compliance</t>
        </is>
      </c>
      <c r="X4" s="12" t="inlineStr">
        <is>
          <t>Regulatory Framework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Data processing locations documented</t>
        </is>
      </c>
      <c r="C29" s="5" t="inlineStr"/>
      <c r="D29" t="inlineStr">
        <is>
          <t>DPA, vendor docs</t>
        </is>
      </c>
    </row>
    <row r="30">
      <c r="A30" t="inlineStr">
        <is>
          <t>☐</t>
        </is>
      </c>
      <c r="B30" t="inlineStr">
        <is>
          <t>Data residency meets regulatory requirements</t>
        </is>
      </c>
      <c r="C30" s="5" t="inlineStr"/>
      <c r="D30" t="inlineStr">
        <is>
          <t>Compliance review</t>
        </is>
      </c>
    </row>
    <row r="31">
      <c r="A31" t="inlineStr">
        <is>
          <t>☐</t>
        </is>
      </c>
      <c r="B31" t="inlineStr">
        <is>
          <t>Standard Contractual Clauses (SCCs) in place</t>
        </is>
      </c>
      <c r="C31" s="5" t="inlineStr"/>
      <c r="D31" t="inlineStr">
        <is>
          <t>DPA annex</t>
        </is>
      </c>
    </row>
    <row r="32">
      <c r="A32" t="inlineStr">
        <is>
          <t>☐</t>
        </is>
      </c>
      <c r="B32" t="inlineStr">
        <is>
          <t>Transfer Impact Assessment completed</t>
        </is>
      </c>
      <c r="C32" s="5" t="inlineStr"/>
      <c r="D32" t="inlineStr">
        <is>
          <t>TIA document</t>
        </is>
      </c>
    </row>
    <row r="33">
      <c r="A33" t="inlineStr">
        <is>
          <t>☐</t>
        </is>
      </c>
      <c r="B33" t="inlineStr">
        <is>
          <t>GDPR compliance verified</t>
        </is>
      </c>
      <c r="C33" s="5" t="inlineStr"/>
      <c r="D33" t="inlineStr">
        <is>
          <t>Compliance attestation</t>
        </is>
      </c>
    </row>
    <row r="34">
      <c r="A34" t="inlineStr">
        <is>
          <t>☐</t>
        </is>
      </c>
      <c r="B34" t="inlineStr">
        <is>
          <t>Swiss nFADP compliance verified</t>
        </is>
      </c>
      <c r="C34" s="5" t="inlineStr"/>
      <c r="D34" t="inlineStr">
        <is>
          <t>Compliance attestation</t>
        </is>
      </c>
    </row>
    <row r="35">
      <c r="A35" t="inlineStr">
        <is>
          <t>☐</t>
        </is>
      </c>
      <c r="B35" t="inlineStr">
        <is>
          <t>Restricted data not processed outside approved regions</t>
        </is>
      </c>
      <c r="C35" s="5" t="inlineStr"/>
      <c r="D35" t="inlineStr">
        <is>
          <t>Data mapping</t>
        </is>
      </c>
    </row>
    <row r="36">
      <c r="A36" t="inlineStr">
        <is>
          <t>☐</t>
        </is>
      </c>
      <c r="B36" t="inlineStr">
        <is>
          <t>Sub-processor locations reviewed and approved</t>
        </is>
      </c>
      <c r="C36" s="5" t="inlineStr"/>
      <c r="D36" t="inlineStr">
        <is>
          <t>Sub-processor list</t>
        </is>
      </c>
    </row>
  </sheetData>
  <mergeCells count="3">
    <mergeCell ref="A2:X2"/>
    <mergeCell ref="A27:D27"/>
    <mergeCell ref="A1:X1"/>
  </mergeCells>
  <dataValidations count="12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"Switzerland,EU/EEA,USA,Asia-Pacific,Global,Unknown"</formula1>
    </dataValidation>
    <dataValidation sqref="S5:S24" showDropDown="0" showInputMessage="0" showErrorMessage="0" allowBlank="0" type="list">
      <formula1>"Yes (Contractual),Yes (Technical),No,Unknown"</formula1>
    </dataValidation>
    <dataValidation sqref="T5:T24" showDropDown="0" showInputMessage="0" showErrorMessage="0" allowBlank="0" type="list">
      <formula1>"Yes (EU SCC),Yes (Swiss SCC),Yes (Other),No,N/A"</formula1>
    </dataValidation>
    <dataValidation sqref="U5:U24" showDropDown="0" showInputMessage="0" showErrorMessage="0" allowBlank="0" type="list">
      <formula1>"Adequacy Decision,SCC,BCR,Derogations,None"</formula1>
    </dataValidation>
    <dataValidation sqref="V5:V24 W5:W24" showDropDown="0" showInputMessage="0" showErrorMessage="0" allowBlank="0" type="list">
      <formula1>"Yes (Certified),Yes (Self-Assessed),No,N/A"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20" customWidth="1" min="4" max="4"/>
    <col width="22" customWidth="1" min="5" max="5"/>
    <col width="22" customWidth="1" min="6" max="6"/>
    <col width="18" customWidth="1" min="7" max="7"/>
    <col width="15" customWidth="1" min="8" max="8"/>
    <col width="30" customWidth="1" min="9" max="9"/>
    <col width="35" customWidth="1" min="10" max="10"/>
    <col width="16" customWidth="1" min="11" max="11"/>
    <col width="14" customWidth="1" min="12" max="12"/>
    <col width="14" customWidth="1" min="13" max="13"/>
    <col width="35" customWidth="1" min="14" max="14"/>
    <col width="25" customWidth="1" min="15" max="15"/>
    <col width="18" customWidth="1" min="16" max="16"/>
    <col width="22" customWidth="1" min="17" max="17"/>
    <col width="20" customWidth="1" min="18" max="18"/>
    <col width="20" customWidth="1" min="19" max="19"/>
    <col width="18" customWidth="1" min="20" max="20"/>
    <col width="18" customWidth="1" min="21" max="21"/>
    <col width="22" customWidth="1" min="22" max="22"/>
    <col width="20" customWidth="1" min="23" max="23"/>
    <col width="18" customWidth="1" min="24" max="24"/>
  </cols>
  <sheetData>
    <row r="1" ht="50" customHeight="1">
      <c r="A1" s="1" t="inlineStr">
        <is>
          <t>FORENSICS, AUDIT RIGHTS &amp; INCIDENT RESPONSE
Policy Requirement: Vendors must support forensic investigations and grant audit rights (Policy S2 Section 3.5)</t>
        </is>
      </c>
    </row>
    <row r="2" ht="30" customHeight="1">
      <c r="A2" s="2" t="inlineStr">
        <is>
          <t>Assessment Question: Do vendors provide forensic capabilities, audit rights, and incident response support?</t>
        </is>
      </c>
    </row>
    <row r="4">
      <c r="A4" s="12" t="inlineStr">
        <is>
          <t>Cloud Service Name</t>
        </is>
      </c>
      <c r="B4" s="12" t="inlineStr">
        <is>
          <t>Vendor Name</t>
        </is>
      </c>
      <c r="C4" s="12" t="inlineStr">
        <is>
          <t>Service Type</t>
        </is>
      </c>
      <c r="D4" s="12" t="inlineStr">
        <is>
          <t>Service Criticality</t>
        </is>
      </c>
      <c r="E4" s="12" t="inlineStr">
        <is>
          <t>Data Classification</t>
        </is>
      </c>
      <c r="F4" s="12" t="inlineStr">
        <is>
          <t>Contract Type</t>
        </is>
      </c>
      <c r="G4" s="12" t="inlineStr">
        <is>
          <t>Contract Start Date</t>
        </is>
      </c>
      <c r="H4" s="12" t="inlineStr">
        <is>
          <t>Status</t>
        </is>
      </c>
      <c r="I4" s="12" t="inlineStr">
        <is>
          <t>Evidence Location</t>
        </is>
      </c>
      <c r="J4" s="12" t="inlineStr">
        <is>
          <t>Gap Description</t>
        </is>
      </c>
      <c r="K4" s="12" t="inlineStr">
        <is>
          <t>Remediation Needed</t>
        </is>
      </c>
      <c r="L4" s="12" t="inlineStr">
        <is>
          <t>Exception ID</t>
        </is>
      </c>
      <c r="M4" s="12" t="inlineStr">
        <is>
          <t>Risk ID</t>
        </is>
      </c>
      <c r="N4" s="12" t="inlineStr">
        <is>
          <t>Compensating Controls</t>
        </is>
      </c>
      <c r="O4" s="12" t="inlineStr">
        <is>
          <t>Vendor Contact (Legal)</t>
        </is>
      </c>
      <c r="P4" s="12" t="inlineStr">
        <is>
          <t>Target Remediation Date</t>
        </is>
      </c>
      <c r="Q4" s="12" t="inlineStr">
        <is>
          <t>Contract Owner</t>
        </is>
      </c>
      <c r="R4" s="12" t="inlineStr">
        <is>
          <t>Forensics Support</t>
        </is>
      </c>
      <c r="S4" s="12" t="inlineStr">
        <is>
          <t>Forensics SLA</t>
        </is>
      </c>
      <c r="T4" s="12" t="inlineStr">
        <is>
          <t>Right to Audit</t>
        </is>
      </c>
      <c r="U4" s="12" t="inlineStr">
        <is>
          <t>Audit Notice Period</t>
        </is>
      </c>
      <c r="V4" s="12" t="inlineStr">
        <is>
          <t>Incident Notification SLA</t>
        </is>
      </c>
      <c r="W4" s="12" t="inlineStr">
        <is>
          <t>Breach Notification</t>
        </is>
      </c>
      <c r="X4" s="12" t="inlineStr">
        <is>
          <t>IR Playbook Provided</t>
        </is>
      </c>
    </row>
    <row r="5">
      <c r="A5" s="13" t="inlineStr"/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  <c r="K5" s="13" t="inlineStr"/>
      <c r="L5" s="13" t="inlineStr"/>
      <c r="M5" s="13" t="inlineStr"/>
      <c r="N5" s="13" t="inlineStr"/>
      <c r="O5" s="13" t="inlineStr"/>
      <c r="P5" s="13" t="inlineStr"/>
      <c r="Q5" s="13" t="inlineStr"/>
      <c r="R5" s="13" t="inlineStr"/>
      <c r="S5" s="13" t="inlineStr"/>
      <c r="T5" s="13" t="inlineStr"/>
      <c r="U5" s="13" t="inlineStr"/>
      <c r="V5" s="13" t="inlineStr"/>
      <c r="W5" s="13" t="inlineStr"/>
      <c r="X5" s="13" t="inlineStr"/>
    </row>
    <row r="6">
      <c r="A6" s="13" t="inlineStr"/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  <c r="V6" s="13" t="inlineStr"/>
      <c r="W6" s="13" t="inlineStr"/>
      <c r="X6" s="13" t="inlineStr"/>
    </row>
    <row r="7">
      <c r="A7" s="13" t="inlineStr"/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  <c r="K7" s="13" t="inlineStr"/>
      <c r="L7" s="13" t="inlineStr"/>
      <c r="M7" s="13" t="inlineStr"/>
      <c r="N7" s="13" t="inlineStr"/>
      <c r="O7" s="13" t="inlineStr"/>
      <c r="P7" s="13" t="inlineStr"/>
      <c r="Q7" s="13" t="inlineStr"/>
      <c r="R7" s="13" t="inlineStr"/>
      <c r="S7" s="13" t="inlineStr"/>
      <c r="T7" s="13" t="inlineStr"/>
      <c r="U7" s="13" t="inlineStr"/>
      <c r="V7" s="13" t="inlineStr"/>
      <c r="W7" s="13" t="inlineStr"/>
      <c r="X7" s="13" t="inlineStr"/>
    </row>
    <row r="8">
      <c r="A8" s="13" t="inlineStr"/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  <c r="U8" s="13" t="inlineStr"/>
      <c r="V8" s="13" t="inlineStr"/>
      <c r="W8" s="13" t="inlineStr"/>
      <c r="X8" s="13" t="inlineStr"/>
    </row>
    <row r="9">
      <c r="A9" s="13" t="inlineStr"/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  <c r="U9" s="13" t="inlineStr"/>
      <c r="V9" s="13" t="inlineStr"/>
      <c r="W9" s="13" t="inlineStr"/>
      <c r="X9" s="13" t="inlineStr"/>
    </row>
    <row r="10">
      <c r="A10" s="13" t="inlineStr"/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  <c r="U10" s="13" t="inlineStr"/>
      <c r="V10" s="13" t="inlineStr"/>
      <c r="W10" s="13" t="inlineStr"/>
      <c r="X10" s="13" t="inlineStr"/>
    </row>
    <row r="11">
      <c r="A11" s="13" t="inlineStr"/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  <c r="U11" s="13" t="inlineStr"/>
      <c r="V11" s="13" t="inlineStr"/>
      <c r="W11" s="13" t="inlineStr"/>
      <c r="X11" s="13" t="inlineStr"/>
    </row>
    <row r="12">
      <c r="A12" s="13" t="inlineStr"/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  <c r="U12" s="13" t="inlineStr"/>
      <c r="V12" s="13" t="inlineStr"/>
      <c r="W12" s="13" t="inlineStr"/>
      <c r="X12" s="13" t="inlineStr"/>
    </row>
    <row r="13">
      <c r="A13" s="13" t="inlineStr"/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  <c r="V13" s="13" t="inlineStr"/>
      <c r="W13" s="13" t="inlineStr"/>
      <c r="X13" s="13" t="inlineStr"/>
    </row>
    <row r="14">
      <c r="A14" s="13" t="inlineStr"/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  <c r="U14" s="13" t="inlineStr"/>
      <c r="V14" s="13" t="inlineStr"/>
      <c r="W14" s="13" t="inlineStr"/>
      <c r="X14" s="13" t="inlineStr"/>
    </row>
    <row r="15">
      <c r="A15" s="13" t="inlineStr"/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  <c r="U15" s="13" t="inlineStr"/>
      <c r="V15" s="13" t="inlineStr"/>
      <c r="W15" s="13" t="inlineStr"/>
      <c r="X15" s="13" t="inlineStr"/>
    </row>
    <row r="16">
      <c r="A16" s="13" t="inlineStr"/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  <c r="U16" s="13" t="inlineStr"/>
      <c r="V16" s="13" t="inlineStr"/>
      <c r="W16" s="13" t="inlineStr"/>
      <c r="X16" s="13" t="inlineStr"/>
    </row>
    <row r="17">
      <c r="A17" s="13" t="inlineStr"/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  <c r="U17" s="13" t="inlineStr"/>
      <c r="V17" s="13" t="inlineStr"/>
      <c r="W17" s="13" t="inlineStr"/>
      <c r="X17" s="13" t="inlineStr"/>
    </row>
    <row r="18">
      <c r="A18" s="13" t="inlineStr"/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  <c r="U18" s="13" t="inlineStr"/>
      <c r="V18" s="13" t="inlineStr"/>
      <c r="W18" s="13" t="inlineStr"/>
      <c r="X18" s="13" t="inlineStr"/>
    </row>
    <row r="19">
      <c r="A19" s="13" t="inlineStr"/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  <c r="U19" s="13" t="inlineStr"/>
      <c r="V19" s="13" t="inlineStr"/>
      <c r="W19" s="13" t="inlineStr"/>
      <c r="X19" s="13" t="inlineStr"/>
    </row>
    <row r="20">
      <c r="A20" s="13" t="inlineStr"/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  <c r="U20" s="13" t="inlineStr"/>
      <c r="V20" s="13" t="inlineStr"/>
      <c r="W20" s="13" t="inlineStr"/>
      <c r="X20" s="13" t="inlineStr"/>
    </row>
    <row r="21">
      <c r="A21" s="13" t="inlineStr"/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  <c r="U21" s="13" t="inlineStr"/>
      <c r="V21" s="13" t="inlineStr"/>
      <c r="W21" s="13" t="inlineStr"/>
      <c r="X21" s="13" t="inlineStr"/>
    </row>
    <row r="22">
      <c r="A22" s="13" t="inlineStr"/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  <c r="U22" s="13" t="inlineStr"/>
      <c r="V22" s="13" t="inlineStr"/>
      <c r="W22" s="13" t="inlineStr"/>
      <c r="X22" s="13" t="inlineStr"/>
    </row>
    <row r="23">
      <c r="A23" s="13" t="inlineStr"/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  <c r="U23" s="13" t="inlineStr"/>
      <c r="V23" s="13" t="inlineStr"/>
      <c r="W23" s="13" t="inlineStr"/>
      <c r="X23" s="13" t="inlineStr"/>
    </row>
    <row r="24">
      <c r="A24" s="13" t="inlineStr"/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  <c r="U24" s="13" t="inlineStr"/>
      <c r="V24" s="13" t="inlineStr"/>
      <c r="W24" s="13" t="inlineStr"/>
      <c r="X24" s="13" t="inlineStr"/>
    </row>
    <row r="27">
      <c r="A27" s="3" t="inlineStr">
        <is>
          <t>COMPLIANCE CHECKLIST</t>
        </is>
      </c>
    </row>
    <row r="28">
      <c r="A28" s="12" t="inlineStr">
        <is>
          <t>☐</t>
        </is>
      </c>
      <c r="B28" s="12" t="inlineStr">
        <is>
          <t>Requirement</t>
        </is>
      </c>
      <c r="C28" s="12" t="inlineStr">
        <is>
          <t>Status</t>
        </is>
      </c>
      <c r="D28" s="12" t="inlineStr">
        <is>
          <t>Evidence Type</t>
        </is>
      </c>
    </row>
    <row r="29">
      <c r="A29" t="inlineStr">
        <is>
          <t>☐</t>
        </is>
      </c>
      <c r="B29" t="inlineStr">
        <is>
          <t>Forensics support verified for critical/high services</t>
        </is>
      </c>
      <c r="C29" s="5" t="inlineStr"/>
      <c r="D29" t="inlineStr">
        <is>
          <t>Vendor capability</t>
        </is>
      </c>
    </row>
    <row r="30">
      <c r="A30" t="inlineStr">
        <is>
          <t>☐</t>
        </is>
      </c>
      <c r="B30" t="inlineStr">
        <is>
          <t>Forensics SLA documented (log retention, data export)</t>
        </is>
      </c>
      <c r="C30" s="5" t="inlineStr"/>
      <c r="D30" t="inlineStr">
        <is>
          <t>IR annex</t>
        </is>
      </c>
    </row>
    <row r="31">
      <c r="A31" t="inlineStr">
        <is>
          <t>☐</t>
        </is>
      </c>
      <c r="B31" t="inlineStr">
        <is>
          <t>Right to audit clause in contract</t>
        </is>
      </c>
      <c r="C31" s="5" t="inlineStr"/>
      <c r="D31" t="inlineStr">
        <is>
          <t>Contract clause</t>
        </is>
      </c>
    </row>
    <row r="32">
      <c r="A32" t="inlineStr">
        <is>
          <t>☐</t>
        </is>
      </c>
      <c r="B32" t="inlineStr">
        <is>
          <t>Audit notice period ≤30 days for critical services</t>
        </is>
      </c>
      <c r="C32" s="5" t="inlineStr"/>
      <c r="D32" t="inlineStr">
        <is>
          <t>Audit terms</t>
        </is>
      </c>
    </row>
    <row r="33">
      <c r="A33" t="inlineStr">
        <is>
          <t>☐</t>
        </is>
      </c>
      <c r="B33" t="inlineStr">
        <is>
          <t>Incident notification SLA ≤24 hours</t>
        </is>
      </c>
      <c r="C33" s="5" t="inlineStr"/>
      <c r="D33" t="inlineStr">
        <is>
          <t>Incident SLA</t>
        </is>
      </c>
    </row>
    <row r="34">
      <c r="A34" t="inlineStr">
        <is>
          <t>☐</t>
        </is>
      </c>
      <c r="B34" t="inlineStr">
        <is>
          <t>Breach notification meets GDPR 72-hour requirement</t>
        </is>
      </c>
      <c r="C34" s="5" t="inlineStr"/>
      <c r="D34" t="inlineStr">
        <is>
          <t>Breach clause</t>
        </is>
      </c>
    </row>
    <row r="35">
      <c r="A35" t="inlineStr">
        <is>
          <t>☐</t>
        </is>
      </c>
      <c r="B35" t="inlineStr">
        <is>
          <t>Incident response playbook obtained and reviewed</t>
        </is>
      </c>
      <c r="C35" s="5" t="inlineStr"/>
      <c r="D35" t="inlineStr">
        <is>
          <t>IR playbook</t>
        </is>
      </c>
    </row>
    <row r="36">
      <c r="A36" t="inlineStr">
        <is>
          <t>☐</t>
        </is>
      </c>
      <c r="B36" t="inlineStr">
        <is>
          <t>Vendor participates in tabletop exercises (if critical)</t>
        </is>
      </c>
      <c r="C36" s="5" t="inlineStr"/>
      <c r="D36" t="inlineStr">
        <is>
          <t>Exercise records</t>
        </is>
      </c>
    </row>
  </sheetData>
  <mergeCells count="3">
    <mergeCell ref="A2:X2"/>
    <mergeCell ref="A27:D27"/>
    <mergeCell ref="A1:X1"/>
  </mergeCells>
  <dataValidations count="13">
    <dataValidation sqref="C5:C24" showDropDown="0" showInputMessage="0" showErrorMessage="0" allowBlank="0" type="list">
      <formula1>"SaaS,IaaS,PaaS,Security Service,Cloud Storage,Other"</formula1>
    </dataValidation>
    <dataValidation sqref="D5:D24" showDropDown="0" showInputMessage="0" showErrorMessage="0" allowBlank="0" type="list">
      <formula1>"Critical,High,Medium,Low"</formula1>
    </dataValidation>
    <dataValidation sqref="E5:E24" showDropDown="0" showInputMessage="0" showErrorMessage="0" allowBlank="0" type="list">
      <formula1>"Public,Internal,Confidential,Restricted,Mixed"</formula1>
    </dataValidation>
    <dataValidation sqref="F5:F24" showDropDown="0" showInputMessage="0" showErrorMessage="0" allowBlank="0" type="list">
      <formula1>"MSA + DPA,Subscription Agreement,Pay-As-You-Go,Trial,Custom"</formula1>
    </dataValidation>
    <dataValidation sqref="H5:H24" showDropDown="0" showInputMessage="0" showErrorMessage="0" allowBlank="0" type="list">
      <formula1>"✅ Compliant,⚠️ Partial,❌ Non-Compliant,N/A"</formula1>
    </dataValidation>
    <dataValidation sqref="K5:K24" showDropDown="0" showInputMessage="0" showErrorMessage="0" allowBlank="0" type="list">
      <formula1>"Yes,No"</formula1>
    </dataValidation>
    <dataValidation sqref="R5:R24" showDropDown="0" showInputMessage="0" showErrorMessage="0" allowBlank="0" type="list">
      <formula1>"Yes (Full),Yes (Limited),No,Unknown"</formula1>
    </dataValidation>
    <dataValidation sqref="T5:T24" showDropDown="0" showInputMessage="0" showErrorMessage="0" allowBlank="0" type="list">
      <formula1>"Yes (Unrestricted),Yes (With Notice),No"</formula1>
    </dataValidation>
    <dataValidation sqref="U5:U24" showDropDown="0" showInputMessage="0" showErrorMessage="0" allowBlank="0" type="list">
      <formula1>"No Notice,≤7 days,8-30 days,&gt;30 days,N/A"</formula1>
    </dataValidation>
    <dataValidation sqref="V5:V24" showDropDown="0" showInputMessage="0" showErrorMessage="0" allowBlank="0" type="list">
      <formula1>"&lt;1 hour,1-4 hours,4-24 hours,&gt;24 hours,None"</formula1>
    </dataValidation>
    <dataValidation sqref="W5:W24" showDropDown="0" showInputMessage="0" showErrorMessage="0" allowBlank="0" type="list">
      <formula1>"Yes (72 hours),Yes (Custom),No,Unknown"</formula1>
    </dataValidation>
    <dataValidation sqref="X5:X24" showDropDown="0" showInputMessage="0" showErrorMessage="0" allowBlank="0" type="list">
      <formula1>"Yes,No,Upon Request"</formula1>
    </dataValidation>
    <dataValidation sqref="C29 C30 C31 C32 C33 C34 C35 C36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2" customWidth="1" min="3" max="3"/>
    <col width="18" customWidth="1" min="4" max="4"/>
    <col width="20" customWidth="1" min="5" max="5"/>
    <col width="14" customWidth="1" min="6" max="6"/>
    <col width="20" customWidth="1" min="7" max="7"/>
    <col width="25" customWidth="1" min="8" max="8"/>
    <col width="18" customWidth="1" min="9" max="9"/>
    <col width="16" customWidth="1" min="10" max="10"/>
    <col width="18" customWidth="1" min="11" max="11"/>
    <col width="18" customWidth="1" min="12" max="12"/>
    <col width="16" customWidth="1" min="13" max="13"/>
    <col width="14" customWidth="1" min="14" max="14"/>
    <col width="18" customWidth="1" min="15" max="15"/>
    <col width="16" customWidth="1" min="16" max="16"/>
    <col width="28" customWidth="1" min="17" max="17"/>
    <col width="14" customWidth="1" min="18" max="18"/>
    <col width="20" customWidth="1" min="19" max="19"/>
    <col width="30" customWidth="1" min="20" max="20"/>
  </cols>
  <sheetData>
    <row r="1" ht="50" customHeight="1">
      <c r="A1" s="1" t="inlineStr">
        <is>
          <t>JURISDICTIONAL RISK ASSESSMENT
CLOUD Act, Data Sovereignty, and Cross-Border Transfer Analysis</t>
        </is>
      </c>
    </row>
    <row r="2" ht="30" customHeight="1">
      <c r="A2" s="2" t="inlineStr">
        <is>
          <t>Policy Requirement: Assess jurisdictional risks for all cloud providers, particularly US-headquartered providers subject to CLOUD Act (Policy S5 Section 4)</t>
        </is>
      </c>
    </row>
    <row r="3">
      <c r="A3" s="14" t="inlineStr">
        <is>
          <t>⚠ US-headquartered providers (or providers with US parent companies) may be compelled to disclose data under CLOUD Act regardless of data location. Assess and document mitigations.</t>
        </is>
      </c>
    </row>
    <row r="5">
      <c r="A5" s="12" t="inlineStr">
        <is>
          <t>Assessment ID</t>
        </is>
      </c>
      <c r="B5" s="12" t="inlineStr">
        <is>
          <t>Cloud Service Name</t>
        </is>
      </c>
      <c r="C5" s="12" t="inlineStr">
        <is>
          <t>Provider Name</t>
        </is>
      </c>
      <c r="D5" s="12" t="inlineStr">
        <is>
          <t>Provider HQ Country</t>
        </is>
      </c>
      <c r="E5" s="12" t="inlineStr">
        <is>
          <t>Provider HQ Jurisdiction</t>
        </is>
      </c>
      <c r="F5" s="12" t="inlineStr">
        <is>
          <t>US Parent Company</t>
        </is>
      </c>
      <c r="G5" s="12" t="inlineStr">
        <is>
          <t>CLOUD Act Applicability</t>
        </is>
      </c>
      <c r="H5" s="12" t="inlineStr">
        <is>
          <t>Data Processing Locations</t>
        </is>
      </c>
      <c r="I5" s="12" t="inlineStr">
        <is>
          <t>EU Data Boundary Available</t>
        </is>
      </c>
      <c r="J5" s="12" t="inlineStr">
        <is>
          <t>Customer Managed Keys</t>
        </is>
      </c>
      <c r="K5" s="12" t="inlineStr">
        <is>
          <t>Legal Challenge Commitment</t>
        </is>
      </c>
      <c r="L5" s="12" t="inlineStr">
        <is>
          <t>Adequacy Decision Status</t>
        </is>
      </c>
      <c r="M5" s="12" t="inlineStr">
        <is>
          <t>Transfer Mechanism</t>
        </is>
      </c>
      <c r="N5" s="12" t="inlineStr">
        <is>
          <t>Risk Level</t>
        </is>
      </c>
      <c r="O5" s="12" t="inlineStr">
        <is>
          <t>Risk Accepted By</t>
        </is>
      </c>
      <c r="P5" s="12" t="inlineStr">
        <is>
          <t>Risk Acceptance Date</t>
        </is>
      </c>
      <c r="Q5" s="12" t="inlineStr">
        <is>
          <t>Compensating Controls</t>
        </is>
      </c>
      <c r="R5" s="12" t="inlineStr">
        <is>
          <t>Review Date</t>
        </is>
      </c>
      <c r="S5" s="12" t="inlineStr">
        <is>
          <t>Evidence Reference</t>
        </is>
      </c>
      <c r="T5" s="12" t="inlineStr">
        <is>
          <t>Notes</t>
        </is>
      </c>
    </row>
    <row r="7">
      <c r="A7" t="inlineStr">
        <is>
          <t>JRA-001</t>
        </is>
      </c>
      <c r="B7" s="15" t="inlineStr">
        <is>
          <t>Microsoft 365</t>
        </is>
      </c>
      <c r="C7" s="15" t="inlineStr">
        <is>
          <t>Microsoft Corporation</t>
        </is>
      </c>
      <c r="D7" s="15" t="inlineStr">
        <is>
          <t>United States</t>
        </is>
      </c>
      <c r="E7" s="15" t="inlineStr">
        <is>
          <t>United States</t>
        </is>
      </c>
      <c r="F7" s="15" t="inlineStr">
        <is>
          <t>No</t>
        </is>
      </c>
      <c r="G7" s="15" t="inlineStr">
        <is>
          <t>Mitigated (EU Data Boundary)</t>
        </is>
      </c>
      <c r="H7" s="15" t="inlineStr">
        <is>
          <t>EU, Switzerland (EU Data Boundary enabled)</t>
        </is>
      </c>
      <c r="I7" s="15" t="inlineStr">
        <is>
          <t>Yes</t>
        </is>
      </c>
      <c r="J7" s="15" t="inlineStr">
        <is>
          <t>Yes</t>
        </is>
      </c>
      <c r="K7" s="15" t="inlineStr">
        <is>
          <t>Yes</t>
        </is>
      </c>
      <c r="L7" s="15" t="inlineStr">
        <is>
          <t>Adequacy Decision (Swiss-US DPF)</t>
        </is>
      </c>
      <c r="M7" s="15" t="inlineStr">
        <is>
          <t>SCCs</t>
        </is>
      </c>
      <c r="N7" s="15" t="inlineStr">
        <is>
          <t>Medium</t>
        </is>
      </c>
      <c r="O7" s="15" t="inlineStr">
        <is>
          <t>CISO</t>
        </is>
      </c>
      <c r="P7" s="15" t="inlineStr">
        <is>
          <t>2025-01-15</t>
        </is>
      </c>
      <c r="Q7" s="15" t="inlineStr">
        <is>
          <t>EU Data Boundary + Customer Lockbox</t>
        </is>
      </c>
      <c r="R7" s="15" t="inlineStr">
        <is>
          <t>2025-07-01</t>
        </is>
      </c>
      <c r="S7" s="15" t="inlineStr">
        <is>
          <t>EV-JRA-001</t>
        </is>
      </c>
      <c r="T7" s="15" t="inlineStr">
        <is>
          <t>Example entry - delete or overwrite</t>
        </is>
      </c>
    </row>
    <row r="8">
      <c r="A8" t="inlineStr">
        <is>
          <t>JRA-002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  <c r="K8" s="13" t="inlineStr"/>
      <c r="L8" s="13" t="inlineStr"/>
      <c r="M8" s="13" t="inlineStr"/>
      <c r="N8" s="13" t="inlineStr"/>
      <c r="O8" s="13" t="inlineStr"/>
      <c r="P8" s="13" t="inlineStr"/>
      <c r="Q8" s="13" t="inlineStr"/>
      <c r="R8" s="13" t="inlineStr"/>
      <c r="S8" s="13" t="inlineStr"/>
      <c r="T8" s="13" t="inlineStr"/>
    </row>
    <row r="9">
      <c r="A9" t="inlineStr">
        <is>
          <t>JRA-003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  <c r="K9" s="13" t="inlineStr"/>
      <c r="L9" s="13" t="inlineStr"/>
      <c r="M9" s="13" t="inlineStr"/>
      <c r="N9" s="13" t="inlineStr"/>
      <c r="O9" s="13" t="inlineStr"/>
      <c r="P9" s="13" t="inlineStr"/>
      <c r="Q9" s="13" t="inlineStr"/>
      <c r="R9" s="13" t="inlineStr"/>
      <c r="S9" s="13" t="inlineStr"/>
      <c r="T9" s="13" t="inlineStr"/>
    </row>
    <row r="10">
      <c r="A10" t="inlineStr">
        <is>
          <t>JRA-004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  <c r="K10" s="13" t="inlineStr"/>
      <c r="L10" s="13" t="inlineStr"/>
      <c r="M10" s="13" t="inlineStr"/>
      <c r="N10" s="13" t="inlineStr"/>
      <c r="O10" s="13" t="inlineStr"/>
      <c r="P10" s="13" t="inlineStr"/>
      <c r="Q10" s="13" t="inlineStr"/>
      <c r="R10" s="13" t="inlineStr"/>
      <c r="S10" s="13" t="inlineStr"/>
      <c r="T10" s="13" t="inlineStr"/>
    </row>
    <row r="11">
      <c r="A11" t="inlineStr">
        <is>
          <t>JRA-005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  <c r="K11" s="13" t="inlineStr"/>
      <c r="L11" s="13" t="inlineStr"/>
      <c r="M11" s="13" t="inlineStr"/>
      <c r="N11" s="13" t="inlineStr"/>
      <c r="O11" s="13" t="inlineStr"/>
      <c r="P11" s="13" t="inlineStr"/>
      <c r="Q11" s="13" t="inlineStr"/>
      <c r="R11" s="13" t="inlineStr"/>
      <c r="S11" s="13" t="inlineStr"/>
      <c r="T11" s="13" t="inlineStr"/>
    </row>
    <row r="12">
      <c r="A12" t="inlineStr">
        <is>
          <t>JRA-006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  <c r="K12" s="13" t="inlineStr"/>
      <c r="L12" s="13" t="inlineStr"/>
      <c r="M12" s="13" t="inlineStr"/>
      <c r="N12" s="13" t="inlineStr"/>
      <c r="O12" s="13" t="inlineStr"/>
      <c r="P12" s="13" t="inlineStr"/>
      <c r="Q12" s="13" t="inlineStr"/>
      <c r="R12" s="13" t="inlineStr"/>
      <c r="S12" s="13" t="inlineStr"/>
      <c r="T12" s="13" t="inlineStr"/>
    </row>
    <row r="13">
      <c r="A13" t="inlineStr">
        <is>
          <t>JRA-007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</row>
    <row r="14">
      <c r="A14" t="inlineStr">
        <is>
          <t>JRA-008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  <c r="K14" s="13" t="inlineStr"/>
      <c r="L14" s="13" t="inlineStr"/>
      <c r="M14" s="13" t="inlineStr"/>
      <c r="N14" s="13" t="inlineStr"/>
      <c r="O14" s="13" t="inlineStr"/>
      <c r="P14" s="13" t="inlineStr"/>
      <c r="Q14" s="13" t="inlineStr"/>
      <c r="R14" s="13" t="inlineStr"/>
      <c r="S14" s="13" t="inlineStr"/>
      <c r="T14" s="13" t="inlineStr"/>
    </row>
    <row r="15">
      <c r="A15" t="inlineStr">
        <is>
          <t>JRA-009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  <c r="K15" s="13" t="inlineStr"/>
      <c r="L15" s="13" t="inlineStr"/>
      <c r="M15" s="13" t="inlineStr"/>
      <c r="N15" s="13" t="inlineStr"/>
      <c r="O15" s="13" t="inlineStr"/>
      <c r="P15" s="13" t="inlineStr"/>
      <c r="Q15" s="13" t="inlineStr"/>
      <c r="R15" s="13" t="inlineStr"/>
      <c r="S15" s="13" t="inlineStr"/>
      <c r="T15" s="13" t="inlineStr"/>
    </row>
    <row r="16">
      <c r="A16" t="inlineStr">
        <is>
          <t>JRA-010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  <c r="K16" s="13" t="inlineStr"/>
      <c r="L16" s="13" t="inlineStr"/>
      <c r="M16" s="13" t="inlineStr"/>
      <c r="N16" s="13" t="inlineStr"/>
      <c r="O16" s="13" t="inlineStr"/>
      <c r="P16" s="13" t="inlineStr"/>
      <c r="Q16" s="13" t="inlineStr"/>
      <c r="R16" s="13" t="inlineStr"/>
      <c r="S16" s="13" t="inlineStr"/>
      <c r="T16" s="13" t="inlineStr"/>
    </row>
    <row r="17">
      <c r="A17" t="inlineStr">
        <is>
          <t>JRA-011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  <c r="K17" s="13" t="inlineStr"/>
      <c r="L17" s="13" t="inlineStr"/>
      <c r="M17" s="13" t="inlineStr"/>
      <c r="N17" s="13" t="inlineStr"/>
      <c r="O17" s="13" t="inlineStr"/>
      <c r="P17" s="13" t="inlineStr"/>
      <c r="Q17" s="13" t="inlineStr"/>
      <c r="R17" s="13" t="inlineStr"/>
      <c r="S17" s="13" t="inlineStr"/>
      <c r="T17" s="13" t="inlineStr"/>
    </row>
    <row r="18">
      <c r="A18" t="inlineStr">
        <is>
          <t>JRA-012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  <c r="K18" s="13" t="inlineStr"/>
      <c r="L18" s="13" t="inlineStr"/>
      <c r="M18" s="13" t="inlineStr"/>
      <c r="N18" s="13" t="inlineStr"/>
      <c r="O18" s="13" t="inlineStr"/>
      <c r="P18" s="13" t="inlineStr"/>
      <c r="Q18" s="13" t="inlineStr"/>
      <c r="R18" s="13" t="inlineStr"/>
      <c r="S18" s="13" t="inlineStr"/>
      <c r="T18" s="13" t="inlineStr"/>
    </row>
    <row r="19">
      <c r="A19" t="inlineStr">
        <is>
          <t>JRA-013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  <c r="K19" s="13" t="inlineStr"/>
      <c r="L19" s="13" t="inlineStr"/>
      <c r="M19" s="13" t="inlineStr"/>
      <c r="N19" s="13" t="inlineStr"/>
      <c r="O19" s="13" t="inlineStr"/>
      <c r="P19" s="13" t="inlineStr"/>
      <c r="Q19" s="13" t="inlineStr"/>
      <c r="R19" s="13" t="inlineStr"/>
      <c r="S19" s="13" t="inlineStr"/>
      <c r="T19" s="13" t="inlineStr"/>
    </row>
    <row r="20">
      <c r="A20" t="inlineStr">
        <is>
          <t>JRA-014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  <c r="K20" s="13" t="inlineStr"/>
      <c r="L20" s="13" t="inlineStr"/>
      <c r="M20" s="13" t="inlineStr"/>
      <c r="N20" s="13" t="inlineStr"/>
      <c r="O20" s="13" t="inlineStr"/>
      <c r="P20" s="13" t="inlineStr"/>
      <c r="Q20" s="13" t="inlineStr"/>
      <c r="R20" s="13" t="inlineStr"/>
      <c r="S20" s="13" t="inlineStr"/>
      <c r="T20" s="13" t="inlineStr"/>
    </row>
    <row r="21">
      <c r="A21" t="inlineStr">
        <is>
          <t>JRA-015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3" t="inlineStr"/>
      <c r="N21" s="13" t="inlineStr"/>
      <c r="O21" s="13" t="inlineStr"/>
      <c r="P21" s="13" t="inlineStr"/>
      <c r="Q21" s="13" t="inlineStr"/>
      <c r="R21" s="13" t="inlineStr"/>
      <c r="S21" s="13" t="inlineStr"/>
      <c r="T21" s="13" t="inlineStr"/>
    </row>
    <row r="22">
      <c r="A22" t="inlineStr">
        <is>
          <t>JRA-016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  <c r="K22" s="13" t="inlineStr"/>
      <c r="L22" s="13" t="inlineStr"/>
      <c r="M22" s="13" t="inlineStr"/>
      <c r="N22" s="13" t="inlineStr"/>
      <c r="O22" s="13" t="inlineStr"/>
      <c r="P22" s="13" t="inlineStr"/>
      <c r="Q22" s="13" t="inlineStr"/>
      <c r="R22" s="13" t="inlineStr"/>
      <c r="S22" s="13" t="inlineStr"/>
      <c r="T22" s="13" t="inlineStr"/>
    </row>
    <row r="23">
      <c r="A23" t="inlineStr">
        <is>
          <t>JRA-017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  <c r="K23" s="13" t="inlineStr"/>
      <c r="L23" s="13" t="inlineStr"/>
      <c r="M23" s="13" t="inlineStr"/>
      <c r="N23" s="13" t="inlineStr"/>
      <c r="O23" s="13" t="inlineStr"/>
      <c r="P23" s="13" t="inlineStr"/>
      <c r="Q23" s="13" t="inlineStr"/>
      <c r="R23" s="13" t="inlineStr"/>
      <c r="S23" s="13" t="inlineStr"/>
      <c r="T23" s="13" t="inlineStr"/>
    </row>
    <row r="24">
      <c r="A24" t="inlineStr">
        <is>
          <t>JRA-018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  <c r="K24" s="13" t="inlineStr"/>
      <c r="L24" s="13" t="inlineStr"/>
      <c r="M24" s="13" t="inlineStr"/>
      <c r="N24" s="13" t="inlineStr"/>
      <c r="O24" s="13" t="inlineStr"/>
      <c r="P24" s="13" t="inlineStr"/>
      <c r="Q24" s="13" t="inlineStr"/>
      <c r="R24" s="13" t="inlineStr"/>
      <c r="S24" s="13" t="inlineStr"/>
      <c r="T24" s="13" t="inlineStr"/>
    </row>
    <row r="25">
      <c r="A25" t="inlineStr">
        <is>
          <t>JRA-019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  <c r="K25" s="13" t="inlineStr"/>
      <c r="L25" s="13" t="inlineStr"/>
      <c r="M25" s="13" t="inlineStr"/>
      <c r="N25" s="13" t="inlineStr"/>
      <c r="O25" s="13" t="inlineStr"/>
      <c r="P25" s="13" t="inlineStr"/>
      <c r="Q25" s="13" t="inlineStr"/>
      <c r="R25" s="13" t="inlineStr"/>
      <c r="S25" s="13" t="inlineStr"/>
      <c r="T25" s="13" t="inlineStr"/>
    </row>
    <row r="26">
      <c r="A26" t="inlineStr">
        <is>
          <t>JRA-020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  <c r="K26" s="13" t="inlineStr"/>
      <c r="L26" s="13" t="inlineStr"/>
      <c r="M26" s="13" t="inlineStr"/>
      <c r="N26" s="13" t="inlineStr"/>
      <c r="O26" s="13" t="inlineStr"/>
      <c r="P26" s="13" t="inlineStr"/>
      <c r="Q26" s="13" t="inlineStr"/>
      <c r="R26" s="13" t="inlineStr"/>
      <c r="S26" s="13" t="inlineStr"/>
      <c r="T26" s="13" t="inlineStr"/>
    </row>
    <row r="27">
      <c r="A27" t="inlineStr">
        <is>
          <t>JRA-021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  <c r="K27" s="13" t="inlineStr"/>
      <c r="L27" s="13" t="inlineStr"/>
      <c r="M27" s="13" t="inlineStr"/>
      <c r="N27" s="13" t="inlineStr"/>
      <c r="O27" s="13" t="inlineStr"/>
      <c r="P27" s="13" t="inlineStr"/>
      <c r="Q27" s="13" t="inlineStr"/>
      <c r="R27" s="13" t="inlineStr"/>
      <c r="S27" s="13" t="inlineStr"/>
      <c r="T27" s="13" t="inlineStr"/>
    </row>
    <row r="28">
      <c r="A28" t="inlineStr">
        <is>
          <t>JRA-022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  <c r="K28" s="13" t="inlineStr"/>
      <c r="L28" s="13" t="inlineStr"/>
      <c r="M28" s="13" t="inlineStr"/>
      <c r="N28" s="13" t="inlineStr"/>
      <c r="O28" s="13" t="inlineStr"/>
      <c r="P28" s="13" t="inlineStr"/>
      <c r="Q28" s="13" t="inlineStr"/>
      <c r="R28" s="13" t="inlineStr"/>
      <c r="S28" s="13" t="inlineStr"/>
      <c r="T28" s="13" t="inlineStr"/>
    </row>
    <row r="29">
      <c r="A29" t="inlineStr">
        <is>
          <t>JRA-023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  <c r="K29" s="13" t="inlineStr"/>
      <c r="L29" s="13" t="inlineStr"/>
      <c r="M29" s="13" t="inlineStr"/>
      <c r="N29" s="13" t="inlineStr"/>
      <c r="O29" s="13" t="inlineStr"/>
      <c r="P29" s="13" t="inlineStr"/>
      <c r="Q29" s="13" t="inlineStr"/>
      <c r="R29" s="13" t="inlineStr"/>
      <c r="S29" s="13" t="inlineStr"/>
      <c r="T29" s="13" t="inlineStr"/>
    </row>
    <row r="30">
      <c r="A30" t="inlineStr">
        <is>
          <t>JRA-024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  <c r="K30" s="13" t="inlineStr"/>
      <c r="L30" s="13" t="inlineStr"/>
      <c r="M30" s="13" t="inlineStr"/>
      <c r="N30" s="13" t="inlineStr"/>
      <c r="O30" s="13" t="inlineStr"/>
      <c r="P30" s="13" t="inlineStr"/>
      <c r="Q30" s="13" t="inlineStr"/>
      <c r="R30" s="13" t="inlineStr"/>
      <c r="S30" s="13" t="inlineStr"/>
      <c r="T30" s="13" t="inlineStr"/>
    </row>
    <row r="33">
      <c r="A33" s="3" t="inlineStr">
        <is>
          <t>JURISDICTIONAL RISK CHECKLIST</t>
        </is>
      </c>
    </row>
    <row r="34">
      <c r="A34" s="12" t="inlineStr">
        <is>
          <t>☐</t>
        </is>
      </c>
      <c r="B34" s="12" t="inlineStr">
        <is>
          <t>Requirement</t>
        </is>
      </c>
      <c r="C34" s="12" t="inlineStr">
        <is>
          <t>Status</t>
        </is>
      </c>
      <c r="D34" s="12" t="inlineStr">
        <is>
          <t>Evidence Type</t>
        </is>
      </c>
    </row>
    <row r="35">
      <c r="A35" t="inlineStr">
        <is>
          <t>☐</t>
        </is>
      </c>
      <c r="B35" t="inlineStr">
        <is>
          <t>Provider HQ jurisdiction identified and documented</t>
        </is>
      </c>
      <c r="C35" s="13" t="inlineStr"/>
      <c r="D35" t="inlineStr">
        <is>
          <t>Vendor documentation</t>
        </is>
      </c>
    </row>
    <row r="36">
      <c r="A36" t="inlineStr">
        <is>
          <t>☐</t>
        </is>
      </c>
      <c r="B36" t="inlineStr">
        <is>
          <t>US parent company status verified</t>
        </is>
      </c>
      <c r="C36" s="13" t="inlineStr"/>
      <c r="D36" t="inlineStr">
        <is>
          <t>Corporate structure review</t>
        </is>
      </c>
    </row>
    <row r="37">
      <c r="A37" t="inlineStr">
        <is>
          <t>☐</t>
        </is>
      </c>
      <c r="B37" t="inlineStr">
        <is>
          <t>CLOUD Act exposure assessed for US-nexus providers</t>
        </is>
      </c>
      <c r="C37" s="13" t="inlineStr"/>
      <c r="D37" t="inlineStr">
        <is>
          <t>Legal review</t>
        </is>
      </c>
    </row>
    <row r="38">
      <c r="A38" t="inlineStr">
        <is>
          <t>☐</t>
        </is>
      </c>
      <c r="B38" t="inlineStr">
        <is>
          <t>Data processing locations documented in DPA</t>
        </is>
      </c>
      <c r="C38" s="13" t="inlineStr"/>
      <c r="D38" t="inlineStr">
        <is>
          <t>DPA review</t>
        </is>
      </c>
    </row>
    <row r="39">
      <c r="A39" t="inlineStr">
        <is>
          <t>☐</t>
        </is>
      </c>
      <c r="B39" t="inlineStr">
        <is>
          <t>EU Data Boundary availability checked</t>
        </is>
      </c>
      <c r="C39" s="13" t="inlineStr"/>
      <c r="D39" t="inlineStr">
        <is>
          <t>Vendor announcement/docs</t>
        </is>
      </c>
    </row>
    <row r="40">
      <c r="A40" t="inlineStr">
        <is>
          <t>☐</t>
        </is>
      </c>
      <c r="B40" t="inlineStr">
        <is>
          <t>Customer-managed encryption keys option evaluated</t>
        </is>
      </c>
      <c r="C40" s="13" t="inlineStr"/>
      <c r="D40" t="inlineStr">
        <is>
          <t>Technical documentation</t>
        </is>
      </c>
    </row>
    <row r="41">
      <c r="A41" t="inlineStr">
        <is>
          <t>☐</t>
        </is>
      </c>
      <c r="B41" t="inlineStr">
        <is>
          <t>Legal challenge commitment verified</t>
        </is>
      </c>
      <c r="C41" s="13" t="inlineStr"/>
      <c r="D41" t="inlineStr">
        <is>
          <t>Contract/Public statement</t>
        </is>
      </c>
    </row>
    <row r="42">
      <c r="A42" t="inlineStr">
        <is>
          <t>☐</t>
        </is>
      </c>
      <c r="B42" t="inlineStr">
        <is>
          <t>Transfer mechanism documented (SCCs, BCRs, etc.)</t>
        </is>
      </c>
      <c r="C42" s="13" t="inlineStr"/>
      <c r="D42" t="inlineStr">
        <is>
          <t>DPA</t>
        </is>
      </c>
    </row>
    <row r="43">
      <c r="A43" t="inlineStr">
        <is>
          <t>☐</t>
        </is>
      </c>
      <c r="B43" t="inlineStr">
        <is>
          <t>Risk acceptance recorded if residual risk remains</t>
        </is>
      </c>
      <c r="C43" s="13" t="inlineStr"/>
      <c r="D43" t="inlineStr">
        <is>
          <t>Risk register</t>
        </is>
      </c>
    </row>
    <row r="44">
      <c r="A44" t="inlineStr">
        <is>
          <t>☐</t>
        </is>
      </c>
      <c r="B44" t="inlineStr">
        <is>
          <t>Compensating controls documented for high-risk providers</t>
        </is>
      </c>
      <c r="C44" s="13" t="inlineStr"/>
      <c r="D44" t="inlineStr">
        <is>
          <t>Control documentation</t>
        </is>
      </c>
    </row>
    <row r="47">
      <c r="A47" s="3" t="inlineStr">
        <is>
          <t>CLOUD ACT MITIGATION STRATEGIES (Reference)</t>
        </is>
      </c>
    </row>
    <row r="48">
      <c r="A48" s="4" t="inlineStr">
        <is>
          <t>• Technical:</t>
        </is>
      </c>
      <c r="B48" t="inlineStr">
        <is>
          <t>EU Data Boundary, Customer-managed encryption keys, Confidential Computing</t>
        </is>
      </c>
    </row>
    <row r="49">
      <c r="A49" s="4" t="inlineStr">
        <is>
          <t>• Contractual:</t>
        </is>
      </c>
      <c r="B49" t="inlineStr">
        <is>
          <t>Legal challenge commitment, Data disclosure notification, SCCs with supplementary measures</t>
        </is>
      </c>
    </row>
    <row r="50">
      <c r="A50" s="4" t="inlineStr">
        <is>
          <t>• Organizational:</t>
        </is>
      </c>
      <c r="B50" t="inlineStr">
        <is>
          <t>Risk acceptance by CISO/DPO, Documented risk assessment, Regular review cycle</t>
        </is>
      </c>
    </row>
    <row r="51">
      <c r="A51" s="4" t="inlineStr">
        <is>
          <t>• Alternative:</t>
        </is>
      </c>
      <c r="B51" t="inlineStr">
        <is>
          <t>Consider EU-headquartered alternatives for highest-risk data categories</t>
        </is>
      </c>
    </row>
  </sheetData>
  <mergeCells count="8">
    <mergeCell ref="A1:T1"/>
    <mergeCell ref="B49:E49"/>
    <mergeCell ref="B50:E50"/>
    <mergeCell ref="A3:T3"/>
    <mergeCell ref="B48:E48"/>
    <mergeCell ref="A2:T2"/>
    <mergeCell ref="A33:D33"/>
    <mergeCell ref="B51:E51"/>
  </mergeCells>
  <dataValidations count="8">
    <dataValidation sqref="E7:E30" showDropDown="0" showInputMessage="0" showErrorMessage="0" allowBlank="0" type="list">
      <formula1>"Switzerland,EU/EEA,United Kingdom,United States,Other Adequate Country,Non-Adequate Country"</formula1>
    </dataValidation>
    <dataValidation sqref="G7:G30" showDropDown="0" showInputMessage="0" showErrorMessage="0" allowBlank="0" type="list">
      <formula1>"No Exposure,Potential Exposure (US HQ),Mitigated (EU Data Boundary),Mitigated (Encryption + Key Control),Accepted Risk (Documented),Under Assessment"</formula1>
    </dataValidation>
    <dataValidation sqref="F7:F30" showDropDown="0" showInputMessage="0" showErrorMessage="0" allowBlank="0" type="list">
      <formula1>"Yes,No,Unknown"</formula1>
    </dataValidation>
    <dataValidation sqref="K7:K30" showDropDown="0" showInputMessage="0" showErrorMessage="0" allowBlank="0" type="list">
      <formula1>"Yes,No,Partial,Unknown"</formula1>
    </dataValidation>
    <dataValidation sqref="I7:I30 J7:J30" showDropDown="0" showInputMessage="0" showErrorMessage="0" allowBlank="0" type="list">
      <formula1>"Yes,No,Planned"</formula1>
    </dataValidation>
    <dataValidation sqref="M7:M30" showDropDown="0" showInputMessage="0" showErrorMessage="0" allowBlank="0" type="list">
      <formula1>"SCCs,BCRs,Adequacy Decision,None,N/A"</formula1>
    </dataValidation>
    <dataValidation sqref="N7:N30" showDropDown="0" showInputMessage="0" showErrorMessage="0" allowBlank="0" type="list">
      <formula1>"Low,Medium,High,Critical"</formula1>
    </dataValidation>
    <dataValidation sqref="C35 C36 C37 C38 C39 C40 C41 C42 C43 C44" showDropDown="0" showInputMessage="0" showErrorMessage="0" allowBlank="1" type="list">
      <formula1>"✅,"⚠","❌",N/A"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1" t="inlineStr">
        <is>
          <t>VENDOR DUE DILIGENCE - COMPLIANCE SUMMARY DASHBOARD</t>
        </is>
      </c>
    </row>
    <row r="3">
      <c r="A3" s="3" t="inlineStr">
        <is>
          <t>TABLE 1: COMPLIANCE SUMMARY BY ASSESSMENT AREA</t>
        </is>
      </c>
    </row>
    <row r="4">
      <c r="A4" s="12" t="inlineStr">
        <is>
          <t>Assessment Area</t>
        </is>
      </c>
      <c r="B4" s="12" t="inlineStr">
        <is>
          <t>Total Vendors</t>
        </is>
      </c>
      <c r="C4" s="12" t="inlineStr">
        <is>
          <t>✅ Compliant</t>
        </is>
      </c>
      <c r="D4" s="12" t="inlineStr">
        <is>
          <t>⚠ Partial</t>
        </is>
      </c>
      <c r="E4" s="12" t="inlineStr">
        <is>
          <t>❌ Non-Compliant</t>
        </is>
      </c>
      <c r="F4" s="12" t="inlineStr">
        <is>
          <t>N/A</t>
        </is>
      </c>
      <c r="G4" s="12" t="inlineStr">
        <is>
          <t>Compliance %</t>
        </is>
      </c>
    </row>
    <row r="5">
      <c r="A5" t="inlineStr">
        <is>
          <t>Security Certifications</t>
        </is>
      </c>
      <c r="B5">
        <f>COUNTA('2. Security Certifications'!A7:A30)-COUNTBLANK('2. Security Certifications'!B7:B30)</f>
        <v/>
      </c>
      <c r="C5">
        <f>COUNTIF('2. Security Certifications'!H5:H24,"✅*")</f>
        <v/>
      </c>
      <c r="D5">
        <f>COUNTIF('2. Security Certifications'!H5:H24,"⚠*")</f>
        <v/>
      </c>
      <c r="E5">
        <f>COUNTIF('2. Security Certifications'!H5:H24,"❌*")</f>
        <v/>
      </c>
      <c r="F5">
        <f>COUNTIF('2. Security Certifications'!H5:H24,"N/A")</f>
        <v/>
      </c>
      <c r="G5">
        <f>IF(B5=0,"N/A",ROUND((C5/(B5-F5))*100,1)&amp;"%")</f>
        <v/>
      </c>
    </row>
    <row r="6">
      <c r="A6" t="inlineStr">
        <is>
          <t>Contract Terms</t>
        </is>
      </c>
      <c r="B6">
        <f>COUNTA('3. Contract Terms'!A7:A30)-COUNTBLANK('3. Contract Terms'!B7:B30)</f>
        <v/>
      </c>
      <c r="C6">
        <f>COUNTIF('3. Contract Terms'!H5:H24,"✅*")</f>
        <v/>
      </c>
      <c r="D6">
        <f>COUNTIF('3. Contract Terms'!H5:H24,"⚠*")</f>
        <v/>
      </c>
      <c r="E6">
        <f>COUNTIF('3. Contract Terms'!H5:H24,"❌*")</f>
        <v/>
      </c>
      <c r="F6">
        <f>COUNTIF('3. Contract Terms'!H5:H24,"N/A")</f>
        <v/>
      </c>
      <c r="G6">
        <f>IF(B6=0,"N/A",ROUND((C6/(B6-F6))*100,1)&amp;"%")</f>
        <v/>
      </c>
    </row>
    <row r="7">
      <c r="A7" t="inlineStr">
        <is>
          <t>SLA Performance</t>
        </is>
      </c>
      <c r="B7">
        <f>COUNTA('4. SLA Performance'!A7:A30)-COUNTBLANK('4. SLA Performance'!B7:B30)</f>
        <v/>
      </c>
      <c r="C7">
        <f>COUNTIF('4. SLA Performance'!H5:H24,"✅*")</f>
        <v/>
      </c>
      <c r="D7">
        <f>COUNTIF('4. SLA Performance'!H5:H24,"⚠*")</f>
        <v/>
      </c>
      <c r="E7">
        <f>COUNTIF('4. SLA Performance'!H5:H24,"❌*")</f>
        <v/>
      </c>
      <c r="F7">
        <f>COUNTIF('4. SLA Performance'!H5:H24,"N/A")</f>
        <v/>
      </c>
      <c r="G7">
        <f>IF(B7=0,"N/A",ROUND((C7/(B7-F7))*100,1)&amp;"%")</f>
        <v/>
      </c>
    </row>
    <row r="8">
      <c r="A8" t="inlineStr">
        <is>
          <t>Data Sovereignty</t>
        </is>
      </c>
      <c r="B8">
        <f>COUNTA('5. Data Sovereignty'!A7:A30)-COUNTBLANK('5. Data Sovereignty'!B7:B30)</f>
        <v/>
      </c>
      <c r="C8">
        <f>COUNTIF('5. Data Sovereignty'!H5:H24,"✅*")</f>
        <v/>
      </c>
      <c r="D8">
        <f>COUNTIF('5. Data Sovereignty'!H5:H24,"⚠*")</f>
        <v/>
      </c>
      <c r="E8">
        <f>COUNTIF('5. Data Sovereignty'!H5:H24,"❌*")</f>
        <v/>
      </c>
      <c r="F8">
        <f>COUNTIF('5. Data Sovereignty'!H5:H24,"N/A")</f>
        <v/>
      </c>
      <c r="G8">
        <f>IF(B8=0,"N/A",ROUND((C8/(B8-F8))*100,1)&amp;"%")</f>
        <v/>
      </c>
    </row>
    <row r="9">
      <c r="A9" t="inlineStr">
        <is>
          <t>Forensics &amp; Audit</t>
        </is>
      </c>
      <c r="B9">
        <f>COUNTA('6. Forensics &amp; Audit'!A7:A30)-COUNTBLANK('6. Forensics &amp; Audit'!B7:B30)</f>
        <v/>
      </c>
      <c r="C9">
        <f>COUNTIF('6. Forensics &amp; Audit'!H5:H24,"✅*")</f>
        <v/>
      </c>
      <c r="D9">
        <f>COUNTIF('6. Forensics &amp; Audit'!H5:H24,"⚠*")</f>
        <v/>
      </c>
      <c r="E9">
        <f>COUNTIF('6. Forensics &amp; Audit'!H5:H24,"❌*")</f>
        <v/>
      </c>
      <c r="F9">
        <f>COUNTIF('6. Forensics &amp; Audit'!H5:H24,"N/A")</f>
        <v/>
      </c>
      <c r="G9">
        <f>IF(B9=0,"N/A",ROUND((C9/(B9-F9))*100,1)&amp;"%")</f>
        <v/>
      </c>
    </row>
    <row r="10">
      <c r="A10" t="inlineStr">
        <is>
          <t>Jurisdictional Risk</t>
        </is>
      </c>
      <c r="B10">
        <f>COUNTA('7. Jurisdictional Risk'!A7:A30)-COUNTBLANK('7. Jurisdictional Risk'!B7:B30)</f>
        <v/>
      </c>
      <c r="C10">
        <f>COUNTIF('7. Jurisdictional Risk'!N7:N30,"Low")+COUNTIF('7. Jurisdictional Risk'!N7:N30,"Medium")</f>
        <v/>
      </c>
      <c r="D10">
        <f>COUNTIF('7. Jurisdictional Risk'!N7:N30,"High")</f>
        <v/>
      </c>
      <c r="E10">
        <f>COUNTIF('7. Jurisdictional Risk'!N7:N30,"Critical")</f>
        <v/>
      </c>
      <c r="F10">
        <f>COUNTIF('7. Jurisdictional Risk'!N5:N24,"N/A")</f>
        <v/>
      </c>
      <c r="G10">
        <f>IF(B10=0,"N/A",ROUND((C10/(B10-F10))*100,1)&amp;"%")</f>
        <v/>
      </c>
    </row>
    <row r="11">
      <c r="A11" s="4" t="inlineStr">
        <is>
          <t>OVERALL</t>
        </is>
      </c>
      <c r="B11">
        <f>SUM(B5:B10)</f>
        <v/>
      </c>
      <c r="C11">
        <f>SUM(C5:C10)</f>
        <v/>
      </c>
      <c r="D11">
        <f>SUM(D5:D10)</f>
        <v/>
      </c>
      <c r="E11">
        <f>SUM(E5:E10)</f>
        <v/>
      </c>
      <c r="F11">
        <f>SUM(F5:F10)</f>
        <v/>
      </c>
      <c r="G11">
        <f>IF(B11=0,"N/A",ROUND((C11/(B11-F11))*100,1)&amp;"%")</f>
        <v/>
      </c>
    </row>
    <row r="14">
      <c r="A14" s="16" t="inlineStr">
        <is>
          <t>TABLE 2: JURISDICTIONAL &amp; CLOUD ACT RISK SUMMARY (NEW)</t>
        </is>
      </c>
    </row>
    <row r="16">
      <c r="A16" s="12" t="inlineStr">
        <is>
          <t>Metric</t>
        </is>
      </c>
      <c r="B16" s="12" t="inlineStr">
        <is>
          <t>Count</t>
        </is>
      </c>
      <c r="C16" s="12" t="inlineStr">
        <is>
          <t>Status</t>
        </is>
      </c>
    </row>
    <row r="17">
      <c r="A17" t="inlineStr">
        <is>
          <t>US-HQ Providers (CLOUD Act Scope)</t>
        </is>
      </c>
      <c r="B17">
        <f>COUNTIF('7. Jurisdictional Risk'!E7:E30,"United States")</f>
        <v/>
      </c>
      <c r="C17">
        <f>IF(B17&gt;0,"⚠ Review Required","✅ OK")</f>
        <v/>
      </c>
    </row>
    <row r="18">
      <c r="A18" t="inlineStr">
        <is>
          <t>Providers with US Parent Company</t>
        </is>
      </c>
      <c r="B18">
        <f>COUNTIF('7. Jurisdictional Risk'!F7:F30,"Yes")</f>
        <v/>
      </c>
      <c r="C18">
        <f>IF(B18&gt;0,"⚠ Review Required","✅ OK")</f>
        <v/>
      </c>
    </row>
    <row r="19">
      <c r="A19" t="inlineStr">
        <is>
          <t>CLOUD Act Potential Exposure (Unmitigated)</t>
        </is>
      </c>
      <c r="B19">
        <f>COUNTIF('7. Jurisdictional Risk'!G7:G30,"Potential*")</f>
        <v/>
      </c>
      <c r="C19">
        <f>IF(B19&gt;0,"⚠ Review Required","✅ OK")</f>
        <v/>
      </c>
    </row>
    <row r="20">
      <c r="A20" t="inlineStr">
        <is>
          <t>CLOUD Act Mitigated</t>
        </is>
      </c>
      <c r="B20">
        <f>COUNTIF('7. Jurisdictional Risk'!G7:G30,"Mitigated*")</f>
        <v/>
      </c>
      <c r="C20">
        <f>IF(B20&gt;0,"⚠ Review Required","✅ OK")</f>
        <v/>
      </c>
    </row>
    <row r="21">
      <c r="A21" t="inlineStr">
        <is>
          <t>High/Critical Jurisdictional Risk</t>
        </is>
      </c>
      <c r="B21">
        <f>COUNTIF('7. Jurisdictional Risk'!N7:N30,"High")+COUNTIF('7. Jurisdictional Risk'!N7:N30,"Critical")</f>
        <v/>
      </c>
      <c r="C21">
        <f>IF(B21&gt;0,"⚠ Review Required","✅ OK")</f>
        <v/>
      </c>
    </row>
    <row r="22">
      <c r="A22" t="inlineStr">
        <is>
          <t>Providers Without EU Data Boundary</t>
        </is>
      </c>
      <c r="B22">
        <f>COUNTIF('7. Jurisdictional Risk'!I7:I30,"No")</f>
        <v/>
      </c>
      <c r="C22">
        <f>IF(B22&gt;0,"⚠ Review Required","✅ OK")</f>
        <v/>
      </c>
    </row>
    <row r="23">
      <c r="A23" t="inlineStr">
        <is>
          <t>Providers Without Customer-Managed Keys</t>
        </is>
      </c>
      <c r="B23">
        <f>COUNTIF('7. Jurisdictional Risk'!J7:J30,"No")</f>
        <v/>
      </c>
      <c r="C23">
        <f>IF(B23&gt;0,"⚠ Review Required","✅ OK")</f>
        <v/>
      </c>
    </row>
    <row r="26">
      <c r="A26" s="3" t="inlineStr">
        <is>
          <t>TABLE 3: SECURITY CERTIFICATION STATUS</t>
        </is>
      </c>
    </row>
    <row r="27">
      <c r="A27" s="12" t="inlineStr">
        <is>
          <t>Certification</t>
        </is>
      </c>
      <c r="B27" s="12" t="inlineStr">
        <is>
          <t>Yes (Current)</t>
        </is>
      </c>
      <c r="C27" s="12" t="inlineStr">
        <is>
          <t>Expired/Pending</t>
        </is>
      </c>
      <c r="D27" s="12" t="inlineStr">
        <is>
          <t>No/Unknown</t>
        </is>
      </c>
    </row>
    <row r="28">
      <c r="A28" t="inlineStr">
        <is>
          <t>ISO 27001</t>
        </is>
      </c>
      <c r="B28">
        <f>COUNTIF('2. Security Certifications'!R5:R24,"Yes (Current)")</f>
        <v/>
      </c>
      <c r="C28">
        <f>COUNTIF('2. Security Certifications'!R5:R24,"Yes (Expired)")</f>
        <v/>
      </c>
      <c r="D28">
        <f>COUNTIF('2. Security Certifications'!R5:R24,"No")+COUNTIF('2. Security Certifications'!R5:R24,"Unknown")</f>
        <v/>
      </c>
    </row>
    <row r="29">
      <c r="A29" t="inlineStr">
        <is>
          <t>SOC 2 Type II</t>
        </is>
      </c>
      <c r="B29">
        <f>COUNTIF('2. Security Certifications'!U5:U24,"Yes*")</f>
        <v/>
      </c>
      <c r="C29">
        <f>0</f>
        <v/>
      </c>
      <c r="D29">
        <f>COUNTIF('2. Security Certifications'!U5:U24,"No")+COUNTIF('2. Security Certifications'!U5:U24,"Unknown")</f>
        <v/>
      </c>
    </row>
    <row r="30">
      <c r="A30" t="inlineStr">
        <is>
          <t>FedRAMP</t>
        </is>
      </c>
      <c r="B30">
        <f>COUNTIF('2. Security Certifications'!W5:W24,"Yes*")</f>
        <v/>
      </c>
      <c r="C30">
        <f>0</f>
        <v/>
      </c>
      <c r="D30">
        <f>COUNTIF('2. Security Certifications'!W5:W24,"No")+COUNTIF('2. Security Certifications'!W5:W24,"N/A")</f>
        <v/>
      </c>
    </row>
    <row r="33">
      <c r="A33" s="3" t="inlineStr">
        <is>
          <t>TABLE 4: DATA SOVEREIGNTY RISKS</t>
        </is>
      </c>
    </row>
    <row r="34">
      <c r="A34" s="12" t="inlineStr">
        <is>
          <t>Risk</t>
        </is>
      </c>
      <c r="B34" s="12" t="inlineStr">
        <is>
          <t>Count</t>
        </is>
      </c>
      <c r="C34" s="12" t="inlineStr">
        <is>
          <t>Severity</t>
        </is>
      </c>
    </row>
    <row r="35">
      <c r="A35" t="inlineStr">
        <is>
          <t>Restricted Data Outside Switzerland/EU</t>
        </is>
      </c>
      <c r="B35">
        <f>COUNTIF('5. Data Sovereignty'!R5:R24,"USA")+COUNTIF('5. Data Sovereignty'!R5:R24,"Asia-Pacific")</f>
        <v/>
      </c>
      <c r="C35" s="10" t="inlineStr">
        <is>
          <t>Critical</t>
        </is>
      </c>
    </row>
    <row r="36">
      <c r="A36" t="inlineStr">
        <is>
          <t>Confidential Data Without SCCs</t>
        </is>
      </c>
      <c r="B36">
        <f>COUNTIF('5. Data Sovereignty'!T5:T24,"No")</f>
        <v/>
      </c>
      <c r="C36" s="9" t="inlineStr">
        <is>
          <t>High</t>
        </is>
      </c>
    </row>
    <row r="37">
      <c r="A37" t="inlineStr">
        <is>
          <t>GDPR Compliance Not Verified</t>
        </is>
      </c>
      <c r="B37">
        <f>COUNTIF('5. Data Sovereignty'!V5:V24,"No")+COUNTIF('5. Data Sovereignty'!V5:V24,"N/A")</f>
        <v/>
      </c>
      <c r="C37" s="9" t="inlineStr">
        <is>
          <t>High</t>
        </is>
      </c>
    </row>
  </sheetData>
  <mergeCells count="2">
    <mergeCell ref="A14:F14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40" customWidth="1" min="4" max="4"/>
    <col width="40" customWidth="1" min="5" max="5"/>
    <col width="14" customWidth="1" min="6" max="6"/>
    <col width="16" customWidth="1" min="7" max="7"/>
    <col width="20" customWidth="1" min="8" max="8"/>
    <col width="14" customWidth="1" min="9" max="9"/>
    <col width="30" customWidth="1" min="10" max="10"/>
  </cols>
  <sheetData>
    <row r="1" ht="35" customHeight="1">
      <c r="A1" s="1" t="inlineStr">
        <is>
          <t>EVIDENCE REGISTER - VENDOR DUE DILIGENCE &amp; CONTRACTS</t>
        </is>
      </c>
    </row>
    <row r="2">
      <c r="A2" s="2" t="inlineStr">
        <is>
          <t>Track all vendor contracts, certifications, and compliance documentation</t>
        </is>
      </c>
    </row>
    <row r="4">
      <c r="A4" s="12" t="inlineStr">
        <is>
          <t>Evidence ID</t>
        </is>
      </c>
      <c r="B4" s="12" t="inlineStr">
        <is>
          <t>Vendor Name</t>
        </is>
      </c>
      <c r="C4" s="12" t="inlineStr">
        <is>
          <t>Evidence Type</t>
        </is>
      </c>
      <c r="D4" s="12" t="inlineStr">
        <is>
          <t>Description</t>
        </is>
      </c>
      <c r="E4" s="12" t="inlineStr">
        <is>
          <t>File Location / URL</t>
        </is>
      </c>
      <c r="F4" s="12" t="inlineStr">
        <is>
          <t>Document Date</t>
        </is>
      </c>
      <c r="G4" s="12" t="inlineStr">
        <is>
          <t>Expiry/Renewal Date</t>
        </is>
      </c>
      <c r="H4" s="12" t="inlineStr">
        <is>
          <t>Document Owner</t>
        </is>
      </c>
      <c r="I4" s="12" t="inlineStr">
        <is>
          <t>Status</t>
        </is>
      </c>
      <c r="J4" s="12" t="inlineStr">
        <is>
          <t>Notes</t>
        </is>
      </c>
    </row>
    <row r="5">
      <c r="A5" s="17" t="inlineStr">
        <is>
          <t>EV-VDD-001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3" t="inlineStr"/>
      <c r="I5" s="13" t="inlineStr"/>
      <c r="J5" s="13" t="inlineStr"/>
    </row>
    <row r="6">
      <c r="A6" s="17" t="inlineStr">
        <is>
          <t>EV-VDD-002</t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</row>
    <row r="7">
      <c r="A7" s="17" t="inlineStr">
        <is>
          <t>EV-VDD-003</t>
        </is>
      </c>
      <c r="B7" s="13" t="inlineStr"/>
      <c r="C7" s="13" t="inlineStr"/>
      <c r="D7" s="13" t="inlineStr"/>
      <c r="E7" s="13" t="inlineStr"/>
      <c r="F7" s="13" t="inlineStr"/>
      <c r="G7" s="13" t="inlineStr"/>
      <c r="H7" s="13" t="inlineStr"/>
      <c r="I7" s="13" t="inlineStr"/>
      <c r="J7" s="13" t="inlineStr"/>
    </row>
    <row r="8">
      <c r="A8" s="17" t="inlineStr">
        <is>
          <t>EV-VDD-004</t>
        </is>
      </c>
      <c r="B8" s="13" t="inlineStr"/>
      <c r="C8" s="13" t="inlineStr"/>
      <c r="D8" s="13" t="inlineStr"/>
      <c r="E8" s="13" t="inlineStr"/>
      <c r="F8" s="13" t="inlineStr"/>
      <c r="G8" s="13" t="inlineStr"/>
      <c r="H8" s="13" t="inlineStr"/>
      <c r="I8" s="13" t="inlineStr"/>
      <c r="J8" s="13" t="inlineStr"/>
    </row>
    <row r="9">
      <c r="A9" s="17" t="inlineStr">
        <is>
          <t>EV-VDD-005</t>
        </is>
      </c>
      <c r="B9" s="13" t="inlineStr"/>
      <c r="C9" s="13" t="inlineStr"/>
      <c r="D9" s="13" t="inlineStr"/>
      <c r="E9" s="13" t="inlineStr"/>
      <c r="F9" s="13" t="inlineStr"/>
      <c r="G9" s="13" t="inlineStr"/>
      <c r="H9" s="13" t="inlineStr"/>
      <c r="I9" s="13" t="inlineStr"/>
      <c r="J9" s="13" t="inlineStr"/>
    </row>
    <row r="10">
      <c r="A10" s="17" t="inlineStr">
        <is>
          <t>EV-VDD-006</t>
        </is>
      </c>
      <c r="B10" s="13" t="inlineStr"/>
      <c r="C10" s="13" t="inlineStr"/>
      <c r="D10" s="13" t="inlineStr"/>
      <c r="E10" s="13" t="inlineStr"/>
      <c r="F10" s="13" t="inlineStr"/>
      <c r="G10" s="13" t="inlineStr"/>
      <c r="H10" s="13" t="inlineStr"/>
      <c r="I10" s="13" t="inlineStr"/>
      <c r="J10" s="13" t="inlineStr"/>
    </row>
    <row r="11">
      <c r="A11" s="17" t="inlineStr">
        <is>
          <t>EV-VDD-007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inlineStr"/>
      <c r="J11" s="13" t="inlineStr"/>
    </row>
    <row r="12">
      <c r="A12" s="17" t="inlineStr">
        <is>
          <t>EV-VDD-008</t>
        </is>
      </c>
      <c r="B12" s="13" t="inlineStr"/>
      <c r="C12" s="13" t="inlineStr"/>
      <c r="D12" s="13" t="inlineStr"/>
      <c r="E12" s="13" t="inlineStr"/>
      <c r="F12" s="13" t="inlineStr"/>
      <c r="G12" s="13" t="inlineStr"/>
      <c r="H12" s="13" t="inlineStr"/>
      <c r="I12" s="13" t="inlineStr"/>
      <c r="J12" s="13" t="inlineStr"/>
    </row>
    <row r="13">
      <c r="A13" s="17" t="inlineStr">
        <is>
          <t>EV-VDD-009</t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</row>
    <row r="14">
      <c r="A14" s="17" t="inlineStr">
        <is>
          <t>EV-VDD-010</t>
        </is>
      </c>
      <c r="B14" s="13" t="inlineStr"/>
      <c r="C14" s="13" t="inlineStr"/>
      <c r="D14" s="13" t="inlineStr"/>
      <c r="E14" s="13" t="inlineStr"/>
      <c r="F14" s="13" t="inlineStr"/>
      <c r="G14" s="13" t="inlineStr"/>
      <c r="H14" s="13" t="inlineStr"/>
      <c r="I14" s="13" t="inlineStr"/>
      <c r="J14" s="13" t="inlineStr"/>
    </row>
    <row r="15">
      <c r="A15" s="17" t="inlineStr">
        <is>
          <t>EV-VDD-011</t>
        </is>
      </c>
      <c r="B15" s="13" t="inlineStr"/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3" t="inlineStr"/>
    </row>
    <row r="16">
      <c r="A16" s="17" t="inlineStr">
        <is>
          <t>EV-VDD-012</t>
        </is>
      </c>
      <c r="B16" s="13" t="inlineStr"/>
      <c r="C16" s="13" t="inlineStr"/>
      <c r="D16" s="13" t="inlineStr"/>
      <c r="E16" s="13" t="inlineStr"/>
      <c r="F16" s="13" t="inlineStr"/>
      <c r="G16" s="13" t="inlineStr"/>
      <c r="H16" s="13" t="inlineStr"/>
      <c r="I16" s="13" t="inlineStr"/>
      <c r="J16" s="13" t="inlineStr"/>
    </row>
    <row r="17">
      <c r="A17" s="17" t="inlineStr">
        <is>
          <t>EV-VDD-013</t>
        </is>
      </c>
      <c r="B17" s="13" t="inlineStr"/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3" t="inlineStr"/>
    </row>
    <row r="18">
      <c r="A18" s="17" t="inlineStr">
        <is>
          <t>EV-VDD-014</t>
        </is>
      </c>
      <c r="B18" s="13" t="inlineStr"/>
      <c r="C18" s="13" t="inlineStr"/>
      <c r="D18" s="13" t="inlineStr"/>
      <c r="E18" s="13" t="inlineStr"/>
      <c r="F18" s="13" t="inlineStr"/>
      <c r="G18" s="13" t="inlineStr"/>
      <c r="H18" s="13" t="inlineStr"/>
      <c r="I18" s="13" t="inlineStr"/>
      <c r="J18" s="13" t="inlineStr"/>
    </row>
    <row r="19">
      <c r="A19" s="17" t="inlineStr">
        <is>
          <t>EV-VDD-015</t>
        </is>
      </c>
      <c r="B19" s="13" t="inlineStr"/>
      <c r="C19" s="13" t="inlineStr"/>
      <c r="D19" s="13" t="inlineStr"/>
      <c r="E19" s="13" t="inlineStr"/>
      <c r="F19" s="13" t="inlineStr"/>
      <c r="G19" s="13" t="inlineStr"/>
      <c r="H19" s="13" t="inlineStr"/>
      <c r="I19" s="13" t="inlineStr"/>
      <c r="J19" s="13" t="inlineStr"/>
    </row>
    <row r="20">
      <c r="A20" s="17" t="inlineStr">
        <is>
          <t>EV-VDD-016</t>
        </is>
      </c>
      <c r="B20" s="13" t="inlineStr"/>
      <c r="C20" s="13" t="inlineStr"/>
      <c r="D20" s="13" t="inlineStr"/>
      <c r="E20" s="13" t="inlineStr"/>
      <c r="F20" s="13" t="inlineStr"/>
      <c r="G20" s="13" t="inlineStr"/>
      <c r="H20" s="13" t="inlineStr"/>
      <c r="I20" s="13" t="inlineStr"/>
      <c r="J20" s="13" t="inlineStr"/>
    </row>
    <row r="21">
      <c r="A21" s="17" t="inlineStr">
        <is>
          <t>EV-VDD-017</t>
        </is>
      </c>
      <c r="B21" s="13" t="inlineStr"/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</row>
    <row r="22">
      <c r="A22" s="17" t="inlineStr">
        <is>
          <t>EV-VDD-018</t>
        </is>
      </c>
      <c r="B22" s="13" t="inlineStr"/>
      <c r="C22" s="13" t="inlineStr"/>
      <c r="D22" s="13" t="inlineStr"/>
      <c r="E22" s="13" t="inlineStr"/>
      <c r="F22" s="13" t="inlineStr"/>
      <c r="G22" s="13" t="inlineStr"/>
      <c r="H22" s="13" t="inlineStr"/>
      <c r="I22" s="13" t="inlineStr"/>
      <c r="J22" s="13" t="inlineStr"/>
    </row>
    <row r="23">
      <c r="A23" s="17" t="inlineStr">
        <is>
          <t>EV-VDD-019</t>
        </is>
      </c>
      <c r="B23" s="13" t="inlineStr"/>
      <c r="C23" s="13" t="inlineStr"/>
      <c r="D23" s="13" t="inlineStr"/>
      <c r="E23" s="13" t="inlineStr"/>
      <c r="F23" s="13" t="inlineStr"/>
      <c r="G23" s="13" t="inlineStr"/>
      <c r="H23" s="13" t="inlineStr"/>
      <c r="I23" s="13" t="inlineStr"/>
      <c r="J23" s="13" t="inlineStr"/>
    </row>
    <row r="24">
      <c r="A24" s="17" t="inlineStr">
        <is>
          <t>EV-VDD-020</t>
        </is>
      </c>
      <c r="B24" s="13" t="inlineStr"/>
      <c r="C24" s="13" t="inlineStr"/>
      <c r="D24" s="13" t="inlineStr"/>
      <c r="E24" s="13" t="inlineStr"/>
      <c r="F24" s="13" t="inlineStr"/>
      <c r="G24" s="13" t="inlineStr"/>
      <c r="H24" s="13" t="inlineStr"/>
      <c r="I24" s="13" t="inlineStr"/>
      <c r="J24" s="13" t="inlineStr"/>
    </row>
    <row r="25">
      <c r="A25" s="17" t="inlineStr">
        <is>
          <t>EV-VDD-021</t>
        </is>
      </c>
      <c r="B25" s="13" t="inlineStr"/>
      <c r="C25" s="13" t="inlineStr"/>
      <c r="D25" s="13" t="inlineStr"/>
      <c r="E25" s="13" t="inlineStr"/>
      <c r="F25" s="13" t="inlineStr"/>
      <c r="G25" s="13" t="inlineStr"/>
      <c r="H25" s="13" t="inlineStr"/>
      <c r="I25" s="13" t="inlineStr"/>
      <c r="J25" s="13" t="inlineStr"/>
    </row>
    <row r="26">
      <c r="A26" s="17" t="inlineStr">
        <is>
          <t>EV-VDD-022</t>
        </is>
      </c>
      <c r="B26" s="13" t="inlineStr"/>
      <c r="C26" s="13" t="inlineStr"/>
      <c r="D26" s="13" t="inlineStr"/>
      <c r="E26" s="13" t="inlineStr"/>
      <c r="F26" s="13" t="inlineStr"/>
      <c r="G26" s="13" t="inlineStr"/>
      <c r="H26" s="13" t="inlineStr"/>
      <c r="I26" s="13" t="inlineStr"/>
      <c r="J26" s="13" t="inlineStr"/>
    </row>
    <row r="27">
      <c r="A27" s="17" t="inlineStr">
        <is>
          <t>EV-VDD-023</t>
        </is>
      </c>
      <c r="B27" s="13" t="inlineStr"/>
      <c r="C27" s="13" t="inlineStr"/>
      <c r="D27" s="13" t="inlineStr"/>
      <c r="E27" s="13" t="inlineStr"/>
      <c r="F27" s="13" t="inlineStr"/>
      <c r="G27" s="13" t="inlineStr"/>
      <c r="H27" s="13" t="inlineStr"/>
      <c r="I27" s="13" t="inlineStr"/>
      <c r="J27" s="13" t="inlineStr"/>
    </row>
    <row r="28">
      <c r="A28" s="17" t="inlineStr">
        <is>
          <t>EV-VDD-024</t>
        </is>
      </c>
      <c r="B28" s="13" t="inlineStr"/>
      <c r="C28" s="13" t="inlineStr"/>
      <c r="D28" s="13" t="inlineStr"/>
      <c r="E28" s="13" t="inlineStr"/>
      <c r="F28" s="13" t="inlineStr"/>
      <c r="G28" s="13" t="inlineStr"/>
      <c r="H28" s="13" t="inlineStr"/>
      <c r="I28" s="13" t="inlineStr"/>
      <c r="J28" s="13" t="inlineStr"/>
    </row>
    <row r="29">
      <c r="A29" s="17" t="inlineStr">
        <is>
          <t>EV-VDD-025</t>
        </is>
      </c>
      <c r="B29" s="13" t="inlineStr"/>
      <c r="C29" s="13" t="inlineStr"/>
      <c r="D29" s="13" t="inlineStr"/>
      <c r="E29" s="13" t="inlineStr"/>
      <c r="F29" s="13" t="inlineStr"/>
      <c r="G29" s="13" t="inlineStr"/>
      <c r="H29" s="13" t="inlineStr"/>
      <c r="I29" s="13" t="inlineStr"/>
      <c r="J29" s="13" t="inlineStr"/>
    </row>
    <row r="30">
      <c r="A30" s="17" t="inlineStr">
        <is>
          <t>EV-VDD-026</t>
        </is>
      </c>
      <c r="B30" s="13" t="inlineStr"/>
      <c r="C30" s="13" t="inlineStr"/>
      <c r="D30" s="13" t="inlineStr"/>
      <c r="E30" s="13" t="inlineStr"/>
      <c r="F30" s="13" t="inlineStr"/>
      <c r="G30" s="13" t="inlineStr"/>
      <c r="H30" s="13" t="inlineStr"/>
      <c r="I30" s="13" t="inlineStr"/>
      <c r="J30" s="13" t="inlineStr"/>
    </row>
    <row r="31">
      <c r="A31" s="17" t="inlineStr">
        <is>
          <t>EV-VDD-027</t>
        </is>
      </c>
      <c r="B31" s="13" t="inlineStr"/>
      <c r="C31" s="13" t="inlineStr"/>
      <c r="D31" s="13" t="inlineStr"/>
      <c r="E31" s="13" t="inlineStr"/>
      <c r="F31" s="13" t="inlineStr"/>
      <c r="G31" s="13" t="inlineStr"/>
      <c r="H31" s="13" t="inlineStr"/>
      <c r="I31" s="13" t="inlineStr"/>
      <c r="J31" s="13" t="inlineStr"/>
    </row>
    <row r="32">
      <c r="A32" s="17" t="inlineStr">
        <is>
          <t>EV-VDD-028</t>
        </is>
      </c>
      <c r="B32" s="13" t="inlineStr"/>
      <c r="C32" s="13" t="inlineStr"/>
      <c r="D32" s="13" t="inlineStr"/>
      <c r="E32" s="13" t="inlineStr"/>
      <c r="F32" s="13" t="inlineStr"/>
      <c r="G32" s="13" t="inlineStr"/>
      <c r="H32" s="13" t="inlineStr"/>
      <c r="I32" s="13" t="inlineStr"/>
      <c r="J32" s="13" t="inlineStr"/>
    </row>
    <row r="33">
      <c r="A33" s="17" t="inlineStr">
        <is>
          <t>EV-VDD-029</t>
        </is>
      </c>
      <c r="B33" s="13" t="inlineStr"/>
      <c r="C33" s="13" t="inlineStr"/>
      <c r="D33" s="13" t="inlineStr"/>
      <c r="E33" s="13" t="inlineStr"/>
      <c r="F33" s="13" t="inlineStr"/>
      <c r="G33" s="13" t="inlineStr"/>
      <c r="H33" s="13" t="inlineStr"/>
      <c r="I33" s="13" t="inlineStr"/>
      <c r="J33" s="13" t="inlineStr"/>
    </row>
    <row r="34">
      <c r="A34" s="17" t="inlineStr">
        <is>
          <t>EV-VDD-030</t>
        </is>
      </c>
      <c r="B34" s="13" t="inlineStr"/>
      <c r="C34" s="13" t="inlineStr"/>
      <c r="D34" s="13" t="inlineStr"/>
      <c r="E34" s="13" t="inlineStr"/>
      <c r="F34" s="13" t="inlineStr"/>
      <c r="G34" s="13" t="inlineStr"/>
      <c r="H34" s="13" t="inlineStr"/>
      <c r="I34" s="13" t="inlineStr"/>
      <c r="J34" s="13" t="inlineStr"/>
    </row>
    <row r="35">
      <c r="A35" s="17" t="inlineStr">
        <is>
          <t>EV-VDD-031</t>
        </is>
      </c>
      <c r="B35" s="13" t="inlineStr"/>
      <c r="C35" s="13" t="inlineStr"/>
      <c r="D35" s="13" t="inlineStr"/>
      <c r="E35" s="13" t="inlineStr"/>
      <c r="F35" s="13" t="inlineStr"/>
      <c r="G35" s="13" t="inlineStr"/>
      <c r="H35" s="13" t="inlineStr"/>
      <c r="I35" s="13" t="inlineStr"/>
      <c r="J35" s="13" t="inlineStr"/>
    </row>
    <row r="36">
      <c r="A36" s="17" t="inlineStr">
        <is>
          <t>EV-VDD-032</t>
        </is>
      </c>
      <c r="B36" s="13" t="inlineStr"/>
      <c r="C36" s="13" t="inlineStr"/>
      <c r="D36" s="13" t="inlineStr"/>
      <c r="E36" s="13" t="inlineStr"/>
      <c r="F36" s="13" t="inlineStr"/>
      <c r="G36" s="13" t="inlineStr"/>
      <c r="H36" s="13" t="inlineStr"/>
      <c r="I36" s="13" t="inlineStr"/>
      <c r="J36" s="13" t="inlineStr"/>
    </row>
    <row r="37">
      <c r="A37" s="17" t="inlineStr">
        <is>
          <t>EV-VDD-033</t>
        </is>
      </c>
      <c r="B37" s="13" t="inlineStr"/>
      <c r="C37" s="13" t="inlineStr"/>
      <c r="D37" s="13" t="inlineStr"/>
      <c r="E37" s="13" t="inlineStr"/>
      <c r="F37" s="13" t="inlineStr"/>
      <c r="G37" s="13" t="inlineStr"/>
      <c r="H37" s="13" t="inlineStr"/>
      <c r="I37" s="13" t="inlineStr"/>
      <c r="J37" s="13" t="inlineStr"/>
    </row>
    <row r="38">
      <c r="A38" s="17" t="inlineStr">
        <is>
          <t>EV-VDD-034</t>
        </is>
      </c>
      <c r="B38" s="13" t="inlineStr"/>
      <c r="C38" s="13" t="inlineStr"/>
      <c r="D38" s="13" t="inlineStr"/>
      <c r="E38" s="13" t="inlineStr"/>
      <c r="F38" s="13" t="inlineStr"/>
      <c r="G38" s="13" t="inlineStr"/>
      <c r="H38" s="13" t="inlineStr"/>
      <c r="I38" s="13" t="inlineStr"/>
      <c r="J38" s="13" t="inlineStr"/>
    </row>
    <row r="39">
      <c r="A39" s="17" t="inlineStr">
        <is>
          <t>EV-VDD-035</t>
        </is>
      </c>
      <c r="B39" s="13" t="inlineStr"/>
      <c r="C39" s="13" t="inlineStr"/>
      <c r="D39" s="13" t="inlineStr"/>
      <c r="E39" s="13" t="inlineStr"/>
      <c r="F39" s="13" t="inlineStr"/>
      <c r="G39" s="13" t="inlineStr"/>
      <c r="H39" s="13" t="inlineStr"/>
      <c r="I39" s="13" t="inlineStr"/>
      <c r="J39" s="13" t="inlineStr"/>
    </row>
    <row r="40">
      <c r="A40" s="17" t="inlineStr">
        <is>
          <t>EV-VDD-036</t>
        </is>
      </c>
      <c r="B40" s="13" t="inlineStr"/>
      <c r="C40" s="13" t="inlineStr"/>
      <c r="D40" s="13" t="inlineStr"/>
      <c r="E40" s="13" t="inlineStr"/>
      <c r="F40" s="13" t="inlineStr"/>
      <c r="G40" s="13" t="inlineStr"/>
      <c r="H40" s="13" t="inlineStr"/>
      <c r="I40" s="13" t="inlineStr"/>
      <c r="J40" s="13" t="inlineStr"/>
    </row>
    <row r="41">
      <c r="A41" s="17" t="inlineStr">
        <is>
          <t>EV-VDD-037</t>
        </is>
      </c>
      <c r="B41" s="13" t="inlineStr"/>
      <c r="C41" s="13" t="inlineStr"/>
      <c r="D41" s="13" t="inlineStr"/>
      <c r="E41" s="13" t="inlineStr"/>
      <c r="F41" s="13" t="inlineStr"/>
      <c r="G41" s="13" t="inlineStr"/>
      <c r="H41" s="13" t="inlineStr"/>
      <c r="I41" s="13" t="inlineStr"/>
      <c r="J41" s="13" t="inlineStr"/>
    </row>
    <row r="42">
      <c r="A42" s="17" t="inlineStr">
        <is>
          <t>EV-VDD-038</t>
        </is>
      </c>
      <c r="B42" s="13" t="inlineStr"/>
      <c r="C42" s="13" t="inlineStr"/>
      <c r="D42" s="13" t="inlineStr"/>
      <c r="E42" s="13" t="inlineStr"/>
      <c r="F42" s="13" t="inlineStr"/>
      <c r="G42" s="13" t="inlineStr"/>
      <c r="H42" s="13" t="inlineStr"/>
      <c r="I42" s="13" t="inlineStr"/>
      <c r="J42" s="13" t="inlineStr"/>
    </row>
    <row r="43">
      <c r="A43" s="17" t="inlineStr">
        <is>
          <t>EV-VDD-039</t>
        </is>
      </c>
      <c r="B43" s="13" t="inlineStr"/>
      <c r="C43" s="13" t="inlineStr"/>
      <c r="D43" s="13" t="inlineStr"/>
      <c r="E43" s="13" t="inlineStr"/>
      <c r="F43" s="13" t="inlineStr"/>
      <c r="G43" s="13" t="inlineStr"/>
      <c r="H43" s="13" t="inlineStr"/>
      <c r="I43" s="13" t="inlineStr"/>
      <c r="J43" s="13" t="inlineStr"/>
    </row>
    <row r="44">
      <c r="A44" s="17" t="inlineStr">
        <is>
          <t>EV-VDD-040</t>
        </is>
      </c>
      <c r="B44" s="13" t="inlineStr"/>
      <c r="C44" s="13" t="inlineStr"/>
      <c r="D44" s="13" t="inlineStr"/>
      <c r="E44" s="13" t="inlineStr"/>
      <c r="F44" s="13" t="inlineStr"/>
      <c r="G44" s="13" t="inlineStr"/>
      <c r="H44" s="13" t="inlineStr"/>
      <c r="I44" s="13" t="inlineStr"/>
      <c r="J44" s="13" t="inlineStr"/>
    </row>
    <row r="45">
      <c r="A45" s="17" t="inlineStr">
        <is>
          <t>EV-VDD-041</t>
        </is>
      </c>
      <c r="B45" s="13" t="inlineStr"/>
      <c r="C45" s="13" t="inlineStr"/>
      <c r="D45" s="13" t="inlineStr"/>
      <c r="E45" s="13" t="inlineStr"/>
      <c r="F45" s="13" t="inlineStr"/>
      <c r="G45" s="13" t="inlineStr"/>
      <c r="H45" s="13" t="inlineStr"/>
      <c r="I45" s="13" t="inlineStr"/>
      <c r="J45" s="13" t="inlineStr"/>
    </row>
    <row r="46">
      <c r="A46" s="17" t="inlineStr">
        <is>
          <t>EV-VDD-042</t>
        </is>
      </c>
      <c r="B46" s="13" t="inlineStr"/>
      <c r="C46" s="13" t="inlineStr"/>
      <c r="D46" s="13" t="inlineStr"/>
      <c r="E46" s="13" t="inlineStr"/>
      <c r="F46" s="13" t="inlineStr"/>
      <c r="G46" s="13" t="inlineStr"/>
      <c r="H46" s="13" t="inlineStr"/>
      <c r="I46" s="13" t="inlineStr"/>
      <c r="J46" s="13" t="inlineStr"/>
    </row>
    <row r="47">
      <c r="A47" s="17" t="inlineStr">
        <is>
          <t>EV-VDD-043</t>
        </is>
      </c>
      <c r="B47" s="13" t="inlineStr"/>
      <c r="C47" s="13" t="inlineStr"/>
      <c r="D47" s="13" t="inlineStr"/>
      <c r="E47" s="13" t="inlineStr"/>
      <c r="F47" s="13" t="inlineStr"/>
      <c r="G47" s="13" t="inlineStr"/>
      <c r="H47" s="13" t="inlineStr"/>
      <c r="I47" s="13" t="inlineStr"/>
      <c r="J47" s="13" t="inlineStr"/>
    </row>
    <row r="48">
      <c r="A48" s="17" t="inlineStr">
        <is>
          <t>EV-VDD-044</t>
        </is>
      </c>
      <c r="B48" s="13" t="inlineStr"/>
      <c r="C48" s="13" t="inlineStr"/>
      <c r="D48" s="13" t="inlineStr"/>
      <c r="E48" s="13" t="inlineStr"/>
      <c r="F48" s="13" t="inlineStr"/>
      <c r="G48" s="13" t="inlineStr"/>
      <c r="H48" s="13" t="inlineStr"/>
      <c r="I48" s="13" t="inlineStr"/>
      <c r="J48" s="13" t="inlineStr"/>
    </row>
    <row r="49">
      <c r="A49" s="17" t="inlineStr">
        <is>
          <t>EV-VDD-045</t>
        </is>
      </c>
      <c r="B49" s="13" t="inlineStr"/>
      <c r="C49" s="13" t="inlineStr"/>
      <c r="D49" s="13" t="inlineStr"/>
      <c r="E49" s="13" t="inlineStr"/>
      <c r="F49" s="13" t="inlineStr"/>
      <c r="G49" s="13" t="inlineStr"/>
      <c r="H49" s="13" t="inlineStr"/>
      <c r="I49" s="13" t="inlineStr"/>
      <c r="J49" s="13" t="inlineStr"/>
    </row>
    <row r="50">
      <c r="A50" s="17" t="inlineStr">
        <is>
          <t>EV-VDD-046</t>
        </is>
      </c>
      <c r="B50" s="13" t="inlineStr"/>
      <c r="C50" s="13" t="inlineStr"/>
      <c r="D50" s="13" t="inlineStr"/>
      <c r="E50" s="13" t="inlineStr"/>
      <c r="F50" s="13" t="inlineStr"/>
      <c r="G50" s="13" t="inlineStr"/>
      <c r="H50" s="13" t="inlineStr"/>
      <c r="I50" s="13" t="inlineStr"/>
      <c r="J50" s="13" t="inlineStr"/>
    </row>
    <row r="51">
      <c r="A51" s="17" t="inlineStr">
        <is>
          <t>EV-VDD-047</t>
        </is>
      </c>
      <c r="B51" s="13" t="inlineStr"/>
      <c r="C51" s="13" t="inlineStr"/>
      <c r="D51" s="13" t="inlineStr"/>
      <c r="E51" s="13" t="inlineStr"/>
      <c r="F51" s="13" t="inlineStr"/>
      <c r="G51" s="13" t="inlineStr"/>
      <c r="H51" s="13" t="inlineStr"/>
      <c r="I51" s="13" t="inlineStr"/>
      <c r="J51" s="13" t="inlineStr"/>
    </row>
    <row r="52">
      <c r="A52" s="17" t="inlineStr">
        <is>
          <t>EV-VDD-048</t>
        </is>
      </c>
      <c r="B52" s="13" t="inlineStr"/>
      <c r="C52" s="13" t="inlineStr"/>
      <c r="D52" s="13" t="inlineStr"/>
      <c r="E52" s="13" t="inlineStr"/>
      <c r="F52" s="13" t="inlineStr"/>
      <c r="G52" s="13" t="inlineStr"/>
      <c r="H52" s="13" t="inlineStr"/>
      <c r="I52" s="13" t="inlineStr"/>
      <c r="J52" s="13" t="inlineStr"/>
    </row>
    <row r="53">
      <c r="A53" s="17" t="inlineStr">
        <is>
          <t>EV-VDD-049</t>
        </is>
      </c>
      <c r="B53" s="13" t="inlineStr"/>
      <c r="C53" s="13" t="inlineStr"/>
      <c r="D53" s="13" t="inlineStr"/>
      <c r="E53" s="13" t="inlineStr"/>
      <c r="F53" s="13" t="inlineStr"/>
      <c r="G53" s="13" t="inlineStr"/>
      <c r="H53" s="13" t="inlineStr"/>
      <c r="I53" s="13" t="inlineStr"/>
      <c r="J53" s="13" t="inlineStr"/>
    </row>
    <row r="54">
      <c r="A54" s="17" t="inlineStr">
        <is>
          <t>EV-VDD-050</t>
        </is>
      </c>
      <c r="B54" s="13" t="inlineStr"/>
      <c r="C54" s="13" t="inlineStr"/>
      <c r="D54" s="13" t="inlineStr"/>
      <c r="E54" s="13" t="inlineStr"/>
      <c r="F54" s="13" t="inlineStr"/>
      <c r="G54" s="13" t="inlineStr"/>
      <c r="H54" s="13" t="inlineStr"/>
      <c r="I54" s="13" t="inlineStr"/>
      <c r="J54" s="13" t="inlineStr"/>
    </row>
    <row r="55">
      <c r="A55" s="17" t="inlineStr">
        <is>
          <t>EV-VDD-051</t>
        </is>
      </c>
      <c r="B55" s="13" t="inlineStr"/>
      <c r="C55" s="13" t="inlineStr"/>
      <c r="D55" s="13" t="inlineStr"/>
      <c r="E55" s="13" t="inlineStr"/>
      <c r="F55" s="13" t="inlineStr"/>
      <c r="G55" s="13" t="inlineStr"/>
      <c r="H55" s="13" t="inlineStr"/>
      <c r="I55" s="13" t="inlineStr"/>
      <c r="J55" s="13" t="inlineStr"/>
    </row>
    <row r="56">
      <c r="A56" s="17" t="inlineStr">
        <is>
          <t>EV-VDD-052</t>
        </is>
      </c>
      <c r="B56" s="13" t="inlineStr"/>
      <c r="C56" s="13" t="inlineStr"/>
      <c r="D56" s="13" t="inlineStr"/>
      <c r="E56" s="13" t="inlineStr"/>
      <c r="F56" s="13" t="inlineStr"/>
      <c r="G56" s="13" t="inlineStr"/>
      <c r="H56" s="13" t="inlineStr"/>
      <c r="I56" s="13" t="inlineStr"/>
      <c r="J56" s="13" t="inlineStr"/>
    </row>
    <row r="57">
      <c r="A57" s="17" t="inlineStr">
        <is>
          <t>EV-VDD-053</t>
        </is>
      </c>
      <c r="B57" s="13" t="inlineStr"/>
      <c r="C57" s="13" t="inlineStr"/>
      <c r="D57" s="13" t="inlineStr"/>
      <c r="E57" s="13" t="inlineStr"/>
      <c r="F57" s="13" t="inlineStr"/>
      <c r="G57" s="13" t="inlineStr"/>
      <c r="H57" s="13" t="inlineStr"/>
      <c r="I57" s="13" t="inlineStr"/>
      <c r="J57" s="13" t="inlineStr"/>
    </row>
    <row r="58">
      <c r="A58" s="17" t="inlineStr">
        <is>
          <t>EV-VDD-054</t>
        </is>
      </c>
      <c r="B58" s="13" t="inlineStr"/>
      <c r="C58" s="13" t="inlineStr"/>
      <c r="D58" s="13" t="inlineStr"/>
      <c r="E58" s="13" t="inlineStr"/>
      <c r="F58" s="13" t="inlineStr"/>
      <c r="G58" s="13" t="inlineStr"/>
      <c r="H58" s="13" t="inlineStr"/>
      <c r="I58" s="13" t="inlineStr"/>
      <c r="J58" s="13" t="inlineStr"/>
    </row>
    <row r="59">
      <c r="A59" s="17" t="inlineStr">
        <is>
          <t>EV-VDD-055</t>
        </is>
      </c>
      <c r="B59" s="13" t="inlineStr"/>
      <c r="C59" s="13" t="inlineStr"/>
      <c r="D59" s="13" t="inlineStr"/>
      <c r="E59" s="13" t="inlineStr"/>
      <c r="F59" s="13" t="inlineStr"/>
      <c r="G59" s="13" t="inlineStr"/>
      <c r="H59" s="13" t="inlineStr"/>
      <c r="I59" s="13" t="inlineStr"/>
      <c r="J59" s="13" t="inlineStr"/>
    </row>
    <row r="60">
      <c r="A60" s="17" t="inlineStr">
        <is>
          <t>EV-VDD-056</t>
        </is>
      </c>
      <c r="B60" s="13" t="inlineStr"/>
      <c r="C60" s="13" t="inlineStr"/>
      <c r="D60" s="13" t="inlineStr"/>
      <c r="E60" s="13" t="inlineStr"/>
      <c r="F60" s="13" t="inlineStr"/>
      <c r="G60" s="13" t="inlineStr"/>
      <c r="H60" s="13" t="inlineStr"/>
      <c r="I60" s="13" t="inlineStr"/>
      <c r="J60" s="13" t="inlineStr"/>
    </row>
    <row r="61">
      <c r="A61" s="17" t="inlineStr">
        <is>
          <t>EV-VDD-057</t>
        </is>
      </c>
      <c r="B61" s="13" t="inlineStr"/>
      <c r="C61" s="13" t="inlineStr"/>
      <c r="D61" s="13" t="inlineStr"/>
      <c r="E61" s="13" t="inlineStr"/>
      <c r="F61" s="13" t="inlineStr"/>
      <c r="G61" s="13" t="inlineStr"/>
      <c r="H61" s="13" t="inlineStr"/>
      <c r="I61" s="13" t="inlineStr"/>
      <c r="J61" s="13" t="inlineStr"/>
    </row>
    <row r="62">
      <c r="A62" s="17" t="inlineStr">
        <is>
          <t>EV-VDD-058</t>
        </is>
      </c>
      <c r="B62" s="13" t="inlineStr"/>
      <c r="C62" s="13" t="inlineStr"/>
      <c r="D62" s="13" t="inlineStr"/>
      <c r="E62" s="13" t="inlineStr"/>
      <c r="F62" s="13" t="inlineStr"/>
      <c r="G62" s="13" t="inlineStr"/>
      <c r="H62" s="13" t="inlineStr"/>
      <c r="I62" s="13" t="inlineStr"/>
      <c r="J62" s="13" t="inlineStr"/>
    </row>
    <row r="63">
      <c r="A63" s="17" t="inlineStr">
        <is>
          <t>EV-VDD-059</t>
        </is>
      </c>
      <c r="B63" s="13" t="inlineStr"/>
      <c r="C63" s="13" t="inlineStr"/>
      <c r="D63" s="13" t="inlineStr"/>
      <c r="E63" s="13" t="inlineStr"/>
      <c r="F63" s="13" t="inlineStr"/>
      <c r="G63" s="13" t="inlineStr"/>
      <c r="H63" s="13" t="inlineStr"/>
      <c r="I63" s="13" t="inlineStr"/>
      <c r="J63" s="13" t="inlineStr"/>
    </row>
    <row r="64">
      <c r="A64" s="17" t="inlineStr">
        <is>
          <t>EV-VDD-060</t>
        </is>
      </c>
      <c r="B64" s="13" t="inlineStr"/>
      <c r="C64" s="13" t="inlineStr"/>
      <c r="D64" s="13" t="inlineStr"/>
      <c r="E64" s="13" t="inlineStr"/>
      <c r="F64" s="13" t="inlineStr"/>
      <c r="G64" s="13" t="inlineStr"/>
      <c r="H64" s="13" t="inlineStr"/>
      <c r="I64" s="13" t="inlineStr"/>
      <c r="J64" s="13" t="inlineStr"/>
    </row>
    <row r="65">
      <c r="A65" s="17" t="inlineStr">
        <is>
          <t>EV-VDD-061</t>
        </is>
      </c>
      <c r="B65" s="13" t="inlineStr"/>
      <c r="C65" s="13" t="inlineStr"/>
      <c r="D65" s="13" t="inlineStr"/>
      <c r="E65" s="13" t="inlineStr"/>
      <c r="F65" s="13" t="inlineStr"/>
      <c r="G65" s="13" t="inlineStr"/>
      <c r="H65" s="13" t="inlineStr"/>
      <c r="I65" s="13" t="inlineStr"/>
      <c r="J65" s="13" t="inlineStr"/>
    </row>
    <row r="66">
      <c r="A66" s="17" t="inlineStr">
        <is>
          <t>EV-VDD-062</t>
        </is>
      </c>
      <c r="B66" s="13" t="inlineStr"/>
      <c r="C66" s="13" t="inlineStr"/>
      <c r="D66" s="13" t="inlineStr"/>
      <c r="E66" s="13" t="inlineStr"/>
      <c r="F66" s="13" t="inlineStr"/>
      <c r="G66" s="13" t="inlineStr"/>
      <c r="H66" s="13" t="inlineStr"/>
      <c r="I66" s="13" t="inlineStr"/>
      <c r="J66" s="13" t="inlineStr"/>
    </row>
    <row r="67">
      <c r="A67" s="17" t="inlineStr">
        <is>
          <t>EV-VDD-063</t>
        </is>
      </c>
      <c r="B67" s="13" t="inlineStr"/>
      <c r="C67" s="13" t="inlineStr"/>
      <c r="D67" s="13" t="inlineStr"/>
      <c r="E67" s="13" t="inlineStr"/>
      <c r="F67" s="13" t="inlineStr"/>
      <c r="G67" s="13" t="inlineStr"/>
      <c r="H67" s="13" t="inlineStr"/>
      <c r="I67" s="13" t="inlineStr"/>
      <c r="J67" s="13" t="inlineStr"/>
    </row>
    <row r="68">
      <c r="A68" s="17" t="inlineStr">
        <is>
          <t>EV-VDD-064</t>
        </is>
      </c>
      <c r="B68" s="13" t="inlineStr"/>
      <c r="C68" s="13" t="inlineStr"/>
      <c r="D68" s="13" t="inlineStr"/>
      <c r="E68" s="13" t="inlineStr"/>
      <c r="F68" s="13" t="inlineStr"/>
      <c r="G68" s="13" t="inlineStr"/>
      <c r="H68" s="13" t="inlineStr"/>
      <c r="I68" s="13" t="inlineStr"/>
      <c r="J68" s="13" t="inlineStr"/>
    </row>
    <row r="69">
      <c r="A69" s="17" t="inlineStr">
        <is>
          <t>EV-VDD-065</t>
        </is>
      </c>
      <c r="B69" s="13" t="inlineStr"/>
      <c r="C69" s="13" t="inlineStr"/>
      <c r="D69" s="13" t="inlineStr"/>
      <c r="E69" s="13" t="inlineStr"/>
      <c r="F69" s="13" t="inlineStr"/>
      <c r="G69" s="13" t="inlineStr"/>
      <c r="H69" s="13" t="inlineStr"/>
      <c r="I69" s="13" t="inlineStr"/>
      <c r="J69" s="13" t="inlineStr"/>
    </row>
    <row r="70">
      <c r="A70" s="17" t="inlineStr">
        <is>
          <t>EV-VDD-066</t>
        </is>
      </c>
      <c r="B70" s="13" t="inlineStr"/>
      <c r="C70" s="13" t="inlineStr"/>
      <c r="D70" s="13" t="inlineStr"/>
      <c r="E70" s="13" t="inlineStr"/>
      <c r="F70" s="13" t="inlineStr"/>
      <c r="G70" s="13" t="inlineStr"/>
      <c r="H70" s="13" t="inlineStr"/>
      <c r="I70" s="13" t="inlineStr"/>
      <c r="J70" s="13" t="inlineStr"/>
    </row>
    <row r="71">
      <c r="A71" s="17" t="inlineStr">
        <is>
          <t>EV-VDD-067</t>
        </is>
      </c>
      <c r="B71" s="13" t="inlineStr"/>
      <c r="C71" s="13" t="inlineStr"/>
      <c r="D71" s="13" t="inlineStr"/>
      <c r="E71" s="13" t="inlineStr"/>
      <c r="F71" s="13" t="inlineStr"/>
      <c r="G71" s="13" t="inlineStr"/>
      <c r="H71" s="13" t="inlineStr"/>
      <c r="I71" s="13" t="inlineStr"/>
      <c r="J71" s="13" t="inlineStr"/>
    </row>
    <row r="72">
      <c r="A72" s="17" t="inlineStr">
        <is>
          <t>EV-VDD-068</t>
        </is>
      </c>
      <c r="B72" s="13" t="inlineStr"/>
      <c r="C72" s="13" t="inlineStr"/>
      <c r="D72" s="13" t="inlineStr"/>
      <c r="E72" s="13" t="inlineStr"/>
      <c r="F72" s="13" t="inlineStr"/>
      <c r="G72" s="13" t="inlineStr"/>
      <c r="H72" s="13" t="inlineStr"/>
      <c r="I72" s="13" t="inlineStr"/>
      <c r="J72" s="13" t="inlineStr"/>
    </row>
    <row r="73">
      <c r="A73" s="17" t="inlineStr">
        <is>
          <t>EV-VDD-069</t>
        </is>
      </c>
      <c r="B73" s="13" t="inlineStr"/>
      <c r="C73" s="13" t="inlineStr"/>
      <c r="D73" s="13" t="inlineStr"/>
      <c r="E73" s="13" t="inlineStr"/>
      <c r="F73" s="13" t="inlineStr"/>
      <c r="G73" s="13" t="inlineStr"/>
      <c r="H73" s="13" t="inlineStr"/>
      <c r="I73" s="13" t="inlineStr"/>
      <c r="J73" s="13" t="inlineStr"/>
    </row>
    <row r="74">
      <c r="A74" s="17" t="inlineStr">
        <is>
          <t>EV-VDD-070</t>
        </is>
      </c>
      <c r="B74" s="13" t="inlineStr"/>
      <c r="C74" s="13" t="inlineStr"/>
      <c r="D74" s="13" t="inlineStr"/>
      <c r="E74" s="13" t="inlineStr"/>
      <c r="F74" s="13" t="inlineStr"/>
      <c r="G74" s="13" t="inlineStr"/>
      <c r="H74" s="13" t="inlineStr"/>
      <c r="I74" s="13" t="inlineStr"/>
      <c r="J74" s="13" t="inlineStr"/>
    </row>
    <row r="75">
      <c r="A75" s="17" t="inlineStr">
        <is>
          <t>EV-VDD-071</t>
        </is>
      </c>
      <c r="B75" s="13" t="inlineStr"/>
      <c r="C75" s="13" t="inlineStr"/>
      <c r="D75" s="13" t="inlineStr"/>
      <c r="E75" s="13" t="inlineStr"/>
      <c r="F75" s="13" t="inlineStr"/>
      <c r="G75" s="13" t="inlineStr"/>
      <c r="H75" s="13" t="inlineStr"/>
      <c r="I75" s="13" t="inlineStr"/>
      <c r="J75" s="13" t="inlineStr"/>
    </row>
    <row r="76">
      <c r="A76" s="17" t="inlineStr">
        <is>
          <t>EV-VDD-072</t>
        </is>
      </c>
      <c r="B76" s="13" t="inlineStr"/>
      <c r="C76" s="13" t="inlineStr"/>
      <c r="D76" s="13" t="inlineStr"/>
      <c r="E76" s="13" t="inlineStr"/>
      <c r="F76" s="13" t="inlineStr"/>
      <c r="G76" s="13" t="inlineStr"/>
      <c r="H76" s="13" t="inlineStr"/>
      <c r="I76" s="13" t="inlineStr"/>
      <c r="J76" s="13" t="inlineStr"/>
    </row>
    <row r="77">
      <c r="A77" s="17" t="inlineStr">
        <is>
          <t>EV-VDD-073</t>
        </is>
      </c>
      <c r="B77" s="13" t="inlineStr"/>
      <c r="C77" s="13" t="inlineStr"/>
      <c r="D77" s="13" t="inlineStr"/>
      <c r="E77" s="13" t="inlineStr"/>
      <c r="F77" s="13" t="inlineStr"/>
      <c r="G77" s="13" t="inlineStr"/>
      <c r="H77" s="13" t="inlineStr"/>
      <c r="I77" s="13" t="inlineStr"/>
      <c r="J77" s="13" t="inlineStr"/>
    </row>
    <row r="78">
      <c r="A78" s="17" t="inlineStr">
        <is>
          <t>EV-VDD-074</t>
        </is>
      </c>
      <c r="B78" s="13" t="inlineStr"/>
      <c r="C78" s="13" t="inlineStr"/>
      <c r="D78" s="13" t="inlineStr"/>
      <c r="E78" s="13" t="inlineStr"/>
      <c r="F78" s="13" t="inlineStr"/>
      <c r="G78" s="13" t="inlineStr"/>
      <c r="H78" s="13" t="inlineStr"/>
      <c r="I78" s="13" t="inlineStr"/>
      <c r="J78" s="13" t="inlineStr"/>
    </row>
    <row r="79">
      <c r="A79" s="17" t="inlineStr">
        <is>
          <t>EV-VDD-075</t>
        </is>
      </c>
      <c r="B79" s="13" t="inlineStr"/>
      <c r="C79" s="13" t="inlineStr"/>
      <c r="D79" s="13" t="inlineStr"/>
      <c r="E79" s="13" t="inlineStr"/>
      <c r="F79" s="13" t="inlineStr"/>
      <c r="G79" s="13" t="inlineStr"/>
      <c r="H79" s="13" t="inlineStr"/>
      <c r="I79" s="13" t="inlineStr"/>
      <c r="J79" s="13" t="inlineStr"/>
    </row>
    <row r="80">
      <c r="A80" s="17" t="inlineStr">
        <is>
          <t>EV-VDD-076</t>
        </is>
      </c>
      <c r="B80" s="13" t="inlineStr"/>
      <c r="C80" s="13" t="inlineStr"/>
      <c r="D80" s="13" t="inlineStr"/>
      <c r="E80" s="13" t="inlineStr"/>
      <c r="F80" s="13" t="inlineStr"/>
      <c r="G80" s="13" t="inlineStr"/>
      <c r="H80" s="13" t="inlineStr"/>
      <c r="I80" s="13" t="inlineStr"/>
      <c r="J80" s="13" t="inlineStr"/>
    </row>
    <row r="81">
      <c r="A81" s="17" t="inlineStr">
        <is>
          <t>EV-VDD-077</t>
        </is>
      </c>
      <c r="B81" s="13" t="inlineStr"/>
      <c r="C81" s="13" t="inlineStr"/>
      <c r="D81" s="13" t="inlineStr"/>
      <c r="E81" s="13" t="inlineStr"/>
      <c r="F81" s="13" t="inlineStr"/>
      <c r="G81" s="13" t="inlineStr"/>
      <c r="H81" s="13" t="inlineStr"/>
      <c r="I81" s="13" t="inlineStr"/>
      <c r="J81" s="13" t="inlineStr"/>
    </row>
    <row r="82">
      <c r="A82" s="17" t="inlineStr">
        <is>
          <t>EV-VDD-078</t>
        </is>
      </c>
      <c r="B82" s="13" t="inlineStr"/>
      <c r="C82" s="13" t="inlineStr"/>
      <c r="D82" s="13" t="inlineStr"/>
      <c r="E82" s="13" t="inlineStr"/>
      <c r="F82" s="13" t="inlineStr"/>
      <c r="G82" s="13" t="inlineStr"/>
      <c r="H82" s="13" t="inlineStr"/>
      <c r="I82" s="13" t="inlineStr"/>
      <c r="J82" s="13" t="inlineStr"/>
    </row>
    <row r="83">
      <c r="A83" s="17" t="inlineStr">
        <is>
          <t>EV-VDD-079</t>
        </is>
      </c>
      <c r="B83" s="13" t="inlineStr"/>
      <c r="C83" s="13" t="inlineStr"/>
      <c r="D83" s="13" t="inlineStr"/>
      <c r="E83" s="13" t="inlineStr"/>
      <c r="F83" s="13" t="inlineStr"/>
      <c r="G83" s="13" t="inlineStr"/>
      <c r="H83" s="13" t="inlineStr"/>
      <c r="I83" s="13" t="inlineStr"/>
      <c r="J83" s="13" t="inlineStr"/>
    </row>
    <row r="84">
      <c r="A84" s="17" t="inlineStr">
        <is>
          <t>EV-VDD-080</t>
        </is>
      </c>
      <c r="B84" s="13" t="inlineStr"/>
      <c r="C84" s="13" t="inlineStr"/>
      <c r="D84" s="13" t="inlineStr"/>
      <c r="E84" s="13" t="inlineStr"/>
      <c r="F84" s="13" t="inlineStr"/>
      <c r="G84" s="13" t="inlineStr"/>
      <c r="H84" s="13" t="inlineStr"/>
      <c r="I84" s="13" t="inlineStr"/>
      <c r="J84" s="13" t="inlineStr"/>
    </row>
    <row r="85">
      <c r="A85" s="17" t="inlineStr">
        <is>
          <t>EV-VDD-081</t>
        </is>
      </c>
      <c r="B85" s="13" t="inlineStr"/>
      <c r="C85" s="13" t="inlineStr"/>
      <c r="D85" s="13" t="inlineStr"/>
      <c r="E85" s="13" t="inlineStr"/>
      <c r="F85" s="13" t="inlineStr"/>
      <c r="G85" s="13" t="inlineStr"/>
      <c r="H85" s="13" t="inlineStr"/>
      <c r="I85" s="13" t="inlineStr"/>
      <c r="J85" s="13" t="inlineStr"/>
    </row>
    <row r="86">
      <c r="A86" s="17" t="inlineStr">
        <is>
          <t>EV-VDD-082</t>
        </is>
      </c>
      <c r="B86" s="13" t="inlineStr"/>
      <c r="C86" s="13" t="inlineStr"/>
      <c r="D86" s="13" t="inlineStr"/>
      <c r="E86" s="13" t="inlineStr"/>
      <c r="F86" s="13" t="inlineStr"/>
      <c r="G86" s="13" t="inlineStr"/>
      <c r="H86" s="13" t="inlineStr"/>
      <c r="I86" s="13" t="inlineStr"/>
      <c r="J86" s="13" t="inlineStr"/>
    </row>
    <row r="87">
      <c r="A87" s="17" t="inlineStr">
        <is>
          <t>EV-VDD-083</t>
        </is>
      </c>
      <c r="B87" s="13" t="inlineStr"/>
      <c r="C87" s="13" t="inlineStr"/>
      <c r="D87" s="13" t="inlineStr"/>
      <c r="E87" s="13" t="inlineStr"/>
      <c r="F87" s="13" t="inlineStr"/>
      <c r="G87" s="13" t="inlineStr"/>
      <c r="H87" s="13" t="inlineStr"/>
      <c r="I87" s="13" t="inlineStr"/>
      <c r="J87" s="13" t="inlineStr"/>
    </row>
    <row r="88">
      <c r="A88" s="17" t="inlineStr">
        <is>
          <t>EV-VDD-084</t>
        </is>
      </c>
      <c r="B88" s="13" t="inlineStr"/>
      <c r="C88" s="13" t="inlineStr"/>
      <c r="D88" s="13" t="inlineStr"/>
      <c r="E88" s="13" t="inlineStr"/>
      <c r="F88" s="13" t="inlineStr"/>
      <c r="G88" s="13" t="inlineStr"/>
      <c r="H88" s="13" t="inlineStr"/>
      <c r="I88" s="13" t="inlineStr"/>
      <c r="J88" s="13" t="inlineStr"/>
    </row>
    <row r="89">
      <c r="A89" s="17" t="inlineStr">
        <is>
          <t>EV-VDD-085</t>
        </is>
      </c>
      <c r="B89" s="13" t="inlineStr"/>
      <c r="C89" s="13" t="inlineStr"/>
      <c r="D89" s="13" t="inlineStr"/>
      <c r="E89" s="13" t="inlineStr"/>
      <c r="F89" s="13" t="inlineStr"/>
      <c r="G89" s="13" t="inlineStr"/>
      <c r="H89" s="13" t="inlineStr"/>
      <c r="I89" s="13" t="inlineStr"/>
      <c r="J89" s="13" t="inlineStr"/>
    </row>
    <row r="90">
      <c r="A90" s="17" t="inlineStr">
        <is>
          <t>EV-VDD-086</t>
        </is>
      </c>
      <c r="B90" s="13" t="inlineStr"/>
      <c r="C90" s="13" t="inlineStr"/>
      <c r="D90" s="13" t="inlineStr"/>
      <c r="E90" s="13" t="inlineStr"/>
      <c r="F90" s="13" t="inlineStr"/>
      <c r="G90" s="13" t="inlineStr"/>
      <c r="H90" s="13" t="inlineStr"/>
      <c r="I90" s="13" t="inlineStr"/>
      <c r="J90" s="13" t="inlineStr"/>
    </row>
    <row r="91">
      <c r="A91" s="17" t="inlineStr">
        <is>
          <t>EV-VDD-087</t>
        </is>
      </c>
      <c r="B91" s="13" t="inlineStr"/>
      <c r="C91" s="13" t="inlineStr"/>
      <c r="D91" s="13" t="inlineStr"/>
      <c r="E91" s="13" t="inlineStr"/>
      <c r="F91" s="13" t="inlineStr"/>
      <c r="G91" s="13" t="inlineStr"/>
      <c r="H91" s="13" t="inlineStr"/>
      <c r="I91" s="13" t="inlineStr"/>
      <c r="J91" s="13" t="inlineStr"/>
    </row>
    <row r="92">
      <c r="A92" s="17" t="inlineStr">
        <is>
          <t>EV-VDD-088</t>
        </is>
      </c>
      <c r="B92" s="13" t="inlineStr"/>
      <c r="C92" s="13" t="inlineStr"/>
      <c r="D92" s="13" t="inlineStr"/>
      <c r="E92" s="13" t="inlineStr"/>
      <c r="F92" s="13" t="inlineStr"/>
      <c r="G92" s="13" t="inlineStr"/>
      <c r="H92" s="13" t="inlineStr"/>
      <c r="I92" s="13" t="inlineStr"/>
      <c r="J92" s="13" t="inlineStr"/>
    </row>
    <row r="93">
      <c r="A93" s="17" t="inlineStr">
        <is>
          <t>EV-VDD-089</t>
        </is>
      </c>
      <c r="B93" s="13" t="inlineStr"/>
      <c r="C93" s="13" t="inlineStr"/>
      <c r="D93" s="13" t="inlineStr"/>
      <c r="E93" s="13" t="inlineStr"/>
      <c r="F93" s="13" t="inlineStr"/>
      <c r="G93" s="13" t="inlineStr"/>
      <c r="H93" s="13" t="inlineStr"/>
      <c r="I93" s="13" t="inlineStr"/>
      <c r="J93" s="13" t="inlineStr"/>
    </row>
    <row r="94">
      <c r="A94" s="17" t="inlineStr">
        <is>
          <t>EV-VDD-090</t>
        </is>
      </c>
      <c r="B94" s="13" t="inlineStr"/>
      <c r="C94" s="13" t="inlineStr"/>
      <c r="D94" s="13" t="inlineStr"/>
      <c r="E94" s="13" t="inlineStr"/>
      <c r="F94" s="13" t="inlineStr"/>
      <c r="G94" s="13" t="inlineStr"/>
      <c r="H94" s="13" t="inlineStr"/>
      <c r="I94" s="13" t="inlineStr"/>
      <c r="J94" s="13" t="inlineStr"/>
    </row>
    <row r="95">
      <c r="A95" s="17" t="inlineStr">
        <is>
          <t>EV-VDD-091</t>
        </is>
      </c>
      <c r="B95" s="13" t="inlineStr"/>
      <c r="C95" s="13" t="inlineStr"/>
      <c r="D95" s="13" t="inlineStr"/>
      <c r="E95" s="13" t="inlineStr"/>
      <c r="F95" s="13" t="inlineStr"/>
      <c r="G95" s="13" t="inlineStr"/>
      <c r="H95" s="13" t="inlineStr"/>
      <c r="I95" s="13" t="inlineStr"/>
      <c r="J95" s="13" t="inlineStr"/>
    </row>
    <row r="96">
      <c r="A96" s="17" t="inlineStr">
        <is>
          <t>EV-VDD-092</t>
        </is>
      </c>
      <c r="B96" s="13" t="inlineStr"/>
      <c r="C96" s="13" t="inlineStr"/>
      <c r="D96" s="13" t="inlineStr"/>
      <c r="E96" s="13" t="inlineStr"/>
      <c r="F96" s="13" t="inlineStr"/>
      <c r="G96" s="13" t="inlineStr"/>
      <c r="H96" s="13" t="inlineStr"/>
      <c r="I96" s="13" t="inlineStr"/>
      <c r="J96" s="13" t="inlineStr"/>
    </row>
    <row r="97">
      <c r="A97" s="17" t="inlineStr">
        <is>
          <t>EV-VDD-093</t>
        </is>
      </c>
      <c r="B97" s="13" t="inlineStr"/>
      <c r="C97" s="13" t="inlineStr"/>
      <c r="D97" s="13" t="inlineStr"/>
      <c r="E97" s="13" t="inlineStr"/>
      <c r="F97" s="13" t="inlineStr"/>
      <c r="G97" s="13" t="inlineStr"/>
      <c r="H97" s="13" t="inlineStr"/>
      <c r="I97" s="13" t="inlineStr"/>
      <c r="J97" s="13" t="inlineStr"/>
    </row>
    <row r="98">
      <c r="A98" s="17" t="inlineStr">
        <is>
          <t>EV-VDD-094</t>
        </is>
      </c>
      <c r="B98" s="13" t="inlineStr"/>
      <c r="C98" s="13" t="inlineStr"/>
      <c r="D98" s="13" t="inlineStr"/>
      <c r="E98" s="13" t="inlineStr"/>
      <c r="F98" s="13" t="inlineStr"/>
      <c r="G98" s="13" t="inlineStr"/>
      <c r="H98" s="13" t="inlineStr"/>
      <c r="I98" s="13" t="inlineStr"/>
      <c r="J98" s="13" t="inlineStr"/>
    </row>
    <row r="99">
      <c r="A99" s="17" t="inlineStr">
        <is>
          <t>EV-VDD-095</t>
        </is>
      </c>
      <c r="B99" s="13" t="inlineStr"/>
      <c r="C99" s="13" t="inlineStr"/>
      <c r="D99" s="13" t="inlineStr"/>
      <c r="E99" s="13" t="inlineStr"/>
      <c r="F99" s="13" t="inlineStr"/>
      <c r="G99" s="13" t="inlineStr"/>
      <c r="H99" s="13" t="inlineStr"/>
      <c r="I99" s="13" t="inlineStr"/>
      <c r="J99" s="13" t="inlineStr"/>
    </row>
    <row r="100">
      <c r="A100" s="17" t="inlineStr">
        <is>
          <t>EV-VDD-096</t>
        </is>
      </c>
      <c r="B100" s="13" t="inlineStr"/>
      <c r="C100" s="13" t="inlineStr"/>
      <c r="D100" s="13" t="inlineStr"/>
      <c r="E100" s="13" t="inlineStr"/>
      <c r="F100" s="13" t="inlineStr"/>
      <c r="G100" s="13" t="inlineStr"/>
      <c r="H100" s="13" t="inlineStr"/>
      <c r="I100" s="13" t="inlineStr"/>
      <c r="J100" s="13" t="inlineStr"/>
    </row>
    <row r="101">
      <c r="A101" s="17" t="inlineStr">
        <is>
          <t>EV-VDD-097</t>
        </is>
      </c>
      <c r="B101" s="13" t="inlineStr"/>
      <c r="C101" s="13" t="inlineStr"/>
      <c r="D101" s="13" t="inlineStr"/>
      <c r="E101" s="13" t="inlineStr"/>
      <c r="F101" s="13" t="inlineStr"/>
      <c r="G101" s="13" t="inlineStr"/>
      <c r="H101" s="13" t="inlineStr"/>
      <c r="I101" s="13" t="inlineStr"/>
      <c r="J101" s="13" t="inlineStr"/>
    </row>
    <row r="102">
      <c r="A102" s="17" t="inlineStr">
        <is>
          <t>EV-VDD-098</t>
        </is>
      </c>
      <c r="B102" s="13" t="inlineStr"/>
      <c r="C102" s="13" t="inlineStr"/>
      <c r="D102" s="13" t="inlineStr"/>
      <c r="E102" s="13" t="inlineStr"/>
      <c r="F102" s="13" t="inlineStr"/>
      <c r="G102" s="13" t="inlineStr"/>
      <c r="H102" s="13" t="inlineStr"/>
      <c r="I102" s="13" t="inlineStr"/>
      <c r="J102" s="13" t="inlineStr"/>
    </row>
    <row r="103">
      <c r="A103" s="17" t="inlineStr">
        <is>
          <t>EV-VDD-099</t>
        </is>
      </c>
      <c r="B103" s="13" t="inlineStr"/>
      <c r="C103" s="13" t="inlineStr"/>
      <c r="D103" s="13" t="inlineStr"/>
      <c r="E103" s="13" t="inlineStr"/>
      <c r="F103" s="13" t="inlineStr"/>
      <c r="G103" s="13" t="inlineStr"/>
      <c r="H103" s="13" t="inlineStr"/>
      <c r="I103" s="13" t="inlineStr"/>
      <c r="J103" s="13" t="inlineStr"/>
    </row>
    <row r="104">
      <c r="A104" s="17" t="inlineStr">
        <is>
          <t>EV-VDD-100</t>
        </is>
      </c>
      <c r="B104" s="13" t="inlineStr"/>
      <c r="C104" s="13" t="inlineStr"/>
      <c r="D104" s="13" t="inlineStr"/>
      <c r="E104" s="13" t="inlineStr"/>
      <c r="F104" s="13" t="inlineStr"/>
      <c r="G104" s="13" t="inlineStr"/>
      <c r="H104" s="13" t="inlineStr"/>
      <c r="I104" s="13" t="inlineStr"/>
      <c r="J104" s="13" t="inlineStr"/>
    </row>
    <row r="108">
      <c r="A108" s="3" t="inlineStr">
        <is>
          <t>EVIDENCE CHECKLIST</t>
        </is>
      </c>
    </row>
    <row r="109">
      <c r="A109" t="inlineStr">
        <is>
          <t>☐ All MSAs uploaded to contract management system</t>
        </is>
      </c>
    </row>
    <row r="110">
      <c r="A110" t="inlineStr">
        <is>
          <t>☐ DPAs reviewed by Legal and Data Protection Officer</t>
        </is>
      </c>
    </row>
    <row r="111">
      <c r="A111" t="inlineStr">
        <is>
          <t>☐ SLAs attached to vendor records</t>
        </is>
      </c>
    </row>
    <row r="112">
      <c r="A112" t="inlineStr">
        <is>
          <t>☐ Current ISO 27001/SOC 2 reports on file (&lt;12 months old)</t>
        </is>
      </c>
    </row>
    <row r="113">
      <c r="A113" t="inlineStr">
        <is>
          <t>☐ FedRAMP authorization letters archived (if applicable)</t>
        </is>
      </c>
    </row>
    <row r="114">
      <c r="A114" t="inlineStr">
        <is>
          <t>☐ Vendor security questionnaires completed annually</t>
        </is>
      </c>
    </row>
    <row r="115">
      <c r="A115" t="inlineStr">
        <is>
          <t>☐ Cyber insurance certificates verified (&gt;$1M coverage)</t>
        </is>
      </c>
    </row>
    <row r="116">
      <c r="A116" t="inlineStr">
        <is>
          <t>☐ Jurisdictional risk assessments documented for US-nexus providers</t>
        </is>
      </c>
    </row>
    <row r="117">
      <c r="A117" t="inlineStr">
        <is>
          <t>☐ Risk acceptance forms signed for high-risk vendors</t>
        </is>
      </c>
    </row>
  </sheetData>
  <mergeCells count="2">
    <mergeCell ref="A1:J1"/>
    <mergeCell ref="A2:J2"/>
  </mergeCells>
  <dataValidations count="2">
    <dataValidation sqref="C5:C104" showDropDown="0" showInputMessage="0" showErrorMessage="0" allowBlank="1" type="list">
      <formula1>"Contract (MSA),Contract (DPA),Contract (SLA),ISO 27001 Cert,SOC 2 Report,FedRAMP Letter,Vendor Questionnaire,Jurisdictional Assessment,Risk Acceptance,Audit Report,Insurance Cert,Other"</formula1>
    </dataValidation>
    <dataValidation sqref="I5:I104" showDropDown="0" showInputMessage="0" showErrorMessage="0" allowBlank="1" type="list">
      <formula1>"Current,Expired,Pending Renewal,Under Review,Superseded"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1" t="inlineStr">
        <is>
          <t>APPROVAL SIGN-OFF - VENDOR DUE DILIGENCE ASSESSMENT</t>
        </is>
      </c>
    </row>
    <row r="3">
      <c r="A3" s="3" t="inlineStr">
        <is>
          <t>ASSESSMENT COMPLETION</t>
        </is>
      </c>
    </row>
    <row r="4">
      <c r="A4" s="4" t="inlineStr">
        <is>
          <t>Assessment Completed By:</t>
        </is>
      </c>
      <c r="B4" s="5" t="n"/>
    </row>
    <row r="5">
      <c r="A5" s="4" t="inlineStr">
        <is>
          <t>Completion Date:</t>
        </is>
      </c>
      <c r="B5" s="5" t="n"/>
    </row>
    <row r="6">
      <c r="A6" s="4" t="inlineStr">
        <is>
          <t>Total Vendors Assessed:</t>
        </is>
      </c>
      <c r="B6">
        <f>'8. Summary Dashboard'!B10</f>
        <v/>
      </c>
    </row>
    <row r="7">
      <c r="A7" s="4" t="inlineStr">
        <is>
          <t>Overall Compliance %:</t>
        </is>
      </c>
      <c r="B7">
        <f>'8. Summary Dashboard'!G10</f>
        <v/>
      </c>
    </row>
    <row r="8">
      <c r="A8" s="4" t="inlineStr">
        <is>
          <t>Jurisdictional Risks Identified:</t>
        </is>
      </c>
      <c r="B8">
        <f>'8. Summary Dashboard'!B20</f>
        <v/>
      </c>
    </row>
    <row r="9">
      <c r="A9" s="4" t="inlineStr">
        <is>
          <t>Critical Issues Identified:</t>
        </is>
      </c>
      <c r="B9" s="5" t="n"/>
    </row>
    <row r="10">
      <c r="A10" s="4" t="inlineStr">
        <is>
          <t>Remediation Plan Attached:</t>
        </is>
      </c>
      <c r="B10" s="5" t="n"/>
    </row>
    <row r="13">
      <c r="A13" s="18" t="inlineStr">
        <is>
          <t>LEGAL REVIEW</t>
        </is>
      </c>
    </row>
    <row r="14">
      <c r="A14" s="4" t="inlineStr">
        <is>
          <t>Reviewed By (Legal Counsel):</t>
        </is>
      </c>
      <c r="B14" s="5" t="n"/>
    </row>
    <row r="15">
      <c r="A15" s="4" t="inlineStr">
        <is>
          <t>Review Date:</t>
        </is>
      </c>
      <c r="B15" s="5" t="n"/>
    </row>
    <row r="16">
      <c r="A16" s="4" t="inlineStr">
        <is>
          <t>Contract Compliance Status:</t>
        </is>
      </c>
      <c r="B16" s="5" t="n"/>
    </row>
    <row r="17">
      <c r="A17" s="4" t="inlineStr">
        <is>
          <t>Jurisdictional Risk Acceptance:</t>
        </is>
      </c>
      <c r="B17" s="5" t="n"/>
    </row>
    <row r="18">
      <c r="A18" s="4" t="inlineStr">
        <is>
          <t>Legal Comments:</t>
        </is>
      </c>
      <c r="B18" s="5" t="n"/>
    </row>
    <row r="21">
      <c r="A21" s="18" t="inlineStr">
        <is>
          <t>PROCUREMENT REVIEW</t>
        </is>
      </c>
    </row>
    <row r="22">
      <c r="A22" s="4" t="inlineStr">
        <is>
          <t>Reviewed By (Procurement):</t>
        </is>
      </c>
      <c r="B22" s="5" t="n"/>
    </row>
    <row r="23">
      <c r="A23" s="4" t="inlineStr">
        <is>
          <t>Review Date:</t>
        </is>
      </c>
      <c r="B23" s="5" t="n"/>
    </row>
    <row r="24">
      <c r="A24" s="4" t="inlineStr">
        <is>
          <t>Commercial Terms Status:</t>
        </is>
      </c>
      <c r="B24" s="5" t="n"/>
    </row>
    <row r="25">
      <c r="A25" s="4" t="inlineStr">
        <is>
          <t>Procurement Comments:</t>
        </is>
      </c>
      <c r="B25" s="5" t="n"/>
    </row>
    <row r="28">
      <c r="A28" s="18" t="inlineStr">
        <is>
          <t>DATA PROTECTION OFFICER REVIEW</t>
        </is>
      </c>
    </row>
    <row r="29">
      <c r="A29" s="4" t="inlineStr">
        <is>
          <t>Reviewed By (DPO):</t>
        </is>
      </c>
      <c r="B29" s="5" t="n"/>
    </row>
    <row r="30">
      <c r="A30" s="4" t="inlineStr">
        <is>
          <t>Review Date:</t>
        </is>
      </c>
      <c r="B30" s="5" t="n"/>
    </row>
    <row r="31">
      <c r="A31" s="4" t="inlineStr">
        <is>
          <t>Data Protection Compliance:</t>
        </is>
      </c>
      <c r="B31" s="5" t="n"/>
    </row>
    <row r="32">
      <c r="A32" s="4" t="inlineStr">
        <is>
          <t>Cross-Border Transfer Status:</t>
        </is>
      </c>
      <c r="B32" s="5" t="n"/>
    </row>
    <row r="33">
      <c r="A33" s="4" t="inlineStr">
        <is>
          <t>DPO Comments:</t>
        </is>
      </c>
      <c r="B33" s="5" t="n"/>
    </row>
    <row r="36">
      <c r="A36" s="16" t="inlineStr">
        <is>
          <t>CISO APPROVAL</t>
        </is>
      </c>
    </row>
    <row r="37">
      <c r="A37" s="4" t="inlineStr">
        <is>
          <t>Approved By (CISO):</t>
        </is>
      </c>
      <c r="B37" s="5" t="n"/>
    </row>
    <row r="38">
      <c r="A38" s="4" t="inlineStr">
        <is>
          <t>Approval Date:</t>
        </is>
      </c>
      <c r="B38" s="5" t="n"/>
    </row>
    <row r="39">
      <c r="A39" s="4" t="inlineStr">
        <is>
          <t>Security Risk Assessment:</t>
        </is>
      </c>
      <c r="B39" s="5" t="n"/>
    </row>
    <row r="40">
      <c r="A40" s="4" t="inlineStr">
        <is>
          <t>Jurisdictional Risk Acceptance:</t>
        </is>
      </c>
      <c r="B40" s="5" t="n"/>
    </row>
    <row r="41">
      <c r="A41" s="4" t="inlineStr">
        <is>
          <t>Executive Comments:</t>
        </is>
      </c>
      <c r="B41" s="5" t="n"/>
    </row>
    <row r="44">
      <c r="A44" s="3" t="inlineStr">
        <is>
          <t>NEXT REVIEW DETAILS</t>
        </is>
      </c>
    </row>
    <row r="45">
      <c r="A45" s="4" t="inlineStr">
        <is>
          <t>Next Review Date:</t>
        </is>
      </c>
      <c r="B45" s="5" t="n"/>
    </row>
    <row r="46">
      <c r="A46" s="4" t="inlineStr">
        <is>
          <t>Review Responsible:</t>
        </is>
      </c>
      <c r="B46" s="5" t="n"/>
    </row>
    <row r="47">
      <c r="A47" s="4" t="inlineStr">
        <is>
          <t>Special Considerations:</t>
        </is>
      </c>
      <c r="B47" s="5" t="n"/>
    </row>
  </sheetData>
  <mergeCells count="34">
    <mergeCell ref="B40:E40"/>
    <mergeCell ref="B9:E9"/>
    <mergeCell ref="B6:E6"/>
    <mergeCell ref="B30:E30"/>
    <mergeCell ref="B15:E15"/>
    <mergeCell ref="B33:E33"/>
    <mergeCell ref="A1:E1"/>
    <mergeCell ref="B24:E24"/>
    <mergeCell ref="B5:E5"/>
    <mergeCell ref="A36:E36"/>
    <mergeCell ref="B32:E32"/>
    <mergeCell ref="B45:E45"/>
    <mergeCell ref="B41:E41"/>
    <mergeCell ref="B4:E4"/>
    <mergeCell ref="B16:E16"/>
    <mergeCell ref="B7:E7"/>
    <mergeCell ref="B25:E25"/>
    <mergeCell ref="B47:E47"/>
    <mergeCell ref="B46:E46"/>
    <mergeCell ref="B22:E22"/>
    <mergeCell ref="A21:E21"/>
    <mergeCell ref="B31:E31"/>
    <mergeCell ref="B18:E18"/>
    <mergeCell ref="B39:E39"/>
    <mergeCell ref="B14:E14"/>
    <mergeCell ref="B17:E17"/>
    <mergeCell ref="B23:E23"/>
    <mergeCell ref="B8:E8"/>
    <mergeCell ref="A28:E28"/>
    <mergeCell ref="B38:E38"/>
    <mergeCell ref="B29:E29"/>
    <mergeCell ref="A13:E13"/>
    <mergeCell ref="B37:E37"/>
    <mergeCell ref="B10:E10"/>
  </mergeCells>
  <dataValidations count="7">
    <dataValidation sqref="B10" showDropDown="0" showInputMessage="0" showErrorMessage="0" allowBlank="0" type="list">
      <formula1>"Yes,No,In Progress"</formula1>
    </dataValidation>
    <dataValidation sqref="B16" showDropDown="0" showInputMessage="0" showErrorMessage="0" allowBlank="0" type="list">
      <formula1>"Approved,Requires Negotiation,Non-Compliant"</formula1>
    </dataValidation>
    <dataValidation sqref="B17" showDropDown="0" showInputMessage="0" showErrorMessage="0" allowBlank="0" type="list">
      <formula1>"Approved,Approved with Conditions,Rejected,N/A"</formula1>
    </dataValidation>
    <dataValidation sqref="B24" showDropDown="0" showInputMessage="0" showErrorMessage="0" allowBlank="0" type="list">
      <formula1>"Approved,Under Negotiation,Rejected"</formula1>
    </dataValidation>
    <dataValidation sqref="B31" showDropDown="0" showInputMessage="0" showErrorMessage="0" allowBlank="0" type="list">
      <formula1>"Compliant,Partially Compliant,Non-Compliant"</formula1>
    </dataValidation>
    <dataValidation sqref="B32" showDropDown="0" showInputMessage="0" showErrorMessage="0" allowBlank="0" type="list">
      <formula1>"Approved,Approved with SCCs,Requires TIA,Rejected"</formula1>
    </dataValidation>
    <dataValidation sqref="B39 B40" showDropDown="0" showInputMessage="0" showErrorMessage="0" allowBlank="0" type="list">
      <formula1>"Approved,Approved with Conditions,Rejected"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2026-02-02T14:07:33+00:00Z</dcterms:created>
  <dcterms:modified xmlns:dcterms="http://purl.org/dc/terms/" xmlns:xsi="http://www.w3.org/2001/XMLSchema-instance" xsi:type="dcterms:W3CDTF">2026-02-02T14:07:34+00:00Z</dcterms:modified>
</cp:coreProperties>
</file>