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mputing Resources" sheetId="3" state="visible" r:id="rId3"/>
    <sheet xmlns:r="http://schemas.openxmlformats.org/officeDocument/2006/relationships" name="Data Resources" sheetId="4" state="visible" r:id="rId4"/>
    <sheet xmlns:r="http://schemas.openxmlformats.org/officeDocument/2006/relationships" name="Tooling" sheetId="5" state="visible" r:id="rId5"/>
    <sheet xmlns:r="http://schemas.openxmlformats.org/officeDocument/2006/relationships" name="System Architecture" sheetId="6" state="visible" r:id="rId6"/>
    <sheet xmlns:r="http://schemas.openxmlformats.org/officeDocument/2006/relationships" name="Human Resources" sheetId="7" state="visible" r:id="rId7"/>
  </sheets>
  <definedNames>
    <definedName name="_xlnm.Print_Area" localSheetId="0">'Executive Summary'!$A$1:$H$64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AI-CHK-A.4.2-6 — AI System Resources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AI-CHK-A.4.2-6</t>
        </is>
      </c>
    </row>
    <row r="5">
      <c r="A5" s="3" t="inlineStr">
        <is>
          <t>Source Policy</t>
        </is>
      </c>
      <c r="B5" s="4" t="inlineStr">
        <is>
          <t>AI-POL-A.4.2-6</t>
        </is>
      </c>
    </row>
    <row r="6">
      <c r="A6" s="3" t="inlineStr">
        <is>
          <t>ISO Controls</t>
        </is>
      </c>
      <c r="B6" s="4" t="inlineStr">
        <is>
          <t>AI System Resources</t>
        </is>
      </c>
    </row>
    <row r="7">
      <c r="A7" s="3" t="inlineStr">
        <is>
          <t>Generated</t>
        </is>
      </c>
      <c r="B7" s="4" t="inlineStr">
        <is>
          <t>15.04.2026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'Dashboard'!G9</f>
        <v/>
      </c>
    </row>
    <row r="14">
      <c r="A14" s="7" t="inlineStr">
        <is>
          <t>Status</t>
        </is>
      </c>
      <c r="B14" s="9">
        <f>IF(Dashboard!G9="N/A","NOT ASSESSED",IF(ISNUMBER(VALUE(SUBSTITUTE(Dashboard!G9,"%",""))),IF(VALUE(SUBSTITUTE(Dashboard!G9,"%",""))&gt;=90,"GREEN",IF(VALUE(SUBSTITUTE(Dashboard!G9,"%",""))&gt;=70,"AMBER","RED")),"NOT ASSESSED"))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'Dashboard'!B9</f>
        <v/>
      </c>
    </row>
    <row r="18">
      <c r="A18" s="3" t="inlineStr">
        <is>
          <t>Compliant</t>
        </is>
      </c>
      <c r="B18" s="10">
        <f>'Dashboard'!C9</f>
        <v/>
      </c>
    </row>
    <row r="19">
      <c r="A19" s="3" t="inlineStr">
        <is>
          <t>Partial</t>
        </is>
      </c>
      <c r="B19" s="10">
        <f>'Dashboard'!D9</f>
        <v/>
      </c>
    </row>
    <row r="20">
      <c r="A20" s="3" t="inlineStr">
        <is>
          <t>Non-Compliant</t>
        </is>
      </c>
      <c r="B20" s="10">
        <f>'Dashboard'!E9</f>
        <v/>
      </c>
    </row>
    <row r="21">
      <c r="A21" s="3" t="inlineStr">
        <is>
          <t>Not Applicable</t>
        </is>
      </c>
      <c r="B21" s="10">
        <f>'Dashboard'!F9</f>
        <v/>
      </c>
    </row>
    <row r="22">
      <c r="A22" s="3" t="inlineStr">
        <is>
          <t>Owner Coverage</t>
        </is>
      </c>
      <c r="B22" s="10">
        <f>IF(Dashboard!B9=0,"N/A",ROUND((COUNTA('Computing Resources'!F4:F8)+COUNTA('Data Resources'!F4:F7)+COUNTA('Tooling'!F4:F7)+COUNTA('System Architecture'!F4:F7)+COUNTA('Human Resources'!F4:F7))/Dashboard!B9*100,0)&amp;"%")</f>
        <v/>
      </c>
    </row>
    <row r="24">
      <c r="A24" s="6" t="inlineStr">
        <is>
          <t>DOMAIN STATUS SUMMARY</t>
        </is>
      </c>
    </row>
    <row r="25">
      <c r="A25" s="11" t="inlineStr">
        <is>
          <t>Domain</t>
        </is>
      </c>
      <c r="B25" s="11" t="inlineStr">
        <is>
          <t>Compliance %</t>
        </is>
      </c>
      <c r="C25" s="11" t="inlineStr">
        <is>
          <t>Compliant</t>
        </is>
      </c>
      <c r="D25" s="11" t="inlineStr">
        <is>
          <t>Gaps</t>
        </is>
      </c>
      <c r="E25" s="11" t="inlineStr">
        <is>
          <t>Status</t>
        </is>
      </c>
    </row>
    <row r="26">
      <c r="A26" s="4" t="inlineStr">
        <is>
          <t>Computing Resources</t>
        </is>
      </c>
      <c r="B26" s="4">
        <f>'Dashboard'!G4</f>
        <v/>
      </c>
      <c r="C26" s="4">
        <f>'Dashboard'!C4</f>
        <v/>
      </c>
      <c r="D26" s="4">
        <f>'Dashboard'!E4</f>
        <v/>
      </c>
      <c r="E26" s="4">
        <f>IF(Dashboard!G4="N/A","--",IF(ISNUMBER(VALUE(SUBSTITUTE(Dashboard!G4,"%",""))),IF(VALUE(SUBSTITUTE(Dashboard!G4,"%",""))&gt;=90,"PASS",IF(VALUE(SUBSTITUTE(Dashboard!G4,"%",""))&gt;=70,"REVIEW","FAIL")),"--"))</f>
        <v/>
      </c>
    </row>
    <row r="27">
      <c r="A27" s="4" t="inlineStr">
        <is>
          <t>Data Resources</t>
        </is>
      </c>
      <c r="B27" s="4">
        <f>'Dashboard'!G5</f>
        <v/>
      </c>
      <c r="C27" s="4">
        <f>'Dashboard'!C5</f>
        <v/>
      </c>
      <c r="D27" s="4">
        <f>'Dashboard'!E5</f>
        <v/>
      </c>
      <c r="E27" s="4">
        <f>IF(Dashboard!G5="N/A","--",IF(ISNUMBER(VALUE(SUBSTITUTE(Dashboard!G5,"%",""))),IF(VALUE(SUBSTITUTE(Dashboard!G5,"%",""))&gt;=90,"PASS",IF(VALUE(SUBSTITUTE(Dashboard!G5,"%",""))&gt;=70,"REVIEW","FAIL")),"--"))</f>
        <v/>
      </c>
    </row>
    <row r="28">
      <c r="A28" s="4" t="inlineStr">
        <is>
          <t>Tooling</t>
        </is>
      </c>
      <c r="B28" s="4">
        <f>'Dashboard'!G6</f>
        <v/>
      </c>
      <c r="C28" s="4">
        <f>'Dashboard'!C6</f>
        <v/>
      </c>
      <c r="D28" s="4">
        <f>'Dashboard'!E6</f>
        <v/>
      </c>
      <c r="E28" s="4">
        <f>IF(Dashboard!G6="N/A","--",IF(ISNUMBER(VALUE(SUBSTITUTE(Dashboard!G6,"%",""))),IF(VALUE(SUBSTITUTE(Dashboard!G6,"%",""))&gt;=90,"PASS",IF(VALUE(SUBSTITUTE(Dashboard!G6,"%",""))&gt;=70,"REVIEW","FAIL")),"--"))</f>
        <v/>
      </c>
    </row>
    <row r="29">
      <c r="A29" s="4" t="inlineStr">
        <is>
          <t>System Architecture</t>
        </is>
      </c>
      <c r="B29" s="4">
        <f>'Dashboard'!G7</f>
        <v/>
      </c>
      <c r="C29" s="4">
        <f>'Dashboard'!C7</f>
        <v/>
      </c>
      <c r="D29" s="4">
        <f>'Dashboard'!E7</f>
        <v/>
      </c>
      <c r="E29" s="4">
        <f>IF(Dashboard!G7="N/A","--",IF(ISNUMBER(VALUE(SUBSTITUTE(Dashboard!G7,"%",""))),IF(VALUE(SUBSTITUTE(Dashboard!G7,"%",""))&gt;=90,"PASS",IF(VALUE(SUBSTITUTE(Dashboard!G7,"%",""))&gt;=70,"REVIEW","FAIL")),"--"))</f>
        <v/>
      </c>
    </row>
    <row r="30">
      <c r="A30" s="4" t="inlineStr">
        <is>
          <t>Human Resources</t>
        </is>
      </c>
      <c r="B30" s="4">
        <f>'Dashboard'!G8</f>
        <v/>
      </c>
      <c r="C30" s="4">
        <f>'Dashboard'!C8</f>
        <v/>
      </c>
      <c r="D30" s="4">
        <f>'Dashboard'!E8</f>
        <v/>
      </c>
      <c r="E30" s="4">
        <f>IF(Dashboard!G8="N/A","--",IF(ISNUMBER(VALUE(SUBSTITUTE(Dashboard!G8,"%",""))),IF(VALUE(SUBSTITUTE(Dashboard!G8,"%",""))&gt;=90,"PASS",IF(VALUE(SUBSTITUTE(Dashboard!G8,"%",""))&gt;=70,"REVIEW","FAIL")),"--"))</f>
        <v/>
      </c>
    </row>
    <row r="32">
      <c r="A32" s="6" t="inlineStr">
        <is>
          <t>CRITICAL ISSUES</t>
        </is>
      </c>
    </row>
    <row r="33">
      <c r="A33" s="11" t="inlineStr">
        <is>
          <t>#</t>
        </is>
      </c>
      <c r="B33" s="11" t="inlineStr">
        <is>
          <t>Issue Description</t>
        </is>
      </c>
      <c r="C33" s="11" t="inlineStr">
        <is>
          <t>Domain</t>
        </is>
      </c>
      <c r="D33" s="11" t="inlineStr">
        <is>
          <t>Owner</t>
        </is>
      </c>
      <c r="E33" s="11" t="inlineStr">
        <is>
          <t>Due Date</t>
        </is>
      </c>
    </row>
    <row r="34">
      <c r="A34" s="4" t="n">
        <v>1</v>
      </c>
      <c r="B34" s="5" t="n"/>
      <c r="C34" s="5" t="n"/>
      <c r="D34" s="5" t="n"/>
      <c r="E34" s="5" t="n"/>
    </row>
    <row r="35">
      <c r="A35" s="4" t="n">
        <v>2</v>
      </c>
      <c r="B35" s="5" t="n"/>
      <c r="C35" s="5" t="n"/>
      <c r="D35" s="5" t="n"/>
      <c r="E35" s="5" t="n"/>
    </row>
    <row r="36">
      <c r="A36" s="4" t="n">
        <v>3</v>
      </c>
      <c r="B36" s="5" t="n"/>
      <c r="C36" s="5" t="n"/>
      <c r="D36" s="5" t="n"/>
      <c r="E36" s="5" t="n"/>
    </row>
    <row r="37">
      <c r="A37" s="4" t="n">
        <v>4</v>
      </c>
      <c r="B37" s="5" t="n"/>
      <c r="C37" s="5" t="n"/>
      <c r="D37" s="5" t="n"/>
      <c r="E37" s="5" t="n"/>
    </row>
    <row r="38">
      <c r="A38" s="4" t="n">
        <v>5</v>
      </c>
      <c r="B38" s="5" t="n"/>
      <c r="C38" s="5" t="n"/>
      <c r="D38" s="5" t="n"/>
      <c r="E38" s="5" t="n"/>
    </row>
    <row r="40">
      <c r="A40" s="6" t="inlineStr">
        <is>
          <t>MANAGEMENT COMMENTARY</t>
        </is>
      </c>
    </row>
    <row r="41" ht="60" customHeight="1">
      <c r="A41" s="12" t="inlineStr">
        <is>
          <t>[Enter management commentary on ai system resources posture]</t>
        </is>
      </c>
    </row>
    <row r="42"/>
    <row r="43"/>
    <row r="45">
      <c r="A45" s="6" t="inlineStr">
        <is>
          <t>APPROVAL</t>
        </is>
      </c>
    </row>
    <row r="46">
      <c r="A46" s="13" t="inlineStr">
        <is>
          <t>Assessed By (AI System Owner)</t>
        </is>
      </c>
    </row>
    <row r="47">
      <c r="A47" s="14" t="inlineStr">
        <is>
          <t>Name:</t>
        </is>
      </c>
      <c r="B47" s="5" t="n"/>
    </row>
    <row r="48">
      <c r="A48" s="14" t="inlineStr">
        <is>
          <t>Date:</t>
        </is>
      </c>
      <c r="B48" s="5" t="n"/>
    </row>
    <row r="49">
      <c r="A49" s="14" t="inlineStr">
        <is>
          <t>Signature:</t>
        </is>
      </c>
      <c r="B49" s="5" t="n"/>
    </row>
    <row r="50">
      <c r="A50" s="14" t="inlineStr">
        <is>
          <t>Decision:</t>
        </is>
      </c>
      <c r="B50" s="5" t="n"/>
    </row>
    <row r="52">
      <c r="A52" s="13" t="inlineStr">
        <is>
          <t>Reviewed By (AI Governance Officer)</t>
        </is>
      </c>
    </row>
    <row r="53">
      <c r="A53" s="14" t="inlineStr">
        <is>
          <t>Name:</t>
        </is>
      </c>
      <c r="B53" s="5" t="n"/>
    </row>
    <row r="54">
      <c r="A54" s="14" t="inlineStr">
        <is>
          <t>Date:</t>
        </is>
      </c>
      <c r="B54" s="5" t="n"/>
    </row>
    <row r="55">
      <c r="A55" s="14" t="inlineStr">
        <is>
          <t>Signature:</t>
        </is>
      </c>
      <c r="B55" s="5" t="n"/>
    </row>
    <row r="56">
      <c r="A56" s="14" t="inlineStr">
        <is>
          <t>Decision:</t>
        </is>
      </c>
      <c r="B56" s="5" t="n"/>
    </row>
    <row r="58">
      <c r="A58" s="13" t="inlineStr">
        <is>
          <t>Approved By (CEO / CISO)</t>
        </is>
      </c>
    </row>
    <row r="59">
      <c r="A59" s="14" t="inlineStr">
        <is>
          <t>Name:</t>
        </is>
      </c>
      <c r="B59" s="5" t="n"/>
    </row>
    <row r="60">
      <c r="A60" s="14" t="inlineStr">
        <is>
          <t>Date:</t>
        </is>
      </c>
      <c r="B60" s="5" t="n"/>
    </row>
    <row r="61">
      <c r="A61" s="14" t="inlineStr">
        <is>
          <t>Signature:</t>
        </is>
      </c>
      <c r="B61" s="5" t="n"/>
    </row>
    <row r="62">
      <c r="A62" s="14" t="inlineStr">
        <is>
          <t>Decision:</t>
        </is>
      </c>
      <c r="B62" s="5" t="n"/>
    </row>
  </sheetData>
  <mergeCells count="12">
    <mergeCell ref="A12:H12"/>
    <mergeCell ref="A45:H45"/>
    <mergeCell ref="A52:B52"/>
    <mergeCell ref="A24:H24"/>
    <mergeCell ref="A16:H16"/>
    <mergeCell ref="A41:H43"/>
    <mergeCell ref="A46:B46"/>
    <mergeCell ref="A1:H1"/>
    <mergeCell ref="A32:H32"/>
    <mergeCell ref="A3:B3"/>
    <mergeCell ref="A58:B58"/>
    <mergeCell ref="A40:H40"/>
  </mergeCells>
  <dataValidations count="1">
    <dataValidation sqref="B50 B56 B62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AI System Resources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</row>
    <row r="4">
      <c r="A4" s="3" t="inlineStr">
        <is>
          <t>Computing Resources</t>
        </is>
      </c>
      <c r="B4" s="15">
        <f>COUNTA('Computing Resources'!D4:D8)</f>
        <v/>
      </c>
      <c r="C4" s="15">
        <f>COUNTIF('Computing Resources'!D4:D8,"Compliant")</f>
        <v/>
      </c>
      <c r="D4" s="15">
        <f>COUNTIF('Computing Resources'!D4:D8,"Partial")</f>
        <v/>
      </c>
      <c r="E4" s="15">
        <f>COUNTIF('Computing Resources'!D4:D8,"Non-Compliant")</f>
        <v/>
      </c>
      <c r="F4" s="15">
        <f>COUNTIF('Computing Resources'!D4:D8,"N/A")</f>
        <v/>
      </c>
      <c r="G4" s="15">
        <f>IF((B4-F4)=0,"N/A",ROUND(C4/(B4-F4)*100,1)&amp;"%")</f>
        <v/>
      </c>
    </row>
    <row r="5">
      <c r="A5" s="3" t="inlineStr">
        <is>
          <t>Data Resources</t>
        </is>
      </c>
      <c r="B5" s="15">
        <f>COUNTA('Data Resources'!D4:D7)</f>
        <v/>
      </c>
      <c r="C5" s="15">
        <f>COUNTIF('Data Resources'!D4:D7,"Compliant")</f>
        <v/>
      </c>
      <c r="D5" s="15">
        <f>COUNTIF('Data Resources'!D4:D7,"Partial")</f>
        <v/>
      </c>
      <c r="E5" s="15">
        <f>COUNTIF('Data Resources'!D4:D7,"Non-Compliant")</f>
        <v/>
      </c>
      <c r="F5" s="15">
        <f>COUNTIF('Data Resources'!D4:D7,"N/A")</f>
        <v/>
      </c>
      <c r="G5" s="15">
        <f>IF((B5-F5)=0,"N/A",ROUND(C5/(B5-F5)*100,1)&amp;"%")</f>
        <v/>
      </c>
    </row>
    <row r="6">
      <c r="A6" s="3" t="inlineStr">
        <is>
          <t>Tooling</t>
        </is>
      </c>
      <c r="B6" s="15">
        <f>COUNTA('Tooling'!D4:D7)</f>
        <v/>
      </c>
      <c r="C6" s="15">
        <f>COUNTIF('Tooling'!D4:D7,"Compliant")</f>
        <v/>
      </c>
      <c r="D6" s="15">
        <f>COUNTIF('Tooling'!D4:D7,"Partial")</f>
        <v/>
      </c>
      <c r="E6" s="15">
        <f>COUNTIF('Tooling'!D4:D7,"Non-Compliant")</f>
        <v/>
      </c>
      <c r="F6" s="15">
        <f>COUNTIF('Tooling'!D4:D7,"N/A")</f>
        <v/>
      </c>
      <c r="G6" s="15">
        <f>IF((B6-F6)=0,"N/A",ROUND(C6/(B6-F6)*100,1)&amp;"%")</f>
        <v/>
      </c>
    </row>
    <row r="7">
      <c r="A7" s="3" t="inlineStr">
        <is>
          <t>System Architecture</t>
        </is>
      </c>
      <c r="B7" s="15">
        <f>COUNTA('System Architecture'!D4:D7)</f>
        <v/>
      </c>
      <c r="C7" s="15">
        <f>COUNTIF('System Architecture'!D4:D7,"Compliant")</f>
        <v/>
      </c>
      <c r="D7" s="15">
        <f>COUNTIF('System Architecture'!D4:D7,"Partial")</f>
        <v/>
      </c>
      <c r="E7" s="15">
        <f>COUNTIF('System Architecture'!D4:D7,"Non-Compliant")</f>
        <v/>
      </c>
      <c r="F7" s="15">
        <f>COUNTIF('System Architecture'!D4:D7,"N/A")</f>
        <v/>
      </c>
      <c r="G7" s="15">
        <f>IF((B7-F7)=0,"N/A",ROUND(C7/(B7-F7)*100,1)&amp;"%")</f>
        <v/>
      </c>
    </row>
    <row r="8">
      <c r="A8" s="3" t="inlineStr">
        <is>
          <t>Human Resources</t>
        </is>
      </c>
      <c r="B8" s="15">
        <f>COUNTA('Human Resources'!D4:D7)</f>
        <v/>
      </c>
      <c r="C8" s="15">
        <f>COUNTIF('Human Resources'!D4:D7,"Compliant")</f>
        <v/>
      </c>
      <c r="D8" s="15">
        <f>COUNTIF('Human Resources'!D4:D7,"Partial")</f>
        <v/>
      </c>
      <c r="E8" s="15">
        <f>COUNTIF('Human Resources'!D4:D7,"Non-Compliant")</f>
        <v/>
      </c>
      <c r="F8" s="15">
        <f>COUNTIF('Human Resources'!D4:D7,"N/A")</f>
        <v/>
      </c>
      <c r="G8" s="15">
        <f>IF((B8-F8)=0,"N/A",ROUND(C8/(B8-F8)*100,1)&amp;"%")</f>
        <v/>
      </c>
    </row>
    <row r="9">
      <c r="A9" s="16" t="inlineStr">
        <is>
          <t>TOTAL</t>
        </is>
      </c>
      <c r="B9" s="16">
        <f>SUM(B4:B8)</f>
        <v/>
      </c>
      <c r="C9" s="16">
        <f>SUM(C4:C8)</f>
        <v/>
      </c>
      <c r="D9" s="16">
        <f>SUM(D4:D8)</f>
        <v/>
      </c>
      <c r="E9" s="16">
        <f>SUM(E4:E8)</f>
        <v/>
      </c>
      <c r="F9" s="16">
        <f>SUM(F4:F8)</f>
        <v/>
      </c>
      <c r="G9" s="16">
        <f>IF((B9-F9)=0,"N/A",ROUND(C9/(B9-F9)*100,1)&amp;"%")</f>
        <v/>
      </c>
    </row>
    <row r="11">
      <c r="A11" s="6" t="inlineStr">
        <is>
          <t>COMPLIANCE BY STATUS</t>
        </is>
      </c>
    </row>
    <row r="12">
      <c r="A12" s="3" t="inlineStr">
        <is>
          <t>Compliant</t>
        </is>
      </c>
      <c r="B12" s="17">
        <f>C9</f>
        <v/>
      </c>
      <c r="C12" s="4">
        <f>IF(B9=0,"",ROUND(B12/B9*100,1)&amp;"%")</f>
        <v/>
      </c>
    </row>
    <row r="13">
      <c r="A13" s="3" t="inlineStr">
        <is>
          <t>Partial</t>
        </is>
      </c>
      <c r="B13" s="18">
        <f>D9</f>
        <v/>
      </c>
      <c r="C13" s="4">
        <f>IF(B9=0,"",ROUND(B13/B9*100,1)&amp;"%")</f>
        <v/>
      </c>
    </row>
    <row r="14">
      <c r="A14" s="3" t="inlineStr">
        <is>
          <t>Non-Compliant</t>
        </is>
      </c>
      <c r="B14" s="19">
        <f>E9</f>
        <v/>
      </c>
      <c r="C14" s="4">
        <f>IF(B9=0,"",ROUND(B14/B9*100,1)&amp;"%")</f>
        <v/>
      </c>
    </row>
    <row r="15">
      <c r="A15" s="3" t="inlineStr">
        <is>
          <t>N/A</t>
        </is>
      </c>
      <c r="B15" s="20">
        <f>F9</f>
        <v/>
      </c>
      <c r="C15" s="4">
        <f>IF(B9=0,"",ROUND(B15/B9*100,1)&amp;"%")</f>
        <v/>
      </c>
    </row>
    <row r="17">
      <c r="A17" s="6" t="inlineStr">
        <is>
          <t>TOP GAPS (Manual Entry)</t>
        </is>
      </c>
    </row>
    <row r="18">
      <c r="A18" s="11" t="inlineStr">
        <is>
          <t>Priority</t>
        </is>
      </c>
      <c r="B18" s="11" t="inlineStr">
        <is>
          <t>Domain</t>
        </is>
      </c>
      <c r="C18" s="11" t="inlineStr">
        <is>
          <t>Requirement</t>
        </is>
      </c>
      <c r="D18" s="11" t="inlineStr">
        <is>
          <t>Owner</t>
        </is>
      </c>
      <c r="E18" s="11" t="inlineStr">
        <is>
          <t>Due Date</t>
        </is>
      </c>
      <c r="F18" s="11" t="inlineStr">
        <is>
          <t>Status</t>
        </is>
      </c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30">
      <c r="A30" s="6" t="inlineStr">
        <is>
          <t>COMPLIANCE TREND (Manual Entry)</t>
        </is>
      </c>
    </row>
    <row r="31">
      <c r="A31" s="11" t="inlineStr">
        <is>
          <t>Assessment Date</t>
        </is>
      </c>
      <c r="B31" s="11" t="inlineStr">
        <is>
          <t>Overall %</t>
        </is>
      </c>
      <c r="C31" s="11" t="inlineStr">
        <is>
          <t>Compliant</t>
        </is>
      </c>
      <c r="D31" s="11" t="inlineStr">
        <is>
          <t>Gaps</t>
        </is>
      </c>
      <c r="E31" s="11" t="inlineStr">
        <is>
          <t>Assessor</t>
        </is>
      </c>
      <c r="F31" s="11" t="inlineStr">
        <is>
          <t>Notes</t>
        </is>
      </c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</sheetData>
  <mergeCells count="4">
    <mergeCell ref="A30:G30"/>
    <mergeCell ref="A11:G11"/>
    <mergeCell ref="A1:G1"/>
    <mergeCell ref="A17:G17"/>
  </mergeCells>
  <dataValidations count="1">
    <dataValidation sqref="F19 F20 F21 F22 F23 F24 F25 F26 F27 F28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Computing Resources — Compliance Checklist</t>
        </is>
      </c>
    </row>
    <row r="2">
      <c r="A2" s="21" t="inlineStr">
        <is>
          <t>ISO/IEC 42001:2023 — Controls A.4.2-6: AI System Resources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A.4.2-01</t>
        </is>
      </c>
      <c r="B4" s="23" t="inlineStr">
        <is>
          <t>Resource Register</t>
        </is>
      </c>
      <c r="C4" s="24" t="inlineStr">
        <is>
          <t>The organisation shall maintain an AI System Resource Register documenting all in-scope AI systems and their associated resources. The Register shall be current and reviewed at minimum annually.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A.4.2-02</t>
        </is>
      </c>
      <c r="B5" s="23" t="inlineStr">
        <is>
          <t>Infrastructure Documentation</t>
        </is>
      </c>
      <c r="C5" s="24" t="inlineStr">
        <is>
          <t>For each AI system, the organisation shall document the computing infrastructure on which the system runs, including infrastructure type, provider, and geographic location of data processing.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A.4.2-03</t>
        </is>
      </c>
      <c r="B6" s="23" t="inlineStr">
        <is>
          <t>Supplier Dependencies</t>
        </is>
      </c>
      <c r="C6" s="24" t="inlineStr">
        <is>
          <t>The organisation shall identify and document single-vendor dependencies in AI system infrastructure. Systems with critical third-party AI API dependencies shall be assessed for supply chain risk.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A.4.2-04</t>
        </is>
      </c>
      <c r="B7" s="23" t="inlineStr">
        <is>
          <t>Continuity Planning</t>
        </is>
      </c>
      <c r="C7" s="24" t="inlineStr">
        <is>
          <t>Computing resource dependencies shall be referenced in business continuity and disaster recovery plans for AI systems rated as critical or High-impact.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A.4.2-05</t>
        </is>
      </c>
      <c r="B8" s="23" t="inlineStr">
        <is>
          <t>Register Currency</t>
        </is>
      </c>
      <c r="C8" s="24" t="inlineStr">
        <is>
          <t>The AI System Resource Register shall be updated when any new AI system enters the AIMS scope, when material changes occur, and when systems are decommissioned.</t>
        </is>
      </c>
      <c r="D8" s="25" t="n"/>
      <c r="E8" s="5" t="n"/>
      <c r="F8" s="5" t="n"/>
      <c r="G8" s="26" t="n"/>
      <c r="H8" s="5" t="n"/>
    </row>
  </sheetData>
  <mergeCells count="2">
    <mergeCell ref="A2:H2"/>
    <mergeCell ref="A1:H1"/>
  </mergeCells>
  <conditionalFormatting sqref="D4:D8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Data Resources — Compliance Checklist</t>
        </is>
      </c>
    </row>
    <row r="2">
      <c r="A2" s="21" t="inlineStr">
        <is>
          <t>ISO/IEC 42001:2023 — Controls A.4.2-6: AI System Resources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A.4.3-01</t>
        </is>
      </c>
      <c r="B4" s="23" t="inlineStr">
        <is>
          <t>Data Resource Documentation</t>
        </is>
      </c>
      <c r="C4" s="24" t="inlineStr">
        <is>
          <t>The organisation shall document, for each AI system, the training datasets used and the operational data processed at inference time, including source category and data governance record references.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A.4.3-02</t>
        </is>
      </c>
      <c r="B5" s="23" t="inlineStr">
        <is>
          <t>Personal Data Flag</t>
        </is>
      </c>
      <c r="C5" s="24" t="inlineStr">
        <is>
          <t>For each AI system's data resources, the organisation shall document whether personal data is involved in training or operational use and shall confirm that a documented legal basis exists where personal data is processed.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A.4.3-03</t>
        </is>
      </c>
      <c r="B6" s="23" t="inlineStr">
        <is>
          <t>Data Records Linkage</t>
        </is>
      </c>
      <c r="C6" s="24" t="inlineStr">
        <is>
          <t>Data resource entries in the AI System Resource Register shall link to the full data governance records maintained per AI-POL-A.7.2-6 (Data for AI Systems).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A.4.3-04</t>
        </is>
      </c>
      <c r="B7" s="23" t="inlineStr">
        <is>
          <t>Prohibited Data</t>
        </is>
      </c>
      <c r="C7" s="24" t="inlineStr">
        <is>
          <t>The organisation shall document and enforce prohibitions on data sources that may not be used without explicit approval — including data with unknown provenance, unlicensed data, and personal data without a legal basis.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Tooling — Compliance Checklist</t>
        </is>
      </c>
    </row>
    <row r="2">
      <c r="A2" s="21" t="inlineStr">
        <is>
          <t>ISO/IEC 42001:2023 — Controls A.4.2-6: AI System Resources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A.4.4-01</t>
        </is>
      </c>
      <c r="B4" s="23" t="inlineStr">
        <is>
          <t>Tooling Documentation</t>
        </is>
      </c>
      <c r="C4" s="24" t="inlineStr">
        <is>
          <t>The organisation shall document, for each AI system, the key tooling used in development and operation — including MLOps platforms, model registries, monitoring tools, and logging infrastructure.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A.4.4-02</t>
        </is>
      </c>
      <c r="B5" s="23" t="inlineStr">
        <is>
          <t>Foundation Model Documentation</t>
        </is>
      </c>
      <c r="C5" s="24" t="inlineStr">
        <is>
          <t>Where AI systems use third-party foundation models or AI APIs, these shall be documented in the AI System Resource Register including provider, model name, and version.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A.4.4-03</t>
        </is>
      </c>
      <c r="B6" s="23" t="inlineStr">
        <is>
          <t>Open Source Licences</t>
        </is>
      </c>
      <c r="C6" s="24" t="inlineStr">
        <is>
          <t>Open-source AI libraries and pre-trained models used in AI systems shall have their licence reviewed by Legal before use in commercial or customer-facing applications.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A.4.4-04</t>
        </is>
      </c>
      <c r="B7" s="23" t="inlineStr">
        <is>
          <t>Vulnerability Management</t>
        </is>
      </c>
      <c r="C7" s="24" t="inlineStr">
        <is>
          <t>The organisation shall implement a process for tracking and addressing CVEs in AI-specific libraries and dependencies used in production AI systems.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System Architecture — Compliance Checklist</t>
        </is>
      </c>
    </row>
    <row r="2">
      <c r="A2" s="21" t="inlineStr">
        <is>
          <t>ISO/IEC 42001:2023 — Controls A.4.2-6: AI System Resources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A.4.5-01</t>
        </is>
      </c>
      <c r="B4" s="23" t="inlineStr">
        <is>
          <t>Architecture Documentation</t>
        </is>
      </c>
      <c r="C4" s="24" t="inlineStr">
        <is>
          <t>The organisation shall maintain architecture documentation for each AI system showing key components, data flows, integration points, and the human oversight mechanism.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A.4.5-02</t>
        </is>
      </c>
      <c r="B5" s="23" t="inlineStr">
        <is>
          <t>Integration Dependencies</t>
        </is>
      </c>
      <c r="C5" s="24" t="inlineStr">
        <is>
          <t>The organisation shall document all systems that provide input to or receive output from each AI system, enabling accurate impact assessment and incident response.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A.4.5-03</t>
        </is>
      </c>
      <c r="B6" s="23" t="inlineStr">
        <is>
          <t>Version Control</t>
        </is>
      </c>
      <c r="C6" s="24" t="inlineStr">
        <is>
          <t>Model artefacts, training code, inference code, and deployment configuration for each AI system shall be stored in version-controlled repositories with linkage between code versions and model versions.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A.4.5-04</t>
        </is>
      </c>
      <c r="B7" s="23" t="inlineStr">
        <is>
          <t>Model Registry</t>
        </is>
      </c>
      <c r="C7" s="24" t="inlineStr">
        <is>
          <t>The organisation shall maintain a model registry recording all deployed model versions with metadata including training dataset, V&amp;V record reference, AISIA reference, and deployment status.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Human Resources — Compliance Checklist</t>
        </is>
      </c>
    </row>
    <row r="2">
      <c r="A2" s="21" t="inlineStr">
        <is>
          <t>ISO/IEC 42001:2023 — Controls A.4.2-6: AI System Resources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A.4.6-01</t>
        </is>
      </c>
      <c r="B4" s="23" t="inlineStr">
        <is>
          <t>Competency Documentation</t>
        </is>
      </c>
      <c r="C4" s="24" t="inlineStr">
        <is>
          <t>For each AI system, the AI System Owner shall document the competency requirements for persons operating or using the system, including required domain expertise and AI governance knowledge.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A.4.6-02</t>
        </is>
      </c>
      <c r="B5" s="23" t="inlineStr">
        <is>
          <t>Training Completion</t>
        </is>
      </c>
      <c r="C5" s="24" t="inlineStr">
        <is>
          <t>The organisation shall maintain records of training completion for all persons operating AI systems, and shall ensure training is refreshed when systems change materially.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A.4.6-03</t>
        </is>
      </c>
      <c r="B6" s="23" t="inlineStr">
        <is>
          <t>Competency Gaps</t>
        </is>
      </c>
      <c r="C6" s="24" t="inlineStr">
        <is>
          <t>Where competency gaps are identified for AI system operators, the AI System Owner shall document and escalate the gap and shall implement a remediation plan.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A.4.6-04</t>
        </is>
      </c>
      <c r="B7" s="23" t="inlineStr">
        <is>
          <t>New System Onboarding</t>
        </is>
      </c>
      <c r="C7" s="24" t="inlineStr">
        <is>
          <t>Before a new AI system enters operational use, all users shall have completed the required training and the AI System Owner shall confirm training completion as part of the deployment gate.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2026-04-15T12:12:59Z</dcterms:created>
  <dcterms:modified xmlns:dcterms="http://purl.org/dc/terms/" xmlns:xsi="http://www.w3.org/2001/XMLSchema-instance" xsi:type="dcterms:W3CDTF">2026-04-15T12:12:59Z</dcterms:modified>
</cp:coreProperties>
</file>