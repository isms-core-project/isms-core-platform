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sponsible AI Policy" sheetId="3" state="visible" r:id="rId3"/>
    <sheet xmlns:r="http://schemas.openxmlformats.org/officeDocument/2006/relationships" name="Responsible AI Principles" sheetId="4" state="visible" r:id="rId4"/>
    <sheet xmlns:r="http://schemas.openxmlformats.org/officeDocument/2006/relationships" name="AI Policy Processes" sheetId="5" state="visible" r:id="rId5"/>
  </sheets>
  <definedNames>
    <definedName name="_xlnm.Print_Area" localSheetId="0">'Executive Summary'!$A$1:$H$62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AI-CHK-A.2.2-4 — AI Policy Framework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AI-CHK-A.2.2-4</t>
        </is>
      </c>
    </row>
    <row r="5">
      <c r="A5" s="3" t="inlineStr">
        <is>
          <t>Source Policy</t>
        </is>
      </c>
      <c r="B5" s="4" t="inlineStr">
        <is>
          <t>AI-POL-A.2.2-4</t>
        </is>
      </c>
    </row>
    <row r="6">
      <c r="A6" s="3" t="inlineStr">
        <is>
          <t>ISO Controls</t>
        </is>
      </c>
      <c r="B6" s="4" t="inlineStr">
        <is>
          <t>AI Policy Framework</t>
        </is>
      </c>
    </row>
    <row r="7">
      <c r="A7" s="3" t="inlineStr">
        <is>
          <t>Generated</t>
        </is>
      </c>
      <c r="B7" s="4" t="inlineStr">
        <is>
          <t>15.04.2026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'Dashboard'!G7</f>
        <v/>
      </c>
    </row>
    <row r="14">
      <c r="A14" s="7" t="inlineStr">
        <is>
          <t>Status</t>
        </is>
      </c>
      <c r="B14" s="9">
        <f>IF(Dashboard!G7="N/A","NOT ASSESSED",IF(ISNUMBER(VALUE(SUBSTITUTE(Dashboard!G7,"%",""))),IF(VALUE(SUBSTITUTE(Dashboard!G7,"%",""))&gt;=90,"GREEN",IF(VALUE(SUBSTITUTE(Dashboard!G7,"%",""))&gt;=70,"AMBER","RED")),"NOT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'Dashboard'!B7</f>
        <v/>
      </c>
    </row>
    <row r="18">
      <c r="A18" s="3" t="inlineStr">
        <is>
          <t>Compliant</t>
        </is>
      </c>
      <c r="B18" s="10">
        <f>'Dashboard'!C7</f>
        <v/>
      </c>
    </row>
    <row r="19">
      <c r="A19" s="3" t="inlineStr">
        <is>
          <t>Partial</t>
        </is>
      </c>
      <c r="B19" s="10">
        <f>'Dashboard'!D7</f>
        <v/>
      </c>
    </row>
    <row r="20">
      <c r="A20" s="3" t="inlineStr">
        <is>
          <t>Non-Compliant</t>
        </is>
      </c>
      <c r="B20" s="10">
        <f>'Dashboard'!E7</f>
        <v/>
      </c>
    </row>
    <row r="21">
      <c r="A21" s="3" t="inlineStr">
        <is>
          <t>Not Applicable</t>
        </is>
      </c>
      <c r="B21" s="10">
        <f>'Dashboard'!F7</f>
        <v/>
      </c>
    </row>
    <row r="22">
      <c r="A22" s="3" t="inlineStr">
        <is>
          <t>Owner Coverage</t>
        </is>
      </c>
      <c r="B22" s="10">
        <f>IF(Dashboard!B7=0,"N/A",ROUND((COUNTA('Responsible AI Policy'!F4:F9)+COUNTA('Responsible AI Principles'!F4:F9)+COUNTA('AI Policy Processes'!F4:F8))/Dashboard!B7*100,0)&amp;"%")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Responsible AI Policy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Responsible AI Principles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AI Policy Processes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30">
      <c r="A30" s="6" t="inlineStr">
        <is>
          <t>CRITICAL ISSUES</t>
        </is>
      </c>
    </row>
    <row r="31">
      <c r="A31" s="11" t="inlineStr">
        <is>
          <t>#</t>
        </is>
      </c>
      <c r="B31" s="11" t="inlineStr">
        <is>
          <t>Issue Description</t>
        </is>
      </c>
      <c r="C31" s="11" t="inlineStr">
        <is>
          <t>Domain</t>
        </is>
      </c>
      <c r="D31" s="11" t="inlineStr">
        <is>
          <t>Owner</t>
        </is>
      </c>
      <c r="E31" s="11" t="inlineStr">
        <is>
          <t>Due Date</t>
        </is>
      </c>
    </row>
    <row r="32">
      <c r="A32" s="4" t="n">
        <v>1</v>
      </c>
      <c r="B32" s="5" t="n"/>
      <c r="C32" s="5" t="n"/>
      <c r="D32" s="5" t="n"/>
      <c r="E32" s="5" t="n"/>
    </row>
    <row r="33">
      <c r="A33" s="4" t="n">
        <v>2</v>
      </c>
      <c r="B33" s="5" t="n"/>
      <c r="C33" s="5" t="n"/>
      <c r="D33" s="5" t="n"/>
      <c r="E33" s="5" t="n"/>
    </row>
    <row r="34">
      <c r="A34" s="4" t="n">
        <v>3</v>
      </c>
      <c r="B34" s="5" t="n"/>
      <c r="C34" s="5" t="n"/>
      <c r="D34" s="5" t="n"/>
      <c r="E34" s="5" t="n"/>
    </row>
    <row r="35">
      <c r="A35" s="4" t="n">
        <v>4</v>
      </c>
      <c r="B35" s="5" t="n"/>
      <c r="C35" s="5" t="n"/>
      <c r="D35" s="5" t="n"/>
      <c r="E35" s="5" t="n"/>
    </row>
    <row r="36">
      <c r="A36" s="4" t="n">
        <v>5</v>
      </c>
      <c r="B36" s="5" t="n"/>
      <c r="C36" s="5" t="n"/>
      <c r="D36" s="5" t="n"/>
      <c r="E36" s="5" t="n"/>
    </row>
    <row r="38">
      <c r="A38" s="6" t="inlineStr">
        <is>
          <t>MANAGEMENT COMMENTARY</t>
        </is>
      </c>
    </row>
    <row r="39" ht="60" customHeight="1">
      <c r="A39" s="12" t="inlineStr">
        <is>
          <t>[Enter management commentary on ai policy framework posture]</t>
        </is>
      </c>
    </row>
    <row r="40"/>
    <row r="41"/>
    <row r="43">
      <c r="A43" s="6" t="inlineStr">
        <is>
          <t>APPROVAL</t>
        </is>
      </c>
    </row>
    <row r="44">
      <c r="A44" s="13" t="inlineStr">
        <is>
          <t>Assessed By (AI System Owner)</t>
        </is>
      </c>
    </row>
    <row r="45">
      <c r="A45" s="14" t="inlineStr">
        <is>
          <t>Name:</t>
        </is>
      </c>
      <c r="B45" s="5" t="n"/>
    </row>
    <row r="46">
      <c r="A46" s="14" t="inlineStr">
        <is>
          <t>Date:</t>
        </is>
      </c>
      <c r="B46" s="5" t="n"/>
    </row>
    <row r="47">
      <c r="A47" s="14" t="inlineStr">
        <is>
          <t>Signature:</t>
        </is>
      </c>
      <c r="B47" s="5" t="n"/>
    </row>
    <row r="48">
      <c r="A48" s="14" t="inlineStr">
        <is>
          <t>Decision:</t>
        </is>
      </c>
      <c r="B48" s="5" t="n"/>
    </row>
    <row r="50">
      <c r="A50" s="13" t="inlineStr">
        <is>
          <t>Reviewed By (AI Governance Officer)</t>
        </is>
      </c>
    </row>
    <row r="51">
      <c r="A51" s="14" t="inlineStr">
        <is>
          <t>Name:</t>
        </is>
      </c>
      <c r="B51" s="5" t="n"/>
    </row>
    <row r="52">
      <c r="A52" s="14" t="inlineStr">
        <is>
          <t>Date:</t>
        </is>
      </c>
      <c r="B52" s="5" t="n"/>
    </row>
    <row r="53">
      <c r="A53" s="14" t="inlineStr">
        <is>
          <t>Signature:</t>
        </is>
      </c>
      <c r="B53" s="5" t="n"/>
    </row>
    <row r="54">
      <c r="A54" s="14" t="inlineStr">
        <is>
          <t>Decision:</t>
        </is>
      </c>
      <c r="B54" s="5" t="n"/>
    </row>
    <row r="56">
      <c r="A56" s="13" t="inlineStr">
        <is>
          <t>Approved By (CEO / CISO)</t>
        </is>
      </c>
    </row>
    <row r="57">
      <c r="A57" s="14" t="inlineStr">
        <is>
          <t>Name:</t>
        </is>
      </c>
      <c r="B57" s="5" t="n"/>
    </row>
    <row r="58">
      <c r="A58" s="14" t="inlineStr">
        <is>
          <t>Date:</t>
        </is>
      </c>
      <c r="B58" s="5" t="n"/>
    </row>
    <row r="59">
      <c r="A59" s="14" t="inlineStr">
        <is>
          <t>Signature:</t>
        </is>
      </c>
      <c r="B59" s="5" t="n"/>
    </row>
    <row r="60">
      <c r="A60" s="14" t="inlineStr">
        <is>
          <t>Decision:</t>
        </is>
      </c>
      <c r="B60" s="5" t="n"/>
    </row>
  </sheetData>
  <mergeCells count="12">
    <mergeCell ref="A12:H12"/>
    <mergeCell ref="A30:H30"/>
    <mergeCell ref="A43:H43"/>
    <mergeCell ref="A24:H24"/>
    <mergeCell ref="A16:H16"/>
    <mergeCell ref="A38:H38"/>
    <mergeCell ref="A44:B44"/>
    <mergeCell ref="A1:H1"/>
    <mergeCell ref="A56:B56"/>
    <mergeCell ref="A3:B3"/>
    <mergeCell ref="A39:H41"/>
    <mergeCell ref="A50:B50"/>
  </mergeCells>
  <dataValidations count="1">
    <dataValidation sqref="B48 B54 B60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AI Policy Framework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Responsible AI Policy</t>
        </is>
      </c>
      <c r="B4" s="15">
        <f>COUNTA('Responsible AI Policy'!D4:D9)</f>
        <v/>
      </c>
      <c r="C4" s="15">
        <f>COUNTIF('Responsible AI Policy'!D4:D9,"Compliant")</f>
        <v/>
      </c>
      <c r="D4" s="15">
        <f>COUNTIF('Responsible AI Policy'!D4:D9,"Partial")</f>
        <v/>
      </c>
      <c r="E4" s="15">
        <f>COUNTIF('Responsible AI Policy'!D4:D9,"Non-Compliant")</f>
        <v/>
      </c>
      <c r="F4" s="15">
        <f>COUNTIF('Responsible AI Policy'!D4:D9,"N/A")</f>
        <v/>
      </c>
      <c r="G4" s="15">
        <f>IF((B4-F4)=0,"N/A",ROUND(C4/(B4-F4)*100,1)&amp;"%")</f>
        <v/>
      </c>
    </row>
    <row r="5">
      <c r="A5" s="3" t="inlineStr">
        <is>
          <t>Responsible AI Principles</t>
        </is>
      </c>
      <c r="B5" s="15">
        <f>COUNTA('Responsible AI Principles'!D4:D9)</f>
        <v/>
      </c>
      <c r="C5" s="15">
        <f>COUNTIF('Responsible AI Principles'!D4:D9,"Compliant")</f>
        <v/>
      </c>
      <c r="D5" s="15">
        <f>COUNTIF('Responsible AI Principles'!D4:D9,"Partial")</f>
        <v/>
      </c>
      <c r="E5" s="15">
        <f>COUNTIF('Responsible AI Principles'!D4:D9,"Non-Compliant")</f>
        <v/>
      </c>
      <c r="F5" s="15">
        <f>COUNTIF('Responsible AI Principles'!D4:D9,"N/A")</f>
        <v/>
      </c>
      <c r="G5" s="15">
        <f>IF((B5-F5)=0,"N/A",ROUND(C5/(B5-F5)*100,1)&amp;"%")</f>
        <v/>
      </c>
    </row>
    <row r="6">
      <c r="A6" s="3" t="inlineStr">
        <is>
          <t>AI Policy Processes</t>
        </is>
      </c>
      <c r="B6" s="15">
        <f>COUNTA('AI Policy Processes'!D4:D8)</f>
        <v/>
      </c>
      <c r="C6" s="15">
        <f>COUNTIF('AI Policy Processes'!D4:D8,"Compliant")</f>
        <v/>
      </c>
      <c r="D6" s="15">
        <f>COUNTIF('AI Policy Processes'!D4:D8,"Partial")</f>
        <v/>
      </c>
      <c r="E6" s="15">
        <f>COUNTIF('AI Policy Processes'!D4:D8,"Non-Compliant")</f>
        <v/>
      </c>
      <c r="F6" s="15">
        <f>COUNTIF('AI Policy Processes'!D4:D8,"N/A")</f>
        <v/>
      </c>
      <c r="G6" s="15">
        <f>IF((B6-F6)=0,"N/A",ROUND(C6/(B6-F6)*100,1)&amp;"%")</f>
        <v/>
      </c>
    </row>
    <row r="7">
      <c r="A7" s="16" t="inlineStr">
        <is>
          <t>TOTAL</t>
        </is>
      </c>
      <c r="B7" s="16">
        <f>SUM(B4:B6)</f>
        <v/>
      </c>
      <c r="C7" s="16">
        <f>SUM(C4:C6)</f>
        <v/>
      </c>
      <c r="D7" s="16">
        <f>SUM(D4:D6)</f>
        <v/>
      </c>
      <c r="E7" s="16">
        <f>SUM(E4:E6)</f>
        <v/>
      </c>
      <c r="F7" s="16">
        <f>SUM(F4:F6)</f>
        <v/>
      </c>
      <c r="G7" s="16">
        <f>IF((B7-F7)=0,"N/A",ROUND(C7/(B7-F7)*100,1)&amp;"%")</f>
        <v/>
      </c>
    </row>
    <row r="9">
      <c r="A9" s="6" t="inlineStr">
        <is>
          <t>COMPLIANCE BY STATUS</t>
        </is>
      </c>
    </row>
    <row r="10">
      <c r="A10" s="3" t="inlineStr">
        <is>
          <t>Compliant</t>
        </is>
      </c>
      <c r="B10" s="17">
        <f>C7</f>
        <v/>
      </c>
      <c r="C10" s="4">
        <f>IF(B7=0,"",ROUND(B10/B7*100,1)&amp;"%")</f>
        <v/>
      </c>
    </row>
    <row r="11">
      <c r="A11" s="3" t="inlineStr">
        <is>
          <t>Partial</t>
        </is>
      </c>
      <c r="B11" s="18">
        <f>D7</f>
        <v/>
      </c>
      <c r="C11" s="4">
        <f>IF(B7=0,"",ROUND(B11/B7*100,1)&amp;"%")</f>
        <v/>
      </c>
    </row>
    <row r="12">
      <c r="A12" s="3" t="inlineStr">
        <is>
          <t>Non-Compliant</t>
        </is>
      </c>
      <c r="B12" s="19">
        <f>E7</f>
        <v/>
      </c>
      <c r="C12" s="4">
        <f>IF(B7=0,"",ROUND(B12/B7*100,1)&amp;"%")</f>
        <v/>
      </c>
    </row>
    <row r="13">
      <c r="A13" s="3" t="inlineStr">
        <is>
          <t>N/A</t>
        </is>
      </c>
      <c r="B13" s="20">
        <f>F7</f>
        <v/>
      </c>
      <c r="C13" s="4">
        <f>IF(B7=0,"",ROUND(B13/B7*100,1)&amp;"%")</f>
        <v/>
      </c>
    </row>
    <row r="15">
      <c r="A15" s="6" t="inlineStr">
        <is>
          <t>TOP GAPS (Manual Entry)</t>
        </is>
      </c>
    </row>
    <row r="16">
      <c r="A16" s="11" t="inlineStr">
        <is>
          <t>Priority</t>
        </is>
      </c>
      <c r="B16" s="11" t="inlineStr">
        <is>
          <t>Domain</t>
        </is>
      </c>
      <c r="C16" s="11" t="inlineStr">
        <is>
          <t>Requirement</t>
        </is>
      </c>
      <c r="D16" s="11" t="inlineStr">
        <is>
          <t>Owner</t>
        </is>
      </c>
      <c r="E16" s="11" t="inlineStr">
        <is>
          <t>Due Date</t>
        </is>
      </c>
      <c r="F16" s="11" t="inlineStr">
        <is>
          <t>Status</t>
        </is>
      </c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8">
      <c r="A28" s="6" t="inlineStr">
        <is>
          <t>COMPLIANCE TREND (Manual Entry)</t>
        </is>
      </c>
    </row>
    <row r="29">
      <c r="A29" s="11" t="inlineStr">
        <is>
          <t>Assessment Date</t>
        </is>
      </c>
      <c r="B29" s="11" t="inlineStr">
        <is>
          <t>Overall %</t>
        </is>
      </c>
      <c r="C29" s="11" t="inlineStr">
        <is>
          <t>Compliant</t>
        </is>
      </c>
      <c r="D29" s="11" t="inlineStr">
        <is>
          <t>Gaps</t>
        </is>
      </c>
      <c r="E29" s="11" t="inlineStr">
        <is>
          <t>Assessor</t>
        </is>
      </c>
      <c r="F29" s="11" t="inlineStr">
        <is>
          <t>Notes</t>
        </is>
      </c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</sheetData>
  <mergeCells count="4">
    <mergeCell ref="A15:G15"/>
    <mergeCell ref="A1:G1"/>
    <mergeCell ref="A28:G28"/>
    <mergeCell ref="A9:G9"/>
  </mergeCells>
  <dataValidations count="1">
    <dataValidation sqref="F17 F18 F19 F20 F21 F22 F23 F24 F25 F26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Responsible AI Policy — Compliance Checklist</t>
        </is>
      </c>
    </row>
    <row r="2">
      <c r="A2" s="21" t="inlineStr">
        <is>
          <t>ISO/IEC 42001:2023 — Controls A.2.2-4: AI Policy Framework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A.2.2-01</t>
        </is>
      </c>
      <c r="B4" s="23" t="inlineStr">
        <is>
          <t>Policy Establishment</t>
        </is>
      </c>
      <c r="C4" s="24" t="inlineStr">
        <is>
          <t>The organisation shall establish a policy for the responsible development and/or use of AI systems. The policy shall be approved by Executive Management and documented.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A.2.2-02</t>
        </is>
      </c>
      <c r="B5" s="23" t="inlineStr">
        <is>
          <t>Policy Scope</t>
        </is>
      </c>
      <c r="C5" s="24" t="inlineStr">
        <is>
          <t>The AI policy shall define the scope of AI systems covered and identify the organisational activities related to AI systems to which the policy applies.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A.2.2-03</t>
        </is>
      </c>
      <c r="B6" s="23" t="inlineStr">
        <is>
          <t>Policy Communication</t>
        </is>
      </c>
      <c r="C6" s="24" t="inlineStr">
        <is>
          <t>The AI policy shall be communicated to all persons within the organisation whose roles are relevant to AI systems, and made available to interested parties as appropriate.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A.2.2-04</t>
        </is>
      </c>
      <c r="B7" s="23" t="inlineStr">
        <is>
          <t>Policy Review</t>
        </is>
      </c>
      <c r="C7" s="24" t="inlineStr">
        <is>
          <t>The AI policy shall be reviewed at planned intervals and when significant changes occur to ensure its continuing suitability, adequacy, and effectiveness.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A.2.2-05</t>
        </is>
      </c>
      <c r="B8" s="23" t="inlineStr">
        <is>
          <t>Policy Alignment</t>
        </is>
      </c>
      <c r="C8" s="24" t="inlineStr">
        <is>
          <t>The AI policy shall be consistent with applicable laws and regulations and aligned with [Organisation]'s overall information security and data protection policies.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A.2.2-06</t>
        </is>
      </c>
      <c r="B9" s="23" t="inlineStr">
        <is>
          <t>Policy Authority</t>
        </is>
      </c>
      <c r="C9" s="24" t="inlineStr">
        <is>
          <t>The AI policy shall establish clear authority and accountability for AI governance, naming the AI Governance Officer role as responsible for the AIMS.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Responsible AI Principles — Compliance Checklist</t>
        </is>
      </c>
    </row>
    <row r="2">
      <c r="A2" s="21" t="inlineStr">
        <is>
          <t>ISO/IEC 42001:2023 — Controls A.2.2-4: AI Policy Framework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A.2.3-01</t>
        </is>
      </c>
      <c r="B4" s="23" t="inlineStr">
        <is>
          <t>Principles Establishment</t>
        </is>
      </c>
      <c r="C4" s="24" t="inlineStr">
        <is>
          <t>The organisation shall establish and document principles for the responsible development and use of AI systems. Principles shall be approved by Executive Management.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A.2.3-02</t>
        </is>
      </c>
      <c r="B5" s="23" t="inlineStr">
        <is>
          <t>Human Agency and Oversight</t>
        </is>
      </c>
      <c r="C5" s="24" t="inlineStr">
        <is>
          <t>The responsible AI principles shall include a commitment to human agency and oversight — AI systems shall be designed to support human decision-making with meaningful human review for consequential outputs.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A.2.3-03</t>
        </is>
      </c>
      <c r="B6" s="23" t="inlineStr">
        <is>
          <t>Fairness and Non-Discrimination</t>
        </is>
      </c>
      <c r="C6" s="24" t="inlineStr">
        <is>
          <t>The responsible AI principles shall include a commitment to fairness — AI systems shall be assessed for potential bias and discriminatory impact before deployment and in operation.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A.2.3-04</t>
        </is>
      </c>
      <c r="B7" s="23" t="inlineStr">
        <is>
          <t>Privacy by Design</t>
        </is>
      </c>
      <c r="C7" s="24" t="inlineStr">
        <is>
          <t>The responsible AI principles shall include a commitment to privacy — personal data in AI systems shall be governed by documented legal bases and minimisation requirements.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A.2.3-05</t>
        </is>
      </c>
      <c r="B8" s="23" t="inlineStr">
        <is>
          <t>Robustness and Safety</t>
        </is>
      </c>
      <c r="C8" s="24" t="inlineStr">
        <is>
          <t>The responsible AI principles shall include a commitment to robustness, security, and safety — AI systems shall undergo validation before deployment and be monitored in operation.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A.2.3-06</t>
        </is>
      </c>
      <c r="B9" s="23" t="inlineStr">
        <is>
          <t>Accountability and Transparency</t>
        </is>
      </c>
      <c r="C9" s="24" t="inlineStr">
        <is>
          <t>The responsible AI principles shall include a commitment to accountability and transparency — every AI system shall have a named owner accountable for its compliance, and transparency shall be provided to users and affected individuals.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AI Policy Processes — Compliance Checklist</t>
        </is>
      </c>
    </row>
    <row r="2">
      <c r="A2" s="21" t="inlineStr">
        <is>
          <t>ISO/IEC 42001:2023 — Controls A.2.2-4: AI Policy Framework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A.2.4-01</t>
        </is>
      </c>
      <c r="B4" s="23" t="inlineStr">
        <is>
          <t>Policy Integration</t>
        </is>
      </c>
      <c r="C4" s="24" t="inlineStr">
        <is>
          <t>The organisation shall implement processes to ensure that AI policy requirements are integrated into the AI system lifecycle — from specification through deployment and operation.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A.2.4-02</t>
        </is>
      </c>
      <c r="B5" s="23" t="inlineStr">
        <is>
          <t>Compliance Monitoring</t>
        </is>
      </c>
      <c r="C5" s="24" t="inlineStr">
        <is>
          <t>The organisation shall implement a process to monitor compliance with the AI policy. Non-compliance shall be escalated and addressed per defined escalation paths.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A.2.4-03</t>
        </is>
      </c>
      <c r="B6" s="23" t="inlineStr">
        <is>
          <t>Policy Hierarchy</t>
        </is>
      </c>
      <c r="C6" s="24" t="inlineStr">
        <is>
          <t>The organisation shall maintain a documented AI policy hierarchy (foundation policies → control-specific policies → implementation guides) ensuring that lower-tier documents do not contradict higher-tier requirements.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A.2.4-04</t>
        </is>
      </c>
      <c r="B7" s="23" t="inlineStr">
        <is>
          <t>Awareness and Training</t>
        </is>
      </c>
      <c r="C7" s="24" t="inlineStr">
        <is>
          <t>The organisation shall ensure that persons with AI-related roles receive training on the AI policy and relevant responsible AI requirements appropriate to their role.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A.2.4-05</t>
        </is>
      </c>
      <c r="B8" s="23" t="inlineStr">
        <is>
          <t>Effectiveness Measurement</t>
        </is>
      </c>
      <c r="C8" s="24" t="inlineStr">
        <is>
          <t>The organisation shall define and measure indicators of AI policy effectiveness, reporting results to Executive Management at least annually via the AIMS management review.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2026-04-15T12:12:59Z</dcterms:created>
  <dcterms:modified xmlns:dcterms="http://purl.org/dc/terms/" xmlns:xsi="http://www.w3.org/2001/XMLSchema-instance" xsi:type="dcterms:W3CDTF">2026-04-15T12:12:59Z</dcterms:modified>
</cp:coreProperties>
</file>