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utive Summary" sheetId="1" state="visible" r:id="rId1"/>
    <sheet xmlns:r="http://schemas.openxmlformats.org/officeDocument/2006/relationships" name="Dashboard" sheetId="2" state="visible" r:id="rId2"/>
    <sheet xmlns:r="http://schemas.openxmlformats.org/officeDocument/2006/relationships" name="Minimum Necessary Collection" sheetId="3" state="visible" r:id="rId3"/>
    <sheet xmlns:r="http://schemas.openxmlformats.org/officeDocument/2006/relationships" name="Excess PII and Development Environments" sheetId="4" state="visible" r:id="rId4"/>
  </sheets>
  <definedNames>
    <definedName name="_xlnm.Print_Area" localSheetId="0">'Executive Summary'!$A$1:$H$62</definedName>
  </definedNames>
  <calcPr calcId="124519" fullCalcOnLoad="1"/>
</workbook>
</file>

<file path=xl/styles.xml><?xml version="1.0" encoding="utf-8"?>
<styleSheet xmlns="http://schemas.openxmlformats.org/spreadsheetml/2006/main">
  <numFmts count="1">
    <numFmt numFmtId="164" formatCode="DD.MM.YYYY"/>
  </numFmts>
  <fonts count="15">
    <font>
      <name val="Calibri"/>
      <family val="2"/>
      <color theme="1"/>
      <sz val="11"/>
      <scheme val="minor"/>
    </font>
    <font>
      <name val="Calibri"/>
      <b val="1"/>
      <color rgb="00FFFFFF"/>
      <sz val="14"/>
    </font>
    <font>
      <name val="Calibri"/>
      <i val="1"/>
      <color rgb="004472C4"/>
      <sz val="10"/>
    </font>
    <font>
      <name val="Calibri"/>
      <b val="1"/>
      <sz val="10"/>
    </font>
    <font>
      <name val="Calibri"/>
      <color rgb="00666666"/>
      <sz val="9"/>
    </font>
    <font>
      <name val="Calibri"/>
      <sz val="9"/>
    </font>
    <font>
      <name val="Calibri"/>
      <b val="1"/>
      <sz val="11"/>
    </font>
    <font>
      <name val="Calibri"/>
      <b val="1"/>
      <color rgb="00FFFFFF"/>
      <sz val="11"/>
    </font>
    <font>
      <name val="Calibri"/>
      <b val="1"/>
      <sz val="14"/>
    </font>
    <font>
      <name val="Calibri"/>
      <b val="1"/>
      <color rgb="00003366"/>
      <sz val="12"/>
    </font>
    <font>
      <name val="Calibri"/>
      <b val="1"/>
      <sz val="12"/>
    </font>
    <font>
      <name val="Calibri"/>
      <b val="1"/>
      <sz val="20"/>
    </font>
    <font>
      <name val="Calibri"/>
      <b val="1"/>
      <sz val="16"/>
    </font>
    <font>
      <name val="Calibri"/>
      <b val="1"/>
      <color rgb="004472C4"/>
      <sz val="14"/>
    </font>
    <font>
      <name val="Calibri"/>
      <sz val="10"/>
    </font>
  </fonts>
  <fills count="10">
    <fill>
      <patternFill/>
    </fill>
    <fill>
      <patternFill patternType="gray125"/>
    </fill>
    <fill>
      <patternFill patternType="solid">
        <fgColor rgb="00003366"/>
        <bgColor rgb="00003366"/>
      </patternFill>
    </fill>
    <fill>
      <patternFill patternType="solid">
        <fgColor rgb="00D9D9D9"/>
        <bgColor rgb="00D9D9D9"/>
      </patternFill>
    </fill>
    <fill>
      <patternFill patternType="solid">
        <fgColor rgb="00FFFFCC"/>
        <bgColor rgb="00FFFFCC"/>
      </patternFill>
    </fill>
    <fill>
      <patternFill patternType="solid">
        <fgColor rgb="00F2F2F2"/>
        <bgColor rgb="00F2F2F2"/>
      </patternFill>
    </fill>
    <fill>
      <patternFill patternType="solid">
        <fgColor rgb="004472C4"/>
        <bgColor rgb="004472C4"/>
      </patternFill>
    </fill>
    <fill>
      <patternFill patternType="solid">
        <fgColor rgb="00C6EFCE"/>
        <bgColor rgb="00C6EFCE"/>
      </patternFill>
    </fill>
    <fill>
      <patternFill patternType="solid">
        <fgColor rgb="00FFEB9C"/>
        <bgColor rgb="00FFEB9C"/>
      </patternFill>
    </fill>
    <fill>
      <patternFill patternType="solid">
        <fgColor rgb="00FFC7CE"/>
        <bgColor rgb="00FFC7CE"/>
      </patternFill>
    </fill>
  </fills>
  <borders count="2">
    <border>
      <left/>
      <right/>
      <top/>
      <bottom/>
      <diagonal/>
    </border>
    <border>
      <left style="thin"/>
      <right style="thin"/>
      <top style="thin"/>
      <bottom style="thin"/>
    </border>
  </borders>
  <cellStyleXfs count="1">
    <xf numFmtId="0" fontId="0" fillId="0" borderId="0"/>
  </cellStyleXfs>
  <cellXfs count="27">
    <xf numFmtId="0" fontId="0" fillId="0" borderId="0" pivotButton="0" quotePrefix="0" xfId="0"/>
    <xf numFmtId="0" fontId="1" fillId="2" borderId="0" applyAlignment="1" pivotButton="0" quotePrefix="0" xfId="0">
      <alignment horizontal="center" vertical="center" wrapText="1"/>
    </xf>
    <xf numFmtId="0" fontId="9" fillId="0" borderId="0" applyAlignment="1" pivotButton="0" quotePrefix="0" xfId="0">
      <alignment horizontal="left" vertical="center"/>
    </xf>
    <xf numFmtId="0" fontId="3" fillId="0" borderId="1" pivotButton="0" quotePrefix="0" xfId="0"/>
    <xf numFmtId="0" fontId="0" fillId="0" borderId="1" pivotButton="0" quotePrefix="0" xfId="0"/>
    <xf numFmtId="0" fontId="0" fillId="4" borderId="1" applyAlignment="1" pivotButton="0" quotePrefix="0" xfId="0">
      <alignment horizontal="left" vertical="center" wrapText="1"/>
    </xf>
    <xf numFmtId="0" fontId="7" fillId="6" borderId="0" applyAlignment="1" pivotButton="0" quotePrefix="0" xfId="0">
      <alignment horizontal="left" vertical="center" wrapText="1"/>
    </xf>
    <xf numFmtId="0" fontId="10" fillId="0" borderId="0" pivotButton="0" quotePrefix="0" xfId="0"/>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3" fillId="5" borderId="1" applyAlignment="1" pivotButton="0" quotePrefix="0" xfId="0">
      <alignment horizontal="center" vertical="center"/>
    </xf>
    <xf numFmtId="0" fontId="3" fillId="3" borderId="1" applyAlignment="1" pivotButton="0" quotePrefix="0" xfId="0">
      <alignment horizontal="center" vertical="center" wrapText="1"/>
    </xf>
    <xf numFmtId="0" fontId="0" fillId="4" borderId="1" applyAlignment="1" pivotButton="0" quotePrefix="0" xfId="0">
      <alignment horizontal="left" vertical="top" wrapText="1"/>
    </xf>
    <xf numFmtId="0" fontId="6" fillId="0" borderId="0" pivotButton="0" quotePrefix="0" xfId="0"/>
    <xf numFmtId="0" fontId="14" fillId="0" borderId="1" pivotButton="0" quotePrefix="0" xfId="0"/>
    <xf numFmtId="0" fontId="2" fillId="5" borderId="1" applyAlignment="1" pivotButton="0" quotePrefix="0" xfId="0">
      <alignment horizontal="center" vertical="center"/>
    </xf>
    <xf numFmtId="0" fontId="7" fillId="2" borderId="1" applyAlignment="1" pivotButton="0" quotePrefix="0" xfId="0">
      <alignment horizontal="center" vertical="center"/>
    </xf>
    <xf numFmtId="0" fontId="8" fillId="7" borderId="1" applyAlignment="1" pivotButton="0" quotePrefix="0" xfId="0">
      <alignment horizontal="center" vertical="center"/>
    </xf>
    <xf numFmtId="0" fontId="8" fillId="8" borderId="1" applyAlignment="1" pivotButton="0" quotePrefix="0" xfId="0">
      <alignment horizontal="center" vertical="center"/>
    </xf>
    <xf numFmtId="0" fontId="8" fillId="9" borderId="1" applyAlignment="1" pivotButton="0" quotePrefix="0" xfId="0">
      <alignment horizontal="center" vertical="center"/>
    </xf>
    <xf numFmtId="0" fontId="8" fillId="5" borderId="1" applyAlignment="1" pivotButton="0" quotePrefix="0" xfId="0">
      <alignment horizontal="center" vertical="center"/>
    </xf>
    <xf numFmtId="0" fontId="2" fillId="0" borderId="0" applyAlignment="1" pivotButton="0" quotePrefix="0" xfId="0">
      <alignment horizontal="center"/>
    </xf>
    <xf numFmtId="0" fontId="4" fillId="0" borderId="1" pivotButton="0" quotePrefix="0" xfId="0"/>
    <xf numFmtId="0" fontId="5" fillId="0" borderId="1" applyAlignment="1" pivotButton="0" quotePrefix="0" xfId="0">
      <alignment vertical="center" wrapText="1"/>
    </xf>
    <xf numFmtId="0" fontId="0" fillId="0" borderId="1" applyAlignment="1" pivotButton="0" quotePrefix="0" xfId="0">
      <alignment horizontal="left" vertical="center" wrapText="1"/>
    </xf>
    <xf numFmtId="0" fontId="0" fillId="4" borderId="1" applyAlignment="1" pivotButton="0" quotePrefix="0" xfId="0">
      <alignment horizontal="center" vertical="center"/>
    </xf>
    <xf numFmtId="164" fontId="0" fillId="4" borderId="1" applyAlignment="1" pivotButton="0" quotePrefix="0" xfId="0">
      <alignment horizontal="left" vertical="center" wrapText="1"/>
    </xf>
  </cellXfs>
  <cellStyles count="1">
    <cellStyle name="Normal" xfId="0" builtinId="0" hidden="0"/>
  </cellStyles>
  <dxfs count="4">
    <dxf>
      <fill>
        <patternFill patternType="solid">
          <fgColor rgb="00C6EFCE"/>
          <bgColor rgb="00C6EFCE"/>
        </patternFill>
      </fill>
    </dxf>
    <dxf>
      <fill>
        <patternFill patternType="solid">
          <fgColor rgb="00FFEB9C"/>
          <bgColor rgb="00FFEB9C"/>
        </patternFill>
      </fill>
    </dxf>
    <dxf>
      <fill>
        <patternFill patternType="solid">
          <fgColor rgb="00FFC7CE"/>
          <bgColor rgb="00FFC7CE"/>
        </patternFill>
      </fill>
    </dxf>
    <dxf>
      <fill>
        <patternFill patternType="solid">
          <fgColor rgb="00F2F2F2"/>
          <bgColor rgb="00F2F2F2"/>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003366"/>
    <outlinePr summaryBelow="1" summaryRight="1"/>
    <pageSetUpPr fitToPage="1"/>
  </sheetPr>
  <dimension ref="A1:H60"/>
  <sheetViews>
    <sheetView workbookViewId="0">
      <selection activeCell="A1" sqref="A1"/>
    </sheetView>
  </sheetViews>
  <sheetFormatPr baseColWidth="8" defaultRowHeight="15"/>
  <cols>
    <col width="28" customWidth="1" min="1" max="1"/>
    <col width="22" customWidth="1" min="2" max="2"/>
    <col width="22" customWidth="1" min="3" max="3"/>
    <col width="18" customWidth="1" min="4" max="4"/>
    <col width="18" customWidth="1" min="5" max="5"/>
    <col width="18" customWidth="1" min="6" max="6"/>
    <col width="18" customWidth="1" min="7" max="7"/>
    <col width="18" customWidth="1" min="8" max="8"/>
  </cols>
  <sheetData>
    <row r="1" ht="40" customHeight="1">
      <c r="A1" s="1" t="inlineStr">
        <is>
          <t>CLD-PII-CHK-A.4 — Collection Limitation Compliance Checklist</t>
        </is>
      </c>
    </row>
    <row r="3">
      <c r="A3" s="2" t="inlineStr">
        <is>
          <t>DOCUMENT INFORMATION</t>
        </is>
      </c>
    </row>
    <row r="4">
      <c r="A4" s="3" t="inlineStr">
        <is>
          <t>Document ID</t>
        </is>
      </c>
      <c r="B4" s="4" t="inlineStr">
        <is>
          <t>CLD-PII-CHK-A.4</t>
        </is>
      </c>
    </row>
    <row r="5">
      <c r="A5" s="3" t="inlineStr">
        <is>
          <t>Source Policy</t>
        </is>
      </c>
      <c r="B5" s="4" t="inlineStr">
        <is>
          <t>CLD-PII-POL-A.4</t>
        </is>
      </c>
    </row>
    <row r="6">
      <c r="A6" s="3" t="inlineStr">
        <is>
          <t>ISO Controls</t>
        </is>
      </c>
      <c r="B6" s="4" t="inlineStr">
        <is>
          <t>Collection Limitation</t>
        </is>
      </c>
    </row>
    <row r="7">
      <c r="A7" s="3" t="inlineStr">
        <is>
          <t>Generated</t>
        </is>
      </c>
      <c r="B7" s="4" t="inlineStr">
        <is>
          <t>30.09.2026</t>
        </is>
      </c>
    </row>
    <row r="8">
      <c r="A8" s="3" t="inlineStr">
        <is>
          <t>Prepared By</t>
        </is>
      </c>
      <c r="B8" s="5" t="inlineStr"/>
    </row>
    <row r="9">
      <c r="A9" s="3" t="inlineStr">
        <is>
          <t>Organisation</t>
        </is>
      </c>
      <c r="B9" s="5" t="inlineStr"/>
    </row>
    <row r="10">
      <c r="A10" s="3" t="inlineStr">
        <is>
          <t>Review Cycle</t>
        </is>
      </c>
      <c r="B10" s="4" t="inlineStr">
        <is>
          <t>Annual</t>
        </is>
      </c>
    </row>
    <row r="12">
      <c r="A12" s="6" t="inlineStr">
        <is>
          <t>OVERALL COMPLIANCE STATUS</t>
        </is>
      </c>
    </row>
    <row r="13">
      <c r="A13" s="7" t="inlineStr">
        <is>
          <t>Overall Compliance</t>
        </is>
      </c>
      <c r="B13" s="8">
        <f>'Dashboard'!G6</f>
        <v/>
      </c>
    </row>
    <row r="14">
      <c r="A14" s="7" t="inlineStr">
        <is>
          <t>Status</t>
        </is>
      </c>
      <c r="B14" s="9">
        <f>IF(Dashboard!H6&gt;0,"INCOMPLETE",IF(Dashboard!G6="N/A","NOT ASSESSED",IF(ISNUMBER(VALUE(SUBSTITUTE(Dashboard!G6,"%",""))),IF(VALUE(SUBSTITUTE(Dashboard!G6,"%",""))&gt;=90,"GREEN",IF(VALUE(SUBSTITUTE(Dashboard!G6,"%",""))&gt;=70,"AMBER","RED")),"NOT ASSESSED")))</f>
        <v/>
      </c>
    </row>
    <row r="16">
      <c r="A16" s="6" t="inlineStr">
        <is>
          <t>KEY METRICS</t>
        </is>
      </c>
    </row>
    <row r="17">
      <c r="A17" s="3" t="inlineStr">
        <is>
          <t>Total Requirements</t>
        </is>
      </c>
      <c r="B17" s="10">
        <f>'Dashboard'!B6</f>
        <v/>
      </c>
    </row>
    <row r="18">
      <c r="A18" s="3" t="inlineStr">
        <is>
          <t>Compliant</t>
        </is>
      </c>
      <c r="B18" s="10">
        <f>'Dashboard'!C6</f>
        <v/>
      </c>
    </row>
    <row r="19">
      <c r="A19" s="3" t="inlineStr">
        <is>
          <t>Partial</t>
        </is>
      </c>
      <c r="B19" s="10">
        <f>'Dashboard'!D6</f>
        <v/>
      </c>
    </row>
    <row r="20">
      <c r="A20" s="3" t="inlineStr">
        <is>
          <t>Non-Compliant</t>
        </is>
      </c>
      <c r="B20" s="10">
        <f>'Dashboard'!E6</f>
        <v/>
      </c>
    </row>
    <row r="21">
      <c r="A21" s="3" t="inlineStr">
        <is>
          <t>Not Applicable</t>
        </is>
      </c>
      <c r="B21" s="10">
        <f>'Dashboard'!F6</f>
        <v/>
      </c>
    </row>
    <row r="22">
      <c r="A22" s="3" t="inlineStr">
        <is>
          <t>Unanswered</t>
        </is>
      </c>
      <c r="B22" s="10">
        <f>'Dashboard'!H6</f>
        <v/>
      </c>
    </row>
    <row r="23">
      <c r="A23" s="3" t="inlineStr">
        <is>
          <t>Owner Coverage</t>
        </is>
      </c>
      <c r="B23" s="10">
        <f>IF(Dashboard!B6=0,"N/A",ROUND((COUNTA('Minimum Necessary Collection'!F4:F7)+COUNTA('Excess PII and Development Environments'!F4:F6))/Dashboard!B6*100,0)&amp;"%")</f>
        <v/>
      </c>
    </row>
    <row r="25">
      <c r="A25" s="6" t="inlineStr">
        <is>
          <t>DOMAIN STATUS SUMMARY</t>
        </is>
      </c>
    </row>
    <row r="26">
      <c r="A26" s="11" t="inlineStr">
        <is>
          <t>Domain</t>
        </is>
      </c>
      <c r="B26" s="11" t="inlineStr">
        <is>
          <t>Compliance %</t>
        </is>
      </c>
      <c r="C26" s="11" t="inlineStr">
        <is>
          <t>Compliant</t>
        </is>
      </c>
      <c r="D26" s="11" t="inlineStr">
        <is>
          <t>Gaps</t>
        </is>
      </c>
      <c r="E26" s="11" t="inlineStr">
        <is>
          <t>Status</t>
        </is>
      </c>
    </row>
    <row r="27">
      <c r="A27" s="4" t="inlineStr">
        <is>
          <t>Minimum Necessary Collection</t>
        </is>
      </c>
      <c r="B27" s="4">
        <f>'Dashboard'!G4</f>
        <v/>
      </c>
      <c r="C27" s="4">
        <f>'Dashboard'!C4</f>
        <v/>
      </c>
      <c r="D27" s="4">
        <f>'Dashboard'!E4</f>
        <v/>
      </c>
      <c r="E27" s="4">
        <f>IF(Dashboard!H4&gt;0,"INCOMPLETE",IF(Dashboard!G4="N/A","--",IF(ISNUMBER(VALUE(SUBSTITUTE(Dashboard!G4,"%",""))),IF(VALUE(SUBSTITUTE(Dashboard!G4,"%",""))&gt;=90,"PASS",IF(VALUE(SUBSTITUTE(Dashboard!G4,"%",""))&gt;=70,"REVIEW","FAIL")),"--")))</f>
        <v/>
      </c>
    </row>
    <row r="28">
      <c r="A28" s="4" t="inlineStr">
        <is>
          <t>Excess PII and Development Environments</t>
        </is>
      </c>
      <c r="B28" s="4">
        <f>'Dashboard'!G5</f>
        <v/>
      </c>
      <c r="C28" s="4">
        <f>'Dashboard'!C5</f>
        <v/>
      </c>
      <c r="D28" s="4">
        <f>'Dashboard'!E5</f>
        <v/>
      </c>
      <c r="E28" s="4">
        <f>IF(Dashboard!H5&gt;0,"INCOMPLETE",IF(Dashboard!G5="N/A","--",IF(ISNUMBER(VALUE(SUBSTITUTE(Dashboard!G5,"%",""))),IF(VALUE(SUBSTITUTE(Dashboard!G5,"%",""))&gt;=90,"PASS",IF(VALUE(SUBSTITUTE(Dashboard!G5,"%",""))&gt;=70,"REVIEW","FAIL")),"--")))</f>
        <v/>
      </c>
    </row>
    <row r="30">
      <c r="A30" s="6" t="inlineStr">
        <is>
          <t>CRITICAL ISSUES</t>
        </is>
      </c>
    </row>
    <row r="31">
      <c r="A31" s="11" t="inlineStr">
        <is>
          <t>#</t>
        </is>
      </c>
      <c r="B31" s="11" t="inlineStr">
        <is>
          <t>Issue Description</t>
        </is>
      </c>
      <c r="C31" s="11" t="inlineStr">
        <is>
          <t>Domain</t>
        </is>
      </c>
      <c r="D31" s="11" t="inlineStr">
        <is>
          <t>Owner</t>
        </is>
      </c>
      <c r="E31" s="11" t="inlineStr">
        <is>
          <t>Due Date</t>
        </is>
      </c>
    </row>
    <row r="32">
      <c r="A32" s="4" t="n">
        <v>1</v>
      </c>
      <c r="B32" s="5" t="n"/>
      <c r="C32" s="5" t="n"/>
      <c r="D32" s="5" t="n"/>
      <c r="E32" s="5" t="n"/>
    </row>
    <row r="33">
      <c r="A33" s="4" t="n">
        <v>2</v>
      </c>
      <c r="B33" s="5" t="n"/>
      <c r="C33" s="5" t="n"/>
      <c r="D33" s="5" t="n"/>
      <c r="E33" s="5" t="n"/>
    </row>
    <row r="34">
      <c r="A34" s="4" t="n">
        <v>3</v>
      </c>
      <c r="B34" s="5" t="n"/>
      <c r="C34" s="5" t="n"/>
      <c r="D34" s="5" t="n"/>
      <c r="E34" s="5" t="n"/>
    </row>
    <row r="35">
      <c r="A35" s="4" t="n">
        <v>4</v>
      </c>
      <c r="B35" s="5" t="n"/>
      <c r="C35" s="5" t="n"/>
      <c r="D35" s="5" t="n"/>
      <c r="E35" s="5" t="n"/>
    </row>
    <row r="36">
      <c r="A36" s="4" t="n">
        <v>5</v>
      </c>
      <c r="B36" s="5" t="n"/>
      <c r="C36" s="5" t="n"/>
      <c r="D36" s="5" t="n"/>
      <c r="E36" s="5" t="n"/>
    </row>
    <row r="38">
      <c r="A38" s="6" t="inlineStr">
        <is>
          <t>MANAGEMENT COMMENTARY</t>
        </is>
      </c>
    </row>
    <row r="39" ht="60" customHeight="1">
      <c r="A39" s="12" t="inlineStr">
        <is>
          <t>[Enter management commentary on collection limitation posture]</t>
        </is>
      </c>
    </row>
    <row r="40"/>
    <row r="41"/>
    <row r="43">
      <c r="A43" s="6" t="inlineStr">
        <is>
          <t>APPROVAL</t>
        </is>
      </c>
    </row>
    <row r="44">
      <c r="A44" s="13" t="inlineStr">
        <is>
          <t>Assessed By</t>
        </is>
      </c>
    </row>
    <row r="45">
      <c r="A45" s="14" t="inlineStr">
        <is>
          <t>Name:</t>
        </is>
      </c>
      <c r="B45" s="5" t="n"/>
    </row>
    <row r="46">
      <c r="A46" s="14" t="inlineStr">
        <is>
          <t>Date:</t>
        </is>
      </c>
      <c r="B46" s="5" t="n"/>
    </row>
    <row r="47">
      <c r="A47" s="14" t="inlineStr">
        <is>
          <t>Signature:</t>
        </is>
      </c>
      <c r="B47" s="5" t="n"/>
    </row>
    <row r="48">
      <c r="A48" s="14" t="inlineStr">
        <is>
          <t>Decision:</t>
        </is>
      </c>
      <c r="B48" s="5" t="n"/>
    </row>
    <row r="50">
      <c r="A50" s="13" t="inlineStr">
        <is>
          <t>Reviewed By (DPO)</t>
        </is>
      </c>
    </row>
    <row r="51">
      <c r="A51" s="14" t="inlineStr">
        <is>
          <t>Name:</t>
        </is>
      </c>
      <c r="B51" s="5" t="n"/>
    </row>
    <row r="52">
      <c r="A52" s="14" t="inlineStr">
        <is>
          <t>Date:</t>
        </is>
      </c>
      <c r="B52" s="5" t="n"/>
    </row>
    <row r="53">
      <c r="A53" s="14" t="inlineStr">
        <is>
          <t>Signature:</t>
        </is>
      </c>
      <c r="B53" s="5" t="n"/>
    </row>
    <row r="54">
      <c r="A54" s="14" t="inlineStr">
        <is>
          <t>Decision:</t>
        </is>
      </c>
      <c r="B54" s="5" t="n"/>
    </row>
    <row r="56">
      <c r="A56" s="13" t="inlineStr">
        <is>
          <t>Approved By (CEO / CISO)</t>
        </is>
      </c>
    </row>
    <row r="57">
      <c r="A57" s="14" t="inlineStr">
        <is>
          <t>Name:</t>
        </is>
      </c>
      <c r="B57" s="5" t="n"/>
    </row>
    <row r="58">
      <c r="A58" s="14" t="inlineStr">
        <is>
          <t>Date:</t>
        </is>
      </c>
      <c r="B58" s="5" t="n"/>
    </row>
    <row r="59">
      <c r="A59" s="14" t="inlineStr">
        <is>
          <t>Signature:</t>
        </is>
      </c>
      <c r="B59" s="5" t="n"/>
    </row>
    <row r="60">
      <c r="A60" s="14" t="inlineStr">
        <is>
          <t>Decision:</t>
        </is>
      </c>
      <c r="B60" s="5" t="n"/>
    </row>
  </sheetData>
  <mergeCells count="12">
    <mergeCell ref="A12:H12"/>
    <mergeCell ref="A30:H30"/>
    <mergeCell ref="A25:H25"/>
    <mergeCell ref="A43:H43"/>
    <mergeCell ref="A38:H38"/>
    <mergeCell ref="A16:H16"/>
    <mergeCell ref="A44:B44"/>
    <mergeCell ref="A1:H1"/>
    <mergeCell ref="A56:B56"/>
    <mergeCell ref="A3:B3"/>
    <mergeCell ref="A39:H41"/>
    <mergeCell ref="A50:B50"/>
  </mergeCells>
  <dataValidations count="1">
    <dataValidation sqref="B48 B54 B60" showDropDown="0" showInputMessage="0" showErrorMessage="0" allowBlank="1" type="list">
      <formula1>"Approved,Approved with Conditions,Not Approved"</formula1>
    </dataValidation>
  </dataValidations>
  <pageMargins left="0.75" right="0.75" top="1" bottom="1" header="0.5" footer="0.5"/>
  <pageSetup orientation="landscape" paperSize="9" fitToHeight="1" fitToWidth="1"/>
</worksheet>
</file>

<file path=xl/worksheets/sheet2.xml><?xml version="1.0" encoding="utf-8"?>
<worksheet xmlns="http://schemas.openxmlformats.org/spreadsheetml/2006/main">
  <sheetPr>
    <tabColor rgb="004472C4"/>
    <outlinePr summaryBelow="1" summaryRight="1"/>
    <pageSetUpPr/>
  </sheetPr>
  <dimension ref="A1:H32"/>
  <sheetViews>
    <sheetView workbookViewId="0">
      <selection activeCell="A1" sqref="A1"/>
    </sheetView>
  </sheetViews>
  <sheetFormatPr baseColWidth="8" defaultRowHeight="15"/>
  <cols>
    <col width="28" customWidth="1" min="1" max="1"/>
    <col width="14" customWidth="1" min="2" max="2"/>
    <col width="14" customWidth="1" min="3" max="3"/>
    <col width="14" customWidth="1" min="4" max="4"/>
    <col width="16" customWidth="1" min="5" max="5"/>
    <col width="10" customWidth="1" min="6" max="6"/>
    <col width="16" customWidth="1" min="7" max="7"/>
  </cols>
  <sheetData>
    <row r="1" ht="40" customHeight="1">
      <c r="A1" s="1" t="inlineStr">
        <is>
          <t>Collection Limitation — Compliance Dashboard</t>
        </is>
      </c>
    </row>
    <row r="3">
      <c r="A3" s="11" t="inlineStr">
        <is>
          <t>Domain</t>
        </is>
      </c>
      <c r="B3" s="11" t="inlineStr">
        <is>
          <t>Total Reqs</t>
        </is>
      </c>
      <c r="C3" s="11" t="inlineStr">
        <is>
          <t>Compliant</t>
        </is>
      </c>
      <c r="D3" s="11" t="inlineStr">
        <is>
          <t>Partial</t>
        </is>
      </c>
      <c r="E3" s="11" t="inlineStr">
        <is>
          <t>Non-Compliant</t>
        </is>
      </c>
      <c r="F3" s="11" t="inlineStr">
        <is>
          <t>N/A</t>
        </is>
      </c>
      <c r="G3" s="11" t="inlineStr">
        <is>
          <t>Compliance %</t>
        </is>
      </c>
      <c r="H3" s="11" t="inlineStr">
        <is>
          <t>Unassessed</t>
        </is>
      </c>
    </row>
    <row r="4">
      <c r="A4" s="3" t="inlineStr">
        <is>
          <t>Minimum Necessary Collection</t>
        </is>
      </c>
      <c r="B4" s="15">
        <f>COUNTA('Minimum Necessary Collection'!A4:A7)</f>
        <v/>
      </c>
      <c r="C4" s="15">
        <f>COUNTIF('Minimum Necessary Collection'!D4:D7,"Compliant")</f>
        <v/>
      </c>
      <c r="D4" s="15">
        <f>COUNTIF('Minimum Necessary Collection'!D4:D7,"Partial")</f>
        <v/>
      </c>
      <c r="E4" s="15">
        <f>COUNTIF('Minimum Necessary Collection'!D4:D7,"Non-Compliant")</f>
        <v/>
      </c>
      <c r="F4" s="15">
        <f>COUNTIF('Minimum Necessary Collection'!D4:D7,"N/A")</f>
        <v/>
      </c>
      <c r="G4" s="15">
        <f>IF((B4-F4)=0,"N/A",ROUND(C4/(B4-F4)*100,1)&amp;"%")</f>
        <v/>
      </c>
      <c r="H4" s="15">
        <f>B4-(C4+D4+E4+F4)</f>
        <v/>
      </c>
    </row>
    <row r="5">
      <c r="A5" s="3" t="inlineStr">
        <is>
          <t>Excess PII and Development Environments</t>
        </is>
      </c>
      <c r="B5" s="15">
        <f>COUNTA('Excess PII and Development Environments'!A4:A6)</f>
        <v/>
      </c>
      <c r="C5" s="15">
        <f>COUNTIF('Excess PII and Development Environments'!D4:D6,"Compliant")</f>
        <v/>
      </c>
      <c r="D5" s="15">
        <f>COUNTIF('Excess PII and Development Environments'!D4:D6,"Partial")</f>
        <v/>
      </c>
      <c r="E5" s="15">
        <f>COUNTIF('Excess PII and Development Environments'!D4:D6,"Non-Compliant")</f>
        <v/>
      </c>
      <c r="F5" s="15">
        <f>COUNTIF('Excess PII and Development Environments'!D4:D6,"N/A")</f>
        <v/>
      </c>
      <c r="G5" s="15">
        <f>IF((B5-F5)=0,"N/A",ROUND(C5/(B5-F5)*100,1)&amp;"%")</f>
        <v/>
      </c>
      <c r="H5" s="15">
        <f>B5-(C5+D5+E5+F5)</f>
        <v/>
      </c>
    </row>
    <row r="6">
      <c r="A6" s="16" t="inlineStr">
        <is>
          <t>TOTAL</t>
        </is>
      </c>
      <c r="B6" s="16">
        <f>SUM(B4:B5)</f>
        <v/>
      </c>
      <c r="C6" s="16">
        <f>SUM(C4:C5)</f>
        <v/>
      </c>
      <c r="D6" s="16">
        <f>SUM(D4:D5)</f>
        <v/>
      </c>
      <c r="E6" s="16">
        <f>SUM(E4:E5)</f>
        <v/>
      </c>
      <c r="F6" s="16">
        <f>SUM(F4:F5)</f>
        <v/>
      </c>
      <c r="G6" s="16">
        <f>IF((B6-F6)=0,"N/A",ROUND(C6/(B6-F6)*100,1)&amp;"%")</f>
        <v/>
      </c>
      <c r="H6" s="16">
        <f>SUM(H4:H5)</f>
        <v/>
      </c>
    </row>
    <row r="8">
      <c r="A8" s="6" t="inlineStr">
        <is>
          <t>COMPLIANCE BY STATUS</t>
        </is>
      </c>
    </row>
    <row r="9">
      <c r="A9" s="3" t="inlineStr">
        <is>
          <t>Compliant</t>
        </is>
      </c>
      <c r="B9" s="17">
        <f>C6</f>
        <v/>
      </c>
      <c r="C9" s="4">
        <f>IF(B6=0,"",ROUND(B9/B6*100,1)&amp;"%")</f>
        <v/>
      </c>
    </row>
    <row r="10">
      <c r="A10" s="3" t="inlineStr">
        <is>
          <t>Partial</t>
        </is>
      </c>
      <c r="B10" s="18">
        <f>D6</f>
        <v/>
      </c>
      <c r="C10" s="4">
        <f>IF(B6=0,"",ROUND(B10/B6*100,1)&amp;"%")</f>
        <v/>
      </c>
    </row>
    <row r="11">
      <c r="A11" s="3" t="inlineStr">
        <is>
          <t>Non-Compliant</t>
        </is>
      </c>
      <c r="B11" s="19">
        <f>E6</f>
        <v/>
      </c>
      <c r="C11" s="4">
        <f>IF(B6=0,"",ROUND(B11/B6*100,1)&amp;"%")</f>
        <v/>
      </c>
    </row>
    <row r="12">
      <c r="A12" s="3" t="inlineStr">
        <is>
          <t>N/A</t>
        </is>
      </c>
      <c r="B12" s="20">
        <f>F6</f>
        <v/>
      </c>
      <c r="C12" s="4">
        <f>IF(B6=0,"",ROUND(B12/B6*100,1)&amp;"%")</f>
        <v/>
      </c>
    </row>
    <row r="14">
      <c r="A14" s="6" t="inlineStr">
        <is>
          <t>TOP GAPS (Manual Entry)</t>
        </is>
      </c>
    </row>
    <row r="15">
      <c r="A15" s="11" t="inlineStr">
        <is>
          <t>Priority</t>
        </is>
      </c>
      <c r="B15" s="11" t="inlineStr">
        <is>
          <t>Domain</t>
        </is>
      </c>
      <c r="C15" s="11" t="inlineStr">
        <is>
          <t>Requirement</t>
        </is>
      </c>
      <c r="D15" s="11" t="inlineStr">
        <is>
          <t>Owner</t>
        </is>
      </c>
      <c r="E15" s="11" t="inlineStr">
        <is>
          <t>Due Date</t>
        </is>
      </c>
      <c r="F15" s="11" t="inlineStr">
        <is>
          <t>Status</t>
        </is>
      </c>
    </row>
    <row r="16">
      <c r="A16" s="5" t="n"/>
      <c r="B16" s="5" t="n"/>
      <c r="C16" s="5" t="n"/>
      <c r="D16" s="5" t="n"/>
      <c r="E16" s="5" t="n"/>
      <c r="F16" s="5" t="n"/>
    </row>
    <row r="17">
      <c r="A17" s="5" t="n"/>
      <c r="B17" s="5" t="n"/>
      <c r="C17" s="5" t="n"/>
      <c r="D17" s="5" t="n"/>
      <c r="E17" s="5" t="n"/>
      <c r="F17" s="5" t="n"/>
    </row>
    <row r="18">
      <c r="A18" s="5" t="n"/>
      <c r="B18" s="5" t="n"/>
      <c r="C18" s="5" t="n"/>
      <c r="D18" s="5" t="n"/>
      <c r="E18" s="5" t="n"/>
      <c r="F18" s="5" t="n"/>
    </row>
    <row r="19">
      <c r="A19" s="5" t="n"/>
      <c r="B19" s="5" t="n"/>
      <c r="C19" s="5" t="n"/>
      <c r="D19" s="5" t="n"/>
      <c r="E19" s="5" t="n"/>
      <c r="F19" s="5" t="n"/>
    </row>
    <row r="20">
      <c r="A20" s="5" t="n"/>
      <c r="B20" s="5" t="n"/>
      <c r="C20" s="5" t="n"/>
      <c r="D20" s="5" t="n"/>
      <c r="E20" s="5" t="n"/>
      <c r="F20" s="5" t="n"/>
    </row>
    <row r="21">
      <c r="A21" s="5" t="n"/>
      <c r="B21" s="5" t="n"/>
      <c r="C21" s="5" t="n"/>
      <c r="D21" s="5" t="n"/>
      <c r="E21" s="5" t="n"/>
      <c r="F21" s="5" t="n"/>
    </row>
    <row r="22">
      <c r="A22" s="5" t="n"/>
      <c r="B22" s="5" t="n"/>
      <c r="C22" s="5" t="n"/>
      <c r="D22" s="5" t="n"/>
      <c r="E22" s="5" t="n"/>
      <c r="F22" s="5" t="n"/>
    </row>
    <row r="23">
      <c r="A23" s="5" t="n"/>
      <c r="B23" s="5" t="n"/>
      <c r="C23" s="5" t="n"/>
      <c r="D23" s="5" t="n"/>
      <c r="E23" s="5" t="n"/>
      <c r="F23" s="5" t="n"/>
    </row>
    <row r="24">
      <c r="A24" s="5" t="n"/>
      <c r="B24" s="5" t="n"/>
      <c r="C24" s="5" t="n"/>
      <c r="D24" s="5" t="n"/>
      <c r="E24" s="5" t="n"/>
      <c r="F24" s="5" t="n"/>
    </row>
    <row r="25">
      <c r="A25" s="5" t="n"/>
      <c r="B25" s="5" t="n"/>
      <c r="C25" s="5" t="n"/>
      <c r="D25" s="5" t="n"/>
      <c r="E25" s="5" t="n"/>
      <c r="F25" s="5" t="n"/>
    </row>
    <row r="27">
      <c r="A27" s="6" t="inlineStr">
        <is>
          <t>COMPLIANCE TREND (Manual Entry)</t>
        </is>
      </c>
    </row>
    <row r="28">
      <c r="A28" s="11" t="inlineStr">
        <is>
          <t>Assessment Date</t>
        </is>
      </c>
      <c r="B28" s="11" t="inlineStr">
        <is>
          <t>Overall %</t>
        </is>
      </c>
      <c r="C28" s="11" t="inlineStr">
        <is>
          <t>Compliant</t>
        </is>
      </c>
      <c r="D28" s="11" t="inlineStr">
        <is>
          <t>Gaps</t>
        </is>
      </c>
      <c r="E28" s="11" t="inlineStr">
        <is>
          <t>Assessor</t>
        </is>
      </c>
      <c r="F28" s="11" t="inlineStr">
        <is>
          <t>Notes</t>
        </is>
      </c>
    </row>
    <row r="29">
      <c r="A29" s="5" t="n"/>
      <c r="B29" s="5" t="n"/>
      <c r="C29" s="5" t="n"/>
      <c r="D29" s="5" t="n"/>
      <c r="E29" s="5" t="n"/>
      <c r="F29" s="5" t="n"/>
    </row>
    <row r="30">
      <c r="A30" s="5" t="n"/>
      <c r="B30" s="5" t="n"/>
      <c r="C30" s="5" t="n"/>
      <c r="D30" s="5" t="n"/>
      <c r="E30" s="5" t="n"/>
      <c r="F30" s="5" t="n"/>
    </row>
    <row r="31">
      <c r="A31" s="5" t="n"/>
      <c r="B31" s="5" t="n"/>
      <c r="C31" s="5" t="n"/>
      <c r="D31" s="5" t="n"/>
      <c r="E31" s="5" t="n"/>
      <c r="F31" s="5" t="n"/>
    </row>
    <row r="32">
      <c r="A32" s="5" t="n"/>
      <c r="B32" s="5" t="n"/>
      <c r="C32" s="5" t="n"/>
      <c r="D32" s="5" t="n"/>
      <c r="E32" s="5" t="n"/>
      <c r="F32" s="5" t="n"/>
    </row>
  </sheetData>
  <mergeCells count="4">
    <mergeCell ref="A27:G27"/>
    <mergeCell ref="A8:G8"/>
    <mergeCell ref="A14:G14"/>
    <mergeCell ref="A1:G1"/>
  </mergeCells>
  <dataValidations count="1">
    <dataValidation sqref="F16 F17 F18 F19 F20 F21 F22 F23 F24 F25" showDropDown="0" showInputMessage="0" showErrorMessage="0" allowBlank="1" type="list">
      <formula1>"Open,In Progress,Closed,Deferred"</formula1>
    </dataValidation>
  </dataValidations>
  <pageMargins left="0.75" right="0.75" top="1" bottom="1" header="0.5" footer="0.5"/>
</worksheet>
</file>

<file path=xl/worksheets/sheet3.xml><?xml version="1.0" encoding="utf-8"?>
<worksheet xmlns="http://schemas.openxmlformats.org/spreadsheetml/2006/main">
  <sheetPr>
    <tabColor rgb="004472C4"/>
    <outlinePr summaryBelow="1" summaryRight="1"/>
    <pageSetUpPr/>
  </sheetPr>
  <dimension ref="A1:H7"/>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Minimum Necessary Collection — Compliance Checklist</t>
        </is>
      </c>
    </row>
    <row r="2">
      <c r="A2" s="21" t="inlineStr">
        <is>
          <t>ISO/IEC 27018:2025 — Controls A.4: Collection Limitation</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A.4-01</t>
        </is>
      </c>
      <c r="B4" s="23" t="inlineStr">
        <is>
          <t>Minimum PII Collection</t>
        </is>
      </c>
      <c r="C4" s="24" t="inlineStr">
        <is>
          <t>The organisation shall collect, retain, or otherwise process only the minimum PII necessary to deliver the contracted cloud service. The organisation shall not request or accept PII categories from the PII controller beyond what is required for service delivery; store PII in system components, logs, or operational databases beyond operational necessity; or replicate PII across environments without explicit controller authorisation.</t>
        </is>
      </c>
      <c r="D4" s="25" t="n"/>
      <c r="E4" s="5" t="n"/>
      <c r="F4" s="5" t="n"/>
      <c r="G4" s="26" t="n"/>
      <c r="H4" s="5" t="n"/>
    </row>
    <row r="5" ht="40" customHeight="1">
      <c r="A5" s="22" t="inlineStr">
        <is>
          <t>A.4-02</t>
        </is>
      </c>
      <c r="B5" s="23" t="inlineStr">
        <is>
          <t>Collection Practice Documentation</t>
        </is>
      </c>
      <c r="C5" s="24" t="inlineStr">
        <is>
          <t>The organisation shall document PII collection practices for each cloud service, including: categories of PII collected or received during service delivery; the operational justification for each PII category; the system components, logs, and storage locations where PII may be present; and retention periods applicable to each collection type. Documentation shall be reviewed annually and upon material changes to service architecture.</t>
        </is>
      </c>
      <c r="D5" s="25" t="n"/>
      <c r="E5" s="5" t="n"/>
      <c r="F5" s="5" t="n"/>
      <c r="G5" s="26" t="n"/>
      <c r="H5" s="5" t="n"/>
    </row>
    <row r="6" ht="40" customHeight="1">
      <c r="A6" s="22" t="inlineStr">
        <is>
          <t>A.4-03</t>
        </is>
      </c>
      <c r="B6" s="23" t="inlineStr">
        <is>
          <t>Annual Collection Review</t>
        </is>
      </c>
      <c r="C6" s="24" t="inlineStr">
        <is>
          <t>Collection practice documentation shall be reviewed and signed off at minimum annually by the CISO or DPO. The review shall confirm that no PII categories are being collected beyond those necessary for contracted service delivery. Review records shall be retained for 3 years.</t>
        </is>
      </c>
      <c r="D6" s="25" t="n"/>
      <c r="E6" s="5" t="n"/>
      <c r="F6" s="5" t="n"/>
      <c r="G6" s="26" t="n"/>
      <c r="H6" s="5" t="n"/>
    </row>
    <row r="7" ht="40" customHeight="1">
      <c r="A7" s="22" t="inlineStr">
        <is>
          <t>A.4-04</t>
        </is>
      </c>
      <c r="B7" s="23" t="inlineStr">
        <is>
          <t>Controller Instruction Primacy</t>
        </is>
      </c>
      <c r="C7" s="24" t="inlineStr">
        <is>
          <t>The scope of PII that may be collected or processed is defined by the PII controller's instructions and the service agreement. Where the organisation identifies ambiguity in what PII may be collected, written clarification shall be obtained from the controller before collection commences. Ambiguity does not authorise broader collection.</t>
        </is>
      </c>
      <c r="D7" s="25" t="n"/>
      <c r="E7" s="5" t="n"/>
      <c r="F7" s="5" t="n"/>
      <c r="G7" s="26" t="n"/>
      <c r="H7" s="5" t="n"/>
    </row>
  </sheetData>
  <mergeCells count="2">
    <mergeCell ref="A2:H2"/>
    <mergeCell ref="A1:H1"/>
  </mergeCells>
  <conditionalFormatting sqref="D4:D7">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4.xml><?xml version="1.0" encoding="utf-8"?>
<worksheet xmlns="http://schemas.openxmlformats.org/spreadsheetml/2006/main">
  <sheetPr>
    <tabColor rgb="004472C4"/>
    <outlinePr summaryBelow="1" summaryRight="1"/>
    <pageSetUpPr/>
  </sheetPr>
  <dimension ref="A1:H6"/>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Excess PII and Development Environments — Compliance Checklist</t>
        </is>
      </c>
    </row>
    <row r="2">
      <c r="A2" s="21" t="inlineStr">
        <is>
          <t>ISO/IEC 27018:2025 — Controls A.4: Collection Limitation</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A.4-05</t>
        </is>
      </c>
      <c r="B4" s="23" t="inlineStr">
        <is>
          <t>Excess PII Handling</t>
        </is>
      </c>
      <c r="C4" s="24" t="inlineStr">
        <is>
          <t>Where the organisation determines that PII has been collected that exceeds the scope of the contracted service, the organisation shall: notify the PII controller of the excess PII without undue delay; agree with the controller whether the excess PII is to be returned or securely deleted; complete the agreed action within the agreed timeframe; and document the event and outcome. Excess PII event records shall be retained for the duration of the contract plus 3 years.</t>
        </is>
      </c>
      <c r="D4" s="25" t="n"/>
      <c r="E4" s="5" t="n"/>
      <c r="F4" s="5" t="n"/>
      <c r="G4" s="26" t="n"/>
      <c r="H4" s="5" t="n"/>
    </row>
    <row r="5" ht="40" customHeight="1">
      <c r="A5" s="22" t="inlineStr">
        <is>
          <t>A.4-06</t>
        </is>
      </c>
      <c r="B5" s="23" t="inlineStr">
        <is>
          <t>Development and Test Environment Restriction</t>
        </is>
      </c>
      <c r="C5" s="24" t="inlineStr">
        <is>
          <t>PII from production environments shall not be used in development, testing, or staging environments without explicit written authorisation from the PII controller. Where controller authorisation is obtained, the minimum necessary PII shall be used and the same security controls applicable in production shall apply. Development/test PII authorisation records shall be retained for the duration of use plus 3 years.</t>
        </is>
      </c>
      <c r="D5" s="25" t="n"/>
      <c r="E5" s="5" t="n"/>
      <c r="F5" s="5" t="n"/>
      <c r="G5" s="26" t="n"/>
      <c r="H5" s="5" t="n"/>
    </row>
    <row r="6" ht="40" customHeight="1">
      <c r="A6" s="22" t="inlineStr">
        <is>
          <t>A.4-07</t>
        </is>
      </c>
      <c r="B6" s="23" t="inlineStr">
        <is>
          <t>Post-Test Deletion</t>
        </is>
      </c>
      <c r="C6" s="24" t="inlineStr">
        <is>
          <t>Where PII is used in a development or test environment under controller authorisation, the PII shall be deleted immediately after the specific test or development activity concludes. Deletion shall be confirmed and documented. Authorisation does not constitute permission for indefinite retention of production PII in non-production environments.</t>
        </is>
      </c>
      <c r="D6" s="25" t="n"/>
      <c r="E6" s="5" t="n"/>
      <c r="F6" s="5" t="n"/>
      <c r="G6" s="26" t="n"/>
      <c r="H6" s="5" t="n"/>
    </row>
  </sheetData>
  <mergeCells count="2">
    <mergeCell ref="A2:H2"/>
    <mergeCell ref="A1:H1"/>
  </mergeCells>
  <conditionalFormatting sqref="D4:D6">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2026-09-30T11:28:39Z</dcterms:created>
  <dcterms:modified xmlns:dcterms="http://purl.org/dc/terms/" xmlns:xsi="http://www.w3.org/2001/XMLSchema-instance" xsi:type="dcterms:W3CDTF">2026-09-30T11:28:39Z</dcterms:modified>
</cp:coreProperties>
</file>