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Data Integrity Preservation" sheetId="3" state="visible" r:id="rId3"/>
    <sheet xmlns:r="http://schemas.openxmlformats.org/officeDocument/2006/relationships" name="Controller Correction Mechanisms and Quality Checks" sheetId="4" state="visible" r:id="rId4"/>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CLD-PII-CHK-A.7 — Accuracy and Quality Compliance Checklist</t>
        </is>
      </c>
    </row>
    <row r="3">
      <c r="A3" s="2" t="inlineStr">
        <is>
          <t>DOCUMENT INFORMATION</t>
        </is>
      </c>
    </row>
    <row r="4">
      <c r="A4" s="3" t="inlineStr">
        <is>
          <t>Document ID</t>
        </is>
      </c>
      <c r="B4" s="4" t="inlineStr">
        <is>
          <t>CLD-PII-CHK-A.7</t>
        </is>
      </c>
    </row>
    <row r="5">
      <c r="A5" s="3" t="inlineStr">
        <is>
          <t>Source Policy</t>
        </is>
      </c>
      <c r="B5" s="4" t="inlineStr">
        <is>
          <t>CLD-PII-POL-A.7</t>
        </is>
      </c>
    </row>
    <row r="6">
      <c r="A6" s="3" t="inlineStr">
        <is>
          <t>ISO Controls</t>
        </is>
      </c>
      <c r="B6" s="4" t="inlineStr">
        <is>
          <t>Accuracy and Quality</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'Dashboard'!G6</f>
        <v/>
      </c>
    </row>
    <row r="14">
      <c r="A14" s="7" t="inlineStr">
        <is>
          <t>Status</t>
        </is>
      </c>
      <c r="B14" s="9">
        <f>IF(Dashboard!H6&gt;0,"INCOMPLETE",IF(Dashboard!G6="N/A","NOT ASSESSED",IF(ISNUMBER(VALUE(SUBSTITUTE(Dashboard!G6,"%",""))),IF(VALUE(SUBSTITUTE(Dashboard!G6,"%",""))&gt;=90,"GREEN",IF(VALUE(SUBSTITUTE(Dashboard!G6,"%",""))&gt;=70,"AMBER","RED")),"NOT ASSESSED")))</f>
        <v/>
      </c>
    </row>
    <row r="16">
      <c r="A16" s="6" t="inlineStr">
        <is>
          <t>KEY METRICS</t>
        </is>
      </c>
    </row>
    <row r="17">
      <c r="A17" s="3" t="inlineStr">
        <is>
          <t>Total Requirements</t>
        </is>
      </c>
      <c r="B17" s="10">
        <f>'Dashboard'!B6</f>
        <v/>
      </c>
    </row>
    <row r="18">
      <c r="A18" s="3" t="inlineStr">
        <is>
          <t>Compliant</t>
        </is>
      </c>
      <c r="B18" s="10">
        <f>'Dashboard'!C6</f>
        <v/>
      </c>
    </row>
    <row r="19">
      <c r="A19" s="3" t="inlineStr">
        <is>
          <t>Partial</t>
        </is>
      </c>
      <c r="B19" s="10">
        <f>'Dashboard'!D6</f>
        <v/>
      </c>
    </row>
    <row r="20">
      <c r="A20" s="3" t="inlineStr">
        <is>
          <t>Non-Compliant</t>
        </is>
      </c>
      <c r="B20" s="10">
        <f>'Dashboard'!E6</f>
        <v/>
      </c>
    </row>
    <row r="21">
      <c r="A21" s="3" t="inlineStr">
        <is>
          <t>Not Applicable</t>
        </is>
      </c>
      <c r="B21" s="10">
        <f>'Dashboard'!F6</f>
        <v/>
      </c>
    </row>
    <row r="22">
      <c r="A22" s="3" t="inlineStr">
        <is>
          <t>Unanswered</t>
        </is>
      </c>
      <c r="B22" s="10">
        <f>'Dashboard'!H6</f>
        <v/>
      </c>
    </row>
    <row r="23">
      <c r="A23" s="3" t="inlineStr">
        <is>
          <t>Owner Coverage</t>
        </is>
      </c>
      <c r="B23" s="10">
        <f>IF(Dashboard!B6=0,"N/A",ROUND((COUNTA('Data Integrity Preservation'!F4:F7)+COUNTA('Controller Correction Mechanisms and Quality Checks'!F4:F7))/Dashboard!B6*100,0)&amp;"%")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Data Integrity Preservation</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Controller Correction Mechanisms and Quality Checks</t>
        </is>
      </c>
      <c r="B28" s="4">
        <f>'Dashboard'!G5</f>
        <v/>
      </c>
      <c r="C28" s="4">
        <f>'Dashboard'!C5</f>
        <v/>
      </c>
      <c r="D28" s="4">
        <f>'Dashboard'!E5</f>
        <v/>
      </c>
      <c r="E28" s="4">
        <f>IF(Dashboard!H5&gt;0,"INCOMPLETE",IF(Dashboard!G5="N/A","--",IF(ISNUMBER(VALUE(SUBSTITUTE(Dashboard!G5,"%",""))),IF(VALUE(SUBSTITUTE(Dashboard!G5,"%",""))&gt;=90,"PASS",IF(VALUE(SUBSTITUTE(Dashboard!G5,"%",""))&gt;=70,"REVIEW","FAIL")),"--")))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accuracy and quality posture]</t>
        </is>
      </c>
    </row>
    <row r="40"/>
    <row r="41"/>
    <row r="43">
      <c r="A43" s="6" t="inlineStr">
        <is>
          <t>APPROVAL</t>
        </is>
      </c>
    </row>
    <row r="44">
      <c r="A44" s="13" t="inlineStr">
        <is>
          <t>Assessed By</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(DPO)</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25:H25"/>
    <mergeCell ref="A43:H43"/>
    <mergeCell ref="A38:H38"/>
    <mergeCell ref="A16:H16"/>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Accuracy and Quality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Data Integrity Preservation</t>
        </is>
      </c>
      <c r="B4" s="15">
        <f>COUNTA('Data Integrity Preservation'!A4:A7)</f>
        <v/>
      </c>
      <c r="C4" s="15">
        <f>COUNTIF('Data Integrity Preservation'!D4:D7,"Compliant")</f>
        <v/>
      </c>
      <c r="D4" s="15">
        <f>COUNTIF('Data Integrity Preservation'!D4:D7,"Partial")</f>
        <v/>
      </c>
      <c r="E4" s="15">
        <f>COUNTIF('Data Integrity Preservation'!D4:D7,"Non-Compliant")</f>
        <v/>
      </c>
      <c r="F4" s="15">
        <f>COUNTIF('Data Integrity Preservation'!D4:D7,"N/A")</f>
        <v/>
      </c>
      <c r="G4" s="15">
        <f>IF((B4-F4)=0,"N/A",ROUND(C4/(B4-F4)*100,1)&amp;"%")</f>
        <v/>
      </c>
      <c r="H4" s="15">
        <f>B4-(C4+D4+E4+F4)</f>
        <v/>
      </c>
    </row>
    <row r="5">
      <c r="A5" s="3" t="inlineStr">
        <is>
          <t>Controller Correction Mechanisms and Quality Checks</t>
        </is>
      </c>
      <c r="B5" s="15">
        <f>COUNTA('Controller Correction Mechanisms and Quality Checks'!A4:A7)</f>
        <v/>
      </c>
      <c r="C5" s="15">
        <f>COUNTIF('Controller Correction Mechanisms and Quality Checks'!D4:D7,"Compliant")</f>
        <v/>
      </c>
      <c r="D5" s="15">
        <f>COUNTIF('Controller Correction Mechanisms and Quality Checks'!D4:D7,"Partial")</f>
        <v/>
      </c>
      <c r="E5" s="15">
        <f>COUNTIF('Controller Correction Mechanisms and Quality Checks'!D4:D7,"Non-Compliant")</f>
        <v/>
      </c>
      <c r="F5" s="15">
        <f>COUNTIF('Controller Correction Mechanisms and Quality Checks'!D4:D7,"N/A")</f>
        <v/>
      </c>
      <c r="G5" s="15">
        <f>IF((B5-F5)=0,"N/A",ROUND(C5/(B5-F5)*100,1)&amp;"%")</f>
        <v/>
      </c>
      <c r="H5" s="15">
        <f>B5-(C5+D5+E5+F5)</f>
        <v/>
      </c>
    </row>
    <row r="6">
      <c r="A6" s="16" t="inlineStr">
        <is>
          <t>TOTAL</t>
        </is>
      </c>
      <c r="B6" s="16">
        <f>SUM(B4:B5)</f>
        <v/>
      </c>
      <c r="C6" s="16">
        <f>SUM(C4:C5)</f>
        <v/>
      </c>
      <c r="D6" s="16">
        <f>SUM(D4:D5)</f>
        <v/>
      </c>
      <c r="E6" s="16">
        <f>SUM(E4:E5)</f>
        <v/>
      </c>
      <c r="F6" s="16">
        <f>SUM(F4:F5)</f>
        <v/>
      </c>
      <c r="G6" s="16">
        <f>IF((B6-F6)=0,"N/A",ROUND(C6/(B6-F6)*100,1)&amp;"%")</f>
        <v/>
      </c>
      <c r="H6" s="16">
        <f>SUM(H4:H5)</f>
        <v/>
      </c>
    </row>
    <row r="8">
      <c r="A8" s="6" t="inlineStr">
        <is>
          <t>COMPLIANCE BY STATUS</t>
        </is>
      </c>
    </row>
    <row r="9">
      <c r="A9" s="3" t="inlineStr">
        <is>
          <t>Compliant</t>
        </is>
      </c>
      <c r="B9" s="17">
        <f>C6</f>
        <v/>
      </c>
      <c r="C9" s="4">
        <f>IF(B6=0,"",ROUND(B9/B6*100,1)&amp;"%")</f>
        <v/>
      </c>
    </row>
    <row r="10">
      <c r="A10" s="3" t="inlineStr">
        <is>
          <t>Partial</t>
        </is>
      </c>
      <c r="B10" s="18">
        <f>D6</f>
        <v/>
      </c>
      <c r="C10" s="4">
        <f>IF(B6=0,"",ROUND(B10/B6*100,1)&amp;"%")</f>
        <v/>
      </c>
    </row>
    <row r="11">
      <c r="A11" s="3" t="inlineStr">
        <is>
          <t>Non-Compliant</t>
        </is>
      </c>
      <c r="B11" s="19">
        <f>E6</f>
        <v/>
      </c>
      <c r="C11" s="4">
        <f>IF(B6=0,"",ROUND(B11/B6*100,1)&amp;"%")</f>
        <v/>
      </c>
    </row>
    <row r="12">
      <c r="A12" s="3" t="inlineStr">
        <is>
          <t>N/A</t>
        </is>
      </c>
      <c r="B12" s="20">
        <f>F6</f>
        <v/>
      </c>
      <c r="C12" s="4">
        <f>IF(B6=0,"",ROUND(B12/B6*100,1)&amp;"%")</f>
        <v/>
      </c>
    </row>
    <row r="14">
      <c r="A14" s="6" t="inlineStr">
        <is>
          <t>TOP GAPS (Manual Entry)</t>
        </is>
      </c>
    </row>
    <row r="15">
      <c r="A15" s="11" t="inlineStr">
        <is>
          <t>Priority</t>
        </is>
      </c>
      <c r="B15" s="11" t="inlineStr">
        <is>
          <t>Domain</t>
        </is>
      </c>
      <c r="C15" s="11" t="inlineStr">
        <is>
          <t>Requirement</t>
        </is>
      </c>
      <c r="D15" s="11" t="inlineStr">
        <is>
          <t>Owner</t>
        </is>
      </c>
      <c r="E15" s="11" t="inlineStr">
        <is>
          <t>Due Date</t>
        </is>
      </c>
      <c r="F15" s="11" t="inlineStr">
        <is>
          <t>Status</t>
        </is>
      </c>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7">
      <c r="A27" s="6" t="inlineStr">
        <is>
          <t>COMPLIANCE TREND (Manual Entry)</t>
        </is>
      </c>
    </row>
    <row r="28">
      <c r="A28" s="11" t="inlineStr">
        <is>
          <t>Assessment Date</t>
        </is>
      </c>
      <c r="B28" s="11" t="inlineStr">
        <is>
          <t>Overall %</t>
        </is>
      </c>
      <c r="C28" s="11" t="inlineStr">
        <is>
          <t>Compliant</t>
        </is>
      </c>
      <c r="D28" s="11" t="inlineStr">
        <is>
          <t>Gaps</t>
        </is>
      </c>
      <c r="E28" s="11" t="inlineStr">
        <is>
          <t>Assessor</t>
        </is>
      </c>
      <c r="F28" s="11" t="inlineStr">
        <is>
          <t>Notes</t>
        </is>
      </c>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sheetData>
  <mergeCells count="4">
    <mergeCell ref="A27:G27"/>
    <mergeCell ref="A8:G8"/>
    <mergeCell ref="A14:G14"/>
    <mergeCell ref="A1:G1"/>
  </mergeCells>
  <dataValidations count="1">
    <dataValidation sqref="F16 F17 F18 F19 F20 F21 F22 F23 F24 F2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Integrity Preservation — Compliance Checklist</t>
        </is>
      </c>
    </row>
    <row r="2">
      <c r="A2" s="21" t="inlineStr">
        <is>
          <t>ISO/IEC 27018:2025 — Controls A.7: Accuracy and Quality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A.7-01</t>
        </is>
      </c>
      <c r="B4" s="23" t="inlineStr">
        <is>
          <t>Integrity Controls</t>
        </is>
      </c>
      <c r="C4" s="24" t="inlineStr">
        <is>
          <t>The organisation shall implement technical controls ensuring that PII stored in cloud systems is not degraded, corrupted, or altered through processing operations except as authorised by the PII controller. Storage systems shall implement integrity checking (e.g., checksums, cryptographic hashes) for PII data stores to detect unauthorised or accidental modification.</t>
        </is>
      </c>
      <c r="D4" s="25" t="n"/>
      <c r="E4" s="5" t="n"/>
      <c r="F4" s="5" t="n"/>
      <c r="G4" s="26" t="n"/>
      <c r="H4" s="5" t="n"/>
    </row>
    <row r="5" ht="40" customHeight="1">
      <c r="A5" s="22" t="inlineStr">
        <is>
          <t>A.7-02</t>
        </is>
      </c>
      <c r="B5" s="23" t="inlineStr">
        <is>
          <t>Transformation Logging</t>
        </is>
      </c>
      <c r="C5" s="24" t="inlineStr">
        <is>
          <t>Transformation operations performed on PII during processing shall be reversible or logged, ensuring the original data can be verified or restored. Backup and replication operations shall preserve PII accuracy and completeness without data loss.</t>
        </is>
      </c>
      <c r="D5" s="25" t="n"/>
      <c r="E5" s="5" t="n"/>
      <c r="F5" s="5" t="n"/>
      <c r="G5" s="26" t="n"/>
      <c r="H5" s="5" t="n"/>
    </row>
    <row r="6" ht="40" customHeight="1">
      <c r="A6" s="22" t="inlineStr">
        <is>
          <t>A.7-03</t>
        </is>
      </c>
      <c r="B6" s="23" t="inlineStr">
        <is>
          <t>Processing-Induced Inaccuracy</t>
        </is>
      </c>
      <c r="C6" s="24" t="inlineStr">
        <is>
          <t>Where the organisation performs data transformation, enrichment, or processing operations on PII on behalf of a controller, the organisation shall: document the transformation logic and its effect on PII accuracy; obtain controller authorisation for any transformation that modifies PII attributes; and alert the controller if a processing operation produces results that indicate potential inaccuracy in the source data.</t>
        </is>
      </c>
      <c r="D6" s="25" t="n"/>
      <c r="E6" s="5" t="n"/>
      <c r="F6" s="5" t="n"/>
      <c r="G6" s="26" t="n"/>
      <c r="H6" s="5" t="n"/>
    </row>
    <row r="7" ht="40" customHeight="1">
      <c r="A7" s="22" t="inlineStr">
        <is>
          <t>A.7-04</t>
        </is>
      </c>
      <c r="B7" s="23" t="inlineStr">
        <is>
          <t>Integrity Check Configuration Records</t>
        </is>
      </c>
      <c r="C7" s="24" t="inlineStr">
        <is>
          <t>Technical documentation of integrity checking mechanisms implemented for PII data stores shall be maintained as evidence, including the mechanism type, scope of data stores covered, and verification frequency. Records shall be retained for the duration of the service plus 3 years.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Controller Correction Mechanisms and Quality Checks — Compliance Checklist</t>
        </is>
      </c>
    </row>
    <row r="2">
      <c r="A2" s="21" t="inlineStr">
        <is>
          <t>ISO/IEC 27018:2025 — Controls A.7: Accuracy and Quality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A.7-05</t>
        </is>
      </c>
      <c r="B4" s="23" t="inlineStr">
        <is>
          <t>Controller Correction Capabilities</t>
        </is>
      </c>
      <c r="C4" s="24" t="inlineStr">
        <is>
          <t>The organisation shall provide PII controllers with technical capabilities to correct, update, and delete PII within cloud storage. These mechanisms shall allow field-level correction or full record update for structured PII data stores, and shall propagate corrections to replicated copies (backups, read replicas, caches) within a reasonable timeframe enabling the controller to fulfil data subject rights obligations.</t>
        </is>
      </c>
      <c r="D4" s="25" t="n"/>
      <c r="E4" s="5" t="n"/>
      <c r="F4" s="5" t="n"/>
      <c r="G4" s="26" t="n"/>
      <c r="H4" s="5" t="n"/>
    </row>
    <row r="5" ht="40" customHeight="1">
      <c r="A5" s="22" t="inlineStr">
        <is>
          <t>A.7-06</t>
        </is>
      </c>
      <c r="B5" s="23" t="inlineStr">
        <is>
          <t>Correction Confirmation Records</t>
        </is>
      </c>
      <c r="C5" s="24" t="inlineStr">
        <is>
          <t>The organisation shall generate a confirmation record when PII corrections are completed, including which records were modified and the timestamp. Correction confirmation records shall be provided to the controller on request and retained for the duration of the service plus 3 years.</t>
        </is>
      </c>
      <c r="D5" s="25" t="n"/>
      <c r="E5" s="5" t="n"/>
      <c r="F5" s="5" t="n"/>
      <c r="G5" s="26" t="n"/>
      <c r="H5" s="5" t="n"/>
    </row>
    <row r="6" ht="40" customHeight="1">
      <c r="A6" s="22" t="inlineStr">
        <is>
          <t>A.7-07</t>
        </is>
      </c>
      <c r="B6" s="23" t="inlineStr">
        <is>
          <t>Quality Checks</t>
        </is>
      </c>
      <c r="C6" s="24" t="inlineStr">
        <is>
          <t>The organisation shall implement the following quality controls for PII data stores: data completeness checks (identify and flag records with missing mandatory fields that may indicate data corruption or incomplete transfer); data consistency checks (verify PII consistency across replicated or distributed data stores to detect replication errors); and backup integrity verification (periodically restore and verify backup PII data to confirm backup integrity).</t>
        </is>
      </c>
      <c r="D6" s="25" t="n"/>
      <c r="E6" s="5" t="n"/>
      <c r="F6" s="5" t="n"/>
      <c r="G6" s="26" t="n"/>
      <c r="H6" s="5" t="n"/>
    </row>
    <row r="7" ht="40" customHeight="1">
      <c r="A7" s="22" t="inlineStr">
        <is>
          <t>A.7-08</t>
        </is>
      </c>
      <c r="B7" s="23" t="inlineStr">
        <is>
          <t>Quality Check Review and Reporting</t>
        </is>
      </c>
      <c r="C7" s="24" t="inlineStr">
        <is>
          <t>Quality check results shall be logged and reviewed quarterly by the Cloud Engineering team. Material data quality issues shall be reported to the PII controller without undue delay. Data quality incident records shall be retained for the duration of the service plus 3 years.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2026-09-30T11:28:40Z</dcterms:created>
  <dcterms:modified xmlns:dcterms="http://purl.org/dc/terms/" xmlns:xsi="http://www.w3.org/2001/XMLSchema-instance" xsi:type="dcterms:W3CDTF">2026-09-30T11:28:40Z</dcterms:modified>
</cp:coreProperties>
</file>