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Dashboard" sheetId="2" state="visible" r:id="rId2"/>
    <sheet xmlns:r="http://schemas.openxmlformats.org/officeDocument/2006/relationships" name="Retention Limitation and Disclosure Notification" sheetId="3" state="visible" r:id="rId3"/>
    <sheet xmlns:r="http://schemas.openxmlformats.org/officeDocument/2006/relationships" name="Recording of PII Disclosures" sheetId="4" state="visible" r:id="rId4"/>
  </sheets>
  <definedNames>
    <definedName name="_xlnm.Print_Area" localSheetId="0">'Executive Summary'!$A$1:$H$61</definedName>
  </definedNames>
  <calcPr calcId="124519" fullCalcOnLoad="1"/>
</workbook>
</file>

<file path=xl/styles.xml><?xml version="1.0" encoding="utf-8"?>
<styleSheet xmlns="http://schemas.openxmlformats.org/spreadsheetml/2006/main">
  <numFmts count="1">
    <numFmt numFmtId="164" formatCode="DD.MM.YYYY"/>
  </numFmts>
  <fonts count="15">
    <font>
      <name val="Calibri"/>
      <family val="2"/>
      <color theme="1"/>
      <sz val="11"/>
      <scheme val="minor"/>
    </font>
    <font>
      <name val="Calibri"/>
      <b val="1"/>
      <color rgb="00FFFFFF"/>
      <sz val="14"/>
    </font>
    <font>
      <name val="Calibri"/>
      <i val="1"/>
      <color rgb="004472C4"/>
      <sz val="10"/>
    </font>
    <font>
      <name val="Calibri"/>
      <b val="1"/>
      <sz val="10"/>
    </font>
    <font>
      <name val="Calibri"/>
      <color rgb="00666666"/>
      <sz val="9"/>
    </font>
    <font>
      <name val="Calibri"/>
      <sz val="9"/>
    </font>
    <font>
      <name val="Calibri"/>
      <b val="1"/>
      <sz val="11"/>
    </font>
    <font>
      <name val="Calibri"/>
      <b val="1"/>
      <color rgb="00FFFFFF"/>
      <sz val="11"/>
    </font>
    <font>
      <name val="Calibri"/>
      <b val="1"/>
      <sz val="14"/>
    </font>
    <font>
      <name val="Calibri"/>
      <b val="1"/>
      <color rgb="00003366"/>
      <sz val="12"/>
    </font>
    <font>
      <name val="Calibri"/>
      <b val="1"/>
      <sz val="12"/>
    </font>
    <font>
      <name val="Calibri"/>
      <b val="1"/>
      <sz val="20"/>
    </font>
    <font>
      <name val="Calibri"/>
      <b val="1"/>
      <sz val="16"/>
    </font>
    <font>
      <name val="Calibri"/>
      <b val="1"/>
      <color rgb="004472C4"/>
      <sz val="14"/>
    </font>
    <font>
      <name val="Calibri"/>
      <sz val="10"/>
    </font>
  </fonts>
  <fills count="10">
    <fill>
      <patternFill/>
    </fill>
    <fill>
      <patternFill patternType="gray125"/>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9" fillId="0" borderId="0" applyAlignment="1" pivotButton="0" quotePrefix="0" xfId="0">
      <alignment horizontal="left" vertical="center"/>
    </xf>
    <xf numFmtId="0" fontId="3" fillId="0" borderId="1" pivotButton="0" quotePrefix="0" xfId="0"/>
    <xf numFmtId="0" fontId="0" fillId="0" borderId="1" pivotButton="0" quotePrefix="0" xfId="0"/>
    <xf numFmtId="0" fontId="0" fillId="4" borderId="1" applyAlignment="1" pivotButton="0" quotePrefix="0" xfId="0">
      <alignment horizontal="left" vertical="center" wrapText="1"/>
    </xf>
    <xf numFmtId="0" fontId="7" fillId="6" borderId="0" applyAlignment="1" pivotButton="0" quotePrefix="0" xfId="0">
      <alignment horizontal="left" vertical="center" wrapText="1"/>
    </xf>
    <xf numFmtId="0" fontId="10" fillId="0" borderId="0" pivotButton="0" quotePrefix="0" xfId="0"/>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3" fillId="5" borderId="1" applyAlignment="1" pivotButton="0" quotePrefix="0" xfId="0">
      <alignment horizontal="center" vertical="center"/>
    </xf>
    <xf numFmtId="0" fontId="3" fillId="3" borderId="1" applyAlignment="1" pivotButton="0" quotePrefix="0" xfId="0">
      <alignment horizontal="center" vertical="center" wrapText="1"/>
    </xf>
    <xf numFmtId="0" fontId="0" fillId="4" borderId="1" applyAlignment="1" pivotButton="0" quotePrefix="0" xfId="0">
      <alignment horizontal="left" vertical="top" wrapText="1"/>
    </xf>
    <xf numFmtId="0" fontId="6" fillId="0" borderId="0" pivotButton="0" quotePrefix="0" xfId="0"/>
    <xf numFmtId="0" fontId="14" fillId="0" borderId="1" pivotButton="0" quotePrefix="0" xfId="0"/>
    <xf numFmtId="0" fontId="2" fillId="5" borderId="1" applyAlignment="1" pivotButton="0" quotePrefix="0" xfId="0">
      <alignment horizontal="center" vertical="center"/>
    </xf>
    <xf numFmtId="0" fontId="7" fillId="2" borderId="1" applyAlignment="1" pivotButton="0" quotePrefix="0" xfId="0">
      <alignment horizontal="center" vertical="center"/>
    </xf>
    <xf numFmtId="0" fontId="8" fillId="7" borderId="1" applyAlignment="1" pivotButton="0" quotePrefix="0" xfId="0">
      <alignment horizontal="center" vertical="center"/>
    </xf>
    <xf numFmtId="0" fontId="8" fillId="8" borderId="1" applyAlignment="1" pivotButton="0" quotePrefix="0" xfId="0">
      <alignment horizontal="center" vertical="center"/>
    </xf>
    <xf numFmtId="0" fontId="8" fillId="9" borderId="1" applyAlignment="1" pivotButton="0" quotePrefix="0" xfId="0">
      <alignment horizontal="center" vertical="center"/>
    </xf>
    <xf numFmtId="0" fontId="8" fillId="5" borderId="1" applyAlignment="1" pivotButton="0" quotePrefix="0" xfId="0">
      <alignment horizontal="center" vertical="center"/>
    </xf>
    <xf numFmtId="0" fontId="2" fillId="0" borderId="0" applyAlignment="1" pivotButton="0" quotePrefix="0" xfId="0">
      <alignment horizontal="center"/>
    </xf>
    <xf numFmtId="0" fontId="4" fillId="0" borderId="1" pivotButton="0" quotePrefix="0" xfId="0"/>
    <xf numFmtId="0" fontId="5" fillId="0" borderId="1" applyAlignment="1" pivotButton="0" quotePrefix="0" xfId="0">
      <alignment vertical="center" wrapText="1"/>
    </xf>
    <xf numFmtId="0" fontId="0" fillId="0" borderId="1" applyAlignment="1" pivotButton="0" quotePrefix="0" xfId="0">
      <alignment horizontal="left" vertical="center" wrapText="1"/>
    </xf>
    <xf numFmtId="0" fontId="0" fillId="4" borderId="1" applyAlignment="1" pivotButton="0" quotePrefix="0" xfId="0">
      <alignment horizontal="center" vertical="center"/>
    </xf>
    <xf numFmtId="164" fontId="0" fillId="4" borderId="1" applyAlignment="1" pivotButton="0" quotePrefix="0" xfId="0">
      <alignment horizontal="left" vertical="center" wrapText="1"/>
    </xf>
  </cellXfs>
  <cellStyles count="1">
    <cellStyle name="Normal" xfId="0" builtinId="0" hidden="0"/>
  </cellStyles>
  <dxfs count="4">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3366"/>
    <outlinePr summaryBelow="1" summaryRight="1"/>
    <pageSetUpPr fitToPage="1"/>
  </sheetPr>
  <dimension ref="A1:H59"/>
  <sheetViews>
    <sheetView workbookViewId="0">
      <selection activeCell="A1" sqref="A1"/>
    </sheetView>
  </sheetViews>
  <sheetFormatPr baseColWidth="8" defaultRowHeight="15"/>
  <cols>
    <col width="28" customWidth="1" min="1" max="1"/>
    <col width="22" customWidth="1" min="2" max="2"/>
    <col width="22" customWidth="1" min="3" max="3"/>
    <col width="18" customWidth="1" min="4" max="4"/>
    <col width="18" customWidth="1" min="5" max="5"/>
    <col width="18" customWidth="1" min="6" max="6"/>
    <col width="18" customWidth="1" min="7" max="7"/>
    <col width="18" customWidth="1" min="8" max="8"/>
  </cols>
  <sheetData>
    <row r="1" ht="40" customHeight="1">
      <c r="A1" s="1" t="inlineStr">
        <is>
          <t>CLD-CHK-A.6 — Use, Retention and Disclosure Limitation Compliance Checklist</t>
        </is>
      </c>
    </row>
    <row r="3">
      <c r="A3" s="2" t="inlineStr">
        <is>
          <t>DOCUMENT INFORMATION</t>
        </is>
      </c>
    </row>
    <row r="4">
      <c r="A4" s="3" t="inlineStr">
        <is>
          <t>Document ID</t>
        </is>
      </c>
      <c r="B4" s="4" t="inlineStr">
        <is>
          <t>CLD-CHK-A.6</t>
        </is>
      </c>
    </row>
    <row r="5">
      <c r="A5" s="3" t="inlineStr">
        <is>
          <t>Source Policy</t>
        </is>
      </c>
      <c r="B5" s="4" t="inlineStr">
        <is>
          <t>CLD-POL-A.6</t>
        </is>
      </c>
    </row>
    <row r="6">
      <c r="A6" s="3" t="inlineStr">
        <is>
          <t>ISO Controls</t>
        </is>
      </c>
      <c r="B6" s="4" t="inlineStr">
        <is>
          <t>Use, Retention and Disclosure Limitation</t>
        </is>
      </c>
    </row>
    <row r="7">
      <c r="A7" s="3" t="inlineStr">
        <is>
          <t>Generated</t>
        </is>
      </c>
      <c r="B7" s="4" t="inlineStr">
        <is>
          <t>10.03.2026</t>
        </is>
      </c>
    </row>
    <row r="8">
      <c r="A8" s="3" t="inlineStr">
        <is>
          <t>Prepared By</t>
        </is>
      </c>
      <c r="B8" s="5" t="inlineStr"/>
    </row>
    <row r="9">
      <c r="A9" s="3" t="inlineStr">
        <is>
          <t>Organisation</t>
        </is>
      </c>
      <c r="B9" s="5" t="inlineStr"/>
    </row>
    <row r="10">
      <c r="A10" s="3" t="inlineStr">
        <is>
          <t>Review Cycle</t>
        </is>
      </c>
      <c r="B10" s="4" t="inlineStr">
        <is>
          <t>Annual</t>
        </is>
      </c>
    </row>
    <row r="12">
      <c r="A12" s="6" t="inlineStr">
        <is>
          <t>OVERALL COMPLIANCE STATUS</t>
        </is>
      </c>
    </row>
    <row r="13">
      <c r="A13" s="7" t="inlineStr">
        <is>
          <t>Overall Compliance</t>
        </is>
      </c>
      <c r="B13" s="8">
        <f>'Dashboard'!G6</f>
        <v/>
      </c>
    </row>
    <row r="14">
      <c r="A14" s="7" t="inlineStr">
        <is>
          <t>Status</t>
        </is>
      </c>
      <c r="B14" s="9">
        <f>IF(Dashboard!G6="N/A","NOT ASSESSED",IF(ISNUMBER(VALUE(SUBSTITUTE(Dashboard!G6,"%",""))),IF(VALUE(SUBSTITUTE(Dashboard!G6,"%",""))&gt;=90,"GREEN",IF(VALUE(SUBSTITUTE(Dashboard!G6,"%",""))&gt;=70,"AMBER","RED")),"NOT ASSESSED"))</f>
        <v/>
      </c>
    </row>
    <row r="16">
      <c r="A16" s="6" t="inlineStr">
        <is>
          <t>KEY METRICS</t>
        </is>
      </c>
    </row>
    <row r="17">
      <c r="A17" s="3" t="inlineStr">
        <is>
          <t>Total Requirements</t>
        </is>
      </c>
      <c r="B17" s="10">
        <f>'Dashboard'!B6</f>
        <v/>
      </c>
    </row>
    <row r="18">
      <c r="A18" s="3" t="inlineStr">
        <is>
          <t>Compliant</t>
        </is>
      </c>
      <c r="B18" s="10">
        <f>'Dashboard'!C6</f>
        <v/>
      </c>
    </row>
    <row r="19">
      <c r="A19" s="3" t="inlineStr">
        <is>
          <t>Partial</t>
        </is>
      </c>
      <c r="B19" s="10">
        <f>'Dashboard'!D6</f>
        <v/>
      </c>
    </row>
    <row r="20">
      <c r="A20" s="3" t="inlineStr">
        <is>
          <t>Non-Compliant</t>
        </is>
      </c>
      <c r="B20" s="10">
        <f>'Dashboard'!E6</f>
        <v/>
      </c>
    </row>
    <row r="21">
      <c r="A21" s="3" t="inlineStr">
        <is>
          <t>Not Applicable</t>
        </is>
      </c>
      <c r="B21" s="10">
        <f>'Dashboard'!F6</f>
        <v/>
      </c>
    </row>
    <row r="22">
      <c r="A22" s="3" t="inlineStr">
        <is>
          <t>Owner Coverage</t>
        </is>
      </c>
      <c r="B22" s="10">
        <f>IF(Dashboard!B6=0,"N/A",ROUND((COUNTA('Retention Limitation and Disclosure Notification'!F4:F8)+COUNTA('Recording of PII Disclosures'!F4:F7))/Dashboard!B6*100,0)&amp;"%")</f>
        <v/>
      </c>
    </row>
    <row r="24">
      <c r="A24" s="6" t="inlineStr">
        <is>
          <t>DOMAIN STATUS SUMMARY</t>
        </is>
      </c>
    </row>
    <row r="25">
      <c r="A25" s="11" t="inlineStr">
        <is>
          <t>Domain</t>
        </is>
      </c>
      <c r="B25" s="11" t="inlineStr">
        <is>
          <t>Compliance %</t>
        </is>
      </c>
      <c r="C25" s="11" t="inlineStr">
        <is>
          <t>Compliant</t>
        </is>
      </c>
      <c r="D25" s="11" t="inlineStr">
        <is>
          <t>Gaps</t>
        </is>
      </c>
      <c r="E25" s="11" t="inlineStr">
        <is>
          <t>Status</t>
        </is>
      </c>
    </row>
    <row r="26">
      <c r="A26" s="4" t="inlineStr">
        <is>
          <t>Retention Limitation and Disclosure Notification</t>
        </is>
      </c>
      <c r="B26" s="4">
        <f>'Dashboard'!G4</f>
        <v/>
      </c>
      <c r="C26" s="4">
        <f>'Dashboard'!C4</f>
        <v/>
      </c>
      <c r="D26" s="4">
        <f>'Dashboard'!E4</f>
        <v/>
      </c>
      <c r="E26" s="4">
        <f>IF(Dashboard!G4="N/A","--",IF(ISNUMBER(VALUE(SUBSTITUTE(Dashboard!G4,"%",""))),IF(VALUE(SUBSTITUTE(Dashboard!G4,"%",""))&gt;=90,"PASS",IF(VALUE(SUBSTITUTE(Dashboard!G4,"%",""))&gt;=70,"REVIEW","FAIL")),"--"))</f>
        <v/>
      </c>
    </row>
    <row r="27">
      <c r="A27" s="4" t="inlineStr">
        <is>
          <t>Recording of PII Disclosures</t>
        </is>
      </c>
      <c r="B27" s="4">
        <f>'Dashboard'!G5</f>
        <v/>
      </c>
      <c r="C27" s="4">
        <f>'Dashboard'!C5</f>
        <v/>
      </c>
      <c r="D27" s="4">
        <f>'Dashboard'!E5</f>
        <v/>
      </c>
      <c r="E27" s="4">
        <f>IF(Dashboard!G5="N/A","--",IF(ISNUMBER(VALUE(SUBSTITUTE(Dashboard!G5,"%",""))),IF(VALUE(SUBSTITUTE(Dashboard!G5,"%",""))&gt;=90,"PASS",IF(VALUE(SUBSTITUTE(Dashboard!G5,"%",""))&gt;=70,"REVIEW","FAIL")),"--"))</f>
        <v/>
      </c>
    </row>
    <row r="29">
      <c r="A29" s="6" t="inlineStr">
        <is>
          <t>CRITICAL ISSUES</t>
        </is>
      </c>
    </row>
    <row r="30">
      <c r="A30" s="11" t="inlineStr">
        <is>
          <t>#</t>
        </is>
      </c>
      <c r="B30" s="11" t="inlineStr">
        <is>
          <t>Issue Description</t>
        </is>
      </c>
      <c r="C30" s="11" t="inlineStr">
        <is>
          <t>Domain</t>
        </is>
      </c>
      <c r="D30" s="11" t="inlineStr">
        <is>
          <t>Owner</t>
        </is>
      </c>
      <c r="E30" s="11" t="inlineStr">
        <is>
          <t>Due Date</t>
        </is>
      </c>
    </row>
    <row r="31">
      <c r="A31" s="4" t="n">
        <v>1</v>
      </c>
      <c r="B31" s="5" t="n"/>
      <c r="C31" s="5" t="n"/>
      <c r="D31" s="5" t="n"/>
      <c r="E31" s="5" t="n"/>
    </row>
    <row r="32">
      <c r="A32" s="4" t="n">
        <v>2</v>
      </c>
      <c r="B32" s="5" t="n"/>
      <c r="C32" s="5" t="n"/>
      <c r="D32" s="5" t="n"/>
      <c r="E32" s="5" t="n"/>
    </row>
    <row r="33">
      <c r="A33" s="4" t="n">
        <v>3</v>
      </c>
      <c r="B33" s="5" t="n"/>
      <c r="C33" s="5" t="n"/>
      <c r="D33" s="5" t="n"/>
      <c r="E33" s="5" t="n"/>
    </row>
    <row r="34">
      <c r="A34" s="4" t="n">
        <v>4</v>
      </c>
      <c r="B34" s="5" t="n"/>
      <c r="C34" s="5" t="n"/>
      <c r="D34" s="5" t="n"/>
      <c r="E34" s="5" t="n"/>
    </row>
    <row r="35">
      <c r="A35" s="4" t="n">
        <v>5</v>
      </c>
      <c r="B35" s="5" t="n"/>
      <c r="C35" s="5" t="n"/>
      <c r="D35" s="5" t="n"/>
      <c r="E35" s="5" t="n"/>
    </row>
    <row r="37">
      <c r="A37" s="6" t="inlineStr">
        <is>
          <t>MANAGEMENT COMMENTARY</t>
        </is>
      </c>
    </row>
    <row r="38" ht="60" customHeight="1">
      <c r="A38" s="12" t="inlineStr">
        <is>
          <t>[Enter management commentary on use, retention and disclosure limitation posture]</t>
        </is>
      </c>
    </row>
    <row r="39"/>
    <row r="40"/>
    <row r="42">
      <c r="A42" s="6" t="inlineStr">
        <is>
          <t>APPROVAL</t>
        </is>
      </c>
    </row>
    <row r="43">
      <c r="A43" s="13" t="inlineStr">
        <is>
          <t>Assessed By</t>
        </is>
      </c>
    </row>
    <row r="44">
      <c r="A44" s="14" t="inlineStr">
        <is>
          <t>Name:</t>
        </is>
      </c>
      <c r="B44" s="5" t="n"/>
    </row>
    <row r="45">
      <c r="A45" s="14" t="inlineStr">
        <is>
          <t>Date:</t>
        </is>
      </c>
      <c r="B45" s="5" t="n"/>
    </row>
    <row r="46">
      <c r="A46" s="14" t="inlineStr">
        <is>
          <t>Signature:</t>
        </is>
      </c>
      <c r="B46" s="5" t="n"/>
    </row>
    <row r="47">
      <c r="A47" s="14" t="inlineStr">
        <is>
          <t>Decision:</t>
        </is>
      </c>
      <c r="B47" s="5" t="n"/>
    </row>
    <row r="49">
      <c r="A49" s="13" t="inlineStr">
        <is>
          <t>Reviewed By (DPO)</t>
        </is>
      </c>
    </row>
    <row r="50">
      <c r="A50" s="14" t="inlineStr">
        <is>
          <t>Name:</t>
        </is>
      </c>
      <c r="B50" s="5" t="n"/>
    </row>
    <row r="51">
      <c r="A51" s="14" t="inlineStr">
        <is>
          <t>Date:</t>
        </is>
      </c>
      <c r="B51" s="5" t="n"/>
    </row>
    <row r="52">
      <c r="A52" s="14" t="inlineStr">
        <is>
          <t>Signature:</t>
        </is>
      </c>
      <c r="B52" s="5" t="n"/>
    </row>
    <row r="53">
      <c r="A53" s="14" t="inlineStr">
        <is>
          <t>Decision:</t>
        </is>
      </c>
      <c r="B53" s="5" t="n"/>
    </row>
    <row r="55">
      <c r="A55" s="13" t="inlineStr">
        <is>
          <t>Approved By (CEO / CISO)</t>
        </is>
      </c>
    </row>
    <row r="56">
      <c r="A56" s="14" t="inlineStr">
        <is>
          <t>Name:</t>
        </is>
      </c>
      <c r="B56" s="5" t="n"/>
    </row>
    <row r="57">
      <c r="A57" s="14" t="inlineStr">
        <is>
          <t>Date:</t>
        </is>
      </c>
      <c r="B57" s="5" t="n"/>
    </row>
    <row r="58">
      <c r="A58" s="14" t="inlineStr">
        <is>
          <t>Signature:</t>
        </is>
      </c>
      <c r="B58" s="5" t="n"/>
    </row>
    <row r="59">
      <c r="A59" s="14" t="inlineStr">
        <is>
          <t>Decision:</t>
        </is>
      </c>
      <c r="B59" s="5" t="n"/>
    </row>
  </sheetData>
  <mergeCells count="12">
    <mergeCell ref="A12:H12"/>
    <mergeCell ref="A29:H29"/>
    <mergeCell ref="A43:B43"/>
    <mergeCell ref="A24:H24"/>
    <mergeCell ref="A16:H16"/>
    <mergeCell ref="A49:B49"/>
    <mergeCell ref="A38:H40"/>
    <mergeCell ref="A42:H42"/>
    <mergeCell ref="A1:H1"/>
    <mergeCell ref="A37:H37"/>
    <mergeCell ref="A3:B3"/>
    <mergeCell ref="A55:B55"/>
  </mergeCells>
  <dataValidations count="1">
    <dataValidation sqref="B47 B53 B59" showDropDown="0" showInputMessage="0" showErrorMessage="0" allowBlank="1" type="list">
      <formula1>"Approved,Approved with Conditions,Not Approved"</formula1>
    </dataValidation>
  </dataValidations>
  <pageMargins left="0.75" right="0.75" top="1" bottom="1" header="0.5" footer="0.5"/>
  <pageSetup orientation="landscape" paperSize="9" fitToHeight="1" fitToWidth="1"/>
</worksheet>
</file>

<file path=xl/worksheets/sheet2.xml><?xml version="1.0" encoding="utf-8"?>
<worksheet xmlns="http://schemas.openxmlformats.org/spreadsheetml/2006/main">
  <sheetPr>
    <tabColor rgb="004472C4"/>
    <outlinePr summaryBelow="1" summaryRight="1"/>
    <pageSetUpPr/>
  </sheetPr>
  <dimension ref="A1:G32"/>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 width="16" customWidth="1" min="5" max="5"/>
    <col width="10" customWidth="1" min="6" max="6"/>
    <col width="16" customWidth="1" min="7" max="7"/>
  </cols>
  <sheetData>
    <row r="1" ht="40" customHeight="1">
      <c r="A1" s="1" t="inlineStr">
        <is>
          <t>Use, Retention and Disclosure Limitation — Compliance Dashboard</t>
        </is>
      </c>
    </row>
    <row r="3">
      <c r="A3" s="11" t="inlineStr">
        <is>
          <t>Domain</t>
        </is>
      </c>
      <c r="B3" s="11" t="inlineStr">
        <is>
          <t>Total Reqs</t>
        </is>
      </c>
      <c r="C3" s="11" t="inlineStr">
        <is>
          <t>Compliant</t>
        </is>
      </c>
      <c r="D3" s="11" t="inlineStr">
        <is>
          <t>Partial</t>
        </is>
      </c>
      <c r="E3" s="11" t="inlineStr">
        <is>
          <t>Non-Compliant</t>
        </is>
      </c>
      <c r="F3" s="11" t="inlineStr">
        <is>
          <t>N/A</t>
        </is>
      </c>
      <c r="G3" s="11" t="inlineStr">
        <is>
          <t>Compliance %</t>
        </is>
      </c>
    </row>
    <row r="4">
      <c r="A4" s="3" t="inlineStr">
        <is>
          <t>Retention Limitation and Disclosure Notification</t>
        </is>
      </c>
      <c r="B4" s="15">
        <f>COUNTA('Retention Limitation and Disclosure Notification'!D4:D8)</f>
        <v/>
      </c>
      <c r="C4" s="15">
        <f>COUNTIF('Retention Limitation and Disclosure Notification'!D4:D8,"Compliant")</f>
        <v/>
      </c>
      <c r="D4" s="15">
        <f>COUNTIF('Retention Limitation and Disclosure Notification'!D4:D8,"Partial")</f>
        <v/>
      </c>
      <c r="E4" s="15">
        <f>COUNTIF('Retention Limitation and Disclosure Notification'!D4:D8,"Non-Compliant")</f>
        <v/>
      </c>
      <c r="F4" s="15">
        <f>COUNTIF('Retention Limitation and Disclosure Notification'!D4:D8,"N/A")</f>
        <v/>
      </c>
      <c r="G4" s="15">
        <f>IF((B4-F4)=0,"N/A",ROUND(C4/(B4-F4)*100,1)&amp;"%")</f>
        <v/>
      </c>
    </row>
    <row r="5">
      <c r="A5" s="3" t="inlineStr">
        <is>
          <t>Recording of PII Disclosures</t>
        </is>
      </c>
      <c r="B5" s="15">
        <f>COUNTA('Recording of PII Disclosures'!D4:D7)</f>
        <v/>
      </c>
      <c r="C5" s="15">
        <f>COUNTIF('Recording of PII Disclosures'!D4:D7,"Compliant")</f>
        <v/>
      </c>
      <c r="D5" s="15">
        <f>COUNTIF('Recording of PII Disclosures'!D4:D7,"Partial")</f>
        <v/>
      </c>
      <c r="E5" s="15">
        <f>COUNTIF('Recording of PII Disclosures'!D4:D7,"Non-Compliant")</f>
        <v/>
      </c>
      <c r="F5" s="15">
        <f>COUNTIF('Recording of PII Disclosures'!D4:D7,"N/A")</f>
        <v/>
      </c>
      <c r="G5" s="15">
        <f>IF((B5-F5)=0,"N/A",ROUND(C5/(B5-F5)*100,1)&amp;"%")</f>
        <v/>
      </c>
    </row>
    <row r="6">
      <c r="A6" s="16" t="inlineStr">
        <is>
          <t>TOTAL</t>
        </is>
      </c>
      <c r="B6" s="16">
        <f>SUM(B4:B5)</f>
        <v/>
      </c>
      <c r="C6" s="16">
        <f>SUM(C4:C5)</f>
        <v/>
      </c>
      <c r="D6" s="16">
        <f>SUM(D4:D5)</f>
        <v/>
      </c>
      <c r="E6" s="16">
        <f>SUM(E4:E5)</f>
        <v/>
      </c>
      <c r="F6" s="16">
        <f>SUM(F4:F5)</f>
        <v/>
      </c>
      <c r="G6" s="16">
        <f>IF((B6-F6)=0,"N/A",ROUND(C6/(B6-F6)*100,1)&amp;"%")</f>
        <v/>
      </c>
    </row>
    <row r="8">
      <c r="A8" s="6" t="inlineStr">
        <is>
          <t>COMPLIANCE BY STATUS</t>
        </is>
      </c>
    </row>
    <row r="9">
      <c r="A9" s="3" t="inlineStr">
        <is>
          <t>Compliant</t>
        </is>
      </c>
      <c r="B9" s="17">
        <f>C6</f>
        <v/>
      </c>
      <c r="C9" s="4">
        <f>IF(B6=0,"",ROUND(B9/B6*100,1)&amp;"%")</f>
        <v/>
      </c>
    </row>
    <row r="10">
      <c r="A10" s="3" t="inlineStr">
        <is>
          <t>Partial</t>
        </is>
      </c>
      <c r="B10" s="18">
        <f>D6</f>
        <v/>
      </c>
      <c r="C10" s="4">
        <f>IF(B6=0,"",ROUND(B10/B6*100,1)&amp;"%")</f>
        <v/>
      </c>
    </row>
    <row r="11">
      <c r="A11" s="3" t="inlineStr">
        <is>
          <t>Non-Compliant</t>
        </is>
      </c>
      <c r="B11" s="19">
        <f>E6</f>
        <v/>
      </c>
      <c r="C11" s="4">
        <f>IF(B6=0,"",ROUND(B11/B6*100,1)&amp;"%")</f>
        <v/>
      </c>
    </row>
    <row r="12">
      <c r="A12" s="3" t="inlineStr">
        <is>
          <t>N/A</t>
        </is>
      </c>
      <c r="B12" s="20">
        <f>F6</f>
        <v/>
      </c>
      <c r="C12" s="4">
        <f>IF(B6=0,"",ROUND(B12/B6*100,1)&amp;"%")</f>
        <v/>
      </c>
    </row>
    <row r="14">
      <c r="A14" s="6" t="inlineStr">
        <is>
          <t>TOP GAPS (Manual Entry)</t>
        </is>
      </c>
    </row>
    <row r="15">
      <c r="A15" s="11" t="inlineStr">
        <is>
          <t>Priority</t>
        </is>
      </c>
      <c r="B15" s="11" t="inlineStr">
        <is>
          <t>Domain</t>
        </is>
      </c>
      <c r="C15" s="11" t="inlineStr">
        <is>
          <t>Requirement</t>
        </is>
      </c>
      <c r="D15" s="11" t="inlineStr">
        <is>
          <t>Owner</t>
        </is>
      </c>
      <c r="E15" s="11" t="inlineStr">
        <is>
          <t>Due Date</t>
        </is>
      </c>
      <c r="F15" s="11" t="inlineStr">
        <is>
          <t>Status</t>
        </is>
      </c>
    </row>
    <row r="16">
      <c r="A16" s="5" t="n"/>
      <c r="B16" s="5" t="n"/>
      <c r="C16" s="5" t="n"/>
      <c r="D16" s="5" t="n"/>
      <c r="E16" s="5" t="n"/>
      <c r="F16" s="5" t="n"/>
    </row>
    <row r="17">
      <c r="A17" s="5" t="n"/>
      <c r="B17" s="5" t="n"/>
      <c r="C17" s="5" t="n"/>
      <c r="D17" s="5" t="n"/>
      <c r="E17" s="5" t="n"/>
      <c r="F17" s="5" t="n"/>
    </row>
    <row r="18">
      <c r="A18" s="5" t="n"/>
      <c r="B18" s="5" t="n"/>
      <c r="C18" s="5" t="n"/>
      <c r="D18" s="5" t="n"/>
      <c r="E18" s="5" t="n"/>
      <c r="F18" s="5" t="n"/>
    </row>
    <row r="19">
      <c r="A19" s="5" t="n"/>
      <c r="B19" s="5" t="n"/>
      <c r="C19" s="5" t="n"/>
      <c r="D19" s="5" t="n"/>
      <c r="E19" s="5" t="n"/>
      <c r="F19" s="5" t="n"/>
    </row>
    <row r="20">
      <c r="A20" s="5" t="n"/>
      <c r="B20" s="5" t="n"/>
      <c r="C20" s="5" t="n"/>
      <c r="D20" s="5" t="n"/>
      <c r="E20" s="5" t="n"/>
      <c r="F20" s="5" t="n"/>
    </row>
    <row r="21">
      <c r="A21" s="5" t="n"/>
      <c r="B21" s="5" t="n"/>
      <c r="C21" s="5" t="n"/>
      <c r="D21" s="5" t="n"/>
      <c r="E21" s="5" t="n"/>
      <c r="F21" s="5" t="n"/>
    </row>
    <row r="22">
      <c r="A22" s="5" t="n"/>
      <c r="B22" s="5" t="n"/>
      <c r="C22" s="5" t="n"/>
      <c r="D22" s="5" t="n"/>
      <c r="E22" s="5" t="n"/>
      <c r="F22" s="5" t="n"/>
    </row>
    <row r="23">
      <c r="A23" s="5" t="n"/>
      <c r="B23" s="5" t="n"/>
      <c r="C23" s="5" t="n"/>
      <c r="D23" s="5" t="n"/>
      <c r="E23" s="5" t="n"/>
      <c r="F23" s="5" t="n"/>
    </row>
    <row r="24">
      <c r="A24" s="5" t="n"/>
      <c r="B24" s="5" t="n"/>
      <c r="C24" s="5" t="n"/>
      <c r="D24" s="5" t="n"/>
      <c r="E24" s="5" t="n"/>
      <c r="F24" s="5" t="n"/>
    </row>
    <row r="25">
      <c r="A25" s="5" t="n"/>
      <c r="B25" s="5" t="n"/>
      <c r="C25" s="5" t="n"/>
      <c r="D25" s="5" t="n"/>
      <c r="E25" s="5" t="n"/>
      <c r="F25" s="5" t="n"/>
    </row>
    <row r="27">
      <c r="A27" s="6" t="inlineStr">
        <is>
          <t>COMPLIANCE TREND (Manual Entry)</t>
        </is>
      </c>
    </row>
    <row r="28">
      <c r="A28" s="11" t="inlineStr">
        <is>
          <t>Assessment Date</t>
        </is>
      </c>
      <c r="B28" s="11" t="inlineStr">
        <is>
          <t>Overall %</t>
        </is>
      </c>
      <c r="C28" s="11" t="inlineStr">
        <is>
          <t>Compliant</t>
        </is>
      </c>
      <c r="D28" s="11" t="inlineStr">
        <is>
          <t>Gaps</t>
        </is>
      </c>
      <c r="E28" s="11" t="inlineStr">
        <is>
          <t>Assessor</t>
        </is>
      </c>
      <c r="F28" s="11" t="inlineStr">
        <is>
          <t>Notes</t>
        </is>
      </c>
    </row>
    <row r="29">
      <c r="A29" s="5" t="n"/>
      <c r="B29" s="5" t="n"/>
      <c r="C29" s="5" t="n"/>
      <c r="D29" s="5" t="n"/>
      <c r="E29" s="5" t="n"/>
      <c r="F29" s="5" t="n"/>
    </row>
    <row r="30">
      <c r="A30" s="5" t="n"/>
      <c r="B30" s="5" t="n"/>
      <c r="C30" s="5" t="n"/>
      <c r="D30" s="5" t="n"/>
      <c r="E30" s="5" t="n"/>
      <c r="F30" s="5" t="n"/>
    </row>
    <row r="31">
      <c r="A31" s="5" t="n"/>
      <c r="B31" s="5" t="n"/>
      <c r="C31" s="5" t="n"/>
      <c r="D31" s="5" t="n"/>
      <c r="E31" s="5" t="n"/>
      <c r="F31" s="5" t="n"/>
    </row>
    <row r="32">
      <c r="A32" s="5" t="n"/>
      <c r="B32" s="5" t="n"/>
      <c r="C32" s="5" t="n"/>
      <c r="D32" s="5" t="n"/>
      <c r="E32" s="5" t="n"/>
      <c r="F32" s="5" t="n"/>
    </row>
  </sheetData>
  <mergeCells count="4">
    <mergeCell ref="A27:G27"/>
    <mergeCell ref="A8:G8"/>
    <mergeCell ref="A14:G14"/>
    <mergeCell ref="A1:G1"/>
  </mergeCells>
  <dataValidations count="1">
    <dataValidation sqref="F16 F17 F18 F19 F20 F21 F22 F23 F24 F25" showDropDown="0" showInputMessage="0" showErrorMessage="0" allowBlank="1" type="list">
      <formula1>"Open,In Progress,Closed,Deferred"</formula1>
    </dataValidation>
  </dataValidation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H8"/>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Retention Limitation and Disclosure Notification — Compliance Checklist</t>
        </is>
      </c>
    </row>
    <row r="2">
      <c r="A2" s="21" t="inlineStr">
        <is>
          <t>ISO/IEC 27018:2025 — Controls A.6.1-2: Use, Retention and Disclosure Limitation</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A.6-01</t>
        </is>
      </c>
      <c r="B4" s="23" t="inlineStr">
        <is>
          <t>Retention Schedule Adherence</t>
        </is>
      </c>
      <c r="C4" s="24" t="inlineStr">
        <is>
          <t>The organisation shall retain PII on behalf of controllers only for the duration specified in the service agreement. Where the service agreement does not specify a retention period, the organisation shall request explicit written instructions from the PII controller before implementing any retention configuration.</t>
        </is>
      </c>
      <c r="D4" s="25" t="n"/>
      <c r="E4" s="5" t="n"/>
      <c r="F4" s="5" t="n"/>
      <c r="G4" s="26" t="n"/>
      <c r="H4" s="5" t="n"/>
    </row>
    <row r="5" ht="40" customHeight="1">
      <c r="A5" s="22" t="inlineStr">
        <is>
          <t>A.6-02</t>
        </is>
      </c>
      <c r="B5" s="23" t="inlineStr">
        <is>
          <t>Automated Retention Enforcement</t>
        </is>
      </c>
      <c r="C5" s="24" t="inlineStr">
        <is>
          <t>The organisation shall implement automated retention enforcement (automated deletion or archival) wherever technically feasible. Reliance on manual deletion is acceptable only where automated enforcement is technically not possible, in which case manual deletion shall be scheduled, logged, and reviewed quarterly.</t>
        </is>
      </c>
      <c r="D5" s="25" t="n"/>
      <c r="E5" s="5" t="n"/>
      <c r="F5" s="5" t="n"/>
      <c r="G5" s="26" t="n"/>
      <c r="H5" s="5" t="n"/>
    </row>
    <row r="6" ht="40" customHeight="1">
      <c r="A6" s="22" t="inlineStr">
        <is>
          <t>A.6.1-01</t>
        </is>
      </c>
      <c r="B6" s="23" t="inlineStr">
        <is>
          <t>Prior Notification of Compelled Disclosure</t>
        </is>
      </c>
      <c r="C6" s="24" t="inlineStr">
        <is>
          <t>Where the organisation receives a legally binding request from a law enforcement agency, regulatory authority, court, or other governmental body requiring disclosure of PII belonging to a PII controller, the organisation shall notify the relevant PII controller prior to disclosure, including: the identity of the requesting authority (to the extent legally permissible); the categories and scope of PII requested; the legal basis cited; and the requested disclosure deadline. The controller shall be given a reasonable opportunity to seek legal challenge before disclosure where the deadline permits.</t>
        </is>
      </c>
      <c r="D6" s="25" t="n"/>
      <c r="E6" s="5" t="n"/>
      <c r="F6" s="5" t="n"/>
      <c r="G6" s="26" t="n"/>
      <c r="H6" s="5" t="n"/>
    </row>
    <row r="7" ht="40" customHeight="1">
      <c r="A7" s="22" t="inlineStr">
        <is>
          <t>A.6.1-02</t>
        </is>
      </c>
      <c r="B7" s="23" t="inlineStr">
        <is>
          <t>Notification Prohibited by Law</t>
        </is>
      </c>
      <c r="C7" s="24" t="inlineStr">
        <is>
          <t>Where applicable law prohibits the organisation from notifying the PII controller of a disclosure request, the organisation shall: document the legal prohibition and the date from which notification is restricted; notify the PII controller at the earliest opportunity after the prohibition lapses; and if permanently prohibited, publish a transparency report or warrant canary to the maximum extent legally permissible.</t>
        </is>
      </c>
      <c r="D7" s="25" t="n"/>
      <c r="E7" s="5" t="n"/>
      <c r="F7" s="5" t="n"/>
      <c r="G7" s="26" t="n"/>
      <c r="H7" s="5" t="n"/>
    </row>
    <row r="8" ht="40" customHeight="1">
      <c r="A8" s="22" t="inlineStr">
        <is>
          <t>A.6.1-03</t>
        </is>
      </c>
      <c r="B8" s="23" t="inlineStr">
        <is>
          <t>Minimum Disclosure Principle</t>
        </is>
      </c>
      <c r="C8" s="24" t="inlineStr">
        <is>
          <t>All legally compelled disclosures shall be limited to the minimum PII required to satisfy the legal obligation. The organisation shall not provide broader access or data sets than specifically required by the legal order. Where the scope of a legal order is ambiguous, legal advice shall be sought before responding.</t>
        </is>
      </c>
      <c r="D8" s="25" t="n"/>
      <c r="E8" s="5" t="n"/>
      <c r="F8" s="5" t="n"/>
      <c r="G8" s="26" t="n"/>
      <c r="H8" s="5" t="n"/>
    </row>
  </sheetData>
  <mergeCells count="2">
    <mergeCell ref="A2:H2"/>
    <mergeCell ref="A1:H1"/>
  </mergeCells>
  <conditionalFormatting sqref="D4:D8">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H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Recording of PII Disclosures — Compliance Checklist</t>
        </is>
      </c>
    </row>
    <row r="2">
      <c r="A2" s="21" t="inlineStr">
        <is>
          <t>ISO/IEC 27018:2025 — Controls A.6.1-2: Use, Retention and Disclosure Limitation</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A.6.2-01</t>
        </is>
      </c>
      <c r="B4" s="23" t="inlineStr">
        <is>
          <t>PII Disclosure Register</t>
        </is>
      </c>
      <c r="C4" s="24" t="inlineStr">
        <is>
          <t>The organisation shall maintain a PII Disclosure Register recording every disclosure of PII to a third party, including legally compelled disclosures. Each entry shall record: date of disclosure; recipient identity; categories of PII disclosed; approximate number of data subjects affected; legal basis or controller instruction authorising the disclosure; whether the PII controller was notified (and if not, reason and date of subsequent notification); and the authorising officer.</t>
        </is>
      </c>
      <c r="D4" s="25" t="n"/>
      <c r="E4" s="5" t="n"/>
      <c r="F4" s="5" t="n"/>
      <c r="G4" s="26" t="n"/>
      <c r="H4" s="5" t="n"/>
    </row>
    <row r="5" ht="40" customHeight="1">
      <c r="A5" s="22" t="inlineStr">
        <is>
          <t>A.6.2-02</t>
        </is>
      </c>
      <c r="B5" s="23" t="inlineStr">
        <is>
          <t>Register Maintenance</t>
        </is>
      </c>
      <c r="C5" s="24" t="inlineStr">
        <is>
          <t>The PII Disclosure Register shall be maintained by the DPO, protected against unauthorised modification, and subject to quarterly review. The register shall be retained for minimum 5 years from the date of each recorded disclosure.</t>
        </is>
      </c>
      <c r="D5" s="25" t="n"/>
      <c r="E5" s="5" t="n"/>
      <c r="F5" s="5" t="n"/>
      <c r="G5" s="26" t="n"/>
      <c r="H5" s="5" t="n"/>
    </row>
    <row r="6" ht="40" customHeight="1">
      <c r="A6" s="22" t="inlineStr">
        <is>
          <t>A.6.2-03</t>
        </is>
      </c>
      <c r="B6" s="23" t="inlineStr">
        <is>
          <t>Controller Access</t>
        </is>
      </c>
      <c r="C6" s="24" t="inlineStr">
        <is>
          <t>The PII Disclosure Register shall be made available to any PII controller upon request, restricted to records pertaining to that controller's PII. The organisation shall respond to controller register access requests within 5 business days.</t>
        </is>
      </c>
      <c r="D6" s="25" t="n"/>
      <c r="E6" s="5" t="n"/>
      <c r="F6" s="5" t="n"/>
      <c r="G6" s="26" t="n"/>
      <c r="H6" s="5" t="n"/>
    </row>
    <row r="7" ht="40" customHeight="1">
      <c r="A7" s="22" t="inlineStr">
        <is>
          <t>A.6.2-04</t>
        </is>
      </c>
      <c r="B7" s="23" t="inlineStr">
        <is>
          <t>Transparency Reporting</t>
        </is>
      </c>
      <c r="C7" s="24" t="inlineStr">
        <is>
          <t>The organisation shall publish an annual transparency report summarising legally compelled disclosure requests received (where legally permissible), including aggregated counts of requests by type and jurisdiction, and the number of notifications issued to PII controllers. Where a warrant canary is maintained, it shall be updated at minimum every 6 months.</t>
        </is>
      </c>
      <c r="D7" s="25" t="n"/>
      <c r="E7" s="5" t="n"/>
      <c r="F7" s="5" t="n"/>
      <c r="G7" s="26" t="n"/>
      <c r="H7" s="5" t="n"/>
    </row>
  </sheetData>
  <mergeCells count="2">
    <mergeCell ref="A2:H2"/>
    <mergeCell ref="A1:H1"/>
  </mergeCells>
  <conditionalFormatting sqref="D4:D7">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2026-03-10T17:47:40Z</dcterms:created>
  <dcterms:modified xmlns:dcterms="http://purl.org/dc/terms/" xmlns:xsi="http://www.w3.org/2001/XMLSchema-instance" xsi:type="dcterms:W3CDTF">2026-03-10T17:47:40Z</dcterms:modified>
</cp:coreProperties>
</file>