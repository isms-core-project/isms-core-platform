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SC Obligations" sheetId="3" state="visible" r:id="rId3"/>
    <sheet xmlns:r="http://schemas.openxmlformats.org/officeDocument/2006/relationships" name="CSP Obligation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CLD-SEC-CHK-A.5.38 — Shared Roles and Responsibilities Compliance Checklist</t>
        </is>
      </c>
    </row>
    <row r="3">
      <c r="A3" s="2" t="inlineStr">
        <is>
          <t>DOCUMENT INFORMATION</t>
        </is>
      </c>
    </row>
    <row r="4">
      <c r="A4" s="3" t="inlineStr">
        <is>
          <t>Document ID</t>
        </is>
      </c>
      <c r="B4" s="4" t="inlineStr">
        <is>
          <t>CLD-SEC-CHK-A.5.38</t>
        </is>
      </c>
    </row>
    <row r="5">
      <c r="A5" s="3" t="inlineStr">
        <is>
          <t>Source Policy</t>
        </is>
      </c>
      <c r="B5" s="4" t="inlineStr">
        <is>
          <t>CLD-SEC-POL-A.5.38</t>
        </is>
      </c>
    </row>
    <row r="6">
      <c r="A6" s="3" t="inlineStr">
        <is>
          <t>ISO Controls</t>
        </is>
      </c>
      <c r="B6" s="4" t="inlineStr">
        <is>
          <t>Shared Roles and Responsibilities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IF(Dashboard!B6=0,"N/A",ROUND((COUNTA('CSC Obligations'!F4:F7)+COUNTA('CSP Obligations'!F4:F7))/Dashboard!B6*100,0)&amp;"%")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CSC Obligations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CSP Obligations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shared roles and responsibilities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Shared Roles and Responsibilities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CSC Obligations</t>
        </is>
      </c>
      <c r="B4" s="15">
        <f>COUNTA('CSC Obligations'!A4:A7)</f>
        <v/>
      </c>
      <c r="C4" s="15">
        <f>COUNTIF('CSC Obligations'!D4:D7,"Compliant")</f>
        <v/>
      </c>
      <c r="D4" s="15">
        <f>COUNTIF('CSC Obligations'!D4:D7,"Partial")</f>
        <v/>
      </c>
      <c r="E4" s="15">
        <f>COUNTIF('CSC Obligations'!D4:D7,"Non-Compliant")</f>
        <v/>
      </c>
      <c r="F4" s="15">
        <f>COUNTIF('CSC Obligations'!D4:D7,"N/A")</f>
        <v/>
      </c>
      <c r="G4" s="15">
        <f>IF((B4-F4)=0,"N/A",ROUND(C4/(B4-F4)*100,1)&amp;"%")</f>
        <v/>
      </c>
      <c r="H4" s="15">
        <f>B4-(C4+D4+E4+F4)</f>
        <v/>
      </c>
    </row>
    <row r="5">
      <c r="A5" s="3" t="inlineStr">
        <is>
          <t>CSP Obligations</t>
        </is>
      </c>
      <c r="B5" s="15">
        <f>COUNTA('CSP Obligations'!A4:A7)</f>
        <v/>
      </c>
      <c r="C5" s="15">
        <f>COUNTIF('CSP Obligations'!D4:D7,"Compliant")</f>
        <v/>
      </c>
      <c r="D5" s="15">
        <f>COUNTIF('CSP Obligations'!D4:D7,"Partial")</f>
        <v/>
      </c>
      <c r="E5" s="15">
        <f>COUNTIF('CSP Obligations'!D4:D7,"Non-Compliant")</f>
        <v/>
      </c>
      <c r="F5" s="15">
        <f>COUNTIF('CSP Obligations'!D4:D7,"N/A")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CSC Obligations — Compliance Checklist</t>
        </is>
      </c>
    </row>
    <row r="2">
      <c r="A2" s="21" t="inlineStr">
        <is>
          <t>ISO/IEC 27017:2026 — Controls 5.38: Shared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5.38-01</t>
        </is>
      </c>
      <c r="B4" s="23" t="inlineStr">
        <is>
          <t>Review CSP-Defined Roles</t>
        </is>
      </c>
      <c r="C4" s="24" t="inlineStr">
        <is>
          <t>The organisation shall review the information security roles and responsibilities defined by the CSP for each service consumed, and confirm it can fulfil its allocated roles and responsibilities before the service is put into production use.</t>
        </is>
      </c>
      <c r="D4" s="25" t="n"/>
      <c r="E4" s="5" t="n"/>
      <c r="F4" s="5" t="n"/>
      <c r="G4" s="26" t="n"/>
      <c r="H4" s="5" t="n"/>
    </row>
    <row r="5" ht="40" customHeight="1">
      <c r="A5" s="22" t="inlineStr">
        <is>
          <t>5.38-02</t>
        </is>
      </c>
      <c r="B5" s="23" t="inlineStr">
        <is>
          <t>Agreement Statement of Roles</t>
        </is>
      </c>
      <c r="C5" s="24" t="inlineStr">
        <is>
          <t>The organisation shall ensure the information security roles and responsibilities of both the organisation and the CSP are stated in a written agreement, not left to the CSP's public documentation alone.</t>
        </is>
      </c>
      <c r="D5" s="25" t="n"/>
      <c r="E5" s="5" t="n"/>
      <c r="F5" s="5" t="n"/>
      <c r="G5" s="26" t="n"/>
      <c r="H5" s="5" t="n"/>
    </row>
    <row r="6" ht="40" customHeight="1">
      <c r="A6" s="22" t="inlineStr">
        <is>
          <t>5.38-03</t>
        </is>
      </c>
      <c r="B6" s="23" t="inlineStr">
        <is>
          <t>Customer Support Relationship</t>
        </is>
      </c>
      <c r="C6" s="24" t="inlineStr">
        <is>
          <t>The organisation shall identify and manage its relationship with the CSP's customer support function for information security matters, including a defined point of contact.</t>
        </is>
      </c>
      <c r="D6" s="25" t="n"/>
      <c r="E6" s="5" t="n"/>
      <c r="F6" s="5" t="n"/>
      <c r="G6" s="26" t="n"/>
      <c r="H6" s="5" t="n"/>
    </row>
    <row r="7" ht="40" customHeight="1">
      <c r="A7" s="22" t="inlineStr">
        <is>
          <t>5.38-04</t>
        </is>
      </c>
      <c r="B7" s="23" t="inlineStr">
        <is>
          <t>CSP Capability Information Request</t>
        </is>
      </c>
      <c r="C7" s="24" t="inlineStr">
        <is>
          <t>The organisation shall request information from the CSP regarding its information security capabilities — including authentication, cryptography, backup, and logging — and use third-party or independent-body frameworks to complement CSP disclosures where insufficient.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CSP Obligations — Compliance Checklist</t>
        </is>
      </c>
    </row>
    <row r="2">
      <c r="A2" s="21" t="inlineStr">
        <is>
          <t>ISO/IEC 27017:2026 — Controls 5.38: Shared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5.38-05</t>
        </is>
      </c>
      <c r="B4" s="23" t="inlineStr">
        <is>
          <t>Define and Document Allocation</t>
        </is>
      </c>
      <c r="C4" s="24" t="inlineStr">
        <is>
          <t>The organisation shall define and document the allocation of information security roles and responsibilities that its CSCs, the organisation itself, and its own suppliers are each expected to implement.</t>
        </is>
      </c>
      <c r="D4" s="25" t="n"/>
      <c r="E4" s="5" t="n"/>
      <c r="F4" s="5" t="n"/>
      <c r="G4" s="26" t="n"/>
      <c r="H4" s="5" t="n"/>
    </row>
    <row r="5" ht="40" customHeight="1">
      <c r="A5" s="22" t="inlineStr">
        <is>
          <t>5.38-06</t>
        </is>
      </c>
      <c r="B5" s="23" t="inlineStr">
        <is>
          <t>Maintain CSC Relationship</t>
        </is>
      </c>
      <c r="C5" s="24" t="inlineStr">
        <is>
          <t>The organisation shall establish and maintain the relationship with each CSC regarding information security issues, based on the documented allocation of roles and responsibilities.</t>
        </is>
      </c>
      <c r="D5" s="25" t="n"/>
      <c r="E5" s="5" t="n"/>
      <c r="F5" s="5" t="n"/>
      <c r="G5" s="26" t="n"/>
      <c r="H5" s="5" t="n"/>
    </row>
    <row r="6" ht="40" customHeight="1">
      <c r="A6" s="22" t="inlineStr">
        <is>
          <t>5.38-07</t>
        </is>
      </c>
      <c r="B6" s="23" t="inlineStr">
        <is>
          <t>Provide Capability Information to CSCs</t>
        </is>
      </c>
      <c r="C6" s="24" t="inlineStr">
        <is>
          <t>The organisation shall provide CSCs with information regarding its information security capabilities and measures at a level of clarity sufficient for the CSC to understand them adequately, using recognised third-party or independent-body frameworks where useful.</t>
        </is>
      </c>
      <c r="D6" s="25" t="n"/>
      <c r="E6" s="5" t="n"/>
      <c r="F6" s="5" t="n"/>
      <c r="G6" s="26" t="n"/>
      <c r="H6" s="5" t="n"/>
    </row>
    <row r="7" ht="40" customHeight="1">
      <c r="A7" s="22" t="inlineStr">
        <is>
          <t>5.38-08</t>
        </is>
      </c>
      <c r="B7" s="23" t="inlineStr">
        <is>
          <t>Shared Allocation — Custodianship Principle</t>
        </is>
      </c>
      <c r="C7" s="24" t="inlineStr">
        <is>
          <t>The organisation shall take into account, when allocating roles and responsibilities in either capacity, the CSC's data and applications for which the organisation (as CSP) is a custodian, or for which the organisation (as CSC) remains accountable notwithstanding the CSP's technical custody.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2026-09-30T11:28:38Z</dcterms:created>
  <dcterms:modified xmlns:dcterms="http://purl.org/dc/terms/" xmlns:xsi="http://www.w3.org/2001/XMLSchema-instance" xsi:type="dcterms:W3CDTF">2026-09-30T11:28:38Z</dcterms:modified>
</cp:coreProperties>
</file>