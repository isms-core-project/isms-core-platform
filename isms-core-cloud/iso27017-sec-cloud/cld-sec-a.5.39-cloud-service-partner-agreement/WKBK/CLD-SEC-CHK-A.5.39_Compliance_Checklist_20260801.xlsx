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Defining and Agreeing CSN Roles" sheetId="3" state="visible" r:id="rId3"/>
    <sheet xmlns:r="http://schemas.openxmlformats.org/officeDocument/2006/relationships" name="Governance and Oversight" sheetId="4" state="visible" r:id="rId4"/>
  </sheets>
  <definedNames>
    <definedName name="_xlnm.Print_Area" localSheetId="0">'Executive Summary'!$A$1:$H$61</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59"/>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CLD-SEC-CHK-A.5.39 — Agreement on Cloud Service Partner Roles Compliance Checklist</t>
        </is>
      </c>
    </row>
    <row r="3">
      <c r="A3" s="2" t="inlineStr">
        <is>
          <t>DOCUMENT INFORMATION</t>
        </is>
      </c>
    </row>
    <row r="4">
      <c r="A4" s="3" t="inlineStr">
        <is>
          <t>Document ID</t>
        </is>
      </c>
      <c r="B4" s="4" t="inlineStr">
        <is>
          <t>CLD-SEC-CHK-A.5.39</t>
        </is>
      </c>
    </row>
    <row r="5">
      <c r="A5" s="3" t="inlineStr">
        <is>
          <t>Source Policy</t>
        </is>
      </c>
      <c r="B5" s="4" t="inlineStr">
        <is>
          <t>CLD-SEC-POL-A.5.39</t>
        </is>
      </c>
    </row>
    <row r="6">
      <c r="A6" s="3" t="inlineStr">
        <is>
          <t>ISO Controls</t>
        </is>
      </c>
      <c r="B6" s="4" t="inlineStr">
        <is>
          <t>Agreement on Cloud Service Partner Roles</t>
        </is>
      </c>
    </row>
    <row r="7">
      <c r="A7" s="3" t="inlineStr">
        <is>
          <t>Generated</t>
        </is>
      </c>
      <c r="B7" s="4" t="inlineStr">
        <is>
          <t>01.08.2026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'Dashboard'!G6</f>
        <v/>
      </c>
    </row>
    <row r="14">
      <c r="A14" s="7" t="inlineStr">
        <is>
          <t>Status</t>
        </is>
      </c>
      <c r="B14" s="9">
        <f>IF(Dashboard!G6="N/A","NOT ASSESSED",IF(ISNUMBER(VALUE(SUBSTITUTE(Dashboard!G6,"%",""))),IF(VALUE(SUBSTITUTE(Dashboard!G6,"%",""))&gt;=90,"GREEN",IF(VALUE(SUBSTITUTE(Dashboard!G6,"%",""))&gt;=70,"AMBER","RED")),"NOT ASSESSED"))</f>
        <v/>
      </c>
    </row>
    <row r="16">
      <c r="A16" s="6" t="inlineStr">
        <is>
          <t>KEY METRICS</t>
        </is>
      </c>
    </row>
    <row r="17">
      <c r="A17" s="3" t="inlineStr">
        <is>
          <t>Total Requirements</t>
        </is>
      </c>
      <c r="B17" s="10">
        <f>'Dashboard'!B6</f>
        <v/>
      </c>
    </row>
    <row r="18">
      <c r="A18" s="3" t="inlineStr">
        <is>
          <t>Compliant</t>
        </is>
      </c>
      <c r="B18" s="10">
        <f>'Dashboard'!C6</f>
        <v/>
      </c>
    </row>
    <row r="19">
      <c r="A19" s="3" t="inlineStr">
        <is>
          <t>Partial</t>
        </is>
      </c>
      <c r="B19" s="10">
        <f>'Dashboard'!D6</f>
        <v/>
      </c>
    </row>
    <row r="20">
      <c r="A20" s="3" t="inlineStr">
        <is>
          <t>Non-Compliant</t>
        </is>
      </c>
      <c r="B20" s="10">
        <f>'Dashboard'!E6</f>
        <v/>
      </c>
    </row>
    <row r="21">
      <c r="A21" s="3" t="inlineStr">
        <is>
          <t>Not Applicable</t>
        </is>
      </c>
      <c r="B21" s="10">
        <f>'Dashboard'!F6</f>
        <v/>
      </c>
    </row>
    <row r="22">
      <c r="A22" s="3" t="inlineStr">
        <is>
          <t>Owner Coverage</t>
        </is>
      </c>
      <c r="B22" s="10">
        <f>IF(Dashboard!B6=0,"N/A",ROUND((COUNTA('Defining and Agreeing CSN Roles'!F4:F7)+COUNTA('Governance and Oversight'!F4:F7))/Dashboard!B6*100,0)&amp;"%")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Defining and Agreeing CSN Roles</t>
        </is>
      </c>
      <c r="B26" s="4">
        <f>'Dashboard'!G4</f>
        <v/>
      </c>
      <c r="C26" s="4">
        <f>'Dashboard'!C4</f>
        <v/>
      </c>
      <c r="D26" s="4">
        <f>'Dashboard'!E4</f>
        <v/>
      </c>
      <c r="E26" s="4">
        <f>IF(Dashboard!G4="N/A","--",IF(ISNUMBER(VALUE(SUBSTITUTE(Dashboard!G4,"%",""))),IF(VALUE(SUBSTITUTE(Dashboard!G4,"%",""))&gt;=90,"PASS",IF(VALUE(SUBSTITUTE(Dashboard!G4,"%",""))&gt;=70,"REVIEW","FAIL")),"--"))</f>
        <v/>
      </c>
    </row>
    <row r="27">
      <c r="A27" s="4" t="inlineStr">
        <is>
          <t>Governance and Oversight</t>
        </is>
      </c>
      <c r="B27" s="4">
        <f>'Dashboard'!G5</f>
        <v/>
      </c>
      <c r="C27" s="4">
        <f>'Dashboard'!C5</f>
        <v/>
      </c>
      <c r="D27" s="4">
        <f>'Dashboard'!E5</f>
        <v/>
      </c>
      <c r="E27" s="4">
        <f>IF(Dashboard!G5="N/A","--",IF(ISNUMBER(VALUE(SUBSTITUTE(Dashboard!G5,"%",""))),IF(VALUE(SUBSTITUTE(Dashboard!G5,"%",""))&gt;=90,"PASS",IF(VALUE(SUBSTITUTE(Dashboard!G5,"%",""))&gt;=70,"REVIEW","FAIL")),"--"))</f>
        <v/>
      </c>
    </row>
    <row r="29">
      <c r="A29" s="6" t="inlineStr">
        <is>
          <t>CRITICAL ISSUES</t>
        </is>
      </c>
    </row>
    <row r="30">
      <c r="A30" s="11" t="inlineStr">
        <is>
          <t>#</t>
        </is>
      </c>
      <c r="B30" s="11" t="inlineStr">
        <is>
          <t>Issue Description</t>
        </is>
      </c>
      <c r="C30" s="11" t="inlineStr">
        <is>
          <t>Domain</t>
        </is>
      </c>
      <c r="D30" s="11" t="inlineStr">
        <is>
          <t>Owner</t>
        </is>
      </c>
      <c r="E30" s="11" t="inlineStr">
        <is>
          <t>Due Date</t>
        </is>
      </c>
    </row>
    <row r="31">
      <c r="A31" s="4" t="n">
        <v>1</v>
      </c>
      <c r="B31" s="5" t="n"/>
      <c r="C31" s="5" t="n"/>
      <c r="D31" s="5" t="n"/>
      <c r="E31" s="5" t="n"/>
    </row>
    <row r="32">
      <c r="A32" s="4" t="n">
        <v>2</v>
      </c>
      <c r="B32" s="5" t="n"/>
      <c r="C32" s="5" t="n"/>
      <c r="D32" s="5" t="n"/>
      <c r="E32" s="5" t="n"/>
    </row>
    <row r="33">
      <c r="A33" s="4" t="n">
        <v>3</v>
      </c>
      <c r="B33" s="5" t="n"/>
      <c r="C33" s="5" t="n"/>
      <c r="D33" s="5" t="n"/>
      <c r="E33" s="5" t="n"/>
    </row>
    <row r="34">
      <c r="A34" s="4" t="n">
        <v>4</v>
      </c>
      <c r="B34" s="5" t="n"/>
      <c r="C34" s="5" t="n"/>
      <c r="D34" s="5" t="n"/>
      <c r="E34" s="5" t="n"/>
    </row>
    <row r="35">
      <c r="A35" s="4" t="n">
        <v>5</v>
      </c>
      <c r="B35" s="5" t="n"/>
      <c r="C35" s="5" t="n"/>
      <c r="D35" s="5" t="n"/>
      <c r="E35" s="5" t="n"/>
    </row>
    <row r="37">
      <c r="A37" s="6" t="inlineStr">
        <is>
          <t>MANAGEMENT COMMENTARY</t>
        </is>
      </c>
    </row>
    <row r="38" ht="60" customHeight="1">
      <c r="A38" s="12" t="inlineStr">
        <is>
          <t>[Enter management commentary on agreement on cloud service partner roles posture]</t>
        </is>
      </c>
    </row>
    <row r="39"/>
    <row r="40"/>
    <row r="42">
      <c r="A42" s="6" t="inlineStr">
        <is>
          <t>APPROVAL</t>
        </is>
      </c>
    </row>
    <row r="43">
      <c r="A43" s="13" t="inlineStr">
        <is>
          <t>Assessed By</t>
        </is>
      </c>
    </row>
    <row r="44">
      <c r="A44" s="14" t="inlineStr">
        <is>
          <t>Name:</t>
        </is>
      </c>
      <c r="B44" s="5" t="n"/>
    </row>
    <row r="45">
      <c r="A45" s="14" t="inlineStr">
        <is>
          <t>Date:</t>
        </is>
      </c>
      <c r="B45" s="5" t="n"/>
    </row>
    <row r="46">
      <c r="A46" s="14" t="inlineStr">
        <is>
          <t>Signature:</t>
        </is>
      </c>
      <c r="B46" s="5" t="n"/>
    </row>
    <row r="47">
      <c r="A47" s="14" t="inlineStr">
        <is>
          <t>Decision:</t>
        </is>
      </c>
      <c r="B47" s="5" t="n"/>
    </row>
    <row r="49">
      <c r="A49" s="13" t="inlineStr">
        <is>
          <t>Reviewed By (DPO)</t>
        </is>
      </c>
    </row>
    <row r="50">
      <c r="A50" s="14" t="inlineStr">
        <is>
          <t>Name:</t>
        </is>
      </c>
      <c r="B50" s="5" t="n"/>
    </row>
    <row r="51">
      <c r="A51" s="14" t="inlineStr">
        <is>
          <t>Date:</t>
        </is>
      </c>
      <c r="B51" s="5" t="n"/>
    </row>
    <row r="52">
      <c r="A52" s="14" t="inlineStr">
        <is>
          <t>Signature:</t>
        </is>
      </c>
      <c r="B52" s="5" t="n"/>
    </row>
    <row r="53">
      <c r="A53" s="14" t="inlineStr">
        <is>
          <t>Decision:</t>
        </is>
      </c>
      <c r="B53" s="5" t="n"/>
    </row>
    <row r="55">
      <c r="A55" s="13" t="inlineStr">
        <is>
          <t>Approved By (CEO / CISO)</t>
        </is>
      </c>
    </row>
    <row r="56">
      <c r="A56" s="14" t="inlineStr">
        <is>
          <t>Name:</t>
        </is>
      </c>
      <c r="B56" s="5" t="n"/>
    </row>
    <row r="57">
      <c r="A57" s="14" t="inlineStr">
        <is>
          <t>Date:</t>
        </is>
      </c>
      <c r="B57" s="5" t="n"/>
    </row>
    <row r="58">
      <c r="A58" s="14" t="inlineStr">
        <is>
          <t>Signature:</t>
        </is>
      </c>
      <c r="B58" s="5" t="n"/>
    </row>
    <row r="59">
      <c r="A59" s="14" t="inlineStr">
        <is>
          <t>Decision:</t>
        </is>
      </c>
      <c r="B59" s="5" t="n"/>
    </row>
  </sheetData>
  <mergeCells count="12">
    <mergeCell ref="A12:H12"/>
    <mergeCell ref="A29:H29"/>
    <mergeCell ref="A43:B43"/>
    <mergeCell ref="A24:H24"/>
    <mergeCell ref="A16:H16"/>
    <mergeCell ref="A49:B49"/>
    <mergeCell ref="A38:H40"/>
    <mergeCell ref="A42:H42"/>
    <mergeCell ref="A1:H1"/>
    <mergeCell ref="A37:H37"/>
    <mergeCell ref="A3:B3"/>
    <mergeCell ref="A55:B55"/>
  </mergeCells>
  <dataValidations count="1">
    <dataValidation sqref="B47 B53 B59"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Agreement on Cloud Service Partner Roles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Defining and Agreeing CSN Roles</t>
        </is>
      </c>
      <c r="B4" s="15">
        <f>COUNTA('Defining and Agreeing CSN Roles'!D4:D7)</f>
        <v/>
      </c>
      <c r="C4" s="15">
        <f>COUNTIF('Defining and Agreeing CSN Roles'!D4:D7,"Compliant")</f>
        <v/>
      </c>
      <c r="D4" s="15">
        <f>COUNTIF('Defining and Agreeing CSN Roles'!D4:D7,"Partial")</f>
        <v/>
      </c>
      <c r="E4" s="15">
        <f>COUNTIF('Defining and Agreeing CSN Roles'!D4:D7,"Non-Compliant")</f>
        <v/>
      </c>
      <c r="F4" s="15">
        <f>COUNTIF('Defining and Agreeing CSN Roles'!D4:D7,"N/A")</f>
        <v/>
      </c>
      <c r="G4" s="15">
        <f>IF((B4-F4)=0,"N/A",ROUND(C4/(B4-F4)*100,1)&amp;"%")</f>
        <v/>
      </c>
    </row>
    <row r="5">
      <c r="A5" s="3" t="inlineStr">
        <is>
          <t>Governance and Oversight</t>
        </is>
      </c>
      <c r="B5" s="15">
        <f>COUNTA('Governance and Oversight'!D4:D7)</f>
        <v/>
      </c>
      <c r="C5" s="15">
        <f>COUNTIF('Governance and Oversight'!D4:D7,"Compliant")</f>
        <v/>
      </c>
      <c r="D5" s="15">
        <f>COUNTIF('Governance and Oversight'!D4:D7,"Partial")</f>
        <v/>
      </c>
      <c r="E5" s="15">
        <f>COUNTIF('Governance and Oversight'!D4:D7,"Non-Compliant")</f>
        <v/>
      </c>
      <c r="F5" s="15">
        <f>COUNTIF('Governance and Oversight'!D4:D7,"N/A")</f>
        <v/>
      </c>
      <c r="G5" s="15">
        <f>IF((B5-F5)=0,"N/A",ROUND(C5/(B5-F5)*100,1)&amp;"%")</f>
        <v/>
      </c>
    </row>
    <row r="6">
      <c r="A6" s="16" t="inlineStr">
        <is>
          <t>TOTAL</t>
        </is>
      </c>
      <c r="B6" s="16">
        <f>SUM(B4:B5)</f>
        <v/>
      </c>
      <c r="C6" s="16">
        <f>SUM(C4:C5)</f>
        <v/>
      </c>
      <c r="D6" s="16">
        <f>SUM(D4:D5)</f>
        <v/>
      </c>
      <c r="E6" s="16">
        <f>SUM(E4:E5)</f>
        <v/>
      </c>
      <c r="F6" s="16">
        <f>SUM(F4:F5)</f>
        <v/>
      </c>
      <c r="G6" s="16">
        <f>IF((B6-F6)=0,"N/A",ROUND(C6/(B6-F6)*100,1)&amp;"%")</f>
        <v/>
      </c>
    </row>
    <row r="8">
      <c r="A8" s="6" t="inlineStr">
        <is>
          <t>COMPLIANCE BY STATUS</t>
        </is>
      </c>
    </row>
    <row r="9">
      <c r="A9" s="3" t="inlineStr">
        <is>
          <t>Compliant</t>
        </is>
      </c>
      <c r="B9" s="17">
        <f>C6</f>
        <v/>
      </c>
      <c r="C9" s="4">
        <f>IF(B6=0,"",ROUND(B9/B6*100,1)&amp;"%")</f>
        <v/>
      </c>
    </row>
    <row r="10">
      <c r="A10" s="3" t="inlineStr">
        <is>
          <t>Partial</t>
        </is>
      </c>
      <c r="B10" s="18">
        <f>D6</f>
        <v/>
      </c>
      <c r="C10" s="4">
        <f>IF(B6=0,"",ROUND(B10/B6*100,1)&amp;"%")</f>
        <v/>
      </c>
    </row>
    <row r="11">
      <c r="A11" s="3" t="inlineStr">
        <is>
          <t>Non-Compliant</t>
        </is>
      </c>
      <c r="B11" s="19">
        <f>E6</f>
        <v/>
      </c>
      <c r="C11" s="4">
        <f>IF(B6=0,"",ROUND(B11/B6*100,1)&amp;"%")</f>
        <v/>
      </c>
    </row>
    <row r="12">
      <c r="A12" s="3" t="inlineStr">
        <is>
          <t>N/A</t>
        </is>
      </c>
      <c r="B12" s="20">
        <f>F6</f>
        <v/>
      </c>
      <c r="C12" s="4">
        <f>IF(B6=0,"",ROUND(B12/B6*100,1)&amp;"%")</f>
        <v/>
      </c>
    </row>
    <row r="14">
      <c r="A14" s="6" t="inlineStr">
        <is>
          <t>TOP GAPS (Manual Entry)</t>
        </is>
      </c>
    </row>
    <row r="15">
      <c r="A15" s="11" t="inlineStr">
        <is>
          <t>Priority</t>
        </is>
      </c>
      <c r="B15" s="11" t="inlineStr">
        <is>
          <t>Domain</t>
        </is>
      </c>
      <c r="C15" s="11" t="inlineStr">
        <is>
          <t>Requirement</t>
        </is>
      </c>
      <c r="D15" s="11" t="inlineStr">
        <is>
          <t>Owner</t>
        </is>
      </c>
      <c r="E15" s="11" t="inlineStr">
        <is>
          <t>Due Date</t>
        </is>
      </c>
      <c r="F15" s="11" t="inlineStr">
        <is>
          <t>Status</t>
        </is>
      </c>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7">
      <c r="A27" s="6" t="inlineStr">
        <is>
          <t>COMPLIANCE TREND (Manual Entry)</t>
        </is>
      </c>
    </row>
    <row r="28">
      <c r="A28" s="11" t="inlineStr">
        <is>
          <t>Assessment Date</t>
        </is>
      </c>
      <c r="B28" s="11" t="inlineStr">
        <is>
          <t>Overall %</t>
        </is>
      </c>
      <c r="C28" s="11" t="inlineStr">
        <is>
          <t>Compliant</t>
        </is>
      </c>
      <c r="D28" s="11" t="inlineStr">
        <is>
          <t>Gaps</t>
        </is>
      </c>
      <c r="E28" s="11" t="inlineStr">
        <is>
          <t>Assessor</t>
        </is>
      </c>
      <c r="F28" s="11" t="inlineStr">
        <is>
          <t>Notes</t>
        </is>
      </c>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sheetData>
  <mergeCells count="4">
    <mergeCell ref="A27:G27"/>
    <mergeCell ref="A8:G8"/>
    <mergeCell ref="A14:G14"/>
    <mergeCell ref="A1:G1"/>
  </mergeCells>
  <dataValidations count="1">
    <dataValidation sqref="F16 F17 F18 F19 F20 F21 F22 F23 F24 F25"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Defining and Agreeing CSN Roles — Compliance Checklist</t>
        </is>
      </c>
    </row>
    <row r="2">
      <c r="A2" s="21" t="inlineStr">
        <is>
          <t>ISO/IEC 27017:2026 — Controls 5.39: Agreement on Cloud Service Partner Roles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5.39-01</t>
        </is>
      </c>
      <c r="B4" s="23" t="inlineStr">
        <is>
          <t>Classify CSN Sub-Role</t>
        </is>
      </c>
      <c r="C4" s="24" t="inlineStr">
        <is>
          <t>The organisation shall classify each prospective cloud service partner (CSN) against the ISO/IEC 22123-3 sub-roles (cloud service developer, cloud auditor, cloud service broker) before engagement.</t>
        </is>
      </c>
      <c r="D4" s="25" t="n"/>
      <c r="E4" s="5" t="n"/>
      <c r="F4" s="5" t="n"/>
      <c r="G4" s="26" t="n"/>
      <c r="H4" s="5" t="n"/>
    </row>
    <row r="5" ht="40" customHeight="1">
      <c r="A5" s="22" t="inlineStr">
        <is>
          <t>5.39-02</t>
        </is>
      </c>
      <c r="B5" s="23" t="inlineStr">
        <is>
          <t>Written Agreement Before Work Begins</t>
        </is>
      </c>
      <c r="C5" s="24" t="inlineStr">
        <is>
          <t>The organisation shall reach written agreement with the CSN on its roles and responsibilities before the CSN begins any activity affecting a cloud service the organisation consumes or delivers.</t>
        </is>
      </c>
      <c r="D5" s="25" t="n"/>
      <c r="E5" s="5" t="n"/>
      <c r="F5" s="5" t="n"/>
      <c r="G5" s="26" t="n"/>
      <c r="H5" s="5" t="n"/>
    </row>
    <row r="6" ht="40" customHeight="1">
      <c r="A6" s="22" t="inlineStr">
        <is>
          <t>5.39-03</t>
        </is>
      </c>
      <c r="B6" s="23" t="inlineStr">
        <is>
          <t>Consistency with Shared Responsibility Allocation</t>
        </is>
      </c>
      <c r="C6" s="24" t="inlineStr">
        <is>
          <t>The organisation shall verify that the agreement with the CSN is consistent with the shared roles and responsibilities already established between the organisation and its CSC or CSP counterparty under CLD-SEC-POL-A.5.38.</t>
        </is>
      </c>
      <c r="D6" s="25" t="n"/>
      <c r="E6" s="5" t="n"/>
      <c r="F6" s="5" t="n"/>
      <c r="G6" s="26" t="n"/>
      <c r="H6" s="5" t="n"/>
    </row>
    <row r="7" ht="40" customHeight="1">
      <c r="A7" s="22" t="inlineStr">
        <is>
          <t>5.39-04</t>
        </is>
      </c>
      <c r="B7" s="23" t="inlineStr">
        <is>
          <t>Contractual Requirements</t>
        </is>
      </c>
      <c r="C7" s="24" t="inlineStr">
        <is>
          <t>Every cloud service partner engagement shall be governed by a written agreement, negotiated per ISMS-POL-A.5.19-23-S2, that identifies the CSN's sub-role(s) and states the specific information security responsibilities assigned.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Governance and Oversight — Compliance Checklist</t>
        </is>
      </c>
    </row>
    <row r="2">
      <c r="A2" s="21" t="inlineStr">
        <is>
          <t>ISO/IEC 27017:2026 — Controls 5.39: Agreement on Cloud Service Partner Roles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5.39-05</t>
        </is>
      </c>
      <c r="B4" s="23" t="inlineStr">
        <is>
          <t>Recognise Dual CSN/CSP Role</t>
        </is>
      </c>
      <c r="C4" s="24" t="inlineStr">
        <is>
          <t>Where a cloud service partner also independently delivers a cloud service to the organisation, the organisation shall apply CLD-SEC-POL-A.5.38 to that CSP relationship in addition to CSN-specific requirements.</t>
        </is>
      </c>
      <c r="D4" s="25" t="n"/>
      <c r="E4" s="5" t="n"/>
      <c r="F4" s="5" t="n"/>
      <c r="G4" s="26" t="n"/>
      <c r="H4" s="5" t="n"/>
    </row>
    <row r="5" ht="40" customHeight="1">
      <c r="A5" s="22" t="inlineStr">
        <is>
          <t>5.39-06</t>
        </is>
      </c>
      <c r="B5" s="23" t="inlineStr">
        <is>
          <t>CSN Role Register</t>
        </is>
      </c>
      <c r="C5" s="24" t="inlineStr">
        <is>
          <t>The organisation shall maintain a CSN Role Register listing all active cloud service partners with assigned sub-role(s), scope, and agreement reference.</t>
        </is>
      </c>
      <c r="D5" s="25" t="n"/>
      <c r="E5" s="5" t="n"/>
      <c r="F5" s="5" t="n"/>
      <c r="G5" s="26" t="n"/>
      <c r="H5" s="5" t="n"/>
    </row>
    <row r="6" ht="40" customHeight="1">
      <c r="A6" s="22" t="inlineStr">
        <is>
          <t>5.39-07</t>
        </is>
      </c>
      <c r="B6" s="23" t="inlineStr">
        <is>
          <t>Annual Review</t>
        </is>
      </c>
      <c r="C6" s="24" t="inlineStr">
        <is>
          <t>The organisation shall review the CSN Role Register at least annually, confirming each active CSN's classification, agreed responsibilities, and continued consistency with the relevant Shared Responsibility Matrix.</t>
        </is>
      </c>
      <c r="D6" s="25" t="n"/>
      <c r="E6" s="5" t="n"/>
      <c r="F6" s="5" t="n"/>
      <c r="G6" s="26" t="n"/>
      <c r="H6" s="5" t="n"/>
    </row>
    <row r="7" ht="40" customHeight="1">
      <c r="A7" s="22" t="inlineStr">
        <is>
          <t>5.39-08</t>
        </is>
      </c>
      <c r="B7" s="23" t="inlineStr">
        <is>
          <t>Escalation of Scope Conflicts</t>
        </is>
      </c>
      <c r="C7" s="24" t="inlineStr">
        <is>
          <t>The organisation shall escalate to the Cloud Security Manager, and where unresolved to the CISO, any instance where a CSN's actual activity exceeds its agreed scope or conflicts with the CSC/CSP shared responsibility allocation.</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2026-08-01T09:16:15Z</dcterms:created>
  <dcterms:modified xmlns:dcterms="http://purl.org/dc/terms/" xmlns:xsi="http://www.w3.org/2001/XMLSchema-instance" xsi:type="dcterms:W3CDTF">2026-08-01T09:16:15Z</dcterms:modified>
</cp:coreProperties>
</file>