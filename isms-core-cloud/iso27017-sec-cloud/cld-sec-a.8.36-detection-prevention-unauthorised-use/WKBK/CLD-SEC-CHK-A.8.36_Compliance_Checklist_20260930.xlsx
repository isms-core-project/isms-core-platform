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SC Obligations" sheetId="3" state="visible" r:id="rId3"/>
    <sheet xmlns:r="http://schemas.openxmlformats.org/officeDocument/2006/relationships" name="CSP Obligations" sheetId="4" state="visible" r:id="rId4"/>
  </sheets>
  <definedNames>
    <definedName name="_xlnm.Print_Area" localSheetId="0">'Executive Summary'!$A$1:$H$62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472C4"/>
      <sz val="10"/>
    </font>
    <font>
      <name val="Calibri"/>
      <b val="1"/>
      <sz val="10"/>
    </font>
    <font>
      <name val="Calibri"/>
      <color rgb="00666666"/>
      <sz val="9"/>
    </font>
    <font>
      <name val="Calibri"/>
      <sz val="9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003366"/>
      <sz val="12"/>
    </font>
    <font>
      <name val="Calibri"/>
      <b val="1"/>
      <sz val="12"/>
    </font>
    <font>
      <name val="Calibri"/>
      <b val="1"/>
      <sz val="20"/>
    </font>
    <font>
      <name val="Calibri"/>
      <b val="1"/>
      <sz val="16"/>
    </font>
    <font>
      <name val="Calibri"/>
      <b val="1"/>
      <color rgb="004472C4"/>
      <sz val="14"/>
    </font>
    <font>
      <name val="Calibri"/>
      <sz val="10"/>
    </font>
  </fonts>
  <fills count="10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D9D9"/>
        <bgColor rgb="00D9D9D9"/>
      </patternFill>
    </fill>
    <fill>
      <patternFill patternType="solid">
        <fgColor rgb="00FFFFCC"/>
        <bgColor rgb="00FFFFCC"/>
      </patternFill>
    </fill>
    <fill>
      <patternFill patternType="solid">
        <fgColor rgb="00F2F2F2"/>
        <bgColor rgb="00F2F2F2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left" vertical="center"/>
    </xf>
    <xf numFmtId="0" fontId="3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6" fillId="0" borderId="0" pivotButton="0" quotePrefix="0" xfId="0"/>
    <xf numFmtId="0" fontId="14" fillId="0" borderId="1" pivotButton="0" quotePrefix="0" xfId="0"/>
    <xf numFmtId="0" fontId="2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4" fillId="0" borderId="1" pivotButton="0" quotePrefix="0" xfId="0"/>
    <xf numFmtId="0" fontId="5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2F2F2"/>
          <b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3366"/>
    <outlinePr summaryBelow="1" summaryRight="1"/>
    <pageSetUpPr fitToPage="1"/>
  </sheetPr>
  <dimension ref="A1:H60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40" customHeight="1">
      <c r="A1" s="1" t="inlineStr">
        <is>
          <t>CLD-SEC-CHK-A.8.36 — Detection and Prevention of Unauthorized Use of Cloud Services Compliance Checklist</t>
        </is>
      </c>
    </row>
    <row r="3">
      <c r="A3" s="2" t="inlineStr">
        <is>
          <t>DOCUMENT INFORMATION</t>
        </is>
      </c>
    </row>
    <row r="4">
      <c r="A4" s="3" t="inlineStr">
        <is>
          <t>Document ID</t>
        </is>
      </c>
      <c r="B4" s="4" t="inlineStr">
        <is>
          <t>CLD-SEC-CHK-A.8.36</t>
        </is>
      </c>
    </row>
    <row r="5">
      <c r="A5" s="3" t="inlineStr">
        <is>
          <t>Source Policy</t>
        </is>
      </c>
      <c r="B5" s="4" t="inlineStr">
        <is>
          <t>CLD-SEC-POL-A.8.36</t>
        </is>
      </c>
    </row>
    <row r="6">
      <c r="A6" s="3" t="inlineStr">
        <is>
          <t>ISO Controls</t>
        </is>
      </c>
      <c r="B6" s="4" t="inlineStr">
        <is>
          <t>Detection and Prevention of Unauthorized Use of Cloud Services</t>
        </is>
      </c>
    </row>
    <row r="7">
      <c r="A7" s="3" t="inlineStr">
        <is>
          <t>Generated</t>
        </is>
      </c>
      <c r="B7" s="4" t="inlineStr">
        <is>
          <t>30.09.2026</t>
        </is>
      </c>
    </row>
    <row r="8">
      <c r="A8" s="3" t="inlineStr">
        <is>
          <t>Prepared By</t>
        </is>
      </c>
      <c r="B8" s="5" t="inlineStr"/>
    </row>
    <row r="9">
      <c r="A9" s="3" t="inlineStr">
        <is>
          <t>Organisation</t>
        </is>
      </c>
      <c r="B9" s="5" t="inlineStr"/>
    </row>
    <row r="10">
      <c r="A10" s="3" t="inlineStr">
        <is>
          <t>Review Cycle</t>
        </is>
      </c>
      <c r="B10" s="4" t="inlineStr">
        <is>
          <t>Annual</t>
        </is>
      </c>
    </row>
    <row r="12">
      <c r="A12" s="6" t="inlineStr">
        <is>
          <t>OVERALL COMPLIANCE STATUS</t>
        </is>
      </c>
    </row>
    <row r="13">
      <c r="A13" s="7" t="inlineStr">
        <is>
          <t>Overall Compliance</t>
        </is>
      </c>
      <c r="B13" s="8">
        <f>'Dashboard'!G6</f>
        <v/>
      </c>
    </row>
    <row r="14">
      <c r="A14" s="7" t="inlineStr">
        <is>
          <t>Status</t>
        </is>
      </c>
      <c r="B14" s="9">
        <f>IF(Dashboard!H6&gt;0,"INCOMPLETE",IF(Dashboard!G6="N/A","NOT ASSESSED",IF(ISNUMBER(VALUE(SUBSTITUTE(Dashboard!G6,"%",""))),IF(VALUE(SUBSTITUTE(Dashboard!G6,"%",""))&gt;=90,"GREEN",IF(VALUE(SUBSTITUTE(Dashboard!G6,"%",""))&gt;=70,"AMBER","RED")),"NOT ASSESSED")))</f>
        <v/>
      </c>
    </row>
    <row r="16">
      <c r="A16" s="6" t="inlineStr">
        <is>
          <t>KEY METRICS</t>
        </is>
      </c>
    </row>
    <row r="17">
      <c r="A17" s="3" t="inlineStr">
        <is>
          <t>Total Requirements</t>
        </is>
      </c>
      <c r="B17" s="10">
        <f>'Dashboard'!B6</f>
        <v/>
      </c>
    </row>
    <row r="18">
      <c r="A18" s="3" t="inlineStr">
        <is>
          <t>Compliant</t>
        </is>
      </c>
      <c r="B18" s="10">
        <f>'Dashboard'!C6</f>
        <v/>
      </c>
    </row>
    <row r="19">
      <c r="A19" s="3" t="inlineStr">
        <is>
          <t>Partial</t>
        </is>
      </c>
      <c r="B19" s="10">
        <f>'Dashboard'!D6</f>
        <v/>
      </c>
    </row>
    <row r="20">
      <c r="A20" s="3" t="inlineStr">
        <is>
          <t>Non-Compliant</t>
        </is>
      </c>
      <c r="B20" s="10">
        <f>'Dashboard'!E6</f>
        <v/>
      </c>
    </row>
    <row r="21">
      <c r="A21" s="3" t="inlineStr">
        <is>
          <t>Not Applicable</t>
        </is>
      </c>
      <c r="B21" s="10">
        <f>'Dashboard'!F6</f>
        <v/>
      </c>
    </row>
    <row r="22">
      <c r="A22" s="3" t="inlineStr">
        <is>
          <t>Unanswered</t>
        </is>
      </c>
      <c r="B22" s="10">
        <f>'Dashboard'!H6</f>
        <v/>
      </c>
    </row>
    <row r="23">
      <c r="A23" s="3" t="inlineStr">
        <is>
          <t>Owner Coverage</t>
        </is>
      </c>
      <c r="B23" s="10">
        <f>IF(Dashboard!B6=0,"N/A",ROUND((COUNTA('CSC Obligations'!F4:F7)+COUNTA('CSP Obligations'!F4:F7))/Dashboard!B6*100,0)&amp;"%")</f>
        <v/>
      </c>
    </row>
    <row r="25">
      <c r="A25" s="6" t="inlineStr">
        <is>
          <t>DOMAIN STATUS SUMMARY</t>
        </is>
      </c>
    </row>
    <row r="26">
      <c r="A26" s="11" t="inlineStr">
        <is>
          <t>Domain</t>
        </is>
      </c>
      <c r="B26" s="11" t="inlineStr">
        <is>
          <t>Compliance %</t>
        </is>
      </c>
      <c r="C26" s="11" t="inlineStr">
        <is>
          <t>Compliant</t>
        </is>
      </c>
      <c r="D26" s="11" t="inlineStr">
        <is>
          <t>Gaps</t>
        </is>
      </c>
      <c r="E26" s="11" t="inlineStr">
        <is>
          <t>Status</t>
        </is>
      </c>
    </row>
    <row r="27">
      <c r="A27" s="4" t="inlineStr">
        <is>
          <t>CSC Obligations</t>
        </is>
      </c>
      <c r="B27" s="4">
        <f>'Dashboard'!G4</f>
        <v/>
      </c>
      <c r="C27" s="4">
        <f>'Dashboard'!C4</f>
        <v/>
      </c>
      <c r="D27" s="4">
        <f>'Dashboard'!E4</f>
        <v/>
      </c>
      <c r="E27" s="4">
        <f>IF(Dashboard!H4&gt;0,"INCOMPLETE",IF(Dashboard!G4="N/A","--",IF(ISNUMBER(VALUE(SUBSTITUTE(Dashboard!G4,"%",""))),IF(VALUE(SUBSTITUTE(Dashboard!G4,"%",""))&gt;=90,"PASS",IF(VALUE(SUBSTITUTE(Dashboard!G4,"%",""))&gt;=70,"REVIEW","FAIL")),"--")))</f>
        <v/>
      </c>
    </row>
    <row r="28">
      <c r="A28" s="4" t="inlineStr">
        <is>
          <t>CSP Obligations</t>
        </is>
      </c>
      <c r="B28" s="4">
        <f>'Dashboard'!G5</f>
        <v/>
      </c>
      <c r="C28" s="4">
        <f>'Dashboard'!C5</f>
        <v/>
      </c>
      <c r="D28" s="4">
        <f>'Dashboard'!E5</f>
        <v/>
      </c>
      <c r="E28" s="4">
        <f>IF(Dashboard!H5&gt;0,"INCOMPLETE",IF(Dashboard!G5="N/A","--",IF(ISNUMBER(VALUE(SUBSTITUTE(Dashboard!G5,"%",""))),IF(VALUE(SUBSTITUTE(Dashboard!G5,"%",""))&gt;=90,"PASS",IF(VALUE(SUBSTITUTE(Dashboard!G5,"%",""))&gt;=70,"REVIEW","FAIL")),"--")))</f>
        <v/>
      </c>
    </row>
    <row r="30">
      <c r="A30" s="6" t="inlineStr">
        <is>
          <t>CRITICAL ISSUES</t>
        </is>
      </c>
    </row>
    <row r="31">
      <c r="A31" s="11" t="inlineStr">
        <is>
          <t>#</t>
        </is>
      </c>
      <c r="B31" s="11" t="inlineStr">
        <is>
          <t>Issue Description</t>
        </is>
      </c>
      <c r="C31" s="11" t="inlineStr">
        <is>
          <t>Domain</t>
        </is>
      </c>
      <c r="D31" s="11" t="inlineStr">
        <is>
          <t>Owner</t>
        </is>
      </c>
      <c r="E31" s="11" t="inlineStr">
        <is>
          <t>Due Date</t>
        </is>
      </c>
    </row>
    <row r="32">
      <c r="A32" s="4" t="n">
        <v>1</v>
      </c>
      <c r="B32" s="5" t="n"/>
      <c r="C32" s="5" t="n"/>
      <c r="D32" s="5" t="n"/>
      <c r="E32" s="5" t="n"/>
    </row>
    <row r="33">
      <c r="A33" s="4" t="n">
        <v>2</v>
      </c>
      <c r="B33" s="5" t="n"/>
      <c r="C33" s="5" t="n"/>
      <c r="D33" s="5" t="n"/>
      <c r="E33" s="5" t="n"/>
    </row>
    <row r="34">
      <c r="A34" s="4" t="n">
        <v>3</v>
      </c>
      <c r="B34" s="5" t="n"/>
      <c r="C34" s="5" t="n"/>
      <c r="D34" s="5" t="n"/>
      <c r="E34" s="5" t="n"/>
    </row>
    <row r="35">
      <c r="A35" s="4" t="n">
        <v>4</v>
      </c>
      <c r="B35" s="5" t="n"/>
      <c r="C35" s="5" t="n"/>
      <c r="D35" s="5" t="n"/>
      <c r="E35" s="5" t="n"/>
    </row>
    <row r="36">
      <c r="A36" s="4" t="n">
        <v>5</v>
      </c>
      <c r="B36" s="5" t="n"/>
      <c r="C36" s="5" t="n"/>
      <c r="D36" s="5" t="n"/>
      <c r="E36" s="5" t="n"/>
    </row>
    <row r="38">
      <c r="A38" s="6" t="inlineStr">
        <is>
          <t>MANAGEMENT COMMENTARY</t>
        </is>
      </c>
    </row>
    <row r="39" ht="60" customHeight="1">
      <c r="A39" s="12" t="inlineStr">
        <is>
          <t>[Enter management commentary on detection and prevention of unauthorized use of cloud services posture]</t>
        </is>
      </c>
    </row>
    <row r="40"/>
    <row r="41"/>
    <row r="43">
      <c r="A43" s="6" t="inlineStr">
        <is>
          <t>APPROVAL</t>
        </is>
      </c>
    </row>
    <row r="44">
      <c r="A44" s="13" t="inlineStr">
        <is>
          <t>Assessed By</t>
        </is>
      </c>
    </row>
    <row r="45">
      <c r="A45" s="14" t="inlineStr">
        <is>
          <t>Name:</t>
        </is>
      </c>
      <c r="B45" s="5" t="n"/>
    </row>
    <row r="46">
      <c r="A46" s="14" t="inlineStr">
        <is>
          <t>Date:</t>
        </is>
      </c>
      <c r="B46" s="5" t="n"/>
    </row>
    <row r="47">
      <c r="A47" s="14" t="inlineStr">
        <is>
          <t>Signature:</t>
        </is>
      </c>
      <c r="B47" s="5" t="n"/>
    </row>
    <row r="48">
      <c r="A48" s="14" t="inlineStr">
        <is>
          <t>Decision:</t>
        </is>
      </c>
      <c r="B48" s="5" t="n"/>
    </row>
    <row r="50">
      <c r="A50" s="13" t="inlineStr">
        <is>
          <t>Reviewed By (DPO)</t>
        </is>
      </c>
    </row>
    <row r="51">
      <c r="A51" s="14" t="inlineStr">
        <is>
          <t>Name:</t>
        </is>
      </c>
      <c r="B51" s="5" t="n"/>
    </row>
    <row r="52">
      <c r="A52" s="14" t="inlineStr">
        <is>
          <t>Date:</t>
        </is>
      </c>
      <c r="B52" s="5" t="n"/>
    </row>
    <row r="53">
      <c r="A53" s="14" t="inlineStr">
        <is>
          <t>Signature:</t>
        </is>
      </c>
      <c r="B53" s="5" t="n"/>
    </row>
    <row r="54">
      <c r="A54" s="14" t="inlineStr">
        <is>
          <t>Decision:</t>
        </is>
      </c>
      <c r="B54" s="5" t="n"/>
    </row>
    <row r="56">
      <c r="A56" s="13" t="inlineStr">
        <is>
          <t>Approved By (CEO / CISO)</t>
        </is>
      </c>
    </row>
    <row r="57">
      <c r="A57" s="14" t="inlineStr">
        <is>
          <t>Name:</t>
        </is>
      </c>
      <c r="B57" s="5" t="n"/>
    </row>
    <row r="58">
      <c r="A58" s="14" t="inlineStr">
        <is>
          <t>Date:</t>
        </is>
      </c>
      <c r="B58" s="5" t="n"/>
    </row>
    <row r="59">
      <c r="A59" s="14" t="inlineStr">
        <is>
          <t>Signature:</t>
        </is>
      </c>
      <c r="B59" s="5" t="n"/>
    </row>
    <row r="60">
      <c r="A60" s="14" t="inlineStr">
        <is>
          <t>Decision:</t>
        </is>
      </c>
      <c r="B60" s="5" t="n"/>
    </row>
  </sheetData>
  <mergeCells count="12">
    <mergeCell ref="A12:H12"/>
    <mergeCell ref="A30:H30"/>
    <mergeCell ref="A25:H25"/>
    <mergeCell ref="A43:H43"/>
    <mergeCell ref="A38:H38"/>
    <mergeCell ref="A16:H16"/>
    <mergeCell ref="A44:B44"/>
    <mergeCell ref="A1:H1"/>
    <mergeCell ref="A56:B56"/>
    <mergeCell ref="A3:B3"/>
    <mergeCell ref="A39:H41"/>
    <mergeCell ref="A50:B50"/>
  </mergeCells>
  <dataValidations count="1">
    <dataValidation sqref="B48 B54 B60" showDropDown="0" showInputMessage="0" showErrorMessage="0" allowBlank="1" type="list">
      <formula1>"Approved,Approved with Conditions,Not Approved"</formula1>
    </dataValidation>
  </dataValidations>
  <pageMargins left="0.75" right="0.75" top="1" bottom="1" header="0.5" footer="0.5"/>
  <pageSetup orientation="landscape" paperSize="9" fitToHeight="1" fitToWidth="1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6" customWidth="1" min="5" max="5"/>
    <col width="10" customWidth="1" min="6" max="6"/>
    <col width="16" customWidth="1" min="7" max="7"/>
  </cols>
  <sheetData>
    <row r="1" ht="40" customHeight="1">
      <c r="A1" s="1" t="inlineStr">
        <is>
          <t>Detection and Prevention of Unauthorized Use of Cloud Services — Compliance Dashboard</t>
        </is>
      </c>
    </row>
    <row r="3">
      <c r="A3" s="11" t="inlineStr">
        <is>
          <t>Domain</t>
        </is>
      </c>
      <c r="B3" s="11" t="inlineStr">
        <is>
          <t>Total Reqs</t>
        </is>
      </c>
      <c r="C3" s="11" t="inlineStr">
        <is>
          <t>Compliant</t>
        </is>
      </c>
      <c r="D3" s="11" t="inlineStr">
        <is>
          <t>Partial</t>
        </is>
      </c>
      <c r="E3" s="11" t="inlineStr">
        <is>
          <t>Non-Compliant</t>
        </is>
      </c>
      <c r="F3" s="11" t="inlineStr">
        <is>
          <t>N/A</t>
        </is>
      </c>
      <c r="G3" s="11" t="inlineStr">
        <is>
          <t>Compliance %</t>
        </is>
      </c>
      <c r="H3" s="11" t="inlineStr">
        <is>
          <t>Unassessed</t>
        </is>
      </c>
    </row>
    <row r="4">
      <c r="A4" s="3" t="inlineStr">
        <is>
          <t>CSC Obligations</t>
        </is>
      </c>
      <c r="B4" s="15">
        <f>COUNTA('CSC Obligations'!A4:A7)</f>
        <v/>
      </c>
      <c r="C4" s="15">
        <f>COUNTIF('CSC Obligations'!D4:D7,"Compliant")</f>
        <v/>
      </c>
      <c r="D4" s="15">
        <f>COUNTIF('CSC Obligations'!D4:D7,"Partial")</f>
        <v/>
      </c>
      <c r="E4" s="15">
        <f>COUNTIF('CSC Obligations'!D4:D7,"Non-Compliant")</f>
        <v/>
      </c>
      <c r="F4" s="15">
        <f>COUNTIF('CSC Obligations'!D4:D7,"N/A")</f>
        <v/>
      </c>
      <c r="G4" s="15">
        <f>IF((B4-F4)=0,"N/A",ROUND(C4/(B4-F4)*100,1)&amp;"%")</f>
        <v/>
      </c>
      <c r="H4" s="15">
        <f>B4-(C4+D4+E4+F4)</f>
        <v/>
      </c>
    </row>
    <row r="5">
      <c r="A5" s="3" t="inlineStr">
        <is>
          <t>CSP Obligations</t>
        </is>
      </c>
      <c r="B5" s="15">
        <f>COUNTA('CSP Obligations'!A4:A7)</f>
        <v/>
      </c>
      <c r="C5" s="15">
        <f>COUNTIF('CSP Obligations'!D4:D7,"Compliant")</f>
        <v/>
      </c>
      <c r="D5" s="15">
        <f>COUNTIF('CSP Obligations'!D4:D7,"Partial")</f>
        <v/>
      </c>
      <c r="E5" s="15">
        <f>COUNTIF('CSP Obligations'!D4:D7,"Non-Compliant")</f>
        <v/>
      </c>
      <c r="F5" s="15">
        <f>COUNTIF('CSP Obligations'!D4:D7,"N/A")</f>
        <v/>
      </c>
      <c r="G5" s="15">
        <f>IF((B5-F5)=0,"N/A",ROUND(C5/(B5-F5)*100,1)&amp;"%")</f>
        <v/>
      </c>
      <c r="H5" s="15">
        <f>B5-(C5+D5+E5+F5)</f>
        <v/>
      </c>
    </row>
    <row r="6">
      <c r="A6" s="16" t="inlineStr">
        <is>
          <t>TOTAL</t>
        </is>
      </c>
      <c r="B6" s="16">
        <f>SUM(B4:B5)</f>
        <v/>
      </c>
      <c r="C6" s="16">
        <f>SUM(C4:C5)</f>
        <v/>
      </c>
      <c r="D6" s="16">
        <f>SUM(D4:D5)</f>
        <v/>
      </c>
      <c r="E6" s="16">
        <f>SUM(E4:E5)</f>
        <v/>
      </c>
      <c r="F6" s="16">
        <f>SUM(F4:F5)</f>
        <v/>
      </c>
      <c r="G6" s="16">
        <f>IF((B6-F6)=0,"N/A",ROUND(C6/(B6-F6)*100,1)&amp;"%")</f>
        <v/>
      </c>
      <c r="H6" s="16">
        <f>SUM(H4:H5)</f>
        <v/>
      </c>
    </row>
    <row r="8">
      <c r="A8" s="6" t="inlineStr">
        <is>
          <t>COMPLIANCE BY STATUS</t>
        </is>
      </c>
    </row>
    <row r="9">
      <c r="A9" s="3" t="inlineStr">
        <is>
          <t>Compliant</t>
        </is>
      </c>
      <c r="B9" s="17">
        <f>C6</f>
        <v/>
      </c>
      <c r="C9" s="4">
        <f>IF(B6=0,"",ROUND(B9/B6*100,1)&amp;"%")</f>
        <v/>
      </c>
    </row>
    <row r="10">
      <c r="A10" s="3" t="inlineStr">
        <is>
          <t>Partial</t>
        </is>
      </c>
      <c r="B10" s="18">
        <f>D6</f>
        <v/>
      </c>
      <c r="C10" s="4">
        <f>IF(B6=0,"",ROUND(B10/B6*100,1)&amp;"%")</f>
        <v/>
      </c>
    </row>
    <row r="11">
      <c r="A11" s="3" t="inlineStr">
        <is>
          <t>Non-Compliant</t>
        </is>
      </c>
      <c r="B11" s="19">
        <f>E6</f>
        <v/>
      </c>
      <c r="C11" s="4">
        <f>IF(B6=0,"",ROUND(B11/B6*100,1)&amp;"%")</f>
        <v/>
      </c>
    </row>
    <row r="12">
      <c r="A12" s="3" t="inlineStr">
        <is>
          <t>N/A</t>
        </is>
      </c>
      <c r="B12" s="20">
        <f>F6</f>
        <v/>
      </c>
      <c r="C12" s="4">
        <f>IF(B6=0,"",ROUND(B12/B6*100,1)&amp;"%")</f>
        <v/>
      </c>
    </row>
    <row r="14">
      <c r="A14" s="6" t="inlineStr">
        <is>
          <t>TOP GAPS (Manual Entry)</t>
        </is>
      </c>
    </row>
    <row r="15">
      <c r="A15" s="11" t="inlineStr">
        <is>
          <t>Priority</t>
        </is>
      </c>
      <c r="B15" s="11" t="inlineStr">
        <is>
          <t>Domain</t>
        </is>
      </c>
      <c r="C15" s="11" t="inlineStr">
        <is>
          <t>Requirement</t>
        </is>
      </c>
      <c r="D15" s="11" t="inlineStr">
        <is>
          <t>Owner</t>
        </is>
      </c>
      <c r="E15" s="11" t="inlineStr">
        <is>
          <t>Due Date</t>
        </is>
      </c>
      <c r="F15" s="11" t="inlineStr">
        <is>
          <t>Status</t>
        </is>
      </c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7">
      <c r="A27" s="6" t="inlineStr">
        <is>
          <t>COMPLIANCE TREND (Manual Entry)</t>
        </is>
      </c>
    </row>
    <row r="28">
      <c r="A28" s="11" t="inlineStr">
        <is>
          <t>Assessment Date</t>
        </is>
      </c>
      <c r="B28" s="11" t="inlineStr">
        <is>
          <t>Overall %</t>
        </is>
      </c>
      <c r="C28" s="11" t="inlineStr">
        <is>
          <t>Compliant</t>
        </is>
      </c>
      <c r="D28" s="11" t="inlineStr">
        <is>
          <t>Gaps</t>
        </is>
      </c>
      <c r="E28" s="11" t="inlineStr">
        <is>
          <t>Assessor</t>
        </is>
      </c>
      <c r="F28" s="11" t="inlineStr">
        <is>
          <t>Notes</t>
        </is>
      </c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</sheetData>
  <mergeCells count="4">
    <mergeCell ref="A27:G27"/>
    <mergeCell ref="A8:G8"/>
    <mergeCell ref="A14:G14"/>
    <mergeCell ref="A1:G1"/>
  </mergeCells>
  <dataValidations count="1">
    <dataValidation sqref="F16 F17 F18 F19 F20 F21 F22 F23 F24 F25" showDropDown="0" showInputMessage="0" showErrorMessage="0" allowBlank="1" type="list">
      <formula1>"Open,In Progress,Closed,Deferred"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CSC Obligations — Compliance Checklist</t>
        </is>
      </c>
    </row>
    <row r="2">
      <c r="A2" s="21" t="inlineStr">
        <is>
          <t>ISO/IEC 27017:2026 — Controls 8.36: Detection and Prevention of Unauthorized Use of Cloud Services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8.36-01</t>
        </is>
      </c>
      <c r="B4" s="23" t="inlineStr">
        <is>
          <t>CSU Activity Monitoring</t>
        </is>
      </c>
      <c r="C4" s="24" t="inlineStr">
        <is>
          <t>The organisation shall implement monitoring of cloud service users' (CSUs') activities across the cloud services it uses, mandatory for Confidential or Restricted data classifications.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8.36-02</t>
        </is>
      </c>
      <c r="B5" s="23" t="inlineStr">
        <is>
          <t>Periodic Technical Compliance Review</t>
        </is>
      </c>
      <c r="C5" s="24" t="inlineStr">
        <is>
          <t>The organisation shall periodically review CSU activity against its information security policy, its topic-specific policy on the use of cloud services, and relevant rules and standards.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8.36-03</t>
        </is>
      </c>
      <c r="B6" s="23" t="inlineStr">
        <is>
          <t>Prevent Unintended Information Transfer</t>
        </is>
      </c>
      <c r="C6" s="24" t="inlineStr">
        <is>
          <t>The organisation shall monitor and prevent unintended or unauthorized information transfer to and from the cloud service environment it manages.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8.36-04</t>
        </is>
      </c>
      <c r="B7" s="23" t="inlineStr">
        <is>
          <t>Anomaly Detection</t>
        </is>
      </c>
      <c r="C7" s="24" t="inlineStr">
        <is>
          <t>The organisation shall detect anomalies — such as increasing resource utilization or unknown service usage — by identifying deviations from established normal-use patterns.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6" customWidth="1" min="3" max="3"/>
    <col width="17" customWidth="1" min="4" max="4"/>
    <col width="36" customWidth="1" min="5" max="5"/>
    <col width="19" customWidth="1" min="6" max="6"/>
    <col width="15" customWidth="1" min="7" max="7"/>
    <col width="32" customWidth="1" min="8" max="8"/>
  </cols>
  <sheetData>
    <row r="1" ht="40" customHeight="1">
      <c r="A1" s="1" t="inlineStr">
        <is>
          <t>CSP Obligations — Compliance Checklist</t>
        </is>
      </c>
    </row>
    <row r="2">
      <c r="A2" s="21" t="inlineStr">
        <is>
          <t>ISO/IEC 27017:2026 — Controls 8.36: Detection and Prevention of Unauthorized Use of Cloud Services</t>
        </is>
      </c>
    </row>
    <row r="3">
      <c r="A3" s="11" t="inlineStr">
        <is>
          <t>Req #</t>
        </is>
      </c>
      <c r="B3" s="11" t="inlineStr">
        <is>
          <t>Section</t>
        </is>
      </c>
      <c r="C3" s="11" t="inlineStr">
        <is>
          <t>Requirement</t>
        </is>
      </c>
      <c r="D3" s="11" t="inlineStr">
        <is>
          <t>Status</t>
        </is>
      </c>
      <c r="E3" s="11" t="inlineStr">
        <is>
          <t>Evidence</t>
        </is>
      </c>
      <c r="F3" s="11" t="inlineStr">
        <is>
          <t>Owner</t>
        </is>
      </c>
      <c r="G3" s="11" t="inlineStr">
        <is>
          <t>Due Date</t>
        </is>
      </c>
      <c r="H3" s="11" t="inlineStr">
        <is>
          <t>Notes</t>
        </is>
      </c>
    </row>
    <row r="4" ht="40" customHeight="1">
      <c r="A4" s="22" t="inlineStr">
        <is>
          <t>8.36-05</t>
        </is>
      </c>
      <c r="B4" s="23" t="inlineStr">
        <is>
          <t>Provide CSC-Facing Monitoring Guidance and Functions</t>
        </is>
      </c>
      <c r="C4" s="24" t="inlineStr">
        <is>
          <t>The organisation shall provide CSCs with guidance and functions enabling them to monitor and control their CSUs' use of the cloud service the organisation delivers.</t>
        </is>
      </c>
      <c r="D4" s="25" t="n"/>
      <c r="E4" s="5" t="n"/>
      <c r="F4" s="5" t="n"/>
      <c r="G4" s="26" t="n"/>
      <c r="H4" s="5" t="n"/>
    </row>
    <row r="5" ht="40" customHeight="1">
      <c r="A5" s="22" t="inlineStr">
        <is>
          <t>8.36-06</t>
        </is>
      </c>
      <c r="B5" s="23" t="inlineStr">
        <is>
          <t>Risk-Based Scoping Decision and Approval</t>
        </is>
      </c>
      <c r="C5" s="24" t="inlineStr">
        <is>
          <t>For cloud services processing only Public or Internal data where monitoring is not implemented, the organisation shall document a risk-based decision approved by the CISO.</t>
        </is>
      </c>
      <c r="D5" s="25" t="n"/>
      <c r="E5" s="5" t="n"/>
      <c r="F5" s="5" t="n"/>
      <c r="G5" s="26" t="n"/>
      <c r="H5" s="5" t="n"/>
    </row>
    <row r="6" ht="40" customHeight="1">
      <c r="A6" s="22" t="inlineStr">
        <is>
          <t>8.36-07</t>
        </is>
      </c>
      <c r="B6" s="23" t="inlineStr">
        <is>
          <t>Monitoring Scope Documentation</t>
        </is>
      </c>
      <c r="C6" s="24" t="inlineStr">
        <is>
          <t>The organisation shall document the monitoring scope and mechanisms in place per cloud service, keeping the documentation current as the service evolves.</t>
        </is>
      </c>
      <c r="D6" s="25" t="n"/>
      <c r="E6" s="5" t="n"/>
      <c r="F6" s="5" t="n"/>
      <c r="G6" s="26" t="n"/>
      <c r="H6" s="5" t="n"/>
    </row>
    <row r="7" ht="40" customHeight="1">
      <c r="A7" s="22" t="inlineStr">
        <is>
          <t>8.36-08</t>
        </is>
      </c>
      <c r="B7" s="23" t="inlineStr">
        <is>
          <t>Escalation of Confirmed Unauthorized Use</t>
        </is>
      </c>
      <c r="C7" s="24" t="inlineStr">
        <is>
          <t>The organisation shall record and escalate every confirmed instance of unauthorized cloud service use identified through monitoring, with disposition tracked in the Anomaly Detection Log.</t>
        </is>
      </c>
      <c r="D7" s="25" t="n"/>
      <c r="E7" s="5" t="n"/>
      <c r="F7" s="5" t="n"/>
      <c r="G7" s="26" t="n"/>
      <c r="H7" s="5" t="n"/>
    </row>
  </sheetData>
  <mergeCells count="2">
    <mergeCell ref="A2:H2"/>
    <mergeCell ref="A1:H1"/>
  </mergeCells>
  <conditionalFormatting sqref="D4:D7">
    <cfRule type="cellIs" priority="1" operator="equal" dxfId="0">
      <formula>"Compliant"</formula>
    </cfRule>
    <cfRule type="cellIs" priority="2" operator="equal" dxfId="1">
      <formula>"Partial"</formula>
    </cfRule>
    <cfRule type="cellIs" priority="3" operator="equal" dxfId="2">
      <formula>"Non-Compliant"</formula>
    </cfRule>
    <cfRule type="cellIs" priority="4" operator="equal" dxfId="3">
      <formula>"N/A"</formula>
    </cfRule>
  </conditionalFormatting>
  <dataValidations count="1">
    <dataValidation sqref="D4 D5 D6 D7" showDropDown="0" showInputMessage="0" showErrorMessage="0" allowBlank="1" error="Select: Compliant, Partial, Non-Compliant, or N/A" type="list">
      <formula1>"Compliant,Partial,Non-Compliant,N/A"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2026-09-30T11:28:38Z</dcterms:created>
  <dcterms:modified xmlns:dcterms="http://purl.org/dc/terms/" xmlns:xsi="http://www.w3.org/2001/XMLSchema-instance" xsi:type="dcterms:W3CDTF">2026-09-30T11:28:38Z</dcterms:modified>
</cp:coreProperties>
</file>