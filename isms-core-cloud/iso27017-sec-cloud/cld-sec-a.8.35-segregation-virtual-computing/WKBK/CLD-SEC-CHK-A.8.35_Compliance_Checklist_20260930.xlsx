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SC Obligations" sheetId="3" state="visible" r:id="rId3"/>
    <sheet xmlns:r="http://schemas.openxmlformats.org/officeDocument/2006/relationships" name="CSP Obligations" sheetId="4" state="visible" r:id="rId4"/>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CLD-SEC-CHK-A.8.35 — Segregation in Virtual Computing Environments Compliance Checklist</t>
        </is>
      </c>
    </row>
    <row r="3">
      <c r="A3" s="2" t="inlineStr">
        <is>
          <t>DOCUMENT INFORMATION</t>
        </is>
      </c>
    </row>
    <row r="4">
      <c r="A4" s="3" t="inlineStr">
        <is>
          <t>Document ID</t>
        </is>
      </c>
      <c r="B4" s="4" t="inlineStr">
        <is>
          <t>CLD-SEC-CHK-A.8.35</t>
        </is>
      </c>
    </row>
    <row r="5">
      <c r="A5" s="3" t="inlineStr">
        <is>
          <t>Source Policy</t>
        </is>
      </c>
      <c r="B5" s="4" t="inlineStr">
        <is>
          <t>CLD-SEC-POL-A.8.35</t>
        </is>
      </c>
    </row>
    <row r="6">
      <c r="A6" s="3" t="inlineStr">
        <is>
          <t>ISO Controls</t>
        </is>
      </c>
      <c r="B6" s="4" t="inlineStr">
        <is>
          <t>Segregation in Virtual Computing Environments</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IF(Dashboard!H6&gt;0,"INCOMPLETE",IF(Dashboard!G6="N/A","NOT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Unanswered</t>
        </is>
      </c>
      <c r="B22" s="10">
        <f>'Dashboard'!H6</f>
        <v/>
      </c>
    </row>
    <row r="23">
      <c r="A23" s="3" t="inlineStr">
        <is>
          <t>Owner Coverage</t>
        </is>
      </c>
      <c r="B23" s="10">
        <f>IF(Dashboard!B6=0,"N/A",ROUND((COUNTA('CSC Obligations'!F4:F7)+COUNTA('CSP Obligations'!F4:F7))/Dashboard!B6*100,0)&amp;"%")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CSC Obligations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CSP Obligations</t>
        </is>
      </c>
      <c r="B28" s="4">
        <f>'Dashboard'!G5</f>
        <v/>
      </c>
      <c r="C28" s="4">
        <f>'Dashboard'!C5</f>
        <v/>
      </c>
      <c r="D28" s="4">
        <f>'Dashboard'!E5</f>
        <v/>
      </c>
      <c r="E28" s="4">
        <f>IF(Dashboard!H5&gt;0,"INCOMPLETE",IF(Dashboard!G5="N/A","--",IF(ISNUMBER(VALUE(SUBSTITUTE(Dashboard!G5,"%",""))),IF(VALUE(SUBSTITUTE(Dashboard!G5,"%",""))&gt;=90,"PASS",IF(VALUE(SUBSTITUTE(Dashboard!G5,"%",""))&gt;=70,"REVIEW","FAIL")),"--")))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segregation in virtual computing environments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25:H25"/>
    <mergeCell ref="A43:H43"/>
    <mergeCell ref="A38:H38"/>
    <mergeCell ref="A16:H16"/>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Segregation in Virtual Computing Environments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CSC Obligations</t>
        </is>
      </c>
      <c r="B4" s="15">
        <f>COUNTA('CSC Obligations'!A4:A7)</f>
        <v/>
      </c>
      <c r="C4" s="15">
        <f>COUNTIF('CSC Obligations'!D4:D7,"Compliant")</f>
        <v/>
      </c>
      <c r="D4" s="15">
        <f>COUNTIF('CSC Obligations'!D4:D7,"Partial")</f>
        <v/>
      </c>
      <c r="E4" s="15">
        <f>COUNTIF('CSC Obligations'!D4:D7,"Non-Compliant")</f>
        <v/>
      </c>
      <c r="F4" s="15">
        <f>COUNTIF('CSC Obligations'!D4:D7,"N/A")</f>
        <v/>
      </c>
      <c r="G4" s="15">
        <f>IF((B4-F4)=0,"N/A",ROUND(C4/(B4-F4)*100,1)&amp;"%")</f>
        <v/>
      </c>
      <c r="H4" s="15">
        <f>B4-(C4+D4+E4+F4)</f>
        <v/>
      </c>
    </row>
    <row r="5">
      <c r="A5" s="3" t="inlineStr">
        <is>
          <t>CSP Obligations</t>
        </is>
      </c>
      <c r="B5" s="15">
        <f>COUNTA('CSP Obligations'!A4:A7)</f>
        <v/>
      </c>
      <c r="C5" s="15">
        <f>COUNTIF('CSP Obligations'!D4:D7,"Compliant")</f>
        <v/>
      </c>
      <c r="D5" s="15">
        <f>COUNTIF('CSP Obligations'!D4:D7,"Partial")</f>
        <v/>
      </c>
      <c r="E5" s="15">
        <f>COUNTIF('CSP Obligations'!D4:D7,"Non-Compliant")</f>
        <v/>
      </c>
      <c r="F5" s="15">
        <f>COUNTIF('CSP Obligations'!D4:D7,"N/A")</f>
        <v/>
      </c>
      <c r="G5" s="15">
        <f>IF((B5-F5)=0,"N/A",ROUND(C5/(B5-F5)*100,1)&amp;"%")</f>
        <v/>
      </c>
      <c r="H5" s="15">
        <f>B5-(C5+D5+E5+F5)</f>
        <v/>
      </c>
    </row>
    <row r="6">
      <c r="A6" s="16" t="inlineStr">
        <is>
          <t>TOTAL</t>
        </is>
      </c>
      <c r="B6" s="16">
        <f>SUM(B4:B5)</f>
        <v/>
      </c>
      <c r="C6" s="16">
        <f>SUM(C4:C5)</f>
        <v/>
      </c>
      <c r="D6" s="16">
        <f>SUM(D4:D5)</f>
        <v/>
      </c>
      <c r="E6" s="16">
        <f>SUM(E4:E5)</f>
        <v/>
      </c>
      <c r="F6" s="16">
        <f>SUM(F4:F5)</f>
        <v/>
      </c>
      <c r="G6" s="16">
        <f>IF((B6-F6)=0,"N/A",ROUND(C6/(B6-F6)*100,1)&amp;"%")</f>
        <v/>
      </c>
      <c r="H6" s="16">
        <f>SUM(H4:H5)</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CSC Obligations — Compliance Checklist</t>
        </is>
      </c>
    </row>
    <row r="2">
      <c r="A2" s="21" t="inlineStr">
        <is>
          <t>ISO/IEC 27017:2026 — Controls 8.35: Segregation in Virtual Computing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8.35-01</t>
        </is>
      </c>
      <c r="B4" s="23" t="inlineStr">
        <is>
          <t>Define Segregation Requirements</t>
        </is>
      </c>
      <c r="C4" s="24" t="inlineStr">
        <is>
          <t>The organisation shall define its requirements for segregating its environment to achieve tenant isolation within the shared virtual environment of any cloud service it uses.</t>
        </is>
      </c>
      <c r="D4" s="25" t="n"/>
      <c r="E4" s="5" t="n"/>
      <c r="F4" s="5" t="n"/>
      <c r="G4" s="26" t="n"/>
      <c r="H4" s="5" t="n"/>
    </row>
    <row r="5" ht="40" customHeight="1">
      <c r="A5" s="22" t="inlineStr">
        <is>
          <t>8.35-02</t>
        </is>
      </c>
      <c r="B5" s="23" t="inlineStr">
        <is>
          <t>Verify CSP Meets Requirements</t>
        </is>
      </c>
      <c r="C5" s="24" t="inlineStr">
        <is>
          <t>The organisation shall verify, before and periodically during use of the service, that the CSP meets the organisation's stated segregation requirements.</t>
        </is>
      </c>
      <c r="D5" s="25" t="n"/>
      <c r="E5" s="5" t="n"/>
      <c r="F5" s="5" t="n"/>
      <c r="G5" s="26" t="n"/>
      <c r="H5" s="5" t="n"/>
    </row>
    <row r="6" ht="40" customHeight="1">
      <c r="A6" s="22" t="inlineStr">
        <is>
          <t>8.35-03</t>
        </is>
      </c>
      <c r="B6" s="23" t="inlineStr">
        <is>
          <t>Periodic Re-verification</t>
        </is>
      </c>
      <c r="C6" s="24" t="inlineStr">
        <is>
          <t>The organisation shall repeat segregation verification at least annually, and whenever the CSP announces a material change to its virtualization or multi-tenancy architecture.</t>
        </is>
      </c>
      <c r="D6" s="25" t="n"/>
      <c r="E6" s="5" t="n"/>
      <c r="F6" s="5" t="n"/>
      <c r="G6" s="26" t="n"/>
      <c r="H6" s="5" t="n"/>
    </row>
    <row r="7" ht="40" customHeight="1">
      <c r="A7" s="22" t="inlineStr">
        <is>
          <t>8.35-04</t>
        </is>
      </c>
      <c r="B7" s="23" t="inlineStr">
        <is>
          <t>Regulatory Segregation Requirements</t>
        </is>
      </c>
      <c r="C7" s="24" t="inlineStr">
        <is>
          <t>Where applicable laws or regulations require the segregation of networks or the isolation of network traffic, the organisation shall ensure its virtual computing segregation controls satisfy those requirements in addition to this policy's baseline.</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CSP Obligations — Compliance Checklist</t>
        </is>
      </c>
    </row>
    <row r="2">
      <c r="A2" s="21" t="inlineStr">
        <is>
          <t>ISO/IEC 27017:2026 — Controls 8.35: Segregation in Virtual Computing Environments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8.35-05</t>
        </is>
      </c>
      <c r="B4" s="23" t="inlineStr">
        <is>
          <t>Enforce Logical Segregation by Layer</t>
        </is>
      </c>
      <c r="C4" s="24" t="inlineStr">
        <is>
          <t>The organisation shall enforce logical segregation of CSC data, virtualized applications, operating systems, storage, and network resources, to ensure isolation of resources used by different tenants.</t>
        </is>
      </c>
      <c r="D4" s="25" t="n"/>
      <c r="E4" s="5" t="n"/>
      <c r="F4" s="5" t="n"/>
      <c r="G4" s="26" t="n"/>
      <c r="H4" s="5" t="n"/>
    </row>
    <row r="5" ht="40" customHeight="1">
      <c r="A5" s="22" t="inlineStr">
        <is>
          <t>8.35-06</t>
        </is>
      </c>
      <c r="B5" s="23" t="inlineStr">
        <is>
          <t>Risk Assessment of CSC-Supplied Software</t>
        </is>
      </c>
      <c r="C5" s="24" t="inlineStr">
        <is>
          <t>The organisation shall assess the risks associated with running CSC-supplied software within its cloud services before permitting such software to run in shared infrastructure.</t>
        </is>
      </c>
      <c r="D5" s="25" t="n"/>
      <c r="E5" s="5" t="n"/>
      <c r="F5" s="5" t="n"/>
      <c r="G5" s="26" t="n"/>
      <c r="H5" s="5" t="n"/>
    </row>
    <row r="6" ht="40" customHeight="1">
      <c r="A6" s="22" t="inlineStr">
        <is>
          <t>8.35-07</t>
        </is>
      </c>
      <c r="B6" s="23" t="inlineStr">
        <is>
          <t>Separate Internal Administration</t>
        </is>
      </c>
      <c r="C6" s="24" t="inlineStr">
        <is>
          <t>The organisation shall enforce separation of its own internal administration functions from the resources used by CSCs.</t>
        </is>
      </c>
      <c r="D6" s="25" t="n"/>
      <c r="E6" s="5" t="n"/>
      <c r="F6" s="5" t="n"/>
      <c r="G6" s="26" t="n"/>
      <c r="H6" s="5" t="n"/>
    </row>
    <row r="7" ht="40" customHeight="1">
      <c r="A7" s="22" t="inlineStr">
        <is>
          <t>8.35-08</t>
        </is>
      </c>
      <c r="B7" s="23" t="inlineStr">
        <is>
          <t>Technology-Dependent Segregation Implementation</t>
        </is>
      </c>
      <c r="C7" s="24" t="inlineStr">
        <is>
          <t>Where network and storage configurations are virtualized through a software virtualization function, the organisation shall implement segregation using the segregation functions native to that software, in addition to underlying physical or network-level controls.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2026-09-30T11:28:38Z</dcterms:created>
  <dcterms:modified xmlns:dcterms="http://purl.org/dc/terms/" xmlns:xsi="http://www.w3.org/2001/XMLSchema-instance" xsi:type="dcterms:W3CDTF">2026-09-30T11:28:38Z</dcterms:modified>
</cp:coreProperties>
</file>