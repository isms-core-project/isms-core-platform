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Dashboard" sheetId="2" state="visible" r:id="rId2"/>
    <sheet xmlns:r="http://schemas.openxmlformats.org/officeDocument/2006/relationships" name="CSC Obligations" sheetId="3" state="visible" r:id="rId3"/>
    <sheet xmlns:r="http://schemas.openxmlformats.org/officeDocument/2006/relationships" name="CSP Obligations" sheetId="4" state="visible" r:id="rId4"/>
  </sheets>
  <definedNames>
    <definedName name="_xlnm.Print_Area" localSheetId="0">'Executive Summary'!$A$1:$H$61</definedName>
  </definedNames>
  <calcPr calcId="124519" fullCalcOnLoad="1"/>
</workbook>
</file>

<file path=xl/styles.xml><?xml version="1.0" encoding="utf-8"?>
<styleSheet xmlns="http://schemas.openxmlformats.org/spreadsheetml/2006/main">
  <numFmts count="1">
    <numFmt numFmtId="164" formatCode="DD.MM.YYYY"/>
  </numFmts>
  <fonts count="15">
    <font>
      <name val="Calibri"/>
      <family val="2"/>
      <color theme="1"/>
      <sz val="11"/>
      <scheme val="minor"/>
    </font>
    <font>
      <name val="Calibri"/>
      <b val="1"/>
      <color rgb="00FFFFFF"/>
      <sz val="14"/>
    </font>
    <font>
      <name val="Calibri"/>
      <i val="1"/>
      <color rgb="004472C4"/>
      <sz val="10"/>
    </font>
    <font>
      <name val="Calibri"/>
      <b val="1"/>
      <sz val="10"/>
    </font>
    <font>
      <name val="Calibri"/>
      <color rgb="00666666"/>
      <sz val="9"/>
    </font>
    <font>
      <name val="Calibri"/>
      <sz val="9"/>
    </font>
    <font>
      <name val="Calibri"/>
      <b val="1"/>
      <sz val="11"/>
    </font>
    <font>
      <name val="Calibri"/>
      <b val="1"/>
      <color rgb="00FFFFFF"/>
      <sz val="11"/>
    </font>
    <font>
      <name val="Calibri"/>
      <b val="1"/>
      <sz val="14"/>
    </font>
    <font>
      <name val="Calibri"/>
      <b val="1"/>
      <color rgb="00003366"/>
      <sz val="12"/>
    </font>
    <font>
      <name val="Calibri"/>
      <b val="1"/>
      <sz val="12"/>
    </font>
    <font>
      <name val="Calibri"/>
      <b val="1"/>
      <sz val="20"/>
    </font>
    <font>
      <name val="Calibri"/>
      <b val="1"/>
      <sz val="16"/>
    </font>
    <font>
      <name val="Calibri"/>
      <b val="1"/>
      <color rgb="004472C4"/>
      <sz val="14"/>
    </font>
    <font>
      <name val="Calibri"/>
      <sz val="10"/>
    </font>
  </fonts>
  <fills count="10">
    <fill>
      <patternFill/>
    </fill>
    <fill>
      <patternFill patternType="gray125"/>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bgColor rgb="00F2F2F2"/>
      </patternFill>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9" fillId="0" borderId="0" applyAlignment="1" pivotButton="0" quotePrefix="0" xfId="0">
      <alignment horizontal="left" vertical="center"/>
    </xf>
    <xf numFmtId="0" fontId="3" fillId="0" borderId="1" pivotButton="0" quotePrefix="0" xfId="0"/>
    <xf numFmtId="0" fontId="0" fillId="0" borderId="1" pivotButton="0" quotePrefix="0" xfId="0"/>
    <xf numFmtId="0" fontId="0" fillId="4" borderId="1" applyAlignment="1" pivotButton="0" quotePrefix="0" xfId="0">
      <alignment horizontal="left" vertical="center" wrapText="1"/>
    </xf>
    <xf numFmtId="0" fontId="7" fillId="6" borderId="0" applyAlignment="1" pivotButton="0" quotePrefix="0" xfId="0">
      <alignment horizontal="left" vertical="center" wrapText="1"/>
    </xf>
    <xf numFmtId="0" fontId="10" fillId="0" borderId="0" pivotButton="0" quotePrefix="0" xfId="0"/>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3" fillId="5" borderId="1" applyAlignment="1" pivotButton="0" quotePrefix="0" xfId="0">
      <alignment horizontal="center" vertical="center"/>
    </xf>
    <xf numFmtId="0" fontId="3" fillId="3" borderId="1" applyAlignment="1" pivotButton="0" quotePrefix="0" xfId="0">
      <alignment horizontal="center" vertical="center" wrapText="1"/>
    </xf>
    <xf numFmtId="0" fontId="0" fillId="4" borderId="1" applyAlignment="1" pivotButton="0" quotePrefix="0" xfId="0">
      <alignment horizontal="left" vertical="top" wrapText="1"/>
    </xf>
    <xf numFmtId="0" fontId="6" fillId="0" borderId="0" pivotButton="0" quotePrefix="0" xfId="0"/>
    <xf numFmtId="0" fontId="14" fillId="0" borderId="1" pivotButton="0" quotePrefix="0" xfId="0"/>
    <xf numFmtId="0" fontId="2" fillId="5" borderId="1" applyAlignment="1" pivotButton="0" quotePrefix="0" xfId="0">
      <alignment horizontal="center" vertical="center"/>
    </xf>
    <xf numFmtId="0" fontId="7" fillId="2" borderId="1" applyAlignment="1" pivotButton="0" quotePrefix="0" xfId="0">
      <alignment horizontal="center" vertical="center"/>
    </xf>
    <xf numFmtId="0" fontId="8" fillId="7" borderId="1" applyAlignment="1" pivotButton="0" quotePrefix="0" xfId="0">
      <alignment horizontal="center" vertical="center"/>
    </xf>
    <xf numFmtId="0" fontId="8" fillId="8" borderId="1" applyAlignment="1" pivotButton="0" quotePrefix="0" xfId="0">
      <alignment horizontal="center" vertical="center"/>
    </xf>
    <xf numFmtId="0" fontId="8" fillId="9" borderId="1" applyAlignment="1" pivotButton="0" quotePrefix="0" xfId="0">
      <alignment horizontal="center" vertical="center"/>
    </xf>
    <xf numFmtId="0" fontId="8" fillId="5" borderId="1" applyAlignment="1" pivotButton="0" quotePrefix="0" xfId="0">
      <alignment horizontal="center" vertical="center"/>
    </xf>
    <xf numFmtId="0" fontId="2" fillId="0" borderId="0" applyAlignment="1" pivotButton="0" quotePrefix="0" xfId="0">
      <alignment horizontal="center"/>
    </xf>
    <xf numFmtId="0" fontId="4" fillId="0" borderId="1" pivotButton="0" quotePrefix="0" xfId="0"/>
    <xf numFmtId="0" fontId="5" fillId="0" borderId="1" applyAlignment="1" pivotButton="0" quotePrefix="0" xfId="0">
      <alignment vertical="center" wrapText="1"/>
    </xf>
    <xf numFmtId="0" fontId="0" fillId="0" borderId="1" applyAlignment="1" pivotButton="0" quotePrefix="0" xfId="0">
      <alignment horizontal="left" vertical="center" wrapText="1"/>
    </xf>
    <xf numFmtId="0" fontId="0" fillId="4" borderId="1" applyAlignment="1" pivotButton="0" quotePrefix="0" xfId="0">
      <alignment horizontal="center" vertical="center"/>
    </xf>
    <xf numFmtId="164" fontId="0" fillId="4" borderId="1" applyAlignment="1" pivotButton="0" quotePrefix="0" xfId="0">
      <alignment horizontal="left" vertical="center" wrapText="1"/>
    </xf>
  </cellXfs>
  <cellStyles count="1">
    <cellStyle name="Normal" xfId="0" builtinId="0" hidden="0"/>
  </cellStyles>
  <dxfs count="4">
    <dxf>
      <fill>
        <patternFill patternType="solid">
          <fgColor rgb="00C6EFCE"/>
          <bgColor rgb="00C6EFCE"/>
        </patternFill>
      </fill>
    </dxf>
    <dxf>
      <fill>
        <patternFill patternType="solid">
          <fgColor rgb="00FFEB9C"/>
          <bgColor rgb="00FFEB9C"/>
        </patternFill>
      </fill>
    </dxf>
    <dxf>
      <fill>
        <patternFill patternType="solid">
          <fgColor rgb="00FFC7CE"/>
          <bgColor rgb="00FFC7CE"/>
        </patternFill>
      </fill>
    </dxf>
    <dxf>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3366"/>
    <outlinePr summaryBelow="1" summaryRight="1"/>
    <pageSetUpPr fitToPage="1"/>
  </sheetPr>
  <dimension ref="A1:H59"/>
  <sheetViews>
    <sheetView workbookViewId="0">
      <selection activeCell="A1" sqref="A1"/>
    </sheetView>
  </sheetViews>
  <sheetFormatPr baseColWidth="8" defaultRowHeight="15"/>
  <cols>
    <col width="28" customWidth="1" min="1" max="1"/>
    <col width="22" customWidth="1" min="2" max="2"/>
    <col width="22" customWidth="1" min="3" max="3"/>
    <col width="18" customWidth="1" min="4" max="4"/>
    <col width="18" customWidth="1" min="5" max="5"/>
    <col width="18" customWidth="1" min="6" max="6"/>
    <col width="18" customWidth="1" min="7" max="7"/>
    <col width="18" customWidth="1" min="8" max="8"/>
  </cols>
  <sheetData>
    <row r="1" ht="40" customHeight="1">
      <c r="A1" s="1" t="inlineStr">
        <is>
          <t>CLD-SEC-CHK-A.8.35 — Segregation in Virtual Computing Environments Compliance Checklist</t>
        </is>
      </c>
    </row>
    <row r="3">
      <c r="A3" s="2" t="inlineStr">
        <is>
          <t>DOCUMENT INFORMATION</t>
        </is>
      </c>
    </row>
    <row r="4">
      <c r="A4" s="3" t="inlineStr">
        <is>
          <t>Document ID</t>
        </is>
      </c>
      <c r="B4" s="4" t="inlineStr">
        <is>
          <t>CLD-SEC-CHK-A.8.35</t>
        </is>
      </c>
    </row>
    <row r="5">
      <c r="A5" s="3" t="inlineStr">
        <is>
          <t>Source Policy</t>
        </is>
      </c>
      <c r="B5" s="4" t="inlineStr">
        <is>
          <t>CLD-SEC-POL-A.8.35</t>
        </is>
      </c>
    </row>
    <row r="6">
      <c r="A6" s="3" t="inlineStr">
        <is>
          <t>ISO Controls</t>
        </is>
      </c>
      <c r="B6" s="4" t="inlineStr">
        <is>
          <t>Segregation in Virtual Computing Environments</t>
        </is>
      </c>
    </row>
    <row r="7">
      <c r="A7" s="3" t="inlineStr">
        <is>
          <t>Generated</t>
        </is>
      </c>
      <c r="B7" s="4" t="inlineStr">
        <is>
          <t>01.08.2026</t>
        </is>
      </c>
    </row>
    <row r="8">
      <c r="A8" s="3" t="inlineStr">
        <is>
          <t>Prepared By</t>
        </is>
      </c>
      <c r="B8" s="5" t="inlineStr"/>
    </row>
    <row r="9">
      <c r="A9" s="3" t="inlineStr">
        <is>
          <t>Organisation</t>
        </is>
      </c>
      <c r="B9" s="5" t="inlineStr"/>
    </row>
    <row r="10">
      <c r="A10" s="3" t="inlineStr">
        <is>
          <t>Review Cycle</t>
        </is>
      </c>
      <c r="B10" s="4" t="inlineStr">
        <is>
          <t>Annual</t>
        </is>
      </c>
    </row>
    <row r="12">
      <c r="A12" s="6" t="inlineStr">
        <is>
          <t>OVERALL COMPLIANCE STATUS</t>
        </is>
      </c>
    </row>
    <row r="13">
      <c r="A13" s="7" t="inlineStr">
        <is>
          <t>Overall Compliance</t>
        </is>
      </c>
      <c r="B13" s="8">
        <f>'Dashboard'!G6</f>
        <v/>
      </c>
    </row>
    <row r="14">
      <c r="A14" s="7" t="inlineStr">
        <is>
          <t>Status</t>
        </is>
      </c>
      <c r="B14" s="9">
        <f>IF(Dashboard!G6="N/A","NOT ASSESSED",IF(ISNUMBER(VALUE(SUBSTITUTE(Dashboard!G6,"%",""))),IF(VALUE(SUBSTITUTE(Dashboard!G6,"%",""))&gt;=90,"GREEN",IF(VALUE(SUBSTITUTE(Dashboard!G6,"%",""))&gt;=70,"AMBER","RED")),"NOT ASSESSED"))</f>
        <v/>
      </c>
    </row>
    <row r="16">
      <c r="A16" s="6" t="inlineStr">
        <is>
          <t>KEY METRICS</t>
        </is>
      </c>
    </row>
    <row r="17">
      <c r="A17" s="3" t="inlineStr">
        <is>
          <t>Total Requirements</t>
        </is>
      </c>
      <c r="B17" s="10">
        <f>'Dashboard'!B6</f>
        <v/>
      </c>
    </row>
    <row r="18">
      <c r="A18" s="3" t="inlineStr">
        <is>
          <t>Compliant</t>
        </is>
      </c>
      <c r="B18" s="10">
        <f>'Dashboard'!C6</f>
        <v/>
      </c>
    </row>
    <row r="19">
      <c r="A19" s="3" t="inlineStr">
        <is>
          <t>Partial</t>
        </is>
      </c>
      <c r="B19" s="10">
        <f>'Dashboard'!D6</f>
        <v/>
      </c>
    </row>
    <row r="20">
      <c r="A20" s="3" t="inlineStr">
        <is>
          <t>Non-Compliant</t>
        </is>
      </c>
      <c r="B20" s="10">
        <f>'Dashboard'!E6</f>
        <v/>
      </c>
    </row>
    <row r="21">
      <c r="A21" s="3" t="inlineStr">
        <is>
          <t>Not Applicable</t>
        </is>
      </c>
      <c r="B21" s="10">
        <f>'Dashboard'!F6</f>
        <v/>
      </c>
    </row>
    <row r="22">
      <c r="A22" s="3" t="inlineStr">
        <is>
          <t>Owner Coverage</t>
        </is>
      </c>
      <c r="B22" s="10">
        <f>IF(Dashboard!B6=0,"N/A",ROUND((COUNTA('CSC Obligations'!F4:F7)+COUNTA('CSP Obligations'!F4:F7))/Dashboard!B6*100,0)&amp;"%")</f>
        <v/>
      </c>
    </row>
    <row r="24">
      <c r="A24" s="6" t="inlineStr">
        <is>
          <t>DOMAIN STATUS SUMMARY</t>
        </is>
      </c>
    </row>
    <row r="25">
      <c r="A25" s="11" t="inlineStr">
        <is>
          <t>Domain</t>
        </is>
      </c>
      <c r="B25" s="11" t="inlineStr">
        <is>
          <t>Compliance %</t>
        </is>
      </c>
      <c r="C25" s="11" t="inlineStr">
        <is>
          <t>Compliant</t>
        </is>
      </c>
      <c r="D25" s="11" t="inlineStr">
        <is>
          <t>Gaps</t>
        </is>
      </c>
      <c r="E25" s="11" t="inlineStr">
        <is>
          <t>Status</t>
        </is>
      </c>
    </row>
    <row r="26">
      <c r="A26" s="4" t="inlineStr">
        <is>
          <t>CSC Obligations</t>
        </is>
      </c>
      <c r="B26" s="4">
        <f>'Dashboard'!G4</f>
        <v/>
      </c>
      <c r="C26" s="4">
        <f>'Dashboard'!C4</f>
        <v/>
      </c>
      <c r="D26" s="4">
        <f>'Dashboard'!E4</f>
        <v/>
      </c>
      <c r="E26" s="4">
        <f>IF(Dashboard!G4="N/A","--",IF(ISNUMBER(VALUE(SUBSTITUTE(Dashboard!G4,"%",""))),IF(VALUE(SUBSTITUTE(Dashboard!G4,"%",""))&gt;=90,"PASS",IF(VALUE(SUBSTITUTE(Dashboard!G4,"%",""))&gt;=70,"REVIEW","FAIL")),"--"))</f>
        <v/>
      </c>
    </row>
    <row r="27">
      <c r="A27" s="4" t="inlineStr">
        <is>
          <t>CSP Obligations</t>
        </is>
      </c>
      <c r="B27" s="4">
        <f>'Dashboard'!G5</f>
        <v/>
      </c>
      <c r="C27" s="4">
        <f>'Dashboard'!C5</f>
        <v/>
      </c>
      <c r="D27" s="4">
        <f>'Dashboard'!E5</f>
        <v/>
      </c>
      <c r="E27" s="4">
        <f>IF(Dashboard!G5="N/A","--",IF(ISNUMBER(VALUE(SUBSTITUTE(Dashboard!G5,"%",""))),IF(VALUE(SUBSTITUTE(Dashboard!G5,"%",""))&gt;=90,"PASS",IF(VALUE(SUBSTITUTE(Dashboard!G5,"%",""))&gt;=70,"REVIEW","FAIL")),"--"))</f>
        <v/>
      </c>
    </row>
    <row r="29">
      <c r="A29" s="6" t="inlineStr">
        <is>
          <t>CRITICAL ISSUES</t>
        </is>
      </c>
    </row>
    <row r="30">
      <c r="A30" s="11" t="inlineStr">
        <is>
          <t>#</t>
        </is>
      </c>
      <c r="B30" s="11" t="inlineStr">
        <is>
          <t>Issue Description</t>
        </is>
      </c>
      <c r="C30" s="11" t="inlineStr">
        <is>
          <t>Domain</t>
        </is>
      </c>
      <c r="D30" s="11" t="inlineStr">
        <is>
          <t>Owner</t>
        </is>
      </c>
      <c r="E30" s="11" t="inlineStr">
        <is>
          <t>Due Date</t>
        </is>
      </c>
    </row>
    <row r="31">
      <c r="A31" s="4" t="n">
        <v>1</v>
      </c>
      <c r="B31" s="5" t="n"/>
      <c r="C31" s="5" t="n"/>
      <c r="D31" s="5" t="n"/>
      <c r="E31" s="5" t="n"/>
    </row>
    <row r="32">
      <c r="A32" s="4" t="n">
        <v>2</v>
      </c>
      <c r="B32" s="5" t="n"/>
      <c r="C32" s="5" t="n"/>
      <c r="D32" s="5" t="n"/>
      <c r="E32" s="5" t="n"/>
    </row>
    <row r="33">
      <c r="A33" s="4" t="n">
        <v>3</v>
      </c>
      <c r="B33" s="5" t="n"/>
      <c r="C33" s="5" t="n"/>
      <c r="D33" s="5" t="n"/>
      <c r="E33" s="5" t="n"/>
    </row>
    <row r="34">
      <c r="A34" s="4" t="n">
        <v>4</v>
      </c>
      <c r="B34" s="5" t="n"/>
      <c r="C34" s="5" t="n"/>
      <c r="D34" s="5" t="n"/>
      <c r="E34" s="5" t="n"/>
    </row>
    <row r="35">
      <c r="A35" s="4" t="n">
        <v>5</v>
      </c>
      <c r="B35" s="5" t="n"/>
      <c r="C35" s="5" t="n"/>
      <c r="D35" s="5" t="n"/>
      <c r="E35" s="5" t="n"/>
    </row>
    <row r="37">
      <c r="A37" s="6" t="inlineStr">
        <is>
          <t>MANAGEMENT COMMENTARY</t>
        </is>
      </c>
    </row>
    <row r="38" ht="60" customHeight="1">
      <c r="A38" s="12" t="inlineStr">
        <is>
          <t>[Enter management commentary on segregation in virtual computing environments posture]</t>
        </is>
      </c>
    </row>
    <row r="39"/>
    <row r="40"/>
    <row r="42">
      <c r="A42" s="6" t="inlineStr">
        <is>
          <t>APPROVAL</t>
        </is>
      </c>
    </row>
    <row r="43">
      <c r="A43" s="13" t="inlineStr">
        <is>
          <t>Assessed By</t>
        </is>
      </c>
    </row>
    <row r="44">
      <c r="A44" s="14" t="inlineStr">
        <is>
          <t>Name:</t>
        </is>
      </c>
      <c r="B44" s="5" t="n"/>
    </row>
    <row r="45">
      <c r="A45" s="14" t="inlineStr">
        <is>
          <t>Date:</t>
        </is>
      </c>
      <c r="B45" s="5" t="n"/>
    </row>
    <row r="46">
      <c r="A46" s="14" t="inlineStr">
        <is>
          <t>Signature:</t>
        </is>
      </c>
      <c r="B46" s="5" t="n"/>
    </row>
    <row r="47">
      <c r="A47" s="14" t="inlineStr">
        <is>
          <t>Decision:</t>
        </is>
      </c>
      <c r="B47" s="5" t="n"/>
    </row>
    <row r="49">
      <c r="A49" s="13" t="inlineStr">
        <is>
          <t>Reviewed By (DPO)</t>
        </is>
      </c>
    </row>
    <row r="50">
      <c r="A50" s="14" t="inlineStr">
        <is>
          <t>Name:</t>
        </is>
      </c>
      <c r="B50" s="5" t="n"/>
    </row>
    <row r="51">
      <c r="A51" s="14" t="inlineStr">
        <is>
          <t>Date:</t>
        </is>
      </c>
      <c r="B51" s="5" t="n"/>
    </row>
    <row r="52">
      <c r="A52" s="14" t="inlineStr">
        <is>
          <t>Signature:</t>
        </is>
      </c>
      <c r="B52" s="5" t="n"/>
    </row>
    <row r="53">
      <c r="A53" s="14" t="inlineStr">
        <is>
          <t>Decision:</t>
        </is>
      </c>
      <c r="B53" s="5" t="n"/>
    </row>
    <row r="55">
      <c r="A55" s="13" t="inlineStr">
        <is>
          <t>Approved By (CEO / CISO)</t>
        </is>
      </c>
    </row>
    <row r="56">
      <c r="A56" s="14" t="inlineStr">
        <is>
          <t>Name:</t>
        </is>
      </c>
      <c r="B56" s="5" t="n"/>
    </row>
    <row r="57">
      <c r="A57" s="14" t="inlineStr">
        <is>
          <t>Date:</t>
        </is>
      </c>
      <c r="B57" s="5" t="n"/>
    </row>
    <row r="58">
      <c r="A58" s="14" t="inlineStr">
        <is>
          <t>Signature:</t>
        </is>
      </c>
      <c r="B58" s="5" t="n"/>
    </row>
    <row r="59">
      <c r="A59" s="14" t="inlineStr">
        <is>
          <t>Decision:</t>
        </is>
      </c>
      <c r="B59" s="5" t="n"/>
    </row>
  </sheetData>
  <mergeCells count="12">
    <mergeCell ref="A12:H12"/>
    <mergeCell ref="A29:H29"/>
    <mergeCell ref="A43:B43"/>
    <mergeCell ref="A24:H24"/>
    <mergeCell ref="A16:H16"/>
    <mergeCell ref="A49:B49"/>
    <mergeCell ref="A38:H40"/>
    <mergeCell ref="A42:H42"/>
    <mergeCell ref="A1:H1"/>
    <mergeCell ref="A37:H37"/>
    <mergeCell ref="A3:B3"/>
    <mergeCell ref="A55:B55"/>
  </mergeCells>
  <dataValidations count="1">
    <dataValidation sqref="B47 B53 B59" showDropDown="0" showInputMessage="0" showErrorMessage="0" allowBlank="1" type="list">
      <formula1>"Approved,Approved with Conditions,Not Approved"</formula1>
    </dataValidation>
  </dataValidations>
  <pageMargins left="0.75" right="0.75" top="1" bottom="1" header="0.5" footer="0.5"/>
  <pageSetup orientation="landscape" paperSize="9" fitToHeight="1" fitToWidth="1"/>
</worksheet>
</file>

<file path=xl/worksheets/sheet2.xml><?xml version="1.0" encoding="utf-8"?>
<worksheet xmlns="http://schemas.openxmlformats.org/spreadsheetml/2006/main">
  <sheetPr>
    <tabColor rgb="004472C4"/>
    <outlinePr summaryBelow="1" summaryRight="1"/>
    <pageSetUpPr/>
  </sheetPr>
  <dimension ref="A1:G32"/>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 width="16" customWidth="1" min="5" max="5"/>
    <col width="10" customWidth="1" min="6" max="6"/>
    <col width="16" customWidth="1" min="7" max="7"/>
  </cols>
  <sheetData>
    <row r="1" ht="40" customHeight="1">
      <c r="A1" s="1" t="inlineStr">
        <is>
          <t>Segregation in Virtual Computing Environments — Compliance Dashboard</t>
        </is>
      </c>
    </row>
    <row r="3">
      <c r="A3" s="11" t="inlineStr">
        <is>
          <t>Domain</t>
        </is>
      </c>
      <c r="B3" s="11" t="inlineStr">
        <is>
          <t>Total Reqs</t>
        </is>
      </c>
      <c r="C3" s="11" t="inlineStr">
        <is>
          <t>Compliant</t>
        </is>
      </c>
      <c r="D3" s="11" t="inlineStr">
        <is>
          <t>Partial</t>
        </is>
      </c>
      <c r="E3" s="11" t="inlineStr">
        <is>
          <t>Non-Compliant</t>
        </is>
      </c>
      <c r="F3" s="11" t="inlineStr">
        <is>
          <t>N/A</t>
        </is>
      </c>
      <c r="G3" s="11" t="inlineStr">
        <is>
          <t>Compliance %</t>
        </is>
      </c>
    </row>
    <row r="4">
      <c r="A4" s="3" t="inlineStr">
        <is>
          <t>CSC Obligations</t>
        </is>
      </c>
      <c r="B4" s="15">
        <f>COUNTA('CSC Obligations'!D4:D7)</f>
        <v/>
      </c>
      <c r="C4" s="15">
        <f>COUNTIF('CSC Obligations'!D4:D7,"Compliant")</f>
        <v/>
      </c>
      <c r="D4" s="15">
        <f>COUNTIF('CSC Obligations'!D4:D7,"Partial")</f>
        <v/>
      </c>
      <c r="E4" s="15">
        <f>COUNTIF('CSC Obligations'!D4:D7,"Non-Compliant")</f>
        <v/>
      </c>
      <c r="F4" s="15">
        <f>COUNTIF('CSC Obligations'!D4:D7,"N/A")</f>
        <v/>
      </c>
      <c r="G4" s="15">
        <f>IF((B4-F4)=0,"N/A",ROUND(C4/(B4-F4)*100,1)&amp;"%")</f>
        <v/>
      </c>
    </row>
    <row r="5">
      <c r="A5" s="3" t="inlineStr">
        <is>
          <t>CSP Obligations</t>
        </is>
      </c>
      <c r="B5" s="15">
        <f>COUNTA('CSP Obligations'!D4:D7)</f>
        <v/>
      </c>
      <c r="C5" s="15">
        <f>COUNTIF('CSP Obligations'!D4:D7,"Compliant")</f>
        <v/>
      </c>
      <c r="D5" s="15">
        <f>COUNTIF('CSP Obligations'!D4:D7,"Partial")</f>
        <v/>
      </c>
      <c r="E5" s="15">
        <f>COUNTIF('CSP Obligations'!D4:D7,"Non-Compliant")</f>
        <v/>
      </c>
      <c r="F5" s="15">
        <f>COUNTIF('CSP Obligations'!D4:D7,"N/A")</f>
        <v/>
      </c>
      <c r="G5" s="15">
        <f>IF((B5-F5)=0,"N/A",ROUND(C5/(B5-F5)*100,1)&amp;"%")</f>
        <v/>
      </c>
    </row>
    <row r="6">
      <c r="A6" s="16" t="inlineStr">
        <is>
          <t>TOTAL</t>
        </is>
      </c>
      <c r="B6" s="16">
        <f>SUM(B4:B5)</f>
        <v/>
      </c>
      <c r="C6" s="16">
        <f>SUM(C4:C5)</f>
        <v/>
      </c>
      <c r="D6" s="16">
        <f>SUM(D4:D5)</f>
        <v/>
      </c>
      <c r="E6" s="16">
        <f>SUM(E4:E5)</f>
        <v/>
      </c>
      <c r="F6" s="16">
        <f>SUM(F4:F5)</f>
        <v/>
      </c>
      <c r="G6" s="16">
        <f>IF((B6-F6)=0,"N/A",ROUND(C6/(B6-F6)*100,1)&amp;"%")</f>
        <v/>
      </c>
    </row>
    <row r="8">
      <c r="A8" s="6" t="inlineStr">
        <is>
          <t>COMPLIANCE BY STATUS</t>
        </is>
      </c>
    </row>
    <row r="9">
      <c r="A9" s="3" t="inlineStr">
        <is>
          <t>Compliant</t>
        </is>
      </c>
      <c r="B9" s="17">
        <f>C6</f>
        <v/>
      </c>
      <c r="C9" s="4">
        <f>IF(B6=0,"",ROUND(B9/B6*100,1)&amp;"%")</f>
        <v/>
      </c>
    </row>
    <row r="10">
      <c r="A10" s="3" t="inlineStr">
        <is>
          <t>Partial</t>
        </is>
      </c>
      <c r="B10" s="18">
        <f>D6</f>
        <v/>
      </c>
      <c r="C10" s="4">
        <f>IF(B6=0,"",ROUND(B10/B6*100,1)&amp;"%")</f>
        <v/>
      </c>
    </row>
    <row r="11">
      <c r="A11" s="3" t="inlineStr">
        <is>
          <t>Non-Compliant</t>
        </is>
      </c>
      <c r="B11" s="19">
        <f>E6</f>
        <v/>
      </c>
      <c r="C11" s="4">
        <f>IF(B6=0,"",ROUND(B11/B6*100,1)&amp;"%")</f>
        <v/>
      </c>
    </row>
    <row r="12">
      <c r="A12" s="3" t="inlineStr">
        <is>
          <t>N/A</t>
        </is>
      </c>
      <c r="B12" s="20">
        <f>F6</f>
        <v/>
      </c>
      <c r="C12" s="4">
        <f>IF(B6=0,"",ROUND(B12/B6*100,1)&amp;"%")</f>
        <v/>
      </c>
    </row>
    <row r="14">
      <c r="A14" s="6" t="inlineStr">
        <is>
          <t>TOP GAPS (Manual Entry)</t>
        </is>
      </c>
    </row>
    <row r="15">
      <c r="A15" s="11" t="inlineStr">
        <is>
          <t>Priority</t>
        </is>
      </c>
      <c r="B15" s="11" t="inlineStr">
        <is>
          <t>Domain</t>
        </is>
      </c>
      <c r="C15" s="11" t="inlineStr">
        <is>
          <t>Requirement</t>
        </is>
      </c>
      <c r="D15" s="11" t="inlineStr">
        <is>
          <t>Owner</t>
        </is>
      </c>
      <c r="E15" s="11" t="inlineStr">
        <is>
          <t>Due Date</t>
        </is>
      </c>
      <c r="F15" s="11" t="inlineStr">
        <is>
          <t>Status</t>
        </is>
      </c>
    </row>
    <row r="16">
      <c r="A16" s="5" t="n"/>
      <c r="B16" s="5" t="n"/>
      <c r="C16" s="5" t="n"/>
      <c r="D16" s="5" t="n"/>
      <c r="E16" s="5" t="n"/>
      <c r="F16" s="5" t="n"/>
    </row>
    <row r="17">
      <c r="A17" s="5" t="n"/>
      <c r="B17" s="5" t="n"/>
      <c r="C17" s="5" t="n"/>
      <c r="D17" s="5" t="n"/>
      <c r="E17" s="5" t="n"/>
      <c r="F17" s="5" t="n"/>
    </row>
    <row r="18">
      <c r="A18" s="5" t="n"/>
      <c r="B18" s="5" t="n"/>
      <c r="C18" s="5" t="n"/>
      <c r="D18" s="5" t="n"/>
      <c r="E18" s="5" t="n"/>
      <c r="F18" s="5" t="n"/>
    </row>
    <row r="19">
      <c r="A19" s="5" t="n"/>
      <c r="B19" s="5" t="n"/>
      <c r="C19" s="5" t="n"/>
      <c r="D19" s="5" t="n"/>
      <c r="E19" s="5" t="n"/>
      <c r="F19" s="5" t="n"/>
    </row>
    <row r="20">
      <c r="A20" s="5" t="n"/>
      <c r="B20" s="5" t="n"/>
      <c r="C20" s="5" t="n"/>
      <c r="D20" s="5" t="n"/>
      <c r="E20" s="5" t="n"/>
      <c r="F20" s="5" t="n"/>
    </row>
    <row r="21">
      <c r="A21" s="5" t="n"/>
      <c r="B21" s="5" t="n"/>
      <c r="C21" s="5" t="n"/>
      <c r="D21" s="5" t="n"/>
      <c r="E21" s="5" t="n"/>
      <c r="F21" s="5" t="n"/>
    </row>
    <row r="22">
      <c r="A22" s="5" t="n"/>
      <c r="B22" s="5" t="n"/>
      <c r="C22" s="5" t="n"/>
      <c r="D22" s="5" t="n"/>
      <c r="E22" s="5" t="n"/>
      <c r="F22" s="5" t="n"/>
    </row>
    <row r="23">
      <c r="A23" s="5" t="n"/>
      <c r="B23" s="5" t="n"/>
      <c r="C23" s="5" t="n"/>
      <c r="D23" s="5" t="n"/>
      <c r="E23" s="5" t="n"/>
      <c r="F23" s="5" t="n"/>
    </row>
    <row r="24">
      <c r="A24" s="5" t="n"/>
      <c r="B24" s="5" t="n"/>
      <c r="C24" s="5" t="n"/>
      <c r="D24" s="5" t="n"/>
      <c r="E24" s="5" t="n"/>
      <c r="F24" s="5" t="n"/>
    </row>
    <row r="25">
      <c r="A25" s="5" t="n"/>
      <c r="B25" s="5" t="n"/>
      <c r="C25" s="5" t="n"/>
      <c r="D25" s="5" t="n"/>
      <c r="E25" s="5" t="n"/>
      <c r="F25" s="5" t="n"/>
    </row>
    <row r="27">
      <c r="A27" s="6" t="inlineStr">
        <is>
          <t>COMPLIANCE TREND (Manual Entry)</t>
        </is>
      </c>
    </row>
    <row r="28">
      <c r="A28" s="11" t="inlineStr">
        <is>
          <t>Assessment Date</t>
        </is>
      </c>
      <c r="B28" s="11" t="inlineStr">
        <is>
          <t>Overall %</t>
        </is>
      </c>
      <c r="C28" s="11" t="inlineStr">
        <is>
          <t>Compliant</t>
        </is>
      </c>
      <c r="D28" s="11" t="inlineStr">
        <is>
          <t>Gaps</t>
        </is>
      </c>
      <c r="E28" s="11" t="inlineStr">
        <is>
          <t>Assessor</t>
        </is>
      </c>
      <c r="F28" s="11" t="inlineStr">
        <is>
          <t>Notes</t>
        </is>
      </c>
    </row>
    <row r="29">
      <c r="A29" s="5" t="n"/>
      <c r="B29" s="5" t="n"/>
      <c r="C29" s="5" t="n"/>
      <c r="D29" s="5" t="n"/>
      <c r="E29" s="5" t="n"/>
      <c r="F29" s="5" t="n"/>
    </row>
    <row r="30">
      <c r="A30" s="5" t="n"/>
      <c r="B30" s="5" t="n"/>
      <c r="C30" s="5" t="n"/>
      <c r="D30" s="5" t="n"/>
      <c r="E30" s="5" t="n"/>
      <c r="F30" s="5" t="n"/>
    </row>
    <row r="31">
      <c r="A31" s="5" t="n"/>
      <c r="B31" s="5" t="n"/>
      <c r="C31" s="5" t="n"/>
      <c r="D31" s="5" t="n"/>
      <c r="E31" s="5" t="n"/>
      <c r="F31" s="5" t="n"/>
    </row>
    <row r="32">
      <c r="A32" s="5" t="n"/>
      <c r="B32" s="5" t="n"/>
      <c r="C32" s="5" t="n"/>
      <c r="D32" s="5" t="n"/>
      <c r="E32" s="5" t="n"/>
      <c r="F32" s="5" t="n"/>
    </row>
  </sheetData>
  <mergeCells count="4">
    <mergeCell ref="A27:G27"/>
    <mergeCell ref="A8:G8"/>
    <mergeCell ref="A14:G14"/>
    <mergeCell ref="A1:G1"/>
  </mergeCells>
  <dataValidations count="1">
    <dataValidation sqref="F16 F17 F18 F19 F20 F21 F22 F23 F24 F25" showDropDown="0" showInputMessage="0" showErrorMessage="0" allowBlank="1" type="list">
      <formula1>"Open,In Progress,Closed,Deferred"</formula1>
    </dataValidation>
  </dataValidation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H7"/>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CSC Obligations — Compliance Checklist</t>
        </is>
      </c>
    </row>
    <row r="2">
      <c r="A2" s="21" t="inlineStr">
        <is>
          <t>ISO/IEC 27017:2026 — Controls 8.35: Segregation in Virtual Computing Environments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8.35-01</t>
        </is>
      </c>
      <c r="B4" s="23" t="inlineStr">
        <is>
          <t>Define Segregation Requirements</t>
        </is>
      </c>
      <c r="C4" s="24" t="inlineStr">
        <is>
          <t>The organisation shall define its requirements for segregating its environment to achieve tenant isolation within the shared virtual environment of any cloud service it uses.</t>
        </is>
      </c>
      <c r="D4" s="25" t="n"/>
      <c r="E4" s="5" t="n"/>
      <c r="F4" s="5" t="n"/>
      <c r="G4" s="26" t="n"/>
      <c r="H4" s="5" t="n"/>
    </row>
    <row r="5" ht="40" customHeight="1">
      <c r="A5" s="22" t="inlineStr">
        <is>
          <t>8.35-02</t>
        </is>
      </c>
      <c r="B5" s="23" t="inlineStr">
        <is>
          <t>Verify CSP Meets Requirements</t>
        </is>
      </c>
      <c r="C5" s="24" t="inlineStr">
        <is>
          <t>The organisation shall verify, before and periodically during use of the service, that the CSP meets the organisation's stated segregation requirements.</t>
        </is>
      </c>
      <c r="D5" s="25" t="n"/>
      <c r="E5" s="5" t="n"/>
      <c r="F5" s="5" t="n"/>
      <c r="G5" s="26" t="n"/>
      <c r="H5" s="5" t="n"/>
    </row>
    <row r="6" ht="40" customHeight="1">
      <c r="A6" s="22" t="inlineStr">
        <is>
          <t>8.35-03</t>
        </is>
      </c>
      <c r="B6" s="23" t="inlineStr">
        <is>
          <t>Periodic Re-verification</t>
        </is>
      </c>
      <c r="C6" s="24" t="inlineStr">
        <is>
          <t>The organisation shall repeat segregation verification at least annually, and whenever the CSP announces a material change to its virtualization or multi-tenancy architecture.</t>
        </is>
      </c>
      <c r="D6" s="25" t="n"/>
      <c r="E6" s="5" t="n"/>
      <c r="F6" s="5" t="n"/>
      <c r="G6" s="26" t="n"/>
      <c r="H6" s="5" t="n"/>
    </row>
    <row r="7" ht="40" customHeight="1">
      <c r="A7" s="22" t="inlineStr">
        <is>
          <t>8.35-04</t>
        </is>
      </c>
      <c r="B7" s="23" t="inlineStr">
        <is>
          <t>Regulatory Segregation Requirements</t>
        </is>
      </c>
      <c r="C7" s="24" t="inlineStr">
        <is>
          <t>Where applicable laws or regulations require the segregation of networks or the isolation of network traffic, the organisation shall ensure its virtual computing segregation controls satisfy those requirements in addition to this policy's baseline.</t>
        </is>
      </c>
      <c r="D7" s="25" t="n"/>
      <c r="E7" s="5" t="n"/>
      <c r="F7" s="5" t="n"/>
      <c r="G7" s="26" t="n"/>
      <c r="H7" s="5" t="n"/>
    </row>
  </sheetData>
  <mergeCells count="2">
    <mergeCell ref="A2:H2"/>
    <mergeCell ref="A1:H1"/>
  </mergeCells>
  <conditionalFormatting sqref="D4:D7">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H7"/>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CSP Obligations — Compliance Checklist</t>
        </is>
      </c>
    </row>
    <row r="2">
      <c r="A2" s="21" t="inlineStr">
        <is>
          <t>ISO/IEC 27017:2026 — Controls 8.35: Segregation in Virtual Computing Environments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8.35-05</t>
        </is>
      </c>
      <c r="B4" s="23" t="inlineStr">
        <is>
          <t>Enforce Logical Segregation by Layer</t>
        </is>
      </c>
      <c r="C4" s="24" t="inlineStr">
        <is>
          <t>The organisation shall enforce logical segregation of CSC data, virtualized applications, operating systems, storage, and network resources, to ensure isolation of resources used by different tenants.</t>
        </is>
      </c>
      <c r="D4" s="25" t="n"/>
      <c r="E4" s="5" t="n"/>
      <c r="F4" s="5" t="n"/>
      <c r="G4" s="26" t="n"/>
      <c r="H4" s="5" t="n"/>
    </row>
    <row r="5" ht="40" customHeight="1">
      <c r="A5" s="22" t="inlineStr">
        <is>
          <t>8.35-06</t>
        </is>
      </c>
      <c r="B5" s="23" t="inlineStr">
        <is>
          <t>Risk Assessment of CSC-Supplied Software</t>
        </is>
      </c>
      <c r="C5" s="24" t="inlineStr">
        <is>
          <t>The organisation shall assess the risks associated with running CSC-supplied software within its cloud services before permitting such software to run in shared infrastructure.</t>
        </is>
      </c>
      <c r="D5" s="25" t="n"/>
      <c r="E5" s="5" t="n"/>
      <c r="F5" s="5" t="n"/>
      <c r="G5" s="26" t="n"/>
      <c r="H5" s="5" t="n"/>
    </row>
    <row r="6" ht="40" customHeight="1">
      <c r="A6" s="22" t="inlineStr">
        <is>
          <t>8.35-07</t>
        </is>
      </c>
      <c r="B6" s="23" t="inlineStr">
        <is>
          <t>Separate Internal Administration</t>
        </is>
      </c>
      <c r="C6" s="24" t="inlineStr">
        <is>
          <t>The organisation shall enforce separation of its own internal administration functions from the resources used by CSCs.</t>
        </is>
      </c>
      <c r="D6" s="25" t="n"/>
      <c r="E6" s="5" t="n"/>
      <c r="F6" s="5" t="n"/>
      <c r="G6" s="26" t="n"/>
      <c r="H6" s="5" t="n"/>
    </row>
    <row r="7" ht="40" customHeight="1">
      <c r="A7" s="22" t="inlineStr">
        <is>
          <t>8.35-08</t>
        </is>
      </c>
      <c r="B7" s="23" t="inlineStr">
        <is>
          <t>Technology-Dependent Segregation Implementation</t>
        </is>
      </c>
      <c r="C7" s="24" t="inlineStr">
        <is>
          <t>Where network and storage configurations are virtualized through a software virtualization function, the organisation shall implement segregation using the segregation functions native to that software, in addition to underlying physical or network-level controls.</t>
        </is>
      </c>
      <c r="D7" s="25" t="n"/>
      <c r="E7" s="5" t="n"/>
      <c r="F7" s="5" t="n"/>
      <c r="G7" s="26" t="n"/>
      <c r="H7" s="5" t="n"/>
    </row>
  </sheetData>
  <mergeCells count="2">
    <mergeCell ref="A2:H2"/>
    <mergeCell ref="A1:H1"/>
  </mergeCells>
  <conditionalFormatting sqref="D4:D7">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2026-08-01T09:16:15Z</dcterms:created>
  <dcterms:modified xmlns:dcterms="http://purl.org/dc/terms/" xmlns:xsi="http://www.w3.org/2001/XMLSchema-instance" xsi:type="dcterms:W3CDTF">2026-08-01T09:16:15Z</dcterms:modified>
</cp:coreProperties>
</file>