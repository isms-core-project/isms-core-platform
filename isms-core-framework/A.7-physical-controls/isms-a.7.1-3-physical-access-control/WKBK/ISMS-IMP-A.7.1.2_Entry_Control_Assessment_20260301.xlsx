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ystems" sheetId="2" state="visible" r:id="rId2"/>
    <sheet xmlns:r="http://schemas.openxmlformats.org/officeDocument/2006/relationships" name="Visitor Management" sheetId="3" state="visible" r:id="rId3"/>
    <sheet xmlns:r="http://schemas.openxmlformats.org/officeDocument/2006/relationships" name="Contractor Access" sheetId="4" state="visible" r:id="rId4"/>
    <sheet xmlns:r="http://schemas.openxmlformats.org/officeDocument/2006/relationships" name="After-Hours Acces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  -  Entry Control Assessment
ISO/IEC 27001:2022 - Control A.7.2: Physical Entry</t>
        </is>
      </c>
    </row>
    <row r="3">
      <c r="A3" s="2" t="inlineStr">
        <is>
          <t>Document Information</t>
        </is>
      </c>
    </row>
    <row r="4">
      <c r="A4" s="3" t="inlineStr">
        <is>
          <t>Document ID</t>
        </is>
      </c>
      <c r="B4" t="inlineStr">
        <is>
          <t>ISMS-IMP-A.7.1.2</t>
        </is>
      </c>
    </row>
    <row r="5">
      <c r="A5" s="3" t="inlineStr">
        <is>
          <t>Workbook Title</t>
        </is>
      </c>
      <c r="B5" t="inlineStr">
        <is>
          <t>Entry Control Assessment</t>
        </is>
      </c>
    </row>
    <row r="6">
      <c r="A6" s="3" t="inlineStr">
        <is>
          <t>Control Reference</t>
        </is>
      </c>
      <c r="B6" t="inlineStr">
        <is>
          <t>ISO/IEC 27001:2022 - Control A.7.2: Physical Entry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entry controls.</t>
        </is>
      </c>
    </row>
    <row r="14">
      <c r="A14" t="inlineStr">
        <is>
          <t>2. Document all entry points and their access control mechanisms.</t>
        </is>
      </c>
    </row>
    <row r="15">
      <c r="A15" t="inlineStr">
        <is>
          <t>3. Assess access control systems against policy requirements.</t>
        </is>
      </c>
    </row>
    <row r="16">
      <c r="A16" t="inlineStr">
        <is>
          <t>4. Review visitor management procedures and logs.</t>
        </is>
      </c>
    </row>
    <row r="17">
      <c r="A17" t="inlineStr">
        <is>
          <t>5. Verify contractor access controls and escort requirements.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20" customWidth="1" min="4" max="4"/>
    <col width="22" customWidth="1" min="5" max="5"/>
    <col width="15" customWidth="1" min="6" max="6"/>
    <col width="18" customWidth="1" min="7" max="7"/>
    <col width="15" customWidth="1" min="8" max="8"/>
    <col width="18" customWidth="1" min="9" max="9"/>
    <col width="35" customWidth="1" min="10" max="10"/>
  </cols>
  <sheetData>
    <row r="1" ht="35" customHeight="1">
      <c r="A1" s="11" t="inlineStr">
        <is>
          <t>ACCESS CONTROL SYSTEMS INVENTORY
Policy Requirement: Electronic access control at all secure area entry points</t>
        </is>
      </c>
    </row>
    <row r="2" ht="20" customHeight="1">
      <c r="A2" s="12" t="inlineStr">
        <is>
          <t>ISO 27001:2022 | Control A.7.2 | Entry Control</t>
        </is>
      </c>
    </row>
    <row r="3" ht="30" customHeight="1">
      <c r="A3" s="13" t="inlineStr">
        <is>
          <t>Are all secure area entry points protected by appropriate electronic access control systems?</t>
        </is>
      </c>
    </row>
    <row r="4">
      <c r="A4" s="3" t="inlineStr">
        <is>
          <t>Response:</t>
        </is>
      </c>
      <c r="B4" s="14" t="n"/>
    </row>
    <row r="6">
      <c r="A6" s="15" t="inlineStr">
        <is>
          <t>Entry Point ID</t>
        </is>
      </c>
      <c r="B6" s="15" t="inlineStr">
        <is>
          <t>Location</t>
        </is>
      </c>
      <c r="C6" s="15" t="inlineStr">
        <is>
          <t>Security Zone</t>
        </is>
      </c>
      <c r="D6" s="15" t="inlineStr">
        <is>
          <t>Access System Type</t>
        </is>
      </c>
      <c r="E6" s="15" t="inlineStr">
        <is>
          <t>Authentication Method</t>
        </is>
      </c>
      <c r="F6" s="15" t="inlineStr">
        <is>
          <t>Anti-Tailgating</t>
        </is>
      </c>
      <c r="G6" s="15" t="inlineStr">
        <is>
          <t>Log Retention (Days)</t>
        </is>
      </c>
      <c r="H6" s="15" t="inlineStr">
        <is>
          <t>Last Review Date</t>
        </is>
      </c>
      <c r="I6" s="15" t="inlineStr">
        <is>
          <t>Status</t>
        </is>
      </c>
      <c r="J6" s="15" t="inlineStr">
        <is>
          <t>Notes</t>
        </is>
      </c>
    </row>
    <row r="7">
      <c r="A7" s="16" t="inlineStr">
        <is>
          <t>EP-001</t>
        </is>
      </c>
      <c r="B7" s="16" t="inlineStr">
        <is>
          <t>Server Room Door</t>
        </is>
      </c>
      <c r="C7" s="16" t="inlineStr">
        <is>
          <t>Restricted Zone</t>
        </is>
      </c>
      <c r="D7" s="16" t="inlineStr">
        <is>
          <t>Card Reader</t>
        </is>
      </c>
      <c r="E7" s="16" t="inlineStr">
        <is>
          <t>Badge/Card Only</t>
        </is>
      </c>
      <c r="F7" s="16" t="inlineStr">
        <is>
          <t>Yes</t>
        </is>
      </c>
      <c r="G7" s="16" t="inlineStr">
        <is>
          <t>90</t>
        </is>
      </c>
      <c r="H7" s="16" t="inlineStr">
        <is>
          <t>01.01.2026</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6">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"Card Reader,PIN Pad,Biometric,Card + PIN,Card + Biometric,Multi-Factor"</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"Badge/Card Only,Badge + PIN,Badge + Biometric,PIN + Biometric,Dual-Person Control"</formula1>
    </dataValidation>
    <dataValidation sqref="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30" customWidth="1" min="1" max="1"/>
    <col width="25" customWidth="1" min="2" max="2"/>
    <col width="15" customWidth="1" min="3" max="3"/>
    <col width="20" customWidth="1" min="4" max="4"/>
    <col width="18" customWidth="1" min="5" max="5"/>
    <col width="15" customWidth="1" min="6" max="6"/>
    <col width="15" customWidth="1" min="7" max="7"/>
    <col width="18" customWidth="1" min="8" max="8"/>
    <col width="35" customWidth="1" min="9" max="9"/>
  </cols>
  <sheetData>
    <row r="1" ht="35" customHeight="1">
      <c r="A1" s="11" t="inlineStr">
        <is>
          <t>VISITOR MANAGEMENT ASSESSMENT
Policy Requirement: All visitors signed in, identified, and escorted in restricted zones</t>
        </is>
      </c>
    </row>
    <row r="2" ht="20" customHeight="1">
      <c r="A2" s="12" t="inlineStr">
        <is>
          <t>ISO 27001:2022 | Control A.7.2 | Entry Control</t>
        </is>
      </c>
    </row>
    <row r="3" ht="30" customHeight="1">
      <c r="A3" s="13" t="inlineStr">
        <is>
          <t>Are visitor management procedures implemented and consistently followed?</t>
        </is>
      </c>
    </row>
    <row r="4">
      <c r="A4" s="3" t="inlineStr">
        <is>
          <t>Response:</t>
        </is>
      </c>
      <c r="B4" s="14" t="n"/>
    </row>
    <row r="6">
      <c r="A6" s="15" t="inlineStr">
        <is>
          <t>Procedure Element</t>
        </is>
      </c>
      <c r="B6" s="15" t="inlineStr">
        <is>
          <t>Location/Facility</t>
        </is>
      </c>
      <c r="C6" s="15" t="inlineStr">
        <is>
          <t>Implemented</t>
        </is>
      </c>
      <c r="D6" s="15" t="inlineStr">
        <is>
          <t>Sign-In Process</t>
        </is>
      </c>
      <c r="E6" s="15" t="inlineStr">
        <is>
          <t>ID Verification</t>
        </is>
      </c>
      <c r="F6" s="15" t="inlineStr">
        <is>
          <t>Badge Issued</t>
        </is>
      </c>
      <c r="G6" s="15" t="inlineStr">
        <is>
          <t>Escort Required</t>
        </is>
      </c>
      <c r="H6" s="15" t="inlineStr">
        <is>
          <t>Status</t>
        </is>
      </c>
      <c r="I6" s="15" t="inlineStr">
        <is>
          <t>Notes</t>
        </is>
      </c>
    </row>
    <row r="7">
      <c r="A7" s="16" t="inlineStr">
        <is>
          <t>Reception Sign-In</t>
        </is>
      </c>
      <c r="B7" s="16" t="inlineStr">
        <is>
          <t>Building A Reception</t>
        </is>
      </c>
      <c r="C7" s="16" t="inlineStr">
        <is>
          <t>Yes</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"Reception Sign-In,ID Check,Visitor Badge,Escort Policy,Sign-Out Process,Log Retention,After-Hours Visitors"</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5" customWidth="1" min="5" max="5"/>
    <col width="15" customWidth="1" min="6" max="6"/>
    <col width="20" customWidth="1" min="7" max="7"/>
    <col width="18" customWidth="1" min="8" max="8"/>
    <col width="35" customWidth="1" min="9" max="9"/>
  </cols>
  <sheetData>
    <row r="1" ht="35" customHeight="1">
      <c r="A1" s="11" t="inlineStr">
        <is>
          <t>CONTRACTOR AND MAINTENANCE ACCESS
Policy Requirement: Pre-authorisation, time-limited access, supervision in sensitive areas</t>
        </is>
      </c>
    </row>
    <row r="2" ht="20" customHeight="1">
      <c r="A2" s="12" t="inlineStr">
        <is>
          <t>ISO 27001:2022 | Control A.7.2 | Entry Control</t>
        </is>
      </c>
    </row>
    <row r="3" ht="30" customHeight="1">
      <c r="A3" s="13" t="inlineStr">
        <is>
          <t>Are contractor access controls implemented with pre-authorisation, logging, and supervision?</t>
        </is>
      </c>
    </row>
    <row r="4">
      <c r="A4" s="3" t="inlineStr">
        <is>
          <t>Response:</t>
        </is>
      </c>
      <c r="B4" s="14" t="n"/>
    </row>
    <row r="6">
      <c r="A6" s="15" t="inlineStr">
        <is>
          <t>Contractor Type</t>
        </is>
      </c>
      <c r="B6" s="15" t="inlineStr">
        <is>
          <t>Facility/Area</t>
        </is>
      </c>
      <c r="C6" s="15" t="inlineStr">
        <is>
          <t>Pre-Authorisation</t>
        </is>
      </c>
      <c r="D6" s="15" t="inlineStr">
        <is>
          <t>Time-Limited Access</t>
        </is>
      </c>
      <c r="E6" s="15" t="inlineStr">
        <is>
          <t>Access Logged</t>
        </is>
      </c>
      <c r="F6" s="15" t="inlineStr">
        <is>
          <t>Escort Required</t>
        </is>
      </c>
      <c r="G6" s="15" t="inlineStr">
        <is>
          <t>Supervision Level</t>
        </is>
      </c>
      <c r="H6" s="15" t="inlineStr">
        <is>
          <t>Status</t>
        </is>
      </c>
      <c r="I6" s="15" t="inlineStr">
        <is>
          <t>Notes</t>
        </is>
      </c>
    </row>
    <row r="7">
      <c r="A7" s="16" t="inlineStr">
        <is>
          <t>IT Maintenance</t>
        </is>
      </c>
      <c r="B7" s="16" t="inlineStr">
        <is>
          <t>Server Room</t>
        </is>
      </c>
      <c r="C7" s="16" t="inlineStr">
        <is>
          <t>Yes</t>
        </is>
      </c>
      <c r="D7" s="16" t="inlineStr">
        <is>
          <t>Yes</t>
        </is>
      </c>
      <c r="E7" s="16" t="inlineStr">
        <is>
          <t>Yes</t>
        </is>
      </c>
      <c r="F7" s="16" t="inlineStr">
        <is>
          <t>Yes</t>
        </is>
      </c>
      <c r="G7" s="16" t="inlineStr">
        <is>
          <t>Full Escort</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"IT Maintenance,Cleaning,Security Services,HVAC/Facilities,Delivery,Construction,Consultants,Other"</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"Yes,No,Partial,N/A"</formula1>
    </dataValidation>
    <dataValidation sqref="G7 G8 G9 G10 G11 G12 G13 G14 G15 G16 G17 G18 G19 G20 G21 G22 G23 G24 G25 G26 G27 G28 G29 G30 G31 G32 G33 G34 G35 G36 G37 G38 G39 G40 G41 G42 G43 G44 G45 G46 G47 G48 G49 G50 G51 G52 G53 G54 G55 G56" showDropDown="0" showInputMessage="0" showErrorMessage="0" allowBlank="0" type="list">
      <formula1>"Full Escort,Spot Checks,Self-Supervised,Not Required"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AFTER-HOURS ACCESS CONTROLS
Policy Requirement: Enhanced authentication and logging for after-hours access</t>
        </is>
      </c>
    </row>
    <row r="2" ht="20" customHeight="1">
      <c r="A2" s="12" t="inlineStr">
        <is>
          <t>ISO 27001:2022 | Control A.7.2 | Entry Control</t>
        </is>
      </c>
    </row>
    <row r="3" ht="30" customHeight="1">
      <c r="A3" s="13" t="inlineStr">
        <is>
          <t>Are enhanced controls in place for after-hours access to facilities?</t>
        </is>
      </c>
    </row>
    <row r="4">
      <c r="A4" s="3" t="inlineStr">
        <is>
          <t>Response:</t>
        </is>
      </c>
      <c r="B4" s="14" t="n"/>
    </row>
    <row r="6">
      <c r="A6" s="15" t="inlineStr">
        <is>
          <t>Facility/Entry Point</t>
        </is>
      </c>
      <c r="B6" s="15" t="inlineStr">
        <is>
          <t>Security Zone</t>
        </is>
      </c>
      <c r="C6" s="15" t="inlineStr">
        <is>
          <t>After-Hours Period</t>
        </is>
      </c>
      <c r="D6" s="15" t="inlineStr">
        <is>
          <t>Enhanced Auth</t>
        </is>
      </c>
      <c r="E6" s="15" t="inlineStr">
        <is>
          <t>Alarm Integration</t>
        </is>
      </c>
      <c r="F6" s="15" t="inlineStr">
        <is>
          <t>Security Response</t>
        </is>
      </c>
      <c r="G6" s="15" t="inlineStr">
        <is>
          <t>Access Logged</t>
        </is>
      </c>
      <c r="H6" s="15" t="inlineStr">
        <is>
          <t>Status</t>
        </is>
      </c>
      <c r="I6" s="15" t="inlineStr">
        <is>
          <t>Notes</t>
        </is>
      </c>
    </row>
    <row r="7">
      <c r="A7" s="16" t="inlineStr">
        <is>
          <t>Building A Main Entrance</t>
        </is>
      </c>
      <c r="B7" s="16" t="inlineStr">
        <is>
          <t>Controlled Zone</t>
        </is>
      </c>
      <c r="C7" s="16" t="inlineStr">
        <is>
          <t>18:00–07:00 weekdays</t>
        </is>
      </c>
      <c r="D7" s="16" t="inlineStr">
        <is>
          <t>Yes</t>
        </is>
      </c>
      <c r="E7" s="16" t="inlineStr">
        <is>
          <t>Yes</t>
        </is>
      </c>
      <c r="F7" s="16" t="inlineStr">
        <is>
          <t>24/7 Security Response</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"Access log,Visitor log,Configuration screenshot,Policy document,Test report,Badge sample,Other"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ENTRY CONTROL ASSESSMENT — SUMMARY DASHBOARD</t>
        </is>
      </c>
      <c r="B1" s="23" t="n"/>
      <c r="C1" s="23" t="n"/>
      <c r="D1" s="23" t="n"/>
      <c r="E1" s="23" t="n"/>
      <c r="F1" s="23" t="n"/>
      <c r="G1" s="23" t="n"/>
    </row>
    <row r="2">
      <c r="A2" s="24" t="inlineStr">
        <is>
          <t>A.7.2 – Physical Entry: Access Systems, Visitor, Contractor and After-Hours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Access Control Systems</t>
        </is>
      </c>
      <c r="B6" s="28">
        <f>COUNTA('Access Control Systems'!A8:A57)</f>
        <v/>
      </c>
      <c r="C6" s="28">
        <f>COUNTIF('Access Control Systems'!I8:I57,"✅*")</f>
        <v/>
      </c>
      <c r="D6" s="28">
        <f>COUNTIF('Access Control Systems'!I8:I57,"⚠*")</f>
        <v/>
      </c>
      <c r="E6" s="28">
        <f>COUNTIF('Access Control Systems'!I8:I57,"❌*")</f>
        <v/>
      </c>
      <c r="F6" s="28">
        <f>COUNTIF('Access Control Systems'!I8:I57,"N/A")</f>
        <v/>
      </c>
      <c r="G6" s="29">
        <f>IF((B6-F6)=0,0,C6/(B6-F6))</f>
        <v/>
      </c>
    </row>
    <row r="7">
      <c r="A7" s="27" t="inlineStr">
        <is>
          <t>Visitor Management</t>
        </is>
      </c>
      <c r="B7" s="28">
        <f>COUNTA('Visitor Management'!A8:A57)</f>
        <v/>
      </c>
      <c r="C7" s="28">
        <f>COUNTIF('Visitor Management'!H8:H57,"✅*")</f>
        <v/>
      </c>
      <c r="D7" s="28">
        <f>COUNTIF('Visitor Management'!H8:H57,"⚠*")</f>
        <v/>
      </c>
      <c r="E7" s="28">
        <f>COUNTIF('Visitor Management'!H8:H57,"❌*")</f>
        <v/>
      </c>
      <c r="F7" s="28">
        <f>COUNTIF('Visitor Management'!H8:H57,"N/A")</f>
        <v/>
      </c>
      <c r="G7" s="29">
        <f>IF((B7-F7)=0,0,C7/(B7-F7))</f>
        <v/>
      </c>
    </row>
    <row r="8">
      <c r="A8" s="27" t="inlineStr">
        <is>
          <t>Contractor Access</t>
        </is>
      </c>
      <c r="B8" s="28">
        <f>COUNTA('Contractor Access'!A8:A57)</f>
        <v/>
      </c>
      <c r="C8" s="28">
        <f>COUNTIF('Contractor Access'!H8:H57,"✅*")</f>
        <v/>
      </c>
      <c r="D8" s="28">
        <f>COUNTIF('Contractor Access'!H8:H57,"⚠*")</f>
        <v/>
      </c>
      <c r="E8" s="28">
        <f>COUNTIF('Contractor Access'!H8:H57,"❌*")</f>
        <v/>
      </c>
      <c r="F8" s="28">
        <f>COUNTIF('Contractor Access'!H8:H57,"N/A")</f>
        <v/>
      </c>
      <c r="G8" s="29">
        <f>IF((B8-F8)=0,0,C8/(B8-F8))</f>
        <v/>
      </c>
    </row>
    <row r="9">
      <c r="A9" s="27" t="inlineStr">
        <is>
          <t>After-Hours Access</t>
        </is>
      </c>
      <c r="B9" s="28">
        <f>COUNTA('After-Hours Access'!A8:A57)</f>
        <v/>
      </c>
      <c r="C9" s="28">
        <f>COUNTIF('After-Hours Access'!H8:H57,"✅*")</f>
        <v/>
      </c>
      <c r="D9" s="28">
        <f>COUNTIF('After-Hours Access'!H8:H57,"⚠*")</f>
        <v/>
      </c>
      <c r="E9" s="28">
        <f>COUNTIF('After-Hours Access'!H8:H57,"❌*")</f>
        <v/>
      </c>
      <c r="F9" s="28">
        <f>COUNTIF('After-Hours Access'!H8:H57,"N/A")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Access Points Assessed</t>
        </is>
      </c>
      <c r="B14" s="28">
        <f>COUNTA('Access Control Systems'!A8:A57)</f>
        <v/>
      </c>
      <c r="C14" s="23" t="n"/>
      <c r="D14" s="23" t="n"/>
      <c r="E14" s="23" t="n"/>
      <c r="F14" s="23" t="n"/>
      <c r="G14" s="23" t="n"/>
    </row>
    <row r="15">
      <c r="A15" s="27" t="inlineStr">
        <is>
          <t>Multi-Factor Authentication Points</t>
        </is>
      </c>
      <c r="B15" s="28">
        <f>COUNTIF('Access Control Systems'!D8:D57,"Multi-Factor")</f>
        <v/>
      </c>
      <c r="C15" s="23" t="n"/>
      <c r="D15" s="23" t="n"/>
      <c r="E15" s="23" t="n"/>
      <c r="F15" s="23" t="n"/>
      <c r="G15" s="23" t="n"/>
    </row>
    <row r="16">
      <c r="A16" s="27" t="inlineStr">
        <is>
          <t>Access Points with Tailgate Prevention</t>
        </is>
      </c>
      <c r="B16" s="28">
        <f>COUNTIF('Access Control Systems'!F8:F57,"Yes")</f>
        <v/>
      </c>
      <c r="C16" s="23" t="n"/>
      <c r="D16" s="23" t="n"/>
      <c r="E16" s="23" t="n"/>
      <c r="F16" s="23" t="n"/>
      <c r="G16" s="23" t="n"/>
    </row>
    <row r="17">
      <c r="A17" s="27" t="inlineStr">
        <is>
          <t>Total Visitor Procedures Assessed</t>
        </is>
      </c>
      <c r="B17" s="28">
        <f>COUNTA('Visitor Management'!A8:A57)</f>
        <v/>
      </c>
      <c r="C17" s="23" t="n"/>
      <c r="D17" s="23" t="n"/>
      <c r="E17" s="23" t="n"/>
      <c r="F17" s="23" t="n"/>
      <c r="G17" s="23" t="n"/>
    </row>
    <row r="18">
      <c r="A18" s="27" t="inlineStr">
        <is>
          <t>Contractors Requiring Full Escort</t>
        </is>
      </c>
      <c r="B18" s="28">
        <f>COUNTIF('Contractor Access'!G8:G57,"Full Escort")</f>
        <v/>
      </c>
      <c r="C18" s="23" t="n"/>
      <c r="D18" s="23" t="n"/>
      <c r="E18" s="23" t="n"/>
      <c r="F18" s="23" t="n"/>
      <c r="G18" s="23" t="n"/>
    </row>
    <row r="19">
      <c r="A19" s="27" t="inlineStr">
        <is>
          <t>Total Contractor Types Assessed</t>
        </is>
      </c>
      <c r="B19" s="28">
        <f>COUNTA('Contractor Access'!A8:A57)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Access Control Systems</t>
        </is>
      </c>
      <c r="B25" s="34" t="inlineStr">
        <is>
          <t>Non-compliant access control systems</t>
        </is>
      </c>
      <c r="C25" s="35">
        <f>COUNTIF('Access Control Systems'!I8:I57,"❌*")</f>
        <v/>
      </c>
      <c r="D25" s="34" t="inlineStr">
        <is>
          <t>Critical</t>
        </is>
      </c>
      <c r="E25" s="34" t="inlineStr">
        <is>
          <t>Immediate</t>
        </is>
      </c>
      <c r="F25" s="34" t="n"/>
      <c r="G25" s="34" t="n"/>
    </row>
    <row r="26">
      <c r="A26" s="34" t="inlineStr">
        <is>
          <t>Visitor Management</t>
        </is>
      </c>
      <c r="B26" s="34" t="inlineStr">
        <is>
          <t>Non-compliant visitor procedures</t>
        </is>
      </c>
      <c r="C26" s="35">
        <f>COUNTIF('Visitor Management'!H8:H57,"❌*")</f>
        <v/>
      </c>
      <c r="D26" s="34" t="inlineStr">
        <is>
          <t>Critical</t>
        </is>
      </c>
      <c r="E26" s="34" t="inlineStr">
        <is>
          <t>Immediate</t>
        </is>
      </c>
      <c r="F26" s="34" t="n"/>
      <c r="G26" s="34" t="n"/>
    </row>
    <row r="27">
      <c r="A27" s="34" t="inlineStr">
        <is>
          <t>Contractor Access</t>
        </is>
      </c>
      <c r="B27" s="34" t="inlineStr">
        <is>
          <t>Non-compliant contractor access</t>
        </is>
      </c>
      <c r="C27" s="35">
        <f>COUNTIF('Contractor Access'!H8:H57,"❌*")</f>
        <v/>
      </c>
      <c r="D27" s="34" t="inlineStr">
        <is>
          <t>High</t>
        </is>
      </c>
      <c r="E27" s="34" t="inlineStr">
        <is>
          <t>Urgent</t>
        </is>
      </c>
      <c r="F27" s="34" t="n"/>
      <c r="G27" s="34" t="n"/>
    </row>
    <row r="28">
      <c r="A28" s="34" t="inlineStr">
        <is>
          <t>After-Hours Access</t>
        </is>
      </c>
      <c r="B28" s="34" t="inlineStr">
        <is>
          <t>Non-compliant after-hours entries</t>
        </is>
      </c>
      <c r="C28" s="35">
        <f>COUNTIF('After-Hours Access'!H8:H57,"❌*")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A.7.2: Physical Entry</t>
        </is>
      </c>
      <c r="B2" s="6" t="n"/>
      <c r="C2" s="6" t="n"/>
      <c r="D2" s="6" t="n"/>
      <c r="E2" s="6" t="n"/>
    </row>
    <row r="3">
      <c r="A3" s="39" t="inlineStr">
        <is>
          <t>ASSESSMENT SUMMARY</t>
        </is>
      </c>
      <c r="B3" s="6" t="n"/>
      <c r="C3" s="6" t="n"/>
      <c r="D3" s="6" t="n"/>
      <c r="E3" s="6" t="n"/>
    </row>
    <row r="4">
      <c r="A4" s="3" t="inlineStr">
        <is>
          <t>Document:</t>
        </is>
      </c>
      <c r="B4" s="6" t="inlineStr">
        <is>
          <t>ISMS-IMP-A.7.1.2 - Entry Control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 — Entry Control Assessment</dc:title>
  <dc:description xmlns:dc="http://purl.org/dc/elements/1.1/">ISMS Implementation Workbook — ISMS-IMP-A.7.1.2</dc:description>
  <dc:subject xmlns:dc="http://purl.org/dc/elements/1.1/">ISO/IEC 27001:2022 — Control A.7.2: Physical Entry</dc:subject>
  <dcterms:created xmlns:dcterms="http://purl.org/dc/terms/" xmlns:xsi="http://www.w3.org/2001/XMLSchema-instance" xsi:type="dcterms:W3CDTF">2026-03-01T16:57:47Z</dcterms:created>
  <dcterms:modified xmlns:dcterms="http://purl.org/dc/terms/" xmlns:xsi="http://www.w3.org/2001/XMLSchema-instance" xsi:type="dcterms:W3CDTF">2026-03-01T16:57:47Z</dcterms:modified>
</cp:coreProperties>
</file>