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Zones" sheetId="2" state="visible" r:id="rId2"/>
    <sheet xmlns:r="http://schemas.openxmlformats.org/officeDocument/2006/relationships" name="Building Perimeter" sheetId="3" state="visible" r:id="rId3"/>
    <sheet xmlns:r="http://schemas.openxmlformats.org/officeDocument/2006/relationships" name="Internal Perimeters" sheetId="4" state="visible" r:id="rId4"/>
    <sheet xmlns:r="http://schemas.openxmlformats.org/officeDocument/2006/relationships" name="Perimeter Monitorin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i val="1"/>
    </font>
    <font>
      <name val="Calibri"/>
      <b val="1"/>
      <color rgb="00FFFFFF"/>
      <sz val="10"/>
    </font>
    <font>
      <name val="Calibri"/>
      <color rgb="00003366"/>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9"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1" borderId="1" pivotButton="0" quotePrefix="0" xfId="0"/>
    <xf numFmtId="0" fontId="10" fillId="8" borderId="2" applyAlignment="1" pivotButton="0" quotePrefix="0" xfId="0">
      <alignment horizontal="center" vertical="center" wrapText="1"/>
    </xf>
    <xf numFmtId="0" fontId="0" fillId="0" borderId="2" pivotButton="0" quotePrefix="0" xfId="0"/>
    <xf numFmtId="0" fontId="11" fillId="0" borderId="0"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13"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ISMS-IMP-A.7.1.1  -  Perimeter Security Assessment
ISO/IEC 27001:2022 - Control A.7.1: Physical Security Perimeters</t>
        </is>
      </c>
    </row>
    <row r="3">
      <c r="A3" s="2" t="inlineStr">
        <is>
          <t>Document Information</t>
        </is>
      </c>
    </row>
    <row r="4">
      <c r="A4" s="3" t="inlineStr">
        <is>
          <t>Document ID</t>
        </is>
      </c>
      <c r="B4" t="inlineStr">
        <is>
          <t>ISMS-IMP-A.7.1.1</t>
        </is>
      </c>
    </row>
    <row r="5">
      <c r="A5" s="3" t="inlineStr">
        <is>
          <t>Workbook Title</t>
        </is>
      </c>
      <c r="B5" t="inlineStr">
        <is>
          <t>Perimeter Security Assessment</t>
        </is>
      </c>
    </row>
    <row r="6">
      <c r="A6" s="3" t="inlineStr">
        <is>
          <t>Control Reference</t>
        </is>
      </c>
      <c r="B6" t="inlineStr">
        <is>
          <t>ISO/IEC 27001:2022 - Control A.7.1: Physical Security Perimeters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security perimeters.</t>
        </is>
      </c>
    </row>
    <row r="14">
      <c r="A14" t="inlineStr">
        <is>
          <t>2. Document all facility perimeters (building exterior, internal zones).</t>
        </is>
      </c>
    </row>
    <row r="15">
      <c r="A15" t="inlineStr">
        <is>
          <t>3. Assess perimeter construction against policy requirements.</t>
        </is>
      </c>
    </row>
    <row r="16">
      <c r="A16" t="inlineStr">
        <is>
          <t>4. Identify gaps between actual and required security measures.</t>
        </is>
      </c>
    </row>
    <row r="17">
      <c r="A17" t="inlineStr">
        <is>
          <t>5. Use dropdown menus for standardised status entries.</t>
        </is>
      </c>
    </row>
    <row r="18">
      <c r="A18" t="inlineStr">
        <is>
          <t>6. Fill in yellow-highlighted cells with your facility information.</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12" customWidth="1" min="1" max="1"/>
    <col width="25" customWidth="1" min="2" max="2"/>
    <col width="18" customWidth="1" min="3" max="3"/>
    <col width="25" customWidth="1" min="4" max="4"/>
    <col width="18" customWidth="1" min="5" max="5"/>
    <col width="30" customWidth="1" min="6" max="6"/>
    <col width="15" customWidth="1" min="7" max="7"/>
    <col width="18" customWidth="1" min="8" max="8"/>
    <col width="35" customWidth="1" min="9" max="9"/>
  </cols>
  <sheetData>
    <row r="1" ht="35" customHeight="1">
      <c r="A1" s="11" t="inlineStr">
        <is>
          <t>SECURITY ZONE DEFINITION
Policy Requirement: All facilities must have defined and documented security zones</t>
        </is>
      </c>
    </row>
    <row r="2" ht="20" customHeight="1">
      <c r="A2" s="12" t="inlineStr">
        <is>
          <t>ISO 27001:2022 | Control A.7.1 | Physical Security Perimeters</t>
        </is>
      </c>
    </row>
    <row r="3" ht="30" customHeight="1">
      <c r="A3" s="13" t="inlineStr">
        <is>
          <t>Are all facility areas classified into appropriate security zones with documented perimeters?</t>
        </is>
      </c>
    </row>
    <row r="4">
      <c r="A4" s="3" t="inlineStr">
        <is>
          <t>Response:</t>
        </is>
      </c>
      <c r="B4" s="14" t="n"/>
    </row>
    <row r="6">
      <c r="A6" s="15" t="inlineStr">
        <is>
          <t>Zone ID</t>
        </is>
      </c>
      <c r="B6" s="15" t="inlineStr">
        <is>
          <t>Zone Name</t>
        </is>
      </c>
      <c r="C6" s="15" t="inlineStr">
        <is>
          <t>Zone Type</t>
        </is>
      </c>
      <c r="D6" s="15" t="inlineStr">
        <is>
          <t>Location/Building</t>
        </is>
      </c>
      <c r="E6" s="15" t="inlineStr">
        <is>
          <t>Classification</t>
        </is>
      </c>
      <c r="F6" s="15" t="inlineStr">
        <is>
          <t>Access Requirements</t>
        </is>
      </c>
      <c r="G6" s="15" t="inlineStr">
        <is>
          <t>Perimeter Defined</t>
        </is>
      </c>
      <c r="H6" s="15" t="inlineStr">
        <is>
          <t>Status</t>
        </is>
      </c>
      <c r="I6" s="15" t="inlineStr">
        <is>
          <t>Notes</t>
        </is>
      </c>
    </row>
    <row r="7">
      <c r="A7" s="16" t="inlineStr">
        <is>
          <t>ZN-001</t>
        </is>
      </c>
      <c r="B7" s="16" t="inlineStr">
        <is>
          <t>Main Entrance Lobby</t>
        </is>
      </c>
      <c r="C7" s="16" t="inlineStr">
        <is>
          <t>Public Zone</t>
        </is>
      </c>
      <c r="D7" s="16" t="inlineStr">
        <is>
          <t>Building A, Ground Floor</t>
        </is>
      </c>
      <c r="E7" s="16" t="inlineStr">
        <is>
          <t>Tier 3 - Standard</t>
        </is>
      </c>
      <c r="F7" s="16" t="inlineStr">
        <is>
          <t>No authentication required</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"Public Zone,Controlled Zone,Restricted Zone,High-Security Zone"</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"Tier 1 - Critical,Tier 2 - Important,Tier 3 - Standard"</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20" customWidth="1" min="3" max="3"/>
    <col width="15" customWidth="1" min="4" max="4"/>
    <col width="20" customWidth="1" min="5" max="5"/>
    <col width="25" customWidth="1" min="6" max="6"/>
    <col width="15" customWidth="1" min="7" max="7"/>
    <col width="18" customWidth="1" min="8" max="8"/>
    <col width="18" customWidth="1" min="9" max="9"/>
    <col width="35" customWidth="1" min="10" max="10"/>
  </cols>
  <sheetData>
    <row r="1" ht="35" customHeight="1">
      <c r="A1" s="11" t="inlineStr">
        <is>
          <t>BUILDING PERIMETER ASSESSMENT
Policy Requirement: Physically sound perimeters with no gaps for unauthorised entry</t>
        </is>
      </c>
    </row>
    <row r="2" ht="20" customHeight="1">
      <c r="A2" s="12" t="inlineStr">
        <is>
          <t>ISO 27001:2022 | Control A.7.1 | Physical Security Perimeters</t>
        </is>
      </c>
    </row>
    <row r="3" ht="30" customHeight="1">
      <c r="A3" s="13" t="inlineStr">
        <is>
          <t>Are all building perimeters (walls, roofs, floors) of solid construction with appropriate security controls?</t>
        </is>
      </c>
    </row>
    <row r="4">
      <c r="A4" s="3" t="inlineStr">
        <is>
          <t>Response:</t>
        </is>
      </c>
      <c r="B4" s="14" t="n"/>
    </row>
    <row r="6">
      <c r="A6" s="15" t="inlineStr">
        <is>
          <t>Building/Facility</t>
        </is>
      </c>
      <c r="B6" s="15" t="inlineStr">
        <is>
          <t>Perimeter Element</t>
        </is>
      </c>
      <c r="C6" s="15" t="inlineStr">
        <is>
          <t>Construction Type</t>
        </is>
      </c>
      <c r="D6" s="15" t="inlineStr">
        <is>
          <t>Solid Construction</t>
        </is>
      </c>
      <c r="E6" s="15" t="inlineStr">
        <is>
          <t>Gap/Breach Points</t>
        </is>
      </c>
      <c r="F6" s="15" t="inlineStr">
        <is>
          <t>Security Controls</t>
        </is>
      </c>
      <c r="G6" s="15" t="inlineStr">
        <is>
          <t>Last Inspection</t>
        </is>
      </c>
      <c r="H6" s="15" t="inlineStr">
        <is>
          <t>Inspector</t>
        </is>
      </c>
      <c r="I6" s="15" t="inlineStr">
        <is>
          <t>Status</t>
        </is>
      </c>
      <c r="J6" s="15" t="inlineStr">
        <is>
          <t>Notes</t>
        </is>
      </c>
    </row>
    <row r="7">
      <c r="A7" s="16" t="inlineStr">
        <is>
          <t>Building A</t>
        </is>
      </c>
      <c r="B7" s="16" t="inlineStr">
        <is>
          <t>External Wall</t>
        </is>
      </c>
      <c r="C7" s="16" t="inlineStr">
        <is>
          <t>Reinforced Concrete</t>
        </is>
      </c>
      <c r="D7" s="16" t="inlineStr">
        <is>
          <t>Yes</t>
        </is>
      </c>
      <c r="E7" s="16" t="inlineStr">
        <is>
          <t>None identified</t>
        </is>
      </c>
      <c r="F7" s="16" t="inlineStr">
        <is>
          <t>CCTV, security patrols</t>
        </is>
      </c>
      <c r="G7" s="16" t="inlineStr">
        <is>
          <t>01.01.2026</t>
        </is>
      </c>
      <c r="H7" s="16" t="inlineStr">
        <is>
          <t>Facilities Manager</t>
        </is>
      </c>
      <c r="I7" s="16" t="inlineStr">
        <is>
          <t>✅ Compliant</t>
        </is>
      </c>
      <c r="J7" s="16" t="inlineStr">
        <is>
          <t>Sample — delete before use</t>
        </is>
      </c>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J3"/>
    <mergeCell ref="A2:J2"/>
  </mergeCells>
  <dataValidations count="4">
    <dataValidation sqref="B4" showDropDown="0" showInputMessage="0" showErrorMessage="0" allowBlank="0" type="list">
      <formula1>"Yes,No,Partial"</formula1>
    </dataValidation>
    <dataValidation sqref="B7 B8 B9 B10 B11 B12 B13 B14 B15 B16 B17 B18 B19 B20 B21 B22 B23 B24 B25 B26 B27 B28 B29 B30 B31 B32 B33 B34 B35 B36 B37 B38 B39 B40 B41 B42 B43 B44 B45 B46 B47 B48 B49 B50 B51 B52 B53 B54 B55 B56" showDropDown="0" showInputMessage="0" showErrorMessage="0" allowBlank="0" type="list">
      <formula1>"External Wall,Roof,Floor,Window,External Door,Emergency Exit,Loading Dock,Other"</formula1>
    </dataValidation>
    <dataValidation sqref="D7 D8 D9 D10 D11 D12 D13 D14 D15 D16 D17 D18 D19 D20 D21 D22 D23 D24 D25 D26 D27 D28 D29 D30 D31 D32 D33 D34 D35 D36 D37 D38 D39 D40 D41 D42 D43 D44 D45 D46 D47 D48 D49 D50 D51 D52 D53 D54 D55 D56" showDropDown="0" showInputMessage="0" showErrorMessage="0" allowBlank="0" type="list">
      <formula1>"Yes,No,Partial"</formula1>
    </dataValidation>
    <dataValidation sqref="I7 I8 I9 I10 I11 I12 I13 I14 I15 I16 I17 I18 I19 I20 I21 I22 I23 I24 I25 I26 I27 I28 I29 I30 I31 I32 I33 I34 I35 I36 I37 I38 I39 I40 I41 I42 I43 I44 I45 I46 I47 I48 I49 I50 I51 I52 I53 I54 I55 I5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15" customWidth="1" min="4" max="4"/>
    <col width="18" customWidth="1" min="5" max="5"/>
    <col width="18" customWidth="1" min="6" max="6"/>
    <col width="20" customWidth="1" min="7" max="7"/>
    <col width="18" customWidth="1" min="8" max="8"/>
    <col width="35" customWidth="1" min="9" max="9"/>
  </cols>
  <sheetData>
    <row r="1" ht="35" customHeight="1">
      <c r="A1" s="11" t="inlineStr">
        <is>
          <t>INTERNAL PERIMETER ASSESSMENT
Policy Requirement: Internal zone perimeters extend floor-to-ceiling with access controls</t>
        </is>
      </c>
    </row>
    <row r="2" ht="20" customHeight="1">
      <c r="A2" s="12" t="inlineStr">
        <is>
          <t>ISO 27001:2022 | Control A.7.1 | Physical Security Perimeters</t>
        </is>
      </c>
    </row>
    <row r="3" ht="30" customHeight="1">
      <c r="A3" s="13" t="inlineStr">
        <is>
          <t>Do internal perimeters between security zones extend from floor to ceiling with appropriate access controls?</t>
        </is>
      </c>
    </row>
    <row r="4">
      <c r="A4" s="3" t="inlineStr">
        <is>
          <t>Response:</t>
        </is>
      </c>
      <c r="B4" s="14" t="n"/>
    </row>
    <row r="6">
      <c r="A6" s="15" t="inlineStr">
        <is>
          <t>From Zone</t>
        </is>
      </c>
      <c r="B6" s="15" t="inlineStr">
        <is>
          <t>To Zone</t>
        </is>
      </c>
      <c r="C6" s="15" t="inlineStr">
        <is>
          <t>Barrier Type</t>
        </is>
      </c>
      <c r="D6" s="15" t="inlineStr">
        <is>
          <t>Floor-to-Ceiling</t>
        </is>
      </c>
      <c r="E6" s="15" t="inlineStr">
        <is>
          <t>Above Ceiling Check</t>
        </is>
      </c>
      <c r="F6" s="15" t="inlineStr">
        <is>
          <t>Below Floor Check</t>
        </is>
      </c>
      <c r="G6" s="15" t="inlineStr">
        <is>
          <t>Access Control</t>
        </is>
      </c>
      <c r="H6" s="15" t="inlineStr">
        <is>
          <t>Status</t>
        </is>
      </c>
      <c r="I6" s="15" t="inlineStr">
        <is>
          <t>Notes</t>
        </is>
      </c>
    </row>
    <row r="7">
      <c r="A7" s="16" t="inlineStr">
        <is>
          <t>Public Zone</t>
        </is>
      </c>
      <c r="B7" s="16" t="inlineStr">
        <is>
          <t>Controlled Zone</t>
        </is>
      </c>
      <c r="C7" s="16" t="inlineStr">
        <is>
          <t>Solid Wall</t>
        </is>
      </c>
      <c r="D7" s="16" t="inlineStr">
        <is>
          <t>Yes</t>
        </is>
      </c>
      <c r="E7" s="16" t="inlineStr">
        <is>
          <t>Yes</t>
        </is>
      </c>
      <c r="F7" s="16" t="inlineStr">
        <is>
          <t>Yes</t>
        </is>
      </c>
      <c r="G7" s="16" t="inlineStr">
        <is>
          <t>Badge reader</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"Solid Wall,Glass Partition,Demountable Partition,Security Cage,Other"</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showDropDown="0" showInputMessage="0" showErrorMessage="0" allowBlank="0" type="list">
      <formula1>"Yes,No,N/A"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20" customWidth="1" min="3" max="3"/>
    <col width="15" customWidth="1" min="4" max="4"/>
    <col width="18" customWidth="1" min="5" max="5"/>
    <col width="20" customWidth="1" min="6" max="6"/>
    <col width="15" customWidth="1" min="7" max="7"/>
    <col width="18" customWidth="1" min="8" max="8"/>
    <col width="35" customWidth="1" min="9" max="9"/>
  </cols>
  <sheetData>
    <row r="1" ht="35" customHeight="1">
      <c r="A1" s="11" t="inlineStr">
        <is>
          <t>PERIMETER MONITORING ASSESSMENT
Policy Requirement: CCTV and intrusion detection at all perimeter entry points</t>
        </is>
      </c>
    </row>
    <row r="2" ht="20" customHeight="1">
      <c r="A2" s="12" t="inlineStr">
        <is>
          <t>ISO 27001:2022 | Control A.7.1 | Physical Security Perimeters</t>
        </is>
      </c>
    </row>
    <row r="3" ht="30" customHeight="1">
      <c r="A3" s="13" t="inlineStr">
        <is>
          <t>Is CCTV coverage and intrusion detection provided at all perimeter entry points?</t>
        </is>
      </c>
    </row>
    <row r="4">
      <c r="A4" s="3" t="inlineStr">
        <is>
          <t>Response:</t>
        </is>
      </c>
      <c r="B4" s="14" t="n"/>
    </row>
    <row r="6">
      <c r="A6" s="15" t="inlineStr">
        <is>
          <t>Entry Point ID</t>
        </is>
      </c>
      <c r="B6" s="15" t="inlineStr">
        <is>
          <t>Location</t>
        </is>
      </c>
      <c r="C6" s="15" t="inlineStr">
        <is>
          <t>Entry Type</t>
        </is>
      </c>
      <c r="D6" s="15" t="inlineStr">
        <is>
          <t>CCTV Coverage</t>
        </is>
      </c>
      <c r="E6" s="15" t="inlineStr">
        <is>
          <t>Intrusion Detection</t>
        </is>
      </c>
      <c r="F6" s="15" t="inlineStr">
        <is>
          <t>Alert Response</t>
        </is>
      </c>
      <c r="G6" s="15" t="inlineStr">
        <is>
          <t>Last Tested</t>
        </is>
      </c>
      <c r="H6" s="15" t="inlineStr">
        <is>
          <t>Status</t>
        </is>
      </c>
      <c r="I6" s="15" t="inlineStr">
        <is>
          <t>Notes</t>
        </is>
      </c>
    </row>
    <row r="7">
      <c r="A7" s="16" t="inlineStr">
        <is>
          <t>EP-001</t>
        </is>
      </c>
      <c r="B7" s="16" t="inlineStr">
        <is>
          <t>Main Entrance</t>
        </is>
      </c>
      <c r="C7" s="16" t="inlineStr">
        <is>
          <t>Main Entrance</t>
        </is>
      </c>
      <c r="D7" s="16" t="inlineStr">
        <is>
          <t>Yes</t>
        </is>
      </c>
      <c r="E7" s="16" t="inlineStr">
        <is>
          <t>Yes</t>
        </is>
      </c>
      <c r="F7" s="16" t="inlineStr">
        <is>
          <t>24/7 Security Desk</t>
        </is>
      </c>
      <c r="G7" s="16" t="inlineStr">
        <is>
          <t>01.01.2026</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"Main Entrance,Side Door,Emergency Exit,Window,Loading Dock,Roof Access,Vent/Service Point"</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showDropDown="0" showInputMessage="0" showErrorMessage="0" allowBlank="0" type="list">
      <formula1>"Yes,No,Partial"</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PERIMETER SECURITY ASSESSMENT — SUMMARY DASHBOARD</t>
        </is>
      </c>
      <c r="B1" s="23" t="n"/>
      <c r="C1" s="23" t="n"/>
      <c r="D1" s="23" t="n"/>
      <c r="E1" s="23" t="n"/>
      <c r="F1" s="23" t="n"/>
      <c r="G1" s="23" t="n"/>
    </row>
    <row r="2">
      <c r="A2" s="24" t="inlineStr">
        <is>
          <t>A.7.1 – Physical Security Perimeters: Zone, Barrier, Internal and Monitoring Compliance</t>
        </is>
      </c>
    </row>
    <row r="4">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Security Zones</t>
        </is>
      </c>
      <c r="B6" s="28">
        <f>COUNTA('Security Zones'!B8:B57)</f>
        <v/>
      </c>
      <c r="C6" s="28">
        <f>COUNTIF('Security Zones'!H8:H57,"✅*")</f>
        <v/>
      </c>
      <c r="D6" s="28">
        <f>COUNTIF('Security Zones'!H8:H57,"⚠*")</f>
        <v/>
      </c>
      <c r="E6" s="28">
        <f>COUNTIF('Security Zones'!H8:H57,"❌*")</f>
        <v/>
      </c>
      <c r="F6" s="28">
        <f>COUNTIF('Security Zones'!H8:H57,"N/A")</f>
        <v/>
      </c>
      <c r="G6" s="29">
        <f>IF((B6-F6)=0,0,C6/(B6-F6))</f>
        <v/>
      </c>
    </row>
    <row r="7">
      <c r="A7" s="27" t="inlineStr">
        <is>
          <t>Building Perimeter</t>
        </is>
      </c>
      <c r="B7" s="28">
        <f>COUNTA('Building Perimeter'!A8:A57)</f>
        <v/>
      </c>
      <c r="C7" s="28">
        <f>COUNTIF('Building Perimeter'!I8:I57,"✅*")</f>
        <v/>
      </c>
      <c r="D7" s="28">
        <f>COUNTIF('Building Perimeter'!I8:I57,"⚠*")</f>
        <v/>
      </c>
      <c r="E7" s="28">
        <f>COUNTIF('Building Perimeter'!I8:I57,"❌*")</f>
        <v/>
      </c>
      <c r="F7" s="28">
        <f>COUNTIF('Building Perimeter'!I8:I57,"N/A")</f>
        <v/>
      </c>
      <c r="G7" s="29">
        <f>IF((B7-F7)=0,0,C7/(B7-F7))</f>
        <v/>
      </c>
    </row>
    <row r="8">
      <c r="A8" s="27" t="inlineStr">
        <is>
          <t>Internal Perimeters</t>
        </is>
      </c>
      <c r="B8" s="28">
        <f>COUNTA('Internal Perimeters'!A8:A57)</f>
        <v/>
      </c>
      <c r="C8" s="28">
        <f>COUNTIF('Internal Perimeters'!H8:H57,"✅*")</f>
        <v/>
      </c>
      <c r="D8" s="28">
        <f>COUNTIF('Internal Perimeters'!H8:H57,"⚠*")</f>
        <v/>
      </c>
      <c r="E8" s="28">
        <f>COUNTIF('Internal Perimeters'!H8:H57,"❌*")</f>
        <v/>
      </c>
      <c r="F8" s="28">
        <f>COUNTIF('Internal Perimeters'!H8:H57,"N/A")</f>
        <v/>
      </c>
      <c r="G8" s="29">
        <f>IF((B8-F8)=0,0,C8/(B8-F8))</f>
        <v/>
      </c>
    </row>
    <row r="9">
      <c r="A9" s="27" t="inlineStr">
        <is>
          <t>Perimeter Monitoring</t>
        </is>
      </c>
      <c r="B9" s="28">
        <f>COUNTA('Perimeter Monitoring'!A8:A57)</f>
        <v/>
      </c>
      <c r="C9" s="28">
        <f>COUNTIF('Perimeter Monitoring'!H8:H57,"✅*")</f>
        <v/>
      </c>
      <c r="D9" s="28">
        <f>COUNTIF('Perimeter Monitoring'!H8:H57,"⚠*")</f>
        <v/>
      </c>
      <c r="E9" s="28">
        <f>COUNTIF('Perimeter Monitoring'!H8:H57,"❌*")</f>
        <v/>
      </c>
      <c r="F9" s="28">
        <f>COUNTIF('Perimeter Monitoring'!H8:H57,"N/A")</f>
        <v/>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PERFORMANCE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Security Zones Assessed</t>
        </is>
      </c>
      <c r="B14" s="28">
        <f>COUNTA('Security Zones'!B8:B57)</f>
        <v/>
      </c>
      <c r="C14" s="23" t="n"/>
      <c r="D14" s="23" t="n"/>
      <c r="E14" s="23" t="n"/>
      <c r="F14" s="23" t="n"/>
      <c r="G14" s="23" t="n"/>
    </row>
    <row r="15">
      <c r="A15" s="27" t="inlineStr">
        <is>
          <t>High-Security Zones</t>
        </is>
      </c>
      <c r="B15" s="28">
        <f>COUNTIF('Security Zones'!C8:C57,"High-Security Zone")</f>
        <v/>
      </c>
      <c r="C15" s="23" t="n"/>
      <c r="D15" s="23" t="n"/>
      <c r="E15" s="23" t="n"/>
      <c r="F15" s="23" t="n"/>
      <c r="G15" s="23" t="n"/>
    </row>
    <row r="16">
      <c r="A16" s="27" t="inlineStr">
        <is>
          <t>Critical Classification Zones (Tier 1)</t>
        </is>
      </c>
      <c r="B16" s="28">
        <f>COUNTIF('Security Zones'!E8:E57,"Tier 1 - Critical")</f>
        <v/>
      </c>
      <c r="C16" s="23" t="n"/>
      <c r="D16" s="23" t="n"/>
      <c r="E16" s="23" t="n"/>
      <c r="F16" s="23" t="n"/>
      <c r="G16" s="23" t="n"/>
    </row>
    <row r="17">
      <c r="A17" s="27" t="inlineStr">
        <is>
          <t>Zones with Perimeter Defined</t>
        </is>
      </c>
      <c r="B17" s="28">
        <f>COUNTIF('Security Zones'!G8:G57,"Yes")</f>
        <v/>
      </c>
      <c r="C17" s="23" t="n"/>
      <c r="D17" s="23" t="n"/>
      <c r="E17" s="23" t="n"/>
      <c r="F17" s="23" t="n"/>
      <c r="G17" s="23" t="n"/>
    </row>
    <row r="18">
      <c r="A18" s="27" t="inlineStr">
        <is>
          <t>Building Elements — Solid Construction</t>
        </is>
      </c>
      <c r="B18" s="28">
        <f>COUNTIF('Building Perimeter'!D8:D57,"Yes")</f>
        <v/>
      </c>
      <c r="C18" s="23" t="n"/>
      <c r="D18" s="23" t="n"/>
      <c r="E18" s="23" t="n"/>
      <c r="F18" s="23" t="n"/>
      <c r="G18" s="23" t="n"/>
    </row>
    <row r="19">
      <c r="A19" s="27" t="inlineStr">
        <is>
          <t>Total Building Perimeter Elements</t>
        </is>
      </c>
      <c r="B19" s="28">
        <f>COUNTA('Building Perimeter'!A8:A57)</f>
        <v/>
      </c>
      <c r="C19" s="23" t="n"/>
      <c r="D19" s="23" t="n"/>
      <c r="E19" s="23" t="n"/>
      <c r="F19" s="23" t="n"/>
      <c r="G19" s="23" t="n"/>
    </row>
    <row r="20">
      <c r="A20" s="23" t="n"/>
      <c r="B20" s="23" t="n"/>
      <c r="C20" s="23" t="n"/>
      <c r="D20" s="23" t="n"/>
      <c r="E20" s="23" t="n"/>
      <c r="F20" s="23" t="n"/>
      <c r="G20" s="23" t="n"/>
    </row>
    <row r="21">
      <c r="A21" s="23" t="n"/>
      <c r="B21" s="23" t="n"/>
      <c r="C21" s="23" t="n"/>
      <c r="D21" s="23" t="n"/>
      <c r="E21" s="23" t="n"/>
      <c r="F21" s="23" t="n"/>
      <c r="G21" s="23" t="n"/>
    </row>
    <row r="23">
      <c r="A23" s="33" t="inlineStr">
        <is>
          <t>TABLE 3: KEY FINDINGS &amp; RISK INDICATORS</t>
        </is>
      </c>
      <c r="B23" s="23" t="n"/>
      <c r="C23" s="23" t="n"/>
      <c r="D23" s="23" t="n"/>
      <c r="E23" s="23" t="n"/>
      <c r="F23" s="23" t="n"/>
      <c r="G23" s="23" t="n"/>
    </row>
    <row r="24">
      <c r="A24" s="31" t="inlineStr">
        <is>
          <t>Category</t>
        </is>
      </c>
      <c r="B24" s="31" t="inlineStr">
        <is>
          <t>Finding</t>
        </is>
      </c>
      <c r="C24" s="31" t="inlineStr">
        <is>
          <t>Count</t>
        </is>
      </c>
      <c r="D24" s="31" t="inlineStr">
        <is>
          <t>Severity</t>
        </is>
      </c>
      <c r="E24" s="31" t="inlineStr">
        <is>
          <t>Action Required</t>
        </is>
      </c>
      <c r="F24" s="31" t="n"/>
      <c r="G24" s="31" t="n"/>
    </row>
    <row r="25">
      <c r="A25" s="34" t="inlineStr">
        <is>
          <t>Security Zones</t>
        </is>
      </c>
      <c r="B25" s="34" t="inlineStr">
        <is>
          <t>Non-compliant security zones</t>
        </is>
      </c>
      <c r="C25" s="35">
        <f>COUNTIF('Security Zones'!H8:H57,"❌*")</f>
        <v/>
      </c>
      <c r="D25" s="34" t="inlineStr">
        <is>
          <t>Critical</t>
        </is>
      </c>
      <c r="E25" s="34" t="inlineStr">
        <is>
          <t>Immediate</t>
        </is>
      </c>
      <c r="F25" s="34" t="n"/>
      <c r="G25" s="34" t="n"/>
    </row>
    <row r="26">
      <c r="A26" s="34" t="inlineStr">
        <is>
          <t>Building Perimeter</t>
        </is>
      </c>
      <c r="B26" s="34" t="inlineStr">
        <is>
          <t>Non-compliant perimeter elements</t>
        </is>
      </c>
      <c r="C26" s="35">
        <f>COUNTIF('Building Perimeter'!I8:I57,"❌*")</f>
        <v/>
      </c>
      <c r="D26" s="34" t="inlineStr">
        <is>
          <t>Critical</t>
        </is>
      </c>
      <c r="E26" s="34" t="inlineStr">
        <is>
          <t>Immediate</t>
        </is>
      </c>
      <c r="F26" s="34" t="n"/>
      <c r="G26" s="34" t="n"/>
    </row>
    <row r="27">
      <c r="A27" s="34" t="inlineStr">
        <is>
          <t>Internal Perimeters</t>
        </is>
      </c>
      <c r="B27" s="34" t="inlineStr">
        <is>
          <t>Non-compliant internal perimeters</t>
        </is>
      </c>
      <c r="C27" s="35">
        <f>COUNTIF('Internal Perimeters'!H8:H57,"❌*")</f>
        <v/>
      </c>
      <c r="D27" s="34" t="inlineStr">
        <is>
          <t>Critical</t>
        </is>
      </c>
      <c r="E27" s="34" t="inlineStr">
        <is>
          <t>Immediate</t>
        </is>
      </c>
      <c r="F27" s="34" t="n"/>
      <c r="G27" s="34" t="n"/>
    </row>
    <row r="28">
      <c r="A28" s="34" t="inlineStr">
        <is>
          <t>Perimeter Monitoring</t>
        </is>
      </c>
      <c r="B28" s="34" t="inlineStr">
        <is>
          <t>Non-compliant monitoring points</t>
        </is>
      </c>
      <c r="C28" s="35">
        <f>COUNTIF('Perimeter Monitoring'!H8:H57,"❌*")</f>
        <v/>
      </c>
      <c r="D28" s="34" t="inlineStr">
        <is>
          <t>High</t>
        </is>
      </c>
      <c r="E28" s="34" t="inlineStr">
        <is>
          <t>Urgent</t>
        </is>
      </c>
      <c r="F28" s="34" t="n"/>
      <c r="G28" s="34" t="n"/>
    </row>
    <row r="29">
      <c r="A29" s="36" t="n"/>
      <c r="B29" s="36" t="n"/>
      <c r="C29" s="36" t="n"/>
      <c r="D29" s="36" t="n"/>
      <c r="E29" s="36" t="n"/>
      <c r="F29" s="36" t="n"/>
      <c r="G29" s="36" t="n"/>
    </row>
    <row r="30">
      <c r="A30" s="36" t="n"/>
      <c r="B30" s="36" t="n"/>
      <c r="C30" s="36" t="n"/>
      <c r="D30" s="36" t="n"/>
      <c r="E30" s="36" t="n"/>
      <c r="F30" s="36" t="n"/>
      <c r="G30" s="36" t="n"/>
    </row>
  </sheetData>
  <mergeCells count="5">
    <mergeCell ref="A1:G1"/>
    <mergeCell ref="A12:G12"/>
    <mergeCell ref="A4:G4"/>
    <mergeCell ref="A2:G2"/>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A.7.1: Physical Security Perimeters</t>
        </is>
      </c>
      <c r="B2" s="6" t="n"/>
      <c r="C2" s="6" t="n"/>
      <c r="D2" s="6" t="n"/>
      <c r="E2" s="6" t="n"/>
    </row>
    <row r="3">
      <c r="A3" s="39" t="inlineStr">
        <is>
          <t>ASSESSMENT SUMMARY</t>
        </is>
      </c>
      <c r="B3" s="6" t="n"/>
      <c r="C3" s="6" t="n"/>
      <c r="D3" s="6" t="n"/>
      <c r="E3" s="6" t="n"/>
    </row>
    <row r="4">
      <c r="A4" s="3" t="inlineStr">
        <is>
          <t>Document:</t>
        </is>
      </c>
      <c r="B4" s="6" t="inlineStr">
        <is>
          <t>ISMS-IMP-A.7.1.1 - Perimeter Security Assessment</t>
        </is>
      </c>
      <c r="C4" s="6" t="n"/>
      <c r="D4" s="6" t="n"/>
      <c r="E4" s="6" t="n"/>
    </row>
    <row r="5">
      <c r="A5" s="3" t="inlineStr">
        <is>
          <t>Assessment Period:</t>
        </is>
      </c>
      <c r="B5" s="14" t="inlineStr"/>
      <c r="C5" s="6" t="n"/>
      <c r="D5" s="6" t="n"/>
      <c r="E5" s="6" t="n"/>
    </row>
    <row r="6">
      <c r="A6" s="3" t="inlineStr">
        <is>
          <t>Overall Compliance Rating:</t>
        </is>
      </c>
      <c r="B6" s="40">
        <f>IFERROR(AVERAGE('Summary Dashboard'!G6:G9),"")</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9"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9"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41"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9"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ISMS-IMP-A.7.1.1 — Perimeter Security Assessment</dc:title>
  <dc:description xmlns:dc="http://purl.org/dc/elements/1.1/">ISMS Implementation Workbook — ISMS-IMP-A.7.1.1</dc:description>
  <dc:subject xmlns:dc="http://purl.org/dc/elements/1.1/">ISO/IEC 27001:2022 — Control A.7.1: Physical Security Perimeters</dc:subject>
  <dcterms:created xmlns:dcterms="http://purl.org/dc/terms/" xmlns:xsi="http://www.w3.org/2001/XMLSchema-instance" xsi:type="dcterms:W3CDTF">2026-03-07T11:27:53Z</dcterms:created>
  <dcterms:modified xmlns:dcterms="http://purl.org/dc/terms/" xmlns:xsi="http://www.w3.org/2001/XMLSchema-instance" xsi:type="dcterms:W3CDTF">2026-03-07T11:27:53Z</dcterms:modified>
</cp:coreProperties>
</file>