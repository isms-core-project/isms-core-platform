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ffice Security" sheetId="2" state="visible" r:id="rId2"/>
    <sheet xmlns:r="http://schemas.openxmlformats.org/officeDocument/2006/relationships" name="Server Rooms" sheetId="3" state="visible" r:id="rId3"/>
    <sheet xmlns:r="http://schemas.openxmlformats.org/officeDocument/2006/relationships" name="Meeting Rooms" sheetId="4" state="visible" r:id="rId4"/>
    <sheet xmlns:r="http://schemas.openxmlformats.org/officeDocument/2006/relationships" name="Shared Facilitie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ISMS-IMP-A.7.1.3  -  Secure Areas Assessment
ISO/IEC 27001:2022 - Control A.7.3: Securing Offices, Rooms and Facilities</t>
        </is>
      </c>
    </row>
    <row r="3">
      <c r="A3" s="2" t="inlineStr">
        <is>
          <t>Document Information</t>
        </is>
      </c>
    </row>
    <row r="4">
      <c r="A4" s="3" t="inlineStr">
        <is>
          <t>Document ID</t>
        </is>
      </c>
      <c r="B4" t="inlineStr">
        <is>
          <t>ISMS-IMP-A.7.1.3</t>
        </is>
      </c>
    </row>
    <row r="5">
      <c r="A5" s="3" t="inlineStr">
        <is>
          <t>Workbook Title</t>
        </is>
      </c>
      <c r="B5" t="inlineStr">
        <is>
          <t>Secure Areas Assessment</t>
        </is>
      </c>
    </row>
    <row r="6">
      <c r="A6" s="3" t="inlineStr">
        <is>
          <t>Control Reference</t>
        </is>
      </c>
      <c r="B6" t="inlineStr">
        <is>
          <t>ISO/IEC 27001:2022 - Control A.7.3: Securing Offices, Rooms and Facilities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secure areas.</t>
        </is>
      </c>
    </row>
    <row r="14">
      <c r="A14" t="inlineStr">
        <is>
          <t>2. Document all offices handling sensitive information.</t>
        </is>
      </c>
    </row>
    <row r="15">
      <c r="A15" t="inlineStr">
        <is>
          <t>3. Assess server rooms and datacenters against requirements.</t>
        </is>
      </c>
    </row>
    <row r="16">
      <c r="A16" t="inlineStr">
        <is>
          <t>4. Review meeting room security procedures.</t>
        </is>
      </c>
    </row>
    <row r="17">
      <c r="A17" t="inlineStr">
        <is>
          <t>5. Evaluate shared facility security arrangements.</t>
        </is>
      </c>
    </row>
    <row r="18">
      <c r="A18" t="inlineStr">
        <is>
          <t>6. Use dropdown menus for standardised status entries.</t>
        </is>
      </c>
    </row>
    <row r="19">
      <c r="A19" t="inlineStr">
        <is>
          <t>7. Fill in yellow-highlighted cells with your facility information.</t>
        </is>
      </c>
    </row>
    <row r="20">
      <c r="A20" t="inlineStr">
        <is>
          <t>8. Summary Dashboard auto-calculates compliance metrics.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8" customWidth="1" min="5" max="5"/>
    <col width="18" customWidth="1" min="6" max="6"/>
    <col width="15" customWidth="1" min="7" max="7"/>
    <col width="15" customWidth="1" min="8" max="8"/>
    <col width="18" customWidth="1" min="9" max="9"/>
    <col width="35" customWidth="1" min="10" max="10"/>
  </cols>
  <sheetData>
    <row r="1" ht="35" customHeight="1">
      <c r="A1" s="11" t="inlineStr">
        <is>
          <t>OFFICE SECURITY ASSESSMENT
Policy Requirement: Offices locked when unoccupied, clean desk enforced, screens protected</t>
        </is>
      </c>
    </row>
    <row r="2" ht="20" customHeight="1">
      <c r="A2" s="12" t="inlineStr">
        <is>
          <t>ISO 27001:2022 | Control A.7.3 | Secure Areas</t>
        </is>
      </c>
    </row>
    <row r="3" ht="30" customHeight="1">
      <c r="A3" s="13" t="inlineStr">
        <is>
          <t>Are office security controls implemented including locking, clean desk policy, and screen privacy?</t>
        </is>
      </c>
    </row>
    <row r="4">
      <c r="A4" s="3" t="inlineStr">
        <is>
          <t>Response:</t>
        </is>
      </c>
      <c r="B4" s="14" t="n"/>
    </row>
    <row r="6">
      <c r="A6" s="15" t="inlineStr">
        <is>
          <t>Office/Area ID</t>
        </is>
      </c>
      <c r="B6" s="15" t="inlineStr">
        <is>
          <t>Location</t>
        </is>
      </c>
      <c r="C6" s="15" t="inlineStr">
        <is>
          <t>Security Zone</t>
        </is>
      </c>
      <c r="D6" s="15" t="inlineStr">
        <is>
          <t>Classification</t>
        </is>
      </c>
      <c r="E6" s="15" t="inlineStr">
        <is>
          <t>Lock When Unoccupied</t>
        </is>
      </c>
      <c r="F6" s="15" t="inlineStr">
        <is>
          <t>Clean Desk Enforced</t>
        </is>
      </c>
      <c r="G6" s="15" t="inlineStr">
        <is>
          <t>Screen Privacy</t>
        </is>
      </c>
      <c r="H6" s="15" t="inlineStr">
        <is>
          <t>Secure Storage</t>
        </is>
      </c>
      <c r="I6" s="15" t="inlineStr">
        <is>
          <t>Status</t>
        </is>
      </c>
      <c r="J6" s="15" t="inlineStr">
        <is>
          <t>Notes</t>
        </is>
      </c>
    </row>
    <row r="7">
      <c r="A7" s="16" t="inlineStr">
        <is>
          <t>OFC-001</t>
        </is>
      </c>
      <c r="B7" s="16" t="inlineStr">
        <is>
          <t>Finance Department</t>
        </is>
      </c>
      <c r="C7" s="16" t="inlineStr">
        <is>
          <t>Controlled Zone</t>
        </is>
      </c>
      <c r="D7" s="16" t="inlineStr">
        <is>
          <t>Confidential</t>
        </is>
      </c>
      <c r="E7" s="16" t="inlineStr">
        <is>
          <t>Yes</t>
        </is>
      </c>
      <c r="F7" s="16" t="inlineStr">
        <is>
          <t>Yes</t>
        </is>
      </c>
      <c r="G7" s="16" t="inlineStr">
        <is>
          <t>Yes</t>
        </is>
      </c>
      <c r="H7" s="16" t="inlineStr">
        <is>
          <t>Yes</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5">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"Public,Internal,Confidential,Highly Confidential"</formula1>
    </dataValidation>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showDropDown="0" showInputMessage="0" showErrorMessage="0" allowBlank="0" type="list">
      <formula1>"Yes,No,Partial,N/A"</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2" customWidth="1" min="5" max="5"/>
    <col width="15" customWidth="1" min="6" max="6"/>
    <col width="15" customWidth="1" min="7" max="7"/>
    <col width="15" customWidth="1" min="8" max="8"/>
    <col width="15" customWidth="1" min="9" max="9"/>
    <col width="18" customWidth="1" min="10" max="10"/>
    <col width="35" customWidth="1" min="11" max="11"/>
  </cols>
  <sheetData>
    <row r="1" ht="35" customHeight="1">
      <c r="A1" s="11" t="inlineStr">
        <is>
          <t>SERVER ROOMS AND DATACENTERS
Policy Requirement: MFA access, no windows, reinforced construction, environmental monitoring</t>
        </is>
      </c>
    </row>
    <row r="2" ht="20" customHeight="1">
      <c r="A2" s="12" t="inlineStr">
        <is>
          <t>ISO 27001:2022 | Control A.7.3 | Secure Areas</t>
        </is>
      </c>
    </row>
    <row r="3" ht="30" customHeight="1">
      <c r="A3" s="13" t="inlineStr">
        <is>
          <t>Are server rooms and datacenters secured with multi-factor access, CCTV, and environmental controls?</t>
        </is>
      </c>
    </row>
    <row r="4">
      <c r="A4" s="3" t="inlineStr">
        <is>
          <t>Response:</t>
        </is>
      </c>
      <c r="B4" s="14" t="n"/>
    </row>
    <row r="6">
      <c r="A6" s="15" t="inlineStr">
        <is>
          <t>Room ID</t>
        </is>
      </c>
      <c r="B6" s="15" t="inlineStr">
        <is>
          <t>Location</t>
        </is>
      </c>
      <c r="C6" s="15" t="inlineStr">
        <is>
          <t>Room Type</t>
        </is>
      </c>
      <c r="D6" s="15" t="inlineStr">
        <is>
          <t>MFA Access</t>
        </is>
      </c>
      <c r="E6" s="15" t="inlineStr">
        <is>
          <t>No Windows</t>
        </is>
      </c>
      <c r="F6" s="15" t="inlineStr">
        <is>
          <t>Reinforced Walls</t>
        </is>
      </c>
      <c r="G6" s="15" t="inlineStr">
        <is>
          <t>CCTV Coverage</t>
        </is>
      </c>
      <c r="H6" s="15" t="inlineStr">
        <is>
          <t>Access Logging</t>
        </is>
      </c>
      <c r="I6" s="15" t="inlineStr">
        <is>
          <t>Env. Monitoring</t>
        </is>
      </c>
      <c r="J6" s="15" t="inlineStr">
        <is>
          <t>Status</t>
        </is>
      </c>
      <c r="K6" s="15" t="inlineStr">
        <is>
          <t>Notes</t>
        </is>
      </c>
    </row>
    <row r="7">
      <c r="A7" s="16" t="inlineStr">
        <is>
          <t>SR-001</t>
        </is>
      </c>
      <c r="B7" s="16" t="inlineStr">
        <is>
          <t>Building B Basement</t>
        </is>
      </c>
      <c r="C7" s="16" t="inlineStr">
        <is>
          <t>Server Room</t>
        </is>
      </c>
      <c r="D7" s="16" t="inlineStr">
        <is>
          <t>Yes</t>
        </is>
      </c>
      <c r="E7" s="16" t="inlineStr">
        <is>
          <t>Yes</t>
        </is>
      </c>
      <c r="F7" s="16" t="inlineStr">
        <is>
          <t>Yes</t>
        </is>
      </c>
      <c r="G7" s="16" t="inlineStr">
        <is>
          <t>Yes</t>
        </is>
      </c>
      <c r="H7" s="16" t="inlineStr">
        <is>
          <t>Yes</t>
        </is>
      </c>
      <c r="I7" s="16" t="inlineStr">
        <is>
          <t>Yes</t>
        </is>
      </c>
      <c r="J7" s="16" t="inlineStr">
        <is>
          <t>✅ Compliant</t>
        </is>
      </c>
      <c r="K7" s="16" t="inlineStr">
        <is>
          <t>Sample — delete before use</t>
        </is>
      </c>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sheetData>
  <mergeCells count="3">
    <mergeCell ref="A2:K2"/>
    <mergeCell ref="A1:K1"/>
    <mergeCell ref="A3:K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"Server Room,Datacenter,Network Closet,Comms Room,UPS Room,Generator Room"</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I7 I8 I9 I10 I11 I12 I13 I14 I15 I16 I17 I18 I19 I20 I21 I22 I23 I24 I25 I26 I27 I28 I29 I30 I31 I32 I33 I34 I35 I36 I37 I38 I39 I40 I41 I42 I43 I44 I45 I46 I47 I48 I49 I50 I51 I52 I53 I54 I55 I56" showDropDown="0" showInputMessage="0" showErrorMessage="0" allowBlank="0" type="list">
      <formula1>"Yes,No,Partial,N/A"</formula1>
    </dataValidation>
    <dataValidation sqref="J7 J8 J9 J10 J11 J12 J13 J14 J15 J16 J17 J18 J19 J20 J21 J22 J23 J24 J25 J26 J27 J28 J29 J30 J31 J32 J33 J34 J35 J36 J37 J38 J39 J40 J41 J42 J43 J44 J45 J46 J47 J48 J49 J50 J51 J52 J53 J54 J55 J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20" customWidth="1" min="3" max="3"/>
    <col width="15" customWidth="1" min="4" max="4"/>
    <col width="15" customWidth="1" min="5" max="5"/>
    <col width="15" customWidth="1" min="6" max="6"/>
    <col width="18" customWidth="1" min="7" max="7"/>
    <col width="18" customWidth="1" min="8" max="8"/>
    <col width="35" customWidth="1" min="9" max="9"/>
  </cols>
  <sheetData>
    <row r="1" ht="35" customHeight="1">
      <c r="A1" s="11" t="inlineStr">
        <is>
          <t>MEETING ROOM SECURITY
Policy Requirement: Recording device checks, whiteboard clearing, equipment security</t>
        </is>
      </c>
    </row>
    <row r="2" ht="20" customHeight="1">
      <c r="A2" s="12" t="inlineStr">
        <is>
          <t>ISO 27001:2022 | Control A.7.3 | Secure Areas</t>
        </is>
      </c>
    </row>
    <row r="3" ht="30" customHeight="1">
      <c r="A3" s="13" t="inlineStr">
        <is>
          <t>Are meeting room security procedures implemented for sensitive discussions?</t>
        </is>
      </c>
    </row>
    <row r="4">
      <c r="A4" s="3" t="inlineStr">
        <is>
          <t>Response:</t>
        </is>
      </c>
      <c r="B4" s="14" t="n"/>
    </row>
    <row r="6">
      <c r="A6" s="15" t="inlineStr">
        <is>
          <t>Room ID</t>
        </is>
      </c>
      <c r="B6" s="15" t="inlineStr">
        <is>
          <t>Location</t>
        </is>
      </c>
      <c r="C6" s="15" t="inlineStr">
        <is>
          <t>Room Classification</t>
        </is>
      </c>
      <c r="D6" s="15" t="inlineStr">
        <is>
          <t>Recording Check</t>
        </is>
      </c>
      <c r="E6" s="15" t="inlineStr">
        <is>
          <t>Whiteboard Clear</t>
        </is>
      </c>
      <c r="F6" s="15" t="inlineStr">
        <is>
          <t>Document Clear</t>
        </is>
      </c>
      <c r="G6" s="15" t="inlineStr">
        <is>
          <t>VC Equipment Secured</t>
        </is>
      </c>
      <c r="H6" s="15" t="inlineStr">
        <is>
          <t>Status</t>
        </is>
      </c>
      <c r="I6" s="15" t="inlineStr">
        <is>
          <t>Notes</t>
        </is>
      </c>
    </row>
    <row r="7">
      <c r="A7" s="16" t="inlineStr">
        <is>
          <t>MR-001</t>
        </is>
      </c>
      <c r="B7" s="16" t="inlineStr">
        <is>
          <t>Level 5 Conference Room</t>
        </is>
      </c>
      <c r="C7" s="16" t="inlineStr">
        <is>
          <t>Boardroom</t>
        </is>
      </c>
      <c r="D7" s="16" t="inlineStr">
        <is>
          <t>Yes</t>
        </is>
      </c>
      <c r="E7" s="16" t="inlineStr">
        <is>
          <t>Yes</t>
        </is>
      </c>
      <c r="F7" s="16" t="inlineStr">
        <is>
          <t>Yes</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"Standard Meeting Room,Boardroom,Secure Meeting Room,Interview Room"</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5" customWidth="1" min="3" max="3"/>
    <col width="18" customWidth="1" min="4" max="4"/>
    <col width="20" customWidth="1" min="5" max="5"/>
    <col width="20" customWidth="1" min="6" max="6"/>
    <col width="18" customWidth="1" min="7" max="7"/>
    <col width="18" customWidth="1" min="8" max="8"/>
    <col width="35" customWidth="1" min="9" max="9"/>
  </cols>
  <sheetData>
    <row r="1" ht="35" customHeight="1">
      <c r="A1" s="11" t="inlineStr">
        <is>
          <t>SHARED FACILITY SECURITY
Policy Requirement: Clear perimeter definition, building management access control</t>
        </is>
      </c>
    </row>
    <row r="2" ht="20" customHeight="1">
      <c r="A2" s="12" t="inlineStr">
        <is>
          <t>ISO 27001:2022 | Control A.7.3 | Secure Areas</t>
        </is>
      </c>
    </row>
    <row r="3" ht="30" customHeight="1">
      <c r="A3" s="13" t="inlineStr">
        <is>
          <t>For shared buildings, is the organisation's perimeter clearly defined with controlled access?</t>
        </is>
      </c>
    </row>
    <row r="4">
      <c r="A4" s="3" t="inlineStr">
        <is>
          <t>Response:</t>
        </is>
      </c>
      <c r="B4" s="14" t="n"/>
    </row>
    <row r="6">
      <c r="A6" s="15" t="inlineStr">
        <is>
          <t>Facility/Building</t>
        </is>
      </c>
      <c r="B6" s="15" t="inlineStr">
        <is>
          <t>Sharing Arrangement</t>
        </is>
      </c>
      <c r="C6" s="15" t="inlineStr">
        <is>
          <t>Perimeter Defined</t>
        </is>
      </c>
      <c r="D6" s="15" t="inlineStr">
        <is>
          <t>Own Access Control</t>
        </is>
      </c>
      <c r="E6" s="15" t="inlineStr">
        <is>
          <t>Building Mgmt Access</t>
        </is>
      </c>
      <c r="F6" s="15" t="inlineStr">
        <is>
          <t>Shared Infrastructure</t>
        </is>
      </c>
      <c r="G6" s="15" t="inlineStr">
        <is>
          <t>Key Management</t>
        </is>
      </c>
      <c r="H6" s="15" t="inlineStr">
        <is>
          <t>Status</t>
        </is>
      </c>
      <c r="I6" s="15" t="inlineStr">
        <is>
          <t>Notes</t>
        </is>
      </c>
    </row>
    <row r="7">
      <c r="A7" s="16" t="inlineStr">
        <is>
          <t>100 Main Street</t>
        </is>
      </c>
      <c r="B7" s="16" t="inlineStr">
        <is>
          <t>Multi-tenant building</t>
        </is>
      </c>
      <c r="C7" s="16" t="inlineStr">
        <is>
          <t>Yes</t>
        </is>
      </c>
      <c r="D7" s="16" t="inlineStr">
        <is>
          <t>Yes</t>
        </is>
      </c>
      <c r="E7" s="16" t="inlineStr">
        <is>
          <t>Restricted to lobby</t>
        </is>
      </c>
      <c r="F7" s="16" t="inlineStr">
        <is>
          <t>Network segregated</t>
        </is>
      </c>
      <c r="G7" s="16" t="inlineStr">
        <is>
          <t>Electronic fob system</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5">
    <dataValidation sqref="B4" showDropDown="0" showInputMessage="0" showErrorMessage="0" allowBlank="0" type="list">
      <formula1>"Yes,No,Partial,N/A - Sole Occupant"</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"Multi-Tenant Building,Co-Working Space,Shared Floor,Colocation Facility,Sole Occupant"</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"Yes,No,Partial,N/A"</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"Controlled and Logged,Controlled Only,Uncontrolled,N/A"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plan,Photograph,Access log,Configuration screenshot,Inspection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SECURE AREAS ASSESSMENT — SUMMARY DASHBOARD</t>
        </is>
      </c>
      <c r="B1" s="23" t="n"/>
      <c r="C1" s="23" t="n"/>
      <c r="D1" s="23" t="n"/>
      <c r="E1" s="23" t="n"/>
      <c r="F1" s="23" t="n"/>
      <c r="G1" s="23" t="n"/>
    </row>
    <row r="2">
      <c r="A2" s="24" t="inlineStr">
        <is>
          <t>A.7.3 – Securing Offices, Rooms and Facilities: Office, Server Room, Meeting Room and Shared Facility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Office Security</t>
        </is>
      </c>
      <c r="B6" s="28">
        <f>COUNTA('Office Security'!A8:A57)</f>
        <v/>
      </c>
      <c r="C6" s="28">
        <f>COUNTIF('Office Security'!I8:I57,"✅*")</f>
        <v/>
      </c>
      <c r="D6" s="28">
        <f>COUNTIF('Office Security'!I8:I57,"⚠*")</f>
        <v/>
      </c>
      <c r="E6" s="28">
        <f>COUNTIF('Office Security'!I8:I57,"❌*")</f>
        <v/>
      </c>
      <c r="F6" s="28">
        <f>COUNTIF('Office Security'!I8:I57,"N/A")</f>
        <v/>
      </c>
      <c r="G6" s="29">
        <f>IF((B6-F6)=0,0,C6/(B6-F6))</f>
        <v/>
      </c>
    </row>
    <row r="7">
      <c r="A7" s="27" t="inlineStr">
        <is>
          <t>Server Rooms</t>
        </is>
      </c>
      <c r="B7" s="28">
        <f>COUNTA('Server Rooms'!A8:A57)</f>
        <v/>
      </c>
      <c r="C7" s="28">
        <f>COUNTIF('Server Rooms'!J8:J57,"✅*")</f>
        <v/>
      </c>
      <c r="D7" s="28">
        <f>COUNTIF('Server Rooms'!J8:J57,"⚠*")</f>
        <v/>
      </c>
      <c r="E7" s="28">
        <f>COUNTIF('Server Rooms'!J8:J57,"❌*")</f>
        <v/>
      </c>
      <c r="F7" s="28">
        <f>COUNTIF('Server Rooms'!J8:J57,"N/A")</f>
        <v/>
      </c>
      <c r="G7" s="29">
        <f>IF((B7-F7)=0,0,C7/(B7-F7))</f>
        <v/>
      </c>
    </row>
    <row r="8">
      <c r="A8" s="27" t="inlineStr">
        <is>
          <t>Meeting Rooms</t>
        </is>
      </c>
      <c r="B8" s="28">
        <f>COUNTA('Meeting Rooms'!A8:A57)</f>
        <v/>
      </c>
      <c r="C8" s="28">
        <f>COUNTIF('Meeting Rooms'!H8:H57,"✅*")</f>
        <v/>
      </c>
      <c r="D8" s="28">
        <f>COUNTIF('Meeting Rooms'!H8:H57,"⚠*")</f>
        <v/>
      </c>
      <c r="E8" s="28">
        <f>COUNTIF('Meeting Rooms'!H8:H57,"❌*")</f>
        <v/>
      </c>
      <c r="F8" s="28">
        <f>COUNTIF('Meeting Rooms'!H8:H57,"N/A")</f>
        <v/>
      </c>
      <c r="G8" s="29">
        <f>IF((B8-F8)=0,0,C8/(B8-F8))</f>
        <v/>
      </c>
    </row>
    <row r="9">
      <c r="A9" s="27" t="inlineStr">
        <is>
          <t>Shared Facilities</t>
        </is>
      </c>
      <c r="B9" s="28">
        <f>COUNTA('Shared Facilities'!A8:A57)</f>
        <v/>
      </c>
      <c r="C9" s="28">
        <f>COUNTIF('Shared Facilities'!H8:H57,"✅*")</f>
        <v/>
      </c>
      <c r="D9" s="28">
        <f>COUNTIF('Shared Facilities'!H8:H57,"⚠*")</f>
        <v/>
      </c>
      <c r="E9" s="28">
        <f>COUNTIF('Shared Facilities'!H8:H57,"❌*")</f>
        <v/>
      </c>
      <c r="F9" s="28">
        <f>COUNTIF('Shared Facilities'!H8:H57,"N/A")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Office Areas Assessed</t>
        </is>
      </c>
      <c r="B14" s="28">
        <f>COUNTA('Office Security'!A8:A57)</f>
        <v/>
      </c>
      <c r="C14" s="23" t="n"/>
      <c r="D14" s="23" t="n"/>
      <c r="E14" s="23" t="n"/>
      <c r="F14" s="23" t="n"/>
      <c r="G14" s="23" t="n"/>
    </row>
    <row r="15">
      <c r="A15" s="27" t="inlineStr">
        <is>
          <t>Highly Confidential Office Areas</t>
        </is>
      </c>
      <c r="B15" s="28">
        <f>COUNTIF('Office Security'!D8:D57,"Highly Confidential")</f>
        <v/>
      </c>
      <c r="C15" s="23" t="n"/>
      <c r="D15" s="23" t="n"/>
      <c r="E15" s="23" t="n"/>
      <c r="F15" s="23" t="n"/>
      <c r="G15" s="23" t="n"/>
    </row>
    <row r="16">
      <c r="A16" s="27" t="inlineStr">
        <is>
          <t>Total Server Room Facilities Assessed</t>
        </is>
      </c>
      <c r="B16" s="28">
        <f>COUNTA('Server Rooms'!A8:A57)</f>
        <v/>
      </c>
      <c r="C16" s="23" t="n"/>
      <c r="D16" s="23" t="n"/>
      <c r="E16" s="23" t="n"/>
      <c r="F16" s="23" t="n"/>
      <c r="G16" s="23" t="n"/>
    </row>
    <row r="17">
      <c r="A17" s="27" t="inlineStr">
        <is>
          <t>Datacenter Facilities</t>
        </is>
      </c>
      <c r="B17" s="28">
        <f>COUNTIF('Server Rooms'!C8:C57,"Datacenter")</f>
        <v/>
      </c>
      <c r="C17" s="23" t="n"/>
      <c r="D17" s="23" t="n"/>
      <c r="E17" s="23" t="n"/>
      <c r="F17" s="23" t="n"/>
      <c r="G17" s="23" t="n"/>
    </row>
    <row r="18">
      <c r="A18" s="27" t="inlineStr">
        <is>
          <t>Total Meeting Rooms Assessed</t>
        </is>
      </c>
      <c r="B18" s="28">
        <f>COUNTA('Meeting Rooms'!A8:A57)</f>
        <v/>
      </c>
      <c r="C18" s="23" t="n"/>
      <c r="D18" s="23" t="n"/>
      <c r="E18" s="23" t="n"/>
      <c r="F18" s="23" t="n"/>
      <c r="G18" s="23" t="n"/>
    </row>
    <row r="19">
      <c r="A19" s="27" t="inlineStr">
        <is>
          <t>Total Shared Facilities Assessed</t>
        </is>
      </c>
      <c r="B19" s="28">
        <f>COUNTA('Shared Facilities'!A8:A57)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Office Security</t>
        </is>
      </c>
      <c r="B25" s="34" t="inlineStr">
        <is>
          <t>Non-compliant office areas</t>
        </is>
      </c>
      <c r="C25" s="35">
        <f>COUNTIF('Office Security'!I8:I57,"❌*")</f>
        <v/>
      </c>
      <c r="D25" s="34" t="inlineStr">
        <is>
          <t>High</t>
        </is>
      </c>
      <c r="E25" s="34" t="inlineStr">
        <is>
          <t>Urgent</t>
        </is>
      </c>
      <c r="F25" s="34" t="n"/>
      <c r="G25" s="34" t="n"/>
    </row>
    <row r="26">
      <c r="A26" s="34" t="inlineStr">
        <is>
          <t>Server Rooms</t>
        </is>
      </c>
      <c r="B26" s="34" t="inlineStr">
        <is>
          <t>Non-compliant server room facilities</t>
        </is>
      </c>
      <c r="C26" s="35">
        <f>COUNTIF('Server Rooms'!J8:J57,"❌*")</f>
        <v/>
      </c>
      <c r="D26" s="34" t="inlineStr">
        <is>
          <t>Critical</t>
        </is>
      </c>
      <c r="E26" s="34" t="inlineStr">
        <is>
          <t>Immediate</t>
        </is>
      </c>
      <c r="F26" s="34" t="n"/>
      <c r="G26" s="34" t="n"/>
    </row>
    <row r="27">
      <c r="A27" s="34" t="inlineStr">
        <is>
          <t>Meeting Rooms</t>
        </is>
      </c>
      <c r="B27" s="34" t="inlineStr">
        <is>
          <t>Non-compliant meeting rooms</t>
        </is>
      </c>
      <c r="C27" s="35">
        <f>COUNTIF('Meeting Rooms'!H8:H57,"❌*")</f>
        <v/>
      </c>
      <c r="D27" s="34" t="inlineStr">
        <is>
          <t>High</t>
        </is>
      </c>
      <c r="E27" s="34" t="inlineStr">
        <is>
          <t>Urgent</t>
        </is>
      </c>
      <c r="F27" s="34" t="n"/>
      <c r="G27" s="34" t="n"/>
    </row>
    <row r="28">
      <c r="A28" s="34" t="inlineStr">
        <is>
          <t>Shared Facilities</t>
        </is>
      </c>
      <c r="B28" s="34" t="inlineStr">
        <is>
          <t>Non-compliant shared facilities</t>
        </is>
      </c>
      <c r="C28" s="35">
        <f>COUNTIF('Shared Facilities'!H8:H57,"❌*")</f>
        <v/>
      </c>
      <c r="D28" s="34" t="inlineStr">
        <is>
          <t>Medium</t>
        </is>
      </c>
      <c r="E28" s="34" t="inlineStr">
        <is>
          <t>Plan</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A.7.3: Securing Offices, Rooms and Facilities</t>
        </is>
      </c>
      <c r="B2" s="6" t="n"/>
      <c r="C2" s="6" t="n"/>
      <c r="D2" s="6" t="n"/>
      <c r="E2" s="6" t="n"/>
    </row>
    <row r="3">
      <c r="A3" s="39" t="inlineStr">
        <is>
          <t>ASSESSMENT SUMMARY</t>
        </is>
      </c>
      <c r="B3" s="6" t="n"/>
      <c r="C3" s="6" t="n"/>
      <c r="D3" s="6" t="n"/>
      <c r="E3" s="6" t="n"/>
    </row>
    <row r="4">
      <c r="A4" s="3" t="inlineStr">
        <is>
          <t>Document:</t>
        </is>
      </c>
      <c r="B4" s="6" t="inlineStr">
        <is>
          <t>ISMS-IMP-A.7.1.3 - Secure Areas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ISMS-IMP-A.7.1.3 — Secure Areas Assessment</dc:title>
  <dc:description xmlns:dc="http://purl.org/dc/elements/1.1/">ISMS Implementation Workbook — ISMS-IMP-A.7.1.3</dc:description>
  <dc:subject xmlns:dc="http://purl.org/dc/elements/1.1/">ISO/IEC 27001:2022 — Control A.7.3: Securing Offices, Rooms and Facilities</dc:subject>
  <dcterms:created xmlns:dcterms="http://purl.org/dc/terms/" xmlns:xsi="http://www.w3.org/2001/XMLSchema-instance" xsi:type="dcterms:W3CDTF">2026-03-10T18:49:06Z</dcterms:created>
  <dcterms:modified xmlns:dcterms="http://purl.org/dc/terms/" xmlns:xsi="http://www.w3.org/2001/XMLSchema-instance" xsi:type="dcterms:W3CDTF">2026-03-10T18:49:06Z</dcterms:modified>
</cp:coreProperties>
</file>