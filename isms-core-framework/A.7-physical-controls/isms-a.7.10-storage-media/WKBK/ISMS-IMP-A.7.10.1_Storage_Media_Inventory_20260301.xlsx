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Digital Storage Media" sheetId="2" state="visible" r:id="rId2"/>
    <sheet xmlns:r="http://schemas.openxmlformats.org/officeDocument/2006/relationships" name="3. Removable Media Registry" sheetId="3" state="visible" r:id="rId3"/>
    <sheet xmlns:r="http://schemas.openxmlformats.org/officeDocument/2006/relationships" name="4. Fixed Storage Assets" sheetId="4" state="visible" r:id="rId4"/>
    <sheet xmlns:r="http://schemas.openxmlformats.org/officeDocument/2006/relationships" name="5. Cloud Storage Mapping" sheetId="5" state="visible" r:id="rId5"/>
    <sheet xmlns:r="http://schemas.openxmlformats.org/officeDocument/2006/relationships" name="6. Physical Docu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9"/>
    </font>
    <font>
      <name val="Calibri"/>
      <b val="1"/>
      <sz val="11"/>
    </font>
    <font>
      <name val="Calibri"/>
      <i val="1"/>
      <color rgb="000000FF"/>
      <sz val="9"/>
    </font>
    <font>
      <name val="Calibri"/>
      <b val="1"/>
      <color rgb="00FFFFFF"/>
      <sz val="11"/>
    </font>
    <font>
      <name val="Calibri"/>
      <color rgb="00000000"/>
      <sz val="10"/>
    </font>
    <font>
      <name val="Calibri"/>
      <i val="1"/>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9" borderId="1" pivotButton="0" quotePrefix="0" xfId="0"/>
    <xf numFmtId="0" fontId="14" fillId="9" borderId="1" pivotButton="0" quotePrefix="0" xfId="0"/>
    <xf numFmtId="0" fontId="0" fillId="9" borderId="1" pivotButton="0" quotePrefix="0" xfId="0"/>
    <xf numFmtId="0" fontId="0" fillId="10" borderId="1" pivotButton="0" quotePrefix="0" xfId="0"/>
    <xf numFmtId="0" fontId="15" fillId="8" borderId="2" applyAlignment="1" pivotButton="0" quotePrefix="0" xfId="0">
      <alignment horizontal="center" vertical="center" wrapText="1"/>
    </xf>
    <xf numFmtId="0" fontId="0" fillId="0" borderId="2" pivotButton="0" quotePrefix="0" xfId="0"/>
    <xf numFmtId="0" fontId="16" fillId="0" borderId="0" applyAlignment="1" pivotButton="0" quotePrefix="0" xfId="0">
      <alignment horizontal="left" vertical="center"/>
    </xf>
    <xf numFmtId="0" fontId="17" fillId="8" borderId="2" applyAlignment="1" pivotButton="0" quotePrefix="0" xfId="0">
      <alignment horizontal="left" vertical="center"/>
    </xf>
    <xf numFmtId="0" fontId="18" fillId="11" borderId="2" applyAlignment="1" pivotButton="0" quotePrefix="0" xfId="0">
      <alignment horizontal="center" vertical="center" wrapText="1"/>
    </xf>
    <xf numFmtId="0" fontId="19" fillId="0" borderId="2" pivotButton="0" quotePrefix="0" xfId="0"/>
    <xf numFmtId="0" fontId="19" fillId="0" borderId="2" applyAlignment="1" pivotButton="0" quotePrefix="0" xfId="0">
      <alignment horizontal="center"/>
    </xf>
    <xf numFmtId="164" fontId="19" fillId="0" borderId="2" applyAlignment="1" pivotButton="0" quotePrefix="0" xfId="0">
      <alignment horizontal="center"/>
    </xf>
    <xf numFmtId="0" fontId="18" fillId="11" borderId="2" pivotButton="0" quotePrefix="0" xfId="0"/>
    <xf numFmtId="0" fontId="18" fillId="11" borderId="2" applyAlignment="1" pivotButton="0" quotePrefix="0" xfId="0">
      <alignment horizontal="center"/>
    </xf>
    <xf numFmtId="164" fontId="18" fillId="11" borderId="2" applyAlignment="1" pivotButton="0" quotePrefix="0" xfId="0">
      <alignment horizontal="center"/>
    </xf>
    <xf numFmtId="0" fontId="17" fillId="12" borderId="2" applyAlignment="1" pivotButton="0" quotePrefix="0" xfId="0">
      <alignment horizontal="left" vertical="center"/>
    </xf>
    <xf numFmtId="0" fontId="19" fillId="10" borderId="2" pivotButton="0" quotePrefix="0" xfId="0"/>
    <xf numFmtId="0" fontId="19"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ISMS-IMP-A.7.10.1  -  Storage Media Inventory
ISO/IEC 27001:2022 - Control A.7.10: Storage Media</t>
        </is>
      </c>
    </row>
    <row r="3">
      <c r="A3" s="2" t="inlineStr">
        <is>
          <t>Document Information</t>
        </is>
      </c>
    </row>
    <row r="4">
      <c r="A4" s="3" t="inlineStr">
        <is>
          <t>Document ID</t>
        </is>
      </c>
      <c r="B4" t="inlineStr">
        <is>
          <t>ISMS-IMP-A.7.10.1</t>
        </is>
      </c>
    </row>
    <row r="5">
      <c r="A5" s="3" t="inlineStr">
        <is>
          <t>Workbook Title</t>
        </is>
      </c>
      <c r="B5" t="inlineStr">
        <is>
          <t>Storage Media Inventory</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(Digital Storage Media) — inventory all digital storage devices.</t>
        </is>
      </c>
    </row>
    <row r="14">
      <c r="A14" t="inlineStr">
        <is>
          <t>2. Complete Sheet 3 (Removable Media Registry) — register all authorised removable media.</t>
        </is>
      </c>
    </row>
    <row r="15">
      <c r="A15" t="inlineStr">
        <is>
          <t>3. Complete Sheet 4 (Fixed Storage Assets) — inventory servers, NAS, SAN systems.</t>
        </is>
      </c>
    </row>
    <row r="16">
      <c r="A16" t="inlineStr">
        <is>
          <t>4. Complete Sheet 5 (Cloud Storage Mapping) — map all cloud storage services.</t>
        </is>
      </c>
    </row>
    <row r="17">
      <c r="A17" t="inlineStr">
        <is>
          <t>5. Complete Sheet 6 (Physical Documents) — inventory physical document storage.</t>
        </is>
      </c>
    </row>
    <row r="18">
      <c r="A18" t="inlineStr">
        <is>
          <t>6. Document evidence in the Evidence Register (Sheet 8).</t>
        </is>
      </c>
    </row>
    <row r="19">
      <c r="A19" t="inlineStr">
        <is>
          <t>7. Review the Summary Dashboard (Sheet 7) for overall inventory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18" customWidth="1" min="19" max="19"/>
    <col width="15" customWidth="1" min="20" max="20"/>
  </cols>
  <sheetData>
    <row r="1" ht="35" customHeight="1">
      <c r="A1" s="11" t="inlineStr">
        <is>
          <t>2. DIGITAL STORAGE MEDIA INVENTORY</t>
        </is>
      </c>
    </row>
    <row r="2">
      <c r="A2" s="12" t="inlineStr">
        <is>
          <t>Policy Reference: ISMS-POL-A.7.10 - Storage Media</t>
        </is>
      </c>
    </row>
    <row r="4" ht="50" customHeight="1">
      <c r="A4" s="13" t="inlineStr">
        <is>
          <t>ASSESSMENT OBJECTIVE:
Document every digital storage device managed by [Organisation] including HDDs, SSDs, USB drives, SD cards, backup tapes, and optical media.</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Physical Location</t>
        </is>
      </c>
      <c r="S9" s="15" t="inlineStr">
        <is>
          <t>Encryption Status</t>
        </is>
      </c>
      <c r="T9" s="15" t="inlineStr">
        <is>
          <t>Capacity (GB)</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"Encrypted (AES-256),Encrypted (Hardware),Not Encrypted,N/A,Unknown"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30" customWidth="1" min="20" max="20"/>
  </cols>
  <sheetData>
    <row r="1" ht="35" customHeight="1">
      <c r="A1" s="11" t="inlineStr">
        <is>
          <t>3. REMOVABLE MEDIA REGISTRY</t>
        </is>
      </c>
    </row>
    <row r="2">
      <c r="A2" s="12" t="inlineStr">
        <is>
          <t>Policy Reference: ISMS-POL-A.7.10 - Storage Media</t>
        </is>
      </c>
    </row>
    <row r="4" ht="50" customHeight="1">
      <c r="A4" s="13" t="inlineStr">
        <is>
          <t>ASSESSMENT OBJECTIVE:
Register all authorised removable media with management approval documentation, assigned users, and permitted use cases.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Authorisation Reference</t>
        </is>
      </c>
      <c r="S9" s="15" t="inlineStr">
        <is>
          <t>Authorised User(s)</t>
        </is>
      </c>
      <c r="T9" s="15" t="inlineStr">
        <is>
          <t>Permitted Use Cases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18" customWidth="1" min="19" max="19"/>
    <col width="15" customWidth="1" min="20" max="20"/>
  </cols>
  <sheetData>
    <row r="1" ht="35" customHeight="1">
      <c r="A1" s="11" t="inlineStr">
        <is>
          <t>4. FIXED STORAGE ASSETS</t>
        </is>
      </c>
    </row>
    <row r="2">
      <c r="A2" s="12" t="inlineStr">
        <is>
          <t>Policy Reference: ISMS-POL-A.7.10 - Storage Media</t>
        </is>
      </c>
    </row>
    <row r="4" ht="50" customHeight="1">
      <c r="A4" s="13" t="inlineStr">
        <is>
          <t>ASSESSMENT OBJECTIVE:
Inventory all fixed storage systems including servers, NAS, SAN, and archive systems with capacity and encryption status.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System Type</t>
        </is>
      </c>
      <c r="S9" s="15" t="inlineStr">
        <is>
          <t>Total Capacity (TB)</t>
        </is>
      </c>
      <c r="T9" s="15" t="inlineStr">
        <is>
          <t>Utilisation (%)</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Server,Virtual Server,NAS,SAN,Archive System,Backup Appliance"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2" customWidth="1" min="19" max="19"/>
    <col width="22" customWidth="1" min="20" max="20"/>
  </cols>
  <sheetData>
    <row r="1" ht="35" customHeight="1">
      <c r="A1" s="11" t="inlineStr">
        <is>
          <t>5. CLOUD STORAGE MAPPING</t>
        </is>
      </c>
    </row>
    <row r="2">
      <c r="A2" s="12" t="inlineStr">
        <is>
          <t>Policy Reference: ISMS-POL-A.7.10 - Storage Media</t>
        </is>
      </c>
    </row>
    <row r="4" ht="50" customHeight="1">
      <c r="A4" s="13" t="inlineStr">
        <is>
          <t>ASSESSMENT OBJECTIVE:
Document all cloud storage locations including IaaS, PaaS, SaaS, and backup services with provider and data residency information.</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Cloud Type</t>
        </is>
      </c>
      <c r="S9" s="15" t="inlineStr">
        <is>
          <t>Provider Name</t>
        </is>
      </c>
      <c r="T9" s="15" t="inlineStr">
        <is>
          <t>Data Residency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"IaaS,PaaS,SaaS,Hybrid,Multi-Cloud"</formula1>
    </dataValidation>
    <dataValidation sqref="T10:T100" showDropDown="0" showInputMessage="0" showErrorMessage="0" allowBlank="1" type="list">
      <formula1>"Switzerland,EU,US,UK,APAC,Multiple Regions,Unknown"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0" customWidth="1" min="1" max="1"/>
    <col width="18" customWidth="1" min="2" max="2"/>
    <col width="18" customWidth="1" min="3" max="3"/>
    <col width="25" customWidth="1" min="4" max="4"/>
    <col width="20"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18" customWidth="1" min="18" max="18"/>
    <col width="25" customWidth="1" min="19" max="19"/>
    <col width="22" customWidth="1" min="20" max="20"/>
  </cols>
  <sheetData>
    <row r="1" ht="35" customHeight="1">
      <c r="A1" s="11" t="inlineStr">
        <is>
          <t>6. PHYSICAL DOCUMENTS &amp; ARCHIVES</t>
        </is>
      </c>
    </row>
    <row r="2">
      <c r="A2" s="12" t="inlineStr">
        <is>
          <t>Policy Reference: ISMS-POL-A.7.10 - Storage Media</t>
        </is>
      </c>
    </row>
    <row r="4" ht="50" customHeight="1">
      <c r="A4" s="13" t="inlineStr">
        <is>
          <t>ASSESSMENT OBJECTIVE:
Inventory physical document storage containing sensitive information including paper documents, microfilm, and archive boxes.</t>
        </is>
      </c>
    </row>
    <row r="5"/>
    <row r="6"/>
    <row r="7">
      <c r="A7" s="14" t="inlineStr">
        <is>
          <t>Complete the yellow-highlighted cells below. Use dropdowns where provided. Link evidence in Column N to Evidence Register sheet.</t>
        </is>
      </c>
    </row>
    <row r="9">
      <c r="A9" s="15" t="inlineStr">
        <is>
          <t>Media ID / Asset Tag</t>
        </is>
      </c>
      <c r="B9" s="15" t="inlineStr">
        <is>
          <t>Media Type</t>
        </is>
      </c>
      <c r="C9" s="15" t="inlineStr">
        <is>
          <t>Data Classification</t>
        </is>
      </c>
      <c r="D9" s="15" t="inlineStr">
        <is>
          <t>Serial Number</t>
        </is>
      </c>
      <c r="E9" s="15" t="inlineStr">
        <is>
          <t>Assigned Custodian</t>
        </is>
      </c>
      <c r="F9" s="15" t="inlineStr">
        <is>
          <t>Status</t>
        </is>
      </c>
      <c r="G9" s="15" t="inlineStr">
        <is>
          <t>Acquisition Date</t>
        </is>
      </c>
      <c r="H9" s="15" t="inlineStr">
        <is>
          <t>Last Audit Date</t>
        </is>
      </c>
      <c r="I9" s="15" t="inlineStr">
        <is>
          <t>Next Audit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Document Type</t>
        </is>
      </c>
      <c r="S9" s="15" t="inlineStr">
        <is>
          <t>Storage Location</t>
        </is>
      </c>
      <c r="T9" s="15" t="inlineStr">
        <is>
          <t>Access Control</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errorTitle="Invalid Media Type" error="Please select from dropdown" type="list">
      <formula1>"HDD,SSD,USB Flash Drive,SD Card,Backup Tape,Optical Media,Other"</formula1>
    </dataValidation>
    <dataValidation sqref="C10:C100" showDropDown="0" showInputMessage="0" showErrorMessage="0" allowBlank="1" type="list">
      <formula1>"Public,Internal,Confidential,Restricted"</formula1>
    </dataValidation>
    <dataValidation sqref="F10:F100" showDropDown="0" showInputMessage="0" showErrorMessage="0" allowBlank="1" type="list">
      <formula1>"Registered,Unregistered,Pending Disposal,In Transit,Lost/Stolen,N/A"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"Paper Documents,Microfilm,Microfiche,Archive Boxes,Mixed Media"</formula1>
    </dataValidation>
    <dataValidation sqref="T10:T100" showDropDown="0" showInputMessage="0" showErrorMessage="0" allowBlank="1" type="list">
      <formula1>"Key Lock,Combination Lock,Card Access,Biometric,Multi-Factor,None"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STORAGE MEDIA INVENTORY — SUMMARY DASHBOARD</t>
        </is>
      </c>
      <c r="B1" s="26" t="n"/>
      <c r="C1" s="26" t="n"/>
      <c r="D1" s="26" t="n"/>
      <c r="E1" s="26" t="n"/>
      <c r="F1" s="26" t="n"/>
      <c r="G1" s="26" t="n"/>
    </row>
    <row r="2">
      <c r="A2" s="27" t="inlineStr">
        <is>
          <t>ISO/IEC 27001:2022 — Control A.7.10: Storage Media | Inventory &amp; Classification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Registered</t>
        </is>
      </c>
      <c r="D5" s="29" t="inlineStr">
        <is>
          <t>Transitional</t>
        </is>
      </c>
      <c r="E5" s="29" t="inlineStr">
        <is>
          <t>Unregistered/Lost</t>
        </is>
      </c>
      <c r="F5" s="29" t="inlineStr">
        <is>
          <t>N/A</t>
        </is>
      </c>
      <c r="G5" s="29" t="inlineStr">
        <is>
          <t>Compliance %</t>
        </is>
      </c>
    </row>
    <row r="6">
      <c r="A6" s="30" t="inlineStr">
        <is>
          <t>Digital Storage Media</t>
        </is>
      </c>
      <c r="B6" s="31">
        <f>COUNTA('2. Digital Storage Media'!A11:A60)</f>
        <v/>
      </c>
      <c r="C6" s="31">
        <f>COUNTIF('2. Digital Storage Media'!F11:F60,"Registered")</f>
        <v/>
      </c>
      <c r="D6" s="31">
        <f>COUNTIF('2. Digital Storage Media'!F11:F60,"Pending Disposal")+COUNTIF('2. Digital Storage Media'!F11:F60,"In Transit")</f>
        <v/>
      </c>
      <c r="E6" s="31">
        <f>COUNTIF('2. Digital Storage Media'!F11:F60,"Unregistered")+COUNTIF('2. Digital Storage Media'!F11:F60,"Lost/Stolen")</f>
        <v/>
      </c>
      <c r="F6" s="31">
        <f>COUNTIF('2. Digital Storage Media'!F11:F60,"N/A")</f>
        <v/>
      </c>
      <c r="G6" s="32">
        <f>IF((B6-F6)=0,0,C6/(B6-F6))</f>
        <v/>
      </c>
    </row>
    <row r="7">
      <c r="A7" s="30" t="inlineStr">
        <is>
          <t>Removable Media Registry</t>
        </is>
      </c>
      <c r="B7" s="31">
        <f>COUNTA('3. Removable Media Registry'!A11:A60)</f>
        <v/>
      </c>
      <c r="C7" s="31">
        <f>COUNTIF('3. Removable Media Registry'!F11:F60,"Registered")</f>
        <v/>
      </c>
      <c r="D7" s="31">
        <f>COUNTIF('3. Removable Media Registry'!F11:F60,"Pending Disposal")+COUNTIF('3. Removable Media Registry'!F11:F60,"In Transit")</f>
        <v/>
      </c>
      <c r="E7" s="31">
        <f>COUNTIF('3. Removable Media Registry'!F11:F60,"Unregistered")+COUNTIF('3. Removable Media Registry'!F11:F60,"Lost/Stolen")</f>
        <v/>
      </c>
      <c r="F7" s="31">
        <f>COUNTIF('3. Removable Media Registry'!F11:F60,"N/A")</f>
        <v/>
      </c>
      <c r="G7" s="32">
        <f>IF((B7-F7)=0,0,C7/(B7-F7))</f>
        <v/>
      </c>
    </row>
    <row r="8">
      <c r="A8" s="30" t="inlineStr">
        <is>
          <t>Fixed Storage Assets</t>
        </is>
      </c>
      <c r="B8" s="31">
        <f>COUNTA('4. Fixed Storage Assets'!A11:A60)</f>
        <v/>
      </c>
      <c r="C8" s="31">
        <f>COUNTIF('4. Fixed Storage Assets'!F11:F60,"Registered")</f>
        <v/>
      </c>
      <c r="D8" s="31">
        <f>COUNTIF('4. Fixed Storage Assets'!F11:F60,"Pending Disposal")+COUNTIF('4. Fixed Storage Assets'!F11:F60,"In Transit")</f>
        <v/>
      </c>
      <c r="E8" s="31">
        <f>COUNTIF('4. Fixed Storage Assets'!F11:F60,"Unregistered")+COUNTIF('4. Fixed Storage Assets'!F11:F60,"Lost/Stolen")</f>
        <v/>
      </c>
      <c r="F8" s="31">
        <f>COUNTIF('4. Fixed Storage Assets'!F11:F60,"N/A")</f>
        <v/>
      </c>
      <c r="G8" s="32">
        <f>IF((B8-F8)=0,0,C8/(B8-F8))</f>
        <v/>
      </c>
    </row>
    <row r="9">
      <c r="A9" s="30" t="inlineStr">
        <is>
          <t>Cloud Storage Mapping</t>
        </is>
      </c>
      <c r="B9" s="31">
        <f>COUNTA('5. Cloud Storage Mapping'!A11:A60)</f>
        <v/>
      </c>
      <c r="C9" s="31">
        <f>COUNTIF('5. Cloud Storage Mapping'!F11:F60,"Registered")</f>
        <v/>
      </c>
      <c r="D9" s="31">
        <f>COUNTIF('5. Cloud Storage Mapping'!F11:F60,"Pending Disposal")+COUNTIF('5. Cloud Storage Mapping'!F11:F60,"In Transit")</f>
        <v/>
      </c>
      <c r="E9" s="31">
        <f>COUNTIF('5. Cloud Storage Mapping'!F11:F60,"Unregistered")+COUNTIF('5. Cloud Storage Mapping'!F11:F60,"Lost/Stolen")</f>
        <v/>
      </c>
      <c r="F9" s="31">
        <f>COUNTIF('5. Cloud Storage Mapping'!F11:F60,"N/A")</f>
        <v/>
      </c>
      <c r="G9" s="32">
        <f>IF((B9-F9)=0,0,C9/(B9-F9))</f>
        <v/>
      </c>
    </row>
    <row r="10">
      <c r="A10" s="30" t="inlineStr">
        <is>
          <t>Physical Documents</t>
        </is>
      </c>
      <c r="B10" s="31">
        <f>COUNTA('6. Physical Documents'!A11:A60)</f>
        <v/>
      </c>
      <c r="C10" s="31">
        <f>COUNTIF('6. Physical Documents'!F11:F60,"Registered")</f>
        <v/>
      </c>
      <c r="D10" s="31">
        <f>COUNTIF('6. Physical Documents'!F11:F60,"Pending Disposal")+COUNTIF('6. Physical Documents'!F11:F60,"In Transit")</f>
        <v/>
      </c>
      <c r="E10" s="31">
        <f>COUNTIF('6. Physical Documents'!F11:F60,"Unregistered")+COUNTIF('6. Physical Documents'!F11:F60,"Lost/Stolen")</f>
        <v/>
      </c>
      <c r="F10" s="31">
        <f>COUNTIF('6. Physical Documents'!F11:F60,"N/A")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Digital Media Items</t>
        </is>
      </c>
      <c r="B15" s="31">
        <f>COUNTA('2. Digital Storage Media'!A11:A60)</f>
        <v/>
      </c>
      <c r="C15" s="26" t="n"/>
      <c r="D15" s="26" t="n"/>
      <c r="E15" s="26" t="n"/>
      <c r="F15" s="26" t="n"/>
      <c r="G15" s="26" t="n"/>
    </row>
    <row r="16">
      <c r="A16" s="30" t="inlineStr">
        <is>
          <t>Total Removable Media Items</t>
        </is>
      </c>
      <c r="B16" s="31">
        <f>COUNTA('3. Removable Media Registry'!A11:A60)</f>
        <v/>
      </c>
      <c r="C16" s="26" t="n"/>
      <c r="D16" s="26" t="n"/>
      <c r="E16" s="26" t="n"/>
      <c r="F16" s="26" t="n"/>
      <c r="G16" s="26" t="n"/>
    </row>
    <row r="17">
      <c r="A17" s="30" t="inlineStr">
        <is>
          <t>Total Fixed Storage Systems</t>
        </is>
      </c>
      <c r="B17" s="31">
        <f>COUNTA('4. Fixed Storage Assets'!A11:A60)</f>
        <v/>
      </c>
      <c r="C17" s="26" t="n"/>
      <c r="D17" s="26" t="n"/>
      <c r="E17" s="26" t="n"/>
      <c r="F17" s="26" t="n"/>
      <c r="G17" s="26" t="n"/>
    </row>
    <row r="18">
      <c r="A18" s="30" t="inlineStr">
        <is>
          <t>Total Cloud Storage Services</t>
        </is>
      </c>
      <c r="B18" s="31">
        <f>COUNTA('5. Cloud Storage Mapping'!A11:A60)</f>
        <v/>
      </c>
      <c r="C18" s="26" t="n"/>
      <c r="D18" s="26" t="n"/>
      <c r="E18" s="26" t="n"/>
      <c r="F18" s="26" t="n"/>
      <c r="G18" s="26" t="n"/>
    </row>
    <row r="19">
      <c r="A19" s="30" t="inlineStr">
        <is>
          <t>Total Physical Document Locations</t>
        </is>
      </c>
      <c r="B19" s="31">
        <f>COUNTA('6. Physical Documents'!A11:A60)</f>
        <v/>
      </c>
      <c r="C19" s="26" t="n"/>
      <c r="D19" s="26" t="n"/>
      <c r="E19" s="26" t="n"/>
      <c r="F19" s="26" t="n"/>
      <c r="G19" s="26" t="n"/>
    </row>
    <row r="20">
      <c r="A20" s="30" t="inlineStr">
        <is>
          <t>Unregistered Media Items</t>
        </is>
      </c>
      <c r="B20" s="31">
        <f>COUNTIF('2. Digital Storage Media'!F11:F60,"Unregistered")+COUNTIF('3. Removable Media Registry'!F11:F60,"Unregistered")+COUNTIF('4. Fixed Storage Assets'!F11:F60,"Unregistered")+COUNTIF('5. Cloud Storage Mapping'!F11:F60,"Unregistered")+COUNTIF('6. Physical Documents'!F11:F60,"Unregistered")</f>
        <v/>
      </c>
      <c r="C20" s="26" t="n"/>
      <c r="D20" s="26" t="n"/>
      <c r="E20" s="26" t="n"/>
      <c r="F20" s="26" t="n"/>
      <c r="G20" s="26" t="n"/>
    </row>
    <row r="21">
      <c r="A21" s="30" t="inlineStr">
        <is>
          <t>Lost / Stolen Media Items</t>
        </is>
      </c>
      <c r="B21" s="31">
        <f>COUNTIF('2. Digital Storage Media'!F11:F60,"Lost/Stolen")+COUNTIF('3. Removable Media Registry'!F11:F60,"Lost/Stolen")+COUNTIF('4. Fixed Storage Assets'!F11:F60,"Lost/Stolen")+COUNTIF('5. Cloud Storage Mapping'!F11:F60,"Lost/Stolen")+COUNTIF('6. Physical Documents'!F11:F60,"Lost/Stolen")</f>
        <v/>
      </c>
      <c r="C21" s="26" t="n"/>
      <c r="D21" s="26" t="n"/>
      <c r="E21" s="26" t="n"/>
      <c r="F21" s="26" t="n"/>
      <c r="G21" s="26" t="n"/>
    </row>
    <row r="22">
      <c r="A22" s="30" t="inlineStr">
        <is>
          <t>Media Pending Disposal</t>
        </is>
      </c>
      <c r="B22" s="31">
        <f>COUNTIF('2. Digital Storage Media'!F11:F60,"Pending Disposal")+COUNTIF('3. Removable Media Registry'!F11:F60,"Pending Disposal")+COUNTIF('4. Fixed Storage Assets'!F11:F60,"Pending Disposal")+COUNTIF('5. Cloud Storage Mapping'!F11:F60,"Pending Disposal")+COUNTIF('6. Physical Documents'!F11:F60,"Pending Disposal")</f>
        <v/>
      </c>
      <c r="C22" s="26" t="n"/>
      <c r="D22" s="26" t="n"/>
      <c r="E22" s="26" t="n"/>
      <c r="F22" s="26" t="n"/>
      <c r="G22" s="26" t="n"/>
    </row>
    <row r="23">
      <c r="A23" s="30" t="inlineStr">
        <is>
          <t>Confidential Classification Media</t>
        </is>
      </c>
      <c r="B23" s="31">
        <f>COUNTIF('2. Digital Storage Media'!C11:C60,"Confidential")+COUNTIF('3. Removable Media Registry'!C11:C60,"Confidential")+COUNTIF('4. Fixed Storage Assets'!C11:C60,"Confidential")+COUNTIF('5. Cloud Storage Mapping'!C11:C60,"Confidential")+COUNTIF('6. Physical Documents'!C11:C60,"Confidential")</f>
        <v/>
      </c>
      <c r="C23" s="26" t="n"/>
      <c r="D23" s="26" t="n"/>
      <c r="E23" s="26" t="n"/>
      <c r="F23" s="26" t="n"/>
      <c r="G23" s="26" t="n"/>
    </row>
    <row r="24">
      <c r="A24" s="30" t="inlineStr">
        <is>
          <t>Restricted Classification Media</t>
        </is>
      </c>
      <c r="B24" s="31">
        <f>COUNTIF('2. Digital Storage Media'!C11:C60,"Restricted")+COUNTIF('3. Removable Media Registry'!C11:C60,"Restricted")+COUNTIF('4. Fixed Storage Assets'!C11:C60,"Restricted")+COUNTIF('5. Cloud Storage Mapping'!C11:C60,"Restricted")+COUNTIF('6. Physical Documents'!C11:C60,"Restricted")</f>
        <v/>
      </c>
      <c r="C24" s="26" t="n"/>
      <c r="D24" s="26" t="n"/>
      <c r="E24" s="26" t="n"/>
      <c r="F24" s="26" t="n"/>
      <c r="G24" s="26" t="n"/>
    </row>
    <row r="25">
      <c r="A25" s="30" t="inlineStr">
        <is>
          <t>High / Critical Risk Media Items</t>
        </is>
      </c>
      <c r="B25" s="31">
        <f>COUNTIF('2. Digital Storage Media'!M11:M60,"Critical")+COUNTIF('2. Digital Storage Media'!M11:M60,"High")+COUNTIF('3. Removable Media Registry'!M11:M60,"Critical")+COUNTIF('3. Removable Media Registry'!M11:M60,"High")</f>
        <v/>
      </c>
      <c r="C25" s="26" t="n"/>
      <c r="D25" s="26" t="n"/>
      <c r="E25" s="26" t="n"/>
      <c r="F25" s="26" t="n"/>
      <c r="G25" s="26" t="n"/>
    </row>
    <row r="26">
      <c r="A26" s="30" t="inlineStr">
        <is>
          <t>Unencrypted Digital Media Items</t>
        </is>
      </c>
      <c r="B26" s="31">
        <f>COUNTIF('2. Digital Storage Media'!S11:S60,"Not Encrypted")</f>
        <v/>
      </c>
      <c r="C26" s="26" t="n"/>
      <c r="D26" s="26" t="n"/>
      <c r="E26" s="26" t="n"/>
      <c r="F26" s="26" t="n"/>
      <c r="G26" s="26" t="n"/>
    </row>
    <row r="27">
      <c r="A27" s="30" t="inlineStr">
        <is>
          <t>Media Requiring Remediation Budget</t>
        </is>
      </c>
      <c r="B27" s="31">
        <f>COUNTIF('2. Digital Storage Media'!Q11:Q60,"Yes")+COUNTIF('3. Removable Media Registry'!Q11:Q60,"Yes")+COUNTIF('4. Fixed Storage Assets'!Q11:Q60,"Yes")+COUNTIF('5. Cloud Storage Mapping'!Q11:Q60,"Yes")+COUNTIF('6. Physical Documents'!Q11:Q60,"Yes")</f>
        <v/>
      </c>
      <c r="C27" s="26" t="n"/>
      <c r="D27" s="26" t="n"/>
      <c r="E27" s="26" t="n"/>
      <c r="F27" s="26" t="n"/>
      <c r="G27" s="26" t="n"/>
    </row>
    <row r="28">
      <c r="A28" s="26" t="n"/>
      <c r="B28" s="26" t="n"/>
      <c r="C28" s="26" t="n"/>
      <c r="D28" s="26" t="n"/>
      <c r="E28" s="26" t="n"/>
      <c r="F28" s="26" t="n"/>
      <c r="G28" s="26" t="n"/>
    </row>
    <row r="29">
      <c r="A29" s="26" t="n"/>
      <c r="B29" s="26" t="n"/>
      <c r="C29" s="26" t="n"/>
      <c r="D29" s="26" t="n"/>
      <c r="E29" s="26" t="n"/>
      <c r="F29" s="26" t="n"/>
      <c r="G29" s="26" t="n"/>
    </row>
    <row r="31">
      <c r="A31" s="36" t="inlineStr">
        <is>
          <t>TABLE 3: CRITICAL FINDINGS REQUIRING IMMEDIATE ATTENTION</t>
        </is>
      </c>
      <c r="B31" s="26" t="n"/>
      <c r="C31" s="26" t="n"/>
      <c r="D31" s="26" t="n"/>
      <c r="E31" s="26" t="n"/>
      <c r="F31" s="26" t="n"/>
      <c r="G31" s="26" t="n"/>
    </row>
    <row r="32">
      <c r="A32" s="34" t="inlineStr">
        <is>
          <t>Category</t>
        </is>
      </c>
      <c r="B32" s="34" t="inlineStr">
        <is>
          <t>Finding</t>
        </is>
      </c>
      <c r="C32" s="34" t="inlineStr">
        <is>
          <t>Count</t>
        </is>
      </c>
      <c r="D32" s="34" t="inlineStr">
        <is>
          <t>Severity</t>
        </is>
      </c>
      <c r="E32" s="34" t="inlineStr">
        <is>
          <t>Action Required</t>
        </is>
      </c>
      <c r="F32" s="34" t="n"/>
      <c r="G32" s="34" t="n"/>
    </row>
    <row r="33">
      <c r="A33" s="37" t="inlineStr">
        <is>
          <t>Media Status</t>
        </is>
      </c>
      <c r="B33" s="37" t="inlineStr">
        <is>
          <t>Lost / Stolen media items</t>
        </is>
      </c>
      <c r="C33" s="38">
        <f>COUNTIF('2. Digital Storage Media'!F11:F60,"Lost/Stolen")+COUNTIF('3. Removable Media Registry'!F11:F60,"Lost/Stolen")+COUNTIF('4. Fixed Storage Assets'!F11:F60,"Lost/Stolen")+COUNTIF('5. Cloud Storage Mapping'!F11:F60,"Lost/Stolen")+COUNTIF('6. Physical Documents'!F11:F60,"Lost/Stolen")</f>
        <v/>
      </c>
      <c r="D33" s="37" t="inlineStr">
        <is>
          <t>Critical</t>
        </is>
      </c>
      <c r="E33" s="37" t="inlineStr">
        <is>
          <t>Immediate</t>
        </is>
      </c>
      <c r="F33" s="37" t="n"/>
      <c r="G33" s="37" t="n"/>
    </row>
    <row r="34">
      <c r="A34" s="37" t="inlineStr">
        <is>
          <t>Media Status</t>
        </is>
      </c>
      <c r="B34" s="37" t="inlineStr">
        <is>
          <t>Unregistered media items</t>
        </is>
      </c>
      <c r="C34" s="38">
        <f>COUNTIF('2. Digital Storage Media'!F11:F60,"Unregistered")+COUNTIF('3. Removable Media Registry'!F11:F60,"Unregistered")+COUNTIF('4. Fixed Storage Assets'!F11:F60,"Unregistered")+COUNTIF('5. Cloud Storage Mapping'!F11:F60,"Unregistered")+COUNTIF('6. Physical Documents'!F11:F60,"Unregistered")</f>
        <v/>
      </c>
      <c r="D34" s="37" t="inlineStr">
        <is>
          <t>Critical</t>
        </is>
      </c>
      <c r="E34" s="37" t="inlineStr">
        <is>
          <t>Immediate</t>
        </is>
      </c>
      <c r="F34" s="37" t="n"/>
      <c r="G34" s="37" t="n"/>
    </row>
    <row r="35">
      <c r="A35" s="37" t="inlineStr">
        <is>
          <t>Encryption</t>
        </is>
      </c>
      <c r="B35" s="37" t="inlineStr">
        <is>
          <t>Unencrypted digital media items</t>
        </is>
      </c>
      <c r="C35" s="38">
        <f>COUNTIF('2. Digital Storage Media'!S11:S60,"Not Encrypted")</f>
        <v/>
      </c>
      <c r="D35" s="37" t="inlineStr">
        <is>
          <t>Critical</t>
        </is>
      </c>
      <c r="E35" s="37" t="inlineStr">
        <is>
          <t>Immediate</t>
        </is>
      </c>
      <c r="F35" s="37" t="n"/>
      <c r="G35" s="37" t="n"/>
    </row>
    <row r="36">
      <c r="A36" s="37" t="inlineStr">
        <is>
          <t>Risk Assessment</t>
        </is>
      </c>
      <c r="B36" s="37" t="inlineStr">
        <is>
          <t>Critical risk media items</t>
        </is>
      </c>
      <c r="C36" s="38">
        <f>COUNTIF('2. Digital Storage Media'!M11:M60,"Critical")+COUNTIF('3. Removable Media Registry'!M11:M60,"Critical")+COUNTIF('4. Fixed Storage Assets'!M11:M60,"Critical")+COUNTIF('5. Cloud Storage Mapping'!M11:M60,"Critical")+COUNTIF('6. Physical Documents'!M11:M60,"Critical")</f>
        <v/>
      </c>
      <c r="D36" s="37" t="inlineStr">
        <is>
          <t>High</t>
        </is>
      </c>
      <c r="E36" s="37" t="inlineStr">
        <is>
          <t>Urgent</t>
        </is>
      </c>
      <c r="F36" s="37" t="n"/>
      <c r="G36" s="37" t="n"/>
    </row>
    <row r="37">
      <c r="A37" s="37" t="inlineStr">
        <is>
          <t>Media Status</t>
        </is>
      </c>
      <c r="B37" s="37" t="inlineStr">
        <is>
          <t>Media In Transit (custody tracking required)</t>
        </is>
      </c>
      <c r="C37" s="38">
        <f>COUNTIF('2. Digital Storage Media'!F11:F60,"In Transit")+COUNTIF('3. Removable Media Registry'!F11:F60,"In Transit")+COUNTIF('4. Fixed Storage Assets'!F11:F60,"In Transit")+COUNTIF('5. Cloud Storage Mapping'!F11:F60,"In Transit")+COUNTIF('6. Physical Documents'!F11:F60,"In Transit")</f>
        <v/>
      </c>
      <c r="D37" s="37" t="inlineStr">
        <is>
          <t>Medium</t>
        </is>
      </c>
      <c r="E37" s="37" t="inlineStr">
        <is>
          <t>Monitor</t>
        </is>
      </c>
      <c r="F37" s="37" t="n"/>
      <c r="G37" s="37" t="n"/>
    </row>
    <row r="38">
      <c r="A38" s="39" t="n"/>
      <c r="B38" s="39" t="n"/>
      <c r="C38" s="39" t="n"/>
      <c r="D38" s="39" t="n"/>
      <c r="E38" s="39" t="n"/>
      <c r="F38" s="39" t="n"/>
      <c r="G38" s="39" t="n"/>
    </row>
    <row r="39">
      <c r="A39" s="39" t="n"/>
      <c r="B39" s="39" t="n"/>
      <c r="C39" s="39" t="n"/>
      <c r="D39" s="39" t="n"/>
      <c r="E39" s="39" t="n"/>
      <c r="F39" s="39" t="n"/>
      <c r="G39" s="39" t="n"/>
    </row>
  </sheetData>
  <mergeCells count="5">
    <mergeCell ref="A13:G13"/>
    <mergeCell ref="A1:G1"/>
    <mergeCell ref="A31:G31"/>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ISMS-IMP-A.7.10.1 - Storage Media Inventory</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ISMS-IMP-A.7.10.1 — Storage Media Inventory</dc:title>
  <dc:description xmlns:dc="http://purl.org/dc/elements/1.1/">ISMS Implementation Workbook — ISMS-IMP-A.7.10.1</dc:description>
  <dc:subject xmlns:dc="http://purl.org/dc/elements/1.1/">ISO/IEC 27001:2022 — Control A.7.10: Storage Media</dc:subject>
  <dcterms:created xmlns:dcterms="http://purl.org/dc/terms/" xmlns:xsi="http://www.w3.org/2001/XMLSchema-instance" xsi:type="dcterms:W3CDTF">2026-03-01T10:00:34Z</dcterms:created>
  <dcterms:modified xmlns:dcterms="http://purl.org/dc/terms/" xmlns:xsi="http://www.w3.org/2001/XMLSchema-instance" xsi:type="dcterms:W3CDTF">2026-03-01T10:00:34Z</dcterms:modified>
</cp:coreProperties>
</file>