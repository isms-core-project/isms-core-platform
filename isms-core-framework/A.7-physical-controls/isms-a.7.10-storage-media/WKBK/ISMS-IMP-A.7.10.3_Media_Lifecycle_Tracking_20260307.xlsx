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quisition &amp; Procurement" sheetId="2" state="visible" r:id="rId2"/>
    <sheet xmlns:r="http://schemas.openxmlformats.org/officeDocument/2006/relationships" name="3. Internal Re-use" sheetId="3" state="visible" r:id="rId3"/>
    <sheet xmlns:r="http://schemas.openxmlformats.org/officeDocument/2006/relationships" name="4. Disposal Methods" sheetId="4" state="visible" r:id="rId4"/>
    <sheet xmlns:r="http://schemas.openxmlformats.org/officeDocument/2006/relationships" name="5. Third-Party Disposal" sheetId="5" state="visible" r:id="rId5"/>
    <sheet xmlns:r="http://schemas.openxmlformats.org/officeDocument/2006/relationships" name="6. Paper Document Lifecyc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ISMS-IMP-A.7.10.3  -  Media Lifecycle Tracking
ISO/IEC 27001:2022 - Control A.7.10: Storage Media</t>
        </is>
      </c>
    </row>
    <row r="3">
      <c r="A3" s="2" t="inlineStr">
        <is>
          <t>Document Information</t>
        </is>
      </c>
    </row>
    <row r="4">
      <c r="A4" s="3" t="inlineStr">
        <is>
          <t>Document ID</t>
        </is>
      </c>
      <c r="B4" t="inlineStr">
        <is>
          <t>ISMS-IMP-A.7.10.3</t>
        </is>
      </c>
    </row>
    <row r="5">
      <c r="A5" s="3" t="inlineStr">
        <is>
          <t>Workbook Title</t>
        </is>
      </c>
      <c r="B5" t="inlineStr">
        <is>
          <t>Media Lifecycle Tracking</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(Acquisition &amp; Procurement) — document media procurement controls.</t>
        </is>
      </c>
    </row>
    <row r="14">
      <c r="A14" t="inlineStr">
        <is>
          <t>2. Complete Sheet 3 (Internal Re-use) — assess internal re-use and sanitisation.</t>
        </is>
      </c>
    </row>
    <row r="15">
      <c r="A15" t="inlineStr">
        <is>
          <t>3. Complete Sheet 4 (Disposal Methods) — document disposal procedures and controls.</t>
        </is>
      </c>
    </row>
    <row r="16">
      <c r="A16" t="inlineStr">
        <is>
          <t>4. Complete Sheet 5 (Third-Party Disposal) — assess third-party disposal providers.</t>
        </is>
      </c>
    </row>
    <row r="17">
      <c r="A17" t="inlineStr">
        <is>
          <t>5. Complete Sheet 6 (Paper Document Lifecycle) — document paper handling procedures.</t>
        </is>
      </c>
    </row>
    <row r="18">
      <c r="A18" t="inlineStr">
        <is>
          <t>6. Document evidence in the Evidence Register (Sheet 8).</t>
        </is>
      </c>
    </row>
    <row r="19">
      <c r="A19" t="inlineStr">
        <is>
          <t>7. Review the Summary Dashboard (Sheet 7) for overall lifecycle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22" customWidth="1" min="20" max="20"/>
  </cols>
  <sheetData>
    <row r="1" ht="35" customHeight="1">
      <c r="A1" s="11" t="inlineStr">
        <is>
          <t>2. ACQUISITION &amp; PROCUREMENT</t>
        </is>
      </c>
    </row>
    <row r="2">
      <c r="A2" s="12" t="inlineStr">
        <is>
          <t>Policy Reference: ISMS-POL-A.7.10 - Storage Media</t>
        </is>
      </c>
    </row>
    <row r="4" ht="50" customHeight="1">
      <c r="A4" s="13" t="inlineStr">
        <is>
          <t>ASSESSMENT OBJECTIVE:
Assess media procurement and registration controls including approved suppliers, encryption requirements, and asset registration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Approved Suppliers</t>
        </is>
      </c>
      <c r="S9" s="15" t="inlineStr">
        <is>
          <t>Registration Required</t>
        </is>
      </c>
      <c r="T9" s="15" t="inlineStr">
        <is>
          <t>Quality Standards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"Yes - Automatic (PO),Yes - Manual Entry,No - Track Only,N/A"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0" customWidth="1" min="19" max="19"/>
    <col width="22" customWidth="1" min="20" max="20"/>
  </cols>
  <sheetData>
    <row r="1" ht="35" customHeight="1">
      <c r="A1" s="11" t="inlineStr">
        <is>
          <t>3. INTERNAL RE-USE PROCEDURES</t>
        </is>
      </c>
    </row>
    <row r="2">
      <c r="A2" s="12" t="inlineStr">
        <is>
          <t>Policy Reference: ISMS-POL-A.7.10 - Storage Media</t>
        </is>
      </c>
    </row>
    <row r="4" ht="50" customHeight="1">
      <c r="A4" s="13" t="inlineStr">
        <is>
          <t>ASSESSMENT OBJECTIVE:
Assess procedures for media re-assignment within the organisation including erasure methods, verification requirements, and documentation.</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Erasure Method</t>
        </is>
      </c>
      <c r="S9" s="15" t="inlineStr">
        <is>
          <t>Verification Required</t>
        </is>
      </c>
      <c r="T9" s="15" t="inlineStr">
        <is>
          <t>Documentation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"NIST 800-88 Rev. 2 Clear,NIST 800-88 Rev. 2 Purge,Cryptographic Erasure,Factory Reset,Full Format,Quick Format,Physical Destruction"</formula1>
    </dataValidation>
    <dataValidation sqref="S10:S100" showDropDown="0" showInputMessage="0" showErrorMessage="0" allowBlank="1" type="list">
      <formula1>"Full Verification,Sample Verification (10%),Log Review Only,None"</formula1>
    </dataValidation>
    <dataValidation sqref="T10:T100" showDropDown="0" showInputMessage="0" showErrorMessage="0" allowBlank="1" type="list">
      <formula1>"Erasure Certificate,Asset System Log,Manual Log Entry,None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18" customWidth="1" min="20" max="20"/>
  </cols>
  <sheetData>
    <row r="1" ht="35" customHeight="1">
      <c r="A1" s="11" t="inlineStr">
        <is>
          <t>4. DISPOSAL METHODS</t>
        </is>
      </c>
    </row>
    <row r="2">
      <c r="A2" s="12" t="inlineStr">
        <is>
          <t>Policy Reference: ISMS-POL-A.7.10 - Storage Media</t>
        </is>
      </c>
    </row>
    <row r="4" ht="50" customHeight="1">
      <c r="A4" s="13" t="inlineStr">
        <is>
          <t>ASSESSMENT OBJECTIVE:
Assess disposal methods by classification level including destruction techniques, witness requirements, and certificate of destruction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Destruction Method</t>
        </is>
      </c>
      <c r="S9" s="15" t="inlineStr">
        <is>
          <t>Witness Required</t>
        </is>
      </c>
      <c r="T9" s="15" t="inlineStr">
        <is>
          <t>Certificate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Shredding,Degaussing,Degaussing + Shredding,Incineration,Secure Overwriting,Cryptographic Erasure,Crushing,Disintegration"</formula1>
    </dataValidation>
    <dataValidation sqref="S10:S100" showDropDown="0" showInputMessage="0" showErrorMessage="0" allowBlank="1" type="list">
      <formula1>"Yes - Internal Witness,Yes - External Auditor,Yes - Both,No,For Certain Classifications"</formula1>
    </dataValidation>
    <dataValidation sqref="T10:T100" showDropDown="0" showInputMessage="0" showErrorMessage="0" allowBlank="1" type="list">
      <formula1>"Yes - Individual Certificate,Yes - Batch Certificate,No Certificate,Vendor Report Only"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5" customWidth="1" min="19" max="19"/>
    <col width="18" customWidth="1" min="20" max="20"/>
  </cols>
  <sheetData>
    <row r="1" ht="35" customHeight="1">
      <c r="A1" s="11" t="inlineStr">
        <is>
          <t>5. THIRD-PARTY DISPOSAL</t>
        </is>
      </c>
    </row>
    <row r="2">
      <c r="A2" s="12" t="inlineStr">
        <is>
          <t>Policy Reference: ISMS-POL-A.7.10 - Storage Media</t>
        </is>
      </c>
    </row>
    <row r="4" ht="50" customHeight="1">
      <c r="A4" s="13" t="inlineStr">
        <is>
          <t>ASSESSMENT OBJECTIVE:
Assess third-party disposal vendor management including contract status, certifications (ISO 27001, NAID, R2, e-Stewards), and certificate delivery SLAs.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Contract Status</t>
        </is>
      </c>
      <c r="S9" s="15" t="inlineStr">
        <is>
          <t>Certifications</t>
        </is>
      </c>
      <c r="T9" s="15" t="inlineStr">
        <is>
          <t>Certificate SLA</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"Active Contract,Contract Pending Renewal,Contract Expired,No Contract (Spot Purchase),Under Evaluation"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18" customWidth="1" min="20" max="20"/>
  </cols>
  <sheetData>
    <row r="1" ht="35" customHeight="1">
      <c r="A1" s="11" t="inlineStr">
        <is>
          <t>6. PAPER DOCUMENT LIFECYCLE</t>
        </is>
      </c>
    </row>
    <row r="2">
      <c r="A2" s="12" t="inlineStr">
        <is>
          <t>Policy Reference: ISMS-POL-A.7.10 - Storage Media</t>
        </is>
      </c>
    </row>
    <row r="4" ht="50" customHeight="1">
      <c r="A4" s="13" t="inlineStr">
        <is>
          <t>ASSESSMENT OBJECTIVE:
Assess physical document handling and destruction including shredding standards (DIN 66399), collection processes, and destruction frequency.</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Shredding Standard</t>
        </is>
      </c>
      <c r="S9" s="15" t="inlineStr">
        <is>
          <t>Collection Process</t>
        </is>
      </c>
      <c r="T9" s="15" t="inlineStr">
        <is>
          <t>Destruction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"DIN 66399 P-4 (Cross-cut),DIN 66399 P-5 (Fine Cross-cut),DIN 66399 P-6 (High Security),DIN 66399 P-7 (Super High Security),Strip Shred,Not Specified"</formula1>
    </dataValidation>
    <dataValidation sqref="S10:S100" showDropDown="0" showInputMessage="0" showErrorMessage="0" allowBlank="1" type="list">
      <formula1>"Secure Bins (Locked),Secure Bins (Unlocked),On-Demand Shredding,Contractor Collection,Centralised Collection Point"</formula1>
    </dataValidation>
    <dataValidation sqref="T10:T100" showDropDown="0" showInputMessage="0" showErrorMessage="0" allowBlank="1" type="list">
      <formula1>"Daily,Weekly,Bi-weekly,Monthly,Quarterly,On-Demand,Event-Based"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LIFECYCLE TRACKING — SUMMARY DASHBOARD</t>
        </is>
      </c>
      <c r="B1" s="26" t="n"/>
      <c r="C1" s="26" t="n"/>
      <c r="D1" s="26" t="n"/>
      <c r="E1" s="26" t="n"/>
      <c r="F1" s="26" t="n"/>
      <c r="G1" s="26" t="n"/>
    </row>
    <row r="2">
      <c r="A2" s="27" t="inlineStr">
        <is>
          <t>ISO/IEC 27001:2022 — Control A.7.10: Storage Media | Lifecycle Tracking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Acquisition &amp; Procurement</t>
        </is>
      </c>
      <c r="B6" s="31">
        <f>COUNTA('2. Acquisition &amp; Procurement'!A11:A60)</f>
        <v/>
      </c>
      <c r="C6" s="31">
        <f>COUNTIF('2. Acquisition &amp; Procurement'!F11:F60,"Compliant")</f>
        <v/>
      </c>
      <c r="D6" s="31">
        <f>COUNTIF('2. Acquisition &amp; Procurement'!F11:F60,"Partial")</f>
        <v/>
      </c>
      <c r="E6" s="31">
        <f>COUNTIF('2. Acquisition &amp; Procurement'!F11:F60,"Non-Compliant")</f>
        <v/>
      </c>
      <c r="F6" s="31">
        <f>COUNTIF('2. Acquisition &amp; Procurement'!F11:F60,"N/A")</f>
        <v/>
      </c>
      <c r="G6" s="32">
        <f>IF((B6-F6)=0,0,C6/(B6-F6))</f>
        <v/>
      </c>
    </row>
    <row r="7">
      <c r="A7" s="30" t="inlineStr">
        <is>
          <t>Internal Re-use</t>
        </is>
      </c>
      <c r="B7" s="31">
        <f>COUNTA('3. Internal Re-use'!A11:A60)</f>
        <v/>
      </c>
      <c r="C7" s="31">
        <f>COUNTIF('3. Internal Re-use'!F11:F60,"Compliant")</f>
        <v/>
      </c>
      <c r="D7" s="31">
        <f>COUNTIF('3. Internal Re-use'!F11:F60,"Partial")</f>
        <v/>
      </c>
      <c r="E7" s="31">
        <f>COUNTIF('3. Internal Re-use'!F11:F60,"Non-Compliant")</f>
        <v/>
      </c>
      <c r="F7" s="31">
        <f>COUNTIF('3. Internal Re-use'!F11:F60,"N/A")</f>
        <v/>
      </c>
      <c r="G7" s="32">
        <f>IF((B7-F7)=0,0,C7/(B7-F7))</f>
        <v/>
      </c>
    </row>
    <row r="8">
      <c r="A8" s="30" t="inlineStr">
        <is>
          <t>Disposal Methods</t>
        </is>
      </c>
      <c r="B8" s="31">
        <f>COUNTA('4. Disposal Methods'!A11:A60)</f>
        <v/>
      </c>
      <c r="C8" s="31">
        <f>COUNTIF('4. Disposal Methods'!F11:F60,"Compliant")</f>
        <v/>
      </c>
      <c r="D8" s="31">
        <f>COUNTIF('4. Disposal Methods'!F11:F60,"Partial")</f>
        <v/>
      </c>
      <c r="E8" s="31">
        <f>COUNTIF('4. Disposal Methods'!F11:F60,"Non-Compliant")</f>
        <v/>
      </c>
      <c r="F8" s="31">
        <f>COUNTIF('4. Disposal Methods'!F11:F60,"N/A")</f>
        <v/>
      </c>
      <c r="G8" s="32">
        <f>IF((B8-F8)=0,0,C8/(B8-F8))</f>
        <v/>
      </c>
    </row>
    <row r="9">
      <c r="A9" s="30" t="inlineStr">
        <is>
          <t>Third-Party Disposal</t>
        </is>
      </c>
      <c r="B9" s="31">
        <f>COUNTA('5. Third-Party Disposal'!A11:A60)</f>
        <v/>
      </c>
      <c r="C9" s="31">
        <f>COUNTIF('5. Third-Party Disposal'!F11:F60,"Compliant")</f>
        <v/>
      </c>
      <c r="D9" s="31">
        <f>COUNTIF('5. Third-Party Disposal'!F11:F60,"Partial")</f>
        <v/>
      </c>
      <c r="E9" s="31">
        <f>COUNTIF('5. Third-Party Disposal'!F11:F60,"Non-Compliant")</f>
        <v/>
      </c>
      <c r="F9" s="31">
        <f>COUNTIF('5. Third-Party Disposal'!F11:F60,"N/A")</f>
        <v/>
      </c>
      <c r="G9" s="32">
        <f>IF((B9-F9)=0,0,C9/(B9-F9))</f>
        <v/>
      </c>
    </row>
    <row r="10">
      <c r="A10" s="30" t="inlineStr">
        <is>
          <t>Paper Document Lifecycle</t>
        </is>
      </c>
      <c r="B10" s="31">
        <f>COUNTA('6. Paper Document Lifecycle'!A11:A60)</f>
        <v/>
      </c>
      <c r="C10" s="31">
        <f>COUNTIF('6. Paper Document Lifecycle'!F11:F60,"Compliant")</f>
        <v/>
      </c>
      <c r="D10" s="31">
        <f>COUNTIF('6. Paper Document Lifecycle'!F11:F60,"Partial")</f>
        <v/>
      </c>
      <c r="E10" s="31">
        <f>COUNTIF('6. Paper Document Lifecycle'!F11:F60,"Non-Compliant")</f>
        <v/>
      </c>
      <c r="F10" s="31">
        <f>COUNTIF('6. Paper Document Lifecycle'!F11:F60,"N/A")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Lifecycle Records Assessed</t>
        </is>
      </c>
      <c r="B15" s="31">
        <f>COUNTA('2. Acquisition &amp; Procurement'!A11:A60)+COUNTA('3. Internal Re-use'!A11:A60)+COUNTA('4. Disposal Methods'!A11:A60)+COUNTA('5. Third-Party Disposal'!A11:A60)+COUNTA('6. Paper Document Lifecycle'!A11:A60)</f>
        <v/>
      </c>
      <c r="C15" s="26" t="n"/>
      <c r="D15" s="26" t="n"/>
      <c r="E15" s="26" t="n"/>
      <c r="F15" s="26" t="n"/>
      <c r="G15" s="26" t="n"/>
    </row>
    <row r="16">
      <c r="A16" s="30" t="inlineStr">
        <is>
          <t>Media Acquisitions — Auto-Registered</t>
        </is>
      </c>
      <c r="B16" s="31">
        <f>COUNTIF('2. Acquisition &amp; Procurement'!R11:R60,"Yes - Automatic (PO)")</f>
        <v/>
      </c>
      <c r="C16" s="26" t="n"/>
      <c r="D16" s="26" t="n"/>
      <c r="E16" s="26" t="n"/>
      <c r="F16" s="26" t="n"/>
      <c r="G16" s="26" t="n"/>
    </row>
    <row r="17">
      <c r="A17" s="30" t="inlineStr">
        <is>
          <t>Media Acquisitions — Not Tracked</t>
        </is>
      </c>
      <c r="B17" s="31">
        <f>COUNTIF('2. Acquisition &amp; Procurement'!R11:R60,"No - Track Only")</f>
        <v/>
      </c>
      <c r="C17" s="26" t="n"/>
      <c r="D17" s="26" t="n"/>
      <c r="E17" s="26" t="n"/>
      <c r="F17" s="26" t="n"/>
      <c r="G17" s="26" t="n"/>
    </row>
    <row r="18">
      <c r="A18" s="30" t="inlineStr">
        <is>
          <t>Internal Re-use — NIST 800-88 Erasure (Secure)</t>
        </is>
      </c>
      <c r="B18" s="31">
        <f>COUNTIF('3. Internal Re-use'!R11:R60,"NIST 800-88 Rev. 2 Clear")+COUNTIF('3. Internal Re-use'!R11:R60,"NIST 800-88 Rev. 2 Purge")+COUNTIF('3. Internal Re-use'!R11:R60,"Cryptographic Erasure")</f>
        <v/>
      </c>
      <c r="C18" s="26" t="n"/>
      <c r="D18" s="26" t="n"/>
      <c r="E18" s="26" t="n"/>
      <c r="F18" s="26" t="n"/>
      <c r="G18" s="26" t="n"/>
    </row>
    <row r="19">
      <c r="A19" s="30" t="inlineStr">
        <is>
          <t>Re-use with Erasure Certificate</t>
        </is>
      </c>
      <c r="B19" s="31">
        <f>COUNTIF('3. Internal Re-use'!T11:T60,"Erasure Certificate")</f>
        <v/>
      </c>
      <c r="C19" s="26" t="n"/>
      <c r="D19" s="26" t="n"/>
      <c r="E19" s="26" t="n"/>
      <c r="F19" s="26" t="n"/>
      <c r="G19" s="26" t="n"/>
    </row>
    <row r="20">
      <c r="A20" s="30" t="inlineStr">
        <is>
          <t>Disposal with Destruction Certificate</t>
        </is>
      </c>
      <c r="B20" s="31">
        <f>COUNTIF('4. Disposal Methods'!T11:T60,"Yes - Individual Certificate")+COUNTIF('4. Disposal Methods'!T11:T60,"Yes - Batch Certificate")</f>
        <v/>
      </c>
      <c r="C20" s="26" t="n"/>
      <c r="D20" s="26" t="n"/>
      <c r="E20" s="26" t="n"/>
      <c r="F20" s="26" t="n"/>
      <c r="G20" s="26" t="n"/>
    </row>
    <row r="21">
      <c r="A21" s="30" t="inlineStr">
        <is>
          <t>Disposal Without Certificate</t>
        </is>
      </c>
      <c r="B21" s="31">
        <f>COUNTIF('4. Disposal Methods'!T11:T60,"No Certificate")</f>
        <v/>
      </c>
      <c r="C21" s="26" t="n"/>
      <c r="D21" s="26" t="n"/>
      <c r="E21" s="26" t="n"/>
      <c r="F21" s="26" t="n"/>
      <c r="G21" s="26" t="n"/>
    </row>
    <row r="22">
      <c r="A22" s="30" t="inlineStr">
        <is>
          <t>Witnessed Disposal Events</t>
        </is>
      </c>
      <c r="B22" s="31">
        <f>COUNTIF('4. Disposal Methods'!S11:S60,"Yes - Internal Witness")+COUNTIF('4. Disposal Methods'!S11:S60,"Yes - External Auditor")+COUNTIF('4. Disposal Methods'!S11:S60,"Yes - Both")</f>
        <v/>
      </c>
      <c r="C22" s="26" t="n"/>
      <c r="D22" s="26" t="n"/>
      <c r="E22" s="26" t="n"/>
      <c r="F22" s="26" t="n"/>
      <c r="G22" s="26" t="n"/>
    </row>
    <row r="23">
      <c r="A23" s="30" t="inlineStr">
        <is>
          <t>Third-Party Vendors — Active Contract</t>
        </is>
      </c>
      <c r="B23" s="31">
        <f>COUNTIF('5. Third-Party Disposal'!R11:R60,"Active Contract")</f>
        <v/>
      </c>
      <c r="C23" s="26" t="n"/>
      <c r="D23" s="26" t="n"/>
      <c r="E23" s="26" t="n"/>
      <c r="F23" s="26" t="n"/>
      <c r="G23" s="26" t="n"/>
    </row>
    <row r="24">
      <c r="A24" s="30" t="inlineStr">
        <is>
          <t>Third-Party Vendors — Expired / No Contract</t>
        </is>
      </c>
      <c r="B24" s="31">
        <f>COUNTIF('5. Third-Party Disposal'!R11:R60,"Contract Expired")+COUNTIF('5. Third-Party Disposal'!R11:R60,"No Contract (Spot Purchase)")</f>
        <v/>
      </c>
      <c r="C24" s="26" t="n"/>
      <c r="D24" s="26" t="n"/>
      <c r="E24" s="26" t="n"/>
      <c r="F24" s="26" t="n"/>
      <c r="G24" s="26" t="n"/>
    </row>
    <row r="25">
      <c r="A25" s="30" t="inlineStr">
        <is>
          <t>Paper — High-Security Shredding (DIN P-5+)</t>
        </is>
      </c>
      <c r="B25" s="31">
        <f>COUNTIF('6. Paper Document Lifecycle'!R11:R60,"DIN 66399 P-5 (Fine Cross-cut)")+COUNTIF('6. Paper Document Lifecycle'!R11:R60,"DIN 66399 P-6 (High Security)")+COUNTIF('6. Paper Document Lifecycle'!R11:R60,"DIN 66399 P-7 (Super High Security)")</f>
        <v/>
      </c>
      <c r="C25" s="26" t="n"/>
      <c r="D25" s="26" t="n"/>
      <c r="E25" s="26" t="n"/>
      <c r="F25" s="26" t="n"/>
      <c r="G25" s="26" t="n"/>
    </row>
    <row r="26">
      <c r="A26" s="30" t="inlineStr">
        <is>
          <t>Non-Compliant Lifecycle Procedures</t>
        </is>
      </c>
      <c r="B26" s="31">
        <f>COUNTIF('2. Acquisition &amp; Procurement'!F11:F60,"Non-Compliant")+COUNTIF('3. Internal Re-use'!F11:F60,"Non-Compliant")+COUNTIF('4. Disposal Methods'!F11:F60,"Non-Compliant")+COUNTIF('5. Third-Party Disposal'!F11:F60,"Non-Compliant")+COUNTIF('6. Paper Document Lifecycle'!F11:F60,"Non-Compliant")</f>
        <v/>
      </c>
      <c r="C26" s="26" t="n"/>
      <c r="D26" s="26" t="n"/>
      <c r="E26" s="26" t="n"/>
      <c r="F26" s="26" t="n"/>
      <c r="G26" s="26" t="n"/>
    </row>
    <row r="27">
      <c r="A27" s="26" t="n"/>
      <c r="B27" s="26" t="n"/>
      <c r="C27" s="26" t="n"/>
      <c r="D27" s="26" t="n"/>
      <c r="E27" s="26" t="n"/>
      <c r="F27" s="26" t="n"/>
      <c r="G27" s="26" t="n"/>
    </row>
    <row r="28">
      <c r="A28" s="26" t="n"/>
      <c r="B28" s="26" t="n"/>
      <c r="C28" s="26" t="n"/>
      <c r="D28" s="26" t="n"/>
      <c r="E28" s="26" t="n"/>
      <c r="F28" s="26" t="n"/>
      <c r="G28" s="26" t="n"/>
    </row>
    <row r="30">
      <c r="A30" s="36" t="inlineStr">
        <is>
          <t>TABLE 3: CRITICAL FINDINGS REQUIRING IMMEDIATE ATTENTION</t>
        </is>
      </c>
      <c r="B30" s="26" t="n"/>
      <c r="C30" s="26" t="n"/>
      <c r="D30" s="26" t="n"/>
      <c r="E30" s="26" t="n"/>
      <c r="F30" s="26" t="n"/>
      <c r="G30" s="26" t="n"/>
    </row>
    <row r="31">
      <c r="A31" s="34" t="inlineStr">
        <is>
          <t>Category</t>
        </is>
      </c>
      <c r="B31" s="34" t="inlineStr">
        <is>
          <t>Finding</t>
        </is>
      </c>
      <c r="C31" s="34" t="inlineStr">
        <is>
          <t>Count</t>
        </is>
      </c>
      <c r="D31" s="34" t="inlineStr">
        <is>
          <t>Severity</t>
        </is>
      </c>
      <c r="E31" s="34" t="inlineStr">
        <is>
          <t>Action Required</t>
        </is>
      </c>
      <c r="F31" s="34" t="n"/>
      <c r="G31" s="34" t="n"/>
    </row>
    <row r="32">
      <c r="A32" s="37" t="inlineStr">
        <is>
          <t>Disposal</t>
        </is>
      </c>
      <c r="B32" s="37" t="inlineStr">
        <is>
          <t>Disposal without destruction certificate</t>
        </is>
      </c>
      <c r="C32" s="38">
        <f>COUNTIF('4. Disposal Methods'!T11:T60,"No Certificate")</f>
        <v/>
      </c>
      <c r="D32" s="37" t="inlineStr">
        <is>
          <t>Critical</t>
        </is>
      </c>
      <c r="E32" s="37" t="inlineStr">
        <is>
          <t>Immediate</t>
        </is>
      </c>
      <c r="F32" s="37" t="n"/>
      <c r="G32" s="37" t="n"/>
    </row>
    <row r="33">
      <c r="A33" s="37" t="inlineStr">
        <is>
          <t>Third-Party</t>
        </is>
      </c>
      <c r="B33" s="37" t="inlineStr">
        <is>
          <t>Third-party vendor — expired / no contract</t>
        </is>
      </c>
      <c r="C33" s="38">
        <f>COUNTIF('5. Third-Party Disposal'!R11:R60,"Contract Expired")+COUNTIF('5. Third-Party Disposal'!R11:R60,"No Contract (Spot Purchase)")</f>
        <v/>
      </c>
      <c r="D33" s="37" t="inlineStr">
        <is>
          <t>Critical</t>
        </is>
      </c>
      <c r="E33" s="37" t="inlineStr">
        <is>
          <t>Immediate</t>
        </is>
      </c>
      <c r="F33" s="37" t="n"/>
      <c r="G33" s="37" t="n"/>
    </row>
    <row r="34">
      <c r="A34" s="37" t="inlineStr">
        <is>
          <t>Re-use</t>
        </is>
      </c>
      <c r="B34" s="37" t="inlineStr">
        <is>
          <t>Internal re-use without documentation</t>
        </is>
      </c>
      <c r="C34" s="38">
        <f>COUNTIF('3. Internal Re-use'!T11:T60,"None Required")</f>
        <v/>
      </c>
      <c r="D34" s="37" t="inlineStr">
        <is>
          <t>High</t>
        </is>
      </c>
      <c r="E34" s="37" t="inlineStr">
        <is>
          <t>Urgent</t>
        </is>
      </c>
      <c r="F34" s="37" t="n"/>
      <c r="G34" s="37" t="n"/>
    </row>
    <row r="35">
      <c r="A35" s="37" t="inlineStr">
        <is>
          <t>Lifecycle</t>
        </is>
      </c>
      <c r="B35" s="37" t="inlineStr">
        <is>
          <t>Non-compliant lifecycle procedures</t>
        </is>
      </c>
      <c r="C35" s="38">
        <f>COUNTIF('2. Acquisition &amp; Procurement'!F11:F60,"Non-Compliant")+COUNTIF('3. Internal Re-use'!F11:F60,"Non-Compliant")+COUNTIF('4. Disposal Methods'!F11:F60,"Non-Compliant")+COUNTIF('5. Third-Party Disposal'!F11:F60,"Non-Compliant")+COUNTIF('6. Paper Document Lifecycle'!F11:F60,"Non-Compliant")</f>
        <v/>
      </c>
      <c r="D35" s="37" t="inlineStr">
        <is>
          <t>High</t>
        </is>
      </c>
      <c r="E35" s="37" t="inlineStr">
        <is>
          <t>Urgent</t>
        </is>
      </c>
      <c r="F35" s="37" t="n"/>
      <c r="G35" s="37" t="n"/>
    </row>
    <row r="36">
      <c r="A36" s="37" t="inlineStr">
        <is>
          <t>Disposal</t>
        </is>
      </c>
      <c r="B36" s="37" t="inlineStr">
        <is>
          <t>Unwitnessed disposal events</t>
        </is>
      </c>
      <c r="C36" s="38">
        <f>COUNTIF('4. Disposal Methods'!S11:S60,"No")</f>
        <v/>
      </c>
      <c r="D36" s="37" t="inlineStr">
        <is>
          <t>Medium</t>
        </is>
      </c>
      <c r="E36" s="37" t="inlineStr">
        <is>
          <t>Plan</t>
        </is>
      </c>
      <c r="F36" s="37" t="n"/>
      <c r="G36" s="37" t="n"/>
    </row>
    <row r="37">
      <c r="A37" s="39" t="n"/>
      <c r="B37" s="39" t="n"/>
      <c r="C37" s="39" t="n"/>
      <c r="D37" s="39" t="n"/>
      <c r="E37" s="39" t="n"/>
      <c r="F37" s="39" t="n"/>
      <c r="G37" s="39" t="n"/>
    </row>
    <row r="38">
      <c r="A38" s="39" t="n"/>
      <c r="B38" s="39" t="n"/>
      <c r="C38" s="39" t="n"/>
      <c r="D38" s="39" t="n"/>
      <c r="E38" s="39" t="n"/>
      <c r="F38" s="39" t="n"/>
      <c r="G38" s="39" t="n"/>
    </row>
  </sheetData>
  <mergeCells count="5">
    <mergeCell ref="A13:G13"/>
    <mergeCell ref="A1:G1"/>
    <mergeCell ref="A4:G4"/>
    <mergeCell ref="A30:G30"/>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ISMS-IMP-A.7.10.3 - Media Lifecycle Tracking</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ISMS-IMP-A.7.10.3 — Media Lifecycle Tracking</dc:title>
  <dc:description xmlns:dc="http://purl.org/dc/elements/1.1/">ISMS Implementation Workbook — ISMS-IMP-A.7.10.3</dc:description>
  <dc:subject xmlns:dc="http://purl.org/dc/elements/1.1/">ISO/IEC 27001:2022 — Control A.7.10: Storage Media</dc:subject>
  <dcterms:created xmlns:dcterms="http://purl.org/dc/terms/" xmlns:xsi="http://www.w3.org/2001/XMLSchema-instance" xsi:type="dcterms:W3CDTF">2026-03-07T11:27:55Z</dcterms:created>
  <dcterms:modified xmlns:dcterms="http://purl.org/dc/terms/" xmlns:xsi="http://www.w3.org/2001/XMLSchema-instance" xsi:type="dcterms:W3CDTF">2026-03-07T11:27:55Z</dcterms:modified>
</cp:coreProperties>
</file>