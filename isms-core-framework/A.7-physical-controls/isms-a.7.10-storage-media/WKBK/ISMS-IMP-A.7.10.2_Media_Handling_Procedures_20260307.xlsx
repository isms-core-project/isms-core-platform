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Media Access Controls" sheetId="2" state="visible" r:id="rId2"/>
    <sheet xmlns:r="http://schemas.openxmlformats.org/officeDocument/2006/relationships" name="3. Transportation Security" sheetId="3" state="visible" r:id="rId3"/>
    <sheet xmlns:r="http://schemas.openxmlformats.org/officeDocument/2006/relationships" name="4. Physical Storage Controls" sheetId="4" state="visible" r:id="rId4"/>
    <sheet xmlns:r="http://schemas.openxmlformats.org/officeDocument/2006/relationships" name="5. Media Use Procedures" sheetId="5" state="visible" r:id="rId5"/>
    <sheet xmlns:r="http://schemas.openxmlformats.org/officeDocument/2006/relationships" name="6. Incident Respons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10"/>
    </font>
    <font>
      <name val="Calibri"/>
      <b val="1"/>
      <sz val="11"/>
    </font>
    <font>
      <name val="Calibri"/>
      <i val="1"/>
      <color rgb="000000FF"/>
      <sz val="9"/>
    </font>
    <font>
      <name val="Calibri"/>
      <b val="1"/>
      <color rgb="00FFFFFF"/>
      <sz val="11"/>
    </font>
    <font>
      <name val="Calibri"/>
      <color rgb="00000000"/>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6"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9" borderId="1" pivotButton="0" quotePrefix="0" xfId="0"/>
    <xf numFmtId="0" fontId="13" fillId="9" borderId="1" pivotButton="0" quotePrefix="0" xfId="0"/>
    <xf numFmtId="0" fontId="0" fillId="9" borderId="1" pivotButton="0" quotePrefix="0" xfId="0"/>
    <xf numFmtId="0" fontId="0" fillId="10" borderId="1" pivotButton="0" quotePrefix="0" xfId="0"/>
    <xf numFmtId="0" fontId="14" fillId="8" borderId="2" applyAlignment="1" pivotButton="0" quotePrefix="0" xfId="0">
      <alignment horizontal="center" vertical="center" wrapText="1"/>
    </xf>
    <xf numFmtId="0" fontId="0" fillId="0" borderId="2" pivotButton="0" quotePrefix="0" xfId="0"/>
    <xf numFmtId="0" fontId="15" fillId="0" borderId="0" applyAlignment="1" pivotButton="0" quotePrefix="0" xfId="0">
      <alignment horizontal="left" vertical="center"/>
    </xf>
    <xf numFmtId="0" fontId="16" fillId="8" borderId="2" applyAlignment="1" pivotButton="0" quotePrefix="0" xfId="0">
      <alignment horizontal="left" vertical="center"/>
    </xf>
    <xf numFmtId="0" fontId="17" fillId="11" borderId="2" applyAlignment="1" pivotButton="0" quotePrefix="0" xfId="0">
      <alignment horizontal="center" vertical="center" wrapText="1"/>
    </xf>
    <xf numFmtId="0" fontId="18" fillId="0" borderId="2" pivotButton="0" quotePrefix="0" xfId="0"/>
    <xf numFmtId="0" fontId="18" fillId="0" borderId="2" applyAlignment="1" pivotButton="0" quotePrefix="0" xfId="0">
      <alignment horizontal="center"/>
    </xf>
    <xf numFmtId="164" fontId="18" fillId="0" borderId="2" applyAlignment="1" pivotButton="0" quotePrefix="0" xfId="0">
      <alignment horizontal="center"/>
    </xf>
    <xf numFmtId="0" fontId="17" fillId="11" borderId="2" pivotButton="0" quotePrefix="0" xfId="0"/>
    <xf numFmtId="0" fontId="17" fillId="11" borderId="2" applyAlignment="1" pivotButton="0" quotePrefix="0" xfId="0">
      <alignment horizontal="center"/>
    </xf>
    <xf numFmtId="164" fontId="17" fillId="11" borderId="2" applyAlignment="1" pivotButton="0" quotePrefix="0" xfId="0">
      <alignment horizontal="center"/>
    </xf>
    <xf numFmtId="0" fontId="16" fillId="12" borderId="2" applyAlignment="1" pivotButton="0" quotePrefix="0" xfId="0">
      <alignment horizontal="left" vertical="center"/>
    </xf>
    <xf numFmtId="0" fontId="18" fillId="10" borderId="2" pivotButton="0" quotePrefix="0" xfId="0"/>
    <xf numFmtId="0" fontId="18"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5"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ISMS-IMP-A.7.10.2  -  Media Handling Procedures
ISO/IEC 27001:2022 - Control A.7.10: Storage Media</t>
        </is>
      </c>
    </row>
    <row r="3">
      <c r="A3" s="2" t="inlineStr">
        <is>
          <t>Document Information</t>
        </is>
      </c>
    </row>
    <row r="4">
      <c r="A4" s="3" t="inlineStr">
        <is>
          <t>Document ID</t>
        </is>
      </c>
      <c r="B4" t="inlineStr">
        <is>
          <t>ISMS-IMP-A.7.10.2</t>
        </is>
      </c>
    </row>
    <row r="5">
      <c r="A5" s="3" t="inlineStr">
        <is>
          <t>Workbook Title</t>
        </is>
      </c>
      <c r="B5" t="inlineStr">
        <is>
          <t>Media Handling Procedures</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(Media Access Controls) — document access control requirements.</t>
        </is>
      </c>
    </row>
    <row r="14">
      <c r="A14" t="inlineStr">
        <is>
          <t>2. Complete Sheet 3 (Transportation Security) — document secure transport procedures.</t>
        </is>
      </c>
    </row>
    <row r="15">
      <c r="A15" t="inlineStr">
        <is>
          <t>3. Complete Sheet 4 (Physical Storage Controls) — assess physical storage security.</t>
        </is>
      </c>
    </row>
    <row r="16">
      <c r="A16" t="inlineStr">
        <is>
          <t>4. Complete Sheet 5 (Media Use Procedures) — document data transfer and use.</t>
        </is>
      </c>
    </row>
    <row r="17">
      <c r="A17" t="inlineStr">
        <is>
          <t>5. Complete Sheet 6 (Incident Response) — document lost/stolen media procedures.</t>
        </is>
      </c>
    </row>
    <row r="18">
      <c r="A18" t="inlineStr">
        <is>
          <t>6. Document evidence in the Evidence Register (Sheet 8).</t>
        </is>
      </c>
    </row>
    <row r="19">
      <c r="A19" t="inlineStr">
        <is>
          <t>7. Review the Summary Dashboard (Sheet 7) for overall compliance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5" customWidth="1" min="19" max="19"/>
    <col width="18" customWidth="1" min="20" max="20"/>
  </cols>
  <sheetData>
    <row r="1" ht="35" customHeight="1">
      <c r="A1" s="11" t="inlineStr">
        <is>
          <t>2. MEDIA ACCESS CONTROLS</t>
        </is>
      </c>
    </row>
    <row r="2">
      <c r="A2" s="12" t="inlineStr">
        <is>
          <t>Policy Reference: ISMS-POL-A.7.10 - Storage Media</t>
        </is>
      </c>
    </row>
    <row r="4" ht="50" customHeight="1">
      <c r="A4" s="13" t="inlineStr">
        <is>
          <t>ASSESSMENT OBJECTIVE:
Document access control requirements by media classification level including physical access, personnel authorisation, and review frequency.</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Access Control Type</t>
        </is>
      </c>
      <c r="S9" s="15" t="inlineStr">
        <is>
          <t>Authorised Personnel</t>
        </is>
      </c>
      <c r="T9" s="15" t="inlineStr">
        <is>
          <t>Review Frequency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"Key Lock,Card Access,Biometric,Combination Lock,Multi-Factor,PIN Code,None"</formula1>
    </dataValidation>
    <dataValidation sqref="T10:T100" showDropDown="0" showInputMessage="0" showErrorMessage="0" allowBlank="1" type="list">
      <formula1>"Monthly,Quarterly,Semi-annual,Annual,Ad-hoc"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0" customWidth="1" min="19" max="19"/>
    <col width="25" customWidth="1" min="20" max="20"/>
  </cols>
  <sheetData>
    <row r="1" ht="35" customHeight="1">
      <c r="A1" s="11" t="inlineStr">
        <is>
          <t>3. TRANSPORTATION SECURITY</t>
        </is>
      </c>
    </row>
    <row r="2">
      <c r="A2" s="12" t="inlineStr">
        <is>
          <t>Policy Reference: ISMS-POL-A.7.10 - Storage Media</t>
        </is>
      </c>
    </row>
    <row r="4" ht="50" customHeight="1">
      <c r="A4" s="13" t="inlineStr">
        <is>
          <t>ASSESSMENT OBJECTIVE:
Assess security controls for media in transit including courier requirements, chain of custody documentation, and packaging standards.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Transport Method</t>
        </is>
      </c>
      <c r="S9" s="15" t="inlineStr">
        <is>
          <t>Chain of Custody Required</t>
        </is>
      </c>
      <c r="T9" s="15" t="inlineStr">
        <is>
          <t>Packaging Requirement</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"Secure Courier,Standard Courier,Personal Transport,Internal Mail,Hand Delivery,Digital Transfer,N/A"</formula1>
    </dataValidation>
    <dataValidation sqref="S10:S100" showDropDown="0" showInputMessage="0" showErrorMessage="0" allowBlank="1" type="list">
      <formula1>"Yes - Full Documentation,Yes - Basic Log,No,N/A"</formula1>
    </dataValidation>
    <dataValidation sqref="T10:T100" showDropDown="0" showInputMessage="0" showErrorMessage="0" allowBlank="1" type="list">
      <formula1>"Tamper-Evident Packaging,Sealed Container,Locked Case,Standard Packaging,N/A"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20" customWidth="1" min="20" max="20"/>
  </cols>
  <sheetData>
    <row r="1" ht="35" customHeight="1">
      <c r="A1" s="11" t="inlineStr">
        <is>
          <t>4. PHYSICAL STORAGE CONTROLS</t>
        </is>
      </c>
    </row>
    <row r="2">
      <c r="A2" s="12" t="inlineStr">
        <is>
          <t>Policy Reference: ISMS-POL-A.7.10 - Storage Media</t>
        </is>
      </c>
    </row>
    <row r="4" ht="50" customHeight="1">
      <c r="A4" s="13" t="inlineStr">
        <is>
          <t>ASSESSMENT OBJECTIVE:
Assess physical storage security and environmental controls for media storage locations including temperature, humidity, and fire protection.</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Storage Type</t>
        </is>
      </c>
      <c r="S9" s="15" t="inlineStr">
        <is>
          <t>Environmental Monitoring</t>
        </is>
      </c>
      <c r="T9" s="15" t="inlineStr">
        <is>
          <t>Fire Suppression</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"Locked Cabinet,Fire-Rated Safe,Secure Vault,Server Room,Archive Room,Standard Shelf,Secure Disposal Bin"</formula1>
    </dataValidation>
    <dataValidation sqref="S10:S100" showDropDown="0" showInputMessage="0" showErrorMessage="0" allowBlank="1" type="list">
      <formula1>"Temperature Only,Humidity Only,Temperature + Humidity,Full Environmental,None"</formula1>
    </dataValidation>
    <dataValidation sqref="T10:T100" showDropDown="0" showInputMessage="0" showErrorMessage="0" allowBlank="1" type="list">
      <formula1>"Gas Suppression,Wet Sprinkler,Dry Sprinkler,Fire Extinguisher,None"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0" customWidth="1" min="19" max="19"/>
    <col width="18" customWidth="1" min="20" max="20"/>
  </cols>
  <sheetData>
    <row r="1" ht="35" customHeight="1">
      <c r="A1" s="11" t="inlineStr">
        <is>
          <t>5. MEDIA USE PROCEDURES</t>
        </is>
      </c>
    </row>
    <row r="2">
      <c r="A2" s="12" t="inlineStr">
        <is>
          <t>Policy Reference: ISMS-POL-A.7.10 - Storage Media</t>
        </is>
      </c>
    </row>
    <row r="4" ht="50" customHeight="1">
      <c r="A4" s="13" t="inlineStr">
        <is>
          <t>ASSESSMENT OBJECTIVE:
Assess operational procedures for media use including data transfer, malware scanning, and return/disposal processes.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Applicable Media Type</t>
        </is>
      </c>
      <c r="S9" s="15" t="inlineStr">
        <is>
          <t>Procedure Owner</t>
        </is>
      </c>
      <c r="T9" s="15" t="inlineStr">
        <is>
          <t>Training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6">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"Removable Media,Fixed Storage,Cloud Storage,Paper Documents,All Media Types"</formula1>
    </dataValidation>
    <dataValidation sqref="T10:T100" showDropDown="0" showInputMessage="0" showErrorMessage="0" allowBlank="1" type="list">
      <formula1>"Yes - Initial Only,Yes - Annual Refresh,Yes - Quarterly,No,Role-Specific"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25" customWidth="1" min="19" max="19"/>
    <col width="22" customWidth="1" min="20" max="20"/>
  </cols>
  <sheetData>
    <row r="1" ht="35" customHeight="1">
      <c r="A1" s="11" t="inlineStr">
        <is>
          <t>6. INCIDENT RESPONSE</t>
        </is>
      </c>
    </row>
    <row r="2">
      <c r="A2" s="12" t="inlineStr">
        <is>
          <t>Policy Reference: ISMS-POL-A.7.10 - Storage Media</t>
        </is>
      </c>
    </row>
    <row r="4" ht="50" customHeight="1">
      <c r="A4" s="13" t="inlineStr">
        <is>
          <t>ASSESSMENT OBJECTIVE:
Assess lost/stolen media procedures and incident response capabilities including escalation paths and notification requirements.</t>
        </is>
      </c>
    </row>
    <row r="5"/>
    <row r="6"/>
    <row r="7">
      <c r="A7" s="14" t="inlineStr">
        <is>
          <t>Complete the yellow-highlighted cells below. Use dropdowns where provided.</t>
        </is>
      </c>
    </row>
    <row r="9">
      <c r="A9" s="15" t="inlineStr">
        <is>
          <t>Control Area / Location</t>
        </is>
      </c>
      <c r="B9" s="15" t="inlineStr">
        <is>
          <t>Classification Level</t>
        </is>
      </c>
      <c r="C9" s="15" t="inlineStr">
        <is>
          <t>Control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Response Procedure</t>
        </is>
      </c>
      <c r="S9" s="15" t="inlineStr">
        <is>
          <t>Escalation Path</t>
        </is>
      </c>
      <c r="T9" s="15" t="inlineStr">
        <is>
          <t>Notification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T10:T100" showDropDown="0" showInputMessage="0" showErrorMessage="0" allowBlank="1" type="list">
      <formula1>"Regulatory (GDPR/FINMA),Internal Only,Both Internal + Regulatory,None,To Be Determined"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MEDIA HANDLING PROCEDURES — SUMMARY DASHBOARD</t>
        </is>
      </c>
      <c r="B1" s="26" t="n"/>
      <c r="C1" s="26" t="n"/>
      <c r="D1" s="26" t="n"/>
      <c r="E1" s="26" t="n"/>
      <c r="F1" s="26" t="n"/>
      <c r="G1" s="26" t="n"/>
    </row>
    <row r="2">
      <c r="A2" s="27" t="inlineStr">
        <is>
          <t>ISO/IEC 27001:2022 — Control A.7.10: Storage Media | Handling Procedures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Media Access Controls</t>
        </is>
      </c>
      <c r="B6" s="31">
        <f>COUNTA('2. Media Access Controls'!A11:A60)</f>
        <v/>
      </c>
      <c r="C6" s="31">
        <f>COUNTIF('2. Media Access Controls'!F11:F60,"Compliant")</f>
        <v/>
      </c>
      <c r="D6" s="31">
        <f>COUNTIF('2. Media Access Controls'!F11:F60,"Partial")</f>
        <v/>
      </c>
      <c r="E6" s="31">
        <f>COUNTIF('2. Media Access Controls'!F11:F60,"Non-Compliant")</f>
        <v/>
      </c>
      <c r="F6" s="31">
        <f>COUNTIF('2. Media Access Controls'!F11:F60,"N/A")</f>
        <v/>
      </c>
      <c r="G6" s="32">
        <f>IF((B6-F6)=0,0,C6/(B6-F6))</f>
        <v/>
      </c>
    </row>
    <row r="7">
      <c r="A7" s="30" t="inlineStr">
        <is>
          <t>Transportation Security</t>
        </is>
      </c>
      <c r="B7" s="31">
        <f>COUNTA('3. Transportation Security'!A11:A60)</f>
        <v/>
      </c>
      <c r="C7" s="31">
        <f>COUNTIF('3. Transportation Security'!F11:F60,"Compliant")</f>
        <v/>
      </c>
      <c r="D7" s="31">
        <f>COUNTIF('3. Transportation Security'!F11:F60,"Partial")</f>
        <v/>
      </c>
      <c r="E7" s="31">
        <f>COUNTIF('3. Transportation Security'!F11:F60,"Non-Compliant")</f>
        <v/>
      </c>
      <c r="F7" s="31">
        <f>COUNTIF('3. Transportation Security'!F11:F60,"N/A")</f>
        <v/>
      </c>
      <c r="G7" s="32">
        <f>IF((B7-F7)=0,0,C7/(B7-F7))</f>
        <v/>
      </c>
    </row>
    <row r="8">
      <c r="A8" s="30" t="inlineStr">
        <is>
          <t>Physical Storage Controls</t>
        </is>
      </c>
      <c r="B8" s="31">
        <f>COUNTA('4. Physical Storage Controls'!A11:A60)</f>
        <v/>
      </c>
      <c r="C8" s="31">
        <f>COUNTIF('4. Physical Storage Controls'!F11:F60,"Compliant")</f>
        <v/>
      </c>
      <c r="D8" s="31">
        <f>COUNTIF('4. Physical Storage Controls'!F11:F60,"Partial")</f>
        <v/>
      </c>
      <c r="E8" s="31">
        <f>COUNTIF('4. Physical Storage Controls'!F11:F60,"Non-Compliant")</f>
        <v/>
      </c>
      <c r="F8" s="31">
        <f>COUNTIF('4. Physical Storage Controls'!F11:F60,"N/A")</f>
        <v/>
      </c>
      <c r="G8" s="32">
        <f>IF((B8-F8)=0,0,C8/(B8-F8))</f>
        <v/>
      </c>
    </row>
    <row r="9">
      <c r="A9" s="30" t="inlineStr">
        <is>
          <t>Media Use Procedures</t>
        </is>
      </c>
      <c r="B9" s="31">
        <f>COUNTA('5. Media Use Procedures'!A11:A60)</f>
        <v/>
      </c>
      <c r="C9" s="31">
        <f>COUNTIF('5. Media Use Procedures'!F11:F60,"Compliant")</f>
        <v/>
      </c>
      <c r="D9" s="31">
        <f>COUNTIF('5. Media Use Procedures'!F11:F60,"Partial")</f>
        <v/>
      </c>
      <c r="E9" s="31">
        <f>COUNTIF('5. Media Use Procedures'!F11:F60,"Non-Compliant")</f>
        <v/>
      </c>
      <c r="F9" s="31">
        <f>COUNTIF('5. Media Use Procedures'!F11:F60,"N/A")</f>
        <v/>
      </c>
      <c r="G9" s="32">
        <f>IF((B9-F9)=0,0,C9/(B9-F9))</f>
        <v/>
      </c>
    </row>
    <row r="10">
      <c r="A10" s="30" t="inlineStr">
        <is>
          <t>Incident Response</t>
        </is>
      </c>
      <c r="B10" s="31">
        <f>COUNTA('6. Incident Response'!A11:A60)</f>
        <v/>
      </c>
      <c r="C10" s="31">
        <f>COUNTIF('6. Incident Response'!F11:F60,"Compliant")</f>
        <v/>
      </c>
      <c r="D10" s="31">
        <f>COUNTIF('6. Incident Response'!F11:F60,"Partial")</f>
        <v/>
      </c>
      <c r="E10" s="31">
        <f>COUNTIF('6. Incident Response'!F11:F60,"Non-Compliant")</f>
        <v/>
      </c>
      <c r="F10" s="31">
        <f>COUNTIF('6. Incident Response'!F11:F60,"N/A")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Procedures / Controls Assessed</t>
        </is>
      </c>
      <c r="B15" s="31">
        <f>COUNTA('2. Media Access Controls'!A11:A60)+COUNTA('3. Transportation Security'!A11:A60)+COUNTA('4. Physical Storage Controls'!A11:A60)+COUNTA('5. Media Use Procedures'!A11:A60)+COUNTA('6. Incident Response'!A11:A60)</f>
        <v/>
      </c>
      <c r="C15" s="26" t="n"/>
      <c r="D15" s="26" t="n"/>
      <c r="E15" s="26" t="n"/>
      <c r="F15" s="26" t="n"/>
      <c r="G15" s="26" t="n"/>
    </row>
    <row r="16">
      <c r="A16" s="30" t="inlineStr">
        <is>
          <t>Non-Compliant Access Controls</t>
        </is>
      </c>
      <c r="B16" s="31">
        <f>COUNTIF('2. Media Access Controls'!F11:F60,"Non-Compliant")</f>
        <v/>
      </c>
      <c r="C16" s="26" t="n"/>
      <c r="D16" s="26" t="n"/>
      <c r="E16" s="26" t="n"/>
      <c r="F16" s="26" t="n"/>
      <c r="G16" s="26" t="n"/>
    </row>
    <row r="17">
      <c r="A17" s="30" t="inlineStr">
        <is>
          <t>Non-Compliant Transport Procedures</t>
        </is>
      </c>
      <c r="B17" s="31">
        <f>COUNTIF('3. Transportation Security'!F11:F60,"Non-Compliant")</f>
        <v/>
      </c>
      <c r="C17" s="26" t="n"/>
      <c r="D17" s="26" t="n"/>
      <c r="E17" s="26" t="n"/>
      <c r="F17" s="26" t="n"/>
      <c r="G17" s="26" t="n"/>
    </row>
    <row r="18">
      <c r="A18" s="30" t="inlineStr">
        <is>
          <t>Non-Compliant Storage Controls</t>
        </is>
      </c>
      <c r="B18" s="31">
        <f>COUNTIF('4. Physical Storage Controls'!F11:F60,"Non-Compliant")</f>
        <v/>
      </c>
      <c r="C18" s="26" t="n"/>
      <c r="D18" s="26" t="n"/>
      <c r="E18" s="26" t="n"/>
      <c r="F18" s="26" t="n"/>
      <c r="G18" s="26" t="n"/>
    </row>
    <row r="19">
      <c r="A19" s="30" t="inlineStr">
        <is>
          <t>Secure Courier Usage</t>
        </is>
      </c>
      <c r="B19" s="31">
        <f>COUNTIF('3. Transportation Security'!R11:R60,"Secure Courier")</f>
        <v/>
      </c>
      <c r="C19" s="26" t="n"/>
      <c r="D19" s="26" t="n"/>
      <c r="E19" s="26" t="n"/>
      <c r="F19" s="26" t="n"/>
      <c r="G19" s="26" t="n"/>
    </row>
    <row r="20">
      <c r="A20" s="30" t="inlineStr">
        <is>
          <t>Chain of Custody — Full Documentation</t>
        </is>
      </c>
      <c r="B20" s="31">
        <f>COUNTIF('3. Transportation Security'!S11:S60,"Yes - Full Documentation")</f>
        <v/>
      </c>
      <c r="C20" s="26" t="n"/>
      <c r="D20" s="26" t="n"/>
      <c r="E20" s="26" t="n"/>
      <c r="F20" s="26" t="n"/>
      <c r="G20" s="26" t="n"/>
    </row>
    <row r="21">
      <c r="A21" s="30" t="inlineStr">
        <is>
          <t>Chain of Custody — Missing Records</t>
        </is>
      </c>
      <c r="B21" s="31">
        <f>COUNTIF('3. Transportation Security'!S11:S60,"No")</f>
        <v/>
      </c>
      <c r="C21" s="26" t="n"/>
      <c r="D21" s="26" t="n"/>
      <c r="E21" s="26" t="n"/>
      <c r="F21" s="26" t="n"/>
      <c r="G21" s="26" t="n"/>
    </row>
    <row r="22">
      <c r="A22" s="30" t="inlineStr">
        <is>
          <t>Physical Storage — Secure Facility</t>
        </is>
      </c>
      <c r="B22" s="31">
        <f>COUNTIF('4. Physical Storage Controls'!R11:R60,"Locked Cabinet")+COUNTIF('4. Physical Storage Controls'!R11:R60,"Fire-Rated Safe")+COUNTIF('4. Physical Storage Controls'!R11:R60,"Secure Vault")</f>
        <v/>
      </c>
      <c r="C22" s="26" t="n"/>
      <c r="D22" s="26" t="n"/>
      <c r="E22" s="26" t="n"/>
      <c r="F22" s="26" t="n"/>
      <c r="G22" s="26" t="n"/>
    </row>
    <row r="23">
      <c r="A23" s="30" t="inlineStr">
        <is>
          <t>Staff Training Provided</t>
        </is>
      </c>
      <c r="B23" s="31">
        <f>COUNTIF('5. Media Use Procedures'!S11:S60,"Yes - Initial Only")+COUNTIF('5. Media Use Procedures'!S11:S60,"Yes - Annual Refresh")+COUNTIF('5. Media Use Procedures'!S11:S60,"Yes - Quarterly")</f>
        <v/>
      </c>
      <c r="C23" s="26" t="n"/>
      <c r="D23" s="26" t="n"/>
      <c r="E23" s="26" t="n"/>
      <c r="F23" s="26" t="n"/>
      <c r="G23" s="26" t="n"/>
    </row>
    <row r="24">
      <c r="A24" s="30" t="inlineStr">
        <is>
          <t>High / Critical Risk Procedures</t>
        </is>
      </c>
      <c r="B24" s="31">
        <f>COUNTIF('2. Media Access Controls'!M11:M60,"Critical")+COUNTIF('2. Media Access Controls'!M11:M60,"High")+COUNTIF('3. Transportation Security'!M11:M60,"Critical")+COUNTIF('3. Transportation Security'!M11:M60,"High")+COUNTIF('4. Physical Storage Controls'!M11:M60,"Critical")+COUNTIF('4. Physical Storage Controls'!M11:M60,"High")</f>
        <v/>
      </c>
      <c r="C24" s="26" t="n"/>
      <c r="D24" s="26" t="n"/>
      <c r="E24" s="26" t="n"/>
      <c r="F24" s="26" t="n"/>
      <c r="G24" s="26" t="n"/>
    </row>
    <row r="25">
      <c r="A25" s="26" t="n"/>
      <c r="B25" s="26" t="n"/>
      <c r="C25" s="26" t="n"/>
      <c r="D25" s="26" t="n"/>
      <c r="E25" s="26" t="n"/>
      <c r="F25" s="26" t="n"/>
      <c r="G25" s="26" t="n"/>
    </row>
    <row r="26">
      <c r="A26" s="26" t="n"/>
      <c r="B26" s="26" t="n"/>
      <c r="C26" s="26" t="n"/>
      <c r="D26" s="26" t="n"/>
      <c r="E26" s="26" t="n"/>
      <c r="F26" s="26" t="n"/>
      <c r="G26" s="26" t="n"/>
    </row>
    <row r="28">
      <c r="A28" s="36" t="inlineStr">
        <is>
          <t>TABLE 3: CRITICAL FINDINGS REQUIRING IMMEDIATE ATTENTION</t>
        </is>
      </c>
      <c r="B28" s="26" t="n"/>
      <c r="C28" s="26" t="n"/>
      <c r="D28" s="26" t="n"/>
      <c r="E28" s="26" t="n"/>
      <c r="F28" s="26" t="n"/>
      <c r="G28" s="26" t="n"/>
    </row>
    <row r="29">
      <c r="A29" s="34" t="inlineStr">
        <is>
          <t>Category</t>
        </is>
      </c>
      <c r="B29" s="34" t="inlineStr">
        <is>
          <t>Finding</t>
        </is>
      </c>
      <c r="C29" s="34" t="inlineStr">
        <is>
          <t>Count</t>
        </is>
      </c>
      <c r="D29" s="34" t="inlineStr">
        <is>
          <t>Severity</t>
        </is>
      </c>
      <c r="E29" s="34" t="inlineStr">
        <is>
          <t>Action Required</t>
        </is>
      </c>
      <c r="F29" s="34" t="n"/>
      <c r="G29" s="34" t="n"/>
    </row>
    <row r="30">
      <c r="A30" s="37" t="inlineStr">
        <is>
          <t>Access Controls</t>
        </is>
      </c>
      <c r="B30" s="37" t="inlineStr">
        <is>
          <t>Non-compliant access controls</t>
        </is>
      </c>
      <c r="C30" s="38">
        <f>COUNTIF('2. Media Access Controls'!F11:F60,"Non-Compliant")</f>
        <v/>
      </c>
      <c r="D30" s="37" t="inlineStr">
        <is>
          <t>Critical</t>
        </is>
      </c>
      <c r="E30" s="37" t="inlineStr">
        <is>
          <t>Immediate</t>
        </is>
      </c>
      <c r="F30" s="37" t="n"/>
      <c r="G30" s="37" t="n"/>
    </row>
    <row r="31">
      <c r="A31" s="37" t="inlineStr">
        <is>
          <t>Transportation</t>
        </is>
      </c>
      <c r="B31" s="37" t="inlineStr">
        <is>
          <t>Non-compliant transport security</t>
        </is>
      </c>
      <c r="C31" s="38">
        <f>COUNTIF('3. Transportation Security'!F11:F60,"Non-Compliant")</f>
        <v/>
      </c>
      <c r="D31" s="37" t="inlineStr">
        <is>
          <t>Critical</t>
        </is>
      </c>
      <c r="E31" s="37" t="inlineStr">
        <is>
          <t>Immediate</t>
        </is>
      </c>
      <c r="F31" s="37" t="n"/>
      <c r="G31" s="37" t="n"/>
    </row>
    <row r="32">
      <c r="A32" s="37" t="inlineStr">
        <is>
          <t>Transportation</t>
        </is>
      </c>
      <c r="B32" s="37" t="inlineStr">
        <is>
          <t>Missing chain of custody records</t>
        </is>
      </c>
      <c r="C32" s="38">
        <f>COUNTIF('3. Transportation Security'!S11:S60,"No")</f>
        <v/>
      </c>
      <c r="D32" s="37" t="inlineStr">
        <is>
          <t>Critical</t>
        </is>
      </c>
      <c r="E32" s="37" t="inlineStr">
        <is>
          <t>Immediate</t>
        </is>
      </c>
      <c r="F32" s="37" t="n"/>
      <c r="G32" s="37" t="n"/>
    </row>
    <row r="33">
      <c r="A33" s="37" t="inlineStr">
        <is>
          <t>Physical Storage</t>
        </is>
      </c>
      <c r="B33" s="37" t="inlineStr">
        <is>
          <t>Non-compliant storage controls</t>
        </is>
      </c>
      <c r="C33" s="38">
        <f>COUNTIF('4. Physical Storage Controls'!F11:F60,"Non-Compliant")</f>
        <v/>
      </c>
      <c r="D33" s="37" t="inlineStr">
        <is>
          <t>High</t>
        </is>
      </c>
      <c r="E33" s="37" t="inlineStr">
        <is>
          <t>Urgent</t>
        </is>
      </c>
      <c r="F33" s="37" t="n"/>
      <c r="G33" s="37" t="n"/>
    </row>
    <row r="34">
      <c r="A34" s="37" t="inlineStr">
        <is>
          <t>Use Procedures</t>
        </is>
      </c>
      <c r="B34" s="37" t="inlineStr">
        <is>
          <t>Non-compliant media use procedures</t>
        </is>
      </c>
      <c r="C34" s="38">
        <f>COUNTIF('5. Media Use Procedures'!F11:F60,"Non-Compliant")</f>
        <v/>
      </c>
      <c r="D34" s="37" t="inlineStr">
        <is>
          <t>High</t>
        </is>
      </c>
      <c r="E34" s="37" t="inlineStr">
        <is>
          <t>Urgent</t>
        </is>
      </c>
      <c r="F34" s="37" t="n"/>
      <c r="G34" s="37" t="n"/>
    </row>
    <row r="35">
      <c r="A35" s="39" t="n"/>
      <c r="B35" s="39" t="n"/>
      <c r="C35" s="39" t="n"/>
      <c r="D35" s="39" t="n"/>
      <c r="E35" s="39" t="n"/>
      <c r="F35" s="39" t="n"/>
      <c r="G35" s="39" t="n"/>
    </row>
    <row r="36">
      <c r="A36" s="39" t="n"/>
      <c r="B36" s="39" t="n"/>
      <c r="C36" s="39" t="n"/>
      <c r="D36" s="39" t="n"/>
      <c r="E36" s="39" t="n"/>
      <c r="F36" s="39" t="n"/>
      <c r="G36" s="39" t="n"/>
    </row>
  </sheetData>
  <mergeCells count="5">
    <mergeCell ref="A13:G13"/>
    <mergeCell ref="A1:G1"/>
    <mergeCell ref="A4:G4"/>
    <mergeCell ref="A2:G2"/>
    <mergeCell ref="A28:G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ISMS-IMP-A.7.10.2 - Media Handling Procedures</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ISMS-IMP-A.7.10.2 — Media Handling Procedures</dc:title>
  <dc:description xmlns:dc="http://purl.org/dc/elements/1.1/">ISMS Implementation Workbook — ISMS-IMP-A.7.10.2</dc:description>
  <dc:subject xmlns:dc="http://purl.org/dc/elements/1.1/">ISO/IEC 27001:2022 — Control A.7.10: Storage Media</dc:subject>
  <dcterms:created xmlns:dcterms="http://purl.org/dc/terms/" xmlns:xsi="http://www.w3.org/2001/XMLSchema-instance" xsi:type="dcterms:W3CDTF">2026-03-07T11:27:54Z</dcterms:created>
  <dcterms:modified xmlns:dcterms="http://purl.org/dc/terms/" xmlns:xsi="http://www.w3.org/2001/XMLSchema-instance" xsi:type="dcterms:W3CDTF">2026-03-07T11:27:55Z</dcterms:modified>
</cp:coreProperties>
</file>