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sheetId="2" state="visible" r:id="rId2"/>
    <sheet xmlns:r="http://schemas.openxmlformats.org/officeDocument/2006/relationships" name="Building Perimeter" sheetId="3" state="visible" r:id="rId3"/>
    <sheet xmlns:r="http://schemas.openxmlformats.org/officeDocument/2006/relationships" name="Internal Perimeters" sheetId="4" state="visible" r:id="rId4"/>
    <sheet xmlns:r="http://schemas.openxmlformats.org/officeDocument/2006/relationships" name="Perimeter Monitoring"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ISMS-IMP-A.7.1.1  -  Perimeter Security Assessment
ISO/IEC 27001:2022 - Control A.7.1: Physical Security Perimeters</t>
        </is>
      </c>
    </row>
    <row r="3">
      <c r="A3" s="2" t="inlineStr">
        <is>
          <t>Document Information</t>
        </is>
      </c>
    </row>
    <row r="4">
      <c r="A4" s="3" t="inlineStr">
        <is>
          <t>Document ID</t>
        </is>
      </c>
      <c r="B4" t="inlineStr">
        <is>
          <t>ISMS-IMP-A.7.1.1</t>
        </is>
      </c>
    </row>
    <row r="5">
      <c r="A5" s="3" t="inlineStr">
        <is>
          <t>Workbook Title</t>
        </is>
      </c>
      <c r="B5" t="inlineStr">
        <is>
          <t>Perimeter Security Assessment</t>
        </is>
      </c>
    </row>
    <row r="6">
      <c r="A6" s="3" t="inlineStr">
        <is>
          <t>Control Reference</t>
        </is>
      </c>
      <c r="B6" t="inlineStr">
        <is>
          <t>ISO/IEC 27001:2022 - Control A.7.1: Physical Security Perimeters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security perimeters.</t>
        </is>
      </c>
    </row>
    <row r="14">
      <c r="A14" t="inlineStr">
        <is>
          <t>2. Document all facility perimeters (building exterior, internal zones).</t>
        </is>
      </c>
    </row>
    <row r="15">
      <c r="A15" t="inlineStr">
        <is>
          <t>3. Assess perimeter construction against policy requirements.</t>
        </is>
      </c>
    </row>
    <row r="16">
      <c r="A16" t="inlineStr">
        <is>
          <t>4. Identify gaps between actual and required security measures.</t>
        </is>
      </c>
    </row>
    <row r="17">
      <c r="A17" t="inlineStr">
        <is>
          <t>5. Use dropdown menus for standardised status entries.</t>
        </is>
      </c>
    </row>
    <row r="18">
      <c r="A18" t="inlineStr">
        <is>
          <t>6. Fill in yellow-highlighted cells with your facility information.</t>
        </is>
      </c>
    </row>
    <row r="19">
      <c r="A19" t="inlineStr">
        <is>
          <t>7. Summary Dashboard auto-calculates compliance metrics.</t>
        </is>
      </c>
    </row>
    <row r="20">
      <c r="A20" t="inlineStr">
        <is>
          <t>8. Obtain final approval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2" customWidth="1" min="1" max="1"/>
    <col width="25" customWidth="1" min="2" max="2"/>
    <col width="18" customWidth="1" min="3" max="3"/>
    <col width="25" customWidth="1" min="4" max="4"/>
    <col width="18" customWidth="1" min="5" max="5"/>
    <col width="30" customWidth="1" min="6" max="6"/>
    <col width="15" customWidth="1" min="7" max="7"/>
    <col width="18" customWidth="1" min="8" max="8"/>
    <col width="35" customWidth="1" min="9" max="9"/>
  </cols>
  <sheetData>
    <row r="1" ht="35" customHeight="1">
      <c r="A1" s="11" t="inlineStr">
        <is>
          <t>SECURITY ZONE DEFINITION
Policy Requirement: All facilities must have defined and documented security zones</t>
        </is>
      </c>
    </row>
    <row r="2" ht="20" customHeight="1">
      <c r="A2" s="12" t="inlineStr">
        <is>
          <t>ISO 27001:2022 | Control A.7.1 | Physical Security Perimeters</t>
        </is>
      </c>
    </row>
    <row r="3" ht="30" customHeight="1">
      <c r="A3" s="13" t="inlineStr">
        <is>
          <t>Are all facility areas classified into appropriate security zones with documented perimeters?</t>
        </is>
      </c>
    </row>
    <row r="4">
      <c r="A4" s="3" t="inlineStr">
        <is>
          <t>Response:</t>
        </is>
      </c>
      <c r="B4" s="14" t="n"/>
    </row>
    <row r="6">
      <c r="A6" s="15" t="inlineStr">
        <is>
          <t>Zone ID</t>
        </is>
      </c>
      <c r="B6" s="15" t="inlineStr">
        <is>
          <t>Zone Name</t>
        </is>
      </c>
      <c r="C6" s="15" t="inlineStr">
        <is>
          <t>Zone Type</t>
        </is>
      </c>
      <c r="D6" s="15" t="inlineStr">
        <is>
          <t>Location/Building</t>
        </is>
      </c>
      <c r="E6" s="15" t="inlineStr">
        <is>
          <t>Classification</t>
        </is>
      </c>
      <c r="F6" s="15" t="inlineStr">
        <is>
          <t>Access Requirements</t>
        </is>
      </c>
      <c r="G6" s="15" t="inlineStr">
        <is>
          <t>Perimeter Defined</t>
        </is>
      </c>
      <c r="H6" s="15" t="inlineStr">
        <is>
          <t>Status</t>
        </is>
      </c>
      <c r="I6" s="15" t="inlineStr">
        <is>
          <t>Notes</t>
        </is>
      </c>
    </row>
    <row r="7">
      <c r="A7" s="16" t="inlineStr">
        <is>
          <t>ZN-001</t>
        </is>
      </c>
      <c r="B7" s="16" t="inlineStr">
        <is>
          <t>Main Entrance Lobby</t>
        </is>
      </c>
      <c r="C7" s="16" t="inlineStr">
        <is>
          <t>Public Zone</t>
        </is>
      </c>
      <c r="D7" s="16" t="inlineStr">
        <is>
          <t>Building A, Ground Floor</t>
        </is>
      </c>
      <c r="E7" s="16" t="inlineStr">
        <is>
          <t>Tier 3 - Standard</t>
        </is>
      </c>
      <c r="F7" s="16" t="inlineStr">
        <is>
          <t>No authentication required</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"Public Zone,Controlled Zone,Restricted Zone,High-Security Zone"</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"Tier 1 - Critical,Tier 2 - Important,Tier 3 - Standard"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25" customWidth="1" min="1" max="1"/>
    <col width="20" customWidth="1" min="2" max="2"/>
    <col width="20" customWidth="1" min="3" max="3"/>
    <col width="15" customWidth="1" min="4" max="4"/>
    <col width="20" customWidth="1" min="5" max="5"/>
    <col width="25" customWidth="1" min="6" max="6"/>
    <col width="15" customWidth="1" min="7" max="7"/>
    <col width="18" customWidth="1" min="8" max="8"/>
    <col width="18" customWidth="1" min="9" max="9"/>
    <col width="35" customWidth="1" min="10" max="10"/>
  </cols>
  <sheetData>
    <row r="1" ht="35" customHeight="1">
      <c r="A1" s="11" t="inlineStr">
        <is>
          <t>BUILDING PERIMETER ASSESSMENT
Policy Requirement: Physically sound perimeters with no gaps for unauthorised entry</t>
        </is>
      </c>
    </row>
    <row r="2" ht="20" customHeight="1">
      <c r="A2" s="12" t="inlineStr">
        <is>
          <t>ISO 27001:2022 | Control A.7.1 | Physical Security Perimeters</t>
        </is>
      </c>
    </row>
    <row r="3" ht="30" customHeight="1">
      <c r="A3" s="13" t="inlineStr">
        <is>
          <t>Are all building perimeters (walls, roofs, floors) of solid construction with appropriate security controls?</t>
        </is>
      </c>
    </row>
    <row r="4">
      <c r="A4" s="3" t="inlineStr">
        <is>
          <t>Response:</t>
        </is>
      </c>
      <c r="B4" s="14" t="n"/>
    </row>
    <row r="6">
      <c r="A6" s="15" t="inlineStr">
        <is>
          <t>Building/Facility</t>
        </is>
      </c>
      <c r="B6" s="15" t="inlineStr">
        <is>
          <t>Perimeter Element</t>
        </is>
      </c>
      <c r="C6" s="15" t="inlineStr">
        <is>
          <t>Construction Type</t>
        </is>
      </c>
      <c r="D6" s="15" t="inlineStr">
        <is>
          <t>Solid Construction</t>
        </is>
      </c>
      <c r="E6" s="15" t="inlineStr">
        <is>
          <t>Gap/Breach Points</t>
        </is>
      </c>
      <c r="F6" s="15" t="inlineStr">
        <is>
          <t>Security Controls</t>
        </is>
      </c>
      <c r="G6" s="15" t="inlineStr">
        <is>
          <t>Last Inspection</t>
        </is>
      </c>
      <c r="H6" s="15" t="inlineStr">
        <is>
          <t>Inspector</t>
        </is>
      </c>
      <c r="I6" s="15" t="inlineStr">
        <is>
          <t>Status</t>
        </is>
      </c>
      <c r="J6" s="15" t="inlineStr">
        <is>
          <t>Notes</t>
        </is>
      </c>
    </row>
    <row r="7">
      <c r="A7" s="16" t="inlineStr">
        <is>
          <t>Building A</t>
        </is>
      </c>
      <c r="B7" s="16" t="inlineStr">
        <is>
          <t>External Wall</t>
        </is>
      </c>
      <c r="C7" s="16" t="inlineStr">
        <is>
          <t>Reinforced Concrete</t>
        </is>
      </c>
      <c r="D7" s="16" t="inlineStr">
        <is>
          <t>Yes</t>
        </is>
      </c>
      <c r="E7" s="16" t="inlineStr">
        <is>
          <t>None identified</t>
        </is>
      </c>
      <c r="F7" s="16" t="inlineStr">
        <is>
          <t>CCTV, security patrols</t>
        </is>
      </c>
      <c r="G7" s="16" t="inlineStr">
        <is>
          <t>01.01.2026</t>
        </is>
      </c>
      <c r="H7" s="16" t="inlineStr">
        <is>
          <t>Facilities Manager</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"External Wall,Roof,Floor,Window,External Door,Emergency Exit,Loading Dock,Other"</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0" customWidth="1" min="1" max="1"/>
    <col width="20" customWidth="1" min="2" max="2"/>
    <col width="20" customWidth="1" min="3" max="3"/>
    <col width="15" customWidth="1" min="4" max="4"/>
    <col width="18" customWidth="1" min="5" max="5"/>
    <col width="18" customWidth="1" min="6" max="6"/>
    <col width="20" customWidth="1" min="7" max="7"/>
    <col width="18" customWidth="1" min="8" max="8"/>
    <col width="35" customWidth="1" min="9" max="9"/>
  </cols>
  <sheetData>
    <row r="1" ht="35" customHeight="1">
      <c r="A1" s="11" t="inlineStr">
        <is>
          <t>INTERNAL PERIMETER ASSESSMENT
Policy Requirement: Internal zone perimeters extend floor-to-ceiling with access controls</t>
        </is>
      </c>
    </row>
    <row r="2" ht="20" customHeight="1">
      <c r="A2" s="12" t="inlineStr">
        <is>
          <t>ISO 27001:2022 | Control A.7.1 | Physical Security Perimeters</t>
        </is>
      </c>
    </row>
    <row r="3" ht="30" customHeight="1">
      <c r="A3" s="13" t="inlineStr">
        <is>
          <t>Do internal perimeters between security zones extend from floor to ceiling with appropriate access controls?</t>
        </is>
      </c>
    </row>
    <row r="4">
      <c r="A4" s="3" t="inlineStr">
        <is>
          <t>Response:</t>
        </is>
      </c>
      <c r="B4" s="14" t="n"/>
    </row>
    <row r="6">
      <c r="A6" s="15" t="inlineStr">
        <is>
          <t>From Zone</t>
        </is>
      </c>
      <c r="B6" s="15" t="inlineStr">
        <is>
          <t>To Zone</t>
        </is>
      </c>
      <c r="C6" s="15" t="inlineStr">
        <is>
          <t>Barrier Type</t>
        </is>
      </c>
      <c r="D6" s="15" t="inlineStr">
        <is>
          <t>Floor-to-Ceiling</t>
        </is>
      </c>
      <c r="E6" s="15" t="inlineStr">
        <is>
          <t>Above Ceiling Check</t>
        </is>
      </c>
      <c r="F6" s="15" t="inlineStr">
        <is>
          <t>Below Floor Check</t>
        </is>
      </c>
      <c r="G6" s="15" t="inlineStr">
        <is>
          <t>Access Control</t>
        </is>
      </c>
      <c r="H6" s="15" t="inlineStr">
        <is>
          <t>Status</t>
        </is>
      </c>
      <c r="I6" s="15" t="inlineStr">
        <is>
          <t>Notes</t>
        </is>
      </c>
    </row>
    <row r="7">
      <c r="A7" s="16" t="inlineStr">
        <is>
          <t>Public Zone</t>
        </is>
      </c>
      <c r="B7" s="16" t="inlineStr">
        <is>
          <t>Controlled Zone</t>
        </is>
      </c>
      <c r="C7" s="16" t="inlineStr">
        <is>
          <t>Solid Wall</t>
        </is>
      </c>
      <c r="D7" s="16" t="inlineStr">
        <is>
          <t>Yes</t>
        </is>
      </c>
      <c r="E7" s="16" t="inlineStr">
        <is>
          <t>Yes</t>
        </is>
      </c>
      <c r="F7" s="16" t="inlineStr">
        <is>
          <t>Yes</t>
        </is>
      </c>
      <c r="G7" s="16" t="inlineStr">
        <is>
          <t>Badge reader</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"Solid Wall,Glass Partition,Demountable Partition,Security Cage,Other"</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PERIMETER MONITORING ASSESSMENT
Policy Requirement: CCTV and intrusion detection at all perimeter entry points</t>
        </is>
      </c>
    </row>
    <row r="2" ht="20" customHeight="1">
      <c r="A2" s="12" t="inlineStr">
        <is>
          <t>ISO 27001:2022 | Control A.7.1 | Physical Security Perimeters</t>
        </is>
      </c>
    </row>
    <row r="3" ht="30" customHeight="1">
      <c r="A3" s="13" t="inlineStr">
        <is>
          <t>Is CCTV coverage and intrusion detection provided at all perimeter entry points?</t>
        </is>
      </c>
    </row>
    <row r="4">
      <c r="A4" s="3" t="inlineStr">
        <is>
          <t>Response:</t>
        </is>
      </c>
      <c r="B4" s="14" t="n"/>
    </row>
    <row r="6">
      <c r="A6" s="15" t="inlineStr">
        <is>
          <t>Entry Point ID</t>
        </is>
      </c>
      <c r="B6" s="15" t="inlineStr">
        <is>
          <t>Location</t>
        </is>
      </c>
      <c r="C6" s="15" t="inlineStr">
        <is>
          <t>Entry Type</t>
        </is>
      </c>
      <c r="D6" s="15" t="inlineStr">
        <is>
          <t>CCTV Coverage</t>
        </is>
      </c>
      <c r="E6" s="15" t="inlineStr">
        <is>
          <t>Intrusion Detection</t>
        </is>
      </c>
      <c r="F6" s="15" t="inlineStr">
        <is>
          <t>Alert Response</t>
        </is>
      </c>
      <c r="G6" s="15" t="inlineStr">
        <is>
          <t>Last Tested</t>
        </is>
      </c>
      <c r="H6" s="15" t="inlineStr">
        <is>
          <t>Status</t>
        </is>
      </c>
      <c r="I6" s="15" t="inlineStr">
        <is>
          <t>Notes</t>
        </is>
      </c>
    </row>
    <row r="7">
      <c r="A7" s="16" t="inlineStr">
        <is>
          <t>EP-001</t>
        </is>
      </c>
      <c r="B7" s="16" t="inlineStr">
        <is>
          <t>Main Entrance</t>
        </is>
      </c>
      <c r="C7" s="16" t="inlineStr">
        <is>
          <t>Main Entrance</t>
        </is>
      </c>
      <c r="D7" s="16" t="inlineStr">
        <is>
          <t>Yes</t>
        </is>
      </c>
      <c r="E7" s="16" t="inlineStr">
        <is>
          <t>Yes</t>
        </is>
      </c>
      <c r="F7" s="16" t="inlineStr">
        <is>
          <t>24/7 Security Desk</t>
        </is>
      </c>
      <c r="G7" s="16" t="inlineStr">
        <is>
          <t>01.01.2026</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"Main Entrance,Side Door,Emergency Exit,Window,Loading Dock,Roof Access,Vent/Service Point"</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showDropDown="0" showInputMessage="0" showErrorMessage="0" allowBlank="0" type="list">
      <formula1>"Yes,No,Partial"</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"Floor plan,Photograph,Inspection report,Configuration file,Test report,Policy document,Other"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PERIMETER SECURITY ASSESSMENT — SUMMARY DASHBOARD</t>
        </is>
      </c>
      <c r="B1" s="23" t="n"/>
      <c r="C1" s="23" t="n"/>
      <c r="D1" s="23" t="n"/>
      <c r="E1" s="23" t="n"/>
      <c r="F1" s="23" t="n"/>
      <c r="G1" s="23" t="n"/>
    </row>
    <row r="2">
      <c r="A2" s="24" t="inlineStr">
        <is>
          <t>A.7.1 – Physical Security Perimeters: Zone, Barrier, Internal and Monitoring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Security Zones</t>
        </is>
      </c>
      <c r="B6" s="28">
        <f>COUNTA('Security Zones'!B8:B57)</f>
        <v/>
      </c>
      <c r="C6" s="28">
        <f>COUNTIF('Security Zones'!H8:H57,"✅*")</f>
        <v/>
      </c>
      <c r="D6" s="28">
        <f>COUNTIF('Security Zones'!H8:H57,"⚠*")</f>
        <v/>
      </c>
      <c r="E6" s="28">
        <f>COUNTIF('Security Zones'!H8:H57,"❌*")</f>
        <v/>
      </c>
      <c r="F6" s="28">
        <f>COUNTIF('Security Zones'!H8:H57,"N/A")</f>
        <v/>
      </c>
      <c r="G6" s="29">
        <f>IF((B6-F6)=0,0,C6/(B6-F6))</f>
        <v/>
      </c>
    </row>
    <row r="7">
      <c r="A7" s="27" t="inlineStr">
        <is>
          <t>Building Perimeter</t>
        </is>
      </c>
      <c r="B7" s="28">
        <f>COUNTA('Building Perimeter'!A8:A57)</f>
        <v/>
      </c>
      <c r="C7" s="28">
        <f>COUNTIF('Building Perimeter'!I8:I57,"✅*")</f>
        <v/>
      </c>
      <c r="D7" s="28">
        <f>COUNTIF('Building Perimeter'!I8:I57,"⚠*")</f>
        <v/>
      </c>
      <c r="E7" s="28">
        <f>COUNTIF('Building Perimeter'!I8:I57,"❌*")</f>
        <v/>
      </c>
      <c r="F7" s="28">
        <f>COUNTIF('Building Perimeter'!I8:I57,"N/A")</f>
        <v/>
      </c>
      <c r="G7" s="29">
        <f>IF((B7-F7)=0,0,C7/(B7-F7))</f>
        <v/>
      </c>
    </row>
    <row r="8">
      <c r="A8" s="27" t="inlineStr">
        <is>
          <t>Internal Perimeters</t>
        </is>
      </c>
      <c r="B8" s="28">
        <f>COUNTA('Internal Perimeters'!A8:A57)</f>
        <v/>
      </c>
      <c r="C8" s="28">
        <f>COUNTIF('Internal Perimeters'!H8:H57,"✅*")</f>
        <v/>
      </c>
      <c r="D8" s="28">
        <f>COUNTIF('Internal Perimeters'!H8:H57,"⚠*")</f>
        <v/>
      </c>
      <c r="E8" s="28">
        <f>COUNTIF('Internal Perimeters'!H8:H57,"❌*")</f>
        <v/>
      </c>
      <c r="F8" s="28">
        <f>COUNTIF('Internal Perimeters'!H8:H57,"N/A")</f>
        <v/>
      </c>
      <c r="G8" s="29">
        <f>IF((B8-F8)=0,0,C8/(B8-F8))</f>
        <v/>
      </c>
    </row>
    <row r="9">
      <c r="A9" s="27" t="inlineStr">
        <is>
          <t>Perimeter Monitoring</t>
        </is>
      </c>
      <c r="B9" s="28">
        <f>COUNTA('Perimeter Monitoring'!A8:A57)</f>
        <v/>
      </c>
      <c r="C9" s="28">
        <f>COUNTIF('Perimeter Monitoring'!H8:H57,"✅*")</f>
        <v/>
      </c>
      <c r="D9" s="28">
        <f>COUNTIF('Perimeter Monitoring'!H8:H57,"⚠*")</f>
        <v/>
      </c>
      <c r="E9" s="28">
        <f>COUNTIF('Perimeter Monitoring'!H8:H57,"❌*")</f>
        <v/>
      </c>
      <c r="F9" s="28">
        <f>COUNTIF('Perimeter Monitoring'!H8:H57,"N/A")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Security Zones Assessed</t>
        </is>
      </c>
      <c r="B14" s="28">
        <f>COUNTA('Security Zones'!B8:B57)</f>
        <v/>
      </c>
      <c r="C14" s="23" t="n"/>
      <c r="D14" s="23" t="n"/>
      <c r="E14" s="23" t="n"/>
      <c r="F14" s="23" t="n"/>
      <c r="G14" s="23" t="n"/>
    </row>
    <row r="15">
      <c r="A15" s="27" t="inlineStr">
        <is>
          <t>High-Security Zones</t>
        </is>
      </c>
      <c r="B15" s="28">
        <f>COUNTIF('Security Zones'!C8:C57,"High-Security Zone")</f>
        <v/>
      </c>
      <c r="C15" s="23" t="n"/>
      <c r="D15" s="23" t="n"/>
      <c r="E15" s="23" t="n"/>
      <c r="F15" s="23" t="n"/>
      <c r="G15" s="23" t="n"/>
    </row>
    <row r="16">
      <c r="A16" s="27" t="inlineStr">
        <is>
          <t>Critical Classification Zones (Tier 1)</t>
        </is>
      </c>
      <c r="B16" s="28">
        <f>COUNTIF('Security Zones'!E8:E57,"Tier 1 - Critical")</f>
        <v/>
      </c>
      <c r="C16" s="23" t="n"/>
      <c r="D16" s="23" t="n"/>
      <c r="E16" s="23" t="n"/>
      <c r="F16" s="23" t="n"/>
      <c r="G16" s="23" t="n"/>
    </row>
    <row r="17">
      <c r="A17" s="27" t="inlineStr">
        <is>
          <t>Zones with Perimeter Defined</t>
        </is>
      </c>
      <c r="B17" s="28">
        <f>COUNTIF('Security Zones'!G8:G57,"Yes")</f>
        <v/>
      </c>
      <c r="C17" s="23" t="n"/>
      <c r="D17" s="23" t="n"/>
      <c r="E17" s="23" t="n"/>
      <c r="F17" s="23" t="n"/>
      <c r="G17" s="23" t="n"/>
    </row>
    <row r="18">
      <c r="A18" s="27" t="inlineStr">
        <is>
          <t>Building Elements — Solid Construction</t>
        </is>
      </c>
      <c r="B18" s="28">
        <f>COUNTIF('Building Perimeter'!D8:D57,"Yes")</f>
        <v/>
      </c>
      <c r="C18" s="23" t="n"/>
      <c r="D18" s="23" t="n"/>
      <c r="E18" s="23" t="n"/>
      <c r="F18" s="23" t="n"/>
      <c r="G18" s="23" t="n"/>
    </row>
    <row r="19">
      <c r="A19" s="27" t="inlineStr">
        <is>
          <t>Total Building Perimeter Elements</t>
        </is>
      </c>
      <c r="B19" s="28">
        <f>COUNTA('Building Perimeter'!A8:A57)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Security Zones</t>
        </is>
      </c>
      <c r="B25" s="34" t="inlineStr">
        <is>
          <t>Non-compliant security zones</t>
        </is>
      </c>
      <c r="C25" s="35">
        <f>COUNTIF('Security Zones'!H8:H57,"❌*")</f>
        <v/>
      </c>
      <c r="D25" s="34" t="inlineStr">
        <is>
          <t>Critical</t>
        </is>
      </c>
      <c r="E25" s="34" t="inlineStr">
        <is>
          <t>Immediate</t>
        </is>
      </c>
      <c r="F25" s="34" t="n"/>
      <c r="G25" s="34" t="n"/>
    </row>
    <row r="26">
      <c r="A26" s="34" t="inlineStr">
        <is>
          <t>Building Perimeter</t>
        </is>
      </c>
      <c r="B26" s="34" t="inlineStr">
        <is>
          <t>Non-compliant perimeter elements</t>
        </is>
      </c>
      <c r="C26" s="35">
        <f>COUNTIF('Building Perimeter'!I8:I57,"❌*")</f>
        <v/>
      </c>
      <c r="D26" s="34" t="inlineStr">
        <is>
          <t>Critical</t>
        </is>
      </c>
      <c r="E26" s="34" t="inlineStr">
        <is>
          <t>Immediate</t>
        </is>
      </c>
      <c r="F26" s="34" t="n"/>
      <c r="G26" s="34" t="n"/>
    </row>
    <row r="27">
      <c r="A27" s="34" t="inlineStr">
        <is>
          <t>Internal Perimeters</t>
        </is>
      </c>
      <c r="B27" s="34" t="inlineStr">
        <is>
          <t>Non-compliant internal perimeters</t>
        </is>
      </c>
      <c r="C27" s="35">
        <f>COUNTIF('Internal Perimeters'!H8:H57,"❌*")</f>
        <v/>
      </c>
      <c r="D27" s="34" t="inlineStr">
        <is>
          <t>Critical</t>
        </is>
      </c>
      <c r="E27" s="34" t="inlineStr">
        <is>
          <t>Immediate</t>
        </is>
      </c>
      <c r="F27" s="34" t="n"/>
      <c r="G27" s="34" t="n"/>
    </row>
    <row r="28">
      <c r="A28" s="34" t="inlineStr">
        <is>
          <t>Perimeter Monitoring</t>
        </is>
      </c>
      <c r="B28" s="34" t="inlineStr">
        <is>
          <t>Non-compliant monitoring points</t>
        </is>
      </c>
      <c r="C28" s="35">
        <f>COUNTIF('Perimeter Monitoring'!H8:H57,"❌*")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A.7.1: Physical Security Perimeters</t>
        </is>
      </c>
      <c r="B2" s="6" t="n"/>
      <c r="C2" s="6" t="n"/>
      <c r="D2" s="6" t="n"/>
      <c r="E2" s="6" t="n"/>
    </row>
    <row r="3">
      <c r="A3" s="39" t="inlineStr">
        <is>
          <t>ASSESSMENT SUMMARY</t>
        </is>
      </c>
      <c r="B3" s="6" t="n"/>
      <c r="C3" s="6" t="n"/>
      <c r="D3" s="6" t="n"/>
      <c r="E3" s="6" t="n"/>
    </row>
    <row r="4">
      <c r="A4" s="3" t="inlineStr">
        <is>
          <t>Document:</t>
        </is>
      </c>
      <c r="B4" s="6" t="inlineStr">
        <is>
          <t>ISMS-IMP-A.7.1.1 - Perimeter Security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ISMS-IMP-A.7.1.1 — Perimeter Security Assessment</dc:title>
  <dc:description xmlns:dc="http://purl.org/dc/elements/1.1/">ISMS Implementation Workbook — ISMS-IMP-A.7.1.1</dc:description>
  <dc:subject xmlns:dc="http://purl.org/dc/elements/1.1/">ISO/IEC 27001:2022 — Control A.7.1: Physical Security Perimeters</dc:subject>
  <dcterms:created xmlns:dcterms="http://purl.org/dc/terms/" xmlns:xsi="http://www.w3.org/2001/XMLSchema-instance" xsi:type="dcterms:W3CDTF">2026-03-01T16:57:46Z</dcterms:created>
  <dcterms:modified xmlns:dcterms="http://purl.org/dc/terms/" xmlns:xsi="http://www.w3.org/2001/XMLSchema-instance" xsi:type="dcterms:W3CDTF">2026-03-01T16:57:46Z</dcterms:modified>
</cp:coreProperties>
</file>