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able Pathways" sheetId="2" state="visible" r:id="rId2"/>
    <sheet xmlns:r="http://schemas.openxmlformats.org/officeDocument/2006/relationships" name="Physical Protection" sheetId="3" state="visible" r:id="rId3"/>
    <sheet xmlns:r="http://schemas.openxmlformats.org/officeDocument/2006/relationships" name="Access Controls" sheetId="4" state="visible" r:id="rId4"/>
    <sheet xmlns:r="http://schemas.openxmlformats.org/officeDocument/2006/relationships" name="Documentation"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FFFFFF"/>
      <sz val="10"/>
    </font>
    <font>
      <name val="Calibri"/>
      <color rgb="00003366"/>
      <sz val="1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
      <name val="Calibri"/>
      <b val="1"/>
      <color rgb="00000000"/>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wrapText="1"/>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6" fillId="8" borderId="1" applyAlignment="1" pivotButton="0" quotePrefix="0" xfId="0">
      <alignment horizontal="center" vertical="center" wrapText="1"/>
    </xf>
    <xf numFmtId="0" fontId="7" fillId="10" borderId="1" applyAlignment="1" pivotButton="0" quotePrefix="0" xfId="0">
      <alignment horizontal="left" vertical="center" wrapText="1"/>
    </xf>
    <xf numFmtId="0" fontId="8" fillId="8" borderId="2" applyAlignment="1" pivotButton="0" quotePrefix="0" xfId="0">
      <alignment horizontal="center" vertical="center" wrapText="1"/>
    </xf>
    <xf numFmtId="0" fontId="0" fillId="0" borderId="2" pivotButton="0" quotePrefix="0" xfId="0"/>
    <xf numFmtId="0" fontId="9" fillId="0" borderId="0" applyAlignment="1" pivotButton="0" quotePrefix="0" xfId="0">
      <alignment horizontal="left" vertical="center"/>
    </xf>
    <xf numFmtId="0" fontId="10" fillId="8" borderId="2" pivotButton="0" quotePrefix="0" xfId="0"/>
    <xf numFmtId="0" fontId="11" fillId="9" borderId="2" applyAlignment="1" pivotButton="0" quotePrefix="0" xfId="0">
      <alignment horizontal="center" vertical="center" wrapText="1"/>
    </xf>
    <xf numFmtId="0" fontId="12" fillId="0" borderId="2" pivotButton="0" quotePrefix="0" xfId="0"/>
    <xf numFmtId="0" fontId="12" fillId="0" borderId="2" applyAlignment="1" pivotButton="0" quotePrefix="0" xfId="0">
      <alignment horizontal="center"/>
    </xf>
    <xf numFmtId="164" fontId="12" fillId="0" borderId="2" applyAlignment="1" pivotButton="0" quotePrefix="0" xfId="0">
      <alignment horizontal="center"/>
    </xf>
    <xf numFmtId="0" fontId="11" fillId="9" borderId="2" applyAlignment="1" pivotButton="0" quotePrefix="0" xfId="0">
      <alignment horizontal="left"/>
    </xf>
    <xf numFmtId="0" fontId="11" fillId="9" borderId="2" applyAlignment="1" pivotButton="0" quotePrefix="0" xfId="0">
      <alignment horizontal="center"/>
    </xf>
    <xf numFmtId="164" fontId="11" fillId="9" borderId="2" applyAlignment="1" pivotButton="0" quotePrefix="0" xfId="0">
      <alignment horizontal="center"/>
    </xf>
    <xf numFmtId="0" fontId="10" fillId="12" borderId="2" pivotButton="0" quotePrefix="0" xfId="0"/>
    <xf numFmtId="0" fontId="12" fillId="11" borderId="2" pivotButton="0" quotePrefix="0" xfId="0"/>
    <xf numFmtId="0" fontId="12" fillId="11" borderId="2" applyAlignment="1" pivotButton="0" quotePrefix="0" xfId="0">
      <alignment horizontal="center"/>
    </xf>
    <xf numFmtId="0" fontId="0" fillId="11" borderId="2" pivotButton="0" quotePrefix="0" xfId="0"/>
    <xf numFmtId="0" fontId="1" fillId="8" borderId="1" applyAlignment="1" pivotButton="0" quotePrefix="0" xfId="0">
      <alignment horizontal="center" vertical="center" wrapText="1"/>
    </xf>
    <xf numFmtId="0" fontId="9" fillId="0" borderId="1" applyAlignment="1" pivotButton="0" quotePrefix="0" xfId="0">
      <alignment horizontal="center" vertical="center"/>
    </xf>
    <xf numFmtId="0" fontId="13" fillId="13" borderId="1" pivotButton="0" quotePrefix="0" xfId="0"/>
    <xf numFmtId="0" fontId="4" fillId="0" borderId="1" pivotButton="0" quotePrefix="0" xfId="0"/>
    <xf numFmtId="0" fontId="0" fillId="11" borderId="1" pivotButton="0" quotePrefix="0" xfId="0"/>
    <xf numFmtId="164" fontId="0" fillId="0" borderId="1" pivotButton="0" quotePrefix="0" xfId="0"/>
    <xf numFmtId="0" fontId="13" fillId="13" borderId="1" applyAlignment="1" pivotButton="0" quotePrefix="0" xfId="0">
      <alignment horizontal="left" vertical="center"/>
    </xf>
    <xf numFmtId="0" fontId="1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ISMS-IMP-A.7.12-13.S1  -  Cabling Security Assessment
ISO/IEC 27001:2022 - Control A.7.12: Cabling Security</t>
        </is>
      </c>
    </row>
    <row r="3">
      <c r="A3" s="2" t="inlineStr">
        <is>
          <t>Document Information</t>
        </is>
      </c>
    </row>
    <row r="4">
      <c r="A4" s="3" t="inlineStr">
        <is>
          <t>Document ID</t>
        </is>
      </c>
      <c r="B4" t="inlineStr">
        <is>
          <t>ISMS-IMP-A.7.12-13.S1</t>
        </is>
      </c>
    </row>
    <row r="5">
      <c r="A5" s="3" t="inlineStr">
        <is>
          <t>Workbook Title</t>
        </is>
      </c>
      <c r="B5" t="inlineStr">
        <is>
          <t>Cabling Security Assessment</t>
        </is>
      </c>
    </row>
    <row r="6">
      <c r="A6" s="3" t="inlineStr">
        <is>
          <t>Control Reference</t>
        </is>
      </c>
      <c r="B6" t="inlineStr">
        <is>
          <t>ISO/IEC 27001:2022 - Control A.7.12: Cabling Security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Sheet 2 (Cable Pathways) — document all cable routes and protection status.</t>
        </is>
      </c>
    </row>
    <row r="14">
      <c r="A14" t="inlineStr">
        <is>
          <t>2. Complete Sheet 3 (Physical Protection) — assess physical and environmental protection.</t>
        </is>
      </c>
    </row>
    <row r="15">
      <c r="A15" t="inlineStr">
        <is>
          <t>3. Complete Sheet 4 (Access Controls) — document access controls for cabling infrastructure.</t>
        </is>
      </c>
    </row>
    <row r="16">
      <c r="A16" t="inlineStr">
        <is>
          <t>4. Complete Sheet 5 (Documentation) — audit cable documentation compliance.</t>
        </is>
      </c>
    </row>
    <row r="17">
      <c r="A17" t="inlineStr">
        <is>
          <t>5. Review Sheet 6 (Summary Dashboard) — automated compliance scoring.</t>
        </is>
      </c>
    </row>
    <row r="18">
      <c r="A18" t="inlineStr">
        <is>
          <t>6. Complete Sheet 7 (Evidence Register) — document supporting evidence.</t>
        </is>
      </c>
    </row>
    <row r="19">
      <c r="A19" t="inlineStr">
        <is>
          <t>7. Obtain approvals in Sheet 8 (Approval Sign-Off).</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18" customWidth="1" min="3" max="3"/>
    <col width="25" customWidth="1" min="4" max="4"/>
    <col width="25" customWidth="1" min="5" max="5"/>
    <col width="20" customWidth="1" min="6" max="6"/>
    <col width="20" customWidth="1" min="7" max="7"/>
    <col width="12" customWidth="1" min="8" max="8"/>
    <col width="18" customWidth="1" min="9" max="9"/>
    <col width="18" customWidth="1" min="10" max="10"/>
    <col width="15" customWidth="1" min="11" max="11"/>
    <col width="18" customWidth="1" min="12" max="12"/>
    <col width="40" customWidth="1" min="13" max="13"/>
  </cols>
  <sheetData>
    <row r="1" ht="35" customHeight="1">
      <c r="A1" s="11" t="inlineStr">
        <is>
          <t>CABLE PATHWAYS ASSESSMENT</t>
        </is>
      </c>
    </row>
    <row r="2">
      <c r="A2" s="12" t="inlineStr">
        <is>
          <t>Policy Requirement: Cables carrying power, data, or supporting information services should be protected from interception, interference or damage.</t>
        </is>
      </c>
    </row>
    <row r="3">
      <c r="A3" s="13" t="inlineStr">
        <is>
          <t>Pathway ID</t>
        </is>
      </c>
      <c r="B3" s="13" t="inlineStr">
        <is>
          <t>Facility/Building</t>
        </is>
      </c>
      <c r="C3" s="13" t="inlineStr">
        <is>
          <t>Pathway Type</t>
        </is>
      </c>
      <c r="D3" s="13" t="inlineStr">
        <is>
          <t>Start Location</t>
        </is>
      </c>
      <c r="E3" s="13" t="inlineStr">
        <is>
          <t>End Location</t>
        </is>
      </c>
      <c r="F3" s="13" t="inlineStr">
        <is>
          <t>Cable Types</t>
        </is>
      </c>
      <c r="G3" s="13" t="inlineStr">
        <is>
          <t>Protection Type</t>
        </is>
      </c>
      <c r="H3" s="13" t="inlineStr">
        <is>
          <t>Length (m)</t>
        </is>
      </c>
      <c r="I3" s="13" t="inlineStr">
        <is>
          <t>Segregation Compliant</t>
        </is>
      </c>
      <c r="J3" s="13" t="inlineStr">
        <is>
          <t>Documentation Current</t>
        </is>
      </c>
      <c r="K3" s="13" t="inlineStr">
        <is>
          <t>Last Inspection</t>
        </is>
      </c>
      <c r="L3" s="13" t="inlineStr">
        <is>
          <t>Compliance Status</t>
        </is>
      </c>
      <c r="M3" s="13" t="inlineStr">
        <is>
          <t>Notes</t>
        </is>
      </c>
    </row>
    <row r="4">
      <c r="A4" s="14" t="inlineStr">
        <is>
          <t>PATH-001</t>
        </is>
      </c>
      <c r="B4" s="14" t="inlineStr">
        <is>
          <t>[Facility A]</t>
        </is>
      </c>
      <c r="C4" s="14" t="inlineStr">
        <is>
          <t>Conduit</t>
        </is>
      </c>
      <c r="D4" s="14" t="inlineStr">
        <is>
          <t>[Server Room]</t>
        </is>
      </c>
      <c r="E4" s="14" t="inlineStr">
        <is>
          <t>[Network Closet]</t>
        </is>
      </c>
      <c r="F4" s="14" t="inlineStr">
        <is>
          <t>Copper/Fibre</t>
        </is>
      </c>
      <c r="G4" s="14" t="inlineStr">
        <is>
          <t>Enclosed - Metal</t>
        </is>
      </c>
      <c r="H4" s="14" t="inlineStr">
        <is>
          <t>25</t>
        </is>
      </c>
      <c r="I4" s="14" t="inlineStr">
        <is>
          <t>Yes</t>
        </is>
      </c>
      <c r="J4" s="14" t="inlineStr">
        <is>
          <t>Yes</t>
        </is>
      </c>
      <c r="K4" s="14" t="inlineStr">
        <is>
          <t>[DD.MM.YYYY]</t>
        </is>
      </c>
      <c r="L4" s="14" t="inlineStr">
        <is>
          <t>✅ Compliant</t>
        </is>
      </c>
      <c r="M4" s="14" t="inlineStr"/>
    </row>
    <row r="5">
      <c r="A5" s="15" t="n"/>
      <c r="B5" s="15" t="n"/>
      <c r="C5" s="15" t="n"/>
      <c r="D5" s="15" t="n"/>
      <c r="E5" s="15" t="n"/>
      <c r="F5" s="15" t="n"/>
      <c r="G5" s="15" t="n"/>
      <c r="H5" s="15" t="n"/>
      <c r="I5" s="15" t="n"/>
      <c r="J5" s="15" t="n"/>
      <c r="K5" s="15" t="n"/>
      <c r="L5" s="15" t="n"/>
      <c r="M5" s="15" t="n"/>
    </row>
    <row r="6">
      <c r="A6" s="15" t="n"/>
      <c r="B6" s="15" t="n"/>
      <c r="C6" s="15" t="n"/>
      <c r="D6" s="15" t="n"/>
      <c r="E6" s="15" t="n"/>
      <c r="F6" s="15" t="n"/>
      <c r="G6" s="15" t="n"/>
      <c r="H6" s="15" t="n"/>
      <c r="I6" s="15" t="n"/>
      <c r="J6" s="15" t="n"/>
      <c r="K6" s="15" t="n"/>
      <c r="L6" s="15" t="n"/>
      <c r="M6" s="15" t="n"/>
    </row>
    <row r="7">
      <c r="A7" s="15" t="n"/>
      <c r="B7" s="15" t="n"/>
      <c r="C7" s="15" t="n"/>
      <c r="D7" s="15" t="n"/>
      <c r="E7" s="15" t="n"/>
      <c r="F7" s="15" t="n"/>
      <c r="G7" s="15" t="n"/>
      <c r="H7" s="15" t="n"/>
      <c r="I7" s="15" t="n"/>
      <c r="J7" s="15" t="n"/>
      <c r="K7" s="15" t="n"/>
      <c r="L7" s="15" t="n"/>
      <c r="M7" s="15" t="n"/>
    </row>
    <row r="8">
      <c r="A8" s="15" t="n"/>
      <c r="B8" s="15" t="n"/>
      <c r="C8" s="15" t="n"/>
      <c r="D8" s="15" t="n"/>
      <c r="E8" s="15" t="n"/>
      <c r="F8" s="15" t="n"/>
      <c r="G8" s="15" t="n"/>
      <c r="H8" s="15" t="n"/>
      <c r="I8" s="15" t="n"/>
      <c r="J8" s="15" t="n"/>
      <c r="K8" s="15" t="n"/>
      <c r="L8" s="15" t="n"/>
      <c r="M8" s="15" t="n"/>
    </row>
    <row r="9">
      <c r="A9" s="15" t="n"/>
      <c r="B9" s="15" t="n"/>
      <c r="C9" s="15" t="n"/>
      <c r="D9" s="15" t="n"/>
      <c r="E9" s="15" t="n"/>
      <c r="F9" s="15" t="n"/>
      <c r="G9" s="15" t="n"/>
      <c r="H9" s="15" t="n"/>
      <c r="I9" s="15" t="n"/>
      <c r="J9" s="15" t="n"/>
      <c r="K9" s="15" t="n"/>
      <c r="L9" s="15" t="n"/>
      <c r="M9" s="15" t="n"/>
    </row>
    <row r="10">
      <c r="A10" s="15" t="n"/>
      <c r="B10" s="15" t="n"/>
      <c r="C10" s="15" t="n"/>
      <c r="D10" s="15" t="n"/>
      <c r="E10" s="15" t="n"/>
      <c r="F10" s="15" t="n"/>
      <c r="G10" s="15" t="n"/>
      <c r="H10" s="15" t="n"/>
      <c r="I10" s="15" t="n"/>
      <c r="J10" s="15" t="n"/>
      <c r="K10" s="15" t="n"/>
      <c r="L10" s="15" t="n"/>
      <c r="M10" s="15" t="n"/>
    </row>
    <row r="11">
      <c r="A11" s="15" t="n"/>
      <c r="B11" s="15" t="n"/>
      <c r="C11" s="15" t="n"/>
      <c r="D11" s="15" t="n"/>
      <c r="E11" s="15" t="n"/>
      <c r="F11" s="15" t="n"/>
      <c r="G11" s="15" t="n"/>
      <c r="H11" s="15" t="n"/>
      <c r="I11" s="15" t="n"/>
      <c r="J11" s="15" t="n"/>
      <c r="K11" s="15" t="n"/>
      <c r="L11" s="15" t="n"/>
      <c r="M11" s="15" t="n"/>
    </row>
    <row r="12">
      <c r="A12" s="15" t="n"/>
      <c r="B12" s="15" t="n"/>
      <c r="C12" s="15" t="n"/>
      <c r="D12" s="15" t="n"/>
      <c r="E12" s="15" t="n"/>
      <c r="F12" s="15" t="n"/>
      <c r="G12" s="15" t="n"/>
      <c r="H12" s="15" t="n"/>
      <c r="I12" s="15" t="n"/>
      <c r="J12" s="15" t="n"/>
      <c r="K12" s="15" t="n"/>
      <c r="L12" s="15" t="n"/>
      <c r="M12" s="15" t="n"/>
    </row>
    <row r="13">
      <c r="A13" s="15" t="n"/>
      <c r="B13" s="15" t="n"/>
      <c r="C13" s="15" t="n"/>
      <c r="D13" s="15" t="n"/>
      <c r="E13" s="15" t="n"/>
      <c r="F13" s="15" t="n"/>
      <c r="G13" s="15" t="n"/>
      <c r="H13" s="15" t="n"/>
      <c r="I13" s="15" t="n"/>
      <c r="J13" s="15" t="n"/>
      <c r="K13" s="15" t="n"/>
      <c r="L13" s="15" t="n"/>
      <c r="M13" s="15" t="n"/>
    </row>
    <row r="14">
      <c r="A14" s="15" t="n"/>
      <c r="B14" s="15" t="n"/>
      <c r="C14" s="15" t="n"/>
      <c r="D14" s="15" t="n"/>
      <c r="E14" s="15" t="n"/>
      <c r="F14" s="15" t="n"/>
      <c r="G14" s="15" t="n"/>
      <c r="H14" s="15" t="n"/>
      <c r="I14" s="15" t="n"/>
      <c r="J14" s="15" t="n"/>
      <c r="K14" s="15" t="n"/>
      <c r="L14" s="15" t="n"/>
      <c r="M14" s="15" t="n"/>
    </row>
    <row r="15">
      <c r="A15" s="15" t="n"/>
      <c r="B15" s="15" t="n"/>
      <c r="C15" s="15" t="n"/>
      <c r="D15" s="15" t="n"/>
      <c r="E15" s="15" t="n"/>
      <c r="F15" s="15" t="n"/>
      <c r="G15" s="15" t="n"/>
      <c r="H15" s="15" t="n"/>
      <c r="I15" s="15" t="n"/>
      <c r="J15" s="15" t="n"/>
      <c r="K15" s="15" t="n"/>
      <c r="L15" s="15" t="n"/>
      <c r="M15" s="15" t="n"/>
    </row>
    <row r="16">
      <c r="A16" s="15" t="n"/>
      <c r="B16" s="15" t="n"/>
      <c r="C16" s="15" t="n"/>
      <c r="D16" s="15" t="n"/>
      <c r="E16" s="15" t="n"/>
      <c r="F16" s="15" t="n"/>
      <c r="G16" s="15" t="n"/>
      <c r="H16" s="15" t="n"/>
      <c r="I16" s="15" t="n"/>
      <c r="J16" s="15" t="n"/>
      <c r="K16" s="15" t="n"/>
      <c r="L16" s="15" t="n"/>
      <c r="M16" s="15" t="n"/>
    </row>
    <row r="17">
      <c r="A17" s="15" t="n"/>
      <c r="B17" s="15" t="n"/>
      <c r="C17" s="15" t="n"/>
      <c r="D17" s="15" t="n"/>
      <c r="E17" s="15" t="n"/>
      <c r="F17" s="15" t="n"/>
      <c r="G17" s="15" t="n"/>
      <c r="H17" s="15" t="n"/>
      <c r="I17" s="15" t="n"/>
      <c r="J17" s="15" t="n"/>
      <c r="K17" s="15" t="n"/>
      <c r="L17" s="15" t="n"/>
      <c r="M17" s="15" t="n"/>
    </row>
    <row r="18">
      <c r="A18" s="15" t="n"/>
      <c r="B18" s="15" t="n"/>
      <c r="C18" s="15" t="n"/>
      <c r="D18" s="15" t="n"/>
      <c r="E18" s="15" t="n"/>
      <c r="F18" s="15" t="n"/>
      <c r="G18" s="15" t="n"/>
      <c r="H18" s="15" t="n"/>
      <c r="I18" s="15" t="n"/>
      <c r="J18" s="15" t="n"/>
      <c r="K18" s="15" t="n"/>
      <c r="L18" s="15" t="n"/>
      <c r="M18" s="15" t="n"/>
    </row>
    <row r="19">
      <c r="A19" s="15" t="n"/>
      <c r="B19" s="15" t="n"/>
      <c r="C19" s="15" t="n"/>
      <c r="D19" s="15" t="n"/>
      <c r="E19" s="15" t="n"/>
      <c r="F19" s="15" t="n"/>
      <c r="G19" s="15" t="n"/>
      <c r="H19" s="15" t="n"/>
      <c r="I19" s="15" t="n"/>
      <c r="J19" s="15" t="n"/>
      <c r="K19" s="15" t="n"/>
      <c r="L19" s="15" t="n"/>
      <c r="M19" s="15" t="n"/>
    </row>
    <row r="20">
      <c r="A20" s="15" t="n"/>
      <c r="B20" s="15" t="n"/>
      <c r="C20" s="15" t="n"/>
      <c r="D20" s="15" t="n"/>
      <c r="E20" s="15" t="n"/>
      <c r="F20" s="15" t="n"/>
      <c r="G20" s="15" t="n"/>
      <c r="H20" s="15" t="n"/>
      <c r="I20" s="15" t="n"/>
      <c r="J20" s="15" t="n"/>
      <c r="K20" s="15" t="n"/>
      <c r="L20" s="15" t="n"/>
      <c r="M20" s="15" t="n"/>
    </row>
    <row r="21">
      <c r="A21" s="15" t="n"/>
      <c r="B21" s="15" t="n"/>
      <c r="C21" s="15" t="n"/>
      <c r="D21" s="15" t="n"/>
      <c r="E21" s="15" t="n"/>
      <c r="F21" s="15" t="n"/>
      <c r="G21" s="15" t="n"/>
      <c r="H21" s="15" t="n"/>
      <c r="I21" s="15" t="n"/>
      <c r="J21" s="15" t="n"/>
      <c r="K21" s="15" t="n"/>
      <c r="L21" s="15" t="n"/>
      <c r="M21" s="15" t="n"/>
    </row>
    <row r="22">
      <c r="A22" s="15" t="n"/>
      <c r="B22" s="15" t="n"/>
      <c r="C22" s="15" t="n"/>
      <c r="D22" s="15" t="n"/>
      <c r="E22" s="15" t="n"/>
      <c r="F22" s="15" t="n"/>
      <c r="G22" s="15" t="n"/>
      <c r="H22" s="15" t="n"/>
      <c r="I22" s="15" t="n"/>
      <c r="J22" s="15" t="n"/>
      <c r="K22" s="15" t="n"/>
      <c r="L22" s="15" t="n"/>
      <c r="M22" s="15" t="n"/>
    </row>
    <row r="23">
      <c r="A23" s="15" t="n"/>
      <c r="B23" s="15" t="n"/>
      <c r="C23" s="15" t="n"/>
      <c r="D23" s="15" t="n"/>
      <c r="E23" s="15" t="n"/>
      <c r="F23" s="15" t="n"/>
      <c r="G23" s="15" t="n"/>
      <c r="H23" s="15" t="n"/>
      <c r="I23" s="15" t="n"/>
      <c r="J23" s="15" t="n"/>
      <c r="K23" s="15" t="n"/>
      <c r="L23" s="15" t="n"/>
      <c r="M23" s="15" t="n"/>
    </row>
    <row r="24">
      <c r="A24" s="15" t="n"/>
      <c r="B24" s="15" t="n"/>
      <c r="C24" s="15" t="n"/>
      <c r="D24" s="15" t="n"/>
      <c r="E24" s="15" t="n"/>
      <c r="F24" s="15" t="n"/>
      <c r="G24" s="15" t="n"/>
      <c r="H24" s="15" t="n"/>
      <c r="I24" s="15" t="n"/>
      <c r="J24" s="15" t="n"/>
      <c r="K24" s="15" t="n"/>
      <c r="L24" s="15" t="n"/>
      <c r="M24" s="15" t="n"/>
    </row>
    <row r="25">
      <c r="A25" s="15" t="n"/>
      <c r="B25" s="15" t="n"/>
      <c r="C25" s="15" t="n"/>
      <c r="D25" s="15" t="n"/>
      <c r="E25" s="15" t="n"/>
      <c r="F25" s="15" t="n"/>
      <c r="G25" s="15" t="n"/>
      <c r="H25" s="15" t="n"/>
      <c r="I25" s="15" t="n"/>
      <c r="J25" s="15" t="n"/>
      <c r="K25" s="15" t="n"/>
      <c r="L25" s="15" t="n"/>
      <c r="M25" s="15" t="n"/>
    </row>
    <row r="26">
      <c r="A26" s="15" t="n"/>
      <c r="B26" s="15" t="n"/>
      <c r="C26" s="15" t="n"/>
      <c r="D26" s="15" t="n"/>
      <c r="E26" s="15" t="n"/>
      <c r="F26" s="15" t="n"/>
      <c r="G26" s="15" t="n"/>
      <c r="H26" s="15" t="n"/>
      <c r="I26" s="15" t="n"/>
      <c r="J26" s="15" t="n"/>
      <c r="K26" s="15" t="n"/>
      <c r="L26" s="15" t="n"/>
      <c r="M26" s="15" t="n"/>
    </row>
    <row r="27">
      <c r="A27" s="15" t="n"/>
      <c r="B27" s="15" t="n"/>
      <c r="C27" s="15" t="n"/>
      <c r="D27" s="15" t="n"/>
      <c r="E27" s="15" t="n"/>
      <c r="F27" s="15" t="n"/>
      <c r="G27" s="15" t="n"/>
      <c r="H27" s="15" t="n"/>
      <c r="I27" s="15" t="n"/>
      <c r="J27" s="15" t="n"/>
      <c r="K27" s="15" t="n"/>
      <c r="L27" s="15" t="n"/>
      <c r="M27" s="15" t="n"/>
    </row>
    <row r="28">
      <c r="A28" s="15" t="n"/>
      <c r="B28" s="15" t="n"/>
      <c r="C28" s="15" t="n"/>
      <c r="D28" s="15" t="n"/>
      <c r="E28" s="15" t="n"/>
      <c r="F28" s="15" t="n"/>
      <c r="G28" s="15" t="n"/>
      <c r="H28" s="15" t="n"/>
      <c r="I28" s="15" t="n"/>
      <c r="J28" s="15" t="n"/>
      <c r="K28" s="15" t="n"/>
      <c r="L28" s="15" t="n"/>
      <c r="M28" s="15" t="n"/>
    </row>
    <row r="29">
      <c r="A29" s="15" t="n"/>
      <c r="B29" s="15" t="n"/>
      <c r="C29" s="15" t="n"/>
      <c r="D29" s="15" t="n"/>
      <c r="E29" s="15" t="n"/>
      <c r="F29" s="15" t="n"/>
      <c r="G29" s="15" t="n"/>
      <c r="H29" s="15" t="n"/>
      <c r="I29" s="15" t="n"/>
      <c r="J29" s="15" t="n"/>
      <c r="K29" s="15" t="n"/>
      <c r="L29" s="15" t="n"/>
      <c r="M29" s="15" t="n"/>
    </row>
    <row r="30">
      <c r="A30" s="15" t="n"/>
      <c r="B30" s="15" t="n"/>
      <c r="C30" s="15" t="n"/>
      <c r="D30" s="15" t="n"/>
      <c r="E30" s="15" t="n"/>
      <c r="F30" s="15" t="n"/>
      <c r="G30" s="15" t="n"/>
      <c r="H30" s="15" t="n"/>
      <c r="I30" s="15" t="n"/>
      <c r="J30" s="15" t="n"/>
      <c r="K30" s="15" t="n"/>
      <c r="L30" s="15" t="n"/>
      <c r="M30" s="15" t="n"/>
    </row>
    <row r="31">
      <c r="A31" s="15" t="n"/>
      <c r="B31" s="15" t="n"/>
      <c r="C31" s="15" t="n"/>
      <c r="D31" s="15" t="n"/>
      <c r="E31" s="15" t="n"/>
      <c r="F31" s="15" t="n"/>
      <c r="G31" s="15" t="n"/>
      <c r="H31" s="15" t="n"/>
      <c r="I31" s="15" t="n"/>
      <c r="J31" s="15" t="n"/>
      <c r="K31" s="15" t="n"/>
      <c r="L31" s="15" t="n"/>
      <c r="M31" s="15" t="n"/>
    </row>
    <row r="32">
      <c r="A32" s="15" t="n"/>
      <c r="B32" s="15" t="n"/>
      <c r="C32" s="15" t="n"/>
      <c r="D32" s="15" t="n"/>
      <c r="E32" s="15" t="n"/>
      <c r="F32" s="15" t="n"/>
      <c r="G32" s="15" t="n"/>
      <c r="H32" s="15" t="n"/>
      <c r="I32" s="15" t="n"/>
      <c r="J32" s="15" t="n"/>
      <c r="K32" s="15" t="n"/>
      <c r="L32" s="15" t="n"/>
      <c r="M32" s="15" t="n"/>
    </row>
    <row r="33">
      <c r="A33" s="15" t="n"/>
      <c r="B33" s="15" t="n"/>
      <c r="C33" s="15" t="n"/>
      <c r="D33" s="15" t="n"/>
      <c r="E33" s="15" t="n"/>
      <c r="F33" s="15" t="n"/>
      <c r="G33" s="15" t="n"/>
      <c r="H33" s="15" t="n"/>
      <c r="I33" s="15" t="n"/>
      <c r="J33" s="15" t="n"/>
      <c r="K33" s="15" t="n"/>
      <c r="L33" s="15" t="n"/>
      <c r="M33" s="15" t="n"/>
    </row>
    <row r="34">
      <c r="A34" s="15" t="n"/>
      <c r="B34" s="15" t="n"/>
      <c r="C34" s="15" t="n"/>
      <c r="D34" s="15" t="n"/>
      <c r="E34" s="15" t="n"/>
      <c r="F34" s="15" t="n"/>
      <c r="G34" s="15" t="n"/>
      <c r="H34" s="15" t="n"/>
      <c r="I34" s="15" t="n"/>
      <c r="J34" s="15" t="n"/>
      <c r="K34" s="15" t="n"/>
      <c r="L34" s="15" t="n"/>
      <c r="M34" s="15" t="n"/>
    </row>
    <row r="35">
      <c r="A35" s="15" t="n"/>
      <c r="B35" s="15" t="n"/>
      <c r="C35" s="15" t="n"/>
      <c r="D35" s="15" t="n"/>
      <c r="E35" s="15" t="n"/>
      <c r="F35" s="15" t="n"/>
      <c r="G35" s="15" t="n"/>
      <c r="H35" s="15" t="n"/>
      <c r="I35" s="15" t="n"/>
      <c r="J35" s="15" t="n"/>
      <c r="K35" s="15" t="n"/>
      <c r="L35" s="15" t="n"/>
      <c r="M35" s="15" t="n"/>
    </row>
    <row r="36">
      <c r="A36" s="15" t="n"/>
      <c r="B36" s="15" t="n"/>
      <c r="C36" s="15" t="n"/>
      <c r="D36" s="15" t="n"/>
      <c r="E36" s="15" t="n"/>
      <c r="F36" s="15" t="n"/>
      <c r="G36" s="15" t="n"/>
      <c r="H36" s="15" t="n"/>
      <c r="I36" s="15" t="n"/>
      <c r="J36" s="15" t="n"/>
      <c r="K36" s="15" t="n"/>
      <c r="L36" s="15" t="n"/>
      <c r="M36" s="15" t="n"/>
    </row>
    <row r="37">
      <c r="A37" s="15" t="n"/>
      <c r="B37" s="15" t="n"/>
      <c r="C37" s="15" t="n"/>
      <c r="D37" s="15" t="n"/>
      <c r="E37" s="15" t="n"/>
      <c r="F37" s="15" t="n"/>
      <c r="G37" s="15" t="n"/>
      <c r="H37" s="15" t="n"/>
      <c r="I37" s="15" t="n"/>
      <c r="J37" s="15" t="n"/>
      <c r="K37" s="15" t="n"/>
      <c r="L37" s="15" t="n"/>
      <c r="M37" s="15" t="n"/>
    </row>
    <row r="38">
      <c r="A38" s="15" t="n"/>
      <c r="B38" s="15" t="n"/>
      <c r="C38" s="15" t="n"/>
      <c r="D38" s="15" t="n"/>
      <c r="E38" s="15" t="n"/>
      <c r="F38" s="15" t="n"/>
      <c r="G38" s="15" t="n"/>
      <c r="H38" s="15" t="n"/>
      <c r="I38" s="15" t="n"/>
      <c r="J38" s="15" t="n"/>
      <c r="K38" s="15" t="n"/>
      <c r="L38" s="15" t="n"/>
      <c r="M38" s="15" t="n"/>
    </row>
    <row r="39">
      <c r="A39" s="15" t="n"/>
      <c r="B39" s="15" t="n"/>
      <c r="C39" s="15" t="n"/>
      <c r="D39" s="15" t="n"/>
      <c r="E39" s="15" t="n"/>
      <c r="F39" s="15" t="n"/>
      <c r="G39" s="15" t="n"/>
      <c r="H39" s="15" t="n"/>
      <c r="I39" s="15" t="n"/>
      <c r="J39" s="15" t="n"/>
      <c r="K39" s="15" t="n"/>
      <c r="L39" s="15" t="n"/>
      <c r="M39" s="15" t="n"/>
    </row>
    <row r="40">
      <c r="A40" s="15" t="n"/>
      <c r="B40" s="15" t="n"/>
      <c r="C40" s="15" t="n"/>
      <c r="D40" s="15" t="n"/>
      <c r="E40" s="15" t="n"/>
      <c r="F40" s="15" t="n"/>
      <c r="G40" s="15" t="n"/>
      <c r="H40" s="15" t="n"/>
      <c r="I40" s="15" t="n"/>
      <c r="J40" s="15" t="n"/>
      <c r="K40" s="15" t="n"/>
      <c r="L40" s="15" t="n"/>
      <c r="M40" s="15" t="n"/>
    </row>
    <row r="41">
      <c r="A41" s="15" t="n"/>
      <c r="B41" s="15" t="n"/>
      <c r="C41" s="15" t="n"/>
      <c r="D41" s="15" t="n"/>
      <c r="E41" s="15" t="n"/>
      <c r="F41" s="15" t="n"/>
      <c r="G41" s="15" t="n"/>
      <c r="H41" s="15" t="n"/>
      <c r="I41" s="15" t="n"/>
      <c r="J41" s="15" t="n"/>
      <c r="K41" s="15" t="n"/>
      <c r="L41" s="15" t="n"/>
      <c r="M41" s="15" t="n"/>
    </row>
    <row r="42">
      <c r="A42" s="15" t="n"/>
      <c r="B42" s="15" t="n"/>
      <c r="C42" s="15" t="n"/>
      <c r="D42" s="15" t="n"/>
      <c r="E42" s="15" t="n"/>
      <c r="F42" s="15" t="n"/>
      <c r="G42" s="15" t="n"/>
      <c r="H42" s="15" t="n"/>
      <c r="I42" s="15" t="n"/>
      <c r="J42" s="15" t="n"/>
      <c r="K42" s="15" t="n"/>
      <c r="L42" s="15" t="n"/>
      <c r="M42" s="15" t="n"/>
    </row>
    <row r="43">
      <c r="A43" s="15" t="n"/>
      <c r="B43" s="15" t="n"/>
      <c r="C43" s="15" t="n"/>
      <c r="D43" s="15" t="n"/>
      <c r="E43" s="15" t="n"/>
      <c r="F43" s="15" t="n"/>
      <c r="G43" s="15" t="n"/>
      <c r="H43" s="15" t="n"/>
      <c r="I43" s="15" t="n"/>
      <c r="J43" s="15" t="n"/>
      <c r="K43" s="15" t="n"/>
      <c r="L43" s="15" t="n"/>
      <c r="M43" s="15" t="n"/>
    </row>
    <row r="44">
      <c r="A44" s="15" t="n"/>
      <c r="B44" s="15" t="n"/>
      <c r="C44" s="15" t="n"/>
      <c r="D44" s="15" t="n"/>
      <c r="E44" s="15" t="n"/>
      <c r="F44" s="15" t="n"/>
      <c r="G44" s="15" t="n"/>
      <c r="H44" s="15" t="n"/>
      <c r="I44" s="15" t="n"/>
      <c r="J44" s="15" t="n"/>
      <c r="K44" s="15" t="n"/>
      <c r="L44" s="15" t="n"/>
      <c r="M44" s="15" t="n"/>
    </row>
    <row r="45">
      <c r="A45" s="15" t="n"/>
      <c r="B45" s="15" t="n"/>
      <c r="C45" s="15" t="n"/>
      <c r="D45" s="15" t="n"/>
      <c r="E45" s="15" t="n"/>
      <c r="F45" s="15" t="n"/>
      <c r="G45" s="15" t="n"/>
      <c r="H45" s="15" t="n"/>
      <c r="I45" s="15" t="n"/>
      <c r="J45" s="15" t="n"/>
      <c r="K45" s="15" t="n"/>
      <c r="L45" s="15" t="n"/>
      <c r="M45" s="15" t="n"/>
    </row>
    <row r="46">
      <c r="A46" s="15" t="n"/>
      <c r="B46" s="15" t="n"/>
      <c r="C46" s="15" t="n"/>
      <c r="D46" s="15" t="n"/>
      <c r="E46" s="15" t="n"/>
      <c r="F46" s="15" t="n"/>
      <c r="G46" s="15" t="n"/>
      <c r="H46" s="15" t="n"/>
      <c r="I46" s="15" t="n"/>
      <c r="J46" s="15" t="n"/>
      <c r="K46" s="15" t="n"/>
      <c r="L46" s="15" t="n"/>
      <c r="M46" s="15" t="n"/>
    </row>
    <row r="47">
      <c r="A47" s="15" t="n"/>
      <c r="B47" s="15" t="n"/>
      <c r="C47" s="15" t="n"/>
      <c r="D47" s="15" t="n"/>
      <c r="E47" s="15" t="n"/>
      <c r="F47" s="15" t="n"/>
      <c r="G47" s="15" t="n"/>
      <c r="H47" s="15" t="n"/>
      <c r="I47" s="15" t="n"/>
      <c r="J47" s="15" t="n"/>
      <c r="K47" s="15" t="n"/>
      <c r="L47" s="15" t="n"/>
      <c r="M47" s="15" t="n"/>
    </row>
    <row r="48">
      <c r="A48" s="15" t="n"/>
      <c r="B48" s="15" t="n"/>
      <c r="C48" s="15" t="n"/>
      <c r="D48" s="15" t="n"/>
      <c r="E48" s="15" t="n"/>
      <c r="F48" s="15" t="n"/>
      <c r="G48" s="15" t="n"/>
      <c r="H48" s="15" t="n"/>
      <c r="I48" s="15" t="n"/>
      <c r="J48" s="15" t="n"/>
      <c r="K48" s="15" t="n"/>
      <c r="L48" s="15" t="n"/>
      <c r="M48" s="15" t="n"/>
    </row>
    <row r="49">
      <c r="A49" s="15" t="n"/>
      <c r="B49" s="15" t="n"/>
      <c r="C49" s="15" t="n"/>
      <c r="D49" s="15" t="n"/>
      <c r="E49" s="15" t="n"/>
      <c r="F49" s="15" t="n"/>
      <c r="G49" s="15" t="n"/>
      <c r="H49" s="15" t="n"/>
      <c r="I49" s="15" t="n"/>
      <c r="J49" s="15" t="n"/>
      <c r="K49" s="15" t="n"/>
      <c r="L49" s="15" t="n"/>
      <c r="M49" s="15" t="n"/>
    </row>
    <row r="50">
      <c r="A50" s="15" t="n"/>
      <c r="B50" s="15" t="n"/>
      <c r="C50" s="15" t="n"/>
      <c r="D50" s="15" t="n"/>
      <c r="E50" s="15" t="n"/>
      <c r="F50" s="15" t="n"/>
      <c r="G50" s="15" t="n"/>
      <c r="H50" s="15" t="n"/>
      <c r="I50" s="15" t="n"/>
      <c r="J50" s="15" t="n"/>
      <c r="K50" s="15" t="n"/>
      <c r="L50" s="15" t="n"/>
      <c r="M50" s="15" t="n"/>
    </row>
    <row r="51">
      <c r="A51" s="15" t="n"/>
      <c r="B51" s="15" t="n"/>
      <c r="C51" s="15" t="n"/>
      <c r="D51" s="15" t="n"/>
      <c r="E51" s="15" t="n"/>
      <c r="F51" s="15" t="n"/>
      <c r="G51" s="15" t="n"/>
      <c r="H51" s="15" t="n"/>
      <c r="I51" s="15" t="n"/>
      <c r="J51" s="15" t="n"/>
      <c r="K51" s="15" t="n"/>
      <c r="L51" s="15" t="n"/>
      <c r="M51" s="15" t="n"/>
    </row>
    <row r="52">
      <c r="A52" s="15" t="n"/>
      <c r="B52" s="15" t="n"/>
      <c r="C52" s="15" t="n"/>
      <c r="D52" s="15" t="n"/>
      <c r="E52" s="15" t="n"/>
      <c r="F52" s="15" t="n"/>
      <c r="G52" s="15" t="n"/>
      <c r="H52" s="15" t="n"/>
      <c r="I52" s="15" t="n"/>
      <c r="J52" s="15" t="n"/>
      <c r="K52" s="15" t="n"/>
      <c r="L52" s="15" t="n"/>
      <c r="M52" s="15" t="n"/>
    </row>
    <row r="53">
      <c r="A53" s="15" t="n"/>
      <c r="B53" s="15" t="n"/>
      <c r="C53" s="15" t="n"/>
      <c r="D53" s="15" t="n"/>
      <c r="E53" s="15" t="n"/>
      <c r="F53" s="15" t="n"/>
      <c r="G53" s="15" t="n"/>
      <c r="H53" s="15" t="n"/>
      <c r="I53" s="15" t="n"/>
      <c r="J53" s="15" t="n"/>
      <c r="K53" s="15" t="n"/>
      <c r="L53" s="15" t="n"/>
      <c r="M53" s="15" t="n"/>
    </row>
    <row r="54">
      <c r="A54" s="15" t="n"/>
      <c r="B54" s="15" t="n"/>
      <c r="C54" s="15" t="n"/>
      <c r="D54" s="15" t="n"/>
      <c r="E54" s="15" t="n"/>
      <c r="F54" s="15" t="n"/>
      <c r="G54" s="15" t="n"/>
      <c r="H54" s="15" t="n"/>
      <c r="I54" s="15" t="n"/>
      <c r="J54" s="15" t="n"/>
      <c r="K54" s="15" t="n"/>
      <c r="L54" s="15" t="n"/>
      <c r="M54" s="15" t="n"/>
    </row>
  </sheetData>
  <mergeCells count="2">
    <mergeCell ref="A2:M2"/>
    <mergeCell ref="A1:M1"/>
  </mergeCells>
  <dataValidations count="5">
    <dataValidation sqref="C4 C5 C6 C7 C8 C9 C10 C11 C12 C13 C14 C15 C16 C17 C18 C19 C20 C21 C22 C23 C24 C25 C26 C27 C28 C29 C30 C31 C32 C33 C34 C35 C36 C37 C38 C39 C40 C41 C42 C43 C44 C45 C46 C47 C48 C49 C50 C51 C52 C53 C54" showDropDown="0" showInputMessage="0" showErrorMessage="0" allowBlank="1" type="list">
      <formula1>"Conduit,Cable Tray,Raised Floor,Underground,Ceiling Void,Wall Chase"</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1" type="list">
      <formula1>"Enclosed - Metal,Enclosed - Plastic,Open Tray,Armoured,None"</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1" type="list">
      <formula1>"Yes,No,N/A"</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1" type="list">
      <formula1>"Yes,Partial,No"</formula1>
    </dataValidation>
    <dataValidation sqref="L4 L5 L6 L7 L8 L9 L10 L11 L12 L13 L14 L15 L16 L17 L18 L19 L20 L21 L22 L23 L24 L25 L26 L27 L28 L29 L30 L31 L32 L33 L34 L35 L36 L37 L38 L39 L40 L41 L42 L43 L44 L45 L46 L47 L48 L49 L50 L51 L52 L53 L54" showDropDown="0" showInputMessage="0" showErrorMessage="0" allowBlank="1"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5" customWidth="1" min="3" max="3"/>
    <col width="15" customWidth="1" min="4" max="4"/>
    <col width="22" customWidth="1" min="5" max="5"/>
    <col width="15" customWidth="1" min="6" max="6"/>
    <col width="15" customWidth="1" min="7" max="7"/>
    <col width="18" customWidth="1" min="8" max="8"/>
    <col width="18" customWidth="1" min="9" max="9"/>
    <col width="18" customWidth="1" min="10" max="10"/>
    <col width="40" customWidth="1" min="11" max="11"/>
  </cols>
  <sheetData>
    <row r="1" ht="35" customHeight="1">
      <c r="A1" s="11" t="inlineStr">
        <is>
          <t>PHYSICAL PROTECTION ASSESSMENT</t>
        </is>
      </c>
    </row>
    <row r="2">
      <c r="A2" s="12" t="inlineStr">
        <is>
          <t>Policy Requirement: Cables should be protected from electromagnetic interference, physical damage, water, and heat sources.</t>
        </is>
      </c>
    </row>
    <row r="3">
      <c r="A3" s="13" t="inlineStr">
        <is>
          <t>Area ID</t>
        </is>
      </c>
      <c r="B3" s="13" t="inlineStr">
        <is>
          <t>Facility/Building</t>
        </is>
      </c>
      <c r="C3" s="13" t="inlineStr">
        <is>
          <t>Area Name</t>
        </is>
      </c>
      <c r="D3" s="13" t="inlineStr">
        <is>
          <t>EMI Protection</t>
        </is>
      </c>
      <c r="E3" s="13" t="inlineStr">
        <is>
          <t>Physical Damage Protection</t>
        </is>
      </c>
      <c r="F3" s="13" t="inlineStr">
        <is>
          <t>Water Protection</t>
        </is>
      </c>
      <c r="G3" s="13" t="inlineStr">
        <is>
          <t>Heat Protection</t>
        </is>
      </c>
      <c r="H3" s="13" t="inlineStr">
        <is>
          <t>Cable Route Risk Level</t>
        </is>
      </c>
      <c r="I3" s="13" t="inlineStr">
        <is>
          <t>Fibre for High Security</t>
        </is>
      </c>
      <c r="J3" s="13" t="inlineStr">
        <is>
          <t>Compliance Status</t>
        </is>
      </c>
      <c r="K3" s="13" t="inlineStr">
        <is>
          <t>Notes</t>
        </is>
      </c>
    </row>
    <row r="4">
      <c r="A4" s="14" t="inlineStr">
        <is>
          <t>AREA-001</t>
        </is>
      </c>
      <c r="B4" s="14" t="inlineStr">
        <is>
          <t>[Facility A]</t>
        </is>
      </c>
      <c r="C4" s="14" t="inlineStr">
        <is>
          <t>Server Room</t>
        </is>
      </c>
      <c r="D4" s="14" t="inlineStr">
        <is>
          <t>Yes - Shielded</t>
        </is>
      </c>
      <c r="E4" s="14" t="inlineStr">
        <is>
          <t>Yes - Armoured</t>
        </is>
      </c>
      <c r="F4" s="14" t="inlineStr">
        <is>
          <t>Yes</t>
        </is>
      </c>
      <c r="G4" s="14" t="inlineStr">
        <is>
          <t>Yes</t>
        </is>
      </c>
      <c r="H4" s="14" t="inlineStr">
        <is>
          <t>Low</t>
        </is>
      </c>
      <c r="I4" s="14" t="inlineStr">
        <is>
          <t>Yes</t>
        </is>
      </c>
      <c r="J4" s="14" t="inlineStr">
        <is>
          <t>✅ Compliant</t>
        </is>
      </c>
      <c r="K4" s="14" t="inlineStr"/>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sheetData>
  <mergeCells count="2">
    <mergeCell ref="A2:K2"/>
    <mergeCell ref="A1:K1"/>
  </mergeCells>
  <dataValidations count="5">
    <dataValidation sqref="D4 D5 D6 D7 D8 D9 D10 D11 D12 D13 D14 D15 D16 D17 D18 D19 D20 D21 D22 D23 D24 D25 D26 D27 D28 D29 D30 D31 D32 D33 D34 D35 D36 D37 D38 D39 D40 D41 D42 D43 D44 D45 D46 D47 D48 D49 D50 D51 D52 D53 D54" showDropDown="0" showInputMessage="0" showErrorMessage="0" allowBlank="1" type="list">
      <formula1>"Yes - Shielded,Partial,No,N/A"</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1" type="list">
      <formula1>"Yes - Armoured,Yes - Enclosed,Partial,No"</formula1>
    </dataValidation>
    <dataValidation sqref="F4 F5 F6 F7 F8 F9 F10 F11 F12 F13 F14 F15 F16 F17 F18 F19 F20 F21 F22 F23 F24 F25 F26 F27 F28 F29 F30 F31 F32 F33 F34 F35 F36 F37 F38 F39 F40 F41 F42 F43 F44 F45 F46 F47 F48 F49 F50 F51 F52 F53 F54 G4 G5 G6 G7 G8 G9 G10 G11 G12 G13 G14 G15 G16 G17 G18 G19 G20 G21 G22 G23 G24 G25 G26 G27 G28 G29 G30 G31 G32 G33 G34 G35 G36 G37 G38 G39 G40 G41 G42 G43 G44 G45 G46 G47 G48 G49 G50 G51 G52 G53 G54 I4 I5 I6 I7 I8 I9 I10 I11 I12 I13 I14 I15 I16 I17 I18 I19 I20 I21 I22 I23 I24 I25 I26 I27 I28 I29 I30 I31 I32 I33 I34 I35 I36 I37 I38 I39 I40 I41 I42 I43 I44 I45 I46 I47 I48 I49 I50 I51 I52 I53 I54" showDropDown="0" showInputMessage="0" showErrorMessage="0" allowBlank="1" type="list">
      <formula1>"Yes,Partial,No,N/A"</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"Low,Medium,High"</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1"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0" customWidth="1" min="3" max="3"/>
    <col width="30" customWidth="1" min="4" max="4"/>
    <col width="22" customWidth="1" min="5" max="5"/>
    <col width="25" customWidth="1" min="6" max="6"/>
    <col width="18" customWidth="1" min="7" max="7"/>
    <col width="18" customWidth="1" min="8" max="8"/>
    <col width="18" customWidth="1" min="9" max="9"/>
    <col width="18" customWidth="1" min="10" max="10"/>
    <col width="40" customWidth="1" min="11" max="11"/>
  </cols>
  <sheetData>
    <row r="1" ht="35" customHeight="1">
      <c r="A1" s="11" t="inlineStr">
        <is>
          <t>ACCESS CONTROLS ASSESSMENT</t>
        </is>
      </c>
    </row>
    <row r="2">
      <c r="A2" s="12" t="inlineStr">
        <is>
          <t>Policy Requirement: Cabling infrastructure should be in secured areas with access controls and locked when unoccupied.</t>
        </is>
      </c>
    </row>
    <row r="3">
      <c r="A3" s="13" t="inlineStr">
        <is>
          <t>Location ID</t>
        </is>
      </c>
      <c r="B3" s="13" t="inlineStr">
        <is>
          <t>Facility/Building</t>
        </is>
      </c>
      <c r="C3" s="13" t="inlineStr">
        <is>
          <t>Infrastructure Type</t>
        </is>
      </c>
      <c r="D3" s="13" t="inlineStr">
        <is>
          <t>Location Description</t>
        </is>
      </c>
      <c r="E3" s="13" t="inlineStr">
        <is>
          <t>Lock Type</t>
        </is>
      </c>
      <c r="F3" s="13" t="inlineStr">
        <is>
          <t>Access Restricted</t>
        </is>
      </c>
      <c r="G3" s="13" t="inlineStr">
        <is>
          <t>Access Logged</t>
        </is>
      </c>
      <c r="H3" s="13" t="inlineStr">
        <is>
          <t>Occupied Monitoring</t>
        </is>
      </c>
      <c r="I3" s="13" t="inlineStr">
        <is>
          <t>Last Access Review</t>
        </is>
      </c>
      <c r="J3" s="13" t="inlineStr">
        <is>
          <t>Compliance Status</t>
        </is>
      </c>
      <c r="K3" s="13" t="inlineStr">
        <is>
          <t>Notes</t>
        </is>
      </c>
    </row>
    <row r="4">
      <c r="A4" s="14" t="inlineStr">
        <is>
          <t>LOC-001</t>
        </is>
      </c>
      <c r="B4" s="14" t="inlineStr">
        <is>
          <t>[Facility A]</t>
        </is>
      </c>
      <c r="C4" s="14" t="inlineStr">
        <is>
          <t>Wiring Closet</t>
        </is>
      </c>
      <c r="D4" s="14" t="inlineStr">
        <is>
          <t>Main Comms Room</t>
        </is>
      </c>
      <c r="E4" s="14" t="inlineStr">
        <is>
          <t>Electronic Access Card</t>
        </is>
      </c>
      <c r="F4" s="14" t="inlineStr">
        <is>
          <t>Yes - IT Only</t>
        </is>
      </c>
      <c r="G4" s="14" t="inlineStr">
        <is>
          <t>Yes - Electronic</t>
        </is>
      </c>
      <c r="H4" s="14" t="inlineStr">
        <is>
          <t>Yes - CCTV</t>
        </is>
      </c>
      <c r="I4" s="14" t="inlineStr">
        <is>
          <t>[DD.MM.YYYY]</t>
        </is>
      </c>
      <c r="J4" s="14" t="inlineStr">
        <is>
          <t>✅ Compliant</t>
        </is>
      </c>
      <c r="K4" s="14" t="inlineStr"/>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sheetData>
  <mergeCells count="2">
    <mergeCell ref="A2:K2"/>
    <mergeCell ref="A1:K1"/>
  </mergeCells>
  <dataValidations count="6">
    <dataValidation sqref="C4 C5 C6 C7 C8 C9 C10 C11 C12 C13 C14 C15 C16 C17 C18 C19 C20 C21 C22 C23 C24 C25 C26 C27 C28 C29 C30 C31 C32 C33 C34 C35 C36 C37 C38 C39 C40 C41 C42 C43 C44 C45 C46 C47 C48 C49 C50 C51 C52 C53 C54" showDropDown="0" showInputMessage="0" showErrorMessage="0" allowBlank="1" type="list">
      <formula1>"Wiring Closet,Patch Panel,Distribution Frame,Manhole,Duct Access"</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1" type="list">
      <formula1>"Electronic Access Card,Keyed Lock,Combination Lock,No Lock,Cage/Enclosure"</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1" type="list">
      <formula1>"Yes - IT Only,Yes - Facilities Only,Yes - Authorised Personnel,No"</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1" type="list">
      <formula1>"Yes - Electronic,Yes - Manual,No"</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"Yes - CCTV,Yes - Guards,No"</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1"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22" customWidth="1" min="1" max="1"/>
    <col width="35" customWidth="1" min="2" max="2"/>
    <col width="40" customWidth="1" min="3" max="3"/>
    <col width="25" customWidth="1" min="4" max="4"/>
    <col width="15" customWidth="1" min="5" max="5"/>
    <col width="15" customWidth="1" min="6" max="6"/>
    <col width="12" customWidth="1" min="7" max="7"/>
    <col width="18" customWidth="1" min="8" max="8"/>
    <col width="18" customWidth="1" min="9" max="9"/>
    <col width="40" customWidth="1" min="10" max="10"/>
  </cols>
  <sheetData>
    <row r="1" ht="35" customHeight="1">
      <c r="A1" s="11" t="inlineStr">
        <is>
          <t>DOCUMENTATION COMPLIANCE ASSESSMENT</t>
        </is>
      </c>
    </row>
    <row r="2">
      <c r="A2" s="12" t="inlineStr">
        <is>
          <t>Policy Requirement: Cable infrastructure should be documented with cable schedules, diagrams and labelling standards, maintained as current.</t>
        </is>
      </c>
    </row>
    <row r="3">
      <c r="A3" s="13" t="inlineStr">
        <is>
          <t>Document Type</t>
        </is>
      </c>
      <c r="B3" s="13" t="inlineStr">
        <is>
          <t>Document Name</t>
        </is>
      </c>
      <c r="C3" s="13" t="inlineStr">
        <is>
          <t>Document Location</t>
        </is>
      </c>
      <c r="D3" s="13" t="inlineStr">
        <is>
          <t>Owner</t>
        </is>
      </c>
      <c r="E3" s="13" t="inlineStr">
        <is>
          <t>Last Updated</t>
        </is>
      </c>
      <c r="F3" s="13" t="inlineStr">
        <is>
          <t>Review Cycle</t>
        </is>
      </c>
      <c r="G3" s="13" t="inlineStr">
        <is>
          <t>Current</t>
        </is>
      </c>
      <c r="H3" s="13" t="inlineStr">
        <is>
          <t>Accessible</t>
        </is>
      </c>
      <c r="I3" s="13" t="inlineStr">
        <is>
          <t>Compliance Status</t>
        </is>
      </c>
      <c r="J3" s="13" t="inlineStr">
        <is>
          <t>Notes</t>
        </is>
      </c>
    </row>
    <row r="4">
      <c r="A4" s="14" t="inlineStr">
        <is>
          <t>Cable Schedule</t>
        </is>
      </c>
      <c r="B4" s="14" t="inlineStr">
        <is>
          <t>[Cable Diagram v1.0]</t>
        </is>
      </c>
      <c r="C4" s="14" t="inlineStr">
        <is>
          <t>[SharePoint/Network Drive]</t>
        </is>
      </c>
      <c r="D4" s="14" t="inlineStr">
        <is>
          <t>[Facilities Manager]</t>
        </is>
      </c>
      <c r="E4" s="14" t="inlineStr">
        <is>
          <t>[DD.MM.YYYY]</t>
        </is>
      </c>
      <c r="F4" s="14" t="inlineStr">
        <is>
          <t>Annual</t>
        </is>
      </c>
      <c r="G4" s="14" t="inlineStr">
        <is>
          <t>Yes</t>
        </is>
      </c>
      <c r="H4" s="14" t="inlineStr">
        <is>
          <t>Yes - Restricted</t>
        </is>
      </c>
      <c r="I4" s="14" t="inlineStr">
        <is>
          <t>✅ Compliant</t>
        </is>
      </c>
      <c r="J4" s="14" t="inlineStr"/>
    </row>
    <row r="5">
      <c r="A5" s="15" t="n"/>
      <c r="B5" s="15" t="n"/>
      <c r="C5" s="15" t="n"/>
      <c r="D5" s="15" t="n"/>
      <c r="E5" s="15" t="n"/>
      <c r="F5" s="15" t="n"/>
      <c r="G5" s="15" t="n"/>
      <c r="H5" s="15" t="n"/>
      <c r="I5" s="15" t="n"/>
      <c r="J5" s="15"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sheetData>
  <mergeCells count="2">
    <mergeCell ref="A1:J1"/>
    <mergeCell ref="A2:J2"/>
  </mergeCells>
  <dataValidations count="5">
    <dataValidation sqref="A4 A5 A6 A7 A8 A9 A10 A11 A12 A13 A14 A15 A16 A17 A18 A19 A20 A21 A22 A23 A24 A25 A26 A27 A28 A29 A30 A31 A32 A33 A34 A35 A36 A37 A38 A39 A40 A41 A42 A43 A44 A45 A46 A47 A48 A49 A50 A51 A52 A53 A54" showDropDown="0" showInputMessage="0" showErrorMessage="0" allowBlank="1" type="list">
      <formula1>"Cable Schedule,Network Diagram,Labelling Standard,Change Log,Audit Report,Procedure Document"</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1" type="list">
      <formula1>"Annual,Quarterly,On Change"</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1" type="list">
      <formula1>"Yes,No"</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"Yes - Online,Yes - Restricted,No"</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1" type="list">
      <formula1>"✅ Compliant,⚠ Partial,❌ Non-Compliant,N/A"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40" customWidth="1" min="3" max="3"/>
    <col width="25" customWidth="1" min="4" max="4"/>
    <col width="30" customWidth="1" min="5" max="5"/>
    <col width="45" customWidth="1" min="6" max="6"/>
    <col width="15" customWidth="1" min="7" max="7"/>
    <col width="20" customWidth="1" min="8" max="8"/>
  </cols>
  <sheetData>
    <row r="1" ht="35" customHeight="1">
      <c r="A1" s="11" t="inlineStr">
        <is>
          <t>EVIDENCE REGISTER</t>
        </is>
      </c>
    </row>
    <row r="2">
      <c r="A2" s="12" t="inlineStr">
        <is>
          <t>Document all supporting evidence for audit traceability and compliance verification.</t>
        </is>
      </c>
    </row>
    <row r="4">
      <c r="A4" s="16" t="inlineStr">
        <is>
          <t>Evidence ID</t>
        </is>
      </c>
      <c r="B4" s="16" t="inlineStr">
        <is>
          <t>Evidence Type</t>
        </is>
      </c>
      <c r="C4" s="16" t="inlineStr">
        <is>
          <t>Description</t>
        </is>
      </c>
      <c r="D4" s="16" t="inlineStr">
        <is>
          <t>Related Sheet / Item</t>
        </is>
      </c>
      <c r="E4" s="16" t="inlineStr">
        <is>
          <t>File Name</t>
        </is>
      </c>
      <c r="F4" s="16" t="inlineStr">
        <is>
          <t>File Location</t>
        </is>
      </c>
      <c r="G4" s="16" t="inlineStr">
        <is>
          <t>Collection Date</t>
        </is>
      </c>
      <c r="H4" s="16" t="inlineStr">
        <is>
          <t>Collected By</t>
        </is>
      </c>
    </row>
    <row r="5">
      <c r="A5" s="17" t="inlineStr">
        <is>
          <t>EV-001</t>
        </is>
      </c>
      <c r="B5" s="14" t="n"/>
      <c r="C5" s="14" t="n"/>
      <c r="D5" s="14" t="n"/>
      <c r="E5" s="14" t="n"/>
      <c r="F5" s="14" t="n"/>
      <c r="G5" s="14" t="n"/>
      <c r="H5" s="14" t="n"/>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4"/>
  <sheetViews>
    <sheetView showGridLines="0" workbookViewId="0">
      <pane ySplit="3" topLeftCell="A4"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16" customWidth="1" min="5" max="5"/>
    <col width="10" customWidth="1" min="6" max="6"/>
    <col width="14" customWidth="1" min="7" max="7"/>
  </cols>
  <sheetData>
    <row r="1" ht="35" customHeight="1">
      <c r="A1" s="18" t="inlineStr">
        <is>
          <t>CABLING SECURITY — SUMMARY DASHBOARD</t>
        </is>
      </c>
      <c r="B1" s="19" t="n"/>
      <c r="C1" s="19" t="n"/>
      <c r="D1" s="19" t="n"/>
      <c r="E1" s="19" t="n"/>
      <c r="F1" s="19" t="n"/>
      <c r="G1" s="19" t="n"/>
    </row>
    <row r="2">
      <c r="A2" s="20" t="inlineStr">
        <is>
          <t>ISO/IEC 27001:2022 — Control A.7.12: Cabling Security</t>
        </is>
      </c>
    </row>
    <row r="4">
      <c r="A4" s="21" t="inlineStr">
        <is>
          <t>TABLE 1: ASSESSMENT AREA COMPLIANCE OVERVIEW</t>
        </is>
      </c>
      <c r="B4" s="19" t="n"/>
      <c r="C4" s="19" t="n"/>
      <c r="D4" s="19" t="n"/>
      <c r="E4" s="19" t="n"/>
      <c r="F4" s="19" t="n"/>
      <c r="G4" s="19" t="n"/>
    </row>
    <row r="5">
      <c r="A5" s="22" t="inlineStr">
        <is>
          <t>Assessment Area</t>
        </is>
      </c>
      <c r="B5" s="22" t="inlineStr">
        <is>
          <t>Total Items</t>
        </is>
      </c>
      <c r="C5" s="22" t="inlineStr">
        <is>
          <t>Compliant</t>
        </is>
      </c>
      <c r="D5" s="22" t="inlineStr">
        <is>
          <t>Partial</t>
        </is>
      </c>
      <c r="E5" s="22" t="inlineStr">
        <is>
          <t>Non-Compliant</t>
        </is>
      </c>
      <c r="F5" s="22" t="inlineStr">
        <is>
          <t>N/A</t>
        </is>
      </c>
      <c r="G5" s="22" t="inlineStr">
        <is>
          <t>Compliance %</t>
        </is>
      </c>
    </row>
    <row r="6">
      <c r="A6" s="23" t="inlineStr">
        <is>
          <t>Cable Pathways</t>
        </is>
      </c>
      <c r="B6" s="24">
        <f>COUNTA('Cable Pathways'!B5:B54)</f>
        <v/>
      </c>
      <c r="C6" s="24">
        <f>COUNTIF('Cable Pathways'!L5:L54,"✅*")</f>
        <v/>
      </c>
      <c r="D6" s="24">
        <f>COUNTIF('Cable Pathways'!L5:L54,"⚠*")</f>
        <v/>
      </c>
      <c r="E6" s="24">
        <f>COUNTIF('Cable Pathways'!L5:L54,"❌*")</f>
        <v/>
      </c>
      <c r="F6" s="24">
        <f>COUNTIF('Cable Pathways'!L5:L54,"N/A")</f>
        <v/>
      </c>
      <c r="G6" s="25">
        <f>IF((B6-F6)=0,0,C6/(B6-F6))</f>
        <v/>
      </c>
    </row>
    <row r="7">
      <c r="A7" s="23" t="inlineStr">
        <is>
          <t>Physical Protection</t>
        </is>
      </c>
      <c r="B7" s="24">
        <f>COUNTA('Physical Protection'!B5:B54)</f>
        <v/>
      </c>
      <c r="C7" s="24">
        <f>COUNTIF('Physical Protection'!J5:J54,"✅*")</f>
        <v/>
      </c>
      <c r="D7" s="24">
        <f>COUNTIF('Physical Protection'!J5:J54,"⚠*")</f>
        <v/>
      </c>
      <c r="E7" s="24">
        <f>COUNTIF('Physical Protection'!J5:J54,"❌*")</f>
        <v/>
      </c>
      <c r="F7" s="24">
        <f>COUNTIF('Physical Protection'!J5:J54,"N/A")</f>
        <v/>
      </c>
      <c r="G7" s="25">
        <f>IF((B7-F7)=0,0,C7/(B7-F7))</f>
        <v/>
      </c>
    </row>
    <row r="8">
      <c r="A8" s="23" t="inlineStr">
        <is>
          <t>Access Controls</t>
        </is>
      </c>
      <c r="B8" s="24">
        <f>COUNTA('Access Controls'!B5:B54)</f>
        <v/>
      </c>
      <c r="C8" s="24">
        <f>COUNTIF('Access Controls'!J5:J54,"✅*")</f>
        <v/>
      </c>
      <c r="D8" s="24">
        <f>COUNTIF('Access Controls'!J5:J54,"⚠*")</f>
        <v/>
      </c>
      <c r="E8" s="24">
        <f>COUNTIF('Access Controls'!J5:J54,"❌*")</f>
        <v/>
      </c>
      <c r="F8" s="24">
        <f>COUNTIF('Access Controls'!J5:J54,"N/A")</f>
        <v/>
      </c>
      <c r="G8" s="25">
        <f>IF((B8-F8)=0,0,C8/(B8-F8))</f>
        <v/>
      </c>
    </row>
    <row r="9">
      <c r="A9" s="23" t="inlineStr">
        <is>
          <t>Documentation</t>
        </is>
      </c>
      <c r="B9" s="24">
        <f>COUNTA('Documentation'!A5:A54)</f>
        <v/>
      </c>
      <c r="C9" s="24">
        <f>COUNTIF('Documentation'!I5:I54,"✅*")</f>
        <v/>
      </c>
      <c r="D9" s="24">
        <f>COUNTIF('Documentation'!I5:I54,"⚠*")</f>
        <v/>
      </c>
      <c r="E9" s="24">
        <f>COUNTIF('Documentation'!I5:I54,"❌*")</f>
        <v/>
      </c>
      <c r="F9" s="24">
        <f>COUNTIF('Documentation'!I5:I54,"N/A")</f>
        <v/>
      </c>
      <c r="G9" s="25">
        <f>IF((B9-F9)=0,0,C9/(B9-F9))</f>
        <v/>
      </c>
    </row>
    <row r="10">
      <c r="A10" s="26" t="inlineStr">
        <is>
          <t>TOTAL</t>
        </is>
      </c>
      <c r="B10" s="27">
        <f>SUM(B6:B9)</f>
        <v/>
      </c>
      <c r="C10" s="27">
        <f>SUM(C6:C9)</f>
        <v/>
      </c>
      <c r="D10" s="27">
        <f>SUM(D6:D9)</f>
        <v/>
      </c>
      <c r="E10" s="27">
        <f>SUM(E6:E9)</f>
        <v/>
      </c>
      <c r="F10" s="27">
        <f>SUM(F6:F9)</f>
        <v/>
      </c>
      <c r="G10" s="28">
        <f>IF((B10-F10)=0,0,C10/(B10-F10))</f>
        <v/>
      </c>
    </row>
    <row r="12">
      <c r="A12" s="21" t="inlineStr">
        <is>
          <t>TABLE 2: KEY METRICS — CABLING SECURITY CONTROLS</t>
        </is>
      </c>
      <c r="B12" s="19" t="n"/>
      <c r="C12" s="19" t="n"/>
      <c r="D12" s="19" t="n"/>
      <c r="E12" s="19" t="n"/>
      <c r="F12" s="19" t="n"/>
      <c r="G12" s="19" t="n"/>
    </row>
    <row r="13">
      <c r="A13" s="27" t="inlineStr">
        <is>
          <t>Metric</t>
        </is>
      </c>
      <c r="B13" s="27" t="inlineStr">
        <is>
          <t>Value</t>
        </is>
      </c>
      <c r="C13" s="27" t="n"/>
      <c r="D13" s="27" t="n"/>
      <c r="E13" s="27" t="n"/>
      <c r="F13" s="27" t="n"/>
      <c r="G13" s="27" t="n"/>
    </row>
    <row r="14">
      <c r="A14" s="23" t="inlineStr">
        <is>
          <t>Cable routes in conduit or trunking</t>
        </is>
      </c>
      <c r="B14" s="24">
        <f>COUNTIF('Cable Pathways'!C5:C54,"Conduit")+COUNTIF('Cable Pathways'!C5:C54,"Cable Tray")</f>
        <v/>
      </c>
      <c r="C14" s="19" t="n"/>
      <c r="D14" s="19" t="n"/>
      <c r="E14" s="19" t="n"/>
      <c r="F14" s="19" t="n"/>
      <c r="G14" s="19" t="n"/>
    </row>
    <row r="15">
      <c r="A15" s="23" t="inlineStr">
        <is>
          <t>Routes with full physical protection (armoured or enclosed)</t>
        </is>
      </c>
      <c r="B15" s="24">
        <f>COUNTIF('Physical Protection'!E5:E54,"Yes - Armoured")+COUNTIF('Physical Protection'!E5:E54,"Yes - Enclosed")</f>
        <v/>
      </c>
      <c r="C15" s="19" t="n"/>
      <c r="D15" s="19" t="n"/>
      <c r="E15" s="19" t="n"/>
      <c r="F15" s="19" t="n"/>
      <c r="G15" s="19" t="n"/>
    </row>
    <row r="16">
      <c r="A16" s="23" t="inlineStr">
        <is>
          <t>Cable runs with EMI shielding</t>
        </is>
      </c>
      <c r="B16" s="24">
        <f>COUNTIF('Physical Protection'!D5:D54,"Yes - Shielded")</f>
        <v/>
      </c>
      <c r="C16" s="19" t="n"/>
      <c r="D16" s="19" t="n"/>
      <c r="E16" s="19" t="n"/>
      <c r="F16" s="19" t="n"/>
      <c r="G16" s="19" t="n"/>
    </row>
    <row r="17">
      <c r="A17" s="23" t="inlineStr">
        <is>
          <t>Access points with restricted access</t>
        </is>
      </c>
      <c r="B17" s="24">
        <f>COUNTIF('Access Controls'!F5:F54,"Yes*")</f>
        <v/>
      </c>
      <c r="C17" s="19" t="n"/>
      <c r="D17" s="19" t="n"/>
      <c r="E17" s="19" t="n"/>
      <c r="F17" s="19" t="n"/>
      <c r="G17" s="19" t="n"/>
    </row>
    <row r="18">
      <c r="A18" s="23" t="inlineStr">
        <is>
          <t>Access points with access logging</t>
        </is>
      </c>
      <c r="B18" s="24">
        <f>COUNTIF('Access Controls'!G5:G54,"Yes*")</f>
        <v/>
      </c>
      <c r="C18" s="19" t="n"/>
      <c r="D18" s="19" t="n"/>
      <c r="E18" s="19" t="n"/>
      <c r="F18" s="19" t="n"/>
      <c r="G18" s="19" t="n"/>
    </row>
    <row r="19">
      <c r="A19" s="23" t="inlineStr">
        <is>
          <t>Documentation items current (up to date)</t>
        </is>
      </c>
      <c r="B19" s="24">
        <f>COUNTIF('Documentation'!G5:G54,"Yes")</f>
        <v/>
      </c>
      <c r="C19" s="19" t="n"/>
      <c r="D19" s="19" t="n"/>
      <c r="E19" s="19" t="n"/>
      <c r="F19" s="19" t="n"/>
      <c r="G19" s="19" t="n"/>
    </row>
    <row r="20">
      <c r="A20" s="23" t="inlineStr">
        <is>
          <t>High risk cable runs (no Critical tier in this workbook)</t>
        </is>
      </c>
      <c r="B20" s="24">
        <f>COUNTIF('Physical Protection'!H5:H54,"High")</f>
        <v/>
      </c>
      <c r="C20" s="19" t="n"/>
      <c r="D20" s="19" t="n"/>
      <c r="E20" s="19" t="n"/>
      <c r="F20" s="19" t="n"/>
      <c r="G20" s="19" t="n"/>
    </row>
    <row r="21">
      <c r="A21" s="23" t="inlineStr">
        <is>
          <t>Exposed cable routes (no physical protection)</t>
        </is>
      </c>
      <c r="B21" s="24">
        <f>COUNTIF('Physical Protection'!E5:E54,"No")</f>
        <v/>
      </c>
      <c r="C21" s="19" t="n"/>
      <c r="D21" s="19" t="n"/>
      <c r="E21" s="19" t="n"/>
      <c r="F21" s="19" t="n"/>
      <c r="G21" s="19" t="n"/>
    </row>
    <row r="22">
      <c r="A22" s="19" t="n"/>
      <c r="B22" s="19" t="n"/>
      <c r="C22" s="19" t="n"/>
      <c r="D22" s="19" t="n"/>
      <c r="E22" s="19" t="n"/>
      <c r="F22" s="19" t="n"/>
      <c r="G22" s="19" t="n"/>
    </row>
    <row r="23">
      <c r="A23" s="19" t="n"/>
      <c r="B23" s="19" t="n"/>
      <c r="C23" s="19" t="n"/>
      <c r="D23" s="19" t="n"/>
      <c r="E23" s="19" t="n"/>
      <c r="F23" s="19" t="n"/>
      <c r="G23" s="19" t="n"/>
    </row>
    <row r="25">
      <c r="A25" s="29" t="inlineStr">
        <is>
          <t>TABLE 3: CRITICAL FINDINGS REQUIRING IMMEDIATE ATTENTION</t>
        </is>
      </c>
      <c r="B25" s="19" t="n"/>
      <c r="C25" s="19" t="n"/>
      <c r="D25" s="19" t="n"/>
      <c r="E25" s="19" t="n"/>
      <c r="F25" s="19" t="n"/>
      <c r="G25" s="19" t="n"/>
    </row>
    <row r="26">
      <c r="A26" s="27" t="inlineStr">
        <is>
          <t>Category</t>
        </is>
      </c>
      <c r="B26" s="27" t="inlineStr">
        <is>
          <t>Finding</t>
        </is>
      </c>
      <c r="C26" s="27" t="inlineStr">
        <is>
          <t>Count</t>
        </is>
      </c>
      <c r="D26" s="27" t="inlineStr">
        <is>
          <t>Severity</t>
        </is>
      </c>
      <c r="E26" s="27" t="inlineStr">
        <is>
          <t>Action Required</t>
        </is>
      </c>
      <c r="F26" s="27" t="n"/>
      <c r="G26" s="27" t="n"/>
    </row>
    <row r="27">
      <c r="A27" s="30" t="inlineStr">
        <is>
          <t>Physical Protection</t>
        </is>
      </c>
      <c r="B27" s="30" t="inlineStr">
        <is>
          <t>Cable runs with no physical protection</t>
        </is>
      </c>
      <c r="C27" s="31">
        <f>COUNTIF('Physical Protection'!E5:E54,"No")</f>
        <v/>
      </c>
      <c r="D27" s="30" t="inlineStr">
        <is>
          <t>Critical</t>
        </is>
      </c>
      <c r="E27" s="30" t="inlineStr">
        <is>
          <t>Immediate</t>
        </is>
      </c>
      <c r="F27" s="30" t="n"/>
      <c r="G27" s="30" t="n"/>
    </row>
    <row r="28">
      <c r="A28" s="30" t="inlineStr">
        <is>
          <t>Physical Protection</t>
        </is>
      </c>
      <c r="B28" s="30" t="inlineStr">
        <is>
          <t>High/Critical risk cable runs non-compliant</t>
        </is>
      </c>
      <c r="C28" s="31">
        <f>COUNTIFS('Physical Protection'!H5:H54,"High",'Physical Protection'!J5:J54,"❌*")</f>
        <v/>
      </c>
      <c r="D28" s="30" t="inlineStr">
        <is>
          <t>Critical</t>
        </is>
      </c>
      <c r="E28" s="30" t="inlineStr">
        <is>
          <t>Immediate</t>
        </is>
      </c>
      <c r="F28" s="30" t="n"/>
      <c r="G28" s="30" t="n"/>
    </row>
    <row r="29">
      <c r="A29" s="30" t="inlineStr">
        <is>
          <t>Access Controls</t>
        </is>
      </c>
      <c r="B29" s="30" t="inlineStr">
        <is>
          <t>Access points without access logging</t>
        </is>
      </c>
      <c r="C29" s="31">
        <f>COUNTIF('Access Controls'!G5:G54,"No")</f>
        <v/>
      </c>
      <c r="D29" s="30" t="inlineStr">
        <is>
          <t>High</t>
        </is>
      </c>
      <c r="E29" s="30" t="inlineStr">
        <is>
          <t>Urgent</t>
        </is>
      </c>
      <c r="F29" s="30" t="n"/>
      <c r="G29" s="30" t="n"/>
    </row>
    <row r="30">
      <c r="A30" s="30" t="inlineStr">
        <is>
          <t>Access Controls</t>
        </is>
      </c>
      <c r="B30" s="30" t="inlineStr">
        <is>
          <t>Access points with no locking mechanism (No Lock)</t>
        </is>
      </c>
      <c r="C30" s="31">
        <f>COUNTIF('Access Controls'!E5:E54,"No Lock")</f>
        <v/>
      </c>
      <c r="D30" s="30" t="inlineStr">
        <is>
          <t>Critical</t>
        </is>
      </c>
      <c r="E30" s="30" t="inlineStr">
        <is>
          <t>Immediate</t>
        </is>
      </c>
      <c r="F30" s="30" t="n"/>
      <c r="G30" s="30" t="n"/>
    </row>
    <row r="31">
      <c r="A31" s="30" t="inlineStr">
        <is>
          <t>Documentation</t>
        </is>
      </c>
      <c r="B31" s="30" t="inlineStr">
        <is>
          <t>Documentation items not current (out of date)</t>
        </is>
      </c>
      <c r="C31" s="31">
        <f>COUNTIF('Documentation'!G5:G54,"No")</f>
        <v/>
      </c>
      <c r="D31" s="30" t="inlineStr">
        <is>
          <t>High</t>
        </is>
      </c>
      <c r="E31" s="30" t="inlineStr">
        <is>
          <t>Urgent</t>
        </is>
      </c>
      <c r="F31" s="30" t="n"/>
      <c r="G31" s="30" t="n"/>
    </row>
    <row r="32">
      <c r="A32" s="30" t="inlineStr">
        <is>
          <t>Cable Pathways</t>
        </is>
      </c>
      <c r="B32" s="30" t="inlineStr">
        <is>
          <t>Cable routes with no physical protection (Open Tray or None)</t>
        </is>
      </c>
      <c r="C32" s="31">
        <f>COUNTIF('Cable Pathways'!G5:G54,"None")+COUNTIF('Cable Pathways'!G5:G54,"Open Tray")</f>
        <v/>
      </c>
      <c r="D32" s="30" t="inlineStr">
        <is>
          <t>Medium</t>
        </is>
      </c>
      <c r="E32" s="30" t="inlineStr">
        <is>
          <t>Plan</t>
        </is>
      </c>
      <c r="F32" s="30" t="n"/>
      <c r="G32" s="30" t="n"/>
    </row>
    <row r="33">
      <c r="A33" s="32" t="n"/>
      <c r="B33" s="32" t="n"/>
      <c r="C33" s="32" t="n"/>
      <c r="D33" s="32" t="n"/>
      <c r="E33" s="32" t="n"/>
      <c r="F33" s="32" t="n"/>
      <c r="G33" s="32" t="n"/>
    </row>
    <row r="34">
      <c r="A34" s="32" t="n"/>
      <c r="B34" s="32" t="n"/>
      <c r="C34" s="32" t="n"/>
      <c r="D34" s="32" t="n"/>
      <c r="E34" s="32" t="n"/>
      <c r="F34" s="32" t="n"/>
      <c r="G34" s="32" t="n"/>
    </row>
  </sheetData>
  <mergeCells count="5">
    <mergeCell ref="A1:G1"/>
    <mergeCell ref="A12:G12"/>
    <mergeCell ref="A4:G4"/>
    <mergeCell ref="A2:G2"/>
    <mergeCell ref="A25:G2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2"/>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15" customWidth="1" min="4" max="4"/>
    <col width="30" customWidth="1" min="5" max="5"/>
  </cols>
  <sheetData>
    <row r="1" ht="35" customHeight="1">
      <c r="A1" s="33" t="inlineStr">
        <is>
          <t>ASSESSMENT APPROVAL AND SIGN-OFF</t>
        </is>
      </c>
      <c r="B1" s="6" t="n"/>
      <c r="C1" s="6" t="n"/>
      <c r="D1" s="6" t="n"/>
      <c r="E1" s="6" t="n"/>
    </row>
    <row r="2">
      <c r="A2" s="34" t="inlineStr">
        <is>
          <t>ISO/IEC 27001:2022 - Control A.7.12: Cabling Security</t>
        </is>
      </c>
      <c r="B2" s="6" t="n"/>
      <c r="C2" s="6" t="n"/>
      <c r="D2" s="6" t="n"/>
      <c r="E2" s="6" t="n"/>
    </row>
    <row r="3">
      <c r="A3" s="35" t="inlineStr">
        <is>
          <t>ASSESSMENT SUMMARY</t>
        </is>
      </c>
      <c r="B3" s="6" t="n"/>
      <c r="C3" s="6" t="n"/>
      <c r="D3" s="6" t="n"/>
      <c r="E3" s="6" t="n"/>
    </row>
    <row r="4">
      <c r="A4" s="36" t="inlineStr">
        <is>
          <t>Document:</t>
        </is>
      </c>
      <c r="B4" s="6" t="inlineStr">
        <is>
          <t>ISMS-IMP-A.7.12-13.S1 - Cabling Security Assessment</t>
        </is>
      </c>
      <c r="C4" s="6" t="n"/>
      <c r="D4" s="6" t="n"/>
      <c r="E4" s="6" t="n"/>
    </row>
    <row r="5">
      <c r="A5" s="36" t="inlineStr">
        <is>
          <t>Assessment Period:</t>
        </is>
      </c>
      <c r="B5" s="37" t="inlineStr"/>
      <c r="C5" s="6" t="n"/>
      <c r="D5" s="6" t="n"/>
      <c r="E5" s="6" t="n"/>
    </row>
    <row r="6">
      <c r="A6" s="36" t="inlineStr">
        <is>
          <t>Overall Compliance Rating:</t>
        </is>
      </c>
      <c r="B6" s="38">
        <f>IFERROR(AVERAGE('Summary Dashboard'!G6:G9),"")</f>
        <v/>
      </c>
      <c r="C6" s="6" t="n"/>
      <c r="D6" s="6" t="n"/>
      <c r="E6" s="6" t="n"/>
    </row>
    <row r="7">
      <c r="A7" s="36" t="inlineStr">
        <is>
          <t>Assessment Status:</t>
        </is>
      </c>
      <c r="B7" s="37" t="inlineStr"/>
      <c r="C7" s="6" t="n"/>
      <c r="D7" s="6" t="n"/>
      <c r="E7" s="6" t="n"/>
    </row>
    <row r="8">
      <c r="A8" s="36" t="inlineStr">
        <is>
          <t>Assessed By:</t>
        </is>
      </c>
      <c r="B8" s="37" t="inlineStr"/>
      <c r="C8" s="6" t="n"/>
      <c r="D8" s="6" t="n"/>
      <c r="E8" s="6" t="n"/>
    </row>
    <row r="10">
      <c r="A10" s="39" t="inlineStr">
        <is>
          <t>COMPLETED BY</t>
        </is>
      </c>
      <c r="B10" s="6" t="n"/>
      <c r="C10" s="6" t="n"/>
      <c r="D10" s="6" t="n"/>
      <c r="E10" s="6" t="n"/>
    </row>
    <row r="11">
      <c r="A11" s="36" t="inlineStr">
        <is>
          <t>Assessor Name</t>
        </is>
      </c>
      <c r="B11" s="37" t="n"/>
      <c r="C11" s="6" t="n"/>
      <c r="D11" s="6" t="n"/>
      <c r="E11" s="6" t="n"/>
    </row>
    <row r="12">
      <c r="A12" s="36" t="inlineStr">
        <is>
          <t>Role / Title</t>
        </is>
      </c>
      <c r="B12" s="37" t="n"/>
      <c r="C12" s="6" t="n"/>
      <c r="D12" s="6" t="n"/>
      <c r="E12" s="6" t="n"/>
    </row>
    <row r="13">
      <c r="A13" s="36" t="inlineStr">
        <is>
          <t>Department</t>
        </is>
      </c>
      <c r="B13" s="37" t="n"/>
      <c r="C13" s="6" t="n"/>
      <c r="D13" s="6" t="n"/>
      <c r="E13" s="6" t="n"/>
    </row>
    <row r="14">
      <c r="A14" s="36" t="inlineStr">
        <is>
          <t>Date Completed</t>
        </is>
      </c>
      <c r="B14" s="37" t="n"/>
      <c r="C14" s="6" t="n"/>
      <c r="D14" s="6" t="n"/>
      <c r="E14" s="6" t="n"/>
    </row>
    <row r="15">
      <c r="A15" s="36" t="inlineStr">
        <is>
          <t>Signature</t>
        </is>
      </c>
      <c r="B15" s="37" t="n"/>
      <c r="C15" s="6" t="n"/>
      <c r="D15" s="6" t="n"/>
      <c r="E15" s="6" t="n"/>
    </row>
    <row r="17">
      <c r="A17" s="39" t="inlineStr">
        <is>
          <t>REVIEWED BY</t>
        </is>
      </c>
      <c r="B17" s="6" t="n"/>
      <c r="C17" s="6" t="n"/>
      <c r="D17" s="6" t="n"/>
      <c r="E17" s="6" t="n"/>
    </row>
    <row r="18">
      <c r="A18" s="36" t="inlineStr">
        <is>
          <t>Reviewer Name</t>
        </is>
      </c>
      <c r="B18" s="37" t="n"/>
      <c r="C18" s="6" t="n"/>
      <c r="D18" s="6" t="n"/>
      <c r="E18" s="6" t="n"/>
    </row>
    <row r="19">
      <c r="A19" s="36" t="inlineStr">
        <is>
          <t>Role / Title</t>
        </is>
      </c>
      <c r="B19" s="37" t="n"/>
      <c r="C19" s="6" t="n"/>
      <c r="D19" s="6" t="n"/>
      <c r="E19" s="6" t="n"/>
    </row>
    <row r="20">
      <c r="A20" s="36" t="inlineStr">
        <is>
          <t>Department</t>
        </is>
      </c>
      <c r="B20" s="37" t="n"/>
      <c r="C20" s="6" t="n"/>
      <c r="D20" s="6" t="n"/>
      <c r="E20" s="6" t="n"/>
    </row>
    <row r="21">
      <c r="A21" s="36" t="inlineStr">
        <is>
          <t>Date Reviewed</t>
        </is>
      </c>
      <c r="B21" s="37" t="n"/>
      <c r="C21" s="6" t="n"/>
      <c r="D21" s="6" t="n"/>
      <c r="E21" s="6" t="n"/>
    </row>
    <row r="22">
      <c r="A22" s="36" t="inlineStr">
        <is>
          <t>Signature</t>
        </is>
      </c>
      <c r="B22" s="37" t="n"/>
      <c r="C22" s="6" t="n"/>
      <c r="D22" s="6" t="n"/>
      <c r="E22" s="6" t="n"/>
    </row>
    <row r="24">
      <c r="A24" s="39" t="inlineStr">
        <is>
          <t>APPROVED BY</t>
        </is>
      </c>
      <c r="B24" s="6" t="n"/>
      <c r="C24" s="6" t="n"/>
      <c r="D24" s="6" t="n"/>
      <c r="E24" s="6" t="n"/>
    </row>
    <row r="25">
      <c r="A25" s="36" t="inlineStr">
        <is>
          <t>Approver Name</t>
        </is>
      </c>
      <c r="B25" s="37" t="n"/>
      <c r="C25" s="6" t="n"/>
      <c r="D25" s="6" t="n"/>
      <c r="E25" s="6" t="n"/>
    </row>
    <row r="26">
      <c r="A26" s="36" t="inlineStr">
        <is>
          <t>Role / Title</t>
        </is>
      </c>
      <c r="B26" s="37" t="n"/>
      <c r="C26" s="6" t="n"/>
      <c r="D26" s="6" t="n"/>
      <c r="E26" s="6" t="n"/>
    </row>
    <row r="27">
      <c r="A27" s="36" t="inlineStr">
        <is>
          <t>Department</t>
        </is>
      </c>
      <c r="B27" s="37" t="n"/>
      <c r="C27" s="6" t="n"/>
      <c r="D27" s="6" t="n"/>
      <c r="E27" s="6" t="n"/>
    </row>
    <row r="28">
      <c r="A28" s="36" t="inlineStr">
        <is>
          <t>Date Approved</t>
        </is>
      </c>
      <c r="B28" s="37" t="n"/>
      <c r="C28" s="6" t="n"/>
      <c r="D28" s="6" t="n"/>
      <c r="E28" s="6" t="n"/>
    </row>
    <row r="29">
      <c r="A29" s="36" t="inlineStr">
        <is>
          <t>Signature</t>
        </is>
      </c>
      <c r="B29" s="37" t="n"/>
      <c r="C29" s="6" t="n"/>
      <c r="D29" s="6" t="n"/>
      <c r="E29" s="6" t="n"/>
    </row>
    <row r="31">
      <c r="A31" s="40" t="inlineStr">
        <is>
          <t>FINAL DECISION</t>
        </is>
      </c>
      <c r="B31" s="6" t="n"/>
      <c r="C31" s="6" t="n"/>
      <c r="D31" s="6" t="n"/>
      <c r="E31" s="6" t="n"/>
    </row>
    <row r="32">
      <c r="A32" s="36" t="inlineStr">
        <is>
          <t>Decision</t>
        </is>
      </c>
      <c r="B32" s="37" t="n"/>
      <c r="C32" s="6" t="n"/>
      <c r="D32" s="6" t="n"/>
      <c r="E32" s="6" t="n"/>
    </row>
    <row r="33">
      <c r="A33" s="36" t="inlineStr">
        <is>
          <t>Decision Date</t>
        </is>
      </c>
      <c r="B33" s="37" t="n"/>
      <c r="C33" s="6" t="n"/>
      <c r="D33" s="6" t="n"/>
      <c r="E33" s="6" t="n"/>
    </row>
    <row r="34">
      <c r="A34" s="36" t="inlineStr">
        <is>
          <t>Next Assessment Date</t>
        </is>
      </c>
      <c r="B34" s="37" t="n"/>
      <c r="C34" s="6" t="n"/>
      <c r="D34" s="6" t="n"/>
      <c r="E34" s="6" t="n"/>
    </row>
    <row r="35">
      <c r="A35" s="36" t="inlineStr">
        <is>
          <t>Comments</t>
        </is>
      </c>
      <c r="B35" s="37" t="n"/>
      <c r="C35" s="6" t="n"/>
      <c r="D35" s="6" t="n"/>
      <c r="E35" s="6" t="n"/>
    </row>
    <row r="38">
      <c r="A38" s="39" t="inlineStr">
        <is>
          <t>NEXT REVIEW</t>
        </is>
      </c>
      <c r="B38" s="6" t="n"/>
      <c r="C38" s="6" t="n"/>
      <c r="D38" s="6" t="n"/>
      <c r="E38" s="6" t="n"/>
    </row>
    <row r="39">
      <c r="A39" s="36" t="inlineStr">
        <is>
          <t>Review Cycle</t>
        </is>
      </c>
      <c r="B39" s="37" t="n"/>
      <c r="C39" s="6" t="n"/>
      <c r="D39" s="6" t="n"/>
      <c r="E39" s="6" t="n"/>
    </row>
    <row r="40">
      <c r="A40" s="36" t="inlineStr">
        <is>
          <t>Next Review Date</t>
        </is>
      </c>
      <c r="B40" s="37" t="n"/>
      <c r="C40" s="6" t="n"/>
      <c r="D40" s="6" t="n"/>
      <c r="E40" s="6" t="n"/>
    </row>
    <row r="41">
      <c r="A41" s="36" t="inlineStr">
        <is>
          <t>Review Owner</t>
        </is>
      </c>
      <c r="B41" s="37" t="n"/>
      <c r="C41" s="6" t="n"/>
      <c r="D41" s="6" t="n"/>
      <c r="E41" s="6" t="n"/>
    </row>
    <row r="42">
      <c r="A42" s="36" t="inlineStr">
        <is>
          <t>Escalation Contact</t>
        </is>
      </c>
      <c r="B42" s="37" t="n"/>
      <c r="C42" s="6" t="n"/>
      <c r="D42" s="6" t="n"/>
      <c r="E42" s="6" t="n"/>
    </row>
  </sheetData>
  <mergeCells count="36">
    <mergeCell ref="B40:E40"/>
    <mergeCell ref="A24:E24"/>
    <mergeCell ref="B6:E6"/>
    <mergeCell ref="B15:E15"/>
    <mergeCell ref="B33:E33"/>
    <mergeCell ref="A1:E1"/>
    <mergeCell ref="B5:E5"/>
    <mergeCell ref="B20:E20"/>
    <mergeCell ref="B32:E32"/>
    <mergeCell ref="B26:E26"/>
    <mergeCell ref="B41:E41"/>
    <mergeCell ref="B35:E35"/>
    <mergeCell ref="B4:E4"/>
    <mergeCell ref="B7:E7"/>
    <mergeCell ref="B25:E25"/>
    <mergeCell ref="B22:E22"/>
    <mergeCell ref="A3:E3"/>
    <mergeCell ref="B18:E18"/>
    <mergeCell ref="B27:E27"/>
    <mergeCell ref="A2:E2"/>
    <mergeCell ref="B12:E12"/>
    <mergeCell ref="B21:E21"/>
    <mergeCell ref="B39:E39"/>
    <mergeCell ref="B11:E11"/>
    <mergeCell ref="B42:E42"/>
    <mergeCell ref="A17:E17"/>
    <mergeCell ref="B14:E14"/>
    <mergeCell ref="B8:E8"/>
    <mergeCell ref="A38:E38"/>
    <mergeCell ref="A10:E10"/>
    <mergeCell ref="B13:E13"/>
    <mergeCell ref="B29:E29"/>
    <mergeCell ref="B19:E19"/>
    <mergeCell ref="A31:E31"/>
    <mergeCell ref="B28:E28"/>
    <mergeCell ref="B34:E34"/>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ISMS-IMP-A.7.12-13.S1 — Cabling Security Assessment</dc:title>
  <dc:description xmlns:dc="http://purl.org/dc/elements/1.1/">ISMS Implementation Workbook — ISMS-IMP-A.7.12-13.S1</dc:description>
  <dc:subject xmlns:dc="http://purl.org/dc/elements/1.1/">ISO/IEC 27001:2022 — Control A.7.12: Cabling Security</dc:subject>
  <dcterms:created xmlns:dcterms="http://purl.org/dc/terms/" xmlns:xsi="http://www.w3.org/2001/XMLSchema-instance" xsi:type="dcterms:W3CDTF">2026-03-10T18:49:08Z</dcterms:created>
  <dcterms:modified xmlns:dcterms="http://purl.org/dc/terms/" xmlns:xsi="http://www.w3.org/2001/XMLSchema-instance" xsi:type="dcterms:W3CDTF">2026-03-10T18:49:08Z</dcterms:modified>
</cp:coreProperties>
</file>