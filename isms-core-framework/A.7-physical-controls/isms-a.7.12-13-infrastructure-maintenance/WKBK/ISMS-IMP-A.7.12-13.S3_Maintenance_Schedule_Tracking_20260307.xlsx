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Schedule" sheetId="2" state="visible" r:id="rId2"/>
    <sheet xmlns:r="http://schemas.openxmlformats.org/officeDocument/2006/relationships" name="Overdue Tracking" sheetId="3" state="visible" r:id="rId3"/>
    <sheet xmlns:r="http://schemas.openxmlformats.org/officeDocument/2006/relationships" name="Upcoming Maintenance" sheetId="4" state="visible" r:id="rId4"/>
    <sheet xmlns:r="http://schemas.openxmlformats.org/officeDocument/2006/relationships" name="Maintenance Lo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0" borderId="0" pivotButton="0" quotePrefix="0" xfId="0"/>
    <xf numFmtId="0" fontId="2" fillId="12" borderId="0" pivotButton="0" quotePrefix="0" xfId="0"/>
    <xf numFmtId="0" fontId="6" fillId="10"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10" borderId="1" applyAlignment="1" pivotButton="0" quotePrefix="0" xfId="0">
      <alignment horizontal="left" vertical="center" wrapText="1"/>
    </xf>
    <xf numFmtId="0" fontId="9" fillId="8" borderId="2" applyAlignment="1" pivotButton="0" quotePrefix="0" xfId="0">
      <alignment horizontal="center" vertical="center" wrapText="1"/>
    </xf>
    <xf numFmtId="0" fontId="0" fillId="0" borderId="2" pivotButton="0" quotePrefix="0" xfId="0"/>
    <xf numFmtId="0" fontId="10" fillId="0" borderId="0" applyAlignment="1" pivotButton="0" quotePrefix="0" xfId="0">
      <alignment horizontal="left" vertical="center"/>
    </xf>
    <xf numFmtId="0" fontId="11" fillId="8" borderId="2" pivotButton="0" quotePrefix="0" xfId="0"/>
    <xf numFmtId="0" fontId="12" fillId="9" borderId="2" applyAlignment="1" pivotButton="0" quotePrefix="0" xfId="0">
      <alignment horizontal="center" vertical="center" wrapText="1"/>
    </xf>
    <xf numFmtId="0" fontId="13" fillId="0" borderId="2" pivotButton="0" quotePrefix="0" xfId="0"/>
    <xf numFmtId="0" fontId="13" fillId="0" borderId="2" applyAlignment="1" pivotButton="0" quotePrefix="0" xfId="0">
      <alignment horizontal="center"/>
    </xf>
    <xf numFmtId="164" fontId="13" fillId="0" borderId="2" applyAlignment="1" pivotButton="0" quotePrefix="0" xfId="0">
      <alignment horizontal="center"/>
    </xf>
    <xf numFmtId="0" fontId="12" fillId="9" borderId="2" applyAlignment="1" pivotButton="0" quotePrefix="0" xfId="0">
      <alignment horizontal="left"/>
    </xf>
    <xf numFmtId="0" fontId="12" fillId="9" borderId="2" applyAlignment="1" pivotButton="0" quotePrefix="0" xfId="0">
      <alignment horizontal="center"/>
    </xf>
    <xf numFmtId="164" fontId="12" fillId="9" borderId="2" applyAlignment="1" pivotButton="0" quotePrefix="0" xfId="0">
      <alignment horizontal="center"/>
    </xf>
    <xf numFmtId="0" fontId="11" fillId="13" borderId="2" pivotButton="0" quotePrefix="0" xfId="0"/>
    <xf numFmtId="0" fontId="13" fillId="11" borderId="2" pivotButton="0" quotePrefix="0" xfId="0"/>
    <xf numFmtId="0" fontId="13"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10" fillId="0" borderId="1" applyAlignment="1" pivotButton="0" quotePrefix="0" xfId="0">
      <alignment horizontal="center" vertical="center"/>
    </xf>
    <xf numFmtId="0" fontId="14" fillId="14" borderId="1" pivotButton="0" quotePrefix="0" xfId="0"/>
    <xf numFmtId="0" fontId="4" fillId="0" borderId="1" pivotButton="0" quotePrefix="0" xfId="0"/>
    <xf numFmtId="0" fontId="0" fillId="11" borderId="1" pivotButton="0" quotePrefix="0" xfId="0"/>
    <xf numFmtId="164" fontId="0" fillId="0" borderId="1" pivotButton="0" quotePrefix="0" xfId="0"/>
    <xf numFmtId="0" fontId="14" fillId="14" borderId="1" applyAlignment="1" pivotButton="0" quotePrefix="0" xfId="0">
      <alignment horizontal="left" vertical="center"/>
    </xf>
    <xf numFmtId="0" fontId="15"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ISMS-IMP-A.7.12-13.S3  -  Maintenance Schedule Tracking
ISO/IEC 27001:2022 - Control A.7.13: Equipment Maintenance</t>
        </is>
      </c>
    </row>
    <row r="3">
      <c r="A3" s="2" t="inlineStr">
        <is>
          <t>Document Information</t>
        </is>
      </c>
    </row>
    <row r="4">
      <c r="A4" s="3" t="inlineStr">
        <is>
          <t>Document ID</t>
        </is>
      </c>
      <c r="B4" t="inlineStr">
        <is>
          <t>ISMS-IMP-A.7.12-13.S3</t>
        </is>
      </c>
    </row>
    <row r="5">
      <c r="A5" s="3" t="inlineStr">
        <is>
          <t>Workbook Title</t>
        </is>
      </c>
      <c r="B5" t="inlineStr">
        <is>
          <t>Maintenance Schedule Tracking</t>
        </is>
      </c>
    </row>
    <row r="6">
      <c r="A6" s="3" t="inlineStr">
        <is>
          <t>Control Reference</t>
        </is>
      </c>
      <c r="B6" t="inlineStr">
        <is>
          <t>ISO/IEC 27001:2022 - Control A.7.13: Equipment Maintenance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Schedule) — add all equipment with maintenance schedules.</t>
        </is>
      </c>
    </row>
    <row r="14">
      <c r="A14" t="inlineStr">
        <is>
          <t>2. Complete Sheet 3 (Overdue Tracking) — document and escalate overdue maintenance.</t>
        </is>
      </c>
    </row>
    <row r="15">
      <c r="A15" t="inlineStr">
        <is>
          <t>3. Review Sheet 4 (Upcoming Maintenance) — plan maintenance for next 30/60/90 days.</t>
        </is>
      </c>
    </row>
    <row r="16">
      <c r="A16" t="inlineStr">
        <is>
          <t>4. Review Sheet 5 (Summary Dashboard) — monitor compliance metrics and KPIs.</t>
        </is>
      </c>
    </row>
    <row r="17">
      <c r="A17" t="inlineStr">
        <is>
          <t>5. Update Sheet 6 (Maintenance Log) — record all completed maintenance activities.</t>
        </is>
      </c>
    </row>
    <row r="18">
      <c r="A18" t="inlineStr">
        <is>
          <t>6. Complete Sheet 7 (Evidence Register) — document supporting evidence.</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2" customWidth="1" min="6" max="6"/>
    <col width="15" customWidth="1" min="7" max="7"/>
    <col width="20" customWidth="1" min="8" max="8"/>
    <col width="15" customWidth="1" min="9" max="9"/>
    <col width="15" customWidth="1" min="10" max="10"/>
    <col width="15" customWidth="1" min="11" max="11"/>
    <col width="18" customWidth="1" min="12" max="12"/>
    <col width="18" customWidth="1" min="13" max="13"/>
    <col width="40" customWidth="1" min="14" max="14"/>
  </cols>
  <sheetData>
    <row r="1" ht="35" customHeight="1">
      <c r="A1" s="11" t="inlineStr">
        <is>
          <t>EQUIPMENT MAINTENANCE SCHEDULE</t>
        </is>
      </c>
    </row>
    <row r="2">
      <c r="A2" s="12" t="inlineStr">
        <is>
          <t>Track preventive maintenance schedules for all equipment. Update monthly. Status auto-calculates from Last Completed and Frequency.</t>
        </is>
      </c>
    </row>
    <row r="3">
      <c r="A3" s="13" t="inlineStr">
        <is>
          <t>Equipment ID</t>
        </is>
      </c>
      <c r="B3" s="13" t="inlineStr">
        <is>
          <t>Equipment Type</t>
        </is>
      </c>
      <c r="C3" s="13" t="inlineStr">
        <is>
          <t>Equipment Description</t>
        </is>
      </c>
      <c r="D3" s="13" t="inlineStr">
        <is>
          <t>Location</t>
        </is>
      </c>
      <c r="E3" s="13" t="inlineStr">
        <is>
          <t>Criticality</t>
        </is>
      </c>
      <c r="F3" s="13" t="inlineStr">
        <is>
          <t>Maintenance Type</t>
        </is>
      </c>
      <c r="G3" s="13" t="inlineStr">
        <is>
          <t>Frequency</t>
        </is>
      </c>
      <c r="H3" s="13" t="inlineStr">
        <is>
          <t>Responsible Party</t>
        </is>
      </c>
      <c r="I3" s="13" t="inlineStr">
        <is>
          <t>Last Completed</t>
        </is>
      </c>
      <c r="J3" s="13" t="inlineStr">
        <is>
          <t>Next Due</t>
        </is>
      </c>
      <c r="K3" s="13" t="inlineStr">
        <is>
          <t>Status</t>
        </is>
      </c>
      <c r="L3" s="13" t="inlineStr">
        <is>
          <t>Days Until/Overdue</t>
        </is>
      </c>
      <c r="M3" s="13" t="inlineStr">
        <is>
          <t>Record Ref</t>
        </is>
      </c>
      <c r="N3" s="13" t="inlineStr">
        <is>
          <t>Notes</t>
        </is>
      </c>
    </row>
    <row r="4">
      <c r="A4" s="14" t="inlineStr">
        <is>
          <t>EQ-001</t>
        </is>
      </c>
      <c r="B4" s="14" t="inlineStr">
        <is>
          <t>Server</t>
        </is>
      </c>
      <c r="C4" s="14" t="inlineStr">
        <is>
          <t>[Primary Application Server]</t>
        </is>
      </c>
      <c r="D4" s="14" t="inlineStr">
        <is>
          <t>[Data Centre]</t>
        </is>
      </c>
      <c r="E4" s="14" t="inlineStr">
        <is>
          <t>Tier 1 - Critical</t>
        </is>
      </c>
      <c r="F4" s="14" t="inlineStr">
        <is>
          <t>Firmware Update</t>
        </is>
      </c>
      <c r="G4" s="14" t="inlineStr">
        <is>
          <t>Annually</t>
        </is>
      </c>
      <c r="H4" s="14" t="inlineStr">
        <is>
          <t>Internal - IT</t>
        </is>
      </c>
      <c r="I4" s="14" t="inlineStr">
        <is>
          <t>[DD.MM.YYYY]</t>
        </is>
      </c>
      <c r="J4" s="14" t="inlineStr"/>
      <c r="K4" s="14" t="inlineStr"/>
      <c r="L4" s="14" t="inlineStr"/>
      <c r="M4" s="14" t="inlineStr">
        <is>
          <t>[MAINT-001]</t>
        </is>
      </c>
      <c r="N4" s="14" t="inlineStr"/>
    </row>
    <row r="5">
      <c r="A5" s="15" t="n"/>
      <c r="B5" s="15" t="n"/>
      <c r="C5" s="15" t="n"/>
      <c r="D5" s="15" t="n"/>
      <c r="E5" s="15" t="n"/>
      <c r="F5" s="15" t="n"/>
      <c r="G5" s="15" t="n"/>
      <c r="H5" s="15" t="n"/>
      <c r="I5" s="15" t="n"/>
      <c r="J5" s="15">
        <f>IF(I5="","",I5+CHOOSE(MATCH(G5,{"Monthly","Quarterly","Semi-annually","Annually"},0),30,90,180,365))</f>
        <v/>
      </c>
      <c r="K5" s="15">
        <f>IF(J5="","",IF(J5&gt;TODAY()+30,"✅ Current",IF(J5&gt;TODAY(),"⚠ Due Soon","❌ Overdue")))</f>
        <v/>
      </c>
      <c r="L5" s="15">
        <f>IF(J5="","",J5-TODAY())</f>
        <v/>
      </c>
      <c r="M5" s="15" t="n"/>
      <c r="N5" s="15" t="n"/>
    </row>
    <row r="6">
      <c r="A6" s="15" t="n"/>
      <c r="B6" s="15" t="n"/>
      <c r="C6" s="15" t="n"/>
      <c r="D6" s="15" t="n"/>
      <c r="E6" s="15" t="n"/>
      <c r="F6" s="15" t="n"/>
      <c r="G6" s="15" t="n"/>
      <c r="H6" s="15" t="n"/>
      <c r="I6" s="15" t="n"/>
      <c r="J6" s="15">
        <f>IF(I6="","",I6+CHOOSE(MATCH(G6,{"Monthly","Quarterly","Semi-annually","Annually"},0),30,90,180,365))</f>
        <v/>
      </c>
      <c r="K6" s="15">
        <f>IF(J6="","",IF(J6&gt;TODAY()+30,"✅ Current",IF(J6&gt;TODAY(),"⚠ Due Soon","❌ Overdue")))</f>
        <v/>
      </c>
      <c r="L6" s="15">
        <f>IF(J6="","",J6-TODAY())</f>
        <v/>
      </c>
      <c r="M6" s="15" t="n"/>
      <c r="N6" s="15" t="n"/>
    </row>
    <row r="7">
      <c r="A7" s="15" t="n"/>
      <c r="B7" s="15" t="n"/>
      <c r="C7" s="15" t="n"/>
      <c r="D7" s="15" t="n"/>
      <c r="E7" s="15" t="n"/>
      <c r="F7" s="15" t="n"/>
      <c r="G7" s="15" t="n"/>
      <c r="H7" s="15" t="n"/>
      <c r="I7" s="15" t="n"/>
      <c r="J7" s="15">
        <f>IF(I7="","",I7+CHOOSE(MATCH(G7,{"Monthly","Quarterly","Semi-annually","Annually"},0),30,90,180,365))</f>
        <v/>
      </c>
      <c r="K7" s="15">
        <f>IF(J7="","",IF(J7&gt;TODAY()+30,"✅ Current",IF(J7&gt;TODAY(),"⚠ Due Soon","❌ Overdue")))</f>
        <v/>
      </c>
      <c r="L7" s="15">
        <f>IF(J7="","",J7-TODAY())</f>
        <v/>
      </c>
      <c r="M7" s="15" t="n"/>
      <c r="N7" s="15" t="n"/>
    </row>
    <row r="8">
      <c r="A8" s="15" t="n"/>
      <c r="B8" s="15" t="n"/>
      <c r="C8" s="15" t="n"/>
      <c r="D8" s="15" t="n"/>
      <c r="E8" s="15" t="n"/>
      <c r="F8" s="15" t="n"/>
      <c r="G8" s="15" t="n"/>
      <c r="H8" s="15" t="n"/>
      <c r="I8" s="15" t="n"/>
      <c r="J8" s="15">
        <f>IF(I8="","",I8+CHOOSE(MATCH(G8,{"Monthly","Quarterly","Semi-annually","Annually"},0),30,90,180,365))</f>
        <v/>
      </c>
      <c r="K8" s="15">
        <f>IF(J8="","",IF(J8&gt;TODAY()+30,"✅ Current",IF(J8&gt;TODAY(),"⚠ Due Soon","❌ Overdue")))</f>
        <v/>
      </c>
      <c r="L8" s="15">
        <f>IF(J8="","",J8-TODAY())</f>
        <v/>
      </c>
      <c r="M8" s="15" t="n"/>
      <c r="N8" s="15" t="n"/>
    </row>
    <row r="9">
      <c r="A9" s="15" t="n"/>
      <c r="B9" s="15" t="n"/>
      <c r="C9" s="15" t="n"/>
      <c r="D9" s="15" t="n"/>
      <c r="E9" s="15" t="n"/>
      <c r="F9" s="15" t="n"/>
      <c r="G9" s="15" t="n"/>
      <c r="H9" s="15" t="n"/>
      <c r="I9" s="15" t="n"/>
      <c r="J9" s="15">
        <f>IF(I9="","",I9+CHOOSE(MATCH(G9,{"Monthly","Quarterly","Semi-annually","Annually"},0),30,90,180,365))</f>
        <v/>
      </c>
      <c r="K9" s="15">
        <f>IF(J9="","",IF(J9&gt;TODAY()+30,"✅ Current",IF(J9&gt;TODAY(),"⚠ Due Soon","❌ Overdue")))</f>
        <v/>
      </c>
      <c r="L9" s="15">
        <f>IF(J9="","",J9-TODAY())</f>
        <v/>
      </c>
      <c r="M9" s="15" t="n"/>
      <c r="N9" s="15" t="n"/>
    </row>
    <row r="10">
      <c r="A10" s="15" t="n"/>
      <c r="B10" s="15" t="n"/>
      <c r="C10" s="15" t="n"/>
      <c r="D10" s="15" t="n"/>
      <c r="E10" s="15" t="n"/>
      <c r="F10" s="15" t="n"/>
      <c r="G10" s="15" t="n"/>
      <c r="H10" s="15" t="n"/>
      <c r="I10" s="15" t="n"/>
      <c r="J10" s="15">
        <f>IF(I10="","",I10+CHOOSE(MATCH(G10,{"Monthly","Quarterly","Semi-annually","Annually"},0),30,90,180,365))</f>
        <v/>
      </c>
      <c r="K10" s="15">
        <f>IF(J10="","",IF(J10&gt;TODAY()+30,"✅ Current",IF(J10&gt;TODAY(),"⚠ Due Soon","❌ Overdue")))</f>
        <v/>
      </c>
      <c r="L10" s="15">
        <f>IF(J10="","",J10-TODAY())</f>
        <v/>
      </c>
      <c r="M10" s="15" t="n"/>
      <c r="N10" s="15" t="n"/>
    </row>
    <row r="11">
      <c r="A11" s="15" t="n"/>
      <c r="B11" s="15" t="n"/>
      <c r="C11" s="15" t="n"/>
      <c r="D11" s="15" t="n"/>
      <c r="E11" s="15" t="n"/>
      <c r="F11" s="15" t="n"/>
      <c r="G11" s="15" t="n"/>
      <c r="H11" s="15" t="n"/>
      <c r="I11" s="15" t="n"/>
      <c r="J11" s="15">
        <f>IF(I11="","",I11+CHOOSE(MATCH(G11,{"Monthly","Quarterly","Semi-annually","Annually"},0),30,90,180,365))</f>
        <v/>
      </c>
      <c r="K11" s="15">
        <f>IF(J11="","",IF(J11&gt;TODAY()+30,"✅ Current",IF(J11&gt;TODAY(),"⚠ Due Soon","❌ Overdue")))</f>
        <v/>
      </c>
      <c r="L11" s="15">
        <f>IF(J11="","",J11-TODAY())</f>
        <v/>
      </c>
      <c r="M11" s="15" t="n"/>
      <c r="N11" s="15" t="n"/>
    </row>
    <row r="12">
      <c r="A12" s="15" t="n"/>
      <c r="B12" s="15" t="n"/>
      <c r="C12" s="15" t="n"/>
      <c r="D12" s="15" t="n"/>
      <c r="E12" s="15" t="n"/>
      <c r="F12" s="15" t="n"/>
      <c r="G12" s="15" t="n"/>
      <c r="H12" s="15" t="n"/>
      <c r="I12" s="15" t="n"/>
      <c r="J12" s="15">
        <f>IF(I12="","",I12+CHOOSE(MATCH(G12,{"Monthly","Quarterly","Semi-annually","Annually"},0),30,90,180,365))</f>
        <v/>
      </c>
      <c r="K12" s="15">
        <f>IF(J12="","",IF(J12&gt;TODAY()+30,"✅ Current",IF(J12&gt;TODAY(),"⚠ Due Soon","❌ Overdue")))</f>
        <v/>
      </c>
      <c r="L12" s="15">
        <f>IF(J12="","",J12-TODAY())</f>
        <v/>
      </c>
      <c r="M12" s="15" t="n"/>
      <c r="N12" s="15" t="n"/>
    </row>
    <row r="13">
      <c r="A13" s="15" t="n"/>
      <c r="B13" s="15" t="n"/>
      <c r="C13" s="15" t="n"/>
      <c r="D13" s="15" t="n"/>
      <c r="E13" s="15" t="n"/>
      <c r="F13" s="15" t="n"/>
      <c r="G13" s="15" t="n"/>
      <c r="H13" s="15" t="n"/>
      <c r="I13" s="15" t="n"/>
      <c r="J13" s="15">
        <f>IF(I13="","",I13+CHOOSE(MATCH(G13,{"Monthly","Quarterly","Semi-annually","Annually"},0),30,90,180,365))</f>
        <v/>
      </c>
      <c r="K13" s="15">
        <f>IF(J13="","",IF(J13&gt;TODAY()+30,"✅ Current",IF(J13&gt;TODAY(),"⚠ Due Soon","❌ Overdue")))</f>
        <v/>
      </c>
      <c r="L13" s="15">
        <f>IF(J13="","",J13-TODAY())</f>
        <v/>
      </c>
      <c r="M13" s="15" t="n"/>
      <c r="N13" s="15" t="n"/>
    </row>
    <row r="14">
      <c r="A14" s="15" t="n"/>
      <c r="B14" s="15" t="n"/>
      <c r="C14" s="15" t="n"/>
      <c r="D14" s="15" t="n"/>
      <c r="E14" s="15" t="n"/>
      <c r="F14" s="15" t="n"/>
      <c r="G14" s="15" t="n"/>
      <c r="H14" s="15" t="n"/>
      <c r="I14" s="15" t="n"/>
      <c r="J14" s="15">
        <f>IF(I14="","",I14+CHOOSE(MATCH(G14,{"Monthly","Quarterly","Semi-annually","Annually"},0),30,90,180,365))</f>
        <v/>
      </c>
      <c r="K14" s="15">
        <f>IF(J14="","",IF(J14&gt;TODAY()+30,"✅ Current",IF(J14&gt;TODAY(),"⚠ Due Soon","❌ Overdue")))</f>
        <v/>
      </c>
      <c r="L14" s="15">
        <f>IF(J14="","",J14-TODAY())</f>
        <v/>
      </c>
      <c r="M14" s="15" t="n"/>
      <c r="N14" s="15" t="n"/>
    </row>
    <row r="15">
      <c r="A15" s="15" t="n"/>
      <c r="B15" s="15" t="n"/>
      <c r="C15" s="15" t="n"/>
      <c r="D15" s="15" t="n"/>
      <c r="E15" s="15" t="n"/>
      <c r="F15" s="15" t="n"/>
      <c r="G15" s="15" t="n"/>
      <c r="H15" s="15" t="n"/>
      <c r="I15" s="15" t="n"/>
      <c r="J15" s="15">
        <f>IF(I15="","",I15+CHOOSE(MATCH(G15,{"Monthly","Quarterly","Semi-annually","Annually"},0),30,90,180,365))</f>
        <v/>
      </c>
      <c r="K15" s="15">
        <f>IF(J15="","",IF(J15&gt;TODAY()+30,"✅ Current",IF(J15&gt;TODAY(),"⚠ Due Soon","❌ Overdue")))</f>
        <v/>
      </c>
      <c r="L15" s="15">
        <f>IF(J15="","",J15-TODAY())</f>
        <v/>
      </c>
      <c r="M15" s="15" t="n"/>
      <c r="N15" s="15" t="n"/>
    </row>
    <row r="16">
      <c r="A16" s="15" t="n"/>
      <c r="B16" s="15" t="n"/>
      <c r="C16" s="15" t="n"/>
      <c r="D16" s="15" t="n"/>
      <c r="E16" s="15" t="n"/>
      <c r="F16" s="15" t="n"/>
      <c r="G16" s="15" t="n"/>
      <c r="H16" s="15" t="n"/>
      <c r="I16" s="15" t="n"/>
      <c r="J16" s="15">
        <f>IF(I16="","",I16+CHOOSE(MATCH(G16,{"Monthly","Quarterly","Semi-annually","Annually"},0),30,90,180,365))</f>
        <v/>
      </c>
      <c r="K16" s="15">
        <f>IF(J16="","",IF(J16&gt;TODAY()+30,"✅ Current",IF(J16&gt;TODAY(),"⚠ Due Soon","❌ Overdue")))</f>
        <v/>
      </c>
      <c r="L16" s="15">
        <f>IF(J16="","",J16-TODAY())</f>
        <v/>
      </c>
      <c r="M16" s="15" t="n"/>
      <c r="N16" s="15" t="n"/>
    </row>
    <row r="17">
      <c r="A17" s="15" t="n"/>
      <c r="B17" s="15" t="n"/>
      <c r="C17" s="15" t="n"/>
      <c r="D17" s="15" t="n"/>
      <c r="E17" s="15" t="n"/>
      <c r="F17" s="15" t="n"/>
      <c r="G17" s="15" t="n"/>
      <c r="H17" s="15" t="n"/>
      <c r="I17" s="15" t="n"/>
      <c r="J17" s="15">
        <f>IF(I17="","",I17+CHOOSE(MATCH(G17,{"Monthly","Quarterly","Semi-annually","Annually"},0),30,90,180,365))</f>
        <v/>
      </c>
      <c r="K17" s="15">
        <f>IF(J17="","",IF(J17&gt;TODAY()+30,"✅ Current",IF(J17&gt;TODAY(),"⚠ Due Soon","❌ Overdue")))</f>
        <v/>
      </c>
      <c r="L17" s="15">
        <f>IF(J17="","",J17-TODAY())</f>
        <v/>
      </c>
      <c r="M17" s="15" t="n"/>
      <c r="N17" s="15" t="n"/>
    </row>
    <row r="18">
      <c r="A18" s="15" t="n"/>
      <c r="B18" s="15" t="n"/>
      <c r="C18" s="15" t="n"/>
      <c r="D18" s="15" t="n"/>
      <c r="E18" s="15" t="n"/>
      <c r="F18" s="15" t="n"/>
      <c r="G18" s="15" t="n"/>
      <c r="H18" s="15" t="n"/>
      <c r="I18" s="15" t="n"/>
      <c r="J18" s="15">
        <f>IF(I18="","",I18+CHOOSE(MATCH(G18,{"Monthly","Quarterly","Semi-annually","Annually"},0),30,90,180,365))</f>
        <v/>
      </c>
      <c r="K18" s="15">
        <f>IF(J18="","",IF(J18&gt;TODAY()+30,"✅ Current",IF(J18&gt;TODAY(),"⚠ Due Soon","❌ Overdue")))</f>
        <v/>
      </c>
      <c r="L18" s="15">
        <f>IF(J18="","",J18-TODAY())</f>
        <v/>
      </c>
      <c r="M18" s="15" t="n"/>
      <c r="N18" s="15" t="n"/>
    </row>
    <row r="19">
      <c r="A19" s="15" t="n"/>
      <c r="B19" s="15" t="n"/>
      <c r="C19" s="15" t="n"/>
      <c r="D19" s="15" t="n"/>
      <c r="E19" s="15" t="n"/>
      <c r="F19" s="15" t="n"/>
      <c r="G19" s="15" t="n"/>
      <c r="H19" s="15" t="n"/>
      <c r="I19" s="15" t="n"/>
      <c r="J19" s="15">
        <f>IF(I19="","",I19+CHOOSE(MATCH(G19,{"Monthly","Quarterly","Semi-annually","Annually"},0),30,90,180,365))</f>
        <v/>
      </c>
      <c r="K19" s="15">
        <f>IF(J19="","",IF(J19&gt;TODAY()+30,"✅ Current",IF(J19&gt;TODAY(),"⚠ Due Soon","❌ Overdue")))</f>
        <v/>
      </c>
      <c r="L19" s="15">
        <f>IF(J19="","",J19-TODAY())</f>
        <v/>
      </c>
      <c r="M19" s="15" t="n"/>
      <c r="N19" s="15" t="n"/>
    </row>
    <row r="20">
      <c r="A20" s="15" t="n"/>
      <c r="B20" s="15" t="n"/>
      <c r="C20" s="15" t="n"/>
      <c r="D20" s="15" t="n"/>
      <c r="E20" s="15" t="n"/>
      <c r="F20" s="15" t="n"/>
      <c r="G20" s="15" t="n"/>
      <c r="H20" s="15" t="n"/>
      <c r="I20" s="15" t="n"/>
      <c r="J20" s="15">
        <f>IF(I20="","",I20+CHOOSE(MATCH(G20,{"Monthly","Quarterly","Semi-annually","Annually"},0),30,90,180,365))</f>
        <v/>
      </c>
      <c r="K20" s="15">
        <f>IF(J20="","",IF(J20&gt;TODAY()+30,"✅ Current",IF(J20&gt;TODAY(),"⚠ Due Soon","❌ Overdue")))</f>
        <v/>
      </c>
      <c r="L20" s="15">
        <f>IF(J20="","",J20-TODAY())</f>
        <v/>
      </c>
      <c r="M20" s="15" t="n"/>
      <c r="N20" s="15" t="n"/>
    </row>
    <row r="21">
      <c r="A21" s="15" t="n"/>
      <c r="B21" s="15" t="n"/>
      <c r="C21" s="15" t="n"/>
      <c r="D21" s="15" t="n"/>
      <c r="E21" s="15" t="n"/>
      <c r="F21" s="15" t="n"/>
      <c r="G21" s="15" t="n"/>
      <c r="H21" s="15" t="n"/>
      <c r="I21" s="15" t="n"/>
      <c r="J21" s="15">
        <f>IF(I21="","",I21+CHOOSE(MATCH(G21,{"Monthly","Quarterly","Semi-annually","Annually"},0),30,90,180,365))</f>
        <v/>
      </c>
      <c r="K21" s="15">
        <f>IF(J21="","",IF(J21&gt;TODAY()+30,"✅ Current",IF(J21&gt;TODAY(),"⚠ Due Soon","❌ Overdue")))</f>
        <v/>
      </c>
      <c r="L21" s="15">
        <f>IF(J21="","",J21-TODAY())</f>
        <v/>
      </c>
      <c r="M21" s="15" t="n"/>
      <c r="N21" s="15" t="n"/>
    </row>
    <row r="22">
      <c r="A22" s="15" t="n"/>
      <c r="B22" s="15" t="n"/>
      <c r="C22" s="15" t="n"/>
      <c r="D22" s="15" t="n"/>
      <c r="E22" s="15" t="n"/>
      <c r="F22" s="15" t="n"/>
      <c r="G22" s="15" t="n"/>
      <c r="H22" s="15" t="n"/>
      <c r="I22" s="15" t="n"/>
      <c r="J22" s="15">
        <f>IF(I22="","",I22+CHOOSE(MATCH(G22,{"Monthly","Quarterly","Semi-annually","Annually"},0),30,90,180,365))</f>
        <v/>
      </c>
      <c r="K22" s="15">
        <f>IF(J22="","",IF(J22&gt;TODAY()+30,"✅ Current",IF(J22&gt;TODAY(),"⚠ Due Soon","❌ Overdue")))</f>
        <v/>
      </c>
      <c r="L22" s="15">
        <f>IF(J22="","",J22-TODAY())</f>
        <v/>
      </c>
      <c r="M22" s="15" t="n"/>
      <c r="N22" s="15" t="n"/>
    </row>
    <row r="23">
      <c r="A23" s="15" t="n"/>
      <c r="B23" s="15" t="n"/>
      <c r="C23" s="15" t="n"/>
      <c r="D23" s="15" t="n"/>
      <c r="E23" s="15" t="n"/>
      <c r="F23" s="15" t="n"/>
      <c r="G23" s="15" t="n"/>
      <c r="H23" s="15" t="n"/>
      <c r="I23" s="15" t="n"/>
      <c r="J23" s="15">
        <f>IF(I23="","",I23+CHOOSE(MATCH(G23,{"Monthly","Quarterly","Semi-annually","Annually"},0),30,90,180,365))</f>
        <v/>
      </c>
      <c r="K23" s="15">
        <f>IF(J23="","",IF(J23&gt;TODAY()+30,"✅ Current",IF(J23&gt;TODAY(),"⚠ Due Soon","❌ Overdue")))</f>
        <v/>
      </c>
      <c r="L23" s="15">
        <f>IF(J23="","",J23-TODAY())</f>
        <v/>
      </c>
      <c r="M23" s="15" t="n"/>
      <c r="N23" s="15" t="n"/>
    </row>
    <row r="24">
      <c r="A24" s="15" t="n"/>
      <c r="B24" s="15" t="n"/>
      <c r="C24" s="15" t="n"/>
      <c r="D24" s="15" t="n"/>
      <c r="E24" s="15" t="n"/>
      <c r="F24" s="15" t="n"/>
      <c r="G24" s="15" t="n"/>
      <c r="H24" s="15" t="n"/>
      <c r="I24" s="15" t="n"/>
      <c r="J24" s="15">
        <f>IF(I24="","",I24+CHOOSE(MATCH(G24,{"Monthly","Quarterly","Semi-annually","Annually"},0),30,90,180,365))</f>
        <v/>
      </c>
      <c r="K24" s="15">
        <f>IF(J24="","",IF(J24&gt;TODAY()+30,"✅ Current",IF(J24&gt;TODAY(),"⚠ Due Soon","❌ Overdue")))</f>
        <v/>
      </c>
      <c r="L24" s="15">
        <f>IF(J24="","",J24-TODAY())</f>
        <v/>
      </c>
      <c r="M24" s="15" t="n"/>
      <c r="N24" s="15" t="n"/>
    </row>
    <row r="25">
      <c r="A25" s="15" t="n"/>
      <c r="B25" s="15" t="n"/>
      <c r="C25" s="15" t="n"/>
      <c r="D25" s="15" t="n"/>
      <c r="E25" s="15" t="n"/>
      <c r="F25" s="15" t="n"/>
      <c r="G25" s="15" t="n"/>
      <c r="H25" s="15" t="n"/>
      <c r="I25" s="15" t="n"/>
      <c r="J25" s="15">
        <f>IF(I25="","",I25+CHOOSE(MATCH(G25,{"Monthly","Quarterly","Semi-annually","Annually"},0),30,90,180,365))</f>
        <v/>
      </c>
      <c r="K25" s="15">
        <f>IF(J25="","",IF(J25&gt;TODAY()+30,"✅ Current",IF(J25&gt;TODAY(),"⚠ Due Soon","❌ Overdue")))</f>
        <v/>
      </c>
      <c r="L25" s="15">
        <f>IF(J25="","",J25-TODAY())</f>
        <v/>
      </c>
      <c r="M25" s="15" t="n"/>
      <c r="N25" s="15" t="n"/>
    </row>
    <row r="26">
      <c r="A26" s="15" t="n"/>
      <c r="B26" s="15" t="n"/>
      <c r="C26" s="15" t="n"/>
      <c r="D26" s="15" t="n"/>
      <c r="E26" s="15" t="n"/>
      <c r="F26" s="15" t="n"/>
      <c r="G26" s="15" t="n"/>
      <c r="H26" s="15" t="n"/>
      <c r="I26" s="15" t="n"/>
      <c r="J26" s="15">
        <f>IF(I26="","",I26+CHOOSE(MATCH(G26,{"Monthly","Quarterly","Semi-annually","Annually"},0),30,90,180,365))</f>
        <v/>
      </c>
      <c r="K26" s="15">
        <f>IF(J26="","",IF(J26&gt;TODAY()+30,"✅ Current",IF(J26&gt;TODAY(),"⚠ Due Soon","❌ Overdue")))</f>
        <v/>
      </c>
      <c r="L26" s="15">
        <f>IF(J26="","",J26-TODAY())</f>
        <v/>
      </c>
      <c r="M26" s="15" t="n"/>
      <c r="N26" s="15" t="n"/>
    </row>
    <row r="27">
      <c r="A27" s="15" t="n"/>
      <c r="B27" s="15" t="n"/>
      <c r="C27" s="15" t="n"/>
      <c r="D27" s="15" t="n"/>
      <c r="E27" s="15" t="n"/>
      <c r="F27" s="15" t="n"/>
      <c r="G27" s="15" t="n"/>
      <c r="H27" s="15" t="n"/>
      <c r="I27" s="15" t="n"/>
      <c r="J27" s="15">
        <f>IF(I27="","",I27+CHOOSE(MATCH(G27,{"Monthly","Quarterly","Semi-annually","Annually"},0),30,90,180,365))</f>
        <v/>
      </c>
      <c r="K27" s="15">
        <f>IF(J27="","",IF(J27&gt;TODAY()+30,"✅ Current",IF(J27&gt;TODAY(),"⚠ Due Soon","❌ Overdue")))</f>
        <v/>
      </c>
      <c r="L27" s="15">
        <f>IF(J27="","",J27-TODAY())</f>
        <v/>
      </c>
      <c r="M27" s="15" t="n"/>
      <c r="N27" s="15" t="n"/>
    </row>
    <row r="28">
      <c r="A28" s="15" t="n"/>
      <c r="B28" s="15" t="n"/>
      <c r="C28" s="15" t="n"/>
      <c r="D28" s="15" t="n"/>
      <c r="E28" s="15" t="n"/>
      <c r="F28" s="15" t="n"/>
      <c r="G28" s="15" t="n"/>
      <c r="H28" s="15" t="n"/>
      <c r="I28" s="15" t="n"/>
      <c r="J28" s="15">
        <f>IF(I28="","",I28+CHOOSE(MATCH(G28,{"Monthly","Quarterly","Semi-annually","Annually"},0),30,90,180,365))</f>
        <v/>
      </c>
      <c r="K28" s="15">
        <f>IF(J28="","",IF(J28&gt;TODAY()+30,"✅ Current",IF(J28&gt;TODAY(),"⚠ Due Soon","❌ Overdue")))</f>
        <v/>
      </c>
      <c r="L28" s="15">
        <f>IF(J28="","",J28-TODAY())</f>
        <v/>
      </c>
      <c r="M28" s="15" t="n"/>
      <c r="N28" s="15" t="n"/>
    </row>
    <row r="29">
      <c r="A29" s="15" t="n"/>
      <c r="B29" s="15" t="n"/>
      <c r="C29" s="15" t="n"/>
      <c r="D29" s="15" t="n"/>
      <c r="E29" s="15" t="n"/>
      <c r="F29" s="15" t="n"/>
      <c r="G29" s="15" t="n"/>
      <c r="H29" s="15" t="n"/>
      <c r="I29" s="15" t="n"/>
      <c r="J29" s="15">
        <f>IF(I29="","",I29+CHOOSE(MATCH(G29,{"Monthly","Quarterly","Semi-annually","Annually"},0),30,90,180,365))</f>
        <v/>
      </c>
      <c r="K29" s="15">
        <f>IF(J29="","",IF(J29&gt;TODAY()+30,"✅ Current",IF(J29&gt;TODAY(),"⚠ Due Soon","❌ Overdue")))</f>
        <v/>
      </c>
      <c r="L29" s="15">
        <f>IF(J29="","",J29-TODAY())</f>
        <v/>
      </c>
      <c r="M29" s="15" t="n"/>
      <c r="N29" s="15" t="n"/>
    </row>
    <row r="30">
      <c r="A30" s="15" t="n"/>
      <c r="B30" s="15" t="n"/>
      <c r="C30" s="15" t="n"/>
      <c r="D30" s="15" t="n"/>
      <c r="E30" s="15" t="n"/>
      <c r="F30" s="15" t="n"/>
      <c r="G30" s="15" t="n"/>
      <c r="H30" s="15" t="n"/>
      <c r="I30" s="15" t="n"/>
      <c r="J30" s="15">
        <f>IF(I30="","",I30+CHOOSE(MATCH(G30,{"Monthly","Quarterly","Semi-annually","Annually"},0),30,90,180,365))</f>
        <v/>
      </c>
      <c r="K30" s="15">
        <f>IF(J30="","",IF(J30&gt;TODAY()+30,"✅ Current",IF(J30&gt;TODAY(),"⚠ Due Soon","❌ Overdue")))</f>
        <v/>
      </c>
      <c r="L30" s="15">
        <f>IF(J30="","",J30-TODAY())</f>
        <v/>
      </c>
      <c r="M30" s="15" t="n"/>
      <c r="N30" s="15" t="n"/>
    </row>
    <row r="31">
      <c r="A31" s="15" t="n"/>
      <c r="B31" s="15" t="n"/>
      <c r="C31" s="15" t="n"/>
      <c r="D31" s="15" t="n"/>
      <c r="E31" s="15" t="n"/>
      <c r="F31" s="15" t="n"/>
      <c r="G31" s="15" t="n"/>
      <c r="H31" s="15" t="n"/>
      <c r="I31" s="15" t="n"/>
      <c r="J31" s="15">
        <f>IF(I31="","",I31+CHOOSE(MATCH(G31,{"Monthly","Quarterly","Semi-annually","Annually"},0),30,90,180,365))</f>
        <v/>
      </c>
      <c r="K31" s="15">
        <f>IF(J31="","",IF(J31&gt;TODAY()+30,"✅ Current",IF(J31&gt;TODAY(),"⚠ Due Soon","❌ Overdue")))</f>
        <v/>
      </c>
      <c r="L31" s="15">
        <f>IF(J31="","",J31-TODAY())</f>
        <v/>
      </c>
      <c r="M31" s="15" t="n"/>
      <c r="N31" s="15" t="n"/>
    </row>
    <row r="32">
      <c r="A32" s="15" t="n"/>
      <c r="B32" s="15" t="n"/>
      <c r="C32" s="15" t="n"/>
      <c r="D32" s="15" t="n"/>
      <c r="E32" s="15" t="n"/>
      <c r="F32" s="15" t="n"/>
      <c r="G32" s="15" t="n"/>
      <c r="H32" s="15" t="n"/>
      <c r="I32" s="15" t="n"/>
      <c r="J32" s="15">
        <f>IF(I32="","",I32+CHOOSE(MATCH(G32,{"Monthly","Quarterly","Semi-annually","Annually"},0),30,90,180,365))</f>
        <v/>
      </c>
      <c r="K32" s="15">
        <f>IF(J32="","",IF(J32&gt;TODAY()+30,"✅ Current",IF(J32&gt;TODAY(),"⚠ Due Soon","❌ Overdue")))</f>
        <v/>
      </c>
      <c r="L32" s="15">
        <f>IF(J32="","",J32-TODAY())</f>
        <v/>
      </c>
      <c r="M32" s="15" t="n"/>
      <c r="N32" s="15" t="n"/>
    </row>
    <row r="33">
      <c r="A33" s="15" t="n"/>
      <c r="B33" s="15" t="n"/>
      <c r="C33" s="15" t="n"/>
      <c r="D33" s="15" t="n"/>
      <c r="E33" s="15" t="n"/>
      <c r="F33" s="15" t="n"/>
      <c r="G33" s="15" t="n"/>
      <c r="H33" s="15" t="n"/>
      <c r="I33" s="15" t="n"/>
      <c r="J33" s="15">
        <f>IF(I33="","",I33+CHOOSE(MATCH(G33,{"Monthly","Quarterly","Semi-annually","Annually"},0),30,90,180,365))</f>
        <v/>
      </c>
      <c r="K33" s="15">
        <f>IF(J33="","",IF(J33&gt;TODAY()+30,"✅ Current",IF(J33&gt;TODAY(),"⚠ Due Soon","❌ Overdue")))</f>
        <v/>
      </c>
      <c r="L33" s="15">
        <f>IF(J33="","",J33-TODAY())</f>
        <v/>
      </c>
      <c r="M33" s="15" t="n"/>
      <c r="N33" s="15" t="n"/>
    </row>
    <row r="34">
      <c r="A34" s="15" t="n"/>
      <c r="B34" s="15" t="n"/>
      <c r="C34" s="15" t="n"/>
      <c r="D34" s="15" t="n"/>
      <c r="E34" s="15" t="n"/>
      <c r="F34" s="15" t="n"/>
      <c r="G34" s="15" t="n"/>
      <c r="H34" s="15" t="n"/>
      <c r="I34" s="15" t="n"/>
      <c r="J34" s="15">
        <f>IF(I34="","",I34+CHOOSE(MATCH(G34,{"Monthly","Quarterly","Semi-annually","Annually"},0),30,90,180,365))</f>
        <v/>
      </c>
      <c r="K34" s="15">
        <f>IF(J34="","",IF(J34&gt;TODAY()+30,"✅ Current",IF(J34&gt;TODAY(),"⚠ Due Soon","❌ Overdue")))</f>
        <v/>
      </c>
      <c r="L34" s="15">
        <f>IF(J34="","",J34-TODAY())</f>
        <v/>
      </c>
      <c r="M34" s="15" t="n"/>
      <c r="N34" s="15" t="n"/>
    </row>
    <row r="35">
      <c r="A35" s="15" t="n"/>
      <c r="B35" s="15" t="n"/>
      <c r="C35" s="15" t="n"/>
      <c r="D35" s="15" t="n"/>
      <c r="E35" s="15" t="n"/>
      <c r="F35" s="15" t="n"/>
      <c r="G35" s="15" t="n"/>
      <c r="H35" s="15" t="n"/>
      <c r="I35" s="15" t="n"/>
      <c r="J35" s="15">
        <f>IF(I35="","",I35+CHOOSE(MATCH(G35,{"Monthly","Quarterly","Semi-annually","Annually"},0),30,90,180,365))</f>
        <v/>
      </c>
      <c r="K35" s="15">
        <f>IF(J35="","",IF(J35&gt;TODAY()+30,"✅ Current",IF(J35&gt;TODAY(),"⚠ Due Soon","❌ Overdue")))</f>
        <v/>
      </c>
      <c r="L35" s="15">
        <f>IF(J35="","",J35-TODAY())</f>
        <v/>
      </c>
      <c r="M35" s="15" t="n"/>
      <c r="N35" s="15" t="n"/>
    </row>
    <row r="36">
      <c r="A36" s="15" t="n"/>
      <c r="B36" s="15" t="n"/>
      <c r="C36" s="15" t="n"/>
      <c r="D36" s="15" t="n"/>
      <c r="E36" s="15" t="n"/>
      <c r="F36" s="15" t="n"/>
      <c r="G36" s="15" t="n"/>
      <c r="H36" s="15" t="n"/>
      <c r="I36" s="15" t="n"/>
      <c r="J36" s="15">
        <f>IF(I36="","",I36+CHOOSE(MATCH(G36,{"Monthly","Quarterly","Semi-annually","Annually"},0),30,90,180,365))</f>
        <v/>
      </c>
      <c r="K36" s="15">
        <f>IF(J36="","",IF(J36&gt;TODAY()+30,"✅ Current",IF(J36&gt;TODAY(),"⚠ Due Soon","❌ Overdue")))</f>
        <v/>
      </c>
      <c r="L36" s="15">
        <f>IF(J36="","",J36-TODAY())</f>
        <v/>
      </c>
      <c r="M36" s="15" t="n"/>
      <c r="N36" s="15" t="n"/>
    </row>
    <row r="37">
      <c r="A37" s="15" t="n"/>
      <c r="B37" s="15" t="n"/>
      <c r="C37" s="15" t="n"/>
      <c r="D37" s="15" t="n"/>
      <c r="E37" s="15" t="n"/>
      <c r="F37" s="15" t="n"/>
      <c r="G37" s="15" t="n"/>
      <c r="H37" s="15" t="n"/>
      <c r="I37" s="15" t="n"/>
      <c r="J37" s="15">
        <f>IF(I37="","",I37+CHOOSE(MATCH(G37,{"Monthly","Quarterly","Semi-annually","Annually"},0),30,90,180,365))</f>
        <v/>
      </c>
      <c r="K37" s="15">
        <f>IF(J37="","",IF(J37&gt;TODAY()+30,"✅ Current",IF(J37&gt;TODAY(),"⚠ Due Soon","❌ Overdue")))</f>
        <v/>
      </c>
      <c r="L37" s="15">
        <f>IF(J37="","",J37-TODAY())</f>
        <v/>
      </c>
      <c r="M37" s="15" t="n"/>
      <c r="N37" s="15" t="n"/>
    </row>
    <row r="38">
      <c r="A38" s="15" t="n"/>
      <c r="B38" s="15" t="n"/>
      <c r="C38" s="15" t="n"/>
      <c r="D38" s="15" t="n"/>
      <c r="E38" s="15" t="n"/>
      <c r="F38" s="15" t="n"/>
      <c r="G38" s="15" t="n"/>
      <c r="H38" s="15" t="n"/>
      <c r="I38" s="15" t="n"/>
      <c r="J38" s="15">
        <f>IF(I38="","",I38+CHOOSE(MATCH(G38,{"Monthly","Quarterly","Semi-annually","Annually"},0),30,90,180,365))</f>
        <v/>
      </c>
      <c r="K38" s="15">
        <f>IF(J38="","",IF(J38&gt;TODAY()+30,"✅ Current",IF(J38&gt;TODAY(),"⚠ Due Soon","❌ Overdue")))</f>
        <v/>
      </c>
      <c r="L38" s="15">
        <f>IF(J38="","",J38-TODAY())</f>
        <v/>
      </c>
      <c r="M38" s="15" t="n"/>
      <c r="N38" s="15" t="n"/>
    </row>
    <row r="39">
      <c r="A39" s="15" t="n"/>
      <c r="B39" s="15" t="n"/>
      <c r="C39" s="15" t="n"/>
      <c r="D39" s="15" t="n"/>
      <c r="E39" s="15" t="n"/>
      <c r="F39" s="15" t="n"/>
      <c r="G39" s="15" t="n"/>
      <c r="H39" s="15" t="n"/>
      <c r="I39" s="15" t="n"/>
      <c r="J39" s="15">
        <f>IF(I39="","",I39+CHOOSE(MATCH(G39,{"Monthly","Quarterly","Semi-annually","Annually"},0),30,90,180,365))</f>
        <v/>
      </c>
      <c r="K39" s="15">
        <f>IF(J39="","",IF(J39&gt;TODAY()+30,"✅ Current",IF(J39&gt;TODAY(),"⚠ Due Soon","❌ Overdue")))</f>
        <v/>
      </c>
      <c r="L39" s="15">
        <f>IF(J39="","",J39-TODAY())</f>
        <v/>
      </c>
      <c r="M39" s="15" t="n"/>
      <c r="N39" s="15" t="n"/>
    </row>
    <row r="40">
      <c r="A40" s="15" t="n"/>
      <c r="B40" s="15" t="n"/>
      <c r="C40" s="15" t="n"/>
      <c r="D40" s="15" t="n"/>
      <c r="E40" s="15" t="n"/>
      <c r="F40" s="15" t="n"/>
      <c r="G40" s="15" t="n"/>
      <c r="H40" s="15" t="n"/>
      <c r="I40" s="15" t="n"/>
      <c r="J40" s="15">
        <f>IF(I40="","",I40+CHOOSE(MATCH(G40,{"Monthly","Quarterly","Semi-annually","Annually"},0),30,90,180,365))</f>
        <v/>
      </c>
      <c r="K40" s="15">
        <f>IF(J40="","",IF(J40&gt;TODAY()+30,"✅ Current",IF(J40&gt;TODAY(),"⚠ Due Soon","❌ Overdue")))</f>
        <v/>
      </c>
      <c r="L40" s="15">
        <f>IF(J40="","",J40-TODAY())</f>
        <v/>
      </c>
      <c r="M40" s="15" t="n"/>
      <c r="N40" s="15" t="n"/>
    </row>
    <row r="41">
      <c r="A41" s="15" t="n"/>
      <c r="B41" s="15" t="n"/>
      <c r="C41" s="15" t="n"/>
      <c r="D41" s="15" t="n"/>
      <c r="E41" s="15" t="n"/>
      <c r="F41" s="15" t="n"/>
      <c r="G41" s="15" t="n"/>
      <c r="H41" s="15" t="n"/>
      <c r="I41" s="15" t="n"/>
      <c r="J41" s="15">
        <f>IF(I41="","",I41+CHOOSE(MATCH(G41,{"Monthly","Quarterly","Semi-annually","Annually"},0),30,90,180,365))</f>
        <v/>
      </c>
      <c r="K41" s="15">
        <f>IF(J41="","",IF(J41&gt;TODAY()+30,"✅ Current",IF(J41&gt;TODAY(),"⚠ Due Soon","❌ Overdue")))</f>
        <v/>
      </c>
      <c r="L41" s="15">
        <f>IF(J41="","",J41-TODAY())</f>
        <v/>
      </c>
      <c r="M41" s="15" t="n"/>
      <c r="N41" s="15" t="n"/>
    </row>
    <row r="42">
      <c r="A42" s="15" t="n"/>
      <c r="B42" s="15" t="n"/>
      <c r="C42" s="15" t="n"/>
      <c r="D42" s="15" t="n"/>
      <c r="E42" s="15" t="n"/>
      <c r="F42" s="15" t="n"/>
      <c r="G42" s="15" t="n"/>
      <c r="H42" s="15" t="n"/>
      <c r="I42" s="15" t="n"/>
      <c r="J42" s="15">
        <f>IF(I42="","",I42+CHOOSE(MATCH(G42,{"Monthly","Quarterly","Semi-annually","Annually"},0),30,90,180,365))</f>
        <v/>
      </c>
      <c r="K42" s="15">
        <f>IF(J42="","",IF(J42&gt;TODAY()+30,"✅ Current",IF(J42&gt;TODAY(),"⚠ Due Soon","❌ Overdue")))</f>
        <v/>
      </c>
      <c r="L42" s="15">
        <f>IF(J42="","",J42-TODAY())</f>
        <v/>
      </c>
      <c r="M42" s="15" t="n"/>
      <c r="N42" s="15" t="n"/>
    </row>
    <row r="43">
      <c r="A43" s="15" t="n"/>
      <c r="B43" s="15" t="n"/>
      <c r="C43" s="15" t="n"/>
      <c r="D43" s="15" t="n"/>
      <c r="E43" s="15" t="n"/>
      <c r="F43" s="15" t="n"/>
      <c r="G43" s="15" t="n"/>
      <c r="H43" s="15" t="n"/>
      <c r="I43" s="15" t="n"/>
      <c r="J43" s="15">
        <f>IF(I43="","",I43+CHOOSE(MATCH(G43,{"Monthly","Quarterly","Semi-annually","Annually"},0),30,90,180,365))</f>
        <v/>
      </c>
      <c r="K43" s="15">
        <f>IF(J43="","",IF(J43&gt;TODAY()+30,"✅ Current",IF(J43&gt;TODAY(),"⚠ Due Soon","❌ Overdue")))</f>
        <v/>
      </c>
      <c r="L43" s="15">
        <f>IF(J43="","",J43-TODAY())</f>
        <v/>
      </c>
      <c r="M43" s="15" t="n"/>
      <c r="N43" s="15" t="n"/>
    </row>
    <row r="44">
      <c r="A44" s="15" t="n"/>
      <c r="B44" s="15" t="n"/>
      <c r="C44" s="15" t="n"/>
      <c r="D44" s="15" t="n"/>
      <c r="E44" s="15" t="n"/>
      <c r="F44" s="15" t="n"/>
      <c r="G44" s="15" t="n"/>
      <c r="H44" s="15" t="n"/>
      <c r="I44" s="15" t="n"/>
      <c r="J44" s="15">
        <f>IF(I44="","",I44+CHOOSE(MATCH(G44,{"Monthly","Quarterly","Semi-annually","Annually"},0),30,90,180,365))</f>
        <v/>
      </c>
      <c r="K44" s="15">
        <f>IF(J44="","",IF(J44&gt;TODAY()+30,"✅ Current",IF(J44&gt;TODAY(),"⚠ Due Soon","❌ Overdue")))</f>
        <v/>
      </c>
      <c r="L44" s="15">
        <f>IF(J44="","",J44-TODAY())</f>
        <v/>
      </c>
      <c r="M44" s="15" t="n"/>
      <c r="N44" s="15" t="n"/>
    </row>
    <row r="45">
      <c r="A45" s="15" t="n"/>
      <c r="B45" s="15" t="n"/>
      <c r="C45" s="15" t="n"/>
      <c r="D45" s="15" t="n"/>
      <c r="E45" s="15" t="n"/>
      <c r="F45" s="15" t="n"/>
      <c r="G45" s="15" t="n"/>
      <c r="H45" s="15" t="n"/>
      <c r="I45" s="15" t="n"/>
      <c r="J45" s="15">
        <f>IF(I45="","",I45+CHOOSE(MATCH(G45,{"Monthly","Quarterly","Semi-annually","Annually"},0),30,90,180,365))</f>
        <v/>
      </c>
      <c r="K45" s="15">
        <f>IF(J45="","",IF(J45&gt;TODAY()+30,"✅ Current",IF(J45&gt;TODAY(),"⚠ Due Soon","❌ Overdue")))</f>
        <v/>
      </c>
      <c r="L45" s="15">
        <f>IF(J45="","",J45-TODAY())</f>
        <v/>
      </c>
      <c r="M45" s="15" t="n"/>
      <c r="N45" s="15" t="n"/>
    </row>
    <row r="46">
      <c r="A46" s="15" t="n"/>
      <c r="B46" s="15" t="n"/>
      <c r="C46" s="15" t="n"/>
      <c r="D46" s="15" t="n"/>
      <c r="E46" s="15" t="n"/>
      <c r="F46" s="15" t="n"/>
      <c r="G46" s="15" t="n"/>
      <c r="H46" s="15" t="n"/>
      <c r="I46" s="15" t="n"/>
      <c r="J46" s="15">
        <f>IF(I46="","",I46+CHOOSE(MATCH(G46,{"Monthly","Quarterly","Semi-annually","Annually"},0),30,90,180,365))</f>
        <v/>
      </c>
      <c r="K46" s="15">
        <f>IF(J46="","",IF(J46&gt;TODAY()+30,"✅ Current",IF(J46&gt;TODAY(),"⚠ Due Soon","❌ Overdue")))</f>
        <v/>
      </c>
      <c r="L46" s="15">
        <f>IF(J46="","",J46-TODAY())</f>
        <v/>
      </c>
      <c r="M46" s="15" t="n"/>
      <c r="N46" s="15" t="n"/>
    </row>
    <row r="47">
      <c r="A47" s="15" t="n"/>
      <c r="B47" s="15" t="n"/>
      <c r="C47" s="15" t="n"/>
      <c r="D47" s="15" t="n"/>
      <c r="E47" s="15" t="n"/>
      <c r="F47" s="15" t="n"/>
      <c r="G47" s="15" t="n"/>
      <c r="H47" s="15" t="n"/>
      <c r="I47" s="15" t="n"/>
      <c r="J47" s="15">
        <f>IF(I47="","",I47+CHOOSE(MATCH(G47,{"Monthly","Quarterly","Semi-annually","Annually"},0),30,90,180,365))</f>
        <v/>
      </c>
      <c r="K47" s="15">
        <f>IF(J47="","",IF(J47&gt;TODAY()+30,"✅ Current",IF(J47&gt;TODAY(),"⚠ Due Soon","❌ Overdue")))</f>
        <v/>
      </c>
      <c r="L47" s="15">
        <f>IF(J47="","",J47-TODAY())</f>
        <v/>
      </c>
      <c r="M47" s="15" t="n"/>
      <c r="N47" s="15" t="n"/>
    </row>
    <row r="48">
      <c r="A48" s="15" t="n"/>
      <c r="B48" s="15" t="n"/>
      <c r="C48" s="15" t="n"/>
      <c r="D48" s="15" t="n"/>
      <c r="E48" s="15" t="n"/>
      <c r="F48" s="15" t="n"/>
      <c r="G48" s="15" t="n"/>
      <c r="H48" s="15" t="n"/>
      <c r="I48" s="15" t="n"/>
      <c r="J48" s="15">
        <f>IF(I48="","",I48+CHOOSE(MATCH(G48,{"Monthly","Quarterly","Semi-annually","Annually"},0),30,90,180,365))</f>
        <v/>
      </c>
      <c r="K48" s="15">
        <f>IF(J48="","",IF(J48&gt;TODAY()+30,"✅ Current",IF(J48&gt;TODAY(),"⚠ Due Soon","❌ Overdue")))</f>
        <v/>
      </c>
      <c r="L48" s="15">
        <f>IF(J48="","",J48-TODAY())</f>
        <v/>
      </c>
      <c r="M48" s="15" t="n"/>
      <c r="N48" s="15" t="n"/>
    </row>
    <row r="49">
      <c r="A49" s="15" t="n"/>
      <c r="B49" s="15" t="n"/>
      <c r="C49" s="15" t="n"/>
      <c r="D49" s="15" t="n"/>
      <c r="E49" s="15" t="n"/>
      <c r="F49" s="15" t="n"/>
      <c r="G49" s="15" t="n"/>
      <c r="H49" s="15" t="n"/>
      <c r="I49" s="15" t="n"/>
      <c r="J49" s="15">
        <f>IF(I49="","",I49+CHOOSE(MATCH(G49,{"Monthly","Quarterly","Semi-annually","Annually"},0),30,90,180,365))</f>
        <v/>
      </c>
      <c r="K49" s="15">
        <f>IF(J49="","",IF(J49&gt;TODAY()+30,"✅ Current",IF(J49&gt;TODAY(),"⚠ Due Soon","❌ Overdue")))</f>
        <v/>
      </c>
      <c r="L49" s="15">
        <f>IF(J49="","",J49-TODAY())</f>
        <v/>
      </c>
      <c r="M49" s="15" t="n"/>
      <c r="N49" s="15" t="n"/>
    </row>
    <row r="50">
      <c r="A50" s="15" t="n"/>
      <c r="B50" s="15" t="n"/>
      <c r="C50" s="15" t="n"/>
      <c r="D50" s="15" t="n"/>
      <c r="E50" s="15" t="n"/>
      <c r="F50" s="15" t="n"/>
      <c r="G50" s="15" t="n"/>
      <c r="H50" s="15" t="n"/>
      <c r="I50" s="15" t="n"/>
      <c r="J50" s="15">
        <f>IF(I50="","",I50+CHOOSE(MATCH(G50,{"Monthly","Quarterly","Semi-annually","Annually"},0),30,90,180,365))</f>
        <v/>
      </c>
      <c r="K50" s="15">
        <f>IF(J50="","",IF(J50&gt;TODAY()+30,"✅ Current",IF(J50&gt;TODAY(),"⚠ Due Soon","❌ Overdue")))</f>
        <v/>
      </c>
      <c r="L50" s="15">
        <f>IF(J50="","",J50-TODAY())</f>
        <v/>
      </c>
      <c r="M50" s="15" t="n"/>
      <c r="N50" s="15" t="n"/>
    </row>
    <row r="51">
      <c r="A51" s="15" t="n"/>
      <c r="B51" s="15" t="n"/>
      <c r="C51" s="15" t="n"/>
      <c r="D51" s="15" t="n"/>
      <c r="E51" s="15" t="n"/>
      <c r="F51" s="15" t="n"/>
      <c r="G51" s="15" t="n"/>
      <c r="H51" s="15" t="n"/>
      <c r="I51" s="15" t="n"/>
      <c r="J51" s="15">
        <f>IF(I51="","",I51+CHOOSE(MATCH(G51,{"Monthly","Quarterly","Semi-annually","Annually"},0),30,90,180,365))</f>
        <v/>
      </c>
      <c r="K51" s="15">
        <f>IF(J51="","",IF(J51&gt;TODAY()+30,"✅ Current",IF(J51&gt;TODAY(),"⚠ Due Soon","❌ Overdue")))</f>
        <v/>
      </c>
      <c r="L51" s="15">
        <f>IF(J51="","",J51-TODAY())</f>
        <v/>
      </c>
      <c r="M51" s="15" t="n"/>
      <c r="N51" s="15" t="n"/>
    </row>
    <row r="52">
      <c r="A52" s="15" t="n"/>
      <c r="B52" s="15" t="n"/>
      <c r="C52" s="15" t="n"/>
      <c r="D52" s="15" t="n"/>
      <c r="E52" s="15" t="n"/>
      <c r="F52" s="15" t="n"/>
      <c r="G52" s="15" t="n"/>
      <c r="H52" s="15" t="n"/>
      <c r="I52" s="15" t="n"/>
      <c r="J52" s="15">
        <f>IF(I52="","",I52+CHOOSE(MATCH(G52,{"Monthly","Quarterly","Semi-annually","Annually"},0),30,90,180,365))</f>
        <v/>
      </c>
      <c r="K52" s="15">
        <f>IF(J52="","",IF(J52&gt;TODAY()+30,"✅ Current",IF(J52&gt;TODAY(),"⚠ Due Soon","❌ Overdue")))</f>
        <v/>
      </c>
      <c r="L52" s="15">
        <f>IF(J52="","",J52-TODAY())</f>
        <v/>
      </c>
      <c r="M52" s="15" t="n"/>
      <c r="N52" s="15" t="n"/>
    </row>
    <row r="53">
      <c r="A53" s="15" t="n"/>
      <c r="B53" s="15" t="n"/>
      <c r="C53" s="15" t="n"/>
      <c r="D53" s="15" t="n"/>
      <c r="E53" s="15" t="n"/>
      <c r="F53" s="15" t="n"/>
      <c r="G53" s="15" t="n"/>
      <c r="H53" s="15" t="n"/>
      <c r="I53" s="15" t="n"/>
      <c r="J53" s="15">
        <f>IF(I53="","",I53+CHOOSE(MATCH(G53,{"Monthly","Quarterly","Semi-annually","Annually"},0),30,90,180,365))</f>
        <v/>
      </c>
      <c r="K53" s="15">
        <f>IF(J53="","",IF(J53&gt;TODAY()+30,"✅ Current",IF(J53&gt;TODAY(),"⚠ Due Soon","❌ Overdue")))</f>
        <v/>
      </c>
      <c r="L53" s="15">
        <f>IF(J53="","",J53-TODAY())</f>
        <v/>
      </c>
      <c r="M53" s="15" t="n"/>
      <c r="N53" s="15" t="n"/>
    </row>
    <row r="54">
      <c r="A54" s="15" t="n"/>
      <c r="B54" s="15" t="n"/>
      <c r="C54" s="15" t="n"/>
      <c r="D54" s="15" t="n"/>
      <c r="E54" s="15" t="n"/>
      <c r="F54" s="15" t="n"/>
      <c r="G54" s="15" t="n"/>
      <c r="H54" s="15" t="n"/>
      <c r="I54" s="15" t="n"/>
      <c r="J54" s="15">
        <f>IF(I54="","",I54+CHOOSE(MATCH(G54,{"Monthly","Quarterly","Semi-annually","Annually"},0),30,90,180,365))</f>
        <v/>
      </c>
      <c r="K54" s="15">
        <f>IF(J54="","",IF(J54&gt;TODAY()+30,"✅ Current",IF(J54&gt;TODAY(),"⚠ Due Soon","❌ Overdue")))</f>
        <v/>
      </c>
      <c r="L54" s="15">
        <f>IF(J54="","",J54-TODAY())</f>
        <v/>
      </c>
      <c r="M54" s="15" t="n"/>
      <c r="N54" s="15" t="n"/>
    </row>
  </sheetData>
  <mergeCells count="2">
    <mergeCell ref="A2:N2"/>
    <mergeCell ref="A1:N1"/>
  </mergeCells>
  <dataValidations count="5">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"Tier 1 - Critical,Tier 2 - Standard"</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"Firmware Update,Inspection,Battery Check,Filter Replacement,Calibration,Full Service,Other"</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"Monthly,Quarterly,Semi-annually,Annually"</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"Internal - IT,Internal - Facilities,Vendor,Manufacturer"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2" customWidth="1" min="3" max="3"/>
    <col width="18" customWidth="1" min="4" max="4"/>
    <col width="15" customWidth="1" min="5" max="5"/>
    <col width="25" customWidth="1" min="6" max="6"/>
    <col width="18" customWidth="1" min="7" max="7"/>
    <col width="12" customWidth="1" min="8" max="8"/>
    <col width="20" customWidth="1" min="9" max="9"/>
    <col width="35" customWidth="1" min="10" max="10"/>
    <col width="40" customWidth="1" min="11" max="11"/>
  </cols>
  <sheetData>
    <row r="1" ht="35" customHeight="1">
      <c r="A1" s="11" t="inlineStr">
        <is>
          <t>OVERDUE MAINTENANCE TRACKING</t>
        </is>
      </c>
    </row>
    <row r="2">
      <c r="A2" s="12" t="inlineStr">
        <is>
          <t>Manage and escalate overdue maintenance items. Document compensating controls and estimated completion dates.</t>
        </is>
      </c>
    </row>
    <row r="3">
      <c r="A3" s="13" t="inlineStr">
        <is>
          <t>Equipment ID</t>
        </is>
      </c>
      <c r="B3" s="13" t="inlineStr">
        <is>
          <t>Equipment Description</t>
        </is>
      </c>
      <c r="C3" s="13" t="inlineStr">
        <is>
          <t>Maintenance Type</t>
        </is>
      </c>
      <c r="D3" s="13" t="inlineStr">
        <is>
          <t>Original Due Date</t>
        </is>
      </c>
      <c r="E3" s="13" t="inlineStr">
        <is>
          <t>Days Overdue</t>
        </is>
      </c>
      <c r="F3" s="13" t="inlineStr">
        <is>
          <t>Reason for Delay</t>
        </is>
      </c>
      <c r="G3" s="13" t="inlineStr">
        <is>
          <t>Estimated Completion</t>
        </is>
      </c>
      <c r="H3" s="13" t="inlineStr">
        <is>
          <t>Escalated</t>
        </is>
      </c>
      <c r="I3" s="13" t="inlineStr">
        <is>
          <t>Escalated To</t>
        </is>
      </c>
      <c r="J3" s="13" t="inlineStr">
        <is>
          <t>Compensating Control</t>
        </is>
      </c>
      <c r="K3" s="13" t="inlineStr">
        <is>
          <t>Resolution Notes</t>
        </is>
      </c>
    </row>
    <row r="4">
      <c r="A4" s="14" t="inlineStr">
        <is>
          <t>EQ-001</t>
        </is>
      </c>
      <c r="B4" s="14" t="inlineStr">
        <is>
          <t>[Server Description]</t>
        </is>
      </c>
      <c r="C4" s="14" t="inlineStr">
        <is>
          <t>Firmware Update</t>
        </is>
      </c>
      <c r="D4" s="14" t="inlineStr">
        <is>
          <t>[DD.MM.YYYY]</t>
        </is>
      </c>
      <c r="E4" s="14" t="inlineStr">
        <is>
          <t>0</t>
        </is>
      </c>
      <c r="F4" s="14" t="inlineStr">
        <is>
          <t>Parts on Order</t>
        </is>
      </c>
      <c r="G4" s="14" t="inlineStr">
        <is>
          <t>[DD.MM.YYYY]</t>
        </is>
      </c>
      <c r="H4" s="14" t="inlineStr">
        <is>
          <t>No</t>
        </is>
      </c>
      <c r="I4" s="14" t="inlineStr"/>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"Parts on Order,Vendor Scheduling,Resource Unavailable,Budget Hold,Other"</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
  <sheetViews>
    <sheetView showGridLines="0" workbookViewId="0">
      <selection activeCell="A1" sqref="A1"/>
    </sheetView>
  </sheetViews>
  <sheetFormatPr baseColWidth="8" defaultRowHeight="15"/>
  <cols>
    <col width="15" customWidth="1" min="1" max="1"/>
    <col width="35" customWidth="1" min="2" max="2"/>
    <col width="22" customWidth="1" min="3" max="3"/>
    <col width="15" customWidth="1" min="4" max="4"/>
    <col width="15" customWidth="1" min="5" max="5"/>
    <col width="15" customWidth="1" min="6" max="6"/>
    <col width="20" customWidth="1" min="7" max="7"/>
    <col width="15" customWidth="1" min="8" max="8"/>
  </cols>
  <sheetData>
    <row r="1" ht="35" customHeight="1">
      <c r="A1" s="11" t="inlineStr">
        <is>
          <t>UPCOMING MAINTENANCE</t>
        </is>
      </c>
    </row>
    <row r="2">
      <c r="A2" s="12" t="inlineStr">
        <is>
          <t>Plan maintenance for the next 30/60/90 days. Book vendors and resources in advance.</t>
        </is>
      </c>
    </row>
    <row r="3">
      <c r="A3" s="16" t="inlineStr">
        <is>
          <t>This sheet provides a view of upcoming maintenance. Data is linked from Equipment Schedule.</t>
        </is>
      </c>
    </row>
    <row r="5">
      <c r="A5" s="17" t="inlineStr">
        <is>
          <t>Next 30 Days</t>
        </is>
      </c>
    </row>
    <row r="6">
      <c r="A6" s="13" t="inlineStr">
        <is>
          <t>Equipment ID</t>
        </is>
      </c>
      <c r="B6" s="13" t="inlineStr">
        <is>
          <t>Equipment Description</t>
        </is>
      </c>
      <c r="C6" s="13" t="inlineStr">
        <is>
          <t>Maintenance Type</t>
        </is>
      </c>
      <c r="D6" s="13" t="inlineStr">
        <is>
          <t>Due Date</t>
        </is>
      </c>
      <c r="E6" s="13" t="inlineStr">
        <is>
          <t>Days Until Due</t>
        </is>
      </c>
      <c r="F6" s="13" t="inlineStr">
        <is>
          <t>Scheduled Date</t>
        </is>
      </c>
      <c r="G6" s="13" t="inlineStr">
        <is>
          <t>Assigned To</t>
        </is>
      </c>
      <c r="H6" s="13" t="inlineStr">
        <is>
          <t>Vendor Booked</t>
        </is>
      </c>
    </row>
    <row r="7">
      <c r="A7" s="18" t="inlineStr">
        <is>
          <t>EQ-001</t>
        </is>
      </c>
      <c r="B7" s="18" t="inlineStr">
        <is>
          <t>[Primary Application Server]</t>
        </is>
      </c>
      <c r="C7" s="18" t="inlineStr">
        <is>
          <t>Firmware Update</t>
        </is>
      </c>
      <c r="D7" s="18" t="inlineStr">
        <is>
          <t>[DD.MM.YYYY]</t>
        </is>
      </c>
      <c r="E7" s="18" t="inlineStr">
        <is>
          <t>14</t>
        </is>
      </c>
      <c r="F7" s="18" t="inlineStr">
        <is>
          <t>[DD.MM.YYYY]</t>
        </is>
      </c>
      <c r="G7" s="18" t="inlineStr">
        <is>
          <t>Internal - IT</t>
        </is>
      </c>
      <c r="H7" s="18" t="inlineStr">
        <is>
          <t>No</t>
        </is>
      </c>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9">
      <c r="A39" s="2" t="inlineStr">
        <is>
          <t>31-60 Days</t>
        </is>
      </c>
    </row>
    <row r="40">
      <c r="A40" s="13" t="inlineStr">
        <is>
          <t>Equipment ID</t>
        </is>
      </c>
      <c r="B40" s="13" t="inlineStr">
        <is>
          <t>Equipment Description</t>
        </is>
      </c>
      <c r="C40" s="13" t="inlineStr">
        <is>
          <t>Maintenance Type</t>
        </is>
      </c>
      <c r="D40" s="13" t="inlineStr">
        <is>
          <t>Due Date</t>
        </is>
      </c>
      <c r="E40" s="13" t="inlineStr">
        <is>
          <t>Days Until Due</t>
        </is>
      </c>
      <c r="F40" s="13" t="inlineStr">
        <is>
          <t>Scheduled Date</t>
        </is>
      </c>
      <c r="G40" s="13" t="inlineStr">
        <is>
          <t>Assigned To</t>
        </is>
      </c>
      <c r="H40" s="13" t="inlineStr">
        <is>
          <t>Vendor Booked</t>
        </is>
      </c>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2">
      <c r="A62" s="2" t="inlineStr">
        <is>
          <t>61-90 Days</t>
        </is>
      </c>
    </row>
    <row r="63">
      <c r="A63" s="13" t="inlineStr">
        <is>
          <t>Equipment ID</t>
        </is>
      </c>
      <c r="B63" s="13" t="inlineStr">
        <is>
          <t>Equipment Description</t>
        </is>
      </c>
      <c r="C63" s="13" t="inlineStr">
        <is>
          <t>Maintenance Type</t>
        </is>
      </c>
      <c r="D63" s="13" t="inlineStr">
        <is>
          <t>Due Date</t>
        </is>
      </c>
      <c r="E63" s="13" t="inlineStr">
        <is>
          <t>Days Until Due</t>
        </is>
      </c>
      <c r="F63" s="13" t="inlineStr">
        <is>
          <t>Scheduled Date</t>
        </is>
      </c>
      <c r="G63" s="13" t="inlineStr">
        <is>
          <t>Assigned To</t>
        </is>
      </c>
      <c r="H63" s="13" t="inlineStr">
        <is>
          <t>Vendor Booked</t>
        </is>
      </c>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sheetData>
  <mergeCells count="2">
    <mergeCell ref="A2:H2"/>
    <mergeCell ref="A1:H1"/>
  </mergeCells>
  <dataValidations count="1">
    <dataValidation sqref="H8 H9 H10 H11 H12 H13 H14 H15 H16 H17 H18 H19 H20 H21 H22 H23 H24 H25 H26 H27 H28 H29 H30 H31 H32 H33 H34 H35 H36"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22" customWidth="1" min="2" max="2"/>
    <col width="15" customWidth="1" min="3" max="3"/>
    <col width="18" customWidth="1" min="4" max="4"/>
    <col width="25" customWidth="1" min="5" max="5"/>
    <col width="20" customWidth="1" min="6" max="6"/>
    <col width="40" customWidth="1" min="7" max="7"/>
    <col width="18" customWidth="1" min="8" max="8"/>
    <col width="40" customWidth="1" min="9" max="9"/>
  </cols>
  <sheetData>
    <row r="1" ht="35" customHeight="1">
      <c r="A1" s="11" t="inlineStr">
        <is>
          <t>MAINTENANCE LOG</t>
        </is>
      </c>
    </row>
    <row r="2">
      <c r="A2" s="12" t="inlineStr">
        <is>
          <t>Historical record of all completed maintenance activities. Retain for minimum 3 years per policy.</t>
        </is>
      </c>
    </row>
    <row r="3">
      <c r="A3" s="13" t="inlineStr">
        <is>
          <t>Equipment ID</t>
        </is>
      </c>
      <c r="B3" s="13" t="inlineStr">
        <is>
          <t>Maintenance Type</t>
        </is>
      </c>
      <c r="C3" s="13" t="inlineStr">
        <is>
          <t>Scheduled Date</t>
        </is>
      </c>
      <c r="D3" s="13" t="inlineStr">
        <is>
          <t>Actual Completion</t>
        </is>
      </c>
      <c r="E3" s="13" t="inlineStr">
        <is>
          <t>Performed By</t>
        </is>
      </c>
      <c r="F3" s="13" t="inlineStr">
        <is>
          <t>Record Reference</t>
        </is>
      </c>
      <c r="G3" s="13" t="inlineStr">
        <is>
          <t>Findings/Notes</t>
        </is>
      </c>
      <c r="H3" s="13" t="inlineStr">
        <is>
          <t>Follow-up Required</t>
        </is>
      </c>
      <c r="I3" s="13" t="inlineStr">
        <is>
          <t>Follow-up Notes</t>
        </is>
      </c>
    </row>
    <row r="4">
      <c r="A4" s="14" t="inlineStr">
        <is>
          <t>EQ-001</t>
        </is>
      </c>
      <c r="B4" s="14" t="inlineStr">
        <is>
          <t>Firmware Update</t>
        </is>
      </c>
      <c r="C4" s="14" t="inlineStr">
        <is>
          <t>[DD.MM.YYYY]</t>
        </is>
      </c>
      <c r="D4" s="14" t="inlineStr">
        <is>
          <t>[DD.MM.YYYY]</t>
        </is>
      </c>
      <c r="E4" s="14" t="inlineStr">
        <is>
          <t>Internal - IT</t>
        </is>
      </c>
      <c r="F4" s="14" t="inlineStr">
        <is>
          <t>[MAINT-001]</t>
        </is>
      </c>
      <c r="G4" s="14" t="inlineStr">
        <is>
          <t>[No issues found]</t>
        </is>
      </c>
      <c r="H4" s="14" t="inlineStr">
        <is>
          <t>No</t>
        </is>
      </c>
      <c r="I4" s="14" t="inlineStr"/>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9" t="inlineStr">
        <is>
          <t>Evidence ID</t>
        </is>
      </c>
      <c r="B4" s="19" t="inlineStr">
        <is>
          <t>Evidence Type</t>
        </is>
      </c>
      <c r="C4" s="19" t="inlineStr">
        <is>
          <t>Description</t>
        </is>
      </c>
      <c r="D4" s="19" t="inlineStr">
        <is>
          <t>Related Sheet / Item</t>
        </is>
      </c>
      <c r="E4" s="19" t="inlineStr">
        <is>
          <t>File Name</t>
        </is>
      </c>
      <c r="F4" s="19" t="inlineStr">
        <is>
          <t>File Location</t>
        </is>
      </c>
      <c r="G4" s="19" t="inlineStr">
        <is>
          <t>Collection Date</t>
        </is>
      </c>
      <c r="H4" s="19" t="inlineStr">
        <is>
          <t>Collected By</t>
        </is>
      </c>
    </row>
    <row r="5">
      <c r="A5" s="20"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21" t="inlineStr">
        <is>
          <t>MAINTENANCE SCHEDULE — SUMMARY DASHBOARD</t>
        </is>
      </c>
      <c r="B1" s="22" t="n"/>
      <c r="C1" s="22" t="n"/>
      <c r="D1" s="22" t="n"/>
      <c r="E1" s="22" t="n"/>
      <c r="F1" s="22" t="n"/>
      <c r="G1" s="22" t="n"/>
    </row>
    <row r="2">
      <c r="A2" s="23" t="inlineStr">
        <is>
          <t>ISO/IEC 27001:2022 — Control A.7.13: Equipment Maintenance</t>
        </is>
      </c>
    </row>
    <row r="4">
      <c r="A4" s="24" t="inlineStr">
        <is>
          <t>TABLE 1: ASSESSMENT AREA COMPLIANCE OVERVIEW</t>
        </is>
      </c>
      <c r="B4" s="22" t="n"/>
      <c r="C4" s="22" t="n"/>
      <c r="D4" s="22" t="n"/>
      <c r="E4" s="22" t="n"/>
      <c r="F4" s="22" t="n"/>
      <c r="G4" s="22"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Equipment Schedule</t>
        </is>
      </c>
      <c r="B6" s="27">
        <f>COUNTA('Equipment Schedule'!B5:B54)</f>
        <v/>
      </c>
      <c r="C6" s="27">
        <f>COUNTIF('Equipment Schedule'!K5:K54,"✅*")</f>
        <v/>
      </c>
      <c r="D6" s="27">
        <f>COUNTIF('Equipment Schedule'!K5:K54,"⚠*")</f>
        <v/>
      </c>
      <c r="E6" s="27">
        <f>COUNTIF('Equipment Schedule'!K5:K54,"❌*")</f>
        <v/>
      </c>
      <c r="F6" s="27" t="n">
        <v>0</v>
      </c>
      <c r="G6" s="28">
        <f>IF((B6-F6)=0,0,C6/(B6-F6))</f>
        <v/>
      </c>
    </row>
    <row r="7">
      <c r="A7" s="29" t="inlineStr">
        <is>
          <t>TOTAL</t>
        </is>
      </c>
      <c r="B7" s="30">
        <f>SUM(B6:B6)</f>
        <v/>
      </c>
      <c r="C7" s="30">
        <f>SUM(C6:C6)</f>
        <v/>
      </c>
      <c r="D7" s="30">
        <f>SUM(D6:D6)</f>
        <v/>
      </c>
      <c r="E7" s="30">
        <f>SUM(E6:E6)</f>
        <v/>
      </c>
      <c r="F7" s="30">
        <f>SUM(F6:F6)</f>
        <v/>
      </c>
      <c r="G7" s="31">
        <f>IF((B7-F7)=0,0,C7/(B7-F7))</f>
        <v/>
      </c>
    </row>
    <row r="9">
      <c r="A9" s="24" t="inlineStr">
        <is>
          <t>TABLE 2: KEY METRICS — MAINTENANCE SCHEDULE</t>
        </is>
      </c>
      <c r="B9" s="22" t="n"/>
      <c r="C9" s="22" t="n"/>
      <c r="D9" s="22" t="n"/>
      <c r="E9" s="22" t="n"/>
      <c r="F9" s="22" t="n"/>
      <c r="G9" s="22" t="n"/>
    </row>
    <row r="10">
      <c r="A10" s="30" t="inlineStr">
        <is>
          <t>Metric</t>
        </is>
      </c>
      <c r="B10" s="30" t="inlineStr">
        <is>
          <t>Value</t>
        </is>
      </c>
      <c r="C10" s="30" t="n"/>
      <c r="D10" s="30" t="n"/>
      <c r="E10" s="30" t="n"/>
      <c r="F10" s="30" t="n"/>
      <c r="G10" s="30" t="n"/>
    </row>
    <row r="11">
      <c r="A11" s="26" t="inlineStr">
        <is>
          <t>Total equipment in maintenance programme</t>
        </is>
      </c>
      <c r="B11" s="27">
        <f>COUNTA('Equipment Schedule'!B5:B54)</f>
        <v/>
      </c>
      <c r="C11" s="22" t="n"/>
      <c r="D11" s="22" t="n"/>
      <c r="E11" s="22" t="n"/>
      <c r="F11" s="22" t="n"/>
      <c r="G11" s="22" t="n"/>
    </row>
    <row r="12">
      <c r="A12" s="26" t="inlineStr">
        <is>
          <t>Equipment status: current (on schedule)</t>
        </is>
      </c>
      <c r="B12" s="27">
        <f>COUNTIF('Equipment Schedule'!K5:K54,"✅*")</f>
        <v/>
      </c>
      <c r="C12" s="22" t="n"/>
      <c r="D12" s="22" t="n"/>
      <c r="E12" s="22" t="n"/>
      <c r="F12" s="22" t="n"/>
      <c r="G12" s="22" t="n"/>
    </row>
    <row r="13">
      <c r="A13" s="26" t="inlineStr">
        <is>
          <t>Equipment status: due soon (within 30 days)</t>
        </is>
      </c>
      <c r="B13" s="27">
        <f>COUNTIF('Equipment Schedule'!K5:K54,"⚠*")</f>
        <v/>
      </c>
      <c r="C13" s="22" t="n"/>
      <c r="D13" s="22" t="n"/>
      <c r="E13" s="22" t="n"/>
      <c r="F13" s="22" t="n"/>
      <c r="G13" s="22" t="n"/>
    </row>
    <row r="14">
      <c r="A14" s="26" t="inlineStr">
        <is>
          <t>Equipment status: overdue</t>
        </is>
      </c>
      <c r="B14" s="27">
        <f>COUNTIF('Equipment Schedule'!K5:K54,"❌*")</f>
        <v/>
      </c>
      <c r="C14" s="22" t="n"/>
      <c r="D14" s="22" t="n"/>
      <c r="E14" s="22" t="n"/>
      <c r="F14" s="22" t="n"/>
      <c r="G14" s="22" t="n"/>
    </row>
    <row r="15">
      <c r="A15" s="26" t="inlineStr">
        <is>
          <t>Tier 1 (Critical) equipment in schedule</t>
        </is>
      </c>
      <c r="B15" s="27">
        <f>COUNTIF('Equipment Schedule'!E5:E54,"Tier 1*")</f>
        <v/>
      </c>
      <c r="C15" s="22" t="n"/>
      <c r="D15" s="22" t="n"/>
      <c r="E15" s="22" t="n"/>
      <c r="F15" s="22" t="n"/>
      <c r="G15" s="22" t="n"/>
    </row>
    <row r="16">
      <c r="A16" s="26" t="inlineStr">
        <is>
          <t>Tier 1 equipment currently maintained (current status)</t>
        </is>
      </c>
      <c r="B16" s="27">
        <f>COUNTIFS('Equipment Schedule'!E5:E54,"Tier 1*",'Equipment Schedule'!K5:K54,"✅*")</f>
        <v/>
      </c>
      <c r="C16" s="22" t="n"/>
      <c r="D16" s="22" t="n"/>
      <c r="E16" s="22" t="n"/>
      <c r="F16" s="22" t="n"/>
      <c r="G16" s="22" t="n"/>
    </row>
    <row r="17">
      <c r="A17" s="26" t="inlineStr">
        <is>
          <t>Overdue items registered in Overdue Tracking</t>
        </is>
      </c>
      <c r="B17" s="27">
        <f>COUNTA('Overdue Tracking'!A5:A54)</f>
        <v/>
      </c>
      <c r="C17" s="22" t="n"/>
      <c r="D17" s="22" t="n"/>
      <c r="E17" s="22" t="n"/>
      <c r="F17" s="22" t="n"/>
      <c r="G17" s="22" t="n"/>
    </row>
    <row r="18">
      <c r="A18" s="26" t="inlineStr">
        <is>
          <t>Overdue items escalated to management</t>
        </is>
      </c>
      <c r="B18" s="27">
        <f>COUNTIF('Overdue Tracking'!H5:H54,"Yes")</f>
        <v/>
      </c>
      <c r="C18" s="22" t="n"/>
      <c r="D18" s="22" t="n"/>
      <c r="E18" s="22" t="n"/>
      <c r="F18" s="22" t="n"/>
      <c r="G18" s="22" t="n"/>
    </row>
    <row r="19">
      <c r="A19" s="22" t="n"/>
      <c r="B19" s="22" t="n"/>
      <c r="C19" s="22" t="n"/>
      <c r="D19" s="22" t="n"/>
      <c r="E19" s="22" t="n"/>
      <c r="F19" s="22" t="n"/>
      <c r="G19" s="22" t="n"/>
    </row>
    <row r="20">
      <c r="A20" s="22" t="n"/>
      <c r="B20" s="22" t="n"/>
      <c r="C20" s="22" t="n"/>
      <c r="D20" s="22" t="n"/>
      <c r="E20" s="22" t="n"/>
      <c r="F20" s="22" t="n"/>
      <c r="G20" s="22" t="n"/>
    </row>
    <row r="22">
      <c r="A22" s="32" t="inlineStr">
        <is>
          <t>TABLE 3: CRITICAL FINDINGS REQUIRING IMMEDIATE ATTENTION</t>
        </is>
      </c>
      <c r="B22" s="22" t="n"/>
      <c r="C22" s="22" t="n"/>
      <c r="D22" s="22" t="n"/>
      <c r="E22" s="22" t="n"/>
      <c r="F22" s="22" t="n"/>
      <c r="G22" s="22" t="n"/>
    </row>
    <row r="23">
      <c r="A23" s="30" t="inlineStr">
        <is>
          <t>Category</t>
        </is>
      </c>
      <c r="B23" s="30" t="inlineStr">
        <is>
          <t>Finding</t>
        </is>
      </c>
      <c r="C23" s="30" t="inlineStr">
        <is>
          <t>Count</t>
        </is>
      </c>
      <c r="D23" s="30" t="inlineStr">
        <is>
          <t>Severity</t>
        </is>
      </c>
      <c r="E23" s="30" t="inlineStr">
        <is>
          <t>Action Required</t>
        </is>
      </c>
      <c r="F23" s="30" t="n"/>
      <c r="G23" s="30" t="n"/>
    </row>
    <row r="24">
      <c r="A24" s="33" t="inlineStr">
        <is>
          <t>Equipment Schedule</t>
        </is>
      </c>
      <c r="B24" s="33" t="inlineStr">
        <is>
          <t>Equipment overdue for maintenance</t>
        </is>
      </c>
      <c r="C24" s="34">
        <f>COUNTIF('Equipment Schedule'!K5:K54,"❌*")</f>
        <v/>
      </c>
      <c r="D24" s="33" t="inlineStr">
        <is>
          <t>Critical</t>
        </is>
      </c>
      <c r="E24" s="33" t="inlineStr">
        <is>
          <t>Immediate</t>
        </is>
      </c>
      <c r="F24" s="33" t="n"/>
      <c r="G24" s="33" t="n"/>
    </row>
    <row r="25">
      <c r="A25" s="33" t="inlineStr">
        <is>
          <t>Equipment Schedule</t>
        </is>
      </c>
      <c r="B25" s="33" t="inlineStr">
        <is>
          <t>Tier 1 critical equipment overdue</t>
        </is>
      </c>
      <c r="C25" s="34">
        <f>COUNTIFS('Equipment Schedule'!E5:E54,"Tier 1*",'Equipment Schedule'!K5:K54,"❌*")</f>
        <v/>
      </c>
      <c r="D25" s="33" t="inlineStr">
        <is>
          <t>Critical</t>
        </is>
      </c>
      <c r="E25" s="33" t="inlineStr">
        <is>
          <t>Immediate</t>
        </is>
      </c>
      <c r="F25" s="33" t="n"/>
      <c r="G25" s="33" t="n"/>
    </row>
    <row r="26">
      <c r="A26" s="33" t="inlineStr">
        <is>
          <t>Equipment Schedule</t>
        </is>
      </c>
      <c r="B26" s="33" t="inlineStr">
        <is>
          <t>Tier 1 critical equipment due soon (risk horizon)</t>
        </is>
      </c>
      <c r="C26" s="34">
        <f>COUNTIFS('Equipment Schedule'!E5:E54,"Tier 1*",'Equipment Schedule'!K5:K54,"⚠*")</f>
        <v/>
      </c>
      <c r="D26" s="33" t="inlineStr">
        <is>
          <t>High</t>
        </is>
      </c>
      <c r="E26" s="33" t="inlineStr">
        <is>
          <t>Urgent</t>
        </is>
      </c>
      <c r="F26" s="33" t="n"/>
      <c r="G26" s="33" t="n"/>
    </row>
    <row r="27">
      <c r="A27" s="33" t="inlineStr">
        <is>
          <t>Overdue Tracking</t>
        </is>
      </c>
      <c r="B27" s="33" t="inlineStr">
        <is>
          <t>Overdue items not yet escalated to management</t>
        </is>
      </c>
      <c r="C27" s="34">
        <f>COUNTIF('Overdue Tracking'!H5:H54,"No")</f>
        <v/>
      </c>
      <c r="D27" s="33" t="inlineStr">
        <is>
          <t>High</t>
        </is>
      </c>
      <c r="E27" s="33" t="inlineStr">
        <is>
          <t>Urgent</t>
        </is>
      </c>
      <c r="F27" s="33" t="n"/>
      <c r="G27" s="33" t="n"/>
    </row>
    <row r="28">
      <c r="A28" s="35" t="n"/>
      <c r="B28" s="35" t="n"/>
      <c r="C28" s="35" t="n"/>
      <c r="D28" s="35" t="n"/>
      <c r="E28" s="35" t="n"/>
      <c r="F28" s="35" t="n"/>
      <c r="G28" s="35" t="n"/>
    </row>
    <row r="29">
      <c r="A29" s="35" t="n"/>
      <c r="B29" s="35" t="n"/>
      <c r="C29" s="35" t="n"/>
      <c r="D29" s="35" t="n"/>
      <c r="E29" s="35" t="n"/>
      <c r="F29" s="35" t="n"/>
      <c r="G29" s="35" t="n"/>
    </row>
  </sheetData>
  <mergeCells count="5">
    <mergeCell ref="A1:G1"/>
    <mergeCell ref="A9:G9"/>
    <mergeCell ref="A22:G2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6" t="inlineStr">
        <is>
          <t>ASSESSMENT APPROVAL AND SIGN-OFF</t>
        </is>
      </c>
      <c r="B1" s="6" t="n"/>
      <c r="C1" s="6" t="n"/>
      <c r="D1" s="6" t="n"/>
      <c r="E1" s="6" t="n"/>
    </row>
    <row r="2">
      <c r="A2" s="37" t="inlineStr">
        <is>
          <t>ISO/IEC 27001:2022 - Control A.7.13: Equipment Maintenance</t>
        </is>
      </c>
      <c r="B2" s="6" t="n"/>
      <c r="C2" s="6" t="n"/>
      <c r="D2" s="6" t="n"/>
      <c r="E2" s="6" t="n"/>
    </row>
    <row r="3">
      <c r="A3" s="38" t="inlineStr">
        <is>
          <t>ASSESSMENT SUMMARY</t>
        </is>
      </c>
      <c r="B3" s="6" t="n"/>
      <c r="C3" s="6" t="n"/>
      <c r="D3" s="6" t="n"/>
      <c r="E3" s="6" t="n"/>
    </row>
    <row r="4">
      <c r="A4" s="39" t="inlineStr">
        <is>
          <t>Document:</t>
        </is>
      </c>
      <c r="B4" s="6" t="inlineStr">
        <is>
          <t>ISMS-IMP-A.7.12-13.S3 - Maintenance Schedule Tracking</t>
        </is>
      </c>
      <c r="C4" s="6" t="n"/>
      <c r="D4" s="6" t="n"/>
      <c r="E4" s="6" t="n"/>
    </row>
    <row r="5">
      <c r="A5" s="39" t="inlineStr">
        <is>
          <t>Assessment Period:</t>
        </is>
      </c>
      <c r="B5" s="40" t="inlineStr"/>
      <c r="C5" s="6" t="n"/>
      <c r="D5" s="6" t="n"/>
      <c r="E5" s="6" t="n"/>
    </row>
    <row r="6">
      <c r="A6" s="39" t="inlineStr">
        <is>
          <t>Overall Compliance Rating:</t>
        </is>
      </c>
      <c r="B6" s="41">
        <f>IFERROR(AVERAGE('Summary Dashboard'!G6:G6),"")</f>
        <v/>
      </c>
      <c r="C6" s="6" t="n"/>
      <c r="D6" s="6" t="n"/>
      <c r="E6" s="6" t="n"/>
    </row>
    <row r="7">
      <c r="A7" s="39" t="inlineStr">
        <is>
          <t>Assessment Status:</t>
        </is>
      </c>
      <c r="B7" s="40" t="inlineStr"/>
      <c r="C7" s="6" t="n"/>
      <c r="D7" s="6" t="n"/>
      <c r="E7" s="6" t="n"/>
    </row>
    <row r="8">
      <c r="A8" s="39" t="inlineStr">
        <is>
          <t>Assessed By:</t>
        </is>
      </c>
      <c r="B8" s="40" t="inlineStr"/>
      <c r="C8" s="6" t="n"/>
      <c r="D8" s="6" t="n"/>
      <c r="E8" s="6" t="n"/>
    </row>
    <row r="10">
      <c r="A10" s="42" t="inlineStr">
        <is>
          <t>COMPLETED BY</t>
        </is>
      </c>
      <c r="B10" s="6" t="n"/>
      <c r="C10" s="6" t="n"/>
      <c r="D10" s="6" t="n"/>
      <c r="E10" s="6" t="n"/>
    </row>
    <row r="11">
      <c r="A11" s="39" t="inlineStr">
        <is>
          <t>Assessor Name</t>
        </is>
      </c>
      <c r="B11" s="40" t="n"/>
      <c r="C11" s="6" t="n"/>
      <c r="D11" s="6" t="n"/>
      <c r="E11" s="6" t="n"/>
    </row>
    <row r="12">
      <c r="A12" s="39" t="inlineStr">
        <is>
          <t>Role / Title</t>
        </is>
      </c>
      <c r="B12" s="40" t="n"/>
      <c r="C12" s="6" t="n"/>
      <c r="D12" s="6" t="n"/>
      <c r="E12" s="6" t="n"/>
    </row>
    <row r="13">
      <c r="A13" s="39" t="inlineStr">
        <is>
          <t>Department</t>
        </is>
      </c>
      <c r="B13" s="40" t="n"/>
      <c r="C13" s="6" t="n"/>
      <c r="D13" s="6" t="n"/>
      <c r="E13" s="6" t="n"/>
    </row>
    <row r="14">
      <c r="A14" s="39" t="inlineStr">
        <is>
          <t>Date Completed</t>
        </is>
      </c>
      <c r="B14" s="40" t="n"/>
      <c r="C14" s="6" t="n"/>
      <c r="D14" s="6" t="n"/>
      <c r="E14" s="6" t="n"/>
    </row>
    <row r="15">
      <c r="A15" s="39" t="inlineStr">
        <is>
          <t>Signature</t>
        </is>
      </c>
      <c r="B15" s="40" t="n"/>
      <c r="C15" s="6" t="n"/>
      <c r="D15" s="6" t="n"/>
      <c r="E15" s="6" t="n"/>
    </row>
    <row r="17">
      <c r="A17" s="42" t="inlineStr">
        <is>
          <t>REVIEWED BY</t>
        </is>
      </c>
      <c r="B17" s="6" t="n"/>
      <c r="C17" s="6" t="n"/>
      <c r="D17" s="6" t="n"/>
      <c r="E17" s="6" t="n"/>
    </row>
    <row r="18">
      <c r="A18" s="39" t="inlineStr">
        <is>
          <t>Reviewer Name</t>
        </is>
      </c>
      <c r="B18" s="40" t="n"/>
      <c r="C18" s="6" t="n"/>
      <c r="D18" s="6" t="n"/>
      <c r="E18" s="6" t="n"/>
    </row>
    <row r="19">
      <c r="A19" s="39" t="inlineStr">
        <is>
          <t>Role / Title</t>
        </is>
      </c>
      <c r="B19" s="40" t="n"/>
      <c r="C19" s="6" t="n"/>
      <c r="D19" s="6" t="n"/>
      <c r="E19" s="6" t="n"/>
    </row>
    <row r="20">
      <c r="A20" s="39" t="inlineStr">
        <is>
          <t>Department</t>
        </is>
      </c>
      <c r="B20" s="40" t="n"/>
      <c r="C20" s="6" t="n"/>
      <c r="D20" s="6" t="n"/>
      <c r="E20" s="6" t="n"/>
    </row>
    <row r="21">
      <c r="A21" s="39" t="inlineStr">
        <is>
          <t>Date Reviewed</t>
        </is>
      </c>
      <c r="B21" s="40" t="n"/>
      <c r="C21" s="6" t="n"/>
      <c r="D21" s="6" t="n"/>
      <c r="E21" s="6" t="n"/>
    </row>
    <row r="22">
      <c r="A22" s="39" t="inlineStr">
        <is>
          <t>Signature</t>
        </is>
      </c>
      <c r="B22" s="40" t="n"/>
      <c r="C22" s="6" t="n"/>
      <c r="D22" s="6" t="n"/>
      <c r="E22" s="6" t="n"/>
    </row>
    <row r="24">
      <c r="A24" s="42" t="inlineStr">
        <is>
          <t>APPROVED BY</t>
        </is>
      </c>
      <c r="B24" s="6" t="n"/>
      <c r="C24" s="6" t="n"/>
      <c r="D24" s="6" t="n"/>
      <c r="E24" s="6" t="n"/>
    </row>
    <row r="25">
      <c r="A25" s="39" t="inlineStr">
        <is>
          <t>Approver Name</t>
        </is>
      </c>
      <c r="B25" s="40" t="n"/>
      <c r="C25" s="6" t="n"/>
      <c r="D25" s="6" t="n"/>
      <c r="E25" s="6" t="n"/>
    </row>
    <row r="26">
      <c r="A26" s="39" t="inlineStr">
        <is>
          <t>Role / Title</t>
        </is>
      </c>
      <c r="B26" s="40" t="n"/>
      <c r="C26" s="6" t="n"/>
      <c r="D26" s="6" t="n"/>
      <c r="E26" s="6" t="n"/>
    </row>
    <row r="27">
      <c r="A27" s="39" t="inlineStr">
        <is>
          <t>Department</t>
        </is>
      </c>
      <c r="B27" s="40" t="n"/>
      <c r="C27" s="6" t="n"/>
      <c r="D27" s="6" t="n"/>
      <c r="E27" s="6" t="n"/>
    </row>
    <row r="28">
      <c r="A28" s="39" t="inlineStr">
        <is>
          <t>Date Approved</t>
        </is>
      </c>
      <c r="B28" s="40" t="n"/>
      <c r="C28" s="6" t="n"/>
      <c r="D28" s="6" t="n"/>
      <c r="E28" s="6" t="n"/>
    </row>
    <row r="29">
      <c r="A29" s="39" t="inlineStr">
        <is>
          <t>Signature</t>
        </is>
      </c>
      <c r="B29" s="40" t="n"/>
      <c r="C29" s="6" t="n"/>
      <c r="D29" s="6" t="n"/>
      <c r="E29" s="6" t="n"/>
    </row>
    <row r="31">
      <c r="A31" s="43" t="inlineStr">
        <is>
          <t>FINAL DECISION</t>
        </is>
      </c>
      <c r="B31" s="6" t="n"/>
      <c r="C31" s="6" t="n"/>
      <c r="D31" s="6" t="n"/>
      <c r="E31" s="6" t="n"/>
    </row>
    <row r="32">
      <c r="A32" s="39" t="inlineStr">
        <is>
          <t>Decision</t>
        </is>
      </c>
      <c r="B32" s="40" t="n"/>
      <c r="C32" s="6" t="n"/>
      <c r="D32" s="6" t="n"/>
      <c r="E32" s="6" t="n"/>
    </row>
    <row r="33">
      <c r="A33" s="39" t="inlineStr">
        <is>
          <t>Decision Date</t>
        </is>
      </c>
      <c r="B33" s="40" t="n"/>
      <c r="C33" s="6" t="n"/>
      <c r="D33" s="6" t="n"/>
      <c r="E33" s="6" t="n"/>
    </row>
    <row r="34">
      <c r="A34" s="39" t="inlineStr">
        <is>
          <t>Next Assessment Date</t>
        </is>
      </c>
      <c r="B34" s="40" t="n"/>
      <c r="C34" s="6" t="n"/>
      <c r="D34" s="6" t="n"/>
      <c r="E34" s="6" t="n"/>
    </row>
    <row r="35">
      <c r="A35" s="39" t="inlineStr">
        <is>
          <t>Comments</t>
        </is>
      </c>
      <c r="B35" s="40" t="n"/>
      <c r="C35" s="6" t="n"/>
      <c r="D35" s="6" t="n"/>
      <c r="E35" s="6" t="n"/>
    </row>
    <row r="38">
      <c r="A38" s="42" t="inlineStr">
        <is>
          <t>NEXT REVIEW</t>
        </is>
      </c>
      <c r="B38" s="6" t="n"/>
      <c r="C38" s="6" t="n"/>
      <c r="D38" s="6" t="n"/>
      <c r="E38" s="6" t="n"/>
    </row>
    <row r="39">
      <c r="A39" s="39" t="inlineStr">
        <is>
          <t>Review Cycle</t>
        </is>
      </c>
      <c r="B39" s="40" t="n"/>
      <c r="C39" s="6" t="n"/>
      <c r="D39" s="6" t="n"/>
      <c r="E39" s="6" t="n"/>
    </row>
    <row r="40">
      <c r="A40" s="39" t="inlineStr">
        <is>
          <t>Next Review Date</t>
        </is>
      </c>
      <c r="B40" s="40" t="n"/>
      <c r="C40" s="6" t="n"/>
      <c r="D40" s="6" t="n"/>
      <c r="E40" s="6" t="n"/>
    </row>
    <row r="41">
      <c r="A41" s="39" t="inlineStr">
        <is>
          <t>Review Owner</t>
        </is>
      </c>
      <c r="B41" s="40" t="n"/>
      <c r="C41" s="6" t="n"/>
      <c r="D41" s="6" t="n"/>
      <c r="E41" s="6" t="n"/>
    </row>
    <row r="42">
      <c r="A42" s="39" t="inlineStr">
        <is>
          <t>Escalation Contact</t>
        </is>
      </c>
      <c r="B42" s="40"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ISMS-IMP-A.7.12-13.S3 — Maintenance Schedule Tracking</dc:title>
  <dc:description xmlns:dc="http://purl.org/dc/elements/1.1/">ISMS Implementation Workbook — ISMS-IMP-A.7.12-13.S3</dc:description>
  <dc:subject xmlns:dc="http://purl.org/dc/elements/1.1/">ISO/IEC 27001:2022 — Control A.7.13: Equipment Maintenance</dc:subject>
  <dcterms:created xmlns:dcterms="http://purl.org/dc/terms/" xmlns:xsi="http://www.w3.org/2001/XMLSchema-instance" xsi:type="dcterms:W3CDTF">2026-03-07T11:27:56Z</dcterms:created>
  <dcterms:modified xmlns:dcterms="http://purl.org/dc/terms/" xmlns:xsi="http://www.w3.org/2001/XMLSchema-instance" xsi:type="dcterms:W3CDTF">2026-03-07T11:27:56Z</dcterms:modified>
</cp:coreProperties>
</file>