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Inventory" sheetId="2" state="visible" r:id="rId2"/>
    <sheet xmlns:r="http://schemas.openxmlformats.org/officeDocument/2006/relationships" name="Maintenance Programme" sheetId="3" state="visible" r:id="rId3"/>
    <sheet xmlns:r="http://schemas.openxmlformats.org/officeDocument/2006/relationships" name="Personnel &amp; Vendors" sheetId="4" state="visible" r:id="rId4"/>
    <sheet xmlns:r="http://schemas.openxmlformats.org/officeDocument/2006/relationships" name="Security During Maintenance" sheetId="5" state="visible" r:id="rId5"/>
    <sheet xmlns:r="http://schemas.openxmlformats.org/officeDocument/2006/relationships" name="Remote Maintenanc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color rgb="00003366"/>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
      <name val="Calibri"/>
      <b val="1"/>
      <color rgb="00000000"/>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1" borderId="1" pivotButton="0" quotePrefix="0" xfId="0"/>
    <xf numFmtId="0" fontId="6" fillId="8" borderId="1" applyAlignment="1" pivotButton="0" quotePrefix="0" xfId="0">
      <alignment horizontal="center" vertical="center" wrapText="1"/>
    </xf>
    <xf numFmtId="0" fontId="7" fillId="10" borderId="1" applyAlignment="1" pivotButton="0" quotePrefix="0" xfId="0">
      <alignment horizontal="left"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applyAlignment="1" pivotButton="0" quotePrefix="0" xfId="0">
      <alignment horizontal="left"/>
    </xf>
    <xf numFmtId="0" fontId="11" fillId="9" borderId="2" applyAlignment="1" pivotButton="0" quotePrefix="0" xfId="0">
      <alignment horizontal="center"/>
    </xf>
    <xf numFmtId="164" fontId="11" fillId="9" borderId="2" applyAlignment="1" pivotButton="0" quotePrefix="0" xfId="0">
      <alignment horizontal="center"/>
    </xf>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3" fillId="13" borderId="1" pivotButton="0" quotePrefix="0" xfId="0"/>
    <xf numFmtId="0" fontId="4" fillId="0" borderId="1" pivotButton="0" quotePrefix="0" xfId="0"/>
    <xf numFmtId="164" fontId="0" fillId="0" borderId="1" pivotButton="0" quotePrefix="0" xfId="0"/>
    <xf numFmtId="0" fontId="13" fillId="13" borderId="1" applyAlignment="1" pivotButton="0" quotePrefix="0" xfId="0">
      <alignment horizontal="left" vertical="center"/>
    </xf>
    <xf numFmtId="0" fontId="1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ISMS-IMP-A.7.12-13.S2  -  Equipment Maintenance Assessment
ISO/IEC 27001:2022 - Control A.7.13: Equipment Maintenance</t>
        </is>
      </c>
    </row>
    <row r="3">
      <c r="A3" s="2" t="inlineStr">
        <is>
          <t>Document Information</t>
        </is>
      </c>
    </row>
    <row r="4">
      <c r="A4" s="3" t="inlineStr">
        <is>
          <t>Document ID</t>
        </is>
      </c>
      <c r="B4" t="inlineStr">
        <is>
          <t>ISMS-IMP-A.7.12-13.S2</t>
        </is>
      </c>
    </row>
    <row r="5">
      <c r="A5" s="3" t="inlineStr">
        <is>
          <t>Workbook Title</t>
        </is>
      </c>
      <c r="B5" t="inlineStr">
        <is>
          <t>Equipment Maintenance Assessment</t>
        </is>
      </c>
    </row>
    <row r="6">
      <c r="A6" s="3" t="inlineStr">
        <is>
          <t>Control Reference</t>
        </is>
      </c>
      <c r="B6" t="inlineStr">
        <is>
          <t>ISO/IEC 27001:2022 - Control A.7.13: Equipment Maintenance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Inventory) — document all equipment in maintenance programme.</t>
        </is>
      </c>
    </row>
    <row r="14">
      <c r="A14" t="inlineStr">
        <is>
          <t>2. Complete Sheet 3 (Maintenance Programme) — assess programme compliance.</t>
        </is>
      </c>
    </row>
    <row r="15">
      <c r="A15" t="inlineStr">
        <is>
          <t>3. Complete Sheet 4 (Personnel &amp; Vendors) — document authorised personnel and vendors.</t>
        </is>
      </c>
    </row>
    <row r="16">
      <c r="A16" t="inlineStr">
        <is>
          <t>4. Complete Sheet 5 (Security During Maintenance) — assess security controls.</t>
        </is>
      </c>
    </row>
    <row r="17">
      <c r="A17" t="inlineStr">
        <is>
          <t>5. Complete Sheet 6 (Remote Maintenance) — audit remote access controls.</t>
        </is>
      </c>
    </row>
    <row r="18">
      <c r="A18" t="inlineStr">
        <is>
          <t>6. Review Sheet 7 (Summary Dashboard) — automated compliance scoring.</t>
        </is>
      </c>
    </row>
    <row r="19">
      <c r="A19" t="inlineStr">
        <is>
          <t>7. Complete Sheet 8 (Evidence Register) — document supporting evidence.</t>
        </is>
      </c>
    </row>
    <row r="20">
      <c r="A20" t="inlineStr">
        <is>
          <t>8. Obtain approvals in Sheet 9 (Approval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18" customWidth="1" min="2" max="2"/>
    <col width="35" customWidth="1" min="3" max="3"/>
    <col width="25" customWidth="1" min="4" max="4"/>
    <col width="18" customWidth="1" min="5" max="5"/>
    <col width="20" customWidth="1" min="6" max="6"/>
    <col width="35" customWidth="1" min="7" max="7"/>
    <col width="18" customWidth="1" min="8" max="8"/>
    <col width="15" customWidth="1" min="9" max="9"/>
    <col width="18" customWidth="1" min="10" max="10"/>
    <col width="15" customWidth="1" min="11" max="11"/>
    <col width="15" customWidth="1" min="12" max="12"/>
    <col width="18" customWidth="1" min="13" max="13"/>
    <col width="40" customWidth="1" min="14" max="14"/>
  </cols>
  <sheetData>
    <row r="1" ht="35" customHeight="1">
      <c r="A1" s="11" t="inlineStr">
        <is>
          <t>EQUIPMENT INVENTORY</t>
        </is>
      </c>
    </row>
    <row r="2">
      <c r="A2" s="12" t="inlineStr">
        <is>
          <t>Policy Requirement: All equipment containing or supporting information processing should be included in the maintenance programme.</t>
        </is>
      </c>
    </row>
    <row r="3">
      <c r="A3" s="13" t="inlineStr">
        <is>
          <t>Equipment ID</t>
        </is>
      </c>
      <c r="B3" s="13" t="inlineStr">
        <is>
          <t>Equipment Type</t>
        </is>
      </c>
      <c r="C3" s="13" t="inlineStr">
        <is>
          <t>Equipment Description</t>
        </is>
      </c>
      <c r="D3" s="13" t="inlineStr">
        <is>
          <t>Location</t>
        </is>
      </c>
      <c r="E3" s="13" t="inlineStr">
        <is>
          <t>Criticality</t>
        </is>
      </c>
      <c r="F3" s="13" t="inlineStr">
        <is>
          <t>Manufacturer</t>
        </is>
      </c>
      <c r="G3" s="13" t="inlineStr">
        <is>
          <t>Manufacturer Requirement</t>
        </is>
      </c>
      <c r="H3" s="13" t="inlineStr">
        <is>
          <t>Maintenance Frequency</t>
        </is>
      </c>
      <c r="I3" s="13" t="inlineStr">
        <is>
          <t>Frequency Compliant</t>
        </is>
      </c>
      <c r="J3" s="13" t="inlineStr">
        <is>
          <t>In Maintenance Programme</t>
        </is>
      </c>
      <c r="K3" s="13" t="inlineStr">
        <is>
          <t>Last Maintenance</t>
        </is>
      </c>
      <c r="L3" s="13" t="inlineStr">
        <is>
          <t>Next Scheduled</t>
        </is>
      </c>
      <c r="M3" s="13" t="inlineStr">
        <is>
          <t>Compliance Status</t>
        </is>
      </c>
      <c r="N3" s="13" t="inlineStr">
        <is>
          <t>Notes</t>
        </is>
      </c>
    </row>
    <row r="4">
      <c r="A4" s="14" t="inlineStr">
        <is>
          <t>EQ-001</t>
        </is>
      </c>
      <c r="B4" s="14" t="inlineStr">
        <is>
          <t>Server</t>
        </is>
      </c>
      <c r="C4" s="14" t="inlineStr">
        <is>
          <t>[Primary Application Server]</t>
        </is>
      </c>
      <c r="D4" s="14" t="inlineStr">
        <is>
          <t>[Data Centre]</t>
        </is>
      </c>
      <c r="E4" s="14" t="inlineStr">
        <is>
          <t>Tier 1 - Critical</t>
        </is>
      </c>
      <c r="F4" s="14" t="inlineStr">
        <is>
          <t>[Manufacturer Name]</t>
        </is>
      </c>
      <c r="G4" s="14" t="inlineStr">
        <is>
          <t>Annual recommendation</t>
        </is>
      </c>
      <c r="H4" s="14" t="inlineStr">
        <is>
          <t>Annually</t>
        </is>
      </c>
      <c r="I4" s="14" t="inlineStr">
        <is>
          <t>Yes</t>
        </is>
      </c>
      <c r="J4" s="14" t="inlineStr">
        <is>
          <t>Yes</t>
        </is>
      </c>
      <c r="K4" s="14" t="inlineStr">
        <is>
          <t>[DD.MM.YYYY]</t>
        </is>
      </c>
      <c r="L4" s="14" t="inlineStr">
        <is>
          <t>[DD.MM.YYYY]</t>
        </is>
      </c>
      <c r="M4" s="14" t="inlineStr">
        <is>
          <t>✅ Compliant</t>
        </is>
      </c>
      <c r="N4" s="14" t="inlineStr"/>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6">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"Server,Network Device,Storage,UPS,HVAC,Generator,Security System,Other"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"Tier 1 - Critical,Tier 2 - Standard"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"Monthly,Quarterly,Semi-annually,Annually"</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"Yes,No"</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"Yes,No,Partial"</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55" customWidth="1" min="1" max="1"/>
    <col width="15" customWidth="1" min="2" max="2"/>
    <col width="25" customWidth="1" min="3" max="3"/>
    <col width="40" customWidth="1" min="4" max="4"/>
  </cols>
  <sheetData>
    <row r="1" ht="35" customHeight="1">
      <c r="A1" s="11" t="inlineStr">
        <is>
          <t>MAINTENANCE PROGRAMME ASSESSMENT</t>
        </is>
      </c>
    </row>
    <row r="2">
      <c r="A2" s="12" t="inlineStr">
        <is>
          <t>Policy Requirement: Establish and implement a maintenance programme following manufacturer recommendations as minimums; deviations require documented approval.</t>
        </is>
      </c>
    </row>
    <row r="3">
      <c r="A3" s="2" t="inlineStr">
        <is>
          <t>Programme Elements Assessment</t>
        </is>
      </c>
    </row>
    <row r="5">
      <c r="A5" s="13" t="inlineStr">
        <is>
          <t>Assessment Question</t>
        </is>
      </c>
      <c r="B5" s="13" t="inlineStr">
        <is>
          <t>Status</t>
        </is>
      </c>
      <c r="C5" s="13" t="inlineStr">
        <is>
          <t>Evidence Reference</t>
        </is>
      </c>
      <c r="D5" s="13" t="inlineStr">
        <is>
          <t>Notes</t>
        </is>
      </c>
    </row>
    <row r="6">
      <c r="A6" s="6" t="inlineStr">
        <is>
          <t>All equipment types included in maintenance programme?</t>
        </is>
      </c>
      <c r="B6" s="16" t="n"/>
      <c r="C6" s="16" t="n"/>
      <c r="D6" s="16" t="n"/>
    </row>
    <row r="7">
      <c r="A7" s="6" t="inlineStr">
        <is>
          <t>Maintenance schedules follow manufacturer recommendations?</t>
        </is>
      </c>
      <c r="B7" s="16" t="n"/>
      <c r="C7" s="16" t="n"/>
      <c r="D7" s="16" t="n"/>
    </row>
    <row r="8">
      <c r="A8" s="6" t="inlineStr">
        <is>
          <t>Critical equipment prioritised for preventive maintenance?</t>
        </is>
      </c>
      <c r="B8" s="16" t="n"/>
      <c r="C8" s="16" t="n"/>
      <c r="D8" s="16" t="n"/>
    </row>
    <row r="9">
      <c r="A9" s="6" t="inlineStr">
        <is>
          <t>Maintenance records maintained for all activities?</t>
        </is>
      </c>
      <c r="B9" s="16" t="n"/>
      <c r="C9" s="16" t="n"/>
      <c r="D9" s="16" t="n"/>
    </row>
    <row r="10">
      <c r="A10" s="6" t="inlineStr">
        <is>
          <t>Maintenance record retention meets policy (3+ years)?</t>
        </is>
      </c>
      <c r="B10" s="16" t="n"/>
      <c r="C10" s="16" t="n"/>
      <c r="D10" s="16" t="n"/>
    </row>
    <row r="11">
      <c r="A11" s="6" t="inlineStr">
        <is>
          <t>Records accessible for audit?</t>
        </is>
      </c>
      <c r="B11" s="16" t="n"/>
      <c r="C11" s="16" t="n"/>
      <c r="D11" s="16" t="n"/>
    </row>
    <row r="12">
      <c r="A12" s="6" t="inlineStr">
        <is>
          <t>Preventive maintenance occurring on schedule?</t>
        </is>
      </c>
      <c r="B12" s="16" t="n"/>
      <c r="C12" s="16" t="n"/>
      <c r="D12" s="16" t="n"/>
    </row>
    <row r="13">
      <c r="A13" s="6" t="inlineStr">
        <is>
          <t>Overdue maintenance tracked and escalated?</t>
        </is>
      </c>
      <c r="B13" s="16" t="n"/>
      <c r="C13" s="16" t="n"/>
      <c r="D13" s="16" t="n"/>
    </row>
  </sheetData>
  <mergeCells count="2">
    <mergeCell ref="A2:E2"/>
    <mergeCell ref="A1:E1"/>
  </mergeCells>
  <dataValidations count="8">
    <dataValidation sqref="B6" showDropDown="0" showInputMessage="0" showErrorMessage="0" allowBlank="1" type="list">
      <formula1>"Yes,Partial,No"</formula1>
    </dataValidation>
    <dataValidation sqref="B7" showDropDown="0" showInputMessage="0" showErrorMessage="0" allowBlank="1" type="list">
      <formula1>"Yes,Partial,No"</formula1>
    </dataValidation>
    <dataValidation sqref="B8" showDropDown="0" showInputMessage="0" showErrorMessage="0" allowBlank="1" type="list">
      <formula1>"Yes,No"</formula1>
    </dataValidation>
    <dataValidation sqref="B9" showDropDown="0" showInputMessage="0" showErrorMessage="0" allowBlank="1" type="list">
      <formula1>"Yes,Partial,No"</formula1>
    </dataValidation>
    <dataValidation sqref="B10" showDropDown="0" showInputMessage="0" showErrorMessage="0" allowBlank="1" type="list">
      <formula1>"Yes,No"</formula1>
    </dataValidation>
    <dataValidation sqref="B11" showDropDown="0" showInputMessage="0" showErrorMessage="0" allowBlank="1" type="list">
      <formula1>"Yes,Partial,No"</formula1>
    </dataValidation>
    <dataValidation sqref="B12" showDropDown="0" showInputMessage="0" showErrorMessage="0" allowBlank="1" type="list">
      <formula1>"Yes,Partial,No"</formula1>
    </dataValidation>
    <dataValidation sqref="B13" showDropDown="0" showInputMessage="0" showErrorMessage="0" allowBlank="1" type="list">
      <formula1>"Yes,Partial,No"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18" customWidth="1" min="3" max="3"/>
    <col width="30" customWidth="1" min="4" max="4"/>
    <col width="20" customWidth="1" min="5" max="5"/>
    <col width="22" customWidth="1" min="6" max="6"/>
    <col width="20" customWidth="1" min="7" max="7"/>
    <col width="12" customWidth="1" min="8" max="8"/>
    <col width="15" customWidth="1" min="9" max="9"/>
    <col width="15" customWidth="1" min="10" max="10"/>
    <col width="18" customWidth="1" min="11" max="11"/>
    <col width="40" customWidth="1" min="12" max="12"/>
  </cols>
  <sheetData>
    <row r="1" ht="35" customHeight="1">
      <c r="A1" s="11" t="inlineStr">
        <is>
          <t>PERSONNEL AND VENDORS</t>
        </is>
      </c>
    </row>
    <row r="2">
      <c r="A2" s="12" t="inlineStr">
        <is>
          <t>Policy Requirement: Only authorised personnel should perform maintenance; third-party maintenance should be contracted with approved providers.</t>
        </is>
      </c>
    </row>
    <row r="3">
      <c r="A3" s="13" t="inlineStr">
        <is>
          <t>Personnel/Vendor ID</t>
        </is>
      </c>
      <c r="B3" s="13" t="inlineStr">
        <is>
          <t>Name</t>
        </is>
      </c>
      <c r="C3" s="13" t="inlineStr">
        <is>
          <t>Type</t>
        </is>
      </c>
      <c r="D3" s="13" t="inlineStr">
        <is>
          <t>Equipment Types Authorised</t>
        </is>
      </c>
      <c r="E3" s="13" t="inlineStr">
        <is>
          <t>Verification Required</t>
        </is>
      </c>
      <c r="F3" s="13" t="inlineStr">
        <is>
          <t>Supervision Required</t>
        </is>
      </c>
      <c r="G3" s="13" t="inlineStr">
        <is>
          <t>Contract/Agreement</t>
        </is>
      </c>
      <c r="H3" s="13" t="inlineStr">
        <is>
          <t>NDA in Place</t>
        </is>
      </c>
      <c r="I3" s="13" t="inlineStr">
        <is>
          <t>Background Check</t>
        </is>
      </c>
      <c r="J3" s="13" t="inlineStr">
        <is>
          <t>Last Verified</t>
        </is>
      </c>
      <c r="K3" s="13" t="inlineStr">
        <is>
          <t>Compliance Status</t>
        </is>
      </c>
      <c r="L3" s="13" t="inlineStr">
        <is>
          <t>Notes</t>
        </is>
      </c>
    </row>
    <row r="4">
      <c r="A4" s="14" t="inlineStr">
        <is>
          <t>PV-001</t>
        </is>
      </c>
      <c r="B4" s="14" t="inlineStr">
        <is>
          <t>[Vendor Name]</t>
        </is>
      </c>
      <c r="C4" s="14" t="inlineStr">
        <is>
          <t>Third-Party Vendor</t>
        </is>
      </c>
      <c r="D4" s="14" t="inlineStr">
        <is>
          <t>Servers/Network</t>
        </is>
      </c>
      <c r="E4" s="14" t="inlineStr">
        <is>
          <t>Yes - Badge/ID</t>
        </is>
      </c>
      <c r="F4" s="14" t="inlineStr">
        <is>
          <t>Yes - Always</t>
        </is>
      </c>
      <c r="G4" s="14" t="inlineStr">
        <is>
          <t>[Contract Ref]</t>
        </is>
      </c>
      <c r="H4" s="14" t="inlineStr">
        <is>
          <t>Yes</t>
        </is>
      </c>
      <c r="I4" s="14" t="inlineStr">
        <is>
          <t>Yes</t>
        </is>
      </c>
      <c r="J4" s="14" t="inlineStr">
        <is>
          <t>[DD.MM.YYYY]</t>
        </is>
      </c>
      <c r="K4" s="14" t="inlineStr">
        <is>
          <t>✅ Compliant</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5">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"Internal Staff,Third-Party Vendor,Contractor"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Badge/ID,Yes - Escort,No"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Always,Yes - Sensitive Equipment,No"</formula1>
    </dataValidation>
    <dataValidation sqref="H4 H5 H6 H7 H8 H9 H10 H11 H12 H13 H14 H15 H16 H17 H18 H19 H20 H21 H22 H23 H24 H25 H26 H27 H28 H29 H30 H31 H32 H33 H34 H35 H36 H37 H38 H39 H40 H41 H42 H43 H44 H45 H46 H47 H48 H49 H50 H51 H52 H53 H54 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"Yes,No,N/A"</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55" customWidth="1" min="1" max="1"/>
    <col width="18" customWidth="1" min="2" max="2"/>
    <col width="25" customWidth="1" min="3" max="3"/>
    <col width="40" customWidth="1" min="4" max="4"/>
  </cols>
  <sheetData>
    <row r="1" ht="35" customHeight="1">
      <c r="A1" s="11" t="inlineStr">
        <is>
          <t>SECURITY DURING MAINTENANCE</t>
        </is>
      </c>
    </row>
    <row r="2">
      <c r="A2" s="12" t="inlineStr">
        <is>
          <t>Policy Requirement: Sensitive data should be protected during maintenance; access should be time-limited, logged, and verified after completion.</t>
        </is>
      </c>
    </row>
    <row r="3">
      <c r="A3" s="2" t="inlineStr">
        <is>
          <t>Data Protection Assessment</t>
        </is>
      </c>
    </row>
    <row r="5">
      <c r="A5" s="13" t="inlineStr">
        <is>
          <t>Assessment Question</t>
        </is>
      </c>
      <c r="B5" s="13" t="inlineStr">
        <is>
          <t>Status</t>
        </is>
      </c>
      <c r="C5" s="13" t="inlineStr">
        <is>
          <t>Evidence Reference</t>
        </is>
      </c>
      <c r="D5" s="13" t="inlineStr">
        <is>
          <t>Notes</t>
        </is>
      </c>
    </row>
    <row r="6">
      <c r="A6" s="3" t="inlineStr">
        <is>
          <t>Data Protection</t>
        </is>
      </c>
    </row>
    <row r="7">
      <c r="A7" s="6" t="inlineStr">
        <is>
          <t>Sensitive data protected during maintenance?</t>
        </is>
      </c>
      <c r="B7" s="16" t="n"/>
      <c r="C7" s="16" t="n"/>
      <c r="D7" s="16" t="n"/>
    </row>
    <row r="8">
      <c r="A8" s="6" t="inlineStr">
        <is>
          <t>Equipment containing data kept on-premises where possible?</t>
        </is>
      </c>
      <c r="B8" s="16" t="n"/>
      <c r="C8" s="16" t="n"/>
      <c r="D8" s="16" t="n"/>
    </row>
    <row r="9">
      <c r="A9" s="6" t="inlineStr">
        <is>
          <t>Data erased before off-site maintenance?</t>
        </is>
      </c>
      <c r="B9" s="16" t="n"/>
      <c r="C9" s="16" t="n"/>
      <c r="D9" s="16" t="n"/>
    </row>
    <row r="10">
      <c r="A10" s="6" t="inlineStr">
        <is>
          <t>Maintenance personnel data access restricted?</t>
        </is>
      </c>
      <c r="B10" s="16" t="n"/>
      <c r="C10" s="16" t="n"/>
      <c r="D10" s="16" t="n"/>
    </row>
    <row r="12">
      <c r="A12" s="3" t="inlineStr">
        <is>
          <t>Access Controls</t>
        </is>
      </c>
    </row>
    <row r="13">
      <c r="A13" s="6" t="inlineStr">
        <is>
          <t>Maintenance access time-limited?</t>
        </is>
      </c>
      <c r="B13" s="16" t="n"/>
      <c r="C13" s="16" t="n"/>
      <c r="D13" s="16" t="n"/>
    </row>
    <row r="14">
      <c r="A14" s="6" t="inlineStr">
        <is>
          <t>Access logged (who, what, when, why)?</t>
        </is>
      </c>
      <c r="B14" s="16" t="n"/>
      <c r="C14" s="16" t="n"/>
      <c r="D14" s="16" t="n"/>
    </row>
    <row r="15">
      <c r="A15" s="6" t="inlineStr">
        <is>
          <t>Tools and equipment accounted for after maintenance?</t>
        </is>
      </c>
      <c r="B15" s="16" t="n"/>
      <c r="C15" s="16" t="n"/>
      <c r="D15" s="16" t="n"/>
    </row>
    <row r="16">
      <c r="A16" s="6" t="inlineStr">
        <is>
          <t>Physical inspection performed after maintenance?</t>
        </is>
      </c>
      <c r="B16" s="16" t="n"/>
      <c r="C16" s="16" t="n"/>
      <c r="D16" s="16" t="n"/>
    </row>
    <row r="18">
      <c r="A18" s="3" t="inlineStr">
        <is>
          <t>Equipment Removal</t>
        </is>
      </c>
    </row>
    <row r="19">
      <c r="A19" s="6" t="inlineStr">
        <is>
          <t>Removal authorisation required?</t>
        </is>
      </c>
      <c r="B19" s="16" t="n"/>
      <c r="C19" s="16" t="n"/>
      <c r="D19" s="16" t="n"/>
    </row>
    <row r="20">
      <c r="A20" s="6" t="inlineStr">
        <is>
          <t>Chain of custody documented?</t>
        </is>
      </c>
      <c r="B20" s="16" t="n"/>
      <c r="C20" s="16" t="n"/>
      <c r="D20" s="16" t="n"/>
    </row>
    <row r="21">
      <c r="A21" s="6" t="inlineStr">
        <is>
          <t>Equipment inspected on return?</t>
        </is>
      </c>
      <c r="B21" s="16" t="n"/>
      <c r="C21" s="16" t="n"/>
      <c r="D21" s="16" t="n"/>
    </row>
    <row r="22">
      <c r="A22" s="6" t="inlineStr">
        <is>
          <t>Return logged in asset management?</t>
        </is>
      </c>
      <c r="B22" s="16" t="n"/>
      <c r="C22" s="16" t="n"/>
      <c r="D22" s="16" t="n"/>
    </row>
  </sheetData>
  <mergeCells count="2">
    <mergeCell ref="A2:E2"/>
    <mergeCell ref="A1:E1"/>
  </mergeCells>
  <dataValidations count="12">
    <dataValidation sqref="B7" showDropDown="0" showInputMessage="0" showErrorMessage="0" allowBlank="1" type="list">
      <formula1>"Yes,Partial,No"</formula1>
    </dataValidation>
    <dataValidation sqref="B8" showDropDown="0" showInputMessage="0" showErrorMessage="0" allowBlank="1" type="list">
      <formula1>"Yes,Partial,No"</formula1>
    </dataValidation>
    <dataValidation sqref="B9" showDropDown="0" showInputMessage="0" showErrorMessage="0" allowBlank="1" type="list">
      <formula1>"Yes,Partial,No,N/A"</formula1>
    </dataValidation>
    <dataValidation sqref="B10" showDropDown="0" showInputMessage="0" showErrorMessage="0" allowBlank="1" type="list">
      <formula1>"Yes,No"</formula1>
    </dataValidation>
    <dataValidation sqref="B13" showDropDown="0" showInputMessage="0" showErrorMessage="0" allowBlank="1" type="list">
      <formula1>"Yes,No"</formula1>
    </dataValidation>
    <dataValidation sqref="B14" showDropDown="0" showInputMessage="0" showErrorMessage="0" allowBlank="1" type="list">
      <formula1>"Yes,Partial,No"</formula1>
    </dataValidation>
    <dataValidation sqref="B15" showDropDown="0" showInputMessage="0" showErrorMessage="0" allowBlank="1" type="list">
      <formula1>"Yes,No"</formula1>
    </dataValidation>
    <dataValidation sqref="B16" showDropDown="0" showInputMessage="0" showErrorMessage="0" allowBlank="1" type="list">
      <formula1>"Yes,Partial,No"</formula1>
    </dataValidation>
    <dataValidation sqref="B19" showDropDown="0" showInputMessage="0" showErrorMessage="0" allowBlank="1" type="list">
      <formula1>"Yes,No"</formula1>
    </dataValidation>
    <dataValidation sqref="B20" showDropDown="0" showInputMessage="0" showErrorMessage="0" allowBlank="1" type="list">
      <formula1>"Yes,Partial,No"</formula1>
    </dataValidation>
    <dataValidation sqref="B21" showDropDown="0" showInputMessage="0" showErrorMessage="0" allowBlank="1" type="list">
      <formula1>"Yes,No"</formula1>
    </dataValidation>
    <dataValidation sqref="B22"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18" customWidth="1" min="5" max="5"/>
    <col width="18" customWidth="1" min="6" max="6"/>
    <col width="18" customWidth="1" min="7" max="7"/>
    <col width="18" customWidth="1" min="8" max="8"/>
    <col width="22" customWidth="1" min="9" max="9"/>
    <col width="18" customWidth="1" min="10" max="10"/>
    <col width="18" customWidth="1" min="11" max="11"/>
    <col width="40" customWidth="1" min="12" max="12"/>
  </cols>
  <sheetData>
    <row r="1" ht="35" customHeight="1">
      <c r="A1" s="11" t="inlineStr">
        <is>
          <t>REMOTE MAINTENANCE</t>
        </is>
      </c>
    </row>
    <row r="2">
      <c r="A2" s="12" t="inlineStr">
        <is>
          <t>Policy Requirement: Remote maintenance should be authorised, documented, use secure connections, and be logged and monitored.</t>
        </is>
      </c>
    </row>
    <row r="3">
      <c r="A3" s="13" t="inlineStr">
        <is>
          <t>Access ID</t>
        </is>
      </c>
      <c r="B3" s="13" t="inlineStr">
        <is>
          <t>Access Type</t>
        </is>
      </c>
      <c r="C3" s="13" t="inlineStr">
        <is>
          <t>Provider/System</t>
        </is>
      </c>
      <c r="D3" s="13" t="inlineStr">
        <is>
          <t>Equipment Types</t>
        </is>
      </c>
      <c r="E3" s="13" t="inlineStr">
        <is>
          <t>Authorised</t>
        </is>
      </c>
      <c r="F3" s="13" t="inlineStr">
        <is>
          <t>Secure Connection</t>
        </is>
      </c>
      <c r="G3" s="13" t="inlineStr">
        <is>
          <t>Session Logged</t>
        </is>
      </c>
      <c r="H3" s="13" t="inlineStr">
        <is>
          <t>Session Monitored</t>
        </is>
      </c>
      <c r="I3" s="13" t="inlineStr">
        <is>
          <t>Disabled When Not Required</t>
        </is>
      </c>
      <c r="J3" s="13" t="inlineStr">
        <is>
          <t>Last Access Review</t>
        </is>
      </c>
      <c r="K3" s="13" t="inlineStr">
        <is>
          <t>Compliance Status</t>
        </is>
      </c>
      <c r="L3" s="13" t="inlineStr">
        <is>
          <t>Notes</t>
        </is>
      </c>
    </row>
    <row r="4">
      <c r="A4" s="14" t="inlineStr">
        <is>
          <t>RM-001</t>
        </is>
      </c>
      <c r="B4" s="14" t="inlineStr">
        <is>
          <t>Vendor Remote Support</t>
        </is>
      </c>
      <c r="C4" s="14" t="inlineStr">
        <is>
          <t>[Provider Name]</t>
        </is>
      </c>
      <c r="D4" s="14" t="inlineStr">
        <is>
          <t>Servers</t>
        </is>
      </c>
      <c r="E4" s="14" t="inlineStr">
        <is>
          <t>Yes - Pre-approved</t>
        </is>
      </c>
      <c r="F4" s="14" t="inlineStr">
        <is>
          <t>Yes - VPN</t>
        </is>
      </c>
      <c r="G4" s="14" t="inlineStr">
        <is>
          <t>Yes - Automated</t>
        </is>
      </c>
      <c r="H4" s="14" t="inlineStr">
        <is>
          <t>Yes - Recorded</t>
        </is>
      </c>
      <c r="I4" s="14" t="inlineStr">
        <is>
          <t>Yes - Always</t>
        </is>
      </c>
      <c r="J4" s="14" t="inlineStr">
        <is>
          <t>[DD.MM.YYYY]</t>
        </is>
      </c>
      <c r="K4" s="14" t="inlineStr">
        <is>
          <t>✅ Compliant</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7">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"Vendor Remote Support,Internal Remote Management,Cloud Management Portal"</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Pre-approved,Yes - On-demand,No"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VPN,Yes - Encrypted,No"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 - Automated,Yes - Manual,No"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Real-time,Yes - Recorded,No"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 - Always,Yes - Usually,No"</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1"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45" customWidth="1" min="6" max="6"/>
    <col width="15" customWidth="1" min="7" max="7"/>
    <col width="20" customWidth="1" min="8" max="8"/>
  </cols>
  <sheetData>
    <row r="1" ht="35" customHeight="1">
      <c r="A1" s="11" t="inlineStr">
        <is>
          <t>EVIDENCE REGISTER</t>
        </is>
      </c>
    </row>
    <row r="2">
      <c r="A2" s="12" t="inlineStr">
        <is>
          <t>Document all supporting evidence for audit traceability and compliance verification.</t>
        </is>
      </c>
    </row>
    <row r="4">
      <c r="A4" s="17" t="inlineStr">
        <is>
          <t>Evidence ID</t>
        </is>
      </c>
      <c r="B4" s="17" t="inlineStr">
        <is>
          <t>Evidence Type</t>
        </is>
      </c>
      <c r="C4" s="17" t="inlineStr">
        <is>
          <t>Description</t>
        </is>
      </c>
      <c r="D4" s="17" t="inlineStr">
        <is>
          <t>Related Sheet / Item</t>
        </is>
      </c>
      <c r="E4" s="17" t="inlineStr">
        <is>
          <t>File Name</t>
        </is>
      </c>
      <c r="F4" s="17" t="inlineStr">
        <is>
          <t>File Location</t>
        </is>
      </c>
      <c r="G4" s="17" t="inlineStr">
        <is>
          <t>Collection Date</t>
        </is>
      </c>
      <c r="H4" s="17" t="inlineStr">
        <is>
          <t>Collected By</t>
        </is>
      </c>
    </row>
    <row r="5">
      <c r="A5" s="18" t="inlineStr">
        <is>
          <t>EV-001</t>
        </is>
      </c>
      <c r="B5" s="14" t="n"/>
      <c r="C5" s="14" t="n"/>
      <c r="D5" s="14" t="n"/>
      <c r="E5" s="14" t="n"/>
      <c r="F5" s="14" t="n"/>
      <c r="G5" s="14" t="n"/>
      <c r="H5" s="14"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19" t="inlineStr">
        <is>
          <t>EQUIPMENT MAINTENANCE — SUMMARY DASHBOARD</t>
        </is>
      </c>
      <c r="B1" s="20" t="n"/>
      <c r="C1" s="20" t="n"/>
      <c r="D1" s="20" t="n"/>
      <c r="E1" s="20" t="n"/>
      <c r="F1" s="20" t="n"/>
      <c r="G1" s="20" t="n"/>
    </row>
    <row r="2">
      <c r="A2" s="21" t="inlineStr">
        <is>
          <t>ISO/IEC 27001:2022 — Control A.7.13: Equipment Maintenance</t>
        </is>
      </c>
    </row>
    <row r="4">
      <c r="A4" s="22" t="inlineStr">
        <is>
          <t>TABLE 1: ASSESSMENT AREA COMPLIANCE OVERVIEW</t>
        </is>
      </c>
      <c r="B4" s="20" t="n"/>
      <c r="C4" s="20" t="n"/>
      <c r="D4" s="20" t="n"/>
      <c r="E4" s="20" t="n"/>
      <c r="F4" s="20" t="n"/>
      <c r="G4" s="20" t="n"/>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Equipment Inventory</t>
        </is>
      </c>
      <c r="B6" s="25">
        <f>COUNTA('Equipment Inventory'!B5:B54)</f>
        <v/>
      </c>
      <c r="C6" s="25">
        <f>COUNTIF('Equipment Inventory'!M5:M54,"✅*")</f>
        <v/>
      </c>
      <c r="D6" s="25">
        <f>COUNTIF('Equipment Inventory'!M5:M54,"⚠*")</f>
        <v/>
      </c>
      <c r="E6" s="25">
        <f>COUNTIF('Equipment Inventory'!M5:M54,"❌*")</f>
        <v/>
      </c>
      <c r="F6" s="25">
        <f>COUNTIF('Equipment Inventory'!M5:M54,"N/A")</f>
        <v/>
      </c>
      <c r="G6" s="26">
        <f>IF((B6-F6)=0,0,C6/(B6-F6))</f>
        <v/>
      </c>
    </row>
    <row r="7">
      <c r="A7" s="24" t="inlineStr">
        <is>
          <t>Personnel &amp; Vendors</t>
        </is>
      </c>
      <c r="B7" s="25">
        <f>COUNTA('Personnel &amp; Vendors'!B5:B54)</f>
        <v/>
      </c>
      <c r="C7" s="25">
        <f>COUNTIF('Personnel &amp; Vendors'!K5:K54,"✅*")</f>
        <v/>
      </c>
      <c r="D7" s="25">
        <f>COUNTIF('Personnel &amp; Vendors'!K5:K54,"⚠*")</f>
        <v/>
      </c>
      <c r="E7" s="25">
        <f>COUNTIF('Personnel &amp; Vendors'!K5:K54,"❌*")</f>
        <v/>
      </c>
      <c r="F7" s="25">
        <f>COUNTIF('Personnel &amp; Vendors'!K5:K54,"N/A")</f>
        <v/>
      </c>
      <c r="G7" s="26">
        <f>IF((B7-F7)=0,0,C7/(B7-F7))</f>
        <v/>
      </c>
    </row>
    <row r="8">
      <c r="A8" s="24" t="inlineStr">
        <is>
          <t>Remote Maintenance</t>
        </is>
      </c>
      <c r="B8" s="25">
        <f>COUNTA('Remote Maintenance'!B5:B54)</f>
        <v/>
      </c>
      <c r="C8" s="25">
        <f>COUNTIF('Remote Maintenance'!K5:K54,"✅*")</f>
        <v/>
      </c>
      <c r="D8" s="25">
        <f>COUNTIF('Remote Maintenance'!K5:K54,"⚠*")</f>
        <v/>
      </c>
      <c r="E8" s="25">
        <f>COUNTIF('Remote Maintenance'!K5:K54,"❌*")</f>
        <v/>
      </c>
      <c r="F8" s="25">
        <f>COUNTIF('Remote Maintenance'!K5:K54,"N/A")</f>
        <v/>
      </c>
      <c r="G8" s="26">
        <f>IF((B8-F8)=0,0,C8/(B8-F8))</f>
        <v/>
      </c>
    </row>
    <row r="9">
      <c r="A9" s="27" t="inlineStr">
        <is>
          <t>TOTAL</t>
        </is>
      </c>
      <c r="B9" s="28">
        <f>SUM(B6:B8)</f>
        <v/>
      </c>
      <c r="C9" s="28">
        <f>SUM(C6:C8)</f>
        <v/>
      </c>
      <c r="D9" s="28">
        <f>SUM(D6:D8)</f>
        <v/>
      </c>
      <c r="E9" s="28">
        <f>SUM(E6:E8)</f>
        <v/>
      </c>
      <c r="F9" s="28">
        <f>SUM(F6:F8)</f>
        <v/>
      </c>
      <c r="G9" s="29">
        <f>IF((B9-F9)=0,0,C9/(B9-F9))</f>
        <v/>
      </c>
    </row>
    <row r="11">
      <c r="A11" s="22" t="inlineStr">
        <is>
          <t>TABLE 2: KEY METRICS — EQUIPMENT MAINTENANCE CONTROLS</t>
        </is>
      </c>
      <c r="B11" s="20" t="n"/>
      <c r="C11" s="20" t="n"/>
      <c r="D11" s="20" t="n"/>
      <c r="E11" s="20" t="n"/>
      <c r="F11" s="20" t="n"/>
      <c r="G11" s="20" t="n"/>
    </row>
    <row r="12">
      <c r="A12" s="28" t="inlineStr">
        <is>
          <t>Metric</t>
        </is>
      </c>
      <c r="B12" s="28" t="inlineStr">
        <is>
          <t>Value</t>
        </is>
      </c>
      <c r="C12" s="28" t="n"/>
      <c r="D12" s="28" t="n"/>
      <c r="E12" s="28" t="n"/>
      <c r="F12" s="28" t="n"/>
      <c r="G12" s="28" t="n"/>
    </row>
    <row r="13">
      <c r="A13" s="24" t="inlineStr">
        <is>
          <t>Tier 1 (Critical) equipment registered</t>
        </is>
      </c>
      <c r="B13" s="25">
        <f>COUNTIF('Equipment Inventory'!E5:E54,"Tier 1*")</f>
        <v/>
      </c>
      <c r="C13" s="20" t="n"/>
      <c r="D13" s="20" t="n"/>
      <c r="E13" s="20" t="n"/>
      <c r="F13" s="20" t="n"/>
      <c r="G13" s="20" t="n"/>
    </row>
    <row r="14">
      <c r="A14" s="24" t="inlineStr">
        <is>
          <t>Tier 1 equipment in maintenance programme</t>
        </is>
      </c>
      <c r="B14" s="25">
        <f>COUNTIFS('Equipment Inventory'!E5:E54,"Tier 1*",'Equipment Inventory'!J5:J54,"Yes")</f>
        <v/>
      </c>
      <c r="C14" s="20" t="n"/>
      <c r="D14" s="20" t="n"/>
      <c r="E14" s="20" t="n"/>
      <c r="F14" s="20" t="n"/>
      <c r="G14" s="20" t="n"/>
    </row>
    <row r="15">
      <c r="A15" s="24" t="inlineStr">
        <is>
          <t>Equipment not in maintenance programme</t>
        </is>
      </c>
      <c r="B15" s="25">
        <f>COUNTIF('Equipment Inventory'!J5:J54,"No")</f>
        <v/>
      </c>
      <c r="C15" s="20" t="n"/>
      <c r="D15" s="20" t="n"/>
      <c r="E15" s="20" t="n"/>
      <c r="F15" s="20" t="n"/>
      <c r="G15" s="20" t="n"/>
    </row>
    <row r="16">
      <c r="A16" s="24" t="inlineStr">
        <is>
          <t>Vendor access without supervision (not always supervised)</t>
        </is>
      </c>
      <c r="B16" s="25">
        <f>COUNTIF('Personnel &amp; Vendors'!F5:F54,"No")</f>
        <v/>
      </c>
      <c r="C16" s="20" t="n"/>
      <c r="D16" s="20" t="n"/>
      <c r="E16" s="20" t="n"/>
      <c r="F16" s="20" t="n"/>
      <c r="G16" s="20" t="n"/>
    </row>
    <row r="17">
      <c r="A17" s="24" t="inlineStr">
        <is>
          <t>Vendor access sessions not logged</t>
        </is>
      </c>
      <c r="B17" s="25">
        <f>COUNTIF('Personnel &amp; Vendors'!I5:I54,"No")</f>
        <v/>
      </c>
      <c r="C17" s="20" t="n"/>
      <c r="D17" s="20" t="n"/>
      <c r="E17" s="20" t="n"/>
      <c r="F17" s="20" t="n"/>
      <c r="G17" s="20" t="n"/>
    </row>
    <row r="18">
      <c r="A18" s="24" t="inlineStr">
        <is>
          <t>Remote sessions without secure channel (VPN/encrypted)</t>
        </is>
      </c>
      <c r="B18" s="25">
        <f>COUNTIF('Remote Maintenance'!F5:F54,"No")</f>
        <v/>
      </c>
      <c r="C18" s="20" t="n"/>
      <c r="D18" s="20" t="n"/>
      <c r="E18" s="20" t="n"/>
      <c r="F18" s="20" t="n"/>
      <c r="G18" s="20" t="n"/>
    </row>
    <row r="19">
      <c r="A19" s="24" t="inlineStr">
        <is>
          <t>Remote sessions not logged</t>
        </is>
      </c>
      <c r="B19" s="25">
        <f>COUNTIF('Remote Maintenance'!G5:G54,"No")</f>
        <v/>
      </c>
      <c r="C19" s="20" t="n"/>
      <c r="D19" s="20" t="n"/>
      <c r="E19" s="20" t="n"/>
      <c r="F19" s="20" t="n"/>
      <c r="G19" s="20" t="n"/>
    </row>
    <row r="20">
      <c r="A20" s="24" t="inlineStr">
        <is>
          <t>Remote access not disabled when idle</t>
        </is>
      </c>
      <c r="B20" s="25">
        <f>COUNTIF('Remote Maintenance'!I5:I54,"No")</f>
        <v/>
      </c>
      <c r="C20" s="20" t="n"/>
      <c r="D20" s="20" t="n"/>
      <c r="E20" s="20" t="n"/>
      <c r="F20" s="20" t="n"/>
      <c r="G20" s="20" t="n"/>
    </row>
    <row r="21">
      <c r="A21" s="20" t="n"/>
      <c r="B21" s="20" t="n"/>
      <c r="C21" s="20" t="n"/>
      <c r="D21" s="20" t="n"/>
      <c r="E21" s="20" t="n"/>
      <c r="F21" s="20" t="n"/>
      <c r="G21" s="20" t="n"/>
    </row>
    <row r="22">
      <c r="A22" s="20" t="n"/>
      <c r="B22" s="20" t="n"/>
      <c r="C22" s="20" t="n"/>
      <c r="D22" s="20" t="n"/>
      <c r="E22" s="20" t="n"/>
      <c r="F22" s="20" t="n"/>
      <c r="G22" s="20" t="n"/>
    </row>
    <row r="24">
      <c r="A24" s="30" t="inlineStr">
        <is>
          <t>TABLE 3: CRITICAL FINDINGS REQUIRING IMMEDIATE ATTENTION</t>
        </is>
      </c>
      <c r="B24" s="20" t="n"/>
      <c r="C24" s="20" t="n"/>
      <c r="D24" s="20" t="n"/>
      <c r="E24" s="20" t="n"/>
      <c r="F24" s="20" t="n"/>
      <c r="G24" s="20" t="n"/>
    </row>
    <row r="25">
      <c r="A25" s="28" t="inlineStr">
        <is>
          <t>Category</t>
        </is>
      </c>
      <c r="B25" s="28" t="inlineStr">
        <is>
          <t>Finding</t>
        </is>
      </c>
      <c r="C25" s="28" t="inlineStr">
        <is>
          <t>Count</t>
        </is>
      </c>
      <c r="D25" s="28" t="inlineStr">
        <is>
          <t>Severity</t>
        </is>
      </c>
      <c r="E25" s="28" t="inlineStr">
        <is>
          <t>Action Required</t>
        </is>
      </c>
      <c r="F25" s="28" t="n"/>
      <c r="G25" s="28" t="n"/>
    </row>
    <row r="26">
      <c r="A26" s="31" t="inlineStr">
        <is>
          <t>Equipment Inventory</t>
        </is>
      </c>
      <c r="B26" s="31" t="inlineStr">
        <is>
          <t>Tier 1 critical equipment non-compliant</t>
        </is>
      </c>
      <c r="C26" s="32">
        <f>COUNTIFS('Equipment Inventory'!E5:E54,"Tier 1*",'Equipment Inventory'!M5:M54,"❌*")</f>
        <v/>
      </c>
      <c r="D26" s="31" t="inlineStr">
        <is>
          <t>Critical</t>
        </is>
      </c>
      <c r="E26" s="31" t="inlineStr">
        <is>
          <t>Immediate</t>
        </is>
      </c>
      <c r="F26" s="31" t="n"/>
      <c r="G26" s="31" t="n"/>
    </row>
    <row r="27">
      <c r="A27" s="31" t="inlineStr">
        <is>
          <t>Equipment Inventory</t>
        </is>
      </c>
      <c r="B27" s="31" t="inlineStr">
        <is>
          <t>Equipment not in maintenance programme</t>
        </is>
      </c>
      <c r="C27" s="32">
        <f>COUNTIF('Equipment Inventory'!J5:J54,"No")</f>
        <v/>
      </c>
      <c r="D27" s="31" t="inlineStr">
        <is>
          <t>Critical</t>
        </is>
      </c>
      <c r="E27" s="31" t="inlineStr">
        <is>
          <t>Immediate</t>
        </is>
      </c>
      <c r="F27" s="31" t="n"/>
      <c r="G27" s="31" t="n"/>
    </row>
    <row r="28">
      <c r="A28" s="31" t="inlineStr">
        <is>
          <t>Personnel &amp; Vendors</t>
        </is>
      </c>
      <c r="B28" s="31" t="inlineStr">
        <is>
          <t>Vendor access without supervision (not always supervised)</t>
        </is>
      </c>
      <c r="C28" s="32">
        <f>COUNTIF('Personnel &amp; Vendors'!F5:F54,"No")</f>
        <v/>
      </c>
      <c r="D28" s="31" t="inlineStr">
        <is>
          <t>High</t>
        </is>
      </c>
      <c r="E28" s="31" t="inlineStr">
        <is>
          <t>Urgent</t>
        </is>
      </c>
      <c r="F28" s="31" t="n"/>
      <c r="G28" s="31" t="n"/>
    </row>
    <row r="29">
      <c r="A29" s="31" t="inlineStr">
        <is>
          <t>Personnel &amp; Vendors</t>
        </is>
      </c>
      <c r="B29" s="31" t="inlineStr">
        <is>
          <t>Vendor access sessions not logged</t>
        </is>
      </c>
      <c r="C29" s="32">
        <f>COUNTIF('Personnel &amp; Vendors'!I5:I54,"No")</f>
        <v/>
      </c>
      <c r="D29" s="31" t="inlineStr">
        <is>
          <t>High</t>
        </is>
      </c>
      <c r="E29" s="31" t="inlineStr">
        <is>
          <t>Urgent</t>
        </is>
      </c>
      <c r="F29" s="31" t="n"/>
      <c r="G29" s="31" t="n"/>
    </row>
    <row r="30">
      <c r="A30" s="31" t="inlineStr">
        <is>
          <t>Remote Maintenance</t>
        </is>
      </c>
      <c r="B30" s="31" t="inlineStr">
        <is>
          <t>Remote access without secure channel (VPN/encrypted)</t>
        </is>
      </c>
      <c r="C30" s="32">
        <f>COUNTIF('Remote Maintenance'!F5:F54,"No")</f>
        <v/>
      </c>
      <c r="D30" s="31" t="inlineStr">
        <is>
          <t>Critical</t>
        </is>
      </c>
      <c r="E30" s="31" t="inlineStr">
        <is>
          <t>Immediate</t>
        </is>
      </c>
      <c r="F30" s="31" t="n"/>
      <c r="G30" s="31" t="n"/>
    </row>
    <row r="31">
      <c r="A31" s="31" t="inlineStr">
        <is>
          <t>Remote Maintenance</t>
        </is>
      </c>
      <c r="B31" s="31" t="inlineStr">
        <is>
          <t>Remote access not disabled when idle</t>
        </is>
      </c>
      <c r="C31" s="32">
        <f>COUNTIF('Remote Maintenance'!I5:I54,"No")</f>
        <v/>
      </c>
      <c r="D31" s="31" t="inlineStr">
        <is>
          <t>High</t>
        </is>
      </c>
      <c r="E31" s="31" t="inlineStr">
        <is>
          <t>Urgent</t>
        </is>
      </c>
      <c r="F31" s="31" t="n"/>
      <c r="G31" s="31" t="n"/>
    </row>
    <row r="32">
      <c r="A32" s="33" t="n"/>
      <c r="B32" s="33" t="n"/>
      <c r="C32" s="33" t="n"/>
      <c r="D32" s="33" t="n"/>
      <c r="E32" s="33" t="n"/>
      <c r="F32" s="33" t="n"/>
      <c r="G32" s="33" t="n"/>
    </row>
    <row r="33">
      <c r="A33" s="33" t="n"/>
      <c r="B33" s="33" t="n"/>
      <c r="C33" s="33" t="n"/>
      <c r="D33" s="33" t="n"/>
      <c r="E33" s="33" t="n"/>
      <c r="F33" s="33" t="n"/>
      <c r="G33" s="33" t="n"/>
    </row>
  </sheetData>
  <mergeCells count="5">
    <mergeCell ref="A1:G1"/>
    <mergeCell ref="A4:G4"/>
    <mergeCell ref="A24:G24"/>
    <mergeCell ref="A2:G2"/>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15" customWidth="1" min="4" max="4"/>
    <col width="30" customWidth="1" min="5" max="5"/>
  </cols>
  <sheetData>
    <row r="1" ht="35" customHeight="1">
      <c r="A1" s="34" t="inlineStr">
        <is>
          <t>ASSESSMENT APPROVAL AND SIGN-OFF</t>
        </is>
      </c>
      <c r="B1" s="6" t="n"/>
      <c r="C1" s="6" t="n"/>
      <c r="D1" s="6" t="n"/>
      <c r="E1" s="6" t="n"/>
    </row>
    <row r="2">
      <c r="A2" s="35" t="inlineStr">
        <is>
          <t>ISO/IEC 27001:2022 - Control A.7.13: Equipment Maintenance</t>
        </is>
      </c>
      <c r="B2" s="6" t="n"/>
      <c r="C2" s="6" t="n"/>
      <c r="D2" s="6" t="n"/>
      <c r="E2" s="6" t="n"/>
    </row>
    <row r="3">
      <c r="A3" s="36" t="inlineStr">
        <is>
          <t>ASSESSMENT SUMMARY</t>
        </is>
      </c>
      <c r="B3" s="6" t="n"/>
      <c r="C3" s="6" t="n"/>
      <c r="D3" s="6" t="n"/>
      <c r="E3" s="6" t="n"/>
    </row>
    <row r="4">
      <c r="A4" s="37" t="inlineStr">
        <is>
          <t>Document:</t>
        </is>
      </c>
      <c r="B4" s="6" t="inlineStr">
        <is>
          <t>ISMS-IMP-A.7.12-13.S2 - Equipment Maintenance Assessment</t>
        </is>
      </c>
      <c r="C4" s="6" t="n"/>
      <c r="D4" s="6" t="n"/>
      <c r="E4" s="6" t="n"/>
    </row>
    <row r="5">
      <c r="A5" s="37" t="inlineStr">
        <is>
          <t>Assessment Period:</t>
        </is>
      </c>
      <c r="B5" s="16" t="inlineStr"/>
      <c r="C5" s="6" t="n"/>
      <c r="D5" s="6" t="n"/>
      <c r="E5" s="6" t="n"/>
    </row>
    <row r="6">
      <c r="A6" s="37" t="inlineStr">
        <is>
          <t>Overall Compliance Rating:</t>
        </is>
      </c>
      <c r="B6" s="38">
        <f>IFERROR(AVERAGE('Summary Dashboard'!G6:G8),"")</f>
        <v/>
      </c>
      <c r="C6" s="6" t="n"/>
      <c r="D6" s="6" t="n"/>
      <c r="E6" s="6" t="n"/>
    </row>
    <row r="7">
      <c r="A7" s="37" t="inlineStr">
        <is>
          <t>Assessment Status:</t>
        </is>
      </c>
      <c r="B7" s="16" t="inlineStr"/>
      <c r="C7" s="6" t="n"/>
      <c r="D7" s="6" t="n"/>
      <c r="E7" s="6" t="n"/>
    </row>
    <row r="8">
      <c r="A8" s="37" t="inlineStr">
        <is>
          <t>Assessed By:</t>
        </is>
      </c>
      <c r="B8" s="16" t="inlineStr"/>
      <c r="C8" s="6" t="n"/>
      <c r="D8" s="6" t="n"/>
      <c r="E8" s="6" t="n"/>
    </row>
    <row r="10">
      <c r="A10" s="39" t="inlineStr">
        <is>
          <t>COMPLETED BY</t>
        </is>
      </c>
      <c r="B10" s="6" t="n"/>
      <c r="C10" s="6" t="n"/>
      <c r="D10" s="6" t="n"/>
      <c r="E10" s="6" t="n"/>
    </row>
    <row r="11">
      <c r="A11" s="37" t="inlineStr">
        <is>
          <t>Assessor Name</t>
        </is>
      </c>
      <c r="B11" s="16" t="n"/>
      <c r="C11" s="6" t="n"/>
      <c r="D11" s="6" t="n"/>
      <c r="E11" s="6" t="n"/>
    </row>
    <row r="12">
      <c r="A12" s="37" t="inlineStr">
        <is>
          <t>Role / Title</t>
        </is>
      </c>
      <c r="B12" s="16" t="n"/>
      <c r="C12" s="6" t="n"/>
      <c r="D12" s="6" t="n"/>
      <c r="E12" s="6" t="n"/>
    </row>
    <row r="13">
      <c r="A13" s="37" t="inlineStr">
        <is>
          <t>Department</t>
        </is>
      </c>
      <c r="B13" s="16" t="n"/>
      <c r="C13" s="6" t="n"/>
      <c r="D13" s="6" t="n"/>
      <c r="E13" s="6" t="n"/>
    </row>
    <row r="14">
      <c r="A14" s="37" t="inlineStr">
        <is>
          <t>Date Completed</t>
        </is>
      </c>
      <c r="B14" s="16" t="n"/>
      <c r="C14" s="6" t="n"/>
      <c r="D14" s="6" t="n"/>
      <c r="E14" s="6" t="n"/>
    </row>
    <row r="15">
      <c r="A15" s="37" t="inlineStr">
        <is>
          <t>Signature</t>
        </is>
      </c>
      <c r="B15" s="16" t="n"/>
      <c r="C15" s="6" t="n"/>
      <c r="D15" s="6" t="n"/>
      <c r="E15" s="6" t="n"/>
    </row>
    <row r="17">
      <c r="A17" s="39" t="inlineStr">
        <is>
          <t>REVIEWED BY</t>
        </is>
      </c>
      <c r="B17" s="6" t="n"/>
      <c r="C17" s="6" t="n"/>
      <c r="D17" s="6" t="n"/>
      <c r="E17" s="6" t="n"/>
    </row>
    <row r="18">
      <c r="A18" s="37" t="inlineStr">
        <is>
          <t>Reviewer Name</t>
        </is>
      </c>
      <c r="B18" s="16" t="n"/>
      <c r="C18" s="6" t="n"/>
      <c r="D18" s="6" t="n"/>
      <c r="E18" s="6" t="n"/>
    </row>
    <row r="19">
      <c r="A19" s="37" t="inlineStr">
        <is>
          <t>Role / Title</t>
        </is>
      </c>
      <c r="B19" s="16" t="n"/>
      <c r="C19" s="6" t="n"/>
      <c r="D19" s="6" t="n"/>
      <c r="E19" s="6" t="n"/>
    </row>
    <row r="20">
      <c r="A20" s="37" t="inlineStr">
        <is>
          <t>Department</t>
        </is>
      </c>
      <c r="B20" s="16" t="n"/>
      <c r="C20" s="6" t="n"/>
      <c r="D20" s="6" t="n"/>
      <c r="E20" s="6" t="n"/>
    </row>
    <row r="21">
      <c r="A21" s="37" t="inlineStr">
        <is>
          <t>Date Reviewed</t>
        </is>
      </c>
      <c r="B21" s="16" t="n"/>
      <c r="C21" s="6" t="n"/>
      <c r="D21" s="6" t="n"/>
      <c r="E21" s="6" t="n"/>
    </row>
    <row r="22">
      <c r="A22" s="37" t="inlineStr">
        <is>
          <t>Signature</t>
        </is>
      </c>
      <c r="B22" s="16" t="n"/>
      <c r="C22" s="6" t="n"/>
      <c r="D22" s="6" t="n"/>
      <c r="E22" s="6" t="n"/>
    </row>
    <row r="24">
      <c r="A24" s="39" t="inlineStr">
        <is>
          <t>APPROVED BY</t>
        </is>
      </c>
      <c r="B24" s="6" t="n"/>
      <c r="C24" s="6" t="n"/>
      <c r="D24" s="6" t="n"/>
      <c r="E24" s="6" t="n"/>
    </row>
    <row r="25">
      <c r="A25" s="37" t="inlineStr">
        <is>
          <t>Approver Name</t>
        </is>
      </c>
      <c r="B25" s="16" t="n"/>
      <c r="C25" s="6" t="n"/>
      <c r="D25" s="6" t="n"/>
      <c r="E25" s="6" t="n"/>
    </row>
    <row r="26">
      <c r="A26" s="37" t="inlineStr">
        <is>
          <t>Role / Title</t>
        </is>
      </c>
      <c r="B26" s="16" t="n"/>
      <c r="C26" s="6" t="n"/>
      <c r="D26" s="6" t="n"/>
      <c r="E26" s="6" t="n"/>
    </row>
    <row r="27">
      <c r="A27" s="37" t="inlineStr">
        <is>
          <t>Department</t>
        </is>
      </c>
      <c r="B27" s="16" t="n"/>
      <c r="C27" s="6" t="n"/>
      <c r="D27" s="6" t="n"/>
      <c r="E27" s="6" t="n"/>
    </row>
    <row r="28">
      <c r="A28" s="37" t="inlineStr">
        <is>
          <t>Date Approved</t>
        </is>
      </c>
      <c r="B28" s="16" t="n"/>
      <c r="C28" s="6" t="n"/>
      <c r="D28" s="6" t="n"/>
      <c r="E28" s="6" t="n"/>
    </row>
    <row r="29">
      <c r="A29" s="37" t="inlineStr">
        <is>
          <t>Signature</t>
        </is>
      </c>
      <c r="B29" s="16" t="n"/>
      <c r="C29" s="6" t="n"/>
      <c r="D29" s="6" t="n"/>
      <c r="E29" s="6" t="n"/>
    </row>
    <row r="31">
      <c r="A31" s="40" t="inlineStr">
        <is>
          <t>FINAL DECISION</t>
        </is>
      </c>
      <c r="B31" s="6" t="n"/>
      <c r="C31" s="6" t="n"/>
      <c r="D31" s="6" t="n"/>
      <c r="E31" s="6" t="n"/>
    </row>
    <row r="32">
      <c r="A32" s="37" t="inlineStr">
        <is>
          <t>Decision</t>
        </is>
      </c>
      <c r="B32" s="16" t="n"/>
      <c r="C32" s="6" t="n"/>
      <c r="D32" s="6" t="n"/>
      <c r="E32" s="6" t="n"/>
    </row>
    <row r="33">
      <c r="A33" s="37" t="inlineStr">
        <is>
          <t>Decision Date</t>
        </is>
      </c>
      <c r="B33" s="16" t="n"/>
      <c r="C33" s="6" t="n"/>
      <c r="D33" s="6" t="n"/>
      <c r="E33" s="6" t="n"/>
    </row>
    <row r="34">
      <c r="A34" s="37" t="inlineStr">
        <is>
          <t>Next Assessment Date</t>
        </is>
      </c>
      <c r="B34" s="16" t="n"/>
      <c r="C34" s="6" t="n"/>
      <c r="D34" s="6" t="n"/>
      <c r="E34" s="6" t="n"/>
    </row>
    <row r="35">
      <c r="A35" s="37" t="inlineStr">
        <is>
          <t>Comments</t>
        </is>
      </c>
      <c r="B35" s="16" t="n"/>
      <c r="C35" s="6" t="n"/>
      <c r="D35" s="6" t="n"/>
      <c r="E35" s="6" t="n"/>
    </row>
    <row r="38">
      <c r="A38" s="39" t="inlineStr">
        <is>
          <t>NEXT REVIEW</t>
        </is>
      </c>
      <c r="B38" s="6" t="n"/>
      <c r="C38" s="6" t="n"/>
      <c r="D38" s="6" t="n"/>
      <c r="E38" s="6" t="n"/>
    </row>
    <row r="39">
      <c r="A39" s="37" t="inlineStr">
        <is>
          <t>Review Cycle</t>
        </is>
      </c>
      <c r="B39" s="16" t="n"/>
      <c r="C39" s="6" t="n"/>
      <c r="D39" s="6" t="n"/>
      <c r="E39" s="6" t="n"/>
    </row>
    <row r="40">
      <c r="A40" s="37" t="inlineStr">
        <is>
          <t>Next Review Date</t>
        </is>
      </c>
      <c r="B40" s="16" t="n"/>
      <c r="C40" s="6" t="n"/>
      <c r="D40" s="6" t="n"/>
      <c r="E40" s="6" t="n"/>
    </row>
    <row r="41">
      <c r="A41" s="37" t="inlineStr">
        <is>
          <t>Review Owner</t>
        </is>
      </c>
      <c r="B41" s="16" t="n"/>
      <c r="C41" s="6" t="n"/>
      <c r="D41" s="6" t="n"/>
      <c r="E41" s="6" t="n"/>
    </row>
    <row r="42">
      <c r="A42" s="37" t="inlineStr">
        <is>
          <t>Escalation Contact</t>
        </is>
      </c>
      <c r="B42" s="16" t="n"/>
      <c r="C42" s="6" t="n"/>
      <c r="D42" s="6" t="n"/>
      <c r="E42" s="6" t="n"/>
    </row>
  </sheetData>
  <mergeCells count="36">
    <mergeCell ref="B40:E40"/>
    <mergeCell ref="A24:E24"/>
    <mergeCell ref="B6:E6"/>
    <mergeCell ref="B15:E15"/>
    <mergeCell ref="B33:E33"/>
    <mergeCell ref="A1:E1"/>
    <mergeCell ref="B5:E5"/>
    <mergeCell ref="B20:E20"/>
    <mergeCell ref="B32:E32"/>
    <mergeCell ref="B26:E26"/>
    <mergeCell ref="B41:E41"/>
    <mergeCell ref="B35:E35"/>
    <mergeCell ref="B4:E4"/>
    <mergeCell ref="B7:E7"/>
    <mergeCell ref="B25:E25"/>
    <mergeCell ref="B22:E22"/>
    <mergeCell ref="A3:E3"/>
    <mergeCell ref="B18:E18"/>
    <mergeCell ref="B27:E27"/>
    <mergeCell ref="A2:E2"/>
    <mergeCell ref="B12:E12"/>
    <mergeCell ref="B21:E21"/>
    <mergeCell ref="B39:E39"/>
    <mergeCell ref="B11:E11"/>
    <mergeCell ref="B42:E42"/>
    <mergeCell ref="A17:E17"/>
    <mergeCell ref="B14:E14"/>
    <mergeCell ref="B8:E8"/>
    <mergeCell ref="A38:E38"/>
    <mergeCell ref="A10:E10"/>
    <mergeCell ref="B13:E13"/>
    <mergeCell ref="B29:E29"/>
    <mergeCell ref="B19:E19"/>
    <mergeCell ref="A31:E31"/>
    <mergeCell ref="B28:E28"/>
    <mergeCell ref="B34:E34"/>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ISMS-IMP-A.7.12-13.S2 — Equipment Maintenance Assessment</dc:title>
  <dc:description xmlns:dc="http://purl.org/dc/elements/1.1/">ISMS Implementation Workbook — ISMS-IMP-A.7.12-13.S2</dc:description>
  <dc:subject xmlns:dc="http://purl.org/dc/elements/1.1/">ISO/IEC 27001:2022 — Control A.7.13: Equipment Maintenance</dc:subject>
  <dcterms:created xmlns:dcterms="http://purl.org/dc/terms/" xmlns:xsi="http://www.w3.org/2001/XMLSchema-instance" xsi:type="dcterms:W3CDTF">2026-03-07T11:27:56Z</dcterms:created>
  <dcterms:modified xmlns:dcterms="http://purl.org/dc/terms/" xmlns:xsi="http://www.w3.org/2001/XMLSchema-instance" xsi:type="dcterms:W3CDTF">2026-03-07T11:27:56Z</dcterms:modified>
</cp:coreProperties>
</file>