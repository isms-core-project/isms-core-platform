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quipment Inventory" sheetId="2" state="visible" r:id="rId2"/>
    <sheet xmlns:r="http://schemas.openxmlformats.org/officeDocument/2006/relationships" name="Maintenance Programme" sheetId="3" state="visible" r:id="rId3"/>
    <sheet xmlns:r="http://schemas.openxmlformats.org/officeDocument/2006/relationships" name="Personnel &amp; Vendors" sheetId="4" state="visible" r:id="rId4"/>
    <sheet xmlns:r="http://schemas.openxmlformats.org/officeDocument/2006/relationships" name="Security During Maintenance" sheetId="5" state="visible" r:id="rId5"/>
    <sheet xmlns:r="http://schemas.openxmlformats.org/officeDocument/2006/relationships" name="Remote Maintenance" sheetId="6" state="visible" r:id="rId6"/>
    <sheet xmlns:r="http://schemas.openxmlformats.org/officeDocument/2006/relationships" name="Evidence Register" sheetId="7" state="visible" r:id="rId7"/>
    <sheet xmlns:r="http://schemas.openxmlformats.org/officeDocument/2006/relationships" name="Summary Dashboard" sheetId="8" state="visible" r:id="rId8"/>
    <sheet xmlns:r="http://schemas.openxmlformats.org/officeDocument/2006/relationships" name="Approval Sign-Off" sheetId="9" state="visible" r:id="rId9"/>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name val="Calibri"/>
      <color rgb="00003366"/>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
      <name val="Calibri"/>
      <b val="1"/>
      <color rgb="00000000"/>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3">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1" borderId="1" pivotButton="0" quotePrefix="0" xfId="0"/>
    <xf numFmtId="0" fontId="6" fillId="8" borderId="1" applyAlignment="1" pivotButton="0" quotePrefix="0" xfId="0">
      <alignment horizontal="center" vertical="center" wrapText="1"/>
    </xf>
    <xf numFmtId="0" fontId="7" fillId="10" borderId="1" applyAlignment="1" pivotButton="0" quotePrefix="0" xfId="0">
      <alignment horizontal="left" vertical="center" wrapText="1"/>
    </xf>
    <xf numFmtId="0" fontId="8" fillId="8"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xf>
    <xf numFmtId="0" fontId="10" fillId="8" borderId="2" pivotButton="0" quotePrefix="0" xfId="0"/>
    <xf numFmtId="0" fontId="11" fillId="9" borderId="2" applyAlignment="1" pivotButton="0" quotePrefix="0" xfId="0">
      <alignment horizontal="center" vertical="center" wrapText="1"/>
    </xf>
    <xf numFmtId="0" fontId="12" fillId="0" borderId="2" pivotButton="0" quotePrefix="0" xfId="0"/>
    <xf numFmtId="0" fontId="12" fillId="0" borderId="2" applyAlignment="1" pivotButton="0" quotePrefix="0" xfId="0">
      <alignment horizontal="center"/>
    </xf>
    <xf numFmtId="164" fontId="12" fillId="0" borderId="2" applyAlignment="1" pivotButton="0" quotePrefix="0" xfId="0">
      <alignment horizontal="center"/>
    </xf>
    <xf numFmtId="0" fontId="11" fillId="9" borderId="2" applyAlignment="1" pivotButton="0" quotePrefix="0" xfId="0">
      <alignment horizontal="left"/>
    </xf>
    <xf numFmtId="0" fontId="11" fillId="9" borderId="2" applyAlignment="1" pivotButton="0" quotePrefix="0" xfId="0">
      <alignment horizontal="center"/>
    </xf>
    <xf numFmtId="164" fontId="11" fillId="9" borderId="2" applyAlignment="1" pivotButton="0" quotePrefix="0" xfId="0">
      <alignment horizontal="center"/>
    </xf>
    <xf numFmtId="0" fontId="10" fillId="12" borderId="2" pivotButton="0" quotePrefix="0" xfId="0"/>
    <xf numFmtId="0" fontId="12" fillId="11" borderId="2" pivotButton="0" quotePrefix="0" xfId="0"/>
    <xf numFmtId="0" fontId="12" fillId="11" borderId="2" applyAlignment="1" pivotButton="0" quotePrefix="0" xfId="0">
      <alignment horizontal="center"/>
    </xf>
    <xf numFmtId="0" fontId="0" fillId="11" borderId="2" pivotButton="0" quotePrefix="0" xfId="0"/>
    <xf numFmtId="0" fontId="1" fillId="8" borderId="1" applyAlignment="1" pivotButton="0" quotePrefix="0" xfId="0">
      <alignment horizontal="center" vertical="center" wrapText="1"/>
    </xf>
    <xf numFmtId="0" fontId="9" fillId="0" borderId="1" applyAlignment="1" pivotButton="0" quotePrefix="0" xfId="0">
      <alignment horizontal="center" vertical="center"/>
    </xf>
    <xf numFmtId="0" fontId="13" fillId="13" borderId="1" pivotButton="0" quotePrefix="0" xfId="0"/>
    <xf numFmtId="0" fontId="4" fillId="0" borderId="1" pivotButton="0" quotePrefix="0" xfId="0"/>
    <xf numFmtId="164" fontId="0" fillId="0" borderId="1" pivotButton="0" quotePrefix="0" xfId="0"/>
    <xf numFmtId="0" fontId="13" fillId="13" borderId="1" applyAlignment="1" pivotButton="0" quotePrefix="0" xfId="0">
      <alignment horizontal="left" vertical="center"/>
    </xf>
    <xf numFmtId="0" fontId="1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ISMS-IMP-A.7.12-13.S2  -  Equipment Maintenance Assessment
ISO/IEC 27001:2022 - Control A.7.13: Equipment Maintenance</t>
        </is>
      </c>
    </row>
    <row r="3">
      <c r="A3" s="2" t="inlineStr">
        <is>
          <t>Document Information</t>
        </is>
      </c>
    </row>
    <row r="4">
      <c r="A4" s="3" t="inlineStr">
        <is>
          <t>Document ID</t>
        </is>
      </c>
      <c r="B4" t="inlineStr">
        <is>
          <t>ISMS-IMP-A.7.12-13.S2</t>
        </is>
      </c>
    </row>
    <row r="5">
      <c r="A5" s="3" t="inlineStr">
        <is>
          <t>Workbook Title</t>
        </is>
      </c>
      <c r="B5" t="inlineStr">
        <is>
          <t>Equipment Maintenance Assessment</t>
        </is>
      </c>
    </row>
    <row r="6">
      <c r="A6" s="3" t="inlineStr">
        <is>
          <t>Control Reference</t>
        </is>
      </c>
      <c r="B6" t="inlineStr">
        <is>
          <t>ISO/IEC 27001:2022 - Control A.7.13: Equipment Maintenance</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Sheet 2 (Equipment Inventory) — document all equipment in maintenance programme.</t>
        </is>
      </c>
    </row>
    <row r="14">
      <c r="A14" t="inlineStr">
        <is>
          <t>2. Complete Sheet 3 (Maintenance Programme) — assess programme compliance.</t>
        </is>
      </c>
    </row>
    <row r="15">
      <c r="A15" t="inlineStr">
        <is>
          <t>3. Complete Sheet 4 (Personnel &amp; Vendors) — document authorised personnel and vendors.</t>
        </is>
      </c>
    </row>
    <row r="16">
      <c r="A16" t="inlineStr">
        <is>
          <t>4. Complete Sheet 5 (Security During Maintenance) — assess security controls.</t>
        </is>
      </c>
    </row>
    <row r="17">
      <c r="A17" t="inlineStr">
        <is>
          <t>5. Complete Sheet 6 (Remote Maintenance) — audit remote access controls.</t>
        </is>
      </c>
    </row>
    <row r="18">
      <c r="A18" t="inlineStr">
        <is>
          <t>6. Review Sheet 7 (Summary Dashboard) — automated compliance scoring.</t>
        </is>
      </c>
    </row>
    <row r="19">
      <c r="A19" t="inlineStr">
        <is>
          <t>7. Complete Sheet 8 (Evidence Register) — document supporting evidence.</t>
        </is>
      </c>
    </row>
    <row r="20">
      <c r="A20" t="inlineStr">
        <is>
          <t>8. Obtain approvals in Sheet 9 (Approval Sign-Off).</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54"/>
  <sheetViews>
    <sheetView showGridLines="0" workbookViewId="0">
      <pane ySplit="3" topLeftCell="A4" activePane="bottomLeft" state="frozen"/>
      <selection pane="bottomLeft" activeCell="A1" sqref="A1"/>
    </sheetView>
  </sheetViews>
  <sheetFormatPr baseColWidth="8" defaultRowHeight="15"/>
  <cols>
    <col width="15" customWidth="1" min="1" max="1"/>
    <col width="18" customWidth="1" min="2" max="2"/>
    <col width="35" customWidth="1" min="3" max="3"/>
    <col width="25" customWidth="1" min="4" max="4"/>
    <col width="18" customWidth="1" min="5" max="5"/>
    <col width="20" customWidth="1" min="6" max="6"/>
    <col width="35" customWidth="1" min="7" max="7"/>
    <col width="18" customWidth="1" min="8" max="8"/>
    <col width="15" customWidth="1" min="9" max="9"/>
    <col width="18" customWidth="1" min="10" max="10"/>
    <col width="15" customWidth="1" min="11" max="11"/>
    <col width="15" customWidth="1" min="12" max="12"/>
    <col width="18" customWidth="1" min="13" max="13"/>
    <col width="40" customWidth="1" min="14" max="14"/>
  </cols>
  <sheetData>
    <row r="1" ht="35" customHeight="1">
      <c r="A1" s="11" t="inlineStr">
        <is>
          <t>EQUIPMENT INVENTORY</t>
        </is>
      </c>
    </row>
    <row r="2">
      <c r="A2" s="12" t="inlineStr">
        <is>
          <t>Policy Requirement: All equipment containing or supporting information processing should be included in the maintenance programme.</t>
        </is>
      </c>
    </row>
    <row r="3">
      <c r="A3" s="13" t="inlineStr">
        <is>
          <t>Equipment ID</t>
        </is>
      </c>
      <c r="B3" s="13" t="inlineStr">
        <is>
          <t>Equipment Type</t>
        </is>
      </c>
      <c r="C3" s="13" t="inlineStr">
        <is>
          <t>Equipment Description</t>
        </is>
      </c>
      <c r="D3" s="13" t="inlineStr">
        <is>
          <t>Location</t>
        </is>
      </c>
      <c r="E3" s="13" t="inlineStr">
        <is>
          <t>Criticality</t>
        </is>
      </c>
      <c r="F3" s="13" t="inlineStr">
        <is>
          <t>Manufacturer</t>
        </is>
      </c>
      <c r="G3" s="13" t="inlineStr">
        <is>
          <t>Manufacturer Requirement</t>
        </is>
      </c>
      <c r="H3" s="13" t="inlineStr">
        <is>
          <t>Maintenance Frequency</t>
        </is>
      </c>
      <c r="I3" s="13" t="inlineStr">
        <is>
          <t>Frequency Compliant</t>
        </is>
      </c>
      <c r="J3" s="13" t="inlineStr">
        <is>
          <t>In Maintenance Programme</t>
        </is>
      </c>
      <c r="K3" s="13" t="inlineStr">
        <is>
          <t>Last Maintenance</t>
        </is>
      </c>
      <c r="L3" s="13" t="inlineStr">
        <is>
          <t>Next Scheduled</t>
        </is>
      </c>
      <c r="M3" s="13" t="inlineStr">
        <is>
          <t>Compliance Status</t>
        </is>
      </c>
      <c r="N3" s="13" t="inlineStr">
        <is>
          <t>Notes</t>
        </is>
      </c>
    </row>
    <row r="4">
      <c r="A4" s="14" t="inlineStr">
        <is>
          <t>EQ-001</t>
        </is>
      </c>
      <c r="B4" s="14" t="inlineStr">
        <is>
          <t>Server</t>
        </is>
      </c>
      <c r="C4" s="14" t="inlineStr">
        <is>
          <t>[Primary Application Server]</t>
        </is>
      </c>
      <c r="D4" s="14" t="inlineStr">
        <is>
          <t>[Data Centre]</t>
        </is>
      </c>
      <c r="E4" s="14" t="inlineStr">
        <is>
          <t>Tier 1 - Critical</t>
        </is>
      </c>
      <c r="F4" s="14" t="inlineStr">
        <is>
          <t>[Manufacturer Name]</t>
        </is>
      </c>
      <c r="G4" s="14" t="inlineStr">
        <is>
          <t>Annual recommendation</t>
        </is>
      </c>
      <c r="H4" s="14" t="inlineStr">
        <is>
          <t>Annually</t>
        </is>
      </c>
      <c r="I4" s="14" t="inlineStr">
        <is>
          <t>Yes</t>
        </is>
      </c>
      <c r="J4" s="14" t="inlineStr">
        <is>
          <t>Yes</t>
        </is>
      </c>
      <c r="K4" s="14" t="inlineStr">
        <is>
          <t>[DD.MM.YYYY]</t>
        </is>
      </c>
      <c r="L4" s="14" t="inlineStr">
        <is>
          <t>[DD.MM.YYYY]</t>
        </is>
      </c>
      <c r="M4" s="14" t="inlineStr">
        <is>
          <t>✅ Compliant</t>
        </is>
      </c>
      <c r="N4" s="14" t="inlineStr"/>
    </row>
    <row r="5">
      <c r="A5" s="15" t="n"/>
      <c r="B5" s="15" t="n"/>
      <c r="C5" s="15" t="n"/>
      <c r="D5" s="15" t="n"/>
      <c r="E5" s="15" t="n"/>
      <c r="F5" s="15" t="n"/>
      <c r="G5" s="15" t="n"/>
      <c r="H5" s="15" t="n"/>
      <c r="I5" s="15" t="n"/>
      <c r="J5" s="15" t="n"/>
      <c r="K5" s="15" t="n"/>
      <c r="L5" s="15" t="n"/>
      <c r="M5" s="15" t="n"/>
      <c r="N5" s="15" t="n"/>
    </row>
    <row r="6">
      <c r="A6" s="15" t="n"/>
      <c r="B6" s="15" t="n"/>
      <c r="C6" s="15" t="n"/>
      <c r="D6" s="15" t="n"/>
      <c r="E6" s="15" t="n"/>
      <c r="F6" s="15" t="n"/>
      <c r="G6" s="15" t="n"/>
      <c r="H6" s="15" t="n"/>
      <c r="I6" s="15" t="n"/>
      <c r="J6" s="15" t="n"/>
      <c r="K6" s="15" t="n"/>
      <c r="L6" s="15" t="n"/>
      <c r="M6" s="15" t="n"/>
      <c r="N6" s="15" t="n"/>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sheetData>
  <mergeCells count="2">
    <mergeCell ref="A2:N2"/>
    <mergeCell ref="A1:N1"/>
  </mergeCells>
  <dataValidations count="6">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"Server,Network Device,Storage,UPS,HVAC,Generator,Security System,Other"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"Tier 1 - Critical,Tier 2 - Standard"</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"Monthly,Quarterly,Semi-annually,Annually"</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formula1>
    </dataValidation>
    <dataValidation sqref="J4 J5 J6 J7 J8 J9 J10 J11 J12 J13 J14 J15 J16 J17 J18 J19 J20 J21 J22 J23 J24 J25 J26 J27 J28 J29 J30 J31 J32 J33 J34 J35 J36 J37 J38 J39 J40 J41 J42 J43 J44 J45 J46 J47 J48 J49 J50 J51 J52 J53 J54" showDropDown="0" showInputMessage="0" showErrorMessage="0" allowBlank="1" type="list">
      <formula1>"Yes,No,Partial"</formula1>
    </dataValidation>
    <dataValidation sqref="M4 M5 M6 M7 M8 M9 M10 M11 M12 M13 M14 M15 M16 M17 M18 M19 M20 M21 M22 M23 M24 M25 M26 M27 M28 M29 M30 M31 M32 M33 M34 M35 M36 M37 M38 M39 M40 M41 M42 M43 M44 M45 M46 M47 M48 M49 M50 M51 M52 M53 M54" showDropDown="0" showInputMessage="0" showErrorMessage="0" allowBlank="1" type="list">
      <formula1>"✅ Compliant,⚠ Partial,❌ Non-Compliant,N/A"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55" customWidth="1" min="1" max="1"/>
    <col width="15" customWidth="1" min="2" max="2"/>
    <col width="25" customWidth="1" min="3" max="3"/>
    <col width="40" customWidth="1" min="4" max="4"/>
  </cols>
  <sheetData>
    <row r="1" ht="35" customHeight="1">
      <c r="A1" s="11" t="inlineStr">
        <is>
          <t>MAINTENANCE PROGRAMME ASSESSMENT</t>
        </is>
      </c>
    </row>
    <row r="2">
      <c r="A2" s="12" t="inlineStr">
        <is>
          <t>Policy Requirement: Establish and implement a maintenance programme following manufacturer recommendations as minimums; deviations require documented approval.</t>
        </is>
      </c>
    </row>
    <row r="3">
      <c r="A3" s="2" t="inlineStr">
        <is>
          <t>Programme Elements Assessment</t>
        </is>
      </c>
    </row>
    <row r="5">
      <c r="A5" s="13" t="inlineStr">
        <is>
          <t>Assessment Question</t>
        </is>
      </c>
      <c r="B5" s="13" t="inlineStr">
        <is>
          <t>Status</t>
        </is>
      </c>
      <c r="C5" s="13" t="inlineStr">
        <is>
          <t>Evidence Reference</t>
        </is>
      </c>
      <c r="D5" s="13" t="inlineStr">
        <is>
          <t>Notes</t>
        </is>
      </c>
    </row>
    <row r="6">
      <c r="A6" s="6" t="inlineStr">
        <is>
          <t>All equipment types included in maintenance programme?</t>
        </is>
      </c>
      <c r="B6" s="16" t="n"/>
      <c r="C6" s="16" t="n"/>
      <c r="D6" s="16" t="n"/>
    </row>
    <row r="7">
      <c r="A7" s="6" t="inlineStr">
        <is>
          <t>Maintenance schedules follow manufacturer recommendations?</t>
        </is>
      </c>
      <c r="B7" s="16" t="n"/>
      <c r="C7" s="16" t="n"/>
      <c r="D7" s="16" t="n"/>
    </row>
    <row r="8">
      <c r="A8" s="6" t="inlineStr">
        <is>
          <t>Critical equipment prioritised for preventive maintenance?</t>
        </is>
      </c>
      <c r="B8" s="16" t="n"/>
      <c r="C8" s="16" t="n"/>
      <c r="D8" s="16" t="n"/>
    </row>
    <row r="9">
      <c r="A9" s="6" t="inlineStr">
        <is>
          <t>Maintenance records maintained for all activities?</t>
        </is>
      </c>
      <c r="B9" s="16" t="n"/>
      <c r="C9" s="16" t="n"/>
      <c r="D9" s="16" t="n"/>
    </row>
    <row r="10">
      <c r="A10" s="6" t="inlineStr">
        <is>
          <t>Maintenance record retention meets policy (3+ years)?</t>
        </is>
      </c>
      <c r="B10" s="16" t="n"/>
      <c r="C10" s="16" t="n"/>
      <c r="D10" s="16" t="n"/>
    </row>
    <row r="11">
      <c r="A11" s="6" t="inlineStr">
        <is>
          <t>Records accessible for audit?</t>
        </is>
      </c>
      <c r="B11" s="16" t="n"/>
      <c r="C11" s="16" t="n"/>
      <c r="D11" s="16" t="n"/>
    </row>
    <row r="12">
      <c r="A12" s="6" t="inlineStr">
        <is>
          <t>Preventive maintenance occurring on schedule?</t>
        </is>
      </c>
      <c r="B12" s="16" t="n"/>
      <c r="C12" s="16" t="n"/>
      <c r="D12" s="16" t="n"/>
    </row>
    <row r="13">
      <c r="A13" s="6" t="inlineStr">
        <is>
          <t>Overdue maintenance tracked and escalated?</t>
        </is>
      </c>
      <c r="B13" s="16" t="n"/>
      <c r="C13" s="16" t="n"/>
      <c r="D13" s="16" t="n"/>
    </row>
  </sheetData>
  <mergeCells count="2">
    <mergeCell ref="A2:E2"/>
    <mergeCell ref="A1:E1"/>
  </mergeCells>
  <dataValidations count="8">
    <dataValidation sqref="B6" showDropDown="0" showInputMessage="0" showErrorMessage="0" allowBlank="1" type="list">
      <formula1>"Yes,Partial,No"</formula1>
    </dataValidation>
    <dataValidation sqref="B7" showDropDown="0" showInputMessage="0" showErrorMessage="0" allowBlank="1" type="list">
      <formula1>"Yes,Partial,No"</formula1>
    </dataValidation>
    <dataValidation sqref="B8" showDropDown="0" showInputMessage="0" showErrorMessage="0" allowBlank="1" type="list">
      <formula1>"Yes,No"</formula1>
    </dataValidation>
    <dataValidation sqref="B9" showDropDown="0" showInputMessage="0" showErrorMessage="0" allowBlank="1" type="list">
      <formula1>"Yes,Partial,No"</formula1>
    </dataValidation>
    <dataValidation sqref="B10" showDropDown="0" showInputMessage="0" showErrorMessage="0" allowBlank="1" type="list">
      <formula1>"Yes,No"</formula1>
    </dataValidation>
    <dataValidation sqref="B11" showDropDown="0" showInputMessage="0" showErrorMessage="0" allowBlank="1" type="list">
      <formula1>"Yes,Partial,No"</formula1>
    </dataValidation>
    <dataValidation sqref="B12" showDropDown="0" showInputMessage="0" showErrorMessage="0" allowBlank="1" type="list">
      <formula1>"Yes,Partial,No"</formula1>
    </dataValidation>
    <dataValidation sqref="B13" showDropDown="0" showInputMessage="0" showErrorMessage="0" allowBlank="1" type="list">
      <formula1>"Yes,Partial,No"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8" customWidth="1" min="1" max="1"/>
    <col width="30" customWidth="1" min="2" max="2"/>
    <col width="18" customWidth="1" min="3" max="3"/>
    <col width="30" customWidth="1" min="4" max="4"/>
    <col width="20" customWidth="1" min="5" max="5"/>
    <col width="22" customWidth="1" min="6" max="6"/>
    <col width="20" customWidth="1" min="7" max="7"/>
    <col width="12" customWidth="1" min="8" max="8"/>
    <col width="15" customWidth="1" min="9" max="9"/>
    <col width="15" customWidth="1" min="10" max="10"/>
    <col width="18" customWidth="1" min="11" max="11"/>
    <col width="40" customWidth="1" min="12" max="12"/>
  </cols>
  <sheetData>
    <row r="1" ht="35" customHeight="1">
      <c r="A1" s="11" t="inlineStr">
        <is>
          <t>PERSONNEL AND VENDORS</t>
        </is>
      </c>
    </row>
    <row r="2">
      <c r="A2" s="12" t="inlineStr">
        <is>
          <t>Policy Requirement: Only authorised personnel should perform maintenance; third-party maintenance should be contracted with approved providers.</t>
        </is>
      </c>
    </row>
    <row r="3">
      <c r="A3" s="13" t="inlineStr">
        <is>
          <t>Personnel/Vendor ID</t>
        </is>
      </c>
      <c r="B3" s="13" t="inlineStr">
        <is>
          <t>Name</t>
        </is>
      </c>
      <c r="C3" s="13" t="inlineStr">
        <is>
          <t>Type</t>
        </is>
      </c>
      <c r="D3" s="13" t="inlineStr">
        <is>
          <t>Equipment Types Authorised</t>
        </is>
      </c>
      <c r="E3" s="13" t="inlineStr">
        <is>
          <t>Verification Required</t>
        </is>
      </c>
      <c r="F3" s="13" t="inlineStr">
        <is>
          <t>Supervision Required</t>
        </is>
      </c>
      <c r="G3" s="13" t="inlineStr">
        <is>
          <t>Contract/Agreement</t>
        </is>
      </c>
      <c r="H3" s="13" t="inlineStr">
        <is>
          <t>NDA in Place</t>
        </is>
      </c>
      <c r="I3" s="13" t="inlineStr">
        <is>
          <t>Background Check</t>
        </is>
      </c>
      <c r="J3" s="13" t="inlineStr">
        <is>
          <t>Last Verified</t>
        </is>
      </c>
      <c r="K3" s="13" t="inlineStr">
        <is>
          <t>Compliance Status</t>
        </is>
      </c>
      <c r="L3" s="13" t="inlineStr">
        <is>
          <t>Notes</t>
        </is>
      </c>
    </row>
    <row r="4">
      <c r="A4" s="14" t="inlineStr">
        <is>
          <t>PV-001</t>
        </is>
      </c>
      <c r="B4" s="14" t="inlineStr">
        <is>
          <t>[Vendor Name]</t>
        </is>
      </c>
      <c r="C4" s="14" t="inlineStr">
        <is>
          <t>Third-Party Vendor</t>
        </is>
      </c>
      <c r="D4" s="14" t="inlineStr">
        <is>
          <t>Servers/Network</t>
        </is>
      </c>
      <c r="E4" s="14" t="inlineStr">
        <is>
          <t>Yes - Badge/ID</t>
        </is>
      </c>
      <c r="F4" s="14" t="inlineStr">
        <is>
          <t>Yes - Always</t>
        </is>
      </c>
      <c r="G4" s="14" t="inlineStr">
        <is>
          <t>[Contract Ref]</t>
        </is>
      </c>
      <c r="H4" s="14" t="inlineStr">
        <is>
          <t>Yes</t>
        </is>
      </c>
      <c r="I4" s="14" t="inlineStr">
        <is>
          <t>Yes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showDropDown="0" showInputMessage="0" showErrorMessage="0" allowBlank="1" type="list">
      <formula1>"Internal Staff,Third-Party Vendor,Contractor"</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Badge/ID,Yes - Escort,No"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Always,Yes - Sensitive Equipment,No"</formula1>
    </dataValidation>
    <dataValidation sqref="H4 H5 H6 H7 H8 H9 H10 H11 H12 H13 H14 H15 H16 H17 H18 H19 H20 H21 H22 H23 H24 H25 H26 H27 H28 H29 H30 H31 H32 H33 H34 H35 H36 H37 H38 H39 H40 H41 H42 H43 H44 H45 H46 H47 H48 H49 H50 H51 H52 H53 H54 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"Yes,No,N/A"</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2"/>
  <sheetViews>
    <sheetView showGridLines="0" workbookViewId="0">
      <selection activeCell="A1" sqref="A1"/>
    </sheetView>
  </sheetViews>
  <sheetFormatPr baseColWidth="8" defaultRowHeight="15"/>
  <cols>
    <col width="55" customWidth="1" min="1" max="1"/>
    <col width="18" customWidth="1" min="2" max="2"/>
    <col width="25" customWidth="1" min="3" max="3"/>
    <col width="40" customWidth="1" min="4" max="4"/>
  </cols>
  <sheetData>
    <row r="1" ht="35" customHeight="1">
      <c r="A1" s="11" t="inlineStr">
        <is>
          <t>SECURITY DURING MAINTENANCE</t>
        </is>
      </c>
    </row>
    <row r="2">
      <c r="A2" s="12" t="inlineStr">
        <is>
          <t>Policy Requirement: Sensitive data should be protected during maintenance; access should be time-limited, logged, and verified after completion.</t>
        </is>
      </c>
    </row>
    <row r="3">
      <c r="A3" s="2" t="inlineStr">
        <is>
          <t>Data Protection Assessment</t>
        </is>
      </c>
    </row>
    <row r="5">
      <c r="A5" s="13" t="inlineStr">
        <is>
          <t>Assessment Question</t>
        </is>
      </c>
      <c r="B5" s="13" t="inlineStr">
        <is>
          <t>Status</t>
        </is>
      </c>
      <c r="C5" s="13" t="inlineStr">
        <is>
          <t>Evidence Reference</t>
        </is>
      </c>
      <c r="D5" s="13" t="inlineStr">
        <is>
          <t>Notes</t>
        </is>
      </c>
    </row>
    <row r="6">
      <c r="A6" s="3" t="inlineStr">
        <is>
          <t>Data Protection</t>
        </is>
      </c>
    </row>
    <row r="7">
      <c r="A7" s="6" t="inlineStr">
        <is>
          <t>Sensitive data protected during maintenance?</t>
        </is>
      </c>
      <c r="B7" s="16" t="n"/>
      <c r="C7" s="16" t="n"/>
      <c r="D7" s="16" t="n"/>
    </row>
    <row r="8">
      <c r="A8" s="6" t="inlineStr">
        <is>
          <t>Equipment containing data kept on-premises where possible?</t>
        </is>
      </c>
      <c r="B8" s="16" t="n"/>
      <c r="C8" s="16" t="n"/>
      <c r="D8" s="16" t="n"/>
    </row>
    <row r="9">
      <c r="A9" s="6" t="inlineStr">
        <is>
          <t>Data erased before off-site maintenance?</t>
        </is>
      </c>
      <c r="B9" s="16" t="n"/>
      <c r="C9" s="16" t="n"/>
      <c r="D9" s="16" t="n"/>
    </row>
    <row r="10">
      <c r="A10" s="6" t="inlineStr">
        <is>
          <t>Maintenance personnel data access restricted?</t>
        </is>
      </c>
      <c r="B10" s="16" t="n"/>
      <c r="C10" s="16" t="n"/>
      <c r="D10" s="16" t="n"/>
    </row>
    <row r="12">
      <c r="A12" s="3" t="inlineStr">
        <is>
          <t>Access Controls</t>
        </is>
      </c>
    </row>
    <row r="13">
      <c r="A13" s="6" t="inlineStr">
        <is>
          <t>Maintenance access time-limited?</t>
        </is>
      </c>
      <c r="B13" s="16" t="n"/>
      <c r="C13" s="16" t="n"/>
      <c r="D13" s="16" t="n"/>
    </row>
    <row r="14">
      <c r="A14" s="6" t="inlineStr">
        <is>
          <t>Access logged (who, what, when, why)?</t>
        </is>
      </c>
      <c r="B14" s="16" t="n"/>
      <c r="C14" s="16" t="n"/>
      <c r="D14" s="16" t="n"/>
    </row>
    <row r="15">
      <c r="A15" s="6" t="inlineStr">
        <is>
          <t>Tools and equipment accounted for after maintenance?</t>
        </is>
      </c>
      <c r="B15" s="16" t="n"/>
      <c r="C15" s="16" t="n"/>
      <c r="D15" s="16" t="n"/>
    </row>
    <row r="16">
      <c r="A16" s="6" t="inlineStr">
        <is>
          <t>Physical inspection performed after maintenance?</t>
        </is>
      </c>
      <c r="B16" s="16" t="n"/>
      <c r="C16" s="16" t="n"/>
      <c r="D16" s="16" t="n"/>
    </row>
    <row r="18">
      <c r="A18" s="3" t="inlineStr">
        <is>
          <t>Equipment Removal</t>
        </is>
      </c>
    </row>
    <row r="19">
      <c r="A19" s="6" t="inlineStr">
        <is>
          <t>Removal authorisation required?</t>
        </is>
      </c>
      <c r="B19" s="16" t="n"/>
      <c r="C19" s="16" t="n"/>
      <c r="D19" s="16" t="n"/>
    </row>
    <row r="20">
      <c r="A20" s="6" t="inlineStr">
        <is>
          <t>Chain of custody documented?</t>
        </is>
      </c>
      <c r="B20" s="16" t="n"/>
      <c r="C20" s="16" t="n"/>
      <c r="D20" s="16" t="n"/>
    </row>
    <row r="21">
      <c r="A21" s="6" t="inlineStr">
        <is>
          <t>Equipment inspected on return?</t>
        </is>
      </c>
      <c r="B21" s="16" t="n"/>
      <c r="C21" s="16" t="n"/>
      <c r="D21" s="16" t="n"/>
    </row>
    <row r="22">
      <c r="A22" s="6" t="inlineStr">
        <is>
          <t>Return logged in asset management?</t>
        </is>
      </c>
      <c r="B22" s="16" t="n"/>
      <c r="C22" s="16" t="n"/>
      <c r="D22" s="16" t="n"/>
    </row>
  </sheetData>
  <mergeCells count="2">
    <mergeCell ref="A2:E2"/>
    <mergeCell ref="A1:E1"/>
  </mergeCells>
  <dataValidations count="12">
    <dataValidation sqref="B7" showDropDown="0" showInputMessage="0" showErrorMessage="0" allowBlank="1" type="list">
      <formula1>"Yes,Partial,No"</formula1>
    </dataValidation>
    <dataValidation sqref="B8" showDropDown="0" showInputMessage="0" showErrorMessage="0" allowBlank="1" type="list">
      <formula1>"Yes,Partial,No"</formula1>
    </dataValidation>
    <dataValidation sqref="B9" showDropDown="0" showInputMessage="0" showErrorMessage="0" allowBlank="1" type="list">
      <formula1>"Yes,Partial,No,N/A"</formula1>
    </dataValidation>
    <dataValidation sqref="B10" showDropDown="0" showInputMessage="0" showErrorMessage="0" allowBlank="1" type="list">
      <formula1>"Yes,No"</formula1>
    </dataValidation>
    <dataValidation sqref="B13" showDropDown="0" showInputMessage="0" showErrorMessage="0" allowBlank="1" type="list">
      <formula1>"Yes,No"</formula1>
    </dataValidation>
    <dataValidation sqref="B14" showDropDown="0" showInputMessage="0" showErrorMessage="0" allowBlank="1" type="list">
      <formula1>"Yes,Partial,No"</formula1>
    </dataValidation>
    <dataValidation sqref="B15" showDropDown="0" showInputMessage="0" showErrorMessage="0" allowBlank="1" type="list">
      <formula1>"Yes,No"</formula1>
    </dataValidation>
    <dataValidation sqref="B16" showDropDown="0" showInputMessage="0" showErrorMessage="0" allowBlank="1" type="list">
      <formula1>"Yes,Partial,No"</formula1>
    </dataValidation>
    <dataValidation sqref="B19" showDropDown="0" showInputMessage="0" showErrorMessage="0" allowBlank="1" type="list">
      <formula1>"Yes,No"</formula1>
    </dataValidation>
    <dataValidation sqref="B20" showDropDown="0" showInputMessage="0" showErrorMessage="0" allowBlank="1" type="list">
      <formula1>"Yes,Partial,No"</formula1>
    </dataValidation>
    <dataValidation sqref="B21" showDropDown="0" showInputMessage="0" showErrorMessage="0" allowBlank="1" type="list">
      <formula1>"Yes,No"</formula1>
    </dataValidation>
    <dataValidation sqref="B22"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54"/>
  <sheetViews>
    <sheetView showGridLines="0" workbookViewId="0">
      <pane ySplit="3" topLeftCell="A4" activePane="bottomLeft" state="frozen"/>
      <selection pane="bottomLeft" activeCell="A1" sqref="A1"/>
    </sheetView>
  </sheetViews>
  <sheetFormatPr baseColWidth="8" defaultRowHeight="15"/>
  <cols>
    <col width="12" customWidth="1" min="1" max="1"/>
    <col width="25" customWidth="1" min="2" max="2"/>
    <col width="25" customWidth="1" min="3" max="3"/>
    <col width="25" customWidth="1" min="4" max="4"/>
    <col width="18" customWidth="1" min="5" max="5"/>
    <col width="18" customWidth="1" min="6" max="6"/>
    <col width="18" customWidth="1" min="7" max="7"/>
    <col width="18" customWidth="1" min="8" max="8"/>
    <col width="22" customWidth="1" min="9" max="9"/>
    <col width="18" customWidth="1" min="10" max="10"/>
    <col width="18" customWidth="1" min="11" max="11"/>
    <col width="40" customWidth="1" min="12" max="12"/>
  </cols>
  <sheetData>
    <row r="1" ht="35" customHeight="1">
      <c r="A1" s="11" t="inlineStr">
        <is>
          <t>REMOTE MAINTENANCE</t>
        </is>
      </c>
    </row>
    <row r="2">
      <c r="A2" s="12" t="inlineStr">
        <is>
          <t>Policy Requirement: Remote maintenance should be authorised, documented, use secure connections, and be logged and monitored.</t>
        </is>
      </c>
    </row>
    <row r="3">
      <c r="A3" s="13" t="inlineStr">
        <is>
          <t>Access ID</t>
        </is>
      </c>
      <c r="B3" s="13" t="inlineStr">
        <is>
          <t>Access Type</t>
        </is>
      </c>
      <c r="C3" s="13" t="inlineStr">
        <is>
          <t>Provider/System</t>
        </is>
      </c>
      <c r="D3" s="13" t="inlineStr">
        <is>
          <t>Equipment Types</t>
        </is>
      </c>
      <c r="E3" s="13" t="inlineStr">
        <is>
          <t>Authorised</t>
        </is>
      </c>
      <c r="F3" s="13" t="inlineStr">
        <is>
          <t>Secure Connection</t>
        </is>
      </c>
      <c r="G3" s="13" t="inlineStr">
        <is>
          <t>Session Logged</t>
        </is>
      </c>
      <c r="H3" s="13" t="inlineStr">
        <is>
          <t>Session Monitored</t>
        </is>
      </c>
      <c r="I3" s="13" t="inlineStr">
        <is>
          <t>Disabled When Not Required</t>
        </is>
      </c>
      <c r="J3" s="13" t="inlineStr">
        <is>
          <t>Last Access Review</t>
        </is>
      </c>
      <c r="K3" s="13" t="inlineStr">
        <is>
          <t>Compliance Status</t>
        </is>
      </c>
      <c r="L3" s="13" t="inlineStr">
        <is>
          <t>Notes</t>
        </is>
      </c>
    </row>
    <row r="4">
      <c r="A4" s="14" t="inlineStr">
        <is>
          <t>RM-001</t>
        </is>
      </c>
      <c r="B4" s="14" t="inlineStr">
        <is>
          <t>Vendor Remote Support</t>
        </is>
      </c>
      <c r="C4" s="14" t="inlineStr">
        <is>
          <t>[Provider Name]</t>
        </is>
      </c>
      <c r="D4" s="14" t="inlineStr">
        <is>
          <t>Servers</t>
        </is>
      </c>
      <c r="E4" s="14" t="inlineStr">
        <is>
          <t>Yes - Pre-approved</t>
        </is>
      </c>
      <c r="F4" s="14" t="inlineStr">
        <is>
          <t>Yes - VPN</t>
        </is>
      </c>
      <c r="G4" s="14" t="inlineStr">
        <is>
          <t>Yes - Automated</t>
        </is>
      </c>
      <c r="H4" s="14" t="inlineStr">
        <is>
          <t>Yes - Recorded</t>
        </is>
      </c>
      <c r="I4" s="14" t="inlineStr">
        <is>
          <t>Yes - Always</t>
        </is>
      </c>
      <c r="J4" s="14" t="inlineStr">
        <is>
          <t>[DD.MM.YYYY]</t>
        </is>
      </c>
      <c r="K4" s="14" t="inlineStr">
        <is>
          <t>✅ Compliant</t>
        </is>
      </c>
      <c r="L4" s="14" t="inlineStr"/>
    </row>
    <row r="5">
      <c r="A5" s="15" t="n"/>
      <c r="B5" s="15" t="n"/>
      <c r="C5" s="15" t="n"/>
      <c r="D5" s="15" t="n"/>
      <c r="E5" s="15" t="n"/>
      <c r="F5" s="15" t="n"/>
      <c r="G5" s="15" t="n"/>
      <c r="H5" s="15" t="n"/>
      <c r="I5" s="15" t="n"/>
      <c r="J5" s="15" t="n"/>
      <c r="K5" s="15" t="n"/>
      <c r="L5" s="15" t="n"/>
    </row>
    <row r="6">
      <c r="A6" s="15" t="n"/>
      <c r="B6" s="15" t="n"/>
      <c r="C6" s="15" t="n"/>
      <c r="D6" s="15" t="n"/>
      <c r="E6" s="15" t="n"/>
      <c r="F6" s="15" t="n"/>
      <c r="G6" s="15" t="n"/>
      <c r="H6" s="15" t="n"/>
      <c r="I6" s="15" t="n"/>
      <c r="J6" s="15" t="n"/>
      <c r="K6" s="15" t="n"/>
      <c r="L6" s="15" t="n"/>
    </row>
    <row r="7">
      <c r="A7" s="15" t="n"/>
      <c r="B7" s="15" t="n"/>
      <c r="C7" s="15" t="n"/>
      <c r="D7" s="15" t="n"/>
      <c r="E7" s="15" t="n"/>
      <c r="F7" s="15" t="n"/>
      <c r="G7" s="15" t="n"/>
      <c r="H7" s="15" t="n"/>
      <c r="I7" s="15" t="n"/>
      <c r="J7" s="15" t="n"/>
      <c r="K7" s="15" t="n"/>
      <c r="L7" s="15" t="n"/>
    </row>
    <row r="8">
      <c r="A8" s="15" t="n"/>
      <c r="B8" s="15" t="n"/>
      <c r="C8" s="15" t="n"/>
      <c r="D8" s="15" t="n"/>
      <c r="E8" s="15" t="n"/>
      <c r="F8" s="15" t="n"/>
      <c r="G8" s="15" t="n"/>
      <c r="H8" s="15" t="n"/>
      <c r="I8" s="15" t="n"/>
      <c r="J8" s="15" t="n"/>
      <c r="K8" s="15" t="n"/>
      <c r="L8" s="15" t="n"/>
    </row>
    <row r="9">
      <c r="A9" s="15" t="n"/>
      <c r="B9" s="15" t="n"/>
      <c r="C9" s="15" t="n"/>
      <c r="D9" s="15" t="n"/>
      <c r="E9" s="15" t="n"/>
      <c r="F9" s="15" t="n"/>
      <c r="G9" s="15" t="n"/>
      <c r="H9" s="15" t="n"/>
      <c r="I9" s="15" t="n"/>
      <c r="J9" s="15" t="n"/>
      <c r="K9" s="15" t="n"/>
      <c r="L9" s="15" t="n"/>
    </row>
    <row r="10">
      <c r="A10" s="15" t="n"/>
      <c r="B10" s="15" t="n"/>
      <c r="C10" s="15" t="n"/>
      <c r="D10" s="15" t="n"/>
      <c r="E10" s="15" t="n"/>
      <c r="F10" s="15" t="n"/>
      <c r="G10" s="15" t="n"/>
      <c r="H10" s="15" t="n"/>
      <c r="I10" s="15" t="n"/>
      <c r="J10" s="15" t="n"/>
      <c r="K10" s="15" t="n"/>
      <c r="L10" s="15" t="n"/>
    </row>
    <row r="11">
      <c r="A11" s="15" t="n"/>
      <c r="B11" s="15" t="n"/>
      <c r="C11" s="15" t="n"/>
      <c r="D11" s="15" t="n"/>
      <c r="E11" s="15" t="n"/>
      <c r="F11" s="15" t="n"/>
      <c r="G11" s="15" t="n"/>
      <c r="H11" s="15" t="n"/>
      <c r="I11" s="15" t="n"/>
      <c r="J11" s="15" t="n"/>
      <c r="K11" s="15" t="n"/>
      <c r="L11" s="15" t="n"/>
    </row>
    <row r="12">
      <c r="A12" s="15" t="n"/>
      <c r="B12" s="15" t="n"/>
      <c r="C12" s="15" t="n"/>
      <c r="D12" s="15" t="n"/>
      <c r="E12" s="15" t="n"/>
      <c r="F12" s="15" t="n"/>
      <c r="G12" s="15" t="n"/>
      <c r="H12" s="15" t="n"/>
      <c r="I12" s="15" t="n"/>
      <c r="J12" s="15" t="n"/>
      <c r="K12" s="15" t="n"/>
      <c r="L12" s="15" t="n"/>
    </row>
    <row r="13">
      <c r="A13" s="15" t="n"/>
      <c r="B13" s="15" t="n"/>
      <c r="C13" s="15" t="n"/>
      <c r="D13" s="15" t="n"/>
      <c r="E13" s="15" t="n"/>
      <c r="F13" s="15" t="n"/>
      <c r="G13" s="15" t="n"/>
      <c r="H13" s="15" t="n"/>
      <c r="I13" s="15" t="n"/>
      <c r="J13" s="15" t="n"/>
      <c r="K13" s="15" t="n"/>
      <c r="L13" s="15" t="n"/>
    </row>
    <row r="14">
      <c r="A14" s="15" t="n"/>
      <c r="B14" s="15" t="n"/>
      <c r="C14" s="15" t="n"/>
      <c r="D14" s="15" t="n"/>
      <c r="E14" s="15" t="n"/>
      <c r="F14" s="15" t="n"/>
      <c r="G14" s="15" t="n"/>
      <c r="H14" s="15" t="n"/>
      <c r="I14" s="15" t="n"/>
      <c r="J14" s="15" t="n"/>
      <c r="K14" s="15" t="n"/>
      <c r="L14" s="15" t="n"/>
    </row>
    <row r="15">
      <c r="A15" s="15" t="n"/>
      <c r="B15" s="15" t="n"/>
      <c r="C15" s="15" t="n"/>
      <c r="D15" s="15" t="n"/>
      <c r="E15" s="15" t="n"/>
      <c r="F15" s="15" t="n"/>
      <c r="G15" s="15" t="n"/>
      <c r="H15" s="15" t="n"/>
      <c r="I15" s="15" t="n"/>
      <c r="J15" s="15" t="n"/>
      <c r="K15" s="15" t="n"/>
      <c r="L15" s="15" t="n"/>
    </row>
    <row r="16">
      <c r="A16" s="15" t="n"/>
      <c r="B16" s="15" t="n"/>
      <c r="C16" s="15" t="n"/>
      <c r="D16" s="15" t="n"/>
      <c r="E16" s="15" t="n"/>
      <c r="F16" s="15" t="n"/>
      <c r="G16" s="15" t="n"/>
      <c r="H16" s="15" t="n"/>
      <c r="I16" s="15" t="n"/>
      <c r="J16" s="15" t="n"/>
      <c r="K16" s="15" t="n"/>
      <c r="L16" s="15" t="n"/>
    </row>
    <row r="17">
      <c r="A17" s="15" t="n"/>
      <c r="B17" s="15" t="n"/>
      <c r="C17" s="15" t="n"/>
      <c r="D17" s="15" t="n"/>
      <c r="E17" s="15" t="n"/>
      <c r="F17" s="15" t="n"/>
      <c r="G17" s="15" t="n"/>
      <c r="H17" s="15" t="n"/>
      <c r="I17" s="15" t="n"/>
      <c r="J17" s="15" t="n"/>
      <c r="K17" s="15" t="n"/>
      <c r="L17" s="15" t="n"/>
    </row>
    <row r="18">
      <c r="A18" s="15" t="n"/>
      <c r="B18" s="15" t="n"/>
      <c r="C18" s="15" t="n"/>
      <c r="D18" s="15" t="n"/>
      <c r="E18" s="15" t="n"/>
      <c r="F18" s="15" t="n"/>
      <c r="G18" s="15" t="n"/>
      <c r="H18" s="15" t="n"/>
      <c r="I18" s="15" t="n"/>
      <c r="J18" s="15" t="n"/>
      <c r="K18" s="15" t="n"/>
      <c r="L18" s="15" t="n"/>
    </row>
    <row r="19">
      <c r="A19" s="15" t="n"/>
      <c r="B19" s="15" t="n"/>
      <c r="C19" s="15" t="n"/>
      <c r="D19" s="15" t="n"/>
      <c r="E19" s="15" t="n"/>
      <c r="F19" s="15" t="n"/>
      <c r="G19" s="15" t="n"/>
      <c r="H19" s="15" t="n"/>
      <c r="I19" s="15" t="n"/>
      <c r="J19" s="15" t="n"/>
      <c r="K19" s="15" t="n"/>
      <c r="L19" s="15" t="n"/>
    </row>
    <row r="20">
      <c r="A20" s="15" t="n"/>
      <c r="B20" s="15" t="n"/>
      <c r="C20" s="15" t="n"/>
      <c r="D20" s="15" t="n"/>
      <c r="E20" s="15" t="n"/>
      <c r="F20" s="15" t="n"/>
      <c r="G20" s="15" t="n"/>
      <c r="H20" s="15" t="n"/>
      <c r="I20" s="15" t="n"/>
      <c r="J20" s="15" t="n"/>
      <c r="K20" s="15" t="n"/>
      <c r="L20" s="15" t="n"/>
    </row>
    <row r="21">
      <c r="A21" s="15" t="n"/>
      <c r="B21" s="15" t="n"/>
      <c r="C21" s="15" t="n"/>
      <c r="D21" s="15" t="n"/>
      <c r="E21" s="15" t="n"/>
      <c r="F21" s="15" t="n"/>
      <c r="G21" s="15" t="n"/>
      <c r="H21" s="15" t="n"/>
      <c r="I21" s="15" t="n"/>
      <c r="J21" s="15" t="n"/>
      <c r="K21" s="15" t="n"/>
      <c r="L21" s="15" t="n"/>
    </row>
    <row r="22">
      <c r="A22" s="15" t="n"/>
      <c r="B22" s="15" t="n"/>
      <c r="C22" s="15" t="n"/>
      <c r="D22" s="15" t="n"/>
      <c r="E22" s="15" t="n"/>
      <c r="F22" s="15" t="n"/>
      <c r="G22" s="15" t="n"/>
      <c r="H22" s="15" t="n"/>
      <c r="I22" s="15" t="n"/>
      <c r="J22" s="15" t="n"/>
      <c r="K22" s="15" t="n"/>
      <c r="L22" s="15" t="n"/>
    </row>
    <row r="23">
      <c r="A23" s="15" t="n"/>
      <c r="B23" s="15" t="n"/>
      <c r="C23" s="15" t="n"/>
      <c r="D23" s="15" t="n"/>
      <c r="E23" s="15" t="n"/>
      <c r="F23" s="15" t="n"/>
      <c r="G23" s="15" t="n"/>
      <c r="H23" s="15" t="n"/>
      <c r="I23" s="15" t="n"/>
      <c r="J23" s="15" t="n"/>
      <c r="K23" s="15" t="n"/>
      <c r="L23" s="15" t="n"/>
    </row>
    <row r="24">
      <c r="A24" s="15" t="n"/>
      <c r="B24" s="15" t="n"/>
      <c r="C24" s="15" t="n"/>
      <c r="D24" s="15" t="n"/>
      <c r="E24" s="15" t="n"/>
      <c r="F24" s="15" t="n"/>
      <c r="G24" s="15" t="n"/>
      <c r="H24" s="15" t="n"/>
      <c r="I24" s="15" t="n"/>
      <c r="J24" s="15" t="n"/>
      <c r="K24" s="15" t="n"/>
      <c r="L24" s="15" t="n"/>
    </row>
    <row r="25">
      <c r="A25" s="15" t="n"/>
      <c r="B25" s="15" t="n"/>
      <c r="C25" s="15" t="n"/>
      <c r="D25" s="15" t="n"/>
      <c r="E25" s="15" t="n"/>
      <c r="F25" s="15" t="n"/>
      <c r="G25" s="15" t="n"/>
      <c r="H25" s="15" t="n"/>
      <c r="I25" s="15" t="n"/>
      <c r="J25" s="15" t="n"/>
      <c r="K25" s="15" t="n"/>
      <c r="L25" s="15" t="n"/>
    </row>
    <row r="26">
      <c r="A26" s="15" t="n"/>
      <c r="B26" s="15" t="n"/>
      <c r="C26" s="15" t="n"/>
      <c r="D26" s="15" t="n"/>
      <c r="E26" s="15" t="n"/>
      <c r="F26" s="15" t="n"/>
      <c r="G26" s="15" t="n"/>
      <c r="H26" s="15" t="n"/>
      <c r="I26" s="15" t="n"/>
      <c r="J26" s="15" t="n"/>
      <c r="K26" s="15" t="n"/>
      <c r="L26" s="15" t="n"/>
    </row>
    <row r="27">
      <c r="A27" s="15" t="n"/>
      <c r="B27" s="15" t="n"/>
      <c r="C27" s="15" t="n"/>
      <c r="D27" s="15" t="n"/>
      <c r="E27" s="15" t="n"/>
      <c r="F27" s="15" t="n"/>
      <c r="G27" s="15" t="n"/>
      <c r="H27" s="15" t="n"/>
      <c r="I27" s="15" t="n"/>
      <c r="J27" s="15" t="n"/>
      <c r="K27" s="15" t="n"/>
      <c r="L27" s="15" t="n"/>
    </row>
    <row r="28">
      <c r="A28" s="15" t="n"/>
      <c r="B28" s="15" t="n"/>
      <c r="C28" s="15" t="n"/>
      <c r="D28" s="15" t="n"/>
      <c r="E28" s="15" t="n"/>
      <c r="F28" s="15" t="n"/>
      <c r="G28" s="15" t="n"/>
      <c r="H28" s="15" t="n"/>
      <c r="I28" s="15" t="n"/>
      <c r="J28" s="15" t="n"/>
      <c r="K28" s="15" t="n"/>
      <c r="L28" s="15" t="n"/>
    </row>
    <row r="29">
      <c r="A29" s="15" t="n"/>
      <c r="B29" s="15" t="n"/>
      <c r="C29" s="15" t="n"/>
      <c r="D29" s="15" t="n"/>
      <c r="E29" s="15" t="n"/>
      <c r="F29" s="15" t="n"/>
      <c r="G29" s="15" t="n"/>
      <c r="H29" s="15" t="n"/>
      <c r="I29" s="15" t="n"/>
      <c r="J29" s="15" t="n"/>
      <c r="K29" s="15" t="n"/>
      <c r="L29" s="15" t="n"/>
    </row>
    <row r="30">
      <c r="A30" s="15" t="n"/>
      <c r="B30" s="15" t="n"/>
      <c r="C30" s="15" t="n"/>
      <c r="D30" s="15" t="n"/>
      <c r="E30" s="15" t="n"/>
      <c r="F30" s="15" t="n"/>
      <c r="G30" s="15" t="n"/>
      <c r="H30" s="15" t="n"/>
      <c r="I30" s="15" t="n"/>
      <c r="J30" s="15" t="n"/>
      <c r="K30" s="15" t="n"/>
      <c r="L30" s="15" t="n"/>
    </row>
    <row r="31">
      <c r="A31" s="15" t="n"/>
      <c r="B31" s="15" t="n"/>
      <c r="C31" s="15" t="n"/>
      <c r="D31" s="15" t="n"/>
      <c r="E31" s="15" t="n"/>
      <c r="F31" s="15" t="n"/>
      <c r="G31" s="15" t="n"/>
      <c r="H31" s="15" t="n"/>
      <c r="I31" s="15" t="n"/>
      <c r="J31" s="15" t="n"/>
      <c r="K31" s="15" t="n"/>
      <c r="L31" s="15" t="n"/>
    </row>
    <row r="32">
      <c r="A32" s="15" t="n"/>
      <c r="B32" s="15" t="n"/>
      <c r="C32" s="15" t="n"/>
      <c r="D32" s="15" t="n"/>
      <c r="E32" s="15" t="n"/>
      <c r="F32" s="15" t="n"/>
      <c r="G32" s="15" t="n"/>
      <c r="H32" s="15" t="n"/>
      <c r="I32" s="15" t="n"/>
      <c r="J32" s="15" t="n"/>
      <c r="K32" s="15" t="n"/>
      <c r="L32" s="15" t="n"/>
    </row>
    <row r="33">
      <c r="A33" s="15" t="n"/>
      <c r="B33" s="15" t="n"/>
      <c r="C33" s="15" t="n"/>
      <c r="D33" s="15" t="n"/>
      <c r="E33" s="15" t="n"/>
      <c r="F33" s="15" t="n"/>
      <c r="G33" s="15" t="n"/>
      <c r="H33" s="15" t="n"/>
      <c r="I33" s="15" t="n"/>
      <c r="J33" s="15" t="n"/>
      <c r="K33" s="15" t="n"/>
      <c r="L33" s="15" t="n"/>
    </row>
    <row r="34">
      <c r="A34" s="15" t="n"/>
      <c r="B34" s="15" t="n"/>
      <c r="C34" s="15" t="n"/>
      <c r="D34" s="15" t="n"/>
      <c r="E34" s="15" t="n"/>
      <c r="F34" s="15" t="n"/>
      <c r="G34" s="15" t="n"/>
      <c r="H34" s="15" t="n"/>
      <c r="I34" s="15" t="n"/>
      <c r="J34" s="15" t="n"/>
      <c r="K34" s="15" t="n"/>
      <c r="L34" s="15" t="n"/>
    </row>
    <row r="35">
      <c r="A35" s="15" t="n"/>
      <c r="B35" s="15" t="n"/>
      <c r="C35" s="15" t="n"/>
      <c r="D35" s="15" t="n"/>
      <c r="E35" s="15" t="n"/>
      <c r="F35" s="15" t="n"/>
      <c r="G35" s="15" t="n"/>
      <c r="H35" s="15" t="n"/>
      <c r="I35" s="15" t="n"/>
      <c r="J35" s="15" t="n"/>
      <c r="K35" s="15" t="n"/>
      <c r="L35" s="15" t="n"/>
    </row>
    <row r="36">
      <c r="A36" s="15" t="n"/>
      <c r="B36" s="15" t="n"/>
      <c r="C36" s="15" t="n"/>
      <c r="D36" s="15" t="n"/>
      <c r="E36" s="15" t="n"/>
      <c r="F36" s="15" t="n"/>
      <c r="G36" s="15" t="n"/>
      <c r="H36" s="15" t="n"/>
      <c r="I36" s="15" t="n"/>
      <c r="J36" s="15" t="n"/>
      <c r="K36" s="15" t="n"/>
      <c r="L36" s="15" t="n"/>
    </row>
    <row r="37">
      <c r="A37" s="15" t="n"/>
      <c r="B37" s="15" t="n"/>
      <c r="C37" s="15" t="n"/>
      <c r="D37" s="15" t="n"/>
      <c r="E37" s="15" t="n"/>
      <c r="F37" s="15" t="n"/>
      <c r="G37" s="15" t="n"/>
      <c r="H37" s="15" t="n"/>
      <c r="I37" s="15" t="n"/>
      <c r="J37" s="15" t="n"/>
      <c r="K37" s="15" t="n"/>
      <c r="L37" s="15" t="n"/>
    </row>
    <row r="38">
      <c r="A38" s="15" t="n"/>
      <c r="B38" s="15" t="n"/>
      <c r="C38" s="15" t="n"/>
      <c r="D38" s="15" t="n"/>
      <c r="E38" s="15" t="n"/>
      <c r="F38" s="15" t="n"/>
      <c r="G38" s="15" t="n"/>
      <c r="H38" s="15" t="n"/>
      <c r="I38" s="15" t="n"/>
      <c r="J38" s="15" t="n"/>
      <c r="K38" s="15" t="n"/>
      <c r="L38" s="15" t="n"/>
    </row>
    <row r="39">
      <c r="A39" s="15" t="n"/>
      <c r="B39" s="15" t="n"/>
      <c r="C39" s="15" t="n"/>
      <c r="D39" s="15" t="n"/>
      <c r="E39" s="15" t="n"/>
      <c r="F39" s="15" t="n"/>
      <c r="G39" s="15" t="n"/>
      <c r="H39" s="15" t="n"/>
      <c r="I39" s="15" t="n"/>
      <c r="J39" s="15" t="n"/>
      <c r="K39" s="15" t="n"/>
      <c r="L39" s="15" t="n"/>
    </row>
    <row r="40">
      <c r="A40" s="15" t="n"/>
      <c r="B40" s="15" t="n"/>
      <c r="C40" s="15" t="n"/>
      <c r="D40" s="15" t="n"/>
      <c r="E40" s="15" t="n"/>
      <c r="F40" s="15" t="n"/>
      <c r="G40" s="15" t="n"/>
      <c r="H40" s="15" t="n"/>
      <c r="I40" s="15" t="n"/>
      <c r="J40" s="15" t="n"/>
      <c r="K40" s="15" t="n"/>
      <c r="L40" s="15" t="n"/>
    </row>
    <row r="41">
      <c r="A41" s="15" t="n"/>
      <c r="B41" s="15" t="n"/>
      <c r="C41" s="15" t="n"/>
      <c r="D41" s="15" t="n"/>
      <c r="E41" s="15" t="n"/>
      <c r="F41" s="15" t="n"/>
      <c r="G41" s="15" t="n"/>
      <c r="H41" s="15" t="n"/>
      <c r="I41" s="15" t="n"/>
      <c r="J41" s="15" t="n"/>
      <c r="K41" s="15" t="n"/>
      <c r="L41" s="15" t="n"/>
    </row>
    <row r="42">
      <c r="A42" s="15" t="n"/>
      <c r="B42" s="15" t="n"/>
      <c r="C42" s="15" t="n"/>
      <c r="D42" s="15" t="n"/>
      <c r="E42" s="15" t="n"/>
      <c r="F42" s="15" t="n"/>
      <c r="G42" s="15" t="n"/>
      <c r="H42" s="15" t="n"/>
      <c r="I42" s="15" t="n"/>
      <c r="J42" s="15" t="n"/>
      <c r="K42" s="15" t="n"/>
      <c r="L42" s="15" t="n"/>
    </row>
    <row r="43">
      <c r="A43" s="15" t="n"/>
      <c r="B43" s="15" t="n"/>
      <c r="C43" s="15" t="n"/>
      <c r="D43" s="15" t="n"/>
      <c r="E43" s="15" t="n"/>
      <c r="F43" s="15" t="n"/>
      <c r="G43" s="15" t="n"/>
      <c r="H43" s="15" t="n"/>
      <c r="I43" s="15" t="n"/>
      <c r="J43" s="15" t="n"/>
      <c r="K43" s="15" t="n"/>
      <c r="L43" s="15" t="n"/>
    </row>
    <row r="44">
      <c r="A44" s="15" t="n"/>
      <c r="B44" s="15" t="n"/>
      <c r="C44" s="15" t="n"/>
      <c r="D44" s="15" t="n"/>
      <c r="E44" s="15" t="n"/>
      <c r="F44" s="15" t="n"/>
      <c r="G44" s="15" t="n"/>
      <c r="H44" s="15" t="n"/>
      <c r="I44" s="15" t="n"/>
      <c r="J44" s="15" t="n"/>
      <c r="K44" s="15" t="n"/>
      <c r="L44" s="15" t="n"/>
    </row>
    <row r="45">
      <c r="A45" s="15" t="n"/>
      <c r="B45" s="15" t="n"/>
      <c r="C45" s="15" t="n"/>
      <c r="D45" s="15" t="n"/>
      <c r="E45" s="15" t="n"/>
      <c r="F45" s="15" t="n"/>
      <c r="G45" s="15" t="n"/>
      <c r="H45" s="15" t="n"/>
      <c r="I45" s="15" t="n"/>
      <c r="J45" s="15" t="n"/>
      <c r="K45" s="15" t="n"/>
      <c r="L45" s="15" t="n"/>
    </row>
    <row r="46">
      <c r="A46" s="15" t="n"/>
      <c r="B46" s="15" t="n"/>
      <c r="C46" s="15" t="n"/>
      <c r="D46" s="15" t="n"/>
      <c r="E46" s="15" t="n"/>
      <c r="F46" s="15" t="n"/>
      <c r="G46" s="15" t="n"/>
      <c r="H46" s="15" t="n"/>
      <c r="I46" s="15" t="n"/>
      <c r="J46" s="15" t="n"/>
      <c r="K46" s="15" t="n"/>
      <c r="L46" s="15" t="n"/>
    </row>
    <row r="47">
      <c r="A47" s="15" t="n"/>
      <c r="B47" s="15" t="n"/>
      <c r="C47" s="15" t="n"/>
      <c r="D47" s="15" t="n"/>
      <c r="E47" s="15" t="n"/>
      <c r="F47" s="15" t="n"/>
      <c r="G47" s="15" t="n"/>
      <c r="H47" s="15" t="n"/>
      <c r="I47" s="15" t="n"/>
      <c r="J47" s="15" t="n"/>
      <c r="K47" s="15" t="n"/>
      <c r="L47" s="15" t="n"/>
    </row>
    <row r="48">
      <c r="A48" s="15" t="n"/>
      <c r="B48" s="15" t="n"/>
      <c r="C48" s="15" t="n"/>
      <c r="D48" s="15" t="n"/>
      <c r="E48" s="15" t="n"/>
      <c r="F48" s="15" t="n"/>
      <c r="G48" s="15" t="n"/>
      <c r="H48" s="15" t="n"/>
      <c r="I48" s="15" t="n"/>
      <c r="J48" s="15" t="n"/>
      <c r="K48" s="15" t="n"/>
      <c r="L48" s="15" t="n"/>
    </row>
    <row r="49">
      <c r="A49" s="15" t="n"/>
      <c r="B49" s="15" t="n"/>
      <c r="C49" s="15" t="n"/>
      <c r="D49" s="15" t="n"/>
      <c r="E49" s="15" t="n"/>
      <c r="F49" s="15" t="n"/>
      <c r="G49" s="15" t="n"/>
      <c r="H49" s="15" t="n"/>
      <c r="I49" s="15" t="n"/>
      <c r="J49" s="15" t="n"/>
      <c r="K49" s="15" t="n"/>
      <c r="L49" s="15" t="n"/>
    </row>
    <row r="50">
      <c r="A50" s="15" t="n"/>
      <c r="B50" s="15" t="n"/>
      <c r="C50" s="15" t="n"/>
      <c r="D50" s="15" t="n"/>
      <c r="E50" s="15" t="n"/>
      <c r="F50" s="15" t="n"/>
      <c r="G50" s="15" t="n"/>
      <c r="H50" s="15" t="n"/>
      <c r="I50" s="15" t="n"/>
      <c r="J50" s="15" t="n"/>
      <c r="K50" s="15" t="n"/>
      <c r="L50" s="15" t="n"/>
    </row>
    <row r="51">
      <c r="A51" s="15" t="n"/>
      <c r="B51" s="15" t="n"/>
      <c r="C51" s="15" t="n"/>
      <c r="D51" s="15" t="n"/>
      <c r="E51" s="15" t="n"/>
      <c r="F51" s="15" t="n"/>
      <c r="G51" s="15" t="n"/>
      <c r="H51" s="15" t="n"/>
      <c r="I51" s="15" t="n"/>
      <c r="J51" s="15" t="n"/>
      <c r="K51" s="15" t="n"/>
      <c r="L51" s="15" t="n"/>
    </row>
    <row r="52">
      <c r="A52" s="15" t="n"/>
      <c r="B52" s="15" t="n"/>
      <c r="C52" s="15" t="n"/>
      <c r="D52" s="15" t="n"/>
      <c r="E52" s="15" t="n"/>
      <c r="F52" s="15" t="n"/>
      <c r="G52" s="15" t="n"/>
      <c r="H52" s="15" t="n"/>
      <c r="I52" s="15" t="n"/>
      <c r="J52" s="15" t="n"/>
      <c r="K52" s="15" t="n"/>
      <c r="L52" s="15" t="n"/>
    </row>
    <row r="53">
      <c r="A53" s="15" t="n"/>
      <c r="B53" s="15" t="n"/>
      <c r="C53" s="15" t="n"/>
      <c r="D53" s="15" t="n"/>
      <c r="E53" s="15" t="n"/>
      <c r="F53" s="15" t="n"/>
      <c r="G53" s="15" t="n"/>
      <c r="H53" s="15" t="n"/>
      <c r="I53" s="15" t="n"/>
      <c r="J53" s="15" t="n"/>
      <c r="K53" s="15" t="n"/>
      <c r="L53" s="15" t="n"/>
    </row>
    <row r="54">
      <c r="A54" s="15" t="n"/>
      <c r="B54" s="15" t="n"/>
      <c r="C54" s="15" t="n"/>
      <c r="D54" s="15" t="n"/>
      <c r="E54" s="15" t="n"/>
      <c r="F54" s="15" t="n"/>
      <c r="G54" s="15" t="n"/>
      <c r="H54" s="15" t="n"/>
      <c r="I54" s="15" t="n"/>
      <c r="J54" s="15" t="n"/>
      <c r="K54" s="15" t="n"/>
      <c r="L54" s="15" t="n"/>
    </row>
  </sheetData>
  <mergeCells count="2">
    <mergeCell ref="A2:L2"/>
    <mergeCell ref="A1:L1"/>
  </mergeCells>
  <dataValidations count="7">
    <dataValidation sqref="B4 B5 B6 B7 B8 B9 B10 B11 B12 B13 B14 B15 B16 B17 B18 B19 B20 B21 B22 B23 B24 B25 B26 B27 B28 B29 B30 B31 B32 B33 B34 B35 B36 B37 B38 B39 B40 B41 B42 B43 B44 B45 B46 B47 B48 B49 B50 B51 B52 B53 B54" showDropDown="0" showInputMessage="0" showErrorMessage="0" allowBlank="1" type="list">
      <formula1>"Vendor Remote Support,Internal Remote Management,Cloud Management Portal"</formula1>
    </dataValidation>
    <dataValidation sqref="E4 E5 E6 E7 E8 E9 E10 E11 E12 E13 E14 E15 E16 E17 E18 E19 E20 E21 E22 E23 E24 E25 E26 E27 E28 E29 E30 E31 E32 E33 E34 E35 E36 E37 E38 E39 E40 E41 E42 E43 E44 E45 E46 E47 E48 E49 E50 E51 E52 E53 E54" showDropDown="0" showInputMessage="0" showErrorMessage="0" allowBlank="1" type="list">
      <formula1>"Yes - Pre-approved,Yes - On-demand,No"</formula1>
    </dataValidation>
    <dataValidation sqref="F4 F5 F6 F7 F8 F9 F10 F11 F12 F13 F14 F15 F16 F17 F18 F19 F20 F21 F22 F23 F24 F25 F26 F27 F28 F29 F30 F31 F32 F33 F34 F35 F36 F37 F38 F39 F40 F41 F42 F43 F44 F45 F46 F47 F48 F49 F50 F51 F52 F53 F54" showDropDown="0" showInputMessage="0" showErrorMessage="0" allowBlank="1" type="list">
      <formula1>"Yes - VPN,Yes - Encrypted,No"</formula1>
    </dataValidation>
    <dataValidation sqref="G4 G5 G6 G7 G8 G9 G10 G11 G12 G13 G14 G15 G16 G17 G18 G19 G20 G21 G22 G23 G24 G25 G26 G27 G28 G29 G30 G31 G32 G33 G34 G35 G36 G37 G38 G39 G40 G41 G42 G43 G44 G45 G46 G47 G48 G49 G50 G51 G52 G53 G54" showDropDown="0" showInputMessage="0" showErrorMessage="0" allowBlank="1" type="list">
      <formula1>"Yes - Automated,Yes - Manual,No"</formula1>
    </dataValidation>
    <dataValidation sqref="H4 H5 H6 H7 H8 H9 H10 H11 H12 H13 H14 H15 H16 H17 H18 H19 H20 H21 H22 H23 H24 H25 H26 H27 H28 H29 H30 H31 H32 H33 H34 H35 H36 H37 H38 H39 H40 H41 H42 H43 H44 H45 H46 H47 H48 H49 H50 H51 H52 H53 H54" showDropDown="0" showInputMessage="0" showErrorMessage="0" allowBlank="1" type="list">
      <formula1>"Yes - Real-time,Yes - Recorded,No"</formula1>
    </dataValidation>
    <dataValidation sqref="I4 I5 I6 I7 I8 I9 I10 I11 I12 I13 I14 I15 I16 I17 I18 I19 I20 I21 I22 I23 I24 I25 I26 I27 I28 I29 I30 I31 I32 I33 I34 I35 I36 I37 I38 I39 I40 I41 I42 I43 I44 I45 I46 I47 I48 I49 I50 I51 I52 I53 I54" showDropDown="0" showInputMessage="0" showErrorMessage="0" allowBlank="1" type="list">
      <formula1>"Yes - Always,Yes - Usually,No"</formula1>
    </dataValidation>
    <dataValidation sqref="K4 K5 K6 K7 K8 K9 K10 K11 K12 K13 K14 K15 K16 K17 K18 K19 K20 K21 K22 K23 K24 K25 K26 K27 K28 K29 K30 K31 K32 K33 K34 K35 K36 K37 K38 K39 K40 K41 K42 K43 K44 K45 K46 K47 K48 K49 K50 K51 K52 K53 K54" showDropDown="0" showInputMessage="0" showErrorMessage="0" allowBlank="1" type="list">
      <formula1>"✅ Compliant,⚠ Partial,❌ Non-Compliant,N/A"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40" customWidth="1" min="3" max="3"/>
    <col width="25" customWidth="1" min="4" max="4"/>
    <col width="30" customWidth="1" min="5" max="5"/>
    <col width="45" customWidth="1" min="6" max="6"/>
    <col width="15" customWidth="1" min="7" max="7"/>
    <col width="20" customWidth="1" min="8" max="8"/>
  </cols>
  <sheetData>
    <row r="1" ht="35" customHeight="1">
      <c r="A1" s="11" t="inlineStr">
        <is>
          <t>EVIDENCE REGISTER</t>
        </is>
      </c>
    </row>
    <row r="2">
      <c r="A2" s="12" t="inlineStr">
        <is>
          <t>Document all supporting evidence for audit traceability and compliance verification.</t>
        </is>
      </c>
    </row>
    <row r="4">
      <c r="A4" s="17" t="inlineStr">
        <is>
          <t>Evidence ID</t>
        </is>
      </c>
      <c r="B4" s="17" t="inlineStr">
        <is>
          <t>Evidence Type</t>
        </is>
      </c>
      <c r="C4" s="17" t="inlineStr">
        <is>
          <t>Description</t>
        </is>
      </c>
      <c r="D4" s="17" t="inlineStr">
        <is>
          <t>Related Sheet / Item</t>
        </is>
      </c>
      <c r="E4" s="17" t="inlineStr">
        <is>
          <t>File Name</t>
        </is>
      </c>
      <c r="F4" s="17" t="inlineStr">
        <is>
          <t>File Location</t>
        </is>
      </c>
      <c r="G4" s="17" t="inlineStr">
        <is>
          <t>Collection Date</t>
        </is>
      </c>
      <c r="H4" s="17" t="inlineStr">
        <is>
          <t>Collected By</t>
        </is>
      </c>
    </row>
    <row r="5">
      <c r="A5" s="18" t="inlineStr">
        <is>
          <t>EV-001</t>
        </is>
      </c>
      <c r="B5" s="14" t="n"/>
      <c r="C5" s="14" t="n"/>
      <c r="D5" s="14" t="n"/>
      <c r="E5" s="14" t="n"/>
      <c r="F5" s="14" t="n"/>
      <c r="G5" s="14" t="n"/>
      <c r="H5" s="14" t="n"/>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showGridLines="0" workbookViewId="0">
      <pane ySplit="3" topLeftCell="A4" activePane="bottomLeft" state="frozen"/>
      <selection pane="bottomLeft" activeCell="A1" sqref="A1"/>
    </sheetView>
  </sheetViews>
  <sheetFormatPr baseColWidth="8" defaultRowHeight="15"/>
  <cols>
    <col width="40" customWidth="1" min="1" max="1"/>
    <col width="14" customWidth="1" min="2" max="2"/>
    <col width="14" customWidth="1" min="3" max="3"/>
    <col width="14" customWidth="1" min="4" max="4"/>
    <col width="16" customWidth="1" min="5" max="5"/>
    <col width="10" customWidth="1" min="6" max="6"/>
    <col width="14" customWidth="1" min="7" max="7"/>
  </cols>
  <sheetData>
    <row r="1" ht="35" customHeight="1">
      <c r="A1" s="19" t="inlineStr">
        <is>
          <t>EQUIPMENT MAINTENANCE — SUMMARY DASHBOARD</t>
        </is>
      </c>
      <c r="B1" s="20" t="n"/>
      <c r="C1" s="20" t="n"/>
      <c r="D1" s="20" t="n"/>
      <c r="E1" s="20" t="n"/>
      <c r="F1" s="20" t="n"/>
      <c r="G1" s="20" t="n"/>
    </row>
    <row r="2">
      <c r="A2" s="21" t="inlineStr">
        <is>
          <t>ISO/IEC 27001:2022 — Control A.7.13: Equipment Maintenance</t>
        </is>
      </c>
    </row>
    <row r="4">
      <c r="A4" s="22" t="inlineStr">
        <is>
          <t>TABLE 1: ASSESSMENT AREA COMPLIANCE OVERVIEW</t>
        </is>
      </c>
      <c r="B4" s="20" t="n"/>
      <c r="C4" s="20" t="n"/>
      <c r="D4" s="20" t="n"/>
      <c r="E4" s="20" t="n"/>
      <c r="F4" s="20" t="n"/>
      <c r="G4" s="20" t="n"/>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Equipment Inventory</t>
        </is>
      </c>
      <c r="B6" s="25">
        <f>COUNTA('Equipment Inventory'!B5:B54)</f>
        <v/>
      </c>
      <c r="C6" s="25">
        <f>COUNTIF('Equipment Inventory'!M5:M54,"✅*")</f>
        <v/>
      </c>
      <c r="D6" s="25">
        <f>COUNTIF('Equipment Inventory'!M5:M54,"⚠*")</f>
        <v/>
      </c>
      <c r="E6" s="25">
        <f>COUNTIF('Equipment Inventory'!M5:M54,"❌*")</f>
        <v/>
      </c>
      <c r="F6" s="25">
        <f>COUNTIF('Equipment Inventory'!M5:M54,"N/A")</f>
        <v/>
      </c>
      <c r="G6" s="26">
        <f>IF((B6-F6)=0,0,C6/(B6-F6))</f>
        <v/>
      </c>
    </row>
    <row r="7">
      <c r="A7" s="24" t="inlineStr">
        <is>
          <t>Personnel &amp; Vendors</t>
        </is>
      </c>
      <c r="B7" s="25">
        <f>COUNTA('Personnel &amp; Vendors'!B5:B54)</f>
        <v/>
      </c>
      <c r="C7" s="25">
        <f>COUNTIF('Personnel &amp; Vendors'!K5:K54,"✅*")</f>
        <v/>
      </c>
      <c r="D7" s="25">
        <f>COUNTIF('Personnel &amp; Vendors'!K5:K54,"⚠*")</f>
        <v/>
      </c>
      <c r="E7" s="25">
        <f>COUNTIF('Personnel &amp; Vendors'!K5:K54,"❌*")</f>
        <v/>
      </c>
      <c r="F7" s="25">
        <f>COUNTIF('Personnel &amp; Vendors'!K5:K54,"N/A")</f>
        <v/>
      </c>
      <c r="G7" s="26">
        <f>IF((B7-F7)=0,0,C7/(B7-F7))</f>
        <v/>
      </c>
    </row>
    <row r="8">
      <c r="A8" s="24" t="inlineStr">
        <is>
          <t>Remote Maintenance</t>
        </is>
      </c>
      <c r="B8" s="25">
        <f>COUNTA('Remote Maintenance'!B5:B54)</f>
        <v/>
      </c>
      <c r="C8" s="25">
        <f>COUNTIF('Remote Maintenance'!K5:K54,"✅*")</f>
        <v/>
      </c>
      <c r="D8" s="25">
        <f>COUNTIF('Remote Maintenance'!K5:K54,"⚠*")</f>
        <v/>
      </c>
      <c r="E8" s="25">
        <f>COUNTIF('Remote Maintenance'!K5:K54,"❌*")</f>
        <v/>
      </c>
      <c r="F8" s="25">
        <f>COUNTIF('Remote Maintenance'!K5:K54,"N/A")</f>
        <v/>
      </c>
      <c r="G8" s="26">
        <f>IF((B8-F8)=0,0,C8/(B8-F8))</f>
        <v/>
      </c>
    </row>
    <row r="9">
      <c r="A9" s="27" t="inlineStr">
        <is>
          <t>TOTAL</t>
        </is>
      </c>
      <c r="B9" s="28">
        <f>SUM(B6:B8)</f>
        <v/>
      </c>
      <c r="C9" s="28">
        <f>SUM(C6:C8)</f>
        <v/>
      </c>
      <c r="D9" s="28">
        <f>SUM(D6:D8)</f>
        <v/>
      </c>
      <c r="E9" s="28">
        <f>SUM(E6:E8)</f>
        <v/>
      </c>
      <c r="F9" s="28">
        <f>SUM(F6:F8)</f>
        <v/>
      </c>
      <c r="G9" s="29">
        <f>IF((B9-F9)=0,0,C9/(B9-F9))</f>
        <v/>
      </c>
    </row>
    <row r="11">
      <c r="A11" s="22" t="inlineStr">
        <is>
          <t>TABLE 2: KEY METRICS — EQUIPMENT MAINTENANCE CONTROLS</t>
        </is>
      </c>
      <c r="B11" s="20" t="n"/>
      <c r="C11" s="20" t="n"/>
      <c r="D11" s="20" t="n"/>
      <c r="E11" s="20" t="n"/>
      <c r="F11" s="20" t="n"/>
      <c r="G11" s="20" t="n"/>
    </row>
    <row r="12">
      <c r="A12" s="28" t="inlineStr">
        <is>
          <t>Metric</t>
        </is>
      </c>
      <c r="B12" s="28" t="inlineStr">
        <is>
          <t>Value</t>
        </is>
      </c>
      <c r="C12" s="28" t="n"/>
      <c r="D12" s="28" t="n"/>
      <c r="E12" s="28" t="n"/>
      <c r="F12" s="28" t="n"/>
      <c r="G12" s="28" t="n"/>
    </row>
    <row r="13">
      <c r="A13" s="24" t="inlineStr">
        <is>
          <t>Tier 1 (Critical) equipment registered</t>
        </is>
      </c>
      <c r="B13" s="25">
        <f>COUNTIF('Equipment Inventory'!E5:E54,"Tier 1*")</f>
        <v/>
      </c>
      <c r="C13" s="20" t="n"/>
      <c r="D13" s="20" t="n"/>
      <c r="E13" s="20" t="n"/>
      <c r="F13" s="20" t="n"/>
      <c r="G13" s="20" t="n"/>
    </row>
    <row r="14">
      <c r="A14" s="24" t="inlineStr">
        <is>
          <t>Tier 1 equipment in maintenance programme</t>
        </is>
      </c>
      <c r="B14" s="25">
        <f>COUNTIFS('Equipment Inventory'!E5:E54,"Tier 1*",'Equipment Inventory'!J5:J54,"Yes")</f>
        <v/>
      </c>
      <c r="C14" s="20" t="n"/>
      <c r="D14" s="20" t="n"/>
      <c r="E14" s="20" t="n"/>
      <c r="F14" s="20" t="n"/>
      <c r="G14" s="20" t="n"/>
    </row>
    <row r="15">
      <c r="A15" s="24" t="inlineStr">
        <is>
          <t>Equipment not in maintenance programme</t>
        </is>
      </c>
      <c r="B15" s="25">
        <f>COUNTIF('Equipment Inventory'!J5:J54,"No")</f>
        <v/>
      </c>
      <c r="C15" s="20" t="n"/>
      <c r="D15" s="20" t="n"/>
      <c r="E15" s="20" t="n"/>
      <c r="F15" s="20" t="n"/>
      <c r="G15" s="20" t="n"/>
    </row>
    <row r="16">
      <c r="A16" s="24" t="inlineStr">
        <is>
          <t>Vendor access without supervision (not always supervised)</t>
        </is>
      </c>
      <c r="B16" s="25">
        <f>COUNTIF('Personnel &amp; Vendors'!F5:F54,"No")</f>
        <v/>
      </c>
      <c r="C16" s="20" t="n"/>
      <c r="D16" s="20" t="n"/>
      <c r="E16" s="20" t="n"/>
      <c r="F16" s="20" t="n"/>
      <c r="G16" s="20" t="n"/>
    </row>
    <row r="17">
      <c r="A17" s="24" t="inlineStr">
        <is>
          <t>Vendor access sessions not logged</t>
        </is>
      </c>
      <c r="B17" s="25">
        <f>COUNTIF('Personnel &amp; Vendors'!I5:I54,"No")</f>
        <v/>
      </c>
      <c r="C17" s="20" t="n"/>
      <c r="D17" s="20" t="n"/>
      <c r="E17" s="20" t="n"/>
      <c r="F17" s="20" t="n"/>
      <c r="G17" s="20" t="n"/>
    </row>
    <row r="18">
      <c r="A18" s="24" t="inlineStr">
        <is>
          <t>Remote sessions without secure channel (VPN/encrypted)</t>
        </is>
      </c>
      <c r="B18" s="25">
        <f>COUNTIF('Remote Maintenance'!F5:F54,"No")</f>
        <v/>
      </c>
      <c r="C18" s="20" t="n"/>
      <c r="D18" s="20" t="n"/>
      <c r="E18" s="20" t="n"/>
      <c r="F18" s="20" t="n"/>
      <c r="G18" s="20" t="n"/>
    </row>
    <row r="19">
      <c r="A19" s="24" t="inlineStr">
        <is>
          <t>Remote sessions not logged</t>
        </is>
      </c>
      <c r="B19" s="25">
        <f>COUNTIF('Remote Maintenance'!G5:G54,"No")</f>
        <v/>
      </c>
      <c r="C19" s="20" t="n"/>
      <c r="D19" s="20" t="n"/>
      <c r="E19" s="20" t="n"/>
      <c r="F19" s="20" t="n"/>
      <c r="G19" s="20" t="n"/>
    </row>
    <row r="20">
      <c r="A20" s="24" t="inlineStr">
        <is>
          <t>Remote access not disabled when idle</t>
        </is>
      </c>
      <c r="B20" s="25">
        <f>COUNTIF('Remote Maintenance'!I5:I54,"No")</f>
        <v/>
      </c>
      <c r="C20" s="20" t="n"/>
      <c r="D20" s="20" t="n"/>
      <c r="E20" s="20" t="n"/>
      <c r="F20" s="20" t="n"/>
      <c r="G20" s="20" t="n"/>
    </row>
    <row r="21">
      <c r="A21" s="20" t="n"/>
      <c r="B21" s="20" t="n"/>
      <c r="C21" s="20" t="n"/>
      <c r="D21" s="20" t="n"/>
      <c r="E21" s="20" t="n"/>
      <c r="F21" s="20" t="n"/>
      <c r="G21" s="20" t="n"/>
    </row>
    <row r="22">
      <c r="A22" s="20" t="n"/>
      <c r="B22" s="20" t="n"/>
      <c r="C22" s="20" t="n"/>
      <c r="D22" s="20" t="n"/>
      <c r="E22" s="20" t="n"/>
      <c r="F22" s="20" t="n"/>
      <c r="G22" s="20" t="n"/>
    </row>
    <row r="24">
      <c r="A24" s="30" t="inlineStr">
        <is>
          <t>TABLE 3: CRITICAL FINDINGS REQUIRING IMMEDIATE ATTENTION</t>
        </is>
      </c>
      <c r="B24" s="20" t="n"/>
      <c r="C24" s="20" t="n"/>
      <c r="D24" s="20" t="n"/>
      <c r="E24" s="20" t="n"/>
      <c r="F24" s="20" t="n"/>
      <c r="G24" s="20" t="n"/>
    </row>
    <row r="25">
      <c r="A25" s="28" t="inlineStr">
        <is>
          <t>Category</t>
        </is>
      </c>
      <c r="B25" s="28" t="inlineStr">
        <is>
          <t>Finding</t>
        </is>
      </c>
      <c r="C25" s="28" t="inlineStr">
        <is>
          <t>Count</t>
        </is>
      </c>
      <c r="D25" s="28" t="inlineStr">
        <is>
          <t>Severity</t>
        </is>
      </c>
      <c r="E25" s="28" t="inlineStr">
        <is>
          <t>Action Required</t>
        </is>
      </c>
      <c r="F25" s="28" t="n"/>
      <c r="G25" s="28" t="n"/>
    </row>
    <row r="26">
      <c r="A26" s="31" t="inlineStr">
        <is>
          <t>Equipment Inventory</t>
        </is>
      </c>
      <c r="B26" s="31" t="inlineStr">
        <is>
          <t>Tier 1 critical equipment non-compliant</t>
        </is>
      </c>
      <c r="C26" s="32">
        <f>COUNTIFS('Equipment Inventory'!E5:E54,"Tier 1*",'Equipment Inventory'!M5:M54,"❌*")</f>
        <v/>
      </c>
      <c r="D26" s="31" t="inlineStr">
        <is>
          <t>Critical</t>
        </is>
      </c>
      <c r="E26" s="31" t="inlineStr">
        <is>
          <t>Immediate</t>
        </is>
      </c>
      <c r="F26" s="31" t="n"/>
      <c r="G26" s="31" t="n"/>
    </row>
    <row r="27">
      <c r="A27" s="31" t="inlineStr">
        <is>
          <t>Equipment Inventory</t>
        </is>
      </c>
      <c r="B27" s="31" t="inlineStr">
        <is>
          <t>Equipment not in maintenance programme</t>
        </is>
      </c>
      <c r="C27" s="32">
        <f>COUNTIF('Equipment Inventory'!J5:J54,"No")</f>
        <v/>
      </c>
      <c r="D27" s="31" t="inlineStr">
        <is>
          <t>Critical</t>
        </is>
      </c>
      <c r="E27" s="31" t="inlineStr">
        <is>
          <t>Immediate</t>
        </is>
      </c>
      <c r="F27" s="31" t="n"/>
      <c r="G27" s="31" t="n"/>
    </row>
    <row r="28">
      <c r="A28" s="31" t="inlineStr">
        <is>
          <t>Personnel &amp; Vendors</t>
        </is>
      </c>
      <c r="B28" s="31" t="inlineStr">
        <is>
          <t>Vendor access without supervision (not always supervised)</t>
        </is>
      </c>
      <c r="C28" s="32">
        <f>COUNTIF('Personnel &amp; Vendors'!F5:F54,"No")</f>
        <v/>
      </c>
      <c r="D28" s="31" t="inlineStr">
        <is>
          <t>High</t>
        </is>
      </c>
      <c r="E28" s="31" t="inlineStr">
        <is>
          <t>Urgent</t>
        </is>
      </c>
      <c r="F28" s="31" t="n"/>
      <c r="G28" s="31" t="n"/>
    </row>
    <row r="29">
      <c r="A29" s="31" t="inlineStr">
        <is>
          <t>Personnel &amp; Vendors</t>
        </is>
      </c>
      <c r="B29" s="31" t="inlineStr">
        <is>
          <t>Vendor access sessions not logged</t>
        </is>
      </c>
      <c r="C29" s="32">
        <f>COUNTIF('Personnel &amp; Vendors'!I5:I54,"No")</f>
        <v/>
      </c>
      <c r="D29" s="31" t="inlineStr">
        <is>
          <t>High</t>
        </is>
      </c>
      <c r="E29" s="31" t="inlineStr">
        <is>
          <t>Urgent</t>
        </is>
      </c>
      <c r="F29" s="31" t="n"/>
      <c r="G29" s="31" t="n"/>
    </row>
    <row r="30">
      <c r="A30" s="31" t="inlineStr">
        <is>
          <t>Remote Maintenance</t>
        </is>
      </c>
      <c r="B30" s="31" t="inlineStr">
        <is>
          <t>Remote access without secure channel (VPN/encrypted)</t>
        </is>
      </c>
      <c r="C30" s="32">
        <f>COUNTIF('Remote Maintenance'!F5:F54,"No")</f>
        <v/>
      </c>
      <c r="D30" s="31" t="inlineStr">
        <is>
          <t>Critical</t>
        </is>
      </c>
      <c r="E30" s="31" t="inlineStr">
        <is>
          <t>Immediate</t>
        </is>
      </c>
      <c r="F30" s="31" t="n"/>
      <c r="G30" s="31" t="n"/>
    </row>
    <row r="31">
      <c r="A31" s="31" t="inlineStr">
        <is>
          <t>Remote Maintenance</t>
        </is>
      </c>
      <c r="B31" s="31" t="inlineStr">
        <is>
          <t>Remote access not disabled when idle</t>
        </is>
      </c>
      <c r="C31" s="32">
        <f>COUNTIF('Remote Maintenance'!I5:I54,"No")</f>
        <v/>
      </c>
      <c r="D31" s="31" t="inlineStr">
        <is>
          <t>High</t>
        </is>
      </c>
      <c r="E31" s="31" t="inlineStr">
        <is>
          <t>Urgent</t>
        </is>
      </c>
      <c r="F31" s="31" t="n"/>
      <c r="G31" s="31" t="n"/>
    </row>
    <row r="32">
      <c r="A32" s="33" t="n"/>
      <c r="B32" s="33" t="n"/>
      <c r="C32" s="33" t="n"/>
      <c r="D32" s="33" t="n"/>
      <c r="E32" s="33" t="n"/>
      <c r="F32" s="33" t="n"/>
      <c r="G32" s="33" t="n"/>
    </row>
    <row r="33">
      <c r="A33" s="33" t="n"/>
      <c r="B33" s="33" t="n"/>
      <c r="C33" s="33" t="n"/>
      <c r="D33" s="33" t="n"/>
      <c r="E33" s="33" t="n"/>
      <c r="F33" s="33" t="n"/>
      <c r="G33" s="33" t="n"/>
    </row>
  </sheetData>
  <mergeCells count="5">
    <mergeCell ref="A1:G1"/>
    <mergeCell ref="A4:G4"/>
    <mergeCell ref="A24:G24"/>
    <mergeCell ref="A2:G2"/>
    <mergeCell ref="A11:G1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2"/>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15" customWidth="1" min="4" max="4"/>
    <col width="30" customWidth="1" min="5" max="5"/>
  </cols>
  <sheetData>
    <row r="1" ht="35" customHeight="1">
      <c r="A1" s="34" t="inlineStr">
        <is>
          <t>ASSESSMENT APPROVAL AND SIGN-OFF</t>
        </is>
      </c>
      <c r="B1" s="6" t="n"/>
      <c r="C1" s="6" t="n"/>
      <c r="D1" s="6" t="n"/>
      <c r="E1" s="6" t="n"/>
    </row>
    <row r="2">
      <c r="A2" s="35" t="inlineStr">
        <is>
          <t>ISO/IEC 27001:2022 - Control A.7.13: Equipment Maintenance</t>
        </is>
      </c>
      <c r="B2" s="6" t="n"/>
      <c r="C2" s="6" t="n"/>
      <c r="D2" s="6" t="n"/>
      <c r="E2" s="6" t="n"/>
    </row>
    <row r="3">
      <c r="A3" s="36" t="inlineStr">
        <is>
          <t>ASSESSMENT SUMMARY</t>
        </is>
      </c>
      <c r="B3" s="6" t="n"/>
      <c r="C3" s="6" t="n"/>
      <c r="D3" s="6" t="n"/>
      <c r="E3" s="6" t="n"/>
    </row>
    <row r="4">
      <c r="A4" s="37" t="inlineStr">
        <is>
          <t>Document:</t>
        </is>
      </c>
      <c r="B4" s="6" t="inlineStr">
        <is>
          <t>ISMS-IMP-A.7.12-13.S2 - Equipment Maintenance Assessment</t>
        </is>
      </c>
      <c r="C4" s="6" t="n"/>
      <c r="D4" s="6" t="n"/>
      <c r="E4" s="6" t="n"/>
    </row>
    <row r="5">
      <c r="A5" s="37" t="inlineStr">
        <is>
          <t>Assessment Period:</t>
        </is>
      </c>
      <c r="B5" s="16" t="inlineStr"/>
      <c r="C5" s="6" t="n"/>
      <c r="D5" s="6" t="n"/>
      <c r="E5" s="6" t="n"/>
    </row>
    <row r="6">
      <c r="A6" s="37" t="inlineStr">
        <is>
          <t>Overall Compliance Rating:</t>
        </is>
      </c>
      <c r="B6" s="38">
        <f>IFERROR(AVERAGE('Summary Dashboard'!G6:G8),"")</f>
        <v/>
      </c>
      <c r="C6" s="6" t="n"/>
      <c r="D6" s="6" t="n"/>
      <c r="E6" s="6" t="n"/>
    </row>
    <row r="7">
      <c r="A7" s="37" t="inlineStr">
        <is>
          <t>Assessment Status:</t>
        </is>
      </c>
      <c r="B7" s="16" t="inlineStr"/>
      <c r="C7" s="6" t="n"/>
      <c r="D7" s="6" t="n"/>
      <c r="E7" s="6" t="n"/>
    </row>
    <row r="8">
      <c r="A8" s="37" t="inlineStr">
        <is>
          <t>Assessed By:</t>
        </is>
      </c>
      <c r="B8" s="16" t="inlineStr"/>
      <c r="C8" s="6" t="n"/>
      <c r="D8" s="6" t="n"/>
      <c r="E8" s="6" t="n"/>
    </row>
    <row r="10">
      <c r="A10" s="39" t="inlineStr">
        <is>
          <t>COMPLETED BY</t>
        </is>
      </c>
      <c r="B10" s="6" t="n"/>
      <c r="C10" s="6" t="n"/>
      <c r="D10" s="6" t="n"/>
      <c r="E10" s="6" t="n"/>
    </row>
    <row r="11">
      <c r="A11" s="37" t="inlineStr">
        <is>
          <t>Assessor Name</t>
        </is>
      </c>
      <c r="B11" s="16" t="n"/>
      <c r="C11" s="6" t="n"/>
      <c r="D11" s="6" t="n"/>
      <c r="E11" s="6" t="n"/>
    </row>
    <row r="12">
      <c r="A12" s="37" t="inlineStr">
        <is>
          <t>Role / Title</t>
        </is>
      </c>
      <c r="B12" s="16" t="n"/>
      <c r="C12" s="6" t="n"/>
      <c r="D12" s="6" t="n"/>
      <c r="E12" s="6" t="n"/>
    </row>
    <row r="13">
      <c r="A13" s="37" t="inlineStr">
        <is>
          <t>Department</t>
        </is>
      </c>
      <c r="B13" s="16" t="n"/>
      <c r="C13" s="6" t="n"/>
      <c r="D13" s="6" t="n"/>
      <c r="E13" s="6" t="n"/>
    </row>
    <row r="14">
      <c r="A14" s="37" t="inlineStr">
        <is>
          <t>Date Completed</t>
        </is>
      </c>
      <c r="B14" s="16" t="n"/>
      <c r="C14" s="6" t="n"/>
      <c r="D14" s="6" t="n"/>
      <c r="E14" s="6" t="n"/>
    </row>
    <row r="15">
      <c r="A15" s="37" t="inlineStr">
        <is>
          <t>Signature</t>
        </is>
      </c>
      <c r="B15" s="16" t="n"/>
      <c r="C15" s="6" t="n"/>
      <c r="D15" s="6" t="n"/>
      <c r="E15" s="6" t="n"/>
    </row>
    <row r="17">
      <c r="A17" s="39" t="inlineStr">
        <is>
          <t>REVIEWED BY</t>
        </is>
      </c>
      <c r="B17" s="6" t="n"/>
      <c r="C17" s="6" t="n"/>
      <c r="D17" s="6" t="n"/>
      <c r="E17" s="6" t="n"/>
    </row>
    <row r="18">
      <c r="A18" s="37" t="inlineStr">
        <is>
          <t>Reviewer Name</t>
        </is>
      </c>
      <c r="B18" s="16" t="n"/>
      <c r="C18" s="6" t="n"/>
      <c r="D18" s="6" t="n"/>
      <c r="E18" s="6" t="n"/>
    </row>
    <row r="19">
      <c r="A19" s="37" t="inlineStr">
        <is>
          <t>Role / Title</t>
        </is>
      </c>
      <c r="B19" s="16" t="n"/>
      <c r="C19" s="6" t="n"/>
      <c r="D19" s="6" t="n"/>
      <c r="E19" s="6" t="n"/>
    </row>
    <row r="20">
      <c r="A20" s="37" t="inlineStr">
        <is>
          <t>Department</t>
        </is>
      </c>
      <c r="B20" s="16" t="n"/>
      <c r="C20" s="6" t="n"/>
      <c r="D20" s="6" t="n"/>
      <c r="E20" s="6" t="n"/>
    </row>
    <row r="21">
      <c r="A21" s="37" t="inlineStr">
        <is>
          <t>Date Reviewed</t>
        </is>
      </c>
      <c r="B21" s="16" t="n"/>
      <c r="C21" s="6" t="n"/>
      <c r="D21" s="6" t="n"/>
      <c r="E21" s="6" t="n"/>
    </row>
    <row r="22">
      <c r="A22" s="37" t="inlineStr">
        <is>
          <t>Signature</t>
        </is>
      </c>
      <c r="B22" s="16" t="n"/>
      <c r="C22" s="6" t="n"/>
      <c r="D22" s="6" t="n"/>
      <c r="E22" s="6" t="n"/>
    </row>
    <row r="24">
      <c r="A24" s="39" t="inlineStr">
        <is>
          <t>APPROVED BY</t>
        </is>
      </c>
      <c r="B24" s="6" t="n"/>
      <c r="C24" s="6" t="n"/>
      <c r="D24" s="6" t="n"/>
      <c r="E24" s="6" t="n"/>
    </row>
    <row r="25">
      <c r="A25" s="37" t="inlineStr">
        <is>
          <t>Approver Name</t>
        </is>
      </c>
      <c r="B25" s="16" t="n"/>
      <c r="C25" s="6" t="n"/>
      <c r="D25" s="6" t="n"/>
      <c r="E25" s="6" t="n"/>
    </row>
    <row r="26">
      <c r="A26" s="37" t="inlineStr">
        <is>
          <t>Role / Title</t>
        </is>
      </c>
      <c r="B26" s="16" t="n"/>
      <c r="C26" s="6" t="n"/>
      <c r="D26" s="6" t="n"/>
      <c r="E26" s="6" t="n"/>
    </row>
    <row r="27">
      <c r="A27" s="37" t="inlineStr">
        <is>
          <t>Department</t>
        </is>
      </c>
      <c r="B27" s="16" t="n"/>
      <c r="C27" s="6" t="n"/>
      <c r="D27" s="6" t="n"/>
      <c r="E27" s="6" t="n"/>
    </row>
    <row r="28">
      <c r="A28" s="37" t="inlineStr">
        <is>
          <t>Date Approved</t>
        </is>
      </c>
      <c r="B28" s="16" t="n"/>
      <c r="C28" s="6" t="n"/>
      <c r="D28" s="6" t="n"/>
      <c r="E28" s="6" t="n"/>
    </row>
    <row r="29">
      <c r="A29" s="37" t="inlineStr">
        <is>
          <t>Signature</t>
        </is>
      </c>
      <c r="B29" s="16" t="n"/>
      <c r="C29" s="6" t="n"/>
      <c r="D29" s="6" t="n"/>
      <c r="E29" s="6" t="n"/>
    </row>
    <row r="31">
      <c r="A31" s="40" t="inlineStr">
        <is>
          <t>FINAL DECISION</t>
        </is>
      </c>
      <c r="B31" s="6" t="n"/>
      <c r="C31" s="6" t="n"/>
      <c r="D31" s="6" t="n"/>
      <c r="E31" s="6" t="n"/>
    </row>
    <row r="32">
      <c r="A32" s="37" t="inlineStr">
        <is>
          <t>Decision</t>
        </is>
      </c>
      <c r="B32" s="16" t="n"/>
      <c r="C32" s="6" t="n"/>
      <c r="D32" s="6" t="n"/>
      <c r="E32" s="6" t="n"/>
    </row>
    <row r="33">
      <c r="A33" s="37" t="inlineStr">
        <is>
          <t>Decision Date</t>
        </is>
      </c>
      <c r="B33" s="16" t="n"/>
      <c r="C33" s="6" t="n"/>
      <c r="D33" s="6" t="n"/>
      <c r="E33" s="6" t="n"/>
    </row>
    <row r="34">
      <c r="A34" s="37" t="inlineStr">
        <is>
          <t>Next Assessment Date</t>
        </is>
      </c>
      <c r="B34" s="16" t="n"/>
      <c r="C34" s="6" t="n"/>
      <c r="D34" s="6" t="n"/>
      <c r="E34" s="6" t="n"/>
    </row>
    <row r="35">
      <c r="A35" s="37" t="inlineStr">
        <is>
          <t>Comments</t>
        </is>
      </c>
      <c r="B35" s="16" t="n"/>
      <c r="C35" s="6" t="n"/>
      <c r="D35" s="6" t="n"/>
      <c r="E35" s="6" t="n"/>
    </row>
    <row r="38">
      <c r="A38" s="39" t="inlineStr">
        <is>
          <t>NEXT REVIEW</t>
        </is>
      </c>
      <c r="B38" s="6" t="n"/>
      <c r="C38" s="6" t="n"/>
      <c r="D38" s="6" t="n"/>
      <c r="E38" s="6" t="n"/>
    </row>
    <row r="39">
      <c r="A39" s="37" t="inlineStr">
        <is>
          <t>Review Cycle</t>
        </is>
      </c>
      <c r="B39" s="16" t="n"/>
      <c r="C39" s="6" t="n"/>
      <c r="D39" s="6" t="n"/>
      <c r="E39" s="6" t="n"/>
    </row>
    <row r="40">
      <c r="A40" s="37" t="inlineStr">
        <is>
          <t>Next Review Date</t>
        </is>
      </c>
      <c r="B40" s="16" t="n"/>
      <c r="C40" s="6" t="n"/>
      <c r="D40" s="6" t="n"/>
      <c r="E40" s="6" t="n"/>
    </row>
    <row r="41">
      <c r="A41" s="37" t="inlineStr">
        <is>
          <t>Review Owner</t>
        </is>
      </c>
      <c r="B41" s="16" t="n"/>
      <c r="C41" s="6" t="n"/>
      <c r="D41" s="6" t="n"/>
      <c r="E41" s="6" t="n"/>
    </row>
    <row r="42">
      <c r="A42" s="37" t="inlineStr">
        <is>
          <t>Escalation Contact</t>
        </is>
      </c>
      <c r="B42" s="16" t="n"/>
      <c r="C42" s="6" t="n"/>
      <c r="D42" s="6" t="n"/>
      <c r="E42" s="6" t="n"/>
    </row>
  </sheetData>
  <mergeCells count="36">
    <mergeCell ref="B40:E40"/>
    <mergeCell ref="A24:E24"/>
    <mergeCell ref="B6:E6"/>
    <mergeCell ref="B15:E15"/>
    <mergeCell ref="B33:E33"/>
    <mergeCell ref="A1:E1"/>
    <mergeCell ref="B5:E5"/>
    <mergeCell ref="B20:E20"/>
    <mergeCell ref="B32:E32"/>
    <mergeCell ref="B26:E26"/>
    <mergeCell ref="B41:E41"/>
    <mergeCell ref="B35:E35"/>
    <mergeCell ref="B4:E4"/>
    <mergeCell ref="B7:E7"/>
    <mergeCell ref="B25:E25"/>
    <mergeCell ref="B22:E22"/>
    <mergeCell ref="A3:E3"/>
    <mergeCell ref="B18:E18"/>
    <mergeCell ref="B27:E27"/>
    <mergeCell ref="A2:E2"/>
    <mergeCell ref="B12:E12"/>
    <mergeCell ref="B21:E21"/>
    <mergeCell ref="B39:E39"/>
    <mergeCell ref="B11:E11"/>
    <mergeCell ref="B42:E42"/>
    <mergeCell ref="A17:E17"/>
    <mergeCell ref="B14:E14"/>
    <mergeCell ref="B8:E8"/>
    <mergeCell ref="A38:E38"/>
    <mergeCell ref="A10:E10"/>
    <mergeCell ref="B13:E13"/>
    <mergeCell ref="B29:E29"/>
    <mergeCell ref="B19:E19"/>
    <mergeCell ref="A31:E31"/>
    <mergeCell ref="B28:E28"/>
    <mergeCell ref="B34:E34"/>
  </mergeCells>
  <dataValidations count="1">
    <dataValidation sqref="B7" showDropDown="0" showInputMessage="0" showErrorMessage="0" allowBlank="1" type="list">
      <formula1>"Draft,Final,Requires remediation,Re-assessment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ISMS-IMP-A.7.12-13.S2 — Equipment Maintenance Assessment</dc:title>
  <dc:description xmlns:dc="http://purl.org/dc/elements/1.1/">ISMS Implementation Workbook — ISMS-IMP-A.7.12-13.S2</dc:description>
  <dc:subject xmlns:dc="http://purl.org/dc/elements/1.1/">ISO/IEC 27001:2022 — Control A.7.13: Equipment Maintenance</dc:subject>
  <dcterms:created xmlns:dcterms="http://purl.org/dc/terms/" xmlns:xsi="http://www.w3.org/2001/XMLSchema-instance" xsi:type="dcterms:W3CDTF">2026-03-01T10:00:36Z</dcterms:created>
  <dcterms:modified xmlns:dcterms="http://purl.org/dc/terms/" xmlns:xsi="http://www.w3.org/2001/XMLSchema-instance" xsi:type="dcterms:W3CDTF">2026-03-01T10:00:36Z</dcterms:modified>
</cp:coreProperties>
</file>