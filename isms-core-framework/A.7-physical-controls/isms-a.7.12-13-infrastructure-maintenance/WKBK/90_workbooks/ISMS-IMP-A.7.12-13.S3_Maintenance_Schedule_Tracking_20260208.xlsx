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quipment Schedule" sheetId="2" state="visible" r:id="rId2"/>
    <sheet xmlns:r="http://schemas.openxmlformats.org/officeDocument/2006/relationships" name="Overdue Tracking" sheetId="3" state="visible" r:id="rId3"/>
    <sheet xmlns:r="http://schemas.openxmlformats.org/officeDocument/2006/relationships" name="Upcoming Maintenance" sheetId="4" state="visible" r:id="rId4"/>
    <sheet xmlns:r="http://schemas.openxmlformats.org/officeDocument/2006/relationships" name="Dashboard" sheetId="5" state="visible" r:id="rId5"/>
    <sheet xmlns:r="http://schemas.openxmlformats.org/officeDocument/2006/relationships" name="Maintenance Log" sheetId="6" state="visible" r:id="rId6"/>
    <sheet xmlns:r="http://schemas.openxmlformats.org/officeDocument/2006/relationships" name="Evidence Register"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font>
    <font>
      <name val="Calibri"/>
      <color rgb="00808080"/>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3" borderId="1" applyAlignment="1" pivotButton="0" quotePrefix="0" xfId="0">
      <alignment horizontal="left" vertical="center" wrapText="1"/>
    </xf>
    <xf numFmtId="0" fontId="5" fillId="0" borderId="0" pivotButton="0" quotePrefix="0" xfId="0"/>
    <xf numFmtId="0" fontId="2" fillId="5" borderId="0" pivotButton="0" quotePrefix="0" xfId="0"/>
    <xf numFmtId="0" fontId="0"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0" customWidth="1" min="1" max="1"/>
    <col width="30" customWidth="1" min="2" max="2"/>
  </cols>
  <sheetData>
    <row r="1" ht="40" customHeight="1">
      <c r="A1" s="1" t="inlineStr">
        <is>
          <t>ISMS-IMP-A.7.12-13.S3 - Maintenance Schedule Tracking
ISO/IEC 27001:2022 - Control A.7.13: Equipment Maintenance</t>
        </is>
      </c>
    </row>
    <row r="3">
      <c r="A3" s="2" t="inlineStr">
        <is>
          <t>Configuration</t>
        </is>
      </c>
    </row>
    <row r="4">
      <c r="A4" s="3" t="inlineStr">
        <is>
          <t>Organisation</t>
        </is>
      </c>
      <c r="B4" s="4" t="inlineStr"/>
    </row>
    <row r="5">
      <c r="A5" s="3" t="inlineStr">
        <is>
          <t>Workbook Start Date</t>
        </is>
      </c>
      <c r="B5" s="4" t="inlineStr"/>
    </row>
    <row r="6">
      <c r="A6" s="3" t="inlineStr">
        <is>
          <t>Responsible Department</t>
        </is>
      </c>
      <c r="B6" s="4" t="inlineStr"/>
    </row>
    <row r="7">
      <c r="A7" s="3" t="inlineStr">
        <is>
          <t>Update Frequency</t>
        </is>
      </c>
      <c r="B7" s="4" t="inlineStr">
        <is>
          <t>Monthly</t>
        </is>
      </c>
    </row>
    <row r="8">
      <c r="A8" s="3" t="inlineStr">
        <is>
          <t>Days Before Due to Flag as Upcoming</t>
        </is>
      </c>
      <c r="B8" s="4" t="inlineStr">
        <is>
          <t>30</t>
        </is>
      </c>
    </row>
    <row r="9">
      <c r="A9" s="3" t="inlineStr">
        <is>
          <t>Days Overdue to Escalate (Standard)</t>
        </is>
      </c>
      <c r="B9" s="4" t="inlineStr">
        <is>
          <t>14</t>
        </is>
      </c>
    </row>
    <row r="10">
      <c r="A10" s="3" t="inlineStr">
        <is>
          <t>Days Overdue to Escalate (Critical)</t>
        </is>
      </c>
      <c r="B10" s="4" t="inlineStr">
        <is>
          <t>7</t>
        </is>
      </c>
    </row>
    <row r="12">
      <c r="A12" s="2" t="inlineStr">
        <is>
          <t>HOW TO USE THIS WORKBOOK</t>
        </is>
      </c>
    </row>
    <row r="13">
      <c r="A13" t="inlineStr">
        <is>
          <t>This is an OPERATIONAL TRACKING workbook - update regularly (monthly minimum).</t>
        </is>
      </c>
    </row>
    <row r="14">
      <c r="A14" t="inlineStr"/>
    </row>
    <row r="15">
      <c r="A15" t="inlineStr">
        <is>
          <t>1. Sheet 2 (Equipment Schedule) - Master list of all equipment with maintenance schedules.</t>
        </is>
      </c>
    </row>
    <row r="16">
      <c r="A16" t="inlineStr">
        <is>
          <t>2. Sheet 3 (Overdue Tracking) - Track overdue items with escalation and compensating controls.</t>
        </is>
      </c>
    </row>
    <row r="17">
      <c r="A17" t="inlineStr">
        <is>
          <t>3. Sheet 4 (Upcoming Maintenance) - View maintenance due in next 30/60/90 days.</t>
        </is>
      </c>
    </row>
    <row r="18">
      <c r="A18" t="inlineStr">
        <is>
          <t>4. Sheet 5 (Dashboard) - Automated compliance metrics and KPIs.</t>
        </is>
      </c>
    </row>
    <row r="19">
      <c r="A19" t="inlineStr">
        <is>
          <t>5. Sheet 6 (Maintenance Log) - Historical record of completed maintenance.</t>
        </is>
      </c>
    </row>
    <row r="20">
      <c r="A20" t="inlineStr">
        <is>
          <t>6. Sheet 7 (Evidence Register) - Link to supporting evidence.</t>
        </is>
      </c>
    </row>
    <row r="21">
      <c r="A21" t="inlineStr"/>
    </row>
    <row r="22">
      <c r="A22" t="inlineStr">
        <is>
          <t>STATUS LEGEND:</t>
        </is>
      </c>
    </row>
    <row r="23">
      <c r="A23" t="inlineStr">
        <is>
          <t xml:space="preserve">  ✅ Current - Maintenance up to date</t>
        </is>
      </c>
    </row>
    <row r="24">
      <c r="A24" t="inlineStr">
        <is>
          <t xml:space="preserve">  ⚠ Due Soon - Maintenance due within configured warning period</t>
        </is>
      </c>
    </row>
    <row r="25">
      <c r="A25" t="inlineStr">
        <is>
          <t xml:space="preserve">  ❌ Overdue - Maintenance past due date</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3"/>
  <sheetViews>
    <sheetView workbookViewId="0">
      <pane ySplit="3" topLeftCell="A4" activePane="bottomLeft" state="frozen"/>
      <selection pane="bottomLeft" activeCell="A1" sqref="A1"/>
    </sheetView>
  </sheetViews>
  <sheetFormatPr baseColWidth="8" defaultRowHeight="15"/>
  <cols>
    <col width="15" customWidth="1" min="1" max="1"/>
    <col width="18" customWidth="1" min="2" max="2"/>
    <col width="35" customWidth="1" min="3" max="3"/>
    <col width="25" customWidth="1" min="4" max="4"/>
    <col width="18" customWidth="1" min="5" max="5"/>
    <col width="22" customWidth="1" min="6" max="6"/>
    <col width="15" customWidth="1" min="7" max="7"/>
    <col width="20" customWidth="1" min="8" max="8"/>
    <col width="15" customWidth="1" min="9" max="9"/>
    <col width="15" customWidth="1" min="10" max="10"/>
    <col width="15" customWidth="1" min="11" max="11"/>
    <col width="18" customWidth="1" min="12" max="12"/>
    <col width="18" customWidth="1" min="13" max="13"/>
    <col width="40" customWidth="1" min="14" max="14"/>
  </cols>
  <sheetData>
    <row r="1" ht="40" customHeight="1">
      <c r="A1" s="1" t="inlineStr">
        <is>
          <t>Equipment Maintenance Schedule
Track preventive maintenance for all equipment</t>
        </is>
      </c>
    </row>
    <row r="3">
      <c r="A3" s="5" t="inlineStr">
        <is>
          <t>Equipment ID</t>
        </is>
      </c>
      <c r="B3" s="5" t="inlineStr">
        <is>
          <t>Equipment Type</t>
        </is>
      </c>
      <c r="C3" s="5" t="inlineStr">
        <is>
          <t>Equipment Description</t>
        </is>
      </c>
      <c r="D3" s="5" t="inlineStr">
        <is>
          <t>Location</t>
        </is>
      </c>
      <c r="E3" s="5" t="inlineStr">
        <is>
          <t>Criticality</t>
        </is>
      </c>
      <c r="F3" s="5" t="inlineStr">
        <is>
          <t>Maintenance Type</t>
        </is>
      </c>
      <c r="G3" s="5" t="inlineStr">
        <is>
          <t>Frequency</t>
        </is>
      </c>
      <c r="H3" s="5" t="inlineStr">
        <is>
          <t>Responsible Party</t>
        </is>
      </c>
      <c r="I3" s="5" t="inlineStr">
        <is>
          <t>Last Completed</t>
        </is>
      </c>
      <c r="J3" s="5" t="inlineStr">
        <is>
          <t>Next Due</t>
        </is>
      </c>
      <c r="K3" s="5" t="inlineStr">
        <is>
          <t>Status</t>
        </is>
      </c>
      <c r="L3" s="5" t="inlineStr">
        <is>
          <t>Days Until/Overdue</t>
        </is>
      </c>
      <c r="M3" s="5" t="inlineStr">
        <is>
          <t>Record Ref</t>
        </is>
      </c>
      <c r="N3" s="5" t="inlineStr">
        <is>
          <t>Notes</t>
        </is>
      </c>
    </row>
    <row r="4">
      <c r="A4" s="6" t="n"/>
      <c r="B4" s="6" t="n"/>
      <c r="C4" s="6" t="n"/>
      <c r="D4" s="6" t="n"/>
      <c r="E4" s="6" t="n"/>
      <c r="F4" s="6" t="n"/>
      <c r="G4" s="6" t="n"/>
      <c r="H4" s="6" t="n"/>
      <c r="I4" s="6" t="n"/>
      <c r="J4" s="6">
        <f>IF(I4="","",I4+CHOOSE(MATCH(G4,{"Monthly","Quarterly","Semi-annually","Annually"},0),30,90,180,365))</f>
        <v/>
      </c>
      <c r="K4" s="6">
        <f>IF(J4="","",IF(J4&gt;TODAY()+30,"✅ Current",IF(J4&gt;TODAY(),"⚠ Due Soon","❌ Overdue")))</f>
        <v/>
      </c>
      <c r="L4" s="6">
        <f>IF(J4="","",J4-TODAY())</f>
        <v/>
      </c>
      <c r="M4" s="6" t="n"/>
      <c r="N4" s="6" t="n"/>
    </row>
    <row r="5">
      <c r="A5" s="6" t="n"/>
      <c r="B5" s="6" t="n"/>
      <c r="C5" s="6" t="n"/>
      <c r="D5" s="6" t="n"/>
      <c r="E5" s="6" t="n"/>
      <c r="F5" s="6" t="n"/>
      <c r="G5" s="6" t="n"/>
      <c r="H5" s="6" t="n"/>
      <c r="I5" s="6" t="n"/>
      <c r="J5" s="6">
        <f>IF(I5="","",I5+CHOOSE(MATCH(G5,{"Monthly","Quarterly","Semi-annually","Annually"},0),30,90,180,365))</f>
        <v/>
      </c>
      <c r="K5" s="6">
        <f>IF(J5="","",IF(J5&gt;TODAY()+30,"✅ Current",IF(J5&gt;TODAY(),"⚠ Due Soon","❌ Overdue")))</f>
        <v/>
      </c>
      <c r="L5" s="6">
        <f>IF(J5="","",J5-TODAY())</f>
        <v/>
      </c>
      <c r="M5" s="6" t="n"/>
      <c r="N5" s="6" t="n"/>
    </row>
    <row r="6">
      <c r="A6" s="6" t="n"/>
      <c r="B6" s="6" t="n"/>
      <c r="C6" s="6" t="n"/>
      <c r="D6" s="6" t="n"/>
      <c r="E6" s="6" t="n"/>
      <c r="F6" s="6" t="n"/>
      <c r="G6" s="6" t="n"/>
      <c r="H6" s="6" t="n"/>
      <c r="I6" s="6" t="n"/>
      <c r="J6" s="6">
        <f>IF(I6="","",I6+CHOOSE(MATCH(G6,{"Monthly","Quarterly","Semi-annually","Annually"},0),30,90,180,365))</f>
        <v/>
      </c>
      <c r="K6" s="6">
        <f>IF(J6="","",IF(J6&gt;TODAY()+30,"✅ Current",IF(J6&gt;TODAY(),"⚠ Due Soon","❌ Overdue")))</f>
        <v/>
      </c>
      <c r="L6" s="6">
        <f>IF(J6="","",J6-TODAY())</f>
        <v/>
      </c>
      <c r="M6" s="6" t="n"/>
      <c r="N6" s="6" t="n"/>
    </row>
    <row r="7">
      <c r="A7" s="6" t="n"/>
      <c r="B7" s="6" t="n"/>
      <c r="C7" s="6" t="n"/>
      <c r="D7" s="6" t="n"/>
      <c r="E7" s="6" t="n"/>
      <c r="F7" s="6" t="n"/>
      <c r="G7" s="6" t="n"/>
      <c r="H7" s="6" t="n"/>
      <c r="I7" s="6" t="n"/>
      <c r="J7" s="6">
        <f>IF(I7="","",I7+CHOOSE(MATCH(G7,{"Monthly","Quarterly","Semi-annually","Annually"},0),30,90,180,365))</f>
        <v/>
      </c>
      <c r="K7" s="6">
        <f>IF(J7="","",IF(J7&gt;TODAY()+30,"✅ Current",IF(J7&gt;TODAY(),"⚠ Due Soon","❌ Overdue")))</f>
        <v/>
      </c>
      <c r="L7" s="6">
        <f>IF(J7="","",J7-TODAY())</f>
        <v/>
      </c>
      <c r="M7" s="6" t="n"/>
      <c r="N7" s="6" t="n"/>
    </row>
    <row r="8">
      <c r="A8" s="6" t="n"/>
      <c r="B8" s="6" t="n"/>
      <c r="C8" s="6" t="n"/>
      <c r="D8" s="6" t="n"/>
      <c r="E8" s="6" t="n"/>
      <c r="F8" s="6" t="n"/>
      <c r="G8" s="6" t="n"/>
      <c r="H8" s="6" t="n"/>
      <c r="I8" s="6" t="n"/>
      <c r="J8" s="6">
        <f>IF(I8="","",I8+CHOOSE(MATCH(G8,{"Monthly","Quarterly","Semi-annually","Annually"},0),30,90,180,365))</f>
        <v/>
      </c>
      <c r="K8" s="6">
        <f>IF(J8="","",IF(J8&gt;TODAY()+30,"✅ Current",IF(J8&gt;TODAY(),"⚠ Due Soon","❌ Overdue")))</f>
        <v/>
      </c>
      <c r="L8" s="6">
        <f>IF(J8="","",J8-TODAY())</f>
        <v/>
      </c>
      <c r="M8" s="6" t="n"/>
      <c r="N8" s="6" t="n"/>
    </row>
    <row r="9">
      <c r="A9" s="6" t="n"/>
      <c r="B9" s="6" t="n"/>
      <c r="C9" s="6" t="n"/>
      <c r="D9" s="6" t="n"/>
      <c r="E9" s="6" t="n"/>
      <c r="F9" s="6" t="n"/>
      <c r="G9" s="6" t="n"/>
      <c r="H9" s="6" t="n"/>
      <c r="I9" s="6" t="n"/>
      <c r="J9" s="6">
        <f>IF(I9="","",I9+CHOOSE(MATCH(G9,{"Monthly","Quarterly","Semi-annually","Annually"},0),30,90,180,365))</f>
        <v/>
      </c>
      <c r="K9" s="6">
        <f>IF(J9="","",IF(J9&gt;TODAY()+30,"✅ Current",IF(J9&gt;TODAY(),"⚠ Due Soon","❌ Overdue")))</f>
        <v/>
      </c>
      <c r="L9" s="6">
        <f>IF(J9="","",J9-TODAY())</f>
        <v/>
      </c>
      <c r="M9" s="6" t="n"/>
      <c r="N9" s="6" t="n"/>
    </row>
    <row r="10">
      <c r="A10" s="6" t="n"/>
      <c r="B10" s="6" t="n"/>
      <c r="C10" s="6" t="n"/>
      <c r="D10" s="6" t="n"/>
      <c r="E10" s="6" t="n"/>
      <c r="F10" s="6" t="n"/>
      <c r="G10" s="6" t="n"/>
      <c r="H10" s="6" t="n"/>
      <c r="I10" s="6" t="n"/>
      <c r="J10" s="6">
        <f>IF(I10="","",I10+CHOOSE(MATCH(G10,{"Monthly","Quarterly","Semi-annually","Annually"},0),30,90,180,365))</f>
        <v/>
      </c>
      <c r="K10" s="6">
        <f>IF(J10="","",IF(J10&gt;TODAY()+30,"✅ Current",IF(J10&gt;TODAY(),"⚠ Due Soon","❌ Overdue")))</f>
        <v/>
      </c>
      <c r="L10" s="6">
        <f>IF(J10="","",J10-TODAY())</f>
        <v/>
      </c>
      <c r="M10" s="6" t="n"/>
      <c r="N10" s="6" t="n"/>
    </row>
    <row r="11">
      <c r="A11" s="6" t="n"/>
      <c r="B11" s="6" t="n"/>
      <c r="C11" s="6" t="n"/>
      <c r="D11" s="6" t="n"/>
      <c r="E11" s="6" t="n"/>
      <c r="F11" s="6" t="n"/>
      <c r="G11" s="6" t="n"/>
      <c r="H11" s="6" t="n"/>
      <c r="I11" s="6" t="n"/>
      <c r="J11" s="6">
        <f>IF(I11="","",I11+CHOOSE(MATCH(G11,{"Monthly","Quarterly","Semi-annually","Annually"},0),30,90,180,365))</f>
        <v/>
      </c>
      <c r="K11" s="6">
        <f>IF(J11="","",IF(J11&gt;TODAY()+30,"✅ Current",IF(J11&gt;TODAY(),"⚠ Due Soon","❌ Overdue")))</f>
        <v/>
      </c>
      <c r="L11" s="6">
        <f>IF(J11="","",J11-TODAY())</f>
        <v/>
      </c>
      <c r="M11" s="6" t="n"/>
      <c r="N11" s="6" t="n"/>
    </row>
    <row r="12">
      <c r="A12" s="6" t="n"/>
      <c r="B12" s="6" t="n"/>
      <c r="C12" s="6" t="n"/>
      <c r="D12" s="6" t="n"/>
      <c r="E12" s="6" t="n"/>
      <c r="F12" s="6" t="n"/>
      <c r="G12" s="6" t="n"/>
      <c r="H12" s="6" t="n"/>
      <c r="I12" s="6" t="n"/>
      <c r="J12" s="6">
        <f>IF(I12="","",I12+CHOOSE(MATCH(G12,{"Monthly","Quarterly","Semi-annually","Annually"},0),30,90,180,365))</f>
        <v/>
      </c>
      <c r="K12" s="6">
        <f>IF(J12="","",IF(J12&gt;TODAY()+30,"✅ Current",IF(J12&gt;TODAY(),"⚠ Due Soon","❌ Overdue")))</f>
        <v/>
      </c>
      <c r="L12" s="6">
        <f>IF(J12="","",J12-TODAY())</f>
        <v/>
      </c>
      <c r="M12" s="6" t="n"/>
      <c r="N12" s="6" t="n"/>
    </row>
    <row r="13">
      <c r="A13" s="6" t="n"/>
      <c r="B13" s="6" t="n"/>
      <c r="C13" s="6" t="n"/>
      <c r="D13" s="6" t="n"/>
      <c r="E13" s="6" t="n"/>
      <c r="F13" s="6" t="n"/>
      <c r="G13" s="6" t="n"/>
      <c r="H13" s="6" t="n"/>
      <c r="I13" s="6" t="n"/>
      <c r="J13" s="6">
        <f>IF(I13="","",I13+CHOOSE(MATCH(G13,{"Monthly","Quarterly","Semi-annually","Annually"},0),30,90,180,365))</f>
        <v/>
      </c>
      <c r="K13" s="6">
        <f>IF(J13="","",IF(J13&gt;TODAY()+30,"✅ Current",IF(J13&gt;TODAY(),"⚠ Due Soon","❌ Overdue")))</f>
        <v/>
      </c>
      <c r="L13" s="6">
        <f>IF(J13="","",J13-TODAY())</f>
        <v/>
      </c>
      <c r="M13" s="6" t="n"/>
      <c r="N13" s="6" t="n"/>
    </row>
    <row r="14">
      <c r="A14" s="6" t="n"/>
      <c r="B14" s="6" t="n"/>
      <c r="C14" s="6" t="n"/>
      <c r="D14" s="6" t="n"/>
      <c r="E14" s="6" t="n"/>
      <c r="F14" s="6" t="n"/>
      <c r="G14" s="6" t="n"/>
      <c r="H14" s="6" t="n"/>
      <c r="I14" s="6" t="n"/>
      <c r="J14" s="6">
        <f>IF(I14="","",I14+CHOOSE(MATCH(G14,{"Monthly","Quarterly","Semi-annually","Annually"},0),30,90,180,365))</f>
        <v/>
      </c>
      <c r="K14" s="6">
        <f>IF(J14="","",IF(J14&gt;TODAY()+30,"✅ Current",IF(J14&gt;TODAY(),"⚠ Due Soon","❌ Overdue")))</f>
        <v/>
      </c>
      <c r="L14" s="6">
        <f>IF(J14="","",J14-TODAY())</f>
        <v/>
      </c>
      <c r="M14" s="6" t="n"/>
      <c r="N14" s="6" t="n"/>
    </row>
    <row r="15">
      <c r="A15" s="6" t="n"/>
      <c r="B15" s="6" t="n"/>
      <c r="C15" s="6" t="n"/>
      <c r="D15" s="6" t="n"/>
      <c r="E15" s="6" t="n"/>
      <c r="F15" s="6" t="n"/>
      <c r="G15" s="6" t="n"/>
      <c r="H15" s="6" t="n"/>
      <c r="I15" s="6" t="n"/>
      <c r="J15" s="6">
        <f>IF(I15="","",I15+CHOOSE(MATCH(G15,{"Monthly","Quarterly","Semi-annually","Annually"},0),30,90,180,365))</f>
        <v/>
      </c>
      <c r="K15" s="6">
        <f>IF(J15="","",IF(J15&gt;TODAY()+30,"✅ Current",IF(J15&gt;TODAY(),"⚠ Due Soon","❌ Overdue")))</f>
        <v/>
      </c>
      <c r="L15" s="6">
        <f>IF(J15="","",J15-TODAY())</f>
        <v/>
      </c>
      <c r="M15" s="6" t="n"/>
      <c r="N15" s="6" t="n"/>
    </row>
    <row r="16">
      <c r="A16" s="6" t="n"/>
      <c r="B16" s="6" t="n"/>
      <c r="C16" s="6" t="n"/>
      <c r="D16" s="6" t="n"/>
      <c r="E16" s="6" t="n"/>
      <c r="F16" s="6" t="n"/>
      <c r="G16" s="6" t="n"/>
      <c r="H16" s="6" t="n"/>
      <c r="I16" s="6" t="n"/>
      <c r="J16" s="6">
        <f>IF(I16="","",I16+CHOOSE(MATCH(G16,{"Monthly","Quarterly","Semi-annually","Annually"},0),30,90,180,365))</f>
        <v/>
      </c>
      <c r="K16" s="6">
        <f>IF(J16="","",IF(J16&gt;TODAY()+30,"✅ Current",IF(J16&gt;TODAY(),"⚠ Due Soon","❌ Overdue")))</f>
        <v/>
      </c>
      <c r="L16" s="6">
        <f>IF(J16="","",J16-TODAY())</f>
        <v/>
      </c>
      <c r="M16" s="6" t="n"/>
      <c r="N16" s="6" t="n"/>
    </row>
    <row r="17">
      <c r="A17" s="6" t="n"/>
      <c r="B17" s="6" t="n"/>
      <c r="C17" s="6" t="n"/>
      <c r="D17" s="6" t="n"/>
      <c r="E17" s="6" t="n"/>
      <c r="F17" s="6" t="n"/>
      <c r="G17" s="6" t="n"/>
      <c r="H17" s="6" t="n"/>
      <c r="I17" s="6" t="n"/>
      <c r="J17" s="6">
        <f>IF(I17="","",I17+CHOOSE(MATCH(G17,{"Monthly","Quarterly","Semi-annually","Annually"},0),30,90,180,365))</f>
        <v/>
      </c>
      <c r="K17" s="6">
        <f>IF(J17="","",IF(J17&gt;TODAY()+30,"✅ Current",IF(J17&gt;TODAY(),"⚠ Due Soon","❌ Overdue")))</f>
        <v/>
      </c>
      <c r="L17" s="6">
        <f>IF(J17="","",J17-TODAY())</f>
        <v/>
      </c>
      <c r="M17" s="6" t="n"/>
      <c r="N17" s="6" t="n"/>
    </row>
    <row r="18">
      <c r="A18" s="6" t="n"/>
      <c r="B18" s="6" t="n"/>
      <c r="C18" s="6" t="n"/>
      <c r="D18" s="6" t="n"/>
      <c r="E18" s="6" t="n"/>
      <c r="F18" s="6" t="n"/>
      <c r="G18" s="6" t="n"/>
      <c r="H18" s="6" t="n"/>
      <c r="I18" s="6" t="n"/>
      <c r="J18" s="6">
        <f>IF(I18="","",I18+CHOOSE(MATCH(G18,{"Monthly","Quarterly","Semi-annually","Annually"},0),30,90,180,365))</f>
        <v/>
      </c>
      <c r="K18" s="6">
        <f>IF(J18="","",IF(J18&gt;TODAY()+30,"✅ Current",IF(J18&gt;TODAY(),"⚠ Due Soon","❌ Overdue")))</f>
        <v/>
      </c>
      <c r="L18" s="6">
        <f>IF(J18="","",J18-TODAY())</f>
        <v/>
      </c>
      <c r="M18" s="6" t="n"/>
      <c r="N18" s="6" t="n"/>
    </row>
    <row r="19">
      <c r="A19" s="6" t="n"/>
      <c r="B19" s="6" t="n"/>
      <c r="C19" s="6" t="n"/>
      <c r="D19" s="6" t="n"/>
      <c r="E19" s="6" t="n"/>
      <c r="F19" s="6" t="n"/>
      <c r="G19" s="6" t="n"/>
      <c r="H19" s="6" t="n"/>
      <c r="I19" s="6" t="n"/>
      <c r="J19" s="6">
        <f>IF(I19="","",I19+CHOOSE(MATCH(G19,{"Monthly","Quarterly","Semi-annually","Annually"},0),30,90,180,365))</f>
        <v/>
      </c>
      <c r="K19" s="6">
        <f>IF(J19="","",IF(J19&gt;TODAY()+30,"✅ Current",IF(J19&gt;TODAY(),"⚠ Due Soon","❌ Overdue")))</f>
        <v/>
      </c>
      <c r="L19" s="6">
        <f>IF(J19="","",J19-TODAY())</f>
        <v/>
      </c>
      <c r="M19" s="6" t="n"/>
      <c r="N19" s="6" t="n"/>
    </row>
    <row r="20">
      <c r="A20" s="6" t="n"/>
      <c r="B20" s="6" t="n"/>
      <c r="C20" s="6" t="n"/>
      <c r="D20" s="6" t="n"/>
      <c r="E20" s="6" t="n"/>
      <c r="F20" s="6" t="n"/>
      <c r="G20" s="6" t="n"/>
      <c r="H20" s="6" t="n"/>
      <c r="I20" s="6" t="n"/>
      <c r="J20" s="6">
        <f>IF(I20="","",I20+CHOOSE(MATCH(G20,{"Monthly","Quarterly","Semi-annually","Annually"},0),30,90,180,365))</f>
        <v/>
      </c>
      <c r="K20" s="6">
        <f>IF(J20="","",IF(J20&gt;TODAY()+30,"✅ Current",IF(J20&gt;TODAY(),"⚠ Due Soon","❌ Overdue")))</f>
        <v/>
      </c>
      <c r="L20" s="6">
        <f>IF(J20="","",J20-TODAY())</f>
        <v/>
      </c>
      <c r="M20" s="6" t="n"/>
      <c r="N20" s="6" t="n"/>
    </row>
    <row r="21">
      <c r="A21" s="6" t="n"/>
      <c r="B21" s="6" t="n"/>
      <c r="C21" s="6" t="n"/>
      <c r="D21" s="6" t="n"/>
      <c r="E21" s="6" t="n"/>
      <c r="F21" s="6" t="n"/>
      <c r="G21" s="6" t="n"/>
      <c r="H21" s="6" t="n"/>
      <c r="I21" s="6" t="n"/>
      <c r="J21" s="6">
        <f>IF(I21="","",I21+CHOOSE(MATCH(G21,{"Monthly","Quarterly","Semi-annually","Annually"},0),30,90,180,365))</f>
        <v/>
      </c>
      <c r="K21" s="6">
        <f>IF(J21="","",IF(J21&gt;TODAY()+30,"✅ Current",IF(J21&gt;TODAY(),"⚠ Due Soon","❌ Overdue")))</f>
        <v/>
      </c>
      <c r="L21" s="6">
        <f>IF(J21="","",J21-TODAY())</f>
        <v/>
      </c>
      <c r="M21" s="6" t="n"/>
      <c r="N21" s="6" t="n"/>
    </row>
    <row r="22">
      <c r="A22" s="6" t="n"/>
      <c r="B22" s="6" t="n"/>
      <c r="C22" s="6" t="n"/>
      <c r="D22" s="6" t="n"/>
      <c r="E22" s="6" t="n"/>
      <c r="F22" s="6" t="n"/>
      <c r="G22" s="6" t="n"/>
      <c r="H22" s="6" t="n"/>
      <c r="I22" s="6" t="n"/>
      <c r="J22" s="6">
        <f>IF(I22="","",I22+CHOOSE(MATCH(G22,{"Monthly","Quarterly","Semi-annually","Annually"},0),30,90,180,365))</f>
        <v/>
      </c>
      <c r="K22" s="6">
        <f>IF(J22="","",IF(J22&gt;TODAY()+30,"✅ Current",IF(J22&gt;TODAY(),"⚠ Due Soon","❌ Overdue")))</f>
        <v/>
      </c>
      <c r="L22" s="6">
        <f>IF(J22="","",J22-TODAY())</f>
        <v/>
      </c>
      <c r="M22" s="6" t="n"/>
      <c r="N22" s="6" t="n"/>
    </row>
    <row r="23">
      <c r="A23" s="6" t="n"/>
      <c r="B23" s="6" t="n"/>
      <c r="C23" s="6" t="n"/>
      <c r="D23" s="6" t="n"/>
      <c r="E23" s="6" t="n"/>
      <c r="F23" s="6" t="n"/>
      <c r="G23" s="6" t="n"/>
      <c r="H23" s="6" t="n"/>
      <c r="I23" s="6" t="n"/>
      <c r="J23" s="6">
        <f>IF(I23="","",I23+CHOOSE(MATCH(G23,{"Monthly","Quarterly","Semi-annually","Annually"},0),30,90,180,365))</f>
        <v/>
      </c>
      <c r="K23" s="6">
        <f>IF(J23="","",IF(J23&gt;TODAY()+30,"✅ Current",IF(J23&gt;TODAY(),"⚠ Due Soon","❌ Overdue")))</f>
        <v/>
      </c>
      <c r="L23" s="6">
        <f>IF(J23="","",J23-TODAY())</f>
        <v/>
      </c>
      <c r="M23" s="6" t="n"/>
      <c r="N23" s="6" t="n"/>
    </row>
    <row r="24">
      <c r="A24" s="6" t="n"/>
      <c r="B24" s="6" t="n"/>
      <c r="C24" s="6" t="n"/>
      <c r="D24" s="6" t="n"/>
      <c r="E24" s="6" t="n"/>
      <c r="F24" s="6" t="n"/>
      <c r="G24" s="6" t="n"/>
      <c r="H24" s="6" t="n"/>
      <c r="I24" s="6" t="n"/>
      <c r="J24" s="6">
        <f>IF(I24="","",I24+CHOOSE(MATCH(G24,{"Monthly","Quarterly","Semi-annually","Annually"},0),30,90,180,365))</f>
        <v/>
      </c>
      <c r="K24" s="6">
        <f>IF(J24="","",IF(J24&gt;TODAY()+30,"✅ Current",IF(J24&gt;TODAY(),"⚠ Due Soon","❌ Overdue")))</f>
        <v/>
      </c>
      <c r="L24" s="6">
        <f>IF(J24="","",J24-TODAY())</f>
        <v/>
      </c>
      <c r="M24" s="6" t="n"/>
      <c r="N24" s="6" t="n"/>
    </row>
    <row r="25">
      <c r="A25" s="6" t="n"/>
      <c r="B25" s="6" t="n"/>
      <c r="C25" s="6" t="n"/>
      <c r="D25" s="6" t="n"/>
      <c r="E25" s="6" t="n"/>
      <c r="F25" s="6" t="n"/>
      <c r="G25" s="6" t="n"/>
      <c r="H25" s="6" t="n"/>
      <c r="I25" s="6" t="n"/>
      <c r="J25" s="6">
        <f>IF(I25="","",I25+CHOOSE(MATCH(G25,{"Monthly","Quarterly","Semi-annually","Annually"},0),30,90,180,365))</f>
        <v/>
      </c>
      <c r="K25" s="6">
        <f>IF(J25="","",IF(J25&gt;TODAY()+30,"✅ Current",IF(J25&gt;TODAY(),"⚠ Due Soon","❌ Overdue")))</f>
        <v/>
      </c>
      <c r="L25" s="6">
        <f>IF(J25="","",J25-TODAY())</f>
        <v/>
      </c>
      <c r="M25" s="6" t="n"/>
      <c r="N25" s="6" t="n"/>
    </row>
    <row r="26">
      <c r="A26" s="6" t="n"/>
      <c r="B26" s="6" t="n"/>
      <c r="C26" s="6" t="n"/>
      <c r="D26" s="6" t="n"/>
      <c r="E26" s="6" t="n"/>
      <c r="F26" s="6" t="n"/>
      <c r="G26" s="6" t="n"/>
      <c r="H26" s="6" t="n"/>
      <c r="I26" s="6" t="n"/>
      <c r="J26" s="6">
        <f>IF(I26="","",I26+CHOOSE(MATCH(G26,{"Monthly","Quarterly","Semi-annually","Annually"},0),30,90,180,365))</f>
        <v/>
      </c>
      <c r="K26" s="6">
        <f>IF(J26="","",IF(J26&gt;TODAY()+30,"✅ Current",IF(J26&gt;TODAY(),"⚠ Due Soon","❌ Overdue")))</f>
        <v/>
      </c>
      <c r="L26" s="6">
        <f>IF(J26="","",J26-TODAY())</f>
        <v/>
      </c>
      <c r="M26" s="6" t="n"/>
      <c r="N26" s="6" t="n"/>
    </row>
    <row r="27">
      <c r="A27" s="6" t="n"/>
      <c r="B27" s="6" t="n"/>
      <c r="C27" s="6" t="n"/>
      <c r="D27" s="6" t="n"/>
      <c r="E27" s="6" t="n"/>
      <c r="F27" s="6" t="n"/>
      <c r="G27" s="6" t="n"/>
      <c r="H27" s="6" t="n"/>
      <c r="I27" s="6" t="n"/>
      <c r="J27" s="6">
        <f>IF(I27="","",I27+CHOOSE(MATCH(G27,{"Monthly","Quarterly","Semi-annually","Annually"},0),30,90,180,365))</f>
        <v/>
      </c>
      <c r="K27" s="6">
        <f>IF(J27="","",IF(J27&gt;TODAY()+30,"✅ Current",IF(J27&gt;TODAY(),"⚠ Due Soon","❌ Overdue")))</f>
        <v/>
      </c>
      <c r="L27" s="6">
        <f>IF(J27="","",J27-TODAY())</f>
        <v/>
      </c>
      <c r="M27" s="6" t="n"/>
      <c r="N27" s="6" t="n"/>
    </row>
    <row r="28">
      <c r="A28" s="6" t="n"/>
      <c r="B28" s="6" t="n"/>
      <c r="C28" s="6" t="n"/>
      <c r="D28" s="6" t="n"/>
      <c r="E28" s="6" t="n"/>
      <c r="F28" s="6" t="n"/>
      <c r="G28" s="6" t="n"/>
      <c r="H28" s="6" t="n"/>
      <c r="I28" s="6" t="n"/>
      <c r="J28" s="6">
        <f>IF(I28="","",I28+CHOOSE(MATCH(G28,{"Monthly","Quarterly","Semi-annually","Annually"},0),30,90,180,365))</f>
        <v/>
      </c>
      <c r="K28" s="6">
        <f>IF(J28="","",IF(J28&gt;TODAY()+30,"✅ Current",IF(J28&gt;TODAY(),"⚠ Due Soon","❌ Overdue")))</f>
        <v/>
      </c>
      <c r="L28" s="6">
        <f>IF(J28="","",J28-TODAY())</f>
        <v/>
      </c>
      <c r="M28" s="6" t="n"/>
      <c r="N28" s="6" t="n"/>
    </row>
    <row r="29">
      <c r="A29" s="6" t="n"/>
      <c r="B29" s="6" t="n"/>
      <c r="C29" s="6" t="n"/>
      <c r="D29" s="6" t="n"/>
      <c r="E29" s="6" t="n"/>
      <c r="F29" s="6" t="n"/>
      <c r="G29" s="6" t="n"/>
      <c r="H29" s="6" t="n"/>
      <c r="I29" s="6" t="n"/>
      <c r="J29" s="6">
        <f>IF(I29="","",I29+CHOOSE(MATCH(G29,{"Monthly","Quarterly","Semi-annually","Annually"},0),30,90,180,365))</f>
        <v/>
      </c>
      <c r="K29" s="6">
        <f>IF(J29="","",IF(J29&gt;TODAY()+30,"✅ Current",IF(J29&gt;TODAY(),"⚠ Due Soon","❌ Overdue")))</f>
        <v/>
      </c>
      <c r="L29" s="6">
        <f>IF(J29="","",J29-TODAY())</f>
        <v/>
      </c>
      <c r="M29" s="6" t="n"/>
      <c r="N29" s="6" t="n"/>
    </row>
    <row r="30">
      <c r="A30" s="6" t="n"/>
      <c r="B30" s="6" t="n"/>
      <c r="C30" s="6" t="n"/>
      <c r="D30" s="6" t="n"/>
      <c r="E30" s="6" t="n"/>
      <c r="F30" s="6" t="n"/>
      <c r="G30" s="6" t="n"/>
      <c r="H30" s="6" t="n"/>
      <c r="I30" s="6" t="n"/>
      <c r="J30" s="6">
        <f>IF(I30="","",I30+CHOOSE(MATCH(G30,{"Monthly","Quarterly","Semi-annually","Annually"},0),30,90,180,365))</f>
        <v/>
      </c>
      <c r="K30" s="6">
        <f>IF(J30="","",IF(J30&gt;TODAY()+30,"✅ Current",IF(J30&gt;TODAY(),"⚠ Due Soon","❌ Overdue")))</f>
        <v/>
      </c>
      <c r="L30" s="6">
        <f>IF(J30="","",J30-TODAY())</f>
        <v/>
      </c>
      <c r="M30" s="6" t="n"/>
      <c r="N30" s="6" t="n"/>
    </row>
    <row r="31">
      <c r="A31" s="6" t="n"/>
      <c r="B31" s="6" t="n"/>
      <c r="C31" s="6" t="n"/>
      <c r="D31" s="6" t="n"/>
      <c r="E31" s="6" t="n"/>
      <c r="F31" s="6" t="n"/>
      <c r="G31" s="6" t="n"/>
      <c r="H31" s="6" t="n"/>
      <c r="I31" s="6" t="n"/>
      <c r="J31" s="6">
        <f>IF(I31="","",I31+CHOOSE(MATCH(G31,{"Monthly","Quarterly","Semi-annually","Annually"},0),30,90,180,365))</f>
        <v/>
      </c>
      <c r="K31" s="6">
        <f>IF(J31="","",IF(J31&gt;TODAY()+30,"✅ Current",IF(J31&gt;TODAY(),"⚠ Due Soon","❌ Overdue")))</f>
        <v/>
      </c>
      <c r="L31" s="6">
        <f>IF(J31="","",J31-TODAY())</f>
        <v/>
      </c>
      <c r="M31" s="6" t="n"/>
      <c r="N31" s="6" t="n"/>
    </row>
    <row r="32">
      <c r="A32" s="6" t="n"/>
      <c r="B32" s="6" t="n"/>
      <c r="C32" s="6" t="n"/>
      <c r="D32" s="6" t="n"/>
      <c r="E32" s="6" t="n"/>
      <c r="F32" s="6" t="n"/>
      <c r="G32" s="6" t="n"/>
      <c r="H32" s="6" t="n"/>
      <c r="I32" s="6" t="n"/>
      <c r="J32" s="6">
        <f>IF(I32="","",I32+CHOOSE(MATCH(G32,{"Monthly","Quarterly","Semi-annually","Annually"},0),30,90,180,365))</f>
        <v/>
      </c>
      <c r="K32" s="6">
        <f>IF(J32="","",IF(J32&gt;TODAY()+30,"✅ Current",IF(J32&gt;TODAY(),"⚠ Due Soon","❌ Overdue")))</f>
        <v/>
      </c>
      <c r="L32" s="6">
        <f>IF(J32="","",J32-TODAY())</f>
        <v/>
      </c>
      <c r="M32" s="6" t="n"/>
      <c r="N32" s="6" t="n"/>
    </row>
    <row r="33">
      <c r="A33" s="6" t="n"/>
      <c r="B33" s="6" t="n"/>
      <c r="C33" s="6" t="n"/>
      <c r="D33" s="6" t="n"/>
      <c r="E33" s="6" t="n"/>
      <c r="F33" s="6" t="n"/>
      <c r="G33" s="6" t="n"/>
      <c r="H33" s="6" t="n"/>
      <c r="I33" s="6" t="n"/>
      <c r="J33" s="6">
        <f>IF(I33="","",I33+CHOOSE(MATCH(G33,{"Monthly","Quarterly","Semi-annually","Annually"},0),30,90,180,365))</f>
        <v/>
      </c>
      <c r="K33" s="6">
        <f>IF(J33="","",IF(J33&gt;TODAY()+30,"✅ Current",IF(J33&gt;TODAY(),"⚠ Due Soon","❌ Overdue")))</f>
        <v/>
      </c>
      <c r="L33" s="6">
        <f>IF(J33="","",J33-TODAY())</f>
        <v/>
      </c>
      <c r="M33" s="6" t="n"/>
      <c r="N33" s="6" t="n"/>
    </row>
    <row r="34">
      <c r="A34" s="6" t="n"/>
      <c r="B34" s="6" t="n"/>
      <c r="C34" s="6" t="n"/>
      <c r="D34" s="6" t="n"/>
      <c r="E34" s="6" t="n"/>
      <c r="F34" s="6" t="n"/>
      <c r="G34" s="6" t="n"/>
      <c r="H34" s="6" t="n"/>
      <c r="I34" s="6" t="n"/>
      <c r="J34" s="6">
        <f>IF(I34="","",I34+CHOOSE(MATCH(G34,{"Monthly","Quarterly","Semi-annually","Annually"},0),30,90,180,365))</f>
        <v/>
      </c>
      <c r="K34" s="6">
        <f>IF(J34="","",IF(J34&gt;TODAY()+30,"✅ Current",IF(J34&gt;TODAY(),"⚠ Due Soon","❌ Overdue")))</f>
        <v/>
      </c>
      <c r="L34" s="6">
        <f>IF(J34="","",J34-TODAY())</f>
        <v/>
      </c>
      <c r="M34" s="6" t="n"/>
      <c r="N34" s="6" t="n"/>
    </row>
    <row r="35">
      <c r="A35" s="6" t="n"/>
      <c r="B35" s="6" t="n"/>
      <c r="C35" s="6" t="n"/>
      <c r="D35" s="6" t="n"/>
      <c r="E35" s="6" t="n"/>
      <c r="F35" s="6" t="n"/>
      <c r="G35" s="6" t="n"/>
      <c r="H35" s="6" t="n"/>
      <c r="I35" s="6" t="n"/>
      <c r="J35" s="6">
        <f>IF(I35="","",I35+CHOOSE(MATCH(G35,{"Monthly","Quarterly","Semi-annually","Annually"},0),30,90,180,365))</f>
        <v/>
      </c>
      <c r="K35" s="6">
        <f>IF(J35="","",IF(J35&gt;TODAY()+30,"✅ Current",IF(J35&gt;TODAY(),"⚠ Due Soon","❌ Overdue")))</f>
        <v/>
      </c>
      <c r="L35" s="6">
        <f>IF(J35="","",J35-TODAY())</f>
        <v/>
      </c>
      <c r="M35" s="6" t="n"/>
      <c r="N35" s="6" t="n"/>
    </row>
    <row r="36">
      <c r="A36" s="6" t="n"/>
      <c r="B36" s="6" t="n"/>
      <c r="C36" s="6" t="n"/>
      <c r="D36" s="6" t="n"/>
      <c r="E36" s="6" t="n"/>
      <c r="F36" s="6" t="n"/>
      <c r="G36" s="6" t="n"/>
      <c r="H36" s="6" t="n"/>
      <c r="I36" s="6" t="n"/>
      <c r="J36" s="6">
        <f>IF(I36="","",I36+CHOOSE(MATCH(G36,{"Monthly","Quarterly","Semi-annually","Annually"},0),30,90,180,365))</f>
        <v/>
      </c>
      <c r="K36" s="6">
        <f>IF(J36="","",IF(J36&gt;TODAY()+30,"✅ Current",IF(J36&gt;TODAY(),"⚠ Due Soon","❌ Overdue")))</f>
        <v/>
      </c>
      <c r="L36" s="6">
        <f>IF(J36="","",J36-TODAY())</f>
        <v/>
      </c>
      <c r="M36" s="6" t="n"/>
      <c r="N36" s="6" t="n"/>
    </row>
    <row r="37">
      <c r="A37" s="6" t="n"/>
      <c r="B37" s="6" t="n"/>
      <c r="C37" s="6" t="n"/>
      <c r="D37" s="6" t="n"/>
      <c r="E37" s="6" t="n"/>
      <c r="F37" s="6" t="n"/>
      <c r="G37" s="6" t="n"/>
      <c r="H37" s="6" t="n"/>
      <c r="I37" s="6" t="n"/>
      <c r="J37" s="6">
        <f>IF(I37="","",I37+CHOOSE(MATCH(G37,{"Monthly","Quarterly","Semi-annually","Annually"},0),30,90,180,365))</f>
        <v/>
      </c>
      <c r="K37" s="6">
        <f>IF(J37="","",IF(J37&gt;TODAY()+30,"✅ Current",IF(J37&gt;TODAY(),"⚠ Due Soon","❌ Overdue")))</f>
        <v/>
      </c>
      <c r="L37" s="6">
        <f>IF(J37="","",J37-TODAY())</f>
        <v/>
      </c>
      <c r="M37" s="6" t="n"/>
      <c r="N37" s="6" t="n"/>
    </row>
    <row r="38">
      <c r="A38" s="6" t="n"/>
      <c r="B38" s="6" t="n"/>
      <c r="C38" s="6" t="n"/>
      <c r="D38" s="6" t="n"/>
      <c r="E38" s="6" t="n"/>
      <c r="F38" s="6" t="n"/>
      <c r="G38" s="6" t="n"/>
      <c r="H38" s="6" t="n"/>
      <c r="I38" s="6" t="n"/>
      <c r="J38" s="6">
        <f>IF(I38="","",I38+CHOOSE(MATCH(G38,{"Monthly","Quarterly","Semi-annually","Annually"},0),30,90,180,365))</f>
        <v/>
      </c>
      <c r="K38" s="6">
        <f>IF(J38="","",IF(J38&gt;TODAY()+30,"✅ Current",IF(J38&gt;TODAY(),"⚠ Due Soon","❌ Overdue")))</f>
        <v/>
      </c>
      <c r="L38" s="6">
        <f>IF(J38="","",J38-TODAY())</f>
        <v/>
      </c>
      <c r="M38" s="6" t="n"/>
      <c r="N38" s="6" t="n"/>
    </row>
    <row r="39">
      <c r="A39" s="6" t="n"/>
      <c r="B39" s="6" t="n"/>
      <c r="C39" s="6" t="n"/>
      <c r="D39" s="6" t="n"/>
      <c r="E39" s="6" t="n"/>
      <c r="F39" s="6" t="n"/>
      <c r="G39" s="6" t="n"/>
      <c r="H39" s="6" t="n"/>
      <c r="I39" s="6" t="n"/>
      <c r="J39" s="6">
        <f>IF(I39="","",I39+CHOOSE(MATCH(G39,{"Monthly","Quarterly","Semi-annually","Annually"},0),30,90,180,365))</f>
        <v/>
      </c>
      <c r="K39" s="6">
        <f>IF(J39="","",IF(J39&gt;TODAY()+30,"✅ Current",IF(J39&gt;TODAY(),"⚠ Due Soon","❌ Overdue")))</f>
        <v/>
      </c>
      <c r="L39" s="6">
        <f>IF(J39="","",J39-TODAY())</f>
        <v/>
      </c>
      <c r="M39" s="6" t="n"/>
      <c r="N39" s="6" t="n"/>
    </row>
    <row r="40">
      <c r="A40" s="6" t="n"/>
      <c r="B40" s="6" t="n"/>
      <c r="C40" s="6" t="n"/>
      <c r="D40" s="6" t="n"/>
      <c r="E40" s="6" t="n"/>
      <c r="F40" s="6" t="n"/>
      <c r="G40" s="6" t="n"/>
      <c r="H40" s="6" t="n"/>
      <c r="I40" s="6" t="n"/>
      <c r="J40" s="6">
        <f>IF(I40="","",I40+CHOOSE(MATCH(G40,{"Monthly","Quarterly","Semi-annually","Annually"},0),30,90,180,365))</f>
        <v/>
      </c>
      <c r="K40" s="6">
        <f>IF(J40="","",IF(J40&gt;TODAY()+30,"✅ Current",IF(J40&gt;TODAY(),"⚠ Due Soon","❌ Overdue")))</f>
        <v/>
      </c>
      <c r="L40" s="6">
        <f>IF(J40="","",J40-TODAY())</f>
        <v/>
      </c>
      <c r="M40" s="6" t="n"/>
      <c r="N40" s="6" t="n"/>
    </row>
    <row r="41">
      <c r="A41" s="6" t="n"/>
      <c r="B41" s="6" t="n"/>
      <c r="C41" s="6" t="n"/>
      <c r="D41" s="6" t="n"/>
      <c r="E41" s="6" t="n"/>
      <c r="F41" s="6" t="n"/>
      <c r="G41" s="6" t="n"/>
      <c r="H41" s="6" t="n"/>
      <c r="I41" s="6" t="n"/>
      <c r="J41" s="6">
        <f>IF(I41="","",I41+CHOOSE(MATCH(G41,{"Monthly","Quarterly","Semi-annually","Annually"},0),30,90,180,365))</f>
        <v/>
      </c>
      <c r="K41" s="6">
        <f>IF(J41="","",IF(J41&gt;TODAY()+30,"✅ Current",IF(J41&gt;TODAY(),"⚠ Due Soon","❌ Overdue")))</f>
        <v/>
      </c>
      <c r="L41" s="6">
        <f>IF(J41="","",J41-TODAY())</f>
        <v/>
      </c>
      <c r="M41" s="6" t="n"/>
      <c r="N41" s="6" t="n"/>
    </row>
    <row r="42">
      <c r="A42" s="6" t="n"/>
      <c r="B42" s="6" t="n"/>
      <c r="C42" s="6" t="n"/>
      <c r="D42" s="6" t="n"/>
      <c r="E42" s="6" t="n"/>
      <c r="F42" s="6" t="n"/>
      <c r="G42" s="6" t="n"/>
      <c r="H42" s="6" t="n"/>
      <c r="I42" s="6" t="n"/>
      <c r="J42" s="6">
        <f>IF(I42="","",I42+CHOOSE(MATCH(G42,{"Monthly","Quarterly","Semi-annually","Annually"},0),30,90,180,365))</f>
        <v/>
      </c>
      <c r="K42" s="6">
        <f>IF(J42="","",IF(J42&gt;TODAY()+30,"✅ Current",IF(J42&gt;TODAY(),"⚠ Due Soon","❌ Overdue")))</f>
        <v/>
      </c>
      <c r="L42" s="6">
        <f>IF(J42="","",J42-TODAY())</f>
        <v/>
      </c>
      <c r="M42" s="6" t="n"/>
      <c r="N42" s="6" t="n"/>
    </row>
    <row r="43">
      <c r="A43" s="6" t="n"/>
      <c r="B43" s="6" t="n"/>
      <c r="C43" s="6" t="n"/>
      <c r="D43" s="6" t="n"/>
      <c r="E43" s="6" t="n"/>
      <c r="F43" s="6" t="n"/>
      <c r="G43" s="6" t="n"/>
      <c r="H43" s="6" t="n"/>
      <c r="I43" s="6" t="n"/>
      <c r="J43" s="6">
        <f>IF(I43="","",I43+CHOOSE(MATCH(G43,{"Monthly","Quarterly","Semi-annually","Annually"},0),30,90,180,365))</f>
        <v/>
      </c>
      <c r="K43" s="6">
        <f>IF(J43="","",IF(J43&gt;TODAY()+30,"✅ Current",IF(J43&gt;TODAY(),"⚠ Due Soon","❌ Overdue")))</f>
        <v/>
      </c>
      <c r="L43" s="6">
        <f>IF(J43="","",J43-TODAY())</f>
        <v/>
      </c>
      <c r="M43" s="6" t="n"/>
      <c r="N43" s="6" t="n"/>
    </row>
    <row r="44">
      <c r="A44" s="6" t="n"/>
      <c r="B44" s="6" t="n"/>
      <c r="C44" s="6" t="n"/>
      <c r="D44" s="6" t="n"/>
      <c r="E44" s="6" t="n"/>
      <c r="F44" s="6" t="n"/>
      <c r="G44" s="6" t="n"/>
      <c r="H44" s="6" t="n"/>
      <c r="I44" s="6" t="n"/>
      <c r="J44" s="6">
        <f>IF(I44="","",I44+CHOOSE(MATCH(G44,{"Monthly","Quarterly","Semi-annually","Annually"},0),30,90,180,365))</f>
        <v/>
      </c>
      <c r="K44" s="6">
        <f>IF(J44="","",IF(J44&gt;TODAY()+30,"✅ Current",IF(J44&gt;TODAY(),"⚠ Due Soon","❌ Overdue")))</f>
        <v/>
      </c>
      <c r="L44" s="6">
        <f>IF(J44="","",J44-TODAY())</f>
        <v/>
      </c>
      <c r="M44" s="6" t="n"/>
      <c r="N44" s="6" t="n"/>
    </row>
    <row r="45">
      <c r="A45" s="6" t="n"/>
      <c r="B45" s="6" t="n"/>
      <c r="C45" s="6" t="n"/>
      <c r="D45" s="6" t="n"/>
      <c r="E45" s="6" t="n"/>
      <c r="F45" s="6" t="n"/>
      <c r="G45" s="6" t="n"/>
      <c r="H45" s="6" t="n"/>
      <c r="I45" s="6" t="n"/>
      <c r="J45" s="6">
        <f>IF(I45="","",I45+CHOOSE(MATCH(G45,{"Monthly","Quarterly","Semi-annually","Annually"},0),30,90,180,365))</f>
        <v/>
      </c>
      <c r="K45" s="6">
        <f>IF(J45="","",IF(J45&gt;TODAY()+30,"✅ Current",IF(J45&gt;TODAY(),"⚠ Due Soon","❌ Overdue")))</f>
        <v/>
      </c>
      <c r="L45" s="6">
        <f>IF(J45="","",J45-TODAY())</f>
        <v/>
      </c>
      <c r="M45" s="6" t="n"/>
      <c r="N45" s="6" t="n"/>
    </row>
    <row r="46">
      <c r="A46" s="6" t="n"/>
      <c r="B46" s="6" t="n"/>
      <c r="C46" s="6" t="n"/>
      <c r="D46" s="6" t="n"/>
      <c r="E46" s="6" t="n"/>
      <c r="F46" s="6" t="n"/>
      <c r="G46" s="6" t="n"/>
      <c r="H46" s="6" t="n"/>
      <c r="I46" s="6" t="n"/>
      <c r="J46" s="6">
        <f>IF(I46="","",I46+CHOOSE(MATCH(G46,{"Monthly","Quarterly","Semi-annually","Annually"},0),30,90,180,365))</f>
        <v/>
      </c>
      <c r="K46" s="6">
        <f>IF(J46="","",IF(J46&gt;TODAY()+30,"✅ Current",IF(J46&gt;TODAY(),"⚠ Due Soon","❌ Overdue")))</f>
        <v/>
      </c>
      <c r="L46" s="6">
        <f>IF(J46="","",J46-TODAY())</f>
        <v/>
      </c>
      <c r="M46" s="6" t="n"/>
      <c r="N46" s="6" t="n"/>
    </row>
    <row r="47">
      <c r="A47" s="6" t="n"/>
      <c r="B47" s="6" t="n"/>
      <c r="C47" s="6" t="n"/>
      <c r="D47" s="6" t="n"/>
      <c r="E47" s="6" t="n"/>
      <c r="F47" s="6" t="n"/>
      <c r="G47" s="6" t="n"/>
      <c r="H47" s="6" t="n"/>
      <c r="I47" s="6" t="n"/>
      <c r="J47" s="6">
        <f>IF(I47="","",I47+CHOOSE(MATCH(G47,{"Monthly","Quarterly","Semi-annually","Annually"},0),30,90,180,365))</f>
        <v/>
      </c>
      <c r="K47" s="6">
        <f>IF(J47="","",IF(J47&gt;TODAY()+30,"✅ Current",IF(J47&gt;TODAY(),"⚠ Due Soon","❌ Overdue")))</f>
        <v/>
      </c>
      <c r="L47" s="6">
        <f>IF(J47="","",J47-TODAY())</f>
        <v/>
      </c>
      <c r="M47" s="6" t="n"/>
      <c r="N47" s="6" t="n"/>
    </row>
    <row r="48">
      <c r="A48" s="6" t="n"/>
      <c r="B48" s="6" t="n"/>
      <c r="C48" s="6" t="n"/>
      <c r="D48" s="6" t="n"/>
      <c r="E48" s="6" t="n"/>
      <c r="F48" s="6" t="n"/>
      <c r="G48" s="6" t="n"/>
      <c r="H48" s="6" t="n"/>
      <c r="I48" s="6" t="n"/>
      <c r="J48" s="6">
        <f>IF(I48="","",I48+CHOOSE(MATCH(G48,{"Monthly","Quarterly","Semi-annually","Annually"},0),30,90,180,365))</f>
        <v/>
      </c>
      <c r="K48" s="6">
        <f>IF(J48="","",IF(J48&gt;TODAY()+30,"✅ Current",IF(J48&gt;TODAY(),"⚠ Due Soon","❌ Overdue")))</f>
        <v/>
      </c>
      <c r="L48" s="6">
        <f>IF(J48="","",J48-TODAY())</f>
        <v/>
      </c>
      <c r="M48" s="6" t="n"/>
      <c r="N48" s="6" t="n"/>
    </row>
    <row r="49">
      <c r="A49" s="6" t="n"/>
      <c r="B49" s="6" t="n"/>
      <c r="C49" s="6" t="n"/>
      <c r="D49" s="6" t="n"/>
      <c r="E49" s="6" t="n"/>
      <c r="F49" s="6" t="n"/>
      <c r="G49" s="6" t="n"/>
      <c r="H49" s="6" t="n"/>
      <c r="I49" s="6" t="n"/>
      <c r="J49" s="6">
        <f>IF(I49="","",I49+CHOOSE(MATCH(G49,{"Monthly","Quarterly","Semi-annually","Annually"},0),30,90,180,365))</f>
        <v/>
      </c>
      <c r="K49" s="6">
        <f>IF(J49="","",IF(J49&gt;TODAY()+30,"✅ Current",IF(J49&gt;TODAY(),"⚠ Due Soon","❌ Overdue")))</f>
        <v/>
      </c>
      <c r="L49" s="6">
        <f>IF(J49="","",J49-TODAY())</f>
        <v/>
      </c>
      <c r="M49" s="6" t="n"/>
      <c r="N49" s="6" t="n"/>
    </row>
    <row r="50">
      <c r="A50" s="6" t="n"/>
      <c r="B50" s="6" t="n"/>
      <c r="C50" s="6" t="n"/>
      <c r="D50" s="6" t="n"/>
      <c r="E50" s="6" t="n"/>
      <c r="F50" s="6" t="n"/>
      <c r="G50" s="6" t="n"/>
      <c r="H50" s="6" t="n"/>
      <c r="I50" s="6" t="n"/>
      <c r="J50" s="6">
        <f>IF(I50="","",I50+CHOOSE(MATCH(G50,{"Monthly","Quarterly","Semi-annually","Annually"},0),30,90,180,365))</f>
        <v/>
      </c>
      <c r="K50" s="6">
        <f>IF(J50="","",IF(J50&gt;TODAY()+30,"✅ Current",IF(J50&gt;TODAY(),"⚠ Due Soon","❌ Overdue")))</f>
        <v/>
      </c>
      <c r="L50" s="6">
        <f>IF(J50="","",J50-TODAY())</f>
        <v/>
      </c>
      <c r="M50" s="6" t="n"/>
      <c r="N50" s="6" t="n"/>
    </row>
    <row r="51">
      <c r="A51" s="6" t="n"/>
      <c r="B51" s="6" t="n"/>
      <c r="C51" s="6" t="n"/>
      <c r="D51" s="6" t="n"/>
      <c r="E51" s="6" t="n"/>
      <c r="F51" s="6" t="n"/>
      <c r="G51" s="6" t="n"/>
      <c r="H51" s="6" t="n"/>
      <c r="I51" s="6" t="n"/>
      <c r="J51" s="6">
        <f>IF(I51="","",I51+CHOOSE(MATCH(G51,{"Monthly","Quarterly","Semi-annually","Annually"},0),30,90,180,365))</f>
        <v/>
      </c>
      <c r="K51" s="6">
        <f>IF(J51="","",IF(J51&gt;TODAY()+30,"✅ Current",IF(J51&gt;TODAY(),"⚠ Due Soon","❌ Overdue")))</f>
        <v/>
      </c>
      <c r="L51" s="6">
        <f>IF(J51="","",J51-TODAY())</f>
        <v/>
      </c>
      <c r="M51" s="6" t="n"/>
      <c r="N51" s="6" t="n"/>
    </row>
    <row r="52">
      <c r="A52" s="6" t="n"/>
      <c r="B52" s="6" t="n"/>
      <c r="C52" s="6" t="n"/>
      <c r="D52" s="6" t="n"/>
      <c r="E52" s="6" t="n"/>
      <c r="F52" s="6" t="n"/>
      <c r="G52" s="6" t="n"/>
      <c r="H52" s="6" t="n"/>
      <c r="I52" s="6" t="n"/>
      <c r="J52" s="6">
        <f>IF(I52="","",I52+CHOOSE(MATCH(G52,{"Monthly","Quarterly","Semi-annually","Annually"},0),30,90,180,365))</f>
        <v/>
      </c>
      <c r="K52" s="6">
        <f>IF(J52="","",IF(J52&gt;TODAY()+30,"✅ Current",IF(J52&gt;TODAY(),"⚠ Due Soon","❌ Overdue")))</f>
        <v/>
      </c>
      <c r="L52" s="6">
        <f>IF(J52="","",J52-TODAY())</f>
        <v/>
      </c>
      <c r="M52" s="6" t="n"/>
      <c r="N52" s="6" t="n"/>
    </row>
    <row r="53">
      <c r="A53" s="6" t="n"/>
      <c r="B53" s="6" t="n"/>
      <c r="C53" s="6" t="n"/>
      <c r="D53" s="6" t="n"/>
      <c r="E53" s="6" t="n"/>
      <c r="F53" s="6" t="n"/>
      <c r="G53" s="6" t="n"/>
      <c r="H53" s="6" t="n"/>
      <c r="I53" s="6" t="n"/>
      <c r="J53" s="6">
        <f>IF(I53="","",I53+CHOOSE(MATCH(G53,{"Monthly","Quarterly","Semi-annually","Annually"},0),30,90,180,365))</f>
        <v/>
      </c>
      <c r="K53" s="6">
        <f>IF(J53="","",IF(J53&gt;TODAY()+30,"✅ Current",IF(J53&gt;TODAY(),"⚠ Due Soon","❌ Overdue")))</f>
        <v/>
      </c>
      <c r="L53" s="6">
        <f>IF(J53="","",J53-TODAY())</f>
        <v/>
      </c>
      <c r="M53" s="6" t="n"/>
      <c r="N53" s="6" t="n"/>
    </row>
    <row r="54">
      <c r="A54" s="6" t="n"/>
      <c r="B54" s="6" t="n"/>
      <c r="C54" s="6" t="n"/>
      <c r="D54" s="6" t="n"/>
      <c r="E54" s="6" t="n"/>
      <c r="F54" s="6" t="n"/>
      <c r="G54" s="6" t="n"/>
      <c r="H54" s="6" t="n"/>
      <c r="I54" s="6" t="n"/>
      <c r="J54" s="6">
        <f>IF(I54="","",I54+CHOOSE(MATCH(G54,{"Monthly","Quarterly","Semi-annually","Annually"},0),30,90,180,365))</f>
        <v/>
      </c>
      <c r="K54" s="6">
        <f>IF(J54="","",IF(J54&gt;TODAY()+30,"✅ Current",IF(J54&gt;TODAY(),"⚠ Due Soon","❌ Overdue")))</f>
        <v/>
      </c>
      <c r="L54" s="6">
        <f>IF(J54="","",J54-TODAY())</f>
        <v/>
      </c>
      <c r="M54" s="6" t="n"/>
      <c r="N54" s="6" t="n"/>
    </row>
    <row r="55">
      <c r="A55" s="6" t="n"/>
      <c r="B55" s="6" t="n"/>
      <c r="C55" s="6" t="n"/>
      <c r="D55" s="6" t="n"/>
      <c r="E55" s="6" t="n"/>
      <c r="F55" s="6" t="n"/>
      <c r="G55" s="6" t="n"/>
      <c r="H55" s="6" t="n"/>
      <c r="I55" s="6" t="n"/>
      <c r="J55" s="6">
        <f>IF(I55="","",I55+CHOOSE(MATCH(G55,{"Monthly","Quarterly","Semi-annually","Annually"},0),30,90,180,365))</f>
        <v/>
      </c>
      <c r="K55" s="6">
        <f>IF(J55="","",IF(J55&gt;TODAY()+30,"✅ Current",IF(J55&gt;TODAY(),"⚠ Due Soon","❌ Overdue")))</f>
        <v/>
      </c>
      <c r="L55" s="6">
        <f>IF(J55="","",J55-TODAY())</f>
        <v/>
      </c>
      <c r="M55" s="6" t="n"/>
      <c r="N55" s="6" t="n"/>
    </row>
    <row r="56">
      <c r="A56" s="6" t="n"/>
      <c r="B56" s="6" t="n"/>
      <c r="C56" s="6" t="n"/>
      <c r="D56" s="6" t="n"/>
      <c r="E56" s="6" t="n"/>
      <c r="F56" s="6" t="n"/>
      <c r="G56" s="6" t="n"/>
      <c r="H56" s="6" t="n"/>
      <c r="I56" s="6" t="n"/>
      <c r="J56" s="6">
        <f>IF(I56="","",I56+CHOOSE(MATCH(G56,{"Monthly","Quarterly","Semi-annually","Annually"},0),30,90,180,365))</f>
        <v/>
      </c>
      <c r="K56" s="6">
        <f>IF(J56="","",IF(J56&gt;TODAY()+30,"✅ Current",IF(J56&gt;TODAY(),"⚠ Due Soon","❌ Overdue")))</f>
        <v/>
      </c>
      <c r="L56" s="6">
        <f>IF(J56="","",J56-TODAY())</f>
        <v/>
      </c>
      <c r="M56" s="6" t="n"/>
      <c r="N56" s="6" t="n"/>
    </row>
    <row r="57">
      <c r="A57" s="6" t="n"/>
      <c r="B57" s="6" t="n"/>
      <c r="C57" s="6" t="n"/>
      <c r="D57" s="6" t="n"/>
      <c r="E57" s="6" t="n"/>
      <c r="F57" s="6" t="n"/>
      <c r="G57" s="6" t="n"/>
      <c r="H57" s="6" t="n"/>
      <c r="I57" s="6" t="n"/>
      <c r="J57" s="6">
        <f>IF(I57="","",I57+CHOOSE(MATCH(G57,{"Monthly","Quarterly","Semi-annually","Annually"},0),30,90,180,365))</f>
        <v/>
      </c>
      <c r="K57" s="6">
        <f>IF(J57="","",IF(J57&gt;TODAY()+30,"✅ Current",IF(J57&gt;TODAY(),"⚠ Due Soon","❌ Overdue")))</f>
        <v/>
      </c>
      <c r="L57" s="6">
        <f>IF(J57="","",J57-TODAY())</f>
        <v/>
      </c>
      <c r="M57" s="6" t="n"/>
      <c r="N57" s="6" t="n"/>
    </row>
    <row r="58">
      <c r="A58" s="6" t="n"/>
      <c r="B58" s="6" t="n"/>
      <c r="C58" s="6" t="n"/>
      <c r="D58" s="6" t="n"/>
      <c r="E58" s="6" t="n"/>
      <c r="F58" s="6" t="n"/>
      <c r="G58" s="6" t="n"/>
      <c r="H58" s="6" t="n"/>
      <c r="I58" s="6" t="n"/>
      <c r="J58" s="6">
        <f>IF(I58="","",I58+CHOOSE(MATCH(G58,{"Monthly","Quarterly","Semi-annually","Annually"},0),30,90,180,365))</f>
        <v/>
      </c>
      <c r="K58" s="6">
        <f>IF(J58="","",IF(J58&gt;TODAY()+30,"✅ Current",IF(J58&gt;TODAY(),"⚠ Due Soon","❌ Overdue")))</f>
        <v/>
      </c>
      <c r="L58" s="6">
        <f>IF(J58="","",J58-TODAY())</f>
        <v/>
      </c>
      <c r="M58" s="6" t="n"/>
      <c r="N58" s="6" t="n"/>
    </row>
    <row r="59">
      <c r="A59" s="6" t="n"/>
      <c r="B59" s="6" t="n"/>
      <c r="C59" s="6" t="n"/>
      <c r="D59" s="6" t="n"/>
      <c r="E59" s="6" t="n"/>
      <c r="F59" s="6" t="n"/>
      <c r="G59" s="6" t="n"/>
      <c r="H59" s="6" t="n"/>
      <c r="I59" s="6" t="n"/>
      <c r="J59" s="6">
        <f>IF(I59="","",I59+CHOOSE(MATCH(G59,{"Monthly","Quarterly","Semi-annually","Annually"},0),30,90,180,365))</f>
        <v/>
      </c>
      <c r="K59" s="6">
        <f>IF(J59="","",IF(J59&gt;TODAY()+30,"✅ Current",IF(J59&gt;TODAY(),"⚠ Due Soon","❌ Overdue")))</f>
        <v/>
      </c>
      <c r="L59" s="6">
        <f>IF(J59="","",J59-TODAY())</f>
        <v/>
      </c>
      <c r="M59" s="6" t="n"/>
      <c r="N59" s="6" t="n"/>
    </row>
    <row r="60">
      <c r="A60" s="6" t="n"/>
      <c r="B60" s="6" t="n"/>
      <c r="C60" s="6" t="n"/>
      <c r="D60" s="6" t="n"/>
      <c r="E60" s="6" t="n"/>
      <c r="F60" s="6" t="n"/>
      <c r="G60" s="6" t="n"/>
      <c r="H60" s="6" t="n"/>
      <c r="I60" s="6" t="n"/>
      <c r="J60" s="6">
        <f>IF(I60="","",I60+CHOOSE(MATCH(G60,{"Monthly","Quarterly","Semi-annually","Annually"},0),30,90,180,365))</f>
        <v/>
      </c>
      <c r="K60" s="6">
        <f>IF(J60="","",IF(J60&gt;TODAY()+30,"✅ Current",IF(J60&gt;TODAY(),"⚠ Due Soon","❌ Overdue")))</f>
        <v/>
      </c>
      <c r="L60" s="6">
        <f>IF(J60="","",J60-TODAY())</f>
        <v/>
      </c>
      <c r="M60" s="6" t="n"/>
      <c r="N60" s="6" t="n"/>
    </row>
    <row r="61">
      <c r="A61" s="6" t="n"/>
      <c r="B61" s="6" t="n"/>
      <c r="C61" s="6" t="n"/>
      <c r="D61" s="6" t="n"/>
      <c r="E61" s="6" t="n"/>
      <c r="F61" s="6" t="n"/>
      <c r="G61" s="6" t="n"/>
      <c r="H61" s="6" t="n"/>
      <c r="I61" s="6" t="n"/>
      <c r="J61" s="6">
        <f>IF(I61="","",I61+CHOOSE(MATCH(G61,{"Monthly","Quarterly","Semi-annually","Annually"},0),30,90,180,365))</f>
        <v/>
      </c>
      <c r="K61" s="6">
        <f>IF(J61="","",IF(J61&gt;TODAY()+30,"✅ Current",IF(J61&gt;TODAY(),"⚠ Due Soon","❌ Overdue")))</f>
        <v/>
      </c>
      <c r="L61" s="6">
        <f>IF(J61="","",J61-TODAY())</f>
        <v/>
      </c>
      <c r="M61" s="6" t="n"/>
      <c r="N61" s="6" t="n"/>
    </row>
    <row r="62">
      <c r="A62" s="6" t="n"/>
      <c r="B62" s="6" t="n"/>
      <c r="C62" s="6" t="n"/>
      <c r="D62" s="6" t="n"/>
      <c r="E62" s="6" t="n"/>
      <c r="F62" s="6" t="n"/>
      <c r="G62" s="6" t="n"/>
      <c r="H62" s="6" t="n"/>
      <c r="I62" s="6" t="n"/>
      <c r="J62" s="6">
        <f>IF(I62="","",I62+CHOOSE(MATCH(G62,{"Monthly","Quarterly","Semi-annually","Annually"},0),30,90,180,365))</f>
        <v/>
      </c>
      <c r="K62" s="6">
        <f>IF(J62="","",IF(J62&gt;TODAY()+30,"✅ Current",IF(J62&gt;TODAY(),"⚠ Due Soon","❌ Overdue")))</f>
        <v/>
      </c>
      <c r="L62" s="6">
        <f>IF(J62="","",J62-TODAY())</f>
        <v/>
      </c>
      <c r="M62" s="6" t="n"/>
      <c r="N62" s="6" t="n"/>
    </row>
    <row r="63">
      <c r="A63" s="6" t="n"/>
      <c r="B63" s="6" t="n"/>
      <c r="C63" s="6" t="n"/>
      <c r="D63" s="6" t="n"/>
      <c r="E63" s="6" t="n"/>
      <c r="F63" s="6" t="n"/>
      <c r="G63" s="6" t="n"/>
      <c r="H63" s="6" t="n"/>
      <c r="I63" s="6" t="n"/>
      <c r="J63" s="6">
        <f>IF(I63="","",I63+CHOOSE(MATCH(G63,{"Monthly","Quarterly","Semi-annually","Annually"},0),30,90,180,365))</f>
        <v/>
      </c>
      <c r="K63" s="6">
        <f>IF(J63="","",IF(J63&gt;TODAY()+30,"✅ Current",IF(J63&gt;TODAY(),"⚠ Due Soon","❌ Overdue")))</f>
        <v/>
      </c>
      <c r="L63" s="6">
        <f>IF(J63="","",J63-TODAY())</f>
        <v/>
      </c>
      <c r="M63" s="6" t="n"/>
      <c r="N63" s="6" t="n"/>
    </row>
    <row r="64">
      <c r="A64" s="6" t="n"/>
      <c r="B64" s="6" t="n"/>
      <c r="C64" s="6" t="n"/>
      <c r="D64" s="6" t="n"/>
      <c r="E64" s="6" t="n"/>
      <c r="F64" s="6" t="n"/>
      <c r="G64" s="6" t="n"/>
      <c r="H64" s="6" t="n"/>
      <c r="I64" s="6" t="n"/>
      <c r="J64" s="6">
        <f>IF(I64="","",I64+CHOOSE(MATCH(G64,{"Monthly","Quarterly","Semi-annually","Annually"},0),30,90,180,365))</f>
        <v/>
      </c>
      <c r="K64" s="6">
        <f>IF(J64="","",IF(J64&gt;TODAY()+30,"✅ Current",IF(J64&gt;TODAY(),"⚠ Due Soon","❌ Overdue")))</f>
        <v/>
      </c>
      <c r="L64" s="6">
        <f>IF(J64="","",J64-TODAY())</f>
        <v/>
      </c>
      <c r="M64" s="6" t="n"/>
      <c r="N64" s="6" t="n"/>
    </row>
    <row r="65">
      <c r="A65" s="6" t="n"/>
      <c r="B65" s="6" t="n"/>
      <c r="C65" s="6" t="n"/>
      <c r="D65" s="6" t="n"/>
      <c r="E65" s="6" t="n"/>
      <c r="F65" s="6" t="n"/>
      <c r="G65" s="6" t="n"/>
      <c r="H65" s="6" t="n"/>
      <c r="I65" s="6" t="n"/>
      <c r="J65" s="6">
        <f>IF(I65="","",I65+CHOOSE(MATCH(G65,{"Monthly","Quarterly","Semi-annually","Annually"},0),30,90,180,365))</f>
        <v/>
      </c>
      <c r="K65" s="6">
        <f>IF(J65="","",IF(J65&gt;TODAY()+30,"✅ Current",IF(J65&gt;TODAY(),"⚠ Due Soon","❌ Overdue")))</f>
        <v/>
      </c>
      <c r="L65" s="6">
        <f>IF(J65="","",J65-TODAY())</f>
        <v/>
      </c>
      <c r="M65" s="6" t="n"/>
      <c r="N65" s="6" t="n"/>
    </row>
    <row r="66">
      <c r="A66" s="6" t="n"/>
      <c r="B66" s="6" t="n"/>
      <c r="C66" s="6" t="n"/>
      <c r="D66" s="6" t="n"/>
      <c r="E66" s="6" t="n"/>
      <c r="F66" s="6" t="n"/>
      <c r="G66" s="6" t="n"/>
      <c r="H66" s="6" t="n"/>
      <c r="I66" s="6" t="n"/>
      <c r="J66" s="6">
        <f>IF(I66="","",I66+CHOOSE(MATCH(G66,{"Monthly","Quarterly","Semi-annually","Annually"},0),30,90,180,365))</f>
        <v/>
      </c>
      <c r="K66" s="6">
        <f>IF(J66="","",IF(J66&gt;TODAY()+30,"✅ Current",IF(J66&gt;TODAY(),"⚠ Due Soon","❌ Overdue")))</f>
        <v/>
      </c>
      <c r="L66" s="6">
        <f>IF(J66="","",J66-TODAY())</f>
        <v/>
      </c>
      <c r="M66" s="6" t="n"/>
      <c r="N66" s="6" t="n"/>
    </row>
    <row r="67">
      <c r="A67" s="6" t="n"/>
      <c r="B67" s="6" t="n"/>
      <c r="C67" s="6" t="n"/>
      <c r="D67" s="6" t="n"/>
      <c r="E67" s="6" t="n"/>
      <c r="F67" s="6" t="n"/>
      <c r="G67" s="6" t="n"/>
      <c r="H67" s="6" t="n"/>
      <c r="I67" s="6" t="n"/>
      <c r="J67" s="6">
        <f>IF(I67="","",I67+CHOOSE(MATCH(G67,{"Monthly","Quarterly","Semi-annually","Annually"},0),30,90,180,365))</f>
        <v/>
      </c>
      <c r="K67" s="6">
        <f>IF(J67="","",IF(J67&gt;TODAY()+30,"✅ Current",IF(J67&gt;TODAY(),"⚠ Due Soon","❌ Overdue")))</f>
        <v/>
      </c>
      <c r="L67" s="6">
        <f>IF(J67="","",J67-TODAY())</f>
        <v/>
      </c>
      <c r="M67" s="6" t="n"/>
      <c r="N67" s="6" t="n"/>
    </row>
    <row r="68">
      <c r="A68" s="6" t="n"/>
      <c r="B68" s="6" t="n"/>
      <c r="C68" s="6" t="n"/>
      <c r="D68" s="6" t="n"/>
      <c r="E68" s="6" t="n"/>
      <c r="F68" s="6" t="n"/>
      <c r="G68" s="6" t="n"/>
      <c r="H68" s="6" t="n"/>
      <c r="I68" s="6" t="n"/>
      <c r="J68" s="6">
        <f>IF(I68="","",I68+CHOOSE(MATCH(G68,{"Monthly","Quarterly","Semi-annually","Annually"},0),30,90,180,365))</f>
        <v/>
      </c>
      <c r="K68" s="6">
        <f>IF(J68="","",IF(J68&gt;TODAY()+30,"✅ Current",IF(J68&gt;TODAY(),"⚠ Due Soon","❌ Overdue")))</f>
        <v/>
      </c>
      <c r="L68" s="6">
        <f>IF(J68="","",J68-TODAY())</f>
        <v/>
      </c>
      <c r="M68" s="6" t="n"/>
      <c r="N68" s="6" t="n"/>
    </row>
    <row r="69">
      <c r="A69" s="6" t="n"/>
      <c r="B69" s="6" t="n"/>
      <c r="C69" s="6" t="n"/>
      <c r="D69" s="6" t="n"/>
      <c r="E69" s="6" t="n"/>
      <c r="F69" s="6" t="n"/>
      <c r="G69" s="6" t="n"/>
      <c r="H69" s="6" t="n"/>
      <c r="I69" s="6" t="n"/>
      <c r="J69" s="6">
        <f>IF(I69="","",I69+CHOOSE(MATCH(G69,{"Monthly","Quarterly","Semi-annually","Annually"},0),30,90,180,365))</f>
        <v/>
      </c>
      <c r="K69" s="6">
        <f>IF(J69="","",IF(J69&gt;TODAY()+30,"✅ Current",IF(J69&gt;TODAY(),"⚠ Due Soon","❌ Overdue")))</f>
        <v/>
      </c>
      <c r="L69" s="6">
        <f>IF(J69="","",J69-TODAY())</f>
        <v/>
      </c>
      <c r="M69" s="6" t="n"/>
      <c r="N69" s="6" t="n"/>
    </row>
    <row r="70">
      <c r="A70" s="6" t="n"/>
      <c r="B70" s="6" t="n"/>
      <c r="C70" s="6" t="n"/>
      <c r="D70" s="6" t="n"/>
      <c r="E70" s="6" t="n"/>
      <c r="F70" s="6" t="n"/>
      <c r="G70" s="6" t="n"/>
      <c r="H70" s="6" t="n"/>
      <c r="I70" s="6" t="n"/>
      <c r="J70" s="6">
        <f>IF(I70="","",I70+CHOOSE(MATCH(G70,{"Monthly","Quarterly","Semi-annually","Annually"},0),30,90,180,365))</f>
        <v/>
      </c>
      <c r="K70" s="6">
        <f>IF(J70="","",IF(J70&gt;TODAY()+30,"✅ Current",IF(J70&gt;TODAY(),"⚠ Due Soon","❌ Overdue")))</f>
        <v/>
      </c>
      <c r="L70" s="6">
        <f>IF(J70="","",J70-TODAY())</f>
        <v/>
      </c>
      <c r="M70" s="6" t="n"/>
      <c r="N70" s="6" t="n"/>
    </row>
    <row r="71">
      <c r="A71" s="6" t="n"/>
      <c r="B71" s="6" t="n"/>
      <c r="C71" s="6" t="n"/>
      <c r="D71" s="6" t="n"/>
      <c r="E71" s="6" t="n"/>
      <c r="F71" s="6" t="n"/>
      <c r="G71" s="6" t="n"/>
      <c r="H71" s="6" t="n"/>
      <c r="I71" s="6" t="n"/>
      <c r="J71" s="6">
        <f>IF(I71="","",I71+CHOOSE(MATCH(G71,{"Monthly","Quarterly","Semi-annually","Annually"},0),30,90,180,365))</f>
        <v/>
      </c>
      <c r="K71" s="6">
        <f>IF(J71="","",IF(J71&gt;TODAY()+30,"✅ Current",IF(J71&gt;TODAY(),"⚠ Due Soon","❌ Overdue")))</f>
        <v/>
      </c>
      <c r="L71" s="6">
        <f>IF(J71="","",J71-TODAY())</f>
        <v/>
      </c>
      <c r="M71" s="6" t="n"/>
      <c r="N71" s="6" t="n"/>
    </row>
    <row r="72">
      <c r="A72" s="6" t="n"/>
      <c r="B72" s="6" t="n"/>
      <c r="C72" s="6" t="n"/>
      <c r="D72" s="6" t="n"/>
      <c r="E72" s="6" t="n"/>
      <c r="F72" s="6" t="n"/>
      <c r="G72" s="6" t="n"/>
      <c r="H72" s="6" t="n"/>
      <c r="I72" s="6" t="n"/>
      <c r="J72" s="6">
        <f>IF(I72="","",I72+CHOOSE(MATCH(G72,{"Monthly","Quarterly","Semi-annually","Annually"},0),30,90,180,365))</f>
        <v/>
      </c>
      <c r="K72" s="6">
        <f>IF(J72="","",IF(J72&gt;TODAY()+30,"✅ Current",IF(J72&gt;TODAY(),"⚠ Due Soon","❌ Overdue")))</f>
        <v/>
      </c>
      <c r="L72" s="6">
        <f>IF(J72="","",J72-TODAY())</f>
        <v/>
      </c>
      <c r="M72" s="6" t="n"/>
      <c r="N72" s="6" t="n"/>
    </row>
    <row r="73">
      <c r="A73" s="6" t="n"/>
      <c r="B73" s="6" t="n"/>
      <c r="C73" s="6" t="n"/>
      <c r="D73" s="6" t="n"/>
      <c r="E73" s="6" t="n"/>
      <c r="F73" s="6" t="n"/>
      <c r="G73" s="6" t="n"/>
      <c r="H73" s="6" t="n"/>
      <c r="I73" s="6" t="n"/>
      <c r="J73" s="6">
        <f>IF(I73="","",I73+CHOOSE(MATCH(G73,{"Monthly","Quarterly","Semi-annually","Annually"},0),30,90,180,365))</f>
        <v/>
      </c>
      <c r="K73" s="6">
        <f>IF(J73="","",IF(J73&gt;TODAY()+30,"✅ Current",IF(J73&gt;TODAY(),"⚠ Due Soon","❌ Overdue")))</f>
        <v/>
      </c>
      <c r="L73" s="6">
        <f>IF(J73="","",J73-TODAY())</f>
        <v/>
      </c>
      <c r="M73" s="6" t="n"/>
      <c r="N73" s="6" t="n"/>
    </row>
    <row r="74">
      <c r="A74" s="6" t="n"/>
      <c r="B74" s="6" t="n"/>
      <c r="C74" s="6" t="n"/>
      <c r="D74" s="6" t="n"/>
      <c r="E74" s="6" t="n"/>
      <c r="F74" s="6" t="n"/>
      <c r="G74" s="6" t="n"/>
      <c r="H74" s="6" t="n"/>
      <c r="I74" s="6" t="n"/>
      <c r="J74" s="6">
        <f>IF(I74="","",I74+CHOOSE(MATCH(G74,{"Monthly","Quarterly","Semi-annually","Annually"},0),30,90,180,365))</f>
        <v/>
      </c>
      <c r="K74" s="6">
        <f>IF(J74="","",IF(J74&gt;TODAY()+30,"✅ Current",IF(J74&gt;TODAY(),"⚠ Due Soon","❌ Overdue")))</f>
        <v/>
      </c>
      <c r="L74" s="6">
        <f>IF(J74="","",J74-TODAY())</f>
        <v/>
      </c>
      <c r="M74" s="6" t="n"/>
      <c r="N74" s="6" t="n"/>
    </row>
    <row r="75">
      <c r="A75" s="6" t="n"/>
      <c r="B75" s="6" t="n"/>
      <c r="C75" s="6" t="n"/>
      <c r="D75" s="6" t="n"/>
      <c r="E75" s="6" t="n"/>
      <c r="F75" s="6" t="n"/>
      <c r="G75" s="6" t="n"/>
      <c r="H75" s="6" t="n"/>
      <c r="I75" s="6" t="n"/>
      <c r="J75" s="6">
        <f>IF(I75="","",I75+CHOOSE(MATCH(G75,{"Monthly","Quarterly","Semi-annually","Annually"},0),30,90,180,365))</f>
        <v/>
      </c>
      <c r="K75" s="6">
        <f>IF(J75="","",IF(J75&gt;TODAY()+30,"✅ Current",IF(J75&gt;TODAY(),"⚠ Due Soon","❌ Overdue")))</f>
        <v/>
      </c>
      <c r="L75" s="6">
        <f>IF(J75="","",J75-TODAY())</f>
        <v/>
      </c>
      <c r="M75" s="6" t="n"/>
      <c r="N75" s="6" t="n"/>
    </row>
    <row r="76">
      <c r="A76" s="6" t="n"/>
      <c r="B76" s="6" t="n"/>
      <c r="C76" s="6" t="n"/>
      <c r="D76" s="6" t="n"/>
      <c r="E76" s="6" t="n"/>
      <c r="F76" s="6" t="n"/>
      <c r="G76" s="6" t="n"/>
      <c r="H76" s="6" t="n"/>
      <c r="I76" s="6" t="n"/>
      <c r="J76" s="6">
        <f>IF(I76="","",I76+CHOOSE(MATCH(G76,{"Monthly","Quarterly","Semi-annually","Annually"},0),30,90,180,365))</f>
        <v/>
      </c>
      <c r="K76" s="6">
        <f>IF(J76="","",IF(J76&gt;TODAY()+30,"✅ Current",IF(J76&gt;TODAY(),"⚠ Due Soon","❌ Overdue")))</f>
        <v/>
      </c>
      <c r="L76" s="6">
        <f>IF(J76="","",J76-TODAY())</f>
        <v/>
      </c>
      <c r="M76" s="6" t="n"/>
      <c r="N76" s="6" t="n"/>
    </row>
    <row r="77">
      <c r="A77" s="6" t="n"/>
      <c r="B77" s="6" t="n"/>
      <c r="C77" s="6" t="n"/>
      <c r="D77" s="6" t="n"/>
      <c r="E77" s="6" t="n"/>
      <c r="F77" s="6" t="n"/>
      <c r="G77" s="6" t="n"/>
      <c r="H77" s="6" t="n"/>
      <c r="I77" s="6" t="n"/>
      <c r="J77" s="6">
        <f>IF(I77="","",I77+CHOOSE(MATCH(G77,{"Monthly","Quarterly","Semi-annually","Annually"},0),30,90,180,365))</f>
        <v/>
      </c>
      <c r="K77" s="6">
        <f>IF(J77="","",IF(J77&gt;TODAY()+30,"✅ Current",IF(J77&gt;TODAY(),"⚠ Due Soon","❌ Overdue")))</f>
        <v/>
      </c>
      <c r="L77" s="6">
        <f>IF(J77="","",J77-TODAY())</f>
        <v/>
      </c>
      <c r="M77" s="6" t="n"/>
      <c r="N77" s="6" t="n"/>
    </row>
    <row r="78">
      <c r="A78" s="6" t="n"/>
      <c r="B78" s="6" t="n"/>
      <c r="C78" s="6" t="n"/>
      <c r="D78" s="6" t="n"/>
      <c r="E78" s="6" t="n"/>
      <c r="F78" s="6" t="n"/>
      <c r="G78" s="6" t="n"/>
      <c r="H78" s="6" t="n"/>
      <c r="I78" s="6" t="n"/>
      <c r="J78" s="6">
        <f>IF(I78="","",I78+CHOOSE(MATCH(G78,{"Monthly","Quarterly","Semi-annually","Annually"},0),30,90,180,365))</f>
        <v/>
      </c>
      <c r="K78" s="6">
        <f>IF(J78="","",IF(J78&gt;TODAY()+30,"✅ Current",IF(J78&gt;TODAY(),"⚠ Due Soon","❌ Overdue")))</f>
        <v/>
      </c>
      <c r="L78" s="6">
        <f>IF(J78="","",J78-TODAY())</f>
        <v/>
      </c>
      <c r="M78" s="6" t="n"/>
      <c r="N78" s="6" t="n"/>
    </row>
    <row r="79">
      <c r="A79" s="6" t="n"/>
      <c r="B79" s="6" t="n"/>
      <c r="C79" s="6" t="n"/>
      <c r="D79" s="6" t="n"/>
      <c r="E79" s="6" t="n"/>
      <c r="F79" s="6" t="n"/>
      <c r="G79" s="6" t="n"/>
      <c r="H79" s="6" t="n"/>
      <c r="I79" s="6" t="n"/>
      <c r="J79" s="6">
        <f>IF(I79="","",I79+CHOOSE(MATCH(G79,{"Monthly","Quarterly","Semi-annually","Annually"},0),30,90,180,365))</f>
        <v/>
      </c>
      <c r="K79" s="6">
        <f>IF(J79="","",IF(J79&gt;TODAY()+30,"✅ Current",IF(J79&gt;TODAY(),"⚠ Due Soon","❌ Overdue")))</f>
        <v/>
      </c>
      <c r="L79" s="6">
        <f>IF(J79="","",J79-TODAY())</f>
        <v/>
      </c>
      <c r="M79" s="6" t="n"/>
      <c r="N79" s="6" t="n"/>
    </row>
    <row r="80">
      <c r="A80" s="6" t="n"/>
      <c r="B80" s="6" t="n"/>
      <c r="C80" s="6" t="n"/>
      <c r="D80" s="6" t="n"/>
      <c r="E80" s="6" t="n"/>
      <c r="F80" s="6" t="n"/>
      <c r="G80" s="6" t="n"/>
      <c r="H80" s="6" t="n"/>
      <c r="I80" s="6" t="n"/>
      <c r="J80" s="6">
        <f>IF(I80="","",I80+CHOOSE(MATCH(G80,{"Monthly","Quarterly","Semi-annually","Annually"},0),30,90,180,365))</f>
        <v/>
      </c>
      <c r="K80" s="6">
        <f>IF(J80="","",IF(J80&gt;TODAY()+30,"✅ Current",IF(J80&gt;TODAY(),"⚠ Due Soon","❌ Overdue")))</f>
        <v/>
      </c>
      <c r="L80" s="6">
        <f>IF(J80="","",J80-TODAY())</f>
        <v/>
      </c>
      <c r="M80" s="6" t="n"/>
      <c r="N80" s="6" t="n"/>
    </row>
    <row r="81">
      <c r="A81" s="6" t="n"/>
      <c r="B81" s="6" t="n"/>
      <c r="C81" s="6" t="n"/>
      <c r="D81" s="6" t="n"/>
      <c r="E81" s="6" t="n"/>
      <c r="F81" s="6" t="n"/>
      <c r="G81" s="6" t="n"/>
      <c r="H81" s="6" t="n"/>
      <c r="I81" s="6" t="n"/>
      <c r="J81" s="6">
        <f>IF(I81="","",I81+CHOOSE(MATCH(G81,{"Monthly","Quarterly","Semi-annually","Annually"},0),30,90,180,365))</f>
        <v/>
      </c>
      <c r="K81" s="6">
        <f>IF(J81="","",IF(J81&gt;TODAY()+30,"✅ Current",IF(J81&gt;TODAY(),"⚠ Due Soon","❌ Overdue")))</f>
        <v/>
      </c>
      <c r="L81" s="6">
        <f>IF(J81="","",J81-TODAY())</f>
        <v/>
      </c>
      <c r="M81" s="6" t="n"/>
      <c r="N81" s="6" t="n"/>
    </row>
    <row r="82">
      <c r="A82" s="6" t="n"/>
      <c r="B82" s="6" t="n"/>
      <c r="C82" s="6" t="n"/>
      <c r="D82" s="6" t="n"/>
      <c r="E82" s="6" t="n"/>
      <c r="F82" s="6" t="n"/>
      <c r="G82" s="6" t="n"/>
      <c r="H82" s="6" t="n"/>
      <c r="I82" s="6" t="n"/>
      <c r="J82" s="6">
        <f>IF(I82="","",I82+CHOOSE(MATCH(G82,{"Monthly","Quarterly","Semi-annually","Annually"},0),30,90,180,365))</f>
        <v/>
      </c>
      <c r="K82" s="6">
        <f>IF(J82="","",IF(J82&gt;TODAY()+30,"✅ Current",IF(J82&gt;TODAY(),"⚠ Due Soon","❌ Overdue")))</f>
        <v/>
      </c>
      <c r="L82" s="6">
        <f>IF(J82="","",J82-TODAY())</f>
        <v/>
      </c>
      <c r="M82" s="6" t="n"/>
      <c r="N82" s="6" t="n"/>
    </row>
    <row r="83">
      <c r="A83" s="6" t="n"/>
      <c r="B83" s="6" t="n"/>
      <c r="C83" s="6" t="n"/>
      <c r="D83" s="6" t="n"/>
      <c r="E83" s="6" t="n"/>
      <c r="F83" s="6" t="n"/>
      <c r="G83" s="6" t="n"/>
      <c r="H83" s="6" t="n"/>
      <c r="I83" s="6" t="n"/>
      <c r="J83" s="6">
        <f>IF(I83="","",I83+CHOOSE(MATCH(G83,{"Monthly","Quarterly","Semi-annually","Annually"},0),30,90,180,365))</f>
        <v/>
      </c>
      <c r="K83" s="6">
        <f>IF(J83="","",IF(J83&gt;TODAY()+30,"✅ Current",IF(J83&gt;TODAY(),"⚠ Due Soon","❌ Overdue")))</f>
        <v/>
      </c>
      <c r="L83" s="6">
        <f>IF(J83="","",J83-TODAY())</f>
        <v/>
      </c>
      <c r="M83" s="6" t="n"/>
      <c r="N83" s="6" t="n"/>
    </row>
    <row r="84">
      <c r="A84" s="6" t="n"/>
      <c r="B84" s="6" t="n"/>
      <c r="C84" s="6" t="n"/>
      <c r="D84" s="6" t="n"/>
      <c r="E84" s="6" t="n"/>
      <c r="F84" s="6" t="n"/>
      <c r="G84" s="6" t="n"/>
      <c r="H84" s="6" t="n"/>
      <c r="I84" s="6" t="n"/>
      <c r="J84" s="6">
        <f>IF(I84="","",I84+CHOOSE(MATCH(G84,{"Monthly","Quarterly","Semi-annually","Annually"},0),30,90,180,365))</f>
        <v/>
      </c>
      <c r="K84" s="6">
        <f>IF(J84="","",IF(J84&gt;TODAY()+30,"✅ Current",IF(J84&gt;TODAY(),"⚠ Due Soon","❌ Overdue")))</f>
        <v/>
      </c>
      <c r="L84" s="6">
        <f>IF(J84="","",J84-TODAY())</f>
        <v/>
      </c>
      <c r="M84" s="6" t="n"/>
      <c r="N84" s="6" t="n"/>
    </row>
    <row r="85">
      <c r="A85" s="6" t="n"/>
      <c r="B85" s="6" t="n"/>
      <c r="C85" s="6" t="n"/>
      <c r="D85" s="6" t="n"/>
      <c r="E85" s="6" t="n"/>
      <c r="F85" s="6" t="n"/>
      <c r="G85" s="6" t="n"/>
      <c r="H85" s="6" t="n"/>
      <c r="I85" s="6" t="n"/>
      <c r="J85" s="6">
        <f>IF(I85="","",I85+CHOOSE(MATCH(G85,{"Monthly","Quarterly","Semi-annually","Annually"},0),30,90,180,365))</f>
        <v/>
      </c>
      <c r="K85" s="6">
        <f>IF(J85="","",IF(J85&gt;TODAY()+30,"✅ Current",IF(J85&gt;TODAY(),"⚠ Due Soon","❌ Overdue")))</f>
        <v/>
      </c>
      <c r="L85" s="6">
        <f>IF(J85="","",J85-TODAY())</f>
        <v/>
      </c>
      <c r="M85" s="6" t="n"/>
      <c r="N85" s="6" t="n"/>
    </row>
    <row r="86">
      <c r="A86" s="6" t="n"/>
      <c r="B86" s="6" t="n"/>
      <c r="C86" s="6" t="n"/>
      <c r="D86" s="6" t="n"/>
      <c r="E86" s="6" t="n"/>
      <c r="F86" s="6" t="n"/>
      <c r="G86" s="6" t="n"/>
      <c r="H86" s="6" t="n"/>
      <c r="I86" s="6" t="n"/>
      <c r="J86" s="6">
        <f>IF(I86="","",I86+CHOOSE(MATCH(G86,{"Monthly","Quarterly","Semi-annually","Annually"},0),30,90,180,365))</f>
        <v/>
      </c>
      <c r="K86" s="6">
        <f>IF(J86="","",IF(J86&gt;TODAY()+30,"✅ Current",IF(J86&gt;TODAY(),"⚠ Due Soon","❌ Overdue")))</f>
        <v/>
      </c>
      <c r="L86" s="6">
        <f>IF(J86="","",J86-TODAY())</f>
        <v/>
      </c>
      <c r="M86" s="6" t="n"/>
      <c r="N86" s="6" t="n"/>
    </row>
    <row r="87">
      <c r="A87" s="6" t="n"/>
      <c r="B87" s="6" t="n"/>
      <c r="C87" s="6" t="n"/>
      <c r="D87" s="6" t="n"/>
      <c r="E87" s="6" t="n"/>
      <c r="F87" s="6" t="n"/>
      <c r="G87" s="6" t="n"/>
      <c r="H87" s="6" t="n"/>
      <c r="I87" s="6" t="n"/>
      <c r="J87" s="6">
        <f>IF(I87="","",I87+CHOOSE(MATCH(G87,{"Monthly","Quarterly","Semi-annually","Annually"},0),30,90,180,365))</f>
        <v/>
      </c>
      <c r="K87" s="6">
        <f>IF(J87="","",IF(J87&gt;TODAY()+30,"✅ Current",IF(J87&gt;TODAY(),"⚠ Due Soon","❌ Overdue")))</f>
        <v/>
      </c>
      <c r="L87" s="6">
        <f>IF(J87="","",J87-TODAY())</f>
        <v/>
      </c>
      <c r="M87" s="6" t="n"/>
      <c r="N87" s="6" t="n"/>
    </row>
    <row r="88">
      <c r="A88" s="6" t="n"/>
      <c r="B88" s="6" t="n"/>
      <c r="C88" s="6" t="n"/>
      <c r="D88" s="6" t="n"/>
      <c r="E88" s="6" t="n"/>
      <c r="F88" s="6" t="n"/>
      <c r="G88" s="6" t="n"/>
      <c r="H88" s="6" t="n"/>
      <c r="I88" s="6" t="n"/>
      <c r="J88" s="6">
        <f>IF(I88="","",I88+CHOOSE(MATCH(G88,{"Monthly","Quarterly","Semi-annually","Annually"},0),30,90,180,365))</f>
        <v/>
      </c>
      <c r="K88" s="6">
        <f>IF(J88="","",IF(J88&gt;TODAY()+30,"✅ Current",IF(J88&gt;TODAY(),"⚠ Due Soon","❌ Overdue")))</f>
        <v/>
      </c>
      <c r="L88" s="6">
        <f>IF(J88="","",J88-TODAY())</f>
        <v/>
      </c>
      <c r="M88" s="6" t="n"/>
      <c r="N88" s="6" t="n"/>
    </row>
    <row r="89">
      <c r="A89" s="6" t="n"/>
      <c r="B89" s="6" t="n"/>
      <c r="C89" s="6" t="n"/>
      <c r="D89" s="6" t="n"/>
      <c r="E89" s="6" t="n"/>
      <c r="F89" s="6" t="n"/>
      <c r="G89" s="6" t="n"/>
      <c r="H89" s="6" t="n"/>
      <c r="I89" s="6" t="n"/>
      <c r="J89" s="6">
        <f>IF(I89="","",I89+CHOOSE(MATCH(G89,{"Monthly","Quarterly","Semi-annually","Annually"},0),30,90,180,365))</f>
        <v/>
      </c>
      <c r="K89" s="6">
        <f>IF(J89="","",IF(J89&gt;TODAY()+30,"✅ Current",IF(J89&gt;TODAY(),"⚠ Due Soon","❌ Overdue")))</f>
        <v/>
      </c>
      <c r="L89" s="6">
        <f>IF(J89="","",J89-TODAY())</f>
        <v/>
      </c>
      <c r="M89" s="6" t="n"/>
      <c r="N89" s="6" t="n"/>
    </row>
    <row r="90">
      <c r="A90" s="6" t="n"/>
      <c r="B90" s="6" t="n"/>
      <c r="C90" s="6" t="n"/>
      <c r="D90" s="6" t="n"/>
      <c r="E90" s="6" t="n"/>
      <c r="F90" s="6" t="n"/>
      <c r="G90" s="6" t="n"/>
      <c r="H90" s="6" t="n"/>
      <c r="I90" s="6" t="n"/>
      <c r="J90" s="6">
        <f>IF(I90="","",I90+CHOOSE(MATCH(G90,{"Monthly","Quarterly","Semi-annually","Annually"},0),30,90,180,365))</f>
        <v/>
      </c>
      <c r="K90" s="6">
        <f>IF(J90="","",IF(J90&gt;TODAY()+30,"✅ Current",IF(J90&gt;TODAY(),"⚠ Due Soon","❌ Overdue")))</f>
        <v/>
      </c>
      <c r="L90" s="6">
        <f>IF(J90="","",J90-TODAY())</f>
        <v/>
      </c>
      <c r="M90" s="6" t="n"/>
      <c r="N90" s="6" t="n"/>
    </row>
    <row r="91">
      <c r="A91" s="6" t="n"/>
      <c r="B91" s="6" t="n"/>
      <c r="C91" s="6" t="n"/>
      <c r="D91" s="6" t="n"/>
      <c r="E91" s="6" t="n"/>
      <c r="F91" s="6" t="n"/>
      <c r="G91" s="6" t="n"/>
      <c r="H91" s="6" t="n"/>
      <c r="I91" s="6" t="n"/>
      <c r="J91" s="6">
        <f>IF(I91="","",I91+CHOOSE(MATCH(G91,{"Monthly","Quarterly","Semi-annually","Annually"},0),30,90,180,365))</f>
        <v/>
      </c>
      <c r="K91" s="6">
        <f>IF(J91="","",IF(J91&gt;TODAY()+30,"✅ Current",IF(J91&gt;TODAY(),"⚠ Due Soon","❌ Overdue")))</f>
        <v/>
      </c>
      <c r="L91" s="6">
        <f>IF(J91="","",J91-TODAY())</f>
        <v/>
      </c>
      <c r="M91" s="6" t="n"/>
      <c r="N91" s="6" t="n"/>
    </row>
    <row r="92">
      <c r="A92" s="6" t="n"/>
      <c r="B92" s="6" t="n"/>
      <c r="C92" s="6" t="n"/>
      <c r="D92" s="6" t="n"/>
      <c r="E92" s="6" t="n"/>
      <c r="F92" s="6" t="n"/>
      <c r="G92" s="6" t="n"/>
      <c r="H92" s="6" t="n"/>
      <c r="I92" s="6" t="n"/>
      <c r="J92" s="6">
        <f>IF(I92="","",I92+CHOOSE(MATCH(G92,{"Monthly","Quarterly","Semi-annually","Annually"},0),30,90,180,365))</f>
        <v/>
      </c>
      <c r="K92" s="6">
        <f>IF(J92="","",IF(J92&gt;TODAY()+30,"✅ Current",IF(J92&gt;TODAY(),"⚠ Due Soon","❌ Overdue")))</f>
        <v/>
      </c>
      <c r="L92" s="6">
        <f>IF(J92="","",J92-TODAY())</f>
        <v/>
      </c>
      <c r="M92" s="6" t="n"/>
      <c r="N92" s="6" t="n"/>
    </row>
    <row r="93">
      <c r="A93" s="6" t="n"/>
      <c r="B93" s="6" t="n"/>
      <c r="C93" s="6" t="n"/>
      <c r="D93" s="6" t="n"/>
      <c r="E93" s="6" t="n"/>
      <c r="F93" s="6" t="n"/>
      <c r="G93" s="6" t="n"/>
      <c r="H93" s="6" t="n"/>
      <c r="I93" s="6" t="n"/>
      <c r="J93" s="6">
        <f>IF(I93="","",I93+CHOOSE(MATCH(G93,{"Monthly","Quarterly","Semi-annually","Annually"},0),30,90,180,365))</f>
        <v/>
      </c>
      <c r="K93" s="6">
        <f>IF(J93="","",IF(J93&gt;TODAY()+30,"✅ Current",IF(J93&gt;TODAY(),"⚠ Due Soon","❌ Overdue")))</f>
        <v/>
      </c>
      <c r="L93" s="6">
        <f>IF(J93="","",J93-TODAY())</f>
        <v/>
      </c>
      <c r="M93" s="6" t="n"/>
      <c r="N93" s="6" t="n"/>
    </row>
    <row r="94">
      <c r="A94" s="6" t="n"/>
      <c r="B94" s="6" t="n"/>
      <c r="C94" s="6" t="n"/>
      <c r="D94" s="6" t="n"/>
      <c r="E94" s="6" t="n"/>
      <c r="F94" s="6" t="n"/>
      <c r="G94" s="6" t="n"/>
      <c r="H94" s="6" t="n"/>
      <c r="I94" s="6" t="n"/>
      <c r="J94" s="6">
        <f>IF(I94="","",I94+CHOOSE(MATCH(G94,{"Monthly","Quarterly","Semi-annually","Annually"},0),30,90,180,365))</f>
        <v/>
      </c>
      <c r="K94" s="6">
        <f>IF(J94="","",IF(J94&gt;TODAY()+30,"✅ Current",IF(J94&gt;TODAY(),"⚠ Due Soon","❌ Overdue")))</f>
        <v/>
      </c>
      <c r="L94" s="6">
        <f>IF(J94="","",J94-TODAY())</f>
        <v/>
      </c>
      <c r="M94" s="6" t="n"/>
      <c r="N94" s="6" t="n"/>
    </row>
    <row r="95">
      <c r="A95" s="6" t="n"/>
      <c r="B95" s="6" t="n"/>
      <c r="C95" s="6" t="n"/>
      <c r="D95" s="6" t="n"/>
      <c r="E95" s="6" t="n"/>
      <c r="F95" s="6" t="n"/>
      <c r="G95" s="6" t="n"/>
      <c r="H95" s="6" t="n"/>
      <c r="I95" s="6" t="n"/>
      <c r="J95" s="6">
        <f>IF(I95="","",I95+CHOOSE(MATCH(G95,{"Monthly","Quarterly","Semi-annually","Annually"},0),30,90,180,365))</f>
        <v/>
      </c>
      <c r="K95" s="6">
        <f>IF(J95="","",IF(J95&gt;TODAY()+30,"✅ Current",IF(J95&gt;TODAY(),"⚠ Due Soon","❌ Overdue")))</f>
        <v/>
      </c>
      <c r="L95" s="6">
        <f>IF(J95="","",J95-TODAY())</f>
        <v/>
      </c>
      <c r="M95" s="6" t="n"/>
      <c r="N95" s="6" t="n"/>
    </row>
    <row r="96">
      <c r="A96" s="6" t="n"/>
      <c r="B96" s="6" t="n"/>
      <c r="C96" s="6" t="n"/>
      <c r="D96" s="6" t="n"/>
      <c r="E96" s="6" t="n"/>
      <c r="F96" s="6" t="n"/>
      <c r="G96" s="6" t="n"/>
      <c r="H96" s="6" t="n"/>
      <c r="I96" s="6" t="n"/>
      <c r="J96" s="6">
        <f>IF(I96="","",I96+CHOOSE(MATCH(G96,{"Monthly","Quarterly","Semi-annually","Annually"},0),30,90,180,365))</f>
        <v/>
      </c>
      <c r="K96" s="6">
        <f>IF(J96="","",IF(J96&gt;TODAY()+30,"✅ Current",IF(J96&gt;TODAY(),"⚠ Due Soon","❌ Overdue")))</f>
        <v/>
      </c>
      <c r="L96" s="6">
        <f>IF(J96="","",J96-TODAY())</f>
        <v/>
      </c>
      <c r="M96" s="6" t="n"/>
      <c r="N96" s="6" t="n"/>
    </row>
    <row r="97">
      <c r="A97" s="6" t="n"/>
      <c r="B97" s="6" t="n"/>
      <c r="C97" s="6" t="n"/>
      <c r="D97" s="6" t="n"/>
      <c r="E97" s="6" t="n"/>
      <c r="F97" s="6" t="n"/>
      <c r="G97" s="6" t="n"/>
      <c r="H97" s="6" t="n"/>
      <c r="I97" s="6" t="n"/>
      <c r="J97" s="6">
        <f>IF(I97="","",I97+CHOOSE(MATCH(G97,{"Monthly","Quarterly","Semi-annually","Annually"},0),30,90,180,365))</f>
        <v/>
      </c>
      <c r="K97" s="6">
        <f>IF(J97="","",IF(J97&gt;TODAY()+30,"✅ Current",IF(J97&gt;TODAY(),"⚠ Due Soon","❌ Overdue")))</f>
        <v/>
      </c>
      <c r="L97" s="6">
        <f>IF(J97="","",J97-TODAY())</f>
        <v/>
      </c>
      <c r="M97" s="6" t="n"/>
      <c r="N97" s="6" t="n"/>
    </row>
    <row r="98">
      <c r="A98" s="6" t="n"/>
      <c r="B98" s="6" t="n"/>
      <c r="C98" s="6" t="n"/>
      <c r="D98" s="6" t="n"/>
      <c r="E98" s="6" t="n"/>
      <c r="F98" s="6" t="n"/>
      <c r="G98" s="6" t="n"/>
      <c r="H98" s="6" t="n"/>
      <c r="I98" s="6" t="n"/>
      <c r="J98" s="6">
        <f>IF(I98="","",I98+CHOOSE(MATCH(G98,{"Monthly","Quarterly","Semi-annually","Annually"},0),30,90,180,365))</f>
        <v/>
      </c>
      <c r="K98" s="6">
        <f>IF(J98="","",IF(J98&gt;TODAY()+30,"✅ Current",IF(J98&gt;TODAY(),"⚠ Due Soon","❌ Overdue")))</f>
        <v/>
      </c>
      <c r="L98" s="6">
        <f>IF(J98="","",J98-TODAY())</f>
        <v/>
      </c>
      <c r="M98" s="6" t="n"/>
      <c r="N98" s="6" t="n"/>
    </row>
    <row r="99">
      <c r="A99" s="6" t="n"/>
      <c r="B99" s="6" t="n"/>
      <c r="C99" s="6" t="n"/>
      <c r="D99" s="6" t="n"/>
      <c r="E99" s="6" t="n"/>
      <c r="F99" s="6" t="n"/>
      <c r="G99" s="6" t="n"/>
      <c r="H99" s="6" t="n"/>
      <c r="I99" s="6" t="n"/>
      <c r="J99" s="6">
        <f>IF(I99="","",I99+CHOOSE(MATCH(G99,{"Monthly","Quarterly","Semi-annually","Annually"},0),30,90,180,365))</f>
        <v/>
      </c>
      <c r="K99" s="6">
        <f>IF(J99="","",IF(J99&gt;TODAY()+30,"✅ Current",IF(J99&gt;TODAY(),"⚠ Due Soon","❌ Overdue")))</f>
        <v/>
      </c>
      <c r="L99" s="6">
        <f>IF(J99="","",J99-TODAY())</f>
        <v/>
      </c>
      <c r="M99" s="6" t="n"/>
      <c r="N99" s="6" t="n"/>
    </row>
    <row r="100">
      <c r="A100" s="6" t="n"/>
      <c r="B100" s="6" t="n"/>
      <c r="C100" s="6" t="n"/>
      <c r="D100" s="6" t="n"/>
      <c r="E100" s="6" t="n"/>
      <c r="F100" s="6" t="n"/>
      <c r="G100" s="6" t="n"/>
      <c r="H100" s="6" t="n"/>
      <c r="I100" s="6" t="n"/>
      <c r="J100" s="6">
        <f>IF(I100="","",I100+CHOOSE(MATCH(G100,{"Monthly","Quarterly","Semi-annually","Annually"},0),30,90,180,365))</f>
        <v/>
      </c>
      <c r="K100" s="6">
        <f>IF(J100="","",IF(J100&gt;TODAY()+30,"✅ Current",IF(J100&gt;TODAY(),"⚠ Due Soon","❌ Overdue")))</f>
        <v/>
      </c>
      <c r="L100" s="6">
        <f>IF(J100="","",J100-TODAY())</f>
        <v/>
      </c>
      <c r="M100" s="6" t="n"/>
      <c r="N100" s="6" t="n"/>
    </row>
    <row r="101">
      <c r="A101" s="6" t="n"/>
      <c r="B101" s="6" t="n"/>
      <c r="C101" s="6" t="n"/>
      <c r="D101" s="6" t="n"/>
      <c r="E101" s="6" t="n"/>
      <c r="F101" s="6" t="n"/>
      <c r="G101" s="6" t="n"/>
      <c r="H101" s="6" t="n"/>
      <c r="I101" s="6" t="n"/>
      <c r="J101" s="6">
        <f>IF(I101="","",I101+CHOOSE(MATCH(G101,{"Monthly","Quarterly","Semi-annually","Annually"},0),30,90,180,365))</f>
        <v/>
      </c>
      <c r="K101" s="6">
        <f>IF(J101="","",IF(J101&gt;TODAY()+30,"✅ Current",IF(J101&gt;TODAY(),"⚠ Due Soon","❌ Overdue")))</f>
        <v/>
      </c>
      <c r="L101" s="6">
        <f>IF(J101="","",J101-TODAY())</f>
        <v/>
      </c>
      <c r="M101" s="6" t="n"/>
      <c r="N101" s="6" t="n"/>
    </row>
    <row r="102">
      <c r="A102" s="6" t="n"/>
      <c r="B102" s="6" t="n"/>
      <c r="C102" s="6" t="n"/>
      <c r="D102" s="6" t="n"/>
      <c r="E102" s="6" t="n"/>
      <c r="F102" s="6" t="n"/>
      <c r="G102" s="6" t="n"/>
      <c r="H102" s="6" t="n"/>
      <c r="I102" s="6" t="n"/>
      <c r="J102" s="6">
        <f>IF(I102="","",I102+CHOOSE(MATCH(G102,{"Monthly","Quarterly","Semi-annually","Annually"},0),30,90,180,365))</f>
        <v/>
      </c>
      <c r="K102" s="6">
        <f>IF(J102="","",IF(J102&gt;TODAY()+30,"✅ Current",IF(J102&gt;TODAY(),"⚠ Due Soon","❌ Overdue")))</f>
        <v/>
      </c>
      <c r="L102" s="6">
        <f>IF(J102="","",J102-TODAY())</f>
        <v/>
      </c>
      <c r="M102" s="6" t="n"/>
      <c r="N102" s="6" t="n"/>
    </row>
    <row r="103">
      <c r="A103" s="6" t="n"/>
      <c r="B103" s="6" t="n"/>
      <c r="C103" s="6" t="n"/>
      <c r="D103" s="6" t="n"/>
      <c r="E103" s="6" t="n"/>
      <c r="F103" s="6" t="n"/>
      <c r="G103" s="6" t="n"/>
      <c r="H103" s="6" t="n"/>
      <c r="I103" s="6" t="n"/>
      <c r="J103" s="6">
        <f>IF(I103="","",I103+CHOOSE(MATCH(G103,{"Monthly","Quarterly","Semi-annually","Annually"},0),30,90,180,365))</f>
        <v/>
      </c>
      <c r="K103" s="6">
        <f>IF(J103="","",IF(J103&gt;TODAY()+30,"✅ Current",IF(J103&gt;TODAY(),"⚠ Due Soon","❌ Overdue")))</f>
        <v/>
      </c>
      <c r="L103" s="6">
        <f>IF(J103="","",J103-TODAY())</f>
        <v/>
      </c>
      <c r="M103" s="6" t="n"/>
      <c r="N103" s="6" t="n"/>
    </row>
    <row r="104">
      <c r="A104" s="6" t="n"/>
      <c r="B104" s="6" t="n"/>
      <c r="C104" s="6" t="n"/>
      <c r="D104" s="6" t="n"/>
      <c r="E104" s="6" t="n"/>
      <c r="F104" s="6" t="n"/>
      <c r="G104" s="6" t="n"/>
      <c r="H104" s="6" t="n"/>
      <c r="I104" s="6" t="n"/>
      <c r="J104" s="6">
        <f>IF(I104="","",I104+CHOOSE(MATCH(G104,{"Monthly","Quarterly","Semi-annually","Annually"},0),30,90,180,365))</f>
        <v/>
      </c>
      <c r="K104" s="6">
        <f>IF(J104="","",IF(J104&gt;TODAY()+30,"✅ Current",IF(J104&gt;TODAY(),"⚠ Due Soon","❌ Overdue")))</f>
        <v/>
      </c>
      <c r="L104" s="6">
        <f>IF(J104="","",J104-TODAY())</f>
        <v/>
      </c>
      <c r="M104" s="6" t="n"/>
      <c r="N104" s="6" t="n"/>
    </row>
    <row r="105">
      <c r="A105" s="6" t="n"/>
      <c r="B105" s="6" t="n"/>
      <c r="C105" s="6" t="n"/>
      <c r="D105" s="6" t="n"/>
      <c r="E105" s="6" t="n"/>
      <c r="F105" s="6" t="n"/>
      <c r="G105" s="6" t="n"/>
      <c r="H105" s="6" t="n"/>
      <c r="I105" s="6" t="n"/>
      <c r="J105" s="6">
        <f>IF(I105="","",I105+CHOOSE(MATCH(G105,{"Monthly","Quarterly","Semi-annually","Annually"},0),30,90,180,365))</f>
        <v/>
      </c>
      <c r="K105" s="6">
        <f>IF(J105="","",IF(J105&gt;TODAY()+30,"✅ Current",IF(J105&gt;TODAY(),"⚠ Due Soon","❌ Overdue")))</f>
        <v/>
      </c>
      <c r="L105" s="6">
        <f>IF(J105="","",J105-TODAY())</f>
        <v/>
      </c>
      <c r="M105" s="6" t="n"/>
      <c r="N105" s="6" t="n"/>
    </row>
    <row r="106">
      <c r="A106" s="6" t="n"/>
      <c r="B106" s="6" t="n"/>
      <c r="C106" s="6" t="n"/>
      <c r="D106" s="6" t="n"/>
      <c r="E106" s="6" t="n"/>
      <c r="F106" s="6" t="n"/>
      <c r="G106" s="6" t="n"/>
      <c r="H106" s="6" t="n"/>
      <c r="I106" s="6" t="n"/>
      <c r="J106" s="6">
        <f>IF(I106="","",I106+CHOOSE(MATCH(G106,{"Monthly","Quarterly","Semi-annually","Annually"},0),30,90,180,365))</f>
        <v/>
      </c>
      <c r="K106" s="6">
        <f>IF(J106="","",IF(J106&gt;TODAY()+30,"✅ Current",IF(J106&gt;TODAY(),"⚠ Due Soon","❌ Overdue")))</f>
        <v/>
      </c>
      <c r="L106" s="6">
        <f>IF(J106="","",J106-TODAY())</f>
        <v/>
      </c>
      <c r="M106" s="6" t="n"/>
      <c r="N106" s="6" t="n"/>
    </row>
    <row r="107">
      <c r="A107" s="6" t="n"/>
      <c r="B107" s="6" t="n"/>
      <c r="C107" s="6" t="n"/>
      <c r="D107" s="6" t="n"/>
      <c r="E107" s="6" t="n"/>
      <c r="F107" s="6" t="n"/>
      <c r="G107" s="6" t="n"/>
      <c r="H107" s="6" t="n"/>
      <c r="I107" s="6" t="n"/>
      <c r="J107" s="6">
        <f>IF(I107="","",I107+CHOOSE(MATCH(G107,{"Monthly","Quarterly","Semi-annually","Annually"},0),30,90,180,365))</f>
        <v/>
      </c>
      <c r="K107" s="6">
        <f>IF(J107="","",IF(J107&gt;TODAY()+30,"✅ Current",IF(J107&gt;TODAY(),"⚠ Due Soon","❌ Overdue")))</f>
        <v/>
      </c>
      <c r="L107" s="6">
        <f>IF(J107="","",J107-TODAY())</f>
        <v/>
      </c>
      <c r="M107" s="6" t="n"/>
      <c r="N107" s="6" t="n"/>
    </row>
    <row r="108">
      <c r="A108" s="6" t="n"/>
      <c r="B108" s="6" t="n"/>
      <c r="C108" s="6" t="n"/>
      <c r="D108" s="6" t="n"/>
      <c r="E108" s="6" t="n"/>
      <c r="F108" s="6" t="n"/>
      <c r="G108" s="6" t="n"/>
      <c r="H108" s="6" t="n"/>
      <c r="I108" s="6" t="n"/>
      <c r="J108" s="6">
        <f>IF(I108="","",I108+CHOOSE(MATCH(G108,{"Monthly","Quarterly","Semi-annually","Annually"},0),30,90,180,365))</f>
        <v/>
      </c>
      <c r="K108" s="6">
        <f>IF(J108="","",IF(J108&gt;TODAY()+30,"✅ Current",IF(J108&gt;TODAY(),"⚠ Due Soon","❌ Overdue")))</f>
        <v/>
      </c>
      <c r="L108" s="6">
        <f>IF(J108="","",J108-TODAY())</f>
        <v/>
      </c>
      <c r="M108" s="6" t="n"/>
      <c r="N108" s="6" t="n"/>
    </row>
    <row r="109">
      <c r="A109" s="6" t="n"/>
      <c r="B109" s="6" t="n"/>
      <c r="C109" s="6" t="n"/>
      <c r="D109" s="6" t="n"/>
      <c r="E109" s="6" t="n"/>
      <c r="F109" s="6" t="n"/>
      <c r="G109" s="6" t="n"/>
      <c r="H109" s="6" t="n"/>
      <c r="I109" s="6" t="n"/>
      <c r="J109" s="6">
        <f>IF(I109="","",I109+CHOOSE(MATCH(G109,{"Monthly","Quarterly","Semi-annually","Annually"},0),30,90,180,365))</f>
        <v/>
      </c>
      <c r="K109" s="6">
        <f>IF(J109="","",IF(J109&gt;TODAY()+30,"✅ Current",IF(J109&gt;TODAY(),"⚠ Due Soon","❌ Overdue")))</f>
        <v/>
      </c>
      <c r="L109" s="6">
        <f>IF(J109="","",J109-TODAY())</f>
        <v/>
      </c>
      <c r="M109" s="6" t="n"/>
      <c r="N109" s="6" t="n"/>
    </row>
    <row r="110">
      <c r="A110" s="6" t="n"/>
      <c r="B110" s="6" t="n"/>
      <c r="C110" s="6" t="n"/>
      <c r="D110" s="6" t="n"/>
      <c r="E110" s="6" t="n"/>
      <c r="F110" s="6" t="n"/>
      <c r="G110" s="6" t="n"/>
      <c r="H110" s="6" t="n"/>
      <c r="I110" s="6" t="n"/>
      <c r="J110" s="6">
        <f>IF(I110="","",I110+CHOOSE(MATCH(G110,{"Monthly","Quarterly","Semi-annually","Annually"},0),30,90,180,365))</f>
        <v/>
      </c>
      <c r="K110" s="6">
        <f>IF(J110="","",IF(J110&gt;TODAY()+30,"✅ Current",IF(J110&gt;TODAY(),"⚠ Due Soon","❌ Overdue")))</f>
        <v/>
      </c>
      <c r="L110" s="6">
        <f>IF(J110="","",J110-TODAY())</f>
        <v/>
      </c>
      <c r="M110" s="6" t="n"/>
      <c r="N110" s="6" t="n"/>
    </row>
    <row r="111">
      <c r="A111" s="6" t="n"/>
      <c r="B111" s="6" t="n"/>
      <c r="C111" s="6" t="n"/>
      <c r="D111" s="6" t="n"/>
      <c r="E111" s="6" t="n"/>
      <c r="F111" s="6" t="n"/>
      <c r="G111" s="6" t="n"/>
      <c r="H111" s="6" t="n"/>
      <c r="I111" s="6" t="n"/>
      <c r="J111" s="6">
        <f>IF(I111="","",I111+CHOOSE(MATCH(G111,{"Monthly","Quarterly","Semi-annually","Annually"},0),30,90,180,365))</f>
        <v/>
      </c>
      <c r="K111" s="6">
        <f>IF(J111="","",IF(J111&gt;TODAY()+30,"✅ Current",IF(J111&gt;TODAY(),"⚠ Due Soon","❌ Overdue")))</f>
        <v/>
      </c>
      <c r="L111" s="6">
        <f>IF(J111="","",J111-TODAY())</f>
        <v/>
      </c>
      <c r="M111" s="6" t="n"/>
      <c r="N111" s="6" t="n"/>
    </row>
    <row r="112">
      <c r="A112" s="6" t="n"/>
      <c r="B112" s="6" t="n"/>
      <c r="C112" s="6" t="n"/>
      <c r="D112" s="6" t="n"/>
      <c r="E112" s="6" t="n"/>
      <c r="F112" s="6" t="n"/>
      <c r="G112" s="6" t="n"/>
      <c r="H112" s="6" t="n"/>
      <c r="I112" s="6" t="n"/>
      <c r="J112" s="6">
        <f>IF(I112="","",I112+CHOOSE(MATCH(G112,{"Monthly","Quarterly","Semi-annually","Annually"},0),30,90,180,365))</f>
        <v/>
      </c>
      <c r="K112" s="6">
        <f>IF(J112="","",IF(J112&gt;TODAY()+30,"✅ Current",IF(J112&gt;TODAY(),"⚠ Due Soon","❌ Overdue")))</f>
        <v/>
      </c>
      <c r="L112" s="6">
        <f>IF(J112="","",J112-TODAY())</f>
        <v/>
      </c>
      <c r="M112" s="6" t="n"/>
      <c r="N112" s="6" t="n"/>
    </row>
    <row r="113">
      <c r="A113" s="6" t="n"/>
      <c r="B113" s="6" t="n"/>
      <c r="C113" s="6" t="n"/>
      <c r="D113" s="6" t="n"/>
      <c r="E113" s="6" t="n"/>
      <c r="F113" s="6" t="n"/>
      <c r="G113" s="6" t="n"/>
      <c r="H113" s="6" t="n"/>
      <c r="I113" s="6" t="n"/>
      <c r="J113" s="6">
        <f>IF(I113="","",I113+CHOOSE(MATCH(G113,{"Monthly","Quarterly","Semi-annually","Annually"},0),30,90,180,365))</f>
        <v/>
      </c>
      <c r="K113" s="6">
        <f>IF(J113="","",IF(J113&gt;TODAY()+30,"✅ Current",IF(J113&gt;TODAY(),"⚠ Due Soon","❌ Overdue")))</f>
        <v/>
      </c>
      <c r="L113" s="6">
        <f>IF(J113="","",J113-TODAY())</f>
        <v/>
      </c>
      <c r="M113" s="6" t="n"/>
      <c r="N113" s="6" t="n"/>
    </row>
    <row r="114">
      <c r="A114" s="6" t="n"/>
      <c r="B114" s="6" t="n"/>
      <c r="C114" s="6" t="n"/>
      <c r="D114" s="6" t="n"/>
      <c r="E114" s="6" t="n"/>
      <c r="F114" s="6" t="n"/>
      <c r="G114" s="6" t="n"/>
      <c r="H114" s="6" t="n"/>
      <c r="I114" s="6" t="n"/>
      <c r="J114" s="6">
        <f>IF(I114="","",I114+CHOOSE(MATCH(G114,{"Monthly","Quarterly","Semi-annually","Annually"},0),30,90,180,365))</f>
        <v/>
      </c>
      <c r="K114" s="6">
        <f>IF(J114="","",IF(J114&gt;TODAY()+30,"✅ Current",IF(J114&gt;TODAY(),"⚠ Due Soon","❌ Overdue")))</f>
        <v/>
      </c>
      <c r="L114" s="6">
        <f>IF(J114="","",J114-TODAY())</f>
        <v/>
      </c>
      <c r="M114" s="6" t="n"/>
      <c r="N114" s="6" t="n"/>
    </row>
    <row r="115">
      <c r="A115" s="6" t="n"/>
      <c r="B115" s="6" t="n"/>
      <c r="C115" s="6" t="n"/>
      <c r="D115" s="6" t="n"/>
      <c r="E115" s="6" t="n"/>
      <c r="F115" s="6" t="n"/>
      <c r="G115" s="6" t="n"/>
      <c r="H115" s="6" t="n"/>
      <c r="I115" s="6" t="n"/>
      <c r="J115" s="6">
        <f>IF(I115="","",I115+CHOOSE(MATCH(G115,{"Monthly","Quarterly","Semi-annually","Annually"},0),30,90,180,365))</f>
        <v/>
      </c>
      <c r="K115" s="6">
        <f>IF(J115="","",IF(J115&gt;TODAY()+30,"✅ Current",IF(J115&gt;TODAY(),"⚠ Due Soon","❌ Overdue")))</f>
        <v/>
      </c>
      <c r="L115" s="6">
        <f>IF(J115="","",J115-TODAY())</f>
        <v/>
      </c>
      <c r="M115" s="6" t="n"/>
      <c r="N115" s="6" t="n"/>
    </row>
    <row r="116">
      <c r="A116" s="6" t="n"/>
      <c r="B116" s="6" t="n"/>
      <c r="C116" s="6" t="n"/>
      <c r="D116" s="6" t="n"/>
      <c r="E116" s="6" t="n"/>
      <c r="F116" s="6" t="n"/>
      <c r="G116" s="6" t="n"/>
      <c r="H116" s="6" t="n"/>
      <c r="I116" s="6" t="n"/>
      <c r="J116" s="6">
        <f>IF(I116="","",I116+CHOOSE(MATCH(G116,{"Monthly","Quarterly","Semi-annually","Annually"},0),30,90,180,365))</f>
        <v/>
      </c>
      <c r="K116" s="6">
        <f>IF(J116="","",IF(J116&gt;TODAY()+30,"✅ Current",IF(J116&gt;TODAY(),"⚠ Due Soon","❌ Overdue")))</f>
        <v/>
      </c>
      <c r="L116" s="6">
        <f>IF(J116="","",J116-TODAY())</f>
        <v/>
      </c>
      <c r="M116" s="6" t="n"/>
      <c r="N116" s="6" t="n"/>
    </row>
    <row r="117">
      <c r="A117" s="6" t="n"/>
      <c r="B117" s="6" t="n"/>
      <c r="C117" s="6" t="n"/>
      <c r="D117" s="6" t="n"/>
      <c r="E117" s="6" t="n"/>
      <c r="F117" s="6" t="n"/>
      <c r="G117" s="6" t="n"/>
      <c r="H117" s="6" t="n"/>
      <c r="I117" s="6" t="n"/>
      <c r="J117" s="6">
        <f>IF(I117="","",I117+CHOOSE(MATCH(G117,{"Monthly","Quarterly","Semi-annually","Annually"},0),30,90,180,365))</f>
        <v/>
      </c>
      <c r="K117" s="6">
        <f>IF(J117="","",IF(J117&gt;TODAY()+30,"✅ Current",IF(J117&gt;TODAY(),"⚠ Due Soon","❌ Overdue")))</f>
        <v/>
      </c>
      <c r="L117" s="6">
        <f>IF(J117="","",J117-TODAY())</f>
        <v/>
      </c>
      <c r="M117" s="6" t="n"/>
      <c r="N117" s="6" t="n"/>
    </row>
    <row r="118">
      <c r="A118" s="6" t="n"/>
      <c r="B118" s="6" t="n"/>
      <c r="C118" s="6" t="n"/>
      <c r="D118" s="6" t="n"/>
      <c r="E118" s="6" t="n"/>
      <c r="F118" s="6" t="n"/>
      <c r="G118" s="6" t="n"/>
      <c r="H118" s="6" t="n"/>
      <c r="I118" s="6" t="n"/>
      <c r="J118" s="6">
        <f>IF(I118="","",I118+CHOOSE(MATCH(G118,{"Monthly","Quarterly","Semi-annually","Annually"},0),30,90,180,365))</f>
        <v/>
      </c>
      <c r="K118" s="6">
        <f>IF(J118="","",IF(J118&gt;TODAY()+30,"✅ Current",IF(J118&gt;TODAY(),"⚠ Due Soon","❌ Overdue")))</f>
        <v/>
      </c>
      <c r="L118" s="6">
        <f>IF(J118="","",J118-TODAY())</f>
        <v/>
      </c>
      <c r="M118" s="6" t="n"/>
      <c r="N118" s="6" t="n"/>
    </row>
    <row r="119">
      <c r="A119" s="6" t="n"/>
      <c r="B119" s="6" t="n"/>
      <c r="C119" s="6" t="n"/>
      <c r="D119" s="6" t="n"/>
      <c r="E119" s="6" t="n"/>
      <c r="F119" s="6" t="n"/>
      <c r="G119" s="6" t="n"/>
      <c r="H119" s="6" t="n"/>
      <c r="I119" s="6" t="n"/>
      <c r="J119" s="6">
        <f>IF(I119="","",I119+CHOOSE(MATCH(G119,{"Monthly","Quarterly","Semi-annually","Annually"},0),30,90,180,365))</f>
        <v/>
      </c>
      <c r="K119" s="6">
        <f>IF(J119="","",IF(J119&gt;TODAY()+30,"✅ Current",IF(J119&gt;TODAY(),"⚠ Due Soon","❌ Overdue")))</f>
        <v/>
      </c>
      <c r="L119" s="6">
        <f>IF(J119="","",J119-TODAY())</f>
        <v/>
      </c>
      <c r="M119" s="6" t="n"/>
      <c r="N119" s="6" t="n"/>
    </row>
    <row r="120">
      <c r="A120" s="6" t="n"/>
      <c r="B120" s="6" t="n"/>
      <c r="C120" s="6" t="n"/>
      <c r="D120" s="6" t="n"/>
      <c r="E120" s="6" t="n"/>
      <c r="F120" s="6" t="n"/>
      <c r="G120" s="6" t="n"/>
      <c r="H120" s="6" t="n"/>
      <c r="I120" s="6" t="n"/>
      <c r="J120" s="6">
        <f>IF(I120="","",I120+CHOOSE(MATCH(G120,{"Monthly","Quarterly","Semi-annually","Annually"},0),30,90,180,365))</f>
        <v/>
      </c>
      <c r="K120" s="6">
        <f>IF(J120="","",IF(J120&gt;TODAY()+30,"✅ Current",IF(J120&gt;TODAY(),"⚠ Due Soon","❌ Overdue")))</f>
        <v/>
      </c>
      <c r="L120" s="6">
        <f>IF(J120="","",J120-TODAY())</f>
        <v/>
      </c>
      <c r="M120" s="6" t="n"/>
      <c r="N120" s="6" t="n"/>
    </row>
    <row r="121">
      <c r="A121" s="6" t="n"/>
      <c r="B121" s="6" t="n"/>
      <c r="C121" s="6" t="n"/>
      <c r="D121" s="6" t="n"/>
      <c r="E121" s="6" t="n"/>
      <c r="F121" s="6" t="n"/>
      <c r="G121" s="6" t="n"/>
      <c r="H121" s="6" t="n"/>
      <c r="I121" s="6" t="n"/>
      <c r="J121" s="6">
        <f>IF(I121="","",I121+CHOOSE(MATCH(G121,{"Monthly","Quarterly","Semi-annually","Annually"},0),30,90,180,365))</f>
        <v/>
      </c>
      <c r="K121" s="6">
        <f>IF(J121="","",IF(J121&gt;TODAY()+30,"✅ Current",IF(J121&gt;TODAY(),"⚠ Due Soon","❌ Overdue")))</f>
        <v/>
      </c>
      <c r="L121" s="6">
        <f>IF(J121="","",J121-TODAY())</f>
        <v/>
      </c>
      <c r="M121" s="6" t="n"/>
      <c r="N121" s="6" t="n"/>
    </row>
    <row r="122">
      <c r="A122" s="6" t="n"/>
      <c r="B122" s="6" t="n"/>
      <c r="C122" s="6" t="n"/>
      <c r="D122" s="6" t="n"/>
      <c r="E122" s="6" t="n"/>
      <c r="F122" s="6" t="n"/>
      <c r="G122" s="6" t="n"/>
      <c r="H122" s="6" t="n"/>
      <c r="I122" s="6" t="n"/>
      <c r="J122" s="6">
        <f>IF(I122="","",I122+CHOOSE(MATCH(G122,{"Monthly","Quarterly","Semi-annually","Annually"},0),30,90,180,365))</f>
        <v/>
      </c>
      <c r="K122" s="6">
        <f>IF(J122="","",IF(J122&gt;TODAY()+30,"✅ Current",IF(J122&gt;TODAY(),"⚠ Due Soon","❌ Overdue")))</f>
        <v/>
      </c>
      <c r="L122" s="6">
        <f>IF(J122="","",J122-TODAY())</f>
        <v/>
      </c>
      <c r="M122" s="6" t="n"/>
      <c r="N122" s="6" t="n"/>
    </row>
    <row r="123">
      <c r="A123" s="6" t="n"/>
      <c r="B123" s="6" t="n"/>
      <c r="C123" s="6" t="n"/>
      <c r="D123" s="6" t="n"/>
      <c r="E123" s="6" t="n"/>
      <c r="F123" s="6" t="n"/>
      <c r="G123" s="6" t="n"/>
      <c r="H123" s="6" t="n"/>
      <c r="I123" s="6" t="n"/>
      <c r="J123" s="6">
        <f>IF(I123="","",I123+CHOOSE(MATCH(G123,{"Monthly","Quarterly","Semi-annually","Annually"},0),30,90,180,365))</f>
        <v/>
      </c>
      <c r="K123" s="6">
        <f>IF(J123="","",IF(J123&gt;TODAY()+30,"✅ Current",IF(J123&gt;TODAY(),"⚠ Due Soon","❌ Overdue")))</f>
        <v/>
      </c>
      <c r="L123" s="6">
        <f>IF(J123="","",J123-TODAY())</f>
        <v/>
      </c>
      <c r="M123" s="6" t="n"/>
      <c r="N123" s="6" t="n"/>
    </row>
    <row r="124">
      <c r="A124" s="6" t="n"/>
      <c r="B124" s="6" t="n"/>
      <c r="C124" s="6" t="n"/>
      <c r="D124" s="6" t="n"/>
      <c r="E124" s="6" t="n"/>
      <c r="F124" s="6" t="n"/>
      <c r="G124" s="6" t="n"/>
      <c r="H124" s="6" t="n"/>
      <c r="I124" s="6" t="n"/>
      <c r="J124" s="6">
        <f>IF(I124="","",I124+CHOOSE(MATCH(G124,{"Monthly","Quarterly","Semi-annually","Annually"},0),30,90,180,365))</f>
        <v/>
      </c>
      <c r="K124" s="6">
        <f>IF(J124="","",IF(J124&gt;TODAY()+30,"✅ Current",IF(J124&gt;TODAY(),"⚠ Due Soon","❌ Overdue")))</f>
        <v/>
      </c>
      <c r="L124" s="6">
        <f>IF(J124="","",J124-TODAY())</f>
        <v/>
      </c>
      <c r="M124" s="6" t="n"/>
      <c r="N124" s="6" t="n"/>
    </row>
    <row r="125">
      <c r="A125" s="6" t="n"/>
      <c r="B125" s="6" t="n"/>
      <c r="C125" s="6" t="n"/>
      <c r="D125" s="6" t="n"/>
      <c r="E125" s="6" t="n"/>
      <c r="F125" s="6" t="n"/>
      <c r="G125" s="6" t="n"/>
      <c r="H125" s="6" t="n"/>
      <c r="I125" s="6" t="n"/>
      <c r="J125" s="6">
        <f>IF(I125="","",I125+CHOOSE(MATCH(G125,{"Monthly","Quarterly","Semi-annually","Annually"},0),30,90,180,365))</f>
        <v/>
      </c>
      <c r="K125" s="6">
        <f>IF(J125="","",IF(J125&gt;TODAY()+30,"✅ Current",IF(J125&gt;TODAY(),"⚠ Due Soon","❌ Overdue")))</f>
        <v/>
      </c>
      <c r="L125" s="6">
        <f>IF(J125="","",J125-TODAY())</f>
        <v/>
      </c>
      <c r="M125" s="6" t="n"/>
      <c r="N125" s="6" t="n"/>
    </row>
    <row r="126">
      <c r="A126" s="6" t="n"/>
      <c r="B126" s="6" t="n"/>
      <c r="C126" s="6" t="n"/>
      <c r="D126" s="6" t="n"/>
      <c r="E126" s="6" t="n"/>
      <c r="F126" s="6" t="n"/>
      <c r="G126" s="6" t="n"/>
      <c r="H126" s="6" t="n"/>
      <c r="I126" s="6" t="n"/>
      <c r="J126" s="6">
        <f>IF(I126="","",I126+CHOOSE(MATCH(G126,{"Monthly","Quarterly","Semi-annually","Annually"},0),30,90,180,365))</f>
        <v/>
      </c>
      <c r="K126" s="6">
        <f>IF(J126="","",IF(J126&gt;TODAY()+30,"✅ Current",IF(J126&gt;TODAY(),"⚠ Due Soon","❌ Overdue")))</f>
        <v/>
      </c>
      <c r="L126" s="6">
        <f>IF(J126="","",J126-TODAY())</f>
        <v/>
      </c>
      <c r="M126" s="6" t="n"/>
      <c r="N126" s="6" t="n"/>
    </row>
    <row r="127">
      <c r="A127" s="6" t="n"/>
      <c r="B127" s="6" t="n"/>
      <c r="C127" s="6" t="n"/>
      <c r="D127" s="6" t="n"/>
      <c r="E127" s="6" t="n"/>
      <c r="F127" s="6" t="n"/>
      <c r="G127" s="6" t="n"/>
      <c r="H127" s="6" t="n"/>
      <c r="I127" s="6" t="n"/>
      <c r="J127" s="6">
        <f>IF(I127="","",I127+CHOOSE(MATCH(G127,{"Monthly","Quarterly","Semi-annually","Annually"},0),30,90,180,365))</f>
        <v/>
      </c>
      <c r="K127" s="6">
        <f>IF(J127="","",IF(J127&gt;TODAY()+30,"✅ Current",IF(J127&gt;TODAY(),"⚠ Due Soon","❌ Overdue")))</f>
        <v/>
      </c>
      <c r="L127" s="6">
        <f>IF(J127="","",J127-TODAY())</f>
        <v/>
      </c>
      <c r="M127" s="6" t="n"/>
      <c r="N127" s="6" t="n"/>
    </row>
    <row r="128">
      <c r="A128" s="6" t="n"/>
      <c r="B128" s="6" t="n"/>
      <c r="C128" s="6" t="n"/>
      <c r="D128" s="6" t="n"/>
      <c r="E128" s="6" t="n"/>
      <c r="F128" s="6" t="n"/>
      <c r="G128" s="6" t="n"/>
      <c r="H128" s="6" t="n"/>
      <c r="I128" s="6" t="n"/>
      <c r="J128" s="6">
        <f>IF(I128="","",I128+CHOOSE(MATCH(G128,{"Monthly","Quarterly","Semi-annually","Annually"},0),30,90,180,365))</f>
        <v/>
      </c>
      <c r="K128" s="6">
        <f>IF(J128="","",IF(J128&gt;TODAY()+30,"✅ Current",IF(J128&gt;TODAY(),"⚠ Due Soon","❌ Overdue")))</f>
        <v/>
      </c>
      <c r="L128" s="6">
        <f>IF(J128="","",J128-TODAY())</f>
        <v/>
      </c>
      <c r="M128" s="6" t="n"/>
      <c r="N128" s="6" t="n"/>
    </row>
    <row r="129">
      <c r="A129" s="6" t="n"/>
      <c r="B129" s="6" t="n"/>
      <c r="C129" s="6" t="n"/>
      <c r="D129" s="6" t="n"/>
      <c r="E129" s="6" t="n"/>
      <c r="F129" s="6" t="n"/>
      <c r="G129" s="6" t="n"/>
      <c r="H129" s="6" t="n"/>
      <c r="I129" s="6" t="n"/>
      <c r="J129" s="6">
        <f>IF(I129="","",I129+CHOOSE(MATCH(G129,{"Monthly","Quarterly","Semi-annually","Annually"},0),30,90,180,365))</f>
        <v/>
      </c>
      <c r="K129" s="6">
        <f>IF(J129="","",IF(J129&gt;TODAY()+30,"✅ Current",IF(J129&gt;TODAY(),"⚠ Due Soon","❌ Overdue")))</f>
        <v/>
      </c>
      <c r="L129" s="6">
        <f>IF(J129="","",J129-TODAY())</f>
        <v/>
      </c>
      <c r="M129" s="6" t="n"/>
      <c r="N129" s="6" t="n"/>
    </row>
    <row r="130">
      <c r="A130" s="6" t="n"/>
      <c r="B130" s="6" t="n"/>
      <c r="C130" s="6" t="n"/>
      <c r="D130" s="6" t="n"/>
      <c r="E130" s="6" t="n"/>
      <c r="F130" s="6" t="n"/>
      <c r="G130" s="6" t="n"/>
      <c r="H130" s="6" t="n"/>
      <c r="I130" s="6" t="n"/>
      <c r="J130" s="6">
        <f>IF(I130="","",I130+CHOOSE(MATCH(G130,{"Monthly","Quarterly","Semi-annually","Annually"},0),30,90,180,365))</f>
        <v/>
      </c>
      <c r="K130" s="6">
        <f>IF(J130="","",IF(J130&gt;TODAY()+30,"✅ Current",IF(J130&gt;TODAY(),"⚠ Due Soon","❌ Overdue")))</f>
        <v/>
      </c>
      <c r="L130" s="6">
        <f>IF(J130="","",J130-TODAY())</f>
        <v/>
      </c>
      <c r="M130" s="6" t="n"/>
      <c r="N130" s="6" t="n"/>
    </row>
    <row r="131">
      <c r="A131" s="6" t="n"/>
      <c r="B131" s="6" t="n"/>
      <c r="C131" s="6" t="n"/>
      <c r="D131" s="6" t="n"/>
      <c r="E131" s="6" t="n"/>
      <c r="F131" s="6" t="n"/>
      <c r="G131" s="6" t="n"/>
      <c r="H131" s="6" t="n"/>
      <c r="I131" s="6" t="n"/>
      <c r="J131" s="6">
        <f>IF(I131="","",I131+CHOOSE(MATCH(G131,{"Monthly","Quarterly","Semi-annually","Annually"},0),30,90,180,365))</f>
        <v/>
      </c>
      <c r="K131" s="6">
        <f>IF(J131="","",IF(J131&gt;TODAY()+30,"✅ Current",IF(J131&gt;TODAY(),"⚠ Due Soon","❌ Overdue")))</f>
        <v/>
      </c>
      <c r="L131" s="6">
        <f>IF(J131="","",J131-TODAY())</f>
        <v/>
      </c>
      <c r="M131" s="6" t="n"/>
      <c r="N131" s="6" t="n"/>
    </row>
    <row r="132">
      <c r="A132" s="6" t="n"/>
      <c r="B132" s="6" t="n"/>
      <c r="C132" s="6" t="n"/>
      <c r="D132" s="6" t="n"/>
      <c r="E132" s="6" t="n"/>
      <c r="F132" s="6" t="n"/>
      <c r="G132" s="6" t="n"/>
      <c r="H132" s="6" t="n"/>
      <c r="I132" s="6" t="n"/>
      <c r="J132" s="6">
        <f>IF(I132="","",I132+CHOOSE(MATCH(G132,{"Monthly","Quarterly","Semi-annually","Annually"},0),30,90,180,365))</f>
        <v/>
      </c>
      <c r="K132" s="6">
        <f>IF(J132="","",IF(J132&gt;TODAY()+30,"✅ Current",IF(J132&gt;TODAY(),"⚠ Due Soon","❌ Overdue")))</f>
        <v/>
      </c>
      <c r="L132" s="6">
        <f>IF(J132="","",J132-TODAY())</f>
        <v/>
      </c>
      <c r="M132" s="6" t="n"/>
      <c r="N132" s="6" t="n"/>
    </row>
    <row r="133">
      <c r="A133" s="6" t="n"/>
      <c r="B133" s="6" t="n"/>
      <c r="C133" s="6" t="n"/>
      <c r="D133" s="6" t="n"/>
      <c r="E133" s="6" t="n"/>
      <c r="F133" s="6" t="n"/>
      <c r="G133" s="6" t="n"/>
      <c r="H133" s="6" t="n"/>
      <c r="I133" s="6" t="n"/>
      <c r="J133" s="6">
        <f>IF(I133="","",I133+CHOOSE(MATCH(G133,{"Monthly","Quarterly","Semi-annually","Annually"},0),30,90,180,365))</f>
        <v/>
      </c>
      <c r="K133" s="6">
        <f>IF(J133="","",IF(J133&gt;TODAY()+30,"✅ Current",IF(J133&gt;TODAY(),"⚠ Due Soon","❌ Overdue")))</f>
        <v/>
      </c>
      <c r="L133" s="6">
        <f>IF(J133="","",J133-TODAY())</f>
        <v/>
      </c>
      <c r="M133" s="6" t="n"/>
      <c r="N133" s="6" t="n"/>
    </row>
    <row r="134">
      <c r="A134" s="6" t="n"/>
      <c r="B134" s="6" t="n"/>
      <c r="C134" s="6" t="n"/>
      <c r="D134" s="6" t="n"/>
      <c r="E134" s="6" t="n"/>
      <c r="F134" s="6" t="n"/>
      <c r="G134" s="6" t="n"/>
      <c r="H134" s="6" t="n"/>
      <c r="I134" s="6" t="n"/>
      <c r="J134" s="6">
        <f>IF(I134="","",I134+CHOOSE(MATCH(G134,{"Monthly","Quarterly","Semi-annually","Annually"},0),30,90,180,365))</f>
        <v/>
      </c>
      <c r="K134" s="6">
        <f>IF(J134="","",IF(J134&gt;TODAY()+30,"✅ Current",IF(J134&gt;TODAY(),"⚠ Due Soon","❌ Overdue")))</f>
        <v/>
      </c>
      <c r="L134" s="6">
        <f>IF(J134="","",J134-TODAY())</f>
        <v/>
      </c>
      <c r="M134" s="6" t="n"/>
      <c r="N134" s="6" t="n"/>
    </row>
    <row r="135">
      <c r="A135" s="6" t="n"/>
      <c r="B135" s="6" t="n"/>
      <c r="C135" s="6" t="n"/>
      <c r="D135" s="6" t="n"/>
      <c r="E135" s="6" t="n"/>
      <c r="F135" s="6" t="n"/>
      <c r="G135" s="6" t="n"/>
      <c r="H135" s="6" t="n"/>
      <c r="I135" s="6" t="n"/>
      <c r="J135" s="6">
        <f>IF(I135="","",I135+CHOOSE(MATCH(G135,{"Monthly","Quarterly","Semi-annually","Annually"},0),30,90,180,365))</f>
        <v/>
      </c>
      <c r="K135" s="6">
        <f>IF(J135="","",IF(J135&gt;TODAY()+30,"✅ Current",IF(J135&gt;TODAY(),"⚠ Due Soon","❌ Overdue")))</f>
        <v/>
      </c>
      <c r="L135" s="6">
        <f>IF(J135="","",J135-TODAY())</f>
        <v/>
      </c>
      <c r="M135" s="6" t="n"/>
      <c r="N135" s="6" t="n"/>
    </row>
    <row r="136">
      <c r="A136" s="6" t="n"/>
      <c r="B136" s="6" t="n"/>
      <c r="C136" s="6" t="n"/>
      <c r="D136" s="6" t="n"/>
      <c r="E136" s="6" t="n"/>
      <c r="F136" s="6" t="n"/>
      <c r="G136" s="6" t="n"/>
      <c r="H136" s="6" t="n"/>
      <c r="I136" s="6" t="n"/>
      <c r="J136" s="6">
        <f>IF(I136="","",I136+CHOOSE(MATCH(G136,{"Monthly","Quarterly","Semi-annually","Annually"},0),30,90,180,365))</f>
        <v/>
      </c>
      <c r="K136" s="6">
        <f>IF(J136="","",IF(J136&gt;TODAY()+30,"✅ Current",IF(J136&gt;TODAY(),"⚠ Due Soon","❌ Overdue")))</f>
        <v/>
      </c>
      <c r="L136" s="6">
        <f>IF(J136="","",J136-TODAY())</f>
        <v/>
      </c>
      <c r="M136" s="6" t="n"/>
      <c r="N136" s="6" t="n"/>
    </row>
    <row r="137">
      <c r="A137" s="6" t="n"/>
      <c r="B137" s="6" t="n"/>
      <c r="C137" s="6" t="n"/>
      <c r="D137" s="6" t="n"/>
      <c r="E137" s="6" t="n"/>
      <c r="F137" s="6" t="n"/>
      <c r="G137" s="6" t="n"/>
      <c r="H137" s="6" t="n"/>
      <c r="I137" s="6" t="n"/>
      <c r="J137" s="6">
        <f>IF(I137="","",I137+CHOOSE(MATCH(G137,{"Monthly","Quarterly","Semi-annually","Annually"},0),30,90,180,365))</f>
        <v/>
      </c>
      <c r="K137" s="6">
        <f>IF(J137="","",IF(J137&gt;TODAY()+30,"✅ Current",IF(J137&gt;TODAY(),"⚠ Due Soon","❌ Overdue")))</f>
        <v/>
      </c>
      <c r="L137" s="6">
        <f>IF(J137="","",J137-TODAY())</f>
        <v/>
      </c>
      <c r="M137" s="6" t="n"/>
      <c r="N137" s="6" t="n"/>
    </row>
    <row r="138">
      <c r="A138" s="6" t="n"/>
      <c r="B138" s="6" t="n"/>
      <c r="C138" s="6" t="n"/>
      <c r="D138" s="6" t="n"/>
      <c r="E138" s="6" t="n"/>
      <c r="F138" s="6" t="n"/>
      <c r="G138" s="6" t="n"/>
      <c r="H138" s="6" t="n"/>
      <c r="I138" s="6" t="n"/>
      <c r="J138" s="6">
        <f>IF(I138="","",I138+CHOOSE(MATCH(G138,{"Monthly","Quarterly","Semi-annually","Annually"},0),30,90,180,365))</f>
        <v/>
      </c>
      <c r="K138" s="6">
        <f>IF(J138="","",IF(J138&gt;TODAY()+30,"✅ Current",IF(J138&gt;TODAY(),"⚠ Due Soon","❌ Overdue")))</f>
        <v/>
      </c>
      <c r="L138" s="6">
        <f>IF(J138="","",J138-TODAY())</f>
        <v/>
      </c>
      <c r="M138" s="6" t="n"/>
      <c r="N138" s="6" t="n"/>
    </row>
    <row r="139">
      <c r="A139" s="6" t="n"/>
      <c r="B139" s="6" t="n"/>
      <c r="C139" s="6" t="n"/>
      <c r="D139" s="6" t="n"/>
      <c r="E139" s="6" t="n"/>
      <c r="F139" s="6" t="n"/>
      <c r="G139" s="6" t="n"/>
      <c r="H139" s="6" t="n"/>
      <c r="I139" s="6" t="n"/>
      <c r="J139" s="6">
        <f>IF(I139="","",I139+CHOOSE(MATCH(G139,{"Monthly","Quarterly","Semi-annually","Annually"},0),30,90,180,365))</f>
        <v/>
      </c>
      <c r="K139" s="6">
        <f>IF(J139="","",IF(J139&gt;TODAY()+30,"✅ Current",IF(J139&gt;TODAY(),"⚠ Due Soon","❌ Overdue")))</f>
        <v/>
      </c>
      <c r="L139" s="6">
        <f>IF(J139="","",J139-TODAY())</f>
        <v/>
      </c>
      <c r="M139" s="6" t="n"/>
      <c r="N139" s="6" t="n"/>
    </row>
    <row r="140">
      <c r="A140" s="6" t="n"/>
      <c r="B140" s="6" t="n"/>
      <c r="C140" s="6" t="n"/>
      <c r="D140" s="6" t="n"/>
      <c r="E140" s="6" t="n"/>
      <c r="F140" s="6" t="n"/>
      <c r="G140" s="6" t="n"/>
      <c r="H140" s="6" t="n"/>
      <c r="I140" s="6" t="n"/>
      <c r="J140" s="6">
        <f>IF(I140="","",I140+CHOOSE(MATCH(G140,{"Monthly","Quarterly","Semi-annually","Annually"},0),30,90,180,365))</f>
        <v/>
      </c>
      <c r="K140" s="6">
        <f>IF(J140="","",IF(J140&gt;TODAY()+30,"✅ Current",IF(J140&gt;TODAY(),"⚠ Due Soon","❌ Overdue")))</f>
        <v/>
      </c>
      <c r="L140" s="6">
        <f>IF(J140="","",J140-TODAY())</f>
        <v/>
      </c>
      <c r="M140" s="6" t="n"/>
      <c r="N140" s="6" t="n"/>
    </row>
    <row r="141">
      <c r="A141" s="6" t="n"/>
      <c r="B141" s="6" t="n"/>
      <c r="C141" s="6" t="n"/>
      <c r="D141" s="6" t="n"/>
      <c r="E141" s="6" t="n"/>
      <c r="F141" s="6" t="n"/>
      <c r="G141" s="6" t="n"/>
      <c r="H141" s="6" t="n"/>
      <c r="I141" s="6" t="n"/>
      <c r="J141" s="6">
        <f>IF(I141="","",I141+CHOOSE(MATCH(G141,{"Monthly","Quarterly","Semi-annually","Annually"},0),30,90,180,365))</f>
        <v/>
      </c>
      <c r="K141" s="6">
        <f>IF(J141="","",IF(J141&gt;TODAY()+30,"✅ Current",IF(J141&gt;TODAY(),"⚠ Due Soon","❌ Overdue")))</f>
        <v/>
      </c>
      <c r="L141" s="6">
        <f>IF(J141="","",J141-TODAY())</f>
        <v/>
      </c>
      <c r="M141" s="6" t="n"/>
      <c r="N141" s="6" t="n"/>
    </row>
    <row r="142">
      <c r="A142" s="6" t="n"/>
      <c r="B142" s="6" t="n"/>
      <c r="C142" s="6" t="n"/>
      <c r="D142" s="6" t="n"/>
      <c r="E142" s="6" t="n"/>
      <c r="F142" s="6" t="n"/>
      <c r="G142" s="6" t="n"/>
      <c r="H142" s="6" t="n"/>
      <c r="I142" s="6" t="n"/>
      <c r="J142" s="6">
        <f>IF(I142="","",I142+CHOOSE(MATCH(G142,{"Monthly","Quarterly","Semi-annually","Annually"},0),30,90,180,365))</f>
        <v/>
      </c>
      <c r="K142" s="6">
        <f>IF(J142="","",IF(J142&gt;TODAY()+30,"✅ Current",IF(J142&gt;TODAY(),"⚠ Due Soon","❌ Overdue")))</f>
        <v/>
      </c>
      <c r="L142" s="6">
        <f>IF(J142="","",J142-TODAY())</f>
        <v/>
      </c>
      <c r="M142" s="6" t="n"/>
      <c r="N142" s="6" t="n"/>
    </row>
    <row r="143">
      <c r="A143" s="6" t="n"/>
      <c r="B143" s="6" t="n"/>
      <c r="C143" s="6" t="n"/>
      <c r="D143" s="6" t="n"/>
      <c r="E143" s="6" t="n"/>
      <c r="F143" s="6" t="n"/>
      <c r="G143" s="6" t="n"/>
      <c r="H143" s="6" t="n"/>
      <c r="I143" s="6" t="n"/>
      <c r="J143" s="6">
        <f>IF(I143="","",I143+CHOOSE(MATCH(G143,{"Monthly","Quarterly","Semi-annually","Annually"},0),30,90,180,365))</f>
        <v/>
      </c>
      <c r="K143" s="6">
        <f>IF(J143="","",IF(J143&gt;TODAY()+30,"✅ Current",IF(J143&gt;TODAY(),"⚠ Due Soon","❌ Overdue")))</f>
        <v/>
      </c>
      <c r="L143" s="6">
        <f>IF(J143="","",J143-TODAY())</f>
        <v/>
      </c>
      <c r="M143" s="6" t="n"/>
      <c r="N143" s="6" t="n"/>
    </row>
    <row r="144">
      <c r="A144" s="6" t="n"/>
      <c r="B144" s="6" t="n"/>
      <c r="C144" s="6" t="n"/>
      <c r="D144" s="6" t="n"/>
      <c r="E144" s="6" t="n"/>
      <c r="F144" s="6" t="n"/>
      <c r="G144" s="6" t="n"/>
      <c r="H144" s="6" t="n"/>
      <c r="I144" s="6" t="n"/>
      <c r="J144" s="6">
        <f>IF(I144="","",I144+CHOOSE(MATCH(G144,{"Monthly","Quarterly","Semi-annually","Annually"},0),30,90,180,365))</f>
        <v/>
      </c>
      <c r="K144" s="6">
        <f>IF(J144="","",IF(J144&gt;TODAY()+30,"✅ Current",IF(J144&gt;TODAY(),"⚠ Due Soon","❌ Overdue")))</f>
        <v/>
      </c>
      <c r="L144" s="6">
        <f>IF(J144="","",J144-TODAY())</f>
        <v/>
      </c>
      <c r="M144" s="6" t="n"/>
      <c r="N144" s="6" t="n"/>
    </row>
    <row r="145">
      <c r="A145" s="6" t="n"/>
      <c r="B145" s="6" t="n"/>
      <c r="C145" s="6" t="n"/>
      <c r="D145" s="6" t="n"/>
      <c r="E145" s="6" t="n"/>
      <c r="F145" s="6" t="n"/>
      <c r="G145" s="6" t="n"/>
      <c r="H145" s="6" t="n"/>
      <c r="I145" s="6" t="n"/>
      <c r="J145" s="6">
        <f>IF(I145="","",I145+CHOOSE(MATCH(G145,{"Monthly","Quarterly","Semi-annually","Annually"},0),30,90,180,365))</f>
        <v/>
      </c>
      <c r="K145" s="6">
        <f>IF(J145="","",IF(J145&gt;TODAY()+30,"✅ Current",IF(J145&gt;TODAY(),"⚠ Due Soon","❌ Overdue")))</f>
        <v/>
      </c>
      <c r="L145" s="6">
        <f>IF(J145="","",J145-TODAY())</f>
        <v/>
      </c>
      <c r="M145" s="6" t="n"/>
      <c r="N145" s="6" t="n"/>
    </row>
    <row r="146">
      <c r="A146" s="6" t="n"/>
      <c r="B146" s="6" t="n"/>
      <c r="C146" s="6" t="n"/>
      <c r="D146" s="6" t="n"/>
      <c r="E146" s="6" t="n"/>
      <c r="F146" s="6" t="n"/>
      <c r="G146" s="6" t="n"/>
      <c r="H146" s="6" t="n"/>
      <c r="I146" s="6" t="n"/>
      <c r="J146" s="6">
        <f>IF(I146="","",I146+CHOOSE(MATCH(G146,{"Monthly","Quarterly","Semi-annually","Annually"},0),30,90,180,365))</f>
        <v/>
      </c>
      <c r="K146" s="6">
        <f>IF(J146="","",IF(J146&gt;TODAY()+30,"✅ Current",IF(J146&gt;TODAY(),"⚠ Due Soon","❌ Overdue")))</f>
        <v/>
      </c>
      <c r="L146" s="6">
        <f>IF(J146="","",J146-TODAY())</f>
        <v/>
      </c>
      <c r="M146" s="6" t="n"/>
      <c r="N146" s="6" t="n"/>
    </row>
    <row r="147">
      <c r="A147" s="6" t="n"/>
      <c r="B147" s="6" t="n"/>
      <c r="C147" s="6" t="n"/>
      <c r="D147" s="6" t="n"/>
      <c r="E147" s="6" t="n"/>
      <c r="F147" s="6" t="n"/>
      <c r="G147" s="6" t="n"/>
      <c r="H147" s="6" t="n"/>
      <c r="I147" s="6" t="n"/>
      <c r="J147" s="6">
        <f>IF(I147="","",I147+CHOOSE(MATCH(G147,{"Monthly","Quarterly","Semi-annually","Annually"},0),30,90,180,365))</f>
        <v/>
      </c>
      <c r="K147" s="6">
        <f>IF(J147="","",IF(J147&gt;TODAY()+30,"✅ Current",IF(J147&gt;TODAY(),"⚠ Due Soon","❌ Overdue")))</f>
        <v/>
      </c>
      <c r="L147" s="6">
        <f>IF(J147="","",J147-TODAY())</f>
        <v/>
      </c>
      <c r="M147" s="6" t="n"/>
      <c r="N147" s="6" t="n"/>
    </row>
    <row r="148">
      <c r="A148" s="6" t="n"/>
      <c r="B148" s="6" t="n"/>
      <c r="C148" s="6" t="n"/>
      <c r="D148" s="6" t="n"/>
      <c r="E148" s="6" t="n"/>
      <c r="F148" s="6" t="n"/>
      <c r="G148" s="6" t="n"/>
      <c r="H148" s="6" t="n"/>
      <c r="I148" s="6" t="n"/>
      <c r="J148" s="6">
        <f>IF(I148="","",I148+CHOOSE(MATCH(G148,{"Monthly","Quarterly","Semi-annually","Annually"},0),30,90,180,365))</f>
        <v/>
      </c>
      <c r="K148" s="6">
        <f>IF(J148="","",IF(J148&gt;TODAY()+30,"✅ Current",IF(J148&gt;TODAY(),"⚠ Due Soon","❌ Overdue")))</f>
        <v/>
      </c>
      <c r="L148" s="6">
        <f>IF(J148="","",J148-TODAY())</f>
        <v/>
      </c>
      <c r="M148" s="6" t="n"/>
      <c r="N148" s="6" t="n"/>
    </row>
    <row r="149">
      <c r="A149" s="6" t="n"/>
      <c r="B149" s="6" t="n"/>
      <c r="C149" s="6" t="n"/>
      <c r="D149" s="6" t="n"/>
      <c r="E149" s="6" t="n"/>
      <c r="F149" s="6" t="n"/>
      <c r="G149" s="6" t="n"/>
      <c r="H149" s="6" t="n"/>
      <c r="I149" s="6" t="n"/>
      <c r="J149" s="6">
        <f>IF(I149="","",I149+CHOOSE(MATCH(G149,{"Monthly","Quarterly","Semi-annually","Annually"},0),30,90,180,365))</f>
        <v/>
      </c>
      <c r="K149" s="6">
        <f>IF(J149="","",IF(J149&gt;TODAY()+30,"✅ Current",IF(J149&gt;TODAY(),"⚠ Due Soon","❌ Overdue")))</f>
        <v/>
      </c>
      <c r="L149" s="6">
        <f>IF(J149="","",J149-TODAY())</f>
        <v/>
      </c>
      <c r="M149" s="6" t="n"/>
      <c r="N149" s="6" t="n"/>
    </row>
    <row r="150">
      <c r="A150" s="6" t="n"/>
      <c r="B150" s="6" t="n"/>
      <c r="C150" s="6" t="n"/>
      <c r="D150" s="6" t="n"/>
      <c r="E150" s="6" t="n"/>
      <c r="F150" s="6" t="n"/>
      <c r="G150" s="6" t="n"/>
      <c r="H150" s="6" t="n"/>
      <c r="I150" s="6" t="n"/>
      <c r="J150" s="6">
        <f>IF(I150="","",I150+CHOOSE(MATCH(G150,{"Monthly","Quarterly","Semi-annually","Annually"},0),30,90,180,365))</f>
        <v/>
      </c>
      <c r="K150" s="6">
        <f>IF(J150="","",IF(J150&gt;TODAY()+30,"✅ Current",IF(J150&gt;TODAY(),"⚠ Due Soon","❌ Overdue")))</f>
        <v/>
      </c>
      <c r="L150" s="6">
        <f>IF(J150="","",J150-TODAY())</f>
        <v/>
      </c>
      <c r="M150" s="6" t="n"/>
      <c r="N150" s="6" t="n"/>
    </row>
    <row r="151">
      <c r="A151" s="6" t="n"/>
      <c r="B151" s="6" t="n"/>
      <c r="C151" s="6" t="n"/>
      <c r="D151" s="6" t="n"/>
      <c r="E151" s="6" t="n"/>
      <c r="F151" s="6" t="n"/>
      <c r="G151" s="6" t="n"/>
      <c r="H151" s="6" t="n"/>
      <c r="I151" s="6" t="n"/>
      <c r="J151" s="6">
        <f>IF(I151="","",I151+CHOOSE(MATCH(G151,{"Monthly","Quarterly","Semi-annually","Annually"},0),30,90,180,365))</f>
        <v/>
      </c>
      <c r="K151" s="6">
        <f>IF(J151="","",IF(J151&gt;TODAY()+30,"✅ Current",IF(J151&gt;TODAY(),"⚠ Due Soon","❌ Overdue")))</f>
        <v/>
      </c>
      <c r="L151" s="6">
        <f>IF(J151="","",J151-TODAY())</f>
        <v/>
      </c>
      <c r="M151" s="6" t="n"/>
      <c r="N151" s="6" t="n"/>
    </row>
    <row r="152">
      <c r="A152" s="6" t="n"/>
      <c r="B152" s="6" t="n"/>
      <c r="C152" s="6" t="n"/>
      <c r="D152" s="6" t="n"/>
      <c r="E152" s="6" t="n"/>
      <c r="F152" s="6" t="n"/>
      <c r="G152" s="6" t="n"/>
      <c r="H152" s="6" t="n"/>
      <c r="I152" s="6" t="n"/>
      <c r="J152" s="6">
        <f>IF(I152="","",I152+CHOOSE(MATCH(G152,{"Monthly","Quarterly","Semi-annually","Annually"},0),30,90,180,365))</f>
        <v/>
      </c>
      <c r="K152" s="6">
        <f>IF(J152="","",IF(J152&gt;TODAY()+30,"✅ Current",IF(J152&gt;TODAY(),"⚠ Due Soon","❌ Overdue")))</f>
        <v/>
      </c>
      <c r="L152" s="6">
        <f>IF(J152="","",J152-TODAY())</f>
        <v/>
      </c>
      <c r="M152" s="6" t="n"/>
      <c r="N152" s="6" t="n"/>
    </row>
    <row r="153">
      <c r="A153" s="6" t="n"/>
      <c r="B153" s="6" t="n"/>
      <c r="C153" s="6" t="n"/>
      <c r="D153" s="6" t="n"/>
      <c r="E153" s="6" t="n"/>
      <c r="F153" s="6" t="n"/>
      <c r="G153" s="6" t="n"/>
      <c r="H153" s="6" t="n"/>
      <c r="I153" s="6" t="n"/>
      <c r="J153" s="6">
        <f>IF(I153="","",I153+CHOOSE(MATCH(G153,{"Monthly","Quarterly","Semi-annually","Annually"},0),30,90,180,365))</f>
        <v/>
      </c>
      <c r="K153" s="6">
        <f>IF(J153="","",IF(J153&gt;TODAY()+30,"✅ Current",IF(J153&gt;TODAY(),"⚠ Due Soon","❌ Overdue")))</f>
        <v/>
      </c>
      <c r="L153" s="6">
        <f>IF(J153="","",J153-TODAY())</f>
        <v/>
      </c>
      <c r="M153" s="6" t="n"/>
      <c r="N153" s="6" t="n"/>
    </row>
    <row r="154">
      <c r="A154" s="6" t="n"/>
      <c r="B154" s="6" t="n"/>
      <c r="C154" s="6" t="n"/>
      <c r="D154" s="6" t="n"/>
      <c r="E154" s="6" t="n"/>
      <c r="F154" s="6" t="n"/>
      <c r="G154" s="6" t="n"/>
      <c r="H154" s="6" t="n"/>
      <c r="I154" s="6" t="n"/>
      <c r="J154" s="6">
        <f>IF(I154="","",I154+CHOOSE(MATCH(G154,{"Monthly","Quarterly","Semi-annually","Annually"},0),30,90,180,365))</f>
        <v/>
      </c>
      <c r="K154" s="6">
        <f>IF(J154="","",IF(J154&gt;TODAY()+30,"✅ Current",IF(J154&gt;TODAY(),"⚠ Due Soon","❌ Overdue")))</f>
        <v/>
      </c>
      <c r="L154" s="6">
        <f>IF(J154="","",J154-TODAY())</f>
        <v/>
      </c>
      <c r="M154" s="6" t="n"/>
      <c r="N154" s="6" t="n"/>
    </row>
    <row r="155">
      <c r="A155" s="6" t="n"/>
      <c r="B155" s="6" t="n"/>
      <c r="C155" s="6" t="n"/>
      <c r="D155" s="6" t="n"/>
      <c r="E155" s="6" t="n"/>
      <c r="F155" s="6" t="n"/>
      <c r="G155" s="6" t="n"/>
      <c r="H155" s="6" t="n"/>
      <c r="I155" s="6" t="n"/>
      <c r="J155" s="6">
        <f>IF(I155="","",I155+CHOOSE(MATCH(G155,{"Monthly","Quarterly","Semi-annually","Annually"},0),30,90,180,365))</f>
        <v/>
      </c>
      <c r="K155" s="6">
        <f>IF(J155="","",IF(J155&gt;TODAY()+30,"✅ Current",IF(J155&gt;TODAY(),"⚠ Due Soon","❌ Overdue")))</f>
        <v/>
      </c>
      <c r="L155" s="6">
        <f>IF(J155="","",J155-TODAY())</f>
        <v/>
      </c>
      <c r="M155" s="6" t="n"/>
      <c r="N155" s="6" t="n"/>
    </row>
    <row r="156">
      <c r="A156" s="6" t="n"/>
      <c r="B156" s="6" t="n"/>
      <c r="C156" s="6" t="n"/>
      <c r="D156" s="6" t="n"/>
      <c r="E156" s="6" t="n"/>
      <c r="F156" s="6" t="n"/>
      <c r="G156" s="6" t="n"/>
      <c r="H156" s="6" t="n"/>
      <c r="I156" s="6" t="n"/>
      <c r="J156" s="6">
        <f>IF(I156="","",I156+CHOOSE(MATCH(G156,{"Monthly","Quarterly","Semi-annually","Annually"},0),30,90,180,365))</f>
        <v/>
      </c>
      <c r="K156" s="6">
        <f>IF(J156="","",IF(J156&gt;TODAY()+30,"✅ Current",IF(J156&gt;TODAY(),"⚠ Due Soon","❌ Overdue")))</f>
        <v/>
      </c>
      <c r="L156" s="6">
        <f>IF(J156="","",J156-TODAY())</f>
        <v/>
      </c>
      <c r="M156" s="6" t="n"/>
      <c r="N156" s="6" t="n"/>
    </row>
    <row r="157">
      <c r="A157" s="6" t="n"/>
      <c r="B157" s="6" t="n"/>
      <c r="C157" s="6" t="n"/>
      <c r="D157" s="6" t="n"/>
      <c r="E157" s="6" t="n"/>
      <c r="F157" s="6" t="n"/>
      <c r="G157" s="6" t="n"/>
      <c r="H157" s="6" t="n"/>
      <c r="I157" s="6" t="n"/>
      <c r="J157" s="6">
        <f>IF(I157="","",I157+CHOOSE(MATCH(G157,{"Monthly","Quarterly","Semi-annually","Annually"},0),30,90,180,365))</f>
        <v/>
      </c>
      <c r="K157" s="6">
        <f>IF(J157="","",IF(J157&gt;TODAY()+30,"✅ Current",IF(J157&gt;TODAY(),"⚠ Due Soon","❌ Overdue")))</f>
        <v/>
      </c>
      <c r="L157" s="6">
        <f>IF(J157="","",J157-TODAY())</f>
        <v/>
      </c>
      <c r="M157" s="6" t="n"/>
      <c r="N157" s="6" t="n"/>
    </row>
    <row r="158">
      <c r="A158" s="6" t="n"/>
      <c r="B158" s="6" t="n"/>
      <c r="C158" s="6" t="n"/>
      <c r="D158" s="6" t="n"/>
      <c r="E158" s="6" t="n"/>
      <c r="F158" s="6" t="n"/>
      <c r="G158" s="6" t="n"/>
      <c r="H158" s="6" t="n"/>
      <c r="I158" s="6" t="n"/>
      <c r="J158" s="6">
        <f>IF(I158="","",I158+CHOOSE(MATCH(G158,{"Monthly","Quarterly","Semi-annually","Annually"},0),30,90,180,365))</f>
        <v/>
      </c>
      <c r="K158" s="6">
        <f>IF(J158="","",IF(J158&gt;TODAY()+30,"✅ Current",IF(J158&gt;TODAY(),"⚠ Due Soon","❌ Overdue")))</f>
        <v/>
      </c>
      <c r="L158" s="6">
        <f>IF(J158="","",J158-TODAY())</f>
        <v/>
      </c>
      <c r="M158" s="6" t="n"/>
      <c r="N158" s="6" t="n"/>
    </row>
    <row r="159">
      <c r="A159" s="6" t="n"/>
      <c r="B159" s="6" t="n"/>
      <c r="C159" s="6" t="n"/>
      <c r="D159" s="6" t="n"/>
      <c r="E159" s="6" t="n"/>
      <c r="F159" s="6" t="n"/>
      <c r="G159" s="6" t="n"/>
      <c r="H159" s="6" t="n"/>
      <c r="I159" s="6" t="n"/>
      <c r="J159" s="6">
        <f>IF(I159="","",I159+CHOOSE(MATCH(G159,{"Monthly","Quarterly","Semi-annually","Annually"},0),30,90,180,365))</f>
        <v/>
      </c>
      <c r="K159" s="6">
        <f>IF(J159="","",IF(J159&gt;TODAY()+30,"✅ Current",IF(J159&gt;TODAY(),"⚠ Due Soon","❌ Overdue")))</f>
        <v/>
      </c>
      <c r="L159" s="6">
        <f>IF(J159="","",J159-TODAY())</f>
        <v/>
      </c>
      <c r="M159" s="6" t="n"/>
      <c r="N159" s="6" t="n"/>
    </row>
    <row r="160">
      <c r="A160" s="6" t="n"/>
      <c r="B160" s="6" t="n"/>
      <c r="C160" s="6" t="n"/>
      <c r="D160" s="6" t="n"/>
      <c r="E160" s="6" t="n"/>
      <c r="F160" s="6" t="n"/>
      <c r="G160" s="6" t="n"/>
      <c r="H160" s="6" t="n"/>
      <c r="I160" s="6" t="n"/>
      <c r="J160" s="6">
        <f>IF(I160="","",I160+CHOOSE(MATCH(G160,{"Monthly","Quarterly","Semi-annually","Annually"},0),30,90,180,365))</f>
        <v/>
      </c>
      <c r="K160" s="6">
        <f>IF(J160="","",IF(J160&gt;TODAY()+30,"✅ Current",IF(J160&gt;TODAY(),"⚠ Due Soon","❌ Overdue")))</f>
        <v/>
      </c>
      <c r="L160" s="6">
        <f>IF(J160="","",J160-TODAY())</f>
        <v/>
      </c>
      <c r="M160" s="6" t="n"/>
      <c r="N160" s="6" t="n"/>
    </row>
    <row r="161">
      <c r="A161" s="6" t="n"/>
      <c r="B161" s="6" t="n"/>
      <c r="C161" s="6" t="n"/>
      <c r="D161" s="6" t="n"/>
      <c r="E161" s="6" t="n"/>
      <c r="F161" s="6" t="n"/>
      <c r="G161" s="6" t="n"/>
      <c r="H161" s="6" t="n"/>
      <c r="I161" s="6" t="n"/>
      <c r="J161" s="6">
        <f>IF(I161="","",I161+CHOOSE(MATCH(G161,{"Monthly","Quarterly","Semi-annually","Annually"},0),30,90,180,365))</f>
        <v/>
      </c>
      <c r="K161" s="6">
        <f>IF(J161="","",IF(J161&gt;TODAY()+30,"✅ Current",IF(J161&gt;TODAY(),"⚠ Due Soon","❌ Overdue")))</f>
        <v/>
      </c>
      <c r="L161" s="6">
        <f>IF(J161="","",J161-TODAY())</f>
        <v/>
      </c>
      <c r="M161" s="6" t="n"/>
      <c r="N161" s="6" t="n"/>
    </row>
    <row r="162">
      <c r="A162" s="6" t="n"/>
      <c r="B162" s="6" t="n"/>
      <c r="C162" s="6" t="n"/>
      <c r="D162" s="6" t="n"/>
      <c r="E162" s="6" t="n"/>
      <c r="F162" s="6" t="n"/>
      <c r="G162" s="6" t="n"/>
      <c r="H162" s="6" t="n"/>
      <c r="I162" s="6" t="n"/>
      <c r="J162" s="6">
        <f>IF(I162="","",I162+CHOOSE(MATCH(G162,{"Monthly","Quarterly","Semi-annually","Annually"},0),30,90,180,365))</f>
        <v/>
      </c>
      <c r="K162" s="6">
        <f>IF(J162="","",IF(J162&gt;TODAY()+30,"✅ Current",IF(J162&gt;TODAY(),"⚠ Due Soon","❌ Overdue")))</f>
        <v/>
      </c>
      <c r="L162" s="6">
        <f>IF(J162="","",J162-TODAY())</f>
        <v/>
      </c>
      <c r="M162" s="6" t="n"/>
      <c r="N162" s="6" t="n"/>
    </row>
    <row r="163">
      <c r="A163" s="6" t="n"/>
      <c r="B163" s="6" t="n"/>
      <c r="C163" s="6" t="n"/>
      <c r="D163" s="6" t="n"/>
      <c r="E163" s="6" t="n"/>
      <c r="F163" s="6" t="n"/>
      <c r="G163" s="6" t="n"/>
      <c r="H163" s="6" t="n"/>
      <c r="I163" s="6" t="n"/>
      <c r="J163" s="6">
        <f>IF(I163="","",I163+CHOOSE(MATCH(G163,{"Monthly","Quarterly","Semi-annually","Annually"},0),30,90,180,365))</f>
        <v/>
      </c>
      <c r="K163" s="6">
        <f>IF(J163="","",IF(J163&gt;TODAY()+30,"✅ Current",IF(J163&gt;TODAY(),"⚠ Due Soon","❌ Overdue")))</f>
        <v/>
      </c>
      <c r="L163" s="6">
        <f>IF(J163="","",J163-TODAY())</f>
        <v/>
      </c>
      <c r="M163" s="6" t="n"/>
      <c r="N163" s="6" t="n"/>
    </row>
    <row r="164">
      <c r="A164" s="6" t="n"/>
      <c r="B164" s="6" t="n"/>
      <c r="C164" s="6" t="n"/>
      <c r="D164" s="6" t="n"/>
      <c r="E164" s="6" t="n"/>
      <c r="F164" s="6" t="n"/>
      <c r="G164" s="6" t="n"/>
      <c r="H164" s="6" t="n"/>
      <c r="I164" s="6" t="n"/>
      <c r="J164" s="6">
        <f>IF(I164="","",I164+CHOOSE(MATCH(G164,{"Monthly","Quarterly","Semi-annually","Annually"},0),30,90,180,365))</f>
        <v/>
      </c>
      <c r="K164" s="6">
        <f>IF(J164="","",IF(J164&gt;TODAY()+30,"✅ Current",IF(J164&gt;TODAY(),"⚠ Due Soon","❌ Overdue")))</f>
        <v/>
      </c>
      <c r="L164" s="6">
        <f>IF(J164="","",J164-TODAY())</f>
        <v/>
      </c>
      <c r="M164" s="6" t="n"/>
      <c r="N164" s="6" t="n"/>
    </row>
    <row r="165">
      <c r="A165" s="6" t="n"/>
      <c r="B165" s="6" t="n"/>
      <c r="C165" s="6" t="n"/>
      <c r="D165" s="6" t="n"/>
      <c r="E165" s="6" t="n"/>
      <c r="F165" s="6" t="n"/>
      <c r="G165" s="6" t="n"/>
      <c r="H165" s="6" t="n"/>
      <c r="I165" s="6" t="n"/>
      <c r="J165" s="6">
        <f>IF(I165="","",I165+CHOOSE(MATCH(G165,{"Monthly","Quarterly","Semi-annually","Annually"},0),30,90,180,365))</f>
        <v/>
      </c>
      <c r="K165" s="6">
        <f>IF(J165="","",IF(J165&gt;TODAY()+30,"✅ Current",IF(J165&gt;TODAY(),"⚠ Due Soon","❌ Overdue")))</f>
        <v/>
      </c>
      <c r="L165" s="6">
        <f>IF(J165="","",J165-TODAY())</f>
        <v/>
      </c>
      <c r="M165" s="6" t="n"/>
      <c r="N165" s="6" t="n"/>
    </row>
    <row r="166">
      <c r="A166" s="6" t="n"/>
      <c r="B166" s="6" t="n"/>
      <c r="C166" s="6" t="n"/>
      <c r="D166" s="6" t="n"/>
      <c r="E166" s="6" t="n"/>
      <c r="F166" s="6" t="n"/>
      <c r="G166" s="6" t="n"/>
      <c r="H166" s="6" t="n"/>
      <c r="I166" s="6" t="n"/>
      <c r="J166" s="6">
        <f>IF(I166="","",I166+CHOOSE(MATCH(G166,{"Monthly","Quarterly","Semi-annually","Annually"},0),30,90,180,365))</f>
        <v/>
      </c>
      <c r="K166" s="6">
        <f>IF(J166="","",IF(J166&gt;TODAY()+30,"✅ Current",IF(J166&gt;TODAY(),"⚠ Due Soon","❌ Overdue")))</f>
        <v/>
      </c>
      <c r="L166" s="6">
        <f>IF(J166="","",J166-TODAY())</f>
        <v/>
      </c>
      <c r="M166" s="6" t="n"/>
      <c r="N166" s="6" t="n"/>
    </row>
    <row r="167">
      <c r="A167" s="6" t="n"/>
      <c r="B167" s="6" t="n"/>
      <c r="C167" s="6" t="n"/>
      <c r="D167" s="6" t="n"/>
      <c r="E167" s="6" t="n"/>
      <c r="F167" s="6" t="n"/>
      <c r="G167" s="6" t="n"/>
      <c r="H167" s="6" t="n"/>
      <c r="I167" s="6" t="n"/>
      <c r="J167" s="6">
        <f>IF(I167="","",I167+CHOOSE(MATCH(G167,{"Monthly","Quarterly","Semi-annually","Annually"},0),30,90,180,365))</f>
        <v/>
      </c>
      <c r="K167" s="6">
        <f>IF(J167="","",IF(J167&gt;TODAY()+30,"✅ Current",IF(J167&gt;TODAY(),"⚠ Due Soon","❌ Overdue")))</f>
        <v/>
      </c>
      <c r="L167" s="6">
        <f>IF(J167="","",J167-TODAY())</f>
        <v/>
      </c>
      <c r="M167" s="6" t="n"/>
      <c r="N167" s="6" t="n"/>
    </row>
    <row r="168">
      <c r="A168" s="6" t="n"/>
      <c r="B168" s="6" t="n"/>
      <c r="C168" s="6" t="n"/>
      <c r="D168" s="6" t="n"/>
      <c r="E168" s="6" t="n"/>
      <c r="F168" s="6" t="n"/>
      <c r="G168" s="6" t="n"/>
      <c r="H168" s="6" t="n"/>
      <c r="I168" s="6" t="n"/>
      <c r="J168" s="6">
        <f>IF(I168="","",I168+CHOOSE(MATCH(G168,{"Monthly","Quarterly","Semi-annually","Annually"},0),30,90,180,365))</f>
        <v/>
      </c>
      <c r="K168" s="6">
        <f>IF(J168="","",IF(J168&gt;TODAY()+30,"✅ Current",IF(J168&gt;TODAY(),"⚠ Due Soon","❌ Overdue")))</f>
        <v/>
      </c>
      <c r="L168" s="6">
        <f>IF(J168="","",J168-TODAY())</f>
        <v/>
      </c>
      <c r="M168" s="6" t="n"/>
      <c r="N168" s="6" t="n"/>
    </row>
    <row r="169">
      <c r="A169" s="6" t="n"/>
      <c r="B169" s="6" t="n"/>
      <c r="C169" s="6" t="n"/>
      <c r="D169" s="6" t="n"/>
      <c r="E169" s="6" t="n"/>
      <c r="F169" s="6" t="n"/>
      <c r="G169" s="6" t="n"/>
      <c r="H169" s="6" t="n"/>
      <c r="I169" s="6" t="n"/>
      <c r="J169" s="6">
        <f>IF(I169="","",I169+CHOOSE(MATCH(G169,{"Monthly","Quarterly","Semi-annually","Annually"},0),30,90,180,365))</f>
        <v/>
      </c>
      <c r="K169" s="6">
        <f>IF(J169="","",IF(J169&gt;TODAY()+30,"✅ Current",IF(J169&gt;TODAY(),"⚠ Due Soon","❌ Overdue")))</f>
        <v/>
      </c>
      <c r="L169" s="6">
        <f>IF(J169="","",J169-TODAY())</f>
        <v/>
      </c>
      <c r="M169" s="6" t="n"/>
      <c r="N169" s="6" t="n"/>
    </row>
    <row r="170">
      <c r="A170" s="6" t="n"/>
      <c r="B170" s="6" t="n"/>
      <c r="C170" s="6" t="n"/>
      <c r="D170" s="6" t="n"/>
      <c r="E170" s="6" t="n"/>
      <c r="F170" s="6" t="n"/>
      <c r="G170" s="6" t="n"/>
      <c r="H170" s="6" t="n"/>
      <c r="I170" s="6" t="n"/>
      <c r="J170" s="6">
        <f>IF(I170="","",I170+CHOOSE(MATCH(G170,{"Monthly","Quarterly","Semi-annually","Annually"},0),30,90,180,365))</f>
        <v/>
      </c>
      <c r="K170" s="6">
        <f>IF(J170="","",IF(J170&gt;TODAY()+30,"✅ Current",IF(J170&gt;TODAY(),"⚠ Due Soon","❌ Overdue")))</f>
        <v/>
      </c>
      <c r="L170" s="6">
        <f>IF(J170="","",J170-TODAY())</f>
        <v/>
      </c>
      <c r="M170" s="6" t="n"/>
      <c r="N170" s="6" t="n"/>
    </row>
    <row r="171">
      <c r="A171" s="6" t="n"/>
      <c r="B171" s="6" t="n"/>
      <c r="C171" s="6" t="n"/>
      <c r="D171" s="6" t="n"/>
      <c r="E171" s="6" t="n"/>
      <c r="F171" s="6" t="n"/>
      <c r="G171" s="6" t="n"/>
      <c r="H171" s="6" t="n"/>
      <c r="I171" s="6" t="n"/>
      <c r="J171" s="6">
        <f>IF(I171="","",I171+CHOOSE(MATCH(G171,{"Monthly","Quarterly","Semi-annually","Annually"},0),30,90,180,365))</f>
        <v/>
      </c>
      <c r="K171" s="6">
        <f>IF(J171="","",IF(J171&gt;TODAY()+30,"✅ Current",IF(J171&gt;TODAY(),"⚠ Due Soon","❌ Overdue")))</f>
        <v/>
      </c>
      <c r="L171" s="6">
        <f>IF(J171="","",J171-TODAY())</f>
        <v/>
      </c>
      <c r="M171" s="6" t="n"/>
      <c r="N171" s="6" t="n"/>
    </row>
    <row r="172">
      <c r="A172" s="6" t="n"/>
      <c r="B172" s="6" t="n"/>
      <c r="C172" s="6" t="n"/>
      <c r="D172" s="6" t="n"/>
      <c r="E172" s="6" t="n"/>
      <c r="F172" s="6" t="n"/>
      <c r="G172" s="6" t="n"/>
      <c r="H172" s="6" t="n"/>
      <c r="I172" s="6" t="n"/>
      <c r="J172" s="6">
        <f>IF(I172="","",I172+CHOOSE(MATCH(G172,{"Monthly","Quarterly","Semi-annually","Annually"},0),30,90,180,365))</f>
        <v/>
      </c>
      <c r="K172" s="6">
        <f>IF(J172="","",IF(J172&gt;TODAY()+30,"✅ Current",IF(J172&gt;TODAY(),"⚠ Due Soon","❌ Overdue")))</f>
        <v/>
      </c>
      <c r="L172" s="6">
        <f>IF(J172="","",J172-TODAY())</f>
        <v/>
      </c>
      <c r="M172" s="6" t="n"/>
      <c r="N172" s="6" t="n"/>
    </row>
    <row r="173">
      <c r="A173" s="6" t="n"/>
      <c r="B173" s="6" t="n"/>
      <c r="C173" s="6" t="n"/>
      <c r="D173" s="6" t="n"/>
      <c r="E173" s="6" t="n"/>
      <c r="F173" s="6" t="n"/>
      <c r="G173" s="6" t="n"/>
      <c r="H173" s="6" t="n"/>
      <c r="I173" s="6" t="n"/>
      <c r="J173" s="6">
        <f>IF(I173="","",I173+CHOOSE(MATCH(G173,{"Monthly","Quarterly","Semi-annually","Annually"},0),30,90,180,365))</f>
        <v/>
      </c>
      <c r="K173" s="6">
        <f>IF(J173="","",IF(J173&gt;TODAY()+30,"✅ Current",IF(J173&gt;TODAY(),"⚠ Due Soon","❌ Overdue")))</f>
        <v/>
      </c>
      <c r="L173" s="6">
        <f>IF(J173="","",J173-TODAY())</f>
        <v/>
      </c>
      <c r="M173" s="6" t="n"/>
      <c r="N173" s="6" t="n"/>
    </row>
    <row r="174">
      <c r="A174" s="6" t="n"/>
      <c r="B174" s="6" t="n"/>
      <c r="C174" s="6" t="n"/>
      <c r="D174" s="6" t="n"/>
      <c r="E174" s="6" t="n"/>
      <c r="F174" s="6" t="n"/>
      <c r="G174" s="6" t="n"/>
      <c r="H174" s="6" t="n"/>
      <c r="I174" s="6" t="n"/>
      <c r="J174" s="6">
        <f>IF(I174="","",I174+CHOOSE(MATCH(G174,{"Monthly","Quarterly","Semi-annually","Annually"},0),30,90,180,365))</f>
        <v/>
      </c>
      <c r="K174" s="6">
        <f>IF(J174="","",IF(J174&gt;TODAY()+30,"✅ Current",IF(J174&gt;TODAY(),"⚠ Due Soon","❌ Overdue")))</f>
        <v/>
      </c>
      <c r="L174" s="6">
        <f>IF(J174="","",J174-TODAY())</f>
        <v/>
      </c>
      <c r="M174" s="6" t="n"/>
      <c r="N174" s="6" t="n"/>
    </row>
    <row r="175">
      <c r="A175" s="6" t="n"/>
      <c r="B175" s="6" t="n"/>
      <c r="C175" s="6" t="n"/>
      <c r="D175" s="6" t="n"/>
      <c r="E175" s="6" t="n"/>
      <c r="F175" s="6" t="n"/>
      <c r="G175" s="6" t="n"/>
      <c r="H175" s="6" t="n"/>
      <c r="I175" s="6" t="n"/>
      <c r="J175" s="6">
        <f>IF(I175="","",I175+CHOOSE(MATCH(G175,{"Monthly","Quarterly","Semi-annually","Annually"},0),30,90,180,365))</f>
        <v/>
      </c>
      <c r="K175" s="6">
        <f>IF(J175="","",IF(J175&gt;TODAY()+30,"✅ Current",IF(J175&gt;TODAY(),"⚠ Due Soon","❌ Overdue")))</f>
        <v/>
      </c>
      <c r="L175" s="6">
        <f>IF(J175="","",J175-TODAY())</f>
        <v/>
      </c>
      <c r="M175" s="6" t="n"/>
      <c r="N175" s="6" t="n"/>
    </row>
    <row r="176">
      <c r="A176" s="6" t="n"/>
      <c r="B176" s="6" t="n"/>
      <c r="C176" s="6" t="n"/>
      <c r="D176" s="6" t="n"/>
      <c r="E176" s="6" t="n"/>
      <c r="F176" s="6" t="n"/>
      <c r="G176" s="6" t="n"/>
      <c r="H176" s="6" t="n"/>
      <c r="I176" s="6" t="n"/>
      <c r="J176" s="6">
        <f>IF(I176="","",I176+CHOOSE(MATCH(G176,{"Monthly","Quarterly","Semi-annually","Annually"},0),30,90,180,365))</f>
        <v/>
      </c>
      <c r="K176" s="6">
        <f>IF(J176="","",IF(J176&gt;TODAY()+30,"✅ Current",IF(J176&gt;TODAY(),"⚠ Due Soon","❌ Overdue")))</f>
        <v/>
      </c>
      <c r="L176" s="6">
        <f>IF(J176="","",J176-TODAY())</f>
        <v/>
      </c>
      <c r="M176" s="6" t="n"/>
      <c r="N176" s="6" t="n"/>
    </row>
    <row r="177">
      <c r="A177" s="6" t="n"/>
      <c r="B177" s="6" t="n"/>
      <c r="C177" s="6" t="n"/>
      <c r="D177" s="6" t="n"/>
      <c r="E177" s="6" t="n"/>
      <c r="F177" s="6" t="n"/>
      <c r="G177" s="6" t="n"/>
      <c r="H177" s="6" t="n"/>
      <c r="I177" s="6" t="n"/>
      <c r="J177" s="6">
        <f>IF(I177="","",I177+CHOOSE(MATCH(G177,{"Monthly","Quarterly","Semi-annually","Annually"},0),30,90,180,365))</f>
        <v/>
      </c>
      <c r="K177" s="6">
        <f>IF(J177="","",IF(J177&gt;TODAY()+30,"✅ Current",IF(J177&gt;TODAY(),"⚠ Due Soon","❌ Overdue")))</f>
        <v/>
      </c>
      <c r="L177" s="6">
        <f>IF(J177="","",J177-TODAY())</f>
        <v/>
      </c>
      <c r="M177" s="6" t="n"/>
      <c r="N177" s="6" t="n"/>
    </row>
    <row r="178">
      <c r="A178" s="6" t="n"/>
      <c r="B178" s="6" t="n"/>
      <c r="C178" s="6" t="n"/>
      <c r="D178" s="6" t="n"/>
      <c r="E178" s="6" t="n"/>
      <c r="F178" s="6" t="n"/>
      <c r="G178" s="6" t="n"/>
      <c r="H178" s="6" t="n"/>
      <c r="I178" s="6" t="n"/>
      <c r="J178" s="6">
        <f>IF(I178="","",I178+CHOOSE(MATCH(G178,{"Monthly","Quarterly","Semi-annually","Annually"},0),30,90,180,365))</f>
        <v/>
      </c>
      <c r="K178" s="6">
        <f>IF(J178="","",IF(J178&gt;TODAY()+30,"✅ Current",IF(J178&gt;TODAY(),"⚠ Due Soon","❌ Overdue")))</f>
        <v/>
      </c>
      <c r="L178" s="6">
        <f>IF(J178="","",J178-TODAY())</f>
        <v/>
      </c>
      <c r="M178" s="6" t="n"/>
      <c r="N178" s="6" t="n"/>
    </row>
    <row r="179">
      <c r="A179" s="6" t="n"/>
      <c r="B179" s="6" t="n"/>
      <c r="C179" s="6" t="n"/>
      <c r="D179" s="6" t="n"/>
      <c r="E179" s="6" t="n"/>
      <c r="F179" s="6" t="n"/>
      <c r="G179" s="6" t="n"/>
      <c r="H179" s="6" t="n"/>
      <c r="I179" s="6" t="n"/>
      <c r="J179" s="6">
        <f>IF(I179="","",I179+CHOOSE(MATCH(G179,{"Monthly","Quarterly","Semi-annually","Annually"},0),30,90,180,365))</f>
        <v/>
      </c>
      <c r="K179" s="6">
        <f>IF(J179="","",IF(J179&gt;TODAY()+30,"✅ Current",IF(J179&gt;TODAY(),"⚠ Due Soon","❌ Overdue")))</f>
        <v/>
      </c>
      <c r="L179" s="6">
        <f>IF(J179="","",J179-TODAY())</f>
        <v/>
      </c>
      <c r="M179" s="6" t="n"/>
      <c r="N179" s="6" t="n"/>
    </row>
    <row r="180">
      <c r="A180" s="6" t="n"/>
      <c r="B180" s="6" t="n"/>
      <c r="C180" s="6" t="n"/>
      <c r="D180" s="6" t="n"/>
      <c r="E180" s="6" t="n"/>
      <c r="F180" s="6" t="n"/>
      <c r="G180" s="6" t="n"/>
      <c r="H180" s="6" t="n"/>
      <c r="I180" s="6" t="n"/>
      <c r="J180" s="6">
        <f>IF(I180="","",I180+CHOOSE(MATCH(G180,{"Monthly","Quarterly","Semi-annually","Annually"},0),30,90,180,365))</f>
        <v/>
      </c>
      <c r="K180" s="6">
        <f>IF(J180="","",IF(J180&gt;TODAY()+30,"✅ Current",IF(J180&gt;TODAY(),"⚠ Due Soon","❌ Overdue")))</f>
        <v/>
      </c>
      <c r="L180" s="6">
        <f>IF(J180="","",J180-TODAY())</f>
        <v/>
      </c>
      <c r="M180" s="6" t="n"/>
      <c r="N180" s="6" t="n"/>
    </row>
    <row r="181">
      <c r="A181" s="6" t="n"/>
      <c r="B181" s="6" t="n"/>
      <c r="C181" s="6" t="n"/>
      <c r="D181" s="6" t="n"/>
      <c r="E181" s="6" t="n"/>
      <c r="F181" s="6" t="n"/>
      <c r="G181" s="6" t="n"/>
      <c r="H181" s="6" t="n"/>
      <c r="I181" s="6" t="n"/>
      <c r="J181" s="6">
        <f>IF(I181="","",I181+CHOOSE(MATCH(G181,{"Monthly","Quarterly","Semi-annually","Annually"},0),30,90,180,365))</f>
        <v/>
      </c>
      <c r="K181" s="6">
        <f>IF(J181="","",IF(J181&gt;TODAY()+30,"✅ Current",IF(J181&gt;TODAY(),"⚠ Due Soon","❌ Overdue")))</f>
        <v/>
      </c>
      <c r="L181" s="6">
        <f>IF(J181="","",J181-TODAY())</f>
        <v/>
      </c>
      <c r="M181" s="6" t="n"/>
      <c r="N181" s="6" t="n"/>
    </row>
    <row r="182">
      <c r="A182" s="6" t="n"/>
      <c r="B182" s="6" t="n"/>
      <c r="C182" s="6" t="n"/>
      <c r="D182" s="6" t="n"/>
      <c r="E182" s="6" t="n"/>
      <c r="F182" s="6" t="n"/>
      <c r="G182" s="6" t="n"/>
      <c r="H182" s="6" t="n"/>
      <c r="I182" s="6" t="n"/>
      <c r="J182" s="6">
        <f>IF(I182="","",I182+CHOOSE(MATCH(G182,{"Monthly","Quarterly","Semi-annually","Annually"},0),30,90,180,365))</f>
        <v/>
      </c>
      <c r="K182" s="6">
        <f>IF(J182="","",IF(J182&gt;TODAY()+30,"✅ Current",IF(J182&gt;TODAY(),"⚠ Due Soon","❌ Overdue")))</f>
        <v/>
      </c>
      <c r="L182" s="6">
        <f>IF(J182="","",J182-TODAY())</f>
        <v/>
      </c>
      <c r="M182" s="6" t="n"/>
      <c r="N182" s="6" t="n"/>
    </row>
    <row r="183">
      <c r="A183" s="6" t="n"/>
      <c r="B183" s="6" t="n"/>
      <c r="C183" s="6" t="n"/>
      <c r="D183" s="6" t="n"/>
      <c r="E183" s="6" t="n"/>
      <c r="F183" s="6" t="n"/>
      <c r="G183" s="6" t="n"/>
      <c r="H183" s="6" t="n"/>
      <c r="I183" s="6" t="n"/>
      <c r="J183" s="6">
        <f>IF(I183="","",I183+CHOOSE(MATCH(G183,{"Monthly","Quarterly","Semi-annually","Annually"},0),30,90,180,365))</f>
        <v/>
      </c>
      <c r="K183" s="6">
        <f>IF(J183="","",IF(J183&gt;TODAY()+30,"✅ Current",IF(J183&gt;TODAY(),"⚠ Due Soon","❌ Overdue")))</f>
        <v/>
      </c>
      <c r="L183" s="6">
        <f>IF(J183="","",J183-TODAY())</f>
        <v/>
      </c>
      <c r="M183" s="6" t="n"/>
      <c r="N183" s="6" t="n"/>
    </row>
    <row r="184">
      <c r="A184" s="6" t="n"/>
      <c r="B184" s="6" t="n"/>
      <c r="C184" s="6" t="n"/>
      <c r="D184" s="6" t="n"/>
      <c r="E184" s="6" t="n"/>
      <c r="F184" s="6" t="n"/>
      <c r="G184" s="6" t="n"/>
      <c r="H184" s="6" t="n"/>
      <c r="I184" s="6" t="n"/>
      <c r="J184" s="6">
        <f>IF(I184="","",I184+CHOOSE(MATCH(G184,{"Monthly","Quarterly","Semi-annually","Annually"},0),30,90,180,365))</f>
        <v/>
      </c>
      <c r="K184" s="6">
        <f>IF(J184="","",IF(J184&gt;TODAY()+30,"✅ Current",IF(J184&gt;TODAY(),"⚠ Due Soon","❌ Overdue")))</f>
        <v/>
      </c>
      <c r="L184" s="6">
        <f>IF(J184="","",J184-TODAY())</f>
        <v/>
      </c>
      <c r="M184" s="6" t="n"/>
      <c r="N184" s="6" t="n"/>
    </row>
    <row r="185">
      <c r="A185" s="6" t="n"/>
      <c r="B185" s="6" t="n"/>
      <c r="C185" s="6" t="n"/>
      <c r="D185" s="6" t="n"/>
      <c r="E185" s="6" t="n"/>
      <c r="F185" s="6" t="n"/>
      <c r="G185" s="6" t="n"/>
      <c r="H185" s="6" t="n"/>
      <c r="I185" s="6" t="n"/>
      <c r="J185" s="6">
        <f>IF(I185="","",I185+CHOOSE(MATCH(G185,{"Monthly","Quarterly","Semi-annually","Annually"},0),30,90,180,365))</f>
        <v/>
      </c>
      <c r="K185" s="6">
        <f>IF(J185="","",IF(J185&gt;TODAY()+30,"✅ Current",IF(J185&gt;TODAY(),"⚠ Due Soon","❌ Overdue")))</f>
        <v/>
      </c>
      <c r="L185" s="6">
        <f>IF(J185="","",J185-TODAY())</f>
        <v/>
      </c>
      <c r="M185" s="6" t="n"/>
      <c r="N185" s="6" t="n"/>
    </row>
    <row r="186">
      <c r="A186" s="6" t="n"/>
      <c r="B186" s="6" t="n"/>
      <c r="C186" s="6" t="n"/>
      <c r="D186" s="6" t="n"/>
      <c r="E186" s="6" t="n"/>
      <c r="F186" s="6" t="n"/>
      <c r="G186" s="6" t="n"/>
      <c r="H186" s="6" t="n"/>
      <c r="I186" s="6" t="n"/>
      <c r="J186" s="6">
        <f>IF(I186="","",I186+CHOOSE(MATCH(G186,{"Monthly","Quarterly","Semi-annually","Annually"},0),30,90,180,365))</f>
        <v/>
      </c>
      <c r="K186" s="6">
        <f>IF(J186="","",IF(J186&gt;TODAY()+30,"✅ Current",IF(J186&gt;TODAY(),"⚠ Due Soon","❌ Overdue")))</f>
        <v/>
      </c>
      <c r="L186" s="6">
        <f>IF(J186="","",J186-TODAY())</f>
        <v/>
      </c>
      <c r="M186" s="6" t="n"/>
      <c r="N186" s="6" t="n"/>
    </row>
    <row r="187">
      <c r="A187" s="6" t="n"/>
      <c r="B187" s="6" t="n"/>
      <c r="C187" s="6" t="n"/>
      <c r="D187" s="6" t="n"/>
      <c r="E187" s="6" t="n"/>
      <c r="F187" s="6" t="n"/>
      <c r="G187" s="6" t="n"/>
      <c r="H187" s="6" t="n"/>
      <c r="I187" s="6" t="n"/>
      <c r="J187" s="6">
        <f>IF(I187="","",I187+CHOOSE(MATCH(G187,{"Monthly","Quarterly","Semi-annually","Annually"},0),30,90,180,365))</f>
        <v/>
      </c>
      <c r="K187" s="6">
        <f>IF(J187="","",IF(J187&gt;TODAY()+30,"✅ Current",IF(J187&gt;TODAY(),"⚠ Due Soon","❌ Overdue")))</f>
        <v/>
      </c>
      <c r="L187" s="6">
        <f>IF(J187="","",J187-TODAY())</f>
        <v/>
      </c>
      <c r="M187" s="6" t="n"/>
      <c r="N187" s="6" t="n"/>
    </row>
    <row r="188">
      <c r="A188" s="6" t="n"/>
      <c r="B188" s="6" t="n"/>
      <c r="C188" s="6" t="n"/>
      <c r="D188" s="6" t="n"/>
      <c r="E188" s="6" t="n"/>
      <c r="F188" s="6" t="n"/>
      <c r="G188" s="6" t="n"/>
      <c r="H188" s="6" t="n"/>
      <c r="I188" s="6" t="n"/>
      <c r="J188" s="6">
        <f>IF(I188="","",I188+CHOOSE(MATCH(G188,{"Monthly","Quarterly","Semi-annually","Annually"},0),30,90,180,365))</f>
        <v/>
      </c>
      <c r="K188" s="6">
        <f>IF(J188="","",IF(J188&gt;TODAY()+30,"✅ Current",IF(J188&gt;TODAY(),"⚠ Due Soon","❌ Overdue")))</f>
        <v/>
      </c>
      <c r="L188" s="6">
        <f>IF(J188="","",J188-TODAY())</f>
        <v/>
      </c>
      <c r="M188" s="6" t="n"/>
      <c r="N188" s="6" t="n"/>
    </row>
    <row r="189">
      <c r="A189" s="6" t="n"/>
      <c r="B189" s="6" t="n"/>
      <c r="C189" s="6" t="n"/>
      <c r="D189" s="6" t="n"/>
      <c r="E189" s="6" t="n"/>
      <c r="F189" s="6" t="n"/>
      <c r="G189" s="6" t="n"/>
      <c r="H189" s="6" t="n"/>
      <c r="I189" s="6" t="n"/>
      <c r="J189" s="6">
        <f>IF(I189="","",I189+CHOOSE(MATCH(G189,{"Monthly","Quarterly","Semi-annually","Annually"},0),30,90,180,365))</f>
        <v/>
      </c>
      <c r="K189" s="6">
        <f>IF(J189="","",IF(J189&gt;TODAY()+30,"✅ Current",IF(J189&gt;TODAY(),"⚠ Due Soon","❌ Overdue")))</f>
        <v/>
      </c>
      <c r="L189" s="6">
        <f>IF(J189="","",J189-TODAY())</f>
        <v/>
      </c>
      <c r="M189" s="6" t="n"/>
      <c r="N189" s="6" t="n"/>
    </row>
    <row r="190">
      <c r="A190" s="6" t="n"/>
      <c r="B190" s="6" t="n"/>
      <c r="C190" s="6" t="n"/>
      <c r="D190" s="6" t="n"/>
      <c r="E190" s="6" t="n"/>
      <c r="F190" s="6" t="n"/>
      <c r="G190" s="6" t="n"/>
      <c r="H190" s="6" t="n"/>
      <c r="I190" s="6" t="n"/>
      <c r="J190" s="6">
        <f>IF(I190="","",I190+CHOOSE(MATCH(G190,{"Monthly","Quarterly","Semi-annually","Annually"},0),30,90,180,365))</f>
        <v/>
      </c>
      <c r="K190" s="6">
        <f>IF(J190="","",IF(J190&gt;TODAY()+30,"✅ Current",IF(J190&gt;TODAY(),"⚠ Due Soon","❌ Overdue")))</f>
        <v/>
      </c>
      <c r="L190" s="6">
        <f>IF(J190="","",J190-TODAY())</f>
        <v/>
      </c>
      <c r="M190" s="6" t="n"/>
      <c r="N190" s="6" t="n"/>
    </row>
    <row r="191">
      <c r="A191" s="6" t="n"/>
      <c r="B191" s="6" t="n"/>
      <c r="C191" s="6" t="n"/>
      <c r="D191" s="6" t="n"/>
      <c r="E191" s="6" t="n"/>
      <c r="F191" s="6" t="n"/>
      <c r="G191" s="6" t="n"/>
      <c r="H191" s="6" t="n"/>
      <c r="I191" s="6" t="n"/>
      <c r="J191" s="6">
        <f>IF(I191="","",I191+CHOOSE(MATCH(G191,{"Monthly","Quarterly","Semi-annually","Annually"},0),30,90,180,365))</f>
        <v/>
      </c>
      <c r="K191" s="6">
        <f>IF(J191="","",IF(J191&gt;TODAY()+30,"✅ Current",IF(J191&gt;TODAY(),"⚠ Due Soon","❌ Overdue")))</f>
        <v/>
      </c>
      <c r="L191" s="6">
        <f>IF(J191="","",J191-TODAY())</f>
        <v/>
      </c>
      <c r="M191" s="6" t="n"/>
      <c r="N191" s="6" t="n"/>
    </row>
    <row r="192">
      <c r="A192" s="6" t="n"/>
      <c r="B192" s="6" t="n"/>
      <c r="C192" s="6" t="n"/>
      <c r="D192" s="6" t="n"/>
      <c r="E192" s="6" t="n"/>
      <c r="F192" s="6" t="n"/>
      <c r="G192" s="6" t="n"/>
      <c r="H192" s="6" t="n"/>
      <c r="I192" s="6" t="n"/>
      <c r="J192" s="6">
        <f>IF(I192="","",I192+CHOOSE(MATCH(G192,{"Monthly","Quarterly","Semi-annually","Annually"},0),30,90,180,365))</f>
        <v/>
      </c>
      <c r="K192" s="6">
        <f>IF(J192="","",IF(J192&gt;TODAY()+30,"✅ Current",IF(J192&gt;TODAY(),"⚠ Due Soon","❌ Overdue")))</f>
        <v/>
      </c>
      <c r="L192" s="6">
        <f>IF(J192="","",J192-TODAY())</f>
        <v/>
      </c>
      <c r="M192" s="6" t="n"/>
      <c r="N192" s="6" t="n"/>
    </row>
    <row r="193">
      <c r="A193" s="6" t="n"/>
      <c r="B193" s="6" t="n"/>
      <c r="C193" s="6" t="n"/>
      <c r="D193" s="6" t="n"/>
      <c r="E193" s="6" t="n"/>
      <c r="F193" s="6" t="n"/>
      <c r="G193" s="6" t="n"/>
      <c r="H193" s="6" t="n"/>
      <c r="I193" s="6" t="n"/>
      <c r="J193" s="6">
        <f>IF(I193="","",I193+CHOOSE(MATCH(G193,{"Monthly","Quarterly","Semi-annually","Annually"},0),30,90,180,365))</f>
        <v/>
      </c>
      <c r="K193" s="6">
        <f>IF(J193="","",IF(J193&gt;TODAY()+30,"✅ Current",IF(J193&gt;TODAY(),"⚠ Due Soon","❌ Overdue")))</f>
        <v/>
      </c>
      <c r="L193" s="6">
        <f>IF(J193="","",J193-TODAY())</f>
        <v/>
      </c>
      <c r="M193" s="6" t="n"/>
      <c r="N193" s="6" t="n"/>
    </row>
    <row r="194">
      <c r="A194" s="6" t="n"/>
      <c r="B194" s="6" t="n"/>
      <c r="C194" s="6" t="n"/>
      <c r="D194" s="6" t="n"/>
      <c r="E194" s="6" t="n"/>
      <c r="F194" s="6" t="n"/>
      <c r="G194" s="6" t="n"/>
      <c r="H194" s="6" t="n"/>
      <c r="I194" s="6" t="n"/>
      <c r="J194" s="6">
        <f>IF(I194="","",I194+CHOOSE(MATCH(G194,{"Monthly","Quarterly","Semi-annually","Annually"},0),30,90,180,365))</f>
        <v/>
      </c>
      <c r="K194" s="6">
        <f>IF(J194="","",IF(J194&gt;TODAY()+30,"✅ Current",IF(J194&gt;TODAY(),"⚠ Due Soon","❌ Overdue")))</f>
        <v/>
      </c>
      <c r="L194" s="6">
        <f>IF(J194="","",J194-TODAY())</f>
        <v/>
      </c>
      <c r="M194" s="6" t="n"/>
      <c r="N194" s="6" t="n"/>
    </row>
    <row r="195">
      <c r="A195" s="6" t="n"/>
      <c r="B195" s="6" t="n"/>
      <c r="C195" s="6" t="n"/>
      <c r="D195" s="6" t="n"/>
      <c r="E195" s="6" t="n"/>
      <c r="F195" s="6" t="n"/>
      <c r="G195" s="6" t="n"/>
      <c r="H195" s="6" t="n"/>
      <c r="I195" s="6" t="n"/>
      <c r="J195" s="6">
        <f>IF(I195="","",I195+CHOOSE(MATCH(G195,{"Monthly","Quarterly","Semi-annually","Annually"},0),30,90,180,365))</f>
        <v/>
      </c>
      <c r="K195" s="6">
        <f>IF(J195="","",IF(J195&gt;TODAY()+30,"✅ Current",IF(J195&gt;TODAY(),"⚠ Due Soon","❌ Overdue")))</f>
        <v/>
      </c>
      <c r="L195" s="6">
        <f>IF(J195="","",J195-TODAY())</f>
        <v/>
      </c>
      <c r="M195" s="6" t="n"/>
      <c r="N195" s="6" t="n"/>
    </row>
    <row r="196">
      <c r="A196" s="6" t="n"/>
      <c r="B196" s="6" t="n"/>
      <c r="C196" s="6" t="n"/>
      <c r="D196" s="6" t="n"/>
      <c r="E196" s="6" t="n"/>
      <c r="F196" s="6" t="n"/>
      <c r="G196" s="6" t="n"/>
      <c r="H196" s="6" t="n"/>
      <c r="I196" s="6" t="n"/>
      <c r="J196" s="6">
        <f>IF(I196="","",I196+CHOOSE(MATCH(G196,{"Monthly","Quarterly","Semi-annually","Annually"},0),30,90,180,365))</f>
        <v/>
      </c>
      <c r="K196" s="6">
        <f>IF(J196="","",IF(J196&gt;TODAY()+30,"✅ Current",IF(J196&gt;TODAY(),"⚠ Due Soon","❌ Overdue")))</f>
        <v/>
      </c>
      <c r="L196" s="6">
        <f>IF(J196="","",J196-TODAY())</f>
        <v/>
      </c>
      <c r="M196" s="6" t="n"/>
      <c r="N196" s="6" t="n"/>
    </row>
    <row r="197">
      <c r="A197" s="6" t="n"/>
      <c r="B197" s="6" t="n"/>
      <c r="C197" s="6" t="n"/>
      <c r="D197" s="6" t="n"/>
      <c r="E197" s="6" t="n"/>
      <c r="F197" s="6" t="n"/>
      <c r="G197" s="6" t="n"/>
      <c r="H197" s="6" t="n"/>
      <c r="I197" s="6" t="n"/>
      <c r="J197" s="6">
        <f>IF(I197="","",I197+CHOOSE(MATCH(G197,{"Monthly","Quarterly","Semi-annually","Annually"},0),30,90,180,365))</f>
        <v/>
      </c>
      <c r="K197" s="6">
        <f>IF(J197="","",IF(J197&gt;TODAY()+30,"✅ Current",IF(J197&gt;TODAY(),"⚠ Due Soon","❌ Overdue")))</f>
        <v/>
      </c>
      <c r="L197" s="6">
        <f>IF(J197="","",J197-TODAY())</f>
        <v/>
      </c>
      <c r="M197" s="6" t="n"/>
      <c r="N197" s="6" t="n"/>
    </row>
    <row r="198">
      <c r="A198" s="6" t="n"/>
      <c r="B198" s="6" t="n"/>
      <c r="C198" s="6" t="n"/>
      <c r="D198" s="6" t="n"/>
      <c r="E198" s="6" t="n"/>
      <c r="F198" s="6" t="n"/>
      <c r="G198" s="6" t="n"/>
      <c r="H198" s="6" t="n"/>
      <c r="I198" s="6" t="n"/>
      <c r="J198" s="6">
        <f>IF(I198="","",I198+CHOOSE(MATCH(G198,{"Monthly","Quarterly","Semi-annually","Annually"},0),30,90,180,365))</f>
        <v/>
      </c>
      <c r="K198" s="6">
        <f>IF(J198="","",IF(J198&gt;TODAY()+30,"✅ Current",IF(J198&gt;TODAY(),"⚠ Due Soon","❌ Overdue")))</f>
        <v/>
      </c>
      <c r="L198" s="6">
        <f>IF(J198="","",J198-TODAY())</f>
        <v/>
      </c>
      <c r="M198" s="6" t="n"/>
      <c r="N198" s="6" t="n"/>
    </row>
    <row r="199">
      <c r="A199" s="6" t="n"/>
      <c r="B199" s="6" t="n"/>
      <c r="C199" s="6" t="n"/>
      <c r="D199" s="6" t="n"/>
      <c r="E199" s="6" t="n"/>
      <c r="F199" s="6" t="n"/>
      <c r="G199" s="6" t="n"/>
      <c r="H199" s="6" t="n"/>
      <c r="I199" s="6" t="n"/>
      <c r="J199" s="6">
        <f>IF(I199="","",I199+CHOOSE(MATCH(G199,{"Monthly","Quarterly","Semi-annually","Annually"},0),30,90,180,365))</f>
        <v/>
      </c>
      <c r="K199" s="6">
        <f>IF(J199="","",IF(J199&gt;TODAY()+30,"✅ Current",IF(J199&gt;TODAY(),"⚠ Due Soon","❌ Overdue")))</f>
        <v/>
      </c>
      <c r="L199" s="6">
        <f>IF(J199="","",J199-TODAY())</f>
        <v/>
      </c>
      <c r="M199" s="6" t="n"/>
      <c r="N199" s="6" t="n"/>
    </row>
    <row r="200">
      <c r="A200" s="6" t="n"/>
      <c r="B200" s="6" t="n"/>
      <c r="C200" s="6" t="n"/>
      <c r="D200" s="6" t="n"/>
      <c r="E200" s="6" t="n"/>
      <c r="F200" s="6" t="n"/>
      <c r="G200" s="6" t="n"/>
      <c r="H200" s="6" t="n"/>
      <c r="I200" s="6" t="n"/>
      <c r="J200" s="6">
        <f>IF(I200="","",I200+CHOOSE(MATCH(G200,{"Monthly","Quarterly","Semi-annually","Annually"},0),30,90,180,365))</f>
        <v/>
      </c>
      <c r="K200" s="6">
        <f>IF(J200="","",IF(J200&gt;TODAY()+30,"✅ Current",IF(J200&gt;TODAY(),"⚠ Due Soon","❌ Overdue")))</f>
        <v/>
      </c>
      <c r="L200" s="6">
        <f>IF(J200="","",J200-TODAY())</f>
        <v/>
      </c>
      <c r="M200" s="6" t="n"/>
      <c r="N200" s="6" t="n"/>
    </row>
    <row r="201">
      <c r="A201" s="6" t="n"/>
      <c r="B201" s="6" t="n"/>
      <c r="C201" s="6" t="n"/>
      <c r="D201" s="6" t="n"/>
      <c r="E201" s="6" t="n"/>
      <c r="F201" s="6" t="n"/>
      <c r="G201" s="6" t="n"/>
      <c r="H201" s="6" t="n"/>
      <c r="I201" s="6" t="n"/>
      <c r="J201" s="6">
        <f>IF(I201="","",I201+CHOOSE(MATCH(G201,{"Monthly","Quarterly","Semi-annually","Annually"},0),30,90,180,365))</f>
        <v/>
      </c>
      <c r="K201" s="6">
        <f>IF(J201="","",IF(J201&gt;TODAY()+30,"✅ Current",IF(J201&gt;TODAY(),"⚠ Due Soon","❌ Overdue")))</f>
        <v/>
      </c>
      <c r="L201" s="6">
        <f>IF(J201="","",J201-TODAY())</f>
        <v/>
      </c>
      <c r="M201" s="6" t="n"/>
      <c r="N201" s="6" t="n"/>
    </row>
    <row r="202">
      <c r="A202" s="6" t="n"/>
      <c r="B202" s="6" t="n"/>
      <c r="C202" s="6" t="n"/>
      <c r="D202" s="6" t="n"/>
      <c r="E202" s="6" t="n"/>
      <c r="F202" s="6" t="n"/>
      <c r="G202" s="6" t="n"/>
      <c r="H202" s="6" t="n"/>
      <c r="I202" s="6" t="n"/>
      <c r="J202" s="6">
        <f>IF(I202="","",I202+CHOOSE(MATCH(G202,{"Monthly","Quarterly","Semi-annually","Annually"},0),30,90,180,365))</f>
        <v/>
      </c>
      <c r="K202" s="6">
        <f>IF(J202="","",IF(J202&gt;TODAY()+30,"✅ Current",IF(J202&gt;TODAY(),"⚠ Due Soon","❌ Overdue")))</f>
        <v/>
      </c>
      <c r="L202" s="6">
        <f>IF(J202="","",J202-TODAY())</f>
        <v/>
      </c>
      <c r="M202" s="6" t="n"/>
      <c r="N202" s="6" t="n"/>
    </row>
    <row r="203">
      <c r="A203" s="6" t="n"/>
      <c r="B203" s="6" t="n"/>
      <c r="C203" s="6" t="n"/>
      <c r="D203" s="6" t="n"/>
      <c r="E203" s="6" t="n"/>
      <c r="F203" s="6" t="n"/>
      <c r="G203" s="6" t="n"/>
      <c r="H203" s="6" t="n"/>
      <c r="I203" s="6" t="n"/>
      <c r="J203" s="6">
        <f>IF(I203="","",I203+CHOOSE(MATCH(G203,{"Monthly","Quarterly","Semi-annually","Annually"},0),30,90,180,365))</f>
        <v/>
      </c>
      <c r="K203" s="6">
        <f>IF(J203="","",IF(J203&gt;TODAY()+30,"✅ Current",IF(J203&gt;TODAY(),"⚠ Due Soon","❌ Overdue")))</f>
        <v/>
      </c>
      <c r="L203" s="6">
        <f>IF(J203="","",J203-TODAY())</f>
        <v/>
      </c>
      <c r="M203" s="6" t="n"/>
      <c r="N203" s="6" t="n"/>
    </row>
  </sheetData>
  <mergeCells count="1">
    <mergeCell ref="A1:N1"/>
  </mergeCells>
  <dataValidations count="5">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showDropDown="0" showInputMessage="0" showErrorMessage="0" allowBlank="1" type="list">
      <formula1>"Server,Network Device,Storage,UPS,HVAC,Generator,Security System,Other"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showDropDown="0" showInputMessage="0" showErrorMessage="0" allowBlank="1" type="list">
      <formula1>"Tier 1 - Critical,Tier 2 - Standard"</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showDropDown="0" showInputMessage="0" showErrorMessage="0" allowBlank="1" type="list">
      <formula1>"Firmware Update,Inspection,Battery Check,Filter Replacement,Calibration,Full Service,Other"</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showDropDown="0" showInputMessage="0" showErrorMessage="0" allowBlank="1" type="list">
      <formula1>"Monthly,Quarterly,Semi-annually,Annually"</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showDropDown="0" showInputMessage="0" showErrorMessage="0" allowBlank="1" type="list">
      <formula1>"Internal - IT,Internal - Facilities,Vendor,Manufacturer"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3"/>
  <sheetViews>
    <sheetView workbookViewId="0">
      <pane ySplit="3" topLeftCell="A4" activePane="bottomLeft" state="frozen"/>
      <selection pane="bottomLeft" activeCell="A1" sqref="A1"/>
    </sheetView>
  </sheetViews>
  <sheetFormatPr baseColWidth="8" defaultRowHeight="15"/>
  <cols>
    <col width="15" customWidth="1" min="1" max="1"/>
    <col width="35" customWidth="1" min="2" max="2"/>
    <col width="22" customWidth="1" min="3" max="3"/>
    <col width="18" customWidth="1" min="4" max="4"/>
    <col width="15" customWidth="1" min="5" max="5"/>
    <col width="25" customWidth="1" min="6" max="6"/>
    <col width="18" customWidth="1" min="7" max="7"/>
    <col width="12" customWidth="1" min="8" max="8"/>
    <col width="20" customWidth="1" min="9" max="9"/>
    <col width="35" customWidth="1" min="10" max="10"/>
    <col width="40" customWidth="1" min="11" max="11"/>
  </cols>
  <sheetData>
    <row r="1" ht="40" customHeight="1">
      <c r="A1" s="1" t="inlineStr">
        <is>
          <t>Overdue Maintenance Tracking
Manage and escalate overdue maintenance items</t>
        </is>
      </c>
    </row>
    <row r="3">
      <c r="A3" s="5" t="inlineStr">
        <is>
          <t>Equipment ID</t>
        </is>
      </c>
      <c r="B3" s="5" t="inlineStr">
        <is>
          <t>Equipment Description</t>
        </is>
      </c>
      <c r="C3" s="5" t="inlineStr">
        <is>
          <t>Maintenance Type</t>
        </is>
      </c>
      <c r="D3" s="5" t="inlineStr">
        <is>
          <t>Original Due Date</t>
        </is>
      </c>
      <c r="E3" s="5" t="inlineStr">
        <is>
          <t>Days Overdue</t>
        </is>
      </c>
      <c r="F3" s="5" t="inlineStr">
        <is>
          <t>Reason for Delay</t>
        </is>
      </c>
      <c r="G3" s="5" t="inlineStr">
        <is>
          <t>Estimated Completion</t>
        </is>
      </c>
      <c r="H3" s="5" t="inlineStr">
        <is>
          <t>Escalated</t>
        </is>
      </c>
      <c r="I3" s="5" t="inlineStr">
        <is>
          <t>Escalated To</t>
        </is>
      </c>
      <c r="J3" s="5" t="inlineStr">
        <is>
          <t>Compensating Control</t>
        </is>
      </c>
      <c r="K3" s="5" t="inlineStr">
        <is>
          <t>Resolution Notes</t>
        </is>
      </c>
    </row>
    <row r="4">
      <c r="A4" s="6" t="n"/>
      <c r="B4" s="6" t="n"/>
      <c r="C4" s="6" t="n"/>
      <c r="D4" s="6" t="n"/>
      <c r="E4" s="6" t="n"/>
      <c r="F4" s="6" t="n"/>
      <c r="G4" s="6" t="n"/>
      <c r="H4" s="6" t="n"/>
      <c r="I4" s="6" t="n"/>
      <c r="J4" s="6" t="n"/>
      <c r="K4" s="6" t="n"/>
    </row>
    <row r="5">
      <c r="A5" s="6" t="n"/>
      <c r="B5" s="6" t="n"/>
      <c r="C5" s="6" t="n"/>
      <c r="D5" s="6" t="n"/>
      <c r="E5" s="6" t="n"/>
      <c r="F5" s="6" t="n"/>
      <c r="G5" s="6" t="n"/>
      <c r="H5" s="6" t="n"/>
      <c r="I5" s="6" t="n"/>
      <c r="J5" s="6" t="n"/>
      <c r="K5" s="6" t="n"/>
    </row>
    <row r="6">
      <c r="A6" s="6" t="n"/>
      <c r="B6" s="6" t="n"/>
      <c r="C6" s="6" t="n"/>
      <c r="D6" s="6" t="n"/>
      <c r="E6" s="6" t="n"/>
      <c r="F6" s="6" t="n"/>
      <c r="G6" s="6" t="n"/>
      <c r="H6" s="6" t="n"/>
      <c r="I6" s="6" t="n"/>
      <c r="J6" s="6" t="n"/>
      <c r="K6" s="6" t="n"/>
    </row>
    <row r="7">
      <c r="A7" s="6" t="n"/>
      <c r="B7" s="6" t="n"/>
      <c r="C7" s="6" t="n"/>
      <c r="D7" s="6" t="n"/>
      <c r="E7" s="6" t="n"/>
      <c r="F7" s="6" t="n"/>
      <c r="G7" s="6" t="n"/>
      <c r="H7" s="6" t="n"/>
      <c r="I7" s="6" t="n"/>
      <c r="J7" s="6" t="n"/>
      <c r="K7" s="6" t="n"/>
    </row>
    <row r="8">
      <c r="A8" s="6" t="n"/>
      <c r="B8" s="6" t="n"/>
      <c r="C8" s="6" t="n"/>
      <c r="D8" s="6" t="n"/>
      <c r="E8" s="6" t="n"/>
      <c r="F8" s="6" t="n"/>
      <c r="G8" s="6" t="n"/>
      <c r="H8" s="6" t="n"/>
      <c r="I8" s="6" t="n"/>
      <c r="J8" s="6" t="n"/>
      <c r="K8" s="6" t="n"/>
    </row>
    <row r="9">
      <c r="A9" s="6" t="n"/>
      <c r="B9" s="6" t="n"/>
      <c r="C9" s="6" t="n"/>
      <c r="D9" s="6" t="n"/>
      <c r="E9" s="6" t="n"/>
      <c r="F9" s="6" t="n"/>
      <c r="G9" s="6" t="n"/>
      <c r="H9" s="6" t="n"/>
      <c r="I9" s="6" t="n"/>
      <c r="J9" s="6" t="n"/>
      <c r="K9" s="6" t="n"/>
    </row>
    <row r="10">
      <c r="A10" s="6" t="n"/>
      <c r="B10" s="6" t="n"/>
      <c r="C10" s="6" t="n"/>
      <c r="D10" s="6" t="n"/>
      <c r="E10" s="6" t="n"/>
      <c r="F10" s="6" t="n"/>
      <c r="G10" s="6" t="n"/>
      <c r="H10" s="6" t="n"/>
      <c r="I10" s="6" t="n"/>
      <c r="J10" s="6" t="n"/>
      <c r="K10" s="6" t="n"/>
    </row>
    <row r="11">
      <c r="A11" s="6" t="n"/>
      <c r="B11" s="6" t="n"/>
      <c r="C11" s="6" t="n"/>
      <c r="D11" s="6" t="n"/>
      <c r="E11" s="6" t="n"/>
      <c r="F11" s="6" t="n"/>
      <c r="G11" s="6" t="n"/>
      <c r="H11" s="6" t="n"/>
      <c r="I11" s="6" t="n"/>
      <c r="J11" s="6" t="n"/>
      <c r="K11" s="6" t="n"/>
    </row>
    <row r="12">
      <c r="A12" s="6" t="n"/>
      <c r="B12" s="6" t="n"/>
      <c r="C12" s="6" t="n"/>
      <c r="D12" s="6" t="n"/>
      <c r="E12" s="6" t="n"/>
      <c r="F12" s="6" t="n"/>
      <c r="G12" s="6" t="n"/>
      <c r="H12" s="6" t="n"/>
      <c r="I12" s="6" t="n"/>
      <c r="J12" s="6" t="n"/>
      <c r="K12" s="6" t="n"/>
    </row>
    <row r="13">
      <c r="A13" s="6" t="n"/>
      <c r="B13" s="6" t="n"/>
      <c r="C13" s="6" t="n"/>
      <c r="D13" s="6" t="n"/>
      <c r="E13" s="6" t="n"/>
      <c r="F13" s="6" t="n"/>
      <c r="G13" s="6" t="n"/>
      <c r="H13" s="6" t="n"/>
      <c r="I13" s="6" t="n"/>
      <c r="J13" s="6" t="n"/>
      <c r="K13" s="6" t="n"/>
    </row>
    <row r="14">
      <c r="A14" s="6" t="n"/>
      <c r="B14" s="6" t="n"/>
      <c r="C14" s="6" t="n"/>
      <c r="D14" s="6" t="n"/>
      <c r="E14" s="6" t="n"/>
      <c r="F14" s="6" t="n"/>
      <c r="G14" s="6" t="n"/>
      <c r="H14" s="6" t="n"/>
      <c r="I14" s="6" t="n"/>
      <c r="J14" s="6" t="n"/>
      <c r="K14" s="6" t="n"/>
    </row>
    <row r="15">
      <c r="A15" s="6" t="n"/>
      <c r="B15" s="6" t="n"/>
      <c r="C15" s="6" t="n"/>
      <c r="D15" s="6" t="n"/>
      <c r="E15" s="6" t="n"/>
      <c r="F15" s="6" t="n"/>
      <c r="G15" s="6" t="n"/>
      <c r="H15" s="6" t="n"/>
      <c r="I15" s="6" t="n"/>
      <c r="J15" s="6" t="n"/>
      <c r="K15" s="6" t="n"/>
    </row>
    <row r="16">
      <c r="A16" s="6" t="n"/>
      <c r="B16" s="6" t="n"/>
      <c r="C16" s="6" t="n"/>
      <c r="D16" s="6" t="n"/>
      <c r="E16" s="6" t="n"/>
      <c r="F16" s="6" t="n"/>
      <c r="G16" s="6" t="n"/>
      <c r="H16" s="6" t="n"/>
      <c r="I16" s="6" t="n"/>
      <c r="J16" s="6" t="n"/>
      <c r="K16" s="6" t="n"/>
    </row>
    <row r="17">
      <c r="A17" s="6" t="n"/>
      <c r="B17" s="6" t="n"/>
      <c r="C17" s="6" t="n"/>
      <c r="D17" s="6" t="n"/>
      <c r="E17" s="6" t="n"/>
      <c r="F17" s="6" t="n"/>
      <c r="G17" s="6" t="n"/>
      <c r="H17" s="6" t="n"/>
      <c r="I17" s="6" t="n"/>
      <c r="J17" s="6" t="n"/>
      <c r="K17" s="6" t="n"/>
    </row>
    <row r="18">
      <c r="A18" s="6" t="n"/>
      <c r="B18" s="6" t="n"/>
      <c r="C18" s="6" t="n"/>
      <c r="D18" s="6" t="n"/>
      <c r="E18" s="6" t="n"/>
      <c r="F18" s="6" t="n"/>
      <c r="G18" s="6" t="n"/>
      <c r="H18" s="6" t="n"/>
      <c r="I18" s="6" t="n"/>
      <c r="J18" s="6" t="n"/>
      <c r="K18" s="6" t="n"/>
    </row>
    <row r="19">
      <c r="A19" s="6" t="n"/>
      <c r="B19" s="6" t="n"/>
      <c r="C19" s="6" t="n"/>
      <c r="D19" s="6" t="n"/>
      <c r="E19" s="6" t="n"/>
      <c r="F19" s="6" t="n"/>
      <c r="G19" s="6" t="n"/>
      <c r="H19" s="6" t="n"/>
      <c r="I19" s="6" t="n"/>
      <c r="J19" s="6" t="n"/>
      <c r="K19" s="6" t="n"/>
    </row>
    <row r="20">
      <c r="A20" s="6" t="n"/>
      <c r="B20" s="6" t="n"/>
      <c r="C20" s="6" t="n"/>
      <c r="D20" s="6" t="n"/>
      <c r="E20" s="6" t="n"/>
      <c r="F20" s="6" t="n"/>
      <c r="G20" s="6" t="n"/>
      <c r="H20" s="6" t="n"/>
      <c r="I20" s="6" t="n"/>
      <c r="J20" s="6" t="n"/>
      <c r="K20" s="6" t="n"/>
    </row>
    <row r="21">
      <c r="A21" s="6" t="n"/>
      <c r="B21" s="6" t="n"/>
      <c r="C21" s="6" t="n"/>
      <c r="D21" s="6" t="n"/>
      <c r="E21" s="6" t="n"/>
      <c r="F21" s="6" t="n"/>
      <c r="G21" s="6" t="n"/>
      <c r="H21" s="6" t="n"/>
      <c r="I21" s="6" t="n"/>
      <c r="J21" s="6" t="n"/>
      <c r="K21" s="6" t="n"/>
    </row>
    <row r="22">
      <c r="A22" s="6" t="n"/>
      <c r="B22" s="6" t="n"/>
      <c r="C22" s="6" t="n"/>
      <c r="D22" s="6" t="n"/>
      <c r="E22" s="6" t="n"/>
      <c r="F22" s="6" t="n"/>
      <c r="G22" s="6" t="n"/>
      <c r="H22" s="6" t="n"/>
      <c r="I22" s="6" t="n"/>
      <c r="J22" s="6" t="n"/>
      <c r="K22" s="6" t="n"/>
    </row>
    <row r="23">
      <c r="A23" s="6" t="n"/>
      <c r="B23" s="6" t="n"/>
      <c r="C23" s="6" t="n"/>
      <c r="D23" s="6" t="n"/>
      <c r="E23" s="6" t="n"/>
      <c r="F23" s="6" t="n"/>
      <c r="G23" s="6" t="n"/>
      <c r="H23" s="6" t="n"/>
      <c r="I23" s="6" t="n"/>
      <c r="J23" s="6" t="n"/>
      <c r="K23" s="6" t="n"/>
    </row>
    <row r="24">
      <c r="A24" s="6" t="n"/>
      <c r="B24" s="6" t="n"/>
      <c r="C24" s="6" t="n"/>
      <c r="D24" s="6" t="n"/>
      <c r="E24" s="6" t="n"/>
      <c r="F24" s="6" t="n"/>
      <c r="G24" s="6" t="n"/>
      <c r="H24" s="6" t="n"/>
      <c r="I24" s="6" t="n"/>
      <c r="J24" s="6" t="n"/>
      <c r="K24" s="6" t="n"/>
    </row>
    <row r="25">
      <c r="A25" s="6" t="n"/>
      <c r="B25" s="6" t="n"/>
      <c r="C25" s="6" t="n"/>
      <c r="D25" s="6" t="n"/>
      <c r="E25" s="6" t="n"/>
      <c r="F25" s="6" t="n"/>
      <c r="G25" s="6" t="n"/>
      <c r="H25" s="6" t="n"/>
      <c r="I25" s="6" t="n"/>
      <c r="J25" s="6" t="n"/>
      <c r="K25" s="6" t="n"/>
    </row>
    <row r="26">
      <c r="A26" s="6" t="n"/>
      <c r="B26" s="6" t="n"/>
      <c r="C26" s="6" t="n"/>
      <c r="D26" s="6" t="n"/>
      <c r="E26" s="6" t="n"/>
      <c r="F26" s="6" t="n"/>
      <c r="G26" s="6" t="n"/>
      <c r="H26" s="6" t="n"/>
      <c r="I26" s="6" t="n"/>
      <c r="J26" s="6" t="n"/>
      <c r="K26" s="6" t="n"/>
    </row>
    <row r="27">
      <c r="A27" s="6" t="n"/>
      <c r="B27" s="6" t="n"/>
      <c r="C27" s="6" t="n"/>
      <c r="D27" s="6" t="n"/>
      <c r="E27" s="6" t="n"/>
      <c r="F27" s="6" t="n"/>
      <c r="G27" s="6" t="n"/>
      <c r="H27" s="6" t="n"/>
      <c r="I27" s="6" t="n"/>
      <c r="J27" s="6" t="n"/>
      <c r="K27" s="6" t="n"/>
    </row>
    <row r="28">
      <c r="A28" s="6" t="n"/>
      <c r="B28" s="6" t="n"/>
      <c r="C28" s="6" t="n"/>
      <c r="D28" s="6" t="n"/>
      <c r="E28" s="6" t="n"/>
      <c r="F28" s="6" t="n"/>
      <c r="G28" s="6" t="n"/>
      <c r="H28" s="6" t="n"/>
      <c r="I28" s="6" t="n"/>
      <c r="J28" s="6" t="n"/>
      <c r="K28" s="6" t="n"/>
    </row>
    <row r="29">
      <c r="A29" s="6" t="n"/>
      <c r="B29" s="6" t="n"/>
      <c r="C29" s="6" t="n"/>
      <c r="D29" s="6" t="n"/>
      <c r="E29" s="6" t="n"/>
      <c r="F29" s="6" t="n"/>
      <c r="G29" s="6" t="n"/>
      <c r="H29" s="6" t="n"/>
      <c r="I29" s="6" t="n"/>
      <c r="J29" s="6" t="n"/>
      <c r="K29" s="6" t="n"/>
    </row>
    <row r="30">
      <c r="A30" s="6" t="n"/>
      <c r="B30" s="6" t="n"/>
      <c r="C30" s="6" t="n"/>
      <c r="D30" s="6" t="n"/>
      <c r="E30" s="6" t="n"/>
      <c r="F30" s="6" t="n"/>
      <c r="G30" s="6" t="n"/>
      <c r="H30" s="6" t="n"/>
      <c r="I30" s="6" t="n"/>
      <c r="J30" s="6" t="n"/>
      <c r="K30" s="6" t="n"/>
    </row>
    <row r="31">
      <c r="A31" s="6" t="n"/>
      <c r="B31" s="6" t="n"/>
      <c r="C31" s="6" t="n"/>
      <c r="D31" s="6" t="n"/>
      <c r="E31" s="6" t="n"/>
      <c r="F31" s="6" t="n"/>
      <c r="G31" s="6" t="n"/>
      <c r="H31" s="6" t="n"/>
      <c r="I31" s="6" t="n"/>
      <c r="J31" s="6" t="n"/>
      <c r="K31" s="6" t="n"/>
    </row>
    <row r="32">
      <c r="A32" s="6" t="n"/>
      <c r="B32" s="6" t="n"/>
      <c r="C32" s="6" t="n"/>
      <c r="D32" s="6" t="n"/>
      <c r="E32" s="6" t="n"/>
      <c r="F32" s="6" t="n"/>
      <c r="G32" s="6" t="n"/>
      <c r="H32" s="6" t="n"/>
      <c r="I32" s="6" t="n"/>
      <c r="J32" s="6" t="n"/>
      <c r="K32" s="6" t="n"/>
    </row>
    <row r="33">
      <c r="A33" s="6" t="n"/>
      <c r="B33" s="6" t="n"/>
      <c r="C33" s="6" t="n"/>
      <c r="D33" s="6" t="n"/>
      <c r="E33" s="6" t="n"/>
      <c r="F33" s="6" t="n"/>
      <c r="G33" s="6" t="n"/>
      <c r="H33" s="6" t="n"/>
      <c r="I33" s="6" t="n"/>
      <c r="J33" s="6" t="n"/>
      <c r="K33" s="6" t="n"/>
    </row>
    <row r="34">
      <c r="A34" s="6" t="n"/>
      <c r="B34" s="6" t="n"/>
      <c r="C34" s="6" t="n"/>
      <c r="D34" s="6" t="n"/>
      <c r="E34" s="6" t="n"/>
      <c r="F34" s="6" t="n"/>
      <c r="G34" s="6" t="n"/>
      <c r="H34" s="6" t="n"/>
      <c r="I34" s="6" t="n"/>
      <c r="J34" s="6" t="n"/>
      <c r="K34" s="6" t="n"/>
    </row>
    <row r="35">
      <c r="A35" s="6" t="n"/>
      <c r="B35" s="6" t="n"/>
      <c r="C35" s="6" t="n"/>
      <c r="D35" s="6" t="n"/>
      <c r="E35" s="6" t="n"/>
      <c r="F35" s="6" t="n"/>
      <c r="G35" s="6" t="n"/>
      <c r="H35" s="6" t="n"/>
      <c r="I35" s="6" t="n"/>
      <c r="J35" s="6" t="n"/>
      <c r="K35" s="6" t="n"/>
    </row>
    <row r="36">
      <c r="A36" s="6" t="n"/>
      <c r="B36" s="6" t="n"/>
      <c r="C36" s="6" t="n"/>
      <c r="D36" s="6" t="n"/>
      <c r="E36" s="6" t="n"/>
      <c r="F36" s="6" t="n"/>
      <c r="G36" s="6" t="n"/>
      <c r="H36" s="6" t="n"/>
      <c r="I36" s="6" t="n"/>
      <c r="J36" s="6" t="n"/>
      <c r="K36" s="6" t="n"/>
    </row>
    <row r="37">
      <c r="A37" s="6" t="n"/>
      <c r="B37" s="6" t="n"/>
      <c r="C37" s="6" t="n"/>
      <c r="D37" s="6" t="n"/>
      <c r="E37" s="6" t="n"/>
      <c r="F37" s="6" t="n"/>
      <c r="G37" s="6" t="n"/>
      <c r="H37" s="6" t="n"/>
      <c r="I37" s="6" t="n"/>
      <c r="J37" s="6" t="n"/>
      <c r="K37" s="6" t="n"/>
    </row>
    <row r="38">
      <c r="A38" s="6" t="n"/>
      <c r="B38" s="6" t="n"/>
      <c r="C38" s="6" t="n"/>
      <c r="D38" s="6" t="n"/>
      <c r="E38" s="6" t="n"/>
      <c r="F38" s="6" t="n"/>
      <c r="G38" s="6" t="n"/>
      <c r="H38" s="6" t="n"/>
      <c r="I38" s="6" t="n"/>
      <c r="J38" s="6" t="n"/>
      <c r="K38" s="6" t="n"/>
    </row>
    <row r="39">
      <c r="A39" s="6" t="n"/>
      <c r="B39" s="6" t="n"/>
      <c r="C39" s="6" t="n"/>
      <c r="D39" s="6" t="n"/>
      <c r="E39" s="6" t="n"/>
      <c r="F39" s="6" t="n"/>
      <c r="G39" s="6" t="n"/>
      <c r="H39" s="6" t="n"/>
      <c r="I39" s="6" t="n"/>
      <c r="J39" s="6" t="n"/>
      <c r="K39" s="6" t="n"/>
    </row>
    <row r="40">
      <c r="A40" s="6" t="n"/>
      <c r="B40" s="6" t="n"/>
      <c r="C40" s="6" t="n"/>
      <c r="D40" s="6" t="n"/>
      <c r="E40" s="6" t="n"/>
      <c r="F40" s="6" t="n"/>
      <c r="G40" s="6" t="n"/>
      <c r="H40" s="6" t="n"/>
      <c r="I40" s="6" t="n"/>
      <c r="J40" s="6" t="n"/>
      <c r="K40" s="6" t="n"/>
    </row>
    <row r="41">
      <c r="A41" s="6" t="n"/>
      <c r="B41" s="6" t="n"/>
      <c r="C41" s="6" t="n"/>
      <c r="D41" s="6" t="n"/>
      <c r="E41" s="6" t="n"/>
      <c r="F41" s="6" t="n"/>
      <c r="G41" s="6" t="n"/>
      <c r="H41" s="6" t="n"/>
      <c r="I41" s="6" t="n"/>
      <c r="J41" s="6" t="n"/>
      <c r="K41" s="6" t="n"/>
    </row>
    <row r="42">
      <c r="A42" s="6" t="n"/>
      <c r="B42" s="6" t="n"/>
      <c r="C42" s="6" t="n"/>
      <c r="D42" s="6" t="n"/>
      <c r="E42" s="6" t="n"/>
      <c r="F42" s="6" t="n"/>
      <c r="G42" s="6" t="n"/>
      <c r="H42" s="6" t="n"/>
      <c r="I42" s="6" t="n"/>
      <c r="J42" s="6" t="n"/>
      <c r="K42" s="6" t="n"/>
    </row>
    <row r="43">
      <c r="A43" s="6" t="n"/>
      <c r="B43" s="6" t="n"/>
      <c r="C43" s="6" t="n"/>
      <c r="D43" s="6" t="n"/>
      <c r="E43" s="6" t="n"/>
      <c r="F43" s="6" t="n"/>
      <c r="G43" s="6" t="n"/>
      <c r="H43" s="6" t="n"/>
      <c r="I43" s="6" t="n"/>
      <c r="J43" s="6" t="n"/>
      <c r="K43" s="6" t="n"/>
    </row>
    <row r="44">
      <c r="A44" s="6" t="n"/>
      <c r="B44" s="6" t="n"/>
      <c r="C44" s="6" t="n"/>
      <c r="D44" s="6" t="n"/>
      <c r="E44" s="6" t="n"/>
      <c r="F44" s="6" t="n"/>
      <c r="G44" s="6" t="n"/>
      <c r="H44" s="6" t="n"/>
      <c r="I44" s="6" t="n"/>
      <c r="J44" s="6" t="n"/>
      <c r="K44" s="6" t="n"/>
    </row>
    <row r="45">
      <c r="A45" s="6" t="n"/>
      <c r="B45" s="6" t="n"/>
      <c r="C45" s="6" t="n"/>
      <c r="D45" s="6" t="n"/>
      <c r="E45" s="6" t="n"/>
      <c r="F45" s="6" t="n"/>
      <c r="G45" s="6" t="n"/>
      <c r="H45" s="6" t="n"/>
      <c r="I45" s="6" t="n"/>
      <c r="J45" s="6" t="n"/>
      <c r="K45" s="6" t="n"/>
    </row>
    <row r="46">
      <c r="A46" s="6" t="n"/>
      <c r="B46" s="6" t="n"/>
      <c r="C46" s="6" t="n"/>
      <c r="D46" s="6" t="n"/>
      <c r="E46" s="6" t="n"/>
      <c r="F46" s="6" t="n"/>
      <c r="G46" s="6" t="n"/>
      <c r="H46" s="6" t="n"/>
      <c r="I46" s="6" t="n"/>
      <c r="J46" s="6" t="n"/>
      <c r="K46" s="6" t="n"/>
    </row>
    <row r="47">
      <c r="A47" s="6" t="n"/>
      <c r="B47" s="6" t="n"/>
      <c r="C47" s="6" t="n"/>
      <c r="D47" s="6" t="n"/>
      <c r="E47" s="6" t="n"/>
      <c r="F47" s="6" t="n"/>
      <c r="G47" s="6" t="n"/>
      <c r="H47" s="6" t="n"/>
      <c r="I47" s="6" t="n"/>
      <c r="J47" s="6" t="n"/>
      <c r="K47" s="6" t="n"/>
    </row>
    <row r="48">
      <c r="A48" s="6" t="n"/>
      <c r="B48" s="6" t="n"/>
      <c r="C48" s="6" t="n"/>
      <c r="D48" s="6" t="n"/>
      <c r="E48" s="6" t="n"/>
      <c r="F48" s="6" t="n"/>
      <c r="G48" s="6" t="n"/>
      <c r="H48" s="6" t="n"/>
      <c r="I48" s="6" t="n"/>
      <c r="J48" s="6" t="n"/>
      <c r="K48" s="6" t="n"/>
    </row>
    <row r="49">
      <c r="A49" s="6" t="n"/>
      <c r="B49" s="6" t="n"/>
      <c r="C49" s="6" t="n"/>
      <c r="D49" s="6" t="n"/>
      <c r="E49" s="6" t="n"/>
      <c r="F49" s="6" t="n"/>
      <c r="G49" s="6" t="n"/>
      <c r="H49" s="6" t="n"/>
      <c r="I49" s="6" t="n"/>
      <c r="J49" s="6" t="n"/>
      <c r="K49" s="6" t="n"/>
    </row>
    <row r="50">
      <c r="A50" s="6" t="n"/>
      <c r="B50" s="6" t="n"/>
      <c r="C50" s="6" t="n"/>
      <c r="D50" s="6" t="n"/>
      <c r="E50" s="6" t="n"/>
      <c r="F50" s="6" t="n"/>
      <c r="G50" s="6" t="n"/>
      <c r="H50" s="6" t="n"/>
      <c r="I50" s="6" t="n"/>
      <c r="J50" s="6" t="n"/>
      <c r="K50" s="6" t="n"/>
    </row>
    <row r="51">
      <c r="A51" s="6" t="n"/>
      <c r="B51" s="6" t="n"/>
      <c r="C51" s="6" t="n"/>
      <c r="D51" s="6" t="n"/>
      <c r="E51" s="6" t="n"/>
      <c r="F51" s="6" t="n"/>
      <c r="G51" s="6" t="n"/>
      <c r="H51" s="6" t="n"/>
      <c r="I51" s="6" t="n"/>
      <c r="J51" s="6" t="n"/>
      <c r="K51" s="6" t="n"/>
    </row>
    <row r="52">
      <c r="A52" s="6" t="n"/>
      <c r="B52" s="6" t="n"/>
      <c r="C52" s="6" t="n"/>
      <c r="D52" s="6" t="n"/>
      <c r="E52" s="6" t="n"/>
      <c r="F52" s="6" t="n"/>
      <c r="G52" s="6" t="n"/>
      <c r="H52" s="6" t="n"/>
      <c r="I52" s="6" t="n"/>
      <c r="J52" s="6" t="n"/>
      <c r="K52" s="6" t="n"/>
    </row>
    <row r="53">
      <c r="A53" s="6" t="n"/>
      <c r="B53" s="6" t="n"/>
      <c r="C53" s="6" t="n"/>
      <c r="D53" s="6" t="n"/>
      <c r="E53" s="6" t="n"/>
      <c r="F53" s="6" t="n"/>
      <c r="G53" s="6" t="n"/>
      <c r="H53" s="6" t="n"/>
      <c r="I53" s="6" t="n"/>
      <c r="J53" s="6" t="n"/>
      <c r="K53" s="6" t="n"/>
    </row>
  </sheetData>
  <mergeCells count="1">
    <mergeCell ref="A1:K1"/>
  </mergeCells>
  <dataValidations count="2">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"Parts on Order,Vendor Scheduling,Resource Unavailable,Budget Hold,Other"</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cols>
    <col width="15" customWidth="1" min="1" max="1"/>
    <col width="35" customWidth="1" min="2" max="2"/>
    <col width="22" customWidth="1" min="3" max="3"/>
    <col width="15" customWidth="1" min="4" max="4"/>
    <col width="15" customWidth="1" min="5" max="5"/>
    <col width="15" customWidth="1" min="6" max="6"/>
    <col width="20" customWidth="1" min="7" max="7"/>
    <col width="15" customWidth="1" min="8" max="8"/>
  </cols>
  <sheetData>
    <row r="1" ht="40" customHeight="1">
      <c r="A1" s="1" t="inlineStr">
        <is>
          <t>Upcoming Maintenance
Plan maintenance for the next 30/60/90 days</t>
        </is>
      </c>
    </row>
    <row r="3">
      <c r="A3" s="7" t="inlineStr">
        <is>
          <t>This sheet provides a view of upcoming maintenance. Data is linked from Equipment Schedule.</t>
        </is>
      </c>
    </row>
    <row r="5">
      <c r="A5" s="8" t="inlineStr">
        <is>
          <t>Next 30 Days</t>
        </is>
      </c>
    </row>
    <row r="6">
      <c r="A6" s="5" t="inlineStr">
        <is>
          <t>Equipment ID</t>
        </is>
      </c>
      <c r="B6" s="5" t="inlineStr">
        <is>
          <t>Equipment Description</t>
        </is>
      </c>
      <c r="C6" s="5" t="inlineStr">
        <is>
          <t>Maintenance Type</t>
        </is>
      </c>
      <c r="D6" s="5" t="inlineStr">
        <is>
          <t>Due Date</t>
        </is>
      </c>
      <c r="E6" s="5" t="inlineStr">
        <is>
          <t>Days Until Due</t>
        </is>
      </c>
      <c r="F6" s="5" t="inlineStr">
        <is>
          <t>Scheduled Date</t>
        </is>
      </c>
      <c r="G6" s="5" t="inlineStr">
        <is>
          <t>Assigned To</t>
        </is>
      </c>
      <c r="H6" s="5" t="inlineStr">
        <is>
          <t>Vendor Booked</t>
        </is>
      </c>
    </row>
    <row r="7">
      <c r="A7" s="6" t="n"/>
      <c r="B7" s="6" t="n"/>
      <c r="C7" s="6" t="n"/>
      <c r="D7" s="6" t="n"/>
      <c r="E7" s="6" t="n"/>
      <c r="F7" s="6" t="n"/>
      <c r="G7" s="6" t="n"/>
      <c r="H7" s="6" t="n"/>
    </row>
    <row r="8">
      <c r="A8" s="6" t="n"/>
      <c r="B8" s="6" t="n"/>
      <c r="C8" s="6" t="n"/>
      <c r="D8" s="6" t="n"/>
      <c r="E8" s="6" t="n"/>
      <c r="F8" s="6" t="n"/>
      <c r="G8" s="6" t="n"/>
      <c r="H8" s="6" t="n"/>
    </row>
    <row r="9">
      <c r="A9" s="6" t="n"/>
      <c r="B9" s="6" t="n"/>
      <c r="C9" s="6" t="n"/>
      <c r="D9" s="6" t="n"/>
      <c r="E9" s="6" t="n"/>
      <c r="F9" s="6" t="n"/>
      <c r="G9" s="6" t="n"/>
      <c r="H9" s="6" t="n"/>
    </row>
    <row r="10">
      <c r="A10" s="6" t="n"/>
      <c r="B10" s="6" t="n"/>
      <c r="C10" s="6" t="n"/>
      <c r="D10" s="6" t="n"/>
      <c r="E10" s="6" t="n"/>
      <c r="F10" s="6" t="n"/>
      <c r="G10" s="6" t="n"/>
      <c r="H10" s="6" t="n"/>
    </row>
    <row r="11">
      <c r="A11" s="6" t="n"/>
      <c r="B11" s="6" t="n"/>
      <c r="C11" s="6" t="n"/>
      <c r="D11" s="6" t="n"/>
      <c r="E11" s="6" t="n"/>
      <c r="F11" s="6" t="n"/>
      <c r="G11" s="6" t="n"/>
      <c r="H11" s="6" t="n"/>
    </row>
    <row r="12">
      <c r="A12" s="6" t="n"/>
      <c r="B12" s="6" t="n"/>
      <c r="C12" s="6" t="n"/>
      <c r="D12" s="6" t="n"/>
      <c r="E12" s="6" t="n"/>
      <c r="F12" s="6" t="n"/>
      <c r="G12" s="6" t="n"/>
      <c r="H12" s="6" t="n"/>
    </row>
    <row r="13">
      <c r="A13" s="6" t="n"/>
      <c r="B13" s="6" t="n"/>
      <c r="C13" s="6" t="n"/>
      <c r="D13" s="6" t="n"/>
      <c r="E13" s="6" t="n"/>
      <c r="F13" s="6" t="n"/>
      <c r="G13" s="6" t="n"/>
      <c r="H13" s="6" t="n"/>
    </row>
    <row r="14">
      <c r="A14" s="6" t="n"/>
      <c r="B14" s="6" t="n"/>
      <c r="C14" s="6" t="n"/>
      <c r="D14" s="6" t="n"/>
      <c r="E14" s="6" t="n"/>
      <c r="F14" s="6" t="n"/>
      <c r="G14" s="6" t="n"/>
      <c r="H14" s="6" t="n"/>
    </row>
    <row r="15">
      <c r="A15" s="6" t="n"/>
      <c r="B15" s="6" t="n"/>
      <c r="C15" s="6" t="n"/>
      <c r="D15" s="6" t="n"/>
      <c r="E15" s="6" t="n"/>
      <c r="F15" s="6" t="n"/>
      <c r="G15" s="6" t="n"/>
      <c r="H15" s="6" t="n"/>
    </row>
    <row r="16">
      <c r="A16" s="6" t="n"/>
      <c r="B16" s="6" t="n"/>
      <c r="C16" s="6" t="n"/>
      <c r="D16" s="6" t="n"/>
      <c r="E16" s="6" t="n"/>
      <c r="F16" s="6" t="n"/>
      <c r="G16" s="6" t="n"/>
      <c r="H16" s="6" t="n"/>
    </row>
    <row r="17">
      <c r="A17" s="6" t="n"/>
      <c r="B17" s="6" t="n"/>
      <c r="C17" s="6" t="n"/>
      <c r="D17" s="6" t="n"/>
      <c r="E17" s="6" t="n"/>
      <c r="F17" s="6" t="n"/>
      <c r="G17" s="6" t="n"/>
      <c r="H17" s="6" t="n"/>
    </row>
    <row r="18">
      <c r="A18" s="6" t="n"/>
      <c r="B18" s="6" t="n"/>
      <c r="C18" s="6" t="n"/>
      <c r="D18" s="6" t="n"/>
      <c r="E18" s="6" t="n"/>
      <c r="F18" s="6" t="n"/>
      <c r="G18" s="6" t="n"/>
      <c r="H18" s="6" t="n"/>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6" t="n"/>
      <c r="B23" s="6" t="n"/>
      <c r="C23" s="6" t="n"/>
      <c r="D23" s="6" t="n"/>
      <c r="E23" s="6" t="n"/>
      <c r="F23" s="6" t="n"/>
      <c r="G23" s="6" t="n"/>
      <c r="H23" s="6" t="n"/>
    </row>
    <row r="24">
      <c r="A24" s="6" t="n"/>
      <c r="B24" s="6" t="n"/>
      <c r="C24" s="6" t="n"/>
      <c r="D24" s="6" t="n"/>
      <c r="E24" s="6" t="n"/>
      <c r="F24" s="6" t="n"/>
      <c r="G24" s="6" t="n"/>
      <c r="H24" s="6" t="n"/>
    </row>
    <row r="25">
      <c r="A25" s="6" t="n"/>
      <c r="B25" s="6" t="n"/>
      <c r="C25" s="6" t="n"/>
      <c r="D25" s="6" t="n"/>
      <c r="E25" s="6" t="n"/>
      <c r="F25" s="6" t="n"/>
      <c r="G25" s="6" t="n"/>
      <c r="H25" s="6" t="n"/>
    </row>
    <row r="26">
      <c r="A26" s="6" t="n"/>
      <c r="B26" s="6" t="n"/>
      <c r="C26" s="6" t="n"/>
      <c r="D26" s="6" t="n"/>
      <c r="E26" s="6" t="n"/>
      <c r="F26" s="6" t="n"/>
      <c r="G26" s="6" t="n"/>
      <c r="H26" s="6" t="n"/>
    </row>
    <row r="27">
      <c r="A27" s="6" t="n"/>
      <c r="B27" s="6" t="n"/>
      <c r="C27" s="6" t="n"/>
      <c r="D27" s="6" t="n"/>
      <c r="E27" s="6" t="n"/>
      <c r="F27" s="6" t="n"/>
      <c r="G27" s="6" t="n"/>
      <c r="H27" s="6" t="n"/>
    </row>
    <row r="28">
      <c r="A28" s="6" t="n"/>
      <c r="B28" s="6" t="n"/>
      <c r="C28" s="6" t="n"/>
      <c r="D28" s="6" t="n"/>
      <c r="E28" s="6" t="n"/>
      <c r="F28" s="6" t="n"/>
      <c r="G28" s="6" t="n"/>
      <c r="H28" s="6" t="n"/>
    </row>
    <row r="29">
      <c r="A29" s="6" t="n"/>
      <c r="B29" s="6" t="n"/>
      <c r="C29" s="6" t="n"/>
      <c r="D29" s="6" t="n"/>
      <c r="E29" s="6" t="n"/>
      <c r="F29" s="6" t="n"/>
      <c r="G29" s="6" t="n"/>
      <c r="H29" s="6" t="n"/>
    </row>
    <row r="30">
      <c r="A30" s="6" t="n"/>
      <c r="B30" s="6" t="n"/>
      <c r="C30" s="6" t="n"/>
      <c r="D30" s="6" t="n"/>
      <c r="E30" s="6" t="n"/>
      <c r="F30" s="6" t="n"/>
      <c r="G30" s="6" t="n"/>
      <c r="H30" s="6" t="n"/>
    </row>
    <row r="31">
      <c r="A31" s="6" t="n"/>
      <c r="B31" s="6" t="n"/>
      <c r="C31" s="6" t="n"/>
      <c r="D31" s="6" t="n"/>
      <c r="E31" s="6" t="n"/>
      <c r="F31" s="6" t="n"/>
      <c r="G31" s="6" t="n"/>
      <c r="H31" s="6" t="n"/>
    </row>
    <row r="32">
      <c r="A32" s="6" t="n"/>
      <c r="B32" s="6" t="n"/>
      <c r="C32" s="6" t="n"/>
      <c r="D32" s="6" t="n"/>
      <c r="E32" s="6" t="n"/>
      <c r="F32" s="6" t="n"/>
      <c r="G32" s="6" t="n"/>
      <c r="H32" s="6" t="n"/>
    </row>
    <row r="33">
      <c r="A33" s="6" t="n"/>
      <c r="B33" s="6" t="n"/>
      <c r="C33" s="6" t="n"/>
      <c r="D33" s="6" t="n"/>
      <c r="E33" s="6" t="n"/>
      <c r="F33" s="6" t="n"/>
      <c r="G33" s="6" t="n"/>
      <c r="H33" s="6" t="n"/>
    </row>
    <row r="34">
      <c r="A34" s="6" t="n"/>
      <c r="B34" s="6" t="n"/>
      <c r="C34" s="6" t="n"/>
      <c r="D34" s="6" t="n"/>
      <c r="E34" s="6" t="n"/>
      <c r="F34" s="6" t="n"/>
      <c r="G34" s="6" t="n"/>
      <c r="H34" s="6" t="n"/>
    </row>
    <row r="35">
      <c r="A35" s="6" t="n"/>
      <c r="B35" s="6" t="n"/>
      <c r="C35" s="6" t="n"/>
      <c r="D35" s="6" t="n"/>
      <c r="E35" s="6" t="n"/>
      <c r="F35" s="6" t="n"/>
      <c r="G35" s="6" t="n"/>
      <c r="H35" s="6" t="n"/>
    </row>
    <row r="36">
      <c r="A36" s="6" t="n"/>
      <c r="B36" s="6" t="n"/>
      <c r="C36" s="6" t="n"/>
      <c r="D36" s="6" t="n"/>
      <c r="E36" s="6" t="n"/>
      <c r="F36" s="6" t="n"/>
      <c r="G36" s="6" t="n"/>
      <c r="H36" s="6" t="n"/>
    </row>
    <row r="39">
      <c r="A39" s="2" t="inlineStr">
        <is>
          <t>31-60 Days</t>
        </is>
      </c>
    </row>
    <row r="40">
      <c r="A40" s="5" t="inlineStr">
        <is>
          <t>Equipment ID</t>
        </is>
      </c>
      <c r="B40" s="5" t="inlineStr">
        <is>
          <t>Equipment Description</t>
        </is>
      </c>
      <c r="C40" s="5" t="inlineStr">
        <is>
          <t>Maintenance Type</t>
        </is>
      </c>
      <c r="D40" s="5" t="inlineStr">
        <is>
          <t>Due Date</t>
        </is>
      </c>
      <c r="E40" s="5" t="inlineStr">
        <is>
          <t>Days Until Due</t>
        </is>
      </c>
      <c r="F40" s="5" t="inlineStr">
        <is>
          <t>Scheduled Date</t>
        </is>
      </c>
      <c r="G40" s="5" t="inlineStr">
        <is>
          <t>Assigned To</t>
        </is>
      </c>
      <c r="H40" s="5" t="inlineStr">
        <is>
          <t>Vendor Booked</t>
        </is>
      </c>
    </row>
    <row r="41">
      <c r="A41" s="6" t="n"/>
      <c r="B41" s="6" t="n"/>
      <c r="C41" s="6" t="n"/>
      <c r="D41" s="6" t="n"/>
      <c r="E41" s="6" t="n"/>
      <c r="F41" s="6" t="n"/>
      <c r="G41" s="6" t="n"/>
      <c r="H41" s="6" t="n"/>
    </row>
    <row r="42">
      <c r="A42" s="6" t="n"/>
      <c r="B42" s="6" t="n"/>
      <c r="C42" s="6" t="n"/>
      <c r="D42" s="6" t="n"/>
      <c r="E42" s="6" t="n"/>
      <c r="F42" s="6" t="n"/>
      <c r="G42" s="6" t="n"/>
      <c r="H42" s="6" t="n"/>
    </row>
    <row r="43">
      <c r="A43" s="6" t="n"/>
      <c r="B43" s="6" t="n"/>
      <c r="C43" s="6" t="n"/>
      <c r="D43" s="6" t="n"/>
      <c r="E43" s="6" t="n"/>
      <c r="F43" s="6" t="n"/>
      <c r="G43" s="6" t="n"/>
      <c r="H43" s="6" t="n"/>
    </row>
    <row r="44">
      <c r="A44" s="6" t="n"/>
      <c r="B44" s="6" t="n"/>
      <c r="C44" s="6" t="n"/>
      <c r="D44" s="6" t="n"/>
      <c r="E44" s="6" t="n"/>
      <c r="F44" s="6" t="n"/>
      <c r="G44" s="6" t="n"/>
      <c r="H44" s="6" t="n"/>
    </row>
    <row r="45">
      <c r="A45" s="6" t="n"/>
      <c r="B45" s="6" t="n"/>
      <c r="C45" s="6" t="n"/>
      <c r="D45" s="6" t="n"/>
      <c r="E45" s="6" t="n"/>
      <c r="F45" s="6" t="n"/>
      <c r="G45" s="6" t="n"/>
      <c r="H45" s="6" t="n"/>
    </row>
    <row r="46">
      <c r="A46" s="6" t="n"/>
      <c r="B46" s="6" t="n"/>
      <c r="C46" s="6" t="n"/>
      <c r="D46" s="6" t="n"/>
      <c r="E46" s="6" t="n"/>
      <c r="F46" s="6" t="n"/>
      <c r="G46" s="6" t="n"/>
      <c r="H46" s="6" t="n"/>
    </row>
    <row r="47">
      <c r="A47" s="6" t="n"/>
      <c r="B47" s="6" t="n"/>
      <c r="C47" s="6" t="n"/>
      <c r="D47" s="6" t="n"/>
      <c r="E47" s="6" t="n"/>
      <c r="F47" s="6" t="n"/>
      <c r="G47" s="6" t="n"/>
      <c r="H47" s="6" t="n"/>
    </row>
    <row r="48">
      <c r="A48" s="6" t="n"/>
      <c r="B48" s="6" t="n"/>
      <c r="C48" s="6" t="n"/>
      <c r="D48" s="6" t="n"/>
      <c r="E48" s="6" t="n"/>
      <c r="F48" s="6" t="n"/>
      <c r="G48" s="6" t="n"/>
      <c r="H48" s="6" t="n"/>
    </row>
    <row r="49">
      <c r="A49" s="6" t="n"/>
      <c r="B49" s="6" t="n"/>
      <c r="C49" s="6" t="n"/>
      <c r="D49" s="6" t="n"/>
      <c r="E49" s="6" t="n"/>
      <c r="F49" s="6" t="n"/>
      <c r="G49" s="6" t="n"/>
      <c r="H49" s="6" t="n"/>
    </row>
    <row r="50">
      <c r="A50" s="6" t="n"/>
      <c r="B50" s="6" t="n"/>
      <c r="C50" s="6" t="n"/>
      <c r="D50" s="6" t="n"/>
      <c r="E50" s="6" t="n"/>
      <c r="F50" s="6" t="n"/>
      <c r="G50" s="6" t="n"/>
      <c r="H50" s="6" t="n"/>
    </row>
    <row r="51">
      <c r="A51" s="6" t="n"/>
      <c r="B51" s="6" t="n"/>
      <c r="C51" s="6" t="n"/>
      <c r="D51" s="6" t="n"/>
      <c r="E51" s="6" t="n"/>
      <c r="F51" s="6" t="n"/>
      <c r="G51" s="6" t="n"/>
      <c r="H51" s="6" t="n"/>
    </row>
    <row r="52">
      <c r="A52" s="6" t="n"/>
      <c r="B52" s="6" t="n"/>
      <c r="C52" s="6" t="n"/>
      <c r="D52" s="6" t="n"/>
      <c r="E52" s="6" t="n"/>
      <c r="F52" s="6" t="n"/>
      <c r="G52" s="6" t="n"/>
      <c r="H52" s="6" t="n"/>
    </row>
    <row r="53">
      <c r="A53" s="6" t="n"/>
      <c r="B53" s="6" t="n"/>
      <c r="C53" s="6" t="n"/>
      <c r="D53" s="6" t="n"/>
      <c r="E53" s="6" t="n"/>
      <c r="F53" s="6" t="n"/>
      <c r="G53" s="6" t="n"/>
      <c r="H53" s="6" t="n"/>
    </row>
    <row r="54">
      <c r="A54" s="6" t="n"/>
      <c r="B54" s="6" t="n"/>
      <c r="C54" s="6" t="n"/>
      <c r="D54" s="6" t="n"/>
      <c r="E54" s="6" t="n"/>
      <c r="F54" s="6" t="n"/>
      <c r="G54" s="6" t="n"/>
      <c r="H54" s="6" t="n"/>
    </row>
    <row r="55">
      <c r="A55" s="6" t="n"/>
      <c r="B55" s="6" t="n"/>
      <c r="C55" s="6" t="n"/>
      <c r="D55" s="6" t="n"/>
      <c r="E55" s="6" t="n"/>
      <c r="F55" s="6" t="n"/>
      <c r="G55" s="6" t="n"/>
      <c r="H55" s="6" t="n"/>
    </row>
    <row r="56">
      <c r="A56" s="6" t="n"/>
      <c r="B56" s="6" t="n"/>
      <c r="C56" s="6" t="n"/>
      <c r="D56" s="6" t="n"/>
      <c r="E56" s="6" t="n"/>
      <c r="F56" s="6" t="n"/>
      <c r="G56" s="6" t="n"/>
      <c r="H56" s="6" t="n"/>
    </row>
    <row r="57">
      <c r="A57" s="6" t="n"/>
      <c r="B57" s="6" t="n"/>
      <c r="C57" s="6" t="n"/>
      <c r="D57" s="6" t="n"/>
      <c r="E57" s="6" t="n"/>
      <c r="F57" s="6" t="n"/>
      <c r="G57" s="6" t="n"/>
      <c r="H57" s="6" t="n"/>
    </row>
    <row r="58">
      <c r="A58" s="6" t="n"/>
      <c r="B58" s="6" t="n"/>
      <c r="C58" s="6" t="n"/>
      <c r="D58" s="6" t="n"/>
      <c r="E58" s="6" t="n"/>
      <c r="F58" s="6" t="n"/>
      <c r="G58" s="6" t="n"/>
      <c r="H58" s="6" t="n"/>
    </row>
    <row r="59">
      <c r="A59" s="6" t="n"/>
      <c r="B59" s="6" t="n"/>
      <c r="C59" s="6" t="n"/>
      <c r="D59" s="6" t="n"/>
      <c r="E59" s="6" t="n"/>
      <c r="F59" s="6" t="n"/>
      <c r="G59" s="6" t="n"/>
      <c r="H59" s="6" t="n"/>
    </row>
    <row r="60">
      <c r="A60" s="6" t="n"/>
      <c r="B60" s="6" t="n"/>
      <c r="C60" s="6" t="n"/>
      <c r="D60" s="6" t="n"/>
      <c r="E60" s="6" t="n"/>
      <c r="F60" s="6" t="n"/>
      <c r="G60" s="6" t="n"/>
      <c r="H60" s="6" t="n"/>
    </row>
    <row r="62">
      <c r="A62" s="2" t="inlineStr">
        <is>
          <t>61-90 Days</t>
        </is>
      </c>
    </row>
    <row r="63">
      <c r="A63" s="5" t="inlineStr">
        <is>
          <t>Equipment ID</t>
        </is>
      </c>
      <c r="B63" s="5" t="inlineStr">
        <is>
          <t>Equipment Description</t>
        </is>
      </c>
      <c r="C63" s="5" t="inlineStr">
        <is>
          <t>Maintenance Type</t>
        </is>
      </c>
      <c r="D63" s="5" t="inlineStr">
        <is>
          <t>Due Date</t>
        </is>
      </c>
      <c r="E63" s="5" t="inlineStr">
        <is>
          <t>Days Until Due</t>
        </is>
      </c>
      <c r="F63" s="5" t="inlineStr">
        <is>
          <t>Scheduled Date</t>
        </is>
      </c>
      <c r="G63" s="5" t="inlineStr">
        <is>
          <t>Assigned To</t>
        </is>
      </c>
      <c r="H63" s="5" t="inlineStr">
        <is>
          <t>Vendor Booked</t>
        </is>
      </c>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row r="73">
      <c r="A73" s="6" t="n"/>
      <c r="B73" s="6" t="n"/>
      <c r="C73" s="6" t="n"/>
      <c r="D73" s="6" t="n"/>
      <c r="E73" s="6" t="n"/>
      <c r="F73" s="6" t="n"/>
      <c r="G73" s="6" t="n"/>
      <c r="H73" s="6" t="n"/>
    </row>
    <row r="74">
      <c r="A74" s="6" t="n"/>
      <c r="B74" s="6" t="n"/>
      <c r="C74" s="6" t="n"/>
      <c r="D74" s="6" t="n"/>
      <c r="E74" s="6" t="n"/>
      <c r="F74" s="6" t="n"/>
      <c r="G74" s="6" t="n"/>
      <c r="H74" s="6" t="n"/>
    </row>
    <row r="75">
      <c r="A75" s="6" t="n"/>
      <c r="B75" s="6" t="n"/>
      <c r="C75" s="6" t="n"/>
      <c r="D75" s="6" t="n"/>
      <c r="E75" s="6" t="n"/>
      <c r="F75" s="6" t="n"/>
      <c r="G75" s="6" t="n"/>
      <c r="H75" s="6" t="n"/>
    </row>
    <row r="76">
      <c r="A76" s="6" t="n"/>
      <c r="B76" s="6" t="n"/>
      <c r="C76" s="6" t="n"/>
      <c r="D76" s="6" t="n"/>
      <c r="E76" s="6" t="n"/>
      <c r="F76" s="6" t="n"/>
      <c r="G76" s="6" t="n"/>
      <c r="H76" s="6" t="n"/>
    </row>
    <row r="77">
      <c r="A77" s="6" t="n"/>
      <c r="B77" s="6" t="n"/>
      <c r="C77" s="6" t="n"/>
      <c r="D77" s="6" t="n"/>
      <c r="E77" s="6" t="n"/>
      <c r="F77" s="6" t="n"/>
      <c r="G77" s="6" t="n"/>
      <c r="H77" s="6" t="n"/>
    </row>
    <row r="78">
      <c r="A78" s="6" t="n"/>
      <c r="B78" s="6" t="n"/>
      <c r="C78" s="6" t="n"/>
      <c r="D78" s="6" t="n"/>
      <c r="E78" s="6" t="n"/>
      <c r="F78" s="6" t="n"/>
      <c r="G78" s="6" t="n"/>
      <c r="H78" s="6" t="n"/>
    </row>
    <row r="79">
      <c r="A79" s="6" t="n"/>
      <c r="B79" s="6" t="n"/>
      <c r="C79" s="6" t="n"/>
      <c r="D79" s="6" t="n"/>
      <c r="E79" s="6" t="n"/>
      <c r="F79" s="6" t="n"/>
      <c r="G79" s="6" t="n"/>
      <c r="H79" s="6" t="n"/>
    </row>
    <row r="80">
      <c r="A80" s="6" t="n"/>
      <c r="B80" s="6" t="n"/>
      <c r="C80" s="6" t="n"/>
      <c r="D80" s="6" t="n"/>
      <c r="E80" s="6" t="n"/>
      <c r="F80" s="6" t="n"/>
      <c r="G80" s="6" t="n"/>
      <c r="H80" s="6" t="n"/>
    </row>
    <row r="81">
      <c r="A81" s="6" t="n"/>
      <c r="B81" s="6" t="n"/>
      <c r="C81" s="6" t="n"/>
      <c r="D81" s="6" t="n"/>
      <c r="E81" s="6" t="n"/>
      <c r="F81" s="6" t="n"/>
      <c r="G81" s="6" t="n"/>
      <c r="H81" s="6" t="n"/>
    </row>
    <row r="82">
      <c r="A82" s="6" t="n"/>
      <c r="B82" s="6" t="n"/>
      <c r="C82" s="6" t="n"/>
      <c r="D82" s="6" t="n"/>
      <c r="E82" s="6" t="n"/>
      <c r="F82" s="6" t="n"/>
      <c r="G82" s="6" t="n"/>
      <c r="H82" s="6" t="n"/>
    </row>
    <row r="83">
      <c r="A83" s="6" t="n"/>
      <c r="B83" s="6" t="n"/>
      <c r="C83" s="6" t="n"/>
      <c r="D83" s="6" t="n"/>
      <c r="E83" s="6" t="n"/>
      <c r="F83" s="6" t="n"/>
      <c r="G83" s="6" t="n"/>
      <c r="H83" s="6" t="n"/>
    </row>
  </sheetData>
  <mergeCells count="1">
    <mergeCell ref="A1:H1"/>
  </mergeCells>
  <dataValidations count="1">
    <dataValidation sqref="H7 H8 H9 H10 H11 H12 H13 H14 H15 H16 H17 H18 H19 H20 H21 H22 H23 H24 H25 H26 H27 H28 H29 H30 H31 H32 H33 H34 H35 H36"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30" customHeight="1">
      <c r="A1" s="1" t="inlineStr">
        <is>
          <t>MAINTENANCE SCHEDULE DASHBOARD</t>
        </is>
      </c>
    </row>
    <row r="3">
      <c r="A3" s="2" t="inlineStr">
        <is>
          <t>Overall Compliance</t>
        </is>
      </c>
    </row>
    <row r="4">
      <c r="A4" s="3" t="inlineStr">
        <is>
          <t>Total Equipment in Programme</t>
        </is>
      </c>
      <c r="B4" s="9">
        <f>COUNTA('Equipment Schedule'!A4:A203)</f>
        <v/>
      </c>
    </row>
    <row r="5">
      <c r="A5" s="3" t="inlineStr">
        <is>
          <t>Equipment Current</t>
        </is>
      </c>
      <c r="B5" s="9">
        <f>COUNTIF('Equipment Schedule'!K4:K203,"✅*")</f>
        <v/>
      </c>
    </row>
    <row r="6">
      <c r="A6" s="3" t="inlineStr">
        <is>
          <t>Equipment Due Soon</t>
        </is>
      </c>
      <c r="B6" s="9">
        <f>COUNTIF('Equipment Schedule'!K4:K203,"⚠*")</f>
        <v/>
      </c>
    </row>
    <row r="7">
      <c r="A7" s="3" t="inlineStr">
        <is>
          <t>Equipment Overdue</t>
        </is>
      </c>
      <c r="B7" s="9">
        <f>COUNTIF('Equipment Schedule'!K4:K203,"❌*")</f>
        <v/>
      </c>
    </row>
    <row r="8">
      <c r="A8" s="3" t="inlineStr">
        <is>
          <t>Compliance Rate (%)</t>
        </is>
      </c>
      <c r="B8" s="9">
        <f>IF(B4=0,"N/A",ROUND(B5/B4*100,1)&amp;"%")</f>
        <v/>
      </c>
    </row>
    <row r="10">
      <c r="A10" s="2" t="inlineStr">
        <is>
          <t>Compliance by Criticality</t>
        </is>
      </c>
    </row>
    <row r="11">
      <c r="A11" s="5" t="inlineStr">
        <is>
          <t>Criticality</t>
        </is>
      </c>
      <c r="B11" s="5" t="inlineStr">
        <is>
          <t>Total</t>
        </is>
      </c>
      <c r="C11" s="5" t="inlineStr">
        <is>
          <t>Current</t>
        </is>
      </c>
      <c r="D11" s="5" t="inlineStr">
        <is>
          <t>Due Soon</t>
        </is>
      </c>
      <c r="E11" s="5" t="inlineStr">
        <is>
          <t>Overdue</t>
        </is>
      </c>
      <c r="F11" s="5" t="inlineStr">
        <is>
          <t>% Current</t>
        </is>
      </c>
    </row>
    <row r="12">
      <c r="A12" t="inlineStr">
        <is>
          <t>Tier 1 - Critical</t>
        </is>
      </c>
      <c r="B12">
        <f>COUNTIF('Equipment Schedule'!E4:E203,"Tier 1*")</f>
        <v/>
      </c>
      <c r="C12">
        <f>COUNTIFS('Equipment Schedule'!E4:E203,"Tier 1*",'Equipment Schedule'!K4:K203,"✅*")</f>
        <v/>
      </c>
      <c r="D12">
        <f>COUNTIFS('Equipment Schedule'!E4:E203,"Tier 1*",'Equipment Schedule'!K4:K203,"⚠*")</f>
        <v/>
      </c>
      <c r="E12">
        <f>COUNTIFS('Equipment Schedule'!E4:E203,"Tier 1*",'Equipment Schedule'!K4:K203,"❌*")</f>
        <v/>
      </c>
      <c r="F12">
        <f>IF(B12=0,"N/A",ROUND(C12/B12*100,1)&amp;"%")</f>
        <v/>
      </c>
    </row>
    <row r="13">
      <c r="A13" t="inlineStr">
        <is>
          <t>Tier 2 - Standard</t>
        </is>
      </c>
      <c r="B13">
        <f>COUNTIF('Equipment Schedule'!E4:E203,"Tier 2*")</f>
        <v/>
      </c>
      <c r="C13">
        <f>COUNTIFS('Equipment Schedule'!E4:E203,"Tier 2*",'Equipment Schedule'!K4:K203,"✅*")</f>
        <v/>
      </c>
      <c r="D13">
        <f>COUNTIFS('Equipment Schedule'!E4:E203,"Tier 2*",'Equipment Schedule'!K4:K203,"⚠*")</f>
        <v/>
      </c>
      <c r="E13">
        <f>COUNTIFS('Equipment Schedule'!E4:E203,"Tier 2*",'Equipment Schedule'!K4:K203,"❌*")</f>
        <v/>
      </c>
      <c r="F13">
        <f>IF(B13=0,"N/A",ROUND(C13/B13*100,1)&amp;"%")</f>
        <v/>
      </c>
    </row>
    <row r="16">
      <c r="A16" s="2" t="inlineStr">
        <is>
          <t>Overdue Summary</t>
        </is>
      </c>
    </row>
    <row r="17">
      <c r="A17" t="inlineStr">
        <is>
          <t>Total Overdue Items</t>
        </is>
      </c>
      <c r="B17">
        <f>COUNTIF('Equipment Schedule'!K4:K203,"❌*")</f>
        <v/>
      </c>
    </row>
    <row r="18">
      <c r="A18" t="inlineStr">
        <is>
          <t>Critical Equipment Overdue</t>
        </is>
      </c>
      <c r="B18">
        <f>COUNTIFS('Equipment Schedule'!E4:E203,"Tier 1*",'Equipment Schedule'!K4:K203,"❌*")</f>
        <v/>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3"/>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15" customWidth="1" min="3" max="3"/>
    <col width="18" customWidth="1" min="4" max="4"/>
    <col width="25" customWidth="1" min="5" max="5"/>
    <col width="20" customWidth="1" min="6" max="6"/>
    <col width="40" customWidth="1" min="7" max="7"/>
    <col width="18" customWidth="1" min="8" max="8"/>
    <col width="40" customWidth="1" min="9" max="9"/>
  </cols>
  <sheetData>
    <row r="1" ht="40" customHeight="1">
      <c r="A1" s="1" t="inlineStr">
        <is>
          <t>Maintenance Log
Historical record of completed maintenance</t>
        </is>
      </c>
    </row>
    <row r="3">
      <c r="A3" s="5" t="inlineStr">
        <is>
          <t>Equipment ID</t>
        </is>
      </c>
      <c r="B3" s="5" t="inlineStr">
        <is>
          <t>Maintenance Type</t>
        </is>
      </c>
      <c r="C3" s="5" t="inlineStr">
        <is>
          <t>Scheduled Date</t>
        </is>
      </c>
      <c r="D3" s="5" t="inlineStr">
        <is>
          <t>Actual Completion</t>
        </is>
      </c>
      <c r="E3" s="5" t="inlineStr">
        <is>
          <t>Performed By</t>
        </is>
      </c>
      <c r="F3" s="5" t="inlineStr">
        <is>
          <t>Record Reference</t>
        </is>
      </c>
      <c r="G3" s="5" t="inlineStr">
        <is>
          <t>Findings/Notes</t>
        </is>
      </c>
      <c r="H3" s="5" t="inlineStr">
        <is>
          <t>Follow-up Required</t>
        </is>
      </c>
      <c r="I3" s="5" t="inlineStr">
        <is>
          <t>Follow-up Notes</t>
        </is>
      </c>
    </row>
    <row r="4">
      <c r="A4" s="6" t="n"/>
      <c r="B4" s="6" t="n"/>
      <c r="C4" s="6" t="n"/>
      <c r="D4" s="6" t="n"/>
      <c r="E4" s="6" t="n"/>
      <c r="F4" s="6" t="n"/>
      <c r="G4" s="6" t="n"/>
      <c r="H4" s="6" t="n"/>
      <c r="I4" s="6" t="n"/>
    </row>
    <row r="5">
      <c r="A5" s="6" t="n"/>
      <c r="B5" s="6" t="n"/>
      <c r="C5" s="6" t="n"/>
      <c r="D5" s="6" t="n"/>
      <c r="E5" s="6" t="n"/>
      <c r="F5" s="6" t="n"/>
      <c r="G5" s="6" t="n"/>
      <c r="H5" s="6" t="n"/>
      <c r="I5" s="6" t="n"/>
    </row>
    <row r="6">
      <c r="A6" s="6" t="n"/>
      <c r="B6" s="6" t="n"/>
      <c r="C6" s="6" t="n"/>
      <c r="D6" s="6" t="n"/>
      <c r="E6" s="6" t="n"/>
      <c r="F6" s="6" t="n"/>
      <c r="G6" s="6" t="n"/>
      <c r="H6" s="6" t="n"/>
      <c r="I6" s="6" t="n"/>
    </row>
    <row r="7">
      <c r="A7" s="6" t="n"/>
      <c r="B7" s="6" t="n"/>
      <c r="C7" s="6" t="n"/>
      <c r="D7" s="6" t="n"/>
      <c r="E7" s="6" t="n"/>
      <c r="F7" s="6" t="n"/>
      <c r="G7" s="6" t="n"/>
      <c r="H7" s="6" t="n"/>
      <c r="I7" s="6" t="n"/>
    </row>
    <row r="8">
      <c r="A8" s="6" t="n"/>
      <c r="B8" s="6" t="n"/>
      <c r="C8" s="6" t="n"/>
      <c r="D8" s="6" t="n"/>
      <c r="E8" s="6" t="n"/>
      <c r="F8" s="6" t="n"/>
      <c r="G8" s="6" t="n"/>
      <c r="H8" s="6" t="n"/>
      <c r="I8" s="6" t="n"/>
    </row>
    <row r="9">
      <c r="A9" s="6" t="n"/>
      <c r="B9" s="6" t="n"/>
      <c r="C9" s="6" t="n"/>
      <c r="D9" s="6" t="n"/>
      <c r="E9" s="6" t="n"/>
      <c r="F9" s="6" t="n"/>
      <c r="G9" s="6" t="n"/>
      <c r="H9" s="6" t="n"/>
      <c r="I9" s="6" t="n"/>
    </row>
    <row r="10">
      <c r="A10" s="6" t="n"/>
      <c r="B10" s="6" t="n"/>
      <c r="C10" s="6" t="n"/>
      <c r="D10" s="6" t="n"/>
      <c r="E10" s="6" t="n"/>
      <c r="F10" s="6" t="n"/>
      <c r="G10" s="6" t="n"/>
      <c r="H10" s="6" t="n"/>
      <c r="I10" s="6" t="n"/>
    </row>
    <row r="11">
      <c r="A11" s="6" t="n"/>
      <c r="B11" s="6" t="n"/>
      <c r="C11" s="6" t="n"/>
      <c r="D11" s="6" t="n"/>
      <c r="E11" s="6" t="n"/>
      <c r="F11" s="6" t="n"/>
      <c r="G11" s="6" t="n"/>
      <c r="H11" s="6" t="n"/>
      <c r="I11" s="6" t="n"/>
    </row>
    <row r="12">
      <c r="A12" s="6" t="n"/>
      <c r="B12" s="6" t="n"/>
      <c r="C12" s="6" t="n"/>
      <c r="D12" s="6" t="n"/>
      <c r="E12" s="6" t="n"/>
      <c r="F12" s="6" t="n"/>
      <c r="G12" s="6" t="n"/>
      <c r="H12" s="6" t="n"/>
      <c r="I12" s="6" t="n"/>
    </row>
    <row r="13">
      <c r="A13" s="6" t="n"/>
      <c r="B13" s="6" t="n"/>
      <c r="C13" s="6" t="n"/>
      <c r="D13" s="6" t="n"/>
      <c r="E13" s="6" t="n"/>
      <c r="F13" s="6" t="n"/>
      <c r="G13" s="6" t="n"/>
      <c r="H13" s="6" t="n"/>
      <c r="I13" s="6" t="n"/>
    </row>
    <row r="14">
      <c r="A14" s="6" t="n"/>
      <c r="B14" s="6" t="n"/>
      <c r="C14" s="6" t="n"/>
      <c r="D14" s="6" t="n"/>
      <c r="E14" s="6" t="n"/>
      <c r="F14" s="6" t="n"/>
      <c r="G14" s="6" t="n"/>
      <c r="H14" s="6" t="n"/>
      <c r="I14" s="6" t="n"/>
    </row>
    <row r="15">
      <c r="A15" s="6" t="n"/>
      <c r="B15" s="6" t="n"/>
      <c r="C15" s="6" t="n"/>
      <c r="D15" s="6" t="n"/>
      <c r="E15" s="6" t="n"/>
      <c r="F15" s="6" t="n"/>
      <c r="G15" s="6" t="n"/>
      <c r="H15" s="6" t="n"/>
      <c r="I15" s="6" t="n"/>
    </row>
    <row r="16">
      <c r="A16" s="6" t="n"/>
      <c r="B16" s="6" t="n"/>
      <c r="C16" s="6" t="n"/>
      <c r="D16" s="6" t="n"/>
      <c r="E16" s="6" t="n"/>
      <c r="F16" s="6" t="n"/>
      <c r="G16" s="6" t="n"/>
      <c r="H16" s="6" t="n"/>
      <c r="I16" s="6" t="n"/>
    </row>
    <row r="17">
      <c r="A17" s="6" t="n"/>
      <c r="B17" s="6" t="n"/>
      <c r="C17" s="6" t="n"/>
      <c r="D17" s="6" t="n"/>
      <c r="E17" s="6" t="n"/>
      <c r="F17" s="6" t="n"/>
      <c r="G17" s="6" t="n"/>
      <c r="H17" s="6" t="n"/>
      <c r="I17" s="6" t="n"/>
    </row>
    <row r="18">
      <c r="A18" s="6" t="n"/>
      <c r="B18" s="6" t="n"/>
      <c r="C18" s="6" t="n"/>
      <c r="D18" s="6" t="n"/>
      <c r="E18" s="6" t="n"/>
      <c r="F18" s="6" t="n"/>
      <c r="G18" s="6" t="n"/>
      <c r="H18" s="6" t="n"/>
      <c r="I18" s="6" t="n"/>
    </row>
    <row r="19">
      <c r="A19" s="6" t="n"/>
      <c r="B19" s="6" t="n"/>
      <c r="C19" s="6" t="n"/>
      <c r="D19" s="6" t="n"/>
      <c r="E19" s="6" t="n"/>
      <c r="F19" s="6" t="n"/>
      <c r="G19" s="6" t="n"/>
      <c r="H19" s="6" t="n"/>
      <c r="I19" s="6" t="n"/>
    </row>
    <row r="20">
      <c r="A20" s="6" t="n"/>
      <c r="B20" s="6" t="n"/>
      <c r="C20" s="6" t="n"/>
      <c r="D20" s="6" t="n"/>
      <c r="E20" s="6" t="n"/>
      <c r="F20" s="6" t="n"/>
      <c r="G20" s="6" t="n"/>
      <c r="H20" s="6" t="n"/>
      <c r="I20" s="6" t="n"/>
    </row>
    <row r="21">
      <c r="A21" s="6" t="n"/>
      <c r="B21" s="6" t="n"/>
      <c r="C21" s="6" t="n"/>
      <c r="D21" s="6" t="n"/>
      <c r="E21" s="6" t="n"/>
      <c r="F21" s="6" t="n"/>
      <c r="G21" s="6" t="n"/>
      <c r="H21" s="6" t="n"/>
      <c r="I21" s="6" t="n"/>
    </row>
    <row r="22">
      <c r="A22" s="6" t="n"/>
      <c r="B22" s="6" t="n"/>
      <c r="C22" s="6" t="n"/>
      <c r="D22" s="6" t="n"/>
      <c r="E22" s="6" t="n"/>
      <c r="F22" s="6" t="n"/>
      <c r="G22" s="6" t="n"/>
      <c r="H22" s="6" t="n"/>
      <c r="I22" s="6" t="n"/>
    </row>
    <row r="23">
      <c r="A23" s="6" t="n"/>
      <c r="B23" s="6" t="n"/>
      <c r="C23" s="6" t="n"/>
      <c r="D23" s="6" t="n"/>
      <c r="E23" s="6" t="n"/>
      <c r="F23" s="6" t="n"/>
      <c r="G23" s="6" t="n"/>
      <c r="H23" s="6" t="n"/>
      <c r="I23" s="6" t="n"/>
    </row>
    <row r="24">
      <c r="A24" s="6" t="n"/>
      <c r="B24" s="6" t="n"/>
      <c r="C24" s="6" t="n"/>
      <c r="D24" s="6" t="n"/>
      <c r="E24" s="6" t="n"/>
      <c r="F24" s="6" t="n"/>
      <c r="G24" s="6" t="n"/>
      <c r="H24" s="6" t="n"/>
      <c r="I24" s="6" t="n"/>
    </row>
    <row r="25">
      <c r="A25" s="6" t="n"/>
      <c r="B25" s="6" t="n"/>
      <c r="C25" s="6" t="n"/>
      <c r="D25" s="6" t="n"/>
      <c r="E25" s="6" t="n"/>
      <c r="F25" s="6" t="n"/>
      <c r="G25" s="6" t="n"/>
      <c r="H25" s="6" t="n"/>
      <c r="I25" s="6" t="n"/>
    </row>
    <row r="26">
      <c r="A26" s="6" t="n"/>
      <c r="B26" s="6" t="n"/>
      <c r="C26" s="6" t="n"/>
      <c r="D26" s="6" t="n"/>
      <c r="E26" s="6" t="n"/>
      <c r="F26" s="6" t="n"/>
      <c r="G26" s="6" t="n"/>
      <c r="H26" s="6" t="n"/>
      <c r="I26" s="6" t="n"/>
    </row>
    <row r="27">
      <c r="A27" s="6" t="n"/>
      <c r="B27" s="6" t="n"/>
      <c r="C27" s="6" t="n"/>
      <c r="D27" s="6" t="n"/>
      <c r="E27" s="6" t="n"/>
      <c r="F27" s="6" t="n"/>
      <c r="G27" s="6" t="n"/>
      <c r="H27" s="6" t="n"/>
      <c r="I27" s="6" t="n"/>
    </row>
    <row r="28">
      <c r="A28" s="6" t="n"/>
      <c r="B28" s="6" t="n"/>
      <c r="C28" s="6" t="n"/>
      <c r="D28" s="6" t="n"/>
      <c r="E28" s="6" t="n"/>
      <c r="F28" s="6" t="n"/>
      <c r="G28" s="6" t="n"/>
      <c r="H28" s="6" t="n"/>
      <c r="I28" s="6" t="n"/>
    </row>
    <row r="29">
      <c r="A29" s="6" t="n"/>
      <c r="B29" s="6" t="n"/>
      <c r="C29" s="6" t="n"/>
      <c r="D29" s="6" t="n"/>
      <c r="E29" s="6" t="n"/>
      <c r="F29" s="6" t="n"/>
      <c r="G29" s="6" t="n"/>
      <c r="H29" s="6" t="n"/>
      <c r="I29" s="6" t="n"/>
    </row>
    <row r="30">
      <c r="A30" s="6" t="n"/>
      <c r="B30" s="6" t="n"/>
      <c r="C30" s="6" t="n"/>
      <c r="D30" s="6" t="n"/>
      <c r="E30" s="6" t="n"/>
      <c r="F30" s="6" t="n"/>
      <c r="G30" s="6" t="n"/>
      <c r="H30" s="6" t="n"/>
      <c r="I30" s="6" t="n"/>
    </row>
    <row r="31">
      <c r="A31" s="6" t="n"/>
      <c r="B31" s="6" t="n"/>
      <c r="C31" s="6" t="n"/>
      <c r="D31" s="6" t="n"/>
      <c r="E31" s="6" t="n"/>
      <c r="F31" s="6" t="n"/>
      <c r="G31" s="6" t="n"/>
      <c r="H31" s="6" t="n"/>
      <c r="I31" s="6" t="n"/>
    </row>
    <row r="32">
      <c r="A32" s="6" t="n"/>
      <c r="B32" s="6" t="n"/>
      <c r="C32" s="6" t="n"/>
      <c r="D32" s="6" t="n"/>
      <c r="E32" s="6" t="n"/>
      <c r="F32" s="6" t="n"/>
      <c r="G32" s="6" t="n"/>
      <c r="H32" s="6" t="n"/>
      <c r="I32" s="6" t="n"/>
    </row>
    <row r="33">
      <c r="A33" s="6" t="n"/>
      <c r="B33" s="6" t="n"/>
      <c r="C33" s="6" t="n"/>
      <c r="D33" s="6" t="n"/>
      <c r="E33" s="6" t="n"/>
      <c r="F33" s="6" t="n"/>
      <c r="G33" s="6" t="n"/>
      <c r="H33" s="6" t="n"/>
      <c r="I33" s="6" t="n"/>
    </row>
    <row r="34">
      <c r="A34" s="6" t="n"/>
      <c r="B34" s="6" t="n"/>
      <c r="C34" s="6" t="n"/>
      <c r="D34" s="6" t="n"/>
      <c r="E34" s="6" t="n"/>
      <c r="F34" s="6" t="n"/>
      <c r="G34" s="6" t="n"/>
      <c r="H34" s="6" t="n"/>
      <c r="I34" s="6" t="n"/>
    </row>
    <row r="35">
      <c r="A35" s="6" t="n"/>
      <c r="B35" s="6" t="n"/>
      <c r="C35" s="6" t="n"/>
      <c r="D35" s="6" t="n"/>
      <c r="E35" s="6" t="n"/>
      <c r="F35" s="6" t="n"/>
      <c r="G35" s="6" t="n"/>
      <c r="H35" s="6" t="n"/>
      <c r="I35" s="6" t="n"/>
    </row>
    <row r="36">
      <c r="A36" s="6" t="n"/>
      <c r="B36" s="6" t="n"/>
      <c r="C36" s="6" t="n"/>
      <c r="D36" s="6" t="n"/>
      <c r="E36" s="6" t="n"/>
      <c r="F36" s="6" t="n"/>
      <c r="G36" s="6" t="n"/>
      <c r="H36" s="6" t="n"/>
      <c r="I36" s="6" t="n"/>
    </row>
    <row r="37">
      <c r="A37" s="6" t="n"/>
      <c r="B37" s="6" t="n"/>
      <c r="C37" s="6" t="n"/>
      <c r="D37" s="6" t="n"/>
      <c r="E37" s="6" t="n"/>
      <c r="F37" s="6" t="n"/>
      <c r="G37" s="6" t="n"/>
      <c r="H37" s="6" t="n"/>
      <c r="I37" s="6" t="n"/>
    </row>
    <row r="38">
      <c r="A38" s="6" t="n"/>
      <c r="B38" s="6" t="n"/>
      <c r="C38" s="6" t="n"/>
      <c r="D38" s="6" t="n"/>
      <c r="E38" s="6" t="n"/>
      <c r="F38" s="6" t="n"/>
      <c r="G38" s="6" t="n"/>
      <c r="H38" s="6" t="n"/>
      <c r="I38" s="6" t="n"/>
    </row>
    <row r="39">
      <c r="A39" s="6" t="n"/>
      <c r="B39" s="6" t="n"/>
      <c r="C39" s="6" t="n"/>
      <c r="D39" s="6" t="n"/>
      <c r="E39" s="6" t="n"/>
      <c r="F39" s="6" t="n"/>
      <c r="G39" s="6" t="n"/>
      <c r="H39" s="6" t="n"/>
      <c r="I39" s="6" t="n"/>
    </row>
    <row r="40">
      <c r="A40" s="6" t="n"/>
      <c r="B40" s="6" t="n"/>
      <c r="C40" s="6" t="n"/>
      <c r="D40" s="6" t="n"/>
      <c r="E40" s="6" t="n"/>
      <c r="F40" s="6" t="n"/>
      <c r="G40" s="6" t="n"/>
      <c r="H40" s="6" t="n"/>
      <c r="I40" s="6" t="n"/>
    </row>
    <row r="41">
      <c r="A41" s="6" t="n"/>
      <c r="B41" s="6" t="n"/>
      <c r="C41" s="6" t="n"/>
      <c r="D41" s="6" t="n"/>
      <c r="E41" s="6" t="n"/>
      <c r="F41" s="6" t="n"/>
      <c r="G41" s="6" t="n"/>
      <c r="H41" s="6" t="n"/>
      <c r="I41" s="6" t="n"/>
    </row>
    <row r="42">
      <c r="A42" s="6" t="n"/>
      <c r="B42" s="6" t="n"/>
      <c r="C42" s="6" t="n"/>
      <c r="D42" s="6" t="n"/>
      <c r="E42" s="6" t="n"/>
      <c r="F42" s="6" t="n"/>
      <c r="G42" s="6" t="n"/>
      <c r="H42" s="6" t="n"/>
      <c r="I42" s="6" t="n"/>
    </row>
    <row r="43">
      <c r="A43" s="6" t="n"/>
      <c r="B43" s="6" t="n"/>
      <c r="C43" s="6" t="n"/>
      <c r="D43" s="6" t="n"/>
      <c r="E43" s="6" t="n"/>
      <c r="F43" s="6" t="n"/>
      <c r="G43" s="6" t="n"/>
      <c r="H43" s="6" t="n"/>
      <c r="I43" s="6" t="n"/>
    </row>
    <row r="44">
      <c r="A44" s="6" t="n"/>
      <c r="B44" s="6" t="n"/>
      <c r="C44" s="6" t="n"/>
      <c r="D44" s="6" t="n"/>
      <c r="E44" s="6" t="n"/>
      <c r="F44" s="6" t="n"/>
      <c r="G44" s="6" t="n"/>
      <c r="H44" s="6" t="n"/>
      <c r="I44" s="6" t="n"/>
    </row>
    <row r="45">
      <c r="A45" s="6" t="n"/>
      <c r="B45" s="6" t="n"/>
      <c r="C45" s="6" t="n"/>
      <c r="D45" s="6" t="n"/>
      <c r="E45" s="6" t="n"/>
      <c r="F45" s="6" t="n"/>
      <c r="G45" s="6" t="n"/>
      <c r="H45" s="6" t="n"/>
      <c r="I45" s="6" t="n"/>
    </row>
    <row r="46">
      <c r="A46" s="6" t="n"/>
      <c r="B46" s="6" t="n"/>
      <c r="C46" s="6" t="n"/>
      <c r="D46" s="6" t="n"/>
      <c r="E46" s="6" t="n"/>
      <c r="F46" s="6" t="n"/>
      <c r="G46" s="6" t="n"/>
      <c r="H46" s="6" t="n"/>
      <c r="I46" s="6" t="n"/>
    </row>
    <row r="47">
      <c r="A47" s="6" t="n"/>
      <c r="B47" s="6" t="n"/>
      <c r="C47" s="6" t="n"/>
      <c r="D47" s="6" t="n"/>
      <c r="E47" s="6" t="n"/>
      <c r="F47" s="6" t="n"/>
      <c r="G47" s="6" t="n"/>
      <c r="H47" s="6" t="n"/>
      <c r="I47" s="6" t="n"/>
    </row>
    <row r="48">
      <c r="A48" s="6" t="n"/>
      <c r="B48" s="6" t="n"/>
      <c r="C48" s="6" t="n"/>
      <c r="D48" s="6" t="n"/>
      <c r="E48" s="6" t="n"/>
      <c r="F48" s="6" t="n"/>
      <c r="G48" s="6" t="n"/>
      <c r="H48" s="6" t="n"/>
      <c r="I48" s="6" t="n"/>
    </row>
    <row r="49">
      <c r="A49" s="6" t="n"/>
      <c r="B49" s="6" t="n"/>
      <c r="C49" s="6" t="n"/>
      <c r="D49" s="6" t="n"/>
      <c r="E49" s="6" t="n"/>
      <c r="F49" s="6" t="n"/>
      <c r="G49" s="6" t="n"/>
      <c r="H49" s="6" t="n"/>
      <c r="I49" s="6" t="n"/>
    </row>
    <row r="50">
      <c r="A50" s="6" t="n"/>
      <c r="B50" s="6" t="n"/>
      <c r="C50" s="6" t="n"/>
      <c r="D50" s="6" t="n"/>
      <c r="E50" s="6" t="n"/>
      <c r="F50" s="6" t="n"/>
      <c r="G50" s="6" t="n"/>
      <c r="H50" s="6" t="n"/>
      <c r="I50" s="6" t="n"/>
    </row>
    <row r="51">
      <c r="A51" s="6" t="n"/>
      <c r="B51" s="6" t="n"/>
      <c r="C51" s="6" t="n"/>
      <c r="D51" s="6" t="n"/>
      <c r="E51" s="6" t="n"/>
      <c r="F51" s="6" t="n"/>
      <c r="G51" s="6" t="n"/>
      <c r="H51" s="6" t="n"/>
      <c r="I51" s="6" t="n"/>
    </row>
    <row r="52">
      <c r="A52" s="6" t="n"/>
      <c r="B52" s="6" t="n"/>
      <c r="C52" s="6" t="n"/>
      <c r="D52" s="6" t="n"/>
      <c r="E52" s="6" t="n"/>
      <c r="F52" s="6" t="n"/>
      <c r="G52" s="6" t="n"/>
      <c r="H52" s="6" t="n"/>
      <c r="I52" s="6" t="n"/>
    </row>
    <row r="53">
      <c r="A53" s="6" t="n"/>
      <c r="B53" s="6" t="n"/>
      <c r="C53" s="6" t="n"/>
      <c r="D53" s="6" t="n"/>
      <c r="E53" s="6" t="n"/>
      <c r="F53" s="6" t="n"/>
      <c r="G53" s="6" t="n"/>
      <c r="H53" s="6" t="n"/>
      <c r="I53" s="6" t="n"/>
    </row>
    <row r="54">
      <c r="A54" s="6" t="n"/>
      <c r="B54" s="6" t="n"/>
      <c r="C54" s="6" t="n"/>
      <c r="D54" s="6" t="n"/>
      <c r="E54" s="6" t="n"/>
      <c r="F54" s="6" t="n"/>
      <c r="G54" s="6" t="n"/>
      <c r="H54" s="6" t="n"/>
      <c r="I54" s="6" t="n"/>
    </row>
    <row r="55">
      <c r="A55" s="6" t="n"/>
      <c r="B55" s="6" t="n"/>
      <c r="C55" s="6" t="n"/>
      <c r="D55" s="6" t="n"/>
      <c r="E55" s="6" t="n"/>
      <c r="F55" s="6" t="n"/>
      <c r="G55" s="6" t="n"/>
      <c r="H55" s="6" t="n"/>
      <c r="I55" s="6" t="n"/>
    </row>
    <row r="56">
      <c r="A56" s="6" t="n"/>
      <c r="B56" s="6" t="n"/>
      <c r="C56" s="6" t="n"/>
      <c r="D56" s="6" t="n"/>
      <c r="E56" s="6" t="n"/>
      <c r="F56" s="6" t="n"/>
      <c r="G56" s="6" t="n"/>
      <c r="H56" s="6" t="n"/>
      <c r="I56" s="6" t="n"/>
    </row>
    <row r="57">
      <c r="A57" s="6" t="n"/>
      <c r="B57" s="6" t="n"/>
      <c r="C57" s="6" t="n"/>
      <c r="D57" s="6" t="n"/>
      <c r="E57" s="6" t="n"/>
      <c r="F57" s="6" t="n"/>
      <c r="G57" s="6" t="n"/>
      <c r="H57" s="6" t="n"/>
      <c r="I57" s="6" t="n"/>
    </row>
    <row r="58">
      <c r="A58" s="6" t="n"/>
      <c r="B58" s="6" t="n"/>
      <c r="C58" s="6" t="n"/>
      <c r="D58" s="6" t="n"/>
      <c r="E58" s="6" t="n"/>
      <c r="F58" s="6" t="n"/>
      <c r="G58" s="6" t="n"/>
      <c r="H58" s="6" t="n"/>
      <c r="I58" s="6" t="n"/>
    </row>
    <row r="59">
      <c r="A59" s="6" t="n"/>
      <c r="B59" s="6" t="n"/>
      <c r="C59" s="6" t="n"/>
      <c r="D59" s="6" t="n"/>
      <c r="E59" s="6" t="n"/>
      <c r="F59" s="6" t="n"/>
      <c r="G59" s="6" t="n"/>
      <c r="H59" s="6" t="n"/>
      <c r="I59" s="6" t="n"/>
    </row>
    <row r="60">
      <c r="A60" s="6" t="n"/>
      <c r="B60" s="6" t="n"/>
      <c r="C60" s="6" t="n"/>
      <c r="D60" s="6" t="n"/>
      <c r="E60" s="6" t="n"/>
      <c r="F60" s="6" t="n"/>
      <c r="G60" s="6" t="n"/>
      <c r="H60" s="6" t="n"/>
      <c r="I60" s="6" t="n"/>
    </row>
    <row r="61">
      <c r="A61" s="6" t="n"/>
      <c r="B61" s="6" t="n"/>
      <c r="C61" s="6" t="n"/>
      <c r="D61" s="6" t="n"/>
      <c r="E61" s="6" t="n"/>
      <c r="F61" s="6" t="n"/>
      <c r="G61" s="6" t="n"/>
      <c r="H61" s="6" t="n"/>
      <c r="I61" s="6" t="n"/>
    </row>
    <row r="62">
      <c r="A62" s="6" t="n"/>
      <c r="B62" s="6" t="n"/>
      <c r="C62" s="6" t="n"/>
      <c r="D62" s="6" t="n"/>
      <c r="E62" s="6" t="n"/>
      <c r="F62" s="6" t="n"/>
      <c r="G62" s="6" t="n"/>
      <c r="H62" s="6" t="n"/>
      <c r="I62" s="6" t="n"/>
    </row>
    <row r="63">
      <c r="A63" s="6" t="n"/>
      <c r="B63" s="6" t="n"/>
      <c r="C63" s="6" t="n"/>
      <c r="D63" s="6" t="n"/>
      <c r="E63" s="6" t="n"/>
      <c r="F63" s="6" t="n"/>
      <c r="G63" s="6" t="n"/>
      <c r="H63" s="6" t="n"/>
      <c r="I63" s="6" t="n"/>
    </row>
    <row r="64">
      <c r="A64" s="6" t="n"/>
      <c r="B64" s="6" t="n"/>
      <c r="C64" s="6" t="n"/>
      <c r="D64" s="6" t="n"/>
      <c r="E64" s="6" t="n"/>
      <c r="F64" s="6" t="n"/>
      <c r="G64" s="6" t="n"/>
      <c r="H64" s="6" t="n"/>
      <c r="I64" s="6" t="n"/>
    </row>
    <row r="65">
      <c r="A65" s="6" t="n"/>
      <c r="B65" s="6" t="n"/>
      <c r="C65" s="6" t="n"/>
      <c r="D65" s="6" t="n"/>
      <c r="E65" s="6" t="n"/>
      <c r="F65" s="6" t="n"/>
      <c r="G65" s="6" t="n"/>
      <c r="H65" s="6" t="n"/>
      <c r="I65" s="6" t="n"/>
    </row>
    <row r="66">
      <c r="A66" s="6" t="n"/>
      <c r="B66" s="6" t="n"/>
      <c r="C66" s="6" t="n"/>
      <c r="D66" s="6" t="n"/>
      <c r="E66" s="6" t="n"/>
      <c r="F66" s="6" t="n"/>
      <c r="G66" s="6" t="n"/>
      <c r="H66" s="6" t="n"/>
      <c r="I66" s="6" t="n"/>
    </row>
    <row r="67">
      <c r="A67" s="6" t="n"/>
      <c r="B67" s="6" t="n"/>
      <c r="C67" s="6" t="n"/>
      <c r="D67" s="6" t="n"/>
      <c r="E67" s="6" t="n"/>
      <c r="F67" s="6" t="n"/>
      <c r="G67" s="6" t="n"/>
      <c r="H67" s="6" t="n"/>
      <c r="I67" s="6" t="n"/>
    </row>
    <row r="68">
      <c r="A68" s="6" t="n"/>
      <c r="B68" s="6" t="n"/>
      <c r="C68" s="6" t="n"/>
      <c r="D68" s="6" t="n"/>
      <c r="E68" s="6" t="n"/>
      <c r="F68" s="6" t="n"/>
      <c r="G68" s="6" t="n"/>
      <c r="H68" s="6" t="n"/>
      <c r="I68" s="6" t="n"/>
    </row>
    <row r="69">
      <c r="A69" s="6" t="n"/>
      <c r="B69" s="6" t="n"/>
      <c r="C69" s="6" t="n"/>
      <c r="D69" s="6" t="n"/>
      <c r="E69" s="6" t="n"/>
      <c r="F69" s="6" t="n"/>
      <c r="G69" s="6" t="n"/>
      <c r="H69" s="6" t="n"/>
      <c r="I69" s="6" t="n"/>
    </row>
    <row r="70">
      <c r="A70" s="6" t="n"/>
      <c r="B70" s="6" t="n"/>
      <c r="C70" s="6" t="n"/>
      <c r="D70" s="6" t="n"/>
      <c r="E70" s="6" t="n"/>
      <c r="F70" s="6" t="n"/>
      <c r="G70" s="6" t="n"/>
      <c r="H70" s="6" t="n"/>
      <c r="I70" s="6" t="n"/>
    </row>
    <row r="71">
      <c r="A71" s="6" t="n"/>
      <c r="B71" s="6" t="n"/>
      <c r="C71" s="6" t="n"/>
      <c r="D71" s="6" t="n"/>
      <c r="E71" s="6" t="n"/>
      <c r="F71" s="6" t="n"/>
      <c r="G71" s="6" t="n"/>
      <c r="H71" s="6" t="n"/>
      <c r="I71" s="6" t="n"/>
    </row>
    <row r="72">
      <c r="A72" s="6" t="n"/>
      <c r="B72" s="6" t="n"/>
      <c r="C72" s="6" t="n"/>
      <c r="D72" s="6" t="n"/>
      <c r="E72" s="6" t="n"/>
      <c r="F72" s="6" t="n"/>
      <c r="G72" s="6" t="n"/>
      <c r="H72" s="6" t="n"/>
      <c r="I72" s="6" t="n"/>
    </row>
    <row r="73">
      <c r="A73" s="6" t="n"/>
      <c r="B73" s="6" t="n"/>
      <c r="C73" s="6" t="n"/>
      <c r="D73" s="6" t="n"/>
      <c r="E73" s="6" t="n"/>
      <c r="F73" s="6" t="n"/>
      <c r="G73" s="6" t="n"/>
      <c r="H73" s="6" t="n"/>
      <c r="I73" s="6" t="n"/>
    </row>
    <row r="74">
      <c r="A74" s="6" t="n"/>
      <c r="B74" s="6" t="n"/>
      <c r="C74" s="6" t="n"/>
      <c r="D74" s="6" t="n"/>
      <c r="E74" s="6" t="n"/>
      <c r="F74" s="6" t="n"/>
      <c r="G74" s="6" t="n"/>
      <c r="H74" s="6" t="n"/>
      <c r="I74" s="6" t="n"/>
    </row>
    <row r="75">
      <c r="A75" s="6" t="n"/>
      <c r="B75" s="6" t="n"/>
      <c r="C75" s="6" t="n"/>
      <c r="D75" s="6" t="n"/>
      <c r="E75" s="6" t="n"/>
      <c r="F75" s="6" t="n"/>
      <c r="G75" s="6" t="n"/>
      <c r="H75" s="6" t="n"/>
      <c r="I75" s="6" t="n"/>
    </row>
    <row r="76">
      <c r="A76" s="6" t="n"/>
      <c r="B76" s="6" t="n"/>
      <c r="C76" s="6" t="n"/>
      <c r="D76" s="6" t="n"/>
      <c r="E76" s="6" t="n"/>
      <c r="F76" s="6" t="n"/>
      <c r="G76" s="6" t="n"/>
      <c r="H76" s="6" t="n"/>
      <c r="I76" s="6" t="n"/>
    </row>
    <row r="77">
      <c r="A77" s="6" t="n"/>
      <c r="B77" s="6" t="n"/>
      <c r="C77" s="6" t="n"/>
      <c r="D77" s="6" t="n"/>
      <c r="E77" s="6" t="n"/>
      <c r="F77" s="6" t="n"/>
      <c r="G77" s="6" t="n"/>
      <c r="H77" s="6" t="n"/>
      <c r="I77" s="6" t="n"/>
    </row>
    <row r="78">
      <c r="A78" s="6" t="n"/>
      <c r="B78" s="6" t="n"/>
      <c r="C78" s="6" t="n"/>
      <c r="D78" s="6" t="n"/>
      <c r="E78" s="6" t="n"/>
      <c r="F78" s="6" t="n"/>
      <c r="G78" s="6" t="n"/>
      <c r="H78" s="6" t="n"/>
      <c r="I78" s="6" t="n"/>
    </row>
    <row r="79">
      <c r="A79" s="6" t="n"/>
      <c r="B79" s="6" t="n"/>
      <c r="C79" s="6" t="n"/>
      <c r="D79" s="6" t="n"/>
      <c r="E79" s="6" t="n"/>
      <c r="F79" s="6" t="n"/>
      <c r="G79" s="6" t="n"/>
      <c r="H79" s="6" t="n"/>
      <c r="I79" s="6" t="n"/>
    </row>
    <row r="80">
      <c r="A80" s="6" t="n"/>
      <c r="B80" s="6" t="n"/>
      <c r="C80" s="6" t="n"/>
      <c r="D80" s="6" t="n"/>
      <c r="E80" s="6" t="n"/>
      <c r="F80" s="6" t="n"/>
      <c r="G80" s="6" t="n"/>
      <c r="H80" s="6" t="n"/>
      <c r="I80" s="6" t="n"/>
    </row>
    <row r="81">
      <c r="A81" s="6" t="n"/>
      <c r="B81" s="6" t="n"/>
      <c r="C81" s="6" t="n"/>
      <c r="D81" s="6" t="n"/>
      <c r="E81" s="6" t="n"/>
      <c r="F81" s="6" t="n"/>
      <c r="G81" s="6" t="n"/>
      <c r="H81" s="6" t="n"/>
      <c r="I81" s="6" t="n"/>
    </row>
    <row r="82">
      <c r="A82" s="6" t="n"/>
      <c r="B82" s="6" t="n"/>
      <c r="C82" s="6" t="n"/>
      <c r="D82" s="6" t="n"/>
      <c r="E82" s="6" t="n"/>
      <c r="F82" s="6" t="n"/>
      <c r="G82" s="6" t="n"/>
      <c r="H82" s="6" t="n"/>
      <c r="I82" s="6" t="n"/>
    </row>
    <row r="83">
      <c r="A83" s="6" t="n"/>
      <c r="B83" s="6" t="n"/>
      <c r="C83" s="6" t="n"/>
      <c r="D83" s="6" t="n"/>
      <c r="E83" s="6" t="n"/>
      <c r="F83" s="6" t="n"/>
      <c r="G83" s="6" t="n"/>
      <c r="H83" s="6" t="n"/>
      <c r="I83" s="6" t="n"/>
    </row>
    <row r="84">
      <c r="A84" s="6" t="n"/>
      <c r="B84" s="6" t="n"/>
      <c r="C84" s="6" t="n"/>
      <c r="D84" s="6" t="n"/>
      <c r="E84" s="6" t="n"/>
      <c r="F84" s="6" t="n"/>
      <c r="G84" s="6" t="n"/>
      <c r="H84" s="6" t="n"/>
      <c r="I84" s="6" t="n"/>
    </row>
    <row r="85">
      <c r="A85" s="6" t="n"/>
      <c r="B85" s="6" t="n"/>
      <c r="C85" s="6" t="n"/>
      <c r="D85" s="6" t="n"/>
      <c r="E85" s="6" t="n"/>
      <c r="F85" s="6" t="n"/>
      <c r="G85" s="6" t="n"/>
      <c r="H85" s="6" t="n"/>
      <c r="I85" s="6" t="n"/>
    </row>
    <row r="86">
      <c r="A86" s="6" t="n"/>
      <c r="B86" s="6" t="n"/>
      <c r="C86" s="6" t="n"/>
      <c r="D86" s="6" t="n"/>
      <c r="E86" s="6" t="n"/>
      <c r="F86" s="6" t="n"/>
      <c r="G86" s="6" t="n"/>
      <c r="H86" s="6" t="n"/>
      <c r="I86" s="6" t="n"/>
    </row>
    <row r="87">
      <c r="A87" s="6" t="n"/>
      <c r="B87" s="6" t="n"/>
      <c r="C87" s="6" t="n"/>
      <c r="D87" s="6" t="n"/>
      <c r="E87" s="6" t="n"/>
      <c r="F87" s="6" t="n"/>
      <c r="G87" s="6" t="n"/>
      <c r="H87" s="6" t="n"/>
      <c r="I87" s="6" t="n"/>
    </row>
    <row r="88">
      <c r="A88" s="6" t="n"/>
      <c r="B88" s="6" t="n"/>
      <c r="C88" s="6" t="n"/>
      <c r="D88" s="6" t="n"/>
      <c r="E88" s="6" t="n"/>
      <c r="F88" s="6" t="n"/>
      <c r="G88" s="6" t="n"/>
      <c r="H88" s="6" t="n"/>
      <c r="I88" s="6" t="n"/>
    </row>
    <row r="89">
      <c r="A89" s="6" t="n"/>
      <c r="B89" s="6" t="n"/>
      <c r="C89" s="6" t="n"/>
      <c r="D89" s="6" t="n"/>
      <c r="E89" s="6" t="n"/>
      <c r="F89" s="6" t="n"/>
      <c r="G89" s="6" t="n"/>
      <c r="H89" s="6" t="n"/>
      <c r="I89" s="6" t="n"/>
    </row>
    <row r="90">
      <c r="A90" s="6" t="n"/>
      <c r="B90" s="6" t="n"/>
      <c r="C90" s="6" t="n"/>
      <c r="D90" s="6" t="n"/>
      <c r="E90" s="6" t="n"/>
      <c r="F90" s="6" t="n"/>
      <c r="G90" s="6" t="n"/>
      <c r="H90" s="6" t="n"/>
      <c r="I90" s="6" t="n"/>
    </row>
    <row r="91">
      <c r="A91" s="6" t="n"/>
      <c r="B91" s="6" t="n"/>
      <c r="C91" s="6" t="n"/>
      <c r="D91" s="6" t="n"/>
      <c r="E91" s="6" t="n"/>
      <c r="F91" s="6" t="n"/>
      <c r="G91" s="6" t="n"/>
      <c r="H91" s="6" t="n"/>
      <c r="I91" s="6" t="n"/>
    </row>
    <row r="92">
      <c r="A92" s="6" t="n"/>
      <c r="B92" s="6" t="n"/>
      <c r="C92" s="6" t="n"/>
      <c r="D92" s="6" t="n"/>
      <c r="E92" s="6" t="n"/>
      <c r="F92" s="6" t="n"/>
      <c r="G92" s="6" t="n"/>
      <c r="H92" s="6" t="n"/>
      <c r="I92" s="6" t="n"/>
    </row>
    <row r="93">
      <c r="A93" s="6" t="n"/>
      <c r="B93" s="6" t="n"/>
      <c r="C93" s="6" t="n"/>
      <c r="D93" s="6" t="n"/>
      <c r="E93" s="6" t="n"/>
      <c r="F93" s="6" t="n"/>
      <c r="G93" s="6" t="n"/>
      <c r="H93" s="6" t="n"/>
      <c r="I93" s="6" t="n"/>
    </row>
    <row r="94">
      <c r="A94" s="6" t="n"/>
      <c r="B94" s="6" t="n"/>
      <c r="C94" s="6" t="n"/>
      <c r="D94" s="6" t="n"/>
      <c r="E94" s="6" t="n"/>
      <c r="F94" s="6" t="n"/>
      <c r="G94" s="6" t="n"/>
      <c r="H94" s="6" t="n"/>
      <c r="I94" s="6" t="n"/>
    </row>
    <row r="95">
      <c r="A95" s="6" t="n"/>
      <c r="B95" s="6" t="n"/>
      <c r="C95" s="6" t="n"/>
      <c r="D95" s="6" t="n"/>
      <c r="E95" s="6" t="n"/>
      <c r="F95" s="6" t="n"/>
      <c r="G95" s="6" t="n"/>
      <c r="H95" s="6" t="n"/>
      <c r="I95" s="6" t="n"/>
    </row>
    <row r="96">
      <c r="A96" s="6" t="n"/>
      <c r="B96" s="6" t="n"/>
      <c r="C96" s="6" t="n"/>
      <c r="D96" s="6" t="n"/>
      <c r="E96" s="6" t="n"/>
      <c r="F96" s="6" t="n"/>
      <c r="G96" s="6" t="n"/>
      <c r="H96" s="6" t="n"/>
      <c r="I96" s="6" t="n"/>
    </row>
    <row r="97">
      <c r="A97" s="6" t="n"/>
      <c r="B97" s="6" t="n"/>
      <c r="C97" s="6" t="n"/>
      <c r="D97" s="6" t="n"/>
      <c r="E97" s="6" t="n"/>
      <c r="F97" s="6" t="n"/>
      <c r="G97" s="6" t="n"/>
      <c r="H97" s="6" t="n"/>
      <c r="I97" s="6" t="n"/>
    </row>
    <row r="98">
      <c r="A98" s="6" t="n"/>
      <c r="B98" s="6" t="n"/>
      <c r="C98" s="6" t="n"/>
      <c r="D98" s="6" t="n"/>
      <c r="E98" s="6" t="n"/>
      <c r="F98" s="6" t="n"/>
      <c r="G98" s="6" t="n"/>
      <c r="H98" s="6" t="n"/>
      <c r="I98" s="6" t="n"/>
    </row>
    <row r="99">
      <c r="A99" s="6" t="n"/>
      <c r="B99" s="6" t="n"/>
      <c r="C99" s="6" t="n"/>
      <c r="D99" s="6" t="n"/>
      <c r="E99" s="6" t="n"/>
      <c r="F99" s="6" t="n"/>
      <c r="G99" s="6" t="n"/>
      <c r="H99" s="6" t="n"/>
      <c r="I99" s="6" t="n"/>
    </row>
    <row r="100">
      <c r="A100" s="6" t="n"/>
      <c r="B100" s="6" t="n"/>
      <c r="C100" s="6" t="n"/>
      <c r="D100" s="6" t="n"/>
      <c r="E100" s="6" t="n"/>
      <c r="F100" s="6" t="n"/>
      <c r="G100" s="6" t="n"/>
      <c r="H100" s="6" t="n"/>
      <c r="I100" s="6" t="n"/>
    </row>
    <row r="101">
      <c r="A101" s="6" t="n"/>
      <c r="B101" s="6" t="n"/>
      <c r="C101" s="6" t="n"/>
      <c r="D101" s="6" t="n"/>
      <c r="E101" s="6" t="n"/>
      <c r="F101" s="6" t="n"/>
      <c r="G101" s="6" t="n"/>
      <c r="H101" s="6" t="n"/>
      <c r="I101" s="6" t="n"/>
    </row>
    <row r="102">
      <c r="A102" s="6" t="n"/>
      <c r="B102" s="6" t="n"/>
      <c r="C102" s="6" t="n"/>
      <c r="D102" s="6" t="n"/>
      <c r="E102" s="6" t="n"/>
      <c r="F102" s="6" t="n"/>
      <c r="G102" s="6" t="n"/>
      <c r="H102" s="6" t="n"/>
      <c r="I102" s="6" t="n"/>
    </row>
    <row r="103">
      <c r="A103" s="6" t="n"/>
      <c r="B103" s="6" t="n"/>
      <c r="C103" s="6" t="n"/>
      <c r="D103" s="6" t="n"/>
      <c r="E103" s="6" t="n"/>
      <c r="F103" s="6" t="n"/>
      <c r="G103" s="6" t="n"/>
      <c r="H103" s="6" t="n"/>
      <c r="I103" s="6" t="n"/>
    </row>
    <row r="104">
      <c r="A104" s="6" t="n"/>
      <c r="B104" s="6" t="n"/>
      <c r="C104" s="6" t="n"/>
      <c r="D104" s="6" t="n"/>
      <c r="E104" s="6" t="n"/>
      <c r="F104" s="6" t="n"/>
      <c r="G104" s="6" t="n"/>
      <c r="H104" s="6" t="n"/>
      <c r="I104" s="6" t="n"/>
    </row>
    <row r="105">
      <c r="A105" s="6" t="n"/>
      <c r="B105" s="6" t="n"/>
      <c r="C105" s="6" t="n"/>
      <c r="D105" s="6" t="n"/>
      <c r="E105" s="6" t="n"/>
      <c r="F105" s="6" t="n"/>
      <c r="G105" s="6" t="n"/>
      <c r="H105" s="6" t="n"/>
      <c r="I105" s="6" t="n"/>
    </row>
    <row r="106">
      <c r="A106" s="6" t="n"/>
      <c r="B106" s="6" t="n"/>
      <c r="C106" s="6" t="n"/>
      <c r="D106" s="6" t="n"/>
      <c r="E106" s="6" t="n"/>
      <c r="F106" s="6" t="n"/>
      <c r="G106" s="6" t="n"/>
      <c r="H106" s="6" t="n"/>
      <c r="I106" s="6" t="n"/>
    </row>
    <row r="107">
      <c r="A107" s="6" t="n"/>
      <c r="B107" s="6" t="n"/>
      <c r="C107" s="6" t="n"/>
      <c r="D107" s="6" t="n"/>
      <c r="E107" s="6" t="n"/>
      <c r="F107" s="6" t="n"/>
      <c r="G107" s="6" t="n"/>
      <c r="H107" s="6" t="n"/>
      <c r="I107" s="6" t="n"/>
    </row>
    <row r="108">
      <c r="A108" s="6" t="n"/>
      <c r="B108" s="6" t="n"/>
      <c r="C108" s="6" t="n"/>
      <c r="D108" s="6" t="n"/>
      <c r="E108" s="6" t="n"/>
      <c r="F108" s="6" t="n"/>
      <c r="G108" s="6" t="n"/>
      <c r="H108" s="6" t="n"/>
      <c r="I108" s="6" t="n"/>
    </row>
    <row r="109">
      <c r="A109" s="6" t="n"/>
      <c r="B109" s="6" t="n"/>
      <c r="C109" s="6" t="n"/>
      <c r="D109" s="6" t="n"/>
      <c r="E109" s="6" t="n"/>
      <c r="F109" s="6" t="n"/>
      <c r="G109" s="6" t="n"/>
      <c r="H109" s="6" t="n"/>
      <c r="I109" s="6" t="n"/>
    </row>
    <row r="110">
      <c r="A110" s="6" t="n"/>
      <c r="B110" s="6" t="n"/>
      <c r="C110" s="6" t="n"/>
      <c r="D110" s="6" t="n"/>
      <c r="E110" s="6" t="n"/>
      <c r="F110" s="6" t="n"/>
      <c r="G110" s="6" t="n"/>
      <c r="H110" s="6" t="n"/>
      <c r="I110" s="6" t="n"/>
    </row>
    <row r="111">
      <c r="A111" s="6" t="n"/>
      <c r="B111" s="6" t="n"/>
      <c r="C111" s="6" t="n"/>
      <c r="D111" s="6" t="n"/>
      <c r="E111" s="6" t="n"/>
      <c r="F111" s="6" t="n"/>
      <c r="G111" s="6" t="n"/>
      <c r="H111" s="6" t="n"/>
      <c r="I111" s="6" t="n"/>
    </row>
    <row r="112">
      <c r="A112" s="6" t="n"/>
      <c r="B112" s="6" t="n"/>
      <c r="C112" s="6" t="n"/>
      <c r="D112" s="6" t="n"/>
      <c r="E112" s="6" t="n"/>
      <c r="F112" s="6" t="n"/>
      <c r="G112" s="6" t="n"/>
      <c r="H112" s="6" t="n"/>
      <c r="I112" s="6" t="n"/>
    </row>
    <row r="113">
      <c r="A113" s="6" t="n"/>
      <c r="B113" s="6" t="n"/>
      <c r="C113" s="6" t="n"/>
      <c r="D113" s="6" t="n"/>
      <c r="E113" s="6" t="n"/>
      <c r="F113" s="6" t="n"/>
      <c r="G113" s="6" t="n"/>
      <c r="H113" s="6" t="n"/>
      <c r="I113" s="6" t="n"/>
    </row>
    <row r="114">
      <c r="A114" s="6" t="n"/>
      <c r="B114" s="6" t="n"/>
      <c r="C114" s="6" t="n"/>
      <c r="D114" s="6" t="n"/>
      <c r="E114" s="6" t="n"/>
      <c r="F114" s="6" t="n"/>
      <c r="G114" s="6" t="n"/>
      <c r="H114" s="6" t="n"/>
      <c r="I114" s="6" t="n"/>
    </row>
    <row r="115">
      <c r="A115" s="6" t="n"/>
      <c r="B115" s="6" t="n"/>
      <c r="C115" s="6" t="n"/>
      <c r="D115" s="6" t="n"/>
      <c r="E115" s="6" t="n"/>
      <c r="F115" s="6" t="n"/>
      <c r="G115" s="6" t="n"/>
      <c r="H115" s="6" t="n"/>
      <c r="I115" s="6" t="n"/>
    </row>
    <row r="116">
      <c r="A116" s="6" t="n"/>
      <c r="B116" s="6" t="n"/>
      <c r="C116" s="6" t="n"/>
      <c r="D116" s="6" t="n"/>
      <c r="E116" s="6" t="n"/>
      <c r="F116" s="6" t="n"/>
      <c r="G116" s="6" t="n"/>
      <c r="H116" s="6" t="n"/>
      <c r="I116" s="6" t="n"/>
    </row>
    <row r="117">
      <c r="A117" s="6" t="n"/>
      <c r="B117" s="6" t="n"/>
      <c r="C117" s="6" t="n"/>
      <c r="D117" s="6" t="n"/>
      <c r="E117" s="6" t="n"/>
      <c r="F117" s="6" t="n"/>
      <c r="G117" s="6" t="n"/>
      <c r="H117" s="6" t="n"/>
      <c r="I117" s="6" t="n"/>
    </row>
    <row r="118">
      <c r="A118" s="6" t="n"/>
      <c r="B118" s="6" t="n"/>
      <c r="C118" s="6" t="n"/>
      <c r="D118" s="6" t="n"/>
      <c r="E118" s="6" t="n"/>
      <c r="F118" s="6" t="n"/>
      <c r="G118" s="6" t="n"/>
      <c r="H118" s="6" t="n"/>
      <c r="I118" s="6" t="n"/>
    </row>
    <row r="119">
      <c r="A119" s="6" t="n"/>
      <c r="B119" s="6" t="n"/>
      <c r="C119" s="6" t="n"/>
      <c r="D119" s="6" t="n"/>
      <c r="E119" s="6" t="n"/>
      <c r="F119" s="6" t="n"/>
      <c r="G119" s="6" t="n"/>
      <c r="H119" s="6" t="n"/>
      <c r="I119" s="6" t="n"/>
    </row>
    <row r="120">
      <c r="A120" s="6" t="n"/>
      <c r="B120" s="6" t="n"/>
      <c r="C120" s="6" t="n"/>
      <c r="D120" s="6" t="n"/>
      <c r="E120" s="6" t="n"/>
      <c r="F120" s="6" t="n"/>
      <c r="G120" s="6" t="n"/>
      <c r="H120" s="6" t="n"/>
      <c r="I120" s="6" t="n"/>
    </row>
    <row r="121">
      <c r="A121" s="6" t="n"/>
      <c r="B121" s="6" t="n"/>
      <c r="C121" s="6" t="n"/>
      <c r="D121" s="6" t="n"/>
      <c r="E121" s="6" t="n"/>
      <c r="F121" s="6" t="n"/>
      <c r="G121" s="6" t="n"/>
      <c r="H121" s="6" t="n"/>
      <c r="I121" s="6" t="n"/>
    </row>
    <row r="122">
      <c r="A122" s="6" t="n"/>
      <c r="B122" s="6" t="n"/>
      <c r="C122" s="6" t="n"/>
      <c r="D122" s="6" t="n"/>
      <c r="E122" s="6" t="n"/>
      <c r="F122" s="6" t="n"/>
      <c r="G122" s="6" t="n"/>
      <c r="H122" s="6" t="n"/>
      <c r="I122" s="6" t="n"/>
    </row>
    <row r="123">
      <c r="A123" s="6" t="n"/>
      <c r="B123" s="6" t="n"/>
      <c r="C123" s="6" t="n"/>
      <c r="D123" s="6" t="n"/>
      <c r="E123" s="6" t="n"/>
      <c r="F123" s="6" t="n"/>
      <c r="G123" s="6" t="n"/>
      <c r="H123" s="6" t="n"/>
      <c r="I123" s="6" t="n"/>
    </row>
    <row r="124">
      <c r="A124" s="6" t="n"/>
      <c r="B124" s="6" t="n"/>
      <c r="C124" s="6" t="n"/>
      <c r="D124" s="6" t="n"/>
      <c r="E124" s="6" t="n"/>
      <c r="F124" s="6" t="n"/>
      <c r="G124" s="6" t="n"/>
      <c r="H124" s="6" t="n"/>
      <c r="I124" s="6" t="n"/>
    </row>
    <row r="125">
      <c r="A125" s="6" t="n"/>
      <c r="B125" s="6" t="n"/>
      <c r="C125" s="6" t="n"/>
      <c r="D125" s="6" t="n"/>
      <c r="E125" s="6" t="n"/>
      <c r="F125" s="6" t="n"/>
      <c r="G125" s="6" t="n"/>
      <c r="H125" s="6" t="n"/>
      <c r="I125" s="6" t="n"/>
    </row>
    <row r="126">
      <c r="A126" s="6" t="n"/>
      <c r="B126" s="6" t="n"/>
      <c r="C126" s="6" t="n"/>
      <c r="D126" s="6" t="n"/>
      <c r="E126" s="6" t="n"/>
      <c r="F126" s="6" t="n"/>
      <c r="G126" s="6" t="n"/>
      <c r="H126" s="6" t="n"/>
      <c r="I126" s="6" t="n"/>
    </row>
    <row r="127">
      <c r="A127" s="6" t="n"/>
      <c r="B127" s="6" t="n"/>
      <c r="C127" s="6" t="n"/>
      <c r="D127" s="6" t="n"/>
      <c r="E127" s="6" t="n"/>
      <c r="F127" s="6" t="n"/>
      <c r="G127" s="6" t="n"/>
      <c r="H127" s="6" t="n"/>
      <c r="I127" s="6" t="n"/>
    </row>
    <row r="128">
      <c r="A128" s="6" t="n"/>
      <c r="B128" s="6" t="n"/>
      <c r="C128" s="6" t="n"/>
      <c r="D128" s="6" t="n"/>
      <c r="E128" s="6" t="n"/>
      <c r="F128" s="6" t="n"/>
      <c r="G128" s="6" t="n"/>
      <c r="H128" s="6" t="n"/>
      <c r="I128" s="6" t="n"/>
    </row>
    <row r="129">
      <c r="A129" s="6" t="n"/>
      <c r="B129" s="6" t="n"/>
      <c r="C129" s="6" t="n"/>
      <c r="D129" s="6" t="n"/>
      <c r="E129" s="6" t="n"/>
      <c r="F129" s="6" t="n"/>
      <c r="G129" s="6" t="n"/>
      <c r="H129" s="6" t="n"/>
      <c r="I129" s="6" t="n"/>
    </row>
    <row r="130">
      <c r="A130" s="6" t="n"/>
      <c r="B130" s="6" t="n"/>
      <c r="C130" s="6" t="n"/>
      <c r="D130" s="6" t="n"/>
      <c r="E130" s="6" t="n"/>
      <c r="F130" s="6" t="n"/>
      <c r="G130" s="6" t="n"/>
      <c r="H130" s="6" t="n"/>
      <c r="I130" s="6" t="n"/>
    </row>
    <row r="131">
      <c r="A131" s="6" t="n"/>
      <c r="B131" s="6" t="n"/>
      <c r="C131" s="6" t="n"/>
      <c r="D131" s="6" t="n"/>
      <c r="E131" s="6" t="n"/>
      <c r="F131" s="6" t="n"/>
      <c r="G131" s="6" t="n"/>
      <c r="H131" s="6" t="n"/>
      <c r="I131" s="6" t="n"/>
    </row>
    <row r="132">
      <c r="A132" s="6" t="n"/>
      <c r="B132" s="6" t="n"/>
      <c r="C132" s="6" t="n"/>
      <c r="D132" s="6" t="n"/>
      <c r="E132" s="6" t="n"/>
      <c r="F132" s="6" t="n"/>
      <c r="G132" s="6" t="n"/>
      <c r="H132" s="6" t="n"/>
      <c r="I132" s="6" t="n"/>
    </row>
    <row r="133">
      <c r="A133" s="6" t="n"/>
      <c r="B133" s="6" t="n"/>
      <c r="C133" s="6" t="n"/>
      <c r="D133" s="6" t="n"/>
      <c r="E133" s="6" t="n"/>
      <c r="F133" s="6" t="n"/>
      <c r="G133" s="6" t="n"/>
      <c r="H133" s="6" t="n"/>
      <c r="I133" s="6" t="n"/>
    </row>
    <row r="134">
      <c r="A134" s="6" t="n"/>
      <c r="B134" s="6" t="n"/>
      <c r="C134" s="6" t="n"/>
      <c r="D134" s="6" t="n"/>
      <c r="E134" s="6" t="n"/>
      <c r="F134" s="6" t="n"/>
      <c r="G134" s="6" t="n"/>
      <c r="H134" s="6" t="n"/>
      <c r="I134" s="6" t="n"/>
    </row>
    <row r="135">
      <c r="A135" s="6" t="n"/>
      <c r="B135" s="6" t="n"/>
      <c r="C135" s="6" t="n"/>
      <c r="D135" s="6" t="n"/>
      <c r="E135" s="6" t="n"/>
      <c r="F135" s="6" t="n"/>
      <c r="G135" s="6" t="n"/>
      <c r="H135" s="6" t="n"/>
      <c r="I135" s="6" t="n"/>
    </row>
    <row r="136">
      <c r="A136" s="6" t="n"/>
      <c r="B136" s="6" t="n"/>
      <c r="C136" s="6" t="n"/>
      <c r="D136" s="6" t="n"/>
      <c r="E136" s="6" t="n"/>
      <c r="F136" s="6" t="n"/>
      <c r="G136" s="6" t="n"/>
      <c r="H136" s="6" t="n"/>
      <c r="I136" s="6" t="n"/>
    </row>
    <row r="137">
      <c r="A137" s="6" t="n"/>
      <c r="B137" s="6" t="n"/>
      <c r="C137" s="6" t="n"/>
      <c r="D137" s="6" t="n"/>
      <c r="E137" s="6" t="n"/>
      <c r="F137" s="6" t="n"/>
      <c r="G137" s="6" t="n"/>
      <c r="H137" s="6" t="n"/>
      <c r="I137" s="6" t="n"/>
    </row>
    <row r="138">
      <c r="A138" s="6" t="n"/>
      <c r="B138" s="6" t="n"/>
      <c r="C138" s="6" t="n"/>
      <c r="D138" s="6" t="n"/>
      <c r="E138" s="6" t="n"/>
      <c r="F138" s="6" t="n"/>
      <c r="G138" s="6" t="n"/>
      <c r="H138" s="6" t="n"/>
      <c r="I138" s="6" t="n"/>
    </row>
    <row r="139">
      <c r="A139" s="6" t="n"/>
      <c r="B139" s="6" t="n"/>
      <c r="C139" s="6" t="n"/>
      <c r="D139" s="6" t="n"/>
      <c r="E139" s="6" t="n"/>
      <c r="F139" s="6" t="n"/>
      <c r="G139" s="6" t="n"/>
      <c r="H139" s="6" t="n"/>
      <c r="I139" s="6" t="n"/>
    </row>
    <row r="140">
      <c r="A140" s="6" t="n"/>
      <c r="B140" s="6" t="n"/>
      <c r="C140" s="6" t="n"/>
      <c r="D140" s="6" t="n"/>
      <c r="E140" s="6" t="n"/>
      <c r="F140" s="6" t="n"/>
      <c r="G140" s="6" t="n"/>
      <c r="H140" s="6" t="n"/>
      <c r="I140" s="6" t="n"/>
    </row>
    <row r="141">
      <c r="A141" s="6" t="n"/>
      <c r="B141" s="6" t="n"/>
      <c r="C141" s="6" t="n"/>
      <c r="D141" s="6" t="n"/>
      <c r="E141" s="6" t="n"/>
      <c r="F141" s="6" t="n"/>
      <c r="G141" s="6" t="n"/>
      <c r="H141" s="6" t="n"/>
      <c r="I141" s="6" t="n"/>
    </row>
    <row r="142">
      <c r="A142" s="6" t="n"/>
      <c r="B142" s="6" t="n"/>
      <c r="C142" s="6" t="n"/>
      <c r="D142" s="6" t="n"/>
      <c r="E142" s="6" t="n"/>
      <c r="F142" s="6" t="n"/>
      <c r="G142" s="6" t="n"/>
      <c r="H142" s="6" t="n"/>
      <c r="I142" s="6" t="n"/>
    </row>
    <row r="143">
      <c r="A143" s="6" t="n"/>
      <c r="B143" s="6" t="n"/>
      <c r="C143" s="6" t="n"/>
      <c r="D143" s="6" t="n"/>
      <c r="E143" s="6" t="n"/>
      <c r="F143" s="6" t="n"/>
      <c r="G143" s="6" t="n"/>
      <c r="H143" s="6" t="n"/>
      <c r="I143" s="6" t="n"/>
    </row>
    <row r="144">
      <c r="A144" s="6" t="n"/>
      <c r="B144" s="6" t="n"/>
      <c r="C144" s="6" t="n"/>
      <c r="D144" s="6" t="n"/>
      <c r="E144" s="6" t="n"/>
      <c r="F144" s="6" t="n"/>
      <c r="G144" s="6" t="n"/>
      <c r="H144" s="6" t="n"/>
      <c r="I144" s="6" t="n"/>
    </row>
    <row r="145">
      <c r="A145" s="6" t="n"/>
      <c r="B145" s="6" t="n"/>
      <c r="C145" s="6" t="n"/>
      <c r="D145" s="6" t="n"/>
      <c r="E145" s="6" t="n"/>
      <c r="F145" s="6" t="n"/>
      <c r="G145" s="6" t="n"/>
      <c r="H145" s="6" t="n"/>
      <c r="I145" s="6" t="n"/>
    </row>
    <row r="146">
      <c r="A146" s="6" t="n"/>
      <c r="B146" s="6" t="n"/>
      <c r="C146" s="6" t="n"/>
      <c r="D146" s="6" t="n"/>
      <c r="E146" s="6" t="n"/>
      <c r="F146" s="6" t="n"/>
      <c r="G146" s="6" t="n"/>
      <c r="H146" s="6" t="n"/>
      <c r="I146" s="6" t="n"/>
    </row>
    <row r="147">
      <c r="A147" s="6" t="n"/>
      <c r="B147" s="6" t="n"/>
      <c r="C147" s="6" t="n"/>
      <c r="D147" s="6" t="n"/>
      <c r="E147" s="6" t="n"/>
      <c r="F147" s="6" t="n"/>
      <c r="G147" s="6" t="n"/>
      <c r="H147" s="6" t="n"/>
      <c r="I147" s="6" t="n"/>
    </row>
    <row r="148">
      <c r="A148" s="6" t="n"/>
      <c r="B148" s="6" t="n"/>
      <c r="C148" s="6" t="n"/>
      <c r="D148" s="6" t="n"/>
      <c r="E148" s="6" t="n"/>
      <c r="F148" s="6" t="n"/>
      <c r="G148" s="6" t="n"/>
      <c r="H148" s="6" t="n"/>
      <c r="I148" s="6" t="n"/>
    </row>
    <row r="149">
      <c r="A149" s="6" t="n"/>
      <c r="B149" s="6" t="n"/>
      <c r="C149" s="6" t="n"/>
      <c r="D149" s="6" t="n"/>
      <c r="E149" s="6" t="n"/>
      <c r="F149" s="6" t="n"/>
      <c r="G149" s="6" t="n"/>
      <c r="H149" s="6" t="n"/>
      <c r="I149" s="6" t="n"/>
    </row>
    <row r="150">
      <c r="A150" s="6" t="n"/>
      <c r="B150" s="6" t="n"/>
      <c r="C150" s="6" t="n"/>
      <c r="D150" s="6" t="n"/>
      <c r="E150" s="6" t="n"/>
      <c r="F150" s="6" t="n"/>
      <c r="G150" s="6" t="n"/>
      <c r="H150" s="6" t="n"/>
      <c r="I150" s="6" t="n"/>
    </row>
    <row r="151">
      <c r="A151" s="6" t="n"/>
      <c r="B151" s="6" t="n"/>
      <c r="C151" s="6" t="n"/>
      <c r="D151" s="6" t="n"/>
      <c r="E151" s="6" t="n"/>
      <c r="F151" s="6" t="n"/>
      <c r="G151" s="6" t="n"/>
      <c r="H151" s="6" t="n"/>
      <c r="I151" s="6" t="n"/>
    </row>
    <row r="152">
      <c r="A152" s="6" t="n"/>
      <c r="B152" s="6" t="n"/>
      <c r="C152" s="6" t="n"/>
      <c r="D152" s="6" t="n"/>
      <c r="E152" s="6" t="n"/>
      <c r="F152" s="6" t="n"/>
      <c r="G152" s="6" t="n"/>
      <c r="H152" s="6" t="n"/>
      <c r="I152" s="6" t="n"/>
    </row>
    <row r="153">
      <c r="A153" s="6" t="n"/>
      <c r="B153" s="6" t="n"/>
      <c r="C153" s="6" t="n"/>
      <c r="D153" s="6" t="n"/>
      <c r="E153" s="6" t="n"/>
      <c r="F153" s="6" t="n"/>
      <c r="G153" s="6" t="n"/>
      <c r="H153" s="6" t="n"/>
      <c r="I153" s="6" t="n"/>
    </row>
    <row r="154">
      <c r="A154" s="6" t="n"/>
      <c r="B154" s="6" t="n"/>
      <c r="C154" s="6" t="n"/>
      <c r="D154" s="6" t="n"/>
      <c r="E154" s="6" t="n"/>
      <c r="F154" s="6" t="n"/>
      <c r="G154" s="6" t="n"/>
      <c r="H154" s="6" t="n"/>
      <c r="I154" s="6" t="n"/>
    </row>
    <row r="155">
      <c r="A155" s="6" t="n"/>
      <c r="B155" s="6" t="n"/>
      <c r="C155" s="6" t="n"/>
      <c r="D155" s="6" t="n"/>
      <c r="E155" s="6" t="n"/>
      <c r="F155" s="6" t="n"/>
      <c r="G155" s="6" t="n"/>
      <c r="H155" s="6" t="n"/>
      <c r="I155" s="6" t="n"/>
    </row>
    <row r="156">
      <c r="A156" s="6" t="n"/>
      <c r="B156" s="6" t="n"/>
      <c r="C156" s="6" t="n"/>
      <c r="D156" s="6" t="n"/>
      <c r="E156" s="6" t="n"/>
      <c r="F156" s="6" t="n"/>
      <c r="G156" s="6" t="n"/>
      <c r="H156" s="6" t="n"/>
      <c r="I156" s="6" t="n"/>
    </row>
    <row r="157">
      <c r="A157" s="6" t="n"/>
      <c r="B157" s="6" t="n"/>
      <c r="C157" s="6" t="n"/>
      <c r="D157" s="6" t="n"/>
      <c r="E157" s="6" t="n"/>
      <c r="F157" s="6" t="n"/>
      <c r="G157" s="6" t="n"/>
      <c r="H157" s="6" t="n"/>
      <c r="I157" s="6" t="n"/>
    </row>
    <row r="158">
      <c r="A158" s="6" t="n"/>
      <c r="B158" s="6" t="n"/>
      <c r="C158" s="6" t="n"/>
      <c r="D158" s="6" t="n"/>
      <c r="E158" s="6" t="n"/>
      <c r="F158" s="6" t="n"/>
      <c r="G158" s="6" t="n"/>
      <c r="H158" s="6" t="n"/>
      <c r="I158" s="6" t="n"/>
    </row>
    <row r="159">
      <c r="A159" s="6" t="n"/>
      <c r="B159" s="6" t="n"/>
      <c r="C159" s="6" t="n"/>
      <c r="D159" s="6" t="n"/>
      <c r="E159" s="6" t="n"/>
      <c r="F159" s="6" t="n"/>
      <c r="G159" s="6" t="n"/>
      <c r="H159" s="6" t="n"/>
      <c r="I159" s="6" t="n"/>
    </row>
    <row r="160">
      <c r="A160" s="6" t="n"/>
      <c r="B160" s="6" t="n"/>
      <c r="C160" s="6" t="n"/>
      <c r="D160" s="6" t="n"/>
      <c r="E160" s="6" t="n"/>
      <c r="F160" s="6" t="n"/>
      <c r="G160" s="6" t="n"/>
      <c r="H160" s="6" t="n"/>
      <c r="I160" s="6" t="n"/>
    </row>
    <row r="161">
      <c r="A161" s="6" t="n"/>
      <c r="B161" s="6" t="n"/>
      <c r="C161" s="6" t="n"/>
      <c r="D161" s="6" t="n"/>
      <c r="E161" s="6" t="n"/>
      <c r="F161" s="6" t="n"/>
      <c r="G161" s="6" t="n"/>
      <c r="H161" s="6" t="n"/>
      <c r="I161" s="6" t="n"/>
    </row>
    <row r="162">
      <c r="A162" s="6" t="n"/>
      <c r="B162" s="6" t="n"/>
      <c r="C162" s="6" t="n"/>
      <c r="D162" s="6" t="n"/>
      <c r="E162" s="6" t="n"/>
      <c r="F162" s="6" t="n"/>
      <c r="G162" s="6" t="n"/>
      <c r="H162" s="6" t="n"/>
      <c r="I162" s="6" t="n"/>
    </row>
    <row r="163">
      <c r="A163" s="6" t="n"/>
      <c r="B163" s="6" t="n"/>
      <c r="C163" s="6" t="n"/>
      <c r="D163" s="6" t="n"/>
      <c r="E163" s="6" t="n"/>
      <c r="F163" s="6" t="n"/>
      <c r="G163" s="6" t="n"/>
      <c r="H163" s="6" t="n"/>
      <c r="I163" s="6" t="n"/>
    </row>
    <row r="164">
      <c r="A164" s="6" t="n"/>
      <c r="B164" s="6" t="n"/>
      <c r="C164" s="6" t="n"/>
      <c r="D164" s="6" t="n"/>
      <c r="E164" s="6" t="n"/>
      <c r="F164" s="6" t="n"/>
      <c r="G164" s="6" t="n"/>
      <c r="H164" s="6" t="n"/>
      <c r="I164" s="6" t="n"/>
    </row>
    <row r="165">
      <c r="A165" s="6" t="n"/>
      <c r="B165" s="6" t="n"/>
      <c r="C165" s="6" t="n"/>
      <c r="D165" s="6" t="n"/>
      <c r="E165" s="6" t="n"/>
      <c r="F165" s="6" t="n"/>
      <c r="G165" s="6" t="n"/>
      <c r="H165" s="6" t="n"/>
      <c r="I165" s="6" t="n"/>
    </row>
    <row r="166">
      <c r="A166" s="6" t="n"/>
      <c r="B166" s="6" t="n"/>
      <c r="C166" s="6" t="n"/>
      <c r="D166" s="6" t="n"/>
      <c r="E166" s="6" t="n"/>
      <c r="F166" s="6" t="n"/>
      <c r="G166" s="6" t="n"/>
      <c r="H166" s="6" t="n"/>
      <c r="I166" s="6" t="n"/>
    </row>
    <row r="167">
      <c r="A167" s="6" t="n"/>
      <c r="B167" s="6" t="n"/>
      <c r="C167" s="6" t="n"/>
      <c r="D167" s="6" t="n"/>
      <c r="E167" s="6" t="n"/>
      <c r="F167" s="6" t="n"/>
      <c r="G167" s="6" t="n"/>
      <c r="H167" s="6" t="n"/>
      <c r="I167" s="6" t="n"/>
    </row>
    <row r="168">
      <c r="A168" s="6" t="n"/>
      <c r="B168" s="6" t="n"/>
      <c r="C168" s="6" t="n"/>
      <c r="D168" s="6" t="n"/>
      <c r="E168" s="6" t="n"/>
      <c r="F168" s="6" t="n"/>
      <c r="G168" s="6" t="n"/>
      <c r="H168" s="6" t="n"/>
      <c r="I168" s="6" t="n"/>
    </row>
    <row r="169">
      <c r="A169" s="6" t="n"/>
      <c r="B169" s="6" t="n"/>
      <c r="C169" s="6" t="n"/>
      <c r="D169" s="6" t="n"/>
      <c r="E169" s="6" t="n"/>
      <c r="F169" s="6" t="n"/>
      <c r="G169" s="6" t="n"/>
      <c r="H169" s="6" t="n"/>
      <c r="I169" s="6" t="n"/>
    </row>
    <row r="170">
      <c r="A170" s="6" t="n"/>
      <c r="B170" s="6" t="n"/>
      <c r="C170" s="6" t="n"/>
      <c r="D170" s="6" t="n"/>
      <c r="E170" s="6" t="n"/>
      <c r="F170" s="6" t="n"/>
      <c r="G170" s="6" t="n"/>
      <c r="H170" s="6" t="n"/>
      <c r="I170" s="6" t="n"/>
    </row>
    <row r="171">
      <c r="A171" s="6" t="n"/>
      <c r="B171" s="6" t="n"/>
      <c r="C171" s="6" t="n"/>
      <c r="D171" s="6" t="n"/>
      <c r="E171" s="6" t="n"/>
      <c r="F171" s="6" t="n"/>
      <c r="G171" s="6" t="n"/>
      <c r="H171" s="6" t="n"/>
      <c r="I171" s="6" t="n"/>
    </row>
    <row r="172">
      <c r="A172" s="6" t="n"/>
      <c r="B172" s="6" t="n"/>
      <c r="C172" s="6" t="n"/>
      <c r="D172" s="6" t="n"/>
      <c r="E172" s="6" t="n"/>
      <c r="F172" s="6" t="n"/>
      <c r="G172" s="6" t="n"/>
      <c r="H172" s="6" t="n"/>
      <c r="I172" s="6" t="n"/>
    </row>
    <row r="173">
      <c r="A173" s="6" t="n"/>
      <c r="B173" s="6" t="n"/>
      <c r="C173" s="6" t="n"/>
      <c r="D173" s="6" t="n"/>
      <c r="E173" s="6" t="n"/>
      <c r="F173" s="6" t="n"/>
      <c r="G173" s="6" t="n"/>
      <c r="H173" s="6" t="n"/>
      <c r="I173" s="6" t="n"/>
    </row>
    <row r="174">
      <c r="A174" s="6" t="n"/>
      <c r="B174" s="6" t="n"/>
      <c r="C174" s="6" t="n"/>
      <c r="D174" s="6" t="n"/>
      <c r="E174" s="6" t="n"/>
      <c r="F174" s="6" t="n"/>
      <c r="G174" s="6" t="n"/>
      <c r="H174" s="6" t="n"/>
      <c r="I174" s="6" t="n"/>
    </row>
    <row r="175">
      <c r="A175" s="6" t="n"/>
      <c r="B175" s="6" t="n"/>
      <c r="C175" s="6" t="n"/>
      <c r="D175" s="6" t="n"/>
      <c r="E175" s="6" t="n"/>
      <c r="F175" s="6" t="n"/>
      <c r="G175" s="6" t="n"/>
      <c r="H175" s="6" t="n"/>
      <c r="I175" s="6" t="n"/>
    </row>
    <row r="176">
      <c r="A176" s="6" t="n"/>
      <c r="B176" s="6" t="n"/>
      <c r="C176" s="6" t="n"/>
      <c r="D176" s="6" t="n"/>
      <c r="E176" s="6" t="n"/>
      <c r="F176" s="6" t="n"/>
      <c r="G176" s="6" t="n"/>
      <c r="H176" s="6" t="n"/>
      <c r="I176" s="6" t="n"/>
    </row>
    <row r="177">
      <c r="A177" s="6" t="n"/>
      <c r="B177" s="6" t="n"/>
      <c r="C177" s="6" t="n"/>
      <c r="D177" s="6" t="n"/>
      <c r="E177" s="6" t="n"/>
      <c r="F177" s="6" t="n"/>
      <c r="G177" s="6" t="n"/>
      <c r="H177" s="6" t="n"/>
      <c r="I177" s="6" t="n"/>
    </row>
    <row r="178">
      <c r="A178" s="6" t="n"/>
      <c r="B178" s="6" t="n"/>
      <c r="C178" s="6" t="n"/>
      <c r="D178" s="6" t="n"/>
      <c r="E178" s="6" t="n"/>
      <c r="F178" s="6" t="n"/>
      <c r="G178" s="6" t="n"/>
      <c r="H178" s="6" t="n"/>
      <c r="I178" s="6" t="n"/>
    </row>
    <row r="179">
      <c r="A179" s="6" t="n"/>
      <c r="B179" s="6" t="n"/>
      <c r="C179" s="6" t="n"/>
      <c r="D179" s="6" t="n"/>
      <c r="E179" s="6" t="n"/>
      <c r="F179" s="6" t="n"/>
      <c r="G179" s="6" t="n"/>
      <c r="H179" s="6" t="n"/>
      <c r="I179" s="6" t="n"/>
    </row>
    <row r="180">
      <c r="A180" s="6" t="n"/>
      <c r="B180" s="6" t="n"/>
      <c r="C180" s="6" t="n"/>
      <c r="D180" s="6" t="n"/>
      <c r="E180" s="6" t="n"/>
      <c r="F180" s="6" t="n"/>
      <c r="G180" s="6" t="n"/>
      <c r="H180" s="6" t="n"/>
      <c r="I180" s="6" t="n"/>
    </row>
    <row r="181">
      <c r="A181" s="6" t="n"/>
      <c r="B181" s="6" t="n"/>
      <c r="C181" s="6" t="n"/>
      <c r="D181" s="6" t="n"/>
      <c r="E181" s="6" t="n"/>
      <c r="F181" s="6" t="n"/>
      <c r="G181" s="6" t="n"/>
      <c r="H181" s="6" t="n"/>
      <c r="I181" s="6" t="n"/>
    </row>
    <row r="182">
      <c r="A182" s="6" t="n"/>
      <c r="B182" s="6" t="n"/>
      <c r="C182" s="6" t="n"/>
      <c r="D182" s="6" t="n"/>
      <c r="E182" s="6" t="n"/>
      <c r="F182" s="6" t="n"/>
      <c r="G182" s="6" t="n"/>
      <c r="H182" s="6" t="n"/>
      <c r="I182" s="6" t="n"/>
    </row>
    <row r="183">
      <c r="A183" s="6" t="n"/>
      <c r="B183" s="6" t="n"/>
      <c r="C183" s="6" t="n"/>
      <c r="D183" s="6" t="n"/>
      <c r="E183" s="6" t="n"/>
      <c r="F183" s="6" t="n"/>
      <c r="G183" s="6" t="n"/>
      <c r="H183" s="6" t="n"/>
      <c r="I183" s="6" t="n"/>
    </row>
    <row r="184">
      <c r="A184" s="6" t="n"/>
      <c r="B184" s="6" t="n"/>
      <c r="C184" s="6" t="n"/>
      <c r="D184" s="6" t="n"/>
      <c r="E184" s="6" t="n"/>
      <c r="F184" s="6" t="n"/>
      <c r="G184" s="6" t="n"/>
      <c r="H184" s="6" t="n"/>
      <c r="I184" s="6" t="n"/>
    </row>
    <row r="185">
      <c r="A185" s="6" t="n"/>
      <c r="B185" s="6" t="n"/>
      <c r="C185" s="6" t="n"/>
      <c r="D185" s="6" t="n"/>
      <c r="E185" s="6" t="n"/>
      <c r="F185" s="6" t="n"/>
      <c r="G185" s="6" t="n"/>
      <c r="H185" s="6" t="n"/>
      <c r="I185" s="6" t="n"/>
    </row>
    <row r="186">
      <c r="A186" s="6" t="n"/>
      <c r="B186" s="6" t="n"/>
      <c r="C186" s="6" t="n"/>
      <c r="D186" s="6" t="n"/>
      <c r="E186" s="6" t="n"/>
      <c r="F186" s="6" t="n"/>
      <c r="G186" s="6" t="n"/>
      <c r="H186" s="6" t="n"/>
      <c r="I186" s="6" t="n"/>
    </row>
    <row r="187">
      <c r="A187" s="6" t="n"/>
      <c r="B187" s="6" t="n"/>
      <c r="C187" s="6" t="n"/>
      <c r="D187" s="6" t="n"/>
      <c r="E187" s="6" t="n"/>
      <c r="F187" s="6" t="n"/>
      <c r="G187" s="6" t="n"/>
      <c r="H187" s="6" t="n"/>
      <c r="I187" s="6" t="n"/>
    </row>
    <row r="188">
      <c r="A188" s="6" t="n"/>
      <c r="B188" s="6" t="n"/>
      <c r="C188" s="6" t="n"/>
      <c r="D188" s="6" t="n"/>
      <c r="E188" s="6" t="n"/>
      <c r="F188" s="6" t="n"/>
      <c r="G188" s="6" t="n"/>
      <c r="H188" s="6" t="n"/>
      <c r="I188" s="6" t="n"/>
    </row>
    <row r="189">
      <c r="A189" s="6" t="n"/>
      <c r="B189" s="6" t="n"/>
      <c r="C189" s="6" t="n"/>
      <c r="D189" s="6" t="n"/>
      <c r="E189" s="6" t="n"/>
      <c r="F189" s="6" t="n"/>
      <c r="G189" s="6" t="n"/>
      <c r="H189" s="6" t="n"/>
      <c r="I189" s="6" t="n"/>
    </row>
    <row r="190">
      <c r="A190" s="6" t="n"/>
      <c r="B190" s="6" t="n"/>
      <c r="C190" s="6" t="n"/>
      <c r="D190" s="6" t="n"/>
      <c r="E190" s="6" t="n"/>
      <c r="F190" s="6" t="n"/>
      <c r="G190" s="6" t="n"/>
      <c r="H190" s="6" t="n"/>
      <c r="I190" s="6" t="n"/>
    </row>
    <row r="191">
      <c r="A191" s="6" t="n"/>
      <c r="B191" s="6" t="n"/>
      <c r="C191" s="6" t="n"/>
      <c r="D191" s="6" t="n"/>
      <c r="E191" s="6" t="n"/>
      <c r="F191" s="6" t="n"/>
      <c r="G191" s="6" t="n"/>
      <c r="H191" s="6" t="n"/>
      <c r="I191" s="6" t="n"/>
    </row>
    <row r="192">
      <c r="A192" s="6" t="n"/>
      <c r="B192" s="6" t="n"/>
      <c r="C192" s="6" t="n"/>
      <c r="D192" s="6" t="n"/>
      <c r="E192" s="6" t="n"/>
      <c r="F192" s="6" t="n"/>
      <c r="G192" s="6" t="n"/>
      <c r="H192" s="6" t="n"/>
      <c r="I192" s="6" t="n"/>
    </row>
    <row r="193">
      <c r="A193" s="6" t="n"/>
      <c r="B193" s="6" t="n"/>
      <c r="C193" s="6" t="n"/>
      <c r="D193" s="6" t="n"/>
      <c r="E193" s="6" t="n"/>
      <c r="F193" s="6" t="n"/>
      <c r="G193" s="6" t="n"/>
      <c r="H193" s="6" t="n"/>
      <c r="I193" s="6" t="n"/>
    </row>
    <row r="194">
      <c r="A194" s="6" t="n"/>
      <c r="B194" s="6" t="n"/>
      <c r="C194" s="6" t="n"/>
      <c r="D194" s="6" t="n"/>
      <c r="E194" s="6" t="n"/>
      <c r="F194" s="6" t="n"/>
      <c r="G194" s="6" t="n"/>
      <c r="H194" s="6" t="n"/>
      <c r="I194" s="6" t="n"/>
    </row>
    <row r="195">
      <c r="A195" s="6" t="n"/>
      <c r="B195" s="6" t="n"/>
      <c r="C195" s="6" t="n"/>
      <c r="D195" s="6" t="n"/>
      <c r="E195" s="6" t="n"/>
      <c r="F195" s="6" t="n"/>
      <c r="G195" s="6" t="n"/>
      <c r="H195" s="6" t="n"/>
      <c r="I195" s="6" t="n"/>
    </row>
    <row r="196">
      <c r="A196" s="6" t="n"/>
      <c r="B196" s="6" t="n"/>
      <c r="C196" s="6" t="n"/>
      <c r="D196" s="6" t="n"/>
      <c r="E196" s="6" t="n"/>
      <c r="F196" s="6" t="n"/>
      <c r="G196" s="6" t="n"/>
      <c r="H196" s="6" t="n"/>
      <c r="I196" s="6" t="n"/>
    </row>
    <row r="197">
      <c r="A197" s="6" t="n"/>
      <c r="B197" s="6" t="n"/>
      <c r="C197" s="6" t="n"/>
      <c r="D197" s="6" t="n"/>
      <c r="E197" s="6" t="n"/>
      <c r="F197" s="6" t="n"/>
      <c r="G197" s="6" t="n"/>
      <c r="H197" s="6" t="n"/>
      <c r="I197" s="6" t="n"/>
    </row>
    <row r="198">
      <c r="A198" s="6" t="n"/>
      <c r="B198" s="6" t="n"/>
      <c r="C198" s="6" t="n"/>
      <c r="D198" s="6" t="n"/>
      <c r="E198" s="6" t="n"/>
      <c r="F198" s="6" t="n"/>
      <c r="G198" s="6" t="n"/>
      <c r="H198" s="6" t="n"/>
      <c r="I198" s="6" t="n"/>
    </row>
    <row r="199">
      <c r="A199" s="6" t="n"/>
      <c r="B199" s="6" t="n"/>
      <c r="C199" s="6" t="n"/>
      <c r="D199" s="6" t="n"/>
      <c r="E199" s="6" t="n"/>
      <c r="F199" s="6" t="n"/>
      <c r="G199" s="6" t="n"/>
      <c r="H199" s="6" t="n"/>
      <c r="I199" s="6" t="n"/>
    </row>
    <row r="200">
      <c r="A200" s="6" t="n"/>
      <c r="B200" s="6" t="n"/>
      <c r="C200" s="6" t="n"/>
      <c r="D200" s="6" t="n"/>
      <c r="E200" s="6" t="n"/>
      <c r="F200" s="6" t="n"/>
      <c r="G200" s="6" t="n"/>
      <c r="H200" s="6" t="n"/>
      <c r="I200" s="6" t="n"/>
    </row>
    <row r="201">
      <c r="A201" s="6" t="n"/>
      <c r="B201" s="6" t="n"/>
      <c r="C201" s="6" t="n"/>
      <c r="D201" s="6" t="n"/>
      <c r="E201" s="6" t="n"/>
      <c r="F201" s="6" t="n"/>
      <c r="G201" s="6" t="n"/>
      <c r="H201" s="6" t="n"/>
      <c r="I201" s="6" t="n"/>
    </row>
    <row r="202">
      <c r="A202" s="6" t="n"/>
      <c r="B202" s="6" t="n"/>
      <c r="C202" s="6" t="n"/>
      <c r="D202" s="6" t="n"/>
      <c r="E202" s="6" t="n"/>
      <c r="F202" s="6" t="n"/>
      <c r="G202" s="6" t="n"/>
      <c r="H202" s="6" t="n"/>
      <c r="I202" s="6" t="n"/>
    </row>
    <row r="203">
      <c r="A203" s="6" t="n"/>
      <c r="B203" s="6" t="n"/>
      <c r="C203" s="6" t="n"/>
      <c r="D203" s="6" t="n"/>
      <c r="E203" s="6" t="n"/>
      <c r="F203" s="6" t="n"/>
      <c r="G203" s="6" t="n"/>
      <c r="H203" s="6" t="n"/>
      <c r="I203" s="6" t="n"/>
    </row>
    <row r="204">
      <c r="A204" s="6" t="n"/>
      <c r="B204" s="6" t="n"/>
      <c r="C204" s="6" t="n"/>
      <c r="D204" s="6" t="n"/>
      <c r="E204" s="6" t="n"/>
      <c r="F204" s="6" t="n"/>
      <c r="G204" s="6" t="n"/>
      <c r="H204" s="6" t="n"/>
      <c r="I204" s="6" t="n"/>
    </row>
    <row r="205">
      <c r="A205" s="6" t="n"/>
      <c r="B205" s="6" t="n"/>
      <c r="C205" s="6" t="n"/>
      <c r="D205" s="6" t="n"/>
      <c r="E205" s="6" t="n"/>
      <c r="F205" s="6" t="n"/>
      <c r="G205" s="6" t="n"/>
      <c r="H205" s="6" t="n"/>
      <c r="I205" s="6" t="n"/>
    </row>
    <row r="206">
      <c r="A206" s="6" t="n"/>
      <c r="B206" s="6" t="n"/>
      <c r="C206" s="6" t="n"/>
      <c r="D206" s="6" t="n"/>
      <c r="E206" s="6" t="n"/>
      <c r="F206" s="6" t="n"/>
      <c r="G206" s="6" t="n"/>
      <c r="H206" s="6" t="n"/>
      <c r="I206" s="6" t="n"/>
    </row>
    <row r="207">
      <c r="A207" s="6" t="n"/>
      <c r="B207" s="6" t="n"/>
      <c r="C207" s="6" t="n"/>
      <c r="D207" s="6" t="n"/>
      <c r="E207" s="6" t="n"/>
      <c r="F207" s="6" t="n"/>
      <c r="G207" s="6" t="n"/>
      <c r="H207" s="6" t="n"/>
      <c r="I207" s="6" t="n"/>
    </row>
    <row r="208">
      <c r="A208" s="6" t="n"/>
      <c r="B208" s="6" t="n"/>
      <c r="C208" s="6" t="n"/>
      <c r="D208" s="6" t="n"/>
      <c r="E208" s="6" t="n"/>
      <c r="F208" s="6" t="n"/>
      <c r="G208" s="6" t="n"/>
      <c r="H208" s="6" t="n"/>
      <c r="I208" s="6" t="n"/>
    </row>
    <row r="209">
      <c r="A209" s="6" t="n"/>
      <c r="B209" s="6" t="n"/>
      <c r="C209" s="6" t="n"/>
      <c r="D209" s="6" t="n"/>
      <c r="E209" s="6" t="n"/>
      <c r="F209" s="6" t="n"/>
      <c r="G209" s="6" t="n"/>
      <c r="H209" s="6" t="n"/>
      <c r="I209" s="6" t="n"/>
    </row>
    <row r="210">
      <c r="A210" s="6" t="n"/>
      <c r="B210" s="6" t="n"/>
      <c r="C210" s="6" t="n"/>
      <c r="D210" s="6" t="n"/>
      <c r="E210" s="6" t="n"/>
      <c r="F210" s="6" t="n"/>
      <c r="G210" s="6" t="n"/>
      <c r="H210" s="6" t="n"/>
      <c r="I210" s="6" t="n"/>
    </row>
    <row r="211">
      <c r="A211" s="6" t="n"/>
      <c r="B211" s="6" t="n"/>
      <c r="C211" s="6" t="n"/>
      <c r="D211" s="6" t="n"/>
      <c r="E211" s="6" t="n"/>
      <c r="F211" s="6" t="n"/>
      <c r="G211" s="6" t="n"/>
      <c r="H211" s="6" t="n"/>
      <c r="I211" s="6" t="n"/>
    </row>
    <row r="212">
      <c r="A212" s="6" t="n"/>
      <c r="B212" s="6" t="n"/>
      <c r="C212" s="6" t="n"/>
      <c r="D212" s="6" t="n"/>
      <c r="E212" s="6" t="n"/>
      <c r="F212" s="6" t="n"/>
      <c r="G212" s="6" t="n"/>
      <c r="H212" s="6" t="n"/>
      <c r="I212" s="6" t="n"/>
    </row>
    <row r="213">
      <c r="A213" s="6" t="n"/>
      <c r="B213" s="6" t="n"/>
      <c r="C213" s="6" t="n"/>
      <c r="D213" s="6" t="n"/>
      <c r="E213" s="6" t="n"/>
      <c r="F213" s="6" t="n"/>
      <c r="G213" s="6" t="n"/>
      <c r="H213" s="6" t="n"/>
      <c r="I213" s="6" t="n"/>
    </row>
    <row r="214">
      <c r="A214" s="6" t="n"/>
      <c r="B214" s="6" t="n"/>
      <c r="C214" s="6" t="n"/>
      <c r="D214" s="6" t="n"/>
      <c r="E214" s="6" t="n"/>
      <c r="F214" s="6" t="n"/>
      <c r="G214" s="6" t="n"/>
      <c r="H214" s="6" t="n"/>
      <c r="I214" s="6" t="n"/>
    </row>
    <row r="215">
      <c r="A215" s="6" t="n"/>
      <c r="B215" s="6" t="n"/>
      <c r="C215" s="6" t="n"/>
      <c r="D215" s="6" t="n"/>
      <c r="E215" s="6" t="n"/>
      <c r="F215" s="6" t="n"/>
      <c r="G215" s="6" t="n"/>
      <c r="H215" s="6" t="n"/>
      <c r="I215" s="6" t="n"/>
    </row>
    <row r="216">
      <c r="A216" s="6" t="n"/>
      <c r="B216" s="6" t="n"/>
      <c r="C216" s="6" t="n"/>
      <c r="D216" s="6" t="n"/>
      <c r="E216" s="6" t="n"/>
      <c r="F216" s="6" t="n"/>
      <c r="G216" s="6" t="n"/>
      <c r="H216" s="6" t="n"/>
      <c r="I216" s="6" t="n"/>
    </row>
    <row r="217">
      <c r="A217" s="6" t="n"/>
      <c r="B217" s="6" t="n"/>
      <c r="C217" s="6" t="n"/>
      <c r="D217" s="6" t="n"/>
      <c r="E217" s="6" t="n"/>
      <c r="F217" s="6" t="n"/>
      <c r="G217" s="6" t="n"/>
      <c r="H217" s="6" t="n"/>
      <c r="I217" s="6" t="n"/>
    </row>
    <row r="218">
      <c r="A218" s="6" t="n"/>
      <c r="B218" s="6" t="n"/>
      <c r="C218" s="6" t="n"/>
      <c r="D218" s="6" t="n"/>
      <c r="E218" s="6" t="n"/>
      <c r="F218" s="6" t="n"/>
      <c r="G218" s="6" t="n"/>
      <c r="H218" s="6" t="n"/>
      <c r="I218" s="6" t="n"/>
    </row>
    <row r="219">
      <c r="A219" s="6" t="n"/>
      <c r="B219" s="6" t="n"/>
      <c r="C219" s="6" t="n"/>
      <c r="D219" s="6" t="n"/>
      <c r="E219" s="6" t="n"/>
      <c r="F219" s="6" t="n"/>
      <c r="G219" s="6" t="n"/>
      <c r="H219" s="6" t="n"/>
      <c r="I219" s="6" t="n"/>
    </row>
    <row r="220">
      <c r="A220" s="6" t="n"/>
      <c r="B220" s="6" t="n"/>
      <c r="C220" s="6" t="n"/>
      <c r="D220" s="6" t="n"/>
      <c r="E220" s="6" t="n"/>
      <c r="F220" s="6" t="n"/>
      <c r="G220" s="6" t="n"/>
      <c r="H220" s="6" t="n"/>
      <c r="I220" s="6" t="n"/>
    </row>
    <row r="221">
      <c r="A221" s="6" t="n"/>
      <c r="B221" s="6" t="n"/>
      <c r="C221" s="6" t="n"/>
      <c r="D221" s="6" t="n"/>
      <c r="E221" s="6" t="n"/>
      <c r="F221" s="6" t="n"/>
      <c r="G221" s="6" t="n"/>
      <c r="H221" s="6" t="n"/>
      <c r="I221" s="6" t="n"/>
    </row>
    <row r="222">
      <c r="A222" s="6" t="n"/>
      <c r="B222" s="6" t="n"/>
      <c r="C222" s="6" t="n"/>
      <c r="D222" s="6" t="n"/>
      <c r="E222" s="6" t="n"/>
      <c r="F222" s="6" t="n"/>
      <c r="G222" s="6" t="n"/>
      <c r="H222" s="6" t="n"/>
      <c r="I222" s="6" t="n"/>
    </row>
    <row r="223">
      <c r="A223" s="6" t="n"/>
      <c r="B223" s="6" t="n"/>
      <c r="C223" s="6" t="n"/>
      <c r="D223" s="6" t="n"/>
      <c r="E223" s="6" t="n"/>
      <c r="F223" s="6" t="n"/>
      <c r="G223" s="6" t="n"/>
      <c r="H223" s="6" t="n"/>
      <c r="I223" s="6" t="n"/>
    </row>
    <row r="224">
      <c r="A224" s="6" t="n"/>
      <c r="B224" s="6" t="n"/>
      <c r="C224" s="6" t="n"/>
      <c r="D224" s="6" t="n"/>
      <c r="E224" s="6" t="n"/>
      <c r="F224" s="6" t="n"/>
      <c r="G224" s="6" t="n"/>
      <c r="H224" s="6" t="n"/>
      <c r="I224" s="6" t="n"/>
    </row>
    <row r="225">
      <c r="A225" s="6" t="n"/>
      <c r="B225" s="6" t="n"/>
      <c r="C225" s="6" t="n"/>
      <c r="D225" s="6" t="n"/>
      <c r="E225" s="6" t="n"/>
      <c r="F225" s="6" t="n"/>
      <c r="G225" s="6" t="n"/>
      <c r="H225" s="6" t="n"/>
      <c r="I225" s="6" t="n"/>
    </row>
    <row r="226">
      <c r="A226" s="6" t="n"/>
      <c r="B226" s="6" t="n"/>
      <c r="C226" s="6" t="n"/>
      <c r="D226" s="6" t="n"/>
      <c r="E226" s="6" t="n"/>
      <c r="F226" s="6" t="n"/>
      <c r="G226" s="6" t="n"/>
      <c r="H226" s="6" t="n"/>
      <c r="I226" s="6" t="n"/>
    </row>
    <row r="227">
      <c r="A227" s="6" t="n"/>
      <c r="B227" s="6" t="n"/>
      <c r="C227" s="6" t="n"/>
      <c r="D227" s="6" t="n"/>
      <c r="E227" s="6" t="n"/>
      <c r="F227" s="6" t="n"/>
      <c r="G227" s="6" t="n"/>
      <c r="H227" s="6" t="n"/>
      <c r="I227" s="6" t="n"/>
    </row>
    <row r="228">
      <c r="A228" s="6" t="n"/>
      <c r="B228" s="6" t="n"/>
      <c r="C228" s="6" t="n"/>
      <c r="D228" s="6" t="n"/>
      <c r="E228" s="6" t="n"/>
      <c r="F228" s="6" t="n"/>
      <c r="G228" s="6" t="n"/>
      <c r="H228" s="6" t="n"/>
      <c r="I228" s="6" t="n"/>
    </row>
    <row r="229">
      <c r="A229" s="6" t="n"/>
      <c r="B229" s="6" t="n"/>
      <c r="C229" s="6" t="n"/>
      <c r="D229" s="6" t="n"/>
      <c r="E229" s="6" t="n"/>
      <c r="F229" s="6" t="n"/>
      <c r="G229" s="6" t="n"/>
      <c r="H229" s="6" t="n"/>
      <c r="I229" s="6" t="n"/>
    </row>
    <row r="230">
      <c r="A230" s="6" t="n"/>
      <c r="B230" s="6" t="n"/>
      <c r="C230" s="6" t="n"/>
      <c r="D230" s="6" t="n"/>
      <c r="E230" s="6" t="n"/>
      <c r="F230" s="6" t="n"/>
      <c r="G230" s="6" t="n"/>
      <c r="H230" s="6" t="n"/>
      <c r="I230" s="6" t="n"/>
    </row>
    <row r="231">
      <c r="A231" s="6" t="n"/>
      <c r="B231" s="6" t="n"/>
      <c r="C231" s="6" t="n"/>
      <c r="D231" s="6" t="n"/>
      <c r="E231" s="6" t="n"/>
      <c r="F231" s="6" t="n"/>
      <c r="G231" s="6" t="n"/>
      <c r="H231" s="6" t="n"/>
      <c r="I231" s="6" t="n"/>
    </row>
    <row r="232">
      <c r="A232" s="6" t="n"/>
      <c r="B232" s="6" t="n"/>
      <c r="C232" s="6" t="n"/>
      <c r="D232" s="6" t="n"/>
      <c r="E232" s="6" t="n"/>
      <c r="F232" s="6" t="n"/>
      <c r="G232" s="6" t="n"/>
      <c r="H232" s="6" t="n"/>
      <c r="I232" s="6" t="n"/>
    </row>
    <row r="233">
      <c r="A233" s="6" t="n"/>
      <c r="B233" s="6" t="n"/>
      <c r="C233" s="6" t="n"/>
      <c r="D233" s="6" t="n"/>
      <c r="E233" s="6" t="n"/>
      <c r="F233" s="6" t="n"/>
      <c r="G233" s="6" t="n"/>
      <c r="H233" s="6" t="n"/>
      <c r="I233" s="6" t="n"/>
    </row>
    <row r="234">
      <c r="A234" s="6" t="n"/>
      <c r="B234" s="6" t="n"/>
      <c r="C234" s="6" t="n"/>
      <c r="D234" s="6" t="n"/>
      <c r="E234" s="6" t="n"/>
      <c r="F234" s="6" t="n"/>
      <c r="G234" s="6" t="n"/>
      <c r="H234" s="6" t="n"/>
      <c r="I234" s="6" t="n"/>
    </row>
    <row r="235">
      <c r="A235" s="6" t="n"/>
      <c r="B235" s="6" t="n"/>
      <c r="C235" s="6" t="n"/>
      <c r="D235" s="6" t="n"/>
      <c r="E235" s="6" t="n"/>
      <c r="F235" s="6" t="n"/>
      <c r="G235" s="6" t="n"/>
      <c r="H235" s="6" t="n"/>
      <c r="I235" s="6" t="n"/>
    </row>
    <row r="236">
      <c r="A236" s="6" t="n"/>
      <c r="B236" s="6" t="n"/>
      <c r="C236" s="6" t="n"/>
      <c r="D236" s="6" t="n"/>
      <c r="E236" s="6" t="n"/>
      <c r="F236" s="6" t="n"/>
      <c r="G236" s="6" t="n"/>
      <c r="H236" s="6" t="n"/>
      <c r="I236" s="6" t="n"/>
    </row>
    <row r="237">
      <c r="A237" s="6" t="n"/>
      <c r="B237" s="6" t="n"/>
      <c r="C237" s="6" t="n"/>
      <c r="D237" s="6" t="n"/>
      <c r="E237" s="6" t="n"/>
      <c r="F237" s="6" t="n"/>
      <c r="G237" s="6" t="n"/>
      <c r="H237" s="6" t="n"/>
      <c r="I237" s="6" t="n"/>
    </row>
    <row r="238">
      <c r="A238" s="6" t="n"/>
      <c r="B238" s="6" t="n"/>
      <c r="C238" s="6" t="n"/>
      <c r="D238" s="6" t="n"/>
      <c r="E238" s="6" t="n"/>
      <c r="F238" s="6" t="n"/>
      <c r="G238" s="6" t="n"/>
      <c r="H238" s="6" t="n"/>
      <c r="I238" s="6" t="n"/>
    </row>
    <row r="239">
      <c r="A239" s="6" t="n"/>
      <c r="B239" s="6" t="n"/>
      <c r="C239" s="6" t="n"/>
      <c r="D239" s="6" t="n"/>
      <c r="E239" s="6" t="n"/>
      <c r="F239" s="6" t="n"/>
      <c r="G239" s="6" t="n"/>
      <c r="H239" s="6" t="n"/>
      <c r="I239" s="6" t="n"/>
    </row>
    <row r="240">
      <c r="A240" s="6" t="n"/>
      <c r="B240" s="6" t="n"/>
      <c r="C240" s="6" t="n"/>
      <c r="D240" s="6" t="n"/>
      <c r="E240" s="6" t="n"/>
      <c r="F240" s="6" t="n"/>
      <c r="G240" s="6" t="n"/>
      <c r="H240" s="6" t="n"/>
      <c r="I240" s="6" t="n"/>
    </row>
    <row r="241">
      <c r="A241" s="6" t="n"/>
      <c r="B241" s="6" t="n"/>
      <c r="C241" s="6" t="n"/>
      <c r="D241" s="6" t="n"/>
      <c r="E241" s="6" t="n"/>
      <c r="F241" s="6" t="n"/>
      <c r="G241" s="6" t="n"/>
      <c r="H241" s="6" t="n"/>
      <c r="I241" s="6" t="n"/>
    </row>
    <row r="242">
      <c r="A242" s="6" t="n"/>
      <c r="B242" s="6" t="n"/>
      <c r="C242" s="6" t="n"/>
      <c r="D242" s="6" t="n"/>
      <c r="E242" s="6" t="n"/>
      <c r="F242" s="6" t="n"/>
      <c r="G242" s="6" t="n"/>
      <c r="H242" s="6" t="n"/>
      <c r="I242" s="6" t="n"/>
    </row>
    <row r="243">
      <c r="A243" s="6" t="n"/>
      <c r="B243" s="6" t="n"/>
      <c r="C243" s="6" t="n"/>
      <c r="D243" s="6" t="n"/>
      <c r="E243" s="6" t="n"/>
      <c r="F243" s="6" t="n"/>
      <c r="G243" s="6" t="n"/>
      <c r="H243" s="6" t="n"/>
      <c r="I243" s="6" t="n"/>
    </row>
    <row r="244">
      <c r="A244" s="6" t="n"/>
      <c r="B244" s="6" t="n"/>
      <c r="C244" s="6" t="n"/>
      <c r="D244" s="6" t="n"/>
      <c r="E244" s="6" t="n"/>
      <c r="F244" s="6" t="n"/>
      <c r="G244" s="6" t="n"/>
      <c r="H244" s="6" t="n"/>
      <c r="I244" s="6" t="n"/>
    </row>
    <row r="245">
      <c r="A245" s="6" t="n"/>
      <c r="B245" s="6" t="n"/>
      <c r="C245" s="6" t="n"/>
      <c r="D245" s="6" t="n"/>
      <c r="E245" s="6" t="n"/>
      <c r="F245" s="6" t="n"/>
      <c r="G245" s="6" t="n"/>
      <c r="H245" s="6" t="n"/>
      <c r="I245" s="6" t="n"/>
    </row>
    <row r="246">
      <c r="A246" s="6" t="n"/>
      <c r="B246" s="6" t="n"/>
      <c r="C246" s="6" t="n"/>
      <c r="D246" s="6" t="n"/>
      <c r="E246" s="6" t="n"/>
      <c r="F246" s="6" t="n"/>
      <c r="G246" s="6" t="n"/>
      <c r="H246" s="6" t="n"/>
      <c r="I246" s="6" t="n"/>
    </row>
    <row r="247">
      <c r="A247" s="6" t="n"/>
      <c r="B247" s="6" t="n"/>
      <c r="C247" s="6" t="n"/>
      <c r="D247" s="6" t="n"/>
      <c r="E247" s="6" t="n"/>
      <c r="F247" s="6" t="n"/>
      <c r="G247" s="6" t="n"/>
      <c r="H247" s="6" t="n"/>
      <c r="I247" s="6" t="n"/>
    </row>
    <row r="248">
      <c r="A248" s="6" t="n"/>
      <c r="B248" s="6" t="n"/>
      <c r="C248" s="6" t="n"/>
      <c r="D248" s="6" t="n"/>
      <c r="E248" s="6" t="n"/>
      <c r="F248" s="6" t="n"/>
      <c r="G248" s="6" t="n"/>
      <c r="H248" s="6" t="n"/>
      <c r="I248" s="6" t="n"/>
    </row>
    <row r="249">
      <c r="A249" s="6" t="n"/>
      <c r="B249" s="6" t="n"/>
      <c r="C249" s="6" t="n"/>
      <c r="D249" s="6" t="n"/>
      <c r="E249" s="6" t="n"/>
      <c r="F249" s="6" t="n"/>
      <c r="G249" s="6" t="n"/>
      <c r="H249" s="6" t="n"/>
      <c r="I249" s="6" t="n"/>
    </row>
    <row r="250">
      <c r="A250" s="6" t="n"/>
      <c r="B250" s="6" t="n"/>
      <c r="C250" s="6" t="n"/>
      <c r="D250" s="6" t="n"/>
      <c r="E250" s="6" t="n"/>
      <c r="F250" s="6" t="n"/>
      <c r="G250" s="6" t="n"/>
      <c r="H250" s="6" t="n"/>
      <c r="I250" s="6" t="n"/>
    </row>
    <row r="251">
      <c r="A251" s="6" t="n"/>
      <c r="B251" s="6" t="n"/>
      <c r="C251" s="6" t="n"/>
      <c r="D251" s="6" t="n"/>
      <c r="E251" s="6" t="n"/>
      <c r="F251" s="6" t="n"/>
      <c r="G251" s="6" t="n"/>
      <c r="H251" s="6" t="n"/>
      <c r="I251" s="6" t="n"/>
    </row>
    <row r="252">
      <c r="A252" s="6" t="n"/>
      <c r="B252" s="6" t="n"/>
      <c r="C252" s="6" t="n"/>
      <c r="D252" s="6" t="n"/>
      <c r="E252" s="6" t="n"/>
      <c r="F252" s="6" t="n"/>
      <c r="G252" s="6" t="n"/>
      <c r="H252" s="6" t="n"/>
      <c r="I252" s="6" t="n"/>
    </row>
    <row r="253">
      <c r="A253" s="6" t="n"/>
      <c r="B253" s="6" t="n"/>
      <c r="C253" s="6" t="n"/>
      <c r="D253" s="6" t="n"/>
      <c r="E253" s="6" t="n"/>
      <c r="F253" s="6" t="n"/>
      <c r="G253" s="6" t="n"/>
      <c r="H253" s="6" t="n"/>
      <c r="I253" s="6" t="n"/>
    </row>
    <row r="254">
      <c r="A254" s="6" t="n"/>
      <c r="B254" s="6" t="n"/>
      <c r="C254" s="6" t="n"/>
      <c r="D254" s="6" t="n"/>
      <c r="E254" s="6" t="n"/>
      <c r="F254" s="6" t="n"/>
      <c r="G254" s="6" t="n"/>
      <c r="H254" s="6" t="n"/>
      <c r="I254" s="6" t="n"/>
    </row>
    <row r="255">
      <c r="A255" s="6" t="n"/>
      <c r="B255" s="6" t="n"/>
      <c r="C255" s="6" t="n"/>
      <c r="D255" s="6" t="n"/>
      <c r="E255" s="6" t="n"/>
      <c r="F255" s="6" t="n"/>
      <c r="G255" s="6" t="n"/>
      <c r="H255" s="6" t="n"/>
      <c r="I255" s="6" t="n"/>
    </row>
    <row r="256">
      <c r="A256" s="6" t="n"/>
      <c r="B256" s="6" t="n"/>
      <c r="C256" s="6" t="n"/>
      <c r="D256" s="6" t="n"/>
      <c r="E256" s="6" t="n"/>
      <c r="F256" s="6" t="n"/>
      <c r="G256" s="6" t="n"/>
      <c r="H256" s="6" t="n"/>
      <c r="I256" s="6" t="n"/>
    </row>
    <row r="257">
      <c r="A257" s="6" t="n"/>
      <c r="B257" s="6" t="n"/>
      <c r="C257" s="6" t="n"/>
      <c r="D257" s="6" t="n"/>
      <c r="E257" s="6" t="n"/>
      <c r="F257" s="6" t="n"/>
      <c r="G257" s="6" t="n"/>
      <c r="H257" s="6" t="n"/>
      <c r="I257" s="6" t="n"/>
    </row>
    <row r="258">
      <c r="A258" s="6" t="n"/>
      <c r="B258" s="6" t="n"/>
      <c r="C258" s="6" t="n"/>
      <c r="D258" s="6" t="n"/>
      <c r="E258" s="6" t="n"/>
      <c r="F258" s="6" t="n"/>
      <c r="G258" s="6" t="n"/>
      <c r="H258" s="6" t="n"/>
      <c r="I258" s="6" t="n"/>
    </row>
    <row r="259">
      <c r="A259" s="6" t="n"/>
      <c r="B259" s="6" t="n"/>
      <c r="C259" s="6" t="n"/>
      <c r="D259" s="6" t="n"/>
      <c r="E259" s="6" t="n"/>
      <c r="F259" s="6" t="n"/>
      <c r="G259" s="6" t="n"/>
      <c r="H259" s="6" t="n"/>
      <c r="I259" s="6" t="n"/>
    </row>
    <row r="260">
      <c r="A260" s="6" t="n"/>
      <c r="B260" s="6" t="n"/>
      <c r="C260" s="6" t="n"/>
      <c r="D260" s="6" t="n"/>
      <c r="E260" s="6" t="n"/>
      <c r="F260" s="6" t="n"/>
      <c r="G260" s="6" t="n"/>
      <c r="H260" s="6" t="n"/>
      <c r="I260" s="6" t="n"/>
    </row>
    <row r="261">
      <c r="A261" s="6" t="n"/>
      <c r="B261" s="6" t="n"/>
      <c r="C261" s="6" t="n"/>
      <c r="D261" s="6" t="n"/>
      <c r="E261" s="6" t="n"/>
      <c r="F261" s="6" t="n"/>
      <c r="G261" s="6" t="n"/>
      <c r="H261" s="6" t="n"/>
      <c r="I261" s="6" t="n"/>
    </row>
    <row r="262">
      <c r="A262" s="6" t="n"/>
      <c r="B262" s="6" t="n"/>
      <c r="C262" s="6" t="n"/>
      <c r="D262" s="6" t="n"/>
      <c r="E262" s="6" t="n"/>
      <c r="F262" s="6" t="n"/>
      <c r="G262" s="6" t="n"/>
      <c r="H262" s="6" t="n"/>
      <c r="I262" s="6" t="n"/>
    </row>
    <row r="263">
      <c r="A263" s="6" t="n"/>
      <c r="B263" s="6" t="n"/>
      <c r="C263" s="6" t="n"/>
      <c r="D263" s="6" t="n"/>
      <c r="E263" s="6" t="n"/>
      <c r="F263" s="6" t="n"/>
      <c r="G263" s="6" t="n"/>
      <c r="H263" s="6" t="n"/>
      <c r="I263" s="6" t="n"/>
    </row>
    <row r="264">
      <c r="A264" s="6" t="n"/>
      <c r="B264" s="6" t="n"/>
      <c r="C264" s="6" t="n"/>
      <c r="D264" s="6" t="n"/>
      <c r="E264" s="6" t="n"/>
      <c r="F264" s="6" t="n"/>
      <c r="G264" s="6" t="n"/>
      <c r="H264" s="6" t="n"/>
      <c r="I264" s="6" t="n"/>
    </row>
    <row r="265">
      <c r="A265" s="6" t="n"/>
      <c r="B265" s="6" t="n"/>
      <c r="C265" s="6" t="n"/>
      <c r="D265" s="6" t="n"/>
      <c r="E265" s="6" t="n"/>
      <c r="F265" s="6" t="n"/>
      <c r="G265" s="6" t="n"/>
      <c r="H265" s="6" t="n"/>
      <c r="I265" s="6" t="n"/>
    </row>
    <row r="266">
      <c r="A266" s="6" t="n"/>
      <c r="B266" s="6" t="n"/>
      <c r="C266" s="6" t="n"/>
      <c r="D266" s="6" t="n"/>
      <c r="E266" s="6" t="n"/>
      <c r="F266" s="6" t="n"/>
      <c r="G266" s="6" t="n"/>
      <c r="H266" s="6" t="n"/>
      <c r="I266" s="6" t="n"/>
    </row>
    <row r="267">
      <c r="A267" s="6" t="n"/>
      <c r="B267" s="6" t="n"/>
      <c r="C267" s="6" t="n"/>
      <c r="D267" s="6" t="n"/>
      <c r="E267" s="6" t="n"/>
      <c r="F267" s="6" t="n"/>
      <c r="G267" s="6" t="n"/>
      <c r="H267" s="6" t="n"/>
      <c r="I267" s="6" t="n"/>
    </row>
    <row r="268">
      <c r="A268" s="6" t="n"/>
      <c r="B268" s="6" t="n"/>
      <c r="C268" s="6" t="n"/>
      <c r="D268" s="6" t="n"/>
      <c r="E268" s="6" t="n"/>
      <c r="F268" s="6" t="n"/>
      <c r="G268" s="6" t="n"/>
      <c r="H268" s="6" t="n"/>
      <c r="I268" s="6" t="n"/>
    </row>
    <row r="269">
      <c r="A269" s="6" t="n"/>
      <c r="B269" s="6" t="n"/>
      <c r="C269" s="6" t="n"/>
      <c r="D269" s="6" t="n"/>
      <c r="E269" s="6" t="n"/>
      <c r="F269" s="6" t="n"/>
      <c r="G269" s="6" t="n"/>
      <c r="H269" s="6" t="n"/>
      <c r="I269" s="6" t="n"/>
    </row>
    <row r="270">
      <c r="A270" s="6" t="n"/>
      <c r="B270" s="6" t="n"/>
      <c r="C270" s="6" t="n"/>
      <c r="D270" s="6" t="n"/>
      <c r="E270" s="6" t="n"/>
      <c r="F270" s="6" t="n"/>
      <c r="G270" s="6" t="n"/>
      <c r="H270" s="6" t="n"/>
      <c r="I270" s="6" t="n"/>
    </row>
    <row r="271">
      <c r="A271" s="6" t="n"/>
      <c r="B271" s="6" t="n"/>
      <c r="C271" s="6" t="n"/>
      <c r="D271" s="6" t="n"/>
      <c r="E271" s="6" t="n"/>
      <c r="F271" s="6" t="n"/>
      <c r="G271" s="6" t="n"/>
      <c r="H271" s="6" t="n"/>
      <c r="I271" s="6" t="n"/>
    </row>
    <row r="272">
      <c r="A272" s="6" t="n"/>
      <c r="B272" s="6" t="n"/>
      <c r="C272" s="6" t="n"/>
      <c r="D272" s="6" t="n"/>
      <c r="E272" s="6" t="n"/>
      <c r="F272" s="6" t="n"/>
      <c r="G272" s="6" t="n"/>
      <c r="H272" s="6" t="n"/>
      <c r="I272" s="6" t="n"/>
    </row>
    <row r="273">
      <c r="A273" s="6" t="n"/>
      <c r="B273" s="6" t="n"/>
      <c r="C273" s="6" t="n"/>
      <c r="D273" s="6" t="n"/>
      <c r="E273" s="6" t="n"/>
      <c r="F273" s="6" t="n"/>
      <c r="G273" s="6" t="n"/>
      <c r="H273" s="6" t="n"/>
      <c r="I273" s="6" t="n"/>
    </row>
    <row r="274">
      <c r="A274" s="6" t="n"/>
      <c r="B274" s="6" t="n"/>
      <c r="C274" s="6" t="n"/>
      <c r="D274" s="6" t="n"/>
      <c r="E274" s="6" t="n"/>
      <c r="F274" s="6" t="n"/>
      <c r="G274" s="6" t="n"/>
      <c r="H274" s="6" t="n"/>
      <c r="I274" s="6" t="n"/>
    </row>
    <row r="275">
      <c r="A275" s="6" t="n"/>
      <c r="B275" s="6" t="n"/>
      <c r="C275" s="6" t="n"/>
      <c r="D275" s="6" t="n"/>
      <c r="E275" s="6" t="n"/>
      <c r="F275" s="6" t="n"/>
      <c r="G275" s="6" t="n"/>
      <c r="H275" s="6" t="n"/>
      <c r="I275" s="6" t="n"/>
    </row>
    <row r="276">
      <c r="A276" s="6" t="n"/>
      <c r="B276" s="6" t="n"/>
      <c r="C276" s="6" t="n"/>
      <c r="D276" s="6" t="n"/>
      <c r="E276" s="6" t="n"/>
      <c r="F276" s="6" t="n"/>
      <c r="G276" s="6" t="n"/>
      <c r="H276" s="6" t="n"/>
      <c r="I276" s="6" t="n"/>
    </row>
    <row r="277">
      <c r="A277" s="6" t="n"/>
      <c r="B277" s="6" t="n"/>
      <c r="C277" s="6" t="n"/>
      <c r="D277" s="6" t="n"/>
      <c r="E277" s="6" t="n"/>
      <c r="F277" s="6" t="n"/>
      <c r="G277" s="6" t="n"/>
      <c r="H277" s="6" t="n"/>
      <c r="I277" s="6" t="n"/>
    </row>
    <row r="278">
      <c r="A278" s="6" t="n"/>
      <c r="B278" s="6" t="n"/>
      <c r="C278" s="6" t="n"/>
      <c r="D278" s="6" t="n"/>
      <c r="E278" s="6" t="n"/>
      <c r="F278" s="6" t="n"/>
      <c r="G278" s="6" t="n"/>
      <c r="H278" s="6" t="n"/>
      <c r="I278" s="6" t="n"/>
    </row>
    <row r="279">
      <c r="A279" s="6" t="n"/>
      <c r="B279" s="6" t="n"/>
      <c r="C279" s="6" t="n"/>
      <c r="D279" s="6" t="n"/>
      <c r="E279" s="6" t="n"/>
      <c r="F279" s="6" t="n"/>
      <c r="G279" s="6" t="n"/>
      <c r="H279" s="6" t="n"/>
      <c r="I279" s="6" t="n"/>
    </row>
    <row r="280">
      <c r="A280" s="6" t="n"/>
      <c r="B280" s="6" t="n"/>
      <c r="C280" s="6" t="n"/>
      <c r="D280" s="6" t="n"/>
      <c r="E280" s="6" t="n"/>
      <c r="F280" s="6" t="n"/>
      <c r="G280" s="6" t="n"/>
      <c r="H280" s="6" t="n"/>
      <c r="I280" s="6" t="n"/>
    </row>
    <row r="281">
      <c r="A281" s="6" t="n"/>
      <c r="B281" s="6" t="n"/>
      <c r="C281" s="6" t="n"/>
      <c r="D281" s="6" t="n"/>
      <c r="E281" s="6" t="n"/>
      <c r="F281" s="6" t="n"/>
      <c r="G281" s="6" t="n"/>
      <c r="H281" s="6" t="n"/>
      <c r="I281" s="6" t="n"/>
    </row>
    <row r="282">
      <c r="A282" s="6" t="n"/>
      <c r="B282" s="6" t="n"/>
      <c r="C282" s="6" t="n"/>
      <c r="D282" s="6" t="n"/>
      <c r="E282" s="6" t="n"/>
      <c r="F282" s="6" t="n"/>
      <c r="G282" s="6" t="n"/>
      <c r="H282" s="6" t="n"/>
      <c r="I282" s="6" t="n"/>
    </row>
    <row r="283">
      <c r="A283" s="6" t="n"/>
      <c r="B283" s="6" t="n"/>
      <c r="C283" s="6" t="n"/>
      <c r="D283" s="6" t="n"/>
      <c r="E283" s="6" t="n"/>
      <c r="F283" s="6" t="n"/>
      <c r="G283" s="6" t="n"/>
      <c r="H283" s="6" t="n"/>
      <c r="I283" s="6" t="n"/>
    </row>
    <row r="284">
      <c r="A284" s="6" t="n"/>
      <c r="B284" s="6" t="n"/>
      <c r="C284" s="6" t="n"/>
      <c r="D284" s="6" t="n"/>
      <c r="E284" s="6" t="n"/>
      <c r="F284" s="6" t="n"/>
      <c r="G284" s="6" t="n"/>
      <c r="H284" s="6" t="n"/>
      <c r="I284" s="6" t="n"/>
    </row>
    <row r="285">
      <c r="A285" s="6" t="n"/>
      <c r="B285" s="6" t="n"/>
      <c r="C285" s="6" t="n"/>
      <c r="D285" s="6" t="n"/>
      <c r="E285" s="6" t="n"/>
      <c r="F285" s="6" t="n"/>
      <c r="G285" s="6" t="n"/>
      <c r="H285" s="6" t="n"/>
      <c r="I285" s="6" t="n"/>
    </row>
    <row r="286">
      <c r="A286" s="6" t="n"/>
      <c r="B286" s="6" t="n"/>
      <c r="C286" s="6" t="n"/>
      <c r="D286" s="6" t="n"/>
      <c r="E286" s="6" t="n"/>
      <c r="F286" s="6" t="n"/>
      <c r="G286" s="6" t="n"/>
      <c r="H286" s="6" t="n"/>
      <c r="I286" s="6" t="n"/>
    </row>
    <row r="287">
      <c r="A287" s="6" t="n"/>
      <c r="B287" s="6" t="n"/>
      <c r="C287" s="6" t="n"/>
      <c r="D287" s="6" t="n"/>
      <c r="E287" s="6" t="n"/>
      <c r="F287" s="6" t="n"/>
      <c r="G287" s="6" t="n"/>
      <c r="H287" s="6" t="n"/>
      <c r="I287" s="6" t="n"/>
    </row>
    <row r="288">
      <c r="A288" s="6" t="n"/>
      <c r="B288" s="6" t="n"/>
      <c r="C288" s="6" t="n"/>
      <c r="D288" s="6" t="n"/>
      <c r="E288" s="6" t="n"/>
      <c r="F288" s="6" t="n"/>
      <c r="G288" s="6" t="n"/>
      <c r="H288" s="6" t="n"/>
      <c r="I288" s="6" t="n"/>
    </row>
    <row r="289">
      <c r="A289" s="6" t="n"/>
      <c r="B289" s="6" t="n"/>
      <c r="C289" s="6" t="n"/>
      <c r="D289" s="6" t="n"/>
      <c r="E289" s="6" t="n"/>
      <c r="F289" s="6" t="n"/>
      <c r="G289" s="6" t="n"/>
      <c r="H289" s="6" t="n"/>
      <c r="I289" s="6" t="n"/>
    </row>
    <row r="290">
      <c r="A290" s="6" t="n"/>
      <c r="B290" s="6" t="n"/>
      <c r="C290" s="6" t="n"/>
      <c r="D290" s="6" t="n"/>
      <c r="E290" s="6" t="n"/>
      <c r="F290" s="6" t="n"/>
      <c r="G290" s="6" t="n"/>
      <c r="H290" s="6" t="n"/>
      <c r="I290" s="6" t="n"/>
    </row>
    <row r="291">
      <c r="A291" s="6" t="n"/>
      <c r="B291" s="6" t="n"/>
      <c r="C291" s="6" t="n"/>
      <c r="D291" s="6" t="n"/>
      <c r="E291" s="6" t="n"/>
      <c r="F291" s="6" t="n"/>
      <c r="G291" s="6" t="n"/>
      <c r="H291" s="6" t="n"/>
      <c r="I291" s="6" t="n"/>
    </row>
    <row r="292">
      <c r="A292" s="6" t="n"/>
      <c r="B292" s="6" t="n"/>
      <c r="C292" s="6" t="n"/>
      <c r="D292" s="6" t="n"/>
      <c r="E292" s="6" t="n"/>
      <c r="F292" s="6" t="n"/>
      <c r="G292" s="6" t="n"/>
      <c r="H292" s="6" t="n"/>
      <c r="I292" s="6" t="n"/>
    </row>
    <row r="293">
      <c r="A293" s="6" t="n"/>
      <c r="B293" s="6" t="n"/>
      <c r="C293" s="6" t="n"/>
      <c r="D293" s="6" t="n"/>
      <c r="E293" s="6" t="n"/>
      <c r="F293" s="6" t="n"/>
      <c r="G293" s="6" t="n"/>
      <c r="H293" s="6" t="n"/>
      <c r="I293" s="6" t="n"/>
    </row>
    <row r="294">
      <c r="A294" s="6" t="n"/>
      <c r="B294" s="6" t="n"/>
      <c r="C294" s="6" t="n"/>
      <c r="D294" s="6" t="n"/>
      <c r="E294" s="6" t="n"/>
      <c r="F294" s="6" t="n"/>
      <c r="G294" s="6" t="n"/>
      <c r="H294" s="6" t="n"/>
      <c r="I294" s="6" t="n"/>
    </row>
    <row r="295">
      <c r="A295" s="6" t="n"/>
      <c r="B295" s="6" t="n"/>
      <c r="C295" s="6" t="n"/>
      <c r="D295" s="6" t="n"/>
      <c r="E295" s="6" t="n"/>
      <c r="F295" s="6" t="n"/>
      <c r="G295" s="6" t="n"/>
      <c r="H295" s="6" t="n"/>
      <c r="I295" s="6" t="n"/>
    </row>
    <row r="296">
      <c r="A296" s="6" t="n"/>
      <c r="B296" s="6" t="n"/>
      <c r="C296" s="6" t="n"/>
      <c r="D296" s="6" t="n"/>
      <c r="E296" s="6" t="n"/>
      <c r="F296" s="6" t="n"/>
      <c r="G296" s="6" t="n"/>
      <c r="H296" s="6" t="n"/>
      <c r="I296" s="6" t="n"/>
    </row>
    <row r="297">
      <c r="A297" s="6" t="n"/>
      <c r="B297" s="6" t="n"/>
      <c r="C297" s="6" t="n"/>
      <c r="D297" s="6" t="n"/>
      <c r="E297" s="6" t="n"/>
      <c r="F297" s="6" t="n"/>
      <c r="G297" s="6" t="n"/>
      <c r="H297" s="6" t="n"/>
      <c r="I297" s="6" t="n"/>
    </row>
    <row r="298">
      <c r="A298" s="6" t="n"/>
      <c r="B298" s="6" t="n"/>
      <c r="C298" s="6" t="n"/>
      <c r="D298" s="6" t="n"/>
      <c r="E298" s="6" t="n"/>
      <c r="F298" s="6" t="n"/>
      <c r="G298" s="6" t="n"/>
      <c r="H298" s="6" t="n"/>
      <c r="I298" s="6" t="n"/>
    </row>
    <row r="299">
      <c r="A299" s="6" t="n"/>
      <c r="B299" s="6" t="n"/>
      <c r="C299" s="6" t="n"/>
      <c r="D299" s="6" t="n"/>
      <c r="E299" s="6" t="n"/>
      <c r="F299" s="6" t="n"/>
      <c r="G299" s="6" t="n"/>
      <c r="H299" s="6" t="n"/>
      <c r="I299" s="6" t="n"/>
    </row>
    <row r="300">
      <c r="A300" s="6" t="n"/>
      <c r="B300" s="6" t="n"/>
      <c r="C300" s="6" t="n"/>
      <c r="D300" s="6" t="n"/>
      <c r="E300" s="6" t="n"/>
      <c r="F300" s="6" t="n"/>
      <c r="G300" s="6" t="n"/>
      <c r="H300" s="6" t="n"/>
      <c r="I300" s="6" t="n"/>
    </row>
    <row r="301">
      <c r="A301" s="6" t="n"/>
      <c r="B301" s="6" t="n"/>
      <c r="C301" s="6" t="n"/>
      <c r="D301" s="6" t="n"/>
      <c r="E301" s="6" t="n"/>
      <c r="F301" s="6" t="n"/>
      <c r="G301" s="6" t="n"/>
      <c r="H301" s="6" t="n"/>
      <c r="I301" s="6" t="n"/>
    </row>
    <row r="302">
      <c r="A302" s="6" t="n"/>
      <c r="B302" s="6" t="n"/>
      <c r="C302" s="6" t="n"/>
      <c r="D302" s="6" t="n"/>
      <c r="E302" s="6" t="n"/>
      <c r="F302" s="6" t="n"/>
      <c r="G302" s="6" t="n"/>
      <c r="H302" s="6" t="n"/>
      <c r="I302" s="6" t="n"/>
    </row>
    <row r="303">
      <c r="A303" s="6" t="n"/>
      <c r="B303" s="6" t="n"/>
      <c r="C303" s="6" t="n"/>
      <c r="D303" s="6" t="n"/>
      <c r="E303" s="6" t="n"/>
      <c r="F303" s="6" t="n"/>
      <c r="G303" s="6" t="n"/>
      <c r="H303" s="6" t="n"/>
      <c r="I303" s="6" t="n"/>
    </row>
    <row r="304">
      <c r="A304" s="6" t="n"/>
      <c r="B304" s="6" t="n"/>
      <c r="C304" s="6" t="n"/>
      <c r="D304" s="6" t="n"/>
      <c r="E304" s="6" t="n"/>
      <c r="F304" s="6" t="n"/>
      <c r="G304" s="6" t="n"/>
      <c r="H304" s="6" t="n"/>
      <c r="I304" s="6" t="n"/>
    </row>
    <row r="305">
      <c r="A305" s="6" t="n"/>
      <c r="B305" s="6" t="n"/>
      <c r="C305" s="6" t="n"/>
      <c r="D305" s="6" t="n"/>
      <c r="E305" s="6" t="n"/>
      <c r="F305" s="6" t="n"/>
      <c r="G305" s="6" t="n"/>
      <c r="H305" s="6" t="n"/>
      <c r="I305" s="6" t="n"/>
    </row>
    <row r="306">
      <c r="A306" s="6" t="n"/>
      <c r="B306" s="6" t="n"/>
      <c r="C306" s="6" t="n"/>
      <c r="D306" s="6" t="n"/>
      <c r="E306" s="6" t="n"/>
      <c r="F306" s="6" t="n"/>
      <c r="G306" s="6" t="n"/>
      <c r="H306" s="6" t="n"/>
      <c r="I306" s="6" t="n"/>
    </row>
    <row r="307">
      <c r="A307" s="6" t="n"/>
      <c r="B307" s="6" t="n"/>
      <c r="C307" s="6" t="n"/>
      <c r="D307" s="6" t="n"/>
      <c r="E307" s="6" t="n"/>
      <c r="F307" s="6" t="n"/>
      <c r="G307" s="6" t="n"/>
      <c r="H307" s="6" t="n"/>
      <c r="I307" s="6" t="n"/>
    </row>
    <row r="308">
      <c r="A308" s="6" t="n"/>
      <c r="B308" s="6" t="n"/>
      <c r="C308" s="6" t="n"/>
      <c r="D308" s="6" t="n"/>
      <c r="E308" s="6" t="n"/>
      <c r="F308" s="6" t="n"/>
      <c r="G308" s="6" t="n"/>
      <c r="H308" s="6" t="n"/>
      <c r="I308" s="6" t="n"/>
    </row>
    <row r="309">
      <c r="A309" s="6" t="n"/>
      <c r="B309" s="6" t="n"/>
      <c r="C309" s="6" t="n"/>
      <c r="D309" s="6" t="n"/>
      <c r="E309" s="6" t="n"/>
      <c r="F309" s="6" t="n"/>
      <c r="G309" s="6" t="n"/>
      <c r="H309" s="6" t="n"/>
      <c r="I309" s="6" t="n"/>
    </row>
    <row r="310">
      <c r="A310" s="6" t="n"/>
      <c r="B310" s="6" t="n"/>
      <c r="C310" s="6" t="n"/>
      <c r="D310" s="6" t="n"/>
      <c r="E310" s="6" t="n"/>
      <c r="F310" s="6" t="n"/>
      <c r="G310" s="6" t="n"/>
      <c r="H310" s="6" t="n"/>
      <c r="I310" s="6" t="n"/>
    </row>
    <row r="311">
      <c r="A311" s="6" t="n"/>
      <c r="B311" s="6" t="n"/>
      <c r="C311" s="6" t="n"/>
      <c r="D311" s="6" t="n"/>
      <c r="E311" s="6" t="n"/>
      <c r="F311" s="6" t="n"/>
      <c r="G311" s="6" t="n"/>
      <c r="H311" s="6" t="n"/>
      <c r="I311" s="6" t="n"/>
    </row>
    <row r="312">
      <c r="A312" s="6" t="n"/>
      <c r="B312" s="6" t="n"/>
      <c r="C312" s="6" t="n"/>
      <c r="D312" s="6" t="n"/>
      <c r="E312" s="6" t="n"/>
      <c r="F312" s="6" t="n"/>
      <c r="G312" s="6" t="n"/>
      <c r="H312" s="6" t="n"/>
      <c r="I312" s="6" t="n"/>
    </row>
    <row r="313">
      <c r="A313" s="6" t="n"/>
      <c r="B313" s="6" t="n"/>
      <c r="C313" s="6" t="n"/>
      <c r="D313" s="6" t="n"/>
      <c r="E313" s="6" t="n"/>
      <c r="F313" s="6" t="n"/>
      <c r="G313" s="6" t="n"/>
      <c r="H313" s="6" t="n"/>
      <c r="I313" s="6" t="n"/>
    </row>
    <row r="314">
      <c r="A314" s="6" t="n"/>
      <c r="B314" s="6" t="n"/>
      <c r="C314" s="6" t="n"/>
      <c r="D314" s="6" t="n"/>
      <c r="E314" s="6" t="n"/>
      <c r="F314" s="6" t="n"/>
      <c r="G314" s="6" t="n"/>
      <c r="H314" s="6" t="n"/>
      <c r="I314" s="6" t="n"/>
    </row>
    <row r="315">
      <c r="A315" s="6" t="n"/>
      <c r="B315" s="6" t="n"/>
      <c r="C315" s="6" t="n"/>
      <c r="D315" s="6" t="n"/>
      <c r="E315" s="6" t="n"/>
      <c r="F315" s="6" t="n"/>
      <c r="G315" s="6" t="n"/>
      <c r="H315" s="6" t="n"/>
      <c r="I315" s="6" t="n"/>
    </row>
    <row r="316">
      <c r="A316" s="6" t="n"/>
      <c r="B316" s="6" t="n"/>
      <c r="C316" s="6" t="n"/>
      <c r="D316" s="6" t="n"/>
      <c r="E316" s="6" t="n"/>
      <c r="F316" s="6" t="n"/>
      <c r="G316" s="6" t="n"/>
      <c r="H316" s="6" t="n"/>
      <c r="I316" s="6" t="n"/>
    </row>
    <row r="317">
      <c r="A317" s="6" t="n"/>
      <c r="B317" s="6" t="n"/>
      <c r="C317" s="6" t="n"/>
      <c r="D317" s="6" t="n"/>
      <c r="E317" s="6" t="n"/>
      <c r="F317" s="6" t="n"/>
      <c r="G317" s="6" t="n"/>
      <c r="H317" s="6" t="n"/>
      <c r="I317" s="6" t="n"/>
    </row>
    <row r="318">
      <c r="A318" s="6" t="n"/>
      <c r="B318" s="6" t="n"/>
      <c r="C318" s="6" t="n"/>
      <c r="D318" s="6" t="n"/>
      <c r="E318" s="6" t="n"/>
      <c r="F318" s="6" t="n"/>
      <c r="G318" s="6" t="n"/>
      <c r="H318" s="6" t="n"/>
      <c r="I318" s="6" t="n"/>
    </row>
    <row r="319">
      <c r="A319" s="6" t="n"/>
      <c r="B319" s="6" t="n"/>
      <c r="C319" s="6" t="n"/>
      <c r="D319" s="6" t="n"/>
      <c r="E319" s="6" t="n"/>
      <c r="F319" s="6" t="n"/>
      <c r="G319" s="6" t="n"/>
      <c r="H319" s="6" t="n"/>
      <c r="I319" s="6" t="n"/>
    </row>
    <row r="320">
      <c r="A320" s="6" t="n"/>
      <c r="B320" s="6" t="n"/>
      <c r="C320" s="6" t="n"/>
      <c r="D320" s="6" t="n"/>
      <c r="E320" s="6" t="n"/>
      <c r="F320" s="6" t="n"/>
      <c r="G320" s="6" t="n"/>
      <c r="H320" s="6" t="n"/>
      <c r="I320" s="6" t="n"/>
    </row>
    <row r="321">
      <c r="A321" s="6" t="n"/>
      <c r="B321" s="6" t="n"/>
      <c r="C321" s="6" t="n"/>
      <c r="D321" s="6" t="n"/>
      <c r="E321" s="6" t="n"/>
      <c r="F321" s="6" t="n"/>
      <c r="G321" s="6" t="n"/>
      <c r="H321" s="6" t="n"/>
      <c r="I321" s="6" t="n"/>
    </row>
    <row r="322">
      <c r="A322" s="6" t="n"/>
      <c r="B322" s="6" t="n"/>
      <c r="C322" s="6" t="n"/>
      <c r="D322" s="6" t="n"/>
      <c r="E322" s="6" t="n"/>
      <c r="F322" s="6" t="n"/>
      <c r="G322" s="6" t="n"/>
      <c r="H322" s="6" t="n"/>
      <c r="I322" s="6" t="n"/>
    </row>
    <row r="323">
      <c r="A323" s="6" t="n"/>
      <c r="B323" s="6" t="n"/>
      <c r="C323" s="6" t="n"/>
      <c r="D323" s="6" t="n"/>
      <c r="E323" s="6" t="n"/>
      <c r="F323" s="6" t="n"/>
      <c r="G323" s="6" t="n"/>
      <c r="H323" s="6" t="n"/>
      <c r="I323" s="6" t="n"/>
    </row>
    <row r="324">
      <c r="A324" s="6" t="n"/>
      <c r="B324" s="6" t="n"/>
      <c r="C324" s="6" t="n"/>
      <c r="D324" s="6" t="n"/>
      <c r="E324" s="6" t="n"/>
      <c r="F324" s="6" t="n"/>
      <c r="G324" s="6" t="n"/>
      <c r="H324" s="6" t="n"/>
      <c r="I324" s="6" t="n"/>
    </row>
    <row r="325">
      <c r="A325" s="6" t="n"/>
      <c r="B325" s="6" t="n"/>
      <c r="C325" s="6" t="n"/>
      <c r="D325" s="6" t="n"/>
      <c r="E325" s="6" t="n"/>
      <c r="F325" s="6" t="n"/>
      <c r="G325" s="6" t="n"/>
      <c r="H325" s="6" t="n"/>
      <c r="I325" s="6" t="n"/>
    </row>
    <row r="326">
      <c r="A326" s="6" t="n"/>
      <c r="B326" s="6" t="n"/>
      <c r="C326" s="6" t="n"/>
      <c r="D326" s="6" t="n"/>
      <c r="E326" s="6" t="n"/>
      <c r="F326" s="6" t="n"/>
      <c r="G326" s="6" t="n"/>
      <c r="H326" s="6" t="n"/>
      <c r="I326" s="6" t="n"/>
    </row>
    <row r="327">
      <c r="A327" s="6" t="n"/>
      <c r="B327" s="6" t="n"/>
      <c r="C327" s="6" t="n"/>
      <c r="D327" s="6" t="n"/>
      <c r="E327" s="6" t="n"/>
      <c r="F327" s="6" t="n"/>
      <c r="G327" s="6" t="n"/>
      <c r="H327" s="6" t="n"/>
      <c r="I327" s="6" t="n"/>
    </row>
    <row r="328">
      <c r="A328" s="6" t="n"/>
      <c r="B328" s="6" t="n"/>
      <c r="C328" s="6" t="n"/>
      <c r="D328" s="6" t="n"/>
      <c r="E328" s="6" t="n"/>
      <c r="F328" s="6" t="n"/>
      <c r="G328" s="6" t="n"/>
      <c r="H328" s="6" t="n"/>
      <c r="I328" s="6" t="n"/>
    </row>
    <row r="329">
      <c r="A329" s="6" t="n"/>
      <c r="B329" s="6" t="n"/>
      <c r="C329" s="6" t="n"/>
      <c r="D329" s="6" t="n"/>
      <c r="E329" s="6" t="n"/>
      <c r="F329" s="6" t="n"/>
      <c r="G329" s="6" t="n"/>
      <c r="H329" s="6" t="n"/>
      <c r="I329" s="6" t="n"/>
    </row>
    <row r="330">
      <c r="A330" s="6" t="n"/>
      <c r="B330" s="6" t="n"/>
      <c r="C330" s="6" t="n"/>
      <c r="D330" s="6" t="n"/>
      <c r="E330" s="6" t="n"/>
      <c r="F330" s="6" t="n"/>
      <c r="G330" s="6" t="n"/>
      <c r="H330" s="6" t="n"/>
      <c r="I330" s="6" t="n"/>
    </row>
    <row r="331">
      <c r="A331" s="6" t="n"/>
      <c r="B331" s="6" t="n"/>
      <c r="C331" s="6" t="n"/>
      <c r="D331" s="6" t="n"/>
      <c r="E331" s="6" t="n"/>
      <c r="F331" s="6" t="n"/>
      <c r="G331" s="6" t="n"/>
      <c r="H331" s="6" t="n"/>
      <c r="I331" s="6" t="n"/>
    </row>
    <row r="332">
      <c r="A332" s="6" t="n"/>
      <c r="B332" s="6" t="n"/>
      <c r="C332" s="6" t="n"/>
      <c r="D332" s="6" t="n"/>
      <c r="E332" s="6" t="n"/>
      <c r="F332" s="6" t="n"/>
      <c r="G332" s="6" t="n"/>
      <c r="H332" s="6" t="n"/>
      <c r="I332" s="6" t="n"/>
    </row>
    <row r="333">
      <c r="A333" s="6" t="n"/>
      <c r="B333" s="6" t="n"/>
      <c r="C333" s="6" t="n"/>
      <c r="D333" s="6" t="n"/>
      <c r="E333" s="6" t="n"/>
      <c r="F333" s="6" t="n"/>
      <c r="G333" s="6" t="n"/>
      <c r="H333" s="6" t="n"/>
      <c r="I333" s="6" t="n"/>
    </row>
    <row r="334">
      <c r="A334" s="6" t="n"/>
      <c r="B334" s="6" t="n"/>
      <c r="C334" s="6" t="n"/>
      <c r="D334" s="6" t="n"/>
      <c r="E334" s="6" t="n"/>
      <c r="F334" s="6" t="n"/>
      <c r="G334" s="6" t="n"/>
      <c r="H334" s="6" t="n"/>
      <c r="I334" s="6" t="n"/>
    </row>
    <row r="335">
      <c r="A335" s="6" t="n"/>
      <c r="B335" s="6" t="n"/>
      <c r="C335" s="6" t="n"/>
      <c r="D335" s="6" t="n"/>
      <c r="E335" s="6" t="n"/>
      <c r="F335" s="6" t="n"/>
      <c r="G335" s="6" t="n"/>
      <c r="H335" s="6" t="n"/>
      <c r="I335" s="6" t="n"/>
    </row>
    <row r="336">
      <c r="A336" s="6" t="n"/>
      <c r="B336" s="6" t="n"/>
      <c r="C336" s="6" t="n"/>
      <c r="D336" s="6" t="n"/>
      <c r="E336" s="6" t="n"/>
      <c r="F336" s="6" t="n"/>
      <c r="G336" s="6" t="n"/>
      <c r="H336" s="6" t="n"/>
      <c r="I336" s="6" t="n"/>
    </row>
    <row r="337">
      <c r="A337" s="6" t="n"/>
      <c r="B337" s="6" t="n"/>
      <c r="C337" s="6" t="n"/>
      <c r="D337" s="6" t="n"/>
      <c r="E337" s="6" t="n"/>
      <c r="F337" s="6" t="n"/>
      <c r="G337" s="6" t="n"/>
      <c r="H337" s="6" t="n"/>
      <c r="I337" s="6" t="n"/>
    </row>
    <row r="338">
      <c r="A338" s="6" t="n"/>
      <c r="B338" s="6" t="n"/>
      <c r="C338" s="6" t="n"/>
      <c r="D338" s="6" t="n"/>
      <c r="E338" s="6" t="n"/>
      <c r="F338" s="6" t="n"/>
      <c r="G338" s="6" t="n"/>
      <c r="H338" s="6" t="n"/>
      <c r="I338" s="6" t="n"/>
    </row>
    <row r="339">
      <c r="A339" s="6" t="n"/>
      <c r="B339" s="6" t="n"/>
      <c r="C339" s="6" t="n"/>
      <c r="D339" s="6" t="n"/>
      <c r="E339" s="6" t="n"/>
      <c r="F339" s="6" t="n"/>
      <c r="G339" s="6" t="n"/>
      <c r="H339" s="6" t="n"/>
      <c r="I339" s="6" t="n"/>
    </row>
    <row r="340">
      <c r="A340" s="6" t="n"/>
      <c r="B340" s="6" t="n"/>
      <c r="C340" s="6" t="n"/>
      <c r="D340" s="6" t="n"/>
      <c r="E340" s="6" t="n"/>
      <c r="F340" s="6" t="n"/>
      <c r="G340" s="6" t="n"/>
      <c r="H340" s="6" t="n"/>
      <c r="I340" s="6" t="n"/>
    </row>
    <row r="341">
      <c r="A341" s="6" t="n"/>
      <c r="B341" s="6" t="n"/>
      <c r="C341" s="6" t="n"/>
      <c r="D341" s="6" t="n"/>
      <c r="E341" s="6" t="n"/>
      <c r="F341" s="6" t="n"/>
      <c r="G341" s="6" t="n"/>
      <c r="H341" s="6" t="n"/>
      <c r="I341" s="6" t="n"/>
    </row>
    <row r="342">
      <c r="A342" s="6" t="n"/>
      <c r="B342" s="6" t="n"/>
      <c r="C342" s="6" t="n"/>
      <c r="D342" s="6" t="n"/>
      <c r="E342" s="6" t="n"/>
      <c r="F342" s="6" t="n"/>
      <c r="G342" s="6" t="n"/>
      <c r="H342" s="6" t="n"/>
      <c r="I342" s="6" t="n"/>
    </row>
    <row r="343">
      <c r="A343" s="6" t="n"/>
      <c r="B343" s="6" t="n"/>
      <c r="C343" s="6" t="n"/>
      <c r="D343" s="6" t="n"/>
      <c r="E343" s="6" t="n"/>
      <c r="F343" s="6" t="n"/>
      <c r="G343" s="6" t="n"/>
      <c r="H343" s="6" t="n"/>
      <c r="I343" s="6" t="n"/>
    </row>
    <row r="344">
      <c r="A344" s="6" t="n"/>
      <c r="B344" s="6" t="n"/>
      <c r="C344" s="6" t="n"/>
      <c r="D344" s="6" t="n"/>
      <c r="E344" s="6" t="n"/>
      <c r="F344" s="6" t="n"/>
      <c r="G344" s="6" t="n"/>
      <c r="H344" s="6" t="n"/>
      <c r="I344" s="6" t="n"/>
    </row>
    <row r="345">
      <c r="A345" s="6" t="n"/>
      <c r="B345" s="6" t="n"/>
      <c r="C345" s="6" t="n"/>
      <c r="D345" s="6" t="n"/>
      <c r="E345" s="6" t="n"/>
      <c r="F345" s="6" t="n"/>
      <c r="G345" s="6" t="n"/>
      <c r="H345" s="6" t="n"/>
      <c r="I345" s="6" t="n"/>
    </row>
    <row r="346">
      <c r="A346" s="6" t="n"/>
      <c r="B346" s="6" t="n"/>
      <c r="C346" s="6" t="n"/>
      <c r="D346" s="6" t="n"/>
      <c r="E346" s="6" t="n"/>
      <c r="F346" s="6" t="n"/>
      <c r="G346" s="6" t="n"/>
      <c r="H346" s="6" t="n"/>
      <c r="I346" s="6" t="n"/>
    </row>
    <row r="347">
      <c r="A347" s="6" t="n"/>
      <c r="B347" s="6" t="n"/>
      <c r="C347" s="6" t="n"/>
      <c r="D347" s="6" t="n"/>
      <c r="E347" s="6" t="n"/>
      <c r="F347" s="6" t="n"/>
      <c r="G347" s="6" t="n"/>
      <c r="H347" s="6" t="n"/>
      <c r="I347" s="6" t="n"/>
    </row>
    <row r="348">
      <c r="A348" s="6" t="n"/>
      <c r="B348" s="6" t="n"/>
      <c r="C348" s="6" t="n"/>
      <c r="D348" s="6" t="n"/>
      <c r="E348" s="6" t="n"/>
      <c r="F348" s="6" t="n"/>
      <c r="G348" s="6" t="n"/>
      <c r="H348" s="6" t="n"/>
      <c r="I348" s="6" t="n"/>
    </row>
    <row r="349">
      <c r="A349" s="6" t="n"/>
      <c r="B349" s="6" t="n"/>
      <c r="C349" s="6" t="n"/>
      <c r="D349" s="6" t="n"/>
      <c r="E349" s="6" t="n"/>
      <c r="F349" s="6" t="n"/>
      <c r="G349" s="6" t="n"/>
      <c r="H349" s="6" t="n"/>
      <c r="I349" s="6" t="n"/>
    </row>
    <row r="350">
      <c r="A350" s="6" t="n"/>
      <c r="B350" s="6" t="n"/>
      <c r="C350" s="6" t="n"/>
      <c r="D350" s="6" t="n"/>
      <c r="E350" s="6" t="n"/>
      <c r="F350" s="6" t="n"/>
      <c r="G350" s="6" t="n"/>
      <c r="H350" s="6" t="n"/>
      <c r="I350" s="6" t="n"/>
    </row>
    <row r="351">
      <c r="A351" s="6" t="n"/>
      <c r="B351" s="6" t="n"/>
      <c r="C351" s="6" t="n"/>
      <c r="D351" s="6" t="n"/>
      <c r="E351" s="6" t="n"/>
      <c r="F351" s="6" t="n"/>
      <c r="G351" s="6" t="n"/>
      <c r="H351" s="6" t="n"/>
      <c r="I351" s="6" t="n"/>
    </row>
    <row r="352">
      <c r="A352" s="6" t="n"/>
      <c r="B352" s="6" t="n"/>
      <c r="C352" s="6" t="n"/>
      <c r="D352" s="6" t="n"/>
      <c r="E352" s="6" t="n"/>
      <c r="F352" s="6" t="n"/>
      <c r="G352" s="6" t="n"/>
      <c r="H352" s="6" t="n"/>
      <c r="I352" s="6" t="n"/>
    </row>
    <row r="353">
      <c r="A353" s="6" t="n"/>
      <c r="B353" s="6" t="n"/>
      <c r="C353" s="6" t="n"/>
      <c r="D353" s="6" t="n"/>
      <c r="E353" s="6" t="n"/>
      <c r="F353" s="6" t="n"/>
      <c r="G353" s="6" t="n"/>
      <c r="H353" s="6" t="n"/>
      <c r="I353" s="6" t="n"/>
    </row>
    <row r="354">
      <c r="A354" s="6" t="n"/>
      <c r="B354" s="6" t="n"/>
      <c r="C354" s="6" t="n"/>
      <c r="D354" s="6" t="n"/>
      <c r="E354" s="6" t="n"/>
      <c r="F354" s="6" t="n"/>
      <c r="G354" s="6" t="n"/>
      <c r="H354" s="6" t="n"/>
      <c r="I354" s="6" t="n"/>
    </row>
    <row r="355">
      <c r="A355" s="6" t="n"/>
      <c r="B355" s="6" t="n"/>
      <c r="C355" s="6" t="n"/>
      <c r="D355" s="6" t="n"/>
      <c r="E355" s="6" t="n"/>
      <c r="F355" s="6" t="n"/>
      <c r="G355" s="6" t="n"/>
      <c r="H355" s="6" t="n"/>
      <c r="I355" s="6" t="n"/>
    </row>
    <row r="356">
      <c r="A356" s="6" t="n"/>
      <c r="B356" s="6" t="n"/>
      <c r="C356" s="6" t="n"/>
      <c r="D356" s="6" t="n"/>
      <c r="E356" s="6" t="n"/>
      <c r="F356" s="6" t="n"/>
      <c r="G356" s="6" t="n"/>
      <c r="H356" s="6" t="n"/>
      <c r="I356" s="6" t="n"/>
    </row>
    <row r="357">
      <c r="A357" s="6" t="n"/>
      <c r="B357" s="6" t="n"/>
      <c r="C357" s="6" t="n"/>
      <c r="D357" s="6" t="n"/>
      <c r="E357" s="6" t="n"/>
      <c r="F357" s="6" t="n"/>
      <c r="G357" s="6" t="n"/>
      <c r="H357" s="6" t="n"/>
      <c r="I357" s="6" t="n"/>
    </row>
    <row r="358">
      <c r="A358" s="6" t="n"/>
      <c r="B358" s="6" t="n"/>
      <c r="C358" s="6" t="n"/>
      <c r="D358" s="6" t="n"/>
      <c r="E358" s="6" t="n"/>
      <c r="F358" s="6" t="n"/>
      <c r="G358" s="6" t="n"/>
      <c r="H358" s="6" t="n"/>
      <c r="I358" s="6" t="n"/>
    </row>
    <row r="359">
      <c r="A359" s="6" t="n"/>
      <c r="B359" s="6" t="n"/>
      <c r="C359" s="6" t="n"/>
      <c r="D359" s="6" t="n"/>
      <c r="E359" s="6" t="n"/>
      <c r="F359" s="6" t="n"/>
      <c r="G359" s="6" t="n"/>
      <c r="H359" s="6" t="n"/>
      <c r="I359" s="6" t="n"/>
    </row>
    <row r="360">
      <c r="A360" s="6" t="n"/>
      <c r="B360" s="6" t="n"/>
      <c r="C360" s="6" t="n"/>
      <c r="D360" s="6" t="n"/>
      <c r="E360" s="6" t="n"/>
      <c r="F360" s="6" t="n"/>
      <c r="G360" s="6" t="n"/>
      <c r="H360" s="6" t="n"/>
      <c r="I360" s="6" t="n"/>
    </row>
    <row r="361">
      <c r="A361" s="6" t="n"/>
      <c r="B361" s="6" t="n"/>
      <c r="C361" s="6" t="n"/>
      <c r="D361" s="6" t="n"/>
      <c r="E361" s="6" t="n"/>
      <c r="F361" s="6" t="n"/>
      <c r="G361" s="6" t="n"/>
      <c r="H361" s="6" t="n"/>
      <c r="I361" s="6" t="n"/>
    </row>
    <row r="362">
      <c r="A362" s="6" t="n"/>
      <c r="B362" s="6" t="n"/>
      <c r="C362" s="6" t="n"/>
      <c r="D362" s="6" t="n"/>
      <c r="E362" s="6" t="n"/>
      <c r="F362" s="6" t="n"/>
      <c r="G362" s="6" t="n"/>
      <c r="H362" s="6" t="n"/>
      <c r="I362" s="6" t="n"/>
    </row>
    <row r="363">
      <c r="A363" s="6" t="n"/>
      <c r="B363" s="6" t="n"/>
      <c r="C363" s="6" t="n"/>
      <c r="D363" s="6" t="n"/>
      <c r="E363" s="6" t="n"/>
      <c r="F363" s="6" t="n"/>
      <c r="G363" s="6" t="n"/>
      <c r="H363" s="6" t="n"/>
      <c r="I363" s="6" t="n"/>
    </row>
    <row r="364">
      <c r="A364" s="6" t="n"/>
      <c r="B364" s="6" t="n"/>
      <c r="C364" s="6" t="n"/>
      <c r="D364" s="6" t="n"/>
      <c r="E364" s="6" t="n"/>
      <c r="F364" s="6" t="n"/>
      <c r="G364" s="6" t="n"/>
      <c r="H364" s="6" t="n"/>
      <c r="I364" s="6" t="n"/>
    </row>
    <row r="365">
      <c r="A365" s="6" t="n"/>
      <c r="B365" s="6" t="n"/>
      <c r="C365" s="6" t="n"/>
      <c r="D365" s="6" t="n"/>
      <c r="E365" s="6" t="n"/>
      <c r="F365" s="6" t="n"/>
      <c r="G365" s="6" t="n"/>
      <c r="H365" s="6" t="n"/>
      <c r="I365" s="6" t="n"/>
    </row>
    <row r="366">
      <c r="A366" s="6" t="n"/>
      <c r="B366" s="6" t="n"/>
      <c r="C366" s="6" t="n"/>
      <c r="D366" s="6" t="n"/>
      <c r="E366" s="6" t="n"/>
      <c r="F366" s="6" t="n"/>
      <c r="G366" s="6" t="n"/>
      <c r="H366" s="6" t="n"/>
      <c r="I366" s="6" t="n"/>
    </row>
    <row r="367">
      <c r="A367" s="6" t="n"/>
      <c r="B367" s="6" t="n"/>
      <c r="C367" s="6" t="n"/>
      <c r="D367" s="6" t="n"/>
      <c r="E367" s="6" t="n"/>
      <c r="F367" s="6" t="n"/>
      <c r="G367" s="6" t="n"/>
      <c r="H367" s="6" t="n"/>
      <c r="I367" s="6" t="n"/>
    </row>
    <row r="368">
      <c r="A368" s="6" t="n"/>
      <c r="B368" s="6" t="n"/>
      <c r="C368" s="6" t="n"/>
      <c r="D368" s="6" t="n"/>
      <c r="E368" s="6" t="n"/>
      <c r="F368" s="6" t="n"/>
      <c r="G368" s="6" t="n"/>
      <c r="H368" s="6" t="n"/>
      <c r="I368" s="6" t="n"/>
    </row>
    <row r="369">
      <c r="A369" s="6" t="n"/>
      <c r="B369" s="6" t="n"/>
      <c r="C369" s="6" t="n"/>
      <c r="D369" s="6" t="n"/>
      <c r="E369" s="6" t="n"/>
      <c r="F369" s="6" t="n"/>
      <c r="G369" s="6" t="n"/>
      <c r="H369" s="6" t="n"/>
      <c r="I369" s="6" t="n"/>
    </row>
    <row r="370">
      <c r="A370" s="6" t="n"/>
      <c r="B370" s="6" t="n"/>
      <c r="C370" s="6" t="n"/>
      <c r="D370" s="6" t="n"/>
      <c r="E370" s="6" t="n"/>
      <c r="F370" s="6" t="n"/>
      <c r="G370" s="6" t="n"/>
      <c r="H370" s="6" t="n"/>
      <c r="I370" s="6" t="n"/>
    </row>
    <row r="371">
      <c r="A371" s="6" t="n"/>
      <c r="B371" s="6" t="n"/>
      <c r="C371" s="6" t="n"/>
      <c r="D371" s="6" t="n"/>
      <c r="E371" s="6" t="n"/>
      <c r="F371" s="6" t="n"/>
      <c r="G371" s="6" t="n"/>
      <c r="H371" s="6" t="n"/>
      <c r="I371" s="6" t="n"/>
    </row>
    <row r="372">
      <c r="A372" s="6" t="n"/>
      <c r="B372" s="6" t="n"/>
      <c r="C372" s="6" t="n"/>
      <c r="D372" s="6" t="n"/>
      <c r="E372" s="6" t="n"/>
      <c r="F372" s="6" t="n"/>
      <c r="G372" s="6" t="n"/>
      <c r="H372" s="6" t="n"/>
      <c r="I372" s="6" t="n"/>
    </row>
    <row r="373">
      <c r="A373" s="6" t="n"/>
      <c r="B373" s="6" t="n"/>
      <c r="C373" s="6" t="n"/>
      <c r="D373" s="6" t="n"/>
      <c r="E373" s="6" t="n"/>
      <c r="F373" s="6" t="n"/>
      <c r="G373" s="6" t="n"/>
      <c r="H373" s="6" t="n"/>
      <c r="I373" s="6" t="n"/>
    </row>
    <row r="374">
      <c r="A374" s="6" t="n"/>
      <c r="B374" s="6" t="n"/>
      <c r="C374" s="6" t="n"/>
      <c r="D374" s="6" t="n"/>
      <c r="E374" s="6" t="n"/>
      <c r="F374" s="6" t="n"/>
      <c r="G374" s="6" t="n"/>
      <c r="H374" s="6" t="n"/>
      <c r="I374" s="6" t="n"/>
    </row>
    <row r="375">
      <c r="A375" s="6" t="n"/>
      <c r="B375" s="6" t="n"/>
      <c r="C375" s="6" t="n"/>
      <c r="D375" s="6" t="n"/>
      <c r="E375" s="6" t="n"/>
      <c r="F375" s="6" t="n"/>
      <c r="G375" s="6" t="n"/>
      <c r="H375" s="6" t="n"/>
      <c r="I375" s="6" t="n"/>
    </row>
    <row r="376">
      <c r="A376" s="6" t="n"/>
      <c r="B376" s="6" t="n"/>
      <c r="C376" s="6" t="n"/>
      <c r="D376" s="6" t="n"/>
      <c r="E376" s="6" t="n"/>
      <c r="F376" s="6" t="n"/>
      <c r="G376" s="6" t="n"/>
      <c r="H376" s="6" t="n"/>
      <c r="I376" s="6" t="n"/>
    </row>
    <row r="377">
      <c r="A377" s="6" t="n"/>
      <c r="B377" s="6" t="n"/>
      <c r="C377" s="6" t="n"/>
      <c r="D377" s="6" t="n"/>
      <c r="E377" s="6" t="n"/>
      <c r="F377" s="6" t="n"/>
      <c r="G377" s="6" t="n"/>
      <c r="H377" s="6" t="n"/>
      <c r="I377" s="6" t="n"/>
    </row>
    <row r="378">
      <c r="A378" s="6" t="n"/>
      <c r="B378" s="6" t="n"/>
      <c r="C378" s="6" t="n"/>
      <c r="D378" s="6" t="n"/>
      <c r="E378" s="6" t="n"/>
      <c r="F378" s="6" t="n"/>
      <c r="G378" s="6" t="n"/>
      <c r="H378" s="6" t="n"/>
      <c r="I378" s="6" t="n"/>
    </row>
    <row r="379">
      <c r="A379" s="6" t="n"/>
      <c r="B379" s="6" t="n"/>
      <c r="C379" s="6" t="n"/>
      <c r="D379" s="6" t="n"/>
      <c r="E379" s="6" t="n"/>
      <c r="F379" s="6" t="n"/>
      <c r="G379" s="6" t="n"/>
      <c r="H379" s="6" t="n"/>
      <c r="I379" s="6" t="n"/>
    </row>
    <row r="380">
      <c r="A380" s="6" t="n"/>
      <c r="B380" s="6" t="n"/>
      <c r="C380" s="6" t="n"/>
      <c r="D380" s="6" t="n"/>
      <c r="E380" s="6" t="n"/>
      <c r="F380" s="6" t="n"/>
      <c r="G380" s="6" t="n"/>
      <c r="H380" s="6" t="n"/>
      <c r="I380" s="6" t="n"/>
    </row>
    <row r="381">
      <c r="A381" s="6" t="n"/>
      <c r="B381" s="6" t="n"/>
      <c r="C381" s="6" t="n"/>
      <c r="D381" s="6" t="n"/>
      <c r="E381" s="6" t="n"/>
      <c r="F381" s="6" t="n"/>
      <c r="G381" s="6" t="n"/>
      <c r="H381" s="6" t="n"/>
      <c r="I381" s="6" t="n"/>
    </row>
    <row r="382">
      <c r="A382" s="6" t="n"/>
      <c r="B382" s="6" t="n"/>
      <c r="C382" s="6" t="n"/>
      <c r="D382" s="6" t="n"/>
      <c r="E382" s="6" t="n"/>
      <c r="F382" s="6" t="n"/>
      <c r="G382" s="6" t="n"/>
      <c r="H382" s="6" t="n"/>
      <c r="I382" s="6" t="n"/>
    </row>
    <row r="383">
      <c r="A383" s="6" t="n"/>
      <c r="B383" s="6" t="n"/>
      <c r="C383" s="6" t="n"/>
      <c r="D383" s="6" t="n"/>
      <c r="E383" s="6" t="n"/>
      <c r="F383" s="6" t="n"/>
      <c r="G383" s="6" t="n"/>
      <c r="H383" s="6" t="n"/>
      <c r="I383" s="6" t="n"/>
    </row>
    <row r="384">
      <c r="A384" s="6" t="n"/>
      <c r="B384" s="6" t="n"/>
      <c r="C384" s="6" t="n"/>
      <c r="D384" s="6" t="n"/>
      <c r="E384" s="6" t="n"/>
      <c r="F384" s="6" t="n"/>
      <c r="G384" s="6" t="n"/>
      <c r="H384" s="6" t="n"/>
      <c r="I384" s="6" t="n"/>
    </row>
    <row r="385">
      <c r="A385" s="6" t="n"/>
      <c r="B385" s="6" t="n"/>
      <c r="C385" s="6" t="n"/>
      <c r="D385" s="6" t="n"/>
      <c r="E385" s="6" t="n"/>
      <c r="F385" s="6" t="n"/>
      <c r="G385" s="6" t="n"/>
      <c r="H385" s="6" t="n"/>
      <c r="I385" s="6" t="n"/>
    </row>
    <row r="386">
      <c r="A386" s="6" t="n"/>
      <c r="B386" s="6" t="n"/>
      <c r="C386" s="6" t="n"/>
      <c r="D386" s="6" t="n"/>
      <c r="E386" s="6" t="n"/>
      <c r="F386" s="6" t="n"/>
      <c r="G386" s="6" t="n"/>
      <c r="H386" s="6" t="n"/>
      <c r="I386" s="6" t="n"/>
    </row>
    <row r="387">
      <c r="A387" s="6" t="n"/>
      <c r="B387" s="6" t="n"/>
      <c r="C387" s="6" t="n"/>
      <c r="D387" s="6" t="n"/>
      <c r="E387" s="6" t="n"/>
      <c r="F387" s="6" t="n"/>
      <c r="G387" s="6" t="n"/>
      <c r="H387" s="6" t="n"/>
      <c r="I387" s="6" t="n"/>
    </row>
    <row r="388">
      <c r="A388" s="6" t="n"/>
      <c r="B388" s="6" t="n"/>
      <c r="C388" s="6" t="n"/>
      <c r="D388" s="6" t="n"/>
      <c r="E388" s="6" t="n"/>
      <c r="F388" s="6" t="n"/>
      <c r="G388" s="6" t="n"/>
      <c r="H388" s="6" t="n"/>
      <c r="I388" s="6" t="n"/>
    </row>
    <row r="389">
      <c r="A389" s="6" t="n"/>
      <c r="B389" s="6" t="n"/>
      <c r="C389" s="6" t="n"/>
      <c r="D389" s="6" t="n"/>
      <c r="E389" s="6" t="n"/>
      <c r="F389" s="6" t="n"/>
      <c r="G389" s="6" t="n"/>
      <c r="H389" s="6" t="n"/>
      <c r="I389" s="6" t="n"/>
    </row>
    <row r="390">
      <c r="A390" s="6" t="n"/>
      <c r="B390" s="6" t="n"/>
      <c r="C390" s="6" t="n"/>
      <c r="D390" s="6" t="n"/>
      <c r="E390" s="6" t="n"/>
      <c r="F390" s="6" t="n"/>
      <c r="G390" s="6" t="n"/>
      <c r="H390" s="6" t="n"/>
      <c r="I390" s="6" t="n"/>
    </row>
    <row r="391">
      <c r="A391" s="6" t="n"/>
      <c r="B391" s="6" t="n"/>
      <c r="C391" s="6" t="n"/>
      <c r="D391" s="6" t="n"/>
      <c r="E391" s="6" t="n"/>
      <c r="F391" s="6" t="n"/>
      <c r="G391" s="6" t="n"/>
      <c r="H391" s="6" t="n"/>
      <c r="I391" s="6" t="n"/>
    </row>
    <row r="392">
      <c r="A392" s="6" t="n"/>
      <c r="B392" s="6" t="n"/>
      <c r="C392" s="6" t="n"/>
      <c r="D392" s="6" t="n"/>
      <c r="E392" s="6" t="n"/>
      <c r="F392" s="6" t="n"/>
      <c r="G392" s="6" t="n"/>
      <c r="H392" s="6" t="n"/>
      <c r="I392" s="6" t="n"/>
    </row>
    <row r="393">
      <c r="A393" s="6" t="n"/>
      <c r="B393" s="6" t="n"/>
      <c r="C393" s="6" t="n"/>
      <c r="D393" s="6" t="n"/>
      <c r="E393" s="6" t="n"/>
      <c r="F393" s="6" t="n"/>
      <c r="G393" s="6" t="n"/>
      <c r="H393" s="6" t="n"/>
      <c r="I393" s="6" t="n"/>
    </row>
    <row r="394">
      <c r="A394" s="6" t="n"/>
      <c r="B394" s="6" t="n"/>
      <c r="C394" s="6" t="n"/>
      <c r="D394" s="6" t="n"/>
      <c r="E394" s="6" t="n"/>
      <c r="F394" s="6" t="n"/>
      <c r="G394" s="6" t="n"/>
      <c r="H394" s="6" t="n"/>
      <c r="I394" s="6" t="n"/>
    </row>
    <row r="395">
      <c r="A395" s="6" t="n"/>
      <c r="B395" s="6" t="n"/>
      <c r="C395" s="6" t="n"/>
      <c r="D395" s="6" t="n"/>
      <c r="E395" s="6" t="n"/>
      <c r="F395" s="6" t="n"/>
      <c r="G395" s="6" t="n"/>
      <c r="H395" s="6" t="n"/>
      <c r="I395" s="6" t="n"/>
    </row>
    <row r="396">
      <c r="A396" s="6" t="n"/>
      <c r="B396" s="6" t="n"/>
      <c r="C396" s="6" t="n"/>
      <c r="D396" s="6" t="n"/>
      <c r="E396" s="6" t="n"/>
      <c r="F396" s="6" t="n"/>
      <c r="G396" s="6" t="n"/>
      <c r="H396" s="6" t="n"/>
      <c r="I396" s="6" t="n"/>
    </row>
    <row r="397">
      <c r="A397" s="6" t="n"/>
      <c r="B397" s="6" t="n"/>
      <c r="C397" s="6" t="n"/>
      <c r="D397" s="6" t="n"/>
      <c r="E397" s="6" t="n"/>
      <c r="F397" s="6" t="n"/>
      <c r="G397" s="6" t="n"/>
      <c r="H397" s="6" t="n"/>
      <c r="I397" s="6" t="n"/>
    </row>
    <row r="398">
      <c r="A398" s="6" t="n"/>
      <c r="B398" s="6" t="n"/>
      <c r="C398" s="6" t="n"/>
      <c r="D398" s="6" t="n"/>
      <c r="E398" s="6" t="n"/>
      <c r="F398" s="6" t="n"/>
      <c r="G398" s="6" t="n"/>
      <c r="H398" s="6" t="n"/>
      <c r="I398" s="6" t="n"/>
    </row>
    <row r="399">
      <c r="A399" s="6" t="n"/>
      <c r="B399" s="6" t="n"/>
      <c r="C399" s="6" t="n"/>
      <c r="D399" s="6" t="n"/>
      <c r="E399" s="6" t="n"/>
      <c r="F399" s="6" t="n"/>
      <c r="G399" s="6" t="n"/>
      <c r="H399" s="6" t="n"/>
      <c r="I399" s="6" t="n"/>
    </row>
    <row r="400">
      <c r="A400" s="6" t="n"/>
      <c r="B400" s="6" t="n"/>
      <c r="C400" s="6" t="n"/>
      <c r="D400" s="6" t="n"/>
      <c r="E400" s="6" t="n"/>
      <c r="F400" s="6" t="n"/>
      <c r="G400" s="6" t="n"/>
      <c r="H400" s="6" t="n"/>
      <c r="I400" s="6" t="n"/>
    </row>
    <row r="401">
      <c r="A401" s="6" t="n"/>
      <c r="B401" s="6" t="n"/>
      <c r="C401" s="6" t="n"/>
      <c r="D401" s="6" t="n"/>
      <c r="E401" s="6" t="n"/>
      <c r="F401" s="6" t="n"/>
      <c r="G401" s="6" t="n"/>
      <c r="H401" s="6" t="n"/>
      <c r="I401" s="6" t="n"/>
    </row>
    <row r="402">
      <c r="A402" s="6" t="n"/>
      <c r="B402" s="6" t="n"/>
      <c r="C402" s="6" t="n"/>
      <c r="D402" s="6" t="n"/>
      <c r="E402" s="6" t="n"/>
      <c r="F402" s="6" t="n"/>
      <c r="G402" s="6" t="n"/>
      <c r="H402" s="6" t="n"/>
      <c r="I402" s="6" t="n"/>
    </row>
    <row r="403">
      <c r="A403" s="6" t="n"/>
      <c r="B403" s="6" t="n"/>
      <c r="C403" s="6" t="n"/>
      <c r="D403" s="6" t="n"/>
      <c r="E403" s="6" t="n"/>
      <c r="F403" s="6" t="n"/>
      <c r="G403" s="6" t="n"/>
      <c r="H403" s="6" t="n"/>
      <c r="I403" s="6" t="n"/>
    </row>
    <row r="404">
      <c r="A404" s="6" t="n"/>
      <c r="B404" s="6" t="n"/>
      <c r="C404" s="6" t="n"/>
      <c r="D404" s="6" t="n"/>
      <c r="E404" s="6" t="n"/>
      <c r="F404" s="6" t="n"/>
      <c r="G404" s="6" t="n"/>
      <c r="H404" s="6" t="n"/>
      <c r="I404" s="6" t="n"/>
    </row>
    <row r="405">
      <c r="A405" s="6" t="n"/>
      <c r="B405" s="6" t="n"/>
      <c r="C405" s="6" t="n"/>
      <c r="D405" s="6" t="n"/>
      <c r="E405" s="6" t="n"/>
      <c r="F405" s="6" t="n"/>
      <c r="G405" s="6" t="n"/>
      <c r="H405" s="6" t="n"/>
      <c r="I405" s="6" t="n"/>
    </row>
    <row r="406">
      <c r="A406" s="6" t="n"/>
      <c r="B406" s="6" t="n"/>
      <c r="C406" s="6" t="n"/>
      <c r="D406" s="6" t="n"/>
      <c r="E406" s="6" t="n"/>
      <c r="F406" s="6" t="n"/>
      <c r="G406" s="6" t="n"/>
      <c r="H406" s="6" t="n"/>
      <c r="I406" s="6" t="n"/>
    </row>
    <row r="407">
      <c r="A407" s="6" t="n"/>
      <c r="B407" s="6" t="n"/>
      <c r="C407" s="6" t="n"/>
      <c r="D407" s="6" t="n"/>
      <c r="E407" s="6" t="n"/>
      <c r="F407" s="6" t="n"/>
      <c r="G407" s="6" t="n"/>
      <c r="H407" s="6" t="n"/>
      <c r="I407" s="6" t="n"/>
    </row>
    <row r="408">
      <c r="A408" s="6" t="n"/>
      <c r="B408" s="6" t="n"/>
      <c r="C408" s="6" t="n"/>
      <c r="D408" s="6" t="n"/>
      <c r="E408" s="6" t="n"/>
      <c r="F408" s="6" t="n"/>
      <c r="G408" s="6" t="n"/>
      <c r="H408" s="6" t="n"/>
      <c r="I408" s="6" t="n"/>
    </row>
    <row r="409">
      <c r="A409" s="6" t="n"/>
      <c r="B409" s="6" t="n"/>
      <c r="C409" s="6" t="n"/>
      <c r="D409" s="6" t="n"/>
      <c r="E409" s="6" t="n"/>
      <c r="F409" s="6" t="n"/>
      <c r="G409" s="6" t="n"/>
      <c r="H409" s="6" t="n"/>
      <c r="I409" s="6" t="n"/>
    </row>
    <row r="410">
      <c r="A410" s="6" t="n"/>
      <c r="B410" s="6" t="n"/>
      <c r="C410" s="6" t="n"/>
      <c r="D410" s="6" t="n"/>
      <c r="E410" s="6" t="n"/>
      <c r="F410" s="6" t="n"/>
      <c r="G410" s="6" t="n"/>
      <c r="H410" s="6" t="n"/>
      <c r="I410" s="6" t="n"/>
    </row>
    <row r="411">
      <c r="A411" s="6" t="n"/>
      <c r="B411" s="6" t="n"/>
      <c r="C411" s="6" t="n"/>
      <c r="D411" s="6" t="n"/>
      <c r="E411" s="6" t="n"/>
      <c r="F411" s="6" t="n"/>
      <c r="G411" s="6" t="n"/>
      <c r="H411" s="6" t="n"/>
      <c r="I411" s="6" t="n"/>
    </row>
    <row r="412">
      <c r="A412" s="6" t="n"/>
      <c r="B412" s="6" t="n"/>
      <c r="C412" s="6" t="n"/>
      <c r="D412" s="6" t="n"/>
      <c r="E412" s="6" t="n"/>
      <c r="F412" s="6" t="n"/>
      <c r="G412" s="6" t="n"/>
      <c r="H412" s="6" t="n"/>
      <c r="I412" s="6" t="n"/>
    </row>
    <row r="413">
      <c r="A413" s="6" t="n"/>
      <c r="B413" s="6" t="n"/>
      <c r="C413" s="6" t="n"/>
      <c r="D413" s="6" t="n"/>
      <c r="E413" s="6" t="n"/>
      <c r="F413" s="6" t="n"/>
      <c r="G413" s="6" t="n"/>
      <c r="H413" s="6" t="n"/>
      <c r="I413" s="6" t="n"/>
    </row>
    <row r="414">
      <c r="A414" s="6" t="n"/>
      <c r="B414" s="6" t="n"/>
      <c r="C414" s="6" t="n"/>
      <c r="D414" s="6" t="n"/>
      <c r="E414" s="6" t="n"/>
      <c r="F414" s="6" t="n"/>
      <c r="G414" s="6" t="n"/>
      <c r="H414" s="6" t="n"/>
      <c r="I414" s="6" t="n"/>
    </row>
    <row r="415">
      <c r="A415" s="6" t="n"/>
      <c r="B415" s="6" t="n"/>
      <c r="C415" s="6" t="n"/>
      <c r="D415" s="6" t="n"/>
      <c r="E415" s="6" t="n"/>
      <c r="F415" s="6" t="n"/>
      <c r="G415" s="6" t="n"/>
      <c r="H415" s="6" t="n"/>
      <c r="I415" s="6" t="n"/>
    </row>
    <row r="416">
      <c r="A416" s="6" t="n"/>
      <c r="B416" s="6" t="n"/>
      <c r="C416" s="6" t="n"/>
      <c r="D416" s="6" t="n"/>
      <c r="E416" s="6" t="n"/>
      <c r="F416" s="6" t="n"/>
      <c r="G416" s="6" t="n"/>
      <c r="H416" s="6" t="n"/>
      <c r="I416" s="6" t="n"/>
    </row>
    <row r="417">
      <c r="A417" s="6" t="n"/>
      <c r="B417" s="6" t="n"/>
      <c r="C417" s="6" t="n"/>
      <c r="D417" s="6" t="n"/>
      <c r="E417" s="6" t="n"/>
      <c r="F417" s="6" t="n"/>
      <c r="G417" s="6" t="n"/>
      <c r="H417" s="6" t="n"/>
      <c r="I417" s="6" t="n"/>
    </row>
    <row r="418">
      <c r="A418" s="6" t="n"/>
      <c r="B418" s="6" t="n"/>
      <c r="C418" s="6" t="n"/>
      <c r="D418" s="6" t="n"/>
      <c r="E418" s="6" t="n"/>
      <c r="F418" s="6" t="n"/>
      <c r="G418" s="6" t="n"/>
      <c r="H418" s="6" t="n"/>
      <c r="I418" s="6" t="n"/>
    </row>
    <row r="419">
      <c r="A419" s="6" t="n"/>
      <c r="B419" s="6" t="n"/>
      <c r="C419" s="6" t="n"/>
      <c r="D419" s="6" t="n"/>
      <c r="E419" s="6" t="n"/>
      <c r="F419" s="6" t="n"/>
      <c r="G419" s="6" t="n"/>
      <c r="H419" s="6" t="n"/>
      <c r="I419" s="6" t="n"/>
    </row>
    <row r="420">
      <c r="A420" s="6" t="n"/>
      <c r="B420" s="6" t="n"/>
      <c r="C420" s="6" t="n"/>
      <c r="D420" s="6" t="n"/>
      <c r="E420" s="6" t="n"/>
      <c r="F420" s="6" t="n"/>
      <c r="G420" s="6" t="n"/>
      <c r="H420" s="6" t="n"/>
      <c r="I420" s="6" t="n"/>
    </row>
    <row r="421">
      <c r="A421" s="6" t="n"/>
      <c r="B421" s="6" t="n"/>
      <c r="C421" s="6" t="n"/>
      <c r="D421" s="6" t="n"/>
      <c r="E421" s="6" t="n"/>
      <c r="F421" s="6" t="n"/>
      <c r="G421" s="6" t="n"/>
      <c r="H421" s="6" t="n"/>
      <c r="I421" s="6" t="n"/>
    </row>
    <row r="422">
      <c r="A422" s="6" t="n"/>
      <c r="B422" s="6" t="n"/>
      <c r="C422" s="6" t="n"/>
      <c r="D422" s="6" t="n"/>
      <c r="E422" s="6" t="n"/>
      <c r="F422" s="6" t="n"/>
      <c r="G422" s="6" t="n"/>
      <c r="H422" s="6" t="n"/>
      <c r="I422" s="6" t="n"/>
    </row>
    <row r="423">
      <c r="A423" s="6" t="n"/>
      <c r="B423" s="6" t="n"/>
      <c r="C423" s="6" t="n"/>
      <c r="D423" s="6" t="n"/>
      <c r="E423" s="6" t="n"/>
      <c r="F423" s="6" t="n"/>
      <c r="G423" s="6" t="n"/>
      <c r="H423" s="6" t="n"/>
      <c r="I423" s="6" t="n"/>
    </row>
    <row r="424">
      <c r="A424" s="6" t="n"/>
      <c r="B424" s="6" t="n"/>
      <c r="C424" s="6" t="n"/>
      <c r="D424" s="6" t="n"/>
      <c r="E424" s="6" t="n"/>
      <c r="F424" s="6" t="n"/>
      <c r="G424" s="6" t="n"/>
      <c r="H424" s="6" t="n"/>
      <c r="I424" s="6" t="n"/>
    </row>
    <row r="425">
      <c r="A425" s="6" t="n"/>
      <c r="B425" s="6" t="n"/>
      <c r="C425" s="6" t="n"/>
      <c r="D425" s="6" t="n"/>
      <c r="E425" s="6" t="n"/>
      <c r="F425" s="6" t="n"/>
      <c r="G425" s="6" t="n"/>
      <c r="H425" s="6" t="n"/>
      <c r="I425" s="6" t="n"/>
    </row>
    <row r="426">
      <c r="A426" s="6" t="n"/>
      <c r="B426" s="6" t="n"/>
      <c r="C426" s="6" t="n"/>
      <c r="D426" s="6" t="n"/>
      <c r="E426" s="6" t="n"/>
      <c r="F426" s="6" t="n"/>
      <c r="G426" s="6" t="n"/>
      <c r="H426" s="6" t="n"/>
      <c r="I426" s="6" t="n"/>
    </row>
    <row r="427">
      <c r="A427" s="6" t="n"/>
      <c r="B427" s="6" t="n"/>
      <c r="C427" s="6" t="n"/>
      <c r="D427" s="6" t="n"/>
      <c r="E427" s="6" t="n"/>
      <c r="F427" s="6" t="n"/>
      <c r="G427" s="6" t="n"/>
      <c r="H427" s="6" t="n"/>
      <c r="I427" s="6" t="n"/>
    </row>
    <row r="428">
      <c r="A428" s="6" t="n"/>
      <c r="B428" s="6" t="n"/>
      <c r="C428" s="6" t="n"/>
      <c r="D428" s="6" t="n"/>
      <c r="E428" s="6" t="n"/>
      <c r="F428" s="6" t="n"/>
      <c r="G428" s="6" t="n"/>
      <c r="H428" s="6" t="n"/>
      <c r="I428" s="6" t="n"/>
    </row>
    <row r="429">
      <c r="A429" s="6" t="n"/>
      <c r="B429" s="6" t="n"/>
      <c r="C429" s="6" t="n"/>
      <c r="D429" s="6" t="n"/>
      <c r="E429" s="6" t="n"/>
      <c r="F429" s="6" t="n"/>
      <c r="G429" s="6" t="n"/>
      <c r="H429" s="6" t="n"/>
      <c r="I429" s="6" t="n"/>
    </row>
    <row r="430">
      <c r="A430" s="6" t="n"/>
      <c r="B430" s="6" t="n"/>
      <c r="C430" s="6" t="n"/>
      <c r="D430" s="6" t="n"/>
      <c r="E430" s="6" t="n"/>
      <c r="F430" s="6" t="n"/>
      <c r="G430" s="6" t="n"/>
      <c r="H430" s="6" t="n"/>
      <c r="I430" s="6" t="n"/>
    </row>
    <row r="431">
      <c r="A431" s="6" t="n"/>
      <c r="B431" s="6" t="n"/>
      <c r="C431" s="6" t="n"/>
      <c r="D431" s="6" t="n"/>
      <c r="E431" s="6" t="n"/>
      <c r="F431" s="6" t="n"/>
      <c r="G431" s="6" t="n"/>
      <c r="H431" s="6" t="n"/>
      <c r="I431" s="6" t="n"/>
    </row>
    <row r="432">
      <c r="A432" s="6" t="n"/>
      <c r="B432" s="6" t="n"/>
      <c r="C432" s="6" t="n"/>
      <c r="D432" s="6" t="n"/>
      <c r="E432" s="6" t="n"/>
      <c r="F432" s="6" t="n"/>
      <c r="G432" s="6" t="n"/>
      <c r="H432" s="6" t="n"/>
      <c r="I432" s="6" t="n"/>
    </row>
    <row r="433">
      <c r="A433" s="6" t="n"/>
      <c r="B433" s="6" t="n"/>
      <c r="C433" s="6" t="n"/>
      <c r="D433" s="6" t="n"/>
      <c r="E433" s="6" t="n"/>
      <c r="F433" s="6" t="n"/>
      <c r="G433" s="6" t="n"/>
      <c r="H433" s="6" t="n"/>
      <c r="I433" s="6" t="n"/>
    </row>
    <row r="434">
      <c r="A434" s="6" t="n"/>
      <c r="B434" s="6" t="n"/>
      <c r="C434" s="6" t="n"/>
      <c r="D434" s="6" t="n"/>
      <c r="E434" s="6" t="n"/>
      <c r="F434" s="6" t="n"/>
      <c r="G434" s="6" t="n"/>
      <c r="H434" s="6" t="n"/>
      <c r="I434" s="6" t="n"/>
    </row>
    <row r="435">
      <c r="A435" s="6" t="n"/>
      <c r="B435" s="6" t="n"/>
      <c r="C435" s="6" t="n"/>
      <c r="D435" s="6" t="n"/>
      <c r="E435" s="6" t="n"/>
      <c r="F435" s="6" t="n"/>
      <c r="G435" s="6" t="n"/>
      <c r="H435" s="6" t="n"/>
      <c r="I435" s="6" t="n"/>
    </row>
    <row r="436">
      <c r="A436" s="6" t="n"/>
      <c r="B436" s="6" t="n"/>
      <c r="C436" s="6" t="n"/>
      <c r="D436" s="6" t="n"/>
      <c r="E436" s="6" t="n"/>
      <c r="F436" s="6" t="n"/>
      <c r="G436" s="6" t="n"/>
      <c r="H436" s="6" t="n"/>
      <c r="I436" s="6" t="n"/>
    </row>
    <row r="437">
      <c r="A437" s="6" t="n"/>
      <c r="B437" s="6" t="n"/>
      <c r="C437" s="6" t="n"/>
      <c r="D437" s="6" t="n"/>
      <c r="E437" s="6" t="n"/>
      <c r="F437" s="6" t="n"/>
      <c r="G437" s="6" t="n"/>
      <c r="H437" s="6" t="n"/>
      <c r="I437" s="6" t="n"/>
    </row>
    <row r="438">
      <c r="A438" s="6" t="n"/>
      <c r="B438" s="6" t="n"/>
      <c r="C438" s="6" t="n"/>
      <c r="D438" s="6" t="n"/>
      <c r="E438" s="6" t="n"/>
      <c r="F438" s="6" t="n"/>
      <c r="G438" s="6" t="n"/>
      <c r="H438" s="6" t="n"/>
      <c r="I438" s="6" t="n"/>
    </row>
    <row r="439">
      <c r="A439" s="6" t="n"/>
      <c r="B439" s="6" t="n"/>
      <c r="C439" s="6" t="n"/>
      <c r="D439" s="6" t="n"/>
      <c r="E439" s="6" t="n"/>
      <c r="F439" s="6" t="n"/>
      <c r="G439" s="6" t="n"/>
      <c r="H439" s="6" t="n"/>
      <c r="I439" s="6" t="n"/>
    </row>
    <row r="440">
      <c r="A440" s="6" t="n"/>
      <c r="B440" s="6" t="n"/>
      <c r="C440" s="6" t="n"/>
      <c r="D440" s="6" t="n"/>
      <c r="E440" s="6" t="n"/>
      <c r="F440" s="6" t="n"/>
      <c r="G440" s="6" t="n"/>
      <c r="H440" s="6" t="n"/>
      <c r="I440" s="6" t="n"/>
    </row>
    <row r="441">
      <c r="A441" s="6" t="n"/>
      <c r="B441" s="6" t="n"/>
      <c r="C441" s="6" t="n"/>
      <c r="D441" s="6" t="n"/>
      <c r="E441" s="6" t="n"/>
      <c r="F441" s="6" t="n"/>
      <c r="G441" s="6" t="n"/>
      <c r="H441" s="6" t="n"/>
      <c r="I441" s="6" t="n"/>
    </row>
    <row r="442">
      <c r="A442" s="6" t="n"/>
      <c r="B442" s="6" t="n"/>
      <c r="C442" s="6" t="n"/>
      <c r="D442" s="6" t="n"/>
      <c r="E442" s="6" t="n"/>
      <c r="F442" s="6" t="n"/>
      <c r="G442" s="6" t="n"/>
      <c r="H442" s="6" t="n"/>
      <c r="I442" s="6" t="n"/>
    </row>
    <row r="443">
      <c r="A443" s="6" t="n"/>
      <c r="B443" s="6" t="n"/>
      <c r="C443" s="6" t="n"/>
      <c r="D443" s="6" t="n"/>
      <c r="E443" s="6" t="n"/>
      <c r="F443" s="6" t="n"/>
      <c r="G443" s="6" t="n"/>
      <c r="H443" s="6" t="n"/>
      <c r="I443" s="6" t="n"/>
    </row>
    <row r="444">
      <c r="A444" s="6" t="n"/>
      <c r="B444" s="6" t="n"/>
      <c r="C444" s="6" t="n"/>
      <c r="D444" s="6" t="n"/>
      <c r="E444" s="6" t="n"/>
      <c r="F444" s="6" t="n"/>
      <c r="G444" s="6" t="n"/>
      <c r="H444" s="6" t="n"/>
      <c r="I444" s="6" t="n"/>
    </row>
    <row r="445">
      <c r="A445" s="6" t="n"/>
      <c r="B445" s="6" t="n"/>
      <c r="C445" s="6" t="n"/>
      <c r="D445" s="6" t="n"/>
      <c r="E445" s="6" t="n"/>
      <c r="F445" s="6" t="n"/>
      <c r="G445" s="6" t="n"/>
      <c r="H445" s="6" t="n"/>
      <c r="I445" s="6" t="n"/>
    </row>
    <row r="446">
      <c r="A446" s="6" t="n"/>
      <c r="B446" s="6" t="n"/>
      <c r="C446" s="6" t="n"/>
      <c r="D446" s="6" t="n"/>
      <c r="E446" s="6" t="n"/>
      <c r="F446" s="6" t="n"/>
      <c r="G446" s="6" t="n"/>
      <c r="H446" s="6" t="n"/>
      <c r="I446" s="6" t="n"/>
    </row>
    <row r="447">
      <c r="A447" s="6" t="n"/>
      <c r="B447" s="6" t="n"/>
      <c r="C447" s="6" t="n"/>
      <c r="D447" s="6" t="n"/>
      <c r="E447" s="6" t="n"/>
      <c r="F447" s="6" t="n"/>
      <c r="G447" s="6" t="n"/>
      <c r="H447" s="6" t="n"/>
      <c r="I447" s="6" t="n"/>
    </row>
    <row r="448">
      <c r="A448" s="6" t="n"/>
      <c r="B448" s="6" t="n"/>
      <c r="C448" s="6" t="n"/>
      <c r="D448" s="6" t="n"/>
      <c r="E448" s="6" t="n"/>
      <c r="F448" s="6" t="n"/>
      <c r="G448" s="6" t="n"/>
      <c r="H448" s="6" t="n"/>
      <c r="I448" s="6" t="n"/>
    </row>
    <row r="449">
      <c r="A449" s="6" t="n"/>
      <c r="B449" s="6" t="n"/>
      <c r="C449" s="6" t="n"/>
      <c r="D449" s="6" t="n"/>
      <c r="E449" s="6" t="n"/>
      <c r="F449" s="6" t="n"/>
      <c r="G449" s="6" t="n"/>
      <c r="H449" s="6" t="n"/>
      <c r="I449" s="6" t="n"/>
    </row>
    <row r="450">
      <c r="A450" s="6" t="n"/>
      <c r="B450" s="6" t="n"/>
      <c r="C450" s="6" t="n"/>
      <c r="D450" s="6" t="n"/>
      <c r="E450" s="6" t="n"/>
      <c r="F450" s="6" t="n"/>
      <c r="G450" s="6" t="n"/>
      <c r="H450" s="6" t="n"/>
      <c r="I450" s="6" t="n"/>
    </row>
    <row r="451">
      <c r="A451" s="6" t="n"/>
      <c r="B451" s="6" t="n"/>
      <c r="C451" s="6" t="n"/>
      <c r="D451" s="6" t="n"/>
      <c r="E451" s="6" t="n"/>
      <c r="F451" s="6" t="n"/>
      <c r="G451" s="6" t="n"/>
      <c r="H451" s="6" t="n"/>
      <c r="I451" s="6" t="n"/>
    </row>
    <row r="452">
      <c r="A452" s="6" t="n"/>
      <c r="B452" s="6" t="n"/>
      <c r="C452" s="6" t="n"/>
      <c r="D452" s="6" t="n"/>
      <c r="E452" s="6" t="n"/>
      <c r="F452" s="6" t="n"/>
      <c r="G452" s="6" t="n"/>
      <c r="H452" s="6" t="n"/>
      <c r="I452" s="6" t="n"/>
    </row>
    <row r="453">
      <c r="A453" s="6" t="n"/>
      <c r="B453" s="6" t="n"/>
      <c r="C453" s="6" t="n"/>
      <c r="D453" s="6" t="n"/>
      <c r="E453" s="6" t="n"/>
      <c r="F453" s="6" t="n"/>
      <c r="G453" s="6" t="n"/>
      <c r="H453" s="6" t="n"/>
      <c r="I453" s="6" t="n"/>
    </row>
    <row r="454">
      <c r="A454" s="6" t="n"/>
      <c r="B454" s="6" t="n"/>
      <c r="C454" s="6" t="n"/>
      <c r="D454" s="6" t="n"/>
      <c r="E454" s="6" t="n"/>
      <c r="F454" s="6" t="n"/>
      <c r="G454" s="6" t="n"/>
      <c r="H454" s="6" t="n"/>
      <c r="I454" s="6" t="n"/>
    </row>
    <row r="455">
      <c r="A455" s="6" t="n"/>
      <c r="B455" s="6" t="n"/>
      <c r="C455" s="6" t="n"/>
      <c r="D455" s="6" t="n"/>
      <c r="E455" s="6" t="n"/>
      <c r="F455" s="6" t="n"/>
      <c r="G455" s="6" t="n"/>
      <c r="H455" s="6" t="n"/>
      <c r="I455" s="6" t="n"/>
    </row>
    <row r="456">
      <c r="A456" s="6" t="n"/>
      <c r="B456" s="6" t="n"/>
      <c r="C456" s="6" t="n"/>
      <c r="D456" s="6" t="n"/>
      <c r="E456" s="6" t="n"/>
      <c r="F456" s="6" t="n"/>
      <c r="G456" s="6" t="n"/>
      <c r="H456" s="6" t="n"/>
      <c r="I456" s="6" t="n"/>
    </row>
    <row r="457">
      <c r="A457" s="6" t="n"/>
      <c r="B457" s="6" t="n"/>
      <c r="C457" s="6" t="n"/>
      <c r="D457" s="6" t="n"/>
      <c r="E457" s="6" t="n"/>
      <c r="F457" s="6" t="n"/>
      <c r="G457" s="6" t="n"/>
      <c r="H457" s="6" t="n"/>
      <c r="I457" s="6" t="n"/>
    </row>
    <row r="458">
      <c r="A458" s="6" t="n"/>
      <c r="B458" s="6" t="n"/>
      <c r="C458" s="6" t="n"/>
      <c r="D458" s="6" t="n"/>
      <c r="E458" s="6" t="n"/>
      <c r="F458" s="6" t="n"/>
      <c r="G458" s="6" t="n"/>
      <c r="H458" s="6" t="n"/>
      <c r="I458" s="6" t="n"/>
    </row>
    <row r="459">
      <c r="A459" s="6" t="n"/>
      <c r="B459" s="6" t="n"/>
      <c r="C459" s="6" t="n"/>
      <c r="D459" s="6" t="n"/>
      <c r="E459" s="6" t="n"/>
      <c r="F459" s="6" t="n"/>
      <c r="G459" s="6" t="n"/>
      <c r="H459" s="6" t="n"/>
      <c r="I459" s="6" t="n"/>
    </row>
    <row r="460">
      <c r="A460" s="6" t="n"/>
      <c r="B460" s="6" t="n"/>
      <c r="C460" s="6" t="n"/>
      <c r="D460" s="6" t="n"/>
      <c r="E460" s="6" t="n"/>
      <c r="F460" s="6" t="n"/>
      <c r="G460" s="6" t="n"/>
      <c r="H460" s="6" t="n"/>
      <c r="I460" s="6" t="n"/>
    </row>
    <row r="461">
      <c r="A461" s="6" t="n"/>
      <c r="B461" s="6" t="n"/>
      <c r="C461" s="6" t="n"/>
      <c r="D461" s="6" t="n"/>
      <c r="E461" s="6" t="n"/>
      <c r="F461" s="6" t="n"/>
      <c r="G461" s="6" t="n"/>
      <c r="H461" s="6" t="n"/>
      <c r="I461" s="6" t="n"/>
    </row>
    <row r="462">
      <c r="A462" s="6" t="n"/>
      <c r="B462" s="6" t="n"/>
      <c r="C462" s="6" t="n"/>
      <c r="D462" s="6" t="n"/>
      <c r="E462" s="6" t="n"/>
      <c r="F462" s="6" t="n"/>
      <c r="G462" s="6" t="n"/>
      <c r="H462" s="6" t="n"/>
      <c r="I462" s="6" t="n"/>
    </row>
    <row r="463">
      <c r="A463" s="6" t="n"/>
      <c r="B463" s="6" t="n"/>
      <c r="C463" s="6" t="n"/>
      <c r="D463" s="6" t="n"/>
      <c r="E463" s="6" t="n"/>
      <c r="F463" s="6" t="n"/>
      <c r="G463" s="6" t="n"/>
      <c r="H463" s="6" t="n"/>
      <c r="I463" s="6" t="n"/>
    </row>
    <row r="464">
      <c r="A464" s="6" t="n"/>
      <c r="B464" s="6" t="n"/>
      <c r="C464" s="6" t="n"/>
      <c r="D464" s="6" t="n"/>
      <c r="E464" s="6" t="n"/>
      <c r="F464" s="6" t="n"/>
      <c r="G464" s="6" t="n"/>
      <c r="H464" s="6" t="n"/>
      <c r="I464" s="6" t="n"/>
    </row>
    <row r="465">
      <c r="A465" s="6" t="n"/>
      <c r="B465" s="6" t="n"/>
      <c r="C465" s="6" t="n"/>
      <c r="D465" s="6" t="n"/>
      <c r="E465" s="6" t="n"/>
      <c r="F465" s="6" t="n"/>
      <c r="G465" s="6" t="n"/>
      <c r="H465" s="6" t="n"/>
      <c r="I465" s="6" t="n"/>
    </row>
    <row r="466">
      <c r="A466" s="6" t="n"/>
      <c r="B466" s="6" t="n"/>
      <c r="C466" s="6" t="n"/>
      <c r="D466" s="6" t="n"/>
      <c r="E466" s="6" t="n"/>
      <c r="F466" s="6" t="n"/>
      <c r="G466" s="6" t="n"/>
      <c r="H466" s="6" t="n"/>
      <c r="I466" s="6" t="n"/>
    </row>
    <row r="467">
      <c r="A467" s="6" t="n"/>
      <c r="B467" s="6" t="n"/>
      <c r="C467" s="6" t="n"/>
      <c r="D467" s="6" t="n"/>
      <c r="E467" s="6" t="n"/>
      <c r="F467" s="6" t="n"/>
      <c r="G467" s="6" t="n"/>
      <c r="H467" s="6" t="n"/>
      <c r="I467" s="6" t="n"/>
    </row>
    <row r="468">
      <c r="A468" s="6" t="n"/>
      <c r="B468" s="6" t="n"/>
      <c r="C468" s="6" t="n"/>
      <c r="D468" s="6" t="n"/>
      <c r="E468" s="6" t="n"/>
      <c r="F468" s="6" t="n"/>
      <c r="G468" s="6" t="n"/>
      <c r="H468" s="6" t="n"/>
      <c r="I468" s="6" t="n"/>
    </row>
    <row r="469">
      <c r="A469" s="6" t="n"/>
      <c r="B469" s="6" t="n"/>
      <c r="C469" s="6" t="n"/>
      <c r="D469" s="6" t="n"/>
      <c r="E469" s="6" t="n"/>
      <c r="F469" s="6" t="n"/>
      <c r="G469" s="6" t="n"/>
      <c r="H469" s="6" t="n"/>
      <c r="I469" s="6" t="n"/>
    </row>
    <row r="470">
      <c r="A470" s="6" t="n"/>
      <c r="B470" s="6" t="n"/>
      <c r="C470" s="6" t="n"/>
      <c r="D470" s="6" t="n"/>
      <c r="E470" s="6" t="n"/>
      <c r="F470" s="6" t="n"/>
      <c r="G470" s="6" t="n"/>
      <c r="H470" s="6" t="n"/>
      <c r="I470" s="6" t="n"/>
    </row>
    <row r="471">
      <c r="A471" s="6" t="n"/>
      <c r="B471" s="6" t="n"/>
      <c r="C471" s="6" t="n"/>
      <c r="D471" s="6" t="n"/>
      <c r="E471" s="6" t="n"/>
      <c r="F471" s="6" t="n"/>
      <c r="G471" s="6" t="n"/>
      <c r="H471" s="6" t="n"/>
      <c r="I471" s="6" t="n"/>
    </row>
    <row r="472">
      <c r="A472" s="6" t="n"/>
      <c r="B472" s="6" t="n"/>
      <c r="C472" s="6" t="n"/>
      <c r="D472" s="6" t="n"/>
      <c r="E472" s="6" t="n"/>
      <c r="F472" s="6" t="n"/>
      <c r="G472" s="6" t="n"/>
      <c r="H472" s="6" t="n"/>
      <c r="I472" s="6" t="n"/>
    </row>
    <row r="473">
      <c r="A473" s="6" t="n"/>
      <c r="B473" s="6" t="n"/>
      <c r="C473" s="6" t="n"/>
      <c r="D473" s="6" t="n"/>
      <c r="E473" s="6" t="n"/>
      <c r="F473" s="6" t="n"/>
      <c r="G473" s="6" t="n"/>
      <c r="H473" s="6" t="n"/>
      <c r="I473" s="6" t="n"/>
    </row>
    <row r="474">
      <c r="A474" s="6" t="n"/>
      <c r="B474" s="6" t="n"/>
      <c r="C474" s="6" t="n"/>
      <c r="D474" s="6" t="n"/>
      <c r="E474" s="6" t="n"/>
      <c r="F474" s="6" t="n"/>
      <c r="G474" s="6" t="n"/>
      <c r="H474" s="6" t="n"/>
      <c r="I474" s="6" t="n"/>
    </row>
    <row r="475">
      <c r="A475" s="6" t="n"/>
      <c r="B475" s="6" t="n"/>
      <c r="C475" s="6" t="n"/>
      <c r="D475" s="6" t="n"/>
      <c r="E475" s="6" t="n"/>
      <c r="F475" s="6" t="n"/>
      <c r="G475" s="6" t="n"/>
      <c r="H475" s="6" t="n"/>
      <c r="I475" s="6" t="n"/>
    </row>
    <row r="476">
      <c r="A476" s="6" t="n"/>
      <c r="B476" s="6" t="n"/>
      <c r="C476" s="6" t="n"/>
      <c r="D476" s="6" t="n"/>
      <c r="E476" s="6" t="n"/>
      <c r="F476" s="6" t="n"/>
      <c r="G476" s="6" t="n"/>
      <c r="H476" s="6" t="n"/>
      <c r="I476" s="6" t="n"/>
    </row>
    <row r="477">
      <c r="A477" s="6" t="n"/>
      <c r="B477" s="6" t="n"/>
      <c r="C477" s="6" t="n"/>
      <c r="D477" s="6" t="n"/>
      <c r="E477" s="6" t="n"/>
      <c r="F477" s="6" t="n"/>
      <c r="G477" s="6" t="n"/>
      <c r="H477" s="6" t="n"/>
      <c r="I477" s="6" t="n"/>
    </row>
    <row r="478">
      <c r="A478" s="6" t="n"/>
      <c r="B478" s="6" t="n"/>
      <c r="C478" s="6" t="n"/>
      <c r="D478" s="6" t="n"/>
      <c r="E478" s="6" t="n"/>
      <c r="F478" s="6" t="n"/>
      <c r="G478" s="6" t="n"/>
      <c r="H478" s="6" t="n"/>
      <c r="I478" s="6" t="n"/>
    </row>
    <row r="479">
      <c r="A479" s="6" t="n"/>
      <c r="B479" s="6" t="n"/>
      <c r="C479" s="6" t="n"/>
      <c r="D479" s="6" t="n"/>
      <c r="E479" s="6" t="n"/>
      <c r="F479" s="6" t="n"/>
      <c r="G479" s="6" t="n"/>
      <c r="H479" s="6" t="n"/>
      <c r="I479" s="6" t="n"/>
    </row>
    <row r="480">
      <c r="A480" s="6" t="n"/>
      <c r="B480" s="6" t="n"/>
      <c r="C480" s="6" t="n"/>
      <c r="D480" s="6" t="n"/>
      <c r="E480" s="6" t="n"/>
      <c r="F480" s="6" t="n"/>
      <c r="G480" s="6" t="n"/>
      <c r="H480" s="6" t="n"/>
      <c r="I480" s="6" t="n"/>
    </row>
    <row r="481">
      <c r="A481" s="6" t="n"/>
      <c r="B481" s="6" t="n"/>
      <c r="C481" s="6" t="n"/>
      <c r="D481" s="6" t="n"/>
      <c r="E481" s="6" t="n"/>
      <c r="F481" s="6" t="n"/>
      <c r="G481" s="6" t="n"/>
      <c r="H481" s="6" t="n"/>
      <c r="I481" s="6" t="n"/>
    </row>
    <row r="482">
      <c r="A482" s="6" t="n"/>
      <c r="B482" s="6" t="n"/>
      <c r="C482" s="6" t="n"/>
      <c r="D482" s="6" t="n"/>
      <c r="E482" s="6" t="n"/>
      <c r="F482" s="6" t="n"/>
      <c r="G482" s="6" t="n"/>
      <c r="H482" s="6" t="n"/>
      <c r="I482" s="6" t="n"/>
    </row>
    <row r="483">
      <c r="A483" s="6" t="n"/>
      <c r="B483" s="6" t="n"/>
      <c r="C483" s="6" t="n"/>
      <c r="D483" s="6" t="n"/>
      <c r="E483" s="6" t="n"/>
      <c r="F483" s="6" t="n"/>
      <c r="G483" s="6" t="n"/>
      <c r="H483" s="6" t="n"/>
      <c r="I483" s="6" t="n"/>
    </row>
    <row r="484">
      <c r="A484" s="6" t="n"/>
      <c r="B484" s="6" t="n"/>
      <c r="C484" s="6" t="n"/>
      <c r="D484" s="6" t="n"/>
      <c r="E484" s="6" t="n"/>
      <c r="F484" s="6" t="n"/>
      <c r="G484" s="6" t="n"/>
      <c r="H484" s="6" t="n"/>
      <c r="I484" s="6" t="n"/>
    </row>
    <row r="485">
      <c r="A485" s="6" t="n"/>
      <c r="B485" s="6" t="n"/>
      <c r="C485" s="6" t="n"/>
      <c r="D485" s="6" t="n"/>
      <c r="E485" s="6" t="n"/>
      <c r="F485" s="6" t="n"/>
      <c r="G485" s="6" t="n"/>
      <c r="H485" s="6" t="n"/>
      <c r="I485" s="6" t="n"/>
    </row>
    <row r="486">
      <c r="A486" s="6" t="n"/>
      <c r="B486" s="6" t="n"/>
      <c r="C486" s="6" t="n"/>
      <c r="D486" s="6" t="n"/>
      <c r="E486" s="6" t="n"/>
      <c r="F486" s="6" t="n"/>
      <c r="G486" s="6" t="n"/>
      <c r="H486" s="6" t="n"/>
      <c r="I486" s="6" t="n"/>
    </row>
    <row r="487">
      <c r="A487" s="6" t="n"/>
      <c r="B487" s="6" t="n"/>
      <c r="C487" s="6" t="n"/>
      <c r="D487" s="6" t="n"/>
      <c r="E487" s="6" t="n"/>
      <c r="F487" s="6" t="n"/>
      <c r="G487" s="6" t="n"/>
      <c r="H487" s="6" t="n"/>
      <c r="I487" s="6" t="n"/>
    </row>
    <row r="488">
      <c r="A488" s="6" t="n"/>
      <c r="B488" s="6" t="n"/>
      <c r="C488" s="6" t="n"/>
      <c r="D488" s="6" t="n"/>
      <c r="E488" s="6" t="n"/>
      <c r="F488" s="6" t="n"/>
      <c r="G488" s="6" t="n"/>
      <c r="H488" s="6" t="n"/>
      <c r="I488" s="6" t="n"/>
    </row>
    <row r="489">
      <c r="A489" s="6" t="n"/>
      <c r="B489" s="6" t="n"/>
      <c r="C489" s="6" t="n"/>
      <c r="D489" s="6" t="n"/>
      <c r="E489" s="6" t="n"/>
      <c r="F489" s="6" t="n"/>
      <c r="G489" s="6" t="n"/>
      <c r="H489" s="6" t="n"/>
      <c r="I489" s="6" t="n"/>
    </row>
    <row r="490">
      <c r="A490" s="6" t="n"/>
      <c r="B490" s="6" t="n"/>
      <c r="C490" s="6" t="n"/>
      <c r="D490" s="6" t="n"/>
      <c r="E490" s="6" t="n"/>
      <c r="F490" s="6" t="n"/>
      <c r="G490" s="6" t="n"/>
      <c r="H490" s="6" t="n"/>
      <c r="I490" s="6" t="n"/>
    </row>
    <row r="491">
      <c r="A491" s="6" t="n"/>
      <c r="B491" s="6" t="n"/>
      <c r="C491" s="6" t="n"/>
      <c r="D491" s="6" t="n"/>
      <c r="E491" s="6" t="n"/>
      <c r="F491" s="6" t="n"/>
      <c r="G491" s="6" t="n"/>
      <c r="H491" s="6" t="n"/>
      <c r="I491" s="6" t="n"/>
    </row>
    <row r="492">
      <c r="A492" s="6" t="n"/>
      <c r="B492" s="6" t="n"/>
      <c r="C492" s="6" t="n"/>
      <c r="D492" s="6" t="n"/>
      <c r="E492" s="6" t="n"/>
      <c r="F492" s="6" t="n"/>
      <c r="G492" s="6" t="n"/>
      <c r="H492" s="6" t="n"/>
      <c r="I492" s="6" t="n"/>
    </row>
    <row r="493">
      <c r="A493" s="6" t="n"/>
      <c r="B493" s="6" t="n"/>
      <c r="C493" s="6" t="n"/>
      <c r="D493" s="6" t="n"/>
      <c r="E493" s="6" t="n"/>
      <c r="F493" s="6" t="n"/>
      <c r="G493" s="6" t="n"/>
      <c r="H493" s="6" t="n"/>
      <c r="I493" s="6" t="n"/>
    </row>
    <row r="494">
      <c r="A494" s="6" t="n"/>
      <c r="B494" s="6" t="n"/>
      <c r="C494" s="6" t="n"/>
      <c r="D494" s="6" t="n"/>
      <c r="E494" s="6" t="n"/>
      <c r="F494" s="6" t="n"/>
      <c r="G494" s="6" t="n"/>
      <c r="H494" s="6" t="n"/>
      <c r="I494" s="6" t="n"/>
    </row>
    <row r="495">
      <c r="A495" s="6" t="n"/>
      <c r="B495" s="6" t="n"/>
      <c r="C495" s="6" t="n"/>
      <c r="D495" s="6" t="n"/>
      <c r="E495" s="6" t="n"/>
      <c r="F495" s="6" t="n"/>
      <c r="G495" s="6" t="n"/>
      <c r="H495" s="6" t="n"/>
      <c r="I495" s="6" t="n"/>
    </row>
    <row r="496">
      <c r="A496" s="6" t="n"/>
      <c r="B496" s="6" t="n"/>
      <c r="C496" s="6" t="n"/>
      <c r="D496" s="6" t="n"/>
      <c r="E496" s="6" t="n"/>
      <c r="F496" s="6" t="n"/>
      <c r="G496" s="6" t="n"/>
      <c r="H496" s="6" t="n"/>
      <c r="I496" s="6" t="n"/>
    </row>
    <row r="497">
      <c r="A497" s="6" t="n"/>
      <c r="B497" s="6" t="n"/>
      <c r="C497" s="6" t="n"/>
      <c r="D497" s="6" t="n"/>
      <c r="E497" s="6" t="n"/>
      <c r="F497" s="6" t="n"/>
      <c r="G497" s="6" t="n"/>
      <c r="H497" s="6" t="n"/>
      <c r="I497" s="6" t="n"/>
    </row>
    <row r="498">
      <c r="A498" s="6" t="n"/>
      <c r="B498" s="6" t="n"/>
      <c r="C498" s="6" t="n"/>
      <c r="D498" s="6" t="n"/>
      <c r="E498" s="6" t="n"/>
      <c r="F498" s="6" t="n"/>
      <c r="G498" s="6" t="n"/>
      <c r="H498" s="6" t="n"/>
      <c r="I498" s="6" t="n"/>
    </row>
    <row r="499">
      <c r="A499" s="6" t="n"/>
      <c r="B499" s="6" t="n"/>
      <c r="C499" s="6" t="n"/>
      <c r="D499" s="6" t="n"/>
      <c r="E499" s="6" t="n"/>
      <c r="F499" s="6" t="n"/>
      <c r="G499" s="6" t="n"/>
      <c r="H499" s="6" t="n"/>
      <c r="I499" s="6" t="n"/>
    </row>
    <row r="500">
      <c r="A500" s="6" t="n"/>
      <c r="B500" s="6" t="n"/>
      <c r="C500" s="6" t="n"/>
      <c r="D500" s="6" t="n"/>
      <c r="E500" s="6" t="n"/>
      <c r="F500" s="6" t="n"/>
      <c r="G500" s="6" t="n"/>
      <c r="H500" s="6" t="n"/>
      <c r="I500" s="6" t="n"/>
    </row>
    <row r="501">
      <c r="A501" s="6" t="n"/>
      <c r="B501" s="6" t="n"/>
      <c r="C501" s="6" t="n"/>
      <c r="D501" s="6" t="n"/>
      <c r="E501" s="6" t="n"/>
      <c r="F501" s="6" t="n"/>
      <c r="G501" s="6" t="n"/>
      <c r="H501" s="6" t="n"/>
      <c r="I501" s="6" t="n"/>
    </row>
    <row r="502">
      <c r="A502" s="6" t="n"/>
      <c r="B502" s="6" t="n"/>
      <c r="C502" s="6" t="n"/>
      <c r="D502" s="6" t="n"/>
      <c r="E502" s="6" t="n"/>
      <c r="F502" s="6" t="n"/>
      <c r="G502" s="6" t="n"/>
      <c r="H502" s="6" t="n"/>
      <c r="I502" s="6" t="n"/>
    </row>
    <row r="503">
      <c r="A503" s="6" t="n"/>
      <c r="B503" s="6" t="n"/>
      <c r="C503" s="6" t="n"/>
      <c r="D503" s="6" t="n"/>
      <c r="E503" s="6" t="n"/>
      <c r="F503" s="6" t="n"/>
      <c r="G503" s="6" t="n"/>
      <c r="H503" s="6" t="n"/>
      <c r="I503" s="6" t="n"/>
    </row>
  </sheetData>
  <mergeCells count="1">
    <mergeCell ref="A1:I1"/>
  </mergeCells>
  <dataValidations count="1">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3"/>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45" customWidth="1" min="6" max="6"/>
    <col width="15" customWidth="1" min="7" max="7"/>
    <col width="20" customWidth="1" min="8" max="8"/>
    <col width="15" customWidth="1" min="9" max="9"/>
    <col width="40" customWidth="1" min="10" max="10"/>
  </cols>
  <sheetData>
    <row r="1" ht="30" customHeight="1">
      <c r="A1" s="1" t="inlineStr">
        <is>
          <t>EVIDENCE REGISTER</t>
        </is>
      </c>
    </row>
    <row r="3">
      <c r="A3" s="5" t="inlineStr">
        <is>
          <t>Evidence ID</t>
        </is>
      </c>
      <c r="B3" s="5" t="inlineStr">
        <is>
          <t>Evidence Type</t>
        </is>
      </c>
      <c r="C3" s="5" t="inlineStr">
        <is>
          <t>Description</t>
        </is>
      </c>
      <c r="D3" s="5" t="inlineStr">
        <is>
          <t>Related Equipment/Item</t>
        </is>
      </c>
      <c r="E3" s="5" t="inlineStr">
        <is>
          <t>File Name</t>
        </is>
      </c>
      <c r="F3" s="5" t="inlineStr">
        <is>
          <t>File Location</t>
        </is>
      </c>
      <c r="G3" s="5" t="inlineStr">
        <is>
          <t>Collection Date</t>
        </is>
      </c>
      <c r="H3" s="5" t="inlineStr">
        <is>
          <t>Collected By</t>
        </is>
      </c>
      <c r="I3" s="5" t="inlineStr">
        <is>
          <t>Retention Period</t>
        </is>
      </c>
      <c r="J3" s="5" t="inlineStr">
        <is>
          <t>Notes</t>
        </is>
      </c>
    </row>
    <row r="4">
      <c r="A4" s="10" t="inlineStr">
        <is>
          <t>EVID-001</t>
        </is>
      </c>
      <c r="B4" s="6" t="n"/>
      <c r="C4" s="6" t="n"/>
      <c r="D4" s="6" t="n"/>
      <c r="E4" s="6" t="n"/>
      <c r="F4" s="6" t="n"/>
      <c r="G4" s="6" t="n"/>
      <c r="H4" s="6" t="n"/>
      <c r="I4" s="6" t="n"/>
      <c r="J4" s="6" t="n"/>
    </row>
    <row r="5">
      <c r="A5" s="10" t="inlineStr">
        <is>
          <t>EVID-002</t>
        </is>
      </c>
      <c r="B5" s="6" t="n"/>
      <c r="C5" s="6" t="n"/>
      <c r="D5" s="6" t="n"/>
      <c r="E5" s="6" t="n"/>
      <c r="F5" s="6" t="n"/>
      <c r="G5" s="6" t="n"/>
      <c r="H5" s="6" t="n"/>
      <c r="I5" s="6" t="n"/>
      <c r="J5" s="6" t="n"/>
    </row>
    <row r="6">
      <c r="A6" s="10" t="inlineStr">
        <is>
          <t>EVID-003</t>
        </is>
      </c>
      <c r="B6" s="6" t="n"/>
      <c r="C6" s="6" t="n"/>
      <c r="D6" s="6" t="n"/>
      <c r="E6" s="6" t="n"/>
      <c r="F6" s="6" t="n"/>
      <c r="G6" s="6" t="n"/>
      <c r="H6" s="6" t="n"/>
      <c r="I6" s="6" t="n"/>
      <c r="J6" s="6" t="n"/>
    </row>
    <row r="7">
      <c r="A7" s="10" t="inlineStr">
        <is>
          <t>EVID-004</t>
        </is>
      </c>
      <c r="B7" s="6" t="n"/>
      <c r="C7" s="6" t="n"/>
      <c r="D7" s="6" t="n"/>
      <c r="E7" s="6" t="n"/>
      <c r="F7" s="6" t="n"/>
      <c r="G7" s="6" t="n"/>
      <c r="H7" s="6" t="n"/>
      <c r="I7" s="6" t="n"/>
      <c r="J7" s="6" t="n"/>
    </row>
    <row r="8">
      <c r="A8" s="10" t="inlineStr">
        <is>
          <t>EVID-005</t>
        </is>
      </c>
      <c r="B8" s="6" t="n"/>
      <c r="C8" s="6" t="n"/>
      <c r="D8" s="6" t="n"/>
      <c r="E8" s="6" t="n"/>
      <c r="F8" s="6" t="n"/>
      <c r="G8" s="6" t="n"/>
      <c r="H8" s="6" t="n"/>
      <c r="I8" s="6" t="n"/>
      <c r="J8" s="6" t="n"/>
    </row>
    <row r="9">
      <c r="A9" s="10" t="inlineStr">
        <is>
          <t>EVID-006</t>
        </is>
      </c>
      <c r="B9" s="6" t="n"/>
      <c r="C9" s="6" t="n"/>
      <c r="D9" s="6" t="n"/>
      <c r="E9" s="6" t="n"/>
      <c r="F9" s="6" t="n"/>
      <c r="G9" s="6" t="n"/>
      <c r="H9" s="6" t="n"/>
      <c r="I9" s="6" t="n"/>
      <c r="J9" s="6" t="n"/>
    </row>
    <row r="10">
      <c r="A10" s="10" t="inlineStr">
        <is>
          <t>EVID-007</t>
        </is>
      </c>
      <c r="B10" s="6" t="n"/>
      <c r="C10" s="6" t="n"/>
      <c r="D10" s="6" t="n"/>
      <c r="E10" s="6" t="n"/>
      <c r="F10" s="6" t="n"/>
      <c r="G10" s="6" t="n"/>
      <c r="H10" s="6" t="n"/>
      <c r="I10" s="6" t="n"/>
      <c r="J10" s="6" t="n"/>
    </row>
    <row r="11">
      <c r="A11" s="10" t="inlineStr">
        <is>
          <t>EVID-008</t>
        </is>
      </c>
      <c r="B11" s="6" t="n"/>
      <c r="C11" s="6" t="n"/>
      <c r="D11" s="6" t="n"/>
      <c r="E11" s="6" t="n"/>
      <c r="F11" s="6" t="n"/>
      <c r="G11" s="6" t="n"/>
      <c r="H11" s="6" t="n"/>
      <c r="I11" s="6" t="n"/>
      <c r="J11" s="6" t="n"/>
    </row>
    <row r="12">
      <c r="A12" s="10" t="inlineStr">
        <is>
          <t>EVID-009</t>
        </is>
      </c>
      <c r="B12" s="6" t="n"/>
      <c r="C12" s="6" t="n"/>
      <c r="D12" s="6" t="n"/>
      <c r="E12" s="6" t="n"/>
      <c r="F12" s="6" t="n"/>
      <c r="G12" s="6" t="n"/>
      <c r="H12" s="6" t="n"/>
      <c r="I12" s="6" t="n"/>
      <c r="J12" s="6" t="n"/>
    </row>
    <row r="13">
      <c r="A13" s="10" t="inlineStr">
        <is>
          <t>EVID-010</t>
        </is>
      </c>
      <c r="B13" s="6" t="n"/>
      <c r="C13" s="6" t="n"/>
      <c r="D13" s="6" t="n"/>
      <c r="E13" s="6" t="n"/>
      <c r="F13" s="6" t="n"/>
      <c r="G13" s="6" t="n"/>
      <c r="H13" s="6" t="n"/>
      <c r="I13" s="6" t="n"/>
      <c r="J13" s="6" t="n"/>
    </row>
    <row r="14">
      <c r="A14" s="10" t="inlineStr">
        <is>
          <t>EVID-011</t>
        </is>
      </c>
      <c r="B14" s="6" t="n"/>
      <c r="C14" s="6" t="n"/>
      <c r="D14" s="6" t="n"/>
      <c r="E14" s="6" t="n"/>
      <c r="F14" s="6" t="n"/>
      <c r="G14" s="6" t="n"/>
      <c r="H14" s="6" t="n"/>
      <c r="I14" s="6" t="n"/>
      <c r="J14" s="6" t="n"/>
    </row>
    <row r="15">
      <c r="A15" s="10" t="inlineStr">
        <is>
          <t>EVID-012</t>
        </is>
      </c>
      <c r="B15" s="6" t="n"/>
      <c r="C15" s="6" t="n"/>
      <c r="D15" s="6" t="n"/>
      <c r="E15" s="6" t="n"/>
      <c r="F15" s="6" t="n"/>
      <c r="G15" s="6" t="n"/>
      <c r="H15" s="6" t="n"/>
      <c r="I15" s="6" t="n"/>
      <c r="J15" s="6" t="n"/>
    </row>
    <row r="16">
      <c r="A16" s="10" t="inlineStr">
        <is>
          <t>EVID-013</t>
        </is>
      </c>
      <c r="B16" s="6" t="n"/>
      <c r="C16" s="6" t="n"/>
      <c r="D16" s="6" t="n"/>
      <c r="E16" s="6" t="n"/>
      <c r="F16" s="6" t="n"/>
      <c r="G16" s="6" t="n"/>
      <c r="H16" s="6" t="n"/>
      <c r="I16" s="6" t="n"/>
      <c r="J16" s="6" t="n"/>
    </row>
    <row r="17">
      <c r="A17" s="10" t="inlineStr">
        <is>
          <t>EVID-014</t>
        </is>
      </c>
      <c r="B17" s="6" t="n"/>
      <c r="C17" s="6" t="n"/>
      <c r="D17" s="6" t="n"/>
      <c r="E17" s="6" t="n"/>
      <c r="F17" s="6" t="n"/>
      <c r="G17" s="6" t="n"/>
      <c r="H17" s="6" t="n"/>
      <c r="I17" s="6" t="n"/>
      <c r="J17" s="6" t="n"/>
    </row>
    <row r="18">
      <c r="A18" s="10" t="inlineStr">
        <is>
          <t>EVID-015</t>
        </is>
      </c>
      <c r="B18" s="6" t="n"/>
      <c r="C18" s="6" t="n"/>
      <c r="D18" s="6" t="n"/>
      <c r="E18" s="6" t="n"/>
      <c r="F18" s="6" t="n"/>
      <c r="G18" s="6" t="n"/>
      <c r="H18" s="6" t="n"/>
      <c r="I18" s="6" t="n"/>
      <c r="J18" s="6" t="n"/>
    </row>
    <row r="19">
      <c r="A19" s="10" t="inlineStr">
        <is>
          <t>EVID-016</t>
        </is>
      </c>
      <c r="B19" s="6" t="n"/>
      <c r="C19" s="6" t="n"/>
      <c r="D19" s="6" t="n"/>
      <c r="E19" s="6" t="n"/>
      <c r="F19" s="6" t="n"/>
      <c r="G19" s="6" t="n"/>
      <c r="H19" s="6" t="n"/>
      <c r="I19" s="6" t="n"/>
      <c r="J19" s="6" t="n"/>
    </row>
    <row r="20">
      <c r="A20" s="10" t="inlineStr">
        <is>
          <t>EVID-017</t>
        </is>
      </c>
      <c r="B20" s="6" t="n"/>
      <c r="C20" s="6" t="n"/>
      <c r="D20" s="6" t="n"/>
      <c r="E20" s="6" t="n"/>
      <c r="F20" s="6" t="n"/>
      <c r="G20" s="6" t="n"/>
      <c r="H20" s="6" t="n"/>
      <c r="I20" s="6" t="n"/>
      <c r="J20" s="6" t="n"/>
    </row>
    <row r="21">
      <c r="A21" s="10" t="inlineStr">
        <is>
          <t>EVID-018</t>
        </is>
      </c>
      <c r="B21" s="6" t="n"/>
      <c r="C21" s="6" t="n"/>
      <c r="D21" s="6" t="n"/>
      <c r="E21" s="6" t="n"/>
      <c r="F21" s="6" t="n"/>
      <c r="G21" s="6" t="n"/>
      <c r="H21" s="6" t="n"/>
      <c r="I21" s="6" t="n"/>
      <c r="J21" s="6" t="n"/>
    </row>
    <row r="22">
      <c r="A22" s="10" t="inlineStr">
        <is>
          <t>EVID-019</t>
        </is>
      </c>
      <c r="B22" s="6" t="n"/>
      <c r="C22" s="6" t="n"/>
      <c r="D22" s="6" t="n"/>
      <c r="E22" s="6" t="n"/>
      <c r="F22" s="6" t="n"/>
      <c r="G22" s="6" t="n"/>
      <c r="H22" s="6" t="n"/>
      <c r="I22" s="6" t="n"/>
      <c r="J22" s="6" t="n"/>
    </row>
    <row r="23">
      <c r="A23" s="10" t="inlineStr">
        <is>
          <t>EVID-020</t>
        </is>
      </c>
      <c r="B23" s="6" t="n"/>
      <c r="C23" s="6" t="n"/>
      <c r="D23" s="6" t="n"/>
      <c r="E23" s="6" t="n"/>
      <c r="F23" s="6" t="n"/>
      <c r="G23" s="6" t="n"/>
      <c r="H23" s="6" t="n"/>
      <c r="I23" s="6" t="n"/>
      <c r="J23" s="6" t="n"/>
    </row>
    <row r="24">
      <c r="A24" s="10" t="inlineStr">
        <is>
          <t>EVID-021</t>
        </is>
      </c>
      <c r="B24" s="6" t="n"/>
      <c r="C24" s="6" t="n"/>
      <c r="D24" s="6" t="n"/>
      <c r="E24" s="6" t="n"/>
      <c r="F24" s="6" t="n"/>
      <c r="G24" s="6" t="n"/>
      <c r="H24" s="6" t="n"/>
      <c r="I24" s="6" t="n"/>
      <c r="J24" s="6" t="n"/>
    </row>
    <row r="25">
      <c r="A25" s="10" t="inlineStr">
        <is>
          <t>EVID-022</t>
        </is>
      </c>
      <c r="B25" s="6" t="n"/>
      <c r="C25" s="6" t="n"/>
      <c r="D25" s="6" t="n"/>
      <c r="E25" s="6" t="n"/>
      <c r="F25" s="6" t="n"/>
      <c r="G25" s="6" t="n"/>
      <c r="H25" s="6" t="n"/>
      <c r="I25" s="6" t="n"/>
      <c r="J25" s="6" t="n"/>
    </row>
    <row r="26">
      <c r="A26" s="10" t="inlineStr">
        <is>
          <t>EVID-023</t>
        </is>
      </c>
      <c r="B26" s="6" t="n"/>
      <c r="C26" s="6" t="n"/>
      <c r="D26" s="6" t="n"/>
      <c r="E26" s="6" t="n"/>
      <c r="F26" s="6" t="n"/>
      <c r="G26" s="6" t="n"/>
      <c r="H26" s="6" t="n"/>
      <c r="I26" s="6" t="n"/>
      <c r="J26" s="6" t="n"/>
    </row>
    <row r="27">
      <c r="A27" s="10" t="inlineStr">
        <is>
          <t>EVID-024</t>
        </is>
      </c>
      <c r="B27" s="6" t="n"/>
      <c r="C27" s="6" t="n"/>
      <c r="D27" s="6" t="n"/>
      <c r="E27" s="6" t="n"/>
      <c r="F27" s="6" t="n"/>
      <c r="G27" s="6" t="n"/>
      <c r="H27" s="6" t="n"/>
      <c r="I27" s="6" t="n"/>
      <c r="J27" s="6" t="n"/>
    </row>
    <row r="28">
      <c r="A28" s="10" t="inlineStr">
        <is>
          <t>EVID-025</t>
        </is>
      </c>
      <c r="B28" s="6" t="n"/>
      <c r="C28" s="6" t="n"/>
      <c r="D28" s="6" t="n"/>
      <c r="E28" s="6" t="n"/>
      <c r="F28" s="6" t="n"/>
      <c r="G28" s="6" t="n"/>
      <c r="H28" s="6" t="n"/>
      <c r="I28" s="6" t="n"/>
      <c r="J28" s="6" t="n"/>
    </row>
    <row r="29">
      <c r="A29" s="10" t="inlineStr">
        <is>
          <t>EVID-026</t>
        </is>
      </c>
      <c r="B29" s="6" t="n"/>
      <c r="C29" s="6" t="n"/>
      <c r="D29" s="6" t="n"/>
      <c r="E29" s="6" t="n"/>
      <c r="F29" s="6" t="n"/>
      <c r="G29" s="6" t="n"/>
      <c r="H29" s="6" t="n"/>
      <c r="I29" s="6" t="n"/>
      <c r="J29" s="6" t="n"/>
    </row>
    <row r="30">
      <c r="A30" s="10" t="inlineStr">
        <is>
          <t>EVID-027</t>
        </is>
      </c>
      <c r="B30" s="6" t="n"/>
      <c r="C30" s="6" t="n"/>
      <c r="D30" s="6" t="n"/>
      <c r="E30" s="6" t="n"/>
      <c r="F30" s="6" t="n"/>
      <c r="G30" s="6" t="n"/>
      <c r="H30" s="6" t="n"/>
      <c r="I30" s="6" t="n"/>
      <c r="J30" s="6" t="n"/>
    </row>
    <row r="31">
      <c r="A31" s="10" t="inlineStr">
        <is>
          <t>EVID-028</t>
        </is>
      </c>
      <c r="B31" s="6" t="n"/>
      <c r="C31" s="6" t="n"/>
      <c r="D31" s="6" t="n"/>
      <c r="E31" s="6" t="n"/>
      <c r="F31" s="6" t="n"/>
      <c r="G31" s="6" t="n"/>
      <c r="H31" s="6" t="n"/>
      <c r="I31" s="6" t="n"/>
      <c r="J31" s="6" t="n"/>
    </row>
    <row r="32">
      <c r="A32" s="10" t="inlineStr">
        <is>
          <t>EVID-029</t>
        </is>
      </c>
      <c r="B32" s="6" t="n"/>
      <c r="C32" s="6" t="n"/>
      <c r="D32" s="6" t="n"/>
      <c r="E32" s="6" t="n"/>
      <c r="F32" s="6" t="n"/>
      <c r="G32" s="6" t="n"/>
      <c r="H32" s="6" t="n"/>
      <c r="I32" s="6" t="n"/>
      <c r="J32" s="6" t="n"/>
    </row>
    <row r="33">
      <c r="A33" s="10" t="inlineStr">
        <is>
          <t>EVID-030</t>
        </is>
      </c>
      <c r="B33" s="6" t="n"/>
      <c r="C33" s="6" t="n"/>
      <c r="D33" s="6" t="n"/>
      <c r="E33" s="6" t="n"/>
      <c r="F33" s="6" t="n"/>
      <c r="G33" s="6" t="n"/>
      <c r="H33" s="6" t="n"/>
      <c r="I33" s="6" t="n"/>
      <c r="J33" s="6" t="n"/>
    </row>
    <row r="34">
      <c r="A34" s="10" t="inlineStr">
        <is>
          <t>EVID-031</t>
        </is>
      </c>
      <c r="B34" s="6" t="n"/>
      <c r="C34" s="6" t="n"/>
      <c r="D34" s="6" t="n"/>
      <c r="E34" s="6" t="n"/>
      <c r="F34" s="6" t="n"/>
      <c r="G34" s="6" t="n"/>
      <c r="H34" s="6" t="n"/>
      <c r="I34" s="6" t="n"/>
      <c r="J34" s="6" t="n"/>
    </row>
    <row r="35">
      <c r="A35" s="10" t="inlineStr">
        <is>
          <t>EVID-032</t>
        </is>
      </c>
      <c r="B35" s="6" t="n"/>
      <c r="C35" s="6" t="n"/>
      <c r="D35" s="6" t="n"/>
      <c r="E35" s="6" t="n"/>
      <c r="F35" s="6" t="n"/>
      <c r="G35" s="6" t="n"/>
      <c r="H35" s="6" t="n"/>
      <c r="I35" s="6" t="n"/>
      <c r="J35" s="6" t="n"/>
    </row>
    <row r="36">
      <c r="A36" s="10" t="inlineStr">
        <is>
          <t>EVID-033</t>
        </is>
      </c>
      <c r="B36" s="6" t="n"/>
      <c r="C36" s="6" t="n"/>
      <c r="D36" s="6" t="n"/>
      <c r="E36" s="6" t="n"/>
      <c r="F36" s="6" t="n"/>
      <c r="G36" s="6" t="n"/>
      <c r="H36" s="6" t="n"/>
      <c r="I36" s="6" t="n"/>
      <c r="J36" s="6" t="n"/>
    </row>
    <row r="37">
      <c r="A37" s="10" t="inlineStr">
        <is>
          <t>EVID-034</t>
        </is>
      </c>
      <c r="B37" s="6" t="n"/>
      <c r="C37" s="6" t="n"/>
      <c r="D37" s="6" t="n"/>
      <c r="E37" s="6" t="n"/>
      <c r="F37" s="6" t="n"/>
      <c r="G37" s="6" t="n"/>
      <c r="H37" s="6" t="n"/>
      <c r="I37" s="6" t="n"/>
      <c r="J37" s="6" t="n"/>
    </row>
    <row r="38">
      <c r="A38" s="10" t="inlineStr">
        <is>
          <t>EVID-035</t>
        </is>
      </c>
      <c r="B38" s="6" t="n"/>
      <c r="C38" s="6" t="n"/>
      <c r="D38" s="6" t="n"/>
      <c r="E38" s="6" t="n"/>
      <c r="F38" s="6" t="n"/>
      <c r="G38" s="6" t="n"/>
      <c r="H38" s="6" t="n"/>
      <c r="I38" s="6" t="n"/>
      <c r="J38" s="6" t="n"/>
    </row>
    <row r="39">
      <c r="A39" s="10" t="inlineStr">
        <is>
          <t>EVID-036</t>
        </is>
      </c>
      <c r="B39" s="6" t="n"/>
      <c r="C39" s="6" t="n"/>
      <c r="D39" s="6" t="n"/>
      <c r="E39" s="6" t="n"/>
      <c r="F39" s="6" t="n"/>
      <c r="G39" s="6" t="n"/>
      <c r="H39" s="6" t="n"/>
      <c r="I39" s="6" t="n"/>
      <c r="J39" s="6" t="n"/>
    </row>
    <row r="40">
      <c r="A40" s="10" t="inlineStr">
        <is>
          <t>EVID-037</t>
        </is>
      </c>
      <c r="B40" s="6" t="n"/>
      <c r="C40" s="6" t="n"/>
      <c r="D40" s="6" t="n"/>
      <c r="E40" s="6" t="n"/>
      <c r="F40" s="6" t="n"/>
      <c r="G40" s="6" t="n"/>
      <c r="H40" s="6" t="n"/>
      <c r="I40" s="6" t="n"/>
      <c r="J40" s="6" t="n"/>
    </row>
    <row r="41">
      <c r="A41" s="10" t="inlineStr">
        <is>
          <t>EVID-038</t>
        </is>
      </c>
      <c r="B41" s="6" t="n"/>
      <c r="C41" s="6" t="n"/>
      <c r="D41" s="6" t="n"/>
      <c r="E41" s="6" t="n"/>
      <c r="F41" s="6" t="n"/>
      <c r="G41" s="6" t="n"/>
      <c r="H41" s="6" t="n"/>
      <c r="I41" s="6" t="n"/>
      <c r="J41" s="6" t="n"/>
    </row>
    <row r="42">
      <c r="A42" s="10" t="inlineStr">
        <is>
          <t>EVID-039</t>
        </is>
      </c>
      <c r="B42" s="6" t="n"/>
      <c r="C42" s="6" t="n"/>
      <c r="D42" s="6" t="n"/>
      <c r="E42" s="6" t="n"/>
      <c r="F42" s="6" t="n"/>
      <c r="G42" s="6" t="n"/>
      <c r="H42" s="6" t="n"/>
      <c r="I42" s="6" t="n"/>
      <c r="J42" s="6" t="n"/>
    </row>
    <row r="43">
      <c r="A43" s="10" t="inlineStr">
        <is>
          <t>EVID-040</t>
        </is>
      </c>
      <c r="B43" s="6" t="n"/>
      <c r="C43" s="6" t="n"/>
      <c r="D43" s="6" t="n"/>
      <c r="E43" s="6" t="n"/>
      <c r="F43" s="6" t="n"/>
      <c r="G43" s="6" t="n"/>
      <c r="H43" s="6" t="n"/>
      <c r="I43" s="6" t="n"/>
      <c r="J43" s="6" t="n"/>
    </row>
    <row r="44">
      <c r="A44" s="10" t="inlineStr">
        <is>
          <t>EVID-041</t>
        </is>
      </c>
      <c r="B44" s="6" t="n"/>
      <c r="C44" s="6" t="n"/>
      <c r="D44" s="6" t="n"/>
      <c r="E44" s="6" t="n"/>
      <c r="F44" s="6" t="n"/>
      <c r="G44" s="6" t="n"/>
      <c r="H44" s="6" t="n"/>
      <c r="I44" s="6" t="n"/>
      <c r="J44" s="6" t="n"/>
    </row>
    <row r="45">
      <c r="A45" s="10" t="inlineStr">
        <is>
          <t>EVID-042</t>
        </is>
      </c>
      <c r="B45" s="6" t="n"/>
      <c r="C45" s="6" t="n"/>
      <c r="D45" s="6" t="n"/>
      <c r="E45" s="6" t="n"/>
      <c r="F45" s="6" t="n"/>
      <c r="G45" s="6" t="n"/>
      <c r="H45" s="6" t="n"/>
      <c r="I45" s="6" t="n"/>
      <c r="J45" s="6" t="n"/>
    </row>
    <row r="46">
      <c r="A46" s="10" t="inlineStr">
        <is>
          <t>EVID-043</t>
        </is>
      </c>
      <c r="B46" s="6" t="n"/>
      <c r="C46" s="6" t="n"/>
      <c r="D46" s="6" t="n"/>
      <c r="E46" s="6" t="n"/>
      <c r="F46" s="6" t="n"/>
      <c r="G46" s="6" t="n"/>
      <c r="H46" s="6" t="n"/>
      <c r="I46" s="6" t="n"/>
      <c r="J46" s="6" t="n"/>
    </row>
    <row r="47">
      <c r="A47" s="10" t="inlineStr">
        <is>
          <t>EVID-044</t>
        </is>
      </c>
      <c r="B47" s="6" t="n"/>
      <c r="C47" s="6" t="n"/>
      <c r="D47" s="6" t="n"/>
      <c r="E47" s="6" t="n"/>
      <c r="F47" s="6" t="n"/>
      <c r="G47" s="6" t="n"/>
      <c r="H47" s="6" t="n"/>
      <c r="I47" s="6" t="n"/>
      <c r="J47" s="6" t="n"/>
    </row>
    <row r="48">
      <c r="A48" s="10" t="inlineStr">
        <is>
          <t>EVID-045</t>
        </is>
      </c>
      <c r="B48" s="6" t="n"/>
      <c r="C48" s="6" t="n"/>
      <c r="D48" s="6" t="n"/>
      <c r="E48" s="6" t="n"/>
      <c r="F48" s="6" t="n"/>
      <c r="G48" s="6" t="n"/>
      <c r="H48" s="6" t="n"/>
      <c r="I48" s="6" t="n"/>
      <c r="J48" s="6" t="n"/>
    </row>
    <row r="49">
      <c r="A49" s="10" t="inlineStr">
        <is>
          <t>EVID-046</t>
        </is>
      </c>
      <c r="B49" s="6" t="n"/>
      <c r="C49" s="6" t="n"/>
      <c r="D49" s="6" t="n"/>
      <c r="E49" s="6" t="n"/>
      <c r="F49" s="6" t="n"/>
      <c r="G49" s="6" t="n"/>
      <c r="H49" s="6" t="n"/>
      <c r="I49" s="6" t="n"/>
      <c r="J49" s="6" t="n"/>
    </row>
    <row r="50">
      <c r="A50" s="10" t="inlineStr">
        <is>
          <t>EVID-047</t>
        </is>
      </c>
      <c r="B50" s="6" t="n"/>
      <c r="C50" s="6" t="n"/>
      <c r="D50" s="6" t="n"/>
      <c r="E50" s="6" t="n"/>
      <c r="F50" s="6" t="n"/>
      <c r="G50" s="6" t="n"/>
      <c r="H50" s="6" t="n"/>
      <c r="I50" s="6" t="n"/>
      <c r="J50" s="6" t="n"/>
    </row>
    <row r="51">
      <c r="A51" s="10" t="inlineStr">
        <is>
          <t>EVID-048</t>
        </is>
      </c>
      <c r="B51" s="6" t="n"/>
      <c r="C51" s="6" t="n"/>
      <c r="D51" s="6" t="n"/>
      <c r="E51" s="6" t="n"/>
      <c r="F51" s="6" t="n"/>
      <c r="G51" s="6" t="n"/>
      <c r="H51" s="6" t="n"/>
      <c r="I51" s="6" t="n"/>
      <c r="J51" s="6" t="n"/>
    </row>
    <row r="52">
      <c r="A52" s="10" t="inlineStr">
        <is>
          <t>EVID-049</t>
        </is>
      </c>
      <c r="B52" s="6" t="n"/>
      <c r="C52" s="6" t="n"/>
      <c r="D52" s="6" t="n"/>
      <c r="E52" s="6" t="n"/>
      <c r="F52" s="6" t="n"/>
      <c r="G52" s="6" t="n"/>
      <c r="H52" s="6" t="n"/>
      <c r="I52" s="6" t="n"/>
      <c r="J52" s="6" t="n"/>
    </row>
    <row r="53">
      <c r="A53" s="10" t="inlineStr">
        <is>
          <t>EVID-050</t>
        </is>
      </c>
      <c r="B53" s="6" t="n"/>
      <c r="C53" s="6" t="n"/>
      <c r="D53" s="6" t="n"/>
      <c r="E53" s="6" t="n"/>
      <c r="F53" s="6" t="n"/>
      <c r="G53" s="6" t="n"/>
      <c r="H53" s="6" t="n"/>
      <c r="I53" s="6" t="n"/>
      <c r="J53" s="6" t="n"/>
    </row>
    <row r="54">
      <c r="A54" s="10" t="inlineStr">
        <is>
          <t>EVID-051</t>
        </is>
      </c>
      <c r="B54" s="6" t="n"/>
      <c r="C54" s="6" t="n"/>
      <c r="D54" s="6" t="n"/>
      <c r="E54" s="6" t="n"/>
      <c r="F54" s="6" t="n"/>
      <c r="G54" s="6" t="n"/>
      <c r="H54" s="6" t="n"/>
      <c r="I54" s="6" t="n"/>
      <c r="J54" s="6" t="n"/>
    </row>
    <row r="55">
      <c r="A55" s="10" t="inlineStr">
        <is>
          <t>EVID-052</t>
        </is>
      </c>
      <c r="B55" s="6" t="n"/>
      <c r="C55" s="6" t="n"/>
      <c r="D55" s="6" t="n"/>
      <c r="E55" s="6" t="n"/>
      <c r="F55" s="6" t="n"/>
      <c r="G55" s="6" t="n"/>
      <c r="H55" s="6" t="n"/>
      <c r="I55" s="6" t="n"/>
      <c r="J55" s="6" t="n"/>
    </row>
    <row r="56">
      <c r="A56" s="10" t="inlineStr">
        <is>
          <t>EVID-053</t>
        </is>
      </c>
      <c r="B56" s="6" t="n"/>
      <c r="C56" s="6" t="n"/>
      <c r="D56" s="6" t="n"/>
      <c r="E56" s="6" t="n"/>
      <c r="F56" s="6" t="n"/>
      <c r="G56" s="6" t="n"/>
      <c r="H56" s="6" t="n"/>
      <c r="I56" s="6" t="n"/>
      <c r="J56" s="6" t="n"/>
    </row>
    <row r="57">
      <c r="A57" s="10" t="inlineStr">
        <is>
          <t>EVID-054</t>
        </is>
      </c>
      <c r="B57" s="6" t="n"/>
      <c r="C57" s="6" t="n"/>
      <c r="D57" s="6" t="n"/>
      <c r="E57" s="6" t="n"/>
      <c r="F57" s="6" t="n"/>
      <c r="G57" s="6" t="n"/>
      <c r="H57" s="6" t="n"/>
      <c r="I57" s="6" t="n"/>
      <c r="J57" s="6" t="n"/>
    </row>
    <row r="58">
      <c r="A58" s="10" t="inlineStr">
        <is>
          <t>EVID-055</t>
        </is>
      </c>
      <c r="B58" s="6" t="n"/>
      <c r="C58" s="6" t="n"/>
      <c r="D58" s="6" t="n"/>
      <c r="E58" s="6" t="n"/>
      <c r="F58" s="6" t="n"/>
      <c r="G58" s="6" t="n"/>
      <c r="H58" s="6" t="n"/>
      <c r="I58" s="6" t="n"/>
      <c r="J58" s="6" t="n"/>
    </row>
    <row r="59">
      <c r="A59" s="10" t="inlineStr">
        <is>
          <t>EVID-056</t>
        </is>
      </c>
      <c r="B59" s="6" t="n"/>
      <c r="C59" s="6" t="n"/>
      <c r="D59" s="6" t="n"/>
      <c r="E59" s="6" t="n"/>
      <c r="F59" s="6" t="n"/>
      <c r="G59" s="6" t="n"/>
      <c r="H59" s="6" t="n"/>
      <c r="I59" s="6" t="n"/>
      <c r="J59" s="6" t="n"/>
    </row>
    <row r="60">
      <c r="A60" s="10" t="inlineStr">
        <is>
          <t>EVID-057</t>
        </is>
      </c>
      <c r="B60" s="6" t="n"/>
      <c r="C60" s="6" t="n"/>
      <c r="D60" s="6" t="n"/>
      <c r="E60" s="6" t="n"/>
      <c r="F60" s="6" t="n"/>
      <c r="G60" s="6" t="n"/>
      <c r="H60" s="6" t="n"/>
      <c r="I60" s="6" t="n"/>
      <c r="J60" s="6" t="n"/>
    </row>
    <row r="61">
      <c r="A61" s="10" t="inlineStr">
        <is>
          <t>EVID-058</t>
        </is>
      </c>
      <c r="B61" s="6" t="n"/>
      <c r="C61" s="6" t="n"/>
      <c r="D61" s="6" t="n"/>
      <c r="E61" s="6" t="n"/>
      <c r="F61" s="6" t="n"/>
      <c r="G61" s="6" t="n"/>
      <c r="H61" s="6" t="n"/>
      <c r="I61" s="6" t="n"/>
      <c r="J61" s="6" t="n"/>
    </row>
    <row r="62">
      <c r="A62" s="10" t="inlineStr">
        <is>
          <t>EVID-059</t>
        </is>
      </c>
      <c r="B62" s="6" t="n"/>
      <c r="C62" s="6" t="n"/>
      <c r="D62" s="6" t="n"/>
      <c r="E62" s="6" t="n"/>
      <c r="F62" s="6" t="n"/>
      <c r="G62" s="6" t="n"/>
      <c r="H62" s="6" t="n"/>
      <c r="I62" s="6" t="n"/>
      <c r="J62" s="6" t="n"/>
    </row>
    <row r="63">
      <c r="A63" s="10" t="inlineStr">
        <is>
          <t>EVID-060</t>
        </is>
      </c>
      <c r="B63" s="6" t="n"/>
      <c r="C63" s="6" t="n"/>
      <c r="D63" s="6" t="n"/>
      <c r="E63" s="6" t="n"/>
      <c r="F63" s="6" t="n"/>
      <c r="G63" s="6" t="n"/>
      <c r="H63" s="6" t="n"/>
      <c r="I63" s="6" t="n"/>
      <c r="J63" s="6" t="n"/>
    </row>
    <row r="64">
      <c r="A64" s="10" t="inlineStr">
        <is>
          <t>EVID-061</t>
        </is>
      </c>
      <c r="B64" s="6" t="n"/>
      <c r="C64" s="6" t="n"/>
      <c r="D64" s="6" t="n"/>
      <c r="E64" s="6" t="n"/>
      <c r="F64" s="6" t="n"/>
      <c r="G64" s="6" t="n"/>
      <c r="H64" s="6" t="n"/>
      <c r="I64" s="6" t="n"/>
      <c r="J64" s="6" t="n"/>
    </row>
    <row r="65">
      <c r="A65" s="10" t="inlineStr">
        <is>
          <t>EVID-062</t>
        </is>
      </c>
      <c r="B65" s="6" t="n"/>
      <c r="C65" s="6" t="n"/>
      <c r="D65" s="6" t="n"/>
      <c r="E65" s="6" t="n"/>
      <c r="F65" s="6" t="n"/>
      <c r="G65" s="6" t="n"/>
      <c r="H65" s="6" t="n"/>
      <c r="I65" s="6" t="n"/>
      <c r="J65" s="6" t="n"/>
    </row>
    <row r="66">
      <c r="A66" s="10" t="inlineStr">
        <is>
          <t>EVID-063</t>
        </is>
      </c>
      <c r="B66" s="6" t="n"/>
      <c r="C66" s="6" t="n"/>
      <c r="D66" s="6" t="n"/>
      <c r="E66" s="6" t="n"/>
      <c r="F66" s="6" t="n"/>
      <c r="G66" s="6" t="n"/>
      <c r="H66" s="6" t="n"/>
      <c r="I66" s="6" t="n"/>
      <c r="J66" s="6" t="n"/>
    </row>
    <row r="67">
      <c r="A67" s="10" t="inlineStr">
        <is>
          <t>EVID-064</t>
        </is>
      </c>
      <c r="B67" s="6" t="n"/>
      <c r="C67" s="6" t="n"/>
      <c r="D67" s="6" t="n"/>
      <c r="E67" s="6" t="n"/>
      <c r="F67" s="6" t="n"/>
      <c r="G67" s="6" t="n"/>
      <c r="H67" s="6" t="n"/>
      <c r="I67" s="6" t="n"/>
      <c r="J67" s="6" t="n"/>
    </row>
    <row r="68">
      <c r="A68" s="10" t="inlineStr">
        <is>
          <t>EVID-065</t>
        </is>
      </c>
      <c r="B68" s="6" t="n"/>
      <c r="C68" s="6" t="n"/>
      <c r="D68" s="6" t="n"/>
      <c r="E68" s="6" t="n"/>
      <c r="F68" s="6" t="n"/>
      <c r="G68" s="6" t="n"/>
      <c r="H68" s="6" t="n"/>
      <c r="I68" s="6" t="n"/>
      <c r="J68" s="6" t="n"/>
    </row>
    <row r="69">
      <c r="A69" s="10" t="inlineStr">
        <is>
          <t>EVID-066</t>
        </is>
      </c>
      <c r="B69" s="6" t="n"/>
      <c r="C69" s="6" t="n"/>
      <c r="D69" s="6" t="n"/>
      <c r="E69" s="6" t="n"/>
      <c r="F69" s="6" t="n"/>
      <c r="G69" s="6" t="n"/>
      <c r="H69" s="6" t="n"/>
      <c r="I69" s="6" t="n"/>
      <c r="J69" s="6" t="n"/>
    </row>
    <row r="70">
      <c r="A70" s="10" t="inlineStr">
        <is>
          <t>EVID-067</t>
        </is>
      </c>
      <c r="B70" s="6" t="n"/>
      <c r="C70" s="6" t="n"/>
      <c r="D70" s="6" t="n"/>
      <c r="E70" s="6" t="n"/>
      <c r="F70" s="6" t="n"/>
      <c r="G70" s="6" t="n"/>
      <c r="H70" s="6" t="n"/>
      <c r="I70" s="6" t="n"/>
      <c r="J70" s="6" t="n"/>
    </row>
    <row r="71">
      <c r="A71" s="10" t="inlineStr">
        <is>
          <t>EVID-068</t>
        </is>
      </c>
      <c r="B71" s="6" t="n"/>
      <c r="C71" s="6" t="n"/>
      <c r="D71" s="6" t="n"/>
      <c r="E71" s="6" t="n"/>
      <c r="F71" s="6" t="n"/>
      <c r="G71" s="6" t="n"/>
      <c r="H71" s="6" t="n"/>
      <c r="I71" s="6" t="n"/>
      <c r="J71" s="6" t="n"/>
    </row>
    <row r="72">
      <c r="A72" s="10" t="inlineStr">
        <is>
          <t>EVID-069</t>
        </is>
      </c>
      <c r="B72" s="6" t="n"/>
      <c r="C72" s="6" t="n"/>
      <c r="D72" s="6" t="n"/>
      <c r="E72" s="6" t="n"/>
      <c r="F72" s="6" t="n"/>
      <c r="G72" s="6" t="n"/>
      <c r="H72" s="6" t="n"/>
      <c r="I72" s="6" t="n"/>
      <c r="J72" s="6" t="n"/>
    </row>
    <row r="73">
      <c r="A73" s="10" t="inlineStr">
        <is>
          <t>EVID-070</t>
        </is>
      </c>
      <c r="B73" s="6" t="n"/>
      <c r="C73" s="6" t="n"/>
      <c r="D73" s="6" t="n"/>
      <c r="E73" s="6" t="n"/>
      <c r="F73" s="6" t="n"/>
      <c r="G73" s="6" t="n"/>
      <c r="H73" s="6" t="n"/>
      <c r="I73" s="6" t="n"/>
      <c r="J73" s="6" t="n"/>
    </row>
    <row r="74">
      <c r="A74" s="10" t="inlineStr">
        <is>
          <t>EVID-071</t>
        </is>
      </c>
      <c r="B74" s="6" t="n"/>
      <c r="C74" s="6" t="n"/>
      <c r="D74" s="6" t="n"/>
      <c r="E74" s="6" t="n"/>
      <c r="F74" s="6" t="n"/>
      <c r="G74" s="6" t="n"/>
      <c r="H74" s="6" t="n"/>
      <c r="I74" s="6" t="n"/>
      <c r="J74" s="6" t="n"/>
    </row>
    <row r="75">
      <c r="A75" s="10" t="inlineStr">
        <is>
          <t>EVID-072</t>
        </is>
      </c>
      <c r="B75" s="6" t="n"/>
      <c r="C75" s="6" t="n"/>
      <c r="D75" s="6" t="n"/>
      <c r="E75" s="6" t="n"/>
      <c r="F75" s="6" t="n"/>
      <c r="G75" s="6" t="n"/>
      <c r="H75" s="6" t="n"/>
      <c r="I75" s="6" t="n"/>
      <c r="J75" s="6" t="n"/>
    </row>
    <row r="76">
      <c r="A76" s="10" t="inlineStr">
        <is>
          <t>EVID-073</t>
        </is>
      </c>
      <c r="B76" s="6" t="n"/>
      <c r="C76" s="6" t="n"/>
      <c r="D76" s="6" t="n"/>
      <c r="E76" s="6" t="n"/>
      <c r="F76" s="6" t="n"/>
      <c r="G76" s="6" t="n"/>
      <c r="H76" s="6" t="n"/>
      <c r="I76" s="6" t="n"/>
      <c r="J76" s="6" t="n"/>
    </row>
    <row r="77">
      <c r="A77" s="10" t="inlineStr">
        <is>
          <t>EVID-074</t>
        </is>
      </c>
      <c r="B77" s="6" t="n"/>
      <c r="C77" s="6" t="n"/>
      <c r="D77" s="6" t="n"/>
      <c r="E77" s="6" t="n"/>
      <c r="F77" s="6" t="n"/>
      <c r="G77" s="6" t="n"/>
      <c r="H77" s="6" t="n"/>
      <c r="I77" s="6" t="n"/>
      <c r="J77" s="6" t="n"/>
    </row>
    <row r="78">
      <c r="A78" s="10" t="inlineStr">
        <is>
          <t>EVID-075</t>
        </is>
      </c>
      <c r="B78" s="6" t="n"/>
      <c r="C78" s="6" t="n"/>
      <c r="D78" s="6" t="n"/>
      <c r="E78" s="6" t="n"/>
      <c r="F78" s="6" t="n"/>
      <c r="G78" s="6" t="n"/>
      <c r="H78" s="6" t="n"/>
      <c r="I78" s="6" t="n"/>
      <c r="J78" s="6" t="n"/>
    </row>
    <row r="79">
      <c r="A79" s="10" t="inlineStr">
        <is>
          <t>EVID-076</t>
        </is>
      </c>
      <c r="B79" s="6" t="n"/>
      <c r="C79" s="6" t="n"/>
      <c r="D79" s="6" t="n"/>
      <c r="E79" s="6" t="n"/>
      <c r="F79" s="6" t="n"/>
      <c r="G79" s="6" t="n"/>
      <c r="H79" s="6" t="n"/>
      <c r="I79" s="6" t="n"/>
      <c r="J79" s="6" t="n"/>
    </row>
    <row r="80">
      <c r="A80" s="10" t="inlineStr">
        <is>
          <t>EVID-077</t>
        </is>
      </c>
      <c r="B80" s="6" t="n"/>
      <c r="C80" s="6" t="n"/>
      <c r="D80" s="6" t="n"/>
      <c r="E80" s="6" t="n"/>
      <c r="F80" s="6" t="n"/>
      <c r="G80" s="6" t="n"/>
      <c r="H80" s="6" t="n"/>
      <c r="I80" s="6" t="n"/>
      <c r="J80" s="6" t="n"/>
    </row>
    <row r="81">
      <c r="A81" s="10" t="inlineStr">
        <is>
          <t>EVID-078</t>
        </is>
      </c>
      <c r="B81" s="6" t="n"/>
      <c r="C81" s="6" t="n"/>
      <c r="D81" s="6" t="n"/>
      <c r="E81" s="6" t="n"/>
      <c r="F81" s="6" t="n"/>
      <c r="G81" s="6" t="n"/>
      <c r="H81" s="6" t="n"/>
      <c r="I81" s="6" t="n"/>
      <c r="J81" s="6" t="n"/>
    </row>
    <row r="82">
      <c r="A82" s="10" t="inlineStr">
        <is>
          <t>EVID-079</t>
        </is>
      </c>
      <c r="B82" s="6" t="n"/>
      <c r="C82" s="6" t="n"/>
      <c r="D82" s="6" t="n"/>
      <c r="E82" s="6" t="n"/>
      <c r="F82" s="6" t="n"/>
      <c r="G82" s="6" t="n"/>
      <c r="H82" s="6" t="n"/>
      <c r="I82" s="6" t="n"/>
      <c r="J82" s="6" t="n"/>
    </row>
    <row r="83">
      <c r="A83" s="10" t="inlineStr">
        <is>
          <t>EVID-080</t>
        </is>
      </c>
      <c r="B83" s="6" t="n"/>
      <c r="C83" s="6" t="n"/>
      <c r="D83" s="6" t="n"/>
      <c r="E83" s="6" t="n"/>
      <c r="F83" s="6" t="n"/>
      <c r="G83" s="6" t="n"/>
      <c r="H83" s="6" t="n"/>
      <c r="I83" s="6" t="n"/>
      <c r="J83" s="6" t="n"/>
    </row>
    <row r="84">
      <c r="A84" s="10" t="inlineStr">
        <is>
          <t>EVID-081</t>
        </is>
      </c>
      <c r="B84" s="6" t="n"/>
      <c r="C84" s="6" t="n"/>
      <c r="D84" s="6" t="n"/>
      <c r="E84" s="6" t="n"/>
      <c r="F84" s="6" t="n"/>
      <c r="G84" s="6" t="n"/>
      <c r="H84" s="6" t="n"/>
      <c r="I84" s="6" t="n"/>
      <c r="J84" s="6" t="n"/>
    </row>
    <row r="85">
      <c r="A85" s="10" t="inlineStr">
        <is>
          <t>EVID-082</t>
        </is>
      </c>
      <c r="B85" s="6" t="n"/>
      <c r="C85" s="6" t="n"/>
      <c r="D85" s="6" t="n"/>
      <c r="E85" s="6" t="n"/>
      <c r="F85" s="6" t="n"/>
      <c r="G85" s="6" t="n"/>
      <c r="H85" s="6" t="n"/>
      <c r="I85" s="6" t="n"/>
      <c r="J85" s="6" t="n"/>
    </row>
    <row r="86">
      <c r="A86" s="10" t="inlineStr">
        <is>
          <t>EVID-083</t>
        </is>
      </c>
      <c r="B86" s="6" t="n"/>
      <c r="C86" s="6" t="n"/>
      <c r="D86" s="6" t="n"/>
      <c r="E86" s="6" t="n"/>
      <c r="F86" s="6" t="n"/>
      <c r="G86" s="6" t="n"/>
      <c r="H86" s="6" t="n"/>
      <c r="I86" s="6" t="n"/>
      <c r="J86" s="6" t="n"/>
    </row>
    <row r="87">
      <c r="A87" s="10" t="inlineStr">
        <is>
          <t>EVID-084</t>
        </is>
      </c>
      <c r="B87" s="6" t="n"/>
      <c r="C87" s="6" t="n"/>
      <c r="D87" s="6" t="n"/>
      <c r="E87" s="6" t="n"/>
      <c r="F87" s="6" t="n"/>
      <c r="G87" s="6" t="n"/>
      <c r="H87" s="6" t="n"/>
      <c r="I87" s="6" t="n"/>
      <c r="J87" s="6" t="n"/>
    </row>
    <row r="88">
      <c r="A88" s="10" t="inlineStr">
        <is>
          <t>EVID-085</t>
        </is>
      </c>
      <c r="B88" s="6" t="n"/>
      <c r="C88" s="6" t="n"/>
      <c r="D88" s="6" t="n"/>
      <c r="E88" s="6" t="n"/>
      <c r="F88" s="6" t="n"/>
      <c r="G88" s="6" t="n"/>
      <c r="H88" s="6" t="n"/>
      <c r="I88" s="6" t="n"/>
      <c r="J88" s="6" t="n"/>
    </row>
    <row r="89">
      <c r="A89" s="10" t="inlineStr">
        <is>
          <t>EVID-086</t>
        </is>
      </c>
      <c r="B89" s="6" t="n"/>
      <c r="C89" s="6" t="n"/>
      <c r="D89" s="6" t="n"/>
      <c r="E89" s="6" t="n"/>
      <c r="F89" s="6" t="n"/>
      <c r="G89" s="6" t="n"/>
      <c r="H89" s="6" t="n"/>
      <c r="I89" s="6" t="n"/>
      <c r="J89" s="6" t="n"/>
    </row>
    <row r="90">
      <c r="A90" s="10" t="inlineStr">
        <is>
          <t>EVID-087</t>
        </is>
      </c>
      <c r="B90" s="6" t="n"/>
      <c r="C90" s="6" t="n"/>
      <c r="D90" s="6" t="n"/>
      <c r="E90" s="6" t="n"/>
      <c r="F90" s="6" t="n"/>
      <c r="G90" s="6" t="n"/>
      <c r="H90" s="6" t="n"/>
      <c r="I90" s="6" t="n"/>
      <c r="J90" s="6" t="n"/>
    </row>
    <row r="91">
      <c r="A91" s="10" t="inlineStr">
        <is>
          <t>EVID-088</t>
        </is>
      </c>
      <c r="B91" s="6" t="n"/>
      <c r="C91" s="6" t="n"/>
      <c r="D91" s="6" t="n"/>
      <c r="E91" s="6" t="n"/>
      <c r="F91" s="6" t="n"/>
      <c r="G91" s="6" t="n"/>
      <c r="H91" s="6" t="n"/>
      <c r="I91" s="6" t="n"/>
      <c r="J91" s="6" t="n"/>
    </row>
    <row r="92">
      <c r="A92" s="10" t="inlineStr">
        <is>
          <t>EVID-089</t>
        </is>
      </c>
      <c r="B92" s="6" t="n"/>
      <c r="C92" s="6" t="n"/>
      <c r="D92" s="6" t="n"/>
      <c r="E92" s="6" t="n"/>
      <c r="F92" s="6" t="n"/>
      <c r="G92" s="6" t="n"/>
      <c r="H92" s="6" t="n"/>
      <c r="I92" s="6" t="n"/>
      <c r="J92" s="6" t="n"/>
    </row>
    <row r="93">
      <c r="A93" s="10" t="inlineStr">
        <is>
          <t>EVID-090</t>
        </is>
      </c>
      <c r="B93" s="6" t="n"/>
      <c r="C93" s="6" t="n"/>
      <c r="D93" s="6" t="n"/>
      <c r="E93" s="6" t="n"/>
      <c r="F93" s="6" t="n"/>
      <c r="G93" s="6" t="n"/>
      <c r="H93" s="6" t="n"/>
      <c r="I93" s="6" t="n"/>
      <c r="J93" s="6" t="n"/>
    </row>
    <row r="94">
      <c r="A94" s="10" t="inlineStr">
        <is>
          <t>EVID-091</t>
        </is>
      </c>
      <c r="B94" s="6" t="n"/>
      <c r="C94" s="6" t="n"/>
      <c r="D94" s="6" t="n"/>
      <c r="E94" s="6" t="n"/>
      <c r="F94" s="6" t="n"/>
      <c r="G94" s="6" t="n"/>
      <c r="H94" s="6" t="n"/>
      <c r="I94" s="6" t="n"/>
      <c r="J94" s="6" t="n"/>
    </row>
    <row r="95">
      <c r="A95" s="10" t="inlineStr">
        <is>
          <t>EVID-092</t>
        </is>
      </c>
      <c r="B95" s="6" t="n"/>
      <c r="C95" s="6" t="n"/>
      <c r="D95" s="6" t="n"/>
      <c r="E95" s="6" t="n"/>
      <c r="F95" s="6" t="n"/>
      <c r="G95" s="6" t="n"/>
      <c r="H95" s="6" t="n"/>
      <c r="I95" s="6" t="n"/>
      <c r="J95" s="6" t="n"/>
    </row>
    <row r="96">
      <c r="A96" s="10" t="inlineStr">
        <is>
          <t>EVID-093</t>
        </is>
      </c>
      <c r="B96" s="6" t="n"/>
      <c r="C96" s="6" t="n"/>
      <c r="D96" s="6" t="n"/>
      <c r="E96" s="6" t="n"/>
      <c r="F96" s="6" t="n"/>
      <c r="G96" s="6" t="n"/>
      <c r="H96" s="6" t="n"/>
      <c r="I96" s="6" t="n"/>
      <c r="J96" s="6" t="n"/>
    </row>
    <row r="97">
      <c r="A97" s="10" t="inlineStr">
        <is>
          <t>EVID-094</t>
        </is>
      </c>
      <c r="B97" s="6" t="n"/>
      <c r="C97" s="6" t="n"/>
      <c r="D97" s="6" t="n"/>
      <c r="E97" s="6" t="n"/>
      <c r="F97" s="6" t="n"/>
      <c r="G97" s="6" t="n"/>
      <c r="H97" s="6" t="n"/>
      <c r="I97" s="6" t="n"/>
      <c r="J97" s="6" t="n"/>
    </row>
    <row r="98">
      <c r="A98" s="10" t="inlineStr">
        <is>
          <t>EVID-095</t>
        </is>
      </c>
      <c r="B98" s="6" t="n"/>
      <c r="C98" s="6" t="n"/>
      <c r="D98" s="6" t="n"/>
      <c r="E98" s="6" t="n"/>
      <c r="F98" s="6" t="n"/>
      <c r="G98" s="6" t="n"/>
      <c r="H98" s="6" t="n"/>
      <c r="I98" s="6" t="n"/>
      <c r="J98" s="6" t="n"/>
    </row>
    <row r="99">
      <c r="A99" s="10" t="inlineStr">
        <is>
          <t>EVID-096</t>
        </is>
      </c>
      <c r="B99" s="6" t="n"/>
      <c r="C99" s="6" t="n"/>
      <c r="D99" s="6" t="n"/>
      <c r="E99" s="6" t="n"/>
      <c r="F99" s="6" t="n"/>
      <c r="G99" s="6" t="n"/>
      <c r="H99" s="6" t="n"/>
      <c r="I99" s="6" t="n"/>
      <c r="J99" s="6" t="n"/>
    </row>
    <row r="100">
      <c r="A100" s="10" t="inlineStr">
        <is>
          <t>EVID-097</t>
        </is>
      </c>
      <c r="B100" s="6" t="n"/>
      <c r="C100" s="6" t="n"/>
      <c r="D100" s="6" t="n"/>
      <c r="E100" s="6" t="n"/>
      <c r="F100" s="6" t="n"/>
      <c r="G100" s="6" t="n"/>
      <c r="H100" s="6" t="n"/>
      <c r="I100" s="6" t="n"/>
      <c r="J100" s="6" t="n"/>
    </row>
    <row r="101">
      <c r="A101" s="10" t="inlineStr">
        <is>
          <t>EVID-098</t>
        </is>
      </c>
      <c r="B101" s="6" t="n"/>
      <c r="C101" s="6" t="n"/>
      <c r="D101" s="6" t="n"/>
      <c r="E101" s="6" t="n"/>
      <c r="F101" s="6" t="n"/>
      <c r="G101" s="6" t="n"/>
      <c r="H101" s="6" t="n"/>
      <c r="I101" s="6" t="n"/>
      <c r="J101" s="6" t="n"/>
    </row>
    <row r="102">
      <c r="A102" s="10" t="inlineStr">
        <is>
          <t>EVID-099</t>
        </is>
      </c>
      <c r="B102" s="6" t="n"/>
      <c r="C102" s="6" t="n"/>
      <c r="D102" s="6" t="n"/>
      <c r="E102" s="6" t="n"/>
      <c r="F102" s="6" t="n"/>
      <c r="G102" s="6" t="n"/>
      <c r="H102" s="6" t="n"/>
      <c r="I102" s="6" t="n"/>
      <c r="J102" s="6" t="n"/>
    </row>
    <row r="103">
      <c r="A103" s="10" t="inlineStr">
        <is>
          <t>EVID-100</t>
        </is>
      </c>
      <c r="B103" s="6" t="n"/>
      <c r="C103" s="6" t="n"/>
      <c r="D103" s="6" t="n"/>
      <c r="E103" s="6" t="n"/>
      <c r="F103" s="6" t="n"/>
      <c r="G103" s="6" t="n"/>
      <c r="H103" s="6" t="n"/>
      <c r="I103" s="6" t="n"/>
      <c r="J103" s="6" t="n"/>
    </row>
  </sheetData>
  <mergeCells count="1">
    <mergeCell ref="A1:J1"/>
  </mergeCells>
  <dataValidations count="1">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1" type="list">
      <formula1>"Maintenance Ticket,Vendor Report,Test Report,Inspection Certificate,Log Export,Other"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2026-02-08T11:25:55Z</dcterms:created>
  <dcterms:modified xmlns:dcterms="http://purl.org/dc/terms/" xmlns:xsi="http://www.w3.org/2001/XMLSchema-instance" xsi:type="dcterms:W3CDTF">2026-02-08T11:25:55Z</dcterms:modified>
</cp:coreProperties>
</file>