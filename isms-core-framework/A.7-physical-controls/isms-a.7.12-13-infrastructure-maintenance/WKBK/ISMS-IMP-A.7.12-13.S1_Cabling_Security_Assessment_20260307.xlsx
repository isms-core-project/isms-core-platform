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able Pathways" sheetId="2" state="visible" r:id="rId2"/>
    <sheet xmlns:r="http://schemas.openxmlformats.org/officeDocument/2006/relationships" name="Physical Protection" sheetId="3" state="visible" r:id="rId3"/>
    <sheet xmlns:r="http://schemas.openxmlformats.org/officeDocument/2006/relationships" name="Access Controls" sheetId="4" state="visible" r:id="rId4"/>
    <sheet xmlns:r="http://schemas.openxmlformats.org/officeDocument/2006/relationships" name="Documentation"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10"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applyAlignment="1" pivotButton="0" quotePrefix="0" xfId="0">
      <alignment horizontal="left"/>
    </xf>
    <xf numFmtId="0" fontId="11" fillId="9" borderId="2" applyAlignment="1" pivotButton="0" quotePrefix="0" xfId="0">
      <alignment horizontal="center"/>
    </xf>
    <xf numFmtId="164" fontId="11" fillId="9" borderId="2" applyAlignment="1" pivotButton="0" quotePrefix="0" xfId="0">
      <alignment horizontal="center"/>
    </xf>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3" fillId="13" borderId="1" pivotButton="0" quotePrefix="0" xfId="0"/>
    <xf numFmtId="0" fontId="4" fillId="0" borderId="1" pivotButton="0" quotePrefix="0" xfId="0"/>
    <xf numFmtId="0" fontId="0" fillId="11" borderId="1" pivotButton="0" quotePrefix="0" xfId="0"/>
    <xf numFmtId="164" fontId="0" fillId="0" borderId="1" pivotButton="0" quotePrefix="0" xfId="0"/>
    <xf numFmtId="0" fontId="13" fillId="13" borderId="1" applyAlignment="1" pivotButton="0" quotePrefix="0" xfId="0">
      <alignment horizontal="left" vertical="center"/>
    </xf>
    <xf numFmtId="0" fontId="1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ISMS-IMP-A.7.12-13.S1  -  Cabling Security Assessment
ISO/IEC 27001:2022 - Control A.7.12: Cabling Security</t>
        </is>
      </c>
    </row>
    <row r="3">
      <c r="A3" s="2" t="inlineStr">
        <is>
          <t>Document Information</t>
        </is>
      </c>
    </row>
    <row r="4">
      <c r="A4" s="3" t="inlineStr">
        <is>
          <t>Document ID</t>
        </is>
      </c>
      <c r="B4" t="inlineStr">
        <is>
          <t>ISMS-IMP-A.7.12-13.S1</t>
        </is>
      </c>
    </row>
    <row r="5">
      <c r="A5" s="3" t="inlineStr">
        <is>
          <t>Workbook Title</t>
        </is>
      </c>
      <c r="B5" t="inlineStr">
        <is>
          <t>Cabling Security Assessment</t>
        </is>
      </c>
    </row>
    <row r="6">
      <c r="A6" s="3" t="inlineStr">
        <is>
          <t>Control Reference</t>
        </is>
      </c>
      <c r="B6" t="inlineStr">
        <is>
          <t>ISO/IEC 27001:2022 - Control A.7.12: Cabling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(Cable Pathways) — document all cable routes and protection status.</t>
        </is>
      </c>
    </row>
    <row r="14">
      <c r="A14" t="inlineStr">
        <is>
          <t>2. Complete Sheet 3 (Physical Protection) — assess physical and environmental protection.</t>
        </is>
      </c>
    </row>
    <row r="15">
      <c r="A15" t="inlineStr">
        <is>
          <t>3. Complete Sheet 4 (Access Controls) — document access controls for cabling infrastructure.</t>
        </is>
      </c>
    </row>
    <row r="16">
      <c r="A16" t="inlineStr">
        <is>
          <t>4. Complete Sheet 5 (Documentation) — audit cable documentation compliance.</t>
        </is>
      </c>
    </row>
    <row r="17">
      <c r="A17" t="inlineStr">
        <is>
          <t>5. Review Sheet 6 (Summary Dashboard) — automated compliance scoring.</t>
        </is>
      </c>
    </row>
    <row r="18">
      <c r="A18" t="inlineStr">
        <is>
          <t>6. Complete Sheet 7 (Evidence Register) — document supporting evidence.</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25" customWidth="1" min="5" max="5"/>
    <col width="20" customWidth="1" min="6" max="6"/>
    <col width="20" customWidth="1" min="7" max="7"/>
    <col width="12" customWidth="1" min="8" max="8"/>
    <col width="18" customWidth="1" min="9" max="9"/>
    <col width="18" customWidth="1" min="10" max="10"/>
    <col width="15" customWidth="1" min="11" max="11"/>
    <col width="18" customWidth="1" min="12" max="12"/>
    <col width="40" customWidth="1" min="13" max="13"/>
  </cols>
  <sheetData>
    <row r="1" ht="35" customHeight="1">
      <c r="A1" s="11" t="inlineStr">
        <is>
          <t>CABLE PATHWAYS ASSESSMENT</t>
        </is>
      </c>
    </row>
    <row r="2">
      <c r="A2" s="12" t="inlineStr">
        <is>
          <t>Policy Requirement: Cables carrying power, data, or supporting information services should be protected from interception, interference or damage.</t>
        </is>
      </c>
    </row>
    <row r="3">
      <c r="A3" s="13" t="inlineStr">
        <is>
          <t>Pathway ID</t>
        </is>
      </c>
      <c r="B3" s="13" t="inlineStr">
        <is>
          <t>Facility/Building</t>
        </is>
      </c>
      <c r="C3" s="13" t="inlineStr">
        <is>
          <t>Pathway Type</t>
        </is>
      </c>
      <c r="D3" s="13" t="inlineStr">
        <is>
          <t>Start Location</t>
        </is>
      </c>
      <c r="E3" s="13" t="inlineStr">
        <is>
          <t>End Location</t>
        </is>
      </c>
      <c r="F3" s="13" t="inlineStr">
        <is>
          <t>Cable Types</t>
        </is>
      </c>
      <c r="G3" s="13" t="inlineStr">
        <is>
          <t>Protection Type</t>
        </is>
      </c>
      <c r="H3" s="13" t="inlineStr">
        <is>
          <t>Length (m)</t>
        </is>
      </c>
      <c r="I3" s="13" t="inlineStr">
        <is>
          <t>Segregation Compliant</t>
        </is>
      </c>
      <c r="J3" s="13" t="inlineStr">
        <is>
          <t>Documentation Current</t>
        </is>
      </c>
      <c r="K3" s="13" t="inlineStr">
        <is>
          <t>Last Inspection</t>
        </is>
      </c>
      <c r="L3" s="13" t="inlineStr">
        <is>
          <t>Compliance Status</t>
        </is>
      </c>
      <c r="M3" s="13" t="inlineStr">
        <is>
          <t>Notes</t>
        </is>
      </c>
    </row>
    <row r="4">
      <c r="A4" s="14" t="inlineStr">
        <is>
          <t>PATH-001</t>
        </is>
      </c>
      <c r="B4" s="14" t="inlineStr">
        <is>
          <t>[Facility A]</t>
        </is>
      </c>
      <c r="C4" s="14" t="inlineStr">
        <is>
          <t>Conduit</t>
        </is>
      </c>
      <c r="D4" s="14" t="inlineStr">
        <is>
          <t>[Server Room]</t>
        </is>
      </c>
      <c r="E4" s="14" t="inlineStr">
        <is>
          <t>[Network Closet]</t>
        </is>
      </c>
      <c r="F4" s="14" t="inlineStr">
        <is>
          <t>Copper/Fibre</t>
        </is>
      </c>
      <c r="G4" s="14" t="inlineStr">
        <is>
          <t>Enclosed - Metal</t>
        </is>
      </c>
      <c r="H4" s="14" t="inlineStr">
        <is>
          <t>25</t>
        </is>
      </c>
      <c r="I4" s="14" t="inlineStr">
        <is>
          <t>Yes</t>
        </is>
      </c>
      <c r="J4" s="14" t="inlineStr">
        <is>
          <t>Yes</t>
        </is>
      </c>
      <c r="K4" s="14" t="inlineStr">
        <is>
          <t>[DD.MM.YYYY]</t>
        </is>
      </c>
      <c r="L4" s="14" t="inlineStr">
        <is>
          <t>✅ Compliant</t>
        </is>
      </c>
      <c r="M4" s="14" t="inlineStr"/>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"Conduit,Cable Tray,Raised Floor,Underground,Ceiling Void,Wall Chase"</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"Enclosed - Metal,Enclosed - Plastic,Open Tray,Armoured,None"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"Yes,No,N/A"</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"Yes,Partial,No"</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15" customWidth="1" min="4" max="4"/>
    <col width="22" customWidth="1" min="5" max="5"/>
    <col width="15" customWidth="1" min="6" max="6"/>
    <col width="15" customWidth="1" min="7" max="7"/>
    <col width="18" customWidth="1" min="8" max="8"/>
    <col width="18" customWidth="1" min="9" max="9"/>
    <col width="18" customWidth="1" min="10" max="10"/>
    <col width="40" customWidth="1" min="11" max="11"/>
  </cols>
  <sheetData>
    <row r="1" ht="35" customHeight="1">
      <c r="A1" s="11" t="inlineStr">
        <is>
          <t>PHYSICAL PROTECTION ASSESSMENT</t>
        </is>
      </c>
    </row>
    <row r="2">
      <c r="A2" s="12" t="inlineStr">
        <is>
          <t>Policy Requirement: Cables should be protected from electromagnetic interference, physical damage, water, and heat sources.</t>
        </is>
      </c>
    </row>
    <row r="3">
      <c r="A3" s="13" t="inlineStr">
        <is>
          <t>Area ID</t>
        </is>
      </c>
      <c r="B3" s="13" t="inlineStr">
        <is>
          <t>Facility/Building</t>
        </is>
      </c>
      <c r="C3" s="13" t="inlineStr">
        <is>
          <t>Area Name</t>
        </is>
      </c>
      <c r="D3" s="13" t="inlineStr">
        <is>
          <t>EMI Protection</t>
        </is>
      </c>
      <c r="E3" s="13" t="inlineStr">
        <is>
          <t>Physical Damage Protection</t>
        </is>
      </c>
      <c r="F3" s="13" t="inlineStr">
        <is>
          <t>Water Protection</t>
        </is>
      </c>
      <c r="G3" s="13" t="inlineStr">
        <is>
          <t>Heat Protection</t>
        </is>
      </c>
      <c r="H3" s="13" t="inlineStr">
        <is>
          <t>Cable Route Risk Level</t>
        </is>
      </c>
      <c r="I3" s="13" t="inlineStr">
        <is>
          <t>Fibre for High Security</t>
        </is>
      </c>
      <c r="J3" s="13" t="inlineStr">
        <is>
          <t>Compliance Status</t>
        </is>
      </c>
      <c r="K3" s="13" t="inlineStr">
        <is>
          <t>Notes</t>
        </is>
      </c>
    </row>
    <row r="4">
      <c r="A4" s="14" t="inlineStr">
        <is>
          <t>AREA-001</t>
        </is>
      </c>
      <c r="B4" s="14" t="inlineStr">
        <is>
          <t>[Facility A]</t>
        </is>
      </c>
      <c r="C4" s="14" t="inlineStr">
        <is>
          <t>Server Room</t>
        </is>
      </c>
      <c r="D4" s="14" t="inlineStr">
        <is>
          <t>Yes - Shielded</t>
        </is>
      </c>
      <c r="E4" s="14" t="inlineStr">
        <is>
          <t>Yes - Armoured</t>
        </is>
      </c>
      <c r="F4" s="14" t="inlineStr">
        <is>
          <t>Yes</t>
        </is>
      </c>
      <c r="G4" s="14" t="inlineStr">
        <is>
          <t>Yes</t>
        </is>
      </c>
      <c r="H4" s="14" t="inlineStr">
        <is>
          <t>Low</t>
        </is>
      </c>
      <c r="I4" s="14" t="inlineStr">
        <is>
          <t>Yes</t>
        </is>
      </c>
      <c r="J4" s="14" t="inlineStr">
        <is>
          <t>✅ Compliant</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5">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"Yes - Shielded,Partial,No,N/A"</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Armoured,Yes - Enclosed,Partial,No"</formula1>
    </dataValidation>
    <dataValidation sqref="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"Low,Medium,High"</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30" customWidth="1" min="4" max="4"/>
    <col width="22" customWidth="1" min="5" max="5"/>
    <col width="25" customWidth="1" min="6" max="6"/>
    <col width="18" customWidth="1" min="7" max="7"/>
    <col width="18" customWidth="1" min="8" max="8"/>
    <col width="18" customWidth="1" min="9" max="9"/>
    <col width="18" customWidth="1" min="10" max="10"/>
    <col width="40" customWidth="1" min="11" max="11"/>
  </cols>
  <sheetData>
    <row r="1" ht="35" customHeight="1">
      <c r="A1" s="11" t="inlineStr">
        <is>
          <t>ACCESS CONTROLS ASSESSMENT</t>
        </is>
      </c>
    </row>
    <row r="2">
      <c r="A2" s="12" t="inlineStr">
        <is>
          <t>Policy Requirement: Cabling infrastructure should be in secured areas with access controls and locked when unoccupied.</t>
        </is>
      </c>
    </row>
    <row r="3">
      <c r="A3" s="13" t="inlineStr">
        <is>
          <t>Location ID</t>
        </is>
      </c>
      <c r="B3" s="13" t="inlineStr">
        <is>
          <t>Facility/Building</t>
        </is>
      </c>
      <c r="C3" s="13" t="inlineStr">
        <is>
          <t>Infrastructure Type</t>
        </is>
      </c>
      <c r="D3" s="13" t="inlineStr">
        <is>
          <t>Location Description</t>
        </is>
      </c>
      <c r="E3" s="13" t="inlineStr">
        <is>
          <t>Lock Type</t>
        </is>
      </c>
      <c r="F3" s="13" t="inlineStr">
        <is>
          <t>Access Restricted</t>
        </is>
      </c>
      <c r="G3" s="13" t="inlineStr">
        <is>
          <t>Access Logged</t>
        </is>
      </c>
      <c r="H3" s="13" t="inlineStr">
        <is>
          <t>Occupied Monitoring</t>
        </is>
      </c>
      <c r="I3" s="13" t="inlineStr">
        <is>
          <t>Last Access Review</t>
        </is>
      </c>
      <c r="J3" s="13" t="inlineStr">
        <is>
          <t>Compliance Status</t>
        </is>
      </c>
      <c r="K3" s="13" t="inlineStr">
        <is>
          <t>Notes</t>
        </is>
      </c>
    </row>
    <row r="4">
      <c r="A4" s="14" t="inlineStr">
        <is>
          <t>LOC-001</t>
        </is>
      </c>
      <c r="B4" s="14" t="inlineStr">
        <is>
          <t>[Facility A]</t>
        </is>
      </c>
      <c r="C4" s="14" t="inlineStr">
        <is>
          <t>Wiring Closet</t>
        </is>
      </c>
      <c r="D4" s="14" t="inlineStr">
        <is>
          <t>Main Comms Room</t>
        </is>
      </c>
      <c r="E4" s="14" t="inlineStr">
        <is>
          <t>Electronic Access Card</t>
        </is>
      </c>
      <c r="F4" s="14" t="inlineStr">
        <is>
          <t>Yes - IT Only</t>
        </is>
      </c>
      <c r="G4" s="14" t="inlineStr">
        <is>
          <t>Yes - Electronic</t>
        </is>
      </c>
      <c r="H4" s="14" t="inlineStr">
        <is>
          <t>Yes - CCTV</t>
        </is>
      </c>
      <c r="I4" s="14" t="inlineStr">
        <is>
          <t>[DD.MM.YYYY]</t>
        </is>
      </c>
      <c r="J4" s="14" t="inlineStr">
        <is>
          <t>✅ Compliant</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"Wiring Closet,Patch Panel,Distribution Frame,Manhole,Duct Access"</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"Electronic Access Card,Keyed Lock,Combination Lock,No Lock,Cage/Enclosure"</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IT Only,Yes - Facilities Only,Yes - Authorised Personnel,No"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 - Electronic,Yes - Manual,No"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CCTV,Yes - Guards,No"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5" customWidth="1" min="4" max="4"/>
    <col width="15" customWidth="1" min="5" max="5"/>
    <col width="15" customWidth="1" min="6" max="6"/>
    <col width="12" customWidth="1" min="7" max="7"/>
    <col width="18" customWidth="1" min="8" max="8"/>
    <col width="18" customWidth="1" min="9" max="9"/>
    <col width="40" customWidth="1" min="10" max="10"/>
  </cols>
  <sheetData>
    <row r="1" ht="35" customHeight="1">
      <c r="A1" s="11" t="inlineStr">
        <is>
          <t>DOCUMENTATION COMPLIANCE ASSESSMENT</t>
        </is>
      </c>
    </row>
    <row r="2">
      <c r="A2" s="12" t="inlineStr">
        <is>
          <t>Policy Requirement: Cable infrastructure should be documented with cable schedules, diagrams and labelling standards, maintained as current.</t>
        </is>
      </c>
    </row>
    <row r="3">
      <c r="A3" s="13" t="inlineStr">
        <is>
          <t>Document Type</t>
        </is>
      </c>
      <c r="B3" s="13" t="inlineStr">
        <is>
          <t>Document Name</t>
        </is>
      </c>
      <c r="C3" s="13" t="inlineStr">
        <is>
          <t>Document Location</t>
        </is>
      </c>
      <c r="D3" s="13" t="inlineStr">
        <is>
          <t>Owner</t>
        </is>
      </c>
      <c r="E3" s="13" t="inlineStr">
        <is>
          <t>Last Updated</t>
        </is>
      </c>
      <c r="F3" s="13" t="inlineStr">
        <is>
          <t>Review Cycle</t>
        </is>
      </c>
      <c r="G3" s="13" t="inlineStr">
        <is>
          <t>Current</t>
        </is>
      </c>
      <c r="H3" s="13" t="inlineStr">
        <is>
          <t>Accessible</t>
        </is>
      </c>
      <c r="I3" s="13" t="inlineStr">
        <is>
          <t>Compliance Status</t>
        </is>
      </c>
      <c r="J3" s="13" t="inlineStr">
        <is>
          <t>Notes</t>
        </is>
      </c>
    </row>
    <row r="4">
      <c r="A4" s="14" t="inlineStr">
        <is>
          <t>Cable Schedule</t>
        </is>
      </c>
      <c r="B4" s="14" t="inlineStr">
        <is>
          <t>[Cable Diagram v1.0]</t>
        </is>
      </c>
      <c r="C4" s="14" t="inlineStr">
        <is>
          <t>[SharePoint/Network Drive]</t>
        </is>
      </c>
      <c r="D4" s="14" t="inlineStr">
        <is>
          <t>[Facilities Manager]</t>
        </is>
      </c>
      <c r="E4" s="14" t="inlineStr">
        <is>
          <t>[DD.MM.YYYY]</t>
        </is>
      </c>
      <c r="F4" s="14" t="inlineStr">
        <is>
          <t>Annual</t>
        </is>
      </c>
      <c r="G4" s="14" t="inlineStr">
        <is>
          <t>Yes</t>
        </is>
      </c>
      <c r="H4" s="14" t="inlineStr">
        <is>
          <t>Yes - Restricted</t>
        </is>
      </c>
      <c r="I4" s="14" t="inlineStr">
        <is>
          <t>✅ Compliant</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5">
    <dataValidation sqref="A4 A5 A6 A7 A8 A9 A10 A11 A12 A13 A14 A15 A16 A17 A18 A19 A20 A21 A22 A23 A24 A25 A26 A27 A28 A29 A30 A31 A32 A33 A34 A35 A36 A37 A38 A39 A40 A41 A42 A43 A44 A45 A46 A47 A48 A49 A50 A51 A52 A53 A54" showDropDown="0" showInputMessage="0" showErrorMessage="0" allowBlank="1" type="list">
      <formula1>"Cable Schedule,Network Diagram,Labelling Standard,Change Log,Audit Report,Procedure Document"</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"Annual,Quarterly,On Change"</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Online,Yes - Restricted,No"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6" t="inlineStr">
        <is>
          <t>Evidence ID</t>
        </is>
      </c>
      <c r="B4" s="16" t="inlineStr">
        <is>
          <t>Evidence Type</t>
        </is>
      </c>
      <c r="C4" s="16" t="inlineStr">
        <is>
          <t>Description</t>
        </is>
      </c>
      <c r="D4" s="16" t="inlineStr">
        <is>
          <t>Related Sheet / Item</t>
        </is>
      </c>
      <c r="E4" s="16" t="inlineStr">
        <is>
          <t>File Name</t>
        </is>
      </c>
      <c r="F4" s="16" t="inlineStr">
        <is>
          <t>File Location</t>
        </is>
      </c>
      <c r="G4" s="16" t="inlineStr">
        <is>
          <t>Collection Date</t>
        </is>
      </c>
      <c r="H4" s="16" t="inlineStr">
        <is>
          <t>Collected By</t>
        </is>
      </c>
    </row>
    <row r="5">
      <c r="A5" s="17"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8" t="inlineStr">
        <is>
          <t>CABLING SECURITY — SUMMARY DASHBOARD</t>
        </is>
      </c>
      <c r="B1" s="19" t="n"/>
      <c r="C1" s="19" t="n"/>
      <c r="D1" s="19" t="n"/>
      <c r="E1" s="19" t="n"/>
      <c r="F1" s="19" t="n"/>
      <c r="G1" s="19" t="n"/>
    </row>
    <row r="2">
      <c r="A2" s="20" t="inlineStr">
        <is>
          <t>ISO/IEC 27001:2022 — Control A.7.12: Cabling Security</t>
        </is>
      </c>
    </row>
    <row r="4">
      <c r="A4" s="21" t="inlineStr">
        <is>
          <t>TABLE 1: ASSESSMENT AREA COMPLIANCE OVERVIEW</t>
        </is>
      </c>
      <c r="B4" s="19" t="n"/>
      <c r="C4" s="19" t="n"/>
      <c r="D4" s="19" t="n"/>
      <c r="E4" s="19" t="n"/>
      <c r="F4" s="19" t="n"/>
      <c r="G4" s="19"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Cable Pathways</t>
        </is>
      </c>
      <c r="B6" s="24">
        <f>COUNTA('Cable Pathways'!B5:B54)</f>
        <v/>
      </c>
      <c r="C6" s="24">
        <f>COUNTIF('Cable Pathways'!L5:L54,"✅*")</f>
        <v/>
      </c>
      <c r="D6" s="24">
        <f>COUNTIF('Cable Pathways'!L5:L54,"⚠*")</f>
        <v/>
      </c>
      <c r="E6" s="24">
        <f>COUNTIF('Cable Pathways'!L5:L54,"❌*")</f>
        <v/>
      </c>
      <c r="F6" s="24">
        <f>COUNTIF('Cable Pathways'!L5:L54,"N/A")</f>
        <v/>
      </c>
      <c r="G6" s="25">
        <f>IF((B6-F6)=0,0,C6/(B6-F6))</f>
        <v/>
      </c>
    </row>
    <row r="7">
      <c r="A7" s="23" t="inlineStr">
        <is>
          <t>Physical Protection</t>
        </is>
      </c>
      <c r="B7" s="24">
        <f>COUNTA('Physical Protection'!B5:B54)</f>
        <v/>
      </c>
      <c r="C7" s="24">
        <f>COUNTIF('Physical Protection'!J5:J54,"✅*")</f>
        <v/>
      </c>
      <c r="D7" s="24">
        <f>COUNTIF('Physical Protection'!J5:J54,"⚠*")</f>
        <v/>
      </c>
      <c r="E7" s="24">
        <f>COUNTIF('Physical Protection'!J5:J54,"❌*")</f>
        <v/>
      </c>
      <c r="F7" s="24">
        <f>COUNTIF('Physical Protection'!J5:J54,"N/A")</f>
        <v/>
      </c>
      <c r="G7" s="25">
        <f>IF((B7-F7)=0,0,C7/(B7-F7))</f>
        <v/>
      </c>
    </row>
    <row r="8">
      <c r="A8" s="23" t="inlineStr">
        <is>
          <t>Access Controls</t>
        </is>
      </c>
      <c r="B8" s="24">
        <f>COUNTA('Access Controls'!B5:B54)</f>
        <v/>
      </c>
      <c r="C8" s="24">
        <f>COUNTIF('Access Controls'!J5:J54,"✅*")</f>
        <v/>
      </c>
      <c r="D8" s="24">
        <f>COUNTIF('Access Controls'!J5:J54,"⚠*")</f>
        <v/>
      </c>
      <c r="E8" s="24">
        <f>COUNTIF('Access Controls'!J5:J54,"❌*")</f>
        <v/>
      </c>
      <c r="F8" s="24">
        <f>COUNTIF('Access Controls'!J5:J54,"N/A")</f>
        <v/>
      </c>
      <c r="G8" s="25">
        <f>IF((B8-F8)=0,0,C8/(B8-F8))</f>
        <v/>
      </c>
    </row>
    <row r="9">
      <c r="A9" s="23" t="inlineStr">
        <is>
          <t>Documentation</t>
        </is>
      </c>
      <c r="B9" s="24">
        <f>COUNTA('Documentation'!A5:A54)</f>
        <v/>
      </c>
      <c r="C9" s="24">
        <f>COUNTIF('Documentation'!I5:I54,"✅*")</f>
        <v/>
      </c>
      <c r="D9" s="24">
        <f>COUNTIF('Documentation'!I5:I54,"⚠*")</f>
        <v/>
      </c>
      <c r="E9" s="24">
        <f>COUNTIF('Documentation'!I5:I54,"❌*")</f>
        <v/>
      </c>
      <c r="F9" s="24">
        <f>COUNTIF('Documentation'!I5:I54,"N/A")</f>
        <v/>
      </c>
      <c r="G9" s="25">
        <f>IF((B9-F9)=0,0,C9/(B9-F9))</f>
        <v/>
      </c>
    </row>
    <row r="10">
      <c r="A10" s="26" t="inlineStr">
        <is>
          <t>TOTAL</t>
        </is>
      </c>
      <c r="B10" s="27">
        <f>SUM(B6:B9)</f>
        <v/>
      </c>
      <c r="C10" s="27">
        <f>SUM(C6:C9)</f>
        <v/>
      </c>
      <c r="D10" s="27">
        <f>SUM(D6:D9)</f>
        <v/>
      </c>
      <c r="E10" s="27">
        <f>SUM(E6:E9)</f>
        <v/>
      </c>
      <c r="F10" s="27">
        <f>SUM(F6:F9)</f>
        <v/>
      </c>
      <c r="G10" s="28">
        <f>IF((B10-F10)=0,0,C10/(B10-F10))</f>
        <v/>
      </c>
    </row>
    <row r="12">
      <c r="A12" s="21" t="inlineStr">
        <is>
          <t>TABLE 2: KEY METRICS — CABLING SECURITY CONTROLS</t>
        </is>
      </c>
      <c r="B12" s="19" t="n"/>
      <c r="C12" s="19" t="n"/>
      <c r="D12" s="19" t="n"/>
      <c r="E12" s="19" t="n"/>
      <c r="F12" s="19" t="n"/>
      <c r="G12" s="19" t="n"/>
    </row>
    <row r="13">
      <c r="A13" s="27" t="inlineStr">
        <is>
          <t>Metric</t>
        </is>
      </c>
      <c r="B13" s="27" t="inlineStr">
        <is>
          <t>Value</t>
        </is>
      </c>
      <c r="C13" s="27" t="n"/>
      <c r="D13" s="27" t="n"/>
      <c r="E13" s="27" t="n"/>
      <c r="F13" s="27" t="n"/>
      <c r="G13" s="27" t="n"/>
    </row>
    <row r="14">
      <c r="A14" s="23" t="inlineStr">
        <is>
          <t>Cable routes in conduit or trunking</t>
        </is>
      </c>
      <c r="B14" s="24">
        <f>COUNTIF('Cable Pathways'!C5:C54,"Conduit")+COUNTIF('Cable Pathways'!C5:C54,"Cable Tray")</f>
        <v/>
      </c>
      <c r="C14" s="19" t="n"/>
      <c r="D14" s="19" t="n"/>
      <c r="E14" s="19" t="n"/>
      <c r="F14" s="19" t="n"/>
      <c r="G14" s="19" t="n"/>
    </row>
    <row r="15">
      <c r="A15" s="23" t="inlineStr">
        <is>
          <t>Routes with full physical protection (armoured or enclosed)</t>
        </is>
      </c>
      <c r="B15" s="24">
        <f>COUNTIF('Physical Protection'!E5:E54,"Yes - Armoured")+COUNTIF('Physical Protection'!E5:E54,"Yes - Enclosed")</f>
        <v/>
      </c>
      <c r="C15" s="19" t="n"/>
      <c r="D15" s="19" t="n"/>
      <c r="E15" s="19" t="n"/>
      <c r="F15" s="19" t="n"/>
      <c r="G15" s="19" t="n"/>
    </row>
    <row r="16">
      <c r="A16" s="23" t="inlineStr">
        <is>
          <t>Cable runs with EMI shielding</t>
        </is>
      </c>
      <c r="B16" s="24">
        <f>COUNTIF('Physical Protection'!D5:D54,"Yes - Shielded")</f>
        <v/>
      </c>
      <c r="C16" s="19" t="n"/>
      <c r="D16" s="19" t="n"/>
      <c r="E16" s="19" t="n"/>
      <c r="F16" s="19" t="n"/>
      <c r="G16" s="19" t="n"/>
    </row>
    <row r="17">
      <c r="A17" s="23" t="inlineStr">
        <is>
          <t>Access points with restricted access</t>
        </is>
      </c>
      <c r="B17" s="24">
        <f>COUNTIF('Access Controls'!F5:F54,"Yes*")</f>
        <v/>
      </c>
      <c r="C17" s="19" t="n"/>
      <c r="D17" s="19" t="n"/>
      <c r="E17" s="19" t="n"/>
      <c r="F17" s="19" t="n"/>
      <c r="G17" s="19" t="n"/>
    </row>
    <row r="18">
      <c r="A18" s="23" t="inlineStr">
        <is>
          <t>Access points with access logging</t>
        </is>
      </c>
      <c r="B18" s="24">
        <f>COUNTIF('Access Controls'!G5:G54,"Yes*")</f>
        <v/>
      </c>
      <c r="C18" s="19" t="n"/>
      <c r="D18" s="19" t="n"/>
      <c r="E18" s="19" t="n"/>
      <c r="F18" s="19" t="n"/>
      <c r="G18" s="19" t="n"/>
    </row>
    <row r="19">
      <c r="A19" s="23" t="inlineStr">
        <is>
          <t>Documentation items current (up to date)</t>
        </is>
      </c>
      <c r="B19" s="24">
        <f>COUNTIF('Documentation'!G5:G54,"Yes")</f>
        <v/>
      </c>
      <c r="C19" s="19" t="n"/>
      <c r="D19" s="19" t="n"/>
      <c r="E19" s="19" t="n"/>
      <c r="F19" s="19" t="n"/>
      <c r="G19" s="19" t="n"/>
    </row>
    <row r="20">
      <c r="A20" s="23" t="inlineStr">
        <is>
          <t>High risk cable runs (no Critical tier in this workbook)</t>
        </is>
      </c>
      <c r="B20" s="24">
        <f>COUNTIF('Physical Protection'!H5:H54,"High")</f>
        <v/>
      </c>
      <c r="C20" s="19" t="n"/>
      <c r="D20" s="19" t="n"/>
      <c r="E20" s="19" t="n"/>
      <c r="F20" s="19" t="n"/>
      <c r="G20" s="19" t="n"/>
    </row>
    <row r="21">
      <c r="A21" s="23" t="inlineStr">
        <is>
          <t>Exposed cable routes (no physical protection)</t>
        </is>
      </c>
      <c r="B21" s="24">
        <f>COUNTIF('Physical Protection'!E5:E54,"No")</f>
        <v/>
      </c>
      <c r="C21" s="19" t="n"/>
      <c r="D21" s="19" t="n"/>
      <c r="E21" s="19" t="n"/>
      <c r="F21" s="19" t="n"/>
      <c r="G21" s="19" t="n"/>
    </row>
    <row r="22">
      <c r="A22" s="19" t="n"/>
      <c r="B22" s="19" t="n"/>
      <c r="C22" s="19" t="n"/>
      <c r="D22" s="19" t="n"/>
      <c r="E22" s="19" t="n"/>
      <c r="F22" s="19" t="n"/>
      <c r="G22" s="19" t="n"/>
    </row>
    <row r="23">
      <c r="A23" s="19" t="n"/>
      <c r="B23" s="19" t="n"/>
      <c r="C23" s="19" t="n"/>
      <c r="D23" s="19" t="n"/>
      <c r="E23" s="19" t="n"/>
      <c r="F23" s="19" t="n"/>
      <c r="G23" s="19" t="n"/>
    </row>
    <row r="25">
      <c r="A25" s="29" t="inlineStr">
        <is>
          <t>TABLE 3: CRITICAL FINDINGS REQUIRING IMMEDIATE ATTENTION</t>
        </is>
      </c>
      <c r="B25" s="19" t="n"/>
      <c r="C25" s="19" t="n"/>
      <c r="D25" s="19" t="n"/>
      <c r="E25" s="19" t="n"/>
      <c r="F25" s="19" t="n"/>
      <c r="G25" s="19" t="n"/>
    </row>
    <row r="26">
      <c r="A26" s="27" t="inlineStr">
        <is>
          <t>Category</t>
        </is>
      </c>
      <c r="B26" s="27" t="inlineStr">
        <is>
          <t>Finding</t>
        </is>
      </c>
      <c r="C26" s="27" t="inlineStr">
        <is>
          <t>Count</t>
        </is>
      </c>
      <c r="D26" s="27" t="inlineStr">
        <is>
          <t>Severity</t>
        </is>
      </c>
      <c r="E26" s="27" t="inlineStr">
        <is>
          <t>Action Required</t>
        </is>
      </c>
      <c r="F26" s="27" t="n"/>
      <c r="G26" s="27" t="n"/>
    </row>
    <row r="27">
      <c r="A27" s="30" t="inlineStr">
        <is>
          <t>Physical Protection</t>
        </is>
      </c>
      <c r="B27" s="30" t="inlineStr">
        <is>
          <t>Cable runs with no physical protection</t>
        </is>
      </c>
      <c r="C27" s="31">
        <f>COUNTIF('Physical Protection'!E5:E54,"No")</f>
        <v/>
      </c>
      <c r="D27" s="30" t="inlineStr">
        <is>
          <t>Critical</t>
        </is>
      </c>
      <c r="E27" s="30" t="inlineStr">
        <is>
          <t>Immediate</t>
        </is>
      </c>
      <c r="F27" s="30" t="n"/>
      <c r="G27" s="30" t="n"/>
    </row>
    <row r="28">
      <c r="A28" s="30" t="inlineStr">
        <is>
          <t>Physical Protection</t>
        </is>
      </c>
      <c r="B28" s="30" t="inlineStr">
        <is>
          <t>High/Critical risk cable runs non-compliant</t>
        </is>
      </c>
      <c r="C28" s="31">
        <f>COUNTIFS('Physical Protection'!H5:H54,"High",'Physical Protection'!J5:J54,"❌*")</f>
        <v/>
      </c>
      <c r="D28" s="30" t="inlineStr">
        <is>
          <t>Critical</t>
        </is>
      </c>
      <c r="E28" s="30" t="inlineStr">
        <is>
          <t>Immediate</t>
        </is>
      </c>
      <c r="F28" s="30" t="n"/>
      <c r="G28" s="30" t="n"/>
    </row>
    <row r="29">
      <c r="A29" s="30" t="inlineStr">
        <is>
          <t>Access Controls</t>
        </is>
      </c>
      <c r="B29" s="30" t="inlineStr">
        <is>
          <t>Access points without access logging</t>
        </is>
      </c>
      <c r="C29" s="31">
        <f>COUNTIF('Access Controls'!G5:G54,"No")</f>
        <v/>
      </c>
      <c r="D29" s="30" t="inlineStr">
        <is>
          <t>High</t>
        </is>
      </c>
      <c r="E29" s="30" t="inlineStr">
        <is>
          <t>Urgent</t>
        </is>
      </c>
      <c r="F29" s="30" t="n"/>
      <c r="G29" s="30" t="n"/>
    </row>
    <row r="30">
      <c r="A30" s="30" t="inlineStr">
        <is>
          <t>Access Controls</t>
        </is>
      </c>
      <c r="B30" s="30" t="inlineStr">
        <is>
          <t>Access points with no locking mechanism (No Lock)</t>
        </is>
      </c>
      <c r="C30" s="31">
        <f>COUNTIF('Access Controls'!E5:E54,"No Lock")</f>
        <v/>
      </c>
      <c r="D30" s="30" t="inlineStr">
        <is>
          <t>Critical</t>
        </is>
      </c>
      <c r="E30" s="30" t="inlineStr">
        <is>
          <t>Immediate</t>
        </is>
      </c>
      <c r="F30" s="30" t="n"/>
      <c r="G30" s="30" t="n"/>
    </row>
    <row r="31">
      <c r="A31" s="30" t="inlineStr">
        <is>
          <t>Documentation</t>
        </is>
      </c>
      <c r="B31" s="30" t="inlineStr">
        <is>
          <t>Documentation items not current (out of date)</t>
        </is>
      </c>
      <c r="C31" s="31">
        <f>COUNTIF('Documentation'!G5:G54,"No")</f>
        <v/>
      </c>
      <c r="D31" s="30" t="inlineStr">
        <is>
          <t>High</t>
        </is>
      </c>
      <c r="E31" s="30" t="inlineStr">
        <is>
          <t>Urgent</t>
        </is>
      </c>
      <c r="F31" s="30" t="n"/>
      <c r="G31" s="30" t="n"/>
    </row>
    <row r="32">
      <c r="A32" s="30" t="inlineStr">
        <is>
          <t>Cable Pathways</t>
        </is>
      </c>
      <c r="B32" s="30" t="inlineStr">
        <is>
          <t>Cable routes with no physical protection (Open Tray or None)</t>
        </is>
      </c>
      <c r="C32" s="31">
        <f>COUNTIF('Cable Pathways'!G5:G54,"None")+COUNTIF('Cable Pathways'!G5:G54,"Open Tray")</f>
        <v/>
      </c>
      <c r="D32" s="30" t="inlineStr">
        <is>
          <t>Medium</t>
        </is>
      </c>
      <c r="E32" s="30" t="inlineStr">
        <is>
          <t>Plan</t>
        </is>
      </c>
      <c r="F32" s="30" t="n"/>
      <c r="G32" s="30" t="n"/>
    </row>
    <row r="33">
      <c r="A33" s="32" t="n"/>
      <c r="B33" s="32" t="n"/>
      <c r="C33" s="32" t="n"/>
      <c r="D33" s="32" t="n"/>
      <c r="E33" s="32" t="n"/>
      <c r="F33" s="32" t="n"/>
      <c r="G33" s="32" t="n"/>
    </row>
    <row r="34">
      <c r="A34" s="32" t="n"/>
      <c r="B34" s="32" t="n"/>
      <c r="C34" s="32" t="n"/>
      <c r="D34" s="32" t="n"/>
      <c r="E34" s="32" t="n"/>
      <c r="F34" s="32" t="n"/>
      <c r="G34" s="32" t="n"/>
    </row>
  </sheetData>
  <mergeCells count="5">
    <mergeCell ref="A1:G1"/>
    <mergeCell ref="A12:G12"/>
    <mergeCell ref="A4:G4"/>
    <mergeCell ref="A2:G2"/>
    <mergeCell ref="A25:G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3" t="inlineStr">
        <is>
          <t>ASSESSMENT APPROVAL AND SIGN-OFF</t>
        </is>
      </c>
      <c r="B1" s="6" t="n"/>
      <c r="C1" s="6" t="n"/>
      <c r="D1" s="6" t="n"/>
      <c r="E1" s="6" t="n"/>
    </row>
    <row r="2">
      <c r="A2" s="34" t="inlineStr">
        <is>
          <t>ISO/IEC 27001:2022 - Control A.7.12: Cabling Security</t>
        </is>
      </c>
      <c r="B2" s="6" t="n"/>
      <c r="C2" s="6" t="n"/>
      <c r="D2" s="6" t="n"/>
      <c r="E2" s="6" t="n"/>
    </row>
    <row r="3">
      <c r="A3" s="35" t="inlineStr">
        <is>
          <t>ASSESSMENT SUMMARY</t>
        </is>
      </c>
      <c r="B3" s="6" t="n"/>
      <c r="C3" s="6" t="n"/>
      <c r="D3" s="6" t="n"/>
      <c r="E3" s="6" t="n"/>
    </row>
    <row r="4">
      <c r="A4" s="36" t="inlineStr">
        <is>
          <t>Document:</t>
        </is>
      </c>
      <c r="B4" s="6" t="inlineStr">
        <is>
          <t>ISMS-IMP-A.7.12-13.S1 - Cabling Security Assessment</t>
        </is>
      </c>
      <c r="C4" s="6" t="n"/>
      <c r="D4" s="6" t="n"/>
      <c r="E4" s="6" t="n"/>
    </row>
    <row r="5">
      <c r="A5" s="36" t="inlineStr">
        <is>
          <t>Assessment Period:</t>
        </is>
      </c>
      <c r="B5" s="37" t="inlineStr"/>
      <c r="C5" s="6" t="n"/>
      <c r="D5" s="6" t="n"/>
      <c r="E5" s="6" t="n"/>
    </row>
    <row r="6">
      <c r="A6" s="36" t="inlineStr">
        <is>
          <t>Overall Compliance Rating:</t>
        </is>
      </c>
      <c r="B6" s="38">
        <f>IFERROR(AVERAGE('Summary Dashboard'!G6:G9),"")</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0">
      <c r="A10" s="39" t="inlineStr">
        <is>
          <t>COMPLETED BY</t>
        </is>
      </c>
      <c r="B10" s="6" t="n"/>
      <c r="C10" s="6" t="n"/>
      <c r="D10" s="6" t="n"/>
      <c r="E10" s="6" t="n"/>
    </row>
    <row r="11">
      <c r="A11" s="36" t="inlineStr">
        <is>
          <t>Assessor Name</t>
        </is>
      </c>
      <c r="B11" s="37" t="n"/>
      <c r="C11" s="6" t="n"/>
      <c r="D11" s="6" t="n"/>
      <c r="E11" s="6" t="n"/>
    </row>
    <row r="12">
      <c r="A12" s="36" t="inlineStr">
        <is>
          <t>Role / Title</t>
        </is>
      </c>
      <c r="B12" s="37" t="n"/>
      <c r="C12" s="6" t="n"/>
      <c r="D12" s="6" t="n"/>
      <c r="E12" s="6" t="n"/>
    </row>
    <row r="13">
      <c r="A13" s="36" t="inlineStr">
        <is>
          <t>Department</t>
        </is>
      </c>
      <c r="B13" s="37" t="n"/>
      <c r="C13" s="6" t="n"/>
      <c r="D13" s="6" t="n"/>
      <c r="E13" s="6" t="n"/>
    </row>
    <row r="14">
      <c r="A14" s="36" t="inlineStr">
        <is>
          <t>Date Completed</t>
        </is>
      </c>
      <c r="B14" s="37" t="n"/>
      <c r="C14" s="6" t="n"/>
      <c r="D14" s="6" t="n"/>
      <c r="E14" s="6" t="n"/>
    </row>
    <row r="15">
      <c r="A15" s="36" t="inlineStr">
        <is>
          <t>Signature</t>
        </is>
      </c>
      <c r="B15" s="37" t="n"/>
      <c r="C15" s="6" t="n"/>
      <c r="D15" s="6" t="n"/>
      <c r="E15" s="6" t="n"/>
    </row>
    <row r="17">
      <c r="A17" s="39" t="inlineStr">
        <is>
          <t>REVIEWED BY</t>
        </is>
      </c>
      <c r="B17" s="6" t="n"/>
      <c r="C17" s="6" t="n"/>
      <c r="D17" s="6" t="n"/>
      <c r="E17" s="6" t="n"/>
    </row>
    <row r="18">
      <c r="A18" s="36" t="inlineStr">
        <is>
          <t>Reviewer Name</t>
        </is>
      </c>
      <c r="B18" s="37" t="n"/>
      <c r="C18" s="6" t="n"/>
      <c r="D18" s="6" t="n"/>
      <c r="E18" s="6" t="n"/>
    </row>
    <row r="19">
      <c r="A19" s="36" t="inlineStr">
        <is>
          <t>Role / Title</t>
        </is>
      </c>
      <c r="B19" s="37" t="n"/>
      <c r="C19" s="6" t="n"/>
      <c r="D19" s="6" t="n"/>
      <c r="E19" s="6" t="n"/>
    </row>
    <row r="20">
      <c r="A20" s="36" t="inlineStr">
        <is>
          <t>Department</t>
        </is>
      </c>
      <c r="B20" s="37" t="n"/>
      <c r="C20" s="6" t="n"/>
      <c r="D20" s="6" t="n"/>
      <c r="E20" s="6" t="n"/>
    </row>
    <row r="21">
      <c r="A21" s="36" t="inlineStr">
        <is>
          <t>Date Reviewed</t>
        </is>
      </c>
      <c r="B21" s="37" t="n"/>
      <c r="C21" s="6" t="n"/>
      <c r="D21" s="6" t="n"/>
      <c r="E21" s="6" t="n"/>
    </row>
    <row r="22">
      <c r="A22" s="36" t="inlineStr">
        <is>
          <t>Signature</t>
        </is>
      </c>
      <c r="B22" s="37" t="n"/>
      <c r="C22" s="6" t="n"/>
      <c r="D22" s="6" t="n"/>
      <c r="E22" s="6" t="n"/>
    </row>
    <row r="24">
      <c r="A24" s="39" t="inlineStr">
        <is>
          <t>APPROVED BY</t>
        </is>
      </c>
      <c r="B24" s="6" t="n"/>
      <c r="C24" s="6" t="n"/>
      <c r="D24" s="6" t="n"/>
      <c r="E24" s="6" t="n"/>
    </row>
    <row r="25">
      <c r="A25" s="36" t="inlineStr">
        <is>
          <t>Approver Name</t>
        </is>
      </c>
      <c r="B25" s="37" t="n"/>
      <c r="C25" s="6" t="n"/>
      <c r="D25" s="6" t="n"/>
      <c r="E25" s="6" t="n"/>
    </row>
    <row r="26">
      <c r="A26" s="36" t="inlineStr">
        <is>
          <t>Role / Title</t>
        </is>
      </c>
      <c r="B26" s="37" t="n"/>
      <c r="C26" s="6" t="n"/>
      <c r="D26" s="6" t="n"/>
      <c r="E26" s="6" t="n"/>
    </row>
    <row r="27">
      <c r="A27" s="36" t="inlineStr">
        <is>
          <t>Department</t>
        </is>
      </c>
      <c r="B27" s="37" t="n"/>
      <c r="C27" s="6" t="n"/>
      <c r="D27" s="6" t="n"/>
      <c r="E27" s="6" t="n"/>
    </row>
    <row r="28">
      <c r="A28" s="36" t="inlineStr">
        <is>
          <t>Date Approved</t>
        </is>
      </c>
      <c r="B28" s="37" t="n"/>
      <c r="C28" s="6" t="n"/>
      <c r="D28" s="6" t="n"/>
      <c r="E28" s="6" t="n"/>
    </row>
    <row r="29">
      <c r="A29" s="36" t="inlineStr">
        <is>
          <t>Signature</t>
        </is>
      </c>
      <c r="B29" s="37" t="n"/>
      <c r="C29" s="6" t="n"/>
      <c r="D29" s="6" t="n"/>
      <c r="E29" s="6" t="n"/>
    </row>
    <row r="31">
      <c r="A31" s="40" t="inlineStr">
        <is>
          <t>FINAL DECISION</t>
        </is>
      </c>
      <c r="B31" s="6" t="n"/>
      <c r="C31" s="6" t="n"/>
      <c r="D31" s="6" t="n"/>
      <c r="E31" s="6" t="n"/>
    </row>
    <row r="32">
      <c r="A32" s="36" t="inlineStr">
        <is>
          <t>Decision</t>
        </is>
      </c>
      <c r="B32" s="37" t="n"/>
      <c r="C32" s="6" t="n"/>
      <c r="D32" s="6" t="n"/>
      <c r="E32" s="6" t="n"/>
    </row>
    <row r="33">
      <c r="A33" s="36" t="inlineStr">
        <is>
          <t>Decision Date</t>
        </is>
      </c>
      <c r="B33" s="37" t="n"/>
      <c r="C33" s="6" t="n"/>
      <c r="D33" s="6" t="n"/>
      <c r="E33" s="6" t="n"/>
    </row>
    <row r="34">
      <c r="A34" s="36" t="inlineStr">
        <is>
          <t>Next Assessment Date</t>
        </is>
      </c>
      <c r="B34" s="37" t="n"/>
      <c r="C34" s="6" t="n"/>
      <c r="D34" s="6" t="n"/>
      <c r="E34" s="6" t="n"/>
    </row>
    <row r="35">
      <c r="A35" s="36" t="inlineStr">
        <is>
          <t>Comments</t>
        </is>
      </c>
      <c r="B35" s="37" t="n"/>
      <c r="C35" s="6" t="n"/>
      <c r="D35" s="6" t="n"/>
      <c r="E35" s="6" t="n"/>
    </row>
    <row r="38">
      <c r="A38" s="39" t="inlineStr">
        <is>
          <t>NEXT REVIEW</t>
        </is>
      </c>
      <c r="B38" s="6" t="n"/>
      <c r="C38" s="6" t="n"/>
      <c r="D38" s="6" t="n"/>
      <c r="E38" s="6" t="n"/>
    </row>
    <row r="39">
      <c r="A39" s="36" t="inlineStr">
        <is>
          <t>Review Cycle</t>
        </is>
      </c>
      <c r="B39" s="37" t="n"/>
      <c r="C39" s="6" t="n"/>
      <c r="D39" s="6" t="n"/>
      <c r="E39" s="6" t="n"/>
    </row>
    <row r="40">
      <c r="A40" s="36" t="inlineStr">
        <is>
          <t>Next Review Date</t>
        </is>
      </c>
      <c r="B40" s="37" t="n"/>
      <c r="C40" s="6" t="n"/>
      <c r="D40" s="6" t="n"/>
      <c r="E40" s="6" t="n"/>
    </row>
    <row r="41">
      <c r="A41" s="36" t="inlineStr">
        <is>
          <t>Review Owner</t>
        </is>
      </c>
      <c r="B41" s="37" t="n"/>
      <c r="C41" s="6" t="n"/>
      <c r="D41" s="6" t="n"/>
      <c r="E41" s="6" t="n"/>
    </row>
    <row r="42">
      <c r="A42" s="36" t="inlineStr">
        <is>
          <t>Escalation Contact</t>
        </is>
      </c>
      <c r="B42" s="37"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ISMS-IMP-A.7.12-13.S1 — Cabling Security Assessment</dc:title>
  <dc:description xmlns:dc="http://purl.org/dc/elements/1.1/">ISMS Implementation Workbook — ISMS-IMP-A.7.12-13.S1</dc:description>
  <dc:subject xmlns:dc="http://purl.org/dc/elements/1.1/">ISO/IEC 27001:2022 — Control A.7.12: Cabling Security</dc:subject>
  <dcterms:created xmlns:dcterms="http://purl.org/dc/terms/" xmlns:xsi="http://www.w3.org/2001/XMLSchema-instance" xsi:type="dcterms:W3CDTF">2026-03-07T11:27:55Z</dcterms:created>
  <dcterms:modified xmlns:dcterms="http://purl.org/dc/terms/" xmlns:xsi="http://www.w3.org/2001/XMLSchema-instance" xsi:type="dcterms:W3CDTF">2026-03-07T11:27:55Z</dcterms:modified>
</cp:coreProperties>
</file>