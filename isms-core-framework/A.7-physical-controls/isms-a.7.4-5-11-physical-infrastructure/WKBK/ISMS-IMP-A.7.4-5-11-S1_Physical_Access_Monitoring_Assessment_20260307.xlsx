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heetId="2" state="visible" r:id="rId2"/>
    <sheet xmlns:r="http://schemas.openxmlformats.org/officeDocument/2006/relationships" name="CCTV" sheetId="3" state="visible" r:id="rId3"/>
    <sheet xmlns:r="http://schemas.openxmlformats.org/officeDocument/2006/relationships" name="Intrusion Detection" sheetId="4" state="visible" r:id="rId4"/>
    <sheet xmlns:r="http://schemas.openxmlformats.org/officeDocument/2006/relationships" name="Incid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ISMS-IMP-A.7.4.S1  -  Physical Access Monitoring Assessment
ISO/IEC 27001:2022 - Control A.7.4: Physical Security Monitoring</t>
        </is>
      </c>
    </row>
    <row r="3">
      <c r="A3" s="2" t="inlineStr">
        <is>
          <t>Document Information</t>
        </is>
      </c>
    </row>
    <row r="4">
      <c r="A4" s="3" t="inlineStr">
        <is>
          <t>Document ID</t>
        </is>
      </c>
      <c r="B4" t="inlineStr">
        <is>
          <t>ISMS-IMP-A.7.4.S1</t>
        </is>
      </c>
    </row>
    <row r="5">
      <c r="A5" s="3" t="inlineStr">
        <is>
          <t>Workbook Title</t>
        </is>
      </c>
      <c r="B5" t="inlineStr">
        <is>
          <t>Physical Access Monitoring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5" customWidth="1" min="5" max="5"/>
    <col width="30" customWidth="1" min="6" max="6"/>
    <col width="30" customWidth="1" min="7" max="7"/>
  </cols>
  <sheetData>
    <row r="1" ht="35" customHeight="1">
      <c r="A1" s="11" t="inlineStr">
        <is>
          <t>ACCESS CONTROL COVERAGE ASSESSMENT
Policy Requirement: All facility entry points must have electronic access control</t>
        </is>
      </c>
    </row>
    <row r="2" ht="18" customHeight="1">
      <c r="A2" s="12" t="inlineStr">
        <is>
          <t>ISO/IEC 27001:2022 - Control A.7.4: Physical Security Monitoring</t>
        </is>
      </c>
    </row>
    <row r="3" ht="30" customHeight="1">
      <c r="A3" s="13" t="inlineStr">
        <is>
          <t>Are all critical facility entry points protected by electronic access control systems?</t>
        </is>
      </c>
    </row>
    <row r="4">
      <c r="A4" s="3" t="inlineStr">
        <is>
          <t>Response:</t>
        </is>
      </c>
      <c r="B4" s="14" t="n"/>
    </row>
    <row r="6">
      <c r="A6" s="15" t="inlineStr">
        <is>
          <t>Door ID</t>
        </is>
      </c>
      <c r="B6" s="15" t="inlineStr">
        <is>
          <t>Location/Building</t>
        </is>
      </c>
      <c r="C6" s="15" t="inlineStr">
        <is>
          <t>Reader Type</t>
        </is>
      </c>
      <c r="D6" s="15" t="inlineStr">
        <is>
          <t>Last Tested</t>
        </is>
      </c>
      <c r="E6" s="15" t="inlineStr">
        <is>
          <t>Status</t>
        </is>
      </c>
      <c r="F6" s="15" t="inlineStr">
        <is>
          <t>Notes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15" customWidth="1" min="5" max="5"/>
    <col width="15" customWidth="1" min="6" max="6"/>
    <col width="30" customWidth="1" min="7" max="7"/>
  </cols>
  <sheetData>
    <row r="1" ht="35" customHeight="1">
      <c r="A1" s="11" t="inlineStr">
        <is>
          <t>CCTV COVERAGE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all critical areas covered by CCTV with appropriate recording retention?</t>
        </is>
      </c>
    </row>
    <row r="4">
      <c r="A4" s="3" t="inlineStr">
        <is>
          <t>Response:</t>
        </is>
      </c>
      <c r="B4" s="14" t="n"/>
    </row>
    <row r="6">
      <c r="A6" s="15" t="inlineStr">
        <is>
          <t>Camera ID</t>
        </is>
      </c>
      <c r="B6" s="15" t="inlineStr">
        <is>
          <t>Location</t>
        </is>
      </c>
      <c r="C6" s="15" t="inlineStr">
        <is>
          <t>Coverage Area</t>
        </is>
      </c>
      <c r="D6" s="15" t="inlineStr">
        <is>
          <t>Recording</t>
        </is>
      </c>
      <c r="E6" s="15" t="inlineStr">
        <is>
          <t>Retention (Days)</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2" customWidth="1" min="4" max="4"/>
    <col width="15" customWidth="1" min="5" max="5"/>
    <col width="15" customWidth="1" min="6" max="6"/>
    <col width="30" customWidth="1" min="7" max="7"/>
  </cols>
  <sheetData>
    <row r="1" ht="35" customHeight="1">
      <c r="A1" s="11" t="inlineStr">
        <is>
          <t>INTRUSION DETECTION ASSESSMENT
Policy Requirement: Perimeter and critical area monitoring with 24/7 monitoring</t>
        </is>
      </c>
    </row>
    <row r="2" ht="18" customHeight="1">
      <c r="A2" s="12" t="inlineStr">
        <is>
          <t>ISO/IEC 27001:2022 - Control A.7.4: Physical Security Monitoring</t>
        </is>
      </c>
    </row>
    <row r="3" ht="30" customHeight="1">
      <c r="A3" s="13" t="inlineStr">
        <is>
          <t>Are intrusion detection sensors deployed and tested regularly?</t>
        </is>
      </c>
    </row>
    <row r="4">
      <c r="A4" s="3" t="inlineStr">
        <is>
          <t>Response:</t>
        </is>
      </c>
      <c r="B4" s="14" t="n"/>
    </row>
    <row r="6">
      <c r="A6" s="15" t="inlineStr">
        <is>
          <t>Sensor ID</t>
        </is>
      </c>
      <c r="B6" s="15" t="inlineStr">
        <is>
          <t>Type</t>
        </is>
      </c>
      <c r="C6" s="15" t="inlineStr">
        <is>
          <t>Location</t>
        </is>
      </c>
      <c r="D6" s="15" t="inlineStr">
        <is>
          <t>Armed</t>
        </is>
      </c>
      <c r="E6" s="15" t="inlineStr">
        <is>
          <t>Last Tested</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20" customWidth="1" min="5" max="5"/>
    <col width="18" customWidth="1" min="6" max="6"/>
    <col width="12" customWidth="1" min="7" max="7"/>
    <col width="35" customWidth="1" min="8" max="8"/>
  </cols>
  <sheetData>
    <row r="1" ht="35" customHeight="1">
      <c r="A1" s="11" t="inlineStr">
        <is>
          <t>PHYSICAL SECURITY INCIDENTS
Policy Requirement: All incidents logged and investigated with &lt;15min response time</t>
        </is>
      </c>
    </row>
    <row r="2" ht="18" customHeight="1">
      <c r="A2" s="12" t="inlineStr">
        <is>
          <t>ISO/IEC 27001:2022 - Control A.7.4: Physical Security Monitoring</t>
        </is>
      </c>
    </row>
    <row r="3" ht="30" customHeight="1">
      <c r="A3" s="13" t="inlineStr">
        <is>
          <t>Log all physical security incidents including unauthorised access attempts, tailgating, and alarm triggers.</t>
        </is>
      </c>
    </row>
    <row r="5">
      <c r="A5" s="15" t="inlineStr">
        <is>
          <t>Incident ID</t>
        </is>
      </c>
      <c r="B5" s="15" t="inlineStr">
        <is>
          <t>Date</t>
        </is>
      </c>
      <c r="C5" s="15" t="inlineStr">
        <is>
          <t>Type</t>
        </is>
      </c>
      <c r="D5" s="15" t="inlineStr">
        <is>
          <t>Severity</t>
        </is>
      </c>
      <c r="E5" s="15" t="inlineStr">
        <is>
          <t>Location</t>
        </is>
      </c>
      <c r="F5" s="15" t="inlineStr">
        <is>
          <t>Response Time (min)</t>
        </is>
      </c>
      <c r="G5" s="15" t="inlineStr">
        <is>
          <t>Resolved</t>
        </is>
      </c>
      <c r="H5" s="15" t="inlineStr">
        <is>
          <t>Notes</t>
        </is>
      </c>
    </row>
    <row r="6">
      <c r="A6" s="16" t="inlineStr">
        <is>
          <t>Sample — delete before use</t>
        </is>
      </c>
      <c r="B6" s="17" t="n"/>
      <c r="C6" s="17" t="n"/>
      <c r="D6" s="17" t="n"/>
      <c r="E6" s="17" t="n"/>
      <c r="F6" s="17" t="n"/>
      <c r="G6" s="17" t="n"/>
      <c r="H6" s="17"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sheetData>
  <mergeCells count="3">
    <mergeCell ref="A3:H3"/>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showDropDown="0" showInputMessage="0" showErrorMessage="0" allowBlank="0" type="list">
      <formula1>"Tailgating,Unauthorised Access,Alarm Trigger,Lost Badge,Forced Entry,Other"</formula1>
    </dataValidation>
    <dataValidation sqref="D6 D7 D8 D9 D10 D11 D12 D13 D14 D15 D16 D17 D18 D19 D20 D21 D22 D23 D24 D25 D26 D27 D28 D29 D30 D31 D32 D33 D34 D35 D36 D37 D38 D39 D40 D41 D42 D43 D44 D45 D46 D47 D48 D49 D50 D51 D52 D53 D54 D55 D56"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ACCESS MONITORING — SUMMARY DASHBOARD</t>
        </is>
      </c>
      <c r="B1" s="23" t="n"/>
      <c r="C1" s="23" t="n"/>
      <c r="D1" s="23" t="n"/>
      <c r="E1" s="23" t="n"/>
      <c r="F1" s="23" t="n"/>
      <c r="G1" s="23" t="n"/>
    </row>
    <row r="2">
      <c r="A2" s="12" t="inlineStr">
        <is>
          <t>ISO/IEC 27001:2022 — Controls A.7.4 (Physical Security Monitoring) |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Access Control</t>
        </is>
      </c>
      <c r="B6" s="27">
        <f>COUNTA('Access Control'!A8:A57)</f>
        <v/>
      </c>
      <c r="C6" s="27">
        <f>COUNTIF('Access Control'!E8:E57,"✅*")</f>
        <v/>
      </c>
      <c r="D6" s="27">
        <f>COUNTIF('Access Control'!E8:E57,"⚠*")</f>
        <v/>
      </c>
      <c r="E6" s="27">
        <f>COUNTIF('Access Control'!E8:E57,"❌*")</f>
        <v/>
      </c>
      <c r="F6" s="27">
        <f>COUNTIF('Access Control'!E8:E57,"N/A")</f>
        <v/>
      </c>
      <c r="G6" s="28">
        <f>IF((B6-F6)=0,0,C6/(B6-F6))</f>
        <v/>
      </c>
    </row>
    <row r="7">
      <c r="A7" s="26" t="inlineStr">
        <is>
          <t>CCTV Coverage</t>
        </is>
      </c>
      <c r="B7" s="27">
        <f>COUNTA('CCTV'!A8:A57)</f>
        <v/>
      </c>
      <c r="C7" s="27">
        <f>COUNTIF('CCTV'!F8:F57,"✅*")</f>
        <v/>
      </c>
      <c r="D7" s="27">
        <f>COUNTIF('CCTV'!F8:F57,"⚠*")</f>
        <v/>
      </c>
      <c r="E7" s="27">
        <f>COUNTIF('CCTV'!F8:F57,"❌*")</f>
        <v/>
      </c>
      <c r="F7" s="27">
        <f>COUNTIF('CCTV'!F8:F57,"N/A")</f>
        <v/>
      </c>
      <c r="G7" s="28">
        <f>IF((B7-F7)=0,0,C7/(B7-F7))</f>
        <v/>
      </c>
    </row>
    <row r="8">
      <c r="A8" s="26" t="inlineStr">
        <is>
          <t>Intrusion Detection</t>
        </is>
      </c>
      <c r="B8" s="27">
        <f>COUNTA('Intrusion Detection'!A8:A57)</f>
        <v/>
      </c>
      <c r="C8" s="27">
        <f>COUNTIF('Intrusion Detection'!F8:F57,"✅*")</f>
        <v/>
      </c>
      <c r="D8" s="27">
        <f>COUNTIF('Intrusion Detection'!F8:F57,"⚠*")</f>
        <v/>
      </c>
      <c r="E8" s="27">
        <f>COUNTIF('Intrusion Detection'!F8:F57,"❌*")</f>
        <v/>
      </c>
      <c r="F8" s="27">
        <f>COUNTIF('Intrusion Detection'!F8:F57,"N/A")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Access Control Points Monitored</t>
        </is>
      </c>
      <c r="B13" s="27">
        <f>COUNTA('Access Control'!A8:A57)</f>
        <v/>
      </c>
      <c r="C13" s="23" t="n"/>
      <c r="D13" s="23" t="n"/>
      <c r="E13" s="23" t="n"/>
      <c r="F13" s="23" t="n"/>
      <c r="G13" s="23" t="n"/>
    </row>
    <row r="14">
      <c r="A14" s="26" t="inlineStr">
        <is>
          <t>Access Control Points — Non-Compliant</t>
        </is>
      </c>
      <c r="B14" s="27">
        <f>COUNTIF('Access Control'!E8:E57,"❌*")</f>
        <v/>
      </c>
      <c r="C14" s="23" t="n"/>
      <c r="D14" s="23" t="n"/>
      <c r="E14" s="23" t="n"/>
      <c r="F14" s="23" t="n"/>
      <c r="G14" s="23" t="n"/>
    </row>
    <row r="15">
      <c r="A15" s="26" t="inlineStr">
        <is>
          <t>Access Control Points — Partial Compliance</t>
        </is>
      </c>
      <c r="B15" s="27">
        <f>COUNTIF('Access Control'!E8:E57,"⚠*")</f>
        <v/>
      </c>
      <c r="C15" s="23" t="n"/>
      <c r="D15" s="23" t="n"/>
      <c r="E15" s="23" t="n"/>
      <c r="F15" s="23" t="n"/>
      <c r="G15" s="23" t="n"/>
    </row>
    <row r="16">
      <c r="A16" s="26" t="inlineStr">
        <is>
          <t>Total CCTV Cameras Assessed</t>
        </is>
      </c>
      <c r="B16" s="27">
        <f>COUNTA('CCTV'!A8:A57)</f>
        <v/>
      </c>
      <c r="C16" s="23" t="n"/>
      <c r="D16" s="23" t="n"/>
      <c r="E16" s="23" t="n"/>
      <c r="F16" s="23" t="n"/>
      <c r="G16" s="23" t="n"/>
    </row>
    <row r="17">
      <c r="A17" s="26" t="inlineStr">
        <is>
          <t>CCTV Cameras — Non-Compliant</t>
        </is>
      </c>
      <c r="B17" s="27">
        <f>COUNTIF('CCTV'!F8:F57,"❌*")</f>
        <v/>
      </c>
      <c r="C17" s="23" t="n"/>
      <c r="D17" s="23" t="n"/>
      <c r="E17" s="23" t="n"/>
      <c r="F17" s="23" t="n"/>
      <c r="G17" s="23" t="n"/>
    </row>
    <row r="18">
      <c r="A18" s="26" t="inlineStr">
        <is>
          <t>CCTV Cameras — Partial Compliance</t>
        </is>
      </c>
      <c r="B18" s="27">
        <f>COUNTIF('CCTV'!F8:F57,"⚠*")</f>
        <v/>
      </c>
      <c r="C18" s="23" t="n"/>
      <c r="D18" s="23" t="n"/>
      <c r="E18" s="23" t="n"/>
      <c r="F18" s="23" t="n"/>
      <c r="G18" s="23" t="n"/>
    </row>
    <row r="19">
      <c r="A19" s="26" t="inlineStr">
        <is>
          <t>Total Intrusion Detection Sensors</t>
        </is>
      </c>
      <c r="B19" s="27">
        <f>COUNTA('Intrusion Detection'!A8:A57)</f>
        <v/>
      </c>
      <c r="C19" s="23" t="n"/>
      <c r="D19" s="23" t="n"/>
      <c r="E19" s="23" t="n"/>
      <c r="F19" s="23" t="n"/>
      <c r="G19" s="23" t="n"/>
    </row>
    <row r="20">
      <c r="A20" s="26" t="inlineStr">
        <is>
          <t>Intrusion Sensors — Non-Compliant</t>
        </is>
      </c>
      <c r="B20" s="27">
        <f>COUNTIF('Intrusion Detection'!F8:F57,"❌*")</f>
        <v/>
      </c>
      <c r="C20" s="23" t="n"/>
      <c r="D20" s="23" t="n"/>
      <c r="E20" s="23" t="n"/>
      <c r="F20" s="23" t="n"/>
      <c r="G20" s="23" t="n"/>
    </row>
    <row r="21">
      <c r="A21" s="26" t="inlineStr">
        <is>
          <t>Total Security Incidents Logged</t>
        </is>
      </c>
      <c r="B21" s="27">
        <f>COUNTA('Incidents'!A7:A56)</f>
        <v/>
      </c>
      <c r="C21" s="23" t="n"/>
      <c r="D21" s="23" t="n"/>
      <c r="E21" s="23" t="n"/>
      <c r="F21" s="23" t="n"/>
      <c r="G21" s="23" t="n"/>
    </row>
    <row r="22">
      <c r="A22" s="26" t="inlineStr">
        <is>
          <t>Critical and High Severity Incidents</t>
        </is>
      </c>
      <c r="B22" s="27">
        <f>COUNTIF('Incidents'!D7:D56,"Critical")+COUNTIF('Incidents'!D7:D56,"High")</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Access Control</t>
        </is>
      </c>
      <c r="B28" s="33" t="inlineStr">
        <is>
          <t>Non-compliant access control points</t>
        </is>
      </c>
      <c r="C28" s="34">
        <f>COUNTIF('Access Control'!E8:E57,"❌*")</f>
        <v/>
      </c>
      <c r="D28" s="33" t="inlineStr">
        <is>
          <t>Critical</t>
        </is>
      </c>
      <c r="E28" s="33" t="inlineStr">
        <is>
          <t>Immediate</t>
        </is>
      </c>
      <c r="F28" s="33" t="n"/>
      <c r="G28" s="33" t="n"/>
    </row>
    <row r="29">
      <c r="A29" s="33" t="inlineStr">
        <is>
          <t>CCTV</t>
        </is>
      </c>
      <c r="B29" s="33" t="inlineStr">
        <is>
          <t>Non-compliant CCTV cameras</t>
        </is>
      </c>
      <c r="C29" s="34">
        <f>COUNTIF('CCTV'!F8:F57,"❌*")</f>
        <v/>
      </c>
      <c r="D29" s="33" t="inlineStr">
        <is>
          <t>Critical</t>
        </is>
      </c>
      <c r="E29" s="33" t="inlineStr">
        <is>
          <t>Immediate</t>
        </is>
      </c>
      <c r="F29" s="33" t="n"/>
      <c r="G29" s="33" t="n"/>
    </row>
    <row r="30">
      <c r="A30" s="33" t="inlineStr">
        <is>
          <t>Intrusion Detection</t>
        </is>
      </c>
      <c r="B30" s="33" t="inlineStr">
        <is>
          <t>Non-compliant intrusion sensors</t>
        </is>
      </c>
      <c r="C30" s="34">
        <f>COUNTIF('Intrusion Detection'!F8:F57,"❌*")</f>
        <v/>
      </c>
      <c r="D30" s="33" t="inlineStr">
        <is>
          <t>Critical</t>
        </is>
      </c>
      <c r="E30" s="33" t="inlineStr">
        <is>
          <t>Immediate</t>
        </is>
      </c>
      <c r="F30" s="33" t="n"/>
      <c r="G30" s="33" t="n"/>
    </row>
    <row r="31">
      <c r="A31" s="33" t="inlineStr">
        <is>
          <t>Incidents</t>
        </is>
      </c>
      <c r="B31" s="33" t="inlineStr">
        <is>
          <t>Critical severity incidents</t>
        </is>
      </c>
      <c r="C31" s="34">
        <f>COUNTIF('Incidents'!D7:D56,"Critical")</f>
        <v/>
      </c>
      <c r="D31" s="33" t="inlineStr">
        <is>
          <t>Critical</t>
        </is>
      </c>
      <c r="E31" s="33" t="inlineStr">
        <is>
          <t>Immediate</t>
        </is>
      </c>
      <c r="F31" s="33" t="n"/>
      <c r="G31" s="33" t="n"/>
    </row>
    <row r="32">
      <c r="A32" s="33" t="inlineStr">
        <is>
          <t>Incidents</t>
        </is>
      </c>
      <c r="B32" s="33" t="inlineStr">
        <is>
          <t>High severity incidents</t>
        </is>
      </c>
      <c r="C32" s="34">
        <f>COUNTIF('Incidents'!D7:D56,"High")</f>
        <v/>
      </c>
      <c r="D32" s="33" t="inlineStr">
        <is>
          <t>High</t>
        </is>
      </c>
      <c r="E32" s="33" t="inlineStr">
        <is>
          <t>Urgent</t>
        </is>
      </c>
      <c r="F32" s="33" t="n"/>
      <c r="G32" s="33" t="n"/>
    </row>
    <row r="33">
      <c r="A33" s="33" t="inlineStr">
        <is>
          <t>Access Control</t>
        </is>
      </c>
      <c r="B33" s="33" t="inlineStr">
        <is>
          <t>Access control points — partial compliance</t>
        </is>
      </c>
      <c r="C33" s="34">
        <f>COUNTIF('Access Control'!E8:E57,"⚠*")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ISMS-IMP-A.7.4.S1 - Physical Access Monitoring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ISMS-IMP-A.7.4.S1 — Physical Access Monitoring Assessment</dc:title>
  <dc:description xmlns:dc="http://purl.org/dc/elements/1.1/">ISMS Implementation Workbook — ISMS-IMP-A.7.4.S1</dc:description>
  <dc:subject xmlns:dc="http://purl.org/dc/elements/1.1/">ISO/IEC 27001:2022 — Control A.7.4: Physical Security Monitoring</dc:subject>
  <dcterms:created xmlns:dcterms="http://purl.org/dc/terms/" xmlns:xsi="http://www.w3.org/2001/XMLSchema-instance" xsi:type="dcterms:W3CDTF">2026-03-07T11:27:57Z</dcterms:created>
  <dcterms:modified xmlns:dcterms="http://purl.org/dc/terms/" xmlns:xsi="http://www.w3.org/2001/XMLSchema-instance" xsi:type="dcterms:W3CDTF">2026-03-07T11:27:57Z</dcterms:modified>
</cp:coreProperties>
</file>