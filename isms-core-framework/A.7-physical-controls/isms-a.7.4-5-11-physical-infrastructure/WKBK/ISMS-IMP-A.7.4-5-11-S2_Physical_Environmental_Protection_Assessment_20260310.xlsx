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re Detection" sheetId="2" state="visible" r:id="rId2"/>
    <sheet xmlns:r="http://schemas.openxmlformats.org/officeDocument/2006/relationships" name="Water Detection" sheetId="3" state="visible" r:id="rId3"/>
    <sheet xmlns:r="http://schemas.openxmlformats.org/officeDocument/2006/relationships" name="Temperature &amp; Humidity"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ISMS-IMP-A.7.4-5-11-S2  -  Physical Environmental Protection Assessment
ISO/IEC 27001:2022 - Control A.7.5: Protecting Against Physical and Environmental Threats</t>
        </is>
      </c>
    </row>
    <row r="3">
      <c r="A3" s="2" t="inlineStr">
        <is>
          <t>Document Information</t>
        </is>
      </c>
    </row>
    <row r="4">
      <c r="A4" s="3" t="inlineStr">
        <is>
          <t>Document ID</t>
        </is>
      </c>
      <c r="B4" t="inlineStr">
        <is>
          <t>ISMS-IMP-A.7.4-5-11-S2</t>
        </is>
      </c>
    </row>
    <row r="5">
      <c r="A5" s="3" t="inlineStr">
        <is>
          <t>Workbook Title</t>
        </is>
      </c>
      <c r="B5" t="inlineStr">
        <is>
          <t>Physical Environmental Protection Assessment</t>
        </is>
      </c>
    </row>
    <row r="6">
      <c r="A6" s="3" t="inlineStr">
        <is>
          <t>Control Reference</t>
        </is>
      </c>
      <c r="B6" t="inlineStr">
        <is>
          <t>ISO/IEC 27001:2022 - Control A.7.5: Protecting Against Physical and Environmental Threats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35" customHeight="1">
      <c r="A1" s="11" t="inlineStr">
        <is>
          <t>FIRE DETECTION ASSESSMENT
Policy Requirement: All facility entry points must have electronic access control</t>
        </is>
      </c>
    </row>
    <row r="2" ht="18" customHeight="1">
      <c r="A2" s="12" t="inlineStr">
        <is>
          <t>ISO/IEC 27001:2022 - Control A.7.5: Protecting Against Physical and Environmental Threats</t>
        </is>
      </c>
    </row>
    <row r="3" ht="30" customHeight="1">
      <c r="A3" s="13" t="inlineStr">
        <is>
          <t>Are fire detection systems deployed and tested per schedule in all critical areas?</t>
        </is>
      </c>
    </row>
    <row r="4">
      <c r="A4" s="3" t="inlineStr">
        <is>
          <t>Response:</t>
        </is>
      </c>
      <c r="B4" s="14" t="n"/>
    </row>
    <row r="6">
      <c r="A6" s="15" t="inlineStr">
        <is>
          <t>Detector ID</t>
        </is>
      </c>
      <c r="B6" s="15" t="inlineStr">
        <is>
          <t>Type</t>
        </is>
      </c>
      <c r="C6" s="15" t="inlineStr">
        <is>
          <t>Location</t>
        </is>
      </c>
      <c r="D6" s="15" t="inlineStr">
        <is>
          <t>Last Tested</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35" customHeight="1">
      <c r="A1" s="11" t="inlineStr">
        <is>
          <t>WATER LEAK DETECTION ASSESSMENT
Policy Requirement: Video surveillance of all entry/exit points with 90-day retention</t>
        </is>
      </c>
    </row>
    <row r="2" ht="18" customHeight="1">
      <c r="A2" s="12" t="inlineStr">
        <is>
          <t>ISO/IEC 27001:2022 - Control A.7.5: Protecting Against Physical and Environmental Threats</t>
        </is>
      </c>
    </row>
    <row r="3" ht="30" customHeight="1">
      <c r="A3" s="13" t="inlineStr">
        <is>
          <t>Are water leak detection sensors deployed in all critical areas?</t>
        </is>
      </c>
    </row>
    <row r="4">
      <c r="A4" s="3" t="inlineStr">
        <is>
          <t>Response:</t>
        </is>
      </c>
      <c r="B4" s="14" t="n"/>
    </row>
    <row r="6">
      <c r="A6" s="15" t="inlineStr">
        <is>
          <t>Sensor ID</t>
        </is>
      </c>
      <c r="B6" s="15" t="inlineStr">
        <is>
          <t>Type</t>
        </is>
      </c>
      <c r="C6" s="15" t="inlineStr">
        <is>
          <t>Location</t>
        </is>
      </c>
      <c r="D6" s="15" t="inlineStr">
        <is>
          <t>Last Tested</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30" customWidth="1" min="6" max="6"/>
  </cols>
  <sheetData>
    <row r="1" ht="35" customHeight="1">
      <c r="A1" s="11" t="inlineStr">
        <is>
          <t>ENVIRONMENTAL MONITORING ASSESSMENT
Policy Requirement: Perimeter and critical area monitoring with 24/7 monitoring</t>
        </is>
      </c>
    </row>
    <row r="2" ht="18" customHeight="1">
      <c r="A2" s="12" t="inlineStr">
        <is>
          <t>ISO/IEC 27001:2022 - Control A.7.5: Protecting Against Physical and Environmental Threats</t>
        </is>
      </c>
    </row>
    <row r="3" ht="30" customHeight="1">
      <c r="A3" s="13" t="inlineStr">
        <is>
          <t>Are temperature and humidity continuously monitored in critical areas?</t>
        </is>
      </c>
    </row>
    <row r="4">
      <c r="A4" s="3" t="inlineStr">
        <is>
          <t>Response:</t>
        </is>
      </c>
      <c r="B4" s="14" t="n"/>
    </row>
    <row r="6">
      <c r="A6" s="15" t="inlineStr">
        <is>
          <t>Sensor ID</t>
        </is>
      </c>
      <c r="B6" s="15" t="inlineStr">
        <is>
          <t>Location</t>
        </is>
      </c>
      <c r="C6" s="15" t="inlineStr">
        <is>
          <t>Temp Range (°C)</t>
        </is>
      </c>
      <c r="D6" s="15" t="inlineStr">
        <is>
          <t>Humidity Range (%)</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ENVIRONMENTAL PROTECTION — SUMMARY DASHBOARD</t>
        </is>
      </c>
      <c r="B1" s="23" t="n"/>
      <c r="C1" s="23" t="n"/>
      <c r="D1" s="23" t="n"/>
      <c r="E1" s="23" t="n"/>
      <c r="F1" s="23" t="n"/>
      <c r="G1" s="23" t="n"/>
    </row>
    <row r="2">
      <c r="A2" s="12" t="inlineStr">
        <is>
          <t>ISO/IEC 27001:2022 — Control A.7.5 (Protecting Against Physical and Environmental Threats)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Fire Detection</t>
        </is>
      </c>
      <c r="B6" s="27">
        <f>COUNTA('Fire Detection'!A8:A57)</f>
        <v/>
      </c>
      <c r="C6" s="27">
        <f>COUNTIF('Fire Detection'!E8:E57,"✅*")</f>
        <v/>
      </c>
      <c r="D6" s="27">
        <f>COUNTIF('Fire Detection'!E8:E57,"⚠*")</f>
        <v/>
      </c>
      <c r="E6" s="27">
        <f>COUNTIF('Fire Detection'!E8:E57,"❌*")</f>
        <v/>
      </c>
      <c r="F6" s="27">
        <f>COUNTIF('Fire Detection'!E8:E57,"N/A")</f>
        <v/>
      </c>
      <c r="G6" s="28">
        <f>IF((B6-F6)=0,0,C6/(B6-F6))</f>
        <v/>
      </c>
    </row>
    <row r="7">
      <c r="A7" s="26" t="inlineStr">
        <is>
          <t>Water Leak Detection</t>
        </is>
      </c>
      <c r="B7" s="27">
        <f>COUNTA('Water Detection'!A8:A57)</f>
        <v/>
      </c>
      <c r="C7" s="27">
        <f>COUNTIF('Water Detection'!E8:E57,"✅*")</f>
        <v/>
      </c>
      <c r="D7" s="27">
        <f>COUNTIF('Water Detection'!E8:E57,"⚠*")</f>
        <v/>
      </c>
      <c r="E7" s="27">
        <f>COUNTIF('Water Detection'!E8:E57,"❌*")</f>
        <v/>
      </c>
      <c r="F7" s="27">
        <f>COUNTIF('Water Detection'!E8:E57,"N/A")</f>
        <v/>
      </c>
      <c r="G7" s="28">
        <f>IF((B7-F7)=0,0,C7/(B7-F7))</f>
        <v/>
      </c>
    </row>
    <row r="8">
      <c r="A8" s="26" t="inlineStr">
        <is>
          <t>Environmental Monitoring</t>
        </is>
      </c>
      <c r="B8" s="27">
        <f>COUNTA('Temperature &amp; Humidity'!A8:A57)</f>
        <v/>
      </c>
      <c r="C8" s="27">
        <f>COUNTIF('Temperature &amp; Humidity'!E8:E57,"✅*")</f>
        <v/>
      </c>
      <c r="D8" s="27">
        <f>COUNTIF('Temperature &amp; Humidity'!E8:E57,"⚠*")</f>
        <v/>
      </c>
      <c r="E8" s="27">
        <f>COUNTIF('Temperature &amp; Humidity'!E8:E57,"❌*")</f>
        <v/>
      </c>
      <c r="F8" s="27">
        <f>COUNTIF('Temperature &amp; Humidity'!E8:E57,"N/A")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Fire Detectors Assessed</t>
        </is>
      </c>
      <c r="B13" s="27">
        <f>COUNTA('Fire Detection'!A8:A57)</f>
        <v/>
      </c>
      <c r="C13" s="23" t="n"/>
      <c r="D13" s="23" t="n"/>
      <c r="E13" s="23" t="n"/>
      <c r="F13" s="23" t="n"/>
      <c r="G13" s="23" t="n"/>
    </row>
    <row r="14">
      <c r="A14" s="26" t="inlineStr">
        <is>
          <t>Fire Detectors — Non-Compliant</t>
        </is>
      </c>
      <c r="B14" s="27">
        <f>COUNTIF('Fire Detection'!E8:E57,"❌*")</f>
        <v/>
      </c>
      <c r="C14" s="23" t="n"/>
      <c r="D14" s="23" t="n"/>
      <c r="E14" s="23" t="n"/>
      <c r="F14" s="23" t="n"/>
      <c r="G14" s="23" t="n"/>
    </row>
    <row r="15">
      <c r="A15" s="26" t="inlineStr">
        <is>
          <t>Fire Detectors — Partial Compliance</t>
        </is>
      </c>
      <c r="B15" s="27">
        <f>COUNTIF('Fire Detection'!E8:E57,"⚠*")</f>
        <v/>
      </c>
      <c r="C15" s="23" t="n"/>
      <c r="D15" s="23" t="n"/>
      <c r="E15" s="23" t="n"/>
      <c r="F15" s="23" t="n"/>
      <c r="G15" s="23" t="n"/>
    </row>
    <row r="16">
      <c r="A16" s="26" t="inlineStr">
        <is>
          <t>Total Water Leak Sensors Assessed</t>
        </is>
      </c>
      <c r="B16" s="27">
        <f>COUNTA('Water Detection'!A8:A57)</f>
        <v/>
      </c>
      <c r="C16" s="23" t="n"/>
      <c r="D16" s="23" t="n"/>
      <c r="E16" s="23" t="n"/>
      <c r="F16" s="23" t="n"/>
      <c r="G16" s="23" t="n"/>
    </row>
    <row r="17">
      <c r="A17" s="26" t="inlineStr">
        <is>
          <t>Water Sensors — Non-Compliant</t>
        </is>
      </c>
      <c r="B17" s="27">
        <f>COUNTIF('Water Detection'!E8:E57,"❌*")</f>
        <v/>
      </c>
      <c r="C17" s="23" t="n"/>
      <c r="D17" s="23" t="n"/>
      <c r="E17" s="23" t="n"/>
      <c r="F17" s="23" t="n"/>
      <c r="G17" s="23" t="n"/>
    </row>
    <row r="18">
      <c r="A18" s="26" t="inlineStr">
        <is>
          <t>Water Sensors — Partial Compliance</t>
        </is>
      </c>
      <c r="B18" s="27">
        <f>COUNTIF('Water Detection'!E8:E57,"⚠*")</f>
        <v/>
      </c>
      <c r="C18" s="23" t="n"/>
      <c r="D18" s="23" t="n"/>
      <c r="E18" s="23" t="n"/>
      <c r="F18" s="23" t="n"/>
      <c r="G18" s="23" t="n"/>
    </row>
    <row r="19">
      <c r="A19" s="26" t="inlineStr">
        <is>
          <t>Total Environmental Monitors Assessed</t>
        </is>
      </c>
      <c r="B19" s="27">
        <f>COUNTA('Temperature &amp; Humidity'!A8:A57)</f>
        <v/>
      </c>
      <c r="C19" s="23" t="n"/>
      <c r="D19" s="23" t="n"/>
      <c r="E19" s="23" t="n"/>
      <c r="F19" s="23" t="n"/>
      <c r="G19" s="23" t="n"/>
    </row>
    <row r="20">
      <c r="A20" s="26" t="inlineStr">
        <is>
          <t>Environmental Monitors — Non-Compliant</t>
        </is>
      </c>
      <c r="B20" s="27">
        <f>COUNTIF('Temperature &amp; Humidity'!E8:E57,"❌*")</f>
        <v/>
      </c>
      <c r="C20" s="23" t="n"/>
      <c r="D20" s="23" t="n"/>
      <c r="E20" s="23" t="n"/>
      <c r="F20" s="23" t="n"/>
      <c r="G20" s="23" t="n"/>
    </row>
    <row r="21">
      <c r="A21" s="26" t="inlineStr">
        <is>
          <t>Environmental Monitors — Partial Compliance</t>
        </is>
      </c>
      <c r="B21" s="27">
        <f>COUNTIF('Temperature &amp; Humidity'!E8:E57,"⚠*")</f>
        <v/>
      </c>
      <c r="C21" s="23" t="n"/>
      <c r="D21" s="23" t="n"/>
      <c r="E21" s="23" t="n"/>
      <c r="F21" s="23" t="n"/>
      <c r="G21" s="23" t="n"/>
    </row>
    <row r="22">
      <c r="A22" s="26" t="inlineStr">
        <is>
          <t>Systems Marked N/A (All Sheets)</t>
        </is>
      </c>
      <c r="B22" s="27">
        <f>COUNTIF('Fire Detection'!E8:E57,"N/A")+COUNTIF('Water Detection'!E8:E57,"N/A")+COUNTIF('Temperature &amp; Humidity'!E8:E57,"N/A")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Fire Detection</t>
        </is>
      </c>
      <c r="B28" s="33" t="inlineStr">
        <is>
          <t>Non-compliant fire detectors</t>
        </is>
      </c>
      <c r="C28" s="34">
        <f>COUNTIF('Fire Detection'!E8:E57,"❌*")</f>
        <v/>
      </c>
      <c r="D28" s="33" t="inlineStr">
        <is>
          <t>Critical</t>
        </is>
      </c>
      <c r="E28" s="33" t="inlineStr">
        <is>
          <t>Immediate</t>
        </is>
      </c>
      <c r="F28" s="33" t="n"/>
      <c r="G28" s="33" t="n"/>
    </row>
    <row r="29">
      <c r="A29" s="33" t="inlineStr">
        <is>
          <t>Water Detection</t>
        </is>
      </c>
      <c r="B29" s="33" t="inlineStr">
        <is>
          <t>Non-compliant water leak sensors</t>
        </is>
      </c>
      <c r="C29" s="34">
        <f>COUNTIF('Water Detection'!E8:E57,"❌*")</f>
        <v/>
      </c>
      <c r="D29" s="33" t="inlineStr">
        <is>
          <t>Critical</t>
        </is>
      </c>
      <c r="E29" s="33" t="inlineStr">
        <is>
          <t>Immediate</t>
        </is>
      </c>
      <c r="F29" s="33" t="n"/>
      <c r="G29" s="33" t="n"/>
    </row>
    <row r="30">
      <c r="A30" s="33" t="inlineStr">
        <is>
          <t>Environmental Monitoring</t>
        </is>
      </c>
      <c r="B30" s="33" t="inlineStr">
        <is>
          <t>Non-compliant environmental monitors</t>
        </is>
      </c>
      <c r="C30" s="34">
        <f>COUNTIF('Temperature &amp; Humidity'!E8:E57,"❌*")</f>
        <v/>
      </c>
      <c r="D30" s="33" t="inlineStr">
        <is>
          <t>Critical</t>
        </is>
      </c>
      <c r="E30" s="33" t="inlineStr">
        <is>
          <t>Immediate</t>
        </is>
      </c>
      <c r="F30" s="33" t="n"/>
      <c r="G30" s="33" t="n"/>
    </row>
    <row r="31">
      <c r="A31" s="33" t="inlineStr">
        <is>
          <t>Fire Detection</t>
        </is>
      </c>
      <c r="B31" s="33" t="inlineStr">
        <is>
          <t>Fire detectors — partial compliance</t>
        </is>
      </c>
      <c r="C31" s="34">
        <f>COUNTIF('Fire Detection'!E8:E57,"⚠*")</f>
        <v/>
      </c>
      <c r="D31" s="33" t="inlineStr">
        <is>
          <t>High</t>
        </is>
      </c>
      <c r="E31" s="33" t="inlineStr">
        <is>
          <t>Urgent</t>
        </is>
      </c>
      <c r="F31" s="33" t="n"/>
      <c r="G31" s="33" t="n"/>
    </row>
    <row r="32">
      <c r="A32" s="33" t="inlineStr">
        <is>
          <t>Environmental Monitoring</t>
        </is>
      </c>
      <c r="B32" s="33" t="inlineStr">
        <is>
          <t>Env monitors — partial compliance</t>
        </is>
      </c>
      <c r="C32" s="34">
        <f>COUNTIF('Temperature &amp; Humidity'!E8:E57,"⚠*")</f>
        <v/>
      </c>
      <c r="D32" s="33" t="inlineStr">
        <is>
          <t>High</t>
        </is>
      </c>
      <c r="E32" s="33" t="inlineStr">
        <is>
          <t>Urgent</t>
        </is>
      </c>
      <c r="F32" s="33" t="n"/>
      <c r="G32" s="33" t="n"/>
    </row>
    <row r="33">
      <c r="A33" s="33" t="inlineStr">
        <is>
          <t>Water Detection</t>
        </is>
      </c>
      <c r="B33" s="33" t="inlineStr">
        <is>
          <t>Water sensors — partial compliance</t>
        </is>
      </c>
      <c r="C33" s="34">
        <f>COUNTIF('Water Detection'!E8:E57,"⚠*")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A.7.5: Protecting Against Physical and Environmental Threats</t>
        </is>
      </c>
      <c r="B2" s="6" t="n"/>
      <c r="C2" s="6" t="n"/>
      <c r="D2" s="6" t="n"/>
      <c r="E2" s="6" t="n"/>
    </row>
    <row r="3">
      <c r="A3" s="38" t="inlineStr">
        <is>
          <t>ASSESSMENT SUMMARY</t>
        </is>
      </c>
      <c r="B3" s="6" t="n"/>
      <c r="C3" s="6" t="n"/>
      <c r="D3" s="6" t="n"/>
      <c r="E3" s="6" t="n"/>
    </row>
    <row r="4">
      <c r="A4" s="39" t="inlineStr">
        <is>
          <t>Document:</t>
        </is>
      </c>
      <c r="B4" s="6" t="inlineStr">
        <is>
          <t>ISMS-IMP-A.7.4-5-11-S2 - Physical Environmental Protection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ISMS-IMP-A.7.4-5-11-S2 — Physical Environmental Protection Assessment</dc:title>
  <dc:description xmlns:dc="http://purl.org/dc/elements/1.1/">ISMS Implementation Workbook — ISMS-IMP-A.7.4-5-11-S2</dc:description>
  <dc:subject xmlns:dc="http://purl.org/dc/elements/1.1/">ISO/IEC 27001:2022 — Control A.7.5: Protecting Against Physical and Environmental Threats</dc:subject>
  <dcterms:created xmlns:dcterms="http://purl.org/dc/terms/" xmlns:xsi="http://www.w3.org/2001/XMLSchema-instance" xsi:type="dcterms:W3CDTF">2026-03-10T18:49:09Z</dcterms:created>
  <dcterms:modified xmlns:dcterms="http://purl.org/dc/terms/" xmlns:xsi="http://www.w3.org/2001/XMLSchema-instance" xsi:type="dcterms:W3CDTF">2026-03-10T18:49:09Z</dcterms:modified>
</cp:coreProperties>
</file>