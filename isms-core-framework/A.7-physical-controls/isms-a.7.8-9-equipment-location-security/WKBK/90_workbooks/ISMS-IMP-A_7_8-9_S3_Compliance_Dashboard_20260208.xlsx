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ontrol Area Details" sheetId="2" state="visible" r:id="rId2"/>
    <sheet xmlns:r="http://schemas.openxmlformats.org/officeDocument/2006/relationships" name="Gap Register" sheetId="3" state="visible" r:id="rId3"/>
    <sheet xmlns:r="http://schemas.openxmlformats.org/officeDocument/2006/relationships" name="Incident Tracker" sheetId="4" state="visible" r:id="rId4"/>
    <sheet xmlns:r="http://schemas.openxmlformats.org/officeDocument/2006/relationships" name="Remediation Plan" sheetId="5" state="visible" r:id="rId5"/>
    <sheet xmlns:r="http://schemas.openxmlformats.org/officeDocument/2006/relationships" name="Audit Readiness" sheetId="6" state="visible" r:id="rId6"/>
    <sheet xmlns:r="http://schemas.openxmlformats.org/officeDocument/2006/relationships" name="Trend Analysis" sheetId="7" state="visible" r:id="rId7"/>
    <sheet xmlns:r="http://schemas.openxmlformats.org/officeDocument/2006/relationships" name="Data Input"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b val="1"/>
      <color rgb="00FFFFFF"/>
      <sz val="12"/>
    </font>
    <font>
      <name val="Calibri"/>
      <b val="1"/>
      <sz val="36"/>
    </font>
    <font>
      <name val="Calibri"/>
      <b val="1"/>
    </font>
    <font>
      <name val="Calibri"/>
      <b val="1"/>
      <sz val="10"/>
    </font>
    <font>
      <name val="Calibri"/>
      <i val="1"/>
    </font>
    <font>
      <name val="Calibri"/>
      <color rgb="00808080"/>
    </font>
    <font>
      <name val="Calibri"/>
      <b val="1"/>
      <sz val="12"/>
    </font>
    <font>
      <name val="Calibri"/>
      <b val="1"/>
      <sz val="14"/>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xf>
    <xf numFmtId="0" fontId="3" fillId="0" borderId="0" applyAlignment="1" pivotButton="0" quotePrefix="0" xfId="0">
      <alignment horizontal="center" vertical="center"/>
    </xf>
    <xf numFmtId="0" fontId="4" fillId="0" borderId="0" pivotButton="0" quotePrefix="0" xfId="0"/>
    <xf numFmtId="0" fontId="0" fillId="4" borderId="1" pivotButton="0" quotePrefix="0" xfId="0"/>
    <xf numFmtId="0" fontId="5" fillId="5" borderId="1" applyAlignment="1" pivotButton="0" quotePrefix="0" xfId="0">
      <alignment horizontal="center" vertical="center" wrapText="1"/>
    </xf>
    <xf numFmtId="0" fontId="4" fillId="0" borderId="1" pivotButton="0" quotePrefix="0" xfId="0"/>
    <xf numFmtId="0" fontId="0" fillId="0" borderId="1" pivotButton="0" quotePrefix="0" xfId="0"/>
    <xf numFmtId="0" fontId="2" fillId="3" borderId="0" pivotButton="0" quotePrefix="0" xfId="0"/>
    <xf numFmtId="0" fontId="6" fillId="0" borderId="0" pivotButton="0" quotePrefix="0" xfId="0"/>
    <xf numFmtId="0" fontId="7" fillId="0" borderId="0" pivotButton="0" quotePrefix="0" xfId="0"/>
    <xf numFmtId="0" fontId="0" fillId="4" borderId="1" applyAlignment="1" pivotButton="0" quotePrefix="0" xfId="0">
      <alignment horizontal="left" vertical="center" wrapText="1"/>
    </xf>
    <xf numFmtId="0" fontId="0" fillId="0" borderId="1" applyAlignment="1" pivotButton="0" quotePrefix="0" xfId="0">
      <alignment horizontal="left" vertical="center" wrapText="1"/>
    </xf>
    <xf numFmtId="0" fontId="8" fillId="0" borderId="0" pivotButton="0" quotePrefix="0" xfId="0"/>
    <xf numFmtId="0" fontId="5" fillId="5"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25" customWidth="1" min="2" max="2"/>
    <col width="12" customWidth="1" min="3" max="3"/>
    <col width="10" customWidth="1" min="4" max="4"/>
    <col width="12" customWidth="1" min="5" max="5"/>
    <col width="10" customWidth="1" min="6" max="6"/>
    <col width="15" customWidth="1" min="7" max="7"/>
    <col width="10" customWidth="1" min="8" max="8"/>
  </cols>
  <sheetData>
    <row r="1" ht="50" customHeight="1">
      <c r="A1" s="1" t="inlineStr">
        <is>
          <t>ISMS Equipment Protection Compliance Dashboard
ISO/IEC 27001:2022 Controls A.7.8 &amp; A.7.9</t>
        </is>
      </c>
    </row>
    <row r="3">
      <c r="A3" s="2" t="inlineStr">
        <is>
          <t>OVERALL COMPLIANCE SCORE</t>
        </is>
      </c>
    </row>
    <row r="4">
      <c r="A4" s="3">
        <f>'Data Input'!C18</f>
        <v/>
      </c>
      <c r="C4" s="4" t="inlineStr">
        <is>
          <t>Status:</t>
        </is>
      </c>
      <c r="D4">
        <f>IF(VALUE(SUBSTITUTE('Data Input'!C18,"%",""))&gt;=90,"Compliant",IF(VALUE(SUBSTITUTE('Data Input'!C18,"%",""))&gt;=75,"Partial","Non-Compliant"))</f>
        <v/>
      </c>
    </row>
    <row r="5">
      <c r="C5" s="4" t="inlineStr">
        <is>
          <t>Last Updated:</t>
        </is>
      </c>
      <c r="D5" s="5" t="n"/>
    </row>
    <row r="6">
      <c r="C6" s="4" t="inlineStr">
        <is>
          <t>Assessment Period:</t>
        </is>
      </c>
      <c r="D6" s="5" t="n"/>
    </row>
    <row r="8">
      <c r="A8" s="2" t="inlineStr">
        <is>
          <t>CONTROL AREA SCORES</t>
        </is>
      </c>
    </row>
    <row r="9">
      <c r="A9" s="6" t="inlineStr">
        <is>
          <t>Control</t>
        </is>
      </c>
      <c r="B9" s="6" t="inlineStr">
        <is>
          <t>Description</t>
        </is>
      </c>
      <c r="C9" s="6" t="inlineStr">
        <is>
          <t>Score</t>
        </is>
      </c>
      <c r="D9" s="6" t="inlineStr">
        <is>
          <t>Items</t>
        </is>
      </c>
      <c r="E9" s="6" t="inlineStr">
        <is>
          <t>Compliant</t>
        </is>
      </c>
      <c r="F9" s="6" t="inlineStr">
        <is>
          <t>Partial</t>
        </is>
      </c>
      <c r="G9" s="6" t="inlineStr">
        <is>
          <t>Non-Compliant</t>
        </is>
      </c>
      <c r="H9" s="6" t="inlineStr">
        <is>
          <t>Status</t>
        </is>
      </c>
    </row>
    <row r="10">
      <c r="A10" s="7" t="inlineStr">
        <is>
          <t>A.7.8</t>
        </is>
      </c>
      <c r="B10" s="8" t="inlineStr">
        <is>
          <t>Equipment Siting</t>
        </is>
      </c>
      <c r="C10" s="8">
        <f>'Data Input'!C10</f>
        <v/>
      </c>
      <c r="D10" s="8">
        <f>'Data Input'!D10</f>
        <v/>
      </c>
      <c r="E10" s="8">
        <f>'Data Input'!E10</f>
        <v/>
      </c>
      <c r="F10" s="8">
        <f>'Data Input'!F10</f>
        <v/>
      </c>
      <c r="G10" s="8">
        <f>'Data Input'!G10</f>
        <v/>
      </c>
      <c r="H10" s="8">
        <f>IF(VALUE(SUBSTITUTE(C10,"%",""))&gt;=90,"✅",IF(VALUE(SUBSTITUTE(C10,"%",""))&gt;=75,"⚠","❌"))</f>
        <v/>
      </c>
    </row>
    <row r="11">
      <c r="A11" s="7" t="inlineStr">
        <is>
          <t>A.7.9</t>
        </is>
      </c>
      <c r="B11" s="8" t="inlineStr">
        <is>
          <t>Off-Premises Security</t>
        </is>
      </c>
      <c r="C11" s="8">
        <f>'Data Input'!C16</f>
        <v/>
      </c>
      <c r="D11" s="8">
        <f>'Data Input'!D16</f>
        <v/>
      </c>
      <c r="E11" s="8">
        <f>'Data Input'!E16</f>
        <v/>
      </c>
      <c r="F11" s="8">
        <f>'Data Input'!F16</f>
        <v/>
      </c>
      <c r="G11" s="8">
        <f>'Data Input'!G16</f>
        <v/>
      </c>
      <c r="H11" s="8">
        <f>IF(VALUE(SUBSTITUTE(C11,"%",""))&gt;=90,"✅",IF(VALUE(SUBSTITUTE(C11,"%",""))&gt;=75,"⚠","❌"))</f>
        <v/>
      </c>
    </row>
    <row r="13">
      <c r="A13" s="2" t="inlineStr">
        <is>
          <t>KEY METRICS</t>
        </is>
      </c>
    </row>
    <row r="14">
      <c r="A14" s="4" t="inlineStr">
        <is>
          <t>Total Open Gaps:</t>
        </is>
      </c>
      <c r="B14">
        <f>COUNTIF('Gap Register'!J:J,"Open")+COUNTIF('Gap Register'!J:J,"In Progress")</f>
        <v/>
      </c>
    </row>
    <row r="15">
      <c r="A15" s="4" t="inlineStr">
        <is>
          <t>Critical Gaps:</t>
        </is>
      </c>
      <c r="B15">
        <f>COUNTIF('Gap Register'!F:F,"Critical")</f>
        <v/>
      </c>
    </row>
    <row r="16">
      <c r="A16" s="4" t="inlineStr">
        <is>
          <t>High Priority Gaps:</t>
        </is>
      </c>
      <c r="B16">
        <f>COUNTIF('Gap Register'!F:F,"High")</f>
        <v/>
      </c>
    </row>
    <row r="17">
      <c r="A17" s="4" t="inlineStr">
        <is>
          <t>Incidents This Quarter:</t>
        </is>
      </c>
      <c r="B17">
        <f>COUNTA('Incident Tracker'!A:A)-1</f>
        <v/>
      </c>
    </row>
    <row r="18">
      <c r="A18" s="4" t="inlineStr">
        <is>
          <t>Audit Readiness:</t>
        </is>
      </c>
      <c r="B18">
        <f>'Audit Readiness'!C15</f>
        <v/>
      </c>
    </row>
    <row r="20">
      <c r="A20" s="2" t="inlineStr">
        <is>
          <t>CRITICAL ALERTS</t>
        </is>
      </c>
    </row>
    <row r="21">
      <c r="A21" t="inlineStr">
        <is>
          <t>❌ Review 'Gap Register' sheet for open critical and high priority gaps</t>
        </is>
      </c>
    </row>
    <row r="22">
      <c r="A22" t="inlineStr">
        <is>
          <t>⚠ Check 'Incident Tracker' for recent equipment security incidents</t>
        </is>
      </c>
    </row>
    <row r="23">
      <c r="A23" t="inlineStr">
        <is>
          <t>✅ Verify 'Audit Readiness' checklist before scheduled audits</t>
        </is>
      </c>
    </row>
  </sheetData>
  <mergeCells count="6">
    <mergeCell ref="A1:H1"/>
    <mergeCell ref="A3:B3"/>
    <mergeCell ref="A20:H20"/>
    <mergeCell ref="A13:H13"/>
    <mergeCell ref="A4:B6"/>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30" customHeight="1">
      <c r="A1" s="1" t="inlineStr">
        <is>
          <t>CONTROL AREA DETAILS</t>
        </is>
      </c>
    </row>
    <row r="3">
      <c r="A3" s="9" t="inlineStr">
        <is>
          <t>A.7.8 - EQUIPMENT SITING AND PROTECTION</t>
        </is>
      </c>
    </row>
    <row r="4">
      <c r="A4" s="6" t="inlineStr">
        <is>
          <t>Sub-domain</t>
        </is>
      </c>
      <c r="B4" s="6" t="inlineStr">
        <is>
          <t>Score</t>
        </is>
      </c>
      <c r="C4" s="6" t="inlineStr">
        <is>
          <t>Items</t>
        </is>
      </c>
      <c r="D4" s="6" t="inlineStr">
        <is>
          <t>Compliant</t>
        </is>
      </c>
      <c r="E4" s="6" t="inlineStr">
        <is>
          <t>Partial</t>
        </is>
      </c>
      <c r="F4" s="6" t="inlineStr">
        <is>
          <t>Non-Compliant</t>
        </is>
      </c>
      <c r="G4" s="6" t="inlineStr">
        <is>
          <t>N/A</t>
        </is>
      </c>
    </row>
    <row r="5">
      <c r="A5" s="8" t="inlineStr">
        <is>
          <t>Equipment Locations</t>
        </is>
      </c>
      <c r="B5" s="8">
        <f>'Data Input'!C5</f>
        <v/>
      </c>
      <c r="C5" s="8">
        <f>'Data Input'!D5</f>
        <v/>
      </c>
      <c r="D5" s="8">
        <f>'Data Input'!E5</f>
        <v/>
      </c>
      <c r="E5" s="8">
        <f>'Data Input'!F5</f>
        <v/>
      </c>
      <c r="F5" s="8">
        <f>'Data Input'!G5</f>
        <v/>
      </c>
      <c r="G5" s="8">
        <f>'Data Input'!H5</f>
        <v/>
      </c>
    </row>
    <row r="6">
      <c r="A6" s="8" t="inlineStr">
        <is>
          <t>Environmental Assessment</t>
        </is>
      </c>
      <c r="B6" s="8">
        <f>'Data Input'!C6</f>
        <v/>
      </c>
      <c r="C6" s="8">
        <f>'Data Input'!D6</f>
        <v/>
      </c>
      <c r="D6" s="8">
        <f>'Data Input'!E6</f>
        <v/>
      </c>
      <c r="E6" s="8">
        <f>'Data Input'!F6</f>
        <v/>
      </c>
      <c r="F6" s="8">
        <f>'Data Input'!G6</f>
        <v/>
      </c>
      <c r="G6" s="8">
        <f>'Data Input'!H6</f>
        <v/>
      </c>
    </row>
    <row r="7">
      <c r="A7" s="8" t="inlineStr">
        <is>
          <t>Physical Security</t>
        </is>
      </c>
      <c r="B7" s="8">
        <f>'Data Input'!C7</f>
        <v/>
      </c>
      <c r="C7" s="8">
        <f>'Data Input'!D7</f>
        <v/>
      </c>
      <c r="D7" s="8">
        <f>'Data Input'!E7</f>
        <v/>
      </c>
      <c r="E7" s="8">
        <f>'Data Input'!F7</f>
        <v/>
      </c>
      <c r="F7" s="8">
        <f>'Data Input'!G7</f>
        <v/>
      </c>
      <c r="G7" s="8">
        <f>'Data Input'!H7</f>
        <v/>
      </c>
    </row>
    <row r="8">
      <c r="A8" s="8" t="inlineStr">
        <is>
          <t>Power Infrastructure</t>
        </is>
      </c>
      <c r="B8" s="8">
        <f>'Data Input'!C8</f>
        <v/>
      </c>
      <c r="C8" s="8">
        <f>'Data Input'!D8</f>
        <v/>
      </c>
      <c r="D8" s="8">
        <f>'Data Input'!E8</f>
        <v/>
      </c>
      <c r="E8" s="8">
        <f>'Data Input'!F8</f>
        <v/>
      </c>
      <c r="F8" s="8">
        <f>'Data Input'!G8</f>
        <v/>
      </c>
      <c r="G8" s="8">
        <f>'Data Input'!H8</f>
        <v/>
      </c>
    </row>
    <row r="9">
      <c r="A9" s="8" t="inlineStr">
        <is>
          <t>Workstation Security</t>
        </is>
      </c>
      <c r="B9" s="8">
        <f>'Data Input'!C9</f>
        <v/>
      </c>
      <c r="C9" s="8">
        <f>'Data Input'!D9</f>
        <v/>
      </c>
      <c r="D9" s="8">
        <f>'Data Input'!E9</f>
        <v/>
      </c>
      <c r="E9" s="8">
        <f>'Data Input'!F9</f>
        <v/>
      </c>
      <c r="F9" s="8">
        <f>'Data Input'!G9</f>
        <v/>
      </c>
      <c r="G9" s="8">
        <f>'Data Input'!H9</f>
        <v/>
      </c>
    </row>
    <row r="10">
      <c r="A10" s="7" t="inlineStr">
        <is>
          <t>A.7.8 TOTAL</t>
        </is>
      </c>
      <c r="B10" s="7">
        <f>'Data Input'!C10</f>
        <v/>
      </c>
      <c r="C10" s="8" t="n"/>
      <c r="D10" s="8" t="n"/>
      <c r="E10" s="8" t="n"/>
      <c r="F10" s="8" t="n"/>
      <c r="G10" s="8" t="n"/>
    </row>
    <row r="12">
      <c r="A12" s="9" t="inlineStr">
        <is>
          <t>A.7.9 - SECURITY OF ASSETS OFF-PREMISES</t>
        </is>
      </c>
    </row>
    <row r="13">
      <c r="A13" s="6" t="inlineStr">
        <is>
          <t>Sub-domain</t>
        </is>
      </c>
      <c r="B13" s="6" t="inlineStr">
        <is>
          <t>Score</t>
        </is>
      </c>
      <c r="C13" s="6" t="inlineStr">
        <is>
          <t>Items</t>
        </is>
      </c>
      <c r="D13" s="6" t="inlineStr">
        <is>
          <t>Compliant</t>
        </is>
      </c>
      <c r="E13" s="6" t="inlineStr">
        <is>
          <t>Partial</t>
        </is>
      </c>
      <c r="F13" s="6" t="inlineStr">
        <is>
          <t>Non-Compliant</t>
        </is>
      </c>
      <c r="G13" s="6" t="inlineStr">
        <is>
          <t>N/A</t>
        </is>
      </c>
    </row>
    <row r="14">
      <c r="A14" s="8" t="inlineStr">
        <is>
          <t>Equipment Inventory</t>
        </is>
      </c>
      <c r="B14" s="8">
        <f>'Data Input'!C11</f>
        <v/>
      </c>
      <c r="C14" s="8">
        <f>'Data Input'!D11</f>
        <v/>
      </c>
      <c r="D14" s="8">
        <f>'Data Input'!E11</f>
        <v/>
      </c>
      <c r="E14" s="8">
        <f>'Data Input'!F11</f>
        <v/>
      </c>
      <c r="F14" s="8">
        <f>'Data Input'!G11</f>
        <v/>
      </c>
      <c r="G14" s="8" t="inlineStr">
        <is>
          <t>0</t>
        </is>
      </c>
    </row>
    <row r="15">
      <c r="A15" s="8" t="inlineStr">
        <is>
          <t>Authorisation &amp; Tracking</t>
        </is>
      </c>
      <c r="B15" s="8">
        <f>'Data Input'!C12</f>
        <v/>
      </c>
      <c r="C15" s="8">
        <f>'Data Input'!D12</f>
        <v/>
      </c>
      <c r="D15" s="8">
        <f>'Data Input'!E12</f>
        <v/>
      </c>
      <c r="E15" s="8">
        <f>'Data Input'!F12</f>
        <v/>
      </c>
      <c r="F15" s="8">
        <f>'Data Input'!G12</f>
        <v/>
      </c>
      <c r="G15" s="8" t="inlineStr">
        <is>
          <t>0</t>
        </is>
      </c>
    </row>
    <row r="16">
      <c r="A16" s="8" t="inlineStr">
        <is>
          <t>Protection Measures</t>
        </is>
      </c>
      <c r="B16" s="8">
        <f>'Data Input'!C13</f>
        <v/>
      </c>
      <c r="C16" s="8">
        <f>'Data Input'!D13</f>
        <v/>
      </c>
      <c r="D16" s="8">
        <f>'Data Input'!E13</f>
        <v/>
      </c>
      <c r="E16" s="8">
        <f>'Data Input'!F13</f>
        <v/>
      </c>
      <c r="F16" s="8">
        <f>'Data Input'!G13</f>
        <v/>
      </c>
      <c r="G16" s="8" t="inlineStr">
        <is>
          <t>0</t>
        </is>
      </c>
    </row>
    <row r="17">
      <c r="A17" s="8" t="inlineStr">
        <is>
          <t>Remote Working</t>
        </is>
      </c>
      <c r="B17" s="8">
        <f>'Data Input'!C14</f>
        <v/>
      </c>
      <c r="C17" s="8">
        <f>'Data Input'!D14</f>
        <v/>
      </c>
      <c r="D17" s="8">
        <f>'Data Input'!E14</f>
        <v/>
      </c>
      <c r="E17" s="8">
        <f>'Data Input'!F14</f>
        <v/>
      </c>
      <c r="F17" s="8">
        <f>'Data Input'!G14</f>
        <v/>
      </c>
      <c r="G17" s="8" t="inlineStr">
        <is>
          <t>0</t>
        </is>
      </c>
    </row>
    <row r="18">
      <c r="A18" s="8" t="inlineStr">
        <is>
          <t>Permanent Off-Site</t>
        </is>
      </c>
      <c r="B18" s="8">
        <f>'Data Input'!C15</f>
        <v/>
      </c>
      <c r="C18" s="8">
        <f>'Data Input'!D15</f>
        <v/>
      </c>
      <c r="D18" s="8">
        <f>'Data Input'!E15</f>
        <v/>
      </c>
      <c r="E18" s="8">
        <f>'Data Input'!F15</f>
        <v/>
      </c>
      <c r="F18" s="8">
        <f>'Data Input'!G15</f>
        <v/>
      </c>
      <c r="G18" s="8" t="inlineStr">
        <is>
          <t>0</t>
        </is>
      </c>
    </row>
    <row r="19">
      <c r="A19" s="7" t="inlineStr">
        <is>
          <t>A.7.9 TOTAL</t>
        </is>
      </c>
      <c r="B19" s="7">
        <f>'Data Input'!C16</f>
        <v/>
      </c>
      <c r="C19" s="8" t="n"/>
      <c r="D19" s="8" t="n"/>
      <c r="E19" s="8" t="n"/>
      <c r="F19" s="8" t="n"/>
      <c r="G19" s="8" t="n"/>
    </row>
  </sheetData>
  <mergeCells count="3">
    <mergeCell ref="A3:G3"/>
    <mergeCell ref="A1:G1"/>
    <mergeCell ref="A12:G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5" customWidth="1" min="3" max="3"/>
    <col width="50" customWidth="1" min="4" max="4"/>
    <col width="40" customWidth="1" min="5" max="5"/>
    <col width="12" customWidth="1" min="6" max="6"/>
    <col width="20" customWidth="1" min="7" max="7"/>
    <col width="14" customWidth="1" min="8" max="8"/>
    <col width="14" customWidth="1" min="9" max="9"/>
    <col width="15" customWidth="1" min="10" max="10"/>
    <col width="12" customWidth="1" min="11" max="11"/>
    <col width="10" customWidth="1" min="12" max="12"/>
    <col width="15" customWidth="1" min="13" max="13"/>
    <col width="40" customWidth="1" min="14" max="14"/>
  </cols>
  <sheetData>
    <row r="1" ht="30" customHeight="1">
      <c r="A1" s="1" t="inlineStr">
        <is>
          <t>GAP REGISTER</t>
        </is>
      </c>
    </row>
    <row r="2">
      <c r="A2" s="10" t="inlineStr">
        <is>
          <t>Track all compliance gaps requiring remediation.</t>
        </is>
      </c>
    </row>
    <row r="4">
      <c r="A4" s="6" t="inlineStr">
        <is>
          <t>Gap ID</t>
        </is>
      </c>
      <c r="B4" s="6" t="inlineStr">
        <is>
          <t>Control</t>
        </is>
      </c>
      <c r="C4" s="6" t="inlineStr">
        <is>
          <t>Sub-domain</t>
        </is>
      </c>
      <c r="D4" s="6" t="inlineStr">
        <is>
          <t>Description</t>
        </is>
      </c>
      <c r="E4" s="6" t="inlineStr">
        <is>
          <t>Risk Impact</t>
        </is>
      </c>
      <c r="F4" s="6" t="inlineStr">
        <is>
          <t>Priority</t>
        </is>
      </c>
      <c r="G4" s="6" t="inlineStr">
        <is>
          <t>Owner</t>
        </is>
      </c>
      <c r="H4" s="6" t="inlineStr">
        <is>
          <t>Identified Date</t>
        </is>
      </c>
      <c r="I4" s="6" t="inlineStr">
        <is>
          <t>Target Date</t>
        </is>
      </c>
      <c r="J4" s="6" t="inlineStr">
        <is>
          <t>Status</t>
        </is>
      </c>
      <c r="K4" s="6" t="inlineStr">
        <is>
          <t>Days Open</t>
        </is>
      </c>
      <c r="L4" s="6" t="inlineStr">
        <is>
          <t>Overdue</t>
        </is>
      </c>
      <c r="M4" s="6" t="inlineStr">
        <is>
          <t>Evidence Ref</t>
        </is>
      </c>
      <c r="N4" s="6" t="inlineStr">
        <is>
          <t>Notes</t>
        </is>
      </c>
    </row>
    <row r="5">
      <c r="A5" s="11" t="inlineStr">
        <is>
          <t>GAP-001</t>
        </is>
      </c>
      <c r="B5" s="12" t="n"/>
      <c r="C5" s="12" t="n"/>
      <c r="D5" s="12" t="n"/>
      <c r="E5" s="12" t="n"/>
      <c r="F5" s="12" t="n"/>
      <c r="G5" s="12" t="n"/>
      <c r="H5" s="12" t="n"/>
      <c r="I5" s="12" t="n"/>
      <c r="J5" s="12" t="n"/>
      <c r="K5" s="13">
        <f>IF(H5="","",IF(J5="Completed",DATEDIF(H5,I5,"d"),DATEDIF(H5,TODAY(),"d")))</f>
        <v/>
      </c>
      <c r="L5" s="13">
        <f>IF(OR(J5="Completed",J5="",I5=""),"",IF(I5&lt;TODAY(),"Yes","No"))</f>
        <v/>
      </c>
      <c r="M5" s="12" t="n"/>
      <c r="N5" s="12" t="n"/>
    </row>
    <row r="6">
      <c r="A6" s="11" t="inlineStr">
        <is>
          <t>GAP-002</t>
        </is>
      </c>
      <c r="B6" s="12" t="n"/>
      <c r="C6" s="12" t="n"/>
      <c r="D6" s="12" t="n"/>
      <c r="E6" s="12" t="n"/>
      <c r="F6" s="12" t="n"/>
      <c r="G6" s="12" t="n"/>
      <c r="H6" s="12" t="n"/>
      <c r="I6" s="12" t="n"/>
      <c r="J6" s="12" t="n"/>
      <c r="K6" s="13">
        <f>IF(H6="","",IF(J6="Completed",DATEDIF(H6,I6,"d"),DATEDIF(H6,TODAY(),"d")))</f>
        <v/>
      </c>
      <c r="L6" s="13">
        <f>IF(OR(J6="Completed",J6="",I6=""),"",IF(I6&lt;TODAY(),"Yes","No"))</f>
        <v/>
      </c>
      <c r="M6" s="12" t="n"/>
      <c r="N6" s="12" t="n"/>
    </row>
    <row r="7">
      <c r="A7" s="11" t="inlineStr">
        <is>
          <t>GAP-003</t>
        </is>
      </c>
      <c r="B7" s="12" t="n"/>
      <c r="C7" s="12" t="n"/>
      <c r="D7" s="12" t="n"/>
      <c r="E7" s="12" t="n"/>
      <c r="F7" s="12" t="n"/>
      <c r="G7" s="12" t="n"/>
      <c r="H7" s="12" t="n"/>
      <c r="I7" s="12" t="n"/>
      <c r="J7" s="12" t="n"/>
      <c r="K7" s="13">
        <f>IF(H7="","",IF(J7="Completed",DATEDIF(H7,I7,"d"),DATEDIF(H7,TODAY(),"d")))</f>
        <v/>
      </c>
      <c r="L7" s="13">
        <f>IF(OR(J7="Completed",J7="",I7=""),"",IF(I7&lt;TODAY(),"Yes","No"))</f>
        <v/>
      </c>
      <c r="M7" s="12" t="n"/>
      <c r="N7" s="12" t="n"/>
    </row>
    <row r="8">
      <c r="A8" s="11" t="inlineStr">
        <is>
          <t>GAP-004</t>
        </is>
      </c>
      <c r="B8" s="12" t="n"/>
      <c r="C8" s="12" t="n"/>
      <c r="D8" s="12" t="n"/>
      <c r="E8" s="12" t="n"/>
      <c r="F8" s="12" t="n"/>
      <c r="G8" s="12" t="n"/>
      <c r="H8" s="12" t="n"/>
      <c r="I8" s="12" t="n"/>
      <c r="J8" s="12" t="n"/>
      <c r="K8" s="13">
        <f>IF(H8="","",IF(J8="Completed",DATEDIF(H8,I8,"d"),DATEDIF(H8,TODAY(),"d")))</f>
        <v/>
      </c>
      <c r="L8" s="13">
        <f>IF(OR(J8="Completed",J8="",I8=""),"",IF(I8&lt;TODAY(),"Yes","No"))</f>
        <v/>
      </c>
      <c r="M8" s="12" t="n"/>
      <c r="N8" s="12" t="n"/>
    </row>
    <row r="9">
      <c r="A9" s="11" t="inlineStr">
        <is>
          <t>GAP-005</t>
        </is>
      </c>
      <c r="B9" s="12" t="n"/>
      <c r="C9" s="12" t="n"/>
      <c r="D9" s="12" t="n"/>
      <c r="E9" s="12" t="n"/>
      <c r="F9" s="12" t="n"/>
      <c r="G9" s="12" t="n"/>
      <c r="H9" s="12" t="n"/>
      <c r="I9" s="12" t="n"/>
      <c r="J9" s="12" t="n"/>
      <c r="K9" s="13">
        <f>IF(H9="","",IF(J9="Completed",DATEDIF(H9,I9,"d"),DATEDIF(H9,TODAY(),"d")))</f>
        <v/>
      </c>
      <c r="L9" s="13">
        <f>IF(OR(J9="Completed",J9="",I9=""),"",IF(I9&lt;TODAY(),"Yes","No"))</f>
        <v/>
      </c>
      <c r="M9" s="12" t="n"/>
      <c r="N9" s="12" t="n"/>
    </row>
    <row r="10">
      <c r="A10" s="11" t="inlineStr">
        <is>
          <t>GAP-006</t>
        </is>
      </c>
      <c r="B10" s="12" t="n"/>
      <c r="C10" s="12" t="n"/>
      <c r="D10" s="12" t="n"/>
      <c r="E10" s="12" t="n"/>
      <c r="F10" s="12" t="n"/>
      <c r="G10" s="12" t="n"/>
      <c r="H10" s="12" t="n"/>
      <c r="I10" s="12" t="n"/>
      <c r="J10" s="12" t="n"/>
      <c r="K10" s="13">
        <f>IF(H10="","",IF(J10="Completed",DATEDIF(H10,I10,"d"),DATEDIF(H10,TODAY(),"d")))</f>
        <v/>
      </c>
      <c r="L10" s="13">
        <f>IF(OR(J10="Completed",J10="",I10=""),"",IF(I10&lt;TODAY(),"Yes","No"))</f>
        <v/>
      </c>
      <c r="M10" s="12" t="n"/>
      <c r="N10" s="12" t="n"/>
    </row>
    <row r="11">
      <c r="A11" s="11" t="inlineStr">
        <is>
          <t>GAP-007</t>
        </is>
      </c>
      <c r="B11" s="12" t="n"/>
      <c r="C11" s="12" t="n"/>
      <c r="D11" s="12" t="n"/>
      <c r="E11" s="12" t="n"/>
      <c r="F11" s="12" t="n"/>
      <c r="G11" s="12" t="n"/>
      <c r="H11" s="12" t="n"/>
      <c r="I11" s="12" t="n"/>
      <c r="J11" s="12" t="n"/>
      <c r="K11" s="13">
        <f>IF(H11="","",IF(J11="Completed",DATEDIF(H11,I11,"d"),DATEDIF(H11,TODAY(),"d")))</f>
        <v/>
      </c>
      <c r="L11" s="13">
        <f>IF(OR(J11="Completed",J11="",I11=""),"",IF(I11&lt;TODAY(),"Yes","No"))</f>
        <v/>
      </c>
      <c r="M11" s="12" t="n"/>
      <c r="N11" s="12" t="n"/>
    </row>
    <row r="12">
      <c r="A12" s="11" t="inlineStr">
        <is>
          <t>GAP-008</t>
        </is>
      </c>
      <c r="B12" s="12" t="n"/>
      <c r="C12" s="12" t="n"/>
      <c r="D12" s="12" t="n"/>
      <c r="E12" s="12" t="n"/>
      <c r="F12" s="12" t="n"/>
      <c r="G12" s="12" t="n"/>
      <c r="H12" s="12" t="n"/>
      <c r="I12" s="12" t="n"/>
      <c r="J12" s="12" t="n"/>
      <c r="K12" s="13">
        <f>IF(H12="","",IF(J12="Completed",DATEDIF(H12,I12,"d"),DATEDIF(H12,TODAY(),"d")))</f>
        <v/>
      </c>
      <c r="L12" s="13">
        <f>IF(OR(J12="Completed",J12="",I12=""),"",IF(I12&lt;TODAY(),"Yes","No"))</f>
        <v/>
      </c>
      <c r="M12" s="12" t="n"/>
      <c r="N12" s="12" t="n"/>
    </row>
    <row r="13">
      <c r="A13" s="11" t="inlineStr">
        <is>
          <t>GAP-009</t>
        </is>
      </c>
      <c r="B13" s="12" t="n"/>
      <c r="C13" s="12" t="n"/>
      <c r="D13" s="12" t="n"/>
      <c r="E13" s="12" t="n"/>
      <c r="F13" s="12" t="n"/>
      <c r="G13" s="12" t="n"/>
      <c r="H13" s="12" t="n"/>
      <c r="I13" s="12" t="n"/>
      <c r="J13" s="12" t="n"/>
      <c r="K13" s="13">
        <f>IF(H13="","",IF(J13="Completed",DATEDIF(H13,I13,"d"),DATEDIF(H13,TODAY(),"d")))</f>
        <v/>
      </c>
      <c r="L13" s="13">
        <f>IF(OR(J13="Completed",J13="",I13=""),"",IF(I13&lt;TODAY(),"Yes","No"))</f>
        <v/>
      </c>
      <c r="M13" s="12" t="n"/>
      <c r="N13" s="12" t="n"/>
    </row>
    <row r="14">
      <c r="A14" s="11" t="inlineStr">
        <is>
          <t>GAP-010</t>
        </is>
      </c>
      <c r="B14" s="12" t="n"/>
      <c r="C14" s="12" t="n"/>
      <c r="D14" s="12" t="n"/>
      <c r="E14" s="12" t="n"/>
      <c r="F14" s="12" t="n"/>
      <c r="G14" s="12" t="n"/>
      <c r="H14" s="12" t="n"/>
      <c r="I14" s="12" t="n"/>
      <c r="J14" s="12" t="n"/>
      <c r="K14" s="13">
        <f>IF(H14="","",IF(J14="Completed",DATEDIF(H14,I14,"d"),DATEDIF(H14,TODAY(),"d")))</f>
        <v/>
      </c>
      <c r="L14" s="13">
        <f>IF(OR(J14="Completed",J14="",I14=""),"",IF(I14&lt;TODAY(),"Yes","No"))</f>
        <v/>
      </c>
      <c r="M14" s="12" t="n"/>
      <c r="N14" s="12" t="n"/>
    </row>
    <row r="15">
      <c r="A15" s="11" t="inlineStr">
        <is>
          <t>GAP-011</t>
        </is>
      </c>
      <c r="B15" s="12" t="n"/>
      <c r="C15" s="12" t="n"/>
      <c r="D15" s="12" t="n"/>
      <c r="E15" s="12" t="n"/>
      <c r="F15" s="12" t="n"/>
      <c r="G15" s="12" t="n"/>
      <c r="H15" s="12" t="n"/>
      <c r="I15" s="12" t="n"/>
      <c r="J15" s="12" t="n"/>
      <c r="K15" s="13">
        <f>IF(H15="","",IF(J15="Completed",DATEDIF(H15,I15,"d"),DATEDIF(H15,TODAY(),"d")))</f>
        <v/>
      </c>
      <c r="L15" s="13">
        <f>IF(OR(J15="Completed",J15="",I15=""),"",IF(I15&lt;TODAY(),"Yes","No"))</f>
        <v/>
      </c>
      <c r="M15" s="12" t="n"/>
      <c r="N15" s="12" t="n"/>
    </row>
    <row r="16">
      <c r="A16" s="11" t="inlineStr">
        <is>
          <t>GAP-012</t>
        </is>
      </c>
      <c r="B16" s="12" t="n"/>
      <c r="C16" s="12" t="n"/>
      <c r="D16" s="12" t="n"/>
      <c r="E16" s="12" t="n"/>
      <c r="F16" s="12" t="n"/>
      <c r="G16" s="12" t="n"/>
      <c r="H16" s="12" t="n"/>
      <c r="I16" s="12" t="n"/>
      <c r="J16" s="12" t="n"/>
      <c r="K16" s="13">
        <f>IF(H16="","",IF(J16="Completed",DATEDIF(H16,I16,"d"),DATEDIF(H16,TODAY(),"d")))</f>
        <v/>
      </c>
      <c r="L16" s="13">
        <f>IF(OR(J16="Completed",J16="",I16=""),"",IF(I16&lt;TODAY(),"Yes","No"))</f>
        <v/>
      </c>
      <c r="M16" s="12" t="n"/>
      <c r="N16" s="12" t="n"/>
    </row>
    <row r="17">
      <c r="A17" s="11" t="inlineStr">
        <is>
          <t>GAP-013</t>
        </is>
      </c>
      <c r="B17" s="12" t="n"/>
      <c r="C17" s="12" t="n"/>
      <c r="D17" s="12" t="n"/>
      <c r="E17" s="12" t="n"/>
      <c r="F17" s="12" t="n"/>
      <c r="G17" s="12" t="n"/>
      <c r="H17" s="12" t="n"/>
      <c r="I17" s="12" t="n"/>
      <c r="J17" s="12" t="n"/>
      <c r="K17" s="13">
        <f>IF(H17="","",IF(J17="Completed",DATEDIF(H17,I17,"d"),DATEDIF(H17,TODAY(),"d")))</f>
        <v/>
      </c>
      <c r="L17" s="13">
        <f>IF(OR(J17="Completed",J17="",I17=""),"",IF(I17&lt;TODAY(),"Yes","No"))</f>
        <v/>
      </c>
      <c r="M17" s="12" t="n"/>
      <c r="N17" s="12" t="n"/>
    </row>
    <row r="18">
      <c r="A18" s="11" t="inlineStr">
        <is>
          <t>GAP-014</t>
        </is>
      </c>
      <c r="B18" s="12" t="n"/>
      <c r="C18" s="12" t="n"/>
      <c r="D18" s="12" t="n"/>
      <c r="E18" s="12" t="n"/>
      <c r="F18" s="12" t="n"/>
      <c r="G18" s="12" t="n"/>
      <c r="H18" s="12" t="n"/>
      <c r="I18" s="12" t="n"/>
      <c r="J18" s="12" t="n"/>
      <c r="K18" s="13">
        <f>IF(H18="","",IF(J18="Completed",DATEDIF(H18,I18,"d"),DATEDIF(H18,TODAY(),"d")))</f>
        <v/>
      </c>
      <c r="L18" s="13">
        <f>IF(OR(J18="Completed",J18="",I18=""),"",IF(I18&lt;TODAY(),"Yes","No"))</f>
        <v/>
      </c>
      <c r="M18" s="12" t="n"/>
      <c r="N18" s="12" t="n"/>
    </row>
    <row r="19">
      <c r="A19" s="11" t="inlineStr">
        <is>
          <t>GAP-015</t>
        </is>
      </c>
      <c r="B19" s="12" t="n"/>
      <c r="C19" s="12" t="n"/>
      <c r="D19" s="12" t="n"/>
      <c r="E19" s="12" t="n"/>
      <c r="F19" s="12" t="n"/>
      <c r="G19" s="12" t="n"/>
      <c r="H19" s="12" t="n"/>
      <c r="I19" s="12" t="n"/>
      <c r="J19" s="12" t="n"/>
      <c r="K19" s="13">
        <f>IF(H19="","",IF(J19="Completed",DATEDIF(H19,I19,"d"),DATEDIF(H19,TODAY(),"d")))</f>
        <v/>
      </c>
      <c r="L19" s="13">
        <f>IF(OR(J19="Completed",J19="",I19=""),"",IF(I19&lt;TODAY(),"Yes","No"))</f>
        <v/>
      </c>
      <c r="M19" s="12" t="n"/>
      <c r="N19" s="12" t="n"/>
    </row>
    <row r="20">
      <c r="A20" s="11" t="inlineStr">
        <is>
          <t>GAP-016</t>
        </is>
      </c>
      <c r="B20" s="12" t="n"/>
      <c r="C20" s="12" t="n"/>
      <c r="D20" s="12" t="n"/>
      <c r="E20" s="12" t="n"/>
      <c r="F20" s="12" t="n"/>
      <c r="G20" s="12" t="n"/>
      <c r="H20" s="12" t="n"/>
      <c r="I20" s="12" t="n"/>
      <c r="J20" s="12" t="n"/>
      <c r="K20" s="13">
        <f>IF(H20="","",IF(J20="Completed",DATEDIF(H20,I20,"d"),DATEDIF(H20,TODAY(),"d")))</f>
        <v/>
      </c>
      <c r="L20" s="13">
        <f>IF(OR(J20="Completed",J20="",I20=""),"",IF(I20&lt;TODAY(),"Yes","No"))</f>
        <v/>
      </c>
      <c r="M20" s="12" t="n"/>
      <c r="N20" s="12" t="n"/>
    </row>
    <row r="21">
      <c r="A21" s="11" t="inlineStr">
        <is>
          <t>GAP-017</t>
        </is>
      </c>
      <c r="B21" s="12" t="n"/>
      <c r="C21" s="12" t="n"/>
      <c r="D21" s="12" t="n"/>
      <c r="E21" s="12" t="n"/>
      <c r="F21" s="12" t="n"/>
      <c r="G21" s="12" t="n"/>
      <c r="H21" s="12" t="n"/>
      <c r="I21" s="12" t="n"/>
      <c r="J21" s="12" t="n"/>
      <c r="K21" s="13">
        <f>IF(H21="","",IF(J21="Completed",DATEDIF(H21,I21,"d"),DATEDIF(H21,TODAY(),"d")))</f>
        <v/>
      </c>
      <c r="L21" s="13">
        <f>IF(OR(J21="Completed",J21="",I21=""),"",IF(I21&lt;TODAY(),"Yes","No"))</f>
        <v/>
      </c>
      <c r="M21" s="12" t="n"/>
      <c r="N21" s="12" t="n"/>
    </row>
    <row r="22">
      <c r="A22" s="11" t="inlineStr">
        <is>
          <t>GAP-018</t>
        </is>
      </c>
      <c r="B22" s="12" t="n"/>
      <c r="C22" s="12" t="n"/>
      <c r="D22" s="12" t="n"/>
      <c r="E22" s="12" t="n"/>
      <c r="F22" s="12" t="n"/>
      <c r="G22" s="12" t="n"/>
      <c r="H22" s="12" t="n"/>
      <c r="I22" s="12" t="n"/>
      <c r="J22" s="12" t="n"/>
      <c r="K22" s="13">
        <f>IF(H22="","",IF(J22="Completed",DATEDIF(H22,I22,"d"),DATEDIF(H22,TODAY(),"d")))</f>
        <v/>
      </c>
      <c r="L22" s="13">
        <f>IF(OR(J22="Completed",J22="",I22=""),"",IF(I22&lt;TODAY(),"Yes","No"))</f>
        <v/>
      </c>
      <c r="M22" s="12" t="n"/>
      <c r="N22" s="12" t="n"/>
    </row>
    <row r="23">
      <c r="A23" s="11" t="inlineStr">
        <is>
          <t>GAP-019</t>
        </is>
      </c>
      <c r="B23" s="12" t="n"/>
      <c r="C23" s="12" t="n"/>
      <c r="D23" s="12" t="n"/>
      <c r="E23" s="12" t="n"/>
      <c r="F23" s="12" t="n"/>
      <c r="G23" s="12" t="n"/>
      <c r="H23" s="12" t="n"/>
      <c r="I23" s="12" t="n"/>
      <c r="J23" s="12" t="n"/>
      <c r="K23" s="13">
        <f>IF(H23="","",IF(J23="Completed",DATEDIF(H23,I23,"d"),DATEDIF(H23,TODAY(),"d")))</f>
        <v/>
      </c>
      <c r="L23" s="13">
        <f>IF(OR(J23="Completed",J23="",I23=""),"",IF(I23&lt;TODAY(),"Yes","No"))</f>
        <v/>
      </c>
      <c r="M23" s="12" t="n"/>
      <c r="N23" s="12" t="n"/>
    </row>
    <row r="24">
      <c r="A24" s="11" t="inlineStr">
        <is>
          <t>GAP-020</t>
        </is>
      </c>
      <c r="B24" s="12" t="n"/>
      <c r="C24" s="12" t="n"/>
      <c r="D24" s="12" t="n"/>
      <c r="E24" s="12" t="n"/>
      <c r="F24" s="12" t="n"/>
      <c r="G24" s="12" t="n"/>
      <c r="H24" s="12" t="n"/>
      <c r="I24" s="12" t="n"/>
      <c r="J24" s="12" t="n"/>
      <c r="K24" s="13">
        <f>IF(H24="","",IF(J24="Completed",DATEDIF(H24,I24,"d"),DATEDIF(H24,TODAY(),"d")))</f>
        <v/>
      </c>
      <c r="L24" s="13">
        <f>IF(OR(J24="Completed",J24="",I24=""),"",IF(I24&lt;TODAY(),"Yes","No"))</f>
        <v/>
      </c>
      <c r="M24" s="12" t="n"/>
      <c r="N24" s="12" t="n"/>
    </row>
    <row r="25">
      <c r="A25" s="11" t="inlineStr">
        <is>
          <t>GAP-021</t>
        </is>
      </c>
      <c r="B25" s="12" t="n"/>
      <c r="C25" s="12" t="n"/>
      <c r="D25" s="12" t="n"/>
      <c r="E25" s="12" t="n"/>
      <c r="F25" s="12" t="n"/>
      <c r="G25" s="12" t="n"/>
      <c r="H25" s="12" t="n"/>
      <c r="I25" s="12" t="n"/>
      <c r="J25" s="12" t="n"/>
      <c r="K25" s="13">
        <f>IF(H25="","",IF(J25="Completed",DATEDIF(H25,I25,"d"),DATEDIF(H25,TODAY(),"d")))</f>
        <v/>
      </c>
      <c r="L25" s="13">
        <f>IF(OR(J25="Completed",J25="",I25=""),"",IF(I25&lt;TODAY(),"Yes","No"))</f>
        <v/>
      </c>
      <c r="M25" s="12" t="n"/>
      <c r="N25" s="12" t="n"/>
    </row>
    <row r="26">
      <c r="A26" s="11" t="inlineStr">
        <is>
          <t>GAP-022</t>
        </is>
      </c>
      <c r="B26" s="12" t="n"/>
      <c r="C26" s="12" t="n"/>
      <c r="D26" s="12" t="n"/>
      <c r="E26" s="12" t="n"/>
      <c r="F26" s="12" t="n"/>
      <c r="G26" s="12" t="n"/>
      <c r="H26" s="12" t="n"/>
      <c r="I26" s="12" t="n"/>
      <c r="J26" s="12" t="n"/>
      <c r="K26" s="13">
        <f>IF(H26="","",IF(J26="Completed",DATEDIF(H26,I26,"d"),DATEDIF(H26,TODAY(),"d")))</f>
        <v/>
      </c>
      <c r="L26" s="13">
        <f>IF(OR(J26="Completed",J26="",I26=""),"",IF(I26&lt;TODAY(),"Yes","No"))</f>
        <v/>
      </c>
      <c r="M26" s="12" t="n"/>
      <c r="N26" s="12" t="n"/>
    </row>
    <row r="27">
      <c r="A27" s="11" t="inlineStr">
        <is>
          <t>GAP-023</t>
        </is>
      </c>
      <c r="B27" s="12" t="n"/>
      <c r="C27" s="12" t="n"/>
      <c r="D27" s="12" t="n"/>
      <c r="E27" s="12" t="n"/>
      <c r="F27" s="12" t="n"/>
      <c r="G27" s="12" t="n"/>
      <c r="H27" s="12" t="n"/>
      <c r="I27" s="12" t="n"/>
      <c r="J27" s="12" t="n"/>
      <c r="K27" s="13">
        <f>IF(H27="","",IF(J27="Completed",DATEDIF(H27,I27,"d"),DATEDIF(H27,TODAY(),"d")))</f>
        <v/>
      </c>
      <c r="L27" s="13">
        <f>IF(OR(J27="Completed",J27="",I27=""),"",IF(I27&lt;TODAY(),"Yes","No"))</f>
        <v/>
      </c>
      <c r="M27" s="12" t="n"/>
      <c r="N27" s="12" t="n"/>
    </row>
    <row r="28">
      <c r="A28" s="11" t="inlineStr">
        <is>
          <t>GAP-024</t>
        </is>
      </c>
      <c r="B28" s="12" t="n"/>
      <c r="C28" s="12" t="n"/>
      <c r="D28" s="12" t="n"/>
      <c r="E28" s="12" t="n"/>
      <c r="F28" s="12" t="n"/>
      <c r="G28" s="12" t="n"/>
      <c r="H28" s="12" t="n"/>
      <c r="I28" s="12" t="n"/>
      <c r="J28" s="12" t="n"/>
      <c r="K28" s="13">
        <f>IF(H28="","",IF(J28="Completed",DATEDIF(H28,I28,"d"),DATEDIF(H28,TODAY(),"d")))</f>
        <v/>
      </c>
      <c r="L28" s="13">
        <f>IF(OR(J28="Completed",J28="",I28=""),"",IF(I28&lt;TODAY(),"Yes","No"))</f>
        <v/>
      </c>
      <c r="M28" s="12" t="n"/>
      <c r="N28" s="12" t="n"/>
    </row>
    <row r="29">
      <c r="A29" s="11" t="inlineStr">
        <is>
          <t>GAP-025</t>
        </is>
      </c>
      <c r="B29" s="12" t="n"/>
      <c r="C29" s="12" t="n"/>
      <c r="D29" s="12" t="n"/>
      <c r="E29" s="12" t="n"/>
      <c r="F29" s="12" t="n"/>
      <c r="G29" s="12" t="n"/>
      <c r="H29" s="12" t="n"/>
      <c r="I29" s="12" t="n"/>
      <c r="J29" s="12" t="n"/>
      <c r="K29" s="13">
        <f>IF(H29="","",IF(J29="Completed",DATEDIF(H29,I29,"d"),DATEDIF(H29,TODAY(),"d")))</f>
        <v/>
      </c>
      <c r="L29" s="13">
        <f>IF(OR(J29="Completed",J29="",I29=""),"",IF(I29&lt;TODAY(),"Yes","No"))</f>
        <v/>
      </c>
      <c r="M29" s="12" t="n"/>
      <c r="N29" s="12" t="n"/>
    </row>
    <row r="30">
      <c r="A30" s="11" t="inlineStr">
        <is>
          <t>GAP-026</t>
        </is>
      </c>
      <c r="B30" s="12" t="n"/>
      <c r="C30" s="12" t="n"/>
      <c r="D30" s="12" t="n"/>
      <c r="E30" s="12" t="n"/>
      <c r="F30" s="12" t="n"/>
      <c r="G30" s="12" t="n"/>
      <c r="H30" s="12" t="n"/>
      <c r="I30" s="12" t="n"/>
      <c r="J30" s="12" t="n"/>
      <c r="K30" s="13">
        <f>IF(H30="","",IF(J30="Completed",DATEDIF(H30,I30,"d"),DATEDIF(H30,TODAY(),"d")))</f>
        <v/>
      </c>
      <c r="L30" s="13">
        <f>IF(OR(J30="Completed",J30="",I30=""),"",IF(I30&lt;TODAY(),"Yes","No"))</f>
        <v/>
      </c>
      <c r="M30" s="12" t="n"/>
      <c r="N30" s="12" t="n"/>
    </row>
    <row r="31">
      <c r="A31" s="11" t="inlineStr">
        <is>
          <t>GAP-027</t>
        </is>
      </c>
      <c r="B31" s="12" t="n"/>
      <c r="C31" s="12" t="n"/>
      <c r="D31" s="12" t="n"/>
      <c r="E31" s="12" t="n"/>
      <c r="F31" s="12" t="n"/>
      <c r="G31" s="12" t="n"/>
      <c r="H31" s="12" t="n"/>
      <c r="I31" s="12" t="n"/>
      <c r="J31" s="12" t="n"/>
      <c r="K31" s="13">
        <f>IF(H31="","",IF(J31="Completed",DATEDIF(H31,I31,"d"),DATEDIF(H31,TODAY(),"d")))</f>
        <v/>
      </c>
      <c r="L31" s="13">
        <f>IF(OR(J31="Completed",J31="",I31=""),"",IF(I31&lt;TODAY(),"Yes","No"))</f>
        <v/>
      </c>
      <c r="M31" s="12" t="n"/>
      <c r="N31" s="12" t="n"/>
    </row>
    <row r="32">
      <c r="A32" s="11" t="inlineStr">
        <is>
          <t>GAP-028</t>
        </is>
      </c>
      <c r="B32" s="12" t="n"/>
      <c r="C32" s="12" t="n"/>
      <c r="D32" s="12" t="n"/>
      <c r="E32" s="12" t="n"/>
      <c r="F32" s="12" t="n"/>
      <c r="G32" s="12" t="n"/>
      <c r="H32" s="12" t="n"/>
      <c r="I32" s="12" t="n"/>
      <c r="J32" s="12" t="n"/>
      <c r="K32" s="13">
        <f>IF(H32="","",IF(J32="Completed",DATEDIF(H32,I32,"d"),DATEDIF(H32,TODAY(),"d")))</f>
        <v/>
      </c>
      <c r="L32" s="13">
        <f>IF(OR(J32="Completed",J32="",I32=""),"",IF(I32&lt;TODAY(),"Yes","No"))</f>
        <v/>
      </c>
      <c r="M32" s="12" t="n"/>
      <c r="N32" s="12" t="n"/>
    </row>
    <row r="33">
      <c r="A33" s="11" t="inlineStr">
        <is>
          <t>GAP-029</t>
        </is>
      </c>
      <c r="B33" s="12" t="n"/>
      <c r="C33" s="12" t="n"/>
      <c r="D33" s="12" t="n"/>
      <c r="E33" s="12" t="n"/>
      <c r="F33" s="12" t="n"/>
      <c r="G33" s="12" t="n"/>
      <c r="H33" s="12" t="n"/>
      <c r="I33" s="12" t="n"/>
      <c r="J33" s="12" t="n"/>
      <c r="K33" s="13">
        <f>IF(H33="","",IF(J33="Completed",DATEDIF(H33,I33,"d"),DATEDIF(H33,TODAY(),"d")))</f>
        <v/>
      </c>
      <c r="L33" s="13">
        <f>IF(OR(J33="Completed",J33="",I33=""),"",IF(I33&lt;TODAY(),"Yes","No"))</f>
        <v/>
      </c>
      <c r="M33" s="12" t="n"/>
      <c r="N33" s="12" t="n"/>
    </row>
    <row r="34">
      <c r="A34" s="11" t="inlineStr">
        <is>
          <t>GAP-030</t>
        </is>
      </c>
      <c r="B34" s="12" t="n"/>
      <c r="C34" s="12" t="n"/>
      <c r="D34" s="12" t="n"/>
      <c r="E34" s="12" t="n"/>
      <c r="F34" s="12" t="n"/>
      <c r="G34" s="12" t="n"/>
      <c r="H34" s="12" t="n"/>
      <c r="I34" s="12" t="n"/>
      <c r="J34" s="12" t="n"/>
      <c r="K34" s="13">
        <f>IF(H34="","",IF(J34="Completed",DATEDIF(H34,I34,"d"),DATEDIF(H34,TODAY(),"d")))</f>
        <v/>
      </c>
      <c r="L34" s="13">
        <f>IF(OR(J34="Completed",J34="",I34=""),"",IF(I34&lt;TODAY(),"Yes","No"))</f>
        <v/>
      </c>
      <c r="M34" s="12" t="n"/>
      <c r="N34" s="12" t="n"/>
    </row>
    <row r="35">
      <c r="A35" s="11" t="inlineStr">
        <is>
          <t>GAP-031</t>
        </is>
      </c>
      <c r="B35" s="12" t="n"/>
      <c r="C35" s="12" t="n"/>
      <c r="D35" s="12" t="n"/>
      <c r="E35" s="12" t="n"/>
      <c r="F35" s="12" t="n"/>
      <c r="G35" s="12" t="n"/>
      <c r="H35" s="12" t="n"/>
      <c r="I35" s="12" t="n"/>
      <c r="J35" s="12" t="n"/>
      <c r="K35" s="13">
        <f>IF(H35="","",IF(J35="Completed",DATEDIF(H35,I35,"d"),DATEDIF(H35,TODAY(),"d")))</f>
        <v/>
      </c>
      <c r="L35" s="13">
        <f>IF(OR(J35="Completed",J35="",I35=""),"",IF(I35&lt;TODAY(),"Yes","No"))</f>
        <v/>
      </c>
      <c r="M35" s="12" t="n"/>
      <c r="N35" s="12" t="n"/>
    </row>
    <row r="36">
      <c r="A36" s="11" t="inlineStr">
        <is>
          <t>GAP-032</t>
        </is>
      </c>
      <c r="B36" s="12" t="n"/>
      <c r="C36" s="12" t="n"/>
      <c r="D36" s="12" t="n"/>
      <c r="E36" s="12" t="n"/>
      <c r="F36" s="12" t="n"/>
      <c r="G36" s="12" t="n"/>
      <c r="H36" s="12" t="n"/>
      <c r="I36" s="12" t="n"/>
      <c r="J36" s="12" t="n"/>
      <c r="K36" s="13">
        <f>IF(H36="","",IF(J36="Completed",DATEDIF(H36,I36,"d"),DATEDIF(H36,TODAY(),"d")))</f>
        <v/>
      </c>
      <c r="L36" s="13">
        <f>IF(OR(J36="Completed",J36="",I36=""),"",IF(I36&lt;TODAY(),"Yes","No"))</f>
        <v/>
      </c>
      <c r="M36" s="12" t="n"/>
      <c r="N36" s="12" t="n"/>
    </row>
    <row r="37">
      <c r="A37" s="11" t="inlineStr">
        <is>
          <t>GAP-033</t>
        </is>
      </c>
      <c r="B37" s="12" t="n"/>
      <c r="C37" s="12" t="n"/>
      <c r="D37" s="12" t="n"/>
      <c r="E37" s="12" t="n"/>
      <c r="F37" s="12" t="n"/>
      <c r="G37" s="12" t="n"/>
      <c r="H37" s="12" t="n"/>
      <c r="I37" s="12" t="n"/>
      <c r="J37" s="12" t="n"/>
      <c r="K37" s="13">
        <f>IF(H37="","",IF(J37="Completed",DATEDIF(H37,I37,"d"),DATEDIF(H37,TODAY(),"d")))</f>
        <v/>
      </c>
      <c r="L37" s="13">
        <f>IF(OR(J37="Completed",J37="",I37=""),"",IF(I37&lt;TODAY(),"Yes","No"))</f>
        <v/>
      </c>
      <c r="M37" s="12" t="n"/>
      <c r="N37" s="12" t="n"/>
    </row>
    <row r="38">
      <c r="A38" s="11" t="inlineStr">
        <is>
          <t>GAP-034</t>
        </is>
      </c>
      <c r="B38" s="12" t="n"/>
      <c r="C38" s="12" t="n"/>
      <c r="D38" s="12" t="n"/>
      <c r="E38" s="12" t="n"/>
      <c r="F38" s="12" t="n"/>
      <c r="G38" s="12" t="n"/>
      <c r="H38" s="12" t="n"/>
      <c r="I38" s="12" t="n"/>
      <c r="J38" s="12" t="n"/>
      <c r="K38" s="13">
        <f>IF(H38="","",IF(J38="Completed",DATEDIF(H38,I38,"d"),DATEDIF(H38,TODAY(),"d")))</f>
        <v/>
      </c>
      <c r="L38" s="13">
        <f>IF(OR(J38="Completed",J38="",I38=""),"",IF(I38&lt;TODAY(),"Yes","No"))</f>
        <v/>
      </c>
      <c r="M38" s="12" t="n"/>
      <c r="N38" s="12" t="n"/>
    </row>
    <row r="39">
      <c r="A39" s="11" t="inlineStr">
        <is>
          <t>GAP-035</t>
        </is>
      </c>
      <c r="B39" s="12" t="n"/>
      <c r="C39" s="12" t="n"/>
      <c r="D39" s="12" t="n"/>
      <c r="E39" s="12" t="n"/>
      <c r="F39" s="12" t="n"/>
      <c r="G39" s="12" t="n"/>
      <c r="H39" s="12" t="n"/>
      <c r="I39" s="12" t="n"/>
      <c r="J39" s="12" t="n"/>
      <c r="K39" s="13">
        <f>IF(H39="","",IF(J39="Completed",DATEDIF(H39,I39,"d"),DATEDIF(H39,TODAY(),"d")))</f>
        <v/>
      </c>
      <c r="L39" s="13">
        <f>IF(OR(J39="Completed",J39="",I39=""),"",IF(I39&lt;TODAY(),"Yes","No"))</f>
        <v/>
      </c>
      <c r="M39" s="12" t="n"/>
      <c r="N39" s="12" t="n"/>
    </row>
    <row r="40">
      <c r="A40" s="11" t="inlineStr">
        <is>
          <t>GAP-036</t>
        </is>
      </c>
      <c r="B40" s="12" t="n"/>
      <c r="C40" s="12" t="n"/>
      <c r="D40" s="12" t="n"/>
      <c r="E40" s="12" t="n"/>
      <c r="F40" s="12" t="n"/>
      <c r="G40" s="12" t="n"/>
      <c r="H40" s="12" t="n"/>
      <c r="I40" s="12" t="n"/>
      <c r="J40" s="12" t="n"/>
      <c r="K40" s="13">
        <f>IF(H40="","",IF(J40="Completed",DATEDIF(H40,I40,"d"),DATEDIF(H40,TODAY(),"d")))</f>
        <v/>
      </c>
      <c r="L40" s="13">
        <f>IF(OR(J40="Completed",J40="",I40=""),"",IF(I40&lt;TODAY(),"Yes","No"))</f>
        <v/>
      </c>
      <c r="M40" s="12" t="n"/>
      <c r="N40" s="12" t="n"/>
    </row>
    <row r="41">
      <c r="A41" s="11" t="inlineStr">
        <is>
          <t>GAP-037</t>
        </is>
      </c>
      <c r="B41" s="12" t="n"/>
      <c r="C41" s="12" t="n"/>
      <c r="D41" s="12" t="n"/>
      <c r="E41" s="12" t="n"/>
      <c r="F41" s="12" t="n"/>
      <c r="G41" s="12" t="n"/>
      <c r="H41" s="12" t="n"/>
      <c r="I41" s="12" t="n"/>
      <c r="J41" s="12" t="n"/>
      <c r="K41" s="13">
        <f>IF(H41="","",IF(J41="Completed",DATEDIF(H41,I41,"d"),DATEDIF(H41,TODAY(),"d")))</f>
        <v/>
      </c>
      <c r="L41" s="13">
        <f>IF(OR(J41="Completed",J41="",I41=""),"",IF(I41&lt;TODAY(),"Yes","No"))</f>
        <v/>
      </c>
      <c r="M41" s="12" t="n"/>
      <c r="N41" s="12" t="n"/>
    </row>
    <row r="42">
      <c r="A42" s="11" t="inlineStr">
        <is>
          <t>GAP-038</t>
        </is>
      </c>
      <c r="B42" s="12" t="n"/>
      <c r="C42" s="12" t="n"/>
      <c r="D42" s="12" t="n"/>
      <c r="E42" s="12" t="n"/>
      <c r="F42" s="12" t="n"/>
      <c r="G42" s="12" t="n"/>
      <c r="H42" s="12" t="n"/>
      <c r="I42" s="12" t="n"/>
      <c r="J42" s="12" t="n"/>
      <c r="K42" s="13">
        <f>IF(H42="","",IF(J42="Completed",DATEDIF(H42,I42,"d"),DATEDIF(H42,TODAY(),"d")))</f>
        <v/>
      </c>
      <c r="L42" s="13">
        <f>IF(OR(J42="Completed",J42="",I42=""),"",IF(I42&lt;TODAY(),"Yes","No"))</f>
        <v/>
      </c>
      <c r="M42" s="12" t="n"/>
      <c r="N42" s="12" t="n"/>
    </row>
    <row r="43">
      <c r="A43" s="11" t="inlineStr">
        <is>
          <t>GAP-039</t>
        </is>
      </c>
      <c r="B43" s="12" t="n"/>
      <c r="C43" s="12" t="n"/>
      <c r="D43" s="12" t="n"/>
      <c r="E43" s="12" t="n"/>
      <c r="F43" s="12" t="n"/>
      <c r="G43" s="12" t="n"/>
      <c r="H43" s="12" t="n"/>
      <c r="I43" s="12" t="n"/>
      <c r="J43" s="12" t="n"/>
      <c r="K43" s="13">
        <f>IF(H43="","",IF(J43="Completed",DATEDIF(H43,I43,"d"),DATEDIF(H43,TODAY(),"d")))</f>
        <v/>
      </c>
      <c r="L43" s="13">
        <f>IF(OR(J43="Completed",J43="",I43=""),"",IF(I43&lt;TODAY(),"Yes","No"))</f>
        <v/>
      </c>
      <c r="M43" s="12" t="n"/>
      <c r="N43" s="12" t="n"/>
    </row>
    <row r="44">
      <c r="A44" s="11" t="inlineStr">
        <is>
          <t>GAP-040</t>
        </is>
      </c>
      <c r="B44" s="12" t="n"/>
      <c r="C44" s="12" t="n"/>
      <c r="D44" s="12" t="n"/>
      <c r="E44" s="12" t="n"/>
      <c r="F44" s="12" t="n"/>
      <c r="G44" s="12" t="n"/>
      <c r="H44" s="12" t="n"/>
      <c r="I44" s="12" t="n"/>
      <c r="J44" s="12" t="n"/>
      <c r="K44" s="13">
        <f>IF(H44="","",IF(J44="Completed",DATEDIF(H44,I44,"d"),DATEDIF(H44,TODAY(),"d")))</f>
        <v/>
      </c>
      <c r="L44" s="13">
        <f>IF(OR(J44="Completed",J44="",I44=""),"",IF(I44&lt;TODAY(),"Yes","No"))</f>
        <v/>
      </c>
      <c r="M44" s="12" t="n"/>
      <c r="N44" s="12" t="n"/>
    </row>
    <row r="45">
      <c r="A45" s="11" t="inlineStr">
        <is>
          <t>GAP-041</t>
        </is>
      </c>
      <c r="B45" s="12" t="n"/>
      <c r="C45" s="12" t="n"/>
      <c r="D45" s="12" t="n"/>
      <c r="E45" s="12" t="n"/>
      <c r="F45" s="12" t="n"/>
      <c r="G45" s="12" t="n"/>
      <c r="H45" s="12" t="n"/>
      <c r="I45" s="12" t="n"/>
      <c r="J45" s="12" t="n"/>
      <c r="K45" s="13">
        <f>IF(H45="","",IF(J45="Completed",DATEDIF(H45,I45,"d"),DATEDIF(H45,TODAY(),"d")))</f>
        <v/>
      </c>
      <c r="L45" s="13">
        <f>IF(OR(J45="Completed",J45="",I45=""),"",IF(I45&lt;TODAY(),"Yes","No"))</f>
        <v/>
      </c>
      <c r="M45" s="12" t="n"/>
      <c r="N45" s="12" t="n"/>
    </row>
    <row r="46">
      <c r="A46" s="11" t="inlineStr">
        <is>
          <t>GAP-042</t>
        </is>
      </c>
      <c r="B46" s="12" t="n"/>
      <c r="C46" s="12" t="n"/>
      <c r="D46" s="12" t="n"/>
      <c r="E46" s="12" t="n"/>
      <c r="F46" s="12" t="n"/>
      <c r="G46" s="12" t="n"/>
      <c r="H46" s="12" t="n"/>
      <c r="I46" s="12" t="n"/>
      <c r="J46" s="12" t="n"/>
      <c r="K46" s="13">
        <f>IF(H46="","",IF(J46="Completed",DATEDIF(H46,I46,"d"),DATEDIF(H46,TODAY(),"d")))</f>
        <v/>
      </c>
      <c r="L46" s="13">
        <f>IF(OR(J46="Completed",J46="",I46=""),"",IF(I46&lt;TODAY(),"Yes","No"))</f>
        <v/>
      </c>
      <c r="M46" s="12" t="n"/>
      <c r="N46" s="12" t="n"/>
    </row>
    <row r="47">
      <c r="A47" s="11" t="inlineStr">
        <is>
          <t>GAP-043</t>
        </is>
      </c>
      <c r="B47" s="12" t="n"/>
      <c r="C47" s="12" t="n"/>
      <c r="D47" s="12" t="n"/>
      <c r="E47" s="12" t="n"/>
      <c r="F47" s="12" t="n"/>
      <c r="G47" s="12" t="n"/>
      <c r="H47" s="12" t="n"/>
      <c r="I47" s="12" t="n"/>
      <c r="J47" s="12" t="n"/>
      <c r="K47" s="13">
        <f>IF(H47="","",IF(J47="Completed",DATEDIF(H47,I47,"d"),DATEDIF(H47,TODAY(),"d")))</f>
        <v/>
      </c>
      <c r="L47" s="13">
        <f>IF(OR(J47="Completed",J47="",I47=""),"",IF(I47&lt;TODAY(),"Yes","No"))</f>
        <v/>
      </c>
      <c r="M47" s="12" t="n"/>
      <c r="N47" s="12" t="n"/>
    </row>
    <row r="48">
      <c r="A48" s="11" t="inlineStr">
        <is>
          <t>GAP-044</t>
        </is>
      </c>
      <c r="B48" s="12" t="n"/>
      <c r="C48" s="12" t="n"/>
      <c r="D48" s="12" t="n"/>
      <c r="E48" s="12" t="n"/>
      <c r="F48" s="12" t="n"/>
      <c r="G48" s="12" t="n"/>
      <c r="H48" s="12" t="n"/>
      <c r="I48" s="12" t="n"/>
      <c r="J48" s="12" t="n"/>
      <c r="K48" s="13">
        <f>IF(H48="","",IF(J48="Completed",DATEDIF(H48,I48,"d"),DATEDIF(H48,TODAY(),"d")))</f>
        <v/>
      </c>
      <c r="L48" s="13">
        <f>IF(OR(J48="Completed",J48="",I48=""),"",IF(I48&lt;TODAY(),"Yes","No"))</f>
        <v/>
      </c>
      <c r="M48" s="12" t="n"/>
      <c r="N48" s="12" t="n"/>
    </row>
    <row r="49">
      <c r="A49" s="11" t="inlineStr">
        <is>
          <t>GAP-045</t>
        </is>
      </c>
      <c r="B49" s="12" t="n"/>
      <c r="C49" s="12" t="n"/>
      <c r="D49" s="12" t="n"/>
      <c r="E49" s="12" t="n"/>
      <c r="F49" s="12" t="n"/>
      <c r="G49" s="12" t="n"/>
      <c r="H49" s="12" t="n"/>
      <c r="I49" s="12" t="n"/>
      <c r="J49" s="12" t="n"/>
      <c r="K49" s="13">
        <f>IF(H49="","",IF(J49="Completed",DATEDIF(H49,I49,"d"),DATEDIF(H49,TODAY(),"d")))</f>
        <v/>
      </c>
      <c r="L49" s="13">
        <f>IF(OR(J49="Completed",J49="",I49=""),"",IF(I49&lt;TODAY(),"Yes","No"))</f>
        <v/>
      </c>
      <c r="M49" s="12" t="n"/>
      <c r="N49" s="12" t="n"/>
    </row>
    <row r="50">
      <c r="A50" s="11" t="inlineStr">
        <is>
          <t>GAP-046</t>
        </is>
      </c>
      <c r="B50" s="12" t="n"/>
      <c r="C50" s="12" t="n"/>
      <c r="D50" s="12" t="n"/>
      <c r="E50" s="12" t="n"/>
      <c r="F50" s="12" t="n"/>
      <c r="G50" s="12" t="n"/>
      <c r="H50" s="12" t="n"/>
      <c r="I50" s="12" t="n"/>
      <c r="J50" s="12" t="n"/>
      <c r="K50" s="13">
        <f>IF(H50="","",IF(J50="Completed",DATEDIF(H50,I50,"d"),DATEDIF(H50,TODAY(),"d")))</f>
        <v/>
      </c>
      <c r="L50" s="13">
        <f>IF(OR(J50="Completed",J50="",I50=""),"",IF(I50&lt;TODAY(),"Yes","No"))</f>
        <v/>
      </c>
      <c r="M50" s="12" t="n"/>
      <c r="N50" s="12" t="n"/>
    </row>
    <row r="51">
      <c r="A51" s="11" t="inlineStr">
        <is>
          <t>GAP-047</t>
        </is>
      </c>
      <c r="B51" s="12" t="n"/>
      <c r="C51" s="12" t="n"/>
      <c r="D51" s="12" t="n"/>
      <c r="E51" s="12" t="n"/>
      <c r="F51" s="12" t="n"/>
      <c r="G51" s="12" t="n"/>
      <c r="H51" s="12" t="n"/>
      <c r="I51" s="12" t="n"/>
      <c r="J51" s="12" t="n"/>
      <c r="K51" s="13">
        <f>IF(H51="","",IF(J51="Completed",DATEDIF(H51,I51,"d"),DATEDIF(H51,TODAY(),"d")))</f>
        <v/>
      </c>
      <c r="L51" s="13">
        <f>IF(OR(J51="Completed",J51="",I51=""),"",IF(I51&lt;TODAY(),"Yes","No"))</f>
        <v/>
      </c>
      <c r="M51" s="12" t="n"/>
      <c r="N51" s="12" t="n"/>
    </row>
    <row r="52">
      <c r="A52" s="11" t="inlineStr">
        <is>
          <t>GAP-048</t>
        </is>
      </c>
      <c r="B52" s="12" t="n"/>
      <c r="C52" s="12" t="n"/>
      <c r="D52" s="12" t="n"/>
      <c r="E52" s="12" t="n"/>
      <c r="F52" s="12" t="n"/>
      <c r="G52" s="12" t="n"/>
      <c r="H52" s="12" t="n"/>
      <c r="I52" s="12" t="n"/>
      <c r="J52" s="12" t="n"/>
      <c r="K52" s="13">
        <f>IF(H52="","",IF(J52="Completed",DATEDIF(H52,I52,"d"),DATEDIF(H52,TODAY(),"d")))</f>
        <v/>
      </c>
      <c r="L52" s="13">
        <f>IF(OR(J52="Completed",J52="",I52=""),"",IF(I52&lt;TODAY(),"Yes","No"))</f>
        <v/>
      </c>
      <c r="M52" s="12" t="n"/>
      <c r="N52" s="12" t="n"/>
    </row>
    <row r="53">
      <c r="A53" s="11" t="inlineStr">
        <is>
          <t>GAP-049</t>
        </is>
      </c>
      <c r="B53" s="12" t="n"/>
      <c r="C53" s="12" t="n"/>
      <c r="D53" s="12" t="n"/>
      <c r="E53" s="12" t="n"/>
      <c r="F53" s="12" t="n"/>
      <c r="G53" s="12" t="n"/>
      <c r="H53" s="12" t="n"/>
      <c r="I53" s="12" t="n"/>
      <c r="J53" s="12" t="n"/>
      <c r="K53" s="13">
        <f>IF(H53="","",IF(J53="Completed",DATEDIF(H53,I53,"d"),DATEDIF(H53,TODAY(),"d")))</f>
        <v/>
      </c>
      <c r="L53" s="13">
        <f>IF(OR(J53="Completed",J53="",I53=""),"",IF(I53&lt;TODAY(),"Yes","No"))</f>
        <v/>
      </c>
      <c r="M53" s="12" t="n"/>
      <c r="N53" s="12" t="n"/>
    </row>
    <row r="54">
      <c r="A54" s="11" t="inlineStr">
        <is>
          <t>GAP-050</t>
        </is>
      </c>
      <c r="B54" s="12" t="n"/>
      <c r="C54" s="12" t="n"/>
      <c r="D54" s="12" t="n"/>
      <c r="E54" s="12" t="n"/>
      <c r="F54" s="12" t="n"/>
      <c r="G54" s="12" t="n"/>
      <c r="H54" s="12" t="n"/>
      <c r="I54" s="12" t="n"/>
      <c r="J54" s="12" t="n"/>
      <c r="K54" s="13">
        <f>IF(H54="","",IF(J54="Completed",DATEDIF(H54,I54,"d"),DATEDIF(H54,TODAY(),"d")))</f>
        <v/>
      </c>
      <c r="L54" s="13">
        <f>IF(OR(J54="Completed",J54="",I54=""),"",IF(I54&lt;TODAY(),"Yes","No"))</f>
        <v/>
      </c>
      <c r="M54" s="12" t="n"/>
      <c r="N54" s="12" t="n"/>
    </row>
    <row r="55">
      <c r="A55" s="11" t="inlineStr">
        <is>
          <t>GAP-051</t>
        </is>
      </c>
      <c r="B55" s="12" t="n"/>
      <c r="C55" s="12" t="n"/>
      <c r="D55" s="12" t="n"/>
      <c r="E55" s="12" t="n"/>
      <c r="F55" s="12" t="n"/>
      <c r="G55" s="12" t="n"/>
      <c r="H55" s="12" t="n"/>
      <c r="I55" s="12" t="n"/>
      <c r="J55" s="12" t="n"/>
      <c r="K55" s="13">
        <f>IF(H55="","",IF(J55="Completed",DATEDIF(H55,I55,"d"),DATEDIF(H55,TODAY(),"d")))</f>
        <v/>
      </c>
      <c r="L55" s="13">
        <f>IF(OR(J55="Completed",J55="",I55=""),"",IF(I55&lt;TODAY(),"Yes","No"))</f>
        <v/>
      </c>
      <c r="M55" s="12" t="n"/>
      <c r="N55" s="12" t="n"/>
    </row>
    <row r="56">
      <c r="A56" s="11" t="inlineStr">
        <is>
          <t>GAP-052</t>
        </is>
      </c>
      <c r="B56" s="12" t="n"/>
      <c r="C56" s="12" t="n"/>
      <c r="D56" s="12" t="n"/>
      <c r="E56" s="12" t="n"/>
      <c r="F56" s="12" t="n"/>
      <c r="G56" s="12" t="n"/>
      <c r="H56" s="12" t="n"/>
      <c r="I56" s="12" t="n"/>
      <c r="J56" s="12" t="n"/>
      <c r="K56" s="13">
        <f>IF(H56="","",IF(J56="Completed",DATEDIF(H56,I56,"d"),DATEDIF(H56,TODAY(),"d")))</f>
        <v/>
      </c>
      <c r="L56" s="13">
        <f>IF(OR(J56="Completed",J56="",I56=""),"",IF(I56&lt;TODAY(),"Yes","No"))</f>
        <v/>
      </c>
      <c r="M56" s="12" t="n"/>
      <c r="N56" s="12" t="n"/>
    </row>
    <row r="57">
      <c r="A57" s="11" t="inlineStr">
        <is>
          <t>GAP-053</t>
        </is>
      </c>
      <c r="B57" s="12" t="n"/>
      <c r="C57" s="12" t="n"/>
      <c r="D57" s="12" t="n"/>
      <c r="E57" s="12" t="n"/>
      <c r="F57" s="12" t="n"/>
      <c r="G57" s="12" t="n"/>
      <c r="H57" s="12" t="n"/>
      <c r="I57" s="12" t="n"/>
      <c r="J57" s="12" t="n"/>
      <c r="K57" s="13">
        <f>IF(H57="","",IF(J57="Completed",DATEDIF(H57,I57,"d"),DATEDIF(H57,TODAY(),"d")))</f>
        <v/>
      </c>
      <c r="L57" s="13">
        <f>IF(OR(J57="Completed",J57="",I57=""),"",IF(I57&lt;TODAY(),"Yes","No"))</f>
        <v/>
      </c>
      <c r="M57" s="12" t="n"/>
      <c r="N57" s="12" t="n"/>
    </row>
    <row r="58">
      <c r="A58" s="11" t="inlineStr">
        <is>
          <t>GAP-054</t>
        </is>
      </c>
      <c r="B58" s="12" t="n"/>
      <c r="C58" s="12" t="n"/>
      <c r="D58" s="12" t="n"/>
      <c r="E58" s="12" t="n"/>
      <c r="F58" s="12" t="n"/>
      <c r="G58" s="12" t="n"/>
      <c r="H58" s="12" t="n"/>
      <c r="I58" s="12" t="n"/>
      <c r="J58" s="12" t="n"/>
      <c r="K58" s="13">
        <f>IF(H58="","",IF(J58="Completed",DATEDIF(H58,I58,"d"),DATEDIF(H58,TODAY(),"d")))</f>
        <v/>
      </c>
      <c r="L58" s="13">
        <f>IF(OR(J58="Completed",J58="",I58=""),"",IF(I58&lt;TODAY(),"Yes","No"))</f>
        <v/>
      </c>
      <c r="M58" s="12" t="n"/>
      <c r="N58" s="12" t="n"/>
    </row>
    <row r="59">
      <c r="A59" s="11" t="inlineStr">
        <is>
          <t>GAP-055</t>
        </is>
      </c>
      <c r="B59" s="12" t="n"/>
      <c r="C59" s="12" t="n"/>
      <c r="D59" s="12" t="n"/>
      <c r="E59" s="12" t="n"/>
      <c r="F59" s="12" t="n"/>
      <c r="G59" s="12" t="n"/>
      <c r="H59" s="12" t="n"/>
      <c r="I59" s="12" t="n"/>
      <c r="J59" s="12" t="n"/>
      <c r="K59" s="13">
        <f>IF(H59="","",IF(J59="Completed",DATEDIF(H59,I59,"d"),DATEDIF(H59,TODAY(),"d")))</f>
        <v/>
      </c>
      <c r="L59" s="13">
        <f>IF(OR(J59="Completed",J59="",I59=""),"",IF(I59&lt;TODAY(),"Yes","No"))</f>
        <v/>
      </c>
      <c r="M59" s="12" t="n"/>
      <c r="N59" s="12" t="n"/>
    </row>
    <row r="60">
      <c r="A60" s="11" t="inlineStr">
        <is>
          <t>GAP-056</t>
        </is>
      </c>
      <c r="B60" s="12" t="n"/>
      <c r="C60" s="12" t="n"/>
      <c r="D60" s="12" t="n"/>
      <c r="E60" s="12" t="n"/>
      <c r="F60" s="12" t="n"/>
      <c r="G60" s="12" t="n"/>
      <c r="H60" s="12" t="n"/>
      <c r="I60" s="12" t="n"/>
      <c r="J60" s="12" t="n"/>
      <c r="K60" s="13">
        <f>IF(H60="","",IF(J60="Completed",DATEDIF(H60,I60,"d"),DATEDIF(H60,TODAY(),"d")))</f>
        <v/>
      </c>
      <c r="L60" s="13">
        <f>IF(OR(J60="Completed",J60="",I60=""),"",IF(I60&lt;TODAY(),"Yes","No"))</f>
        <v/>
      </c>
      <c r="M60" s="12" t="n"/>
      <c r="N60" s="12" t="n"/>
    </row>
    <row r="61">
      <c r="A61" s="11" t="inlineStr">
        <is>
          <t>GAP-057</t>
        </is>
      </c>
      <c r="B61" s="12" t="n"/>
      <c r="C61" s="12" t="n"/>
      <c r="D61" s="12" t="n"/>
      <c r="E61" s="12" t="n"/>
      <c r="F61" s="12" t="n"/>
      <c r="G61" s="12" t="n"/>
      <c r="H61" s="12" t="n"/>
      <c r="I61" s="12" t="n"/>
      <c r="J61" s="12" t="n"/>
      <c r="K61" s="13">
        <f>IF(H61="","",IF(J61="Completed",DATEDIF(H61,I61,"d"),DATEDIF(H61,TODAY(),"d")))</f>
        <v/>
      </c>
      <c r="L61" s="13">
        <f>IF(OR(J61="Completed",J61="",I61=""),"",IF(I61&lt;TODAY(),"Yes","No"))</f>
        <v/>
      </c>
      <c r="M61" s="12" t="n"/>
      <c r="N61" s="12" t="n"/>
    </row>
    <row r="62">
      <c r="A62" s="11" t="inlineStr">
        <is>
          <t>GAP-058</t>
        </is>
      </c>
      <c r="B62" s="12" t="n"/>
      <c r="C62" s="12" t="n"/>
      <c r="D62" s="12" t="n"/>
      <c r="E62" s="12" t="n"/>
      <c r="F62" s="12" t="n"/>
      <c r="G62" s="12" t="n"/>
      <c r="H62" s="12" t="n"/>
      <c r="I62" s="12" t="n"/>
      <c r="J62" s="12" t="n"/>
      <c r="K62" s="13">
        <f>IF(H62="","",IF(J62="Completed",DATEDIF(H62,I62,"d"),DATEDIF(H62,TODAY(),"d")))</f>
        <v/>
      </c>
      <c r="L62" s="13">
        <f>IF(OR(J62="Completed",J62="",I62=""),"",IF(I62&lt;TODAY(),"Yes","No"))</f>
        <v/>
      </c>
      <c r="M62" s="12" t="n"/>
      <c r="N62" s="12" t="n"/>
    </row>
    <row r="63">
      <c r="A63" s="11" t="inlineStr">
        <is>
          <t>GAP-059</t>
        </is>
      </c>
      <c r="B63" s="12" t="n"/>
      <c r="C63" s="12" t="n"/>
      <c r="D63" s="12" t="n"/>
      <c r="E63" s="12" t="n"/>
      <c r="F63" s="12" t="n"/>
      <c r="G63" s="12" t="n"/>
      <c r="H63" s="12" t="n"/>
      <c r="I63" s="12" t="n"/>
      <c r="J63" s="12" t="n"/>
      <c r="K63" s="13">
        <f>IF(H63="","",IF(J63="Completed",DATEDIF(H63,I63,"d"),DATEDIF(H63,TODAY(),"d")))</f>
        <v/>
      </c>
      <c r="L63" s="13">
        <f>IF(OR(J63="Completed",J63="",I63=""),"",IF(I63&lt;TODAY(),"Yes","No"))</f>
        <v/>
      </c>
      <c r="M63" s="12" t="n"/>
      <c r="N63" s="12" t="n"/>
    </row>
    <row r="64">
      <c r="A64" s="11" t="inlineStr">
        <is>
          <t>GAP-060</t>
        </is>
      </c>
      <c r="B64" s="12" t="n"/>
      <c r="C64" s="12" t="n"/>
      <c r="D64" s="12" t="n"/>
      <c r="E64" s="12" t="n"/>
      <c r="F64" s="12" t="n"/>
      <c r="G64" s="12" t="n"/>
      <c r="H64" s="12" t="n"/>
      <c r="I64" s="12" t="n"/>
      <c r="J64" s="12" t="n"/>
      <c r="K64" s="13">
        <f>IF(H64="","",IF(J64="Completed",DATEDIF(H64,I64,"d"),DATEDIF(H64,TODAY(),"d")))</f>
        <v/>
      </c>
      <c r="L64" s="13">
        <f>IF(OR(J64="Completed",J64="",I64=""),"",IF(I64&lt;TODAY(),"Yes","No"))</f>
        <v/>
      </c>
      <c r="M64" s="12" t="n"/>
      <c r="N64" s="12" t="n"/>
    </row>
    <row r="65">
      <c r="A65" s="11" t="inlineStr">
        <is>
          <t>GAP-061</t>
        </is>
      </c>
      <c r="B65" s="12" t="n"/>
      <c r="C65" s="12" t="n"/>
      <c r="D65" s="12" t="n"/>
      <c r="E65" s="12" t="n"/>
      <c r="F65" s="12" t="n"/>
      <c r="G65" s="12" t="n"/>
      <c r="H65" s="12" t="n"/>
      <c r="I65" s="12" t="n"/>
      <c r="J65" s="12" t="n"/>
      <c r="K65" s="13">
        <f>IF(H65="","",IF(J65="Completed",DATEDIF(H65,I65,"d"),DATEDIF(H65,TODAY(),"d")))</f>
        <v/>
      </c>
      <c r="L65" s="13">
        <f>IF(OR(J65="Completed",J65="",I65=""),"",IF(I65&lt;TODAY(),"Yes","No"))</f>
        <v/>
      </c>
      <c r="M65" s="12" t="n"/>
      <c r="N65" s="12" t="n"/>
    </row>
    <row r="66">
      <c r="A66" s="11" t="inlineStr">
        <is>
          <t>GAP-062</t>
        </is>
      </c>
      <c r="B66" s="12" t="n"/>
      <c r="C66" s="12" t="n"/>
      <c r="D66" s="12" t="n"/>
      <c r="E66" s="12" t="n"/>
      <c r="F66" s="12" t="n"/>
      <c r="G66" s="12" t="n"/>
      <c r="H66" s="12" t="n"/>
      <c r="I66" s="12" t="n"/>
      <c r="J66" s="12" t="n"/>
      <c r="K66" s="13">
        <f>IF(H66="","",IF(J66="Completed",DATEDIF(H66,I66,"d"),DATEDIF(H66,TODAY(),"d")))</f>
        <v/>
      </c>
      <c r="L66" s="13">
        <f>IF(OR(J66="Completed",J66="",I66=""),"",IF(I66&lt;TODAY(),"Yes","No"))</f>
        <v/>
      </c>
      <c r="M66" s="12" t="n"/>
      <c r="N66" s="12" t="n"/>
    </row>
    <row r="67">
      <c r="A67" s="11" t="inlineStr">
        <is>
          <t>GAP-063</t>
        </is>
      </c>
      <c r="B67" s="12" t="n"/>
      <c r="C67" s="12" t="n"/>
      <c r="D67" s="12" t="n"/>
      <c r="E67" s="12" t="n"/>
      <c r="F67" s="12" t="n"/>
      <c r="G67" s="12" t="n"/>
      <c r="H67" s="12" t="n"/>
      <c r="I67" s="12" t="n"/>
      <c r="J67" s="12" t="n"/>
      <c r="K67" s="13">
        <f>IF(H67="","",IF(J67="Completed",DATEDIF(H67,I67,"d"),DATEDIF(H67,TODAY(),"d")))</f>
        <v/>
      </c>
      <c r="L67" s="13">
        <f>IF(OR(J67="Completed",J67="",I67=""),"",IF(I67&lt;TODAY(),"Yes","No"))</f>
        <v/>
      </c>
      <c r="M67" s="12" t="n"/>
      <c r="N67" s="12" t="n"/>
    </row>
    <row r="68">
      <c r="A68" s="11" t="inlineStr">
        <is>
          <t>GAP-064</t>
        </is>
      </c>
      <c r="B68" s="12" t="n"/>
      <c r="C68" s="12" t="n"/>
      <c r="D68" s="12" t="n"/>
      <c r="E68" s="12" t="n"/>
      <c r="F68" s="12" t="n"/>
      <c r="G68" s="12" t="n"/>
      <c r="H68" s="12" t="n"/>
      <c r="I68" s="12" t="n"/>
      <c r="J68" s="12" t="n"/>
      <c r="K68" s="13">
        <f>IF(H68="","",IF(J68="Completed",DATEDIF(H68,I68,"d"),DATEDIF(H68,TODAY(),"d")))</f>
        <v/>
      </c>
      <c r="L68" s="13">
        <f>IF(OR(J68="Completed",J68="",I68=""),"",IF(I68&lt;TODAY(),"Yes","No"))</f>
        <v/>
      </c>
      <c r="M68" s="12" t="n"/>
      <c r="N68" s="12" t="n"/>
    </row>
    <row r="69">
      <c r="A69" s="11" t="inlineStr">
        <is>
          <t>GAP-065</t>
        </is>
      </c>
      <c r="B69" s="12" t="n"/>
      <c r="C69" s="12" t="n"/>
      <c r="D69" s="12" t="n"/>
      <c r="E69" s="12" t="n"/>
      <c r="F69" s="12" t="n"/>
      <c r="G69" s="12" t="n"/>
      <c r="H69" s="12" t="n"/>
      <c r="I69" s="12" t="n"/>
      <c r="J69" s="12" t="n"/>
      <c r="K69" s="13">
        <f>IF(H69="","",IF(J69="Completed",DATEDIF(H69,I69,"d"),DATEDIF(H69,TODAY(),"d")))</f>
        <v/>
      </c>
      <c r="L69" s="13">
        <f>IF(OR(J69="Completed",J69="",I69=""),"",IF(I69&lt;TODAY(),"Yes","No"))</f>
        <v/>
      </c>
      <c r="M69" s="12" t="n"/>
      <c r="N69" s="12" t="n"/>
    </row>
    <row r="70">
      <c r="A70" s="11" t="inlineStr">
        <is>
          <t>GAP-066</t>
        </is>
      </c>
      <c r="B70" s="12" t="n"/>
      <c r="C70" s="12" t="n"/>
      <c r="D70" s="12" t="n"/>
      <c r="E70" s="12" t="n"/>
      <c r="F70" s="12" t="n"/>
      <c r="G70" s="12" t="n"/>
      <c r="H70" s="12" t="n"/>
      <c r="I70" s="12" t="n"/>
      <c r="J70" s="12" t="n"/>
      <c r="K70" s="13">
        <f>IF(H70="","",IF(J70="Completed",DATEDIF(H70,I70,"d"),DATEDIF(H70,TODAY(),"d")))</f>
        <v/>
      </c>
      <c r="L70" s="13">
        <f>IF(OR(J70="Completed",J70="",I70=""),"",IF(I70&lt;TODAY(),"Yes","No"))</f>
        <v/>
      </c>
      <c r="M70" s="12" t="n"/>
      <c r="N70" s="12" t="n"/>
    </row>
    <row r="71">
      <c r="A71" s="11" t="inlineStr">
        <is>
          <t>GAP-067</t>
        </is>
      </c>
      <c r="B71" s="12" t="n"/>
      <c r="C71" s="12" t="n"/>
      <c r="D71" s="12" t="n"/>
      <c r="E71" s="12" t="n"/>
      <c r="F71" s="12" t="n"/>
      <c r="G71" s="12" t="n"/>
      <c r="H71" s="12" t="n"/>
      <c r="I71" s="12" t="n"/>
      <c r="J71" s="12" t="n"/>
      <c r="K71" s="13">
        <f>IF(H71="","",IF(J71="Completed",DATEDIF(H71,I71,"d"),DATEDIF(H71,TODAY(),"d")))</f>
        <v/>
      </c>
      <c r="L71" s="13">
        <f>IF(OR(J71="Completed",J71="",I71=""),"",IF(I71&lt;TODAY(),"Yes","No"))</f>
        <v/>
      </c>
      <c r="M71" s="12" t="n"/>
      <c r="N71" s="12" t="n"/>
    </row>
    <row r="72">
      <c r="A72" s="11" t="inlineStr">
        <is>
          <t>GAP-068</t>
        </is>
      </c>
      <c r="B72" s="12" t="n"/>
      <c r="C72" s="12" t="n"/>
      <c r="D72" s="12" t="n"/>
      <c r="E72" s="12" t="n"/>
      <c r="F72" s="12" t="n"/>
      <c r="G72" s="12" t="n"/>
      <c r="H72" s="12" t="n"/>
      <c r="I72" s="12" t="n"/>
      <c r="J72" s="12" t="n"/>
      <c r="K72" s="13">
        <f>IF(H72="","",IF(J72="Completed",DATEDIF(H72,I72,"d"),DATEDIF(H72,TODAY(),"d")))</f>
        <v/>
      </c>
      <c r="L72" s="13">
        <f>IF(OR(J72="Completed",J72="",I72=""),"",IF(I72&lt;TODAY(),"Yes","No"))</f>
        <v/>
      </c>
      <c r="M72" s="12" t="n"/>
      <c r="N72" s="12" t="n"/>
    </row>
    <row r="73">
      <c r="A73" s="11" t="inlineStr">
        <is>
          <t>GAP-069</t>
        </is>
      </c>
      <c r="B73" s="12" t="n"/>
      <c r="C73" s="12" t="n"/>
      <c r="D73" s="12" t="n"/>
      <c r="E73" s="12" t="n"/>
      <c r="F73" s="12" t="n"/>
      <c r="G73" s="12" t="n"/>
      <c r="H73" s="12" t="n"/>
      <c r="I73" s="12" t="n"/>
      <c r="J73" s="12" t="n"/>
      <c r="K73" s="13">
        <f>IF(H73="","",IF(J73="Completed",DATEDIF(H73,I73,"d"),DATEDIF(H73,TODAY(),"d")))</f>
        <v/>
      </c>
      <c r="L73" s="13">
        <f>IF(OR(J73="Completed",J73="",I73=""),"",IF(I73&lt;TODAY(),"Yes","No"))</f>
        <v/>
      </c>
      <c r="M73" s="12" t="n"/>
      <c r="N73" s="12" t="n"/>
    </row>
    <row r="74">
      <c r="A74" s="11" t="inlineStr">
        <is>
          <t>GAP-070</t>
        </is>
      </c>
      <c r="B74" s="12" t="n"/>
      <c r="C74" s="12" t="n"/>
      <c r="D74" s="12" t="n"/>
      <c r="E74" s="12" t="n"/>
      <c r="F74" s="12" t="n"/>
      <c r="G74" s="12" t="n"/>
      <c r="H74" s="12" t="n"/>
      <c r="I74" s="12" t="n"/>
      <c r="J74" s="12" t="n"/>
      <c r="K74" s="13">
        <f>IF(H74="","",IF(J74="Completed",DATEDIF(H74,I74,"d"),DATEDIF(H74,TODAY(),"d")))</f>
        <v/>
      </c>
      <c r="L74" s="13">
        <f>IF(OR(J74="Completed",J74="",I74=""),"",IF(I74&lt;TODAY(),"Yes","No"))</f>
        <v/>
      </c>
      <c r="M74" s="12" t="n"/>
      <c r="N74" s="12" t="n"/>
    </row>
    <row r="75">
      <c r="A75" s="11" t="inlineStr">
        <is>
          <t>GAP-071</t>
        </is>
      </c>
      <c r="B75" s="12" t="n"/>
      <c r="C75" s="12" t="n"/>
      <c r="D75" s="12" t="n"/>
      <c r="E75" s="12" t="n"/>
      <c r="F75" s="12" t="n"/>
      <c r="G75" s="12" t="n"/>
      <c r="H75" s="12" t="n"/>
      <c r="I75" s="12" t="n"/>
      <c r="J75" s="12" t="n"/>
      <c r="K75" s="13">
        <f>IF(H75="","",IF(J75="Completed",DATEDIF(H75,I75,"d"),DATEDIF(H75,TODAY(),"d")))</f>
        <v/>
      </c>
      <c r="L75" s="13">
        <f>IF(OR(J75="Completed",J75="",I75=""),"",IF(I75&lt;TODAY(),"Yes","No"))</f>
        <v/>
      </c>
      <c r="M75" s="12" t="n"/>
      <c r="N75" s="12" t="n"/>
    </row>
    <row r="76">
      <c r="A76" s="11" t="inlineStr">
        <is>
          <t>GAP-072</t>
        </is>
      </c>
      <c r="B76" s="12" t="n"/>
      <c r="C76" s="12" t="n"/>
      <c r="D76" s="12" t="n"/>
      <c r="E76" s="12" t="n"/>
      <c r="F76" s="12" t="n"/>
      <c r="G76" s="12" t="n"/>
      <c r="H76" s="12" t="n"/>
      <c r="I76" s="12" t="n"/>
      <c r="J76" s="12" t="n"/>
      <c r="K76" s="13">
        <f>IF(H76="","",IF(J76="Completed",DATEDIF(H76,I76,"d"),DATEDIF(H76,TODAY(),"d")))</f>
        <v/>
      </c>
      <c r="L76" s="13">
        <f>IF(OR(J76="Completed",J76="",I76=""),"",IF(I76&lt;TODAY(),"Yes","No"))</f>
        <v/>
      </c>
      <c r="M76" s="12" t="n"/>
      <c r="N76" s="12" t="n"/>
    </row>
    <row r="77">
      <c r="A77" s="11" t="inlineStr">
        <is>
          <t>GAP-073</t>
        </is>
      </c>
      <c r="B77" s="12" t="n"/>
      <c r="C77" s="12" t="n"/>
      <c r="D77" s="12" t="n"/>
      <c r="E77" s="12" t="n"/>
      <c r="F77" s="12" t="n"/>
      <c r="G77" s="12" t="n"/>
      <c r="H77" s="12" t="n"/>
      <c r="I77" s="12" t="n"/>
      <c r="J77" s="12" t="n"/>
      <c r="K77" s="13">
        <f>IF(H77="","",IF(J77="Completed",DATEDIF(H77,I77,"d"),DATEDIF(H77,TODAY(),"d")))</f>
        <v/>
      </c>
      <c r="L77" s="13">
        <f>IF(OR(J77="Completed",J77="",I77=""),"",IF(I77&lt;TODAY(),"Yes","No"))</f>
        <v/>
      </c>
      <c r="M77" s="12" t="n"/>
      <c r="N77" s="12" t="n"/>
    </row>
    <row r="78">
      <c r="A78" s="11" t="inlineStr">
        <is>
          <t>GAP-074</t>
        </is>
      </c>
      <c r="B78" s="12" t="n"/>
      <c r="C78" s="12" t="n"/>
      <c r="D78" s="12" t="n"/>
      <c r="E78" s="12" t="n"/>
      <c r="F78" s="12" t="n"/>
      <c r="G78" s="12" t="n"/>
      <c r="H78" s="12" t="n"/>
      <c r="I78" s="12" t="n"/>
      <c r="J78" s="12" t="n"/>
      <c r="K78" s="13">
        <f>IF(H78="","",IF(J78="Completed",DATEDIF(H78,I78,"d"),DATEDIF(H78,TODAY(),"d")))</f>
        <v/>
      </c>
      <c r="L78" s="13">
        <f>IF(OR(J78="Completed",J78="",I78=""),"",IF(I78&lt;TODAY(),"Yes","No"))</f>
        <v/>
      </c>
      <c r="M78" s="12" t="n"/>
      <c r="N78" s="12" t="n"/>
    </row>
    <row r="79">
      <c r="A79" s="11" t="inlineStr">
        <is>
          <t>GAP-075</t>
        </is>
      </c>
      <c r="B79" s="12" t="n"/>
      <c r="C79" s="12" t="n"/>
      <c r="D79" s="12" t="n"/>
      <c r="E79" s="12" t="n"/>
      <c r="F79" s="12" t="n"/>
      <c r="G79" s="12" t="n"/>
      <c r="H79" s="12" t="n"/>
      <c r="I79" s="12" t="n"/>
      <c r="J79" s="12" t="n"/>
      <c r="K79" s="13">
        <f>IF(H79="","",IF(J79="Completed",DATEDIF(H79,I79,"d"),DATEDIF(H79,TODAY(),"d")))</f>
        <v/>
      </c>
      <c r="L79" s="13">
        <f>IF(OR(J79="Completed",J79="",I79=""),"",IF(I79&lt;TODAY(),"Yes","No"))</f>
        <v/>
      </c>
      <c r="M79" s="12" t="n"/>
      <c r="N79" s="12" t="n"/>
    </row>
    <row r="80">
      <c r="A80" s="11" t="inlineStr">
        <is>
          <t>GAP-076</t>
        </is>
      </c>
      <c r="B80" s="12" t="n"/>
      <c r="C80" s="12" t="n"/>
      <c r="D80" s="12" t="n"/>
      <c r="E80" s="12" t="n"/>
      <c r="F80" s="12" t="n"/>
      <c r="G80" s="12" t="n"/>
      <c r="H80" s="12" t="n"/>
      <c r="I80" s="12" t="n"/>
      <c r="J80" s="12" t="n"/>
      <c r="K80" s="13">
        <f>IF(H80="","",IF(J80="Completed",DATEDIF(H80,I80,"d"),DATEDIF(H80,TODAY(),"d")))</f>
        <v/>
      </c>
      <c r="L80" s="13">
        <f>IF(OR(J80="Completed",J80="",I80=""),"",IF(I80&lt;TODAY(),"Yes","No"))</f>
        <v/>
      </c>
      <c r="M80" s="12" t="n"/>
      <c r="N80" s="12" t="n"/>
    </row>
    <row r="81">
      <c r="A81" s="11" t="inlineStr">
        <is>
          <t>GAP-077</t>
        </is>
      </c>
      <c r="B81" s="12" t="n"/>
      <c r="C81" s="12" t="n"/>
      <c r="D81" s="12" t="n"/>
      <c r="E81" s="12" t="n"/>
      <c r="F81" s="12" t="n"/>
      <c r="G81" s="12" t="n"/>
      <c r="H81" s="12" t="n"/>
      <c r="I81" s="12" t="n"/>
      <c r="J81" s="12" t="n"/>
      <c r="K81" s="13">
        <f>IF(H81="","",IF(J81="Completed",DATEDIF(H81,I81,"d"),DATEDIF(H81,TODAY(),"d")))</f>
        <v/>
      </c>
      <c r="L81" s="13">
        <f>IF(OR(J81="Completed",J81="",I81=""),"",IF(I81&lt;TODAY(),"Yes","No"))</f>
        <v/>
      </c>
      <c r="M81" s="12" t="n"/>
      <c r="N81" s="12" t="n"/>
    </row>
    <row r="82">
      <c r="A82" s="11" t="inlineStr">
        <is>
          <t>GAP-078</t>
        </is>
      </c>
      <c r="B82" s="12" t="n"/>
      <c r="C82" s="12" t="n"/>
      <c r="D82" s="12" t="n"/>
      <c r="E82" s="12" t="n"/>
      <c r="F82" s="12" t="n"/>
      <c r="G82" s="12" t="n"/>
      <c r="H82" s="12" t="n"/>
      <c r="I82" s="12" t="n"/>
      <c r="J82" s="12" t="n"/>
      <c r="K82" s="13">
        <f>IF(H82="","",IF(J82="Completed",DATEDIF(H82,I82,"d"),DATEDIF(H82,TODAY(),"d")))</f>
        <v/>
      </c>
      <c r="L82" s="13">
        <f>IF(OR(J82="Completed",J82="",I82=""),"",IF(I82&lt;TODAY(),"Yes","No"))</f>
        <v/>
      </c>
      <c r="M82" s="12" t="n"/>
      <c r="N82" s="12" t="n"/>
    </row>
    <row r="83">
      <c r="A83" s="11" t="inlineStr">
        <is>
          <t>GAP-079</t>
        </is>
      </c>
      <c r="B83" s="12" t="n"/>
      <c r="C83" s="12" t="n"/>
      <c r="D83" s="12" t="n"/>
      <c r="E83" s="12" t="n"/>
      <c r="F83" s="12" t="n"/>
      <c r="G83" s="12" t="n"/>
      <c r="H83" s="12" t="n"/>
      <c r="I83" s="12" t="n"/>
      <c r="J83" s="12" t="n"/>
      <c r="K83" s="13">
        <f>IF(H83="","",IF(J83="Completed",DATEDIF(H83,I83,"d"),DATEDIF(H83,TODAY(),"d")))</f>
        <v/>
      </c>
      <c r="L83" s="13">
        <f>IF(OR(J83="Completed",J83="",I83=""),"",IF(I83&lt;TODAY(),"Yes","No"))</f>
        <v/>
      </c>
      <c r="M83" s="12" t="n"/>
      <c r="N83" s="12" t="n"/>
    </row>
    <row r="84">
      <c r="A84" s="11" t="inlineStr">
        <is>
          <t>GAP-080</t>
        </is>
      </c>
      <c r="B84" s="12" t="n"/>
      <c r="C84" s="12" t="n"/>
      <c r="D84" s="12" t="n"/>
      <c r="E84" s="12" t="n"/>
      <c r="F84" s="12" t="n"/>
      <c r="G84" s="12" t="n"/>
      <c r="H84" s="12" t="n"/>
      <c r="I84" s="12" t="n"/>
      <c r="J84" s="12" t="n"/>
      <c r="K84" s="13">
        <f>IF(H84="","",IF(J84="Completed",DATEDIF(H84,I84,"d"),DATEDIF(H84,TODAY(),"d")))</f>
        <v/>
      </c>
      <c r="L84" s="13">
        <f>IF(OR(J84="Completed",J84="",I84=""),"",IF(I84&lt;TODAY(),"Yes","No"))</f>
        <v/>
      </c>
      <c r="M84" s="12" t="n"/>
      <c r="N84" s="12" t="n"/>
    </row>
    <row r="85">
      <c r="A85" s="11" t="inlineStr">
        <is>
          <t>GAP-081</t>
        </is>
      </c>
      <c r="B85" s="12" t="n"/>
      <c r="C85" s="12" t="n"/>
      <c r="D85" s="12" t="n"/>
      <c r="E85" s="12" t="n"/>
      <c r="F85" s="12" t="n"/>
      <c r="G85" s="12" t="n"/>
      <c r="H85" s="12" t="n"/>
      <c r="I85" s="12" t="n"/>
      <c r="J85" s="12" t="n"/>
      <c r="K85" s="13">
        <f>IF(H85="","",IF(J85="Completed",DATEDIF(H85,I85,"d"),DATEDIF(H85,TODAY(),"d")))</f>
        <v/>
      </c>
      <c r="L85" s="13">
        <f>IF(OR(J85="Completed",J85="",I85=""),"",IF(I85&lt;TODAY(),"Yes","No"))</f>
        <v/>
      </c>
      <c r="M85" s="12" t="n"/>
      <c r="N85" s="12" t="n"/>
    </row>
    <row r="86">
      <c r="A86" s="11" t="inlineStr">
        <is>
          <t>GAP-082</t>
        </is>
      </c>
      <c r="B86" s="12" t="n"/>
      <c r="C86" s="12" t="n"/>
      <c r="D86" s="12" t="n"/>
      <c r="E86" s="12" t="n"/>
      <c r="F86" s="12" t="n"/>
      <c r="G86" s="12" t="n"/>
      <c r="H86" s="12" t="n"/>
      <c r="I86" s="12" t="n"/>
      <c r="J86" s="12" t="n"/>
      <c r="K86" s="13">
        <f>IF(H86="","",IF(J86="Completed",DATEDIF(H86,I86,"d"),DATEDIF(H86,TODAY(),"d")))</f>
        <v/>
      </c>
      <c r="L86" s="13">
        <f>IF(OR(J86="Completed",J86="",I86=""),"",IF(I86&lt;TODAY(),"Yes","No"))</f>
        <v/>
      </c>
      <c r="M86" s="12" t="n"/>
      <c r="N86" s="12" t="n"/>
    </row>
    <row r="87">
      <c r="A87" s="11" t="inlineStr">
        <is>
          <t>GAP-083</t>
        </is>
      </c>
      <c r="B87" s="12" t="n"/>
      <c r="C87" s="12" t="n"/>
      <c r="D87" s="12" t="n"/>
      <c r="E87" s="12" t="n"/>
      <c r="F87" s="12" t="n"/>
      <c r="G87" s="12" t="n"/>
      <c r="H87" s="12" t="n"/>
      <c r="I87" s="12" t="n"/>
      <c r="J87" s="12" t="n"/>
      <c r="K87" s="13">
        <f>IF(H87="","",IF(J87="Completed",DATEDIF(H87,I87,"d"),DATEDIF(H87,TODAY(),"d")))</f>
        <v/>
      </c>
      <c r="L87" s="13">
        <f>IF(OR(J87="Completed",J87="",I87=""),"",IF(I87&lt;TODAY(),"Yes","No"))</f>
        <v/>
      </c>
      <c r="M87" s="12" t="n"/>
      <c r="N87" s="12" t="n"/>
    </row>
    <row r="88">
      <c r="A88" s="11" t="inlineStr">
        <is>
          <t>GAP-084</t>
        </is>
      </c>
      <c r="B88" s="12" t="n"/>
      <c r="C88" s="12" t="n"/>
      <c r="D88" s="12" t="n"/>
      <c r="E88" s="12" t="n"/>
      <c r="F88" s="12" t="n"/>
      <c r="G88" s="12" t="n"/>
      <c r="H88" s="12" t="n"/>
      <c r="I88" s="12" t="n"/>
      <c r="J88" s="12" t="n"/>
      <c r="K88" s="13">
        <f>IF(H88="","",IF(J88="Completed",DATEDIF(H88,I88,"d"),DATEDIF(H88,TODAY(),"d")))</f>
        <v/>
      </c>
      <c r="L88" s="13">
        <f>IF(OR(J88="Completed",J88="",I88=""),"",IF(I88&lt;TODAY(),"Yes","No"))</f>
        <v/>
      </c>
      <c r="M88" s="12" t="n"/>
      <c r="N88" s="12" t="n"/>
    </row>
    <row r="89">
      <c r="A89" s="11" t="inlineStr">
        <is>
          <t>GAP-085</t>
        </is>
      </c>
      <c r="B89" s="12" t="n"/>
      <c r="C89" s="12" t="n"/>
      <c r="D89" s="12" t="n"/>
      <c r="E89" s="12" t="n"/>
      <c r="F89" s="12" t="n"/>
      <c r="G89" s="12" t="n"/>
      <c r="H89" s="12" t="n"/>
      <c r="I89" s="12" t="n"/>
      <c r="J89" s="12" t="n"/>
      <c r="K89" s="13">
        <f>IF(H89="","",IF(J89="Completed",DATEDIF(H89,I89,"d"),DATEDIF(H89,TODAY(),"d")))</f>
        <v/>
      </c>
      <c r="L89" s="13">
        <f>IF(OR(J89="Completed",J89="",I89=""),"",IF(I89&lt;TODAY(),"Yes","No"))</f>
        <v/>
      </c>
      <c r="M89" s="12" t="n"/>
      <c r="N89" s="12" t="n"/>
    </row>
    <row r="90">
      <c r="A90" s="11" t="inlineStr">
        <is>
          <t>GAP-086</t>
        </is>
      </c>
      <c r="B90" s="12" t="n"/>
      <c r="C90" s="12" t="n"/>
      <c r="D90" s="12" t="n"/>
      <c r="E90" s="12" t="n"/>
      <c r="F90" s="12" t="n"/>
      <c r="G90" s="12" t="n"/>
      <c r="H90" s="12" t="n"/>
      <c r="I90" s="12" t="n"/>
      <c r="J90" s="12" t="n"/>
      <c r="K90" s="13">
        <f>IF(H90="","",IF(J90="Completed",DATEDIF(H90,I90,"d"),DATEDIF(H90,TODAY(),"d")))</f>
        <v/>
      </c>
      <c r="L90" s="13">
        <f>IF(OR(J90="Completed",J90="",I90=""),"",IF(I90&lt;TODAY(),"Yes","No"))</f>
        <v/>
      </c>
      <c r="M90" s="12" t="n"/>
      <c r="N90" s="12" t="n"/>
    </row>
    <row r="91">
      <c r="A91" s="11" t="inlineStr">
        <is>
          <t>GAP-087</t>
        </is>
      </c>
      <c r="B91" s="12" t="n"/>
      <c r="C91" s="12" t="n"/>
      <c r="D91" s="12" t="n"/>
      <c r="E91" s="12" t="n"/>
      <c r="F91" s="12" t="n"/>
      <c r="G91" s="12" t="n"/>
      <c r="H91" s="12" t="n"/>
      <c r="I91" s="12" t="n"/>
      <c r="J91" s="12" t="n"/>
      <c r="K91" s="13">
        <f>IF(H91="","",IF(J91="Completed",DATEDIF(H91,I91,"d"),DATEDIF(H91,TODAY(),"d")))</f>
        <v/>
      </c>
      <c r="L91" s="13">
        <f>IF(OR(J91="Completed",J91="",I91=""),"",IF(I91&lt;TODAY(),"Yes","No"))</f>
        <v/>
      </c>
      <c r="M91" s="12" t="n"/>
      <c r="N91" s="12" t="n"/>
    </row>
    <row r="92">
      <c r="A92" s="11" t="inlineStr">
        <is>
          <t>GAP-088</t>
        </is>
      </c>
      <c r="B92" s="12" t="n"/>
      <c r="C92" s="12" t="n"/>
      <c r="D92" s="12" t="n"/>
      <c r="E92" s="12" t="n"/>
      <c r="F92" s="12" t="n"/>
      <c r="G92" s="12" t="n"/>
      <c r="H92" s="12" t="n"/>
      <c r="I92" s="12" t="n"/>
      <c r="J92" s="12" t="n"/>
      <c r="K92" s="13">
        <f>IF(H92="","",IF(J92="Completed",DATEDIF(H92,I92,"d"),DATEDIF(H92,TODAY(),"d")))</f>
        <v/>
      </c>
      <c r="L92" s="13">
        <f>IF(OR(J92="Completed",J92="",I92=""),"",IF(I92&lt;TODAY(),"Yes","No"))</f>
        <v/>
      </c>
      <c r="M92" s="12" t="n"/>
      <c r="N92" s="12" t="n"/>
    </row>
    <row r="93">
      <c r="A93" s="11" t="inlineStr">
        <is>
          <t>GAP-089</t>
        </is>
      </c>
      <c r="B93" s="12" t="n"/>
      <c r="C93" s="12" t="n"/>
      <c r="D93" s="12" t="n"/>
      <c r="E93" s="12" t="n"/>
      <c r="F93" s="12" t="n"/>
      <c r="G93" s="12" t="n"/>
      <c r="H93" s="12" t="n"/>
      <c r="I93" s="12" t="n"/>
      <c r="J93" s="12" t="n"/>
      <c r="K93" s="13">
        <f>IF(H93="","",IF(J93="Completed",DATEDIF(H93,I93,"d"),DATEDIF(H93,TODAY(),"d")))</f>
        <v/>
      </c>
      <c r="L93" s="13">
        <f>IF(OR(J93="Completed",J93="",I93=""),"",IF(I93&lt;TODAY(),"Yes","No"))</f>
        <v/>
      </c>
      <c r="M93" s="12" t="n"/>
      <c r="N93" s="12" t="n"/>
    </row>
    <row r="94">
      <c r="A94" s="11" t="inlineStr">
        <is>
          <t>GAP-090</t>
        </is>
      </c>
      <c r="B94" s="12" t="n"/>
      <c r="C94" s="12" t="n"/>
      <c r="D94" s="12" t="n"/>
      <c r="E94" s="12" t="n"/>
      <c r="F94" s="12" t="n"/>
      <c r="G94" s="12" t="n"/>
      <c r="H94" s="12" t="n"/>
      <c r="I94" s="12" t="n"/>
      <c r="J94" s="12" t="n"/>
      <c r="K94" s="13">
        <f>IF(H94="","",IF(J94="Completed",DATEDIF(H94,I94,"d"),DATEDIF(H94,TODAY(),"d")))</f>
        <v/>
      </c>
      <c r="L94" s="13">
        <f>IF(OR(J94="Completed",J94="",I94=""),"",IF(I94&lt;TODAY(),"Yes","No"))</f>
        <v/>
      </c>
      <c r="M94" s="12" t="n"/>
      <c r="N94" s="12" t="n"/>
    </row>
    <row r="95">
      <c r="A95" s="11" t="inlineStr">
        <is>
          <t>GAP-091</t>
        </is>
      </c>
      <c r="B95" s="12" t="n"/>
      <c r="C95" s="12" t="n"/>
      <c r="D95" s="12" t="n"/>
      <c r="E95" s="12" t="n"/>
      <c r="F95" s="12" t="n"/>
      <c r="G95" s="12" t="n"/>
      <c r="H95" s="12" t="n"/>
      <c r="I95" s="12" t="n"/>
      <c r="J95" s="12" t="n"/>
      <c r="K95" s="13">
        <f>IF(H95="","",IF(J95="Completed",DATEDIF(H95,I95,"d"),DATEDIF(H95,TODAY(),"d")))</f>
        <v/>
      </c>
      <c r="L95" s="13">
        <f>IF(OR(J95="Completed",J95="",I95=""),"",IF(I95&lt;TODAY(),"Yes","No"))</f>
        <v/>
      </c>
      <c r="M95" s="12" t="n"/>
      <c r="N95" s="12" t="n"/>
    </row>
    <row r="96">
      <c r="A96" s="11" t="inlineStr">
        <is>
          <t>GAP-092</t>
        </is>
      </c>
      <c r="B96" s="12" t="n"/>
      <c r="C96" s="12" t="n"/>
      <c r="D96" s="12" t="n"/>
      <c r="E96" s="12" t="n"/>
      <c r="F96" s="12" t="n"/>
      <c r="G96" s="12" t="n"/>
      <c r="H96" s="12" t="n"/>
      <c r="I96" s="12" t="n"/>
      <c r="J96" s="12" t="n"/>
      <c r="K96" s="13">
        <f>IF(H96="","",IF(J96="Completed",DATEDIF(H96,I96,"d"),DATEDIF(H96,TODAY(),"d")))</f>
        <v/>
      </c>
      <c r="L96" s="13">
        <f>IF(OR(J96="Completed",J96="",I96=""),"",IF(I96&lt;TODAY(),"Yes","No"))</f>
        <v/>
      </c>
      <c r="M96" s="12" t="n"/>
      <c r="N96" s="12" t="n"/>
    </row>
    <row r="97">
      <c r="A97" s="11" t="inlineStr">
        <is>
          <t>GAP-093</t>
        </is>
      </c>
      <c r="B97" s="12" t="n"/>
      <c r="C97" s="12" t="n"/>
      <c r="D97" s="12" t="n"/>
      <c r="E97" s="12" t="n"/>
      <c r="F97" s="12" t="n"/>
      <c r="G97" s="12" t="n"/>
      <c r="H97" s="12" t="n"/>
      <c r="I97" s="12" t="n"/>
      <c r="J97" s="12" t="n"/>
      <c r="K97" s="13">
        <f>IF(H97="","",IF(J97="Completed",DATEDIF(H97,I97,"d"),DATEDIF(H97,TODAY(),"d")))</f>
        <v/>
      </c>
      <c r="L97" s="13">
        <f>IF(OR(J97="Completed",J97="",I97=""),"",IF(I97&lt;TODAY(),"Yes","No"))</f>
        <v/>
      </c>
      <c r="M97" s="12" t="n"/>
      <c r="N97" s="12" t="n"/>
    </row>
    <row r="98">
      <c r="A98" s="11" t="inlineStr">
        <is>
          <t>GAP-094</t>
        </is>
      </c>
      <c r="B98" s="12" t="n"/>
      <c r="C98" s="12" t="n"/>
      <c r="D98" s="12" t="n"/>
      <c r="E98" s="12" t="n"/>
      <c r="F98" s="12" t="n"/>
      <c r="G98" s="12" t="n"/>
      <c r="H98" s="12" t="n"/>
      <c r="I98" s="12" t="n"/>
      <c r="J98" s="12" t="n"/>
      <c r="K98" s="13">
        <f>IF(H98="","",IF(J98="Completed",DATEDIF(H98,I98,"d"),DATEDIF(H98,TODAY(),"d")))</f>
        <v/>
      </c>
      <c r="L98" s="13">
        <f>IF(OR(J98="Completed",J98="",I98=""),"",IF(I98&lt;TODAY(),"Yes","No"))</f>
        <v/>
      </c>
      <c r="M98" s="12" t="n"/>
      <c r="N98" s="12" t="n"/>
    </row>
    <row r="99">
      <c r="A99" s="11" t="inlineStr">
        <is>
          <t>GAP-095</t>
        </is>
      </c>
      <c r="B99" s="12" t="n"/>
      <c r="C99" s="12" t="n"/>
      <c r="D99" s="12" t="n"/>
      <c r="E99" s="12" t="n"/>
      <c r="F99" s="12" t="n"/>
      <c r="G99" s="12" t="n"/>
      <c r="H99" s="12" t="n"/>
      <c r="I99" s="12" t="n"/>
      <c r="J99" s="12" t="n"/>
      <c r="K99" s="13">
        <f>IF(H99="","",IF(J99="Completed",DATEDIF(H99,I99,"d"),DATEDIF(H99,TODAY(),"d")))</f>
        <v/>
      </c>
      <c r="L99" s="13">
        <f>IF(OR(J99="Completed",J99="",I99=""),"",IF(I99&lt;TODAY(),"Yes","No"))</f>
        <v/>
      </c>
      <c r="M99" s="12" t="n"/>
      <c r="N99" s="12" t="n"/>
    </row>
    <row r="100">
      <c r="A100" s="11" t="inlineStr">
        <is>
          <t>GAP-096</t>
        </is>
      </c>
      <c r="B100" s="12" t="n"/>
      <c r="C100" s="12" t="n"/>
      <c r="D100" s="12" t="n"/>
      <c r="E100" s="12" t="n"/>
      <c r="F100" s="12" t="n"/>
      <c r="G100" s="12" t="n"/>
      <c r="H100" s="12" t="n"/>
      <c r="I100" s="12" t="n"/>
      <c r="J100" s="12" t="n"/>
      <c r="K100" s="13">
        <f>IF(H100="","",IF(J100="Completed",DATEDIF(H100,I100,"d"),DATEDIF(H100,TODAY(),"d")))</f>
        <v/>
      </c>
      <c r="L100" s="13">
        <f>IF(OR(J100="Completed",J100="",I100=""),"",IF(I100&lt;TODAY(),"Yes","No"))</f>
        <v/>
      </c>
      <c r="M100" s="12" t="n"/>
      <c r="N100" s="12" t="n"/>
    </row>
    <row r="101">
      <c r="A101" s="11" t="inlineStr">
        <is>
          <t>GAP-097</t>
        </is>
      </c>
      <c r="B101" s="12" t="n"/>
      <c r="C101" s="12" t="n"/>
      <c r="D101" s="12" t="n"/>
      <c r="E101" s="12" t="n"/>
      <c r="F101" s="12" t="n"/>
      <c r="G101" s="12" t="n"/>
      <c r="H101" s="12" t="n"/>
      <c r="I101" s="12" t="n"/>
      <c r="J101" s="12" t="n"/>
      <c r="K101" s="13">
        <f>IF(H101="","",IF(J101="Completed",DATEDIF(H101,I101,"d"),DATEDIF(H101,TODAY(),"d")))</f>
        <v/>
      </c>
      <c r="L101" s="13">
        <f>IF(OR(J101="Completed",J101="",I101=""),"",IF(I101&lt;TODAY(),"Yes","No"))</f>
        <v/>
      </c>
      <c r="M101" s="12" t="n"/>
      <c r="N101" s="12" t="n"/>
    </row>
    <row r="102">
      <c r="A102" s="11" t="inlineStr">
        <is>
          <t>GAP-098</t>
        </is>
      </c>
      <c r="B102" s="12" t="n"/>
      <c r="C102" s="12" t="n"/>
      <c r="D102" s="12" t="n"/>
      <c r="E102" s="12" t="n"/>
      <c r="F102" s="12" t="n"/>
      <c r="G102" s="12" t="n"/>
      <c r="H102" s="12" t="n"/>
      <c r="I102" s="12" t="n"/>
      <c r="J102" s="12" t="n"/>
      <c r="K102" s="13">
        <f>IF(H102="","",IF(J102="Completed",DATEDIF(H102,I102,"d"),DATEDIF(H102,TODAY(),"d")))</f>
        <v/>
      </c>
      <c r="L102" s="13">
        <f>IF(OR(J102="Completed",J102="",I102=""),"",IF(I102&lt;TODAY(),"Yes","No"))</f>
        <v/>
      </c>
      <c r="M102" s="12" t="n"/>
      <c r="N102" s="12" t="n"/>
    </row>
    <row r="103">
      <c r="A103" s="11" t="inlineStr">
        <is>
          <t>GAP-099</t>
        </is>
      </c>
      <c r="B103" s="12" t="n"/>
      <c r="C103" s="12" t="n"/>
      <c r="D103" s="12" t="n"/>
      <c r="E103" s="12" t="n"/>
      <c r="F103" s="12" t="n"/>
      <c r="G103" s="12" t="n"/>
      <c r="H103" s="12" t="n"/>
      <c r="I103" s="12" t="n"/>
      <c r="J103" s="12" t="n"/>
      <c r="K103" s="13">
        <f>IF(H103="","",IF(J103="Completed",DATEDIF(H103,I103,"d"),DATEDIF(H103,TODAY(),"d")))</f>
        <v/>
      </c>
      <c r="L103" s="13">
        <f>IF(OR(J103="Completed",J103="",I103=""),"",IF(I103&lt;TODAY(),"Yes","No"))</f>
        <v/>
      </c>
      <c r="M103" s="12" t="n"/>
      <c r="N103" s="12" t="n"/>
    </row>
    <row r="104">
      <c r="A104" s="11" t="inlineStr">
        <is>
          <t>GAP-100</t>
        </is>
      </c>
      <c r="B104" s="12" t="n"/>
      <c r="C104" s="12" t="n"/>
      <c r="D104" s="12" t="n"/>
      <c r="E104" s="12" t="n"/>
      <c r="F104" s="12" t="n"/>
      <c r="G104" s="12" t="n"/>
      <c r="H104" s="12" t="n"/>
      <c r="I104" s="12" t="n"/>
      <c r="J104" s="12" t="n"/>
      <c r="K104" s="13">
        <f>IF(H104="","",IF(J104="Completed",DATEDIF(H104,I104,"d"),DATEDIF(H104,TODAY(),"d")))</f>
        <v/>
      </c>
      <c r="L104" s="13">
        <f>IF(OR(J104="Completed",J104="",I104=""),"",IF(I104&lt;TODAY(),"Yes","No"))</f>
        <v/>
      </c>
      <c r="M104" s="12" t="n"/>
      <c r="N104" s="12" t="n"/>
    </row>
  </sheetData>
  <mergeCells count="2">
    <mergeCell ref="A2:N2"/>
    <mergeCell ref="A1:N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"A.7.8,A.7.9"</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"Critical,High,Medium,Low"</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"Open,In Progress,Completed,Deferred"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8" customWidth="1" min="3" max="3"/>
    <col width="15" customWidth="1" min="4" max="4"/>
    <col width="20" customWidth="1" min="5" max="5"/>
    <col width="18" customWidth="1" min="6" max="6"/>
    <col width="18" customWidth="1" min="7" max="7"/>
    <col width="15" customWidth="1" min="8" max="8"/>
    <col width="18" customWidth="1" min="9" max="9"/>
    <col width="30" customWidth="1" min="10" max="10"/>
    <col width="40" customWidth="1" min="11" max="11"/>
    <col width="40" customWidth="1" min="12" max="12"/>
  </cols>
  <sheetData>
    <row r="1" ht="30" customHeight="1">
      <c r="A1" s="1" t="inlineStr">
        <is>
          <t>EQUIPMENT SECURITY INCIDENT TRACKER</t>
        </is>
      </c>
    </row>
    <row r="3">
      <c r="A3" s="6" t="inlineStr">
        <is>
          <t>Incident ID</t>
        </is>
      </c>
      <c r="B3" s="6" t="inlineStr">
        <is>
          <t>Date</t>
        </is>
      </c>
      <c r="C3" s="6" t="inlineStr">
        <is>
          <t>Equipment Type</t>
        </is>
      </c>
      <c r="D3" s="6" t="inlineStr">
        <is>
          <t>Incident Type</t>
        </is>
      </c>
      <c r="E3" s="6" t="inlineStr">
        <is>
          <t>Location</t>
        </is>
      </c>
      <c r="F3" s="6" t="inlineStr">
        <is>
          <t>Data Sensitivity</t>
        </is>
      </c>
      <c r="G3" s="6" t="inlineStr">
        <is>
          <t>Remote Wipe</t>
        </is>
      </c>
      <c r="H3" s="6" t="inlineStr">
        <is>
          <t>Hours to Report</t>
        </is>
      </c>
      <c r="I3" s="6" t="inlineStr">
        <is>
          <t>Recovery Status</t>
        </is>
      </c>
      <c r="J3" s="6" t="inlineStr">
        <is>
          <t>Root Cause</t>
        </is>
      </c>
      <c r="K3" s="6" t="inlineStr">
        <is>
          <t>Lesson Learned</t>
        </is>
      </c>
      <c r="L3" s="6" t="inlineStr">
        <is>
          <t>Notes</t>
        </is>
      </c>
    </row>
    <row r="4">
      <c r="A4" s="11" t="inlineStr">
        <is>
          <t>INC-001</t>
        </is>
      </c>
      <c r="B4" s="12" t="n"/>
      <c r="C4" s="12" t="n"/>
      <c r="D4" s="12" t="n"/>
      <c r="E4" s="12" t="n"/>
      <c r="F4" s="12" t="n"/>
      <c r="G4" s="12" t="n"/>
      <c r="H4" s="12" t="n"/>
      <c r="I4" s="12" t="n"/>
      <c r="J4" s="12" t="n"/>
      <c r="K4" s="12" t="n"/>
      <c r="L4" s="12" t="n"/>
    </row>
    <row r="5">
      <c r="A5" s="11" t="inlineStr">
        <is>
          <t>INC-002</t>
        </is>
      </c>
      <c r="B5" s="12" t="n"/>
      <c r="C5" s="12" t="n"/>
      <c r="D5" s="12" t="n"/>
      <c r="E5" s="12" t="n"/>
      <c r="F5" s="12" t="n"/>
      <c r="G5" s="12" t="n"/>
      <c r="H5" s="12" t="n"/>
      <c r="I5" s="12" t="n"/>
      <c r="J5" s="12" t="n"/>
      <c r="K5" s="12" t="n"/>
      <c r="L5" s="12" t="n"/>
    </row>
    <row r="6">
      <c r="A6" s="11" t="inlineStr">
        <is>
          <t>INC-003</t>
        </is>
      </c>
      <c r="B6" s="12" t="n"/>
      <c r="C6" s="12" t="n"/>
      <c r="D6" s="12" t="n"/>
      <c r="E6" s="12" t="n"/>
      <c r="F6" s="12" t="n"/>
      <c r="G6" s="12" t="n"/>
      <c r="H6" s="12" t="n"/>
      <c r="I6" s="12" t="n"/>
      <c r="J6" s="12" t="n"/>
      <c r="K6" s="12" t="n"/>
      <c r="L6" s="12" t="n"/>
    </row>
    <row r="7">
      <c r="A7" s="11" t="inlineStr">
        <is>
          <t>INC-004</t>
        </is>
      </c>
      <c r="B7" s="12" t="n"/>
      <c r="C7" s="12" t="n"/>
      <c r="D7" s="12" t="n"/>
      <c r="E7" s="12" t="n"/>
      <c r="F7" s="12" t="n"/>
      <c r="G7" s="12" t="n"/>
      <c r="H7" s="12" t="n"/>
      <c r="I7" s="12" t="n"/>
      <c r="J7" s="12" t="n"/>
      <c r="K7" s="12" t="n"/>
      <c r="L7" s="12" t="n"/>
    </row>
    <row r="8">
      <c r="A8" s="11" t="inlineStr">
        <is>
          <t>INC-005</t>
        </is>
      </c>
      <c r="B8" s="12" t="n"/>
      <c r="C8" s="12" t="n"/>
      <c r="D8" s="12" t="n"/>
      <c r="E8" s="12" t="n"/>
      <c r="F8" s="12" t="n"/>
      <c r="G8" s="12" t="n"/>
      <c r="H8" s="12" t="n"/>
      <c r="I8" s="12" t="n"/>
      <c r="J8" s="12" t="n"/>
      <c r="K8" s="12" t="n"/>
      <c r="L8" s="12" t="n"/>
    </row>
    <row r="9">
      <c r="A9" s="11" t="inlineStr">
        <is>
          <t>INC-006</t>
        </is>
      </c>
      <c r="B9" s="12" t="n"/>
      <c r="C9" s="12" t="n"/>
      <c r="D9" s="12" t="n"/>
      <c r="E9" s="12" t="n"/>
      <c r="F9" s="12" t="n"/>
      <c r="G9" s="12" t="n"/>
      <c r="H9" s="12" t="n"/>
      <c r="I9" s="12" t="n"/>
      <c r="J9" s="12" t="n"/>
      <c r="K9" s="12" t="n"/>
      <c r="L9" s="12" t="n"/>
    </row>
    <row r="10">
      <c r="A10" s="11" t="inlineStr">
        <is>
          <t>INC-007</t>
        </is>
      </c>
      <c r="B10" s="12" t="n"/>
      <c r="C10" s="12" t="n"/>
      <c r="D10" s="12" t="n"/>
      <c r="E10" s="12" t="n"/>
      <c r="F10" s="12" t="n"/>
      <c r="G10" s="12" t="n"/>
      <c r="H10" s="12" t="n"/>
      <c r="I10" s="12" t="n"/>
      <c r="J10" s="12" t="n"/>
      <c r="K10" s="12" t="n"/>
      <c r="L10" s="12" t="n"/>
    </row>
    <row r="11">
      <c r="A11" s="11" t="inlineStr">
        <is>
          <t>INC-008</t>
        </is>
      </c>
      <c r="B11" s="12" t="n"/>
      <c r="C11" s="12" t="n"/>
      <c r="D11" s="12" t="n"/>
      <c r="E11" s="12" t="n"/>
      <c r="F11" s="12" t="n"/>
      <c r="G11" s="12" t="n"/>
      <c r="H11" s="12" t="n"/>
      <c r="I11" s="12" t="n"/>
      <c r="J11" s="12" t="n"/>
      <c r="K11" s="12" t="n"/>
      <c r="L11" s="12" t="n"/>
    </row>
    <row r="12">
      <c r="A12" s="11" t="inlineStr">
        <is>
          <t>INC-009</t>
        </is>
      </c>
      <c r="B12" s="12" t="n"/>
      <c r="C12" s="12" t="n"/>
      <c r="D12" s="12" t="n"/>
      <c r="E12" s="12" t="n"/>
      <c r="F12" s="12" t="n"/>
      <c r="G12" s="12" t="n"/>
      <c r="H12" s="12" t="n"/>
      <c r="I12" s="12" t="n"/>
      <c r="J12" s="12" t="n"/>
      <c r="K12" s="12" t="n"/>
      <c r="L12" s="12" t="n"/>
    </row>
    <row r="13">
      <c r="A13" s="11" t="inlineStr">
        <is>
          <t>INC-010</t>
        </is>
      </c>
      <c r="B13" s="12" t="n"/>
      <c r="C13" s="12" t="n"/>
      <c r="D13" s="12" t="n"/>
      <c r="E13" s="12" t="n"/>
      <c r="F13" s="12" t="n"/>
      <c r="G13" s="12" t="n"/>
      <c r="H13" s="12" t="n"/>
      <c r="I13" s="12" t="n"/>
      <c r="J13" s="12" t="n"/>
      <c r="K13" s="12" t="n"/>
      <c r="L13" s="12" t="n"/>
    </row>
    <row r="14">
      <c r="A14" s="11" t="inlineStr">
        <is>
          <t>INC-011</t>
        </is>
      </c>
      <c r="B14" s="12" t="n"/>
      <c r="C14" s="12" t="n"/>
      <c r="D14" s="12" t="n"/>
      <c r="E14" s="12" t="n"/>
      <c r="F14" s="12" t="n"/>
      <c r="G14" s="12" t="n"/>
      <c r="H14" s="12" t="n"/>
      <c r="I14" s="12" t="n"/>
      <c r="J14" s="12" t="n"/>
      <c r="K14" s="12" t="n"/>
      <c r="L14" s="12" t="n"/>
    </row>
    <row r="15">
      <c r="A15" s="11" t="inlineStr">
        <is>
          <t>INC-012</t>
        </is>
      </c>
      <c r="B15" s="12" t="n"/>
      <c r="C15" s="12" t="n"/>
      <c r="D15" s="12" t="n"/>
      <c r="E15" s="12" t="n"/>
      <c r="F15" s="12" t="n"/>
      <c r="G15" s="12" t="n"/>
      <c r="H15" s="12" t="n"/>
      <c r="I15" s="12" t="n"/>
      <c r="J15" s="12" t="n"/>
      <c r="K15" s="12" t="n"/>
      <c r="L15" s="12" t="n"/>
    </row>
    <row r="16">
      <c r="A16" s="11" t="inlineStr">
        <is>
          <t>INC-013</t>
        </is>
      </c>
      <c r="B16" s="12" t="n"/>
      <c r="C16" s="12" t="n"/>
      <c r="D16" s="12" t="n"/>
      <c r="E16" s="12" t="n"/>
      <c r="F16" s="12" t="n"/>
      <c r="G16" s="12" t="n"/>
      <c r="H16" s="12" t="n"/>
      <c r="I16" s="12" t="n"/>
      <c r="J16" s="12" t="n"/>
      <c r="K16" s="12" t="n"/>
      <c r="L16" s="12" t="n"/>
    </row>
    <row r="17">
      <c r="A17" s="11" t="inlineStr">
        <is>
          <t>INC-014</t>
        </is>
      </c>
      <c r="B17" s="12" t="n"/>
      <c r="C17" s="12" t="n"/>
      <c r="D17" s="12" t="n"/>
      <c r="E17" s="12" t="n"/>
      <c r="F17" s="12" t="n"/>
      <c r="G17" s="12" t="n"/>
      <c r="H17" s="12" t="n"/>
      <c r="I17" s="12" t="n"/>
      <c r="J17" s="12" t="n"/>
      <c r="K17" s="12" t="n"/>
      <c r="L17" s="12" t="n"/>
    </row>
    <row r="18">
      <c r="A18" s="11" t="inlineStr">
        <is>
          <t>INC-015</t>
        </is>
      </c>
      <c r="B18" s="12" t="n"/>
      <c r="C18" s="12" t="n"/>
      <c r="D18" s="12" t="n"/>
      <c r="E18" s="12" t="n"/>
      <c r="F18" s="12" t="n"/>
      <c r="G18" s="12" t="n"/>
      <c r="H18" s="12" t="n"/>
      <c r="I18" s="12" t="n"/>
      <c r="J18" s="12" t="n"/>
      <c r="K18" s="12" t="n"/>
      <c r="L18" s="12" t="n"/>
    </row>
    <row r="19">
      <c r="A19" s="11" t="inlineStr">
        <is>
          <t>INC-016</t>
        </is>
      </c>
      <c r="B19" s="12" t="n"/>
      <c r="C19" s="12" t="n"/>
      <c r="D19" s="12" t="n"/>
      <c r="E19" s="12" t="n"/>
      <c r="F19" s="12" t="n"/>
      <c r="G19" s="12" t="n"/>
      <c r="H19" s="12" t="n"/>
      <c r="I19" s="12" t="n"/>
      <c r="J19" s="12" t="n"/>
      <c r="K19" s="12" t="n"/>
      <c r="L19" s="12" t="n"/>
    </row>
    <row r="20">
      <c r="A20" s="11" t="inlineStr">
        <is>
          <t>INC-017</t>
        </is>
      </c>
      <c r="B20" s="12" t="n"/>
      <c r="C20" s="12" t="n"/>
      <c r="D20" s="12" t="n"/>
      <c r="E20" s="12" t="n"/>
      <c r="F20" s="12" t="n"/>
      <c r="G20" s="12" t="n"/>
      <c r="H20" s="12" t="n"/>
      <c r="I20" s="12" t="n"/>
      <c r="J20" s="12" t="n"/>
      <c r="K20" s="12" t="n"/>
      <c r="L20" s="12" t="n"/>
    </row>
    <row r="21">
      <c r="A21" s="11" t="inlineStr">
        <is>
          <t>INC-018</t>
        </is>
      </c>
      <c r="B21" s="12" t="n"/>
      <c r="C21" s="12" t="n"/>
      <c r="D21" s="12" t="n"/>
      <c r="E21" s="12" t="n"/>
      <c r="F21" s="12" t="n"/>
      <c r="G21" s="12" t="n"/>
      <c r="H21" s="12" t="n"/>
      <c r="I21" s="12" t="n"/>
      <c r="J21" s="12" t="n"/>
      <c r="K21" s="12" t="n"/>
      <c r="L21" s="12" t="n"/>
    </row>
    <row r="22">
      <c r="A22" s="11" t="inlineStr">
        <is>
          <t>INC-019</t>
        </is>
      </c>
      <c r="B22" s="12" t="n"/>
      <c r="C22" s="12" t="n"/>
      <c r="D22" s="12" t="n"/>
      <c r="E22" s="12" t="n"/>
      <c r="F22" s="12" t="n"/>
      <c r="G22" s="12" t="n"/>
      <c r="H22" s="12" t="n"/>
      <c r="I22" s="12" t="n"/>
      <c r="J22" s="12" t="n"/>
      <c r="K22" s="12" t="n"/>
      <c r="L22" s="12" t="n"/>
    </row>
    <row r="23">
      <c r="A23" s="11" t="inlineStr">
        <is>
          <t>INC-020</t>
        </is>
      </c>
      <c r="B23" s="12" t="n"/>
      <c r="C23" s="12" t="n"/>
      <c r="D23" s="12" t="n"/>
      <c r="E23" s="12" t="n"/>
      <c r="F23" s="12" t="n"/>
      <c r="G23" s="12" t="n"/>
      <c r="H23" s="12" t="n"/>
      <c r="I23" s="12" t="n"/>
      <c r="J23" s="12" t="n"/>
      <c r="K23" s="12" t="n"/>
      <c r="L23" s="12" t="n"/>
    </row>
    <row r="24">
      <c r="A24" s="11" t="inlineStr">
        <is>
          <t>INC-021</t>
        </is>
      </c>
      <c r="B24" s="12" t="n"/>
      <c r="C24" s="12" t="n"/>
      <c r="D24" s="12" t="n"/>
      <c r="E24" s="12" t="n"/>
      <c r="F24" s="12" t="n"/>
      <c r="G24" s="12" t="n"/>
      <c r="H24" s="12" t="n"/>
      <c r="I24" s="12" t="n"/>
      <c r="J24" s="12" t="n"/>
      <c r="K24" s="12" t="n"/>
      <c r="L24" s="12" t="n"/>
    </row>
    <row r="25">
      <c r="A25" s="11" t="inlineStr">
        <is>
          <t>INC-022</t>
        </is>
      </c>
      <c r="B25" s="12" t="n"/>
      <c r="C25" s="12" t="n"/>
      <c r="D25" s="12" t="n"/>
      <c r="E25" s="12" t="n"/>
      <c r="F25" s="12" t="n"/>
      <c r="G25" s="12" t="n"/>
      <c r="H25" s="12" t="n"/>
      <c r="I25" s="12" t="n"/>
      <c r="J25" s="12" t="n"/>
      <c r="K25" s="12" t="n"/>
      <c r="L25" s="12" t="n"/>
    </row>
    <row r="26">
      <c r="A26" s="11" t="inlineStr">
        <is>
          <t>INC-023</t>
        </is>
      </c>
      <c r="B26" s="12" t="n"/>
      <c r="C26" s="12" t="n"/>
      <c r="D26" s="12" t="n"/>
      <c r="E26" s="12" t="n"/>
      <c r="F26" s="12" t="n"/>
      <c r="G26" s="12" t="n"/>
      <c r="H26" s="12" t="n"/>
      <c r="I26" s="12" t="n"/>
      <c r="J26" s="12" t="n"/>
      <c r="K26" s="12" t="n"/>
      <c r="L26" s="12" t="n"/>
    </row>
    <row r="27">
      <c r="A27" s="11" t="inlineStr">
        <is>
          <t>INC-024</t>
        </is>
      </c>
      <c r="B27" s="12" t="n"/>
      <c r="C27" s="12" t="n"/>
      <c r="D27" s="12" t="n"/>
      <c r="E27" s="12" t="n"/>
      <c r="F27" s="12" t="n"/>
      <c r="G27" s="12" t="n"/>
      <c r="H27" s="12" t="n"/>
      <c r="I27" s="12" t="n"/>
      <c r="J27" s="12" t="n"/>
      <c r="K27" s="12" t="n"/>
      <c r="L27" s="12" t="n"/>
    </row>
    <row r="28">
      <c r="A28" s="11" t="inlineStr">
        <is>
          <t>INC-025</t>
        </is>
      </c>
      <c r="B28" s="12" t="n"/>
      <c r="C28" s="12" t="n"/>
      <c r="D28" s="12" t="n"/>
      <c r="E28" s="12" t="n"/>
      <c r="F28" s="12" t="n"/>
      <c r="G28" s="12" t="n"/>
      <c r="H28" s="12" t="n"/>
      <c r="I28" s="12" t="n"/>
      <c r="J28" s="12" t="n"/>
      <c r="K28" s="12" t="n"/>
      <c r="L28" s="12" t="n"/>
    </row>
    <row r="29">
      <c r="A29" s="11" t="inlineStr">
        <is>
          <t>INC-026</t>
        </is>
      </c>
      <c r="B29" s="12" t="n"/>
      <c r="C29" s="12" t="n"/>
      <c r="D29" s="12" t="n"/>
      <c r="E29" s="12" t="n"/>
      <c r="F29" s="12" t="n"/>
      <c r="G29" s="12" t="n"/>
      <c r="H29" s="12" t="n"/>
      <c r="I29" s="12" t="n"/>
      <c r="J29" s="12" t="n"/>
      <c r="K29" s="12" t="n"/>
      <c r="L29" s="12" t="n"/>
    </row>
    <row r="30">
      <c r="A30" s="11" t="inlineStr">
        <is>
          <t>INC-027</t>
        </is>
      </c>
      <c r="B30" s="12" t="n"/>
      <c r="C30" s="12" t="n"/>
      <c r="D30" s="12" t="n"/>
      <c r="E30" s="12" t="n"/>
      <c r="F30" s="12" t="n"/>
      <c r="G30" s="12" t="n"/>
      <c r="H30" s="12" t="n"/>
      <c r="I30" s="12" t="n"/>
      <c r="J30" s="12" t="n"/>
      <c r="K30" s="12" t="n"/>
      <c r="L30" s="12" t="n"/>
    </row>
    <row r="31">
      <c r="A31" s="11" t="inlineStr">
        <is>
          <t>INC-028</t>
        </is>
      </c>
      <c r="B31" s="12" t="n"/>
      <c r="C31" s="12" t="n"/>
      <c r="D31" s="12" t="n"/>
      <c r="E31" s="12" t="n"/>
      <c r="F31" s="12" t="n"/>
      <c r="G31" s="12" t="n"/>
      <c r="H31" s="12" t="n"/>
      <c r="I31" s="12" t="n"/>
      <c r="J31" s="12" t="n"/>
      <c r="K31" s="12" t="n"/>
      <c r="L31" s="12" t="n"/>
    </row>
    <row r="32">
      <c r="A32" s="11" t="inlineStr">
        <is>
          <t>INC-029</t>
        </is>
      </c>
      <c r="B32" s="12" t="n"/>
      <c r="C32" s="12" t="n"/>
      <c r="D32" s="12" t="n"/>
      <c r="E32" s="12" t="n"/>
      <c r="F32" s="12" t="n"/>
      <c r="G32" s="12" t="n"/>
      <c r="H32" s="12" t="n"/>
      <c r="I32" s="12" t="n"/>
      <c r="J32" s="12" t="n"/>
      <c r="K32" s="12" t="n"/>
      <c r="L32" s="12" t="n"/>
    </row>
    <row r="33">
      <c r="A33" s="11" t="inlineStr">
        <is>
          <t>INC-030</t>
        </is>
      </c>
      <c r="B33" s="12" t="n"/>
      <c r="C33" s="12" t="n"/>
      <c r="D33" s="12" t="n"/>
      <c r="E33" s="12" t="n"/>
      <c r="F33" s="12" t="n"/>
      <c r="G33" s="12" t="n"/>
      <c r="H33" s="12" t="n"/>
      <c r="I33" s="12" t="n"/>
      <c r="J33" s="12" t="n"/>
      <c r="K33" s="12" t="n"/>
      <c r="L33" s="12" t="n"/>
    </row>
    <row r="34">
      <c r="A34" s="11" t="inlineStr">
        <is>
          <t>INC-031</t>
        </is>
      </c>
      <c r="B34" s="12" t="n"/>
      <c r="C34" s="12" t="n"/>
      <c r="D34" s="12" t="n"/>
      <c r="E34" s="12" t="n"/>
      <c r="F34" s="12" t="n"/>
      <c r="G34" s="12" t="n"/>
      <c r="H34" s="12" t="n"/>
      <c r="I34" s="12" t="n"/>
      <c r="J34" s="12" t="n"/>
      <c r="K34" s="12" t="n"/>
      <c r="L34" s="12" t="n"/>
    </row>
    <row r="35">
      <c r="A35" s="11" t="inlineStr">
        <is>
          <t>INC-032</t>
        </is>
      </c>
      <c r="B35" s="12" t="n"/>
      <c r="C35" s="12" t="n"/>
      <c r="D35" s="12" t="n"/>
      <c r="E35" s="12" t="n"/>
      <c r="F35" s="12" t="n"/>
      <c r="G35" s="12" t="n"/>
      <c r="H35" s="12" t="n"/>
      <c r="I35" s="12" t="n"/>
      <c r="J35" s="12" t="n"/>
      <c r="K35" s="12" t="n"/>
      <c r="L35" s="12" t="n"/>
    </row>
    <row r="36">
      <c r="A36" s="11" t="inlineStr">
        <is>
          <t>INC-033</t>
        </is>
      </c>
      <c r="B36" s="12" t="n"/>
      <c r="C36" s="12" t="n"/>
      <c r="D36" s="12" t="n"/>
      <c r="E36" s="12" t="n"/>
      <c r="F36" s="12" t="n"/>
      <c r="G36" s="12" t="n"/>
      <c r="H36" s="12" t="n"/>
      <c r="I36" s="12" t="n"/>
      <c r="J36" s="12" t="n"/>
      <c r="K36" s="12" t="n"/>
      <c r="L36" s="12" t="n"/>
    </row>
    <row r="37">
      <c r="A37" s="11" t="inlineStr">
        <is>
          <t>INC-034</t>
        </is>
      </c>
      <c r="B37" s="12" t="n"/>
      <c r="C37" s="12" t="n"/>
      <c r="D37" s="12" t="n"/>
      <c r="E37" s="12" t="n"/>
      <c r="F37" s="12" t="n"/>
      <c r="G37" s="12" t="n"/>
      <c r="H37" s="12" t="n"/>
      <c r="I37" s="12" t="n"/>
      <c r="J37" s="12" t="n"/>
      <c r="K37" s="12" t="n"/>
      <c r="L37" s="12" t="n"/>
    </row>
    <row r="38">
      <c r="A38" s="11" t="inlineStr">
        <is>
          <t>INC-035</t>
        </is>
      </c>
      <c r="B38" s="12" t="n"/>
      <c r="C38" s="12" t="n"/>
      <c r="D38" s="12" t="n"/>
      <c r="E38" s="12" t="n"/>
      <c r="F38" s="12" t="n"/>
      <c r="G38" s="12" t="n"/>
      <c r="H38" s="12" t="n"/>
      <c r="I38" s="12" t="n"/>
      <c r="J38" s="12" t="n"/>
      <c r="K38" s="12" t="n"/>
      <c r="L38" s="12" t="n"/>
    </row>
    <row r="39">
      <c r="A39" s="11" t="inlineStr">
        <is>
          <t>INC-036</t>
        </is>
      </c>
      <c r="B39" s="12" t="n"/>
      <c r="C39" s="12" t="n"/>
      <c r="D39" s="12" t="n"/>
      <c r="E39" s="12" t="n"/>
      <c r="F39" s="12" t="n"/>
      <c r="G39" s="12" t="n"/>
      <c r="H39" s="12" t="n"/>
      <c r="I39" s="12" t="n"/>
      <c r="J39" s="12" t="n"/>
      <c r="K39" s="12" t="n"/>
      <c r="L39" s="12" t="n"/>
    </row>
    <row r="40">
      <c r="A40" s="11" t="inlineStr">
        <is>
          <t>INC-037</t>
        </is>
      </c>
      <c r="B40" s="12" t="n"/>
      <c r="C40" s="12" t="n"/>
      <c r="D40" s="12" t="n"/>
      <c r="E40" s="12" t="n"/>
      <c r="F40" s="12" t="n"/>
      <c r="G40" s="12" t="n"/>
      <c r="H40" s="12" t="n"/>
      <c r="I40" s="12" t="n"/>
      <c r="J40" s="12" t="n"/>
      <c r="K40" s="12" t="n"/>
      <c r="L40" s="12" t="n"/>
    </row>
    <row r="41">
      <c r="A41" s="11" t="inlineStr">
        <is>
          <t>INC-038</t>
        </is>
      </c>
      <c r="B41" s="12" t="n"/>
      <c r="C41" s="12" t="n"/>
      <c r="D41" s="12" t="n"/>
      <c r="E41" s="12" t="n"/>
      <c r="F41" s="12" t="n"/>
      <c r="G41" s="12" t="n"/>
      <c r="H41" s="12" t="n"/>
      <c r="I41" s="12" t="n"/>
      <c r="J41" s="12" t="n"/>
      <c r="K41" s="12" t="n"/>
      <c r="L41" s="12" t="n"/>
    </row>
    <row r="42">
      <c r="A42" s="11" t="inlineStr">
        <is>
          <t>INC-039</t>
        </is>
      </c>
      <c r="B42" s="12" t="n"/>
      <c r="C42" s="12" t="n"/>
      <c r="D42" s="12" t="n"/>
      <c r="E42" s="12" t="n"/>
      <c r="F42" s="12" t="n"/>
      <c r="G42" s="12" t="n"/>
      <c r="H42" s="12" t="n"/>
      <c r="I42" s="12" t="n"/>
      <c r="J42" s="12" t="n"/>
      <c r="K42" s="12" t="n"/>
      <c r="L42" s="12" t="n"/>
    </row>
    <row r="43">
      <c r="A43" s="11" t="inlineStr">
        <is>
          <t>INC-040</t>
        </is>
      </c>
      <c r="B43" s="12" t="n"/>
      <c r="C43" s="12" t="n"/>
      <c r="D43" s="12" t="n"/>
      <c r="E43" s="12" t="n"/>
      <c r="F43" s="12" t="n"/>
      <c r="G43" s="12" t="n"/>
      <c r="H43" s="12" t="n"/>
      <c r="I43" s="12" t="n"/>
      <c r="J43" s="12" t="n"/>
      <c r="K43" s="12" t="n"/>
      <c r="L43" s="12" t="n"/>
    </row>
    <row r="44">
      <c r="A44" s="11" t="inlineStr">
        <is>
          <t>INC-041</t>
        </is>
      </c>
      <c r="B44" s="12" t="n"/>
      <c r="C44" s="12" t="n"/>
      <c r="D44" s="12" t="n"/>
      <c r="E44" s="12" t="n"/>
      <c r="F44" s="12" t="n"/>
      <c r="G44" s="12" t="n"/>
      <c r="H44" s="12" t="n"/>
      <c r="I44" s="12" t="n"/>
      <c r="J44" s="12" t="n"/>
      <c r="K44" s="12" t="n"/>
      <c r="L44" s="12" t="n"/>
    </row>
    <row r="45">
      <c r="A45" s="11" t="inlineStr">
        <is>
          <t>INC-042</t>
        </is>
      </c>
      <c r="B45" s="12" t="n"/>
      <c r="C45" s="12" t="n"/>
      <c r="D45" s="12" t="n"/>
      <c r="E45" s="12" t="n"/>
      <c r="F45" s="12" t="n"/>
      <c r="G45" s="12" t="n"/>
      <c r="H45" s="12" t="n"/>
      <c r="I45" s="12" t="n"/>
      <c r="J45" s="12" t="n"/>
      <c r="K45" s="12" t="n"/>
      <c r="L45" s="12" t="n"/>
    </row>
    <row r="46">
      <c r="A46" s="11" t="inlineStr">
        <is>
          <t>INC-043</t>
        </is>
      </c>
      <c r="B46" s="12" t="n"/>
      <c r="C46" s="12" t="n"/>
      <c r="D46" s="12" t="n"/>
      <c r="E46" s="12" t="n"/>
      <c r="F46" s="12" t="n"/>
      <c r="G46" s="12" t="n"/>
      <c r="H46" s="12" t="n"/>
      <c r="I46" s="12" t="n"/>
      <c r="J46" s="12" t="n"/>
      <c r="K46" s="12" t="n"/>
      <c r="L46" s="12" t="n"/>
    </row>
    <row r="47">
      <c r="A47" s="11" t="inlineStr">
        <is>
          <t>INC-044</t>
        </is>
      </c>
      <c r="B47" s="12" t="n"/>
      <c r="C47" s="12" t="n"/>
      <c r="D47" s="12" t="n"/>
      <c r="E47" s="12" t="n"/>
      <c r="F47" s="12" t="n"/>
      <c r="G47" s="12" t="n"/>
      <c r="H47" s="12" t="n"/>
      <c r="I47" s="12" t="n"/>
      <c r="J47" s="12" t="n"/>
      <c r="K47" s="12" t="n"/>
      <c r="L47" s="12" t="n"/>
    </row>
    <row r="48">
      <c r="A48" s="11" t="inlineStr">
        <is>
          <t>INC-045</t>
        </is>
      </c>
      <c r="B48" s="12" t="n"/>
      <c r="C48" s="12" t="n"/>
      <c r="D48" s="12" t="n"/>
      <c r="E48" s="12" t="n"/>
      <c r="F48" s="12" t="n"/>
      <c r="G48" s="12" t="n"/>
      <c r="H48" s="12" t="n"/>
      <c r="I48" s="12" t="n"/>
      <c r="J48" s="12" t="n"/>
      <c r="K48" s="12" t="n"/>
      <c r="L48" s="12" t="n"/>
    </row>
    <row r="49">
      <c r="A49" s="11" t="inlineStr">
        <is>
          <t>INC-046</t>
        </is>
      </c>
      <c r="B49" s="12" t="n"/>
      <c r="C49" s="12" t="n"/>
      <c r="D49" s="12" t="n"/>
      <c r="E49" s="12" t="n"/>
      <c r="F49" s="12" t="n"/>
      <c r="G49" s="12" t="n"/>
      <c r="H49" s="12" t="n"/>
      <c r="I49" s="12" t="n"/>
      <c r="J49" s="12" t="n"/>
      <c r="K49" s="12" t="n"/>
      <c r="L49" s="12" t="n"/>
    </row>
    <row r="50">
      <c r="A50" s="11" t="inlineStr">
        <is>
          <t>INC-047</t>
        </is>
      </c>
      <c r="B50" s="12" t="n"/>
      <c r="C50" s="12" t="n"/>
      <c r="D50" s="12" t="n"/>
      <c r="E50" s="12" t="n"/>
      <c r="F50" s="12" t="n"/>
      <c r="G50" s="12" t="n"/>
      <c r="H50" s="12" t="n"/>
      <c r="I50" s="12" t="n"/>
      <c r="J50" s="12" t="n"/>
      <c r="K50" s="12" t="n"/>
      <c r="L50" s="12" t="n"/>
    </row>
    <row r="51">
      <c r="A51" s="11" t="inlineStr">
        <is>
          <t>INC-048</t>
        </is>
      </c>
      <c r="B51" s="12" t="n"/>
      <c r="C51" s="12" t="n"/>
      <c r="D51" s="12" t="n"/>
      <c r="E51" s="12" t="n"/>
      <c r="F51" s="12" t="n"/>
      <c r="G51" s="12" t="n"/>
      <c r="H51" s="12" t="n"/>
      <c r="I51" s="12" t="n"/>
      <c r="J51" s="12" t="n"/>
      <c r="K51" s="12" t="n"/>
      <c r="L51" s="12" t="n"/>
    </row>
    <row r="52">
      <c r="A52" s="11" t="inlineStr">
        <is>
          <t>INC-049</t>
        </is>
      </c>
      <c r="B52" s="12" t="n"/>
      <c r="C52" s="12" t="n"/>
      <c r="D52" s="12" t="n"/>
      <c r="E52" s="12" t="n"/>
      <c r="F52" s="12" t="n"/>
      <c r="G52" s="12" t="n"/>
      <c r="H52" s="12" t="n"/>
      <c r="I52" s="12" t="n"/>
      <c r="J52" s="12" t="n"/>
      <c r="K52" s="12" t="n"/>
      <c r="L52" s="12" t="n"/>
    </row>
    <row r="53">
      <c r="A53" s="11" t="inlineStr">
        <is>
          <t>INC-050</t>
        </is>
      </c>
      <c r="B53" s="12" t="n"/>
      <c r="C53" s="12" t="n"/>
      <c r="D53" s="12" t="n"/>
      <c r="E53" s="12" t="n"/>
      <c r="F53" s="12" t="n"/>
      <c r="G53" s="12" t="n"/>
      <c r="H53" s="12" t="n"/>
      <c r="I53" s="12" t="n"/>
      <c r="J53" s="12" t="n"/>
      <c r="K53" s="12" t="n"/>
      <c r="L53" s="12" t="n"/>
    </row>
    <row r="54">
      <c r="A54" s="11" t="inlineStr">
        <is>
          <t>INC-051</t>
        </is>
      </c>
      <c r="B54" s="12" t="n"/>
      <c r="C54" s="12" t="n"/>
      <c r="D54" s="12" t="n"/>
      <c r="E54" s="12" t="n"/>
      <c r="F54" s="12" t="n"/>
      <c r="G54" s="12" t="n"/>
      <c r="H54" s="12" t="n"/>
      <c r="I54" s="12" t="n"/>
      <c r="J54" s="12" t="n"/>
      <c r="K54" s="12" t="n"/>
      <c r="L54" s="12" t="n"/>
    </row>
    <row r="55">
      <c r="A55" s="11" t="inlineStr">
        <is>
          <t>INC-052</t>
        </is>
      </c>
      <c r="B55" s="12" t="n"/>
      <c r="C55" s="12" t="n"/>
      <c r="D55" s="12" t="n"/>
      <c r="E55" s="12" t="n"/>
      <c r="F55" s="12" t="n"/>
      <c r="G55" s="12" t="n"/>
      <c r="H55" s="12" t="n"/>
      <c r="I55" s="12" t="n"/>
      <c r="J55" s="12" t="n"/>
      <c r="K55" s="12" t="n"/>
      <c r="L55" s="12" t="n"/>
    </row>
    <row r="56">
      <c r="A56" s="11" t="inlineStr">
        <is>
          <t>INC-053</t>
        </is>
      </c>
      <c r="B56" s="12" t="n"/>
      <c r="C56" s="12" t="n"/>
      <c r="D56" s="12" t="n"/>
      <c r="E56" s="12" t="n"/>
      <c r="F56" s="12" t="n"/>
      <c r="G56" s="12" t="n"/>
      <c r="H56" s="12" t="n"/>
      <c r="I56" s="12" t="n"/>
      <c r="J56" s="12" t="n"/>
      <c r="K56" s="12" t="n"/>
      <c r="L56" s="12" t="n"/>
    </row>
    <row r="57">
      <c r="A57" s="11" t="inlineStr">
        <is>
          <t>INC-054</t>
        </is>
      </c>
      <c r="B57" s="12" t="n"/>
      <c r="C57" s="12" t="n"/>
      <c r="D57" s="12" t="n"/>
      <c r="E57" s="12" t="n"/>
      <c r="F57" s="12" t="n"/>
      <c r="G57" s="12" t="n"/>
      <c r="H57" s="12" t="n"/>
      <c r="I57" s="12" t="n"/>
      <c r="J57" s="12" t="n"/>
      <c r="K57" s="12" t="n"/>
      <c r="L57" s="12" t="n"/>
    </row>
    <row r="58">
      <c r="A58" s="11" t="inlineStr">
        <is>
          <t>INC-055</t>
        </is>
      </c>
      <c r="B58" s="12" t="n"/>
      <c r="C58" s="12" t="n"/>
      <c r="D58" s="12" t="n"/>
      <c r="E58" s="12" t="n"/>
      <c r="F58" s="12" t="n"/>
      <c r="G58" s="12" t="n"/>
      <c r="H58" s="12" t="n"/>
      <c r="I58" s="12" t="n"/>
      <c r="J58" s="12" t="n"/>
      <c r="K58" s="12" t="n"/>
      <c r="L58" s="12" t="n"/>
    </row>
    <row r="59">
      <c r="A59" s="11" t="inlineStr">
        <is>
          <t>INC-056</t>
        </is>
      </c>
      <c r="B59" s="12" t="n"/>
      <c r="C59" s="12" t="n"/>
      <c r="D59" s="12" t="n"/>
      <c r="E59" s="12" t="n"/>
      <c r="F59" s="12" t="n"/>
      <c r="G59" s="12" t="n"/>
      <c r="H59" s="12" t="n"/>
      <c r="I59" s="12" t="n"/>
      <c r="J59" s="12" t="n"/>
      <c r="K59" s="12" t="n"/>
      <c r="L59" s="12" t="n"/>
    </row>
    <row r="60">
      <c r="A60" s="11" t="inlineStr">
        <is>
          <t>INC-057</t>
        </is>
      </c>
      <c r="B60" s="12" t="n"/>
      <c r="C60" s="12" t="n"/>
      <c r="D60" s="12" t="n"/>
      <c r="E60" s="12" t="n"/>
      <c r="F60" s="12" t="n"/>
      <c r="G60" s="12" t="n"/>
      <c r="H60" s="12" t="n"/>
      <c r="I60" s="12" t="n"/>
      <c r="J60" s="12" t="n"/>
      <c r="K60" s="12" t="n"/>
      <c r="L60" s="12" t="n"/>
    </row>
    <row r="61">
      <c r="A61" s="11" t="inlineStr">
        <is>
          <t>INC-058</t>
        </is>
      </c>
      <c r="B61" s="12" t="n"/>
      <c r="C61" s="12" t="n"/>
      <c r="D61" s="12" t="n"/>
      <c r="E61" s="12" t="n"/>
      <c r="F61" s="12" t="n"/>
      <c r="G61" s="12" t="n"/>
      <c r="H61" s="12" t="n"/>
      <c r="I61" s="12" t="n"/>
      <c r="J61" s="12" t="n"/>
      <c r="K61" s="12" t="n"/>
      <c r="L61" s="12" t="n"/>
    </row>
    <row r="62">
      <c r="A62" s="11" t="inlineStr">
        <is>
          <t>INC-059</t>
        </is>
      </c>
      <c r="B62" s="12" t="n"/>
      <c r="C62" s="12" t="n"/>
      <c r="D62" s="12" t="n"/>
      <c r="E62" s="12" t="n"/>
      <c r="F62" s="12" t="n"/>
      <c r="G62" s="12" t="n"/>
      <c r="H62" s="12" t="n"/>
      <c r="I62" s="12" t="n"/>
      <c r="J62" s="12" t="n"/>
      <c r="K62" s="12" t="n"/>
      <c r="L62" s="12" t="n"/>
    </row>
    <row r="63">
      <c r="A63" s="11" t="inlineStr">
        <is>
          <t>INC-060</t>
        </is>
      </c>
      <c r="B63" s="12" t="n"/>
      <c r="C63" s="12" t="n"/>
      <c r="D63" s="12" t="n"/>
      <c r="E63" s="12" t="n"/>
      <c r="F63" s="12" t="n"/>
      <c r="G63" s="12" t="n"/>
      <c r="H63" s="12" t="n"/>
      <c r="I63" s="12" t="n"/>
      <c r="J63" s="12" t="n"/>
      <c r="K63" s="12" t="n"/>
      <c r="L63" s="12" t="n"/>
    </row>
    <row r="64">
      <c r="A64" s="11" t="inlineStr">
        <is>
          <t>INC-061</t>
        </is>
      </c>
      <c r="B64" s="12" t="n"/>
      <c r="C64" s="12" t="n"/>
      <c r="D64" s="12" t="n"/>
      <c r="E64" s="12" t="n"/>
      <c r="F64" s="12" t="n"/>
      <c r="G64" s="12" t="n"/>
      <c r="H64" s="12" t="n"/>
      <c r="I64" s="12" t="n"/>
      <c r="J64" s="12" t="n"/>
      <c r="K64" s="12" t="n"/>
      <c r="L64" s="12" t="n"/>
    </row>
    <row r="65">
      <c r="A65" s="11" t="inlineStr">
        <is>
          <t>INC-062</t>
        </is>
      </c>
      <c r="B65" s="12" t="n"/>
      <c r="C65" s="12" t="n"/>
      <c r="D65" s="12" t="n"/>
      <c r="E65" s="12" t="n"/>
      <c r="F65" s="12" t="n"/>
      <c r="G65" s="12" t="n"/>
      <c r="H65" s="12" t="n"/>
      <c r="I65" s="12" t="n"/>
      <c r="J65" s="12" t="n"/>
      <c r="K65" s="12" t="n"/>
      <c r="L65" s="12" t="n"/>
    </row>
    <row r="66">
      <c r="A66" s="11" t="inlineStr">
        <is>
          <t>INC-063</t>
        </is>
      </c>
      <c r="B66" s="12" t="n"/>
      <c r="C66" s="12" t="n"/>
      <c r="D66" s="12" t="n"/>
      <c r="E66" s="12" t="n"/>
      <c r="F66" s="12" t="n"/>
      <c r="G66" s="12" t="n"/>
      <c r="H66" s="12" t="n"/>
      <c r="I66" s="12" t="n"/>
      <c r="J66" s="12" t="n"/>
      <c r="K66" s="12" t="n"/>
      <c r="L66" s="12" t="n"/>
    </row>
    <row r="67">
      <c r="A67" s="11" t="inlineStr">
        <is>
          <t>INC-064</t>
        </is>
      </c>
      <c r="B67" s="12" t="n"/>
      <c r="C67" s="12" t="n"/>
      <c r="D67" s="12" t="n"/>
      <c r="E67" s="12" t="n"/>
      <c r="F67" s="12" t="n"/>
      <c r="G67" s="12" t="n"/>
      <c r="H67" s="12" t="n"/>
      <c r="I67" s="12" t="n"/>
      <c r="J67" s="12" t="n"/>
      <c r="K67" s="12" t="n"/>
      <c r="L67" s="12" t="n"/>
    </row>
    <row r="68">
      <c r="A68" s="11" t="inlineStr">
        <is>
          <t>INC-065</t>
        </is>
      </c>
      <c r="B68" s="12" t="n"/>
      <c r="C68" s="12" t="n"/>
      <c r="D68" s="12" t="n"/>
      <c r="E68" s="12" t="n"/>
      <c r="F68" s="12" t="n"/>
      <c r="G68" s="12" t="n"/>
      <c r="H68" s="12" t="n"/>
      <c r="I68" s="12" t="n"/>
      <c r="J68" s="12" t="n"/>
      <c r="K68" s="12" t="n"/>
      <c r="L68" s="12" t="n"/>
    </row>
    <row r="69">
      <c r="A69" s="11" t="inlineStr">
        <is>
          <t>INC-066</t>
        </is>
      </c>
      <c r="B69" s="12" t="n"/>
      <c r="C69" s="12" t="n"/>
      <c r="D69" s="12" t="n"/>
      <c r="E69" s="12" t="n"/>
      <c r="F69" s="12" t="n"/>
      <c r="G69" s="12" t="n"/>
      <c r="H69" s="12" t="n"/>
      <c r="I69" s="12" t="n"/>
      <c r="J69" s="12" t="n"/>
      <c r="K69" s="12" t="n"/>
      <c r="L69" s="12" t="n"/>
    </row>
    <row r="70">
      <c r="A70" s="11" t="inlineStr">
        <is>
          <t>INC-067</t>
        </is>
      </c>
      <c r="B70" s="12" t="n"/>
      <c r="C70" s="12" t="n"/>
      <c r="D70" s="12" t="n"/>
      <c r="E70" s="12" t="n"/>
      <c r="F70" s="12" t="n"/>
      <c r="G70" s="12" t="n"/>
      <c r="H70" s="12" t="n"/>
      <c r="I70" s="12" t="n"/>
      <c r="J70" s="12" t="n"/>
      <c r="K70" s="12" t="n"/>
      <c r="L70" s="12" t="n"/>
    </row>
    <row r="71">
      <c r="A71" s="11" t="inlineStr">
        <is>
          <t>INC-068</t>
        </is>
      </c>
      <c r="B71" s="12" t="n"/>
      <c r="C71" s="12" t="n"/>
      <c r="D71" s="12" t="n"/>
      <c r="E71" s="12" t="n"/>
      <c r="F71" s="12" t="n"/>
      <c r="G71" s="12" t="n"/>
      <c r="H71" s="12" t="n"/>
      <c r="I71" s="12" t="n"/>
      <c r="J71" s="12" t="n"/>
      <c r="K71" s="12" t="n"/>
      <c r="L71" s="12" t="n"/>
    </row>
    <row r="72">
      <c r="A72" s="11" t="inlineStr">
        <is>
          <t>INC-069</t>
        </is>
      </c>
      <c r="B72" s="12" t="n"/>
      <c r="C72" s="12" t="n"/>
      <c r="D72" s="12" t="n"/>
      <c r="E72" s="12" t="n"/>
      <c r="F72" s="12" t="n"/>
      <c r="G72" s="12" t="n"/>
      <c r="H72" s="12" t="n"/>
      <c r="I72" s="12" t="n"/>
      <c r="J72" s="12" t="n"/>
      <c r="K72" s="12" t="n"/>
      <c r="L72" s="12" t="n"/>
    </row>
    <row r="73">
      <c r="A73" s="11" t="inlineStr">
        <is>
          <t>INC-070</t>
        </is>
      </c>
      <c r="B73" s="12" t="n"/>
      <c r="C73" s="12" t="n"/>
      <c r="D73" s="12" t="n"/>
      <c r="E73" s="12" t="n"/>
      <c r="F73" s="12" t="n"/>
      <c r="G73" s="12" t="n"/>
      <c r="H73" s="12" t="n"/>
      <c r="I73" s="12" t="n"/>
      <c r="J73" s="12" t="n"/>
      <c r="K73" s="12" t="n"/>
      <c r="L73" s="12" t="n"/>
    </row>
    <row r="74">
      <c r="A74" s="11" t="inlineStr">
        <is>
          <t>INC-071</t>
        </is>
      </c>
      <c r="B74" s="12" t="n"/>
      <c r="C74" s="12" t="n"/>
      <c r="D74" s="12" t="n"/>
      <c r="E74" s="12" t="n"/>
      <c r="F74" s="12" t="n"/>
      <c r="G74" s="12" t="n"/>
      <c r="H74" s="12" t="n"/>
      <c r="I74" s="12" t="n"/>
      <c r="J74" s="12" t="n"/>
      <c r="K74" s="12" t="n"/>
      <c r="L74" s="12" t="n"/>
    </row>
    <row r="75">
      <c r="A75" s="11" t="inlineStr">
        <is>
          <t>INC-072</t>
        </is>
      </c>
      <c r="B75" s="12" t="n"/>
      <c r="C75" s="12" t="n"/>
      <c r="D75" s="12" t="n"/>
      <c r="E75" s="12" t="n"/>
      <c r="F75" s="12" t="n"/>
      <c r="G75" s="12" t="n"/>
      <c r="H75" s="12" t="n"/>
      <c r="I75" s="12" t="n"/>
      <c r="J75" s="12" t="n"/>
      <c r="K75" s="12" t="n"/>
      <c r="L75" s="12" t="n"/>
    </row>
    <row r="76">
      <c r="A76" s="11" t="inlineStr">
        <is>
          <t>INC-073</t>
        </is>
      </c>
      <c r="B76" s="12" t="n"/>
      <c r="C76" s="12" t="n"/>
      <c r="D76" s="12" t="n"/>
      <c r="E76" s="12" t="n"/>
      <c r="F76" s="12" t="n"/>
      <c r="G76" s="12" t="n"/>
      <c r="H76" s="12" t="n"/>
      <c r="I76" s="12" t="n"/>
      <c r="J76" s="12" t="n"/>
      <c r="K76" s="12" t="n"/>
      <c r="L76" s="12" t="n"/>
    </row>
    <row r="77">
      <c r="A77" s="11" t="inlineStr">
        <is>
          <t>INC-074</t>
        </is>
      </c>
      <c r="B77" s="12" t="n"/>
      <c r="C77" s="12" t="n"/>
      <c r="D77" s="12" t="n"/>
      <c r="E77" s="12" t="n"/>
      <c r="F77" s="12" t="n"/>
      <c r="G77" s="12" t="n"/>
      <c r="H77" s="12" t="n"/>
      <c r="I77" s="12" t="n"/>
      <c r="J77" s="12" t="n"/>
      <c r="K77" s="12" t="n"/>
      <c r="L77" s="12" t="n"/>
    </row>
    <row r="78">
      <c r="A78" s="11" t="inlineStr">
        <is>
          <t>INC-075</t>
        </is>
      </c>
      <c r="B78" s="12" t="n"/>
      <c r="C78" s="12" t="n"/>
      <c r="D78" s="12" t="n"/>
      <c r="E78" s="12" t="n"/>
      <c r="F78" s="12" t="n"/>
      <c r="G78" s="12" t="n"/>
      <c r="H78" s="12" t="n"/>
      <c r="I78" s="12" t="n"/>
      <c r="J78" s="12" t="n"/>
      <c r="K78" s="12" t="n"/>
      <c r="L78" s="12" t="n"/>
    </row>
    <row r="79">
      <c r="A79" s="11" t="inlineStr">
        <is>
          <t>INC-076</t>
        </is>
      </c>
      <c r="B79" s="12" t="n"/>
      <c r="C79" s="12" t="n"/>
      <c r="D79" s="12" t="n"/>
      <c r="E79" s="12" t="n"/>
      <c r="F79" s="12" t="n"/>
      <c r="G79" s="12" t="n"/>
      <c r="H79" s="12" t="n"/>
      <c r="I79" s="12" t="n"/>
      <c r="J79" s="12" t="n"/>
      <c r="K79" s="12" t="n"/>
      <c r="L79" s="12" t="n"/>
    </row>
    <row r="80">
      <c r="A80" s="11" t="inlineStr">
        <is>
          <t>INC-077</t>
        </is>
      </c>
      <c r="B80" s="12" t="n"/>
      <c r="C80" s="12" t="n"/>
      <c r="D80" s="12" t="n"/>
      <c r="E80" s="12" t="n"/>
      <c r="F80" s="12" t="n"/>
      <c r="G80" s="12" t="n"/>
      <c r="H80" s="12" t="n"/>
      <c r="I80" s="12" t="n"/>
      <c r="J80" s="12" t="n"/>
      <c r="K80" s="12" t="n"/>
      <c r="L80" s="12" t="n"/>
    </row>
    <row r="81">
      <c r="A81" s="11" t="inlineStr">
        <is>
          <t>INC-078</t>
        </is>
      </c>
      <c r="B81" s="12" t="n"/>
      <c r="C81" s="12" t="n"/>
      <c r="D81" s="12" t="n"/>
      <c r="E81" s="12" t="n"/>
      <c r="F81" s="12" t="n"/>
      <c r="G81" s="12" t="n"/>
      <c r="H81" s="12" t="n"/>
      <c r="I81" s="12" t="n"/>
      <c r="J81" s="12" t="n"/>
      <c r="K81" s="12" t="n"/>
      <c r="L81" s="12" t="n"/>
    </row>
    <row r="82">
      <c r="A82" s="11" t="inlineStr">
        <is>
          <t>INC-079</t>
        </is>
      </c>
      <c r="B82" s="12" t="n"/>
      <c r="C82" s="12" t="n"/>
      <c r="D82" s="12" t="n"/>
      <c r="E82" s="12" t="n"/>
      <c r="F82" s="12" t="n"/>
      <c r="G82" s="12" t="n"/>
      <c r="H82" s="12" t="n"/>
      <c r="I82" s="12" t="n"/>
      <c r="J82" s="12" t="n"/>
      <c r="K82" s="12" t="n"/>
      <c r="L82" s="12" t="n"/>
    </row>
    <row r="83">
      <c r="A83" s="11" t="inlineStr">
        <is>
          <t>INC-080</t>
        </is>
      </c>
      <c r="B83" s="12" t="n"/>
      <c r="C83" s="12" t="n"/>
      <c r="D83" s="12" t="n"/>
      <c r="E83" s="12" t="n"/>
      <c r="F83" s="12" t="n"/>
      <c r="G83" s="12" t="n"/>
      <c r="H83" s="12" t="n"/>
      <c r="I83" s="12" t="n"/>
      <c r="J83" s="12" t="n"/>
      <c r="K83" s="12" t="n"/>
      <c r="L83" s="12" t="n"/>
    </row>
    <row r="84">
      <c r="A84" s="11" t="inlineStr">
        <is>
          <t>INC-081</t>
        </is>
      </c>
      <c r="B84" s="12" t="n"/>
      <c r="C84" s="12" t="n"/>
      <c r="D84" s="12" t="n"/>
      <c r="E84" s="12" t="n"/>
      <c r="F84" s="12" t="n"/>
      <c r="G84" s="12" t="n"/>
      <c r="H84" s="12" t="n"/>
      <c r="I84" s="12" t="n"/>
      <c r="J84" s="12" t="n"/>
      <c r="K84" s="12" t="n"/>
      <c r="L84" s="12" t="n"/>
    </row>
    <row r="85">
      <c r="A85" s="11" t="inlineStr">
        <is>
          <t>INC-082</t>
        </is>
      </c>
      <c r="B85" s="12" t="n"/>
      <c r="C85" s="12" t="n"/>
      <c r="D85" s="12" t="n"/>
      <c r="E85" s="12" t="n"/>
      <c r="F85" s="12" t="n"/>
      <c r="G85" s="12" t="n"/>
      <c r="H85" s="12" t="n"/>
      <c r="I85" s="12" t="n"/>
      <c r="J85" s="12" t="n"/>
      <c r="K85" s="12" t="n"/>
      <c r="L85" s="12" t="n"/>
    </row>
    <row r="86">
      <c r="A86" s="11" t="inlineStr">
        <is>
          <t>INC-083</t>
        </is>
      </c>
      <c r="B86" s="12" t="n"/>
      <c r="C86" s="12" t="n"/>
      <c r="D86" s="12" t="n"/>
      <c r="E86" s="12" t="n"/>
      <c r="F86" s="12" t="n"/>
      <c r="G86" s="12" t="n"/>
      <c r="H86" s="12" t="n"/>
      <c r="I86" s="12" t="n"/>
      <c r="J86" s="12" t="n"/>
      <c r="K86" s="12" t="n"/>
      <c r="L86" s="12" t="n"/>
    </row>
    <row r="87">
      <c r="A87" s="11" t="inlineStr">
        <is>
          <t>INC-084</t>
        </is>
      </c>
      <c r="B87" s="12" t="n"/>
      <c r="C87" s="12" t="n"/>
      <c r="D87" s="12" t="n"/>
      <c r="E87" s="12" t="n"/>
      <c r="F87" s="12" t="n"/>
      <c r="G87" s="12" t="n"/>
      <c r="H87" s="12" t="n"/>
      <c r="I87" s="12" t="n"/>
      <c r="J87" s="12" t="n"/>
      <c r="K87" s="12" t="n"/>
      <c r="L87" s="12" t="n"/>
    </row>
    <row r="88">
      <c r="A88" s="11" t="inlineStr">
        <is>
          <t>INC-085</t>
        </is>
      </c>
      <c r="B88" s="12" t="n"/>
      <c r="C88" s="12" t="n"/>
      <c r="D88" s="12" t="n"/>
      <c r="E88" s="12" t="n"/>
      <c r="F88" s="12" t="n"/>
      <c r="G88" s="12" t="n"/>
      <c r="H88" s="12" t="n"/>
      <c r="I88" s="12" t="n"/>
      <c r="J88" s="12" t="n"/>
      <c r="K88" s="12" t="n"/>
      <c r="L88" s="12" t="n"/>
    </row>
    <row r="89">
      <c r="A89" s="11" t="inlineStr">
        <is>
          <t>INC-086</t>
        </is>
      </c>
      <c r="B89" s="12" t="n"/>
      <c r="C89" s="12" t="n"/>
      <c r="D89" s="12" t="n"/>
      <c r="E89" s="12" t="n"/>
      <c r="F89" s="12" t="n"/>
      <c r="G89" s="12" t="n"/>
      <c r="H89" s="12" t="n"/>
      <c r="I89" s="12" t="n"/>
      <c r="J89" s="12" t="n"/>
      <c r="K89" s="12" t="n"/>
      <c r="L89" s="12" t="n"/>
    </row>
    <row r="90">
      <c r="A90" s="11" t="inlineStr">
        <is>
          <t>INC-087</t>
        </is>
      </c>
      <c r="B90" s="12" t="n"/>
      <c r="C90" s="12" t="n"/>
      <c r="D90" s="12" t="n"/>
      <c r="E90" s="12" t="n"/>
      <c r="F90" s="12" t="n"/>
      <c r="G90" s="12" t="n"/>
      <c r="H90" s="12" t="n"/>
      <c r="I90" s="12" t="n"/>
      <c r="J90" s="12" t="n"/>
      <c r="K90" s="12" t="n"/>
      <c r="L90" s="12" t="n"/>
    </row>
    <row r="91">
      <c r="A91" s="11" t="inlineStr">
        <is>
          <t>INC-088</t>
        </is>
      </c>
      <c r="B91" s="12" t="n"/>
      <c r="C91" s="12" t="n"/>
      <c r="D91" s="12" t="n"/>
      <c r="E91" s="12" t="n"/>
      <c r="F91" s="12" t="n"/>
      <c r="G91" s="12" t="n"/>
      <c r="H91" s="12" t="n"/>
      <c r="I91" s="12" t="n"/>
      <c r="J91" s="12" t="n"/>
      <c r="K91" s="12" t="n"/>
      <c r="L91" s="12" t="n"/>
    </row>
    <row r="92">
      <c r="A92" s="11" t="inlineStr">
        <is>
          <t>INC-089</t>
        </is>
      </c>
      <c r="B92" s="12" t="n"/>
      <c r="C92" s="12" t="n"/>
      <c r="D92" s="12" t="n"/>
      <c r="E92" s="12" t="n"/>
      <c r="F92" s="12" t="n"/>
      <c r="G92" s="12" t="n"/>
      <c r="H92" s="12" t="n"/>
      <c r="I92" s="12" t="n"/>
      <c r="J92" s="12" t="n"/>
      <c r="K92" s="12" t="n"/>
      <c r="L92" s="12" t="n"/>
    </row>
    <row r="93">
      <c r="A93" s="11" t="inlineStr">
        <is>
          <t>INC-090</t>
        </is>
      </c>
      <c r="B93" s="12" t="n"/>
      <c r="C93" s="12" t="n"/>
      <c r="D93" s="12" t="n"/>
      <c r="E93" s="12" t="n"/>
      <c r="F93" s="12" t="n"/>
      <c r="G93" s="12" t="n"/>
      <c r="H93" s="12" t="n"/>
      <c r="I93" s="12" t="n"/>
      <c r="J93" s="12" t="n"/>
      <c r="K93" s="12" t="n"/>
      <c r="L93" s="12" t="n"/>
    </row>
    <row r="94">
      <c r="A94" s="11" t="inlineStr">
        <is>
          <t>INC-091</t>
        </is>
      </c>
      <c r="B94" s="12" t="n"/>
      <c r="C94" s="12" t="n"/>
      <c r="D94" s="12" t="n"/>
      <c r="E94" s="12" t="n"/>
      <c r="F94" s="12" t="n"/>
      <c r="G94" s="12" t="n"/>
      <c r="H94" s="12" t="n"/>
      <c r="I94" s="12" t="n"/>
      <c r="J94" s="12" t="n"/>
      <c r="K94" s="12" t="n"/>
      <c r="L94" s="12" t="n"/>
    </row>
    <row r="95">
      <c r="A95" s="11" t="inlineStr">
        <is>
          <t>INC-092</t>
        </is>
      </c>
      <c r="B95" s="12" t="n"/>
      <c r="C95" s="12" t="n"/>
      <c r="D95" s="12" t="n"/>
      <c r="E95" s="12" t="n"/>
      <c r="F95" s="12" t="n"/>
      <c r="G95" s="12" t="n"/>
      <c r="H95" s="12" t="n"/>
      <c r="I95" s="12" t="n"/>
      <c r="J95" s="12" t="n"/>
      <c r="K95" s="12" t="n"/>
      <c r="L95" s="12" t="n"/>
    </row>
    <row r="96">
      <c r="A96" s="11" t="inlineStr">
        <is>
          <t>INC-093</t>
        </is>
      </c>
      <c r="B96" s="12" t="n"/>
      <c r="C96" s="12" t="n"/>
      <c r="D96" s="12" t="n"/>
      <c r="E96" s="12" t="n"/>
      <c r="F96" s="12" t="n"/>
      <c r="G96" s="12" t="n"/>
      <c r="H96" s="12" t="n"/>
      <c r="I96" s="12" t="n"/>
      <c r="J96" s="12" t="n"/>
      <c r="K96" s="12" t="n"/>
      <c r="L96" s="12" t="n"/>
    </row>
    <row r="97">
      <c r="A97" s="11" t="inlineStr">
        <is>
          <t>INC-094</t>
        </is>
      </c>
      <c r="B97" s="12" t="n"/>
      <c r="C97" s="12" t="n"/>
      <c r="D97" s="12" t="n"/>
      <c r="E97" s="12" t="n"/>
      <c r="F97" s="12" t="n"/>
      <c r="G97" s="12" t="n"/>
      <c r="H97" s="12" t="n"/>
      <c r="I97" s="12" t="n"/>
      <c r="J97" s="12" t="n"/>
      <c r="K97" s="12" t="n"/>
      <c r="L97" s="12" t="n"/>
    </row>
    <row r="98">
      <c r="A98" s="11" t="inlineStr">
        <is>
          <t>INC-095</t>
        </is>
      </c>
      <c r="B98" s="12" t="n"/>
      <c r="C98" s="12" t="n"/>
      <c r="D98" s="12" t="n"/>
      <c r="E98" s="12" t="n"/>
      <c r="F98" s="12" t="n"/>
      <c r="G98" s="12" t="n"/>
      <c r="H98" s="12" t="n"/>
      <c r="I98" s="12" t="n"/>
      <c r="J98" s="12" t="n"/>
      <c r="K98" s="12" t="n"/>
      <c r="L98" s="12" t="n"/>
    </row>
    <row r="99">
      <c r="A99" s="11" t="inlineStr">
        <is>
          <t>INC-096</t>
        </is>
      </c>
      <c r="B99" s="12" t="n"/>
      <c r="C99" s="12" t="n"/>
      <c r="D99" s="12" t="n"/>
      <c r="E99" s="12" t="n"/>
      <c r="F99" s="12" t="n"/>
      <c r="G99" s="12" t="n"/>
      <c r="H99" s="12" t="n"/>
      <c r="I99" s="12" t="n"/>
      <c r="J99" s="12" t="n"/>
      <c r="K99" s="12" t="n"/>
      <c r="L99" s="12" t="n"/>
    </row>
    <row r="100">
      <c r="A100" s="11" t="inlineStr">
        <is>
          <t>INC-097</t>
        </is>
      </c>
      <c r="B100" s="12" t="n"/>
      <c r="C100" s="12" t="n"/>
      <c r="D100" s="12" t="n"/>
      <c r="E100" s="12" t="n"/>
      <c r="F100" s="12" t="n"/>
      <c r="G100" s="12" t="n"/>
      <c r="H100" s="12" t="n"/>
      <c r="I100" s="12" t="n"/>
      <c r="J100" s="12" t="n"/>
      <c r="K100" s="12" t="n"/>
      <c r="L100" s="12" t="n"/>
    </row>
    <row r="101">
      <c r="A101" s="11" t="inlineStr">
        <is>
          <t>INC-098</t>
        </is>
      </c>
      <c r="B101" s="12" t="n"/>
      <c r="C101" s="12" t="n"/>
      <c r="D101" s="12" t="n"/>
      <c r="E101" s="12" t="n"/>
      <c r="F101" s="12" t="n"/>
      <c r="G101" s="12" t="n"/>
      <c r="H101" s="12" t="n"/>
      <c r="I101" s="12" t="n"/>
      <c r="J101" s="12" t="n"/>
      <c r="K101" s="12" t="n"/>
      <c r="L101" s="12" t="n"/>
    </row>
    <row r="102">
      <c r="A102" s="11" t="inlineStr">
        <is>
          <t>INC-099</t>
        </is>
      </c>
      <c r="B102" s="12" t="n"/>
      <c r="C102" s="12" t="n"/>
      <c r="D102" s="12" t="n"/>
      <c r="E102" s="12" t="n"/>
      <c r="F102" s="12" t="n"/>
      <c r="G102" s="12" t="n"/>
      <c r="H102" s="12" t="n"/>
      <c r="I102" s="12" t="n"/>
      <c r="J102" s="12" t="n"/>
      <c r="K102" s="12" t="n"/>
      <c r="L102" s="12" t="n"/>
    </row>
    <row r="103">
      <c r="A103" s="11" t="inlineStr">
        <is>
          <t>INC-100</t>
        </is>
      </c>
      <c r="B103" s="12" t="n"/>
      <c r="C103" s="12" t="n"/>
      <c r="D103" s="12" t="n"/>
      <c r="E103" s="12" t="n"/>
      <c r="F103" s="12" t="n"/>
      <c r="G103" s="12" t="n"/>
      <c r="H103" s="12" t="n"/>
      <c r="I103" s="12" t="n"/>
      <c r="J103" s="12" t="n"/>
      <c r="K103" s="12" t="n"/>
      <c r="L103" s="12" t="n"/>
    </row>
  </sheetData>
  <mergeCells count="1">
    <mergeCell ref="A1:L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"Laptop,Mobile Phone,Tablet,Storage Media,Edge Device,Other"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"Lost,Stolen,Damaged,Compromised,Near Miss"</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"High (PII, Financial),Medium (Internal),Low (Public),None (encrypted)"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Success,Yes - Failed,No - Not needed,No - Not possible"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"Recovered,Not recovered,Insurance,Replaced"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50" customWidth="1" min="3" max="3"/>
    <col width="18" customWidth="1" min="4" max="4"/>
    <col width="20" customWidth="1" min="5" max="5"/>
    <col width="12" customWidth="1" min="6" max="6"/>
    <col width="12" customWidth="1" min="7" max="7"/>
    <col width="15" customWidth="1" min="8" max="8"/>
    <col width="12" customWidth="1" min="9" max="9"/>
    <col width="30" customWidth="1" min="10" max="10"/>
    <col width="15" customWidth="1" min="11" max="11"/>
    <col width="40" customWidth="1" min="12" max="12"/>
  </cols>
  <sheetData>
    <row r="1" ht="30" customHeight="1">
      <c r="A1" s="1" t="inlineStr">
        <is>
          <t>REMEDIATION PLAN</t>
        </is>
      </c>
    </row>
    <row r="3">
      <c r="A3" s="6" t="inlineStr">
        <is>
          <t>Action ID</t>
        </is>
      </c>
      <c r="B3" s="6" t="inlineStr">
        <is>
          <t>Related Gap ID</t>
        </is>
      </c>
      <c r="C3" s="6" t="inlineStr">
        <is>
          <t>Description</t>
        </is>
      </c>
      <c r="D3" s="6" t="inlineStr">
        <is>
          <t>Action Type</t>
        </is>
      </c>
      <c r="E3" s="6" t="inlineStr">
        <is>
          <t>Owner</t>
        </is>
      </c>
      <c r="F3" s="6" t="inlineStr">
        <is>
          <t>Start Date</t>
        </is>
      </c>
      <c r="G3" s="6" t="inlineStr">
        <is>
          <t>Target Date</t>
        </is>
      </c>
      <c r="H3" s="6" t="inlineStr">
        <is>
          <t>Status</t>
        </is>
      </c>
      <c r="I3" s="6" t="inlineStr">
        <is>
          <t>% Complete</t>
        </is>
      </c>
      <c r="J3" s="6" t="inlineStr">
        <is>
          <t>Resources Required</t>
        </is>
      </c>
      <c r="K3" s="6" t="inlineStr">
        <is>
          <t>Cost Estimate</t>
        </is>
      </c>
      <c r="L3" s="6" t="inlineStr">
        <is>
          <t>Notes</t>
        </is>
      </c>
    </row>
    <row r="4">
      <c r="A4" s="11" t="inlineStr">
        <is>
          <t>ACT-001</t>
        </is>
      </c>
      <c r="B4" s="12" t="n"/>
      <c r="C4" s="12" t="n"/>
      <c r="D4" s="12" t="n"/>
      <c r="E4" s="12" t="n"/>
      <c r="F4" s="12" t="n"/>
      <c r="G4" s="12" t="n"/>
      <c r="H4" s="12" t="n"/>
      <c r="I4" s="12" t="n"/>
      <c r="J4" s="12" t="n"/>
      <c r="K4" s="12" t="n"/>
      <c r="L4" s="12" t="n"/>
    </row>
    <row r="5">
      <c r="A5" s="11" t="inlineStr">
        <is>
          <t>ACT-002</t>
        </is>
      </c>
      <c r="B5" s="12" t="n"/>
      <c r="C5" s="12" t="n"/>
      <c r="D5" s="12" t="n"/>
      <c r="E5" s="12" t="n"/>
      <c r="F5" s="12" t="n"/>
      <c r="G5" s="12" t="n"/>
      <c r="H5" s="12" t="n"/>
      <c r="I5" s="12" t="n"/>
      <c r="J5" s="12" t="n"/>
      <c r="K5" s="12" t="n"/>
      <c r="L5" s="12" t="n"/>
    </row>
    <row r="6">
      <c r="A6" s="11" t="inlineStr">
        <is>
          <t>ACT-003</t>
        </is>
      </c>
      <c r="B6" s="12" t="n"/>
      <c r="C6" s="12" t="n"/>
      <c r="D6" s="12" t="n"/>
      <c r="E6" s="12" t="n"/>
      <c r="F6" s="12" t="n"/>
      <c r="G6" s="12" t="n"/>
      <c r="H6" s="12" t="n"/>
      <c r="I6" s="12" t="n"/>
      <c r="J6" s="12" t="n"/>
      <c r="K6" s="12" t="n"/>
      <c r="L6" s="12" t="n"/>
    </row>
    <row r="7">
      <c r="A7" s="11" t="inlineStr">
        <is>
          <t>ACT-004</t>
        </is>
      </c>
      <c r="B7" s="12" t="n"/>
      <c r="C7" s="12" t="n"/>
      <c r="D7" s="12" t="n"/>
      <c r="E7" s="12" t="n"/>
      <c r="F7" s="12" t="n"/>
      <c r="G7" s="12" t="n"/>
      <c r="H7" s="12" t="n"/>
      <c r="I7" s="12" t="n"/>
      <c r="J7" s="12" t="n"/>
      <c r="K7" s="12" t="n"/>
      <c r="L7" s="12" t="n"/>
    </row>
    <row r="8">
      <c r="A8" s="11" t="inlineStr">
        <is>
          <t>ACT-005</t>
        </is>
      </c>
      <c r="B8" s="12" t="n"/>
      <c r="C8" s="12" t="n"/>
      <c r="D8" s="12" t="n"/>
      <c r="E8" s="12" t="n"/>
      <c r="F8" s="12" t="n"/>
      <c r="G8" s="12" t="n"/>
      <c r="H8" s="12" t="n"/>
      <c r="I8" s="12" t="n"/>
      <c r="J8" s="12" t="n"/>
      <c r="K8" s="12" t="n"/>
      <c r="L8" s="12" t="n"/>
    </row>
    <row r="9">
      <c r="A9" s="11" t="inlineStr">
        <is>
          <t>ACT-006</t>
        </is>
      </c>
      <c r="B9" s="12" t="n"/>
      <c r="C9" s="12" t="n"/>
      <c r="D9" s="12" t="n"/>
      <c r="E9" s="12" t="n"/>
      <c r="F9" s="12" t="n"/>
      <c r="G9" s="12" t="n"/>
      <c r="H9" s="12" t="n"/>
      <c r="I9" s="12" t="n"/>
      <c r="J9" s="12" t="n"/>
      <c r="K9" s="12" t="n"/>
      <c r="L9" s="12" t="n"/>
    </row>
    <row r="10">
      <c r="A10" s="11" t="inlineStr">
        <is>
          <t>ACT-007</t>
        </is>
      </c>
      <c r="B10" s="12" t="n"/>
      <c r="C10" s="12" t="n"/>
      <c r="D10" s="12" t="n"/>
      <c r="E10" s="12" t="n"/>
      <c r="F10" s="12" t="n"/>
      <c r="G10" s="12" t="n"/>
      <c r="H10" s="12" t="n"/>
      <c r="I10" s="12" t="n"/>
      <c r="J10" s="12" t="n"/>
      <c r="K10" s="12" t="n"/>
      <c r="L10" s="12" t="n"/>
    </row>
    <row r="11">
      <c r="A11" s="11" t="inlineStr">
        <is>
          <t>ACT-008</t>
        </is>
      </c>
      <c r="B11" s="12" t="n"/>
      <c r="C11" s="12" t="n"/>
      <c r="D11" s="12" t="n"/>
      <c r="E11" s="12" t="n"/>
      <c r="F11" s="12" t="n"/>
      <c r="G11" s="12" t="n"/>
      <c r="H11" s="12" t="n"/>
      <c r="I11" s="12" t="n"/>
      <c r="J11" s="12" t="n"/>
      <c r="K11" s="12" t="n"/>
      <c r="L11" s="12" t="n"/>
    </row>
    <row r="12">
      <c r="A12" s="11" t="inlineStr">
        <is>
          <t>ACT-009</t>
        </is>
      </c>
      <c r="B12" s="12" t="n"/>
      <c r="C12" s="12" t="n"/>
      <c r="D12" s="12" t="n"/>
      <c r="E12" s="12" t="n"/>
      <c r="F12" s="12" t="n"/>
      <c r="G12" s="12" t="n"/>
      <c r="H12" s="12" t="n"/>
      <c r="I12" s="12" t="n"/>
      <c r="J12" s="12" t="n"/>
      <c r="K12" s="12" t="n"/>
      <c r="L12" s="12" t="n"/>
    </row>
    <row r="13">
      <c r="A13" s="11" t="inlineStr">
        <is>
          <t>ACT-010</t>
        </is>
      </c>
      <c r="B13" s="12" t="n"/>
      <c r="C13" s="12" t="n"/>
      <c r="D13" s="12" t="n"/>
      <c r="E13" s="12" t="n"/>
      <c r="F13" s="12" t="n"/>
      <c r="G13" s="12" t="n"/>
      <c r="H13" s="12" t="n"/>
      <c r="I13" s="12" t="n"/>
      <c r="J13" s="12" t="n"/>
      <c r="K13" s="12" t="n"/>
      <c r="L13" s="12" t="n"/>
    </row>
    <row r="14">
      <c r="A14" s="11" t="inlineStr">
        <is>
          <t>ACT-011</t>
        </is>
      </c>
      <c r="B14" s="12" t="n"/>
      <c r="C14" s="12" t="n"/>
      <c r="D14" s="12" t="n"/>
      <c r="E14" s="12" t="n"/>
      <c r="F14" s="12" t="n"/>
      <c r="G14" s="12" t="n"/>
      <c r="H14" s="12" t="n"/>
      <c r="I14" s="12" t="n"/>
      <c r="J14" s="12" t="n"/>
      <c r="K14" s="12" t="n"/>
      <c r="L14" s="12" t="n"/>
    </row>
    <row r="15">
      <c r="A15" s="11" t="inlineStr">
        <is>
          <t>ACT-012</t>
        </is>
      </c>
      <c r="B15" s="12" t="n"/>
      <c r="C15" s="12" t="n"/>
      <c r="D15" s="12" t="n"/>
      <c r="E15" s="12" t="n"/>
      <c r="F15" s="12" t="n"/>
      <c r="G15" s="12" t="n"/>
      <c r="H15" s="12" t="n"/>
      <c r="I15" s="12" t="n"/>
      <c r="J15" s="12" t="n"/>
      <c r="K15" s="12" t="n"/>
      <c r="L15" s="12" t="n"/>
    </row>
    <row r="16">
      <c r="A16" s="11" t="inlineStr">
        <is>
          <t>ACT-013</t>
        </is>
      </c>
      <c r="B16" s="12" t="n"/>
      <c r="C16" s="12" t="n"/>
      <c r="D16" s="12" t="n"/>
      <c r="E16" s="12" t="n"/>
      <c r="F16" s="12" t="n"/>
      <c r="G16" s="12" t="n"/>
      <c r="H16" s="12" t="n"/>
      <c r="I16" s="12" t="n"/>
      <c r="J16" s="12" t="n"/>
      <c r="K16" s="12" t="n"/>
      <c r="L16" s="12" t="n"/>
    </row>
    <row r="17">
      <c r="A17" s="11" t="inlineStr">
        <is>
          <t>ACT-014</t>
        </is>
      </c>
      <c r="B17" s="12" t="n"/>
      <c r="C17" s="12" t="n"/>
      <c r="D17" s="12" t="n"/>
      <c r="E17" s="12" t="n"/>
      <c r="F17" s="12" t="n"/>
      <c r="G17" s="12" t="n"/>
      <c r="H17" s="12" t="n"/>
      <c r="I17" s="12" t="n"/>
      <c r="J17" s="12" t="n"/>
      <c r="K17" s="12" t="n"/>
      <c r="L17" s="12" t="n"/>
    </row>
    <row r="18">
      <c r="A18" s="11" t="inlineStr">
        <is>
          <t>ACT-015</t>
        </is>
      </c>
      <c r="B18" s="12" t="n"/>
      <c r="C18" s="12" t="n"/>
      <c r="D18" s="12" t="n"/>
      <c r="E18" s="12" t="n"/>
      <c r="F18" s="12" t="n"/>
      <c r="G18" s="12" t="n"/>
      <c r="H18" s="12" t="n"/>
      <c r="I18" s="12" t="n"/>
      <c r="J18" s="12" t="n"/>
      <c r="K18" s="12" t="n"/>
      <c r="L18" s="12" t="n"/>
    </row>
    <row r="19">
      <c r="A19" s="11" t="inlineStr">
        <is>
          <t>ACT-016</t>
        </is>
      </c>
      <c r="B19" s="12" t="n"/>
      <c r="C19" s="12" t="n"/>
      <c r="D19" s="12" t="n"/>
      <c r="E19" s="12" t="n"/>
      <c r="F19" s="12" t="n"/>
      <c r="G19" s="12" t="n"/>
      <c r="H19" s="12" t="n"/>
      <c r="I19" s="12" t="n"/>
      <c r="J19" s="12" t="n"/>
      <c r="K19" s="12" t="n"/>
      <c r="L19" s="12" t="n"/>
    </row>
    <row r="20">
      <c r="A20" s="11" t="inlineStr">
        <is>
          <t>ACT-017</t>
        </is>
      </c>
      <c r="B20" s="12" t="n"/>
      <c r="C20" s="12" t="n"/>
      <c r="D20" s="12" t="n"/>
      <c r="E20" s="12" t="n"/>
      <c r="F20" s="12" t="n"/>
      <c r="G20" s="12" t="n"/>
      <c r="H20" s="12" t="n"/>
      <c r="I20" s="12" t="n"/>
      <c r="J20" s="12" t="n"/>
      <c r="K20" s="12" t="n"/>
      <c r="L20" s="12" t="n"/>
    </row>
    <row r="21">
      <c r="A21" s="11" t="inlineStr">
        <is>
          <t>ACT-018</t>
        </is>
      </c>
      <c r="B21" s="12" t="n"/>
      <c r="C21" s="12" t="n"/>
      <c r="D21" s="12" t="n"/>
      <c r="E21" s="12" t="n"/>
      <c r="F21" s="12" t="n"/>
      <c r="G21" s="12" t="n"/>
      <c r="H21" s="12" t="n"/>
      <c r="I21" s="12" t="n"/>
      <c r="J21" s="12" t="n"/>
      <c r="K21" s="12" t="n"/>
      <c r="L21" s="12" t="n"/>
    </row>
    <row r="22">
      <c r="A22" s="11" t="inlineStr">
        <is>
          <t>ACT-019</t>
        </is>
      </c>
      <c r="B22" s="12" t="n"/>
      <c r="C22" s="12" t="n"/>
      <c r="D22" s="12" t="n"/>
      <c r="E22" s="12" t="n"/>
      <c r="F22" s="12" t="n"/>
      <c r="G22" s="12" t="n"/>
      <c r="H22" s="12" t="n"/>
      <c r="I22" s="12" t="n"/>
      <c r="J22" s="12" t="n"/>
      <c r="K22" s="12" t="n"/>
      <c r="L22" s="12" t="n"/>
    </row>
    <row r="23">
      <c r="A23" s="11" t="inlineStr">
        <is>
          <t>ACT-020</t>
        </is>
      </c>
      <c r="B23" s="12" t="n"/>
      <c r="C23" s="12" t="n"/>
      <c r="D23" s="12" t="n"/>
      <c r="E23" s="12" t="n"/>
      <c r="F23" s="12" t="n"/>
      <c r="G23" s="12" t="n"/>
      <c r="H23" s="12" t="n"/>
      <c r="I23" s="12" t="n"/>
      <c r="J23" s="12" t="n"/>
      <c r="K23" s="12" t="n"/>
      <c r="L23" s="12" t="n"/>
    </row>
    <row r="24">
      <c r="A24" s="11" t="inlineStr">
        <is>
          <t>ACT-021</t>
        </is>
      </c>
      <c r="B24" s="12" t="n"/>
      <c r="C24" s="12" t="n"/>
      <c r="D24" s="12" t="n"/>
      <c r="E24" s="12" t="n"/>
      <c r="F24" s="12" t="n"/>
      <c r="G24" s="12" t="n"/>
      <c r="H24" s="12" t="n"/>
      <c r="I24" s="12" t="n"/>
      <c r="J24" s="12" t="n"/>
      <c r="K24" s="12" t="n"/>
      <c r="L24" s="12" t="n"/>
    </row>
    <row r="25">
      <c r="A25" s="11" t="inlineStr">
        <is>
          <t>ACT-022</t>
        </is>
      </c>
      <c r="B25" s="12" t="n"/>
      <c r="C25" s="12" t="n"/>
      <c r="D25" s="12" t="n"/>
      <c r="E25" s="12" t="n"/>
      <c r="F25" s="12" t="n"/>
      <c r="G25" s="12" t="n"/>
      <c r="H25" s="12" t="n"/>
      <c r="I25" s="12" t="n"/>
      <c r="J25" s="12" t="n"/>
      <c r="K25" s="12" t="n"/>
      <c r="L25" s="12" t="n"/>
    </row>
    <row r="26">
      <c r="A26" s="11" t="inlineStr">
        <is>
          <t>ACT-023</t>
        </is>
      </c>
      <c r="B26" s="12" t="n"/>
      <c r="C26" s="12" t="n"/>
      <c r="D26" s="12" t="n"/>
      <c r="E26" s="12" t="n"/>
      <c r="F26" s="12" t="n"/>
      <c r="G26" s="12" t="n"/>
      <c r="H26" s="12" t="n"/>
      <c r="I26" s="12" t="n"/>
      <c r="J26" s="12" t="n"/>
      <c r="K26" s="12" t="n"/>
      <c r="L26" s="12" t="n"/>
    </row>
    <row r="27">
      <c r="A27" s="11" t="inlineStr">
        <is>
          <t>ACT-024</t>
        </is>
      </c>
      <c r="B27" s="12" t="n"/>
      <c r="C27" s="12" t="n"/>
      <c r="D27" s="12" t="n"/>
      <c r="E27" s="12" t="n"/>
      <c r="F27" s="12" t="n"/>
      <c r="G27" s="12" t="n"/>
      <c r="H27" s="12" t="n"/>
      <c r="I27" s="12" t="n"/>
      <c r="J27" s="12" t="n"/>
      <c r="K27" s="12" t="n"/>
      <c r="L27" s="12" t="n"/>
    </row>
    <row r="28">
      <c r="A28" s="11" t="inlineStr">
        <is>
          <t>ACT-025</t>
        </is>
      </c>
      <c r="B28" s="12" t="n"/>
      <c r="C28" s="12" t="n"/>
      <c r="D28" s="12" t="n"/>
      <c r="E28" s="12" t="n"/>
      <c r="F28" s="12" t="n"/>
      <c r="G28" s="12" t="n"/>
      <c r="H28" s="12" t="n"/>
      <c r="I28" s="12" t="n"/>
      <c r="J28" s="12" t="n"/>
      <c r="K28" s="12" t="n"/>
      <c r="L28" s="12" t="n"/>
    </row>
    <row r="29">
      <c r="A29" s="11" t="inlineStr">
        <is>
          <t>ACT-026</t>
        </is>
      </c>
      <c r="B29" s="12" t="n"/>
      <c r="C29" s="12" t="n"/>
      <c r="D29" s="12" t="n"/>
      <c r="E29" s="12" t="n"/>
      <c r="F29" s="12" t="n"/>
      <c r="G29" s="12" t="n"/>
      <c r="H29" s="12" t="n"/>
      <c r="I29" s="12" t="n"/>
      <c r="J29" s="12" t="n"/>
      <c r="K29" s="12" t="n"/>
      <c r="L29" s="12" t="n"/>
    </row>
    <row r="30">
      <c r="A30" s="11" t="inlineStr">
        <is>
          <t>ACT-027</t>
        </is>
      </c>
      <c r="B30" s="12" t="n"/>
      <c r="C30" s="12" t="n"/>
      <c r="D30" s="12" t="n"/>
      <c r="E30" s="12" t="n"/>
      <c r="F30" s="12" t="n"/>
      <c r="G30" s="12" t="n"/>
      <c r="H30" s="12" t="n"/>
      <c r="I30" s="12" t="n"/>
      <c r="J30" s="12" t="n"/>
      <c r="K30" s="12" t="n"/>
      <c r="L30" s="12" t="n"/>
    </row>
    <row r="31">
      <c r="A31" s="11" t="inlineStr">
        <is>
          <t>ACT-028</t>
        </is>
      </c>
      <c r="B31" s="12" t="n"/>
      <c r="C31" s="12" t="n"/>
      <c r="D31" s="12" t="n"/>
      <c r="E31" s="12" t="n"/>
      <c r="F31" s="12" t="n"/>
      <c r="G31" s="12" t="n"/>
      <c r="H31" s="12" t="n"/>
      <c r="I31" s="12" t="n"/>
      <c r="J31" s="12" t="n"/>
      <c r="K31" s="12" t="n"/>
      <c r="L31" s="12" t="n"/>
    </row>
    <row r="32">
      <c r="A32" s="11" t="inlineStr">
        <is>
          <t>ACT-029</t>
        </is>
      </c>
      <c r="B32" s="12" t="n"/>
      <c r="C32" s="12" t="n"/>
      <c r="D32" s="12" t="n"/>
      <c r="E32" s="12" t="n"/>
      <c r="F32" s="12" t="n"/>
      <c r="G32" s="12" t="n"/>
      <c r="H32" s="12" t="n"/>
      <c r="I32" s="12" t="n"/>
      <c r="J32" s="12" t="n"/>
      <c r="K32" s="12" t="n"/>
      <c r="L32" s="12" t="n"/>
    </row>
    <row r="33">
      <c r="A33" s="11" t="inlineStr">
        <is>
          <t>ACT-030</t>
        </is>
      </c>
      <c r="B33" s="12" t="n"/>
      <c r="C33" s="12" t="n"/>
      <c r="D33" s="12" t="n"/>
      <c r="E33" s="12" t="n"/>
      <c r="F33" s="12" t="n"/>
      <c r="G33" s="12" t="n"/>
      <c r="H33" s="12" t="n"/>
      <c r="I33" s="12" t="n"/>
      <c r="J33" s="12" t="n"/>
      <c r="K33" s="12" t="n"/>
      <c r="L33" s="12" t="n"/>
    </row>
    <row r="34">
      <c r="A34" s="11" t="inlineStr">
        <is>
          <t>ACT-031</t>
        </is>
      </c>
      <c r="B34" s="12" t="n"/>
      <c r="C34" s="12" t="n"/>
      <c r="D34" s="12" t="n"/>
      <c r="E34" s="12" t="n"/>
      <c r="F34" s="12" t="n"/>
      <c r="G34" s="12" t="n"/>
      <c r="H34" s="12" t="n"/>
      <c r="I34" s="12" t="n"/>
      <c r="J34" s="12" t="n"/>
      <c r="K34" s="12" t="n"/>
      <c r="L34" s="12" t="n"/>
    </row>
    <row r="35">
      <c r="A35" s="11" t="inlineStr">
        <is>
          <t>ACT-032</t>
        </is>
      </c>
      <c r="B35" s="12" t="n"/>
      <c r="C35" s="12" t="n"/>
      <c r="D35" s="12" t="n"/>
      <c r="E35" s="12" t="n"/>
      <c r="F35" s="12" t="n"/>
      <c r="G35" s="12" t="n"/>
      <c r="H35" s="12" t="n"/>
      <c r="I35" s="12" t="n"/>
      <c r="J35" s="12" t="n"/>
      <c r="K35" s="12" t="n"/>
      <c r="L35" s="12" t="n"/>
    </row>
    <row r="36">
      <c r="A36" s="11" t="inlineStr">
        <is>
          <t>ACT-033</t>
        </is>
      </c>
      <c r="B36" s="12" t="n"/>
      <c r="C36" s="12" t="n"/>
      <c r="D36" s="12" t="n"/>
      <c r="E36" s="12" t="n"/>
      <c r="F36" s="12" t="n"/>
      <c r="G36" s="12" t="n"/>
      <c r="H36" s="12" t="n"/>
      <c r="I36" s="12" t="n"/>
      <c r="J36" s="12" t="n"/>
      <c r="K36" s="12" t="n"/>
      <c r="L36" s="12" t="n"/>
    </row>
    <row r="37">
      <c r="A37" s="11" t="inlineStr">
        <is>
          <t>ACT-034</t>
        </is>
      </c>
      <c r="B37" s="12" t="n"/>
      <c r="C37" s="12" t="n"/>
      <c r="D37" s="12" t="n"/>
      <c r="E37" s="12" t="n"/>
      <c r="F37" s="12" t="n"/>
      <c r="G37" s="12" t="n"/>
      <c r="H37" s="12" t="n"/>
      <c r="I37" s="12" t="n"/>
      <c r="J37" s="12" t="n"/>
      <c r="K37" s="12" t="n"/>
      <c r="L37" s="12" t="n"/>
    </row>
    <row r="38">
      <c r="A38" s="11" t="inlineStr">
        <is>
          <t>ACT-035</t>
        </is>
      </c>
      <c r="B38" s="12" t="n"/>
      <c r="C38" s="12" t="n"/>
      <c r="D38" s="12" t="n"/>
      <c r="E38" s="12" t="n"/>
      <c r="F38" s="12" t="n"/>
      <c r="G38" s="12" t="n"/>
      <c r="H38" s="12" t="n"/>
      <c r="I38" s="12" t="n"/>
      <c r="J38" s="12" t="n"/>
      <c r="K38" s="12" t="n"/>
      <c r="L38" s="12" t="n"/>
    </row>
    <row r="39">
      <c r="A39" s="11" t="inlineStr">
        <is>
          <t>ACT-036</t>
        </is>
      </c>
      <c r="B39" s="12" t="n"/>
      <c r="C39" s="12" t="n"/>
      <c r="D39" s="12" t="n"/>
      <c r="E39" s="12" t="n"/>
      <c r="F39" s="12" t="n"/>
      <c r="G39" s="12" t="n"/>
      <c r="H39" s="12" t="n"/>
      <c r="I39" s="12" t="n"/>
      <c r="J39" s="12" t="n"/>
      <c r="K39" s="12" t="n"/>
      <c r="L39" s="12" t="n"/>
    </row>
    <row r="40">
      <c r="A40" s="11" t="inlineStr">
        <is>
          <t>ACT-037</t>
        </is>
      </c>
      <c r="B40" s="12" t="n"/>
      <c r="C40" s="12" t="n"/>
      <c r="D40" s="12" t="n"/>
      <c r="E40" s="12" t="n"/>
      <c r="F40" s="12" t="n"/>
      <c r="G40" s="12" t="n"/>
      <c r="H40" s="12" t="n"/>
      <c r="I40" s="12" t="n"/>
      <c r="J40" s="12" t="n"/>
      <c r="K40" s="12" t="n"/>
      <c r="L40" s="12" t="n"/>
    </row>
    <row r="41">
      <c r="A41" s="11" t="inlineStr">
        <is>
          <t>ACT-038</t>
        </is>
      </c>
      <c r="B41" s="12" t="n"/>
      <c r="C41" s="12" t="n"/>
      <c r="D41" s="12" t="n"/>
      <c r="E41" s="12" t="n"/>
      <c r="F41" s="12" t="n"/>
      <c r="G41" s="12" t="n"/>
      <c r="H41" s="12" t="n"/>
      <c r="I41" s="12" t="n"/>
      <c r="J41" s="12" t="n"/>
      <c r="K41" s="12" t="n"/>
      <c r="L41" s="12" t="n"/>
    </row>
    <row r="42">
      <c r="A42" s="11" t="inlineStr">
        <is>
          <t>ACT-039</t>
        </is>
      </c>
      <c r="B42" s="12" t="n"/>
      <c r="C42" s="12" t="n"/>
      <c r="D42" s="12" t="n"/>
      <c r="E42" s="12" t="n"/>
      <c r="F42" s="12" t="n"/>
      <c r="G42" s="12" t="n"/>
      <c r="H42" s="12" t="n"/>
      <c r="I42" s="12" t="n"/>
      <c r="J42" s="12" t="n"/>
      <c r="K42" s="12" t="n"/>
      <c r="L42" s="12" t="n"/>
    </row>
    <row r="43">
      <c r="A43" s="11" t="inlineStr">
        <is>
          <t>ACT-040</t>
        </is>
      </c>
      <c r="B43" s="12" t="n"/>
      <c r="C43" s="12" t="n"/>
      <c r="D43" s="12" t="n"/>
      <c r="E43" s="12" t="n"/>
      <c r="F43" s="12" t="n"/>
      <c r="G43" s="12" t="n"/>
      <c r="H43" s="12" t="n"/>
      <c r="I43" s="12" t="n"/>
      <c r="J43" s="12" t="n"/>
      <c r="K43" s="12" t="n"/>
      <c r="L43" s="12" t="n"/>
    </row>
    <row r="44">
      <c r="A44" s="11" t="inlineStr">
        <is>
          <t>ACT-041</t>
        </is>
      </c>
      <c r="B44" s="12" t="n"/>
      <c r="C44" s="12" t="n"/>
      <c r="D44" s="12" t="n"/>
      <c r="E44" s="12" t="n"/>
      <c r="F44" s="12" t="n"/>
      <c r="G44" s="12" t="n"/>
      <c r="H44" s="12" t="n"/>
      <c r="I44" s="12" t="n"/>
      <c r="J44" s="12" t="n"/>
      <c r="K44" s="12" t="n"/>
      <c r="L44" s="12" t="n"/>
    </row>
    <row r="45">
      <c r="A45" s="11" t="inlineStr">
        <is>
          <t>ACT-042</t>
        </is>
      </c>
      <c r="B45" s="12" t="n"/>
      <c r="C45" s="12" t="n"/>
      <c r="D45" s="12" t="n"/>
      <c r="E45" s="12" t="n"/>
      <c r="F45" s="12" t="n"/>
      <c r="G45" s="12" t="n"/>
      <c r="H45" s="12" t="n"/>
      <c r="I45" s="12" t="n"/>
      <c r="J45" s="12" t="n"/>
      <c r="K45" s="12" t="n"/>
      <c r="L45" s="12" t="n"/>
    </row>
    <row r="46">
      <c r="A46" s="11" t="inlineStr">
        <is>
          <t>ACT-043</t>
        </is>
      </c>
      <c r="B46" s="12" t="n"/>
      <c r="C46" s="12" t="n"/>
      <c r="D46" s="12" t="n"/>
      <c r="E46" s="12" t="n"/>
      <c r="F46" s="12" t="n"/>
      <c r="G46" s="12" t="n"/>
      <c r="H46" s="12" t="n"/>
      <c r="I46" s="12" t="n"/>
      <c r="J46" s="12" t="n"/>
      <c r="K46" s="12" t="n"/>
      <c r="L46" s="12" t="n"/>
    </row>
    <row r="47">
      <c r="A47" s="11" t="inlineStr">
        <is>
          <t>ACT-044</t>
        </is>
      </c>
      <c r="B47" s="12" t="n"/>
      <c r="C47" s="12" t="n"/>
      <c r="D47" s="12" t="n"/>
      <c r="E47" s="12" t="n"/>
      <c r="F47" s="12" t="n"/>
      <c r="G47" s="12" t="n"/>
      <c r="H47" s="12" t="n"/>
      <c r="I47" s="12" t="n"/>
      <c r="J47" s="12" t="n"/>
      <c r="K47" s="12" t="n"/>
      <c r="L47" s="12" t="n"/>
    </row>
    <row r="48">
      <c r="A48" s="11" t="inlineStr">
        <is>
          <t>ACT-045</t>
        </is>
      </c>
      <c r="B48" s="12" t="n"/>
      <c r="C48" s="12" t="n"/>
      <c r="D48" s="12" t="n"/>
      <c r="E48" s="12" t="n"/>
      <c r="F48" s="12" t="n"/>
      <c r="G48" s="12" t="n"/>
      <c r="H48" s="12" t="n"/>
      <c r="I48" s="12" t="n"/>
      <c r="J48" s="12" t="n"/>
      <c r="K48" s="12" t="n"/>
      <c r="L48" s="12" t="n"/>
    </row>
    <row r="49">
      <c r="A49" s="11" t="inlineStr">
        <is>
          <t>ACT-046</t>
        </is>
      </c>
      <c r="B49" s="12" t="n"/>
      <c r="C49" s="12" t="n"/>
      <c r="D49" s="12" t="n"/>
      <c r="E49" s="12" t="n"/>
      <c r="F49" s="12" t="n"/>
      <c r="G49" s="12" t="n"/>
      <c r="H49" s="12" t="n"/>
      <c r="I49" s="12" t="n"/>
      <c r="J49" s="12" t="n"/>
      <c r="K49" s="12" t="n"/>
      <c r="L49" s="12" t="n"/>
    </row>
    <row r="50">
      <c r="A50" s="11" t="inlineStr">
        <is>
          <t>ACT-047</t>
        </is>
      </c>
      <c r="B50" s="12" t="n"/>
      <c r="C50" s="12" t="n"/>
      <c r="D50" s="12" t="n"/>
      <c r="E50" s="12" t="n"/>
      <c r="F50" s="12" t="n"/>
      <c r="G50" s="12" t="n"/>
      <c r="H50" s="12" t="n"/>
      <c r="I50" s="12" t="n"/>
      <c r="J50" s="12" t="n"/>
      <c r="K50" s="12" t="n"/>
      <c r="L50" s="12" t="n"/>
    </row>
    <row r="51">
      <c r="A51" s="11" t="inlineStr">
        <is>
          <t>ACT-048</t>
        </is>
      </c>
      <c r="B51" s="12" t="n"/>
      <c r="C51" s="12" t="n"/>
      <c r="D51" s="12" t="n"/>
      <c r="E51" s="12" t="n"/>
      <c r="F51" s="12" t="n"/>
      <c r="G51" s="12" t="n"/>
      <c r="H51" s="12" t="n"/>
      <c r="I51" s="12" t="n"/>
      <c r="J51" s="12" t="n"/>
      <c r="K51" s="12" t="n"/>
      <c r="L51" s="12" t="n"/>
    </row>
    <row r="52">
      <c r="A52" s="11" t="inlineStr">
        <is>
          <t>ACT-049</t>
        </is>
      </c>
      <c r="B52" s="12" t="n"/>
      <c r="C52" s="12" t="n"/>
      <c r="D52" s="12" t="n"/>
      <c r="E52" s="12" t="n"/>
      <c r="F52" s="12" t="n"/>
      <c r="G52" s="12" t="n"/>
      <c r="H52" s="12" t="n"/>
      <c r="I52" s="12" t="n"/>
      <c r="J52" s="12" t="n"/>
      <c r="K52" s="12" t="n"/>
      <c r="L52" s="12" t="n"/>
    </row>
    <row r="53">
      <c r="A53" s="11" t="inlineStr">
        <is>
          <t>ACT-050</t>
        </is>
      </c>
      <c r="B53" s="12" t="n"/>
      <c r="C53" s="12" t="n"/>
      <c r="D53" s="12" t="n"/>
      <c r="E53" s="12" t="n"/>
      <c r="F53" s="12" t="n"/>
      <c r="G53" s="12" t="n"/>
      <c r="H53" s="12" t="n"/>
      <c r="I53" s="12" t="n"/>
      <c r="J53" s="12" t="n"/>
      <c r="K53" s="12" t="n"/>
      <c r="L53" s="12" t="n"/>
    </row>
  </sheetData>
  <mergeCells count="1">
    <mergeCell ref="A1:L1"/>
  </mergeCells>
  <dataValidations count="2">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"Technical,Process,Training,Documentation"</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"Not Started,In Progress,Completed,Blocked"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5" customWidth="1" min="1" max="1"/>
    <col width="12" customWidth="1" min="2" max="2"/>
    <col width="12" customWidth="1" min="3" max="3"/>
    <col width="12" customWidth="1" min="4" max="4"/>
    <col width="50" customWidth="1" min="5" max="5"/>
  </cols>
  <sheetData>
    <row r="1" ht="30" customHeight="1">
      <c r="A1" s="1" t="inlineStr">
        <is>
          <t>AUDIT READINESS CHECKLIST</t>
        </is>
      </c>
    </row>
    <row r="3">
      <c r="A3" s="6" t="inlineStr">
        <is>
          <t>Document/Evidence</t>
        </is>
      </c>
      <c r="B3" s="6" t="inlineStr">
        <is>
          <t>Required</t>
        </is>
      </c>
      <c r="C3" s="6" t="inlineStr">
        <is>
          <t>Available</t>
        </is>
      </c>
      <c r="D3" s="6" t="inlineStr">
        <is>
          <t>Current</t>
        </is>
      </c>
      <c r="E3" s="6" t="inlineStr">
        <is>
          <t>Evidence Location</t>
        </is>
      </c>
    </row>
    <row r="4">
      <c r="A4" t="inlineStr">
        <is>
          <t>Equipment Siting Policy (ISMS-POL-A.7.8-9)</t>
        </is>
      </c>
      <c r="B4" t="inlineStr">
        <is>
          <t>Yes</t>
        </is>
      </c>
      <c r="C4" s="5" t="n"/>
      <c r="D4" s="5" t="n"/>
      <c r="E4" s="5" t="n"/>
    </row>
    <row r="5">
      <c r="A5" t="inlineStr">
        <is>
          <t>Equipment Siting Assessment (S1)</t>
        </is>
      </c>
      <c r="B5" t="inlineStr">
        <is>
          <t>Yes</t>
        </is>
      </c>
      <c r="C5" s="5" t="n"/>
      <c r="D5" s="5" t="n"/>
      <c r="E5" s="5" t="n"/>
    </row>
    <row r="6">
      <c r="A6" t="inlineStr">
        <is>
          <t>Off-Premises Security Assessment (S2)</t>
        </is>
      </c>
      <c r="B6" t="inlineStr">
        <is>
          <t>Yes</t>
        </is>
      </c>
      <c r="C6" s="5" t="n"/>
      <c r="D6" s="5" t="n"/>
      <c r="E6" s="5" t="n"/>
    </row>
    <row r="7">
      <c r="A7" t="inlineStr">
        <is>
          <t>Equipment Removal Authorisation Forms</t>
        </is>
      </c>
      <c r="B7" t="inlineStr">
        <is>
          <t>Yes</t>
        </is>
      </c>
      <c r="C7" s="5" t="n"/>
      <c r="D7" s="5" t="n"/>
      <c r="E7" s="5" t="n"/>
    </row>
    <row r="8">
      <c r="A8" t="inlineStr">
        <is>
          <t>Remote Working Policy</t>
        </is>
      </c>
      <c r="B8" t="inlineStr">
        <is>
          <t>Yes</t>
        </is>
      </c>
      <c r="C8" s="5" t="n"/>
      <c r="D8" s="5" t="n"/>
      <c r="E8" s="5" t="n"/>
    </row>
    <row r="9">
      <c r="A9" t="inlineStr">
        <is>
          <t>MDM Compliance Reports</t>
        </is>
      </c>
      <c r="B9" t="inlineStr">
        <is>
          <t>Yes</t>
        </is>
      </c>
      <c r="C9" s="5" t="n"/>
      <c r="D9" s="5" t="n"/>
      <c r="E9" s="5" t="n"/>
    </row>
    <row r="10">
      <c r="A10" t="inlineStr">
        <is>
          <t>Environmental Monitoring Reports</t>
        </is>
      </c>
      <c r="B10" t="inlineStr">
        <is>
          <t>Yes</t>
        </is>
      </c>
      <c r="C10" s="5" t="n"/>
      <c r="D10" s="5" t="n"/>
      <c r="E10" s="5" t="n"/>
    </row>
    <row r="11">
      <c r="A11" t="inlineStr">
        <is>
          <t>Physical Security Incident Reports</t>
        </is>
      </c>
      <c r="B11" t="inlineStr">
        <is>
          <t>Yes</t>
        </is>
      </c>
      <c r="C11" s="5" t="n"/>
      <c r="D11" s="5" t="n"/>
      <c r="E11" s="5" t="n"/>
    </row>
    <row r="12">
      <c r="A12" t="inlineStr">
        <is>
          <t>Equipment Loss/Theft Reports</t>
        </is>
      </c>
      <c r="B12" t="inlineStr">
        <is>
          <t>Yes</t>
        </is>
      </c>
      <c r="C12" s="5" t="n"/>
      <c r="D12" s="5" t="n"/>
      <c r="E12" s="5" t="n"/>
    </row>
    <row r="13">
      <c r="A13" t="inlineStr">
        <is>
          <t>UPS and Generator Test Records</t>
        </is>
      </c>
      <c r="B13" t="inlineStr">
        <is>
          <t>Yes</t>
        </is>
      </c>
      <c r="C13" s="5" t="n"/>
      <c r="D13" s="5" t="n"/>
      <c r="E13" s="5" t="n"/>
    </row>
    <row r="15">
      <c r="A15" s="14" t="inlineStr">
        <is>
          <t>AUDIT READINESS SCORE:</t>
        </is>
      </c>
      <c r="C15" s="14">
        <f>ROUND(COUNTIF(C4:C13,"Yes")/10*100,0)&amp;"%"</f>
        <v/>
      </c>
    </row>
  </sheetData>
  <mergeCells count="1">
    <mergeCell ref="A1:E1"/>
  </mergeCells>
  <dataValidations count="1">
    <dataValidation sqref="C4 C5 C6 C7 C8 C9 C10 C11 C12 C13 D4 D5 D6 D7 D8 D9 D10 D11 D12 D1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COMPLIANCE TREND ANALYSIS</t>
        </is>
      </c>
    </row>
    <row r="3">
      <c r="A3" s="6" t="inlineStr">
        <is>
          <t>Quarter</t>
        </is>
      </c>
      <c r="B3" s="6" t="inlineStr">
        <is>
          <t>A.7.8 Score</t>
        </is>
      </c>
      <c r="C3" s="6" t="inlineStr">
        <is>
          <t>A.7.9 Score</t>
        </is>
      </c>
      <c r="D3" s="6" t="inlineStr">
        <is>
          <t>Overall Score</t>
        </is>
      </c>
      <c r="E3" s="6" t="inlineStr">
        <is>
          <t>Open Gaps</t>
        </is>
      </c>
      <c r="F3" s="6" t="inlineStr">
        <is>
          <t>Incidents</t>
        </is>
      </c>
      <c r="G3" s="6" t="inlineStr">
        <is>
          <t>Notes</t>
        </is>
      </c>
    </row>
    <row r="4">
      <c r="A4" t="inlineStr">
        <is>
          <t>Q1 2025</t>
        </is>
      </c>
      <c r="B4" s="5" t="n"/>
      <c r="C4" s="5" t="n"/>
      <c r="D4" s="8">
        <f>IF(OR(B4="",C4=""),"",(VALUE(SUBSTITUTE(B4,"%",""))+VALUE(SUBSTITUTE(C4,"%","")))/2&amp;"%")</f>
        <v/>
      </c>
      <c r="E4" s="5" t="n"/>
      <c r="F4" s="5" t="n"/>
      <c r="G4" s="5" t="n"/>
    </row>
    <row r="5">
      <c r="A5" t="inlineStr">
        <is>
          <t>Q2 2025</t>
        </is>
      </c>
      <c r="B5" s="5" t="n"/>
      <c r="C5" s="5" t="n"/>
      <c r="D5" s="8">
        <f>IF(OR(B5="",C5=""),"",(VALUE(SUBSTITUTE(B5,"%",""))+VALUE(SUBSTITUTE(C5,"%","")))/2&amp;"%")</f>
        <v/>
      </c>
      <c r="E5" s="5" t="n"/>
      <c r="F5" s="5" t="n"/>
      <c r="G5" s="5" t="n"/>
    </row>
    <row r="6">
      <c r="A6" t="inlineStr">
        <is>
          <t>Q3 2025</t>
        </is>
      </c>
      <c r="B6" s="5" t="n"/>
      <c r="C6" s="5" t="n"/>
      <c r="D6" s="8">
        <f>IF(OR(B6="",C6=""),"",(VALUE(SUBSTITUTE(B6,"%",""))+VALUE(SUBSTITUTE(C6,"%","")))/2&amp;"%")</f>
        <v/>
      </c>
      <c r="E6" s="5" t="n"/>
      <c r="F6" s="5" t="n"/>
      <c r="G6" s="5" t="n"/>
    </row>
    <row r="7">
      <c r="A7" t="inlineStr">
        <is>
          <t>Q4 2025</t>
        </is>
      </c>
      <c r="B7" s="5" t="n"/>
      <c r="C7" s="5" t="n"/>
      <c r="D7" s="8">
        <f>IF(OR(B7="",C7=""),"",(VALUE(SUBSTITUTE(B7,"%",""))+VALUE(SUBSTITUTE(C7,"%","")))/2&amp;"%")</f>
        <v/>
      </c>
      <c r="E7" s="5" t="n"/>
      <c r="F7" s="5" t="n"/>
      <c r="G7" s="5" t="n"/>
    </row>
    <row r="8">
      <c r="A8" t="inlineStr">
        <is>
          <t>Q1 2026</t>
        </is>
      </c>
      <c r="B8" s="5" t="n"/>
      <c r="C8" s="5" t="n"/>
      <c r="D8" s="8">
        <f>IF(OR(B8="",C8=""),"",(VALUE(SUBSTITUTE(B8,"%",""))+VALUE(SUBSTITUTE(C8,"%","")))/2&amp;"%")</f>
        <v/>
      </c>
      <c r="E8" s="5" t="n"/>
      <c r="F8" s="5" t="n"/>
      <c r="G8" s="5" t="n"/>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DATA INPUT - SOURCE ASSESSMENT DATA</t>
        </is>
      </c>
    </row>
    <row r="2">
      <c r="A2" s="10" t="inlineStr">
        <is>
          <t>Enter data from S1 (Equipment Siting) and S2 (Off-Premises Assets) assessments.</t>
        </is>
      </c>
    </row>
    <row r="4">
      <c r="A4" s="9" t="inlineStr">
        <is>
          <t>A.7.8 EQUIPMENT SITING DATA (from ISMS-IMP-A.7.8.S1)</t>
        </is>
      </c>
    </row>
    <row r="5">
      <c r="A5" s="15" t="inlineStr">
        <is>
          <t>Sub-domain</t>
        </is>
      </c>
      <c r="B5" s="15" t="inlineStr">
        <is>
          <t>Score</t>
        </is>
      </c>
      <c r="C5" s="15" t="inlineStr">
        <is>
          <t>Items</t>
        </is>
      </c>
      <c r="D5" s="15" t="inlineStr">
        <is>
          <t>Compliant</t>
        </is>
      </c>
      <c r="E5" s="15" t="inlineStr">
        <is>
          <t>Partial</t>
        </is>
      </c>
      <c r="F5" s="15" t="inlineStr">
        <is>
          <t>Non-Compliant</t>
        </is>
      </c>
      <c r="G5" s="15" t="inlineStr">
        <is>
          <t>N/A</t>
        </is>
      </c>
      <c r="H5" s="15" t="inlineStr">
        <is>
          <t>Notes</t>
        </is>
      </c>
    </row>
    <row r="6">
      <c r="A6" t="inlineStr">
        <is>
          <t>Equipment Locations</t>
        </is>
      </c>
      <c r="B6">
        <f>IF(D6=0,"0%",ROUND(E6/D6*100,1)&amp;"%")</f>
        <v/>
      </c>
      <c r="C6" s="5" t="n"/>
      <c r="D6" s="5" t="n"/>
      <c r="E6" s="5" t="n"/>
      <c r="F6" s="5" t="n"/>
      <c r="G6" s="5" t="n"/>
      <c r="H6" s="5" t="n"/>
    </row>
    <row r="7">
      <c r="A7" t="inlineStr">
        <is>
          <t>Environmental Assessment</t>
        </is>
      </c>
      <c r="B7">
        <f>IF(D7=0,"0%",ROUND(E7/D7*100,1)&amp;"%")</f>
        <v/>
      </c>
      <c r="C7" s="5" t="n"/>
      <c r="D7" s="5" t="n"/>
      <c r="E7" s="5" t="n"/>
      <c r="F7" s="5" t="n"/>
      <c r="G7" s="5" t="n"/>
      <c r="H7" s="5" t="n"/>
    </row>
    <row r="8">
      <c r="A8" t="inlineStr">
        <is>
          <t>Physical Security</t>
        </is>
      </c>
      <c r="B8">
        <f>IF(D8=0,"0%",ROUND(E8/D8*100,1)&amp;"%")</f>
        <v/>
      </c>
      <c r="C8" s="5" t="n"/>
      <c r="D8" s="5" t="n"/>
      <c r="E8" s="5" t="n"/>
      <c r="F8" s="5" t="n"/>
      <c r="G8" s="5" t="n"/>
      <c r="H8" s="5" t="n"/>
    </row>
    <row r="9">
      <c r="A9" t="inlineStr">
        <is>
          <t>Power Infrastructure</t>
        </is>
      </c>
      <c r="B9">
        <f>IF(D9=0,"0%",ROUND(E9/D9*100,1)&amp;"%")</f>
        <v/>
      </c>
      <c r="C9" s="5" t="n"/>
      <c r="D9" s="5" t="n"/>
      <c r="E9" s="5" t="n"/>
      <c r="F9" s="5" t="n"/>
      <c r="G9" s="5" t="n"/>
      <c r="H9" s="5" t="n"/>
    </row>
    <row r="10">
      <c r="A10" t="inlineStr">
        <is>
          <t>Workstation Security</t>
        </is>
      </c>
      <c r="B10">
        <f>IF(D10=0,"0%",ROUND(E10/D10*100,1)&amp;"%")</f>
        <v/>
      </c>
      <c r="C10" s="5" t="n"/>
      <c r="D10" s="5" t="n"/>
      <c r="E10" s="5" t="n"/>
      <c r="F10" s="5" t="n"/>
      <c r="G10" s="5" t="n"/>
      <c r="H10" s="5" t="n"/>
    </row>
    <row r="11">
      <c r="A11" s="4" t="inlineStr">
        <is>
          <t>A.7.8 TOTAL</t>
        </is>
      </c>
      <c r="B11" s="4">
        <f>IF(D11=0,"0%",ROUND(E11/D11*100,1)&amp;"%")</f>
        <v/>
      </c>
      <c r="C11">
        <f>SUM(D6:D10)</f>
        <v/>
      </c>
      <c r="D11">
        <f>SUM(E6:E10)</f>
        <v/>
      </c>
      <c r="E11">
        <f>SUM(F6:F10)</f>
        <v/>
      </c>
      <c r="F11">
        <f>SUM(G6:G10)</f>
        <v/>
      </c>
      <c r="G11">
        <f>SUM(H6:H10)</f>
        <v/>
      </c>
    </row>
    <row r="13">
      <c r="A13" s="9" t="inlineStr">
        <is>
          <t>A.7.9 OFF-PREMISES SECURITY DATA (from ISMS-IMP-A.7.9.S2)</t>
        </is>
      </c>
    </row>
    <row r="14">
      <c r="A14" s="15" t="inlineStr">
        <is>
          <t>Sub-domain</t>
        </is>
      </c>
      <c r="B14" s="15" t="inlineStr">
        <is>
          <t>Score</t>
        </is>
      </c>
      <c r="C14" s="15" t="inlineStr">
        <is>
          <t>Items</t>
        </is>
      </c>
      <c r="D14" s="15" t="inlineStr">
        <is>
          <t>Compliant</t>
        </is>
      </c>
      <c r="E14" s="15" t="inlineStr">
        <is>
          <t>Partial</t>
        </is>
      </c>
      <c r="F14" s="15" t="inlineStr">
        <is>
          <t>Non-Compliant</t>
        </is>
      </c>
      <c r="G14" s="15" t="inlineStr">
        <is>
          <t>N/A</t>
        </is>
      </c>
      <c r="H14" s="15" t="inlineStr">
        <is>
          <t>Notes</t>
        </is>
      </c>
    </row>
    <row r="15">
      <c r="A15" t="inlineStr">
        <is>
          <t>Equipment Inventory</t>
        </is>
      </c>
      <c r="B15">
        <f>IF(D15=0,"0%",ROUND(E15/D15*100,1)&amp;"%")</f>
        <v/>
      </c>
      <c r="C15" s="5" t="n"/>
      <c r="D15" s="5" t="n"/>
      <c r="E15" s="5" t="n"/>
      <c r="F15" s="5" t="n"/>
      <c r="G15" s="5" t="n"/>
      <c r="H15" s="5" t="n"/>
    </row>
    <row r="16">
      <c r="A16" t="inlineStr">
        <is>
          <t>Authorisation &amp; Tracking</t>
        </is>
      </c>
      <c r="B16">
        <f>IF(D16=0,"0%",ROUND(E16/D16*100,1)&amp;"%")</f>
        <v/>
      </c>
      <c r="C16" s="5" t="n"/>
      <c r="D16" s="5" t="n"/>
      <c r="E16" s="5" t="n"/>
      <c r="F16" s="5" t="n"/>
      <c r="G16" s="5" t="n"/>
      <c r="H16" s="5" t="n"/>
    </row>
    <row r="17">
      <c r="A17" t="inlineStr">
        <is>
          <t>Protection Measures</t>
        </is>
      </c>
      <c r="B17">
        <f>IF(D17=0,"0%",ROUND(E17/D17*100,1)&amp;"%")</f>
        <v/>
      </c>
      <c r="C17" s="5" t="n"/>
      <c r="D17" s="5" t="n"/>
      <c r="E17" s="5" t="n"/>
      <c r="F17" s="5" t="n"/>
      <c r="G17" s="5" t="n"/>
      <c r="H17" s="5" t="n"/>
    </row>
    <row r="18">
      <c r="A18" t="inlineStr">
        <is>
          <t>Remote Working</t>
        </is>
      </c>
      <c r="B18">
        <f>IF(D18=0,"0%",ROUND(E18/D18*100,1)&amp;"%")</f>
        <v/>
      </c>
      <c r="C18" s="5" t="n"/>
      <c r="D18" s="5" t="n"/>
      <c r="E18" s="5" t="n"/>
      <c r="F18" s="5" t="n"/>
      <c r="G18" s="5" t="n"/>
      <c r="H18" s="5" t="n"/>
    </row>
    <row r="19">
      <c r="A19" t="inlineStr">
        <is>
          <t>Permanent Off-Site</t>
        </is>
      </c>
      <c r="B19">
        <f>IF(D19=0,"0%",ROUND(E19/D19*100,1)&amp;"%")</f>
        <v/>
      </c>
      <c r="C19" s="5" t="n"/>
      <c r="D19" s="5" t="n"/>
      <c r="E19" s="5" t="n"/>
      <c r="F19" s="5" t="n"/>
      <c r="G19" s="5" t="n"/>
      <c r="H19" s="5" t="n"/>
    </row>
    <row r="20">
      <c r="A20" s="4" t="inlineStr">
        <is>
          <t>A.7.9 TOTAL</t>
        </is>
      </c>
      <c r="B20" s="4">
        <f>IF(D20=0,"0%",ROUND(E20/D20*100,1)&amp;"%")</f>
        <v/>
      </c>
      <c r="C20">
        <f>SUM(D15:D19)</f>
        <v/>
      </c>
      <c r="D20">
        <f>SUM(E15:E19)</f>
        <v/>
      </c>
      <c r="E20">
        <f>SUM(F15:F19)</f>
        <v/>
      </c>
      <c r="F20">
        <f>SUM(G15:G19)</f>
        <v/>
      </c>
    </row>
    <row r="22">
      <c r="A22" s="16" t="inlineStr">
        <is>
          <t>OVERALL SCORE:</t>
        </is>
      </c>
      <c r="B22" s="16">
        <f>IF(D11+D20=0,"0%",ROUND((E11+E20)/(D11+D20)*100,1)&amp;"%")</f>
        <v/>
      </c>
    </row>
  </sheetData>
  <mergeCells count="4">
    <mergeCell ref="A4:H4"/>
    <mergeCell ref="A13:H1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2026-02-08T10:49:31Z</dcterms:created>
  <dcterms:modified xmlns:dcterms="http://purl.org/dc/terms/" xmlns:xsi="http://www.w3.org/2001/XMLSchema-instance" xsi:type="dcterms:W3CDTF">2026-02-08T10:49:31Z</dcterms:modified>
</cp:coreProperties>
</file>