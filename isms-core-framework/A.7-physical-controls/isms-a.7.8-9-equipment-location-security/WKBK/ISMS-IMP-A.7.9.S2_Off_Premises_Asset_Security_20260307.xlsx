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Inventory" sheetId="2" state="visible" r:id="rId2"/>
    <sheet xmlns:r="http://schemas.openxmlformats.org/officeDocument/2006/relationships" name="Authorisation" sheetId="3" state="visible" r:id="rId3"/>
    <sheet xmlns:r="http://schemas.openxmlformats.org/officeDocument/2006/relationships" name="Protection Measures" sheetId="4" state="visible" r:id="rId4"/>
    <sheet xmlns:r="http://schemas.openxmlformats.org/officeDocument/2006/relationships" name="Remote Working" sheetId="5" state="visible" r:id="rId5"/>
    <sheet xmlns:r="http://schemas.openxmlformats.org/officeDocument/2006/relationships" name="Permanent Off-Site" sheetId="6" state="visible" r:id="rId6"/>
    <sheet xmlns:r="http://schemas.openxmlformats.org/officeDocument/2006/relationships" name="Incident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FFFFFF"/>
      <sz val="10"/>
    </font>
    <font>
      <name val="Calibri"/>
      <i val="1"/>
      <color rgb="00808080"/>
    </font>
    <font>
      <name val="Calibri"/>
      <i val="1"/>
      <sz val="10"/>
    </font>
    <font>
      <name val="Calibri"/>
      <b val="1"/>
      <color rgb="00FFFFFF"/>
      <sz val="10"/>
    </font>
    <font>
      <name val="Calibri"/>
      <color rgb="0080808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9" borderId="0" applyAlignment="1" pivotButton="0" quotePrefix="0" xfId="0">
      <alignment horizontal="left" vertical="center"/>
    </xf>
    <xf numFmtId="0" fontId="4" fillId="10" borderId="1" applyAlignment="1" pivotButton="0" quotePrefix="0" xfId="0">
      <alignment horizontal="center" vertical="center" wrapText="1"/>
    </xf>
    <xf numFmtId="0" fontId="6" fillId="11" borderId="1" pivotButton="0" quotePrefix="0" xfId="0"/>
    <xf numFmtId="0" fontId="0" fillId="11" borderId="1" pivotButton="0" quotePrefix="0" xfId="0"/>
    <xf numFmtId="0" fontId="0" fillId="12"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2" borderId="1" pivotButton="0" quotePrefix="0" xfId="0"/>
    <xf numFmtId="0" fontId="10"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8" borderId="1" pivotButton="0" quotePrefix="0" xfId="0"/>
    <xf numFmtId="0" fontId="13" fillId="10"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10" borderId="1" pivotButton="0" quotePrefix="0" xfId="0"/>
    <xf numFmtId="0" fontId="13" fillId="10" borderId="1" applyAlignment="1" pivotButton="0" quotePrefix="0" xfId="0">
      <alignment horizontal="center"/>
    </xf>
    <xf numFmtId="164" fontId="13" fillId="10" borderId="1" applyAlignment="1" pivotButton="0" quotePrefix="0" xfId="0">
      <alignment horizontal="center"/>
    </xf>
    <xf numFmtId="0" fontId="12" fillId="13" borderId="1" pivotButton="0" quotePrefix="0" xfId="0"/>
    <xf numFmtId="0" fontId="14" fillId="12" borderId="1" pivotButton="0" quotePrefix="0" xfId="0"/>
    <xf numFmtId="0" fontId="14" fillId="12" borderId="1" applyAlignment="1" pivotButton="0" quotePrefix="0" xfId="0">
      <alignment horizont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9" borderId="1" pivotButton="0" quotePrefix="0" xfId="0"/>
    <xf numFmtId="0" fontId="3" fillId="0"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ISMS-IMP-A.7.9.S2  -  Off-Premises Asset Security
ISO/IEC 27001:2022 - Control A.7.9: Security of Assets Off-Premises</t>
        </is>
      </c>
    </row>
    <row r="3">
      <c r="A3" s="2" t="inlineStr">
        <is>
          <t>Document Information</t>
        </is>
      </c>
    </row>
    <row r="4">
      <c r="A4" s="3" t="inlineStr">
        <is>
          <t>Document ID</t>
        </is>
      </c>
      <c r="B4" t="inlineStr">
        <is>
          <t>ISMS-IMP-A.7.9.S2</t>
        </is>
      </c>
    </row>
    <row r="5">
      <c r="A5" s="3" t="inlineStr">
        <is>
          <t>Workbook Title</t>
        </is>
      </c>
      <c r="B5" t="inlineStr">
        <is>
          <t>Off-Premises Asset Security</t>
        </is>
      </c>
    </row>
    <row r="6">
      <c r="A6" s="3" t="inlineStr">
        <is>
          <t>Control Reference</t>
        </is>
      </c>
      <c r="B6" t="inlineStr">
        <is>
          <t>ISO/IEC 27001:2022 - Control A.7.9: Security of Assets Off-Premises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Inventory) — categories of off-premises equipment.</t>
        </is>
      </c>
    </row>
    <row r="14">
      <c r="A14" t="inlineStr">
        <is>
          <t>2. Complete Sheet 3 (Authorisation &amp; Tracking) — removal processes.</t>
        </is>
      </c>
    </row>
    <row r="15">
      <c r="A15" t="inlineStr">
        <is>
          <t>3. Complete Sheet 4 (Protection Measures) — security controls.</t>
        </is>
      </c>
    </row>
    <row r="16">
      <c r="A16" t="inlineStr">
        <is>
          <t>4. Complete Sheet 5 (Remote Working) — remote work scenarios.</t>
        </is>
      </c>
    </row>
    <row r="17">
      <c r="A17" t="inlineStr">
        <is>
          <t>5. Complete Sheet 6 (Permanent Off-Site) — fixed installations.</t>
        </is>
      </c>
    </row>
    <row r="18">
      <c r="A18" t="inlineStr">
        <is>
          <t>6. Document incidents in Sheet 7 (Incidents).</t>
        </is>
      </c>
    </row>
    <row r="19">
      <c r="A19" t="inlineStr">
        <is>
          <t>7. Document evidence in Sheet 8 (Evidence Register).</t>
        </is>
      </c>
    </row>
    <row r="20">
      <c r="A20" t="inlineStr">
        <is>
          <t>8. Review Sheet 9 (Summary Dashboard) for compliance scores.</t>
        </is>
      </c>
    </row>
    <row r="21">
      <c r="A21" t="inlineStr">
        <is>
          <t>9. Obtain approvals in Sheet 10 (Approval Sign-Off).</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12" customWidth="1" min="4" max="4"/>
    <col width="16" customWidth="1" min="5" max="5"/>
    <col width="25" customWidth="1" min="6" max="6"/>
    <col width="18" customWidth="1" min="7" max="7"/>
    <col width="18" customWidth="1" min="8" max="8"/>
    <col width="18" customWidth="1" min="9" max="9"/>
    <col width="18" customWidth="1" min="10" max="10"/>
    <col width="18" customWidth="1" min="11" max="11"/>
    <col width="18" customWidth="1" min="12" max="12"/>
    <col width="40" customWidth="1" min="13" max="13"/>
  </cols>
  <sheetData>
    <row r="1" ht="35" customHeight="1">
      <c r="A1" s="11" t="inlineStr">
        <is>
          <t>EQUIPMENT INVENTORY FOR OFF-PREMISES USE
Policy Requirement: Off-site assets should be protected</t>
        </is>
      </c>
    </row>
    <row r="2">
      <c r="A2" s="12" t="inlineStr">
        <is>
          <t>ISO/IEC 27001:2022 - Control A.7.9: Security of Assets Off-Premises</t>
        </is>
      </c>
    </row>
    <row r="3">
      <c r="A3" s="13" t="inlineStr">
        <is>
          <t>Category ID</t>
        </is>
      </c>
      <c r="B3" s="13" t="inlineStr">
        <is>
          <t>Equipment Category</t>
        </is>
      </c>
      <c r="C3" s="13" t="inlineStr">
        <is>
          <t>Equipment Type</t>
        </is>
      </c>
      <c r="D3" s="13" t="inlineStr">
        <is>
          <t>Total Count</t>
        </is>
      </c>
      <c r="E3" s="13" t="inlineStr">
        <is>
          <t>Off-Premises Count</t>
        </is>
      </c>
      <c r="F3" s="13" t="inlineStr">
        <is>
          <t>Primary Use Case</t>
        </is>
      </c>
      <c r="G3" s="13" t="inlineStr">
        <is>
          <t>MDM Managed</t>
        </is>
      </c>
      <c r="H3" s="13" t="inlineStr">
        <is>
          <t>Encryption Enabled</t>
        </is>
      </c>
      <c r="I3" s="13" t="inlineStr">
        <is>
          <t>Remote Wipe Capable</t>
        </is>
      </c>
      <c r="J3" s="13" t="inlineStr">
        <is>
          <t>GPS Tracking</t>
        </is>
      </c>
      <c r="K3" s="13" t="inlineStr">
        <is>
          <t>Last Compliance Check</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6">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"Laptop,Mobile Phone,Tablet,Storage Media,Edge Device,Other"</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All devices,Partial,No"</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- 100%,Partial (&gt;80%),Low (&lt;80%),No"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 - Tested,Yes - Not tested,No"</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Enabled,Available - Not enabled,Not available"</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25" customWidth="1" min="4" max="4"/>
    <col width="20" customWidth="1" min="5" max="5"/>
    <col width="20" customWidth="1" min="6" max="6"/>
    <col width="22" customWidth="1" min="7" max="7"/>
    <col width="18" customWidth="1" min="8" max="8"/>
    <col width="15" customWidth="1" min="9" max="9"/>
    <col width="18" customWidth="1" min="10" max="10"/>
    <col width="18" customWidth="1" min="11" max="11"/>
    <col width="40" customWidth="1" min="12" max="12"/>
  </cols>
  <sheetData>
    <row r="1" ht="35" customHeight="1">
      <c r="A1" s="11" t="inlineStr">
        <is>
          <t>AUTHORISATION &amp; TRACKING PROCESSES
Policy Requirement: Equipment removal should be authorised and tracked</t>
        </is>
      </c>
    </row>
    <row r="2">
      <c r="A2" s="12" t="inlineStr">
        <is>
          <t>ISO/IEC 27001:2022 - Control A.7.9: Security of Assets Off-Premises</t>
        </is>
      </c>
    </row>
    <row r="3">
      <c r="A3" s="13" t="inlineStr">
        <is>
          <t>Category ID</t>
        </is>
      </c>
      <c r="B3" s="13" t="inlineStr">
        <is>
          <t>Equipment Category</t>
        </is>
      </c>
      <c r="C3" s="13" t="inlineStr">
        <is>
          <t>Authorisation Required</t>
        </is>
      </c>
      <c r="D3" s="13" t="inlineStr">
        <is>
          <t>Authorisation Method</t>
        </is>
      </c>
      <c r="E3" s="13" t="inlineStr">
        <is>
          <t>Tracking System</t>
        </is>
      </c>
      <c r="F3" s="13" t="inlineStr">
        <is>
          <t>Chain of Custody</t>
        </is>
      </c>
      <c r="G3" s="13" t="inlineStr">
        <is>
          <t>Return Verification</t>
        </is>
      </c>
      <c r="H3" s="13" t="inlineStr">
        <is>
          <t>Overdue Alert</t>
        </is>
      </c>
      <c r="I3" s="13" t="inlineStr">
        <is>
          <t>Current Overdue</t>
        </is>
      </c>
      <c r="J3" s="13" t="inlineStr">
        <is>
          <t>Last Process Review</t>
        </is>
      </c>
      <c r="K3" s="13" t="inlineStr">
        <is>
          <t>Compliance Status</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5">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"Yes - Manager approval,Yes - IT approval,Yes - Auto-approved,No approval required"</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Full tracking,Partial,No"</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Physical check,Yes - System check,No verification"</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Automated,Yes - Manual review,No"</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 Compliant,⚠ Partial,❌ Non-Compliant"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2" customWidth="1" min="3" max="3"/>
    <col width="22" customWidth="1" min="4" max="4"/>
    <col width="22" customWidth="1" min="5" max="5"/>
    <col width="25" customWidth="1" min="6" max="6"/>
    <col width="22" customWidth="1" min="7" max="7"/>
    <col width="22" customWidth="1" min="8" max="8"/>
    <col width="20" customWidth="1" min="9" max="9"/>
    <col width="18" customWidth="1" min="10" max="10"/>
    <col width="18" customWidth="1" min="11" max="11"/>
    <col width="40" customWidth="1" min="12" max="12"/>
  </cols>
  <sheetData>
    <row r="1" ht="35" customHeight="1">
      <c r="A1" s="11" t="inlineStr">
        <is>
          <t>PROTECTION MEASURES FOR OFF-PREMISES EQUIPMENT
Policy Requirement: Equipment should be protected when off-premises</t>
        </is>
      </c>
    </row>
    <row r="2">
      <c r="A2" s="12" t="inlineStr">
        <is>
          <t>ISO/IEC 27001:2022 - Control A.7.9: Security of Assets Off-Premises</t>
        </is>
      </c>
    </row>
    <row r="3">
      <c r="A3" s="13" t="inlineStr">
        <is>
          <t>Category ID</t>
        </is>
      </c>
      <c r="B3" s="13" t="inlineStr">
        <is>
          <t>Equipment Category</t>
        </is>
      </c>
      <c r="C3" s="13" t="inlineStr">
        <is>
          <t>Physical Security</t>
        </is>
      </c>
      <c r="D3" s="13" t="inlineStr">
        <is>
          <t>Transport Guidelines</t>
        </is>
      </c>
      <c r="E3" s="13" t="inlineStr">
        <is>
          <t>Public Place Rules</t>
        </is>
      </c>
      <c r="F3" s="13" t="inlineStr">
        <is>
          <t>Storage When Not In Use</t>
        </is>
      </c>
      <c r="G3" s="13" t="inlineStr">
        <is>
          <t>Environmental Protection</t>
        </is>
      </c>
      <c r="H3" s="13" t="inlineStr">
        <is>
          <t>Privacy Screen Required</t>
        </is>
      </c>
      <c r="I3" s="13" t="inlineStr">
        <is>
          <t>VPN Required</t>
        </is>
      </c>
      <c r="J3" s="13" t="inlineStr">
        <is>
          <t>Screen Lock Timeout</t>
        </is>
      </c>
      <c r="K3" s="13" t="inlineStr">
        <is>
          <t>Compliance Status</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8">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"Cable lock required,Secure bag required,No requirement"</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"Yes - Documented,Partial,No guidelines"</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"Yes - Never unattended,Yes - Partial rules,No rules"</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"Locked storage required,Secure location recommended,No requirement"</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Guidelines provided,Partial,No guidelines"</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 - Always,Yes - For sensitive data,No"</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 - All connections,Yes - Untrusted networks,No requirement"</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 Compliant,⚠ Partial,❌ Non-Compliant"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18" customWidth="1" min="5" max="5"/>
    <col width="22" customWidth="1" min="6" max="6"/>
    <col width="22" customWidth="1" min="7" max="7"/>
    <col width="20" customWidth="1" min="8" max="8"/>
    <col width="20" customWidth="1" min="9" max="9"/>
    <col width="12" customWidth="1" min="10" max="10"/>
    <col width="15" customWidth="1" min="11" max="11"/>
    <col width="18" customWidth="1" min="12" max="12"/>
    <col width="40" customWidth="1" min="13" max="13"/>
  </cols>
  <sheetData>
    <row r="1" ht="35" customHeight="1">
      <c r="A1" s="11" t="inlineStr">
        <is>
          <t>REMOTE WORKING SECURITY ASSESSMENT
Policy Requirement: Remote work environments should be secured</t>
        </is>
      </c>
    </row>
    <row r="2">
      <c r="A2" s="12" t="inlineStr">
        <is>
          <t>ISO/IEC 27001:2022 - Control A.7.9: Security of Assets Off-Premises</t>
        </is>
      </c>
    </row>
    <row r="3">
      <c r="A3" s="13" t="inlineStr">
        <is>
          <t>Scenario ID</t>
        </is>
      </c>
      <c r="B3" s="13" t="inlineStr">
        <is>
          <t>Work Scenario</t>
        </is>
      </c>
      <c r="C3" s="13" t="inlineStr">
        <is>
          <t>Data Sensitivity</t>
        </is>
      </c>
      <c r="D3" s="13" t="inlineStr">
        <is>
          <t>VPN Requirement</t>
        </is>
      </c>
      <c r="E3" s="13" t="inlineStr">
        <is>
          <t>Privacy Screen</t>
        </is>
      </c>
      <c r="F3" s="13" t="inlineStr">
        <is>
          <t>WiFi Security</t>
        </is>
      </c>
      <c r="G3" s="13" t="inlineStr">
        <is>
          <t>Physical Security</t>
        </is>
      </c>
      <c r="H3" s="13" t="inlineStr">
        <is>
          <t>Visitor Access</t>
        </is>
      </c>
      <c r="I3" s="13" t="inlineStr">
        <is>
          <t>Bluetooth/Wireless</t>
        </is>
      </c>
      <c r="J3" s="13" t="inlineStr">
        <is>
          <t>Worker Count</t>
        </is>
      </c>
      <c r="K3" s="13" t="inlineStr">
        <is>
          <t>Last Review</t>
        </is>
      </c>
      <c r="L3" s="13" t="inlineStr">
        <is>
          <t>Compliance Status</t>
        </is>
      </c>
      <c r="M3" s="13" t="inlineStr">
        <is>
          <t>Notes</t>
        </is>
      </c>
    </row>
    <row r="4">
      <c r="A4" s="14" t="inlineStr">
        <is>
          <t>Sample — delete before use</t>
        </is>
      </c>
      <c r="B4" s="15" t="n"/>
      <c r="C4" s="15" t="n"/>
      <c r="D4" s="15" t="n"/>
      <c r="E4" s="15" t="n"/>
      <c r="F4" s="15" t="n"/>
      <c r="G4" s="15" t="n"/>
      <c r="H4" s="15" t="n"/>
      <c r="I4" s="15" t="n"/>
      <c r="J4" s="15" t="n"/>
      <c r="K4" s="15" t="n"/>
      <c r="L4" s="15" t="n"/>
      <c r="M4" s="15" t="n"/>
    </row>
    <row r="5">
      <c r="B5" s="16" t="n"/>
      <c r="C5" s="16" t="n"/>
      <c r="D5" s="16" t="n"/>
      <c r="E5" s="16" t="n"/>
      <c r="F5" s="16" t="n"/>
      <c r="G5" s="16" t="n"/>
      <c r="H5" s="16" t="n"/>
      <c r="I5" s="16" t="n"/>
      <c r="J5" s="16" t="n"/>
      <c r="K5" s="16" t="n"/>
      <c r="L5" s="16" t="n"/>
      <c r="M5" s="16" t="n"/>
    </row>
    <row r="6">
      <c r="B6" s="16" t="n"/>
      <c r="C6" s="16" t="n"/>
      <c r="D6" s="16" t="n"/>
      <c r="E6" s="16" t="n"/>
      <c r="F6" s="16" t="n"/>
      <c r="G6" s="16" t="n"/>
      <c r="H6" s="16" t="n"/>
      <c r="I6" s="16" t="n"/>
      <c r="J6" s="16" t="n"/>
      <c r="K6" s="16" t="n"/>
      <c r="L6" s="16" t="n"/>
      <c r="M6" s="16" t="n"/>
    </row>
    <row r="7">
      <c r="B7" s="16" t="n"/>
      <c r="C7" s="16" t="n"/>
      <c r="D7" s="16" t="n"/>
      <c r="E7" s="16" t="n"/>
      <c r="F7" s="16" t="n"/>
      <c r="G7" s="16" t="n"/>
      <c r="H7" s="16" t="n"/>
      <c r="I7" s="16" t="n"/>
      <c r="J7" s="16" t="n"/>
      <c r="K7" s="16" t="n"/>
      <c r="L7" s="16" t="n"/>
      <c r="M7" s="16" t="n"/>
    </row>
    <row r="8">
      <c r="B8" s="16" t="n"/>
      <c r="C8" s="16" t="n"/>
      <c r="D8" s="16" t="n"/>
      <c r="E8" s="16" t="n"/>
      <c r="F8" s="16" t="n"/>
      <c r="G8" s="16" t="n"/>
      <c r="H8" s="16" t="n"/>
      <c r="I8" s="16" t="n"/>
      <c r="J8" s="16" t="n"/>
      <c r="K8" s="16" t="n"/>
      <c r="L8" s="16" t="n"/>
      <c r="M8" s="16" t="n"/>
    </row>
    <row r="9">
      <c r="B9" s="16" t="n"/>
      <c r="C9" s="16" t="n"/>
      <c r="D9" s="16" t="n"/>
      <c r="E9" s="16" t="n"/>
      <c r="F9" s="16" t="n"/>
      <c r="G9" s="16" t="n"/>
      <c r="H9" s="16" t="n"/>
      <c r="I9" s="16" t="n"/>
      <c r="J9" s="16" t="n"/>
      <c r="K9" s="16" t="n"/>
      <c r="L9" s="16" t="n"/>
      <c r="M9" s="16" t="n"/>
    </row>
    <row r="10">
      <c r="B10" s="16" t="n"/>
      <c r="C10" s="16" t="n"/>
      <c r="D10" s="16" t="n"/>
      <c r="E10" s="16" t="n"/>
      <c r="F10" s="16" t="n"/>
      <c r="G10" s="16" t="n"/>
      <c r="H10" s="16" t="n"/>
      <c r="I10" s="16" t="n"/>
      <c r="J10" s="16" t="n"/>
      <c r="K10" s="16" t="n"/>
      <c r="L10" s="16" t="n"/>
      <c r="M10" s="16" t="n"/>
    </row>
    <row r="11">
      <c r="B11" s="16" t="n"/>
      <c r="C11" s="16" t="n"/>
      <c r="D11" s="16" t="n"/>
      <c r="E11" s="16" t="n"/>
      <c r="F11" s="16" t="n"/>
      <c r="G11" s="16" t="n"/>
      <c r="H11" s="16" t="n"/>
      <c r="I11" s="16" t="n"/>
      <c r="J11" s="16" t="n"/>
      <c r="K11" s="16" t="n"/>
      <c r="L11" s="16" t="n"/>
      <c r="M11" s="16" t="n"/>
    </row>
    <row r="12">
      <c r="B12" s="16" t="n"/>
      <c r="C12" s="16" t="n"/>
      <c r="D12" s="16" t="n"/>
      <c r="E12" s="16" t="n"/>
      <c r="F12" s="16" t="n"/>
      <c r="G12" s="16" t="n"/>
      <c r="H12" s="16" t="n"/>
      <c r="I12" s="16" t="n"/>
      <c r="J12" s="16" t="n"/>
      <c r="K12" s="16" t="n"/>
      <c r="L12" s="16" t="n"/>
      <c r="M12" s="16" t="n"/>
    </row>
    <row r="13">
      <c r="B13" s="16" t="n"/>
      <c r="C13" s="16" t="n"/>
      <c r="D13" s="16" t="n"/>
      <c r="E13" s="16" t="n"/>
      <c r="F13" s="16" t="n"/>
      <c r="G13" s="16" t="n"/>
      <c r="H13" s="16" t="n"/>
      <c r="I13" s="16" t="n"/>
      <c r="J13" s="16" t="n"/>
      <c r="K13" s="16" t="n"/>
      <c r="L13" s="16" t="n"/>
      <c r="M13" s="16" t="n"/>
    </row>
    <row r="14">
      <c r="B14" s="16" t="n"/>
      <c r="C14" s="16" t="n"/>
      <c r="D14" s="16" t="n"/>
      <c r="E14" s="16" t="n"/>
      <c r="F14" s="16" t="n"/>
      <c r="G14" s="16" t="n"/>
      <c r="H14" s="16" t="n"/>
      <c r="I14" s="16" t="n"/>
      <c r="J14" s="16" t="n"/>
      <c r="K14" s="16" t="n"/>
      <c r="L14" s="16" t="n"/>
      <c r="M14" s="16" t="n"/>
    </row>
    <row r="15">
      <c r="B15" s="16" t="n"/>
      <c r="C15" s="16" t="n"/>
      <c r="D15" s="16" t="n"/>
      <c r="E15" s="16" t="n"/>
      <c r="F15" s="16" t="n"/>
      <c r="G15" s="16" t="n"/>
      <c r="H15" s="16" t="n"/>
      <c r="I15" s="16" t="n"/>
      <c r="J15" s="16" t="n"/>
      <c r="K15" s="16" t="n"/>
      <c r="L15" s="16" t="n"/>
      <c r="M15" s="16" t="n"/>
    </row>
    <row r="16">
      <c r="B16" s="16" t="n"/>
      <c r="C16" s="16" t="n"/>
      <c r="D16" s="16" t="n"/>
      <c r="E16" s="16" t="n"/>
      <c r="F16" s="16" t="n"/>
      <c r="G16" s="16" t="n"/>
      <c r="H16" s="16" t="n"/>
      <c r="I16" s="16" t="n"/>
      <c r="J16" s="16" t="n"/>
      <c r="K16" s="16" t="n"/>
      <c r="L16" s="16" t="n"/>
      <c r="M16" s="16" t="n"/>
    </row>
    <row r="17">
      <c r="B17" s="16" t="n"/>
      <c r="C17" s="16" t="n"/>
      <c r="D17" s="16" t="n"/>
      <c r="E17" s="16" t="n"/>
      <c r="F17" s="16" t="n"/>
      <c r="G17" s="16" t="n"/>
      <c r="H17" s="16" t="n"/>
      <c r="I17" s="16" t="n"/>
      <c r="J17" s="16" t="n"/>
      <c r="K17" s="16" t="n"/>
      <c r="L17" s="16" t="n"/>
      <c r="M17" s="16" t="n"/>
    </row>
    <row r="18">
      <c r="B18" s="16" t="n"/>
      <c r="C18" s="16" t="n"/>
      <c r="D18" s="16" t="n"/>
      <c r="E18" s="16" t="n"/>
      <c r="F18" s="16" t="n"/>
      <c r="G18" s="16" t="n"/>
      <c r="H18" s="16" t="n"/>
      <c r="I18" s="16" t="n"/>
      <c r="J18" s="16" t="n"/>
      <c r="K18" s="16" t="n"/>
      <c r="L18" s="16" t="n"/>
      <c r="M18" s="16" t="n"/>
    </row>
    <row r="19">
      <c r="B19" s="16" t="n"/>
      <c r="C19" s="16" t="n"/>
      <c r="D19" s="16" t="n"/>
      <c r="E19" s="16" t="n"/>
      <c r="F19" s="16" t="n"/>
      <c r="G19" s="16" t="n"/>
      <c r="H19" s="16" t="n"/>
      <c r="I19" s="16" t="n"/>
      <c r="J19" s="16" t="n"/>
      <c r="K19" s="16" t="n"/>
      <c r="L19" s="16" t="n"/>
      <c r="M19" s="16" t="n"/>
    </row>
    <row r="20">
      <c r="B20" s="16" t="n"/>
      <c r="C20" s="16" t="n"/>
      <c r="D20" s="16" t="n"/>
      <c r="E20" s="16" t="n"/>
      <c r="F20" s="16" t="n"/>
      <c r="G20" s="16" t="n"/>
      <c r="H20" s="16" t="n"/>
      <c r="I20" s="16" t="n"/>
      <c r="J20" s="16" t="n"/>
      <c r="K20" s="16" t="n"/>
      <c r="L20" s="16" t="n"/>
      <c r="M20" s="16" t="n"/>
    </row>
    <row r="21">
      <c r="B21" s="16" t="n"/>
      <c r="C21" s="16" t="n"/>
      <c r="D21" s="16" t="n"/>
      <c r="E21" s="16" t="n"/>
      <c r="F21" s="16" t="n"/>
      <c r="G21" s="16" t="n"/>
      <c r="H21" s="16" t="n"/>
      <c r="I21" s="16" t="n"/>
      <c r="J21" s="16" t="n"/>
      <c r="K21" s="16" t="n"/>
      <c r="L21" s="16" t="n"/>
      <c r="M21" s="16" t="n"/>
    </row>
    <row r="22">
      <c r="B22" s="16" t="n"/>
      <c r="C22" s="16" t="n"/>
      <c r="D22" s="16" t="n"/>
      <c r="E22" s="16" t="n"/>
      <c r="F22" s="16" t="n"/>
      <c r="G22" s="16" t="n"/>
      <c r="H22" s="16" t="n"/>
      <c r="I22" s="16" t="n"/>
      <c r="J22" s="16" t="n"/>
      <c r="K22" s="16" t="n"/>
      <c r="L22" s="16" t="n"/>
      <c r="M22" s="16" t="n"/>
    </row>
    <row r="23">
      <c r="B23" s="16" t="n"/>
      <c r="C23" s="16" t="n"/>
      <c r="D23" s="16" t="n"/>
      <c r="E23" s="16" t="n"/>
      <c r="F23" s="16" t="n"/>
      <c r="G23" s="16" t="n"/>
      <c r="H23" s="16" t="n"/>
      <c r="I23" s="16" t="n"/>
      <c r="J23" s="16" t="n"/>
      <c r="K23" s="16" t="n"/>
      <c r="L23" s="16" t="n"/>
      <c r="M23" s="16" t="n"/>
    </row>
    <row r="24">
      <c r="B24" s="16" t="n"/>
      <c r="C24" s="16" t="n"/>
      <c r="D24" s="16" t="n"/>
      <c r="E24" s="16" t="n"/>
      <c r="F24" s="16" t="n"/>
      <c r="G24" s="16" t="n"/>
      <c r="H24" s="16" t="n"/>
      <c r="I24" s="16" t="n"/>
      <c r="J24" s="16" t="n"/>
      <c r="K24" s="16" t="n"/>
      <c r="L24" s="16" t="n"/>
      <c r="M24" s="16" t="n"/>
    </row>
    <row r="25">
      <c r="B25" s="16" t="n"/>
      <c r="C25" s="16" t="n"/>
      <c r="D25" s="16" t="n"/>
      <c r="E25" s="16" t="n"/>
      <c r="F25" s="16" t="n"/>
      <c r="G25" s="16" t="n"/>
      <c r="H25" s="16" t="n"/>
      <c r="I25" s="16" t="n"/>
      <c r="J25" s="16" t="n"/>
      <c r="K25" s="16" t="n"/>
      <c r="L25" s="16" t="n"/>
      <c r="M25" s="16" t="n"/>
    </row>
    <row r="26">
      <c r="B26" s="16" t="n"/>
      <c r="C26" s="16" t="n"/>
      <c r="D26" s="16" t="n"/>
      <c r="E26" s="16" t="n"/>
      <c r="F26" s="16" t="n"/>
      <c r="G26" s="16" t="n"/>
      <c r="H26" s="16" t="n"/>
      <c r="I26" s="16" t="n"/>
      <c r="J26" s="16" t="n"/>
      <c r="K26" s="16" t="n"/>
      <c r="L26" s="16" t="n"/>
      <c r="M26" s="16" t="n"/>
    </row>
    <row r="27">
      <c r="B27" s="16" t="n"/>
      <c r="C27" s="16" t="n"/>
      <c r="D27" s="16" t="n"/>
      <c r="E27" s="16" t="n"/>
      <c r="F27" s="16" t="n"/>
      <c r="G27" s="16" t="n"/>
      <c r="H27" s="16" t="n"/>
      <c r="I27" s="16" t="n"/>
      <c r="J27" s="16" t="n"/>
      <c r="K27" s="16" t="n"/>
      <c r="L27" s="16" t="n"/>
      <c r="M27" s="16" t="n"/>
    </row>
    <row r="28">
      <c r="B28" s="16" t="n"/>
      <c r="C28" s="16" t="n"/>
      <c r="D28" s="16" t="n"/>
      <c r="E28" s="16" t="n"/>
      <c r="F28" s="16" t="n"/>
      <c r="G28" s="16" t="n"/>
      <c r="H28" s="16" t="n"/>
      <c r="I28" s="16" t="n"/>
      <c r="J28" s="16" t="n"/>
      <c r="K28" s="16" t="n"/>
      <c r="L28" s="16" t="n"/>
      <c r="M28" s="16" t="n"/>
    </row>
    <row r="29">
      <c r="B29" s="16" t="n"/>
      <c r="C29" s="16" t="n"/>
      <c r="D29" s="16" t="n"/>
      <c r="E29" s="16" t="n"/>
      <c r="F29" s="16" t="n"/>
      <c r="G29" s="16" t="n"/>
      <c r="H29" s="16" t="n"/>
      <c r="I29" s="16" t="n"/>
      <c r="J29" s="16" t="n"/>
      <c r="K29" s="16" t="n"/>
      <c r="L29" s="16" t="n"/>
      <c r="M29" s="16" t="n"/>
    </row>
    <row r="30">
      <c r="B30" s="16" t="n"/>
      <c r="C30" s="16" t="n"/>
      <c r="D30" s="16" t="n"/>
      <c r="E30" s="16" t="n"/>
      <c r="F30" s="16" t="n"/>
      <c r="G30" s="16" t="n"/>
      <c r="H30" s="16" t="n"/>
      <c r="I30" s="16" t="n"/>
      <c r="J30" s="16" t="n"/>
      <c r="K30" s="16" t="n"/>
      <c r="L30" s="16" t="n"/>
      <c r="M30" s="16" t="n"/>
    </row>
    <row r="31">
      <c r="B31" s="16" t="n"/>
      <c r="C31" s="16" t="n"/>
      <c r="D31" s="16" t="n"/>
      <c r="E31" s="16" t="n"/>
      <c r="F31" s="16" t="n"/>
      <c r="G31" s="16" t="n"/>
      <c r="H31" s="16" t="n"/>
      <c r="I31" s="16" t="n"/>
      <c r="J31" s="16" t="n"/>
      <c r="K31" s="16" t="n"/>
      <c r="L31" s="16" t="n"/>
      <c r="M31" s="16" t="n"/>
    </row>
    <row r="32">
      <c r="B32" s="16" t="n"/>
      <c r="C32" s="16" t="n"/>
      <c r="D32" s="16" t="n"/>
      <c r="E32" s="16" t="n"/>
      <c r="F32" s="16" t="n"/>
      <c r="G32" s="16" t="n"/>
      <c r="H32" s="16" t="n"/>
      <c r="I32" s="16" t="n"/>
      <c r="J32" s="16" t="n"/>
      <c r="K32" s="16" t="n"/>
      <c r="L32" s="16" t="n"/>
      <c r="M32" s="16" t="n"/>
    </row>
    <row r="33">
      <c r="B33" s="16" t="n"/>
      <c r="C33" s="16" t="n"/>
      <c r="D33" s="16" t="n"/>
      <c r="E33" s="16" t="n"/>
      <c r="F33" s="16" t="n"/>
      <c r="G33" s="16" t="n"/>
      <c r="H33" s="16" t="n"/>
      <c r="I33" s="16" t="n"/>
      <c r="J33" s="16" t="n"/>
      <c r="K33" s="16" t="n"/>
      <c r="L33" s="16" t="n"/>
      <c r="M33" s="16" t="n"/>
    </row>
    <row r="34">
      <c r="B34" s="16" t="n"/>
      <c r="C34" s="16" t="n"/>
      <c r="D34" s="16" t="n"/>
      <c r="E34" s="16" t="n"/>
      <c r="F34" s="16" t="n"/>
      <c r="G34" s="16" t="n"/>
      <c r="H34" s="16" t="n"/>
      <c r="I34" s="16" t="n"/>
      <c r="J34" s="16" t="n"/>
      <c r="K34" s="16" t="n"/>
      <c r="L34" s="16" t="n"/>
      <c r="M34" s="16" t="n"/>
    </row>
    <row r="35">
      <c r="B35" s="16" t="n"/>
      <c r="C35" s="16" t="n"/>
      <c r="D35" s="16" t="n"/>
      <c r="E35" s="16" t="n"/>
      <c r="F35" s="16" t="n"/>
      <c r="G35" s="16" t="n"/>
      <c r="H35" s="16" t="n"/>
      <c r="I35" s="16" t="n"/>
      <c r="J35" s="16" t="n"/>
      <c r="K35" s="16" t="n"/>
      <c r="L35" s="16" t="n"/>
      <c r="M35" s="16" t="n"/>
    </row>
    <row r="36">
      <c r="B36" s="16" t="n"/>
      <c r="C36" s="16" t="n"/>
      <c r="D36" s="16" t="n"/>
      <c r="E36" s="16" t="n"/>
      <c r="F36" s="16" t="n"/>
      <c r="G36" s="16" t="n"/>
      <c r="H36" s="16" t="n"/>
      <c r="I36" s="16" t="n"/>
      <c r="J36" s="16" t="n"/>
      <c r="K36" s="16" t="n"/>
      <c r="L36" s="16" t="n"/>
      <c r="M36" s="16" t="n"/>
    </row>
    <row r="37">
      <c r="B37" s="16" t="n"/>
      <c r="C37" s="16" t="n"/>
      <c r="D37" s="16" t="n"/>
      <c r="E37" s="16" t="n"/>
      <c r="F37" s="16" t="n"/>
      <c r="G37" s="16" t="n"/>
      <c r="H37" s="16" t="n"/>
      <c r="I37" s="16" t="n"/>
      <c r="J37" s="16" t="n"/>
      <c r="K37" s="16" t="n"/>
      <c r="L37" s="16" t="n"/>
      <c r="M37" s="16" t="n"/>
    </row>
    <row r="38">
      <c r="B38" s="16" t="n"/>
      <c r="C38" s="16" t="n"/>
      <c r="D38" s="16" t="n"/>
      <c r="E38" s="16" t="n"/>
      <c r="F38" s="16" t="n"/>
      <c r="G38" s="16" t="n"/>
      <c r="H38" s="16" t="n"/>
      <c r="I38" s="16" t="n"/>
      <c r="J38" s="16" t="n"/>
      <c r="K38" s="16" t="n"/>
      <c r="L38" s="16" t="n"/>
      <c r="M38" s="16" t="n"/>
    </row>
    <row r="39">
      <c r="B39" s="16" t="n"/>
      <c r="C39" s="16" t="n"/>
      <c r="D39" s="16" t="n"/>
      <c r="E39" s="16" t="n"/>
      <c r="F39" s="16" t="n"/>
      <c r="G39" s="16" t="n"/>
      <c r="H39" s="16" t="n"/>
      <c r="I39" s="16" t="n"/>
      <c r="J39" s="16" t="n"/>
      <c r="K39" s="16" t="n"/>
      <c r="L39" s="16" t="n"/>
      <c r="M39" s="16" t="n"/>
    </row>
    <row r="40">
      <c r="B40" s="16" t="n"/>
      <c r="C40" s="16" t="n"/>
      <c r="D40" s="16" t="n"/>
      <c r="E40" s="16" t="n"/>
      <c r="F40" s="16" t="n"/>
      <c r="G40" s="16" t="n"/>
      <c r="H40" s="16" t="n"/>
      <c r="I40" s="16" t="n"/>
      <c r="J40" s="16" t="n"/>
      <c r="K40" s="16" t="n"/>
      <c r="L40" s="16" t="n"/>
      <c r="M40" s="16" t="n"/>
    </row>
    <row r="41">
      <c r="B41" s="16" t="n"/>
      <c r="C41" s="16" t="n"/>
      <c r="D41" s="16" t="n"/>
      <c r="E41" s="16" t="n"/>
      <c r="F41" s="16" t="n"/>
      <c r="G41" s="16" t="n"/>
      <c r="H41" s="16" t="n"/>
      <c r="I41" s="16" t="n"/>
      <c r="J41" s="16" t="n"/>
      <c r="K41" s="16" t="n"/>
      <c r="L41" s="16" t="n"/>
      <c r="M41" s="16" t="n"/>
    </row>
    <row r="42">
      <c r="B42" s="16" t="n"/>
      <c r="C42" s="16" t="n"/>
      <c r="D42" s="16" t="n"/>
      <c r="E42" s="16" t="n"/>
      <c r="F42" s="16" t="n"/>
      <c r="G42" s="16" t="n"/>
      <c r="H42" s="16" t="n"/>
      <c r="I42" s="16" t="n"/>
      <c r="J42" s="16" t="n"/>
      <c r="K42" s="16" t="n"/>
      <c r="L42" s="16" t="n"/>
      <c r="M42" s="16" t="n"/>
    </row>
    <row r="43">
      <c r="B43" s="16" t="n"/>
      <c r="C43" s="16" t="n"/>
      <c r="D43" s="16" t="n"/>
      <c r="E43" s="16" t="n"/>
      <c r="F43" s="16" t="n"/>
      <c r="G43" s="16" t="n"/>
      <c r="H43" s="16" t="n"/>
      <c r="I43" s="16" t="n"/>
      <c r="J43" s="16" t="n"/>
      <c r="K43" s="16" t="n"/>
      <c r="L43" s="16" t="n"/>
      <c r="M43" s="16" t="n"/>
    </row>
    <row r="44">
      <c r="B44" s="16" t="n"/>
      <c r="C44" s="16" t="n"/>
      <c r="D44" s="16" t="n"/>
      <c r="E44" s="16" t="n"/>
      <c r="F44" s="16" t="n"/>
      <c r="G44" s="16" t="n"/>
      <c r="H44" s="16" t="n"/>
      <c r="I44" s="16" t="n"/>
      <c r="J44" s="16" t="n"/>
      <c r="K44" s="16" t="n"/>
      <c r="L44" s="16" t="n"/>
      <c r="M44" s="16" t="n"/>
    </row>
    <row r="45">
      <c r="B45" s="16" t="n"/>
      <c r="C45" s="16" t="n"/>
      <c r="D45" s="16" t="n"/>
      <c r="E45" s="16" t="n"/>
      <c r="F45" s="16" t="n"/>
      <c r="G45" s="16" t="n"/>
      <c r="H45" s="16" t="n"/>
      <c r="I45" s="16" t="n"/>
      <c r="J45" s="16" t="n"/>
      <c r="K45" s="16" t="n"/>
      <c r="L45" s="16" t="n"/>
      <c r="M45" s="16" t="n"/>
    </row>
    <row r="46">
      <c r="B46" s="16" t="n"/>
      <c r="C46" s="16" t="n"/>
      <c r="D46" s="16" t="n"/>
      <c r="E46" s="16" t="n"/>
      <c r="F46" s="16" t="n"/>
      <c r="G46" s="16" t="n"/>
      <c r="H46" s="16" t="n"/>
      <c r="I46" s="16" t="n"/>
      <c r="J46" s="16" t="n"/>
      <c r="K46" s="16" t="n"/>
      <c r="L46" s="16" t="n"/>
      <c r="M46" s="16" t="n"/>
    </row>
    <row r="47">
      <c r="B47" s="16" t="n"/>
      <c r="C47" s="16" t="n"/>
      <c r="D47" s="16" t="n"/>
      <c r="E47" s="16" t="n"/>
      <c r="F47" s="16" t="n"/>
      <c r="G47" s="16" t="n"/>
      <c r="H47" s="16" t="n"/>
      <c r="I47" s="16" t="n"/>
      <c r="J47" s="16" t="n"/>
      <c r="K47" s="16" t="n"/>
      <c r="L47" s="16" t="n"/>
      <c r="M47" s="16" t="n"/>
    </row>
    <row r="48">
      <c r="B48" s="16" t="n"/>
      <c r="C48" s="16" t="n"/>
      <c r="D48" s="16" t="n"/>
      <c r="E48" s="16" t="n"/>
      <c r="F48" s="16" t="n"/>
      <c r="G48" s="16" t="n"/>
      <c r="H48" s="16" t="n"/>
      <c r="I48" s="16" t="n"/>
      <c r="J48" s="16" t="n"/>
      <c r="K48" s="16" t="n"/>
      <c r="L48" s="16" t="n"/>
      <c r="M48" s="16" t="n"/>
    </row>
    <row r="49">
      <c r="B49" s="16" t="n"/>
      <c r="C49" s="16" t="n"/>
      <c r="D49" s="16" t="n"/>
      <c r="E49" s="16" t="n"/>
      <c r="F49" s="16" t="n"/>
      <c r="G49" s="16" t="n"/>
      <c r="H49" s="16" t="n"/>
      <c r="I49" s="16" t="n"/>
      <c r="J49" s="16" t="n"/>
      <c r="K49" s="16" t="n"/>
      <c r="L49" s="16" t="n"/>
      <c r="M49" s="16" t="n"/>
    </row>
    <row r="50">
      <c r="B50" s="16" t="n"/>
      <c r="C50" s="16" t="n"/>
      <c r="D50" s="16" t="n"/>
      <c r="E50" s="16" t="n"/>
      <c r="F50" s="16" t="n"/>
      <c r="G50" s="16" t="n"/>
      <c r="H50" s="16" t="n"/>
      <c r="I50" s="16" t="n"/>
      <c r="J50" s="16" t="n"/>
      <c r="K50" s="16" t="n"/>
      <c r="L50" s="16" t="n"/>
      <c r="M50" s="16" t="n"/>
    </row>
    <row r="51">
      <c r="B51" s="16" t="n"/>
      <c r="C51" s="16" t="n"/>
      <c r="D51" s="16" t="n"/>
      <c r="E51" s="16" t="n"/>
      <c r="F51" s="16" t="n"/>
      <c r="G51" s="16" t="n"/>
      <c r="H51" s="16" t="n"/>
      <c r="I51" s="16" t="n"/>
      <c r="J51" s="16" t="n"/>
      <c r="K51" s="16" t="n"/>
      <c r="L51" s="16" t="n"/>
      <c r="M51" s="16" t="n"/>
    </row>
    <row r="52">
      <c r="B52" s="16" t="n"/>
      <c r="C52" s="16" t="n"/>
      <c r="D52" s="16" t="n"/>
      <c r="E52" s="16" t="n"/>
      <c r="F52" s="16" t="n"/>
      <c r="G52" s="16" t="n"/>
      <c r="H52" s="16" t="n"/>
      <c r="I52" s="16" t="n"/>
      <c r="J52" s="16" t="n"/>
      <c r="K52" s="16" t="n"/>
      <c r="L52" s="16" t="n"/>
      <c r="M52" s="16" t="n"/>
    </row>
    <row r="53">
      <c r="B53" s="16" t="n"/>
      <c r="C53" s="16" t="n"/>
      <c r="D53" s="16" t="n"/>
      <c r="E53" s="16" t="n"/>
      <c r="F53" s="16" t="n"/>
      <c r="G53" s="16" t="n"/>
      <c r="H53" s="16" t="n"/>
      <c r="I53" s="16" t="n"/>
      <c r="J53" s="16" t="n"/>
      <c r="K53" s="16" t="n"/>
      <c r="L53" s="16" t="n"/>
      <c r="M53" s="16" t="n"/>
    </row>
    <row r="54">
      <c r="B54" s="16" t="n"/>
      <c r="C54" s="16" t="n"/>
      <c r="D54" s="16" t="n"/>
      <c r="E54" s="16" t="n"/>
      <c r="F54" s="16" t="n"/>
      <c r="G54" s="16" t="n"/>
      <c r="H54" s="16" t="n"/>
      <c r="I54" s="16" t="n"/>
      <c r="J54" s="16" t="n"/>
      <c r="K54" s="16" t="n"/>
      <c r="L54" s="16" t="n"/>
      <c r="M54" s="16" t="n"/>
    </row>
  </sheetData>
  <mergeCells count="2">
    <mergeCell ref="A2:M2"/>
    <mergeCell ref="A1:M1"/>
  </mergeCells>
  <dataValidations count="8">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"High (PII, Financial),Medium (Internal),Low (Public)"</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"Required - Always,Required - Sensitive only,Recommended,Not required"</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"Required,Recommended,Not required"</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"Encrypted only,VPN for public WiFi,No requirement"</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"Locked when away,Not visible to others,No requirement"</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"No access allowed,Supervised access only,N/A"</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"Disable when not needed,No requirement"</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Compliant,⚠ Partial,❌ Non-Compliant"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22" customWidth="1" min="5" max="5"/>
    <col width="22" customWidth="1" min="6" max="6"/>
    <col width="20" customWidth="1" min="7" max="7"/>
    <col width="18" customWidth="1" min="8" max="8"/>
    <col width="15" customWidth="1" min="9" max="9"/>
    <col width="20" customWidth="1" min="10" max="10"/>
    <col width="18" customWidth="1" min="11" max="11"/>
    <col width="40" customWidth="1" min="12" max="12"/>
  </cols>
  <sheetData>
    <row r="1" ht="35" customHeight="1">
      <c r="A1" s="11" t="inlineStr">
        <is>
          <t>PERMANENT OFF-SITE INSTALLATIONS
Policy Requirement: Permanently off-site equipment requires enhanced protection</t>
        </is>
      </c>
    </row>
    <row r="2">
      <c r="A2" s="12" t="inlineStr">
        <is>
          <t>ISO/IEC 27001:2022 - Control A.7.9: Security of Assets Off-Premises</t>
        </is>
      </c>
    </row>
    <row r="3">
      <c r="A3" s="13" t="inlineStr">
        <is>
          <t>Installation ID</t>
        </is>
      </c>
      <c r="B3" s="13" t="inlineStr">
        <is>
          <t>Installation Name</t>
        </is>
      </c>
      <c r="C3" s="13" t="inlineStr">
        <is>
          <t>Installation Type</t>
        </is>
      </c>
      <c r="D3" s="13" t="inlineStr">
        <is>
          <t>Location Count</t>
        </is>
      </c>
      <c r="E3" s="13" t="inlineStr">
        <is>
          <t>Physical Security</t>
        </is>
      </c>
      <c r="F3" s="13" t="inlineStr">
        <is>
          <t>Environmental Monitoring</t>
        </is>
      </c>
      <c r="G3" s="13" t="inlineStr">
        <is>
          <t>Remote Management</t>
        </is>
      </c>
      <c r="H3" s="13" t="inlineStr">
        <is>
          <t>Inspection Schedule</t>
        </is>
      </c>
      <c r="I3" s="13" t="inlineStr">
        <is>
          <t>Last Inspection</t>
        </is>
      </c>
      <c r="J3" s="13" t="inlineStr">
        <is>
          <t>Incident Response</t>
        </is>
      </c>
      <c r="K3" s="13" t="inlineStr">
        <is>
          <t>Compliance Status</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7">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"ATM/Kiosk,Sensor/IoT,Edge Computing,Signage,Antenna/Telecom,Other"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"Tamper detection,Locked enclosure,Public exposure"</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 - Continuous,Yes - Periodic,No"</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Full control,Partial,No"</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"Monthly,Quarterly,Annual,None"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 - Documented,Partial,No procedure"</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0" type="list">
      <formula1>"✅ Compliant,⚠ Partial,❌ Non-Compliant"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0" customWidth="1" min="3" max="3"/>
    <col width="15" customWidth="1" min="4" max="4"/>
    <col width="20" customWidth="1" min="5" max="5"/>
    <col width="22" customWidth="1" min="6" max="6"/>
    <col width="22" customWidth="1" min="7" max="7"/>
    <col width="18" customWidth="1" min="8" max="8"/>
    <col width="18" customWidth="1" min="9" max="9"/>
    <col width="25" customWidth="1" min="10" max="10"/>
    <col width="30" customWidth="1" min="11" max="11"/>
    <col width="40" customWidth="1" min="12" max="12"/>
  </cols>
  <sheetData>
    <row r="1" ht="35" customHeight="1">
      <c r="A1" s="11" t="inlineStr">
        <is>
          <t>EQUIPMENT SECURITY INCIDENTS
Policy Requirement: Track and learn from equipment security incidents</t>
        </is>
      </c>
    </row>
    <row r="2">
      <c r="A2" s="12" t="inlineStr">
        <is>
          <t>ISO/IEC 27001:2022 - Control A.7.9: Security of Assets Off-Premises</t>
        </is>
      </c>
    </row>
    <row r="3">
      <c r="A3" s="13" t="inlineStr">
        <is>
          <t>Incident ID</t>
        </is>
      </c>
      <c r="B3" s="13" t="inlineStr">
        <is>
          <t>Incident Date</t>
        </is>
      </c>
      <c r="C3" s="13" t="inlineStr">
        <is>
          <t>Equipment Category</t>
        </is>
      </c>
      <c r="D3" s="13" t="inlineStr">
        <is>
          <t>Incident Type</t>
        </is>
      </c>
      <c r="E3" s="13" t="inlineStr">
        <is>
          <t>Location</t>
        </is>
      </c>
      <c r="F3" s="13" t="inlineStr">
        <is>
          <t>Data at Risk</t>
        </is>
      </c>
      <c r="G3" s="13" t="inlineStr">
        <is>
          <t>Remote Wipe Executed</t>
        </is>
      </c>
      <c r="H3" s="13" t="inlineStr">
        <is>
          <t>Time to Report (hrs)</t>
        </is>
      </c>
      <c r="I3" s="13" t="inlineStr">
        <is>
          <t>Recovery Status</t>
        </is>
      </c>
      <c r="J3" s="13" t="inlineStr">
        <is>
          <t>Root Cause</t>
        </is>
      </c>
      <c r="K3" s="13" t="inlineStr">
        <is>
          <t>Corrective Action</t>
        </is>
      </c>
      <c r="L3" s="13" t="inlineStr">
        <is>
          <t>Notes</t>
        </is>
      </c>
    </row>
    <row r="4">
      <c r="A4" s="14" t="inlineStr">
        <is>
          <t>Sample — delete before use</t>
        </is>
      </c>
      <c r="B4" s="15" t="n"/>
      <c r="C4" s="15" t="n"/>
      <c r="D4" s="15" t="n"/>
      <c r="E4" s="15" t="n"/>
      <c r="F4" s="15" t="n"/>
      <c r="G4" s="15" t="n"/>
      <c r="H4" s="15" t="n"/>
      <c r="I4" s="15" t="n"/>
      <c r="J4" s="15" t="n"/>
      <c r="K4" s="15" t="n"/>
      <c r="L4" s="15" t="n"/>
    </row>
    <row r="5">
      <c r="B5" s="16" t="n"/>
      <c r="C5" s="16" t="n"/>
      <c r="D5" s="16" t="n"/>
      <c r="E5" s="16" t="n"/>
      <c r="F5" s="16" t="n"/>
      <c r="G5" s="16" t="n"/>
      <c r="H5" s="16" t="n"/>
      <c r="I5" s="16" t="n"/>
      <c r="J5" s="16" t="n"/>
      <c r="K5" s="16" t="n"/>
      <c r="L5" s="16" t="n"/>
    </row>
    <row r="6">
      <c r="B6" s="16" t="n"/>
      <c r="C6" s="16" t="n"/>
      <c r="D6" s="16" t="n"/>
      <c r="E6" s="16" t="n"/>
      <c r="F6" s="16" t="n"/>
      <c r="G6" s="16" t="n"/>
      <c r="H6" s="16" t="n"/>
      <c r="I6" s="16" t="n"/>
      <c r="J6" s="16" t="n"/>
      <c r="K6" s="16" t="n"/>
      <c r="L6" s="16" t="n"/>
    </row>
    <row r="7">
      <c r="B7" s="16" t="n"/>
      <c r="C7" s="16" t="n"/>
      <c r="D7" s="16" t="n"/>
      <c r="E7" s="16" t="n"/>
      <c r="F7" s="16" t="n"/>
      <c r="G7" s="16" t="n"/>
      <c r="H7" s="16" t="n"/>
      <c r="I7" s="16" t="n"/>
      <c r="J7" s="16" t="n"/>
      <c r="K7" s="16" t="n"/>
      <c r="L7" s="16" t="n"/>
    </row>
    <row r="8">
      <c r="B8" s="16" t="n"/>
      <c r="C8" s="16" t="n"/>
      <c r="D8" s="16" t="n"/>
      <c r="E8" s="16" t="n"/>
      <c r="F8" s="16" t="n"/>
      <c r="G8" s="16" t="n"/>
      <c r="H8" s="16" t="n"/>
      <c r="I8" s="16" t="n"/>
      <c r="J8" s="16" t="n"/>
      <c r="K8" s="16" t="n"/>
      <c r="L8" s="16" t="n"/>
    </row>
    <row r="9">
      <c r="B9" s="16" t="n"/>
      <c r="C9" s="16" t="n"/>
      <c r="D9" s="16" t="n"/>
      <c r="E9" s="16" t="n"/>
      <c r="F9" s="16" t="n"/>
      <c r="G9" s="16" t="n"/>
      <c r="H9" s="16" t="n"/>
      <c r="I9" s="16" t="n"/>
      <c r="J9" s="16" t="n"/>
      <c r="K9" s="16" t="n"/>
      <c r="L9" s="16" t="n"/>
    </row>
    <row r="10">
      <c r="B10" s="16" t="n"/>
      <c r="C10" s="16" t="n"/>
      <c r="D10" s="16" t="n"/>
      <c r="E10" s="16" t="n"/>
      <c r="F10" s="16" t="n"/>
      <c r="G10" s="16" t="n"/>
      <c r="H10" s="16" t="n"/>
      <c r="I10" s="16" t="n"/>
      <c r="J10" s="16" t="n"/>
      <c r="K10" s="16" t="n"/>
      <c r="L10" s="16" t="n"/>
    </row>
    <row r="11">
      <c r="B11" s="16" t="n"/>
      <c r="C11" s="16" t="n"/>
      <c r="D11" s="16" t="n"/>
      <c r="E11" s="16" t="n"/>
      <c r="F11" s="16" t="n"/>
      <c r="G11" s="16" t="n"/>
      <c r="H11" s="16" t="n"/>
      <c r="I11" s="16" t="n"/>
      <c r="J11" s="16" t="n"/>
      <c r="K11" s="16" t="n"/>
      <c r="L11" s="16" t="n"/>
    </row>
    <row r="12">
      <c r="B12" s="16" t="n"/>
      <c r="C12" s="16" t="n"/>
      <c r="D12" s="16" t="n"/>
      <c r="E12" s="16" t="n"/>
      <c r="F12" s="16" t="n"/>
      <c r="G12" s="16" t="n"/>
      <c r="H12" s="16" t="n"/>
      <c r="I12" s="16" t="n"/>
      <c r="J12" s="16" t="n"/>
      <c r="K12" s="16" t="n"/>
      <c r="L12" s="16" t="n"/>
    </row>
    <row r="13">
      <c r="B13" s="16" t="n"/>
      <c r="C13" s="16" t="n"/>
      <c r="D13" s="16" t="n"/>
      <c r="E13" s="16" t="n"/>
      <c r="F13" s="16" t="n"/>
      <c r="G13" s="16" t="n"/>
      <c r="H13" s="16" t="n"/>
      <c r="I13" s="16" t="n"/>
      <c r="J13" s="16" t="n"/>
      <c r="K13" s="16" t="n"/>
      <c r="L13" s="16" t="n"/>
    </row>
    <row r="14">
      <c r="B14" s="16" t="n"/>
      <c r="C14" s="16" t="n"/>
      <c r="D14" s="16" t="n"/>
      <c r="E14" s="16" t="n"/>
      <c r="F14" s="16" t="n"/>
      <c r="G14" s="16" t="n"/>
      <c r="H14" s="16" t="n"/>
      <c r="I14" s="16" t="n"/>
      <c r="J14" s="16" t="n"/>
      <c r="K14" s="16" t="n"/>
      <c r="L14" s="16" t="n"/>
    </row>
    <row r="15">
      <c r="B15" s="16" t="n"/>
      <c r="C15" s="16" t="n"/>
      <c r="D15" s="16" t="n"/>
      <c r="E15" s="16" t="n"/>
      <c r="F15" s="16" t="n"/>
      <c r="G15" s="16" t="n"/>
      <c r="H15" s="16" t="n"/>
      <c r="I15" s="16" t="n"/>
      <c r="J15" s="16" t="n"/>
      <c r="K15" s="16" t="n"/>
      <c r="L15" s="16" t="n"/>
    </row>
    <row r="16">
      <c r="B16" s="16" t="n"/>
      <c r="C16" s="16" t="n"/>
      <c r="D16" s="16" t="n"/>
      <c r="E16" s="16" t="n"/>
      <c r="F16" s="16" t="n"/>
      <c r="G16" s="16" t="n"/>
      <c r="H16" s="16" t="n"/>
      <c r="I16" s="16" t="n"/>
      <c r="J16" s="16" t="n"/>
      <c r="K16" s="16" t="n"/>
      <c r="L16" s="16" t="n"/>
    </row>
    <row r="17">
      <c r="B17" s="16" t="n"/>
      <c r="C17" s="16" t="n"/>
      <c r="D17" s="16" t="n"/>
      <c r="E17" s="16" t="n"/>
      <c r="F17" s="16" t="n"/>
      <c r="G17" s="16" t="n"/>
      <c r="H17" s="16" t="n"/>
      <c r="I17" s="16" t="n"/>
      <c r="J17" s="16" t="n"/>
      <c r="K17" s="16" t="n"/>
      <c r="L17" s="16" t="n"/>
    </row>
    <row r="18">
      <c r="B18" s="16" t="n"/>
      <c r="C18" s="16" t="n"/>
      <c r="D18" s="16" t="n"/>
      <c r="E18" s="16" t="n"/>
      <c r="F18" s="16" t="n"/>
      <c r="G18" s="16" t="n"/>
      <c r="H18" s="16" t="n"/>
      <c r="I18" s="16" t="n"/>
      <c r="J18" s="16" t="n"/>
      <c r="K18" s="16" t="n"/>
      <c r="L18" s="16" t="n"/>
    </row>
    <row r="19">
      <c r="B19" s="16" t="n"/>
      <c r="C19" s="16" t="n"/>
      <c r="D19" s="16" t="n"/>
      <c r="E19" s="16" t="n"/>
      <c r="F19" s="16" t="n"/>
      <c r="G19" s="16" t="n"/>
      <c r="H19" s="16" t="n"/>
      <c r="I19" s="16" t="n"/>
      <c r="J19" s="16" t="n"/>
      <c r="K19" s="16" t="n"/>
      <c r="L19" s="16" t="n"/>
    </row>
    <row r="20">
      <c r="B20" s="16" t="n"/>
      <c r="C20" s="16" t="n"/>
      <c r="D20" s="16" t="n"/>
      <c r="E20" s="16" t="n"/>
      <c r="F20" s="16" t="n"/>
      <c r="G20" s="16" t="n"/>
      <c r="H20" s="16" t="n"/>
      <c r="I20" s="16" t="n"/>
      <c r="J20" s="16" t="n"/>
      <c r="K20" s="16" t="n"/>
      <c r="L20" s="16" t="n"/>
    </row>
    <row r="21">
      <c r="B21" s="16" t="n"/>
      <c r="C21" s="16" t="n"/>
      <c r="D21" s="16" t="n"/>
      <c r="E21" s="16" t="n"/>
      <c r="F21" s="16" t="n"/>
      <c r="G21" s="16" t="n"/>
      <c r="H21" s="16" t="n"/>
      <c r="I21" s="16" t="n"/>
      <c r="J21" s="16" t="n"/>
      <c r="K21" s="16" t="n"/>
      <c r="L21" s="16" t="n"/>
    </row>
    <row r="22">
      <c r="B22" s="16" t="n"/>
      <c r="C22" s="16" t="n"/>
      <c r="D22" s="16" t="n"/>
      <c r="E22" s="16" t="n"/>
      <c r="F22" s="16" t="n"/>
      <c r="G22" s="16" t="n"/>
      <c r="H22" s="16" t="n"/>
      <c r="I22" s="16" t="n"/>
      <c r="J22" s="16" t="n"/>
      <c r="K22" s="16" t="n"/>
      <c r="L22" s="16" t="n"/>
    </row>
    <row r="23">
      <c r="B23" s="16" t="n"/>
      <c r="C23" s="16" t="n"/>
      <c r="D23" s="16" t="n"/>
      <c r="E23" s="16" t="n"/>
      <c r="F23" s="16" t="n"/>
      <c r="G23" s="16" t="n"/>
      <c r="H23" s="16" t="n"/>
      <c r="I23" s="16" t="n"/>
      <c r="J23" s="16" t="n"/>
      <c r="K23" s="16" t="n"/>
      <c r="L23" s="16" t="n"/>
    </row>
    <row r="24">
      <c r="B24" s="16" t="n"/>
      <c r="C24" s="16" t="n"/>
      <c r="D24" s="16" t="n"/>
      <c r="E24" s="16" t="n"/>
      <c r="F24" s="16" t="n"/>
      <c r="G24" s="16" t="n"/>
      <c r="H24" s="16" t="n"/>
      <c r="I24" s="16" t="n"/>
      <c r="J24" s="16" t="n"/>
      <c r="K24" s="16" t="n"/>
      <c r="L24" s="16" t="n"/>
    </row>
    <row r="25">
      <c r="B25" s="16" t="n"/>
      <c r="C25" s="16" t="n"/>
      <c r="D25" s="16" t="n"/>
      <c r="E25" s="16" t="n"/>
      <c r="F25" s="16" t="n"/>
      <c r="G25" s="16" t="n"/>
      <c r="H25" s="16" t="n"/>
      <c r="I25" s="16" t="n"/>
      <c r="J25" s="16" t="n"/>
      <c r="K25" s="16" t="n"/>
      <c r="L25" s="16" t="n"/>
    </row>
    <row r="26">
      <c r="B26" s="16" t="n"/>
      <c r="C26" s="16" t="n"/>
      <c r="D26" s="16" t="n"/>
      <c r="E26" s="16" t="n"/>
      <c r="F26" s="16" t="n"/>
      <c r="G26" s="16" t="n"/>
      <c r="H26" s="16" t="n"/>
      <c r="I26" s="16" t="n"/>
      <c r="J26" s="16" t="n"/>
      <c r="K26" s="16" t="n"/>
      <c r="L26" s="16" t="n"/>
    </row>
    <row r="27">
      <c r="B27" s="16" t="n"/>
      <c r="C27" s="16" t="n"/>
      <c r="D27" s="16" t="n"/>
      <c r="E27" s="16" t="n"/>
      <c r="F27" s="16" t="n"/>
      <c r="G27" s="16" t="n"/>
      <c r="H27" s="16" t="n"/>
      <c r="I27" s="16" t="n"/>
      <c r="J27" s="16" t="n"/>
      <c r="K27" s="16" t="n"/>
      <c r="L27" s="16" t="n"/>
    </row>
    <row r="28">
      <c r="B28" s="16" t="n"/>
      <c r="C28" s="16" t="n"/>
      <c r="D28" s="16" t="n"/>
      <c r="E28" s="16" t="n"/>
      <c r="F28" s="16" t="n"/>
      <c r="G28" s="16" t="n"/>
      <c r="H28" s="16" t="n"/>
      <c r="I28" s="16" t="n"/>
      <c r="J28" s="16" t="n"/>
      <c r="K28" s="16" t="n"/>
      <c r="L28" s="16" t="n"/>
    </row>
    <row r="29">
      <c r="B29" s="16" t="n"/>
      <c r="C29" s="16" t="n"/>
      <c r="D29" s="16" t="n"/>
      <c r="E29" s="16" t="n"/>
      <c r="F29" s="16" t="n"/>
      <c r="G29" s="16" t="n"/>
      <c r="H29" s="16" t="n"/>
      <c r="I29" s="16" t="n"/>
      <c r="J29" s="16" t="n"/>
      <c r="K29" s="16" t="n"/>
      <c r="L29" s="16" t="n"/>
    </row>
    <row r="30">
      <c r="B30" s="16" t="n"/>
      <c r="C30" s="16" t="n"/>
      <c r="D30" s="16" t="n"/>
      <c r="E30" s="16" t="n"/>
      <c r="F30" s="16" t="n"/>
      <c r="G30" s="16" t="n"/>
      <c r="H30" s="16" t="n"/>
      <c r="I30" s="16" t="n"/>
      <c r="J30" s="16" t="n"/>
      <c r="K30" s="16" t="n"/>
      <c r="L30" s="16" t="n"/>
    </row>
    <row r="31">
      <c r="B31" s="16" t="n"/>
      <c r="C31" s="16" t="n"/>
      <c r="D31" s="16" t="n"/>
      <c r="E31" s="16" t="n"/>
      <c r="F31" s="16" t="n"/>
      <c r="G31" s="16" t="n"/>
      <c r="H31" s="16" t="n"/>
      <c r="I31" s="16" t="n"/>
      <c r="J31" s="16" t="n"/>
      <c r="K31" s="16" t="n"/>
      <c r="L31" s="16" t="n"/>
    </row>
    <row r="32">
      <c r="B32" s="16" t="n"/>
      <c r="C32" s="16" t="n"/>
      <c r="D32" s="16" t="n"/>
      <c r="E32" s="16" t="n"/>
      <c r="F32" s="16" t="n"/>
      <c r="G32" s="16" t="n"/>
      <c r="H32" s="16" t="n"/>
      <c r="I32" s="16" t="n"/>
      <c r="J32" s="16" t="n"/>
      <c r="K32" s="16" t="n"/>
      <c r="L32" s="16" t="n"/>
    </row>
    <row r="33">
      <c r="B33" s="16" t="n"/>
      <c r="C33" s="16" t="n"/>
      <c r="D33" s="16" t="n"/>
      <c r="E33" s="16" t="n"/>
      <c r="F33" s="16" t="n"/>
      <c r="G33" s="16" t="n"/>
      <c r="H33" s="16" t="n"/>
      <c r="I33" s="16" t="n"/>
      <c r="J33" s="16" t="n"/>
      <c r="K33" s="16" t="n"/>
      <c r="L33" s="16" t="n"/>
    </row>
    <row r="34">
      <c r="B34" s="16" t="n"/>
      <c r="C34" s="16" t="n"/>
      <c r="D34" s="16" t="n"/>
      <c r="E34" s="16" t="n"/>
      <c r="F34" s="16" t="n"/>
      <c r="G34" s="16" t="n"/>
      <c r="H34" s="16" t="n"/>
      <c r="I34" s="16" t="n"/>
      <c r="J34" s="16" t="n"/>
      <c r="K34" s="16" t="n"/>
      <c r="L34" s="16" t="n"/>
    </row>
    <row r="35">
      <c r="B35" s="16" t="n"/>
      <c r="C35" s="16" t="n"/>
      <c r="D35" s="16" t="n"/>
      <c r="E35" s="16" t="n"/>
      <c r="F35" s="16" t="n"/>
      <c r="G35" s="16" t="n"/>
      <c r="H35" s="16" t="n"/>
      <c r="I35" s="16" t="n"/>
      <c r="J35" s="16" t="n"/>
      <c r="K35" s="16" t="n"/>
      <c r="L35" s="16" t="n"/>
    </row>
    <row r="36">
      <c r="B36" s="16" t="n"/>
      <c r="C36" s="16" t="n"/>
      <c r="D36" s="16" t="n"/>
      <c r="E36" s="16" t="n"/>
      <c r="F36" s="16" t="n"/>
      <c r="G36" s="16" t="n"/>
      <c r="H36" s="16" t="n"/>
      <c r="I36" s="16" t="n"/>
      <c r="J36" s="16" t="n"/>
      <c r="K36" s="16" t="n"/>
      <c r="L36" s="16" t="n"/>
    </row>
    <row r="37">
      <c r="B37" s="16" t="n"/>
      <c r="C37" s="16" t="n"/>
      <c r="D37" s="16" t="n"/>
      <c r="E37" s="16" t="n"/>
      <c r="F37" s="16" t="n"/>
      <c r="G37" s="16" t="n"/>
      <c r="H37" s="16" t="n"/>
      <c r="I37" s="16" t="n"/>
      <c r="J37" s="16" t="n"/>
      <c r="K37" s="16" t="n"/>
      <c r="L37" s="16" t="n"/>
    </row>
    <row r="38">
      <c r="B38" s="16" t="n"/>
      <c r="C38" s="16" t="n"/>
      <c r="D38" s="16" t="n"/>
      <c r="E38" s="16" t="n"/>
      <c r="F38" s="16" t="n"/>
      <c r="G38" s="16" t="n"/>
      <c r="H38" s="16" t="n"/>
      <c r="I38" s="16" t="n"/>
      <c r="J38" s="16" t="n"/>
      <c r="K38" s="16" t="n"/>
      <c r="L38" s="16" t="n"/>
    </row>
    <row r="39">
      <c r="B39" s="16" t="n"/>
      <c r="C39" s="16" t="n"/>
      <c r="D39" s="16" t="n"/>
      <c r="E39" s="16" t="n"/>
      <c r="F39" s="16" t="n"/>
      <c r="G39" s="16" t="n"/>
      <c r="H39" s="16" t="n"/>
      <c r="I39" s="16" t="n"/>
      <c r="J39" s="16" t="n"/>
      <c r="K39" s="16" t="n"/>
      <c r="L39" s="16" t="n"/>
    </row>
    <row r="40">
      <c r="B40" s="16" t="n"/>
      <c r="C40" s="16" t="n"/>
      <c r="D40" s="16" t="n"/>
      <c r="E40" s="16" t="n"/>
      <c r="F40" s="16" t="n"/>
      <c r="G40" s="16" t="n"/>
      <c r="H40" s="16" t="n"/>
      <c r="I40" s="16" t="n"/>
      <c r="J40" s="16" t="n"/>
      <c r="K40" s="16" t="n"/>
      <c r="L40" s="16" t="n"/>
    </row>
    <row r="41">
      <c r="B41" s="16" t="n"/>
      <c r="C41" s="16" t="n"/>
      <c r="D41" s="16" t="n"/>
      <c r="E41" s="16" t="n"/>
      <c r="F41" s="16" t="n"/>
      <c r="G41" s="16" t="n"/>
      <c r="H41" s="16" t="n"/>
      <c r="I41" s="16" t="n"/>
      <c r="J41" s="16" t="n"/>
      <c r="K41" s="16" t="n"/>
      <c r="L41" s="16" t="n"/>
    </row>
    <row r="42">
      <c r="B42" s="16" t="n"/>
      <c r="C42" s="16" t="n"/>
      <c r="D42" s="16" t="n"/>
      <c r="E42" s="16" t="n"/>
      <c r="F42" s="16" t="n"/>
      <c r="G42" s="16" t="n"/>
      <c r="H42" s="16" t="n"/>
      <c r="I42" s="16" t="n"/>
      <c r="J42" s="16" t="n"/>
      <c r="K42" s="16" t="n"/>
      <c r="L42" s="16" t="n"/>
    </row>
    <row r="43">
      <c r="B43" s="16" t="n"/>
      <c r="C43" s="16" t="n"/>
      <c r="D43" s="16" t="n"/>
      <c r="E43" s="16" t="n"/>
      <c r="F43" s="16" t="n"/>
      <c r="G43" s="16" t="n"/>
      <c r="H43" s="16" t="n"/>
      <c r="I43" s="16" t="n"/>
      <c r="J43" s="16" t="n"/>
      <c r="K43" s="16" t="n"/>
      <c r="L43" s="16" t="n"/>
    </row>
    <row r="44">
      <c r="B44" s="16" t="n"/>
      <c r="C44" s="16" t="n"/>
      <c r="D44" s="16" t="n"/>
      <c r="E44" s="16" t="n"/>
      <c r="F44" s="16" t="n"/>
      <c r="G44" s="16" t="n"/>
      <c r="H44" s="16" t="n"/>
      <c r="I44" s="16" t="n"/>
      <c r="J44" s="16" t="n"/>
      <c r="K44" s="16" t="n"/>
      <c r="L44" s="16" t="n"/>
    </row>
    <row r="45">
      <c r="B45" s="16" t="n"/>
      <c r="C45" s="16" t="n"/>
      <c r="D45" s="16" t="n"/>
      <c r="E45" s="16" t="n"/>
      <c r="F45" s="16" t="n"/>
      <c r="G45" s="16" t="n"/>
      <c r="H45" s="16" t="n"/>
      <c r="I45" s="16" t="n"/>
      <c r="J45" s="16" t="n"/>
      <c r="K45" s="16" t="n"/>
      <c r="L45" s="16" t="n"/>
    </row>
    <row r="46">
      <c r="B46" s="16" t="n"/>
      <c r="C46" s="16" t="n"/>
      <c r="D46" s="16" t="n"/>
      <c r="E46" s="16" t="n"/>
      <c r="F46" s="16" t="n"/>
      <c r="G46" s="16" t="n"/>
      <c r="H46" s="16" t="n"/>
      <c r="I46" s="16" t="n"/>
      <c r="J46" s="16" t="n"/>
      <c r="K46" s="16" t="n"/>
      <c r="L46" s="16" t="n"/>
    </row>
    <row r="47">
      <c r="B47" s="16" t="n"/>
      <c r="C47" s="16" t="n"/>
      <c r="D47" s="16" t="n"/>
      <c r="E47" s="16" t="n"/>
      <c r="F47" s="16" t="n"/>
      <c r="G47" s="16" t="n"/>
      <c r="H47" s="16" t="n"/>
      <c r="I47" s="16" t="n"/>
      <c r="J47" s="16" t="n"/>
      <c r="K47" s="16" t="n"/>
      <c r="L47" s="16" t="n"/>
    </row>
    <row r="48">
      <c r="B48" s="16" t="n"/>
      <c r="C48" s="16" t="n"/>
      <c r="D48" s="16" t="n"/>
      <c r="E48" s="16" t="n"/>
      <c r="F48" s="16" t="n"/>
      <c r="G48" s="16" t="n"/>
      <c r="H48" s="16" t="n"/>
      <c r="I48" s="16" t="n"/>
      <c r="J48" s="16" t="n"/>
      <c r="K48" s="16" t="n"/>
      <c r="L48" s="16" t="n"/>
    </row>
    <row r="49">
      <c r="B49" s="16" t="n"/>
      <c r="C49" s="16" t="n"/>
      <c r="D49" s="16" t="n"/>
      <c r="E49" s="16" t="n"/>
      <c r="F49" s="16" t="n"/>
      <c r="G49" s="16" t="n"/>
      <c r="H49" s="16" t="n"/>
      <c r="I49" s="16" t="n"/>
      <c r="J49" s="16" t="n"/>
      <c r="K49" s="16" t="n"/>
      <c r="L49" s="16" t="n"/>
    </row>
    <row r="50">
      <c r="B50" s="16" t="n"/>
      <c r="C50" s="16" t="n"/>
      <c r="D50" s="16" t="n"/>
      <c r="E50" s="16" t="n"/>
      <c r="F50" s="16" t="n"/>
      <c r="G50" s="16" t="n"/>
      <c r="H50" s="16" t="n"/>
      <c r="I50" s="16" t="n"/>
      <c r="J50" s="16" t="n"/>
      <c r="K50" s="16" t="n"/>
      <c r="L50" s="16" t="n"/>
    </row>
    <row r="51">
      <c r="B51" s="16" t="n"/>
      <c r="C51" s="16" t="n"/>
      <c r="D51" s="16" t="n"/>
      <c r="E51" s="16" t="n"/>
      <c r="F51" s="16" t="n"/>
      <c r="G51" s="16" t="n"/>
      <c r="H51" s="16" t="n"/>
      <c r="I51" s="16" t="n"/>
      <c r="J51" s="16" t="n"/>
      <c r="K51" s="16" t="n"/>
      <c r="L51" s="16" t="n"/>
    </row>
    <row r="52">
      <c r="B52" s="16" t="n"/>
      <c r="C52" s="16" t="n"/>
      <c r="D52" s="16" t="n"/>
      <c r="E52" s="16" t="n"/>
      <c r="F52" s="16" t="n"/>
      <c r="G52" s="16" t="n"/>
      <c r="H52" s="16" t="n"/>
      <c r="I52" s="16" t="n"/>
      <c r="J52" s="16" t="n"/>
      <c r="K52" s="16" t="n"/>
      <c r="L52" s="16" t="n"/>
    </row>
    <row r="53">
      <c r="B53" s="16" t="n"/>
      <c r="C53" s="16" t="n"/>
      <c r="D53" s="16" t="n"/>
      <c r="E53" s="16" t="n"/>
      <c r="F53" s="16" t="n"/>
      <c r="G53" s="16" t="n"/>
      <c r="H53" s="16" t="n"/>
      <c r="I53" s="16" t="n"/>
      <c r="J53" s="16" t="n"/>
      <c r="K53" s="16" t="n"/>
      <c r="L53" s="16" t="n"/>
    </row>
    <row r="54">
      <c r="B54" s="16" t="n"/>
      <c r="C54" s="16" t="n"/>
      <c r="D54" s="16" t="n"/>
      <c r="E54" s="16" t="n"/>
      <c r="F54" s="16" t="n"/>
      <c r="G54" s="16" t="n"/>
      <c r="H54" s="16" t="n"/>
      <c r="I54" s="16" t="n"/>
      <c r="J54" s="16" t="n"/>
      <c r="K54" s="16" t="n"/>
      <c r="L54" s="16" t="n"/>
    </row>
  </sheetData>
  <mergeCells count="2">
    <mergeCell ref="A2:L2"/>
    <mergeCell ref="A1:L1"/>
  </mergeCells>
  <dataValidations count="4">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"Lost,Stolen,Damaged,Compromised,Near Miss"</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"High (PII, Financial),Medium (Internal),Low (Public),None (encrypted)"</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 - Successful,Yes - Failed,No - Not needed,No - Not possible"</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"Recovered,Not recovered,Insurance claim,Replaced"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1" t="inlineStr">
        <is>
          <t>EVIDENCE REGISTER</t>
        </is>
      </c>
    </row>
    <row r="2">
      <c r="A2" s="17" t="inlineStr">
        <is>
          <t>Document all evidence collected during this assessment</t>
        </is>
      </c>
    </row>
    <row r="4">
      <c r="A4" s="18" t="inlineStr">
        <is>
          <t>Evidence ID</t>
        </is>
      </c>
      <c r="B4" s="18" t="inlineStr">
        <is>
          <t>Evidence Type</t>
        </is>
      </c>
      <c r="C4" s="18" t="inlineStr">
        <is>
          <t>Description</t>
        </is>
      </c>
      <c r="D4" s="18" t="inlineStr">
        <is>
          <t>Related Sheet/Item</t>
        </is>
      </c>
      <c r="E4" s="18" t="inlineStr">
        <is>
          <t>Collection Date</t>
        </is>
      </c>
      <c r="F4" s="18" t="inlineStr">
        <is>
          <t>Collected By</t>
        </is>
      </c>
      <c r="G4" s="18" t="inlineStr">
        <is>
          <t>Retention Period</t>
        </is>
      </c>
      <c r="H4" s="18" t="inlineStr">
        <is>
          <t>Notes</t>
        </is>
      </c>
    </row>
    <row r="5">
      <c r="A5" s="19" t="inlineStr">
        <is>
          <t>EV-001</t>
        </is>
      </c>
      <c r="B5" s="19" t="inlineStr">
        <is>
          <t>Screenshot</t>
        </is>
      </c>
      <c r="C5" s="14" t="inlineStr">
        <is>
          <t>Sample — delete before use</t>
        </is>
      </c>
      <c r="D5" s="15" t="n"/>
      <c r="E5" s="15" t="n"/>
      <c r="F5" s="15" t="n"/>
      <c r="G5" s="15" t="n"/>
      <c r="H5" s="15" t="n"/>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1" t="inlineStr">
        <is>
          <t>OFF-PREMISES ASSET SECURITY — SUMMARY DASHBOARD</t>
        </is>
      </c>
      <c r="B1" s="6" t="n"/>
      <c r="C1" s="6" t="n"/>
      <c r="D1" s="6" t="n"/>
      <c r="E1" s="6" t="n"/>
      <c r="F1" s="6" t="n"/>
      <c r="G1" s="6" t="n"/>
    </row>
    <row r="2">
      <c r="A2" s="22" t="inlineStr">
        <is>
          <t>ISO/IEC 27001:2022 — Control A.7.9: Security of Assets Off-Premises</t>
        </is>
      </c>
    </row>
    <row r="4">
      <c r="A4" s="23" t="inlineStr">
        <is>
          <t>TABLE 1: ASSESSMENT AREA COMPLIANCE OVERVIEW</t>
        </is>
      </c>
      <c r="B4" s="6" t="n"/>
      <c r="C4" s="6" t="n"/>
      <c r="D4" s="6" t="n"/>
      <c r="E4" s="6" t="n"/>
      <c r="F4" s="6" t="n"/>
      <c r="G4" s="6" t="n"/>
    </row>
    <row r="5">
      <c r="A5" s="24" t="inlineStr">
        <is>
          <t>Assessment Area</t>
        </is>
      </c>
      <c r="B5" s="24" t="inlineStr">
        <is>
          <t>Total Items</t>
        </is>
      </c>
      <c r="C5" s="24" t="inlineStr">
        <is>
          <t>Compliant</t>
        </is>
      </c>
      <c r="D5" s="24" t="inlineStr">
        <is>
          <t>Partial</t>
        </is>
      </c>
      <c r="E5" s="24" t="inlineStr">
        <is>
          <t>Non-Compliant</t>
        </is>
      </c>
      <c r="F5" s="24" t="inlineStr">
        <is>
          <t>N/A</t>
        </is>
      </c>
      <c r="G5" s="24" t="inlineStr">
        <is>
          <t>Compliance %</t>
        </is>
      </c>
    </row>
    <row r="6">
      <c r="A6" s="25" t="inlineStr">
        <is>
          <t>Equipment Inventory</t>
        </is>
      </c>
      <c r="B6" s="26">
        <f>COUNTA('Equipment Inventory'!B5:B54)</f>
        <v/>
      </c>
      <c r="C6" s="26">
        <f>COUNTIF('Equipment Inventory'!L5:L54,"✅*")</f>
        <v/>
      </c>
      <c r="D6" s="26">
        <f>COUNTIF('Equipment Inventory'!L5:L54,"⚠*")</f>
        <v/>
      </c>
      <c r="E6" s="26">
        <f>COUNTIF('Equipment Inventory'!L5:L54,"❌*")</f>
        <v/>
      </c>
      <c r="F6" s="26">
        <f>B6-(C6+D6+E6)</f>
        <v/>
      </c>
      <c r="G6" s="27">
        <f>IF((B6-F6)=0,0,C6/(B6-F6))</f>
        <v/>
      </c>
    </row>
    <row r="7">
      <c r="A7" s="25" t="inlineStr">
        <is>
          <t>Authorisation</t>
        </is>
      </c>
      <c r="B7" s="26">
        <f>COUNTA('Authorisation'!B5:B54)</f>
        <v/>
      </c>
      <c r="C7" s="26">
        <f>COUNTIF('Authorisation'!K5:K54,"✅*")</f>
        <v/>
      </c>
      <c r="D7" s="26">
        <f>COUNTIF('Authorisation'!K5:K54,"⚠*")</f>
        <v/>
      </c>
      <c r="E7" s="26">
        <f>COUNTIF('Authorisation'!K5:K54,"❌*")</f>
        <v/>
      </c>
      <c r="F7" s="26">
        <f>B7-(C7+D7+E7)</f>
        <v/>
      </c>
      <c r="G7" s="27">
        <f>IF((B7-F7)=0,0,C7/(B7-F7))</f>
        <v/>
      </c>
    </row>
    <row r="8">
      <c r="A8" s="25" t="inlineStr">
        <is>
          <t>Protection Measures</t>
        </is>
      </c>
      <c r="B8" s="26">
        <f>COUNTA('Protection Measures'!B5:B54)</f>
        <v/>
      </c>
      <c r="C8" s="26">
        <f>COUNTIF('Protection Measures'!K5:K54,"✅*")</f>
        <v/>
      </c>
      <c r="D8" s="26">
        <f>COUNTIF('Protection Measures'!K5:K54,"⚠*")</f>
        <v/>
      </c>
      <c r="E8" s="26">
        <f>COUNTIF('Protection Measures'!K5:K54,"❌*")</f>
        <v/>
      </c>
      <c r="F8" s="26">
        <f>B8-(C8+D8+E8)</f>
        <v/>
      </c>
      <c r="G8" s="27">
        <f>IF((B8-F8)=0,0,C8/(B8-F8))</f>
        <v/>
      </c>
    </row>
    <row r="9">
      <c r="A9" s="25" t="inlineStr">
        <is>
          <t>Remote Working</t>
        </is>
      </c>
      <c r="B9" s="26">
        <f>COUNTA('Remote Working'!B5:B54)</f>
        <v/>
      </c>
      <c r="C9" s="26">
        <f>COUNTIF('Remote Working'!L5:L54,"✅*")</f>
        <v/>
      </c>
      <c r="D9" s="26">
        <f>COUNTIF('Remote Working'!L5:L54,"⚠*")</f>
        <v/>
      </c>
      <c r="E9" s="26">
        <f>COUNTIF('Remote Working'!L5:L54,"❌*")</f>
        <v/>
      </c>
      <c r="F9" s="26">
        <f>B9-(C9+D9+E9)</f>
        <v/>
      </c>
      <c r="G9" s="27">
        <f>IF((B9-F9)=0,0,C9/(B9-F9))</f>
        <v/>
      </c>
    </row>
    <row r="10">
      <c r="A10" s="25" t="inlineStr">
        <is>
          <t>Permanent Off-Site</t>
        </is>
      </c>
      <c r="B10" s="26">
        <f>COUNTA('Permanent Off-Site'!B5:B54)</f>
        <v/>
      </c>
      <c r="C10" s="26">
        <f>COUNTIF('Permanent Off-Site'!K5:K54,"✅*")</f>
        <v/>
      </c>
      <c r="D10" s="26">
        <f>COUNTIF('Permanent Off-Site'!K5:K54,"⚠*")</f>
        <v/>
      </c>
      <c r="E10" s="26">
        <f>COUNTIF('Permanent Off-Site'!K5:K54,"❌*")</f>
        <v/>
      </c>
      <c r="F10" s="26">
        <f>B10-(C10+D10+E10)</f>
        <v/>
      </c>
      <c r="G10" s="27">
        <f>IF((B10-F10)=0,0,C10/(B10-F10))</f>
        <v/>
      </c>
    </row>
    <row r="11">
      <c r="A11" s="28" t="inlineStr">
        <is>
          <t>TOTAL</t>
        </is>
      </c>
      <c r="B11" s="29">
        <f>SUM(B6:B10)</f>
        <v/>
      </c>
      <c r="C11" s="29">
        <f>SUM(C6:C10)</f>
        <v/>
      </c>
      <c r="D11" s="29">
        <f>SUM(D6:D10)</f>
        <v/>
      </c>
      <c r="E11" s="29">
        <f>SUM(E6:E10)</f>
        <v/>
      </c>
      <c r="F11" s="29">
        <f>SUM(F6:F10)</f>
        <v/>
      </c>
      <c r="G11" s="30">
        <f>IF((B11-F11)=0,0,C11/(B11-F11))</f>
        <v/>
      </c>
    </row>
    <row r="13">
      <c r="A13" s="23" t="inlineStr">
        <is>
          <t>TABLE 2: KEY METRICS</t>
        </is>
      </c>
      <c r="B13" s="6" t="n"/>
      <c r="C13" s="6" t="n"/>
      <c r="D13" s="6" t="n"/>
      <c r="E13" s="6" t="n"/>
      <c r="F13" s="6" t="n"/>
      <c r="G13" s="6" t="n"/>
    </row>
    <row r="14">
      <c r="A14" s="29" t="inlineStr">
        <is>
          <t>Metric</t>
        </is>
      </c>
      <c r="B14" s="29" t="inlineStr">
        <is>
          <t>Value</t>
        </is>
      </c>
      <c r="C14" s="29" t="n"/>
      <c r="D14" s="29" t="n"/>
      <c r="E14" s="29" t="n"/>
      <c r="F14" s="29" t="n"/>
      <c r="G14" s="29" t="n"/>
    </row>
    <row r="15">
      <c r="A15" s="25" t="inlineStr">
        <is>
          <t>Total Off-Premises Devices Tracked</t>
        </is>
      </c>
      <c r="B15" s="26">
        <f>COUNTA('Equipment Inventory'!B5:B54)</f>
        <v/>
      </c>
      <c r="C15" s="6" t="n"/>
      <c r="D15" s="6" t="n"/>
      <c r="E15" s="6" t="n"/>
      <c r="F15" s="6" t="n"/>
      <c r="G15" s="6" t="n"/>
    </row>
    <row r="16">
      <c r="A16" s="25" t="inlineStr">
        <is>
          <t>Devices with Full Encryption (100%)</t>
        </is>
      </c>
      <c r="B16" s="26">
        <f>COUNTIF('Equipment Inventory'!H5:H54,"Yes - 100%")</f>
        <v/>
      </c>
      <c r="C16" s="6" t="n"/>
      <c r="D16" s="6" t="n"/>
      <c r="E16" s="6" t="n"/>
      <c r="F16" s="6" t="n"/>
      <c r="G16" s="6" t="n"/>
    </row>
    <row r="17">
      <c r="A17" s="25" t="inlineStr">
        <is>
          <t>Devices with No Encryption</t>
        </is>
      </c>
      <c r="B17" s="26">
        <f>COUNTIF('Equipment Inventory'!H5:H54,"No")</f>
        <v/>
      </c>
      <c r="C17" s="6" t="n"/>
      <c r="D17" s="6" t="n"/>
      <c r="E17" s="6" t="n"/>
      <c r="F17" s="6" t="n"/>
      <c r="G17" s="6" t="n"/>
    </row>
    <row r="18">
      <c r="A18" s="25" t="inlineStr">
        <is>
          <t>Devices with No MDM Enrollment</t>
        </is>
      </c>
      <c r="B18" s="26">
        <f>COUNTIF('Equipment Inventory'!G5:G54,"No")</f>
        <v/>
      </c>
      <c r="C18" s="6" t="n"/>
      <c r="D18" s="6" t="n"/>
      <c r="E18" s="6" t="n"/>
      <c r="F18" s="6" t="n"/>
      <c r="G18" s="6" t="n"/>
    </row>
    <row r="19">
      <c r="A19" s="25" t="inlineStr">
        <is>
          <t>Devices with Remote Wipe (Tested)</t>
        </is>
      </c>
      <c r="B19" s="26">
        <f>COUNTIF('Equipment Inventory'!I5:I54,"Yes - Tested")</f>
        <v/>
      </c>
      <c r="C19" s="6" t="n"/>
      <c r="D19" s="6" t="n"/>
      <c r="E19" s="6" t="n"/>
      <c r="F19" s="6" t="n"/>
      <c r="G19" s="6" t="n"/>
    </row>
    <row r="20">
      <c r="A20" s="25" t="inlineStr">
        <is>
          <t>Devices with No Remote Wipe Capability</t>
        </is>
      </c>
      <c r="B20" s="26">
        <f>COUNTIF('Equipment Inventory'!I5:I54,"No")</f>
        <v/>
      </c>
      <c r="C20" s="6" t="n"/>
      <c r="D20" s="6" t="n"/>
      <c r="E20" s="6" t="n"/>
      <c r="F20" s="6" t="n"/>
      <c r="G20" s="6" t="n"/>
    </row>
    <row r="21">
      <c r="A21" s="25" t="inlineStr">
        <is>
          <t>Assets Without Formal Authorisation</t>
        </is>
      </c>
      <c r="B21" s="26">
        <f>COUNTIF('Authorisation'!C5:C54,"No approval required")</f>
        <v/>
      </c>
      <c r="C21" s="6" t="n"/>
      <c r="D21" s="6" t="n"/>
      <c r="E21" s="6" t="n"/>
      <c r="F21" s="6" t="n"/>
      <c r="G21" s="6" t="n"/>
    </row>
    <row r="22">
      <c r="A22" s="25" t="inlineStr">
        <is>
          <t>Assets with No Custody Record</t>
        </is>
      </c>
      <c r="B22" s="26">
        <f>COUNTIF('Authorisation'!F5:F54,"No")</f>
        <v/>
      </c>
      <c r="C22" s="6" t="n"/>
      <c r="D22" s="6" t="n"/>
      <c r="E22" s="6" t="n"/>
      <c r="F22" s="6" t="n"/>
      <c r="G22" s="6" t="n"/>
    </row>
    <row r="23">
      <c r="A23" s="25" t="inlineStr">
        <is>
          <t>Assets with No Return Verification</t>
        </is>
      </c>
      <c r="B23" s="26">
        <f>COUNTIF('Authorisation'!G5:G54,"No verification")</f>
        <v/>
      </c>
      <c r="C23" s="6" t="n"/>
      <c r="D23" s="6" t="n"/>
      <c r="E23" s="6" t="n"/>
      <c r="F23" s="6" t="n"/>
      <c r="G23" s="6" t="n"/>
    </row>
    <row r="24">
      <c r="A24" s="25" t="inlineStr">
        <is>
          <t>Assets with No VPN Requirement</t>
        </is>
      </c>
      <c r="B24" s="26">
        <f>COUNTIF('Protection Measures'!I5:I54,"No requirement")</f>
        <v/>
      </c>
      <c r="C24" s="6" t="n"/>
      <c r="D24" s="6" t="n"/>
      <c r="E24" s="6" t="n"/>
      <c r="F24" s="6" t="n"/>
      <c r="G24" s="6" t="n"/>
    </row>
    <row r="25">
      <c r="A25" s="25" t="inlineStr">
        <is>
          <t>Remote Workers with No VPN Requirement</t>
        </is>
      </c>
      <c r="B25" s="26">
        <f>COUNTIF('Remote Working'!D5:D54,"Not required")</f>
        <v/>
      </c>
      <c r="C25" s="6" t="n"/>
      <c r="D25" s="6" t="n"/>
      <c r="E25" s="6" t="n"/>
      <c r="F25" s="6" t="n"/>
      <c r="G25" s="6" t="n"/>
    </row>
    <row r="26">
      <c r="A26" s="25" t="inlineStr">
        <is>
          <t>Permanent Off-Site with No Remote Management</t>
        </is>
      </c>
      <c r="B26" s="26">
        <f>COUNTIF('Permanent Off-Site'!G5:G54,"No")</f>
        <v/>
      </c>
      <c r="C26" s="6" t="n"/>
      <c r="D26" s="6" t="n"/>
      <c r="E26" s="6" t="n"/>
      <c r="F26" s="6" t="n"/>
      <c r="G26" s="6" t="n"/>
    </row>
    <row r="27">
      <c r="A27" s="25" t="inlineStr">
        <is>
          <t>Total Security Incidents (This Period)</t>
        </is>
      </c>
      <c r="B27" s="26">
        <f>COUNTA('Incidents'!B5:B54)</f>
        <v/>
      </c>
      <c r="C27" s="6" t="n"/>
      <c r="D27" s="6" t="n"/>
      <c r="E27" s="6" t="n"/>
      <c r="F27" s="6" t="n"/>
      <c r="G27" s="6" t="n"/>
    </row>
    <row r="28">
      <c r="A28" s="25" t="inlineStr">
        <is>
          <t>Devices Lost or Stolen</t>
        </is>
      </c>
      <c r="B28" s="26">
        <f>COUNTIF('Incidents'!D5:D54,"Lost")+COUNTIF('Incidents'!D5:D54,"Stolen")</f>
        <v/>
      </c>
      <c r="C28" s="6" t="n"/>
      <c r="D28" s="6" t="n"/>
      <c r="E28" s="6" t="n"/>
      <c r="F28" s="6" t="n"/>
      <c r="G28" s="6" t="n"/>
    </row>
    <row r="29">
      <c r="A29" s="25" t="inlineStr">
        <is>
          <t>Incidents with High Data Exposure</t>
        </is>
      </c>
      <c r="B29" s="26">
        <f>COUNTIF('Incidents'!F5:F54,"High (PII, Financial)")</f>
        <v/>
      </c>
      <c r="C29" s="6" t="n"/>
      <c r="D29" s="6" t="n"/>
      <c r="E29" s="6" t="n"/>
      <c r="F29" s="6" t="n"/>
      <c r="G29" s="6" t="n"/>
    </row>
    <row r="30">
      <c r="A30" s="25" t="inlineStr">
        <is>
          <t>Successful Remote Wipes (Incidents)</t>
        </is>
      </c>
      <c r="B30" s="26">
        <f>COUNTIF('Incidents'!G5:G54,"Yes - Successful")</f>
        <v/>
      </c>
      <c r="C30" s="6" t="n"/>
      <c r="D30" s="6" t="n"/>
      <c r="E30" s="6" t="n"/>
      <c r="F30" s="6" t="n"/>
      <c r="G30" s="6" t="n"/>
    </row>
    <row r="31">
      <c r="A31" s="25" t="inlineStr">
        <is>
          <t>Devices Not Recovered</t>
        </is>
      </c>
      <c r="B31" s="26">
        <f>COUNTIF('Incidents'!H5:H54,"Not recovered")</f>
        <v/>
      </c>
      <c r="C31" s="6" t="n"/>
      <c r="D31" s="6" t="n"/>
      <c r="E31" s="6" t="n"/>
      <c r="F31" s="6" t="n"/>
      <c r="G31" s="6" t="n"/>
    </row>
    <row r="32">
      <c r="A32" s="6" t="n"/>
      <c r="B32" s="6" t="n"/>
      <c r="C32" s="6" t="n"/>
      <c r="D32" s="6" t="n"/>
      <c r="E32" s="6" t="n"/>
      <c r="F32" s="6" t="n"/>
      <c r="G32" s="6" t="n"/>
    </row>
    <row r="33">
      <c r="A33" s="6" t="n"/>
      <c r="B33" s="6" t="n"/>
      <c r="C33" s="6" t="n"/>
      <c r="D33" s="6" t="n"/>
      <c r="E33" s="6" t="n"/>
      <c r="F33" s="6" t="n"/>
      <c r="G33" s="6" t="n"/>
    </row>
    <row r="35">
      <c r="A35" s="31" t="inlineStr">
        <is>
          <t>TABLE 3: CRITICAL FINDINGS REQUIRING IMMEDIATE ATTENTION</t>
        </is>
      </c>
      <c r="B35" s="6" t="n"/>
      <c r="C35" s="6" t="n"/>
      <c r="D35" s="6" t="n"/>
      <c r="E35" s="6" t="n"/>
      <c r="F35" s="6" t="n"/>
      <c r="G35" s="6" t="n"/>
    </row>
    <row r="36">
      <c r="A36" s="29" t="inlineStr">
        <is>
          <t>Category</t>
        </is>
      </c>
      <c r="B36" s="29" t="inlineStr">
        <is>
          <t>Finding</t>
        </is>
      </c>
      <c r="C36" s="29" t="inlineStr">
        <is>
          <t>Count</t>
        </is>
      </c>
      <c r="D36" s="29" t="inlineStr">
        <is>
          <t>Severity</t>
        </is>
      </c>
      <c r="E36" s="29" t="inlineStr">
        <is>
          <t>Action Required</t>
        </is>
      </c>
      <c r="F36" s="29" t="n"/>
      <c r="G36" s="29" t="n"/>
    </row>
    <row r="37">
      <c r="A37" s="32" t="inlineStr">
        <is>
          <t>Equipment Inventory</t>
        </is>
      </c>
      <c r="B37" s="32" t="inlineStr">
        <is>
          <t>Devices with no encryption</t>
        </is>
      </c>
      <c r="C37" s="33">
        <f>COUNTIF('Equipment Inventory'!H5:H54,"No")</f>
        <v/>
      </c>
      <c r="D37" s="32" t="inlineStr">
        <is>
          <t>Critical</t>
        </is>
      </c>
      <c r="E37" s="32" t="inlineStr">
        <is>
          <t>Immediate</t>
        </is>
      </c>
      <c r="F37" s="32" t="n"/>
      <c r="G37" s="32" t="n"/>
    </row>
    <row r="38">
      <c r="A38" s="32" t="inlineStr">
        <is>
          <t>Equipment Inventory</t>
        </is>
      </c>
      <c r="B38" s="32" t="inlineStr">
        <is>
          <t>Devices with no MDM enrollment</t>
        </is>
      </c>
      <c r="C38" s="33">
        <f>COUNTIF('Equipment Inventory'!G5:G54,"No")</f>
        <v/>
      </c>
      <c r="D38" s="32" t="inlineStr">
        <is>
          <t>Critical</t>
        </is>
      </c>
      <c r="E38" s="32" t="inlineStr">
        <is>
          <t>Immediate</t>
        </is>
      </c>
      <c r="F38" s="32" t="n"/>
      <c r="G38" s="32" t="n"/>
    </row>
    <row r="39">
      <c r="A39" s="32" t="inlineStr">
        <is>
          <t>Equipment Inventory</t>
        </is>
      </c>
      <c r="B39" s="32" t="inlineStr">
        <is>
          <t>Devices with no remote wipe capability</t>
        </is>
      </c>
      <c r="C39" s="33">
        <f>COUNTIF('Equipment Inventory'!I5:I54,"No")</f>
        <v/>
      </c>
      <c r="D39" s="32" t="inlineStr">
        <is>
          <t>Critical</t>
        </is>
      </c>
      <c r="E39" s="32" t="inlineStr">
        <is>
          <t>Immediate</t>
        </is>
      </c>
      <c r="F39" s="32" t="n"/>
      <c r="G39" s="32" t="n"/>
    </row>
    <row r="40">
      <c r="A40" s="32" t="inlineStr">
        <is>
          <t>Authorisation</t>
        </is>
      </c>
      <c r="B40" s="32" t="inlineStr">
        <is>
          <t>Assets with no custody record</t>
        </is>
      </c>
      <c r="C40" s="33">
        <f>COUNTIF('Authorisation'!F5:F54,"No")</f>
        <v/>
      </c>
      <c r="D40" s="32" t="inlineStr">
        <is>
          <t>Critical</t>
        </is>
      </c>
      <c r="E40" s="32" t="inlineStr">
        <is>
          <t>Immediate</t>
        </is>
      </c>
      <c r="F40" s="32" t="n"/>
      <c r="G40" s="32" t="n"/>
    </row>
    <row r="41">
      <c r="A41" s="32" t="inlineStr">
        <is>
          <t>Authorisation</t>
        </is>
      </c>
      <c r="B41" s="32" t="inlineStr">
        <is>
          <t>Assets with no return verification</t>
        </is>
      </c>
      <c r="C41" s="33">
        <f>COUNTIF('Authorisation'!G5:G54,"No verification")</f>
        <v/>
      </c>
      <c r="D41" s="32" t="inlineStr">
        <is>
          <t>High</t>
        </is>
      </c>
      <c r="E41" s="32" t="inlineStr">
        <is>
          <t>Urgent</t>
        </is>
      </c>
      <c r="F41" s="32" t="n"/>
      <c r="G41" s="32" t="n"/>
    </row>
    <row r="42">
      <c r="A42" s="32" t="inlineStr">
        <is>
          <t>Protection Measures</t>
        </is>
      </c>
      <c r="B42" s="32" t="inlineStr">
        <is>
          <t>Assets with no VPN requirement</t>
        </is>
      </c>
      <c r="C42" s="33">
        <f>COUNTIF('Protection Measures'!I5:I54,"No requirement")</f>
        <v/>
      </c>
      <c r="D42" s="32" t="inlineStr">
        <is>
          <t>High</t>
        </is>
      </c>
      <c r="E42" s="32" t="inlineStr">
        <is>
          <t>Urgent</t>
        </is>
      </c>
      <c r="F42" s="32" t="n"/>
      <c r="G42" s="32" t="n"/>
    </row>
    <row r="43">
      <c r="A43" s="32" t="inlineStr">
        <is>
          <t>Remote Working</t>
        </is>
      </c>
      <c r="B43" s="32" t="inlineStr">
        <is>
          <t>Workers with no VPN requirement</t>
        </is>
      </c>
      <c r="C43" s="33">
        <f>COUNTIF('Remote Working'!D5:D54,"Not required")</f>
        <v/>
      </c>
      <c r="D43" s="32" t="inlineStr">
        <is>
          <t>High</t>
        </is>
      </c>
      <c r="E43" s="32" t="inlineStr">
        <is>
          <t>Urgent</t>
        </is>
      </c>
      <c r="F43" s="32" t="n"/>
      <c r="G43" s="32" t="n"/>
    </row>
    <row r="44">
      <c r="A44" s="32" t="inlineStr">
        <is>
          <t>Incidents</t>
        </is>
      </c>
      <c r="B44" s="32" t="inlineStr">
        <is>
          <t>Devices lost or stolen</t>
        </is>
      </c>
      <c r="C44" s="33">
        <f>COUNTIF('Incidents'!D5:D54,"Lost")+COUNTIF('Incidents'!D5:D54,"Stolen")</f>
        <v/>
      </c>
      <c r="D44" s="32" t="inlineStr">
        <is>
          <t>Critical</t>
        </is>
      </c>
      <c r="E44" s="32" t="inlineStr">
        <is>
          <t>Immediate</t>
        </is>
      </c>
      <c r="F44" s="32" t="n"/>
      <c r="G44" s="32" t="n"/>
    </row>
    <row r="45">
      <c r="A45" s="32" t="inlineStr">
        <is>
          <t>Incidents</t>
        </is>
      </c>
      <c r="B45" s="32" t="inlineStr">
        <is>
          <t>Incidents with high data exposure (PII/Financial)</t>
        </is>
      </c>
      <c r="C45" s="33">
        <f>COUNTIF('Incidents'!F5:F54,"High (PII, Financial)")</f>
        <v/>
      </c>
      <c r="D45" s="32" t="inlineStr">
        <is>
          <t>Critical</t>
        </is>
      </c>
      <c r="E45" s="32" t="inlineStr">
        <is>
          <t>Immediate</t>
        </is>
      </c>
      <c r="F45" s="32" t="n"/>
      <c r="G45" s="32" t="n"/>
    </row>
    <row r="46">
      <c r="A46" s="32" t="inlineStr">
        <is>
          <t>Incidents</t>
        </is>
      </c>
      <c r="B46" s="32" t="inlineStr">
        <is>
          <t>Devices not recovered after incident</t>
        </is>
      </c>
      <c r="C46" s="33">
        <f>COUNTIF('Incidents'!H5:H54,"Not recovered")</f>
        <v/>
      </c>
      <c r="D46" s="32" t="inlineStr">
        <is>
          <t>High</t>
        </is>
      </c>
      <c r="E46" s="32" t="inlineStr">
        <is>
          <t>Urgent</t>
        </is>
      </c>
      <c r="F46" s="32" t="n"/>
      <c r="G46" s="32" t="n"/>
    </row>
    <row r="47">
      <c r="A47" s="20" t="n"/>
      <c r="B47" s="20" t="n"/>
      <c r="C47" s="20" t="n"/>
      <c r="D47" s="20" t="n"/>
      <c r="E47" s="20" t="n"/>
      <c r="F47" s="20" t="n"/>
      <c r="G47" s="20" t="n"/>
    </row>
    <row r="48">
      <c r="A48" s="20" t="n"/>
      <c r="B48" s="20" t="n"/>
      <c r="C48" s="20" t="n"/>
      <c r="D48" s="20" t="n"/>
      <c r="E48" s="20" t="n"/>
      <c r="F48" s="20" t="n"/>
      <c r="G48" s="20" t="n"/>
    </row>
  </sheetData>
  <mergeCells count="5">
    <mergeCell ref="A13:G13"/>
    <mergeCell ref="A1:G1"/>
    <mergeCell ref="A35:G35"/>
    <mergeCell ref="A4:G4"/>
    <mergeCell ref="A2:G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c r="B1" s="6" t="n"/>
      <c r="C1" s="6" t="n"/>
      <c r="D1" s="6" t="n"/>
      <c r="E1" s="6" t="n"/>
    </row>
    <row r="2">
      <c r="A2" s="35" t="inlineStr">
        <is>
          <t>ISO/IEC 27001:2022 - Control A.7.9: Security of Assets Off-Premises</t>
        </is>
      </c>
      <c r="B2" s="6" t="n"/>
      <c r="C2" s="6" t="n"/>
      <c r="D2" s="6" t="n"/>
      <c r="E2" s="6" t="n"/>
    </row>
    <row r="3">
      <c r="A3" s="36" t="inlineStr">
        <is>
          <t>ASSESSMENT SUMMARY</t>
        </is>
      </c>
      <c r="B3" s="6" t="n"/>
      <c r="C3" s="6" t="n"/>
      <c r="D3" s="6" t="n"/>
      <c r="E3" s="6" t="n"/>
    </row>
    <row r="4">
      <c r="A4" s="37" t="inlineStr">
        <is>
          <t>Document:</t>
        </is>
      </c>
      <c r="B4" s="6" t="inlineStr">
        <is>
          <t>ISMS-IMP-A.7.9.S2 - Off-Premises Asset Security</t>
        </is>
      </c>
      <c r="C4" s="6" t="n"/>
      <c r="D4" s="6" t="n"/>
      <c r="E4" s="6" t="n"/>
    </row>
    <row r="5">
      <c r="A5" s="37" t="inlineStr">
        <is>
          <t>Assessment Period:</t>
        </is>
      </c>
      <c r="B5" s="20" t="inlineStr"/>
      <c r="C5" s="6" t="n"/>
      <c r="D5" s="6" t="n"/>
      <c r="E5" s="6" t="n"/>
    </row>
    <row r="6">
      <c r="A6" s="37" t="inlineStr">
        <is>
          <t>Overall Compliance Rating:</t>
        </is>
      </c>
      <c r="B6" s="38">
        <f>IFERROR(AVERAGE('Summary Dashboard'!G6:G10),"")</f>
        <v/>
      </c>
      <c r="C6" s="6" t="n"/>
      <c r="D6" s="6" t="n"/>
      <c r="E6" s="6" t="n"/>
    </row>
    <row r="7">
      <c r="A7" s="37" t="inlineStr">
        <is>
          <t>Assessment Status:</t>
        </is>
      </c>
      <c r="B7" s="20" t="inlineStr"/>
      <c r="C7" s="6" t="n"/>
      <c r="D7" s="6" t="n"/>
      <c r="E7" s="6" t="n"/>
    </row>
    <row r="8">
      <c r="A8" s="37" t="inlineStr">
        <is>
          <t>Assessed By:</t>
        </is>
      </c>
      <c r="B8" s="20" t="inlineStr"/>
      <c r="C8" s="6" t="n"/>
      <c r="D8" s="6" t="n"/>
      <c r="E8" s="6" t="n"/>
    </row>
    <row r="10">
      <c r="A10" s="36" t="inlineStr">
        <is>
          <t>COMPLETED BY (ASSESSOR)</t>
        </is>
      </c>
      <c r="B10" s="6" t="n"/>
      <c r="C10" s="6" t="n"/>
      <c r="D10" s="6" t="n"/>
      <c r="E10" s="6" t="n"/>
    </row>
    <row r="11">
      <c r="A11" s="37" t="inlineStr">
        <is>
          <t>Name:</t>
        </is>
      </c>
      <c r="B11" s="20" t="n"/>
      <c r="C11" s="6" t="n"/>
      <c r="D11" s="6" t="n"/>
      <c r="E11" s="6" t="n"/>
    </row>
    <row r="12">
      <c r="A12" s="37" t="inlineStr">
        <is>
          <t>Title:</t>
        </is>
      </c>
      <c r="B12" s="20" t="n"/>
      <c r="C12" s="6" t="n"/>
      <c r="D12" s="6" t="n"/>
      <c r="E12" s="6" t="n"/>
    </row>
    <row r="13">
      <c r="A13" s="37" t="inlineStr">
        <is>
          <t>Date:</t>
        </is>
      </c>
      <c r="B13" s="20" t="n"/>
      <c r="C13" s="6" t="n"/>
      <c r="D13" s="6" t="n"/>
      <c r="E13" s="6" t="n"/>
    </row>
    <row r="14">
      <c r="A14" s="37" t="inlineStr">
        <is>
          <t>Signature:</t>
        </is>
      </c>
      <c r="B14" s="20" t="n"/>
      <c r="C14" s="6" t="n"/>
      <c r="D14" s="6" t="n"/>
      <c r="E14" s="6" t="n"/>
    </row>
    <row r="15">
      <c r="A15" s="37" t="inlineStr">
        <is>
          <t>Comments:</t>
        </is>
      </c>
      <c r="B15" s="20" t="n"/>
      <c r="C15" s="6" t="n"/>
      <c r="D15" s="6" t="n"/>
      <c r="E15" s="6" t="n"/>
    </row>
    <row r="17">
      <c r="A17" s="36" t="inlineStr">
        <is>
          <t>REVIEWED BY (INFORMATION SECURITY OFFICER)</t>
        </is>
      </c>
      <c r="B17" s="6" t="n"/>
      <c r="C17" s="6" t="n"/>
      <c r="D17" s="6" t="n"/>
      <c r="E17" s="6" t="n"/>
    </row>
    <row r="18">
      <c r="A18" s="37" t="inlineStr">
        <is>
          <t>Name:</t>
        </is>
      </c>
      <c r="B18" s="20" t="n"/>
      <c r="C18" s="6" t="n"/>
      <c r="D18" s="6" t="n"/>
      <c r="E18" s="6" t="n"/>
    </row>
    <row r="19">
      <c r="A19" s="37" t="inlineStr">
        <is>
          <t>Title:</t>
        </is>
      </c>
      <c r="B19" s="20" t="n"/>
      <c r="C19" s="6" t="n"/>
      <c r="D19" s="6" t="n"/>
      <c r="E19" s="6" t="n"/>
    </row>
    <row r="20">
      <c r="A20" s="37" t="inlineStr">
        <is>
          <t>Date:</t>
        </is>
      </c>
      <c r="B20" s="20" t="n"/>
      <c r="C20" s="6" t="n"/>
      <c r="D20" s="6" t="n"/>
      <c r="E20" s="6" t="n"/>
    </row>
    <row r="21">
      <c r="A21" s="37" t="inlineStr">
        <is>
          <t>Signature:</t>
        </is>
      </c>
      <c r="B21" s="20" t="n"/>
      <c r="C21" s="6" t="n"/>
      <c r="D21" s="6" t="n"/>
      <c r="E21" s="6" t="n"/>
    </row>
    <row r="22">
      <c r="A22" s="37" t="inlineStr">
        <is>
          <t>Comments:</t>
        </is>
      </c>
      <c r="B22" s="20" t="n"/>
      <c r="C22" s="6" t="n"/>
      <c r="D22" s="6" t="n"/>
      <c r="E22" s="6" t="n"/>
    </row>
    <row r="24">
      <c r="A24" s="39" t="inlineStr">
        <is>
          <t>APPROVED BY (CISO)</t>
        </is>
      </c>
      <c r="B24" s="6" t="n"/>
      <c r="C24" s="6" t="n"/>
      <c r="D24" s="6" t="n"/>
      <c r="E24" s="6" t="n"/>
    </row>
    <row r="25">
      <c r="A25" s="37" t="inlineStr">
        <is>
          <t>Name:</t>
        </is>
      </c>
      <c r="B25" s="20" t="n"/>
      <c r="C25" s="6" t="n"/>
      <c r="D25" s="6" t="n"/>
      <c r="E25" s="6" t="n"/>
    </row>
    <row r="26">
      <c r="A26" s="37" t="inlineStr">
        <is>
          <t>Title:</t>
        </is>
      </c>
      <c r="B26" s="20" t="n"/>
      <c r="C26" s="6" t="n"/>
      <c r="D26" s="6" t="n"/>
      <c r="E26" s="6" t="n"/>
    </row>
    <row r="27">
      <c r="A27" s="37" t="inlineStr">
        <is>
          <t>Date:</t>
        </is>
      </c>
      <c r="B27" s="20" t="n"/>
      <c r="C27" s="6" t="n"/>
      <c r="D27" s="6" t="n"/>
      <c r="E27" s="6" t="n"/>
    </row>
    <row r="28">
      <c r="A28" s="37" t="inlineStr">
        <is>
          <t>Signature:</t>
        </is>
      </c>
      <c r="B28" s="20" t="n"/>
      <c r="C28" s="6" t="n"/>
      <c r="D28" s="6" t="n"/>
      <c r="E28" s="6" t="n"/>
    </row>
    <row r="29">
      <c r="A29" s="37" t="inlineStr">
        <is>
          <t>Comments:</t>
        </is>
      </c>
      <c r="B29" s="20" t="n"/>
      <c r="C29" s="6" t="n"/>
      <c r="D29" s="6" t="n"/>
      <c r="E29" s="6" t="n"/>
    </row>
    <row r="31">
      <c r="A31" s="37" t="inlineStr">
        <is>
          <t>FINAL DECISION:</t>
        </is>
      </c>
      <c r="B31" s="20" t="n"/>
      <c r="C31" s="6" t="n"/>
      <c r="D31" s="6" t="n"/>
      <c r="E31" s="6" t="n"/>
    </row>
    <row r="34">
      <c r="A34" s="36" t="inlineStr">
        <is>
          <t>NEXT REVIEW DETAILS</t>
        </is>
      </c>
      <c r="B34" s="6" t="n"/>
      <c r="C34" s="6" t="n"/>
      <c r="D34" s="6" t="n"/>
      <c r="E34" s="6" t="n"/>
    </row>
    <row r="35">
      <c r="A35" s="37" t="inlineStr">
        <is>
          <t>Next Review Date:</t>
        </is>
      </c>
      <c r="B35" s="20" t="n"/>
      <c r="C35" s="6" t="n"/>
      <c r="D35" s="6" t="n"/>
      <c r="E35" s="6" t="n"/>
    </row>
    <row r="36">
      <c r="A36" s="37" t="inlineStr">
        <is>
          <t>Review Responsible:</t>
        </is>
      </c>
      <c r="B36" s="20" t="n"/>
      <c r="C36" s="6" t="n"/>
      <c r="D36" s="6" t="n"/>
      <c r="E36" s="6" t="n"/>
    </row>
    <row r="37">
      <c r="A37" s="37" t="inlineStr">
        <is>
          <t>Special Considerations:</t>
        </is>
      </c>
      <c r="B37" s="20"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ISMS-IMP-A.7.9.S2 — Off-Premises Asset Security</dc:title>
  <dc:description xmlns:dc="http://purl.org/dc/elements/1.1/">ISMS Implementation Workbook — ISMS-IMP-A.7.9.S2</dc:description>
  <dc:subject xmlns:dc="http://purl.org/dc/elements/1.1/">ISO/IEC 27001:2022 — Control A.7.9: Security of Assets Off-Premises</dc:subject>
  <dcterms:created xmlns:dcterms="http://purl.org/dc/terms/" xmlns:xsi="http://www.w3.org/2001/XMLSchema-instance" xsi:type="dcterms:W3CDTF">2026-03-07T11:27:58Z</dcterms:created>
  <dcterms:modified xmlns:dcterms="http://purl.org/dc/terms/" xmlns:xsi="http://www.w3.org/2001/XMLSchema-instance" xsi:type="dcterms:W3CDTF">2026-03-07T11:27:59Z</dcterms:modified>
</cp:coreProperties>
</file>