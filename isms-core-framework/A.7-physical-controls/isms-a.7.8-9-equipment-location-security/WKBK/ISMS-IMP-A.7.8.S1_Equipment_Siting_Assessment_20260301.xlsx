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Locations" sheetId="2" state="visible" r:id="rId2"/>
    <sheet xmlns:r="http://schemas.openxmlformats.org/officeDocument/2006/relationships" name="Environmental" sheetId="3" state="visible" r:id="rId3"/>
    <sheet xmlns:r="http://schemas.openxmlformats.org/officeDocument/2006/relationships" name="Physical Security" sheetId="4" state="visible" r:id="rId4"/>
    <sheet xmlns:r="http://schemas.openxmlformats.org/officeDocument/2006/relationships" name="Power Infrastructure" sheetId="5" state="visible" r:id="rId5"/>
    <sheet xmlns:r="http://schemas.openxmlformats.org/officeDocument/2006/relationships" name="Workstation Securit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FFFFFF"/>
      <sz val="10"/>
    </font>
    <font>
      <name val="Calibri"/>
      <i val="1"/>
      <color rgb="00808080"/>
    </font>
    <font>
      <name val="Calibri"/>
      <i val="1"/>
      <sz val="10"/>
    </font>
    <font>
      <name val="Calibri"/>
      <b val="1"/>
      <color rgb="00FFFFFF"/>
      <sz val="10"/>
    </font>
    <font>
      <name val="Calibri"/>
      <color rgb="0080808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9" borderId="0" applyAlignment="1" pivotButton="0" quotePrefix="0" xfId="0">
      <alignment horizontal="left" vertical="center"/>
    </xf>
    <xf numFmtId="0" fontId="4" fillId="10" borderId="1" applyAlignment="1" pivotButton="0" quotePrefix="0" xfId="0">
      <alignment horizontal="center" vertical="center" wrapText="1"/>
    </xf>
    <xf numFmtId="0" fontId="6" fillId="11" borderId="1" pivotButton="0" quotePrefix="0" xfId="0"/>
    <xf numFmtId="0" fontId="0" fillId="11" borderId="1" pivotButton="0" quotePrefix="0" xfId="0"/>
    <xf numFmtId="0" fontId="0" fillId="12"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2" borderId="1" pivotButton="0" quotePrefix="0" xfId="0"/>
    <xf numFmtId="0" fontId="10"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pivotButton="0" quotePrefix="0" xfId="0"/>
    <xf numFmtId="0" fontId="13" fillId="10"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10" borderId="1" pivotButton="0" quotePrefix="0" xfId="0"/>
    <xf numFmtId="0" fontId="13" fillId="10" borderId="1" applyAlignment="1" pivotButton="0" quotePrefix="0" xfId="0">
      <alignment horizontal="center"/>
    </xf>
    <xf numFmtId="164" fontId="13" fillId="10" borderId="1" applyAlignment="1" pivotButton="0" quotePrefix="0" xfId="0">
      <alignment horizontal="center"/>
    </xf>
    <xf numFmtId="0" fontId="12" fillId="13" borderId="1" pivotButton="0" quotePrefix="0" xfId="0"/>
    <xf numFmtId="0" fontId="14" fillId="12" borderId="1" pivotButton="0" quotePrefix="0" xfId="0"/>
    <xf numFmtId="0" fontId="14" fillId="12"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9" borderId="1" pivotButton="0" quotePrefix="0" xfId="0"/>
    <xf numFmtId="0" fontId="3" fillId="0"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ISMS-IMP-A.7.8.S1  -  Equipment Siting Assessment
ISO/IEC 27001:2022 - Control A.7.8: Equipment Siting and Protection</t>
        </is>
      </c>
    </row>
    <row r="3">
      <c r="A3" s="2" t="inlineStr">
        <is>
          <t>Document Information</t>
        </is>
      </c>
    </row>
    <row r="4">
      <c r="A4" s="3" t="inlineStr">
        <is>
          <t>Document ID</t>
        </is>
      </c>
      <c r="B4" t="inlineStr">
        <is>
          <t>ISMS-IMP-A.7.8.S1</t>
        </is>
      </c>
    </row>
    <row r="5">
      <c r="A5" s="3" t="inlineStr">
        <is>
          <t>Workbook Title</t>
        </is>
      </c>
      <c r="B5" t="inlineStr">
        <is>
          <t>Equipment Siting Assessment</t>
        </is>
      </c>
    </row>
    <row r="6">
      <c r="A6" s="3" t="inlineStr">
        <is>
          <t>Control Reference</t>
        </is>
      </c>
      <c r="B6" t="inlineStr">
        <is>
          <t>ISO/IEC 27001:2022 - Control A.7.8: Equipment Siting and Protection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Locations) — inventory all locations with equipment.</t>
        </is>
      </c>
    </row>
    <row r="14">
      <c r="A14" t="inlineStr">
        <is>
          <t>2. Complete Sheet 3 (Environmental Assessment) for each location.</t>
        </is>
      </c>
    </row>
    <row r="15">
      <c r="A15" t="inlineStr">
        <is>
          <t>3. Complete Sheet 4 (Physical Security) for each location.</t>
        </is>
      </c>
    </row>
    <row r="16">
      <c r="A16" t="inlineStr">
        <is>
          <t>4. Complete Sheet 5 (Power Infrastructure) for each location.</t>
        </is>
      </c>
    </row>
    <row r="17">
      <c r="A17" t="inlineStr">
        <is>
          <t>5. Complete Sheet 6 (Workstation Security) for office areas.</t>
        </is>
      </c>
    </row>
    <row r="18">
      <c r="A18" t="inlineStr">
        <is>
          <t>6. Document evidence in Sheet 7 (Evidence Register).</t>
        </is>
      </c>
    </row>
    <row r="19">
      <c r="A19" t="inlineStr">
        <is>
          <t>7. Review Sheet 8 (Summary Dashboard) for compliance scores.</t>
        </is>
      </c>
    </row>
    <row r="20">
      <c r="A20" t="inlineStr">
        <is>
          <t>8. Obtain approvals in Sheet 9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35" customWidth="1" min="4" max="4"/>
    <col width="30" customWidth="1" min="5" max="5"/>
    <col width="18" customWidth="1" min="6" max="6"/>
    <col width="20" customWidth="1" min="7" max="7"/>
    <col width="22" customWidth="1" min="8" max="8"/>
    <col width="18" customWidth="1" min="9" max="9"/>
    <col width="18" customWidth="1" min="10" max="10"/>
    <col width="15" customWidth="1" min="11" max="11"/>
    <col width="18" customWidth="1" min="12" max="12"/>
    <col width="40" customWidth="1" min="13" max="13"/>
  </cols>
  <sheetData>
    <row r="1" ht="35" customHeight="1">
      <c r="A1" s="11" t="inlineStr">
        <is>
          <t>EQUIPMENT LOCATIONS INVENTORY
Policy Requirement: Equipment should be sited securely and protected</t>
        </is>
      </c>
    </row>
    <row r="2">
      <c r="A2" s="12" t="inlineStr">
        <is>
          <t>ISO/IEC 27001:2022 - Control A.7.8: Equipment Siting and Protection</t>
        </is>
      </c>
    </row>
    <row r="3">
      <c r="A3" s="13" t="inlineStr">
        <is>
          <t>Location ID</t>
        </is>
      </c>
      <c r="B3" s="13" t="inlineStr">
        <is>
          <t>Location Name</t>
        </is>
      </c>
      <c r="C3" s="13" t="inlineStr">
        <is>
          <t>Location Type</t>
        </is>
      </c>
      <c r="D3" s="13" t="inlineStr">
        <is>
          <t>Building/Address</t>
        </is>
      </c>
      <c r="E3" s="13" t="inlineStr">
        <is>
          <t>Equipment Types</t>
        </is>
      </c>
      <c r="F3" s="13" t="inlineStr">
        <is>
          <t>Criticality Tier</t>
        </is>
      </c>
      <c r="G3" s="13" t="inlineStr">
        <is>
          <t>Access Control Type</t>
        </is>
      </c>
      <c r="H3" s="13" t="inlineStr">
        <is>
          <t>Environmental Monitoring</t>
        </is>
      </c>
      <c r="I3" s="13" t="inlineStr">
        <is>
          <t>CCTV Coverage</t>
        </is>
      </c>
      <c r="J3" s="13" t="inlineStr">
        <is>
          <t>UPS Protected</t>
        </is>
      </c>
      <c r="K3" s="13" t="inlineStr">
        <is>
          <t>Last Inspection</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"Data Centre,Server Room,Network Closet,Office Area,Co-location,Remote Office,Other"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"Tier 1 - Critical,Tier 2 - Standard,Tier 3 - Non-Critical"</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"Biometric + Badge,Badge Only,Key Lock,Combination Lock,No Access Control"</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Real-time alerts,Yes - Periodic checks,No monitoring"</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- 24/7 recording,Yes - Motion triggered,No CCTV"</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Full coverage,Partial coverage,No UPS"</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18" customWidth="1" min="4" max="4"/>
    <col width="22" customWidth="1" min="5" max="5"/>
    <col width="18" customWidth="1" min="6" max="6"/>
    <col width="22" customWidth="1" min="7" max="7"/>
    <col width="18" customWidth="1" min="8" max="8"/>
    <col width="18" customWidth="1" min="9" max="9"/>
    <col width="20" customWidth="1" min="10" max="10"/>
    <col width="18" customWidth="1" min="11" max="11"/>
    <col width="18" customWidth="1" min="12" max="12"/>
    <col width="40" customWidth="1" min="13" max="13"/>
  </cols>
  <sheetData>
    <row r="1" ht="35" customHeight="1">
      <c r="A1" s="11" t="inlineStr">
        <is>
          <t>ENVIRONMENTAL ASSESSMENT
Policy Requirement: Equipment should be protected from environmental threats</t>
        </is>
      </c>
    </row>
    <row r="2">
      <c r="A2" s="12" t="inlineStr">
        <is>
          <t>ISO/IEC 27001:2022 - Control A.7.8: Equipment Siting and Protection</t>
        </is>
      </c>
    </row>
    <row r="3">
      <c r="A3" s="13" t="inlineStr">
        <is>
          <t>Location ID</t>
        </is>
      </c>
      <c r="B3" s="13" t="inlineStr">
        <is>
          <t>Location Name</t>
        </is>
      </c>
      <c r="C3" s="13" t="inlineStr">
        <is>
          <t>Temperature Range</t>
        </is>
      </c>
      <c r="D3" s="13" t="inlineStr">
        <is>
          <t>Humidity Range</t>
        </is>
      </c>
      <c r="E3" s="13" t="inlineStr">
        <is>
          <t>Temperature Monitoring</t>
        </is>
      </c>
      <c r="F3" s="13" t="inlineStr">
        <is>
          <t>Flood Risk</t>
        </is>
      </c>
      <c r="G3" s="13" t="inlineStr">
        <is>
          <t>Fire Suppression</t>
        </is>
      </c>
      <c r="H3" s="13" t="inlineStr">
        <is>
          <t>Dust/Contamination</t>
        </is>
      </c>
      <c r="I3" s="13" t="inlineStr">
        <is>
          <t>Vibration Exposure</t>
        </is>
      </c>
      <c r="J3" s="13" t="inlineStr">
        <is>
          <t>Food/Drink Prohibited</t>
        </is>
      </c>
      <c r="K3" s="13" t="inlineStr">
        <is>
          <t>Incidents (12 months)</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7">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Real-time alerts,Yes - Daily checks,No monitoring"</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"High (below grade),Medium (ground floor),Low (upper floor),Protected (raised floor)"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"Gas suppression,Pre-action sprinkler,Wet sprinkler,Extinguishers only,None"</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"Clean room,Filtered HVAC,Standard office,Industrial/Dusty"</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"Low (isolated),Medium (standard building),High (near machinery)"</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Enforced,Yes - Policy only,No restriction"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18" customWidth="1" min="5" max="5"/>
    <col width="22" customWidth="1" min="6" max="6"/>
    <col width="18" customWidth="1" min="7" max="7"/>
    <col width="22" customWidth="1" min="8" max="8"/>
    <col width="18" customWidth="1" min="9" max="9"/>
    <col width="16" customWidth="1" min="10" max="10"/>
    <col width="22" customWidth="1" min="11" max="11"/>
    <col width="15" customWidth="1" min="12" max="12"/>
    <col width="18" customWidth="1" min="13" max="13"/>
    <col width="40" customWidth="1" min="14" max="14"/>
  </cols>
  <sheetData>
    <row r="1" ht="35" customHeight="1">
      <c r="A1" s="11" t="inlineStr">
        <is>
          <t>PHYSICAL SECURITY ASSESSMENT
Policy Requirement: Equipment should be protected by appropriate physical security measures</t>
        </is>
      </c>
    </row>
    <row r="2">
      <c r="A2" s="12" t="inlineStr">
        <is>
          <t>ISO/IEC 27001:2022 - Control A.7.8: Equipment Siting and Protection</t>
        </is>
      </c>
    </row>
    <row r="3">
      <c r="A3" s="13" t="inlineStr">
        <is>
          <t>Location ID</t>
        </is>
      </c>
      <c r="B3" s="13" t="inlineStr">
        <is>
          <t>Location Name</t>
        </is>
      </c>
      <c r="C3" s="13" t="inlineStr">
        <is>
          <t>Access Control System</t>
        </is>
      </c>
      <c r="D3" s="13" t="inlineStr">
        <is>
          <t>Access Levels Defined</t>
        </is>
      </c>
      <c r="E3" s="13" t="inlineStr">
        <is>
          <t>Log Retention (Days)</t>
        </is>
      </c>
      <c r="F3" s="13" t="inlineStr">
        <is>
          <t>CCTV System</t>
        </is>
      </c>
      <c r="G3" s="13" t="inlineStr">
        <is>
          <t>CCTV Retention (Days)</t>
        </is>
      </c>
      <c r="H3" s="13" t="inlineStr">
        <is>
          <t>Equipment Locking</t>
        </is>
      </c>
      <c r="I3" s="13" t="inlineStr">
        <is>
          <t>Cable Protection</t>
        </is>
      </c>
      <c r="J3" s="13" t="inlineStr">
        <is>
          <t>Asset Labels</t>
        </is>
      </c>
      <c r="K3" s="13" t="inlineStr">
        <is>
          <t>Segregation</t>
        </is>
      </c>
      <c r="L3" s="13" t="inlineStr">
        <is>
          <t>Last Security Review</t>
        </is>
      </c>
      <c r="M3" s="13" t="inlineStr">
        <is>
          <t>Compliance Status</t>
        </is>
      </c>
      <c r="N3" s="13" t="inlineStr">
        <is>
          <t>Notes</t>
        </is>
      </c>
    </row>
    <row r="4">
      <c r="A4" s="14" t="inlineStr">
        <is>
          <t>Sample — delete before use</t>
        </is>
      </c>
      <c r="B4" s="15" t="n"/>
      <c r="C4" s="15" t="n"/>
      <c r="D4" s="15" t="n"/>
      <c r="E4" s="15" t="n"/>
      <c r="F4" s="15" t="n"/>
      <c r="G4" s="15" t="n"/>
      <c r="H4" s="15" t="n"/>
      <c r="I4" s="15" t="n"/>
      <c r="J4" s="15" t="n"/>
      <c r="K4" s="15" t="n"/>
      <c r="L4" s="15" t="n"/>
      <c r="M4" s="15" t="n"/>
      <c r="N4" s="15" t="n"/>
    </row>
    <row r="5">
      <c r="B5" s="16" t="n"/>
      <c r="C5" s="16" t="n"/>
      <c r="D5" s="16" t="n"/>
      <c r="E5" s="16" t="n"/>
      <c r="F5" s="16" t="n"/>
      <c r="G5" s="16" t="n"/>
      <c r="H5" s="16" t="n"/>
      <c r="I5" s="16" t="n"/>
      <c r="J5" s="16" t="n"/>
      <c r="K5" s="16" t="n"/>
      <c r="L5" s="16" t="n"/>
      <c r="M5" s="16" t="n"/>
      <c r="N5" s="16" t="n"/>
    </row>
    <row r="6">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5">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"Rack locks + Cable locks,Rack locks only,Cable locks only,None"</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"Enclosed conduit,Cable trays,Exposed cabling"</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All labelled,Partial,No labels"</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"Yes - Physical separation,Partial - Logical only,No - Shared space"</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18" customWidth="1" min="4" max="4"/>
    <col width="22" customWidth="1" min="5" max="5"/>
    <col width="18" customWidth="1" min="6" max="6"/>
    <col width="20" customWidth="1" min="7" max="7"/>
    <col width="18" customWidth="1" min="8" max="8"/>
    <col width="22" customWidth="1" min="9" max="9"/>
    <col width="15" customWidth="1" min="10" max="10"/>
    <col width="18" customWidth="1" min="11" max="11"/>
    <col width="18" customWidth="1" min="12" max="12"/>
    <col width="18" customWidth="1" min="13" max="13"/>
    <col width="40" customWidth="1" min="14" max="14"/>
  </cols>
  <sheetData>
    <row r="1" ht="35" customHeight="1">
      <c r="A1" s="11" t="inlineStr">
        <is>
          <t>POWER INFRASTRUCTURE ASSESSMENT
Policy Requirement: Equipment should be protected from power failures</t>
        </is>
      </c>
    </row>
    <row r="2">
      <c r="A2" s="12" t="inlineStr">
        <is>
          <t>ISO/IEC 27001:2022 - Control A.7.8: Equipment Siting and Protection</t>
        </is>
      </c>
    </row>
    <row r="3">
      <c r="A3" s="13" t="inlineStr">
        <is>
          <t>Location ID</t>
        </is>
      </c>
      <c r="B3" s="13" t="inlineStr">
        <is>
          <t>Location Name</t>
        </is>
      </c>
      <c r="C3" s="13" t="inlineStr">
        <is>
          <t>UPS Coverage</t>
        </is>
      </c>
      <c r="D3" s="13" t="inlineStr">
        <is>
          <t>UPS Runtime (min)</t>
        </is>
      </c>
      <c r="E3" s="13" t="inlineStr">
        <is>
          <t>Generator Backup</t>
        </is>
      </c>
      <c r="F3" s="13" t="inlineStr">
        <is>
          <t>Surge Protection</t>
        </is>
      </c>
      <c r="G3" s="13" t="inlineStr">
        <is>
          <t>Lightning Protection</t>
        </is>
      </c>
      <c r="H3" s="13" t="inlineStr">
        <is>
          <t>EPO Switch</t>
        </is>
      </c>
      <c r="I3" s="13" t="inlineStr">
        <is>
          <t>Power Redundancy</t>
        </is>
      </c>
      <c r="J3" s="13" t="inlineStr">
        <is>
          <t>Last UPS Test</t>
        </is>
      </c>
      <c r="K3" s="13" t="inlineStr">
        <is>
          <t>Last Generator Test</t>
        </is>
      </c>
      <c r="L3" s="13" t="inlineStr">
        <is>
          <t>Power Incidents (12m)</t>
        </is>
      </c>
      <c r="M3" s="13" t="inlineStr">
        <is>
          <t>Compliance Status</t>
        </is>
      </c>
      <c r="N3" s="13" t="inlineStr">
        <is>
          <t>Notes</t>
        </is>
      </c>
    </row>
    <row r="4">
      <c r="A4" s="14" t="inlineStr">
        <is>
          <t>Sample — delete before use</t>
        </is>
      </c>
      <c r="B4" s="15" t="n"/>
      <c r="C4" s="15" t="n"/>
      <c r="D4" s="15" t="n"/>
      <c r="E4" s="15" t="n"/>
      <c r="F4" s="15" t="n"/>
      <c r="G4" s="15" t="n"/>
      <c r="H4" s="15" t="n"/>
      <c r="I4" s="15" t="n"/>
      <c r="J4" s="15" t="n"/>
      <c r="K4" s="15" t="n"/>
      <c r="L4" s="15" t="n"/>
      <c r="M4" s="15" t="n"/>
      <c r="N4" s="15" t="n"/>
    </row>
    <row r="5">
      <c r="B5" s="16" t="n"/>
      <c r="C5" s="16" t="n"/>
      <c r="D5" s="16" t="n"/>
      <c r="E5" s="16" t="n"/>
      <c r="F5" s="16" t="n"/>
      <c r="G5" s="16" t="n"/>
      <c r="H5" s="16" t="n"/>
      <c r="I5" s="16" t="n"/>
      <c r="J5" s="16" t="n"/>
      <c r="K5" s="16" t="n"/>
      <c r="L5" s="16" t="n"/>
      <c r="M5" s="16" t="n"/>
      <c r="N5" s="16" t="n"/>
    </row>
    <row r="6">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"100% (all equipment),Partial (critical only),None"</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Auto-transfer,Yes - Manual transfer,No generator"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All circuits,Partial,None"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Building grounded,Unknown,No"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Near room,Yes - Remote only,No EPO"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"Dual feed (A+B),Single feed + UPS,Single feed only"</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2" customWidth="1" min="4" max="4"/>
    <col width="25" customWidth="1" min="5" max="5"/>
    <col width="20" customWidth="1" min="6" max="6"/>
    <col width="20" customWidth="1" min="7" max="7"/>
    <col width="20" customWidth="1" min="8" max="8"/>
    <col width="18" customWidth="1" min="9" max="9"/>
    <col width="20" customWidth="1" min="10" max="10"/>
    <col width="15" customWidth="1" min="11" max="11"/>
    <col width="18" customWidth="1" min="12" max="12"/>
    <col width="40" customWidth="1" min="13" max="13"/>
  </cols>
  <sheetData>
    <row r="1" ht="35" customHeight="1">
      <c r="A1" s="11" t="inlineStr">
        <is>
          <t>WORKSTATION SECURITY ASSESSMENT
Policy Requirement: Screens should be positioned to prevent unauthorised viewing</t>
        </is>
      </c>
    </row>
    <row r="2">
      <c r="A2" s="12" t="inlineStr">
        <is>
          <t>ISO/IEC 27001:2022 - Control A.7.8: Equipment Siting and Protection</t>
        </is>
      </c>
    </row>
    <row r="3">
      <c r="A3" s="13" t="inlineStr">
        <is>
          <t>Area ID</t>
        </is>
      </c>
      <c r="B3" s="13" t="inlineStr">
        <is>
          <t>Area Name</t>
        </is>
      </c>
      <c r="C3" s="13" t="inlineStr">
        <is>
          <t>Workstation Count</t>
        </is>
      </c>
      <c r="D3" s="13" t="inlineStr">
        <is>
          <t>Data Sensitivity</t>
        </is>
      </c>
      <c r="E3" s="13" t="inlineStr">
        <is>
          <t>Screen Positioning</t>
        </is>
      </c>
      <c r="F3" s="13" t="inlineStr">
        <is>
          <t>Privacy Screens</t>
        </is>
      </c>
      <c r="G3" s="13" t="inlineStr">
        <is>
          <t>Automatic Lock</t>
        </is>
      </c>
      <c r="H3" s="13" t="inlineStr">
        <is>
          <t>Clear Desk Policy</t>
        </is>
      </c>
      <c r="I3" s="13" t="inlineStr">
        <is>
          <t>Visitor Access</t>
        </is>
      </c>
      <c r="J3" s="13" t="inlineStr">
        <is>
          <t>Shoulder Surfing Risk</t>
        </is>
      </c>
      <c r="K3" s="13" t="inlineStr">
        <is>
          <t>Last Review</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8">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"High (PII, Financial),Medium (Internal),Low (Public)"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"Optimal (away from windows/traffic),Acceptable,At risk (visible to public)"</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All workstations,Partial,None"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&lt;5 min timeout,Yes - &gt;5 min timeout,Not configured"</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Enforced,Yes - Policy only,No policy"</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"Escorted only,Badge required,Open access"</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"Low,Medium,High"</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1" t="inlineStr">
        <is>
          <t>EVIDENCE REGISTER</t>
        </is>
      </c>
    </row>
    <row r="2">
      <c r="A2" s="17" t="inlineStr">
        <is>
          <t>Document all evidence collected during this assessment</t>
        </is>
      </c>
    </row>
    <row r="4">
      <c r="A4" s="18" t="inlineStr">
        <is>
          <t>Evidence ID</t>
        </is>
      </c>
      <c r="B4" s="18" t="inlineStr">
        <is>
          <t>Evidence Type</t>
        </is>
      </c>
      <c r="C4" s="18" t="inlineStr">
        <is>
          <t>Description</t>
        </is>
      </c>
      <c r="D4" s="18" t="inlineStr">
        <is>
          <t>Related Sheet/Item</t>
        </is>
      </c>
      <c r="E4" s="18" t="inlineStr">
        <is>
          <t>Collection Date</t>
        </is>
      </c>
      <c r="F4" s="18" t="inlineStr">
        <is>
          <t>Collected By</t>
        </is>
      </c>
      <c r="G4" s="18" t="inlineStr">
        <is>
          <t>Retention Period</t>
        </is>
      </c>
      <c r="H4" s="18" t="inlineStr">
        <is>
          <t>Notes</t>
        </is>
      </c>
    </row>
    <row r="5">
      <c r="A5" s="19" t="inlineStr">
        <is>
          <t>EV-001</t>
        </is>
      </c>
      <c r="B5" s="19" t="inlineStr">
        <is>
          <t>Screenshot</t>
        </is>
      </c>
      <c r="C5" s="14" t="inlineStr">
        <is>
          <t>Sample — delete before use</t>
        </is>
      </c>
      <c r="D5" s="15" t="n"/>
      <c r="E5" s="15" t="n"/>
      <c r="F5" s="15" t="n"/>
      <c r="G5" s="15" t="n"/>
      <c r="H5" s="15" t="n"/>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1" t="inlineStr">
        <is>
          <t>EQUIPMENT SITING — SUMMARY DASHBOARD</t>
        </is>
      </c>
      <c r="B1" s="6" t="n"/>
      <c r="C1" s="6" t="n"/>
      <c r="D1" s="6" t="n"/>
      <c r="E1" s="6" t="n"/>
      <c r="F1" s="6" t="n"/>
      <c r="G1" s="6" t="n"/>
    </row>
    <row r="2">
      <c r="A2" s="22" t="inlineStr">
        <is>
          <t>ISO/IEC 27001:2022 — Control A.7.8: Equipment Siting and Protection</t>
        </is>
      </c>
    </row>
    <row r="4">
      <c r="A4" s="23" t="inlineStr">
        <is>
          <t>TABLE 1: ASSESSMENT AREA COMPLIANCE OVERVIEW</t>
        </is>
      </c>
      <c r="B4" s="6" t="n"/>
      <c r="C4" s="6" t="n"/>
      <c r="D4" s="6" t="n"/>
      <c r="E4" s="6" t="n"/>
      <c r="F4" s="6" t="n"/>
      <c r="G4" s="6" t="n"/>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Equipment Locations</t>
        </is>
      </c>
      <c r="B6" s="26">
        <f>COUNTA('Equipment Locations'!B5:B54)</f>
        <v/>
      </c>
      <c r="C6" s="26">
        <f>COUNTIF('Equipment Locations'!L5:L54,"✅*")</f>
        <v/>
      </c>
      <c r="D6" s="26">
        <f>COUNTIF('Equipment Locations'!L5:L54,"⚠*")</f>
        <v/>
      </c>
      <c r="E6" s="26">
        <f>COUNTIF('Equipment Locations'!L5:L54,"❌*")</f>
        <v/>
      </c>
      <c r="F6" s="26">
        <f>COUNTIF('Equipment Locations'!L5:L54,"N/A")</f>
        <v/>
      </c>
      <c r="G6" s="27">
        <f>IF((B6-F6)=0,0,C6/(B6-F6))</f>
        <v/>
      </c>
    </row>
    <row r="7">
      <c r="A7" s="25" t="inlineStr">
        <is>
          <t>Environmental</t>
        </is>
      </c>
      <c r="B7" s="26">
        <f>COUNTA('Environmental'!B5:B54)</f>
        <v/>
      </c>
      <c r="C7" s="26">
        <f>COUNTIF('Environmental'!L5:L54,"✅*")</f>
        <v/>
      </c>
      <c r="D7" s="26">
        <f>COUNTIF('Environmental'!L5:L54,"⚠*")</f>
        <v/>
      </c>
      <c r="E7" s="26">
        <f>COUNTIF('Environmental'!L5:L54,"❌*")</f>
        <v/>
      </c>
      <c r="F7" s="26">
        <f>COUNTIF('Environmental'!L5:L54,"N/A")</f>
        <v/>
      </c>
      <c r="G7" s="27">
        <f>IF((B7-F7)=0,0,C7/(B7-F7))</f>
        <v/>
      </c>
    </row>
    <row r="8">
      <c r="A8" s="25" t="inlineStr">
        <is>
          <t>Physical Security</t>
        </is>
      </c>
      <c r="B8" s="26">
        <f>COUNTA('Physical Security'!B5:B54)</f>
        <v/>
      </c>
      <c r="C8" s="26">
        <f>COUNTIF('Physical Security'!M5:M54,"✅*")</f>
        <v/>
      </c>
      <c r="D8" s="26">
        <f>COUNTIF('Physical Security'!M5:M54,"⚠*")</f>
        <v/>
      </c>
      <c r="E8" s="26">
        <f>COUNTIF('Physical Security'!M5:M54,"❌*")</f>
        <v/>
      </c>
      <c r="F8" s="26">
        <f>COUNTIF('Physical Security'!M5:M54,"N/A")</f>
        <v/>
      </c>
      <c r="G8" s="27">
        <f>IF((B8-F8)=0,0,C8/(B8-F8))</f>
        <v/>
      </c>
    </row>
    <row r="9">
      <c r="A9" s="25" t="inlineStr">
        <is>
          <t>Power Infrastructure</t>
        </is>
      </c>
      <c r="B9" s="26">
        <f>COUNTA('Power Infrastructure'!B5:B54)</f>
        <v/>
      </c>
      <c r="C9" s="26">
        <f>COUNTIF('Power Infrastructure'!M5:M54,"✅*")</f>
        <v/>
      </c>
      <c r="D9" s="26">
        <f>COUNTIF('Power Infrastructure'!M5:M54,"⚠*")</f>
        <v/>
      </c>
      <c r="E9" s="26">
        <f>COUNTIF('Power Infrastructure'!M5:M54,"❌*")</f>
        <v/>
      </c>
      <c r="F9" s="26">
        <f>COUNTIF('Power Infrastructure'!M5:M54,"N/A")</f>
        <v/>
      </c>
      <c r="G9" s="27">
        <f>IF((B9-F9)=0,0,C9/(B9-F9))</f>
        <v/>
      </c>
    </row>
    <row r="10">
      <c r="A10" s="25" t="inlineStr">
        <is>
          <t>Workstation Security</t>
        </is>
      </c>
      <c r="B10" s="26">
        <f>COUNTA('Workstation Security'!B5:B54)</f>
        <v/>
      </c>
      <c r="C10" s="26">
        <f>COUNTIF('Workstation Security'!L5:L54,"✅*")</f>
        <v/>
      </c>
      <c r="D10" s="26">
        <f>COUNTIF('Workstation Security'!L5:L54,"⚠*")</f>
        <v/>
      </c>
      <c r="E10" s="26">
        <f>COUNTIF('Workstation Security'!L5:L54,"❌*")</f>
        <v/>
      </c>
      <c r="F10" s="26">
        <f>COUNTIF('Workstation Security'!L5:L54,"N/A")</f>
        <v/>
      </c>
      <c r="G10" s="27">
        <f>IF((B10-F10)=0,0,C10/(B10-F10))</f>
        <v/>
      </c>
    </row>
    <row r="11">
      <c r="A11" s="28" t="inlineStr">
        <is>
          <t>TOTAL</t>
        </is>
      </c>
      <c r="B11" s="29">
        <f>SUM(B6:B10)</f>
        <v/>
      </c>
      <c r="C11" s="29">
        <f>SUM(C6:C10)</f>
        <v/>
      </c>
      <c r="D11" s="29">
        <f>SUM(D6:D10)</f>
        <v/>
      </c>
      <c r="E11" s="29">
        <f>SUM(E6:E10)</f>
        <v/>
      </c>
      <c r="F11" s="29">
        <f>SUM(F6:F10)</f>
        <v/>
      </c>
      <c r="G11" s="30">
        <f>IF((B11-F11)=0,0,C11/(B11-F11))</f>
        <v/>
      </c>
    </row>
    <row r="13">
      <c r="A13" s="23" t="inlineStr">
        <is>
          <t>TABLE 2: KEY METRICS</t>
        </is>
      </c>
      <c r="B13" s="6" t="n"/>
      <c r="C13" s="6" t="n"/>
      <c r="D13" s="6" t="n"/>
      <c r="E13" s="6" t="n"/>
      <c r="F13" s="6" t="n"/>
      <c r="G13" s="6" t="n"/>
    </row>
    <row r="14">
      <c r="A14" s="29" t="inlineStr">
        <is>
          <t>Metric</t>
        </is>
      </c>
      <c r="B14" s="29" t="inlineStr">
        <is>
          <t>Value</t>
        </is>
      </c>
      <c r="C14" s="29" t="n"/>
      <c r="D14" s="29" t="n"/>
      <c r="E14" s="29" t="n"/>
      <c r="F14" s="29" t="n"/>
      <c r="G14" s="29" t="n"/>
    </row>
    <row r="15">
      <c r="A15" s="25" t="inlineStr">
        <is>
          <t>Total Equipment Locations Assessed</t>
        </is>
      </c>
      <c r="B15" s="26">
        <f>COUNTA('Equipment Locations'!B5:B54)</f>
        <v/>
      </c>
      <c r="C15" s="6" t="n"/>
      <c r="D15" s="6" t="n"/>
      <c r="E15" s="6" t="n"/>
      <c r="F15" s="6" t="n"/>
      <c r="G15" s="6" t="n"/>
    </row>
    <row r="16">
      <c r="A16" s="25" t="inlineStr">
        <is>
          <t>Tier 1 Critical Locations</t>
        </is>
      </c>
      <c r="B16" s="26">
        <f>COUNTIF('Equipment Locations'!D5:D54,"Tier 1 - Critical")</f>
        <v/>
      </c>
      <c r="C16" s="6" t="n"/>
      <c r="D16" s="6" t="n"/>
      <c r="E16" s="6" t="n"/>
      <c r="F16" s="6" t="n"/>
      <c r="G16" s="6" t="n"/>
    </row>
    <row r="17">
      <c r="A17" s="25" t="inlineStr">
        <is>
          <t>Locations with No Access Control</t>
        </is>
      </c>
      <c r="B17" s="26">
        <f>COUNTIF('Equipment Locations'!G5:G54,"No Access Control")</f>
        <v/>
      </c>
      <c r="C17" s="6" t="n"/>
      <c r="D17" s="6" t="n"/>
      <c r="E17" s="6" t="n"/>
      <c r="F17" s="6" t="n"/>
      <c r="G17" s="6" t="n"/>
    </row>
    <row r="18">
      <c r="A18" s="25" t="inlineStr">
        <is>
          <t>Locations with No CCTV Coverage</t>
        </is>
      </c>
      <c r="B18" s="26">
        <f>COUNTIF('Equipment Locations'!I5:I54,"No CCTV")</f>
        <v/>
      </c>
      <c r="C18" s="6" t="n"/>
      <c r="D18" s="6" t="n"/>
      <c r="E18" s="6" t="n"/>
      <c r="F18" s="6" t="n"/>
      <c r="G18" s="6" t="n"/>
    </row>
    <row r="19">
      <c r="A19" s="25" t="inlineStr">
        <is>
          <t>Locations with No UPS (Equipment)</t>
        </is>
      </c>
      <c r="B19" s="26">
        <f>COUNTIF('Equipment Locations'!J5:J54,"No UPS")</f>
        <v/>
      </c>
      <c r="C19" s="6" t="n"/>
      <c r="D19" s="6" t="n"/>
      <c r="E19" s="6" t="n"/>
      <c r="F19" s="6" t="n"/>
      <c r="G19" s="6" t="n"/>
    </row>
    <row r="20">
      <c r="A20" s="25" t="inlineStr">
        <is>
          <t>Locations with No Environmental Monitoring</t>
        </is>
      </c>
      <c r="B20" s="26">
        <f>COUNTIF('Environmental'!E5:E54,"No monitoring")</f>
        <v/>
      </c>
      <c r="C20" s="6" t="n"/>
      <c r="D20" s="6" t="n"/>
      <c r="E20" s="6" t="n"/>
      <c r="F20" s="6" t="n"/>
      <c r="G20" s="6" t="n"/>
    </row>
    <row r="21">
      <c r="A21" s="25" t="inlineStr">
        <is>
          <t>High Flood Risk Locations</t>
        </is>
      </c>
      <c r="B21" s="26">
        <f>COUNTIF('Environmental'!F5:F54,"High (below grade)")</f>
        <v/>
      </c>
      <c r="C21" s="6" t="n"/>
      <c r="D21" s="6" t="n"/>
      <c r="E21" s="6" t="n"/>
      <c r="F21" s="6" t="n"/>
      <c r="G21" s="6" t="n"/>
    </row>
    <row r="22">
      <c r="A22" s="25" t="inlineStr">
        <is>
          <t>Locations with No Fire Suppression</t>
        </is>
      </c>
      <c r="B22" s="26">
        <f>COUNTIF('Environmental'!G5:G54,"None")</f>
        <v/>
      </c>
      <c r="C22" s="6" t="n"/>
      <c r="D22" s="6" t="n"/>
      <c r="E22" s="6" t="n"/>
      <c r="F22" s="6" t="n"/>
      <c r="G22" s="6" t="n"/>
    </row>
    <row r="23">
      <c r="A23" s="25" t="inlineStr">
        <is>
          <t>Locations with Exposed Cabling</t>
        </is>
      </c>
      <c r="B23" s="26">
        <f>COUNTIF('Physical Security'!I5:I54,"Exposed cabling")</f>
        <v/>
      </c>
      <c r="C23" s="6" t="n"/>
      <c r="D23" s="6" t="n"/>
      <c r="E23" s="6" t="n"/>
      <c r="F23" s="6" t="n"/>
      <c r="G23" s="6" t="n"/>
    </row>
    <row r="24">
      <c r="A24" s="25" t="inlineStr">
        <is>
          <t>Locations with No Equipment Locking</t>
        </is>
      </c>
      <c r="B24" s="26">
        <f>COUNTIF('Physical Security'!H5:H54,"None")</f>
        <v/>
      </c>
      <c r="C24" s="6" t="n"/>
      <c r="D24" s="6" t="n"/>
      <c r="E24" s="6" t="n"/>
      <c r="F24" s="6" t="n"/>
      <c r="G24" s="6" t="n"/>
    </row>
    <row r="25">
      <c r="A25" s="25" t="inlineStr">
        <is>
          <t>Locations with No UPS (Power Infra)</t>
        </is>
      </c>
      <c r="B25" s="26">
        <f>COUNTIF('Power Infrastructure'!C5:C54,"None")</f>
        <v/>
      </c>
      <c r="C25" s="6" t="n"/>
      <c r="D25" s="6" t="n"/>
      <c r="E25" s="6" t="n"/>
      <c r="F25" s="6" t="n"/>
      <c r="G25" s="6" t="n"/>
    </row>
    <row r="26">
      <c r="A26" s="25" t="inlineStr">
        <is>
          <t>Locations on Single Feed Only</t>
        </is>
      </c>
      <c r="B26" s="26">
        <f>COUNTIF('Power Infrastructure'!I5:I54,"Single feed only")</f>
        <v/>
      </c>
      <c r="C26" s="6" t="n"/>
      <c r="D26" s="6" t="n"/>
      <c r="E26" s="6" t="n"/>
      <c r="F26" s="6" t="n"/>
      <c r="G26" s="6" t="n"/>
    </row>
    <row r="27">
      <c r="A27" s="25" t="inlineStr">
        <is>
          <t>High-Sensitivity Workstations (PII/Financial)</t>
        </is>
      </c>
      <c r="B27" s="26">
        <f>COUNTIF('Workstation Security'!D5:D54,"High (PII, Financial)")</f>
        <v/>
      </c>
      <c r="C27" s="6" t="n"/>
      <c r="D27" s="6" t="n"/>
      <c r="E27" s="6" t="n"/>
      <c r="F27" s="6" t="n"/>
      <c r="G27" s="6" t="n"/>
    </row>
    <row r="28">
      <c r="A28" s="25" t="inlineStr">
        <is>
          <t>Workstations with At-Risk Screen Positioning</t>
        </is>
      </c>
      <c r="B28" s="26">
        <f>COUNTIF('Workstation Security'!E5:E54,"At risk (visible to public)")</f>
        <v/>
      </c>
      <c r="C28" s="6" t="n"/>
      <c r="D28" s="6" t="n"/>
      <c r="E28" s="6" t="n"/>
      <c r="F28" s="6" t="n"/>
      <c r="G28" s="6" t="n"/>
    </row>
    <row r="29">
      <c r="A29" s="25" t="inlineStr">
        <is>
          <t>Workstations with No Screen Lock Configured</t>
        </is>
      </c>
      <c r="B29" s="26">
        <f>COUNTIF('Workstation Security'!G5:G54,"Not configured")</f>
        <v/>
      </c>
      <c r="C29" s="6" t="n"/>
      <c r="D29" s="6" t="n"/>
      <c r="E29" s="6" t="n"/>
      <c r="F29" s="6" t="n"/>
      <c r="G29" s="6" t="n"/>
    </row>
    <row r="30">
      <c r="A30" s="25" t="inlineStr">
        <is>
          <t>Total Workstations Assessed</t>
        </is>
      </c>
      <c r="B30" s="26">
        <f>COUNTA('Workstation Security'!B5:B54)</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1" t="inlineStr">
        <is>
          <t>TABLE 3: CRITICAL FINDINGS REQUIRING IMMEDIATE ATTENTION</t>
        </is>
      </c>
      <c r="B34" s="6" t="n"/>
      <c r="C34" s="6" t="n"/>
      <c r="D34" s="6" t="n"/>
      <c r="E34" s="6" t="n"/>
      <c r="F34" s="6" t="n"/>
      <c r="G34" s="6" t="n"/>
    </row>
    <row r="35">
      <c r="A35" s="29" t="inlineStr">
        <is>
          <t>Category</t>
        </is>
      </c>
      <c r="B35" s="29" t="inlineStr">
        <is>
          <t>Finding</t>
        </is>
      </c>
      <c r="C35" s="29" t="inlineStr">
        <is>
          <t>Count</t>
        </is>
      </c>
      <c r="D35" s="29" t="inlineStr">
        <is>
          <t>Severity</t>
        </is>
      </c>
      <c r="E35" s="29" t="inlineStr">
        <is>
          <t>Action Required</t>
        </is>
      </c>
      <c r="F35" s="29" t="n"/>
      <c r="G35" s="29" t="n"/>
    </row>
    <row r="36">
      <c r="A36" s="32" t="inlineStr">
        <is>
          <t>Equipment Locations</t>
        </is>
      </c>
      <c r="B36" s="32" t="inlineStr">
        <is>
          <t>Locations with no access control</t>
        </is>
      </c>
      <c r="C36" s="33">
        <f>COUNTIF('Equipment Locations'!G5:G54,"No Access Control")</f>
        <v/>
      </c>
      <c r="D36" s="32" t="inlineStr">
        <is>
          <t>Critical</t>
        </is>
      </c>
      <c r="E36" s="32" t="inlineStr">
        <is>
          <t>Immediate</t>
        </is>
      </c>
      <c r="F36" s="32" t="n"/>
      <c r="G36" s="32" t="n"/>
    </row>
    <row r="37">
      <c r="A37" s="32" t="inlineStr">
        <is>
          <t>Equipment Locations</t>
        </is>
      </c>
      <c r="B37" s="32" t="inlineStr">
        <is>
          <t>Locations with no CCTV coverage</t>
        </is>
      </c>
      <c r="C37" s="33">
        <f>COUNTIF('Equipment Locations'!I5:I54,"No CCTV")</f>
        <v/>
      </c>
      <c r="D37" s="32" t="inlineStr">
        <is>
          <t>Critical</t>
        </is>
      </c>
      <c r="E37" s="32" t="inlineStr">
        <is>
          <t>Immediate</t>
        </is>
      </c>
      <c r="F37" s="32" t="n"/>
      <c r="G37" s="32" t="n"/>
    </row>
    <row r="38">
      <c r="A38" s="32" t="inlineStr">
        <is>
          <t>Environmental</t>
        </is>
      </c>
      <c r="B38" s="32" t="inlineStr">
        <is>
          <t>High flood risk locations</t>
        </is>
      </c>
      <c r="C38" s="33">
        <f>COUNTIF('Environmental'!F5:F54,"High (below grade)")</f>
        <v/>
      </c>
      <c r="D38" s="32" t="inlineStr">
        <is>
          <t>Critical</t>
        </is>
      </c>
      <c r="E38" s="32" t="inlineStr">
        <is>
          <t>Immediate</t>
        </is>
      </c>
      <c r="F38" s="32" t="n"/>
      <c r="G38" s="32" t="n"/>
    </row>
    <row r="39">
      <c r="A39" s="32" t="inlineStr">
        <is>
          <t>Environmental</t>
        </is>
      </c>
      <c r="B39" s="32" t="inlineStr">
        <is>
          <t>Locations with no fire suppression</t>
        </is>
      </c>
      <c r="C39" s="33">
        <f>COUNTIF('Environmental'!G5:G54,"None")</f>
        <v/>
      </c>
      <c r="D39" s="32" t="inlineStr">
        <is>
          <t>Critical</t>
        </is>
      </c>
      <c r="E39" s="32" t="inlineStr">
        <is>
          <t>Immediate</t>
        </is>
      </c>
      <c r="F39" s="32" t="n"/>
      <c r="G39" s="32" t="n"/>
    </row>
    <row r="40">
      <c r="A40" s="32" t="inlineStr">
        <is>
          <t>Physical Security</t>
        </is>
      </c>
      <c r="B40" s="32" t="inlineStr">
        <is>
          <t>Locations with exposed cabling</t>
        </is>
      </c>
      <c r="C40" s="33">
        <f>COUNTIF('Physical Security'!I5:I54,"Exposed cabling")</f>
        <v/>
      </c>
      <c r="D40" s="32" t="inlineStr">
        <is>
          <t>High</t>
        </is>
      </c>
      <c r="E40" s="32" t="inlineStr">
        <is>
          <t>Urgent</t>
        </is>
      </c>
      <c r="F40" s="32" t="n"/>
      <c r="G40" s="32" t="n"/>
    </row>
    <row r="41">
      <c r="A41" s="32" t="inlineStr">
        <is>
          <t>Physical Security</t>
        </is>
      </c>
      <c r="B41" s="32" t="inlineStr">
        <is>
          <t>Locations with no equipment locking</t>
        </is>
      </c>
      <c r="C41" s="33">
        <f>COUNTIF('Physical Security'!H5:H54,"None")</f>
        <v/>
      </c>
      <c r="D41" s="32" t="inlineStr">
        <is>
          <t>High</t>
        </is>
      </c>
      <c r="E41" s="32" t="inlineStr">
        <is>
          <t>Urgent</t>
        </is>
      </c>
      <c r="F41" s="32" t="n"/>
      <c r="G41" s="32" t="n"/>
    </row>
    <row r="42">
      <c r="A42" s="32" t="inlineStr">
        <is>
          <t>Workstation Security</t>
        </is>
      </c>
      <c r="B42" s="32" t="inlineStr">
        <is>
          <t>Workstations with no screen lock configured</t>
        </is>
      </c>
      <c r="C42" s="33">
        <f>COUNTIF('Workstation Security'!G5:G54,"Not configured")</f>
        <v/>
      </c>
      <c r="D42" s="32" t="inlineStr">
        <is>
          <t>High</t>
        </is>
      </c>
      <c r="E42" s="32" t="inlineStr">
        <is>
          <t>Urgent</t>
        </is>
      </c>
      <c r="F42" s="32" t="n"/>
      <c r="G42" s="32" t="n"/>
    </row>
    <row r="43">
      <c r="A43" s="32" t="inlineStr">
        <is>
          <t>Workstation Security</t>
        </is>
      </c>
      <c r="B43" s="32" t="inlineStr">
        <is>
          <t>Workstations with at-risk screen positioning</t>
        </is>
      </c>
      <c r="C43" s="33">
        <f>COUNTIF('Workstation Security'!E5:E54,"At risk (visible to public)")</f>
        <v/>
      </c>
      <c r="D43" s="32" t="inlineStr">
        <is>
          <t>High</t>
        </is>
      </c>
      <c r="E43" s="32" t="inlineStr">
        <is>
          <t>Urgent</t>
        </is>
      </c>
      <c r="F43" s="32" t="n"/>
      <c r="G43" s="32" t="n"/>
    </row>
    <row r="44">
      <c r="A44" s="32" t="inlineStr">
        <is>
          <t>Power Infrastructure</t>
        </is>
      </c>
      <c r="B44" s="32" t="inlineStr">
        <is>
          <t>Locations with no UPS coverage</t>
        </is>
      </c>
      <c r="C44" s="33">
        <f>COUNTIF('Power Infrastructure'!C5:C54,"None")</f>
        <v/>
      </c>
      <c r="D44" s="32" t="inlineStr">
        <is>
          <t>Medium</t>
        </is>
      </c>
      <c r="E44" s="32" t="inlineStr">
        <is>
          <t>Plan</t>
        </is>
      </c>
      <c r="F44" s="32" t="n"/>
      <c r="G44" s="32" t="n"/>
    </row>
    <row r="45">
      <c r="A45" s="32" t="inlineStr">
        <is>
          <t>Power Infrastructure</t>
        </is>
      </c>
      <c r="B45" s="32" t="inlineStr">
        <is>
          <t>Locations on single power feed only</t>
        </is>
      </c>
      <c r="C45" s="33">
        <f>COUNTIF('Power Infrastructure'!I5:I54,"Single feed only")</f>
        <v/>
      </c>
      <c r="D45" s="32" t="inlineStr">
        <is>
          <t>Medium</t>
        </is>
      </c>
      <c r="E45" s="32" t="inlineStr">
        <is>
          <t>Plan</t>
        </is>
      </c>
      <c r="F45" s="32" t="n"/>
      <c r="G45" s="32" t="n"/>
    </row>
    <row r="46">
      <c r="A46" s="20" t="n"/>
      <c r="B46" s="20" t="n"/>
      <c r="C46" s="20" t="n"/>
      <c r="D46" s="20" t="n"/>
      <c r="E46" s="20" t="n"/>
      <c r="F46" s="20" t="n"/>
      <c r="G46" s="20" t="n"/>
    </row>
    <row r="47">
      <c r="A47" s="20" t="n"/>
      <c r="B47" s="20" t="n"/>
      <c r="C47" s="20" t="n"/>
      <c r="D47" s="20" t="n"/>
      <c r="E47" s="20" t="n"/>
      <c r="F47" s="20" t="n"/>
      <c r="G47" s="20"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A.7.8: Equipment Siting and Protection</t>
        </is>
      </c>
      <c r="B2" s="6" t="n"/>
      <c r="C2" s="6" t="n"/>
      <c r="D2" s="6" t="n"/>
      <c r="E2" s="6" t="n"/>
    </row>
    <row r="3">
      <c r="A3" s="36" t="inlineStr">
        <is>
          <t>ASSESSMENT SUMMARY</t>
        </is>
      </c>
      <c r="B3" s="6" t="n"/>
      <c r="C3" s="6" t="n"/>
      <c r="D3" s="6" t="n"/>
      <c r="E3" s="6" t="n"/>
    </row>
    <row r="4">
      <c r="A4" s="37" t="inlineStr">
        <is>
          <t>Document:</t>
        </is>
      </c>
      <c r="B4" s="6" t="inlineStr">
        <is>
          <t>ISMS-IMP-A.7.8.S1 - Equipment Siting Assessment</t>
        </is>
      </c>
      <c r="C4" s="6" t="n"/>
      <c r="D4" s="6" t="n"/>
      <c r="E4" s="6" t="n"/>
    </row>
    <row r="5">
      <c r="A5" s="37" t="inlineStr">
        <is>
          <t>Assessment Period:</t>
        </is>
      </c>
      <c r="B5" s="20" t="inlineStr"/>
      <c r="C5" s="6" t="n"/>
      <c r="D5" s="6" t="n"/>
      <c r="E5" s="6" t="n"/>
    </row>
    <row r="6">
      <c r="A6" s="37" t="inlineStr">
        <is>
          <t>Overall Compliance Rating:</t>
        </is>
      </c>
      <c r="B6" s="38">
        <f>IFERROR(AVERAGE('Summary Dashboard'!G6:G10),"")</f>
        <v/>
      </c>
      <c r="C6" s="6" t="n"/>
      <c r="D6" s="6" t="n"/>
      <c r="E6" s="6" t="n"/>
    </row>
    <row r="7">
      <c r="A7" s="37" t="inlineStr">
        <is>
          <t>Assessment Status:</t>
        </is>
      </c>
      <c r="B7" s="20" t="inlineStr"/>
      <c r="C7" s="6" t="n"/>
      <c r="D7" s="6" t="n"/>
      <c r="E7" s="6" t="n"/>
    </row>
    <row r="8">
      <c r="A8" s="37" t="inlineStr">
        <is>
          <t>Assessed By:</t>
        </is>
      </c>
      <c r="B8" s="20" t="inlineStr"/>
      <c r="C8" s="6" t="n"/>
      <c r="D8" s="6" t="n"/>
      <c r="E8" s="6" t="n"/>
    </row>
    <row r="10">
      <c r="A10" s="36" t="inlineStr">
        <is>
          <t>COMPLETED BY (ASSESSOR)</t>
        </is>
      </c>
      <c r="B10" s="6" t="n"/>
      <c r="C10" s="6" t="n"/>
      <c r="D10" s="6" t="n"/>
      <c r="E10" s="6" t="n"/>
    </row>
    <row r="11">
      <c r="A11" s="37" t="inlineStr">
        <is>
          <t>Name:</t>
        </is>
      </c>
      <c r="B11" s="20" t="n"/>
      <c r="C11" s="6" t="n"/>
      <c r="D11" s="6" t="n"/>
      <c r="E11" s="6" t="n"/>
    </row>
    <row r="12">
      <c r="A12" s="37" t="inlineStr">
        <is>
          <t>Title:</t>
        </is>
      </c>
      <c r="B12" s="20" t="n"/>
      <c r="C12" s="6" t="n"/>
      <c r="D12" s="6" t="n"/>
      <c r="E12" s="6" t="n"/>
    </row>
    <row r="13">
      <c r="A13" s="37" t="inlineStr">
        <is>
          <t>Date:</t>
        </is>
      </c>
      <c r="B13" s="20" t="n"/>
      <c r="C13" s="6" t="n"/>
      <c r="D13" s="6" t="n"/>
      <c r="E13" s="6" t="n"/>
    </row>
    <row r="14">
      <c r="A14" s="37" t="inlineStr">
        <is>
          <t>Signature:</t>
        </is>
      </c>
      <c r="B14" s="20" t="n"/>
      <c r="C14" s="6" t="n"/>
      <c r="D14" s="6" t="n"/>
      <c r="E14" s="6" t="n"/>
    </row>
    <row r="15">
      <c r="A15" s="37" t="inlineStr">
        <is>
          <t>Comments:</t>
        </is>
      </c>
      <c r="B15" s="20" t="n"/>
      <c r="C15" s="6" t="n"/>
      <c r="D15" s="6" t="n"/>
      <c r="E15" s="6" t="n"/>
    </row>
    <row r="17">
      <c r="A17" s="36" t="inlineStr">
        <is>
          <t>REVIEWED BY (INFORMATION SECURITY OFFICER)</t>
        </is>
      </c>
      <c r="B17" s="6" t="n"/>
      <c r="C17" s="6" t="n"/>
      <c r="D17" s="6" t="n"/>
      <c r="E17" s="6" t="n"/>
    </row>
    <row r="18">
      <c r="A18" s="37" t="inlineStr">
        <is>
          <t>Name:</t>
        </is>
      </c>
      <c r="B18" s="20" t="n"/>
      <c r="C18" s="6" t="n"/>
      <c r="D18" s="6" t="n"/>
      <c r="E18" s="6" t="n"/>
    </row>
    <row r="19">
      <c r="A19" s="37" t="inlineStr">
        <is>
          <t>Title:</t>
        </is>
      </c>
      <c r="B19" s="20" t="n"/>
      <c r="C19" s="6" t="n"/>
      <c r="D19" s="6" t="n"/>
      <c r="E19" s="6" t="n"/>
    </row>
    <row r="20">
      <c r="A20" s="37" t="inlineStr">
        <is>
          <t>Date:</t>
        </is>
      </c>
      <c r="B20" s="20" t="n"/>
      <c r="C20" s="6" t="n"/>
      <c r="D20" s="6" t="n"/>
      <c r="E20" s="6" t="n"/>
    </row>
    <row r="21">
      <c r="A21" s="37" t="inlineStr">
        <is>
          <t>Signature:</t>
        </is>
      </c>
      <c r="B21" s="20" t="n"/>
      <c r="C21" s="6" t="n"/>
      <c r="D21" s="6" t="n"/>
      <c r="E21" s="6" t="n"/>
    </row>
    <row r="22">
      <c r="A22" s="37" t="inlineStr">
        <is>
          <t>Comments:</t>
        </is>
      </c>
      <c r="B22" s="20" t="n"/>
      <c r="C22" s="6" t="n"/>
      <c r="D22" s="6" t="n"/>
      <c r="E22" s="6" t="n"/>
    </row>
    <row r="24">
      <c r="A24" s="39" t="inlineStr">
        <is>
          <t>APPROVED BY (CISO)</t>
        </is>
      </c>
      <c r="B24" s="6" t="n"/>
      <c r="C24" s="6" t="n"/>
      <c r="D24" s="6" t="n"/>
      <c r="E24" s="6" t="n"/>
    </row>
    <row r="25">
      <c r="A25" s="37" t="inlineStr">
        <is>
          <t>Name:</t>
        </is>
      </c>
      <c r="B25" s="20" t="n"/>
      <c r="C25" s="6" t="n"/>
      <c r="D25" s="6" t="n"/>
      <c r="E25" s="6" t="n"/>
    </row>
    <row r="26">
      <c r="A26" s="37" t="inlineStr">
        <is>
          <t>Title:</t>
        </is>
      </c>
      <c r="B26" s="20" t="n"/>
      <c r="C26" s="6" t="n"/>
      <c r="D26" s="6" t="n"/>
      <c r="E26" s="6" t="n"/>
    </row>
    <row r="27">
      <c r="A27" s="37" t="inlineStr">
        <is>
          <t>Date:</t>
        </is>
      </c>
      <c r="B27" s="20" t="n"/>
      <c r="C27" s="6" t="n"/>
      <c r="D27" s="6" t="n"/>
      <c r="E27" s="6" t="n"/>
    </row>
    <row r="28">
      <c r="A28" s="37" t="inlineStr">
        <is>
          <t>Signature:</t>
        </is>
      </c>
      <c r="B28" s="20" t="n"/>
      <c r="C28" s="6" t="n"/>
      <c r="D28" s="6" t="n"/>
      <c r="E28" s="6" t="n"/>
    </row>
    <row r="29">
      <c r="A29" s="37" t="inlineStr">
        <is>
          <t>Comments:</t>
        </is>
      </c>
      <c r="B29" s="20" t="n"/>
      <c r="C29" s="6" t="n"/>
      <c r="D29" s="6" t="n"/>
      <c r="E29" s="6" t="n"/>
    </row>
    <row r="31">
      <c r="A31" s="37" t="inlineStr">
        <is>
          <t>FINAL DECISION:</t>
        </is>
      </c>
      <c r="B31" s="20" t="n"/>
      <c r="C31" s="6" t="n"/>
      <c r="D31" s="6" t="n"/>
      <c r="E31" s="6" t="n"/>
    </row>
    <row r="34">
      <c r="A34" s="36" t="inlineStr">
        <is>
          <t>NEXT REVIEW DETAILS</t>
        </is>
      </c>
      <c r="B34" s="6" t="n"/>
      <c r="C34" s="6" t="n"/>
      <c r="D34" s="6" t="n"/>
      <c r="E34" s="6" t="n"/>
    </row>
    <row r="35">
      <c r="A35" s="37" t="inlineStr">
        <is>
          <t>Next Review Date:</t>
        </is>
      </c>
      <c r="B35" s="20" t="n"/>
      <c r="C35" s="6" t="n"/>
      <c r="D35" s="6" t="n"/>
      <c r="E35" s="6" t="n"/>
    </row>
    <row r="36">
      <c r="A36" s="37" t="inlineStr">
        <is>
          <t>Review Responsible:</t>
        </is>
      </c>
      <c r="B36" s="20" t="n"/>
      <c r="C36" s="6" t="n"/>
      <c r="D36" s="6" t="n"/>
      <c r="E36" s="6" t="n"/>
    </row>
    <row r="37">
      <c r="A37" s="37" t="inlineStr">
        <is>
          <t>Special Considerations:</t>
        </is>
      </c>
      <c r="B37" s="20"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ISMS-IMP-A.7.8.S1 — Equipment Siting Assessment</dc:title>
  <dc:description xmlns:dc="http://purl.org/dc/elements/1.1/">ISMS Implementation Workbook — ISMS-IMP-A.7.8.S1</dc:description>
  <dc:subject xmlns:dc="http://purl.org/dc/elements/1.1/">ISO/IEC 27001:2022 — Control A.7.8: Equipment Siting and Protection</dc:subject>
  <dcterms:created xmlns:dcterms="http://purl.org/dc/terms/" xmlns:xsi="http://www.w3.org/2001/XMLSchema-instance" xsi:type="dcterms:W3CDTF">2026-03-01T16:57:51Z</dcterms:created>
  <dcterms:modified xmlns:dcterms="http://purl.org/dc/terms/" xmlns:xsi="http://www.w3.org/2001/XMLSchema-instance" xsi:type="dcterms:W3CDTF">2026-03-01T16:57:52Z</dcterms:modified>
</cp:coreProperties>
</file>