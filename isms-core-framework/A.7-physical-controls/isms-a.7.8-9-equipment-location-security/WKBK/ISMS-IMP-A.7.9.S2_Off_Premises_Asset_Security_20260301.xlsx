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Authorisation" sheetId="3" state="visible" r:id="rId3"/>
    <sheet xmlns:r="http://schemas.openxmlformats.org/officeDocument/2006/relationships" name="Protection Measures" sheetId="4" state="visible" r:id="rId4"/>
    <sheet xmlns:r="http://schemas.openxmlformats.org/officeDocument/2006/relationships" name="Remote Working" sheetId="5" state="visible" r:id="rId5"/>
    <sheet xmlns:r="http://schemas.openxmlformats.org/officeDocument/2006/relationships" name="Permanent Off-Site" sheetId="6" state="visible" r:id="rId6"/>
    <sheet xmlns:r="http://schemas.openxmlformats.org/officeDocument/2006/relationships" name="Incident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ISMS-IMP-A.7.9.S2  -  Off-Premises Asset Security
ISO/IEC 27001:2022 - Control A.7.9: Security of Assets Off-Premises</t>
        </is>
      </c>
    </row>
    <row r="3">
      <c r="A3" s="2" t="inlineStr">
        <is>
          <t>Document Information</t>
        </is>
      </c>
    </row>
    <row r="4">
      <c r="A4" s="3" t="inlineStr">
        <is>
          <t>Document ID</t>
        </is>
      </c>
      <c r="B4" t="inlineStr">
        <is>
          <t>ISMS-IMP-A.7.9.S2</t>
        </is>
      </c>
    </row>
    <row r="5">
      <c r="A5" s="3" t="inlineStr">
        <is>
          <t>Workbook Title</t>
        </is>
      </c>
      <c r="B5" t="inlineStr">
        <is>
          <t>Off-Premises Asset Security</t>
        </is>
      </c>
    </row>
    <row r="6">
      <c r="A6" s="3" t="inlineStr">
        <is>
          <t>Control Reference</t>
        </is>
      </c>
      <c r="B6" t="inlineStr">
        <is>
          <t>ISO/IEC 27001:2022 - Control A.7.9: Security of Assets Off-Premises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categories of off-premises equipment.</t>
        </is>
      </c>
    </row>
    <row r="14">
      <c r="A14" t="inlineStr">
        <is>
          <t>2. Complete Sheet 3 (Authorisation &amp; Tracking) — removal processes.</t>
        </is>
      </c>
    </row>
    <row r="15">
      <c r="A15" t="inlineStr">
        <is>
          <t>3. Complete Sheet 4 (Protection Measures) — security controls.</t>
        </is>
      </c>
    </row>
    <row r="16">
      <c r="A16" t="inlineStr">
        <is>
          <t>4. Complete Sheet 5 (Remote Working) — remote work scenarios.</t>
        </is>
      </c>
    </row>
    <row r="17">
      <c r="A17" t="inlineStr">
        <is>
          <t>5. Complete Sheet 6 (Permanent Off-Site) — fixed installations.</t>
        </is>
      </c>
    </row>
    <row r="18">
      <c r="A18" t="inlineStr">
        <is>
          <t>6. Document incidents in Sheet 7 (Incidents).</t>
        </is>
      </c>
    </row>
    <row r="19">
      <c r="A19" t="inlineStr">
        <is>
          <t>7. Document evidence in Sheet 8 (Evidence Register).</t>
        </is>
      </c>
    </row>
    <row r="20">
      <c r="A20" t="inlineStr">
        <is>
          <t>8. Review Sheet 9 (Summary Dashboard) for compliance scores.</t>
        </is>
      </c>
    </row>
    <row r="21">
      <c r="A21" t="inlineStr">
        <is>
          <t>9. Obtain approvals in Sheet 10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6" customWidth="1" min="5" max="5"/>
    <col width="25"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EQUIPMENT INVENTORY FOR OFF-PREMISES USE
Policy Requirement: Off-site assets should be protected</t>
        </is>
      </c>
    </row>
    <row r="2">
      <c r="A2" s="12" t="inlineStr">
        <is>
          <t>ISO/IEC 27001:2022 - Control A.7.9: Security of Assets Off-Premises</t>
        </is>
      </c>
    </row>
    <row r="3">
      <c r="A3" s="13" t="inlineStr">
        <is>
          <t>Category ID</t>
        </is>
      </c>
      <c r="B3" s="13" t="inlineStr">
        <is>
          <t>Equipment Category</t>
        </is>
      </c>
      <c r="C3" s="13" t="inlineStr">
        <is>
          <t>Equipment Type</t>
        </is>
      </c>
      <c r="D3" s="13" t="inlineStr">
        <is>
          <t>Total Count</t>
        </is>
      </c>
      <c r="E3" s="13" t="inlineStr">
        <is>
          <t>Off-Premises Count</t>
        </is>
      </c>
      <c r="F3" s="13" t="inlineStr">
        <is>
          <t>Primary Use Case</t>
        </is>
      </c>
      <c r="G3" s="13" t="inlineStr">
        <is>
          <t>MDM Managed</t>
        </is>
      </c>
      <c r="H3" s="13" t="inlineStr">
        <is>
          <t>Encryption Enabled</t>
        </is>
      </c>
      <c r="I3" s="13" t="inlineStr">
        <is>
          <t>Remote Wipe Capable</t>
        </is>
      </c>
      <c r="J3" s="13" t="inlineStr">
        <is>
          <t>GPS Tracking</t>
        </is>
      </c>
      <c r="K3" s="13" t="inlineStr">
        <is>
          <t>Last Compliance Check</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6">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"Laptop,Mobile Phone,Tablet,Storage Media,Edge Device,Other"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All devices,Partial,No"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- 100%,Partial (&gt;80%),Low (&lt;80%),No"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Tested,Yes - Not tested,No"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Enabled,Available - Not enabled,Not available"</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5" customWidth="1" min="4" max="4"/>
    <col width="20" customWidth="1" min="5" max="5"/>
    <col width="20" customWidth="1" min="6" max="6"/>
    <col width="22" customWidth="1" min="7" max="7"/>
    <col width="18" customWidth="1" min="8" max="8"/>
    <col width="15" customWidth="1" min="9" max="9"/>
    <col width="18" customWidth="1" min="10" max="10"/>
    <col width="18" customWidth="1" min="11" max="11"/>
    <col width="40" customWidth="1" min="12" max="12"/>
  </cols>
  <sheetData>
    <row r="1" ht="35" customHeight="1">
      <c r="A1" s="11" t="inlineStr">
        <is>
          <t>AUTHORISATION &amp; TRACKING PROCESSES
Policy Requirement: Equipment removal should be authorised and tracked</t>
        </is>
      </c>
    </row>
    <row r="2">
      <c r="A2" s="12" t="inlineStr">
        <is>
          <t>ISO/IEC 27001:2022 - Control A.7.9: Security of Assets Off-Premises</t>
        </is>
      </c>
    </row>
    <row r="3">
      <c r="A3" s="13" t="inlineStr">
        <is>
          <t>Category ID</t>
        </is>
      </c>
      <c r="B3" s="13" t="inlineStr">
        <is>
          <t>Equipment Category</t>
        </is>
      </c>
      <c r="C3" s="13" t="inlineStr">
        <is>
          <t>Authorisation Required</t>
        </is>
      </c>
      <c r="D3" s="13" t="inlineStr">
        <is>
          <t>Authorisation Method</t>
        </is>
      </c>
      <c r="E3" s="13" t="inlineStr">
        <is>
          <t>Tracking System</t>
        </is>
      </c>
      <c r="F3" s="13" t="inlineStr">
        <is>
          <t>Chain of Custody</t>
        </is>
      </c>
      <c r="G3" s="13" t="inlineStr">
        <is>
          <t>Return Verification</t>
        </is>
      </c>
      <c r="H3" s="13" t="inlineStr">
        <is>
          <t>Overdue Alert</t>
        </is>
      </c>
      <c r="I3" s="13" t="inlineStr">
        <is>
          <t>Current Overdue</t>
        </is>
      </c>
      <c r="J3" s="13" t="inlineStr">
        <is>
          <t>Last Process Review</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5">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"Yes - Manager approval,Yes - IT approval,Yes - Auto-approved,No approval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Full tracking,Partial,No"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Physical check,Yes - System check,No verification"</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Automated,Yes - Manual review,No"</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2" customWidth="1" min="4" max="4"/>
    <col width="22" customWidth="1" min="5" max="5"/>
    <col width="25" customWidth="1" min="6" max="6"/>
    <col width="22" customWidth="1" min="7" max="7"/>
    <col width="22" customWidth="1" min="8" max="8"/>
    <col width="20" customWidth="1" min="9" max="9"/>
    <col width="18" customWidth="1" min="10" max="10"/>
    <col width="18" customWidth="1" min="11" max="11"/>
    <col width="40" customWidth="1" min="12" max="12"/>
  </cols>
  <sheetData>
    <row r="1" ht="35" customHeight="1">
      <c r="A1" s="11" t="inlineStr">
        <is>
          <t>PROTECTION MEASURES FOR OFF-PREMISES EQUIPMENT
Policy Requirement: Equipment should be protected when off-premises</t>
        </is>
      </c>
    </row>
    <row r="2">
      <c r="A2" s="12" t="inlineStr">
        <is>
          <t>ISO/IEC 27001:2022 - Control A.7.9: Security of Assets Off-Premises</t>
        </is>
      </c>
    </row>
    <row r="3">
      <c r="A3" s="13" t="inlineStr">
        <is>
          <t>Category ID</t>
        </is>
      </c>
      <c r="B3" s="13" t="inlineStr">
        <is>
          <t>Equipment Category</t>
        </is>
      </c>
      <c r="C3" s="13" t="inlineStr">
        <is>
          <t>Physical Security</t>
        </is>
      </c>
      <c r="D3" s="13" t="inlineStr">
        <is>
          <t>Transport Guidelines</t>
        </is>
      </c>
      <c r="E3" s="13" t="inlineStr">
        <is>
          <t>Public Place Rules</t>
        </is>
      </c>
      <c r="F3" s="13" t="inlineStr">
        <is>
          <t>Storage When Not In Use</t>
        </is>
      </c>
      <c r="G3" s="13" t="inlineStr">
        <is>
          <t>Environmental Protection</t>
        </is>
      </c>
      <c r="H3" s="13" t="inlineStr">
        <is>
          <t>Privacy Screen Required</t>
        </is>
      </c>
      <c r="I3" s="13" t="inlineStr">
        <is>
          <t>VPN Required</t>
        </is>
      </c>
      <c r="J3" s="13" t="inlineStr">
        <is>
          <t>Screen Lock Timeout</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"Cable lock required,Secure bag required,No requirement"</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"Yes - Documented,Partial,No guidelines"</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Never unattended,Yes - Partial rules,No rules"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"Locked storage required,Secure location recommended,No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Guidelines provided,Partial,No guidelines"</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Always,Yes - For sensitive data,No"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All connections,Yes - Untrusted networks,No requirement"</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8" customWidth="1" min="5" max="5"/>
    <col width="22" customWidth="1" min="6" max="6"/>
    <col width="22" customWidth="1" min="7" max="7"/>
    <col width="20" customWidth="1" min="8" max="8"/>
    <col width="20" customWidth="1" min="9" max="9"/>
    <col width="12" customWidth="1" min="10" max="10"/>
    <col width="15" customWidth="1" min="11" max="11"/>
    <col width="18" customWidth="1" min="12" max="12"/>
    <col width="40" customWidth="1" min="13" max="13"/>
  </cols>
  <sheetData>
    <row r="1" ht="35" customHeight="1">
      <c r="A1" s="11" t="inlineStr">
        <is>
          <t>REMOTE WORKING SECURITY ASSESSMENT
Policy Requirement: Remote work environments should be secured</t>
        </is>
      </c>
    </row>
    <row r="2">
      <c r="A2" s="12" t="inlineStr">
        <is>
          <t>ISO/IEC 27001:2022 - Control A.7.9: Security of Assets Off-Premises</t>
        </is>
      </c>
    </row>
    <row r="3">
      <c r="A3" s="13" t="inlineStr">
        <is>
          <t>Scenario ID</t>
        </is>
      </c>
      <c r="B3" s="13" t="inlineStr">
        <is>
          <t>Work Scenario</t>
        </is>
      </c>
      <c r="C3" s="13" t="inlineStr">
        <is>
          <t>Data Sensitivity</t>
        </is>
      </c>
      <c r="D3" s="13" t="inlineStr">
        <is>
          <t>VPN Requirement</t>
        </is>
      </c>
      <c r="E3" s="13" t="inlineStr">
        <is>
          <t>Privacy Screen</t>
        </is>
      </c>
      <c r="F3" s="13" t="inlineStr">
        <is>
          <t>WiFi Security</t>
        </is>
      </c>
      <c r="G3" s="13" t="inlineStr">
        <is>
          <t>Physical Security</t>
        </is>
      </c>
      <c r="H3" s="13" t="inlineStr">
        <is>
          <t>Visitor Access</t>
        </is>
      </c>
      <c r="I3" s="13" t="inlineStr">
        <is>
          <t>Bluetooth/Wireless</t>
        </is>
      </c>
      <c r="J3" s="13" t="inlineStr">
        <is>
          <t>Worker Count</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"High (PII, Financial),Medium (Internal),Low (Public)"</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"Required - Always,Required - Sensitive only,Recommended,Not required"</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"Required,Recommended,Not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"Encrypted only,VPN for public WiFi,No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"Locked when away,Not visible to others,No requirement"</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"No access allowed,Supervised access only,N/A"</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"Disable when not needed,No requirement"</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22" customWidth="1" min="5" max="5"/>
    <col width="22" customWidth="1" min="6" max="6"/>
    <col width="20" customWidth="1" min="7" max="7"/>
    <col width="18" customWidth="1" min="8" max="8"/>
    <col width="15" customWidth="1" min="9" max="9"/>
    <col width="20" customWidth="1" min="10" max="10"/>
    <col width="18" customWidth="1" min="11" max="11"/>
    <col width="40" customWidth="1" min="12" max="12"/>
  </cols>
  <sheetData>
    <row r="1" ht="35" customHeight="1">
      <c r="A1" s="11" t="inlineStr">
        <is>
          <t>PERMANENT OFF-SITE INSTALLATIONS
Policy Requirement: Permanently off-site equipment requires enhanced protection</t>
        </is>
      </c>
    </row>
    <row r="2">
      <c r="A2" s="12" t="inlineStr">
        <is>
          <t>ISO/IEC 27001:2022 - Control A.7.9: Security of Assets Off-Premises</t>
        </is>
      </c>
    </row>
    <row r="3">
      <c r="A3" s="13" t="inlineStr">
        <is>
          <t>Installation ID</t>
        </is>
      </c>
      <c r="B3" s="13" t="inlineStr">
        <is>
          <t>Installation Name</t>
        </is>
      </c>
      <c r="C3" s="13" t="inlineStr">
        <is>
          <t>Installation Type</t>
        </is>
      </c>
      <c r="D3" s="13" t="inlineStr">
        <is>
          <t>Location Count</t>
        </is>
      </c>
      <c r="E3" s="13" t="inlineStr">
        <is>
          <t>Physical Security</t>
        </is>
      </c>
      <c r="F3" s="13" t="inlineStr">
        <is>
          <t>Environmental Monitoring</t>
        </is>
      </c>
      <c r="G3" s="13" t="inlineStr">
        <is>
          <t>Remote Management</t>
        </is>
      </c>
      <c r="H3" s="13" t="inlineStr">
        <is>
          <t>Inspection Schedule</t>
        </is>
      </c>
      <c r="I3" s="13" t="inlineStr">
        <is>
          <t>Last Inspection</t>
        </is>
      </c>
      <c r="J3" s="13" t="inlineStr">
        <is>
          <t>Incident Response</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"ATM/Kiosk,Sensor/IoT,Edge Computing,Signage,Antenna/Telecom,Other"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"Tamper detection,Locked enclosure,Public exposure"</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Continuous,Yes - Periodic,No"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Full control,Partial,No"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"Monthly,Quarterly,Annual,None"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Documented,Partial,No procedure"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20" customWidth="1" min="5" max="5"/>
    <col width="22" customWidth="1" min="6" max="6"/>
    <col width="22" customWidth="1" min="7" max="7"/>
    <col width="18" customWidth="1" min="8" max="8"/>
    <col width="18" customWidth="1" min="9" max="9"/>
    <col width="25" customWidth="1" min="10" max="10"/>
    <col width="30" customWidth="1" min="11" max="11"/>
    <col width="40" customWidth="1" min="12" max="12"/>
  </cols>
  <sheetData>
    <row r="1" ht="35" customHeight="1">
      <c r="A1" s="11" t="inlineStr">
        <is>
          <t>EQUIPMENT SECURITY INCIDENTS
Policy Requirement: Track and learn from equipment security incidents</t>
        </is>
      </c>
    </row>
    <row r="2">
      <c r="A2" s="12" t="inlineStr">
        <is>
          <t>ISO/IEC 27001:2022 - Control A.7.9: Security of Assets Off-Premises</t>
        </is>
      </c>
    </row>
    <row r="3">
      <c r="A3" s="13" t="inlineStr">
        <is>
          <t>Incident ID</t>
        </is>
      </c>
      <c r="B3" s="13" t="inlineStr">
        <is>
          <t>Incident Date</t>
        </is>
      </c>
      <c r="C3" s="13" t="inlineStr">
        <is>
          <t>Equipment Category</t>
        </is>
      </c>
      <c r="D3" s="13" t="inlineStr">
        <is>
          <t>Incident Type</t>
        </is>
      </c>
      <c r="E3" s="13" t="inlineStr">
        <is>
          <t>Location</t>
        </is>
      </c>
      <c r="F3" s="13" t="inlineStr">
        <is>
          <t>Data at Risk</t>
        </is>
      </c>
      <c r="G3" s="13" t="inlineStr">
        <is>
          <t>Remote Wipe Executed</t>
        </is>
      </c>
      <c r="H3" s="13" t="inlineStr">
        <is>
          <t>Time to Report (hrs)</t>
        </is>
      </c>
      <c r="I3" s="13" t="inlineStr">
        <is>
          <t>Recovery Status</t>
        </is>
      </c>
      <c r="J3" s="13" t="inlineStr">
        <is>
          <t>Root Cause</t>
        </is>
      </c>
      <c r="K3" s="13" t="inlineStr">
        <is>
          <t>Corrective Action</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"Lost,Stolen,Damaged,Compromised,Near Miss"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(PII, Financial),Medium (Internal),Low (Public),None (encrypted)"</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Successful,Yes - Failed,No - Not needed,No - Not possible"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"Recovered,Not recovered,Insurance claim,Replaced"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OFF-PREMISES ASSET SECURITY — SUMMARY DASHBOARD</t>
        </is>
      </c>
      <c r="B1" s="6" t="n"/>
      <c r="C1" s="6" t="n"/>
      <c r="D1" s="6" t="n"/>
      <c r="E1" s="6" t="n"/>
      <c r="F1" s="6" t="n"/>
      <c r="G1" s="6" t="n"/>
    </row>
    <row r="2">
      <c r="A2" s="22" t="inlineStr">
        <is>
          <t>ISO/IEC 27001:2022 — Control A.7.9: Security of Assets Off-Premises</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Inventory</t>
        </is>
      </c>
      <c r="B6" s="26">
        <f>COUNTA('Equipment Inventory'!B5:B54)</f>
        <v/>
      </c>
      <c r="C6" s="26">
        <f>COUNTIF('Equipment Inventory'!L5:L54,"✅*")</f>
        <v/>
      </c>
      <c r="D6" s="26">
        <f>COUNTIF('Equipment Inventory'!L5:L54,"⚠*")</f>
        <v/>
      </c>
      <c r="E6" s="26">
        <f>COUNTIF('Equipment Inventory'!L5:L54,"❌*")</f>
        <v/>
      </c>
      <c r="F6" s="26">
        <f>B6-(C6+D6+E6)</f>
        <v/>
      </c>
      <c r="G6" s="27">
        <f>IF((B6-F6)=0,0,C6/(B6-F6))</f>
        <v/>
      </c>
    </row>
    <row r="7">
      <c r="A7" s="25" t="inlineStr">
        <is>
          <t>Authorisation</t>
        </is>
      </c>
      <c r="B7" s="26">
        <f>COUNTA('Authorisation'!B5:B54)</f>
        <v/>
      </c>
      <c r="C7" s="26">
        <f>COUNTIF('Authorisation'!K5:K54,"✅*")</f>
        <v/>
      </c>
      <c r="D7" s="26">
        <f>COUNTIF('Authorisation'!K5:K54,"⚠*")</f>
        <v/>
      </c>
      <c r="E7" s="26">
        <f>COUNTIF('Authorisation'!K5:K54,"❌*")</f>
        <v/>
      </c>
      <c r="F7" s="26">
        <f>B7-(C7+D7+E7)</f>
        <v/>
      </c>
      <c r="G7" s="27">
        <f>IF((B7-F7)=0,0,C7/(B7-F7))</f>
        <v/>
      </c>
    </row>
    <row r="8">
      <c r="A8" s="25" t="inlineStr">
        <is>
          <t>Protection Measures</t>
        </is>
      </c>
      <c r="B8" s="26">
        <f>COUNTA('Protection Measures'!B5:B54)</f>
        <v/>
      </c>
      <c r="C8" s="26">
        <f>COUNTIF('Protection Measures'!K5:K54,"✅*")</f>
        <v/>
      </c>
      <c r="D8" s="26">
        <f>COUNTIF('Protection Measures'!K5:K54,"⚠*")</f>
        <v/>
      </c>
      <c r="E8" s="26">
        <f>COUNTIF('Protection Measures'!K5:K54,"❌*")</f>
        <v/>
      </c>
      <c r="F8" s="26">
        <f>B8-(C8+D8+E8)</f>
        <v/>
      </c>
      <c r="G8" s="27">
        <f>IF((B8-F8)=0,0,C8/(B8-F8))</f>
        <v/>
      </c>
    </row>
    <row r="9">
      <c r="A9" s="25" t="inlineStr">
        <is>
          <t>Remote Working</t>
        </is>
      </c>
      <c r="B9" s="26">
        <f>COUNTA('Remote Working'!B5:B54)</f>
        <v/>
      </c>
      <c r="C9" s="26">
        <f>COUNTIF('Remote Working'!L5:L54,"✅*")</f>
        <v/>
      </c>
      <c r="D9" s="26">
        <f>COUNTIF('Remote Working'!L5:L54,"⚠*")</f>
        <v/>
      </c>
      <c r="E9" s="26">
        <f>COUNTIF('Remote Working'!L5:L54,"❌*")</f>
        <v/>
      </c>
      <c r="F9" s="26">
        <f>B9-(C9+D9+E9)</f>
        <v/>
      </c>
      <c r="G9" s="27">
        <f>IF((B9-F9)=0,0,C9/(B9-F9))</f>
        <v/>
      </c>
    </row>
    <row r="10">
      <c r="A10" s="25" t="inlineStr">
        <is>
          <t>Permanent Off-Site</t>
        </is>
      </c>
      <c r="B10" s="26">
        <f>COUNTA('Permanent Off-Site'!B5:B54)</f>
        <v/>
      </c>
      <c r="C10" s="26">
        <f>COUNTIF('Permanent Off-Site'!K5:K54,"✅*")</f>
        <v/>
      </c>
      <c r="D10" s="26">
        <f>COUNTIF('Permanent Off-Site'!K5:K54,"⚠*")</f>
        <v/>
      </c>
      <c r="E10" s="26">
        <f>COUNTIF('Permanent Off-Site'!K5:K54,"❌*")</f>
        <v/>
      </c>
      <c r="F10" s="26">
        <f>B10-(C10+D10+E10)</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Off-Premises Devices Tracked</t>
        </is>
      </c>
      <c r="B15" s="26">
        <f>COUNTA('Equipment Inventory'!B5:B54)</f>
        <v/>
      </c>
      <c r="C15" s="6" t="n"/>
      <c r="D15" s="6" t="n"/>
      <c r="E15" s="6" t="n"/>
      <c r="F15" s="6" t="n"/>
      <c r="G15" s="6" t="n"/>
    </row>
    <row r="16">
      <c r="A16" s="25" t="inlineStr">
        <is>
          <t>Devices with Full Encryption (100%)</t>
        </is>
      </c>
      <c r="B16" s="26">
        <f>COUNTIF('Equipment Inventory'!H5:H54,"Yes - 100%")</f>
        <v/>
      </c>
      <c r="C16" s="6" t="n"/>
      <c r="D16" s="6" t="n"/>
      <c r="E16" s="6" t="n"/>
      <c r="F16" s="6" t="n"/>
      <c r="G16" s="6" t="n"/>
    </row>
    <row r="17">
      <c r="A17" s="25" t="inlineStr">
        <is>
          <t>Devices with No Encryption</t>
        </is>
      </c>
      <c r="B17" s="26">
        <f>COUNTIF('Equipment Inventory'!H5:H54,"No")</f>
        <v/>
      </c>
      <c r="C17" s="6" t="n"/>
      <c r="D17" s="6" t="n"/>
      <c r="E17" s="6" t="n"/>
      <c r="F17" s="6" t="n"/>
      <c r="G17" s="6" t="n"/>
    </row>
    <row r="18">
      <c r="A18" s="25" t="inlineStr">
        <is>
          <t>Devices with No MDM Enrollment</t>
        </is>
      </c>
      <c r="B18" s="26">
        <f>COUNTIF('Equipment Inventory'!G5:G54,"No")</f>
        <v/>
      </c>
      <c r="C18" s="6" t="n"/>
      <c r="D18" s="6" t="n"/>
      <c r="E18" s="6" t="n"/>
      <c r="F18" s="6" t="n"/>
      <c r="G18" s="6" t="n"/>
    </row>
    <row r="19">
      <c r="A19" s="25" t="inlineStr">
        <is>
          <t>Devices with Remote Wipe (Tested)</t>
        </is>
      </c>
      <c r="B19" s="26">
        <f>COUNTIF('Equipment Inventory'!I5:I54,"Yes - Tested")</f>
        <v/>
      </c>
      <c r="C19" s="6" t="n"/>
      <c r="D19" s="6" t="n"/>
      <c r="E19" s="6" t="n"/>
      <c r="F19" s="6" t="n"/>
      <c r="G19" s="6" t="n"/>
    </row>
    <row r="20">
      <c r="A20" s="25" t="inlineStr">
        <is>
          <t>Devices with No Remote Wipe Capability</t>
        </is>
      </c>
      <c r="B20" s="26">
        <f>COUNTIF('Equipment Inventory'!I5:I54,"No")</f>
        <v/>
      </c>
      <c r="C20" s="6" t="n"/>
      <c r="D20" s="6" t="n"/>
      <c r="E20" s="6" t="n"/>
      <c r="F20" s="6" t="n"/>
      <c r="G20" s="6" t="n"/>
    </row>
    <row r="21">
      <c r="A21" s="25" t="inlineStr">
        <is>
          <t>Assets Without Formal Authorisation</t>
        </is>
      </c>
      <c r="B21" s="26">
        <f>COUNTIF('Authorisation'!C5:C54,"No approval required")</f>
        <v/>
      </c>
      <c r="C21" s="6" t="n"/>
      <c r="D21" s="6" t="n"/>
      <c r="E21" s="6" t="n"/>
      <c r="F21" s="6" t="n"/>
      <c r="G21" s="6" t="n"/>
    </row>
    <row r="22">
      <c r="A22" s="25" t="inlineStr">
        <is>
          <t>Assets with No Custody Record</t>
        </is>
      </c>
      <c r="B22" s="26">
        <f>COUNTIF('Authorisation'!F5:F54,"No")</f>
        <v/>
      </c>
      <c r="C22" s="6" t="n"/>
      <c r="D22" s="6" t="n"/>
      <c r="E22" s="6" t="n"/>
      <c r="F22" s="6" t="n"/>
      <c r="G22" s="6" t="n"/>
    </row>
    <row r="23">
      <c r="A23" s="25" t="inlineStr">
        <is>
          <t>Assets with No Return Verification</t>
        </is>
      </c>
      <c r="B23" s="26">
        <f>COUNTIF('Authorisation'!G5:G54,"No verification")</f>
        <v/>
      </c>
      <c r="C23" s="6" t="n"/>
      <c r="D23" s="6" t="n"/>
      <c r="E23" s="6" t="n"/>
      <c r="F23" s="6" t="n"/>
      <c r="G23" s="6" t="n"/>
    </row>
    <row r="24">
      <c r="A24" s="25" t="inlineStr">
        <is>
          <t>Assets with No VPN Requirement</t>
        </is>
      </c>
      <c r="B24" s="26">
        <f>COUNTIF('Protection Measures'!I5:I54,"No requirement")</f>
        <v/>
      </c>
      <c r="C24" s="6" t="n"/>
      <c r="D24" s="6" t="n"/>
      <c r="E24" s="6" t="n"/>
      <c r="F24" s="6" t="n"/>
      <c r="G24" s="6" t="n"/>
    </row>
    <row r="25">
      <c r="A25" s="25" t="inlineStr">
        <is>
          <t>Remote Workers with No VPN Requirement</t>
        </is>
      </c>
      <c r="B25" s="26">
        <f>COUNTIF('Remote Working'!D5:D54,"Not required")</f>
        <v/>
      </c>
      <c r="C25" s="6" t="n"/>
      <c r="D25" s="6" t="n"/>
      <c r="E25" s="6" t="n"/>
      <c r="F25" s="6" t="n"/>
      <c r="G25" s="6" t="n"/>
    </row>
    <row r="26">
      <c r="A26" s="25" t="inlineStr">
        <is>
          <t>Permanent Off-Site with No Remote Management</t>
        </is>
      </c>
      <c r="B26" s="26">
        <f>COUNTIF('Permanent Off-Site'!G5:G54,"No")</f>
        <v/>
      </c>
      <c r="C26" s="6" t="n"/>
      <c r="D26" s="6" t="n"/>
      <c r="E26" s="6" t="n"/>
      <c r="F26" s="6" t="n"/>
      <c r="G26" s="6" t="n"/>
    </row>
    <row r="27">
      <c r="A27" s="25" t="inlineStr">
        <is>
          <t>Total Security Incidents (This Period)</t>
        </is>
      </c>
      <c r="B27" s="26">
        <f>COUNTA('Incidents'!B5:B54)</f>
        <v/>
      </c>
      <c r="C27" s="6" t="n"/>
      <c r="D27" s="6" t="n"/>
      <c r="E27" s="6" t="n"/>
      <c r="F27" s="6" t="n"/>
      <c r="G27" s="6" t="n"/>
    </row>
    <row r="28">
      <c r="A28" s="25" t="inlineStr">
        <is>
          <t>Devices Lost or Stolen</t>
        </is>
      </c>
      <c r="B28" s="26">
        <f>COUNTIF('Incidents'!D5:D54,"Lost")+COUNTIF('Incidents'!D5:D54,"Stolen")</f>
        <v/>
      </c>
      <c r="C28" s="6" t="n"/>
      <c r="D28" s="6" t="n"/>
      <c r="E28" s="6" t="n"/>
      <c r="F28" s="6" t="n"/>
      <c r="G28" s="6" t="n"/>
    </row>
    <row r="29">
      <c r="A29" s="25" t="inlineStr">
        <is>
          <t>Incidents with High Data Exposure</t>
        </is>
      </c>
      <c r="B29" s="26">
        <f>COUNTIF('Incidents'!F5:F54,"High (PII, Financial)")</f>
        <v/>
      </c>
      <c r="C29" s="6" t="n"/>
      <c r="D29" s="6" t="n"/>
      <c r="E29" s="6" t="n"/>
      <c r="F29" s="6" t="n"/>
      <c r="G29" s="6" t="n"/>
    </row>
    <row r="30">
      <c r="A30" s="25" t="inlineStr">
        <is>
          <t>Successful Remote Wipes (Incidents)</t>
        </is>
      </c>
      <c r="B30" s="26">
        <f>COUNTIF('Incidents'!G5:G54,"Yes - Successful")</f>
        <v/>
      </c>
      <c r="C30" s="6" t="n"/>
      <c r="D30" s="6" t="n"/>
      <c r="E30" s="6" t="n"/>
      <c r="F30" s="6" t="n"/>
      <c r="G30" s="6" t="n"/>
    </row>
    <row r="31">
      <c r="A31" s="25" t="inlineStr">
        <is>
          <t>Devices Not Recovered</t>
        </is>
      </c>
      <c r="B31" s="26">
        <f>COUNTIF('Incidents'!H5:H54,"Not recovered")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1" t="inlineStr">
        <is>
          <t>TABLE 3: CRITICAL FINDINGS REQUIRING IMMEDIATE ATTENTION</t>
        </is>
      </c>
      <c r="B35" s="6" t="n"/>
      <c r="C35" s="6" t="n"/>
      <c r="D35" s="6" t="n"/>
      <c r="E35" s="6" t="n"/>
      <c r="F35" s="6" t="n"/>
      <c r="G35" s="6" t="n"/>
    </row>
    <row r="36">
      <c r="A36" s="29" t="inlineStr">
        <is>
          <t>Category</t>
        </is>
      </c>
      <c r="B36" s="29" t="inlineStr">
        <is>
          <t>Finding</t>
        </is>
      </c>
      <c r="C36" s="29" t="inlineStr">
        <is>
          <t>Count</t>
        </is>
      </c>
      <c r="D36" s="29" t="inlineStr">
        <is>
          <t>Severity</t>
        </is>
      </c>
      <c r="E36" s="29" t="inlineStr">
        <is>
          <t>Action Required</t>
        </is>
      </c>
      <c r="F36" s="29" t="n"/>
      <c r="G36" s="29" t="n"/>
    </row>
    <row r="37">
      <c r="A37" s="32" t="inlineStr">
        <is>
          <t>Equipment Inventory</t>
        </is>
      </c>
      <c r="B37" s="32" t="inlineStr">
        <is>
          <t>Devices with no encryption</t>
        </is>
      </c>
      <c r="C37" s="33">
        <f>COUNTIF('Equipment Inventory'!H5:H54,"No")</f>
        <v/>
      </c>
      <c r="D37" s="32" t="inlineStr">
        <is>
          <t>Critical</t>
        </is>
      </c>
      <c r="E37" s="32" t="inlineStr">
        <is>
          <t>Immediate</t>
        </is>
      </c>
      <c r="F37" s="32" t="n"/>
      <c r="G37" s="32" t="n"/>
    </row>
    <row r="38">
      <c r="A38" s="32" t="inlineStr">
        <is>
          <t>Equipment Inventory</t>
        </is>
      </c>
      <c r="B38" s="32" t="inlineStr">
        <is>
          <t>Devices with no MDM enrollment</t>
        </is>
      </c>
      <c r="C38" s="33">
        <f>COUNTIF('Equipment Inventory'!G5:G54,"No")</f>
        <v/>
      </c>
      <c r="D38" s="32" t="inlineStr">
        <is>
          <t>Critical</t>
        </is>
      </c>
      <c r="E38" s="32" t="inlineStr">
        <is>
          <t>Immediate</t>
        </is>
      </c>
      <c r="F38" s="32" t="n"/>
      <c r="G38" s="32" t="n"/>
    </row>
    <row r="39">
      <c r="A39" s="32" t="inlineStr">
        <is>
          <t>Equipment Inventory</t>
        </is>
      </c>
      <c r="B39" s="32" t="inlineStr">
        <is>
          <t>Devices with no remote wipe capability</t>
        </is>
      </c>
      <c r="C39" s="33">
        <f>COUNTIF('Equipment Inventory'!I5:I54,"No")</f>
        <v/>
      </c>
      <c r="D39" s="32" t="inlineStr">
        <is>
          <t>Critical</t>
        </is>
      </c>
      <c r="E39" s="32" t="inlineStr">
        <is>
          <t>Immediate</t>
        </is>
      </c>
      <c r="F39" s="32" t="n"/>
      <c r="G39" s="32" t="n"/>
    </row>
    <row r="40">
      <c r="A40" s="32" t="inlineStr">
        <is>
          <t>Authorisation</t>
        </is>
      </c>
      <c r="B40" s="32" t="inlineStr">
        <is>
          <t>Assets with no custody record</t>
        </is>
      </c>
      <c r="C40" s="33">
        <f>COUNTIF('Authorisation'!F5:F54,"No")</f>
        <v/>
      </c>
      <c r="D40" s="32" t="inlineStr">
        <is>
          <t>Critical</t>
        </is>
      </c>
      <c r="E40" s="32" t="inlineStr">
        <is>
          <t>Immediate</t>
        </is>
      </c>
      <c r="F40" s="32" t="n"/>
      <c r="G40" s="32" t="n"/>
    </row>
    <row r="41">
      <c r="A41" s="32" t="inlineStr">
        <is>
          <t>Authorisation</t>
        </is>
      </c>
      <c r="B41" s="32" t="inlineStr">
        <is>
          <t>Assets with no return verification</t>
        </is>
      </c>
      <c r="C41" s="33">
        <f>COUNTIF('Authorisation'!G5:G54,"No verification")</f>
        <v/>
      </c>
      <c r="D41" s="32" t="inlineStr">
        <is>
          <t>High</t>
        </is>
      </c>
      <c r="E41" s="32" t="inlineStr">
        <is>
          <t>Urgent</t>
        </is>
      </c>
      <c r="F41" s="32" t="n"/>
      <c r="G41" s="32" t="n"/>
    </row>
    <row r="42">
      <c r="A42" s="32" t="inlineStr">
        <is>
          <t>Protection Measures</t>
        </is>
      </c>
      <c r="B42" s="32" t="inlineStr">
        <is>
          <t>Assets with no VPN requirement</t>
        </is>
      </c>
      <c r="C42" s="33">
        <f>COUNTIF('Protection Measures'!I5:I54,"No requirement")</f>
        <v/>
      </c>
      <c r="D42" s="32" t="inlineStr">
        <is>
          <t>High</t>
        </is>
      </c>
      <c r="E42" s="32" t="inlineStr">
        <is>
          <t>Urgent</t>
        </is>
      </c>
      <c r="F42" s="32" t="n"/>
      <c r="G42" s="32" t="n"/>
    </row>
    <row r="43">
      <c r="A43" s="32" t="inlineStr">
        <is>
          <t>Remote Working</t>
        </is>
      </c>
      <c r="B43" s="32" t="inlineStr">
        <is>
          <t>Workers with no VPN requirement</t>
        </is>
      </c>
      <c r="C43" s="33">
        <f>COUNTIF('Remote Working'!D5:D54,"Not required")</f>
        <v/>
      </c>
      <c r="D43" s="32" t="inlineStr">
        <is>
          <t>High</t>
        </is>
      </c>
      <c r="E43" s="32" t="inlineStr">
        <is>
          <t>Urgent</t>
        </is>
      </c>
      <c r="F43" s="32" t="n"/>
      <c r="G43" s="32" t="n"/>
    </row>
    <row r="44">
      <c r="A44" s="32" t="inlineStr">
        <is>
          <t>Incidents</t>
        </is>
      </c>
      <c r="B44" s="32" t="inlineStr">
        <is>
          <t>Devices lost or stolen</t>
        </is>
      </c>
      <c r="C44" s="33">
        <f>COUNTIF('Incidents'!D5:D54,"Lost")+COUNTIF('Incidents'!D5:D54,"Stolen")</f>
        <v/>
      </c>
      <c r="D44" s="32" t="inlineStr">
        <is>
          <t>Critical</t>
        </is>
      </c>
      <c r="E44" s="32" t="inlineStr">
        <is>
          <t>Immediate</t>
        </is>
      </c>
      <c r="F44" s="32" t="n"/>
      <c r="G44" s="32" t="n"/>
    </row>
    <row r="45">
      <c r="A45" s="32" t="inlineStr">
        <is>
          <t>Incidents</t>
        </is>
      </c>
      <c r="B45" s="32" t="inlineStr">
        <is>
          <t>Incidents with high data exposure (PII/Financial)</t>
        </is>
      </c>
      <c r="C45" s="33">
        <f>COUNTIF('Incidents'!F5:F54,"High (PII, Financial)")</f>
        <v/>
      </c>
      <c r="D45" s="32" t="inlineStr">
        <is>
          <t>Critical</t>
        </is>
      </c>
      <c r="E45" s="32" t="inlineStr">
        <is>
          <t>Immediate</t>
        </is>
      </c>
      <c r="F45" s="32" t="n"/>
      <c r="G45" s="32" t="n"/>
    </row>
    <row r="46">
      <c r="A46" s="32" t="inlineStr">
        <is>
          <t>Incidents</t>
        </is>
      </c>
      <c r="B46" s="32" t="inlineStr">
        <is>
          <t>Devices not recovered after incident</t>
        </is>
      </c>
      <c r="C46" s="33">
        <f>COUNTIF('Incidents'!H5:H54,"Not recovered")</f>
        <v/>
      </c>
      <c r="D46" s="32" t="inlineStr">
        <is>
          <t>High</t>
        </is>
      </c>
      <c r="E46" s="32" t="inlineStr">
        <is>
          <t>Urgent</t>
        </is>
      </c>
      <c r="F46" s="32" t="n"/>
      <c r="G46" s="32" t="n"/>
    </row>
    <row r="47">
      <c r="A47" s="20" t="n"/>
      <c r="B47" s="20" t="n"/>
      <c r="C47" s="20" t="n"/>
      <c r="D47" s="20" t="n"/>
      <c r="E47" s="20" t="n"/>
      <c r="F47" s="20" t="n"/>
      <c r="G47" s="20" t="n"/>
    </row>
    <row r="48">
      <c r="A48" s="20" t="n"/>
      <c r="B48" s="20" t="n"/>
      <c r="C48" s="20" t="n"/>
      <c r="D48" s="20" t="n"/>
      <c r="E48" s="20" t="n"/>
      <c r="F48" s="20" t="n"/>
      <c r="G48" s="20" t="n"/>
    </row>
  </sheetData>
  <mergeCells count="5">
    <mergeCell ref="A13:G13"/>
    <mergeCell ref="A1:G1"/>
    <mergeCell ref="A35:G35"/>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A.7.9: Security of Assets Off-Premises</t>
        </is>
      </c>
      <c r="B2" s="6" t="n"/>
      <c r="C2" s="6" t="n"/>
      <c r="D2" s="6" t="n"/>
      <c r="E2" s="6" t="n"/>
    </row>
    <row r="3">
      <c r="A3" s="36" t="inlineStr">
        <is>
          <t>ASSESSMENT SUMMARY</t>
        </is>
      </c>
      <c r="B3" s="6" t="n"/>
      <c r="C3" s="6" t="n"/>
      <c r="D3" s="6" t="n"/>
      <c r="E3" s="6" t="n"/>
    </row>
    <row r="4">
      <c r="A4" s="37" t="inlineStr">
        <is>
          <t>Document:</t>
        </is>
      </c>
      <c r="B4" s="6" t="inlineStr">
        <is>
          <t>ISMS-IMP-A.7.9.S2 - Off-Premises Asset Security</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ISMS-IMP-A.7.9.S2 — Off-Premises Asset Security</dc:title>
  <dc:description xmlns:dc="http://purl.org/dc/elements/1.1/">ISMS Implementation Workbook — ISMS-IMP-A.7.9.S2</dc:description>
  <dc:subject xmlns:dc="http://purl.org/dc/elements/1.1/">ISO/IEC 27001:2022 — Control A.7.9: Security of Assets Off-Premises</dc:subject>
  <dcterms:created xmlns:dcterms="http://purl.org/dc/terms/" xmlns:xsi="http://www.w3.org/2001/XMLSchema-instance" xsi:type="dcterms:W3CDTF">2026-03-01T10:00:38Z</dcterms:created>
  <dcterms:modified xmlns:dcterms="http://purl.org/dc/terms/" xmlns:xsi="http://www.w3.org/2001/XMLSchema-instance" xsi:type="dcterms:W3CDTF">2026-03-01T10:00:39Z</dcterms:modified>
</cp:coreProperties>
</file>