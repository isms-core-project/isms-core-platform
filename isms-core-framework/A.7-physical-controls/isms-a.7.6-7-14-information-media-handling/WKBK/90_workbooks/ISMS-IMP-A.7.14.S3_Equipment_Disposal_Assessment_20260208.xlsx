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isposal Requirements" sheetId="2" state="visible" r:id="rId2"/>
    <sheet xmlns:r="http://schemas.openxmlformats.org/officeDocument/2006/relationships" name="Disposal Tools" sheetId="3" state="visible" r:id="rId3"/>
    <sheet xmlns:r="http://schemas.openxmlformats.org/officeDocument/2006/relationships" name="Service Providers" sheetId="4" state="visible" r:id="rId4"/>
    <sheet xmlns:r="http://schemas.openxmlformats.org/officeDocument/2006/relationships" name="Disposal Log"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0000FF"/>
    </font>
    <font>
      <name val="Calibri"/>
      <i val="1"/>
    </font>
    <font>
      <name val="Calibri"/>
      <color rgb="00808080"/>
    </font>
  </fonts>
  <fills count="5">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8" customWidth="1" min="1" max="1"/>
    <col width="40" customWidth="1" min="2" max="2"/>
  </cols>
  <sheetData>
    <row r="1" ht="40" customHeight="1">
      <c r="A1" s="1" t="inlineStr">
        <is>
          <t>ISMS-IMP-A.7.14.S3 - Equipment Disposal Assessment
ISO/IEC 27001:2022 - Control A.7.14: Secure Disposal or Re-Use of Equipment</t>
        </is>
      </c>
    </row>
    <row r="3">
      <c r="A3" s="2" t="inlineStr">
        <is>
          <t>Document Information</t>
        </is>
      </c>
    </row>
    <row r="4">
      <c r="A4" s="3" t="inlineStr">
        <is>
          <t>Document ID</t>
        </is>
      </c>
      <c r="B4" t="inlineStr">
        <is>
          <t>ISMS-IMP-A.7.14.S3</t>
        </is>
      </c>
    </row>
    <row r="5">
      <c r="A5" s="3" t="inlineStr">
        <is>
          <t>Assessment Area</t>
        </is>
      </c>
      <c r="B5" t="inlineStr">
        <is>
          <t>Secure Equipment Disposal and Re-Use</t>
        </is>
      </c>
    </row>
    <row r="6">
      <c r="A6" s="3" t="inlineStr">
        <is>
          <t>Related Policy</t>
        </is>
      </c>
      <c r="B6" t="inlineStr">
        <is>
          <t>ISMS-POL-A.7.6-7-14</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Semi-Annual</t>
        </is>
      </c>
    </row>
    <row r="13">
      <c r="A13" s="2" t="inlineStr">
        <is>
          <t>HOW TO USE THIS WORKBOOK</t>
        </is>
      </c>
    </row>
    <row r="14">
      <c r="A14" t="inlineStr">
        <is>
          <t>1. Document disposal requirements by equipment type in Sheet 2.</t>
        </is>
      </c>
    </row>
    <row r="15">
      <c r="A15" t="inlineStr">
        <is>
          <t>2. List approved sanitisation tools in Sheet 3.</t>
        </is>
      </c>
    </row>
    <row r="16">
      <c r="A16" t="inlineStr">
        <is>
          <t>3. Document disposal service providers in Sheet 4.</t>
        </is>
      </c>
    </row>
    <row r="17">
      <c r="A17" t="inlineStr">
        <is>
          <t>4. Log all equipment disposals in Sheet 5 (Disposal Log).</t>
        </is>
      </c>
    </row>
    <row r="18">
      <c r="A18" t="inlineStr">
        <is>
          <t>5. Review Summary Dashboard (Sheet 6) for compliance metrics.</t>
        </is>
      </c>
    </row>
    <row r="19">
      <c r="A19" t="inlineStr">
        <is>
          <t>6. Document evidence (certificates) in Sheet 7.</t>
        </is>
      </c>
    </row>
    <row r="20">
      <c r="A20" t="inlineStr">
        <is>
          <t>7. Obtain approvals in Sheet 8.</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pane ySplit="3" topLeftCell="A4" activePane="bottomLeft" state="frozen"/>
      <selection pane="bottomLeft" activeCell="A1" sqref="A1"/>
    </sheetView>
  </sheetViews>
  <sheetFormatPr baseColWidth="8" defaultRowHeight="15"/>
  <cols>
    <col width="22" customWidth="1" min="1" max="1"/>
    <col width="18" customWidth="1" min="2" max="2"/>
    <col width="25" customWidth="1" min="3" max="3"/>
    <col width="25" customWidth="1" min="4" max="4"/>
    <col width="20" customWidth="1" min="5" max="5"/>
    <col width="18" customWidth="1" min="6" max="6"/>
    <col width="18" customWidth="1" min="7" max="7"/>
    <col width="20" customWidth="1" min="8" max="8"/>
    <col width="40" customWidth="1" min="9" max="9"/>
  </cols>
  <sheetData>
    <row r="1" ht="40" customHeight="1">
      <c r="A1" s="1" t="inlineStr">
        <is>
          <t>Disposal Requirements Matrix
Disposal methods by equipment type and data classification</t>
        </is>
      </c>
    </row>
    <row r="3">
      <c r="A3" s="5" t="inlineStr">
        <is>
          <t>Equipment Type</t>
        </is>
      </c>
      <c r="B3" s="5" t="inlineStr">
        <is>
          <t>Storage Type</t>
        </is>
      </c>
      <c r="C3" s="5" t="inlineStr">
        <is>
          <t>CONFIDENTIAL Method</t>
        </is>
      </c>
      <c r="D3" s="5" t="inlineStr">
        <is>
          <t>INTERNAL Method</t>
        </is>
      </c>
      <c r="E3" s="5" t="inlineStr">
        <is>
          <t>PUBLIC Method</t>
        </is>
      </c>
      <c r="F3" s="5" t="inlineStr">
        <is>
          <t>Verification Required</t>
        </is>
      </c>
      <c r="G3" s="5" t="inlineStr">
        <is>
          <t>Certificate Required</t>
        </is>
      </c>
      <c r="H3" s="5" t="inlineStr">
        <is>
          <t>Implementation Status</t>
        </is>
      </c>
      <c r="I3" s="5" t="inlineStr">
        <is>
          <t>Notes</t>
        </is>
      </c>
    </row>
    <row r="4">
      <c r="A4" s="6" t="inlineStr">
        <is>
          <t>Hard Drives (HDD)</t>
        </is>
      </c>
      <c r="B4" s="6" t="inlineStr">
        <is>
          <t>HDD</t>
        </is>
      </c>
      <c r="C4" s="6" t="inlineStr">
        <is>
          <t>Physical Destruction</t>
        </is>
      </c>
      <c r="D4" s="6" t="inlineStr">
        <is>
          <t>3-Pass Overwrite or Destruction</t>
        </is>
      </c>
      <c r="E4" s="6" t="inlineStr">
        <is>
          <t>Format</t>
        </is>
      </c>
      <c r="F4" s="4" t="n"/>
      <c r="G4" s="4" t="n"/>
      <c r="H4" s="4" t="n"/>
      <c r="I4" s="4" t="n"/>
    </row>
    <row r="5">
      <c r="A5" s="6" t="inlineStr">
        <is>
          <t>Solid State Drives (SSD)</t>
        </is>
      </c>
      <c r="B5" s="6" t="inlineStr">
        <is>
          <t>SSD</t>
        </is>
      </c>
      <c r="C5" s="6" t="inlineStr">
        <is>
          <t>Physical Destruction</t>
        </is>
      </c>
      <c r="D5" s="6" t="inlineStr">
        <is>
          <t>Crypto Erase or Destruction</t>
        </is>
      </c>
      <c r="E5" s="6" t="inlineStr">
        <is>
          <t>Secure Erase</t>
        </is>
      </c>
      <c r="F5" s="4" t="n"/>
      <c r="G5" s="4" t="n"/>
      <c r="H5" s="4" t="n"/>
      <c r="I5" s="4" t="n"/>
    </row>
    <row r="6">
      <c r="A6" s="6" t="inlineStr">
        <is>
          <t>Mobile Devices</t>
        </is>
      </c>
      <c r="B6" s="6" t="inlineStr">
        <is>
          <t>Flash</t>
        </is>
      </c>
      <c r="C6" s="6" t="inlineStr">
        <is>
          <t>Physical Destruction</t>
        </is>
      </c>
      <c r="D6" s="6" t="inlineStr">
        <is>
          <t>Factory Reset + Verification</t>
        </is>
      </c>
      <c r="E6" s="6" t="inlineStr">
        <is>
          <t>Factory Reset</t>
        </is>
      </c>
      <c r="F6" s="4" t="n"/>
      <c r="G6" s="4" t="n"/>
      <c r="H6" s="4" t="n"/>
      <c r="I6" s="4" t="n"/>
    </row>
    <row r="7">
      <c r="A7" s="6" t="inlineStr">
        <is>
          <t>USB/Removable Media</t>
        </is>
      </c>
      <c r="B7" s="6" t="inlineStr">
        <is>
          <t>Flash</t>
        </is>
      </c>
      <c r="C7" s="6" t="inlineStr">
        <is>
          <t>Physical Destruction</t>
        </is>
      </c>
      <c r="D7" s="6" t="inlineStr">
        <is>
          <t>Secure Overwrite or Destruction</t>
        </is>
      </c>
      <c r="E7" s="6" t="inlineStr">
        <is>
          <t>Format</t>
        </is>
      </c>
      <c r="F7" s="4" t="n"/>
      <c r="G7" s="4" t="n"/>
      <c r="H7" s="4" t="n"/>
      <c r="I7" s="4" t="n"/>
    </row>
    <row r="8">
      <c r="A8" s="6" t="inlineStr">
        <is>
          <t>Printers/Copiers</t>
        </is>
      </c>
      <c r="B8" s="6" t="inlineStr">
        <is>
          <t>HDD</t>
        </is>
      </c>
      <c r="C8" s="6" t="inlineStr">
        <is>
          <t>HDD Removal + Destruction</t>
        </is>
      </c>
      <c r="D8" s="6" t="inlineStr">
        <is>
          <t>HDD Removal + Secure Wipe</t>
        </is>
      </c>
      <c r="E8" s="6" t="inlineStr">
        <is>
          <t>Clear Memory</t>
        </is>
      </c>
      <c r="F8" s="4" t="n"/>
      <c r="G8" s="4" t="n"/>
      <c r="H8" s="4" t="n"/>
      <c r="I8" s="4" t="n"/>
    </row>
    <row r="9">
      <c r="A9" s="6" t="inlineStr">
        <is>
          <t>Network Equipment</t>
        </is>
      </c>
      <c r="B9" s="6" t="inlineStr">
        <is>
          <t>Config</t>
        </is>
      </c>
      <c r="C9" s="6" t="inlineStr">
        <is>
          <t>N/A</t>
        </is>
      </c>
      <c r="D9" s="6" t="inlineStr">
        <is>
          <t>Config Wipe + Verification</t>
        </is>
      </c>
      <c r="E9" s="6" t="inlineStr">
        <is>
          <t>Config Reset</t>
        </is>
      </c>
      <c r="F9" s="4" t="n"/>
      <c r="G9" s="4" t="n"/>
      <c r="H9" s="4" t="n"/>
      <c r="I9" s="4" t="n"/>
    </row>
    <row r="10">
      <c r="A10" s="6" t="inlineStr">
        <is>
          <t>Servers</t>
        </is>
      </c>
      <c r="B10" s="6" t="inlineStr">
        <is>
          <t>HDD/SSD</t>
        </is>
      </c>
      <c r="C10" s="6" t="inlineStr">
        <is>
          <t>Physical Destruction</t>
        </is>
      </c>
      <c r="D10" s="6" t="inlineStr">
        <is>
          <t>Secure Wipe or Destruction</t>
        </is>
      </c>
      <c r="E10" s="6" t="inlineStr">
        <is>
          <t>Format + Reinstall</t>
        </is>
      </c>
      <c r="F10" s="4" t="n"/>
      <c r="G10" s="4" t="n"/>
      <c r="H10" s="4" t="n"/>
      <c r="I10" s="4" t="n"/>
    </row>
    <row r="11">
      <c r="A11" s="6" t="inlineStr">
        <is>
          <t>Laptops</t>
        </is>
      </c>
      <c r="B11" s="6" t="inlineStr">
        <is>
          <t>HDD/SSD</t>
        </is>
      </c>
      <c r="C11" s="6" t="inlineStr">
        <is>
          <t>Physical Destruction</t>
        </is>
      </c>
      <c r="D11" s="6" t="inlineStr">
        <is>
          <t>Secure Wipe or Destruction</t>
        </is>
      </c>
      <c r="E11" s="6" t="inlineStr">
        <is>
          <t>Factory Reset</t>
        </is>
      </c>
      <c r="F11" s="4" t="n"/>
      <c r="G11" s="4" t="n"/>
      <c r="H11" s="4" t="n"/>
      <c r="I11" s="4" t="n"/>
    </row>
    <row r="12">
      <c r="A12" s="6" t="inlineStr">
        <is>
          <t>Desktops</t>
        </is>
      </c>
      <c r="B12" s="6" t="inlineStr">
        <is>
          <t>HDD/SSD</t>
        </is>
      </c>
      <c r="C12" s="6" t="inlineStr">
        <is>
          <t>Physical Destruction</t>
        </is>
      </c>
      <c r="D12" s="6" t="inlineStr">
        <is>
          <t>Secure Wipe or Destruction</t>
        </is>
      </c>
      <c r="E12" s="6" t="inlineStr">
        <is>
          <t>Factory Reset</t>
        </is>
      </c>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1">
      <c r="A51" s="4" t="n"/>
      <c r="B51" s="4" t="n"/>
      <c r="C51" s="4" t="n"/>
      <c r="D51" s="4" t="n"/>
      <c r="E51" s="4" t="n"/>
      <c r="F51" s="4" t="n"/>
      <c r="G51" s="4" t="n"/>
      <c r="H51" s="4" t="n"/>
      <c r="I51" s="4" t="n"/>
    </row>
    <row r="52">
      <c r="A52" s="4" t="n"/>
      <c r="B52" s="4" t="n"/>
      <c r="C52" s="4" t="n"/>
      <c r="D52" s="4" t="n"/>
      <c r="E52" s="4" t="n"/>
      <c r="F52" s="4" t="n"/>
      <c r="G52" s="4" t="n"/>
      <c r="H52" s="4" t="n"/>
      <c r="I52" s="4" t="n"/>
    </row>
    <row r="53">
      <c r="A53" s="4" t="n"/>
      <c r="B53" s="4" t="n"/>
      <c r="C53" s="4" t="n"/>
      <c r="D53" s="4" t="n"/>
      <c r="E53" s="4" t="n"/>
      <c r="F53" s="4" t="n"/>
      <c r="G53" s="4" t="n"/>
      <c r="H53" s="4" t="n"/>
      <c r="I53" s="4" t="n"/>
    </row>
  </sheetData>
  <mergeCells count="1">
    <mergeCell ref="A1:I1"/>
  </mergeCells>
  <dataValidations count="4">
    <dataValidation sqref="B13 B14 B15 B16 B17 B18 B19 B20 B21 B22 B23 B24 B25 B26 B27 B28 B29 B30 B31 B32 B33 B34 B35 B36 B37 B38 B39 B40 B41 B42 B43 B44 B45 B46 B47 B48 B49 B50 B51 B52 B53" showDropDown="0" showInputMessage="0" showErrorMessage="0" allowBlank="1" type="list">
      <formula1>"HDD,SSD,Flash,Memory,Config,Mixed"</formula1>
    </dataValidation>
    <dataValidation sqref="C13 C14 C15 C16 C17 C18 C19 C20 C21 C22 C23 C24 C25 C26 C27 C28 C29 C30 C31 C32 C33 C34 C35 C36 C37 C38 C39 C40 C41 C42 C43 C44 C45 C46 C47 C48 C49 C50 C51 C52 C53 D13 D14 D15 D16 D17 D18 D19 D20 D21 D22 D23 D24 D25 D26 D27 D28 D29 D30 D31 D32 D33 D34 D35 D36 D37 D38 D39 D40 D41 D42 D43 D44 D45 D46 D47 D48 D49 D50 D51 D52 D53 E13 E14 E15 E16 E17 E18 E19 E20 E21 E22 E23 E24 E25 E26 E27 E28 E29 E30 E31 E32 E33 E34 E35 E36 E37 E38 E39 E40 E41 E42 E43 E44 E45 E46 E47 E48 E49 E50 E51 E52 E53" showDropDown="0" showInputMessage="0" showErrorMessage="0" allowBlank="1" type="list">
      <formula1>"Physical Destruction,Crypto Erase,Secure Overwrite,3-Pass Overwrite,Factory Reset,Format,Config Wipe,N/A"</formula1>
    </dataValidation>
    <dataValidation sqref="F4 F5 F6 F7 F8 F9 F10 F11 F12 F13 F14 F15 F16 F17 F18 F19 F20 F21 F22 F23 F24 F25 F26 F27 F28 F29 F30 F31 F32 F33 F34 F35 F36 F37 F38 F39 F40 F41 F42 F43 F44 F45 F46 F47 F48 F49 F50 F51 F52 F53 G4 G5 G6 G7 G8 G9 G10 G11 G12 G13 G14 G15 G16 G17 G18 G19 G20 G21 G22 G23 G24 G25 G26 G27 G28 G29 G30 G31 G32 G33 G34 G35 G36 G37 G38 G39 G40 G41 G42 G43 G44 G45 G46 G47 G48 G49 G50 G51 G52 G53"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3"/>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25" customWidth="1" min="3" max="3"/>
    <col width="25" customWidth="1" min="4" max="4"/>
    <col width="30" customWidth="1" min="5" max="5"/>
    <col width="15" customWidth="1" min="6" max="6"/>
    <col width="15" customWidth="1" min="7" max="7"/>
    <col width="12" customWidth="1" min="8" max="8"/>
    <col width="40" customWidth="1" min="9" max="9"/>
  </cols>
  <sheetData>
    <row r="1" ht="40" customHeight="1">
      <c r="A1" s="1" t="inlineStr">
        <is>
          <t>Approved Disposal Tools and Methods
Data sanitisation tools and physical destruction methods</t>
        </is>
      </c>
    </row>
    <row r="3">
      <c r="A3" s="5" t="inlineStr">
        <is>
          <t>Tool/Method Name</t>
        </is>
      </c>
      <c r="B3" s="5" t="inlineStr">
        <is>
          <t>Tool Type</t>
        </is>
      </c>
      <c r="C3" s="5" t="inlineStr">
        <is>
          <t>Applicable Equipment</t>
        </is>
      </c>
      <c r="D3" s="5" t="inlineStr">
        <is>
          <t>Standard/Method</t>
        </is>
      </c>
      <c r="E3" s="5" t="inlineStr">
        <is>
          <t>Verification Method</t>
        </is>
      </c>
      <c r="F3" s="5" t="inlineStr">
        <is>
          <t>Approved Version</t>
        </is>
      </c>
      <c r="G3" s="5" t="inlineStr">
        <is>
          <t>Last Tested</t>
        </is>
      </c>
      <c r="H3" s="5" t="inlineStr">
        <is>
          <t>Compliant</t>
        </is>
      </c>
      <c r="I3" s="5" t="inlineStr">
        <is>
          <t>Notes</t>
        </is>
      </c>
    </row>
    <row r="4">
      <c r="A4" s="6" t="inlineStr">
        <is>
          <t>DBAN (Darik's Boot and Nuke)</t>
        </is>
      </c>
      <c r="B4" s="6" t="inlineStr">
        <is>
          <t>Software - Overwrite</t>
        </is>
      </c>
      <c r="C4" s="6" t="inlineStr">
        <is>
          <t>HDD</t>
        </is>
      </c>
      <c r="D4" s="6" t="inlineStr">
        <is>
          <t>DoD 5220.22-M (3-pass)</t>
        </is>
      </c>
      <c r="E4" s="6" t="inlineStr">
        <is>
          <t>Software verification report</t>
        </is>
      </c>
      <c r="F4" s="4" t="n"/>
      <c r="G4" s="4" t="n"/>
      <c r="H4" s="4" t="n"/>
      <c r="I4" s="4" t="n"/>
    </row>
    <row r="5">
      <c r="A5" s="6" t="inlineStr">
        <is>
          <t>Blancco Drive Eraser</t>
        </is>
      </c>
      <c r="B5" s="6" t="inlineStr">
        <is>
          <t>Software - Overwrite</t>
        </is>
      </c>
      <c r="C5" s="6" t="inlineStr">
        <is>
          <t>HDD, SSD</t>
        </is>
      </c>
      <c r="D5" s="6" t="inlineStr">
        <is>
          <t>NIST 800-88 Rev. 2 Purge</t>
        </is>
      </c>
      <c r="E5" s="6" t="inlineStr">
        <is>
          <t>Certificate generation</t>
        </is>
      </c>
      <c r="F5" s="4" t="n"/>
      <c r="G5" s="4" t="n"/>
      <c r="H5" s="4" t="n"/>
      <c r="I5" s="4" t="n"/>
    </row>
    <row r="6">
      <c r="A6" s="6" t="inlineStr">
        <is>
          <t>BitRaser</t>
        </is>
      </c>
      <c r="B6" s="6" t="inlineStr">
        <is>
          <t>Software - Crypto Erase</t>
        </is>
      </c>
      <c r="C6" s="6" t="inlineStr">
        <is>
          <t>SSD, Flash</t>
        </is>
      </c>
      <c r="D6" s="6" t="inlineStr">
        <is>
          <t>NIST 800-88 Rev. 2 Purge</t>
        </is>
      </c>
      <c r="E6" s="6" t="inlineStr">
        <is>
          <t>Certificate generation</t>
        </is>
      </c>
      <c r="F6" s="4" t="n"/>
      <c r="G6" s="4" t="n"/>
      <c r="H6" s="4" t="n"/>
      <c r="I6" s="4" t="n"/>
    </row>
    <row r="7">
      <c r="A7" s="6" t="inlineStr">
        <is>
          <t>Physical Shredder</t>
        </is>
      </c>
      <c r="B7" s="6" t="inlineStr">
        <is>
          <t>Hardware - Shredder</t>
        </is>
      </c>
      <c r="C7" s="6" t="inlineStr">
        <is>
          <t>All Storage Media</t>
        </is>
      </c>
      <c r="D7" s="6" t="inlineStr">
        <is>
          <t>Physical Destruction</t>
        </is>
      </c>
      <c r="E7" s="6" t="inlineStr">
        <is>
          <t>Visual inspection + certificate</t>
        </is>
      </c>
      <c r="F7" s="4" t="n"/>
      <c r="G7" s="4" t="n"/>
      <c r="H7" s="4" t="n"/>
      <c r="I7" s="4" t="n"/>
    </row>
    <row r="8">
      <c r="A8" s="6" t="inlineStr">
        <is>
          <t>Degausser</t>
        </is>
      </c>
      <c r="B8" s="6" t="inlineStr">
        <is>
          <t>Hardware - Degausser</t>
        </is>
      </c>
      <c r="C8" s="6" t="inlineStr">
        <is>
          <t>Magnetic Media (HDD, Tape)</t>
        </is>
      </c>
      <c r="D8" s="6" t="inlineStr">
        <is>
          <t>Magnetic Erasure</t>
        </is>
      </c>
      <c r="E8" s="6" t="inlineStr">
        <is>
          <t>Visual inspection</t>
        </is>
      </c>
      <c r="F8" s="4" t="n"/>
      <c r="G8" s="4" t="n"/>
      <c r="H8" s="4" t="n"/>
      <c r="I8" s="4" t="n"/>
    </row>
    <row r="9">
      <c r="A9" s="4" t="n"/>
      <c r="B9" s="4" t="n"/>
      <c r="C9" s="4" t="n"/>
      <c r="D9" s="4" t="n"/>
      <c r="E9" s="4" t="n"/>
      <c r="F9" s="4" t="n"/>
      <c r="G9" s="4" t="n"/>
      <c r="H9" s="4" t="n"/>
      <c r="I9" s="4" t="n"/>
    </row>
    <row r="10">
      <c r="A10" s="4" t="n"/>
      <c r="B10" s="4" t="n"/>
      <c r="C10" s="4" t="n"/>
      <c r="D10" s="4" t="n"/>
      <c r="E10" s="4" t="n"/>
      <c r="F10" s="4" t="n"/>
      <c r="G10" s="4" t="n"/>
      <c r="H10" s="4" t="n"/>
      <c r="I10" s="4" t="n"/>
    </row>
    <row r="11">
      <c r="A11" s="4" t="n"/>
      <c r="B11" s="4" t="n"/>
      <c r="C11" s="4" t="n"/>
      <c r="D11" s="4" t="n"/>
      <c r="E11" s="4" t="n"/>
      <c r="F11" s="4" t="n"/>
      <c r="G11" s="4" t="n"/>
      <c r="H11" s="4" t="n"/>
      <c r="I11" s="4" t="n"/>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c r="A21" s="4" t="n"/>
      <c r="B21" s="4" t="n"/>
      <c r="C21" s="4" t="n"/>
      <c r="D21" s="4" t="n"/>
      <c r="E21" s="4" t="n"/>
      <c r="F21" s="4" t="n"/>
      <c r="G21" s="4" t="n"/>
      <c r="H21" s="4" t="n"/>
      <c r="I21" s="4" t="n"/>
    </row>
    <row r="22">
      <c r="A22" s="4" t="n"/>
      <c r="B22" s="4" t="n"/>
      <c r="C22" s="4" t="n"/>
      <c r="D22" s="4" t="n"/>
      <c r="E22" s="4" t="n"/>
      <c r="F22" s="4" t="n"/>
      <c r="G22" s="4" t="n"/>
      <c r="H22" s="4" t="n"/>
      <c r="I22" s="4" t="n"/>
    </row>
    <row r="23">
      <c r="A23" s="4" t="n"/>
      <c r="B23" s="4" t="n"/>
      <c r="C23" s="4" t="n"/>
      <c r="D23" s="4" t="n"/>
      <c r="E23" s="4" t="n"/>
      <c r="F23" s="4" t="n"/>
      <c r="G23" s="4" t="n"/>
      <c r="H23" s="4" t="n"/>
      <c r="I23" s="4" t="n"/>
    </row>
    <row r="24">
      <c r="A24" s="4" t="n"/>
      <c r="B24" s="4" t="n"/>
      <c r="C24" s="4" t="n"/>
      <c r="D24" s="4" t="n"/>
      <c r="E24" s="4" t="n"/>
      <c r="F24" s="4" t="n"/>
      <c r="G24" s="4" t="n"/>
      <c r="H24" s="4" t="n"/>
      <c r="I24" s="4" t="n"/>
    </row>
    <row r="25">
      <c r="A25" s="4" t="n"/>
      <c r="B25" s="4" t="n"/>
      <c r="C25" s="4" t="n"/>
      <c r="D25" s="4" t="n"/>
      <c r="E25" s="4" t="n"/>
      <c r="F25" s="4" t="n"/>
      <c r="G25" s="4" t="n"/>
      <c r="H25" s="4" t="n"/>
      <c r="I25" s="4" t="n"/>
    </row>
    <row r="26">
      <c r="A26" s="4" t="n"/>
      <c r="B26" s="4" t="n"/>
      <c r="C26" s="4" t="n"/>
      <c r="D26" s="4" t="n"/>
      <c r="E26" s="4" t="n"/>
      <c r="F26" s="4" t="n"/>
      <c r="G26" s="4" t="n"/>
      <c r="H26" s="4" t="n"/>
      <c r="I26" s="4" t="n"/>
    </row>
    <row r="27">
      <c r="A27" s="4" t="n"/>
      <c r="B27" s="4" t="n"/>
      <c r="C27" s="4" t="n"/>
      <c r="D27" s="4" t="n"/>
      <c r="E27" s="4" t="n"/>
      <c r="F27" s="4" t="n"/>
      <c r="G27" s="4" t="n"/>
      <c r="H27" s="4" t="n"/>
      <c r="I27" s="4" t="n"/>
    </row>
    <row r="28">
      <c r="A28" s="4" t="n"/>
      <c r="B28" s="4" t="n"/>
      <c r="C28" s="4" t="n"/>
      <c r="D28" s="4" t="n"/>
      <c r="E28" s="4" t="n"/>
      <c r="F28" s="4" t="n"/>
      <c r="G28" s="4" t="n"/>
      <c r="H28" s="4" t="n"/>
      <c r="I28" s="4" t="n"/>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row r="38">
      <c r="A38" s="4" t="n"/>
      <c r="B38" s="4" t="n"/>
      <c r="C38" s="4" t="n"/>
      <c r="D38" s="4" t="n"/>
      <c r="E38" s="4" t="n"/>
      <c r="F38" s="4" t="n"/>
      <c r="G38" s="4" t="n"/>
      <c r="H38" s="4" t="n"/>
      <c r="I38" s="4" t="n"/>
    </row>
    <row r="39">
      <c r="A39" s="4" t="n"/>
      <c r="B39" s="4" t="n"/>
      <c r="C39" s="4" t="n"/>
      <c r="D39" s="4" t="n"/>
      <c r="E39" s="4" t="n"/>
      <c r="F39" s="4" t="n"/>
      <c r="G39" s="4" t="n"/>
      <c r="H39" s="4" t="n"/>
      <c r="I39" s="4" t="n"/>
    </row>
    <row r="40">
      <c r="A40" s="4" t="n"/>
      <c r="B40" s="4" t="n"/>
      <c r="C40" s="4" t="n"/>
      <c r="D40" s="4" t="n"/>
      <c r="E40" s="4" t="n"/>
      <c r="F40" s="4" t="n"/>
      <c r="G40" s="4" t="n"/>
      <c r="H40" s="4" t="n"/>
      <c r="I40" s="4" t="n"/>
    </row>
    <row r="41">
      <c r="A41" s="4" t="n"/>
      <c r="B41" s="4" t="n"/>
      <c r="C41" s="4" t="n"/>
      <c r="D41" s="4" t="n"/>
      <c r="E41" s="4" t="n"/>
      <c r="F41" s="4" t="n"/>
      <c r="G41" s="4" t="n"/>
      <c r="H41" s="4" t="n"/>
      <c r="I41" s="4" t="n"/>
    </row>
    <row r="42">
      <c r="A42" s="4" t="n"/>
      <c r="B42" s="4" t="n"/>
      <c r="C42" s="4" t="n"/>
      <c r="D42" s="4" t="n"/>
      <c r="E42" s="4" t="n"/>
      <c r="F42" s="4" t="n"/>
      <c r="G42" s="4" t="n"/>
      <c r="H42" s="4" t="n"/>
      <c r="I42" s="4" t="n"/>
    </row>
    <row r="43">
      <c r="A43" s="4" t="n"/>
      <c r="B43" s="4" t="n"/>
      <c r="C43" s="4" t="n"/>
      <c r="D43" s="4" t="n"/>
      <c r="E43" s="4" t="n"/>
      <c r="F43" s="4" t="n"/>
      <c r="G43" s="4" t="n"/>
      <c r="H43" s="4" t="n"/>
      <c r="I43" s="4" t="n"/>
    </row>
    <row r="44">
      <c r="A44" s="4" t="n"/>
      <c r="B44" s="4" t="n"/>
      <c r="C44" s="4" t="n"/>
      <c r="D44" s="4" t="n"/>
      <c r="E44" s="4" t="n"/>
      <c r="F44" s="4" t="n"/>
      <c r="G44" s="4" t="n"/>
      <c r="H44" s="4" t="n"/>
      <c r="I44" s="4" t="n"/>
    </row>
    <row r="45">
      <c r="A45" s="4" t="n"/>
      <c r="B45" s="4" t="n"/>
      <c r="C45" s="4" t="n"/>
      <c r="D45" s="4" t="n"/>
      <c r="E45" s="4" t="n"/>
      <c r="F45" s="4" t="n"/>
      <c r="G45" s="4" t="n"/>
      <c r="H45" s="4" t="n"/>
      <c r="I45" s="4" t="n"/>
    </row>
    <row r="46">
      <c r="A46" s="4" t="n"/>
      <c r="B46" s="4" t="n"/>
      <c r="C46" s="4" t="n"/>
      <c r="D46" s="4" t="n"/>
      <c r="E46" s="4" t="n"/>
      <c r="F46" s="4" t="n"/>
      <c r="G46" s="4" t="n"/>
      <c r="H46" s="4" t="n"/>
      <c r="I46" s="4" t="n"/>
    </row>
    <row r="47">
      <c r="A47" s="4" t="n"/>
      <c r="B47" s="4" t="n"/>
      <c r="C47" s="4" t="n"/>
      <c r="D47" s="4" t="n"/>
      <c r="E47" s="4" t="n"/>
      <c r="F47" s="4" t="n"/>
      <c r="G47" s="4" t="n"/>
      <c r="H47" s="4" t="n"/>
      <c r="I47" s="4" t="n"/>
    </row>
    <row r="48">
      <c r="A48" s="4" t="n"/>
      <c r="B48" s="4" t="n"/>
      <c r="C48" s="4" t="n"/>
      <c r="D48" s="4" t="n"/>
      <c r="E48" s="4" t="n"/>
      <c r="F48" s="4" t="n"/>
      <c r="G48" s="4" t="n"/>
      <c r="H48" s="4" t="n"/>
      <c r="I48" s="4" t="n"/>
    </row>
    <row r="49">
      <c r="A49" s="4" t="n"/>
      <c r="B49" s="4" t="n"/>
      <c r="C49" s="4" t="n"/>
      <c r="D49" s="4" t="n"/>
      <c r="E49" s="4" t="n"/>
      <c r="F49" s="4" t="n"/>
      <c r="G49" s="4" t="n"/>
      <c r="H49" s="4" t="n"/>
      <c r="I49" s="4" t="n"/>
    </row>
    <row r="50">
      <c r="A50" s="4" t="n"/>
      <c r="B50" s="4" t="n"/>
      <c r="C50" s="4" t="n"/>
      <c r="D50" s="4" t="n"/>
      <c r="E50" s="4" t="n"/>
      <c r="F50" s="4" t="n"/>
      <c r="G50" s="4" t="n"/>
      <c r="H50" s="4" t="n"/>
      <c r="I50" s="4" t="n"/>
    </row>
    <row r="51">
      <c r="A51" s="4" t="n"/>
      <c r="B51" s="4" t="n"/>
      <c r="C51" s="4" t="n"/>
      <c r="D51" s="4" t="n"/>
      <c r="E51" s="4" t="n"/>
      <c r="F51" s="4" t="n"/>
      <c r="G51" s="4" t="n"/>
      <c r="H51" s="4" t="n"/>
      <c r="I51" s="4" t="n"/>
    </row>
    <row r="52">
      <c r="A52" s="4" t="n"/>
      <c r="B52" s="4" t="n"/>
      <c r="C52" s="4" t="n"/>
      <c r="D52" s="4" t="n"/>
      <c r="E52" s="4" t="n"/>
      <c r="F52" s="4" t="n"/>
      <c r="G52" s="4" t="n"/>
      <c r="H52" s="4" t="n"/>
      <c r="I52" s="4" t="n"/>
    </row>
    <row r="53">
      <c r="A53" s="4" t="n"/>
      <c r="B53" s="4" t="n"/>
      <c r="C53" s="4" t="n"/>
      <c r="D53" s="4" t="n"/>
      <c r="E53" s="4" t="n"/>
      <c r="F53" s="4" t="n"/>
      <c r="G53" s="4" t="n"/>
      <c r="H53" s="4" t="n"/>
      <c r="I53" s="4" t="n"/>
    </row>
  </sheetData>
  <mergeCells count="1">
    <mergeCell ref="A1:I1"/>
  </mergeCells>
  <dataValidations count="2">
    <dataValidation sqref="B9 B10 B11 B12 B13 B14 B15 B16 B17 B18 B19 B20 B21 B22 B23 B24 B25 B26 B27 B28 B29 B30 B31 B32 B33 B34 B35 B36 B37 B38 B39 B40 B41 B42 B43 B44 B45 B46 B47 B48 B49 B50 B51 B52 B53" showDropDown="0" showInputMessage="0" showErrorMessage="0" allowBlank="1" type="list">
      <formula1>"Software - Overwrite,Software - Crypto Erase,Hardware - Degausser,Hardware - Shredder,Manual Process"</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3"/>
  <sheetViews>
    <sheetView workbookViewId="0">
      <pane ySplit="3" topLeftCell="A4" activePane="bottomLeft" state="frozen"/>
      <selection pane="bottomLeft" activeCell="A1" sqref="A1"/>
    </sheetView>
  </sheetViews>
  <sheetFormatPr baseColWidth="8" defaultRowHeight="15"/>
  <cols>
    <col width="30" customWidth="1" min="1" max="1"/>
    <col width="22" customWidth="1" min="2" max="2"/>
    <col width="15" customWidth="1" min="3" max="3"/>
    <col width="15" customWidth="1" min="4" max="4"/>
    <col width="20" customWidth="1" min="5" max="5"/>
    <col width="15" customWidth="1" min="6" max="6"/>
    <col width="18" customWidth="1" min="7" max="7"/>
    <col width="15" customWidth="1" min="8" max="8"/>
    <col width="15" customWidth="1" min="9" max="9"/>
    <col width="40" customWidth="1" min="10" max="10"/>
  </cols>
  <sheetData>
    <row r="1" ht="40" customHeight="1">
      <c r="A1" s="1" t="inlineStr">
        <is>
          <t>Disposal Service Providers
Vendor management for equipment destruction services</t>
        </is>
      </c>
    </row>
    <row r="3">
      <c r="A3" s="5" t="inlineStr">
        <is>
          <t>Provider Name</t>
        </is>
      </c>
      <c r="B3" s="5" t="inlineStr">
        <is>
          <t>Service Type</t>
        </is>
      </c>
      <c r="C3" s="5" t="inlineStr">
        <is>
          <t>Contract Status</t>
        </is>
      </c>
      <c r="D3" s="5" t="inlineStr">
        <is>
          <t>Contract Expiry</t>
        </is>
      </c>
      <c r="E3" s="5" t="inlineStr">
        <is>
          <t>Certificate Provided</t>
        </is>
      </c>
      <c r="F3" s="5" t="inlineStr">
        <is>
          <t>On-Site Option</t>
        </is>
      </c>
      <c r="G3" s="5" t="inlineStr">
        <is>
          <t>Chain of Custody</t>
        </is>
      </c>
      <c r="H3" s="5" t="inlineStr">
        <is>
          <t>Last Audit/Review</t>
        </is>
      </c>
      <c r="I3" s="5" t="inlineStr">
        <is>
          <t>Status</t>
        </is>
      </c>
      <c r="J3" s="5" t="inlineStr">
        <is>
          <t>Notes</t>
        </is>
      </c>
    </row>
    <row r="4">
      <c r="A4" s="4" t="n"/>
      <c r="B4" s="4" t="n"/>
      <c r="C4" s="4" t="n"/>
      <c r="D4" s="4" t="n"/>
      <c r="E4" s="4" t="n"/>
      <c r="F4" s="4" t="n"/>
      <c r="G4" s="4" t="n"/>
      <c r="H4" s="4" t="n"/>
      <c r="I4" s="4" t="n"/>
      <c r="J4" s="4" t="n"/>
    </row>
    <row r="5">
      <c r="A5" s="4" t="n"/>
      <c r="B5" s="4" t="n"/>
      <c r="C5" s="4" t="n"/>
      <c r="D5" s="4" t="n"/>
      <c r="E5" s="4" t="n"/>
      <c r="F5" s="4" t="n"/>
      <c r="G5" s="4" t="n"/>
      <c r="H5" s="4" t="n"/>
      <c r="I5" s="4" t="n"/>
      <c r="J5" s="4" t="n"/>
    </row>
    <row r="6">
      <c r="A6" s="4" t="n"/>
      <c r="B6" s="4" t="n"/>
      <c r="C6" s="4" t="n"/>
      <c r="D6" s="4" t="n"/>
      <c r="E6" s="4" t="n"/>
      <c r="F6" s="4" t="n"/>
      <c r="G6" s="4" t="n"/>
      <c r="H6" s="4" t="n"/>
      <c r="I6" s="4" t="n"/>
      <c r="J6" s="4" t="n"/>
    </row>
    <row r="7">
      <c r="A7" s="4" t="n"/>
      <c r="B7" s="4" t="n"/>
      <c r="C7" s="4" t="n"/>
      <c r="D7" s="4" t="n"/>
      <c r="E7" s="4" t="n"/>
      <c r="F7" s="4" t="n"/>
      <c r="G7" s="4" t="n"/>
      <c r="H7" s="4" t="n"/>
      <c r="I7" s="4" t="n"/>
      <c r="J7" s="4" t="n"/>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sheetData>
  <mergeCells count="1">
    <mergeCell ref="A1:J1"/>
  </mergeCells>
  <dataValidations count="6">
    <dataValidation sqref="B4 B5 B6 B7 B8 B9 B10 B11 B12 B13 B14 B15 B16 B17 B18 B19 B20 B21 B22 B23 B24 B25 B26 B27 B28 B29 B30 B31 B32 B33 B34 B35 B36 B37 B38 B39 B40 B41 B42 B43 B44 B45 B46 B47 B48 B49 B50 B51 B52 B53" showDropDown="0" showInputMessage="0" showErrorMessage="0" allowBlank="1" type="list">
      <formula1>"On-site Destruction,Off-site Destruction,Recycling with Destruction,Certificate Only"</formula1>
    </dataValidation>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"Active,Expired,Under Review,Pending"</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1" type="list">
      <formula1>"Yes - Per Item,Yes - Per Batch,No"</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"Yes,No"</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1" type="list">
      <formula1>"Documented,Partial,Not Documented"</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1" type="list">
      <formula1>"✅ Compliant,⚠ Partial,❌ Non-Compliant"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3"/>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15" customWidth="1" min="3" max="3"/>
    <col width="15" customWidth="1" min="4" max="4"/>
    <col width="25" customWidth="1" min="5" max="5"/>
    <col width="20" customWidth="1" min="6" max="6"/>
    <col width="18" customWidth="1" min="7" max="7"/>
    <col width="22" customWidth="1" min="8" max="8"/>
    <col width="18" customWidth="1" min="9" max="9"/>
    <col width="18" customWidth="1" min="10" max="10"/>
    <col width="20" customWidth="1" min="11" max="11"/>
    <col width="18" customWidth="1" min="12" max="12"/>
    <col width="15" customWidth="1" min="13" max="13"/>
    <col width="12" customWidth="1" min="14" max="14"/>
    <col width="35" customWidth="1" min="15" max="15"/>
  </cols>
  <sheetData>
    <row r="1" ht="40" customHeight="1">
      <c r="A1" s="1" t="inlineStr">
        <is>
          <t>Equipment Disposal Log
Track all equipment disposals with certificates and verification</t>
        </is>
      </c>
    </row>
    <row r="3">
      <c r="A3" s="5" t="inlineStr">
        <is>
          <t>Disposal ID</t>
        </is>
      </c>
      <c r="B3" s="5" t="inlineStr">
        <is>
          <t>Date</t>
        </is>
      </c>
      <c r="C3" s="5" t="inlineStr">
        <is>
          <t>Asset Tag</t>
        </is>
      </c>
      <c r="D3" s="5" t="inlineStr">
        <is>
          <t>Equipment Type</t>
        </is>
      </c>
      <c r="E3" s="5" t="inlineStr">
        <is>
          <t>Make/Model</t>
        </is>
      </c>
      <c r="F3" s="5" t="inlineStr">
        <is>
          <t>Serial Number</t>
        </is>
      </c>
      <c r="G3" s="5" t="inlineStr">
        <is>
          <t>Data Classification</t>
        </is>
      </c>
      <c r="H3" s="5" t="inlineStr">
        <is>
          <t>Disposal Method</t>
        </is>
      </c>
      <c r="I3" s="5" t="inlineStr">
        <is>
          <t>Destination</t>
        </is>
      </c>
      <c r="J3" s="5" t="inlineStr">
        <is>
          <t>Certificate Obtained</t>
        </is>
      </c>
      <c r="K3" s="5" t="inlineStr">
        <is>
          <t>Certificate Ref</t>
        </is>
      </c>
      <c r="L3" s="5" t="inlineStr">
        <is>
          <t>Verified By</t>
        </is>
      </c>
      <c r="M3" s="5" t="inlineStr">
        <is>
          <t>Asset Updated</t>
        </is>
      </c>
      <c r="N3" s="5" t="inlineStr">
        <is>
          <t>Compliant</t>
        </is>
      </c>
      <c r="O3" s="5" t="inlineStr">
        <is>
          <t>Notes</t>
        </is>
      </c>
    </row>
    <row r="4">
      <c r="A4" s="4" t="n"/>
      <c r="B4" s="4" t="n"/>
      <c r="C4" s="4" t="n"/>
      <c r="D4" s="4" t="n"/>
      <c r="E4" s="4" t="n"/>
      <c r="F4" s="4" t="n"/>
      <c r="G4" s="4" t="n"/>
      <c r="H4" s="4" t="n"/>
      <c r="I4" s="4" t="n"/>
      <c r="J4" s="4" t="n"/>
      <c r="K4" s="4" t="n"/>
      <c r="L4" s="4" t="n"/>
      <c r="M4" s="4" t="n"/>
      <c r="N4" s="4">
        <f>IF(OR(G4="",H4=""),"",IF(AND(G4="CONFIDENTIAL",H4="Physical Destruction",J4="Yes"),"Yes",IF(G4="PUBLIC","Yes",IF(J4="N/A","Yes","Check"))))</f>
        <v/>
      </c>
      <c r="O4" s="4" t="n"/>
    </row>
    <row r="5">
      <c r="A5" s="4" t="n"/>
      <c r="B5" s="4" t="n"/>
      <c r="C5" s="4" t="n"/>
      <c r="D5" s="4" t="n"/>
      <c r="E5" s="4" t="n"/>
      <c r="F5" s="4" t="n"/>
      <c r="G5" s="4" t="n"/>
      <c r="H5" s="4" t="n"/>
      <c r="I5" s="4" t="n"/>
      <c r="J5" s="4" t="n"/>
      <c r="K5" s="4" t="n"/>
      <c r="L5" s="4" t="n"/>
      <c r="M5" s="4" t="n"/>
      <c r="N5" s="4">
        <f>IF(OR(G5="",H5=""),"",IF(AND(G5="CONFIDENTIAL",H5="Physical Destruction",J5="Yes"),"Yes",IF(G5="PUBLIC","Yes",IF(J5="N/A","Yes","Check"))))</f>
        <v/>
      </c>
      <c r="O5" s="4" t="n"/>
    </row>
    <row r="6">
      <c r="A6" s="4" t="n"/>
      <c r="B6" s="4" t="n"/>
      <c r="C6" s="4" t="n"/>
      <c r="D6" s="4" t="n"/>
      <c r="E6" s="4" t="n"/>
      <c r="F6" s="4" t="n"/>
      <c r="G6" s="4" t="n"/>
      <c r="H6" s="4" t="n"/>
      <c r="I6" s="4" t="n"/>
      <c r="J6" s="4" t="n"/>
      <c r="K6" s="4" t="n"/>
      <c r="L6" s="4" t="n"/>
      <c r="M6" s="4" t="n"/>
      <c r="N6" s="4">
        <f>IF(OR(G6="",H6=""),"",IF(AND(G6="CONFIDENTIAL",H6="Physical Destruction",J6="Yes"),"Yes",IF(G6="PUBLIC","Yes",IF(J6="N/A","Yes","Check"))))</f>
        <v/>
      </c>
      <c r="O6" s="4" t="n"/>
    </row>
    <row r="7">
      <c r="A7" s="4" t="n"/>
      <c r="B7" s="4" t="n"/>
      <c r="C7" s="4" t="n"/>
      <c r="D7" s="4" t="n"/>
      <c r="E7" s="4" t="n"/>
      <c r="F7" s="4" t="n"/>
      <c r="G7" s="4" t="n"/>
      <c r="H7" s="4" t="n"/>
      <c r="I7" s="4" t="n"/>
      <c r="J7" s="4" t="n"/>
      <c r="K7" s="4" t="n"/>
      <c r="L7" s="4" t="n"/>
      <c r="M7" s="4" t="n"/>
      <c r="N7" s="4">
        <f>IF(OR(G7="",H7=""),"",IF(AND(G7="CONFIDENTIAL",H7="Physical Destruction",J7="Yes"),"Yes",IF(G7="PUBLIC","Yes",IF(J7="N/A","Yes","Check"))))</f>
        <v/>
      </c>
      <c r="O7" s="4" t="n"/>
    </row>
    <row r="8">
      <c r="A8" s="4" t="n"/>
      <c r="B8" s="4" t="n"/>
      <c r="C8" s="4" t="n"/>
      <c r="D8" s="4" t="n"/>
      <c r="E8" s="4" t="n"/>
      <c r="F8" s="4" t="n"/>
      <c r="G8" s="4" t="n"/>
      <c r="H8" s="4" t="n"/>
      <c r="I8" s="4" t="n"/>
      <c r="J8" s="4" t="n"/>
      <c r="K8" s="4" t="n"/>
      <c r="L8" s="4" t="n"/>
      <c r="M8" s="4" t="n"/>
      <c r="N8" s="4">
        <f>IF(OR(G8="",H8=""),"",IF(AND(G8="CONFIDENTIAL",H8="Physical Destruction",J8="Yes"),"Yes",IF(G8="PUBLIC","Yes",IF(J8="N/A","Yes","Check"))))</f>
        <v/>
      </c>
      <c r="O8" s="4" t="n"/>
    </row>
    <row r="9">
      <c r="A9" s="4" t="n"/>
      <c r="B9" s="4" t="n"/>
      <c r="C9" s="4" t="n"/>
      <c r="D9" s="4" t="n"/>
      <c r="E9" s="4" t="n"/>
      <c r="F9" s="4" t="n"/>
      <c r="G9" s="4" t="n"/>
      <c r="H9" s="4" t="n"/>
      <c r="I9" s="4" t="n"/>
      <c r="J9" s="4" t="n"/>
      <c r="K9" s="4" t="n"/>
      <c r="L9" s="4" t="n"/>
      <c r="M9" s="4" t="n"/>
      <c r="N9" s="4">
        <f>IF(OR(G9="",H9=""),"",IF(AND(G9="CONFIDENTIAL",H9="Physical Destruction",J9="Yes"),"Yes",IF(G9="PUBLIC","Yes",IF(J9="N/A","Yes","Check"))))</f>
        <v/>
      </c>
      <c r="O9" s="4" t="n"/>
    </row>
    <row r="10">
      <c r="A10" s="4" t="n"/>
      <c r="B10" s="4" t="n"/>
      <c r="C10" s="4" t="n"/>
      <c r="D10" s="4" t="n"/>
      <c r="E10" s="4" t="n"/>
      <c r="F10" s="4" t="n"/>
      <c r="G10" s="4" t="n"/>
      <c r="H10" s="4" t="n"/>
      <c r="I10" s="4" t="n"/>
      <c r="J10" s="4" t="n"/>
      <c r="K10" s="4" t="n"/>
      <c r="L10" s="4" t="n"/>
      <c r="M10" s="4" t="n"/>
      <c r="N10" s="4">
        <f>IF(OR(G10="",H10=""),"",IF(AND(G10="CONFIDENTIAL",H10="Physical Destruction",J10="Yes"),"Yes",IF(G10="PUBLIC","Yes",IF(J10="N/A","Yes","Check"))))</f>
        <v/>
      </c>
      <c r="O10" s="4" t="n"/>
    </row>
    <row r="11">
      <c r="A11" s="4" t="n"/>
      <c r="B11" s="4" t="n"/>
      <c r="C11" s="4" t="n"/>
      <c r="D11" s="4" t="n"/>
      <c r="E11" s="4" t="n"/>
      <c r="F11" s="4" t="n"/>
      <c r="G11" s="4" t="n"/>
      <c r="H11" s="4" t="n"/>
      <c r="I11" s="4" t="n"/>
      <c r="J11" s="4" t="n"/>
      <c r="K11" s="4" t="n"/>
      <c r="L11" s="4" t="n"/>
      <c r="M11" s="4" t="n"/>
      <c r="N11" s="4">
        <f>IF(OR(G11="",H11=""),"",IF(AND(G11="CONFIDENTIAL",H11="Physical Destruction",J11="Yes"),"Yes",IF(G11="PUBLIC","Yes",IF(J11="N/A","Yes","Check"))))</f>
        <v/>
      </c>
      <c r="O11" s="4" t="n"/>
    </row>
    <row r="12">
      <c r="A12" s="4" t="n"/>
      <c r="B12" s="4" t="n"/>
      <c r="C12" s="4" t="n"/>
      <c r="D12" s="4" t="n"/>
      <c r="E12" s="4" t="n"/>
      <c r="F12" s="4" t="n"/>
      <c r="G12" s="4" t="n"/>
      <c r="H12" s="4" t="n"/>
      <c r="I12" s="4" t="n"/>
      <c r="J12" s="4" t="n"/>
      <c r="K12" s="4" t="n"/>
      <c r="L12" s="4" t="n"/>
      <c r="M12" s="4" t="n"/>
      <c r="N12" s="4">
        <f>IF(OR(G12="",H12=""),"",IF(AND(G12="CONFIDENTIAL",H12="Physical Destruction",J12="Yes"),"Yes",IF(G12="PUBLIC","Yes",IF(J12="N/A","Yes","Check"))))</f>
        <v/>
      </c>
      <c r="O12" s="4" t="n"/>
    </row>
    <row r="13">
      <c r="A13" s="4" t="n"/>
      <c r="B13" s="4" t="n"/>
      <c r="C13" s="4" t="n"/>
      <c r="D13" s="4" t="n"/>
      <c r="E13" s="4" t="n"/>
      <c r="F13" s="4" t="n"/>
      <c r="G13" s="4" t="n"/>
      <c r="H13" s="4" t="n"/>
      <c r="I13" s="4" t="n"/>
      <c r="J13" s="4" t="n"/>
      <c r="K13" s="4" t="n"/>
      <c r="L13" s="4" t="n"/>
      <c r="M13" s="4" t="n"/>
      <c r="N13" s="4">
        <f>IF(OR(G13="",H13=""),"",IF(AND(G13="CONFIDENTIAL",H13="Physical Destruction",J13="Yes"),"Yes",IF(G13="PUBLIC","Yes",IF(J13="N/A","Yes","Check"))))</f>
        <v/>
      </c>
      <c r="O13" s="4" t="n"/>
    </row>
    <row r="14">
      <c r="A14" s="4" t="n"/>
      <c r="B14" s="4" t="n"/>
      <c r="C14" s="4" t="n"/>
      <c r="D14" s="4" t="n"/>
      <c r="E14" s="4" t="n"/>
      <c r="F14" s="4" t="n"/>
      <c r="G14" s="4" t="n"/>
      <c r="H14" s="4" t="n"/>
      <c r="I14" s="4" t="n"/>
      <c r="J14" s="4" t="n"/>
      <c r="K14" s="4" t="n"/>
      <c r="L14" s="4" t="n"/>
      <c r="M14" s="4" t="n"/>
      <c r="N14" s="4">
        <f>IF(OR(G14="",H14=""),"",IF(AND(G14="CONFIDENTIAL",H14="Physical Destruction",J14="Yes"),"Yes",IF(G14="PUBLIC","Yes",IF(J14="N/A","Yes","Check"))))</f>
        <v/>
      </c>
      <c r="O14" s="4" t="n"/>
    </row>
    <row r="15">
      <c r="A15" s="4" t="n"/>
      <c r="B15" s="4" t="n"/>
      <c r="C15" s="4" t="n"/>
      <c r="D15" s="4" t="n"/>
      <c r="E15" s="4" t="n"/>
      <c r="F15" s="4" t="n"/>
      <c r="G15" s="4" t="n"/>
      <c r="H15" s="4" t="n"/>
      <c r="I15" s="4" t="n"/>
      <c r="J15" s="4" t="n"/>
      <c r="K15" s="4" t="n"/>
      <c r="L15" s="4" t="n"/>
      <c r="M15" s="4" t="n"/>
      <c r="N15" s="4">
        <f>IF(OR(G15="",H15=""),"",IF(AND(G15="CONFIDENTIAL",H15="Physical Destruction",J15="Yes"),"Yes",IF(G15="PUBLIC","Yes",IF(J15="N/A","Yes","Check"))))</f>
        <v/>
      </c>
      <c r="O15" s="4" t="n"/>
    </row>
    <row r="16">
      <c r="A16" s="4" t="n"/>
      <c r="B16" s="4" t="n"/>
      <c r="C16" s="4" t="n"/>
      <c r="D16" s="4" t="n"/>
      <c r="E16" s="4" t="n"/>
      <c r="F16" s="4" t="n"/>
      <c r="G16" s="4" t="n"/>
      <c r="H16" s="4" t="n"/>
      <c r="I16" s="4" t="n"/>
      <c r="J16" s="4" t="n"/>
      <c r="K16" s="4" t="n"/>
      <c r="L16" s="4" t="n"/>
      <c r="M16" s="4" t="n"/>
      <c r="N16" s="4">
        <f>IF(OR(G16="",H16=""),"",IF(AND(G16="CONFIDENTIAL",H16="Physical Destruction",J16="Yes"),"Yes",IF(G16="PUBLIC","Yes",IF(J16="N/A","Yes","Check"))))</f>
        <v/>
      </c>
      <c r="O16" s="4" t="n"/>
    </row>
    <row r="17">
      <c r="A17" s="4" t="n"/>
      <c r="B17" s="4" t="n"/>
      <c r="C17" s="4" t="n"/>
      <c r="D17" s="4" t="n"/>
      <c r="E17" s="4" t="n"/>
      <c r="F17" s="4" t="n"/>
      <c r="G17" s="4" t="n"/>
      <c r="H17" s="4" t="n"/>
      <c r="I17" s="4" t="n"/>
      <c r="J17" s="4" t="n"/>
      <c r="K17" s="4" t="n"/>
      <c r="L17" s="4" t="n"/>
      <c r="M17" s="4" t="n"/>
      <c r="N17" s="4">
        <f>IF(OR(G17="",H17=""),"",IF(AND(G17="CONFIDENTIAL",H17="Physical Destruction",J17="Yes"),"Yes",IF(G17="PUBLIC","Yes",IF(J17="N/A","Yes","Check"))))</f>
        <v/>
      </c>
      <c r="O17" s="4" t="n"/>
    </row>
    <row r="18">
      <c r="A18" s="4" t="n"/>
      <c r="B18" s="4" t="n"/>
      <c r="C18" s="4" t="n"/>
      <c r="D18" s="4" t="n"/>
      <c r="E18" s="4" t="n"/>
      <c r="F18" s="4" t="n"/>
      <c r="G18" s="4" t="n"/>
      <c r="H18" s="4" t="n"/>
      <c r="I18" s="4" t="n"/>
      <c r="J18" s="4" t="n"/>
      <c r="K18" s="4" t="n"/>
      <c r="L18" s="4" t="n"/>
      <c r="M18" s="4" t="n"/>
      <c r="N18" s="4">
        <f>IF(OR(G18="",H18=""),"",IF(AND(G18="CONFIDENTIAL",H18="Physical Destruction",J18="Yes"),"Yes",IF(G18="PUBLIC","Yes",IF(J18="N/A","Yes","Check"))))</f>
        <v/>
      </c>
      <c r="O18" s="4" t="n"/>
    </row>
    <row r="19">
      <c r="A19" s="4" t="n"/>
      <c r="B19" s="4" t="n"/>
      <c r="C19" s="4" t="n"/>
      <c r="D19" s="4" t="n"/>
      <c r="E19" s="4" t="n"/>
      <c r="F19" s="4" t="n"/>
      <c r="G19" s="4" t="n"/>
      <c r="H19" s="4" t="n"/>
      <c r="I19" s="4" t="n"/>
      <c r="J19" s="4" t="n"/>
      <c r="K19" s="4" t="n"/>
      <c r="L19" s="4" t="n"/>
      <c r="M19" s="4" t="n"/>
      <c r="N19" s="4">
        <f>IF(OR(G19="",H19=""),"",IF(AND(G19="CONFIDENTIAL",H19="Physical Destruction",J19="Yes"),"Yes",IF(G19="PUBLIC","Yes",IF(J19="N/A","Yes","Check"))))</f>
        <v/>
      </c>
      <c r="O19" s="4" t="n"/>
    </row>
    <row r="20">
      <c r="A20" s="4" t="n"/>
      <c r="B20" s="4" t="n"/>
      <c r="C20" s="4" t="n"/>
      <c r="D20" s="4" t="n"/>
      <c r="E20" s="4" t="n"/>
      <c r="F20" s="4" t="n"/>
      <c r="G20" s="4" t="n"/>
      <c r="H20" s="4" t="n"/>
      <c r="I20" s="4" t="n"/>
      <c r="J20" s="4" t="n"/>
      <c r="K20" s="4" t="n"/>
      <c r="L20" s="4" t="n"/>
      <c r="M20" s="4" t="n"/>
      <c r="N20" s="4">
        <f>IF(OR(G20="",H20=""),"",IF(AND(G20="CONFIDENTIAL",H20="Physical Destruction",J20="Yes"),"Yes",IF(G20="PUBLIC","Yes",IF(J20="N/A","Yes","Check"))))</f>
        <v/>
      </c>
      <c r="O20" s="4" t="n"/>
    </row>
    <row r="21">
      <c r="A21" s="4" t="n"/>
      <c r="B21" s="4" t="n"/>
      <c r="C21" s="4" t="n"/>
      <c r="D21" s="4" t="n"/>
      <c r="E21" s="4" t="n"/>
      <c r="F21" s="4" t="n"/>
      <c r="G21" s="4" t="n"/>
      <c r="H21" s="4" t="n"/>
      <c r="I21" s="4" t="n"/>
      <c r="J21" s="4" t="n"/>
      <c r="K21" s="4" t="n"/>
      <c r="L21" s="4" t="n"/>
      <c r="M21" s="4" t="n"/>
      <c r="N21" s="4">
        <f>IF(OR(G21="",H21=""),"",IF(AND(G21="CONFIDENTIAL",H21="Physical Destruction",J21="Yes"),"Yes",IF(G21="PUBLIC","Yes",IF(J21="N/A","Yes","Check"))))</f>
        <v/>
      </c>
      <c r="O21" s="4" t="n"/>
    </row>
    <row r="22">
      <c r="A22" s="4" t="n"/>
      <c r="B22" s="4" t="n"/>
      <c r="C22" s="4" t="n"/>
      <c r="D22" s="4" t="n"/>
      <c r="E22" s="4" t="n"/>
      <c r="F22" s="4" t="n"/>
      <c r="G22" s="4" t="n"/>
      <c r="H22" s="4" t="n"/>
      <c r="I22" s="4" t="n"/>
      <c r="J22" s="4" t="n"/>
      <c r="K22" s="4" t="n"/>
      <c r="L22" s="4" t="n"/>
      <c r="M22" s="4" t="n"/>
      <c r="N22" s="4">
        <f>IF(OR(G22="",H22=""),"",IF(AND(G22="CONFIDENTIAL",H22="Physical Destruction",J22="Yes"),"Yes",IF(G22="PUBLIC","Yes",IF(J22="N/A","Yes","Check"))))</f>
        <v/>
      </c>
      <c r="O22" s="4" t="n"/>
    </row>
    <row r="23">
      <c r="A23" s="4" t="n"/>
      <c r="B23" s="4" t="n"/>
      <c r="C23" s="4" t="n"/>
      <c r="D23" s="4" t="n"/>
      <c r="E23" s="4" t="n"/>
      <c r="F23" s="4" t="n"/>
      <c r="G23" s="4" t="n"/>
      <c r="H23" s="4" t="n"/>
      <c r="I23" s="4" t="n"/>
      <c r="J23" s="4" t="n"/>
      <c r="K23" s="4" t="n"/>
      <c r="L23" s="4" t="n"/>
      <c r="M23" s="4" t="n"/>
      <c r="N23" s="4">
        <f>IF(OR(G23="",H23=""),"",IF(AND(G23="CONFIDENTIAL",H23="Physical Destruction",J23="Yes"),"Yes",IF(G23="PUBLIC","Yes",IF(J23="N/A","Yes","Check"))))</f>
        <v/>
      </c>
      <c r="O23" s="4" t="n"/>
    </row>
    <row r="24">
      <c r="A24" s="4" t="n"/>
      <c r="B24" s="4" t="n"/>
      <c r="C24" s="4" t="n"/>
      <c r="D24" s="4" t="n"/>
      <c r="E24" s="4" t="n"/>
      <c r="F24" s="4" t="n"/>
      <c r="G24" s="4" t="n"/>
      <c r="H24" s="4" t="n"/>
      <c r="I24" s="4" t="n"/>
      <c r="J24" s="4" t="n"/>
      <c r="K24" s="4" t="n"/>
      <c r="L24" s="4" t="n"/>
      <c r="M24" s="4" t="n"/>
      <c r="N24" s="4">
        <f>IF(OR(G24="",H24=""),"",IF(AND(G24="CONFIDENTIAL",H24="Physical Destruction",J24="Yes"),"Yes",IF(G24="PUBLIC","Yes",IF(J24="N/A","Yes","Check"))))</f>
        <v/>
      </c>
      <c r="O24" s="4" t="n"/>
    </row>
    <row r="25">
      <c r="A25" s="4" t="n"/>
      <c r="B25" s="4" t="n"/>
      <c r="C25" s="4" t="n"/>
      <c r="D25" s="4" t="n"/>
      <c r="E25" s="4" t="n"/>
      <c r="F25" s="4" t="n"/>
      <c r="G25" s="4" t="n"/>
      <c r="H25" s="4" t="n"/>
      <c r="I25" s="4" t="n"/>
      <c r="J25" s="4" t="n"/>
      <c r="K25" s="4" t="n"/>
      <c r="L25" s="4" t="n"/>
      <c r="M25" s="4" t="n"/>
      <c r="N25" s="4">
        <f>IF(OR(G25="",H25=""),"",IF(AND(G25="CONFIDENTIAL",H25="Physical Destruction",J25="Yes"),"Yes",IF(G25="PUBLIC","Yes",IF(J25="N/A","Yes","Check"))))</f>
        <v/>
      </c>
      <c r="O25" s="4" t="n"/>
    </row>
    <row r="26">
      <c r="A26" s="4" t="n"/>
      <c r="B26" s="4" t="n"/>
      <c r="C26" s="4" t="n"/>
      <c r="D26" s="4" t="n"/>
      <c r="E26" s="4" t="n"/>
      <c r="F26" s="4" t="n"/>
      <c r="G26" s="4" t="n"/>
      <c r="H26" s="4" t="n"/>
      <c r="I26" s="4" t="n"/>
      <c r="J26" s="4" t="n"/>
      <c r="K26" s="4" t="n"/>
      <c r="L26" s="4" t="n"/>
      <c r="M26" s="4" t="n"/>
      <c r="N26" s="4">
        <f>IF(OR(G26="",H26=""),"",IF(AND(G26="CONFIDENTIAL",H26="Physical Destruction",J26="Yes"),"Yes",IF(G26="PUBLIC","Yes",IF(J26="N/A","Yes","Check"))))</f>
        <v/>
      </c>
      <c r="O26" s="4" t="n"/>
    </row>
    <row r="27">
      <c r="A27" s="4" t="n"/>
      <c r="B27" s="4" t="n"/>
      <c r="C27" s="4" t="n"/>
      <c r="D27" s="4" t="n"/>
      <c r="E27" s="4" t="n"/>
      <c r="F27" s="4" t="n"/>
      <c r="G27" s="4" t="n"/>
      <c r="H27" s="4" t="n"/>
      <c r="I27" s="4" t="n"/>
      <c r="J27" s="4" t="n"/>
      <c r="K27" s="4" t="n"/>
      <c r="L27" s="4" t="n"/>
      <c r="M27" s="4" t="n"/>
      <c r="N27" s="4">
        <f>IF(OR(G27="",H27=""),"",IF(AND(G27="CONFIDENTIAL",H27="Physical Destruction",J27="Yes"),"Yes",IF(G27="PUBLIC","Yes",IF(J27="N/A","Yes","Check"))))</f>
        <v/>
      </c>
      <c r="O27" s="4" t="n"/>
    </row>
    <row r="28">
      <c r="A28" s="4" t="n"/>
      <c r="B28" s="4" t="n"/>
      <c r="C28" s="4" t="n"/>
      <c r="D28" s="4" t="n"/>
      <c r="E28" s="4" t="n"/>
      <c r="F28" s="4" t="n"/>
      <c r="G28" s="4" t="n"/>
      <c r="H28" s="4" t="n"/>
      <c r="I28" s="4" t="n"/>
      <c r="J28" s="4" t="n"/>
      <c r="K28" s="4" t="n"/>
      <c r="L28" s="4" t="n"/>
      <c r="M28" s="4" t="n"/>
      <c r="N28" s="4">
        <f>IF(OR(G28="",H28=""),"",IF(AND(G28="CONFIDENTIAL",H28="Physical Destruction",J28="Yes"),"Yes",IF(G28="PUBLIC","Yes",IF(J28="N/A","Yes","Check"))))</f>
        <v/>
      </c>
      <c r="O28" s="4" t="n"/>
    </row>
    <row r="29">
      <c r="A29" s="4" t="n"/>
      <c r="B29" s="4" t="n"/>
      <c r="C29" s="4" t="n"/>
      <c r="D29" s="4" t="n"/>
      <c r="E29" s="4" t="n"/>
      <c r="F29" s="4" t="n"/>
      <c r="G29" s="4" t="n"/>
      <c r="H29" s="4" t="n"/>
      <c r="I29" s="4" t="n"/>
      <c r="J29" s="4" t="n"/>
      <c r="K29" s="4" t="n"/>
      <c r="L29" s="4" t="n"/>
      <c r="M29" s="4" t="n"/>
      <c r="N29" s="4">
        <f>IF(OR(G29="",H29=""),"",IF(AND(G29="CONFIDENTIAL",H29="Physical Destruction",J29="Yes"),"Yes",IF(G29="PUBLIC","Yes",IF(J29="N/A","Yes","Check"))))</f>
        <v/>
      </c>
      <c r="O29" s="4" t="n"/>
    </row>
    <row r="30">
      <c r="A30" s="4" t="n"/>
      <c r="B30" s="4" t="n"/>
      <c r="C30" s="4" t="n"/>
      <c r="D30" s="4" t="n"/>
      <c r="E30" s="4" t="n"/>
      <c r="F30" s="4" t="n"/>
      <c r="G30" s="4" t="n"/>
      <c r="H30" s="4" t="n"/>
      <c r="I30" s="4" t="n"/>
      <c r="J30" s="4" t="n"/>
      <c r="K30" s="4" t="n"/>
      <c r="L30" s="4" t="n"/>
      <c r="M30" s="4" t="n"/>
      <c r="N30" s="4">
        <f>IF(OR(G30="",H30=""),"",IF(AND(G30="CONFIDENTIAL",H30="Physical Destruction",J30="Yes"),"Yes",IF(G30="PUBLIC","Yes",IF(J30="N/A","Yes","Check"))))</f>
        <v/>
      </c>
      <c r="O30" s="4" t="n"/>
    </row>
    <row r="31">
      <c r="A31" s="4" t="n"/>
      <c r="B31" s="4" t="n"/>
      <c r="C31" s="4" t="n"/>
      <c r="D31" s="4" t="n"/>
      <c r="E31" s="4" t="n"/>
      <c r="F31" s="4" t="n"/>
      <c r="G31" s="4" t="n"/>
      <c r="H31" s="4" t="n"/>
      <c r="I31" s="4" t="n"/>
      <c r="J31" s="4" t="n"/>
      <c r="K31" s="4" t="n"/>
      <c r="L31" s="4" t="n"/>
      <c r="M31" s="4" t="n"/>
      <c r="N31" s="4">
        <f>IF(OR(G31="",H31=""),"",IF(AND(G31="CONFIDENTIAL",H31="Physical Destruction",J31="Yes"),"Yes",IF(G31="PUBLIC","Yes",IF(J31="N/A","Yes","Check"))))</f>
        <v/>
      </c>
      <c r="O31" s="4" t="n"/>
    </row>
    <row r="32">
      <c r="A32" s="4" t="n"/>
      <c r="B32" s="4" t="n"/>
      <c r="C32" s="4" t="n"/>
      <c r="D32" s="4" t="n"/>
      <c r="E32" s="4" t="n"/>
      <c r="F32" s="4" t="n"/>
      <c r="G32" s="4" t="n"/>
      <c r="H32" s="4" t="n"/>
      <c r="I32" s="4" t="n"/>
      <c r="J32" s="4" t="n"/>
      <c r="K32" s="4" t="n"/>
      <c r="L32" s="4" t="n"/>
      <c r="M32" s="4" t="n"/>
      <c r="N32" s="4">
        <f>IF(OR(G32="",H32=""),"",IF(AND(G32="CONFIDENTIAL",H32="Physical Destruction",J32="Yes"),"Yes",IF(G32="PUBLIC","Yes",IF(J32="N/A","Yes","Check"))))</f>
        <v/>
      </c>
      <c r="O32" s="4" t="n"/>
    </row>
    <row r="33">
      <c r="A33" s="4" t="n"/>
      <c r="B33" s="4" t="n"/>
      <c r="C33" s="4" t="n"/>
      <c r="D33" s="4" t="n"/>
      <c r="E33" s="4" t="n"/>
      <c r="F33" s="4" t="n"/>
      <c r="G33" s="4" t="n"/>
      <c r="H33" s="4" t="n"/>
      <c r="I33" s="4" t="n"/>
      <c r="J33" s="4" t="n"/>
      <c r="K33" s="4" t="n"/>
      <c r="L33" s="4" t="n"/>
      <c r="M33" s="4" t="n"/>
      <c r="N33" s="4">
        <f>IF(OR(G33="",H33=""),"",IF(AND(G33="CONFIDENTIAL",H33="Physical Destruction",J33="Yes"),"Yes",IF(G33="PUBLIC","Yes",IF(J33="N/A","Yes","Check"))))</f>
        <v/>
      </c>
      <c r="O33" s="4" t="n"/>
    </row>
    <row r="34">
      <c r="A34" s="4" t="n"/>
      <c r="B34" s="4" t="n"/>
      <c r="C34" s="4" t="n"/>
      <c r="D34" s="4" t="n"/>
      <c r="E34" s="4" t="n"/>
      <c r="F34" s="4" t="n"/>
      <c r="G34" s="4" t="n"/>
      <c r="H34" s="4" t="n"/>
      <c r="I34" s="4" t="n"/>
      <c r="J34" s="4" t="n"/>
      <c r="K34" s="4" t="n"/>
      <c r="L34" s="4" t="n"/>
      <c r="M34" s="4" t="n"/>
      <c r="N34" s="4">
        <f>IF(OR(G34="",H34=""),"",IF(AND(G34="CONFIDENTIAL",H34="Physical Destruction",J34="Yes"),"Yes",IF(G34="PUBLIC","Yes",IF(J34="N/A","Yes","Check"))))</f>
        <v/>
      </c>
      <c r="O34" s="4" t="n"/>
    </row>
    <row r="35">
      <c r="A35" s="4" t="n"/>
      <c r="B35" s="4" t="n"/>
      <c r="C35" s="4" t="n"/>
      <c r="D35" s="4" t="n"/>
      <c r="E35" s="4" t="n"/>
      <c r="F35" s="4" t="n"/>
      <c r="G35" s="4" t="n"/>
      <c r="H35" s="4" t="n"/>
      <c r="I35" s="4" t="n"/>
      <c r="J35" s="4" t="n"/>
      <c r="K35" s="4" t="n"/>
      <c r="L35" s="4" t="n"/>
      <c r="M35" s="4" t="n"/>
      <c r="N35" s="4">
        <f>IF(OR(G35="",H35=""),"",IF(AND(G35="CONFIDENTIAL",H35="Physical Destruction",J35="Yes"),"Yes",IF(G35="PUBLIC","Yes",IF(J35="N/A","Yes","Check"))))</f>
        <v/>
      </c>
      <c r="O35" s="4" t="n"/>
    </row>
    <row r="36">
      <c r="A36" s="4" t="n"/>
      <c r="B36" s="4" t="n"/>
      <c r="C36" s="4" t="n"/>
      <c r="D36" s="4" t="n"/>
      <c r="E36" s="4" t="n"/>
      <c r="F36" s="4" t="n"/>
      <c r="G36" s="4" t="n"/>
      <c r="H36" s="4" t="n"/>
      <c r="I36" s="4" t="n"/>
      <c r="J36" s="4" t="n"/>
      <c r="K36" s="4" t="n"/>
      <c r="L36" s="4" t="n"/>
      <c r="M36" s="4" t="n"/>
      <c r="N36" s="4">
        <f>IF(OR(G36="",H36=""),"",IF(AND(G36="CONFIDENTIAL",H36="Physical Destruction",J36="Yes"),"Yes",IF(G36="PUBLIC","Yes",IF(J36="N/A","Yes","Check"))))</f>
        <v/>
      </c>
      <c r="O36" s="4" t="n"/>
    </row>
    <row r="37">
      <c r="A37" s="4" t="n"/>
      <c r="B37" s="4" t="n"/>
      <c r="C37" s="4" t="n"/>
      <c r="D37" s="4" t="n"/>
      <c r="E37" s="4" t="n"/>
      <c r="F37" s="4" t="n"/>
      <c r="G37" s="4" t="n"/>
      <c r="H37" s="4" t="n"/>
      <c r="I37" s="4" t="n"/>
      <c r="J37" s="4" t="n"/>
      <c r="K37" s="4" t="n"/>
      <c r="L37" s="4" t="n"/>
      <c r="M37" s="4" t="n"/>
      <c r="N37" s="4">
        <f>IF(OR(G37="",H37=""),"",IF(AND(G37="CONFIDENTIAL",H37="Physical Destruction",J37="Yes"),"Yes",IF(G37="PUBLIC","Yes",IF(J37="N/A","Yes","Check"))))</f>
        <v/>
      </c>
      <c r="O37" s="4" t="n"/>
    </row>
    <row r="38">
      <c r="A38" s="4" t="n"/>
      <c r="B38" s="4" t="n"/>
      <c r="C38" s="4" t="n"/>
      <c r="D38" s="4" t="n"/>
      <c r="E38" s="4" t="n"/>
      <c r="F38" s="4" t="n"/>
      <c r="G38" s="4" t="n"/>
      <c r="H38" s="4" t="n"/>
      <c r="I38" s="4" t="n"/>
      <c r="J38" s="4" t="n"/>
      <c r="K38" s="4" t="n"/>
      <c r="L38" s="4" t="n"/>
      <c r="M38" s="4" t="n"/>
      <c r="N38" s="4">
        <f>IF(OR(G38="",H38=""),"",IF(AND(G38="CONFIDENTIAL",H38="Physical Destruction",J38="Yes"),"Yes",IF(G38="PUBLIC","Yes",IF(J38="N/A","Yes","Check"))))</f>
        <v/>
      </c>
      <c r="O38" s="4" t="n"/>
    </row>
    <row r="39">
      <c r="A39" s="4" t="n"/>
      <c r="B39" s="4" t="n"/>
      <c r="C39" s="4" t="n"/>
      <c r="D39" s="4" t="n"/>
      <c r="E39" s="4" t="n"/>
      <c r="F39" s="4" t="n"/>
      <c r="G39" s="4" t="n"/>
      <c r="H39" s="4" t="n"/>
      <c r="I39" s="4" t="n"/>
      <c r="J39" s="4" t="n"/>
      <c r="K39" s="4" t="n"/>
      <c r="L39" s="4" t="n"/>
      <c r="M39" s="4" t="n"/>
      <c r="N39" s="4">
        <f>IF(OR(G39="",H39=""),"",IF(AND(G39="CONFIDENTIAL",H39="Physical Destruction",J39="Yes"),"Yes",IF(G39="PUBLIC","Yes",IF(J39="N/A","Yes","Check"))))</f>
        <v/>
      </c>
      <c r="O39" s="4" t="n"/>
    </row>
    <row r="40">
      <c r="A40" s="4" t="n"/>
      <c r="B40" s="4" t="n"/>
      <c r="C40" s="4" t="n"/>
      <c r="D40" s="4" t="n"/>
      <c r="E40" s="4" t="n"/>
      <c r="F40" s="4" t="n"/>
      <c r="G40" s="4" t="n"/>
      <c r="H40" s="4" t="n"/>
      <c r="I40" s="4" t="n"/>
      <c r="J40" s="4" t="n"/>
      <c r="K40" s="4" t="n"/>
      <c r="L40" s="4" t="n"/>
      <c r="M40" s="4" t="n"/>
      <c r="N40" s="4">
        <f>IF(OR(G40="",H40=""),"",IF(AND(G40="CONFIDENTIAL",H40="Physical Destruction",J40="Yes"),"Yes",IF(G40="PUBLIC","Yes",IF(J40="N/A","Yes","Check"))))</f>
        <v/>
      </c>
      <c r="O40" s="4" t="n"/>
    </row>
    <row r="41">
      <c r="A41" s="4" t="n"/>
      <c r="B41" s="4" t="n"/>
      <c r="C41" s="4" t="n"/>
      <c r="D41" s="4" t="n"/>
      <c r="E41" s="4" t="n"/>
      <c r="F41" s="4" t="n"/>
      <c r="G41" s="4" t="n"/>
      <c r="H41" s="4" t="n"/>
      <c r="I41" s="4" t="n"/>
      <c r="J41" s="4" t="n"/>
      <c r="K41" s="4" t="n"/>
      <c r="L41" s="4" t="n"/>
      <c r="M41" s="4" t="n"/>
      <c r="N41" s="4">
        <f>IF(OR(G41="",H41=""),"",IF(AND(G41="CONFIDENTIAL",H41="Physical Destruction",J41="Yes"),"Yes",IF(G41="PUBLIC","Yes",IF(J41="N/A","Yes","Check"))))</f>
        <v/>
      </c>
      <c r="O41" s="4" t="n"/>
    </row>
    <row r="42">
      <c r="A42" s="4" t="n"/>
      <c r="B42" s="4" t="n"/>
      <c r="C42" s="4" t="n"/>
      <c r="D42" s="4" t="n"/>
      <c r="E42" s="4" t="n"/>
      <c r="F42" s="4" t="n"/>
      <c r="G42" s="4" t="n"/>
      <c r="H42" s="4" t="n"/>
      <c r="I42" s="4" t="n"/>
      <c r="J42" s="4" t="n"/>
      <c r="K42" s="4" t="n"/>
      <c r="L42" s="4" t="n"/>
      <c r="M42" s="4" t="n"/>
      <c r="N42" s="4">
        <f>IF(OR(G42="",H42=""),"",IF(AND(G42="CONFIDENTIAL",H42="Physical Destruction",J42="Yes"),"Yes",IF(G42="PUBLIC","Yes",IF(J42="N/A","Yes","Check"))))</f>
        <v/>
      </c>
      <c r="O42" s="4" t="n"/>
    </row>
    <row r="43">
      <c r="A43" s="4" t="n"/>
      <c r="B43" s="4" t="n"/>
      <c r="C43" s="4" t="n"/>
      <c r="D43" s="4" t="n"/>
      <c r="E43" s="4" t="n"/>
      <c r="F43" s="4" t="n"/>
      <c r="G43" s="4" t="n"/>
      <c r="H43" s="4" t="n"/>
      <c r="I43" s="4" t="n"/>
      <c r="J43" s="4" t="n"/>
      <c r="K43" s="4" t="n"/>
      <c r="L43" s="4" t="n"/>
      <c r="M43" s="4" t="n"/>
      <c r="N43" s="4">
        <f>IF(OR(G43="",H43=""),"",IF(AND(G43="CONFIDENTIAL",H43="Physical Destruction",J43="Yes"),"Yes",IF(G43="PUBLIC","Yes",IF(J43="N/A","Yes","Check"))))</f>
        <v/>
      </c>
      <c r="O43" s="4" t="n"/>
    </row>
    <row r="44">
      <c r="A44" s="4" t="n"/>
      <c r="B44" s="4" t="n"/>
      <c r="C44" s="4" t="n"/>
      <c r="D44" s="4" t="n"/>
      <c r="E44" s="4" t="n"/>
      <c r="F44" s="4" t="n"/>
      <c r="G44" s="4" t="n"/>
      <c r="H44" s="4" t="n"/>
      <c r="I44" s="4" t="n"/>
      <c r="J44" s="4" t="n"/>
      <c r="K44" s="4" t="n"/>
      <c r="L44" s="4" t="n"/>
      <c r="M44" s="4" t="n"/>
      <c r="N44" s="4">
        <f>IF(OR(G44="",H44=""),"",IF(AND(G44="CONFIDENTIAL",H44="Physical Destruction",J44="Yes"),"Yes",IF(G44="PUBLIC","Yes",IF(J44="N/A","Yes","Check"))))</f>
        <v/>
      </c>
      <c r="O44" s="4" t="n"/>
    </row>
    <row r="45">
      <c r="A45" s="4" t="n"/>
      <c r="B45" s="4" t="n"/>
      <c r="C45" s="4" t="n"/>
      <c r="D45" s="4" t="n"/>
      <c r="E45" s="4" t="n"/>
      <c r="F45" s="4" t="n"/>
      <c r="G45" s="4" t="n"/>
      <c r="H45" s="4" t="n"/>
      <c r="I45" s="4" t="n"/>
      <c r="J45" s="4" t="n"/>
      <c r="K45" s="4" t="n"/>
      <c r="L45" s="4" t="n"/>
      <c r="M45" s="4" t="n"/>
      <c r="N45" s="4">
        <f>IF(OR(G45="",H45=""),"",IF(AND(G45="CONFIDENTIAL",H45="Physical Destruction",J45="Yes"),"Yes",IF(G45="PUBLIC","Yes",IF(J45="N/A","Yes","Check"))))</f>
        <v/>
      </c>
      <c r="O45" s="4" t="n"/>
    </row>
    <row r="46">
      <c r="A46" s="4" t="n"/>
      <c r="B46" s="4" t="n"/>
      <c r="C46" s="4" t="n"/>
      <c r="D46" s="4" t="n"/>
      <c r="E46" s="4" t="n"/>
      <c r="F46" s="4" t="n"/>
      <c r="G46" s="4" t="n"/>
      <c r="H46" s="4" t="n"/>
      <c r="I46" s="4" t="n"/>
      <c r="J46" s="4" t="n"/>
      <c r="K46" s="4" t="n"/>
      <c r="L46" s="4" t="n"/>
      <c r="M46" s="4" t="n"/>
      <c r="N46" s="4">
        <f>IF(OR(G46="",H46=""),"",IF(AND(G46="CONFIDENTIAL",H46="Physical Destruction",J46="Yes"),"Yes",IF(G46="PUBLIC","Yes",IF(J46="N/A","Yes","Check"))))</f>
        <v/>
      </c>
      <c r="O46" s="4" t="n"/>
    </row>
    <row r="47">
      <c r="A47" s="4" t="n"/>
      <c r="B47" s="4" t="n"/>
      <c r="C47" s="4" t="n"/>
      <c r="D47" s="4" t="n"/>
      <c r="E47" s="4" t="n"/>
      <c r="F47" s="4" t="n"/>
      <c r="G47" s="4" t="n"/>
      <c r="H47" s="4" t="n"/>
      <c r="I47" s="4" t="n"/>
      <c r="J47" s="4" t="n"/>
      <c r="K47" s="4" t="n"/>
      <c r="L47" s="4" t="n"/>
      <c r="M47" s="4" t="n"/>
      <c r="N47" s="4">
        <f>IF(OR(G47="",H47=""),"",IF(AND(G47="CONFIDENTIAL",H47="Physical Destruction",J47="Yes"),"Yes",IF(G47="PUBLIC","Yes",IF(J47="N/A","Yes","Check"))))</f>
        <v/>
      </c>
      <c r="O47" s="4" t="n"/>
    </row>
    <row r="48">
      <c r="A48" s="4" t="n"/>
      <c r="B48" s="4" t="n"/>
      <c r="C48" s="4" t="n"/>
      <c r="D48" s="4" t="n"/>
      <c r="E48" s="4" t="n"/>
      <c r="F48" s="4" t="n"/>
      <c r="G48" s="4" t="n"/>
      <c r="H48" s="4" t="n"/>
      <c r="I48" s="4" t="n"/>
      <c r="J48" s="4" t="n"/>
      <c r="K48" s="4" t="n"/>
      <c r="L48" s="4" t="n"/>
      <c r="M48" s="4" t="n"/>
      <c r="N48" s="4">
        <f>IF(OR(G48="",H48=""),"",IF(AND(G48="CONFIDENTIAL",H48="Physical Destruction",J48="Yes"),"Yes",IF(G48="PUBLIC","Yes",IF(J48="N/A","Yes","Check"))))</f>
        <v/>
      </c>
      <c r="O48" s="4" t="n"/>
    </row>
    <row r="49">
      <c r="A49" s="4" t="n"/>
      <c r="B49" s="4" t="n"/>
      <c r="C49" s="4" t="n"/>
      <c r="D49" s="4" t="n"/>
      <c r="E49" s="4" t="n"/>
      <c r="F49" s="4" t="n"/>
      <c r="G49" s="4" t="n"/>
      <c r="H49" s="4" t="n"/>
      <c r="I49" s="4" t="n"/>
      <c r="J49" s="4" t="n"/>
      <c r="K49" s="4" t="n"/>
      <c r="L49" s="4" t="n"/>
      <c r="M49" s="4" t="n"/>
      <c r="N49" s="4">
        <f>IF(OR(G49="",H49=""),"",IF(AND(G49="CONFIDENTIAL",H49="Physical Destruction",J49="Yes"),"Yes",IF(G49="PUBLIC","Yes",IF(J49="N/A","Yes","Check"))))</f>
        <v/>
      </c>
      <c r="O49" s="4" t="n"/>
    </row>
    <row r="50">
      <c r="A50" s="4" t="n"/>
      <c r="B50" s="4" t="n"/>
      <c r="C50" s="4" t="n"/>
      <c r="D50" s="4" t="n"/>
      <c r="E50" s="4" t="n"/>
      <c r="F50" s="4" t="n"/>
      <c r="G50" s="4" t="n"/>
      <c r="H50" s="4" t="n"/>
      <c r="I50" s="4" t="n"/>
      <c r="J50" s="4" t="n"/>
      <c r="K50" s="4" t="n"/>
      <c r="L50" s="4" t="n"/>
      <c r="M50" s="4" t="n"/>
      <c r="N50" s="4">
        <f>IF(OR(G50="",H50=""),"",IF(AND(G50="CONFIDENTIAL",H50="Physical Destruction",J50="Yes"),"Yes",IF(G50="PUBLIC","Yes",IF(J50="N/A","Yes","Check"))))</f>
        <v/>
      </c>
      <c r="O50" s="4" t="n"/>
    </row>
    <row r="51">
      <c r="A51" s="4" t="n"/>
      <c r="B51" s="4" t="n"/>
      <c r="C51" s="4" t="n"/>
      <c r="D51" s="4" t="n"/>
      <c r="E51" s="4" t="n"/>
      <c r="F51" s="4" t="n"/>
      <c r="G51" s="4" t="n"/>
      <c r="H51" s="4" t="n"/>
      <c r="I51" s="4" t="n"/>
      <c r="J51" s="4" t="n"/>
      <c r="K51" s="4" t="n"/>
      <c r="L51" s="4" t="n"/>
      <c r="M51" s="4" t="n"/>
      <c r="N51" s="4">
        <f>IF(OR(G51="",H51=""),"",IF(AND(G51="CONFIDENTIAL",H51="Physical Destruction",J51="Yes"),"Yes",IF(G51="PUBLIC","Yes",IF(J51="N/A","Yes","Check"))))</f>
        <v/>
      </c>
      <c r="O51" s="4" t="n"/>
    </row>
    <row r="52">
      <c r="A52" s="4" t="n"/>
      <c r="B52" s="4" t="n"/>
      <c r="C52" s="4" t="n"/>
      <c r="D52" s="4" t="n"/>
      <c r="E52" s="4" t="n"/>
      <c r="F52" s="4" t="n"/>
      <c r="G52" s="4" t="n"/>
      <c r="H52" s="4" t="n"/>
      <c r="I52" s="4" t="n"/>
      <c r="J52" s="4" t="n"/>
      <c r="K52" s="4" t="n"/>
      <c r="L52" s="4" t="n"/>
      <c r="M52" s="4" t="n"/>
      <c r="N52" s="4">
        <f>IF(OR(G52="",H52=""),"",IF(AND(G52="CONFIDENTIAL",H52="Physical Destruction",J52="Yes"),"Yes",IF(G52="PUBLIC","Yes",IF(J52="N/A","Yes","Check"))))</f>
        <v/>
      </c>
      <c r="O52" s="4" t="n"/>
    </row>
    <row r="53">
      <c r="A53" s="4" t="n"/>
      <c r="B53" s="4" t="n"/>
      <c r="C53" s="4" t="n"/>
      <c r="D53" s="4" t="n"/>
      <c r="E53" s="4" t="n"/>
      <c r="F53" s="4" t="n"/>
      <c r="G53" s="4" t="n"/>
      <c r="H53" s="4" t="n"/>
      <c r="I53" s="4" t="n"/>
      <c r="J53" s="4" t="n"/>
      <c r="K53" s="4" t="n"/>
      <c r="L53" s="4" t="n"/>
      <c r="M53" s="4" t="n"/>
      <c r="N53" s="4">
        <f>IF(OR(G53="",H53=""),"",IF(AND(G53="CONFIDENTIAL",H53="Physical Destruction",J53="Yes"),"Yes",IF(G53="PUBLIC","Yes",IF(J53="N/A","Yes","Check"))))</f>
        <v/>
      </c>
      <c r="O53" s="4" t="n"/>
    </row>
    <row r="54">
      <c r="A54" s="4" t="n"/>
      <c r="B54" s="4" t="n"/>
      <c r="C54" s="4" t="n"/>
      <c r="D54" s="4" t="n"/>
      <c r="E54" s="4" t="n"/>
      <c r="F54" s="4" t="n"/>
      <c r="G54" s="4" t="n"/>
      <c r="H54" s="4" t="n"/>
      <c r="I54" s="4" t="n"/>
      <c r="J54" s="4" t="n"/>
      <c r="K54" s="4" t="n"/>
      <c r="L54" s="4" t="n"/>
      <c r="M54" s="4" t="n"/>
      <c r="N54" s="4">
        <f>IF(OR(G54="",H54=""),"",IF(AND(G54="CONFIDENTIAL",H54="Physical Destruction",J54="Yes"),"Yes",IF(G54="PUBLIC","Yes",IF(J54="N/A","Yes","Check"))))</f>
        <v/>
      </c>
      <c r="O54" s="4" t="n"/>
    </row>
    <row r="55">
      <c r="A55" s="4" t="n"/>
      <c r="B55" s="4" t="n"/>
      <c r="C55" s="4" t="n"/>
      <c r="D55" s="4" t="n"/>
      <c r="E55" s="4" t="n"/>
      <c r="F55" s="4" t="n"/>
      <c r="G55" s="4" t="n"/>
      <c r="H55" s="4" t="n"/>
      <c r="I55" s="4" t="n"/>
      <c r="J55" s="4" t="n"/>
      <c r="K55" s="4" t="n"/>
      <c r="L55" s="4" t="n"/>
      <c r="M55" s="4" t="n"/>
      <c r="N55" s="4">
        <f>IF(OR(G55="",H55=""),"",IF(AND(G55="CONFIDENTIAL",H55="Physical Destruction",J55="Yes"),"Yes",IF(G55="PUBLIC","Yes",IF(J55="N/A","Yes","Check"))))</f>
        <v/>
      </c>
      <c r="O55" s="4" t="n"/>
    </row>
    <row r="56">
      <c r="A56" s="4" t="n"/>
      <c r="B56" s="4" t="n"/>
      <c r="C56" s="4" t="n"/>
      <c r="D56" s="4" t="n"/>
      <c r="E56" s="4" t="n"/>
      <c r="F56" s="4" t="n"/>
      <c r="G56" s="4" t="n"/>
      <c r="H56" s="4" t="n"/>
      <c r="I56" s="4" t="n"/>
      <c r="J56" s="4" t="n"/>
      <c r="K56" s="4" t="n"/>
      <c r="L56" s="4" t="n"/>
      <c r="M56" s="4" t="n"/>
      <c r="N56" s="4">
        <f>IF(OR(G56="",H56=""),"",IF(AND(G56="CONFIDENTIAL",H56="Physical Destruction",J56="Yes"),"Yes",IF(G56="PUBLIC","Yes",IF(J56="N/A","Yes","Check"))))</f>
        <v/>
      </c>
      <c r="O56" s="4" t="n"/>
    </row>
    <row r="57">
      <c r="A57" s="4" t="n"/>
      <c r="B57" s="4" t="n"/>
      <c r="C57" s="4" t="n"/>
      <c r="D57" s="4" t="n"/>
      <c r="E57" s="4" t="n"/>
      <c r="F57" s="4" t="n"/>
      <c r="G57" s="4" t="n"/>
      <c r="H57" s="4" t="n"/>
      <c r="I57" s="4" t="n"/>
      <c r="J57" s="4" t="n"/>
      <c r="K57" s="4" t="n"/>
      <c r="L57" s="4" t="n"/>
      <c r="M57" s="4" t="n"/>
      <c r="N57" s="4">
        <f>IF(OR(G57="",H57=""),"",IF(AND(G57="CONFIDENTIAL",H57="Physical Destruction",J57="Yes"),"Yes",IF(G57="PUBLIC","Yes",IF(J57="N/A","Yes","Check"))))</f>
        <v/>
      </c>
      <c r="O57" s="4" t="n"/>
    </row>
    <row r="58">
      <c r="A58" s="4" t="n"/>
      <c r="B58" s="4" t="n"/>
      <c r="C58" s="4" t="n"/>
      <c r="D58" s="4" t="n"/>
      <c r="E58" s="4" t="n"/>
      <c r="F58" s="4" t="n"/>
      <c r="G58" s="4" t="n"/>
      <c r="H58" s="4" t="n"/>
      <c r="I58" s="4" t="n"/>
      <c r="J58" s="4" t="n"/>
      <c r="K58" s="4" t="n"/>
      <c r="L58" s="4" t="n"/>
      <c r="M58" s="4" t="n"/>
      <c r="N58" s="4">
        <f>IF(OR(G58="",H58=""),"",IF(AND(G58="CONFIDENTIAL",H58="Physical Destruction",J58="Yes"),"Yes",IF(G58="PUBLIC","Yes",IF(J58="N/A","Yes","Check"))))</f>
        <v/>
      </c>
      <c r="O58" s="4" t="n"/>
    </row>
    <row r="59">
      <c r="A59" s="4" t="n"/>
      <c r="B59" s="4" t="n"/>
      <c r="C59" s="4" t="n"/>
      <c r="D59" s="4" t="n"/>
      <c r="E59" s="4" t="n"/>
      <c r="F59" s="4" t="n"/>
      <c r="G59" s="4" t="n"/>
      <c r="H59" s="4" t="n"/>
      <c r="I59" s="4" t="n"/>
      <c r="J59" s="4" t="n"/>
      <c r="K59" s="4" t="n"/>
      <c r="L59" s="4" t="n"/>
      <c r="M59" s="4" t="n"/>
      <c r="N59" s="4">
        <f>IF(OR(G59="",H59=""),"",IF(AND(G59="CONFIDENTIAL",H59="Physical Destruction",J59="Yes"),"Yes",IF(G59="PUBLIC","Yes",IF(J59="N/A","Yes","Check"))))</f>
        <v/>
      </c>
      <c r="O59" s="4" t="n"/>
    </row>
    <row r="60">
      <c r="A60" s="4" t="n"/>
      <c r="B60" s="4" t="n"/>
      <c r="C60" s="4" t="n"/>
      <c r="D60" s="4" t="n"/>
      <c r="E60" s="4" t="n"/>
      <c r="F60" s="4" t="n"/>
      <c r="G60" s="4" t="n"/>
      <c r="H60" s="4" t="n"/>
      <c r="I60" s="4" t="n"/>
      <c r="J60" s="4" t="n"/>
      <c r="K60" s="4" t="n"/>
      <c r="L60" s="4" t="n"/>
      <c r="M60" s="4" t="n"/>
      <c r="N60" s="4">
        <f>IF(OR(G60="",H60=""),"",IF(AND(G60="CONFIDENTIAL",H60="Physical Destruction",J60="Yes"),"Yes",IF(G60="PUBLIC","Yes",IF(J60="N/A","Yes","Check"))))</f>
        <v/>
      </c>
      <c r="O60" s="4" t="n"/>
    </row>
    <row r="61">
      <c r="A61" s="4" t="n"/>
      <c r="B61" s="4" t="n"/>
      <c r="C61" s="4" t="n"/>
      <c r="D61" s="4" t="n"/>
      <c r="E61" s="4" t="n"/>
      <c r="F61" s="4" t="n"/>
      <c r="G61" s="4" t="n"/>
      <c r="H61" s="4" t="n"/>
      <c r="I61" s="4" t="n"/>
      <c r="J61" s="4" t="n"/>
      <c r="K61" s="4" t="n"/>
      <c r="L61" s="4" t="n"/>
      <c r="M61" s="4" t="n"/>
      <c r="N61" s="4">
        <f>IF(OR(G61="",H61=""),"",IF(AND(G61="CONFIDENTIAL",H61="Physical Destruction",J61="Yes"),"Yes",IF(G61="PUBLIC","Yes",IF(J61="N/A","Yes","Check"))))</f>
        <v/>
      </c>
      <c r="O61" s="4" t="n"/>
    </row>
    <row r="62">
      <c r="A62" s="4" t="n"/>
      <c r="B62" s="4" t="n"/>
      <c r="C62" s="4" t="n"/>
      <c r="D62" s="4" t="n"/>
      <c r="E62" s="4" t="n"/>
      <c r="F62" s="4" t="n"/>
      <c r="G62" s="4" t="n"/>
      <c r="H62" s="4" t="n"/>
      <c r="I62" s="4" t="n"/>
      <c r="J62" s="4" t="n"/>
      <c r="K62" s="4" t="n"/>
      <c r="L62" s="4" t="n"/>
      <c r="M62" s="4" t="n"/>
      <c r="N62" s="4">
        <f>IF(OR(G62="",H62=""),"",IF(AND(G62="CONFIDENTIAL",H62="Physical Destruction",J62="Yes"),"Yes",IF(G62="PUBLIC","Yes",IF(J62="N/A","Yes","Check"))))</f>
        <v/>
      </c>
      <c r="O62" s="4" t="n"/>
    </row>
    <row r="63">
      <c r="A63" s="4" t="n"/>
      <c r="B63" s="4" t="n"/>
      <c r="C63" s="4" t="n"/>
      <c r="D63" s="4" t="n"/>
      <c r="E63" s="4" t="n"/>
      <c r="F63" s="4" t="n"/>
      <c r="G63" s="4" t="n"/>
      <c r="H63" s="4" t="n"/>
      <c r="I63" s="4" t="n"/>
      <c r="J63" s="4" t="n"/>
      <c r="K63" s="4" t="n"/>
      <c r="L63" s="4" t="n"/>
      <c r="M63" s="4" t="n"/>
      <c r="N63" s="4">
        <f>IF(OR(G63="",H63=""),"",IF(AND(G63="CONFIDENTIAL",H63="Physical Destruction",J63="Yes"),"Yes",IF(G63="PUBLIC","Yes",IF(J63="N/A","Yes","Check"))))</f>
        <v/>
      </c>
      <c r="O63" s="4" t="n"/>
    </row>
    <row r="64">
      <c r="A64" s="4" t="n"/>
      <c r="B64" s="4" t="n"/>
      <c r="C64" s="4" t="n"/>
      <c r="D64" s="4" t="n"/>
      <c r="E64" s="4" t="n"/>
      <c r="F64" s="4" t="n"/>
      <c r="G64" s="4" t="n"/>
      <c r="H64" s="4" t="n"/>
      <c r="I64" s="4" t="n"/>
      <c r="J64" s="4" t="n"/>
      <c r="K64" s="4" t="n"/>
      <c r="L64" s="4" t="n"/>
      <c r="M64" s="4" t="n"/>
      <c r="N64" s="4">
        <f>IF(OR(G64="",H64=""),"",IF(AND(G64="CONFIDENTIAL",H64="Physical Destruction",J64="Yes"),"Yes",IF(G64="PUBLIC","Yes",IF(J64="N/A","Yes","Check"))))</f>
        <v/>
      </c>
      <c r="O64" s="4" t="n"/>
    </row>
    <row r="65">
      <c r="A65" s="4" t="n"/>
      <c r="B65" s="4" t="n"/>
      <c r="C65" s="4" t="n"/>
      <c r="D65" s="4" t="n"/>
      <c r="E65" s="4" t="n"/>
      <c r="F65" s="4" t="n"/>
      <c r="G65" s="4" t="n"/>
      <c r="H65" s="4" t="n"/>
      <c r="I65" s="4" t="n"/>
      <c r="J65" s="4" t="n"/>
      <c r="K65" s="4" t="n"/>
      <c r="L65" s="4" t="n"/>
      <c r="M65" s="4" t="n"/>
      <c r="N65" s="4">
        <f>IF(OR(G65="",H65=""),"",IF(AND(G65="CONFIDENTIAL",H65="Physical Destruction",J65="Yes"),"Yes",IF(G65="PUBLIC","Yes",IF(J65="N/A","Yes","Check"))))</f>
        <v/>
      </c>
      <c r="O65" s="4" t="n"/>
    </row>
    <row r="66">
      <c r="A66" s="4" t="n"/>
      <c r="B66" s="4" t="n"/>
      <c r="C66" s="4" t="n"/>
      <c r="D66" s="4" t="n"/>
      <c r="E66" s="4" t="n"/>
      <c r="F66" s="4" t="n"/>
      <c r="G66" s="4" t="n"/>
      <c r="H66" s="4" t="n"/>
      <c r="I66" s="4" t="n"/>
      <c r="J66" s="4" t="n"/>
      <c r="K66" s="4" t="n"/>
      <c r="L66" s="4" t="n"/>
      <c r="M66" s="4" t="n"/>
      <c r="N66" s="4">
        <f>IF(OR(G66="",H66=""),"",IF(AND(G66="CONFIDENTIAL",H66="Physical Destruction",J66="Yes"),"Yes",IF(G66="PUBLIC","Yes",IF(J66="N/A","Yes","Check"))))</f>
        <v/>
      </c>
      <c r="O66" s="4" t="n"/>
    </row>
    <row r="67">
      <c r="A67" s="4" t="n"/>
      <c r="B67" s="4" t="n"/>
      <c r="C67" s="4" t="n"/>
      <c r="D67" s="4" t="n"/>
      <c r="E67" s="4" t="n"/>
      <c r="F67" s="4" t="n"/>
      <c r="G67" s="4" t="n"/>
      <c r="H67" s="4" t="n"/>
      <c r="I67" s="4" t="n"/>
      <c r="J67" s="4" t="n"/>
      <c r="K67" s="4" t="n"/>
      <c r="L67" s="4" t="n"/>
      <c r="M67" s="4" t="n"/>
      <c r="N67" s="4">
        <f>IF(OR(G67="",H67=""),"",IF(AND(G67="CONFIDENTIAL",H67="Physical Destruction",J67="Yes"),"Yes",IF(G67="PUBLIC","Yes",IF(J67="N/A","Yes","Check"))))</f>
        <v/>
      </c>
      <c r="O67" s="4" t="n"/>
    </row>
    <row r="68">
      <c r="A68" s="4" t="n"/>
      <c r="B68" s="4" t="n"/>
      <c r="C68" s="4" t="n"/>
      <c r="D68" s="4" t="n"/>
      <c r="E68" s="4" t="n"/>
      <c r="F68" s="4" t="n"/>
      <c r="G68" s="4" t="n"/>
      <c r="H68" s="4" t="n"/>
      <c r="I68" s="4" t="n"/>
      <c r="J68" s="4" t="n"/>
      <c r="K68" s="4" t="n"/>
      <c r="L68" s="4" t="n"/>
      <c r="M68" s="4" t="n"/>
      <c r="N68" s="4">
        <f>IF(OR(G68="",H68=""),"",IF(AND(G68="CONFIDENTIAL",H68="Physical Destruction",J68="Yes"),"Yes",IF(G68="PUBLIC","Yes",IF(J68="N/A","Yes","Check"))))</f>
        <v/>
      </c>
      <c r="O68" s="4" t="n"/>
    </row>
    <row r="69">
      <c r="A69" s="4" t="n"/>
      <c r="B69" s="4" t="n"/>
      <c r="C69" s="4" t="n"/>
      <c r="D69" s="4" t="n"/>
      <c r="E69" s="4" t="n"/>
      <c r="F69" s="4" t="n"/>
      <c r="G69" s="4" t="n"/>
      <c r="H69" s="4" t="n"/>
      <c r="I69" s="4" t="n"/>
      <c r="J69" s="4" t="n"/>
      <c r="K69" s="4" t="n"/>
      <c r="L69" s="4" t="n"/>
      <c r="M69" s="4" t="n"/>
      <c r="N69" s="4">
        <f>IF(OR(G69="",H69=""),"",IF(AND(G69="CONFIDENTIAL",H69="Physical Destruction",J69="Yes"),"Yes",IF(G69="PUBLIC","Yes",IF(J69="N/A","Yes","Check"))))</f>
        <v/>
      </c>
      <c r="O69" s="4" t="n"/>
    </row>
    <row r="70">
      <c r="A70" s="4" t="n"/>
      <c r="B70" s="4" t="n"/>
      <c r="C70" s="4" t="n"/>
      <c r="D70" s="4" t="n"/>
      <c r="E70" s="4" t="n"/>
      <c r="F70" s="4" t="n"/>
      <c r="G70" s="4" t="n"/>
      <c r="H70" s="4" t="n"/>
      <c r="I70" s="4" t="n"/>
      <c r="J70" s="4" t="n"/>
      <c r="K70" s="4" t="n"/>
      <c r="L70" s="4" t="n"/>
      <c r="M70" s="4" t="n"/>
      <c r="N70" s="4">
        <f>IF(OR(G70="",H70=""),"",IF(AND(G70="CONFIDENTIAL",H70="Physical Destruction",J70="Yes"),"Yes",IF(G70="PUBLIC","Yes",IF(J70="N/A","Yes","Check"))))</f>
        <v/>
      </c>
      <c r="O70" s="4" t="n"/>
    </row>
    <row r="71">
      <c r="A71" s="4" t="n"/>
      <c r="B71" s="4" t="n"/>
      <c r="C71" s="4" t="n"/>
      <c r="D71" s="4" t="n"/>
      <c r="E71" s="4" t="n"/>
      <c r="F71" s="4" t="n"/>
      <c r="G71" s="4" t="n"/>
      <c r="H71" s="4" t="n"/>
      <c r="I71" s="4" t="n"/>
      <c r="J71" s="4" t="n"/>
      <c r="K71" s="4" t="n"/>
      <c r="L71" s="4" t="n"/>
      <c r="M71" s="4" t="n"/>
      <c r="N71" s="4">
        <f>IF(OR(G71="",H71=""),"",IF(AND(G71="CONFIDENTIAL",H71="Physical Destruction",J71="Yes"),"Yes",IF(G71="PUBLIC","Yes",IF(J71="N/A","Yes","Check"))))</f>
        <v/>
      </c>
      <c r="O71" s="4" t="n"/>
    </row>
    <row r="72">
      <c r="A72" s="4" t="n"/>
      <c r="B72" s="4" t="n"/>
      <c r="C72" s="4" t="n"/>
      <c r="D72" s="4" t="n"/>
      <c r="E72" s="4" t="n"/>
      <c r="F72" s="4" t="n"/>
      <c r="G72" s="4" t="n"/>
      <c r="H72" s="4" t="n"/>
      <c r="I72" s="4" t="n"/>
      <c r="J72" s="4" t="n"/>
      <c r="K72" s="4" t="n"/>
      <c r="L72" s="4" t="n"/>
      <c r="M72" s="4" t="n"/>
      <c r="N72" s="4">
        <f>IF(OR(G72="",H72=""),"",IF(AND(G72="CONFIDENTIAL",H72="Physical Destruction",J72="Yes"),"Yes",IF(G72="PUBLIC","Yes",IF(J72="N/A","Yes","Check"))))</f>
        <v/>
      </c>
      <c r="O72" s="4" t="n"/>
    </row>
    <row r="73">
      <c r="A73" s="4" t="n"/>
      <c r="B73" s="4" t="n"/>
      <c r="C73" s="4" t="n"/>
      <c r="D73" s="4" t="n"/>
      <c r="E73" s="4" t="n"/>
      <c r="F73" s="4" t="n"/>
      <c r="G73" s="4" t="n"/>
      <c r="H73" s="4" t="n"/>
      <c r="I73" s="4" t="n"/>
      <c r="J73" s="4" t="n"/>
      <c r="K73" s="4" t="n"/>
      <c r="L73" s="4" t="n"/>
      <c r="M73" s="4" t="n"/>
      <c r="N73" s="4">
        <f>IF(OR(G73="",H73=""),"",IF(AND(G73="CONFIDENTIAL",H73="Physical Destruction",J73="Yes"),"Yes",IF(G73="PUBLIC","Yes",IF(J73="N/A","Yes","Check"))))</f>
        <v/>
      </c>
      <c r="O73" s="4" t="n"/>
    </row>
    <row r="74">
      <c r="A74" s="4" t="n"/>
      <c r="B74" s="4" t="n"/>
      <c r="C74" s="4" t="n"/>
      <c r="D74" s="4" t="n"/>
      <c r="E74" s="4" t="n"/>
      <c r="F74" s="4" t="n"/>
      <c r="G74" s="4" t="n"/>
      <c r="H74" s="4" t="n"/>
      <c r="I74" s="4" t="n"/>
      <c r="J74" s="4" t="n"/>
      <c r="K74" s="4" t="n"/>
      <c r="L74" s="4" t="n"/>
      <c r="M74" s="4" t="n"/>
      <c r="N74" s="4">
        <f>IF(OR(G74="",H74=""),"",IF(AND(G74="CONFIDENTIAL",H74="Physical Destruction",J74="Yes"),"Yes",IF(G74="PUBLIC","Yes",IF(J74="N/A","Yes","Check"))))</f>
        <v/>
      </c>
      <c r="O74" s="4" t="n"/>
    </row>
    <row r="75">
      <c r="A75" s="4" t="n"/>
      <c r="B75" s="4" t="n"/>
      <c r="C75" s="4" t="n"/>
      <c r="D75" s="4" t="n"/>
      <c r="E75" s="4" t="n"/>
      <c r="F75" s="4" t="n"/>
      <c r="G75" s="4" t="n"/>
      <c r="H75" s="4" t="n"/>
      <c r="I75" s="4" t="n"/>
      <c r="J75" s="4" t="n"/>
      <c r="K75" s="4" t="n"/>
      <c r="L75" s="4" t="n"/>
      <c r="M75" s="4" t="n"/>
      <c r="N75" s="4">
        <f>IF(OR(G75="",H75=""),"",IF(AND(G75="CONFIDENTIAL",H75="Physical Destruction",J75="Yes"),"Yes",IF(G75="PUBLIC","Yes",IF(J75="N/A","Yes","Check"))))</f>
        <v/>
      </c>
      <c r="O75" s="4" t="n"/>
    </row>
    <row r="76">
      <c r="A76" s="4" t="n"/>
      <c r="B76" s="4" t="n"/>
      <c r="C76" s="4" t="n"/>
      <c r="D76" s="4" t="n"/>
      <c r="E76" s="4" t="n"/>
      <c r="F76" s="4" t="n"/>
      <c r="G76" s="4" t="n"/>
      <c r="H76" s="4" t="n"/>
      <c r="I76" s="4" t="n"/>
      <c r="J76" s="4" t="n"/>
      <c r="K76" s="4" t="n"/>
      <c r="L76" s="4" t="n"/>
      <c r="M76" s="4" t="n"/>
      <c r="N76" s="4">
        <f>IF(OR(G76="",H76=""),"",IF(AND(G76="CONFIDENTIAL",H76="Physical Destruction",J76="Yes"),"Yes",IF(G76="PUBLIC","Yes",IF(J76="N/A","Yes","Check"))))</f>
        <v/>
      </c>
      <c r="O76" s="4" t="n"/>
    </row>
    <row r="77">
      <c r="A77" s="4" t="n"/>
      <c r="B77" s="4" t="n"/>
      <c r="C77" s="4" t="n"/>
      <c r="D77" s="4" t="n"/>
      <c r="E77" s="4" t="n"/>
      <c r="F77" s="4" t="n"/>
      <c r="G77" s="4" t="n"/>
      <c r="H77" s="4" t="n"/>
      <c r="I77" s="4" t="n"/>
      <c r="J77" s="4" t="n"/>
      <c r="K77" s="4" t="n"/>
      <c r="L77" s="4" t="n"/>
      <c r="M77" s="4" t="n"/>
      <c r="N77" s="4">
        <f>IF(OR(G77="",H77=""),"",IF(AND(G77="CONFIDENTIAL",H77="Physical Destruction",J77="Yes"),"Yes",IF(G77="PUBLIC","Yes",IF(J77="N/A","Yes","Check"))))</f>
        <v/>
      </c>
      <c r="O77" s="4" t="n"/>
    </row>
    <row r="78">
      <c r="A78" s="4" t="n"/>
      <c r="B78" s="4" t="n"/>
      <c r="C78" s="4" t="n"/>
      <c r="D78" s="4" t="n"/>
      <c r="E78" s="4" t="n"/>
      <c r="F78" s="4" t="n"/>
      <c r="G78" s="4" t="n"/>
      <c r="H78" s="4" t="n"/>
      <c r="I78" s="4" t="n"/>
      <c r="J78" s="4" t="n"/>
      <c r="K78" s="4" t="n"/>
      <c r="L78" s="4" t="n"/>
      <c r="M78" s="4" t="n"/>
      <c r="N78" s="4">
        <f>IF(OR(G78="",H78=""),"",IF(AND(G78="CONFIDENTIAL",H78="Physical Destruction",J78="Yes"),"Yes",IF(G78="PUBLIC","Yes",IF(J78="N/A","Yes","Check"))))</f>
        <v/>
      </c>
      <c r="O78" s="4" t="n"/>
    </row>
    <row r="79">
      <c r="A79" s="4" t="n"/>
      <c r="B79" s="4" t="n"/>
      <c r="C79" s="4" t="n"/>
      <c r="D79" s="4" t="n"/>
      <c r="E79" s="4" t="n"/>
      <c r="F79" s="4" t="n"/>
      <c r="G79" s="4" t="n"/>
      <c r="H79" s="4" t="n"/>
      <c r="I79" s="4" t="n"/>
      <c r="J79" s="4" t="n"/>
      <c r="K79" s="4" t="n"/>
      <c r="L79" s="4" t="n"/>
      <c r="M79" s="4" t="n"/>
      <c r="N79" s="4">
        <f>IF(OR(G79="",H79=""),"",IF(AND(G79="CONFIDENTIAL",H79="Physical Destruction",J79="Yes"),"Yes",IF(G79="PUBLIC","Yes",IF(J79="N/A","Yes","Check"))))</f>
        <v/>
      </c>
      <c r="O79" s="4" t="n"/>
    </row>
    <row r="80">
      <c r="A80" s="4" t="n"/>
      <c r="B80" s="4" t="n"/>
      <c r="C80" s="4" t="n"/>
      <c r="D80" s="4" t="n"/>
      <c r="E80" s="4" t="n"/>
      <c r="F80" s="4" t="n"/>
      <c r="G80" s="4" t="n"/>
      <c r="H80" s="4" t="n"/>
      <c r="I80" s="4" t="n"/>
      <c r="J80" s="4" t="n"/>
      <c r="K80" s="4" t="n"/>
      <c r="L80" s="4" t="n"/>
      <c r="M80" s="4" t="n"/>
      <c r="N80" s="4">
        <f>IF(OR(G80="",H80=""),"",IF(AND(G80="CONFIDENTIAL",H80="Physical Destruction",J80="Yes"),"Yes",IF(G80="PUBLIC","Yes",IF(J80="N/A","Yes","Check"))))</f>
        <v/>
      </c>
      <c r="O80" s="4" t="n"/>
    </row>
    <row r="81">
      <c r="A81" s="4" t="n"/>
      <c r="B81" s="4" t="n"/>
      <c r="C81" s="4" t="n"/>
      <c r="D81" s="4" t="n"/>
      <c r="E81" s="4" t="n"/>
      <c r="F81" s="4" t="n"/>
      <c r="G81" s="4" t="n"/>
      <c r="H81" s="4" t="n"/>
      <c r="I81" s="4" t="n"/>
      <c r="J81" s="4" t="n"/>
      <c r="K81" s="4" t="n"/>
      <c r="L81" s="4" t="n"/>
      <c r="M81" s="4" t="n"/>
      <c r="N81" s="4">
        <f>IF(OR(G81="",H81=""),"",IF(AND(G81="CONFIDENTIAL",H81="Physical Destruction",J81="Yes"),"Yes",IF(G81="PUBLIC","Yes",IF(J81="N/A","Yes","Check"))))</f>
        <v/>
      </c>
      <c r="O81" s="4" t="n"/>
    </row>
    <row r="82">
      <c r="A82" s="4" t="n"/>
      <c r="B82" s="4" t="n"/>
      <c r="C82" s="4" t="n"/>
      <c r="D82" s="4" t="n"/>
      <c r="E82" s="4" t="n"/>
      <c r="F82" s="4" t="n"/>
      <c r="G82" s="4" t="n"/>
      <c r="H82" s="4" t="n"/>
      <c r="I82" s="4" t="n"/>
      <c r="J82" s="4" t="n"/>
      <c r="K82" s="4" t="n"/>
      <c r="L82" s="4" t="n"/>
      <c r="M82" s="4" t="n"/>
      <c r="N82" s="4">
        <f>IF(OR(G82="",H82=""),"",IF(AND(G82="CONFIDENTIAL",H82="Physical Destruction",J82="Yes"),"Yes",IF(G82="PUBLIC","Yes",IF(J82="N/A","Yes","Check"))))</f>
        <v/>
      </c>
      <c r="O82" s="4" t="n"/>
    </row>
    <row r="83">
      <c r="A83" s="4" t="n"/>
      <c r="B83" s="4" t="n"/>
      <c r="C83" s="4" t="n"/>
      <c r="D83" s="4" t="n"/>
      <c r="E83" s="4" t="n"/>
      <c r="F83" s="4" t="n"/>
      <c r="G83" s="4" t="n"/>
      <c r="H83" s="4" t="n"/>
      <c r="I83" s="4" t="n"/>
      <c r="J83" s="4" t="n"/>
      <c r="K83" s="4" t="n"/>
      <c r="L83" s="4" t="n"/>
      <c r="M83" s="4" t="n"/>
      <c r="N83" s="4">
        <f>IF(OR(G83="",H83=""),"",IF(AND(G83="CONFIDENTIAL",H83="Physical Destruction",J83="Yes"),"Yes",IF(G83="PUBLIC","Yes",IF(J83="N/A","Yes","Check"))))</f>
        <v/>
      </c>
      <c r="O83" s="4" t="n"/>
    </row>
    <row r="84">
      <c r="A84" s="4" t="n"/>
      <c r="B84" s="4" t="n"/>
      <c r="C84" s="4" t="n"/>
      <c r="D84" s="4" t="n"/>
      <c r="E84" s="4" t="n"/>
      <c r="F84" s="4" t="n"/>
      <c r="G84" s="4" t="n"/>
      <c r="H84" s="4" t="n"/>
      <c r="I84" s="4" t="n"/>
      <c r="J84" s="4" t="n"/>
      <c r="K84" s="4" t="n"/>
      <c r="L84" s="4" t="n"/>
      <c r="M84" s="4" t="n"/>
      <c r="N84" s="4">
        <f>IF(OR(G84="",H84=""),"",IF(AND(G84="CONFIDENTIAL",H84="Physical Destruction",J84="Yes"),"Yes",IF(G84="PUBLIC","Yes",IF(J84="N/A","Yes","Check"))))</f>
        <v/>
      </c>
      <c r="O84" s="4" t="n"/>
    </row>
    <row r="85">
      <c r="A85" s="4" t="n"/>
      <c r="B85" s="4" t="n"/>
      <c r="C85" s="4" t="n"/>
      <c r="D85" s="4" t="n"/>
      <c r="E85" s="4" t="n"/>
      <c r="F85" s="4" t="n"/>
      <c r="G85" s="4" t="n"/>
      <c r="H85" s="4" t="n"/>
      <c r="I85" s="4" t="n"/>
      <c r="J85" s="4" t="n"/>
      <c r="K85" s="4" t="n"/>
      <c r="L85" s="4" t="n"/>
      <c r="M85" s="4" t="n"/>
      <c r="N85" s="4">
        <f>IF(OR(G85="",H85=""),"",IF(AND(G85="CONFIDENTIAL",H85="Physical Destruction",J85="Yes"),"Yes",IF(G85="PUBLIC","Yes",IF(J85="N/A","Yes","Check"))))</f>
        <v/>
      </c>
      <c r="O85" s="4" t="n"/>
    </row>
    <row r="86">
      <c r="A86" s="4" t="n"/>
      <c r="B86" s="4" t="n"/>
      <c r="C86" s="4" t="n"/>
      <c r="D86" s="4" t="n"/>
      <c r="E86" s="4" t="n"/>
      <c r="F86" s="4" t="n"/>
      <c r="G86" s="4" t="n"/>
      <c r="H86" s="4" t="n"/>
      <c r="I86" s="4" t="n"/>
      <c r="J86" s="4" t="n"/>
      <c r="K86" s="4" t="n"/>
      <c r="L86" s="4" t="n"/>
      <c r="M86" s="4" t="n"/>
      <c r="N86" s="4">
        <f>IF(OR(G86="",H86=""),"",IF(AND(G86="CONFIDENTIAL",H86="Physical Destruction",J86="Yes"),"Yes",IF(G86="PUBLIC","Yes",IF(J86="N/A","Yes","Check"))))</f>
        <v/>
      </c>
      <c r="O86" s="4" t="n"/>
    </row>
    <row r="87">
      <c r="A87" s="4" t="n"/>
      <c r="B87" s="4" t="n"/>
      <c r="C87" s="4" t="n"/>
      <c r="D87" s="4" t="n"/>
      <c r="E87" s="4" t="n"/>
      <c r="F87" s="4" t="n"/>
      <c r="G87" s="4" t="n"/>
      <c r="H87" s="4" t="n"/>
      <c r="I87" s="4" t="n"/>
      <c r="J87" s="4" t="n"/>
      <c r="K87" s="4" t="n"/>
      <c r="L87" s="4" t="n"/>
      <c r="M87" s="4" t="n"/>
      <c r="N87" s="4">
        <f>IF(OR(G87="",H87=""),"",IF(AND(G87="CONFIDENTIAL",H87="Physical Destruction",J87="Yes"),"Yes",IF(G87="PUBLIC","Yes",IF(J87="N/A","Yes","Check"))))</f>
        <v/>
      </c>
      <c r="O87" s="4" t="n"/>
    </row>
    <row r="88">
      <c r="A88" s="4" t="n"/>
      <c r="B88" s="4" t="n"/>
      <c r="C88" s="4" t="n"/>
      <c r="D88" s="4" t="n"/>
      <c r="E88" s="4" t="n"/>
      <c r="F88" s="4" t="n"/>
      <c r="G88" s="4" t="n"/>
      <c r="H88" s="4" t="n"/>
      <c r="I88" s="4" t="n"/>
      <c r="J88" s="4" t="n"/>
      <c r="K88" s="4" t="n"/>
      <c r="L88" s="4" t="n"/>
      <c r="M88" s="4" t="n"/>
      <c r="N88" s="4">
        <f>IF(OR(G88="",H88=""),"",IF(AND(G88="CONFIDENTIAL",H88="Physical Destruction",J88="Yes"),"Yes",IF(G88="PUBLIC","Yes",IF(J88="N/A","Yes","Check"))))</f>
        <v/>
      </c>
      <c r="O88" s="4" t="n"/>
    </row>
    <row r="89">
      <c r="A89" s="4" t="n"/>
      <c r="B89" s="4" t="n"/>
      <c r="C89" s="4" t="n"/>
      <c r="D89" s="4" t="n"/>
      <c r="E89" s="4" t="n"/>
      <c r="F89" s="4" t="n"/>
      <c r="G89" s="4" t="n"/>
      <c r="H89" s="4" t="n"/>
      <c r="I89" s="4" t="n"/>
      <c r="J89" s="4" t="n"/>
      <c r="K89" s="4" t="n"/>
      <c r="L89" s="4" t="n"/>
      <c r="M89" s="4" t="n"/>
      <c r="N89" s="4">
        <f>IF(OR(G89="",H89=""),"",IF(AND(G89="CONFIDENTIAL",H89="Physical Destruction",J89="Yes"),"Yes",IF(G89="PUBLIC","Yes",IF(J89="N/A","Yes","Check"))))</f>
        <v/>
      </c>
      <c r="O89" s="4" t="n"/>
    </row>
    <row r="90">
      <c r="A90" s="4" t="n"/>
      <c r="B90" s="4" t="n"/>
      <c r="C90" s="4" t="n"/>
      <c r="D90" s="4" t="n"/>
      <c r="E90" s="4" t="n"/>
      <c r="F90" s="4" t="n"/>
      <c r="G90" s="4" t="n"/>
      <c r="H90" s="4" t="n"/>
      <c r="I90" s="4" t="n"/>
      <c r="J90" s="4" t="n"/>
      <c r="K90" s="4" t="n"/>
      <c r="L90" s="4" t="n"/>
      <c r="M90" s="4" t="n"/>
      <c r="N90" s="4">
        <f>IF(OR(G90="",H90=""),"",IF(AND(G90="CONFIDENTIAL",H90="Physical Destruction",J90="Yes"),"Yes",IF(G90="PUBLIC","Yes",IF(J90="N/A","Yes","Check"))))</f>
        <v/>
      </c>
      <c r="O90" s="4" t="n"/>
    </row>
    <row r="91">
      <c r="A91" s="4" t="n"/>
      <c r="B91" s="4" t="n"/>
      <c r="C91" s="4" t="n"/>
      <c r="D91" s="4" t="n"/>
      <c r="E91" s="4" t="n"/>
      <c r="F91" s="4" t="n"/>
      <c r="G91" s="4" t="n"/>
      <c r="H91" s="4" t="n"/>
      <c r="I91" s="4" t="n"/>
      <c r="J91" s="4" t="n"/>
      <c r="K91" s="4" t="n"/>
      <c r="L91" s="4" t="n"/>
      <c r="M91" s="4" t="n"/>
      <c r="N91" s="4">
        <f>IF(OR(G91="",H91=""),"",IF(AND(G91="CONFIDENTIAL",H91="Physical Destruction",J91="Yes"),"Yes",IF(G91="PUBLIC","Yes",IF(J91="N/A","Yes","Check"))))</f>
        <v/>
      </c>
      <c r="O91" s="4" t="n"/>
    </row>
    <row r="92">
      <c r="A92" s="4" t="n"/>
      <c r="B92" s="4" t="n"/>
      <c r="C92" s="4" t="n"/>
      <c r="D92" s="4" t="n"/>
      <c r="E92" s="4" t="n"/>
      <c r="F92" s="4" t="n"/>
      <c r="G92" s="4" t="n"/>
      <c r="H92" s="4" t="n"/>
      <c r="I92" s="4" t="n"/>
      <c r="J92" s="4" t="n"/>
      <c r="K92" s="4" t="n"/>
      <c r="L92" s="4" t="n"/>
      <c r="M92" s="4" t="n"/>
      <c r="N92" s="4">
        <f>IF(OR(G92="",H92=""),"",IF(AND(G92="CONFIDENTIAL",H92="Physical Destruction",J92="Yes"),"Yes",IF(G92="PUBLIC","Yes",IF(J92="N/A","Yes","Check"))))</f>
        <v/>
      </c>
      <c r="O92" s="4" t="n"/>
    </row>
    <row r="93">
      <c r="A93" s="4" t="n"/>
      <c r="B93" s="4" t="n"/>
      <c r="C93" s="4" t="n"/>
      <c r="D93" s="4" t="n"/>
      <c r="E93" s="4" t="n"/>
      <c r="F93" s="4" t="n"/>
      <c r="G93" s="4" t="n"/>
      <c r="H93" s="4" t="n"/>
      <c r="I93" s="4" t="n"/>
      <c r="J93" s="4" t="n"/>
      <c r="K93" s="4" t="n"/>
      <c r="L93" s="4" t="n"/>
      <c r="M93" s="4" t="n"/>
      <c r="N93" s="4">
        <f>IF(OR(G93="",H93=""),"",IF(AND(G93="CONFIDENTIAL",H93="Physical Destruction",J93="Yes"),"Yes",IF(G93="PUBLIC","Yes",IF(J93="N/A","Yes","Check"))))</f>
        <v/>
      </c>
      <c r="O93" s="4" t="n"/>
    </row>
    <row r="94">
      <c r="A94" s="4" t="n"/>
      <c r="B94" s="4" t="n"/>
      <c r="C94" s="4" t="n"/>
      <c r="D94" s="4" t="n"/>
      <c r="E94" s="4" t="n"/>
      <c r="F94" s="4" t="n"/>
      <c r="G94" s="4" t="n"/>
      <c r="H94" s="4" t="n"/>
      <c r="I94" s="4" t="n"/>
      <c r="J94" s="4" t="n"/>
      <c r="K94" s="4" t="n"/>
      <c r="L94" s="4" t="n"/>
      <c r="M94" s="4" t="n"/>
      <c r="N94" s="4">
        <f>IF(OR(G94="",H94=""),"",IF(AND(G94="CONFIDENTIAL",H94="Physical Destruction",J94="Yes"),"Yes",IF(G94="PUBLIC","Yes",IF(J94="N/A","Yes","Check"))))</f>
        <v/>
      </c>
      <c r="O94" s="4" t="n"/>
    </row>
    <row r="95">
      <c r="A95" s="4" t="n"/>
      <c r="B95" s="4" t="n"/>
      <c r="C95" s="4" t="n"/>
      <c r="D95" s="4" t="n"/>
      <c r="E95" s="4" t="n"/>
      <c r="F95" s="4" t="n"/>
      <c r="G95" s="4" t="n"/>
      <c r="H95" s="4" t="n"/>
      <c r="I95" s="4" t="n"/>
      <c r="J95" s="4" t="n"/>
      <c r="K95" s="4" t="n"/>
      <c r="L95" s="4" t="n"/>
      <c r="M95" s="4" t="n"/>
      <c r="N95" s="4">
        <f>IF(OR(G95="",H95=""),"",IF(AND(G95="CONFIDENTIAL",H95="Physical Destruction",J95="Yes"),"Yes",IF(G95="PUBLIC","Yes",IF(J95="N/A","Yes","Check"))))</f>
        <v/>
      </c>
      <c r="O95" s="4" t="n"/>
    </row>
    <row r="96">
      <c r="A96" s="4" t="n"/>
      <c r="B96" s="4" t="n"/>
      <c r="C96" s="4" t="n"/>
      <c r="D96" s="4" t="n"/>
      <c r="E96" s="4" t="n"/>
      <c r="F96" s="4" t="n"/>
      <c r="G96" s="4" t="n"/>
      <c r="H96" s="4" t="n"/>
      <c r="I96" s="4" t="n"/>
      <c r="J96" s="4" t="n"/>
      <c r="K96" s="4" t="n"/>
      <c r="L96" s="4" t="n"/>
      <c r="M96" s="4" t="n"/>
      <c r="N96" s="4">
        <f>IF(OR(G96="",H96=""),"",IF(AND(G96="CONFIDENTIAL",H96="Physical Destruction",J96="Yes"),"Yes",IF(G96="PUBLIC","Yes",IF(J96="N/A","Yes","Check"))))</f>
        <v/>
      </c>
      <c r="O96" s="4" t="n"/>
    </row>
    <row r="97">
      <c r="A97" s="4" t="n"/>
      <c r="B97" s="4" t="n"/>
      <c r="C97" s="4" t="n"/>
      <c r="D97" s="4" t="n"/>
      <c r="E97" s="4" t="n"/>
      <c r="F97" s="4" t="n"/>
      <c r="G97" s="4" t="n"/>
      <c r="H97" s="4" t="n"/>
      <c r="I97" s="4" t="n"/>
      <c r="J97" s="4" t="n"/>
      <c r="K97" s="4" t="n"/>
      <c r="L97" s="4" t="n"/>
      <c r="M97" s="4" t="n"/>
      <c r="N97" s="4">
        <f>IF(OR(G97="",H97=""),"",IF(AND(G97="CONFIDENTIAL",H97="Physical Destruction",J97="Yes"),"Yes",IF(G97="PUBLIC","Yes",IF(J97="N/A","Yes","Check"))))</f>
        <v/>
      </c>
      <c r="O97" s="4" t="n"/>
    </row>
    <row r="98">
      <c r="A98" s="4" t="n"/>
      <c r="B98" s="4" t="n"/>
      <c r="C98" s="4" t="n"/>
      <c r="D98" s="4" t="n"/>
      <c r="E98" s="4" t="n"/>
      <c r="F98" s="4" t="n"/>
      <c r="G98" s="4" t="n"/>
      <c r="H98" s="4" t="n"/>
      <c r="I98" s="4" t="n"/>
      <c r="J98" s="4" t="n"/>
      <c r="K98" s="4" t="n"/>
      <c r="L98" s="4" t="n"/>
      <c r="M98" s="4" t="n"/>
      <c r="N98" s="4">
        <f>IF(OR(G98="",H98=""),"",IF(AND(G98="CONFIDENTIAL",H98="Physical Destruction",J98="Yes"),"Yes",IF(G98="PUBLIC","Yes",IF(J98="N/A","Yes","Check"))))</f>
        <v/>
      </c>
      <c r="O98" s="4" t="n"/>
    </row>
    <row r="99">
      <c r="A99" s="4" t="n"/>
      <c r="B99" s="4" t="n"/>
      <c r="C99" s="4" t="n"/>
      <c r="D99" s="4" t="n"/>
      <c r="E99" s="4" t="n"/>
      <c r="F99" s="4" t="n"/>
      <c r="G99" s="4" t="n"/>
      <c r="H99" s="4" t="n"/>
      <c r="I99" s="4" t="n"/>
      <c r="J99" s="4" t="n"/>
      <c r="K99" s="4" t="n"/>
      <c r="L99" s="4" t="n"/>
      <c r="M99" s="4" t="n"/>
      <c r="N99" s="4">
        <f>IF(OR(G99="",H99=""),"",IF(AND(G99="CONFIDENTIAL",H99="Physical Destruction",J99="Yes"),"Yes",IF(G99="PUBLIC","Yes",IF(J99="N/A","Yes","Check"))))</f>
        <v/>
      </c>
      <c r="O99" s="4" t="n"/>
    </row>
    <row r="100">
      <c r="A100" s="4" t="n"/>
      <c r="B100" s="4" t="n"/>
      <c r="C100" s="4" t="n"/>
      <c r="D100" s="4" t="n"/>
      <c r="E100" s="4" t="n"/>
      <c r="F100" s="4" t="n"/>
      <c r="G100" s="4" t="n"/>
      <c r="H100" s="4" t="n"/>
      <c r="I100" s="4" t="n"/>
      <c r="J100" s="4" t="n"/>
      <c r="K100" s="4" t="n"/>
      <c r="L100" s="4" t="n"/>
      <c r="M100" s="4" t="n"/>
      <c r="N100" s="4">
        <f>IF(OR(G100="",H100=""),"",IF(AND(G100="CONFIDENTIAL",H100="Physical Destruction",J100="Yes"),"Yes",IF(G100="PUBLIC","Yes",IF(J100="N/A","Yes","Check"))))</f>
        <v/>
      </c>
      <c r="O100" s="4" t="n"/>
    </row>
    <row r="101">
      <c r="A101" s="4" t="n"/>
      <c r="B101" s="4" t="n"/>
      <c r="C101" s="4" t="n"/>
      <c r="D101" s="4" t="n"/>
      <c r="E101" s="4" t="n"/>
      <c r="F101" s="4" t="n"/>
      <c r="G101" s="4" t="n"/>
      <c r="H101" s="4" t="n"/>
      <c r="I101" s="4" t="n"/>
      <c r="J101" s="4" t="n"/>
      <c r="K101" s="4" t="n"/>
      <c r="L101" s="4" t="n"/>
      <c r="M101" s="4" t="n"/>
      <c r="N101" s="4">
        <f>IF(OR(G101="",H101=""),"",IF(AND(G101="CONFIDENTIAL",H101="Physical Destruction",J101="Yes"),"Yes",IF(G101="PUBLIC","Yes",IF(J101="N/A","Yes","Check"))))</f>
        <v/>
      </c>
      <c r="O101" s="4" t="n"/>
    </row>
    <row r="102">
      <c r="A102" s="4" t="n"/>
      <c r="B102" s="4" t="n"/>
      <c r="C102" s="4" t="n"/>
      <c r="D102" s="4" t="n"/>
      <c r="E102" s="4" t="n"/>
      <c r="F102" s="4" t="n"/>
      <c r="G102" s="4" t="n"/>
      <c r="H102" s="4" t="n"/>
      <c r="I102" s="4" t="n"/>
      <c r="J102" s="4" t="n"/>
      <c r="K102" s="4" t="n"/>
      <c r="L102" s="4" t="n"/>
      <c r="M102" s="4" t="n"/>
      <c r="N102" s="4">
        <f>IF(OR(G102="",H102=""),"",IF(AND(G102="CONFIDENTIAL",H102="Physical Destruction",J102="Yes"),"Yes",IF(G102="PUBLIC","Yes",IF(J102="N/A","Yes","Check"))))</f>
        <v/>
      </c>
      <c r="O102" s="4" t="n"/>
    </row>
    <row r="103">
      <c r="A103" s="4" t="n"/>
      <c r="B103" s="4" t="n"/>
      <c r="C103" s="4" t="n"/>
      <c r="D103" s="4" t="n"/>
      <c r="E103" s="4" t="n"/>
      <c r="F103" s="4" t="n"/>
      <c r="G103" s="4" t="n"/>
      <c r="H103" s="4" t="n"/>
      <c r="I103" s="4" t="n"/>
      <c r="J103" s="4" t="n"/>
      <c r="K103" s="4" t="n"/>
      <c r="L103" s="4" t="n"/>
      <c r="M103" s="4" t="n"/>
      <c r="N103" s="4">
        <f>IF(OR(G103="",H103=""),"",IF(AND(G103="CONFIDENTIAL",H103="Physical Destruction",J103="Yes"),"Yes",IF(G103="PUBLIC","Yes",IF(J103="N/A","Yes","Check"))))</f>
        <v/>
      </c>
      <c r="O103" s="4" t="n"/>
    </row>
    <row r="104">
      <c r="A104" s="4" t="n"/>
      <c r="B104" s="4" t="n"/>
      <c r="C104" s="4" t="n"/>
      <c r="D104" s="4" t="n"/>
      <c r="E104" s="4" t="n"/>
      <c r="F104" s="4" t="n"/>
      <c r="G104" s="4" t="n"/>
      <c r="H104" s="4" t="n"/>
      <c r="I104" s="4" t="n"/>
      <c r="J104" s="4" t="n"/>
      <c r="K104" s="4" t="n"/>
      <c r="L104" s="4" t="n"/>
      <c r="M104" s="4" t="n"/>
      <c r="N104" s="4">
        <f>IF(OR(G104="",H104=""),"",IF(AND(G104="CONFIDENTIAL",H104="Physical Destruction",J104="Yes"),"Yes",IF(G104="PUBLIC","Yes",IF(J104="N/A","Yes","Check"))))</f>
        <v/>
      </c>
      <c r="O104" s="4" t="n"/>
    </row>
    <row r="105">
      <c r="A105" s="4" t="n"/>
      <c r="B105" s="4" t="n"/>
      <c r="C105" s="4" t="n"/>
      <c r="D105" s="4" t="n"/>
      <c r="E105" s="4" t="n"/>
      <c r="F105" s="4" t="n"/>
      <c r="G105" s="4" t="n"/>
      <c r="H105" s="4" t="n"/>
      <c r="I105" s="4" t="n"/>
      <c r="J105" s="4" t="n"/>
      <c r="K105" s="4" t="n"/>
      <c r="L105" s="4" t="n"/>
      <c r="M105" s="4" t="n"/>
      <c r="N105" s="4">
        <f>IF(OR(G105="",H105=""),"",IF(AND(G105="CONFIDENTIAL",H105="Physical Destruction",J105="Yes"),"Yes",IF(G105="PUBLIC","Yes",IF(J105="N/A","Yes","Check"))))</f>
        <v/>
      </c>
      <c r="O105" s="4" t="n"/>
    </row>
    <row r="106">
      <c r="A106" s="4" t="n"/>
      <c r="B106" s="4" t="n"/>
      <c r="C106" s="4" t="n"/>
      <c r="D106" s="4" t="n"/>
      <c r="E106" s="4" t="n"/>
      <c r="F106" s="4" t="n"/>
      <c r="G106" s="4" t="n"/>
      <c r="H106" s="4" t="n"/>
      <c r="I106" s="4" t="n"/>
      <c r="J106" s="4" t="n"/>
      <c r="K106" s="4" t="n"/>
      <c r="L106" s="4" t="n"/>
      <c r="M106" s="4" t="n"/>
      <c r="N106" s="4">
        <f>IF(OR(G106="",H106=""),"",IF(AND(G106="CONFIDENTIAL",H106="Physical Destruction",J106="Yes"),"Yes",IF(G106="PUBLIC","Yes",IF(J106="N/A","Yes","Check"))))</f>
        <v/>
      </c>
      <c r="O106" s="4" t="n"/>
    </row>
    <row r="107">
      <c r="A107" s="4" t="n"/>
      <c r="B107" s="4" t="n"/>
      <c r="C107" s="4" t="n"/>
      <c r="D107" s="4" t="n"/>
      <c r="E107" s="4" t="n"/>
      <c r="F107" s="4" t="n"/>
      <c r="G107" s="4" t="n"/>
      <c r="H107" s="4" t="n"/>
      <c r="I107" s="4" t="n"/>
      <c r="J107" s="4" t="n"/>
      <c r="K107" s="4" t="n"/>
      <c r="L107" s="4" t="n"/>
      <c r="M107" s="4" t="n"/>
      <c r="N107" s="4">
        <f>IF(OR(G107="",H107=""),"",IF(AND(G107="CONFIDENTIAL",H107="Physical Destruction",J107="Yes"),"Yes",IF(G107="PUBLIC","Yes",IF(J107="N/A","Yes","Check"))))</f>
        <v/>
      </c>
      <c r="O107" s="4" t="n"/>
    </row>
    <row r="108">
      <c r="A108" s="4" t="n"/>
      <c r="B108" s="4" t="n"/>
      <c r="C108" s="4" t="n"/>
      <c r="D108" s="4" t="n"/>
      <c r="E108" s="4" t="n"/>
      <c r="F108" s="4" t="n"/>
      <c r="G108" s="4" t="n"/>
      <c r="H108" s="4" t="n"/>
      <c r="I108" s="4" t="n"/>
      <c r="J108" s="4" t="n"/>
      <c r="K108" s="4" t="n"/>
      <c r="L108" s="4" t="n"/>
      <c r="M108" s="4" t="n"/>
      <c r="N108" s="4">
        <f>IF(OR(G108="",H108=""),"",IF(AND(G108="CONFIDENTIAL",H108="Physical Destruction",J108="Yes"),"Yes",IF(G108="PUBLIC","Yes",IF(J108="N/A","Yes","Check"))))</f>
        <v/>
      </c>
      <c r="O108" s="4" t="n"/>
    </row>
    <row r="109">
      <c r="A109" s="4" t="n"/>
      <c r="B109" s="4" t="n"/>
      <c r="C109" s="4" t="n"/>
      <c r="D109" s="4" t="n"/>
      <c r="E109" s="4" t="n"/>
      <c r="F109" s="4" t="n"/>
      <c r="G109" s="4" t="n"/>
      <c r="H109" s="4" t="n"/>
      <c r="I109" s="4" t="n"/>
      <c r="J109" s="4" t="n"/>
      <c r="K109" s="4" t="n"/>
      <c r="L109" s="4" t="n"/>
      <c r="M109" s="4" t="n"/>
      <c r="N109" s="4">
        <f>IF(OR(G109="",H109=""),"",IF(AND(G109="CONFIDENTIAL",H109="Physical Destruction",J109="Yes"),"Yes",IF(G109="PUBLIC","Yes",IF(J109="N/A","Yes","Check"))))</f>
        <v/>
      </c>
      <c r="O109" s="4" t="n"/>
    </row>
    <row r="110">
      <c r="A110" s="4" t="n"/>
      <c r="B110" s="4" t="n"/>
      <c r="C110" s="4" t="n"/>
      <c r="D110" s="4" t="n"/>
      <c r="E110" s="4" t="n"/>
      <c r="F110" s="4" t="n"/>
      <c r="G110" s="4" t="n"/>
      <c r="H110" s="4" t="n"/>
      <c r="I110" s="4" t="n"/>
      <c r="J110" s="4" t="n"/>
      <c r="K110" s="4" t="n"/>
      <c r="L110" s="4" t="n"/>
      <c r="M110" s="4" t="n"/>
      <c r="N110" s="4">
        <f>IF(OR(G110="",H110=""),"",IF(AND(G110="CONFIDENTIAL",H110="Physical Destruction",J110="Yes"),"Yes",IF(G110="PUBLIC","Yes",IF(J110="N/A","Yes","Check"))))</f>
        <v/>
      </c>
      <c r="O110" s="4" t="n"/>
    </row>
    <row r="111">
      <c r="A111" s="4" t="n"/>
      <c r="B111" s="4" t="n"/>
      <c r="C111" s="4" t="n"/>
      <c r="D111" s="4" t="n"/>
      <c r="E111" s="4" t="n"/>
      <c r="F111" s="4" t="n"/>
      <c r="G111" s="4" t="n"/>
      <c r="H111" s="4" t="n"/>
      <c r="I111" s="4" t="n"/>
      <c r="J111" s="4" t="n"/>
      <c r="K111" s="4" t="n"/>
      <c r="L111" s="4" t="n"/>
      <c r="M111" s="4" t="n"/>
      <c r="N111" s="4">
        <f>IF(OR(G111="",H111=""),"",IF(AND(G111="CONFIDENTIAL",H111="Physical Destruction",J111="Yes"),"Yes",IF(G111="PUBLIC","Yes",IF(J111="N/A","Yes","Check"))))</f>
        <v/>
      </c>
      <c r="O111" s="4" t="n"/>
    </row>
    <row r="112">
      <c r="A112" s="4" t="n"/>
      <c r="B112" s="4" t="n"/>
      <c r="C112" s="4" t="n"/>
      <c r="D112" s="4" t="n"/>
      <c r="E112" s="4" t="n"/>
      <c r="F112" s="4" t="n"/>
      <c r="G112" s="4" t="n"/>
      <c r="H112" s="4" t="n"/>
      <c r="I112" s="4" t="n"/>
      <c r="J112" s="4" t="n"/>
      <c r="K112" s="4" t="n"/>
      <c r="L112" s="4" t="n"/>
      <c r="M112" s="4" t="n"/>
      <c r="N112" s="4">
        <f>IF(OR(G112="",H112=""),"",IF(AND(G112="CONFIDENTIAL",H112="Physical Destruction",J112="Yes"),"Yes",IF(G112="PUBLIC","Yes",IF(J112="N/A","Yes","Check"))))</f>
        <v/>
      </c>
      <c r="O112" s="4" t="n"/>
    </row>
    <row r="113">
      <c r="A113" s="4" t="n"/>
      <c r="B113" s="4" t="n"/>
      <c r="C113" s="4" t="n"/>
      <c r="D113" s="4" t="n"/>
      <c r="E113" s="4" t="n"/>
      <c r="F113" s="4" t="n"/>
      <c r="G113" s="4" t="n"/>
      <c r="H113" s="4" t="n"/>
      <c r="I113" s="4" t="n"/>
      <c r="J113" s="4" t="n"/>
      <c r="K113" s="4" t="n"/>
      <c r="L113" s="4" t="n"/>
      <c r="M113" s="4" t="n"/>
      <c r="N113" s="4">
        <f>IF(OR(G113="",H113=""),"",IF(AND(G113="CONFIDENTIAL",H113="Physical Destruction",J113="Yes"),"Yes",IF(G113="PUBLIC","Yes",IF(J113="N/A","Yes","Check"))))</f>
        <v/>
      </c>
      <c r="O113" s="4" t="n"/>
    </row>
    <row r="114">
      <c r="A114" s="4" t="n"/>
      <c r="B114" s="4" t="n"/>
      <c r="C114" s="4" t="n"/>
      <c r="D114" s="4" t="n"/>
      <c r="E114" s="4" t="n"/>
      <c r="F114" s="4" t="n"/>
      <c r="G114" s="4" t="n"/>
      <c r="H114" s="4" t="n"/>
      <c r="I114" s="4" t="n"/>
      <c r="J114" s="4" t="n"/>
      <c r="K114" s="4" t="n"/>
      <c r="L114" s="4" t="n"/>
      <c r="M114" s="4" t="n"/>
      <c r="N114" s="4">
        <f>IF(OR(G114="",H114=""),"",IF(AND(G114="CONFIDENTIAL",H114="Physical Destruction",J114="Yes"),"Yes",IF(G114="PUBLIC","Yes",IF(J114="N/A","Yes","Check"))))</f>
        <v/>
      </c>
      <c r="O114" s="4" t="n"/>
    </row>
    <row r="115">
      <c r="A115" s="4" t="n"/>
      <c r="B115" s="4" t="n"/>
      <c r="C115" s="4" t="n"/>
      <c r="D115" s="4" t="n"/>
      <c r="E115" s="4" t="n"/>
      <c r="F115" s="4" t="n"/>
      <c r="G115" s="4" t="n"/>
      <c r="H115" s="4" t="n"/>
      <c r="I115" s="4" t="n"/>
      <c r="J115" s="4" t="n"/>
      <c r="K115" s="4" t="n"/>
      <c r="L115" s="4" t="n"/>
      <c r="M115" s="4" t="n"/>
      <c r="N115" s="4">
        <f>IF(OR(G115="",H115=""),"",IF(AND(G115="CONFIDENTIAL",H115="Physical Destruction",J115="Yes"),"Yes",IF(G115="PUBLIC","Yes",IF(J115="N/A","Yes","Check"))))</f>
        <v/>
      </c>
      <c r="O115" s="4" t="n"/>
    </row>
    <row r="116">
      <c r="A116" s="4" t="n"/>
      <c r="B116" s="4" t="n"/>
      <c r="C116" s="4" t="n"/>
      <c r="D116" s="4" t="n"/>
      <c r="E116" s="4" t="n"/>
      <c r="F116" s="4" t="n"/>
      <c r="G116" s="4" t="n"/>
      <c r="H116" s="4" t="n"/>
      <c r="I116" s="4" t="n"/>
      <c r="J116" s="4" t="n"/>
      <c r="K116" s="4" t="n"/>
      <c r="L116" s="4" t="n"/>
      <c r="M116" s="4" t="n"/>
      <c r="N116" s="4">
        <f>IF(OR(G116="",H116=""),"",IF(AND(G116="CONFIDENTIAL",H116="Physical Destruction",J116="Yes"),"Yes",IF(G116="PUBLIC","Yes",IF(J116="N/A","Yes","Check"))))</f>
        <v/>
      </c>
      <c r="O116" s="4" t="n"/>
    </row>
    <row r="117">
      <c r="A117" s="4" t="n"/>
      <c r="B117" s="4" t="n"/>
      <c r="C117" s="4" t="n"/>
      <c r="D117" s="4" t="n"/>
      <c r="E117" s="4" t="n"/>
      <c r="F117" s="4" t="n"/>
      <c r="G117" s="4" t="n"/>
      <c r="H117" s="4" t="n"/>
      <c r="I117" s="4" t="n"/>
      <c r="J117" s="4" t="n"/>
      <c r="K117" s="4" t="n"/>
      <c r="L117" s="4" t="n"/>
      <c r="M117" s="4" t="n"/>
      <c r="N117" s="4">
        <f>IF(OR(G117="",H117=""),"",IF(AND(G117="CONFIDENTIAL",H117="Physical Destruction",J117="Yes"),"Yes",IF(G117="PUBLIC","Yes",IF(J117="N/A","Yes","Check"))))</f>
        <v/>
      </c>
      <c r="O117" s="4" t="n"/>
    </row>
    <row r="118">
      <c r="A118" s="4" t="n"/>
      <c r="B118" s="4" t="n"/>
      <c r="C118" s="4" t="n"/>
      <c r="D118" s="4" t="n"/>
      <c r="E118" s="4" t="n"/>
      <c r="F118" s="4" t="n"/>
      <c r="G118" s="4" t="n"/>
      <c r="H118" s="4" t="n"/>
      <c r="I118" s="4" t="n"/>
      <c r="J118" s="4" t="n"/>
      <c r="K118" s="4" t="n"/>
      <c r="L118" s="4" t="n"/>
      <c r="M118" s="4" t="n"/>
      <c r="N118" s="4">
        <f>IF(OR(G118="",H118=""),"",IF(AND(G118="CONFIDENTIAL",H118="Physical Destruction",J118="Yes"),"Yes",IF(G118="PUBLIC","Yes",IF(J118="N/A","Yes","Check"))))</f>
        <v/>
      </c>
      <c r="O118" s="4" t="n"/>
    </row>
    <row r="119">
      <c r="A119" s="4" t="n"/>
      <c r="B119" s="4" t="n"/>
      <c r="C119" s="4" t="n"/>
      <c r="D119" s="4" t="n"/>
      <c r="E119" s="4" t="n"/>
      <c r="F119" s="4" t="n"/>
      <c r="G119" s="4" t="n"/>
      <c r="H119" s="4" t="n"/>
      <c r="I119" s="4" t="n"/>
      <c r="J119" s="4" t="n"/>
      <c r="K119" s="4" t="n"/>
      <c r="L119" s="4" t="n"/>
      <c r="M119" s="4" t="n"/>
      <c r="N119" s="4">
        <f>IF(OR(G119="",H119=""),"",IF(AND(G119="CONFIDENTIAL",H119="Physical Destruction",J119="Yes"),"Yes",IF(G119="PUBLIC","Yes",IF(J119="N/A","Yes","Check"))))</f>
        <v/>
      </c>
      <c r="O119" s="4" t="n"/>
    </row>
    <row r="120">
      <c r="A120" s="4" t="n"/>
      <c r="B120" s="4" t="n"/>
      <c r="C120" s="4" t="n"/>
      <c r="D120" s="4" t="n"/>
      <c r="E120" s="4" t="n"/>
      <c r="F120" s="4" t="n"/>
      <c r="G120" s="4" t="n"/>
      <c r="H120" s="4" t="n"/>
      <c r="I120" s="4" t="n"/>
      <c r="J120" s="4" t="n"/>
      <c r="K120" s="4" t="n"/>
      <c r="L120" s="4" t="n"/>
      <c r="M120" s="4" t="n"/>
      <c r="N120" s="4">
        <f>IF(OR(G120="",H120=""),"",IF(AND(G120="CONFIDENTIAL",H120="Physical Destruction",J120="Yes"),"Yes",IF(G120="PUBLIC","Yes",IF(J120="N/A","Yes","Check"))))</f>
        <v/>
      </c>
      <c r="O120" s="4" t="n"/>
    </row>
    <row r="121">
      <c r="A121" s="4" t="n"/>
      <c r="B121" s="4" t="n"/>
      <c r="C121" s="4" t="n"/>
      <c r="D121" s="4" t="n"/>
      <c r="E121" s="4" t="n"/>
      <c r="F121" s="4" t="n"/>
      <c r="G121" s="4" t="n"/>
      <c r="H121" s="4" t="n"/>
      <c r="I121" s="4" t="n"/>
      <c r="J121" s="4" t="n"/>
      <c r="K121" s="4" t="n"/>
      <c r="L121" s="4" t="n"/>
      <c r="M121" s="4" t="n"/>
      <c r="N121" s="4">
        <f>IF(OR(G121="",H121=""),"",IF(AND(G121="CONFIDENTIAL",H121="Physical Destruction",J121="Yes"),"Yes",IF(G121="PUBLIC","Yes",IF(J121="N/A","Yes","Check"))))</f>
        <v/>
      </c>
      <c r="O121" s="4" t="n"/>
    </row>
    <row r="122">
      <c r="A122" s="4" t="n"/>
      <c r="B122" s="4" t="n"/>
      <c r="C122" s="4" t="n"/>
      <c r="D122" s="4" t="n"/>
      <c r="E122" s="4" t="n"/>
      <c r="F122" s="4" t="n"/>
      <c r="G122" s="4" t="n"/>
      <c r="H122" s="4" t="n"/>
      <c r="I122" s="4" t="n"/>
      <c r="J122" s="4" t="n"/>
      <c r="K122" s="4" t="n"/>
      <c r="L122" s="4" t="n"/>
      <c r="M122" s="4" t="n"/>
      <c r="N122" s="4">
        <f>IF(OR(G122="",H122=""),"",IF(AND(G122="CONFIDENTIAL",H122="Physical Destruction",J122="Yes"),"Yes",IF(G122="PUBLIC","Yes",IF(J122="N/A","Yes","Check"))))</f>
        <v/>
      </c>
      <c r="O122" s="4" t="n"/>
    </row>
    <row r="123">
      <c r="A123" s="4" t="n"/>
      <c r="B123" s="4" t="n"/>
      <c r="C123" s="4" t="n"/>
      <c r="D123" s="4" t="n"/>
      <c r="E123" s="4" t="n"/>
      <c r="F123" s="4" t="n"/>
      <c r="G123" s="4" t="n"/>
      <c r="H123" s="4" t="n"/>
      <c r="I123" s="4" t="n"/>
      <c r="J123" s="4" t="n"/>
      <c r="K123" s="4" t="n"/>
      <c r="L123" s="4" t="n"/>
      <c r="M123" s="4" t="n"/>
      <c r="N123" s="4">
        <f>IF(OR(G123="",H123=""),"",IF(AND(G123="CONFIDENTIAL",H123="Physical Destruction",J123="Yes"),"Yes",IF(G123="PUBLIC","Yes",IF(J123="N/A","Yes","Check"))))</f>
        <v/>
      </c>
      <c r="O123" s="4" t="n"/>
    </row>
    <row r="124">
      <c r="A124" s="4" t="n"/>
      <c r="B124" s="4" t="n"/>
      <c r="C124" s="4" t="n"/>
      <c r="D124" s="4" t="n"/>
      <c r="E124" s="4" t="n"/>
      <c r="F124" s="4" t="n"/>
      <c r="G124" s="4" t="n"/>
      <c r="H124" s="4" t="n"/>
      <c r="I124" s="4" t="n"/>
      <c r="J124" s="4" t="n"/>
      <c r="K124" s="4" t="n"/>
      <c r="L124" s="4" t="n"/>
      <c r="M124" s="4" t="n"/>
      <c r="N124" s="4">
        <f>IF(OR(G124="",H124=""),"",IF(AND(G124="CONFIDENTIAL",H124="Physical Destruction",J124="Yes"),"Yes",IF(G124="PUBLIC","Yes",IF(J124="N/A","Yes","Check"))))</f>
        <v/>
      </c>
      <c r="O124" s="4" t="n"/>
    </row>
    <row r="125">
      <c r="A125" s="4" t="n"/>
      <c r="B125" s="4" t="n"/>
      <c r="C125" s="4" t="n"/>
      <c r="D125" s="4" t="n"/>
      <c r="E125" s="4" t="n"/>
      <c r="F125" s="4" t="n"/>
      <c r="G125" s="4" t="n"/>
      <c r="H125" s="4" t="n"/>
      <c r="I125" s="4" t="n"/>
      <c r="J125" s="4" t="n"/>
      <c r="K125" s="4" t="n"/>
      <c r="L125" s="4" t="n"/>
      <c r="M125" s="4" t="n"/>
      <c r="N125" s="4">
        <f>IF(OR(G125="",H125=""),"",IF(AND(G125="CONFIDENTIAL",H125="Physical Destruction",J125="Yes"),"Yes",IF(G125="PUBLIC","Yes",IF(J125="N/A","Yes","Check"))))</f>
        <v/>
      </c>
      <c r="O125" s="4" t="n"/>
    </row>
    <row r="126">
      <c r="A126" s="4" t="n"/>
      <c r="B126" s="4" t="n"/>
      <c r="C126" s="4" t="n"/>
      <c r="D126" s="4" t="n"/>
      <c r="E126" s="4" t="n"/>
      <c r="F126" s="4" t="n"/>
      <c r="G126" s="4" t="n"/>
      <c r="H126" s="4" t="n"/>
      <c r="I126" s="4" t="n"/>
      <c r="J126" s="4" t="n"/>
      <c r="K126" s="4" t="n"/>
      <c r="L126" s="4" t="n"/>
      <c r="M126" s="4" t="n"/>
      <c r="N126" s="4">
        <f>IF(OR(G126="",H126=""),"",IF(AND(G126="CONFIDENTIAL",H126="Physical Destruction",J126="Yes"),"Yes",IF(G126="PUBLIC","Yes",IF(J126="N/A","Yes","Check"))))</f>
        <v/>
      </c>
      <c r="O126" s="4" t="n"/>
    </row>
    <row r="127">
      <c r="A127" s="4" t="n"/>
      <c r="B127" s="4" t="n"/>
      <c r="C127" s="4" t="n"/>
      <c r="D127" s="4" t="n"/>
      <c r="E127" s="4" t="n"/>
      <c r="F127" s="4" t="n"/>
      <c r="G127" s="4" t="n"/>
      <c r="H127" s="4" t="n"/>
      <c r="I127" s="4" t="n"/>
      <c r="J127" s="4" t="n"/>
      <c r="K127" s="4" t="n"/>
      <c r="L127" s="4" t="n"/>
      <c r="M127" s="4" t="n"/>
      <c r="N127" s="4">
        <f>IF(OR(G127="",H127=""),"",IF(AND(G127="CONFIDENTIAL",H127="Physical Destruction",J127="Yes"),"Yes",IF(G127="PUBLIC","Yes",IF(J127="N/A","Yes","Check"))))</f>
        <v/>
      </c>
      <c r="O127" s="4" t="n"/>
    </row>
    <row r="128">
      <c r="A128" s="4" t="n"/>
      <c r="B128" s="4" t="n"/>
      <c r="C128" s="4" t="n"/>
      <c r="D128" s="4" t="n"/>
      <c r="E128" s="4" t="n"/>
      <c r="F128" s="4" t="n"/>
      <c r="G128" s="4" t="n"/>
      <c r="H128" s="4" t="n"/>
      <c r="I128" s="4" t="n"/>
      <c r="J128" s="4" t="n"/>
      <c r="K128" s="4" t="n"/>
      <c r="L128" s="4" t="n"/>
      <c r="M128" s="4" t="n"/>
      <c r="N128" s="4">
        <f>IF(OR(G128="",H128=""),"",IF(AND(G128="CONFIDENTIAL",H128="Physical Destruction",J128="Yes"),"Yes",IF(G128="PUBLIC","Yes",IF(J128="N/A","Yes","Check"))))</f>
        <v/>
      </c>
      <c r="O128" s="4" t="n"/>
    </row>
    <row r="129">
      <c r="A129" s="4" t="n"/>
      <c r="B129" s="4" t="n"/>
      <c r="C129" s="4" t="n"/>
      <c r="D129" s="4" t="n"/>
      <c r="E129" s="4" t="n"/>
      <c r="F129" s="4" t="n"/>
      <c r="G129" s="4" t="n"/>
      <c r="H129" s="4" t="n"/>
      <c r="I129" s="4" t="n"/>
      <c r="J129" s="4" t="n"/>
      <c r="K129" s="4" t="n"/>
      <c r="L129" s="4" t="n"/>
      <c r="M129" s="4" t="n"/>
      <c r="N129" s="4">
        <f>IF(OR(G129="",H129=""),"",IF(AND(G129="CONFIDENTIAL",H129="Physical Destruction",J129="Yes"),"Yes",IF(G129="PUBLIC","Yes",IF(J129="N/A","Yes","Check"))))</f>
        <v/>
      </c>
      <c r="O129" s="4" t="n"/>
    </row>
    <row r="130">
      <c r="A130" s="4" t="n"/>
      <c r="B130" s="4" t="n"/>
      <c r="C130" s="4" t="n"/>
      <c r="D130" s="4" t="n"/>
      <c r="E130" s="4" t="n"/>
      <c r="F130" s="4" t="n"/>
      <c r="G130" s="4" t="n"/>
      <c r="H130" s="4" t="n"/>
      <c r="I130" s="4" t="n"/>
      <c r="J130" s="4" t="n"/>
      <c r="K130" s="4" t="n"/>
      <c r="L130" s="4" t="n"/>
      <c r="M130" s="4" t="n"/>
      <c r="N130" s="4">
        <f>IF(OR(G130="",H130=""),"",IF(AND(G130="CONFIDENTIAL",H130="Physical Destruction",J130="Yes"),"Yes",IF(G130="PUBLIC","Yes",IF(J130="N/A","Yes","Check"))))</f>
        <v/>
      </c>
      <c r="O130" s="4" t="n"/>
    </row>
    <row r="131">
      <c r="A131" s="4" t="n"/>
      <c r="B131" s="4" t="n"/>
      <c r="C131" s="4" t="n"/>
      <c r="D131" s="4" t="n"/>
      <c r="E131" s="4" t="n"/>
      <c r="F131" s="4" t="n"/>
      <c r="G131" s="4" t="n"/>
      <c r="H131" s="4" t="n"/>
      <c r="I131" s="4" t="n"/>
      <c r="J131" s="4" t="n"/>
      <c r="K131" s="4" t="n"/>
      <c r="L131" s="4" t="n"/>
      <c r="M131" s="4" t="n"/>
      <c r="N131" s="4">
        <f>IF(OR(G131="",H131=""),"",IF(AND(G131="CONFIDENTIAL",H131="Physical Destruction",J131="Yes"),"Yes",IF(G131="PUBLIC","Yes",IF(J131="N/A","Yes","Check"))))</f>
        <v/>
      </c>
      <c r="O131" s="4" t="n"/>
    </row>
    <row r="132">
      <c r="A132" s="4" t="n"/>
      <c r="B132" s="4" t="n"/>
      <c r="C132" s="4" t="n"/>
      <c r="D132" s="4" t="n"/>
      <c r="E132" s="4" t="n"/>
      <c r="F132" s="4" t="n"/>
      <c r="G132" s="4" t="n"/>
      <c r="H132" s="4" t="n"/>
      <c r="I132" s="4" t="n"/>
      <c r="J132" s="4" t="n"/>
      <c r="K132" s="4" t="n"/>
      <c r="L132" s="4" t="n"/>
      <c r="M132" s="4" t="n"/>
      <c r="N132" s="4">
        <f>IF(OR(G132="",H132=""),"",IF(AND(G132="CONFIDENTIAL",H132="Physical Destruction",J132="Yes"),"Yes",IF(G132="PUBLIC","Yes",IF(J132="N/A","Yes","Check"))))</f>
        <v/>
      </c>
      <c r="O132" s="4" t="n"/>
    </row>
    <row r="133">
      <c r="A133" s="4" t="n"/>
      <c r="B133" s="4" t="n"/>
      <c r="C133" s="4" t="n"/>
      <c r="D133" s="4" t="n"/>
      <c r="E133" s="4" t="n"/>
      <c r="F133" s="4" t="n"/>
      <c r="G133" s="4" t="n"/>
      <c r="H133" s="4" t="n"/>
      <c r="I133" s="4" t="n"/>
      <c r="J133" s="4" t="n"/>
      <c r="K133" s="4" t="n"/>
      <c r="L133" s="4" t="n"/>
      <c r="M133" s="4" t="n"/>
      <c r="N133" s="4">
        <f>IF(OR(G133="",H133=""),"",IF(AND(G133="CONFIDENTIAL",H133="Physical Destruction",J133="Yes"),"Yes",IF(G133="PUBLIC","Yes",IF(J133="N/A","Yes","Check"))))</f>
        <v/>
      </c>
      <c r="O133" s="4" t="n"/>
    </row>
    <row r="134">
      <c r="A134" s="4" t="n"/>
      <c r="B134" s="4" t="n"/>
      <c r="C134" s="4" t="n"/>
      <c r="D134" s="4" t="n"/>
      <c r="E134" s="4" t="n"/>
      <c r="F134" s="4" t="n"/>
      <c r="G134" s="4" t="n"/>
      <c r="H134" s="4" t="n"/>
      <c r="I134" s="4" t="n"/>
      <c r="J134" s="4" t="n"/>
      <c r="K134" s="4" t="n"/>
      <c r="L134" s="4" t="n"/>
      <c r="M134" s="4" t="n"/>
      <c r="N134" s="4">
        <f>IF(OR(G134="",H134=""),"",IF(AND(G134="CONFIDENTIAL",H134="Physical Destruction",J134="Yes"),"Yes",IF(G134="PUBLIC","Yes",IF(J134="N/A","Yes","Check"))))</f>
        <v/>
      </c>
      <c r="O134" s="4" t="n"/>
    </row>
    <row r="135">
      <c r="A135" s="4" t="n"/>
      <c r="B135" s="4" t="n"/>
      <c r="C135" s="4" t="n"/>
      <c r="D135" s="4" t="n"/>
      <c r="E135" s="4" t="n"/>
      <c r="F135" s="4" t="n"/>
      <c r="G135" s="4" t="n"/>
      <c r="H135" s="4" t="n"/>
      <c r="I135" s="4" t="n"/>
      <c r="J135" s="4" t="n"/>
      <c r="K135" s="4" t="n"/>
      <c r="L135" s="4" t="n"/>
      <c r="M135" s="4" t="n"/>
      <c r="N135" s="4">
        <f>IF(OR(G135="",H135=""),"",IF(AND(G135="CONFIDENTIAL",H135="Physical Destruction",J135="Yes"),"Yes",IF(G135="PUBLIC","Yes",IF(J135="N/A","Yes","Check"))))</f>
        <v/>
      </c>
      <c r="O135" s="4" t="n"/>
    </row>
    <row r="136">
      <c r="A136" s="4" t="n"/>
      <c r="B136" s="4" t="n"/>
      <c r="C136" s="4" t="n"/>
      <c r="D136" s="4" t="n"/>
      <c r="E136" s="4" t="n"/>
      <c r="F136" s="4" t="n"/>
      <c r="G136" s="4" t="n"/>
      <c r="H136" s="4" t="n"/>
      <c r="I136" s="4" t="n"/>
      <c r="J136" s="4" t="n"/>
      <c r="K136" s="4" t="n"/>
      <c r="L136" s="4" t="n"/>
      <c r="M136" s="4" t="n"/>
      <c r="N136" s="4">
        <f>IF(OR(G136="",H136=""),"",IF(AND(G136="CONFIDENTIAL",H136="Physical Destruction",J136="Yes"),"Yes",IF(G136="PUBLIC","Yes",IF(J136="N/A","Yes","Check"))))</f>
        <v/>
      </c>
      <c r="O136" s="4" t="n"/>
    </row>
    <row r="137">
      <c r="A137" s="4" t="n"/>
      <c r="B137" s="4" t="n"/>
      <c r="C137" s="4" t="n"/>
      <c r="D137" s="4" t="n"/>
      <c r="E137" s="4" t="n"/>
      <c r="F137" s="4" t="n"/>
      <c r="G137" s="4" t="n"/>
      <c r="H137" s="4" t="n"/>
      <c r="I137" s="4" t="n"/>
      <c r="J137" s="4" t="n"/>
      <c r="K137" s="4" t="n"/>
      <c r="L137" s="4" t="n"/>
      <c r="M137" s="4" t="n"/>
      <c r="N137" s="4">
        <f>IF(OR(G137="",H137=""),"",IF(AND(G137="CONFIDENTIAL",H137="Physical Destruction",J137="Yes"),"Yes",IF(G137="PUBLIC","Yes",IF(J137="N/A","Yes","Check"))))</f>
        <v/>
      </c>
      <c r="O137" s="4" t="n"/>
    </row>
    <row r="138">
      <c r="A138" s="4" t="n"/>
      <c r="B138" s="4" t="n"/>
      <c r="C138" s="4" t="n"/>
      <c r="D138" s="4" t="n"/>
      <c r="E138" s="4" t="n"/>
      <c r="F138" s="4" t="n"/>
      <c r="G138" s="4" t="n"/>
      <c r="H138" s="4" t="n"/>
      <c r="I138" s="4" t="n"/>
      <c r="J138" s="4" t="n"/>
      <c r="K138" s="4" t="n"/>
      <c r="L138" s="4" t="n"/>
      <c r="M138" s="4" t="n"/>
      <c r="N138" s="4">
        <f>IF(OR(G138="",H138=""),"",IF(AND(G138="CONFIDENTIAL",H138="Physical Destruction",J138="Yes"),"Yes",IF(G138="PUBLIC","Yes",IF(J138="N/A","Yes","Check"))))</f>
        <v/>
      </c>
      <c r="O138" s="4" t="n"/>
    </row>
    <row r="139">
      <c r="A139" s="4" t="n"/>
      <c r="B139" s="4" t="n"/>
      <c r="C139" s="4" t="n"/>
      <c r="D139" s="4" t="n"/>
      <c r="E139" s="4" t="n"/>
      <c r="F139" s="4" t="n"/>
      <c r="G139" s="4" t="n"/>
      <c r="H139" s="4" t="n"/>
      <c r="I139" s="4" t="n"/>
      <c r="J139" s="4" t="n"/>
      <c r="K139" s="4" t="n"/>
      <c r="L139" s="4" t="n"/>
      <c r="M139" s="4" t="n"/>
      <c r="N139" s="4">
        <f>IF(OR(G139="",H139=""),"",IF(AND(G139="CONFIDENTIAL",H139="Physical Destruction",J139="Yes"),"Yes",IF(G139="PUBLIC","Yes",IF(J139="N/A","Yes","Check"))))</f>
        <v/>
      </c>
      <c r="O139" s="4" t="n"/>
    </row>
    <row r="140">
      <c r="A140" s="4" t="n"/>
      <c r="B140" s="4" t="n"/>
      <c r="C140" s="4" t="n"/>
      <c r="D140" s="4" t="n"/>
      <c r="E140" s="4" t="n"/>
      <c r="F140" s="4" t="n"/>
      <c r="G140" s="4" t="n"/>
      <c r="H140" s="4" t="n"/>
      <c r="I140" s="4" t="n"/>
      <c r="J140" s="4" t="n"/>
      <c r="K140" s="4" t="n"/>
      <c r="L140" s="4" t="n"/>
      <c r="M140" s="4" t="n"/>
      <c r="N140" s="4">
        <f>IF(OR(G140="",H140=""),"",IF(AND(G140="CONFIDENTIAL",H140="Physical Destruction",J140="Yes"),"Yes",IF(G140="PUBLIC","Yes",IF(J140="N/A","Yes","Check"))))</f>
        <v/>
      </c>
      <c r="O140" s="4" t="n"/>
    </row>
    <row r="141">
      <c r="A141" s="4" t="n"/>
      <c r="B141" s="4" t="n"/>
      <c r="C141" s="4" t="n"/>
      <c r="D141" s="4" t="n"/>
      <c r="E141" s="4" t="n"/>
      <c r="F141" s="4" t="n"/>
      <c r="G141" s="4" t="n"/>
      <c r="H141" s="4" t="n"/>
      <c r="I141" s="4" t="n"/>
      <c r="J141" s="4" t="n"/>
      <c r="K141" s="4" t="n"/>
      <c r="L141" s="4" t="n"/>
      <c r="M141" s="4" t="n"/>
      <c r="N141" s="4">
        <f>IF(OR(G141="",H141=""),"",IF(AND(G141="CONFIDENTIAL",H141="Physical Destruction",J141="Yes"),"Yes",IF(G141="PUBLIC","Yes",IF(J141="N/A","Yes","Check"))))</f>
        <v/>
      </c>
      <c r="O141" s="4" t="n"/>
    </row>
    <row r="142">
      <c r="A142" s="4" t="n"/>
      <c r="B142" s="4" t="n"/>
      <c r="C142" s="4" t="n"/>
      <c r="D142" s="4" t="n"/>
      <c r="E142" s="4" t="n"/>
      <c r="F142" s="4" t="n"/>
      <c r="G142" s="4" t="n"/>
      <c r="H142" s="4" t="n"/>
      <c r="I142" s="4" t="n"/>
      <c r="J142" s="4" t="n"/>
      <c r="K142" s="4" t="n"/>
      <c r="L142" s="4" t="n"/>
      <c r="M142" s="4" t="n"/>
      <c r="N142" s="4">
        <f>IF(OR(G142="",H142=""),"",IF(AND(G142="CONFIDENTIAL",H142="Physical Destruction",J142="Yes"),"Yes",IF(G142="PUBLIC","Yes",IF(J142="N/A","Yes","Check"))))</f>
        <v/>
      </c>
      <c r="O142" s="4" t="n"/>
    </row>
    <row r="143">
      <c r="A143" s="4" t="n"/>
      <c r="B143" s="4" t="n"/>
      <c r="C143" s="4" t="n"/>
      <c r="D143" s="4" t="n"/>
      <c r="E143" s="4" t="n"/>
      <c r="F143" s="4" t="n"/>
      <c r="G143" s="4" t="n"/>
      <c r="H143" s="4" t="n"/>
      <c r="I143" s="4" t="n"/>
      <c r="J143" s="4" t="n"/>
      <c r="K143" s="4" t="n"/>
      <c r="L143" s="4" t="n"/>
      <c r="M143" s="4" t="n"/>
      <c r="N143" s="4">
        <f>IF(OR(G143="",H143=""),"",IF(AND(G143="CONFIDENTIAL",H143="Physical Destruction",J143="Yes"),"Yes",IF(G143="PUBLIC","Yes",IF(J143="N/A","Yes","Check"))))</f>
        <v/>
      </c>
      <c r="O143" s="4" t="n"/>
    </row>
    <row r="144">
      <c r="A144" s="4" t="n"/>
      <c r="B144" s="4" t="n"/>
      <c r="C144" s="4" t="n"/>
      <c r="D144" s="4" t="n"/>
      <c r="E144" s="4" t="n"/>
      <c r="F144" s="4" t="n"/>
      <c r="G144" s="4" t="n"/>
      <c r="H144" s="4" t="n"/>
      <c r="I144" s="4" t="n"/>
      <c r="J144" s="4" t="n"/>
      <c r="K144" s="4" t="n"/>
      <c r="L144" s="4" t="n"/>
      <c r="M144" s="4" t="n"/>
      <c r="N144" s="4">
        <f>IF(OR(G144="",H144=""),"",IF(AND(G144="CONFIDENTIAL",H144="Physical Destruction",J144="Yes"),"Yes",IF(G144="PUBLIC","Yes",IF(J144="N/A","Yes","Check"))))</f>
        <v/>
      </c>
      <c r="O144" s="4" t="n"/>
    </row>
    <row r="145">
      <c r="A145" s="4" t="n"/>
      <c r="B145" s="4" t="n"/>
      <c r="C145" s="4" t="n"/>
      <c r="D145" s="4" t="n"/>
      <c r="E145" s="4" t="n"/>
      <c r="F145" s="4" t="n"/>
      <c r="G145" s="4" t="n"/>
      <c r="H145" s="4" t="n"/>
      <c r="I145" s="4" t="n"/>
      <c r="J145" s="4" t="n"/>
      <c r="K145" s="4" t="n"/>
      <c r="L145" s="4" t="n"/>
      <c r="M145" s="4" t="n"/>
      <c r="N145" s="4">
        <f>IF(OR(G145="",H145=""),"",IF(AND(G145="CONFIDENTIAL",H145="Physical Destruction",J145="Yes"),"Yes",IF(G145="PUBLIC","Yes",IF(J145="N/A","Yes","Check"))))</f>
        <v/>
      </c>
      <c r="O145" s="4" t="n"/>
    </row>
    <row r="146">
      <c r="A146" s="4" t="n"/>
      <c r="B146" s="4" t="n"/>
      <c r="C146" s="4" t="n"/>
      <c r="D146" s="4" t="n"/>
      <c r="E146" s="4" t="n"/>
      <c r="F146" s="4" t="n"/>
      <c r="G146" s="4" t="n"/>
      <c r="H146" s="4" t="n"/>
      <c r="I146" s="4" t="n"/>
      <c r="J146" s="4" t="n"/>
      <c r="K146" s="4" t="n"/>
      <c r="L146" s="4" t="n"/>
      <c r="M146" s="4" t="n"/>
      <c r="N146" s="4">
        <f>IF(OR(G146="",H146=""),"",IF(AND(G146="CONFIDENTIAL",H146="Physical Destruction",J146="Yes"),"Yes",IF(G146="PUBLIC","Yes",IF(J146="N/A","Yes","Check"))))</f>
        <v/>
      </c>
      <c r="O146" s="4" t="n"/>
    </row>
    <row r="147">
      <c r="A147" s="4" t="n"/>
      <c r="B147" s="4" t="n"/>
      <c r="C147" s="4" t="n"/>
      <c r="D147" s="4" t="n"/>
      <c r="E147" s="4" t="n"/>
      <c r="F147" s="4" t="n"/>
      <c r="G147" s="4" t="n"/>
      <c r="H147" s="4" t="n"/>
      <c r="I147" s="4" t="n"/>
      <c r="J147" s="4" t="n"/>
      <c r="K147" s="4" t="n"/>
      <c r="L147" s="4" t="n"/>
      <c r="M147" s="4" t="n"/>
      <c r="N147" s="4">
        <f>IF(OR(G147="",H147=""),"",IF(AND(G147="CONFIDENTIAL",H147="Physical Destruction",J147="Yes"),"Yes",IF(G147="PUBLIC","Yes",IF(J147="N/A","Yes","Check"))))</f>
        <v/>
      </c>
      <c r="O147" s="4" t="n"/>
    </row>
    <row r="148">
      <c r="A148" s="4" t="n"/>
      <c r="B148" s="4" t="n"/>
      <c r="C148" s="4" t="n"/>
      <c r="D148" s="4" t="n"/>
      <c r="E148" s="4" t="n"/>
      <c r="F148" s="4" t="n"/>
      <c r="G148" s="4" t="n"/>
      <c r="H148" s="4" t="n"/>
      <c r="I148" s="4" t="n"/>
      <c r="J148" s="4" t="n"/>
      <c r="K148" s="4" t="n"/>
      <c r="L148" s="4" t="n"/>
      <c r="M148" s="4" t="n"/>
      <c r="N148" s="4">
        <f>IF(OR(G148="",H148=""),"",IF(AND(G148="CONFIDENTIAL",H148="Physical Destruction",J148="Yes"),"Yes",IF(G148="PUBLIC","Yes",IF(J148="N/A","Yes","Check"))))</f>
        <v/>
      </c>
      <c r="O148" s="4" t="n"/>
    </row>
    <row r="149">
      <c r="A149" s="4" t="n"/>
      <c r="B149" s="4" t="n"/>
      <c r="C149" s="4" t="n"/>
      <c r="D149" s="4" t="n"/>
      <c r="E149" s="4" t="n"/>
      <c r="F149" s="4" t="n"/>
      <c r="G149" s="4" t="n"/>
      <c r="H149" s="4" t="n"/>
      <c r="I149" s="4" t="n"/>
      <c r="J149" s="4" t="n"/>
      <c r="K149" s="4" t="n"/>
      <c r="L149" s="4" t="n"/>
      <c r="M149" s="4" t="n"/>
      <c r="N149" s="4">
        <f>IF(OR(G149="",H149=""),"",IF(AND(G149="CONFIDENTIAL",H149="Physical Destruction",J149="Yes"),"Yes",IF(G149="PUBLIC","Yes",IF(J149="N/A","Yes","Check"))))</f>
        <v/>
      </c>
      <c r="O149" s="4" t="n"/>
    </row>
    <row r="150">
      <c r="A150" s="4" t="n"/>
      <c r="B150" s="4" t="n"/>
      <c r="C150" s="4" t="n"/>
      <c r="D150" s="4" t="n"/>
      <c r="E150" s="4" t="n"/>
      <c r="F150" s="4" t="n"/>
      <c r="G150" s="4" t="n"/>
      <c r="H150" s="4" t="n"/>
      <c r="I150" s="4" t="n"/>
      <c r="J150" s="4" t="n"/>
      <c r="K150" s="4" t="n"/>
      <c r="L150" s="4" t="n"/>
      <c r="M150" s="4" t="n"/>
      <c r="N150" s="4">
        <f>IF(OR(G150="",H150=""),"",IF(AND(G150="CONFIDENTIAL",H150="Physical Destruction",J150="Yes"),"Yes",IF(G150="PUBLIC","Yes",IF(J150="N/A","Yes","Check"))))</f>
        <v/>
      </c>
      <c r="O150" s="4" t="n"/>
    </row>
    <row r="151">
      <c r="A151" s="4" t="n"/>
      <c r="B151" s="4" t="n"/>
      <c r="C151" s="4" t="n"/>
      <c r="D151" s="4" t="n"/>
      <c r="E151" s="4" t="n"/>
      <c r="F151" s="4" t="n"/>
      <c r="G151" s="4" t="n"/>
      <c r="H151" s="4" t="n"/>
      <c r="I151" s="4" t="n"/>
      <c r="J151" s="4" t="n"/>
      <c r="K151" s="4" t="n"/>
      <c r="L151" s="4" t="n"/>
      <c r="M151" s="4" t="n"/>
      <c r="N151" s="4">
        <f>IF(OR(G151="",H151=""),"",IF(AND(G151="CONFIDENTIAL",H151="Physical Destruction",J151="Yes"),"Yes",IF(G151="PUBLIC","Yes",IF(J151="N/A","Yes","Check"))))</f>
        <v/>
      </c>
      <c r="O151" s="4" t="n"/>
    </row>
    <row r="152">
      <c r="A152" s="4" t="n"/>
      <c r="B152" s="4" t="n"/>
      <c r="C152" s="4" t="n"/>
      <c r="D152" s="4" t="n"/>
      <c r="E152" s="4" t="n"/>
      <c r="F152" s="4" t="n"/>
      <c r="G152" s="4" t="n"/>
      <c r="H152" s="4" t="n"/>
      <c r="I152" s="4" t="n"/>
      <c r="J152" s="4" t="n"/>
      <c r="K152" s="4" t="n"/>
      <c r="L152" s="4" t="n"/>
      <c r="M152" s="4" t="n"/>
      <c r="N152" s="4">
        <f>IF(OR(G152="",H152=""),"",IF(AND(G152="CONFIDENTIAL",H152="Physical Destruction",J152="Yes"),"Yes",IF(G152="PUBLIC","Yes",IF(J152="N/A","Yes","Check"))))</f>
        <v/>
      </c>
      <c r="O152" s="4" t="n"/>
    </row>
    <row r="153">
      <c r="A153" s="4" t="n"/>
      <c r="B153" s="4" t="n"/>
      <c r="C153" s="4" t="n"/>
      <c r="D153" s="4" t="n"/>
      <c r="E153" s="4" t="n"/>
      <c r="F153" s="4" t="n"/>
      <c r="G153" s="4" t="n"/>
      <c r="H153" s="4" t="n"/>
      <c r="I153" s="4" t="n"/>
      <c r="J153" s="4" t="n"/>
      <c r="K153" s="4" t="n"/>
      <c r="L153" s="4" t="n"/>
      <c r="M153" s="4" t="n"/>
      <c r="N153" s="4">
        <f>IF(OR(G153="",H153=""),"",IF(AND(G153="CONFIDENTIAL",H153="Physical Destruction",J153="Yes"),"Yes",IF(G153="PUBLIC","Yes",IF(J153="N/A","Yes","Check"))))</f>
        <v/>
      </c>
      <c r="O153" s="4" t="n"/>
    </row>
    <row r="154">
      <c r="A154" s="4" t="n"/>
      <c r="B154" s="4" t="n"/>
      <c r="C154" s="4" t="n"/>
      <c r="D154" s="4" t="n"/>
      <c r="E154" s="4" t="n"/>
      <c r="F154" s="4" t="n"/>
      <c r="G154" s="4" t="n"/>
      <c r="H154" s="4" t="n"/>
      <c r="I154" s="4" t="n"/>
      <c r="J154" s="4" t="n"/>
      <c r="K154" s="4" t="n"/>
      <c r="L154" s="4" t="n"/>
      <c r="M154" s="4" t="n"/>
      <c r="N154" s="4">
        <f>IF(OR(G154="",H154=""),"",IF(AND(G154="CONFIDENTIAL",H154="Physical Destruction",J154="Yes"),"Yes",IF(G154="PUBLIC","Yes",IF(J154="N/A","Yes","Check"))))</f>
        <v/>
      </c>
      <c r="O154" s="4" t="n"/>
    </row>
    <row r="155">
      <c r="A155" s="4" t="n"/>
      <c r="B155" s="4" t="n"/>
      <c r="C155" s="4" t="n"/>
      <c r="D155" s="4" t="n"/>
      <c r="E155" s="4" t="n"/>
      <c r="F155" s="4" t="n"/>
      <c r="G155" s="4" t="n"/>
      <c r="H155" s="4" t="n"/>
      <c r="I155" s="4" t="n"/>
      <c r="J155" s="4" t="n"/>
      <c r="K155" s="4" t="n"/>
      <c r="L155" s="4" t="n"/>
      <c r="M155" s="4" t="n"/>
      <c r="N155" s="4">
        <f>IF(OR(G155="",H155=""),"",IF(AND(G155="CONFIDENTIAL",H155="Physical Destruction",J155="Yes"),"Yes",IF(G155="PUBLIC","Yes",IF(J155="N/A","Yes","Check"))))</f>
        <v/>
      </c>
      <c r="O155" s="4" t="n"/>
    </row>
    <row r="156">
      <c r="A156" s="4" t="n"/>
      <c r="B156" s="4" t="n"/>
      <c r="C156" s="4" t="n"/>
      <c r="D156" s="4" t="n"/>
      <c r="E156" s="4" t="n"/>
      <c r="F156" s="4" t="n"/>
      <c r="G156" s="4" t="n"/>
      <c r="H156" s="4" t="n"/>
      <c r="I156" s="4" t="n"/>
      <c r="J156" s="4" t="n"/>
      <c r="K156" s="4" t="n"/>
      <c r="L156" s="4" t="n"/>
      <c r="M156" s="4" t="n"/>
      <c r="N156" s="4">
        <f>IF(OR(G156="",H156=""),"",IF(AND(G156="CONFIDENTIAL",H156="Physical Destruction",J156="Yes"),"Yes",IF(G156="PUBLIC","Yes",IF(J156="N/A","Yes","Check"))))</f>
        <v/>
      </c>
      <c r="O156" s="4" t="n"/>
    </row>
    <row r="157">
      <c r="A157" s="4" t="n"/>
      <c r="B157" s="4" t="n"/>
      <c r="C157" s="4" t="n"/>
      <c r="D157" s="4" t="n"/>
      <c r="E157" s="4" t="n"/>
      <c r="F157" s="4" t="n"/>
      <c r="G157" s="4" t="n"/>
      <c r="H157" s="4" t="n"/>
      <c r="I157" s="4" t="n"/>
      <c r="J157" s="4" t="n"/>
      <c r="K157" s="4" t="n"/>
      <c r="L157" s="4" t="n"/>
      <c r="M157" s="4" t="n"/>
      <c r="N157" s="4">
        <f>IF(OR(G157="",H157=""),"",IF(AND(G157="CONFIDENTIAL",H157="Physical Destruction",J157="Yes"),"Yes",IF(G157="PUBLIC","Yes",IF(J157="N/A","Yes","Check"))))</f>
        <v/>
      </c>
      <c r="O157" s="4" t="n"/>
    </row>
    <row r="158">
      <c r="A158" s="4" t="n"/>
      <c r="B158" s="4" t="n"/>
      <c r="C158" s="4" t="n"/>
      <c r="D158" s="4" t="n"/>
      <c r="E158" s="4" t="n"/>
      <c r="F158" s="4" t="n"/>
      <c r="G158" s="4" t="n"/>
      <c r="H158" s="4" t="n"/>
      <c r="I158" s="4" t="n"/>
      <c r="J158" s="4" t="n"/>
      <c r="K158" s="4" t="n"/>
      <c r="L158" s="4" t="n"/>
      <c r="M158" s="4" t="n"/>
      <c r="N158" s="4">
        <f>IF(OR(G158="",H158=""),"",IF(AND(G158="CONFIDENTIAL",H158="Physical Destruction",J158="Yes"),"Yes",IF(G158="PUBLIC","Yes",IF(J158="N/A","Yes","Check"))))</f>
        <v/>
      </c>
      <c r="O158" s="4" t="n"/>
    </row>
    <row r="159">
      <c r="A159" s="4" t="n"/>
      <c r="B159" s="4" t="n"/>
      <c r="C159" s="4" t="n"/>
      <c r="D159" s="4" t="n"/>
      <c r="E159" s="4" t="n"/>
      <c r="F159" s="4" t="n"/>
      <c r="G159" s="4" t="n"/>
      <c r="H159" s="4" t="n"/>
      <c r="I159" s="4" t="n"/>
      <c r="J159" s="4" t="n"/>
      <c r="K159" s="4" t="n"/>
      <c r="L159" s="4" t="n"/>
      <c r="M159" s="4" t="n"/>
      <c r="N159" s="4">
        <f>IF(OR(G159="",H159=""),"",IF(AND(G159="CONFIDENTIAL",H159="Physical Destruction",J159="Yes"),"Yes",IF(G159="PUBLIC","Yes",IF(J159="N/A","Yes","Check"))))</f>
        <v/>
      </c>
      <c r="O159" s="4" t="n"/>
    </row>
    <row r="160">
      <c r="A160" s="4" t="n"/>
      <c r="B160" s="4" t="n"/>
      <c r="C160" s="4" t="n"/>
      <c r="D160" s="4" t="n"/>
      <c r="E160" s="4" t="n"/>
      <c r="F160" s="4" t="n"/>
      <c r="G160" s="4" t="n"/>
      <c r="H160" s="4" t="n"/>
      <c r="I160" s="4" t="n"/>
      <c r="J160" s="4" t="n"/>
      <c r="K160" s="4" t="n"/>
      <c r="L160" s="4" t="n"/>
      <c r="M160" s="4" t="n"/>
      <c r="N160" s="4">
        <f>IF(OR(G160="",H160=""),"",IF(AND(G160="CONFIDENTIAL",H160="Physical Destruction",J160="Yes"),"Yes",IF(G160="PUBLIC","Yes",IF(J160="N/A","Yes","Check"))))</f>
        <v/>
      </c>
      <c r="O160" s="4" t="n"/>
    </row>
    <row r="161">
      <c r="A161" s="4" t="n"/>
      <c r="B161" s="4" t="n"/>
      <c r="C161" s="4" t="n"/>
      <c r="D161" s="4" t="n"/>
      <c r="E161" s="4" t="n"/>
      <c r="F161" s="4" t="n"/>
      <c r="G161" s="4" t="n"/>
      <c r="H161" s="4" t="n"/>
      <c r="I161" s="4" t="n"/>
      <c r="J161" s="4" t="n"/>
      <c r="K161" s="4" t="n"/>
      <c r="L161" s="4" t="n"/>
      <c r="M161" s="4" t="n"/>
      <c r="N161" s="4">
        <f>IF(OR(G161="",H161=""),"",IF(AND(G161="CONFIDENTIAL",H161="Physical Destruction",J161="Yes"),"Yes",IF(G161="PUBLIC","Yes",IF(J161="N/A","Yes","Check"))))</f>
        <v/>
      </c>
      <c r="O161" s="4" t="n"/>
    </row>
    <row r="162">
      <c r="A162" s="4" t="n"/>
      <c r="B162" s="4" t="n"/>
      <c r="C162" s="4" t="n"/>
      <c r="D162" s="4" t="n"/>
      <c r="E162" s="4" t="n"/>
      <c r="F162" s="4" t="n"/>
      <c r="G162" s="4" t="n"/>
      <c r="H162" s="4" t="n"/>
      <c r="I162" s="4" t="n"/>
      <c r="J162" s="4" t="n"/>
      <c r="K162" s="4" t="n"/>
      <c r="L162" s="4" t="n"/>
      <c r="M162" s="4" t="n"/>
      <c r="N162" s="4">
        <f>IF(OR(G162="",H162=""),"",IF(AND(G162="CONFIDENTIAL",H162="Physical Destruction",J162="Yes"),"Yes",IF(G162="PUBLIC","Yes",IF(J162="N/A","Yes","Check"))))</f>
        <v/>
      </c>
      <c r="O162" s="4" t="n"/>
    </row>
    <row r="163">
      <c r="A163" s="4" t="n"/>
      <c r="B163" s="4" t="n"/>
      <c r="C163" s="4" t="n"/>
      <c r="D163" s="4" t="n"/>
      <c r="E163" s="4" t="n"/>
      <c r="F163" s="4" t="n"/>
      <c r="G163" s="4" t="n"/>
      <c r="H163" s="4" t="n"/>
      <c r="I163" s="4" t="n"/>
      <c r="J163" s="4" t="n"/>
      <c r="K163" s="4" t="n"/>
      <c r="L163" s="4" t="n"/>
      <c r="M163" s="4" t="n"/>
      <c r="N163" s="4">
        <f>IF(OR(G163="",H163=""),"",IF(AND(G163="CONFIDENTIAL",H163="Physical Destruction",J163="Yes"),"Yes",IF(G163="PUBLIC","Yes",IF(J163="N/A","Yes","Check"))))</f>
        <v/>
      </c>
      <c r="O163" s="4" t="n"/>
    </row>
    <row r="164">
      <c r="A164" s="4" t="n"/>
      <c r="B164" s="4" t="n"/>
      <c r="C164" s="4" t="n"/>
      <c r="D164" s="4" t="n"/>
      <c r="E164" s="4" t="n"/>
      <c r="F164" s="4" t="n"/>
      <c r="G164" s="4" t="n"/>
      <c r="H164" s="4" t="n"/>
      <c r="I164" s="4" t="n"/>
      <c r="J164" s="4" t="n"/>
      <c r="K164" s="4" t="n"/>
      <c r="L164" s="4" t="n"/>
      <c r="M164" s="4" t="n"/>
      <c r="N164" s="4">
        <f>IF(OR(G164="",H164=""),"",IF(AND(G164="CONFIDENTIAL",H164="Physical Destruction",J164="Yes"),"Yes",IF(G164="PUBLIC","Yes",IF(J164="N/A","Yes","Check"))))</f>
        <v/>
      </c>
      <c r="O164" s="4" t="n"/>
    </row>
    <row r="165">
      <c r="A165" s="4" t="n"/>
      <c r="B165" s="4" t="n"/>
      <c r="C165" s="4" t="n"/>
      <c r="D165" s="4" t="n"/>
      <c r="E165" s="4" t="n"/>
      <c r="F165" s="4" t="n"/>
      <c r="G165" s="4" t="n"/>
      <c r="H165" s="4" t="n"/>
      <c r="I165" s="4" t="n"/>
      <c r="J165" s="4" t="n"/>
      <c r="K165" s="4" t="n"/>
      <c r="L165" s="4" t="n"/>
      <c r="M165" s="4" t="n"/>
      <c r="N165" s="4">
        <f>IF(OR(G165="",H165=""),"",IF(AND(G165="CONFIDENTIAL",H165="Physical Destruction",J165="Yes"),"Yes",IF(G165="PUBLIC","Yes",IF(J165="N/A","Yes","Check"))))</f>
        <v/>
      </c>
      <c r="O165" s="4" t="n"/>
    </row>
    <row r="166">
      <c r="A166" s="4" t="n"/>
      <c r="B166" s="4" t="n"/>
      <c r="C166" s="4" t="n"/>
      <c r="D166" s="4" t="n"/>
      <c r="E166" s="4" t="n"/>
      <c r="F166" s="4" t="n"/>
      <c r="G166" s="4" t="n"/>
      <c r="H166" s="4" t="n"/>
      <c r="I166" s="4" t="n"/>
      <c r="J166" s="4" t="n"/>
      <c r="K166" s="4" t="n"/>
      <c r="L166" s="4" t="n"/>
      <c r="M166" s="4" t="n"/>
      <c r="N166" s="4">
        <f>IF(OR(G166="",H166=""),"",IF(AND(G166="CONFIDENTIAL",H166="Physical Destruction",J166="Yes"),"Yes",IF(G166="PUBLIC","Yes",IF(J166="N/A","Yes","Check"))))</f>
        <v/>
      </c>
      <c r="O166" s="4" t="n"/>
    </row>
    <row r="167">
      <c r="A167" s="4" t="n"/>
      <c r="B167" s="4" t="n"/>
      <c r="C167" s="4" t="n"/>
      <c r="D167" s="4" t="n"/>
      <c r="E167" s="4" t="n"/>
      <c r="F167" s="4" t="n"/>
      <c r="G167" s="4" t="n"/>
      <c r="H167" s="4" t="n"/>
      <c r="I167" s="4" t="n"/>
      <c r="J167" s="4" t="n"/>
      <c r="K167" s="4" t="n"/>
      <c r="L167" s="4" t="n"/>
      <c r="M167" s="4" t="n"/>
      <c r="N167" s="4">
        <f>IF(OR(G167="",H167=""),"",IF(AND(G167="CONFIDENTIAL",H167="Physical Destruction",J167="Yes"),"Yes",IF(G167="PUBLIC","Yes",IF(J167="N/A","Yes","Check"))))</f>
        <v/>
      </c>
      <c r="O167" s="4" t="n"/>
    </row>
    <row r="168">
      <c r="A168" s="4" t="n"/>
      <c r="B168" s="4" t="n"/>
      <c r="C168" s="4" t="n"/>
      <c r="D168" s="4" t="n"/>
      <c r="E168" s="4" t="n"/>
      <c r="F168" s="4" t="n"/>
      <c r="G168" s="4" t="n"/>
      <c r="H168" s="4" t="n"/>
      <c r="I168" s="4" t="n"/>
      <c r="J168" s="4" t="n"/>
      <c r="K168" s="4" t="n"/>
      <c r="L168" s="4" t="n"/>
      <c r="M168" s="4" t="n"/>
      <c r="N168" s="4">
        <f>IF(OR(G168="",H168=""),"",IF(AND(G168="CONFIDENTIAL",H168="Physical Destruction",J168="Yes"),"Yes",IF(G168="PUBLIC","Yes",IF(J168="N/A","Yes","Check"))))</f>
        <v/>
      </c>
      <c r="O168" s="4" t="n"/>
    </row>
    <row r="169">
      <c r="A169" s="4" t="n"/>
      <c r="B169" s="4" t="n"/>
      <c r="C169" s="4" t="n"/>
      <c r="D169" s="4" t="n"/>
      <c r="E169" s="4" t="n"/>
      <c r="F169" s="4" t="n"/>
      <c r="G169" s="4" t="n"/>
      <c r="H169" s="4" t="n"/>
      <c r="I169" s="4" t="n"/>
      <c r="J169" s="4" t="n"/>
      <c r="K169" s="4" t="n"/>
      <c r="L169" s="4" t="n"/>
      <c r="M169" s="4" t="n"/>
      <c r="N169" s="4">
        <f>IF(OR(G169="",H169=""),"",IF(AND(G169="CONFIDENTIAL",H169="Physical Destruction",J169="Yes"),"Yes",IF(G169="PUBLIC","Yes",IF(J169="N/A","Yes","Check"))))</f>
        <v/>
      </c>
      <c r="O169" s="4" t="n"/>
    </row>
    <row r="170">
      <c r="A170" s="4" t="n"/>
      <c r="B170" s="4" t="n"/>
      <c r="C170" s="4" t="n"/>
      <c r="D170" s="4" t="n"/>
      <c r="E170" s="4" t="n"/>
      <c r="F170" s="4" t="n"/>
      <c r="G170" s="4" t="n"/>
      <c r="H170" s="4" t="n"/>
      <c r="I170" s="4" t="n"/>
      <c r="J170" s="4" t="n"/>
      <c r="K170" s="4" t="n"/>
      <c r="L170" s="4" t="n"/>
      <c r="M170" s="4" t="n"/>
      <c r="N170" s="4">
        <f>IF(OR(G170="",H170=""),"",IF(AND(G170="CONFIDENTIAL",H170="Physical Destruction",J170="Yes"),"Yes",IF(G170="PUBLIC","Yes",IF(J170="N/A","Yes","Check"))))</f>
        <v/>
      </c>
      <c r="O170" s="4" t="n"/>
    </row>
    <row r="171">
      <c r="A171" s="4" t="n"/>
      <c r="B171" s="4" t="n"/>
      <c r="C171" s="4" t="n"/>
      <c r="D171" s="4" t="n"/>
      <c r="E171" s="4" t="n"/>
      <c r="F171" s="4" t="n"/>
      <c r="G171" s="4" t="n"/>
      <c r="H171" s="4" t="n"/>
      <c r="I171" s="4" t="n"/>
      <c r="J171" s="4" t="n"/>
      <c r="K171" s="4" t="n"/>
      <c r="L171" s="4" t="n"/>
      <c r="M171" s="4" t="n"/>
      <c r="N171" s="4">
        <f>IF(OR(G171="",H171=""),"",IF(AND(G171="CONFIDENTIAL",H171="Physical Destruction",J171="Yes"),"Yes",IF(G171="PUBLIC","Yes",IF(J171="N/A","Yes","Check"))))</f>
        <v/>
      </c>
      <c r="O171" s="4" t="n"/>
    </row>
    <row r="172">
      <c r="A172" s="4" t="n"/>
      <c r="B172" s="4" t="n"/>
      <c r="C172" s="4" t="n"/>
      <c r="D172" s="4" t="n"/>
      <c r="E172" s="4" t="n"/>
      <c r="F172" s="4" t="n"/>
      <c r="G172" s="4" t="n"/>
      <c r="H172" s="4" t="n"/>
      <c r="I172" s="4" t="n"/>
      <c r="J172" s="4" t="n"/>
      <c r="K172" s="4" t="n"/>
      <c r="L172" s="4" t="n"/>
      <c r="M172" s="4" t="n"/>
      <c r="N172" s="4">
        <f>IF(OR(G172="",H172=""),"",IF(AND(G172="CONFIDENTIAL",H172="Physical Destruction",J172="Yes"),"Yes",IF(G172="PUBLIC","Yes",IF(J172="N/A","Yes","Check"))))</f>
        <v/>
      </c>
      <c r="O172" s="4" t="n"/>
    </row>
    <row r="173">
      <c r="A173" s="4" t="n"/>
      <c r="B173" s="4" t="n"/>
      <c r="C173" s="4" t="n"/>
      <c r="D173" s="4" t="n"/>
      <c r="E173" s="4" t="n"/>
      <c r="F173" s="4" t="n"/>
      <c r="G173" s="4" t="n"/>
      <c r="H173" s="4" t="n"/>
      <c r="I173" s="4" t="n"/>
      <c r="J173" s="4" t="n"/>
      <c r="K173" s="4" t="n"/>
      <c r="L173" s="4" t="n"/>
      <c r="M173" s="4" t="n"/>
      <c r="N173" s="4">
        <f>IF(OR(G173="",H173=""),"",IF(AND(G173="CONFIDENTIAL",H173="Physical Destruction",J173="Yes"),"Yes",IF(G173="PUBLIC","Yes",IF(J173="N/A","Yes","Check"))))</f>
        <v/>
      </c>
      <c r="O173" s="4" t="n"/>
    </row>
    <row r="174">
      <c r="A174" s="4" t="n"/>
      <c r="B174" s="4" t="n"/>
      <c r="C174" s="4" t="n"/>
      <c r="D174" s="4" t="n"/>
      <c r="E174" s="4" t="n"/>
      <c r="F174" s="4" t="n"/>
      <c r="G174" s="4" t="n"/>
      <c r="H174" s="4" t="n"/>
      <c r="I174" s="4" t="n"/>
      <c r="J174" s="4" t="n"/>
      <c r="K174" s="4" t="n"/>
      <c r="L174" s="4" t="n"/>
      <c r="M174" s="4" t="n"/>
      <c r="N174" s="4">
        <f>IF(OR(G174="",H174=""),"",IF(AND(G174="CONFIDENTIAL",H174="Physical Destruction",J174="Yes"),"Yes",IF(G174="PUBLIC","Yes",IF(J174="N/A","Yes","Check"))))</f>
        <v/>
      </c>
      <c r="O174" s="4" t="n"/>
    </row>
    <row r="175">
      <c r="A175" s="4" t="n"/>
      <c r="B175" s="4" t="n"/>
      <c r="C175" s="4" t="n"/>
      <c r="D175" s="4" t="n"/>
      <c r="E175" s="4" t="n"/>
      <c r="F175" s="4" t="n"/>
      <c r="G175" s="4" t="n"/>
      <c r="H175" s="4" t="n"/>
      <c r="I175" s="4" t="n"/>
      <c r="J175" s="4" t="n"/>
      <c r="K175" s="4" t="n"/>
      <c r="L175" s="4" t="n"/>
      <c r="M175" s="4" t="n"/>
      <c r="N175" s="4">
        <f>IF(OR(G175="",H175=""),"",IF(AND(G175="CONFIDENTIAL",H175="Physical Destruction",J175="Yes"),"Yes",IF(G175="PUBLIC","Yes",IF(J175="N/A","Yes","Check"))))</f>
        <v/>
      </c>
      <c r="O175" s="4" t="n"/>
    </row>
    <row r="176">
      <c r="A176" s="4" t="n"/>
      <c r="B176" s="4" t="n"/>
      <c r="C176" s="4" t="n"/>
      <c r="D176" s="4" t="n"/>
      <c r="E176" s="4" t="n"/>
      <c r="F176" s="4" t="n"/>
      <c r="G176" s="4" t="n"/>
      <c r="H176" s="4" t="n"/>
      <c r="I176" s="4" t="n"/>
      <c r="J176" s="4" t="n"/>
      <c r="K176" s="4" t="n"/>
      <c r="L176" s="4" t="n"/>
      <c r="M176" s="4" t="n"/>
      <c r="N176" s="4">
        <f>IF(OR(G176="",H176=""),"",IF(AND(G176="CONFIDENTIAL",H176="Physical Destruction",J176="Yes"),"Yes",IF(G176="PUBLIC","Yes",IF(J176="N/A","Yes","Check"))))</f>
        <v/>
      </c>
      <c r="O176" s="4" t="n"/>
    </row>
    <row r="177">
      <c r="A177" s="4" t="n"/>
      <c r="B177" s="4" t="n"/>
      <c r="C177" s="4" t="n"/>
      <c r="D177" s="4" t="n"/>
      <c r="E177" s="4" t="n"/>
      <c r="F177" s="4" t="n"/>
      <c r="G177" s="4" t="n"/>
      <c r="H177" s="4" t="n"/>
      <c r="I177" s="4" t="n"/>
      <c r="J177" s="4" t="n"/>
      <c r="K177" s="4" t="n"/>
      <c r="L177" s="4" t="n"/>
      <c r="M177" s="4" t="n"/>
      <c r="N177" s="4">
        <f>IF(OR(G177="",H177=""),"",IF(AND(G177="CONFIDENTIAL",H177="Physical Destruction",J177="Yes"),"Yes",IF(G177="PUBLIC","Yes",IF(J177="N/A","Yes","Check"))))</f>
        <v/>
      </c>
      <c r="O177" s="4" t="n"/>
    </row>
    <row r="178">
      <c r="A178" s="4" t="n"/>
      <c r="B178" s="4" t="n"/>
      <c r="C178" s="4" t="n"/>
      <c r="D178" s="4" t="n"/>
      <c r="E178" s="4" t="n"/>
      <c r="F178" s="4" t="n"/>
      <c r="G178" s="4" t="n"/>
      <c r="H178" s="4" t="n"/>
      <c r="I178" s="4" t="n"/>
      <c r="J178" s="4" t="n"/>
      <c r="K178" s="4" t="n"/>
      <c r="L178" s="4" t="n"/>
      <c r="M178" s="4" t="n"/>
      <c r="N178" s="4">
        <f>IF(OR(G178="",H178=""),"",IF(AND(G178="CONFIDENTIAL",H178="Physical Destruction",J178="Yes"),"Yes",IF(G178="PUBLIC","Yes",IF(J178="N/A","Yes","Check"))))</f>
        <v/>
      </c>
      <c r="O178" s="4" t="n"/>
    </row>
    <row r="179">
      <c r="A179" s="4" t="n"/>
      <c r="B179" s="4" t="n"/>
      <c r="C179" s="4" t="n"/>
      <c r="D179" s="4" t="n"/>
      <c r="E179" s="4" t="n"/>
      <c r="F179" s="4" t="n"/>
      <c r="G179" s="4" t="n"/>
      <c r="H179" s="4" t="n"/>
      <c r="I179" s="4" t="n"/>
      <c r="J179" s="4" t="n"/>
      <c r="K179" s="4" t="n"/>
      <c r="L179" s="4" t="n"/>
      <c r="M179" s="4" t="n"/>
      <c r="N179" s="4">
        <f>IF(OR(G179="",H179=""),"",IF(AND(G179="CONFIDENTIAL",H179="Physical Destruction",J179="Yes"),"Yes",IF(G179="PUBLIC","Yes",IF(J179="N/A","Yes","Check"))))</f>
        <v/>
      </c>
      <c r="O179" s="4" t="n"/>
    </row>
    <row r="180">
      <c r="A180" s="4" t="n"/>
      <c r="B180" s="4" t="n"/>
      <c r="C180" s="4" t="n"/>
      <c r="D180" s="4" t="n"/>
      <c r="E180" s="4" t="n"/>
      <c r="F180" s="4" t="n"/>
      <c r="G180" s="4" t="n"/>
      <c r="H180" s="4" t="n"/>
      <c r="I180" s="4" t="n"/>
      <c r="J180" s="4" t="n"/>
      <c r="K180" s="4" t="n"/>
      <c r="L180" s="4" t="n"/>
      <c r="M180" s="4" t="n"/>
      <c r="N180" s="4">
        <f>IF(OR(G180="",H180=""),"",IF(AND(G180="CONFIDENTIAL",H180="Physical Destruction",J180="Yes"),"Yes",IF(G180="PUBLIC","Yes",IF(J180="N/A","Yes","Check"))))</f>
        <v/>
      </c>
      <c r="O180" s="4" t="n"/>
    </row>
    <row r="181">
      <c r="A181" s="4" t="n"/>
      <c r="B181" s="4" t="n"/>
      <c r="C181" s="4" t="n"/>
      <c r="D181" s="4" t="n"/>
      <c r="E181" s="4" t="n"/>
      <c r="F181" s="4" t="n"/>
      <c r="G181" s="4" t="n"/>
      <c r="H181" s="4" t="n"/>
      <c r="I181" s="4" t="n"/>
      <c r="J181" s="4" t="n"/>
      <c r="K181" s="4" t="n"/>
      <c r="L181" s="4" t="n"/>
      <c r="M181" s="4" t="n"/>
      <c r="N181" s="4">
        <f>IF(OR(G181="",H181=""),"",IF(AND(G181="CONFIDENTIAL",H181="Physical Destruction",J181="Yes"),"Yes",IF(G181="PUBLIC","Yes",IF(J181="N/A","Yes","Check"))))</f>
        <v/>
      </c>
      <c r="O181" s="4" t="n"/>
    </row>
    <row r="182">
      <c r="A182" s="4" t="n"/>
      <c r="B182" s="4" t="n"/>
      <c r="C182" s="4" t="n"/>
      <c r="D182" s="4" t="n"/>
      <c r="E182" s="4" t="n"/>
      <c r="F182" s="4" t="n"/>
      <c r="G182" s="4" t="n"/>
      <c r="H182" s="4" t="n"/>
      <c r="I182" s="4" t="n"/>
      <c r="J182" s="4" t="n"/>
      <c r="K182" s="4" t="n"/>
      <c r="L182" s="4" t="n"/>
      <c r="M182" s="4" t="n"/>
      <c r="N182" s="4">
        <f>IF(OR(G182="",H182=""),"",IF(AND(G182="CONFIDENTIAL",H182="Physical Destruction",J182="Yes"),"Yes",IF(G182="PUBLIC","Yes",IF(J182="N/A","Yes","Check"))))</f>
        <v/>
      </c>
      <c r="O182" s="4" t="n"/>
    </row>
    <row r="183">
      <c r="A183" s="4" t="n"/>
      <c r="B183" s="4" t="n"/>
      <c r="C183" s="4" t="n"/>
      <c r="D183" s="4" t="n"/>
      <c r="E183" s="4" t="n"/>
      <c r="F183" s="4" t="n"/>
      <c r="G183" s="4" t="n"/>
      <c r="H183" s="4" t="n"/>
      <c r="I183" s="4" t="n"/>
      <c r="J183" s="4" t="n"/>
      <c r="K183" s="4" t="n"/>
      <c r="L183" s="4" t="n"/>
      <c r="M183" s="4" t="n"/>
      <c r="N183" s="4">
        <f>IF(OR(G183="",H183=""),"",IF(AND(G183="CONFIDENTIAL",H183="Physical Destruction",J183="Yes"),"Yes",IF(G183="PUBLIC","Yes",IF(J183="N/A","Yes","Check"))))</f>
        <v/>
      </c>
      <c r="O183" s="4" t="n"/>
    </row>
    <row r="184">
      <c r="A184" s="4" t="n"/>
      <c r="B184" s="4" t="n"/>
      <c r="C184" s="4" t="n"/>
      <c r="D184" s="4" t="n"/>
      <c r="E184" s="4" t="n"/>
      <c r="F184" s="4" t="n"/>
      <c r="G184" s="4" t="n"/>
      <c r="H184" s="4" t="n"/>
      <c r="I184" s="4" t="n"/>
      <c r="J184" s="4" t="n"/>
      <c r="K184" s="4" t="n"/>
      <c r="L184" s="4" t="n"/>
      <c r="M184" s="4" t="n"/>
      <c r="N184" s="4">
        <f>IF(OR(G184="",H184=""),"",IF(AND(G184="CONFIDENTIAL",H184="Physical Destruction",J184="Yes"),"Yes",IF(G184="PUBLIC","Yes",IF(J184="N/A","Yes","Check"))))</f>
        <v/>
      </c>
      <c r="O184" s="4" t="n"/>
    </row>
    <row r="185">
      <c r="A185" s="4" t="n"/>
      <c r="B185" s="4" t="n"/>
      <c r="C185" s="4" t="n"/>
      <c r="D185" s="4" t="n"/>
      <c r="E185" s="4" t="n"/>
      <c r="F185" s="4" t="n"/>
      <c r="G185" s="4" t="n"/>
      <c r="H185" s="4" t="n"/>
      <c r="I185" s="4" t="n"/>
      <c r="J185" s="4" t="n"/>
      <c r="K185" s="4" t="n"/>
      <c r="L185" s="4" t="n"/>
      <c r="M185" s="4" t="n"/>
      <c r="N185" s="4">
        <f>IF(OR(G185="",H185=""),"",IF(AND(G185="CONFIDENTIAL",H185="Physical Destruction",J185="Yes"),"Yes",IF(G185="PUBLIC","Yes",IF(J185="N/A","Yes","Check"))))</f>
        <v/>
      </c>
      <c r="O185" s="4" t="n"/>
    </row>
    <row r="186">
      <c r="A186" s="4" t="n"/>
      <c r="B186" s="4" t="n"/>
      <c r="C186" s="4" t="n"/>
      <c r="D186" s="4" t="n"/>
      <c r="E186" s="4" t="n"/>
      <c r="F186" s="4" t="n"/>
      <c r="G186" s="4" t="n"/>
      <c r="H186" s="4" t="n"/>
      <c r="I186" s="4" t="n"/>
      <c r="J186" s="4" t="n"/>
      <c r="K186" s="4" t="n"/>
      <c r="L186" s="4" t="n"/>
      <c r="M186" s="4" t="n"/>
      <c r="N186" s="4">
        <f>IF(OR(G186="",H186=""),"",IF(AND(G186="CONFIDENTIAL",H186="Physical Destruction",J186="Yes"),"Yes",IF(G186="PUBLIC","Yes",IF(J186="N/A","Yes","Check"))))</f>
        <v/>
      </c>
      <c r="O186" s="4" t="n"/>
    </row>
    <row r="187">
      <c r="A187" s="4" t="n"/>
      <c r="B187" s="4" t="n"/>
      <c r="C187" s="4" t="n"/>
      <c r="D187" s="4" t="n"/>
      <c r="E187" s="4" t="n"/>
      <c r="F187" s="4" t="n"/>
      <c r="G187" s="4" t="n"/>
      <c r="H187" s="4" t="n"/>
      <c r="I187" s="4" t="n"/>
      <c r="J187" s="4" t="n"/>
      <c r="K187" s="4" t="n"/>
      <c r="L187" s="4" t="n"/>
      <c r="M187" s="4" t="n"/>
      <c r="N187" s="4">
        <f>IF(OR(G187="",H187=""),"",IF(AND(G187="CONFIDENTIAL",H187="Physical Destruction",J187="Yes"),"Yes",IF(G187="PUBLIC","Yes",IF(J187="N/A","Yes","Check"))))</f>
        <v/>
      </c>
      <c r="O187" s="4" t="n"/>
    </row>
    <row r="188">
      <c r="A188" s="4" t="n"/>
      <c r="B188" s="4" t="n"/>
      <c r="C188" s="4" t="n"/>
      <c r="D188" s="4" t="n"/>
      <c r="E188" s="4" t="n"/>
      <c r="F188" s="4" t="n"/>
      <c r="G188" s="4" t="n"/>
      <c r="H188" s="4" t="n"/>
      <c r="I188" s="4" t="n"/>
      <c r="J188" s="4" t="n"/>
      <c r="K188" s="4" t="n"/>
      <c r="L188" s="4" t="n"/>
      <c r="M188" s="4" t="n"/>
      <c r="N188" s="4">
        <f>IF(OR(G188="",H188=""),"",IF(AND(G188="CONFIDENTIAL",H188="Physical Destruction",J188="Yes"),"Yes",IF(G188="PUBLIC","Yes",IF(J188="N/A","Yes","Check"))))</f>
        <v/>
      </c>
      <c r="O188" s="4" t="n"/>
    </row>
    <row r="189">
      <c r="A189" s="4" t="n"/>
      <c r="B189" s="4" t="n"/>
      <c r="C189" s="4" t="n"/>
      <c r="D189" s="4" t="n"/>
      <c r="E189" s="4" t="n"/>
      <c r="F189" s="4" t="n"/>
      <c r="G189" s="4" t="n"/>
      <c r="H189" s="4" t="n"/>
      <c r="I189" s="4" t="n"/>
      <c r="J189" s="4" t="n"/>
      <c r="K189" s="4" t="n"/>
      <c r="L189" s="4" t="n"/>
      <c r="M189" s="4" t="n"/>
      <c r="N189" s="4">
        <f>IF(OR(G189="",H189=""),"",IF(AND(G189="CONFIDENTIAL",H189="Physical Destruction",J189="Yes"),"Yes",IF(G189="PUBLIC","Yes",IF(J189="N/A","Yes","Check"))))</f>
        <v/>
      </c>
      <c r="O189" s="4" t="n"/>
    </row>
    <row r="190">
      <c r="A190" s="4" t="n"/>
      <c r="B190" s="4" t="n"/>
      <c r="C190" s="4" t="n"/>
      <c r="D190" s="4" t="n"/>
      <c r="E190" s="4" t="n"/>
      <c r="F190" s="4" t="n"/>
      <c r="G190" s="4" t="n"/>
      <c r="H190" s="4" t="n"/>
      <c r="I190" s="4" t="n"/>
      <c r="J190" s="4" t="n"/>
      <c r="K190" s="4" t="n"/>
      <c r="L190" s="4" t="n"/>
      <c r="M190" s="4" t="n"/>
      <c r="N190" s="4">
        <f>IF(OR(G190="",H190=""),"",IF(AND(G190="CONFIDENTIAL",H190="Physical Destruction",J190="Yes"),"Yes",IF(G190="PUBLIC","Yes",IF(J190="N/A","Yes","Check"))))</f>
        <v/>
      </c>
      <c r="O190" s="4" t="n"/>
    </row>
    <row r="191">
      <c r="A191" s="4" t="n"/>
      <c r="B191" s="4" t="n"/>
      <c r="C191" s="4" t="n"/>
      <c r="D191" s="4" t="n"/>
      <c r="E191" s="4" t="n"/>
      <c r="F191" s="4" t="n"/>
      <c r="G191" s="4" t="n"/>
      <c r="H191" s="4" t="n"/>
      <c r="I191" s="4" t="n"/>
      <c r="J191" s="4" t="n"/>
      <c r="K191" s="4" t="n"/>
      <c r="L191" s="4" t="n"/>
      <c r="M191" s="4" t="n"/>
      <c r="N191" s="4">
        <f>IF(OR(G191="",H191=""),"",IF(AND(G191="CONFIDENTIAL",H191="Physical Destruction",J191="Yes"),"Yes",IF(G191="PUBLIC","Yes",IF(J191="N/A","Yes","Check"))))</f>
        <v/>
      </c>
      <c r="O191" s="4" t="n"/>
    </row>
    <row r="192">
      <c r="A192" s="4" t="n"/>
      <c r="B192" s="4" t="n"/>
      <c r="C192" s="4" t="n"/>
      <c r="D192" s="4" t="n"/>
      <c r="E192" s="4" t="n"/>
      <c r="F192" s="4" t="n"/>
      <c r="G192" s="4" t="n"/>
      <c r="H192" s="4" t="n"/>
      <c r="I192" s="4" t="n"/>
      <c r="J192" s="4" t="n"/>
      <c r="K192" s="4" t="n"/>
      <c r="L192" s="4" t="n"/>
      <c r="M192" s="4" t="n"/>
      <c r="N192" s="4">
        <f>IF(OR(G192="",H192=""),"",IF(AND(G192="CONFIDENTIAL",H192="Physical Destruction",J192="Yes"),"Yes",IF(G192="PUBLIC","Yes",IF(J192="N/A","Yes","Check"))))</f>
        <v/>
      </c>
      <c r="O192" s="4" t="n"/>
    </row>
    <row r="193">
      <c r="A193" s="4" t="n"/>
      <c r="B193" s="4" t="n"/>
      <c r="C193" s="4" t="n"/>
      <c r="D193" s="4" t="n"/>
      <c r="E193" s="4" t="n"/>
      <c r="F193" s="4" t="n"/>
      <c r="G193" s="4" t="n"/>
      <c r="H193" s="4" t="n"/>
      <c r="I193" s="4" t="n"/>
      <c r="J193" s="4" t="n"/>
      <c r="K193" s="4" t="n"/>
      <c r="L193" s="4" t="n"/>
      <c r="M193" s="4" t="n"/>
      <c r="N193" s="4">
        <f>IF(OR(G193="",H193=""),"",IF(AND(G193="CONFIDENTIAL",H193="Physical Destruction",J193="Yes"),"Yes",IF(G193="PUBLIC","Yes",IF(J193="N/A","Yes","Check"))))</f>
        <v/>
      </c>
      <c r="O193" s="4" t="n"/>
    </row>
    <row r="194">
      <c r="A194" s="4" t="n"/>
      <c r="B194" s="4" t="n"/>
      <c r="C194" s="4" t="n"/>
      <c r="D194" s="4" t="n"/>
      <c r="E194" s="4" t="n"/>
      <c r="F194" s="4" t="n"/>
      <c r="G194" s="4" t="n"/>
      <c r="H194" s="4" t="n"/>
      <c r="I194" s="4" t="n"/>
      <c r="J194" s="4" t="n"/>
      <c r="K194" s="4" t="n"/>
      <c r="L194" s="4" t="n"/>
      <c r="M194" s="4" t="n"/>
      <c r="N194" s="4">
        <f>IF(OR(G194="",H194=""),"",IF(AND(G194="CONFIDENTIAL",H194="Physical Destruction",J194="Yes"),"Yes",IF(G194="PUBLIC","Yes",IF(J194="N/A","Yes","Check"))))</f>
        <v/>
      </c>
      <c r="O194" s="4" t="n"/>
    </row>
    <row r="195">
      <c r="A195" s="4" t="n"/>
      <c r="B195" s="4" t="n"/>
      <c r="C195" s="4" t="n"/>
      <c r="D195" s="4" t="n"/>
      <c r="E195" s="4" t="n"/>
      <c r="F195" s="4" t="n"/>
      <c r="G195" s="4" t="n"/>
      <c r="H195" s="4" t="n"/>
      <c r="I195" s="4" t="n"/>
      <c r="J195" s="4" t="n"/>
      <c r="K195" s="4" t="n"/>
      <c r="L195" s="4" t="n"/>
      <c r="M195" s="4" t="n"/>
      <c r="N195" s="4">
        <f>IF(OR(G195="",H195=""),"",IF(AND(G195="CONFIDENTIAL",H195="Physical Destruction",J195="Yes"),"Yes",IF(G195="PUBLIC","Yes",IF(J195="N/A","Yes","Check"))))</f>
        <v/>
      </c>
      <c r="O195" s="4" t="n"/>
    </row>
    <row r="196">
      <c r="A196" s="4" t="n"/>
      <c r="B196" s="4" t="n"/>
      <c r="C196" s="4" t="n"/>
      <c r="D196" s="4" t="n"/>
      <c r="E196" s="4" t="n"/>
      <c r="F196" s="4" t="n"/>
      <c r="G196" s="4" t="n"/>
      <c r="H196" s="4" t="n"/>
      <c r="I196" s="4" t="n"/>
      <c r="J196" s="4" t="n"/>
      <c r="K196" s="4" t="n"/>
      <c r="L196" s="4" t="n"/>
      <c r="M196" s="4" t="n"/>
      <c r="N196" s="4">
        <f>IF(OR(G196="",H196=""),"",IF(AND(G196="CONFIDENTIAL",H196="Physical Destruction",J196="Yes"),"Yes",IF(G196="PUBLIC","Yes",IF(J196="N/A","Yes","Check"))))</f>
        <v/>
      </c>
      <c r="O196" s="4" t="n"/>
    </row>
    <row r="197">
      <c r="A197" s="4" t="n"/>
      <c r="B197" s="4" t="n"/>
      <c r="C197" s="4" t="n"/>
      <c r="D197" s="4" t="n"/>
      <c r="E197" s="4" t="n"/>
      <c r="F197" s="4" t="n"/>
      <c r="G197" s="4" t="n"/>
      <c r="H197" s="4" t="n"/>
      <c r="I197" s="4" t="n"/>
      <c r="J197" s="4" t="n"/>
      <c r="K197" s="4" t="n"/>
      <c r="L197" s="4" t="n"/>
      <c r="M197" s="4" t="n"/>
      <c r="N197" s="4">
        <f>IF(OR(G197="",H197=""),"",IF(AND(G197="CONFIDENTIAL",H197="Physical Destruction",J197="Yes"),"Yes",IF(G197="PUBLIC","Yes",IF(J197="N/A","Yes","Check"))))</f>
        <v/>
      </c>
      <c r="O197" s="4" t="n"/>
    </row>
    <row r="198">
      <c r="A198" s="4" t="n"/>
      <c r="B198" s="4" t="n"/>
      <c r="C198" s="4" t="n"/>
      <c r="D198" s="4" t="n"/>
      <c r="E198" s="4" t="n"/>
      <c r="F198" s="4" t="n"/>
      <c r="G198" s="4" t="n"/>
      <c r="H198" s="4" t="n"/>
      <c r="I198" s="4" t="n"/>
      <c r="J198" s="4" t="n"/>
      <c r="K198" s="4" t="n"/>
      <c r="L198" s="4" t="n"/>
      <c r="M198" s="4" t="n"/>
      <c r="N198" s="4">
        <f>IF(OR(G198="",H198=""),"",IF(AND(G198="CONFIDENTIAL",H198="Physical Destruction",J198="Yes"),"Yes",IF(G198="PUBLIC","Yes",IF(J198="N/A","Yes","Check"))))</f>
        <v/>
      </c>
      <c r="O198" s="4" t="n"/>
    </row>
    <row r="199">
      <c r="A199" s="4" t="n"/>
      <c r="B199" s="4" t="n"/>
      <c r="C199" s="4" t="n"/>
      <c r="D199" s="4" t="n"/>
      <c r="E199" s="4" t="n"/>
      <c r="F199" s="4" t="n"/>
      <c r="G199" s="4" t="n"/>
      <c r="H199" s="4" t="n"/>
      <c r="I199" s="4" t="n"/>
      <c r="J199" s="4" t="n"/>
      <c r="K199" s="4" t="n"/>
      <c r="L199" s="4" t="n"/>
      <c r="M199" s="4" t="n"/>
      <c r="N199" s="4">
        <f>IF(OR(G199="",H199=""),"",IF(AND(G199="CONFIDENTIAL",H199="Physical Destruction",J199="Yes"),"Yes",IF(G199="PUBLIC","Yes",IF(J199="N/A","Yes","Check"))))</f>
        <v/>
      </c>
      <c r="O199" s="4" t="n"/>
    </row>
    <row r="200">
      <c r="A200" s="4" t="n"/>
      <c r="B200" s="4" t="n"/>
      <c r="C200" s="4" t="n"/>
      <c r="D200" s="4" t="n"/>
      <c r="E200" s="4" t="n"/>
      <c r="F200" s="4" t="n"/>
      <c r="G200" s="4" t="n"/>
      <c r="H200" s="4" t="n"/>
      <c r="I200" s="4" t="n"/>
      <c r="J200" s="4" t="n"/>
      <c r="K200" s="4" t="n"/>
      <c r="L200" s="4" t="n"/>
      <c r="M200" s="4" t="n"/>
      <c r="N200" s="4">
        <f>IF(OR(G200="",H200=""),"",IF(AND(G200="CONFIDENTIAL",H200="Physical Destruction",J200="Yes"),"Yes",IF(G200="PUBLIC","Yes",IF(J200="N/A","Yes","Check"))))</f>
        <v/>
      </c>
      <c r="O200" s="4" t="n"/>
    </row>
    <row r="201">
      <c r="A201" s="4" t="n"/>
      <c r="B201" s="4" t="n"/>
      <c r="C201" s="4" t="n"/>
      <c r="D201" s="4" t="n"/>
      <c r="E201" s="4" t="n"/>
      <c r="F201" s="4" t="n"/>
      <c r="G201" s="4" t="n"/>
      <c r="H201" s="4" t="n"/>
      <c r="I201" s="4" t="n"/>
      <c r="J201" s="4" t="n"/>
      <c r="K201" s="4" t="n"/>
      <c r="L201" s="4" t="n"/>
      <c r="M201" s="4" t="n"/>
      <c r="N201" s="4">
        <f>IF(OR(G201="",H201=""),"",IF(AND(G201="CONFIDENTIAL",H201="Physical Destruction",J201="Yes"),"Yes",IF(G201="PUBLIC","Yes",IF(J201="N/A","Yes","Check"))))</f>
        <v/>
      </c>
      <c r="O201" s="4" t="n"/>
    </row>
    <row r="202">
      <c r="A202" s="4" t="n"/>
      <c r="B202" s="4" t="n"/>
      <c r="C202" s="4" t="n"/>
      <c r="D202" s="4" t="n"/>
      <c r="E202" s="4" t="n"/>
      <c r="F202" s="4" t="n"/>
      <c r="G202" s="4" t="n"/>
      <c r="H202" s="4" t="n"/>
      <c r="I202" s="4" t="n"/>
      <c r="J202" s="4" t="n"/>
      <c r="K202" s="4" t="n"/>
      <c r="L202" s="4" t="n"/>
      <c r="M202" s="4" t="n"/>
      <c r="N202" s="4">
        <f>IF(OR(G202="",H202=""),"",IF(AND(G202="CONFIDENTIAL",H202="Physical Destruction",J202="Yes"),"Yes",IF(G202="PUBLIC","Yes",IF(J202="N/A","Yes","Check"))))</f>
        <v/>
      </c>
      <c r="O202" s="4" t="n"/>
    </row>
    <row r="203">
      <c r="A203" s="4" t="n"/>
      <c r="B203" s="4" t="n"/>
      <c r="C203" s="4" t="n"/>
      <c r="D203" s="4" t="n"/>
      <c r="E203" s="4" t="n"/>
      <c r="F203" s="4" t="n"/>
      <c r="G203" s="4" t="n"/>
      <c r="H203" s="4" t="n"/>
      <c r="I203" s="4" t="n"/>
      <c r="J203" s="4" t="n"/>
      <c r="K203" s="4" t="n"/>
      <c r="L203" s="4" t="n"/>
      <c r="M203" s="4" t="n"/>
      <c r="N203" s="4">
        <f>IF(OR(G203="",H203=""),"",IF(AND(G203="CONFIDENTIAL",H203="Physical Destruction",J203="Yes"),"Yes",IF(G203="PUBLIC","Yes",IF(J203="N/A","Yes","Check"))))</f>
        <v/>
      </c>
      <c r="O203" s="4" t="n"/>
    </row>
  </sheetData>
  <mergeCells count="1">
    <mergeCell ref="A1:O1"/>
  </mergeCells>
  <dataValidations count="6">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showDropDown="0" showInputMessage="0" showErrorMessage="0" allowBlank="1" type="list">
      <formula1>"Laptop,Desktop,Server,Mobile,Printer,Network,Storage,USB/Media,Other"</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showDropDown="0" showInputMessage="0" showErrorMessage="0" allowBlank="1" type="list">
      <formula1>"CONFIDENTIAL,INTERNAL,PUBLIC,Unknown"</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showDropDown="0" showInputMessage="0" showErrorMessage="0" allowBlank="1" type="list">
      <formula1>"Physical Destruction,Secure Overwrite,Crypto Erase,Factory Reset,Format,Config Wipe"</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showDropDown="0" showInputMessage="0" showErrorMessage="0" allowBlank="1" type="list">
      <formula1>"Vendor Destruction,Internal Re-Use,Donation,Sale,Recycling"</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showDropDown="0" showInputMessage="0" showErrorMessage="0" allowBlank="1" type="list">
      <formula1>"Yes,No,N/A"</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5" customWidth="1" min="1" max="1"/>
    <col width="35" customWidth="1" min="2" max="2"/>
  </cols>
  <sheetData>
    <row r="1" ht="30" customHeight="1">
      <c r="A1" s="1" t="inlineStr">
        <is>
          <t>EQUIPMENT DISPOSAL - SUMMARY DASHBOARD</t>
        </is>
      </c>
    </row>
    <row r="3">
      <c r="A3" s="3" t="inlineStr">
        <is>
          <t>Assessment Period:</t>
        </is>
      </c>
      <c r="B3" s="4" t="n"/>
    </row>
    <row r="5">
      <c r="A5" s="2" t="inlineStr">
        <is>
          <t>Disposal Metrics</t>
        </is>
      </c>
    </row>
    <row r="7">
      <c r="A7" t="inlineStr">
        <is>
          <t>Total Equipment Disposed:</t>
        </is>
      </c>
      <c r="B7">
        <f>COUNTA('Disposal Log'!A4:A203)</f>
        <v/>
      </c>
    </row>
    <row r="8">
      <c r="A8" t="inlineStr">
        <is>
          <t>By Data Classification:</t>
        </is>
      </c>
    </row>
    <row r="9">
      <c r="A9" t="inlineStr">
        <is>
          <t xml:space="preserve">  - CONFIDENTIAL:</t>
        </is>
      </c>
      <c r="B9">
        <f>COUNTIF('Disposal Log'!G4:G203,"CONFIDENTIAL")</f>
        <v/>
      </c>
    </row>
    <row r="10">
      <c r="A10" t="inlineStr">
        <is>
          <t xml:space="preserve">  - INTERNAL:</t>
        </is>
      </c>
      <c r="B10">
        <f>COUNTIF('Disposal Log'!G4:G203,"INTERNAL")</f>
        <v/>
      </c>
    </row>
    <row r="11">
      <c r="A11" t="inlineStr">
        <is>
          <t xml:space="preserve">  - PUBLIC:</t>
        </is>
      </c>
      <c r="B11">
        <f>COUNTIF('Disposal Log'!G4:G203,"PUBLIC")</f>
        <v/>
      </c>
    </row>
    <row r="12">
      <c r="A12" t="inlineStr">
        <is>
          <t xml:space="preserve">  - Unknown:</t>
        </is>
      </c>
      <c r="B12">
        <f>COUNTIF('Disposal Log'!G4:G203,"Unknown")</f>
        <v/>
      </c>
    </row>
    <row r="14">
      <c r="A14" s="2" t="inlineStr">
        <is>
          <t>Certificate Collection</t>
        </is>
      </c>
    </row>
    <row r="15">
      <c r="A15" t="inlineStr">
        <is>
          <t>Certificates Obtained:</t>
        </is>
      </c>
      <c r="B15">
        <f>COUNTIF('Disposal Log'!J4:J203,"Yes")</f>
        <v/>
      </c>
    </row>
    <row r="16">
      <c r="A16" t="inlineStr">
        <is>
          <t>Certificates Required (CONFIDENTIAL):</t>
        </is>
      </c>
      <c r="B16">
        <f>COUNTIF('Disposal Log'!G4:G203,"CONFIDENTIAL")</f>
        <v/>
      </c>
    </row>
    <row r="17">
      <c r="A17" t="inlineStr">
        <is>
          <t>Certificate Collection Rate:</t>
        </is>
      </c>
      <c r="B17" s="7">
        <f>IF(B16=0,"N/A",ROUND(B15/B16*100,1)&amp;"%")</f>
        <v/>
      </c>
    </row>
    <row r="19">
      <c r="A19" s="2" t="inlineStr">
        <is>
          <t>Service Provider Status</t>
        </is>
      </c>
    </row>
    <row r="20">
      <c r="A20" t="inlineStr">
        <is>
          <t>Active Providers:</t>
        </is>
      </c>
      <c r="B20">
        <f>COUNTIF('Service Providers'!C4:C53,"Active")</f>
        <v/>
      </c>
    </row>
    <row r="21">
      <c r="A21" t="inlineStr">
        <is>
          <t>Expired Contracts:</t>
        </is>
      </c>
      <c r="B21">
        <f>COUNTIF('Service Providers'!C4:C53,"Expired")</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4"/>
  <sheetViews>
    <sheetView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20" customWidth="1" min="4" max="4"/>
    <col width="30" customWidth="1" min="5" max="5"/>
    <col width="45" customWidth="1" min="6" max="6"/>
    <col width="16" customWidth="1" min="7" max="7"/>
    <col width="20" customWidth="1" min="8" max="8"/>
    <col width="18" customWidth="1" min="9" max="9"/>
    <col width="35" customWidth="1" min="10" max="10"/>
  </cols>
  <sheetData>
    <row r="1" ht="30" customHeight="1">
      <c r="A1" s="1" t="inlineStr">
        <is>
          <t>EVIDENCE REGISTER</t>
        </is>
      </c>
    </row>
    <row r="2">
      <c r="A2" s="8" t="inlineStr">
        <is>
          <t>List all evidence including destruction certificates.</t>
        </is>
      </c>
    </row>
    <row r="4">
      <c r="A4" s="5" t="inlineStr">
        <is>
          <t>Evidence ID</t>
        </is>
      </c>
      <c r="B4" s="5" t="inlineStr">
        <is>
          <t>Evidence Type</t>
        </is>
      </c>
      <c r="C4" s="5" t="inlineStr">
        <is>
          <t>Description</t>
        </is>
      </c>
      <c r="D4" s="5" t="inlineStr">
        <is>
          <t>Related Disposal ID</t>
        </is>
      </c>
      <c r="E4" s="5" t="inlineStr">
        <is>
          <t>File Name</t>
        </is>
      </c>
      <c r="F4" s="5" t="inlineStr">
        <is>
          <t>File Location</t>
        </is>
      </c>
      <c r="G4" s="5" t="inlineStr">
        <is>
          <t>Collection Date</t>
        </is>
      </c>
      <c r="H4" s="5" t="inlineStr">
        <is>
          <t>Collected By</t>
        </is>
      </c>
      <c r="I4" s="5" t="inlineStr">
        <is>
          <t>Retention Period</t>
        </is>
      </c>
      <c r="J4" s="5" t="inlineStr">
        <is>
          <t>Notes</t>
        </is>
      </c>
    </row>
    <row r="5">
      <c r="A5" s="9" t="inlineStr">
        <is>
          <t>EV-001</t>
        </is>
      </c>
      <c r="B5" s="4" t="n"/>
      <c r="C5" s="4" t="n"/>
      <c r="D5" s="4" t="n"/>
      <c r="E5" s="4" t="n"/>
      <c r="F5" s="4" t="n"/>
      <c r="G5" s="4" t="n"/>
      <c r="H5" s="4" t="n"/>
      <c r="I5" s="4" t="n"/>
      <c r="J5" s="4" t="n"/>
    </row>
    <row r="6">
      <c r="A6" s="9" t="inlineStr">
        <is>
          <t>EV-002</t>
        </is>
      </c>
      <c r="B6" s="4" t="n"/>
      <c r="C6" s="4" t="n"/>
      <c r="D6" s="4" t="n"/>
      <c r="E6" s="4" t="n"/>
      <c r="F6" s="4" t="n"/>
      <c r="G6" s="4" t="n"/>
      <c r="H6" s="4" t="n"/>
      <c r="I6" s="4" t="n"/>
      <c r="J6" s="4" t="n"/>
    </row>
    <row r="7">
      <c r="A7" s="9" t="inlineStr">
        <is>
          <t>EV-003</t>
        </is>
      </c>
      <c r="B7" s="4" t="n"/>
      <c r="C7" s="4" t="n"/>
      <c r="D7" s="4" t="n"/>
      <c r="E7" s="4" t="n"/>
      <c r="F7" s="4" t="n"/>
      <c r="G7" s="4" t="n"/>
      <c r="H7" s="4" t="n"/>
      <c r="I7" s="4" t="n"/>
      <c r="J7" s="4" t="n"/>
    </row>
    <row r="8">
      <c r="A8" s="9" t="inlineStr">
        <is>
          <t>EV-004</t>
        </is>
      </c>
      <c r="B8" s="4" t="n"/>
      <c r="C8" s="4" t="n"/>
      <c r="D8" s="4" t="n"/>
      <c r="E8" s="4" t="n"/>
      <c r="F8" s="4" t="n"/>
      <c r="G8" s="4" t="n"/>
      <c r="H8" s="4" t="n"/>
      <c r="I8" s="4" t="n"/>
      <c r="J8" s="4" t="n"/>
    </row>
    <row r="9">
      <c r="A9" s="9" t="inlineStr">
        <is>
          <t>EV-005</t>
        </is>
      </c>
      <c r="B9" s="4" t="n"/>
      <c r="C9" s="4" t="n"/>
      <c r="D9" s="4" t="n"/>
      <c r="E9" s="4" t="n"/>
      <c r="F9" s="4" t="n"/>
      <c r="G9" s="4" t="n"/>
      <c r="H9" s="4" t="n"/>
      <c r="I9" s="4" t="n"/>
      <c r="J9" s="4" t="n"/>
    </row>
    <row r="10">
      <c r="A10" s="9" t="inlineStr">
        <is>
          <t>EV-006</t>
        </is>
      </c>
      <c r="B10" s="4" t="n"/>
      <c r="C10" s="4" t="n"/>
      <c r="D10" s="4" t="n"/>
      <c r="E10" s="4" t="n"/>
      <c r="F10" s="4" t="n"/>
      <c r="G10" s="4" t="n"/>
      <c r="H10" s="4" t="n"/>
      <c r="I10" s="4" t="n"/>
      <c r="J10" s="4" t="n"/>
    </row>
    <row r="11">
      <c r="A11" s="9" t="inlineStr">
        <is>
          <t>EV-007</t>
        </is>
      </c>
      <c r="B11" s="4" t="n"/>
      <c r="C11" s="4" t="n"/>
      <c r="D11" s="4" t="n"/>
      <c r="E11" s="4" t="n"/>
      <c r="F11" s="4" t="n"/>
      <c r="G11" s="4" t="n"/>
      <c r="H11" s="4" t="n"/>
      <c r="I11" s="4" t="n"/>
      <c r="J11" s="4" t="n"/>
    </row>
    <row r="12">
      <c r="A12" s="9" t="inlineStr">
        <is>
          <t>EV-008</t>
        </is>
      </c>
      <c r="B12" s="4" t="n"/>
      <c r="C12" s="4" t="n"/>
      <c r="D12" s="4" t="n"/>
      <c r="E12" s="4" t="n"/>
      <c r="F12" s="4" t="n"/>
      <c r="G12" s="4" t="n"/>
      <c r="H12" s="4" t="n"/>
      <c r="I12" s="4" t="n"/>
      <c r="J12" s="4" t="n"/>
    </row>
    <row r="13">
      <c r="A13" s="9" t="inlineStr">
        <is>
          <t>EV-009</t>
        </is>
      </c>
      <c r="B13" s="4" t="n"/>
      <c r="C13" s="4" t="n"/>
      <c r="D13" s="4" t="n"/>
      <c r="E13" s="4" t="n"/>
      <c r="F13" s="4" t="n"/>
      <c r="G13" s="4" t="n"/>
      <c r="H13" s="4" t="n"/>
      <c r="I13" s="4" t="n"/>
      <c r="J13" s="4" t="n"/>
    </row>
    <row r="14">
      <c r="A14" s="9" t="inlineStr">
        <is>
          <t>EV-010</t>
        </is>
      </c>
      <c r="B14" s="4" t="n"/>
      <c r="C14" s="4" t="n"/>
      <c r="D14" s="4" t="n"/>
      <c r="E14" s="4" t="n"/>
      <c r="F14" s="4" t="n"/>
      <c r="G14" s="4" t="n"/>
      <c r="H14" s="4" t="n"/>
      <c r="I14" s="4" t="n"/>
      <c r="J14" s="4" t="n"/>
    </row>
    <row r="15">
      <c r="A15" s="9" t="inlineStr">
        <is>
          <t>EV-011</t>
        </is>
      </c>
      <c r="B15" s="4" t="n"/>
      <c r="C15" s="4" t="n"/>
      <c r="D15" s="4" t="n"/>
      <c r="E15" s="4" t="n"/>
      <c r="F15" s="4" t="n"/>
      <c r="G15" s="4" t="n"/>
      <c r="H15" s="4" t="n"/>
      <c r="I15" s="4" t="n"/>
      <c r="J15" s="4" t="n"/>
    </row>
    <row r="16">
      <c r="A16" s="9" t="inlineStr">
        <is>
          <t>EV-012</t>
        </is>
      </c>
      <c r="B16" s="4" t="n"/>
      <c r="C16" s="4" t="n"/>
      <c r="D16" s="4" t="n"/>
      <c r="E16" s="4" t="n"/>
      <c r="F16" s="4" t="n"/>
      <c r="G16" s="4" t="n"/>
      <c r="H16" s="4" t="n"/>
      <c r="I16" s="4" t="n"/>
      <c r="J16" s="4" t="n"/>
    </row>
    <row r="17">
      <c r="A17" s="9" t="inlineStr">
        <is>
          <t>EV-013</t>
        </is>
      </c>
      <c r="B17" s="4" t="n"/>
      <c r="C17" s="4" t="n"/>
      <c r="D17" s="4" t="n"/>
      <c r="E17" s="4" t="n"/>
      <c r="F17" s="4" t="n"/>
      <c r="G17" s="4" t="n"/>
      <c r="H17" s="4" t="n"/>
      <c r="I17" s="4" t="n"/>
      <c r="J17" s="4" t="n"/>
    </row>
    <row r="18">
      <c r="A18" s="9" t="inlineStr">
        <is>
          <t>EV-014</t>
        </is>
      </c>
      <c r="B18" s="4" t="n"/>
      <c r="C18" s="4" t="n"/>
      <c r="D18" s="4" t="n"/>
      <c r="E18" s="4" t="n"/>
      <c r="F18" s="4" t="n"/>
      <c r="G18" s="4" t="n"/>
      <c r="H18" s="4" t="n"/>
      <c r="I18" s="4" t="n"/>
      <c r="J18" s="4" t="n"/>
    </row>
    <row r="19">
      <c r="A19" s="9" t="inlineStr">
        <is>
          <t>EV-015</t>
        </is>
      </c>
      <c r="B19" s="4" t="n"/>
      <c r="C19" s="4" t="n"/>
      <c r="D19" s="4" t="n"/>
      <c r="E19" s="4" t="n"/>
      <c r="F19" s="4" t="n"/>
      <c r="G19" s="4" t="n"/>
      <c r="H19" s="4" t="n"/>
      <c r="I19" s="4" t="n"/>
      <c r="J19" s="4" t="n"/>
    </row>
    <row r="20">
      <c r="A20" s="9" t="inlineStr">
        <is>
          <t>EV-016</t>
        </is>
      </c>
      <c r="B20" s="4" t="n"/>
      <c r="C20" s="4" t="n"/>
      <c r="D20" s="4" t="n"/>
      <c r="E20" s="4" t="n"/>
      <c r="F20" s="4" t="n"/>
      <c r="G20" s="4" t="n"/>
      <c r="H20" s="4" t="n"/>
      <c r="I20" s="4" t="n"/>
      <c r="J20" s="4" t="n"/>
    </row>
    <row r="21">
      <c r="A21" s="9" t="inlineStr">
        <is>
          <t>EV-017</t>
        </is>
      </c>
      <c r="B21" s="4" t="n"/>
      <c r="C21" s="4" t="n"/>
      <c r="D21" s="4" t="n"/>
      <c r="E21" s="4" t="n"/>
      <c r="F21" s="4" t="n"/>
      <c r="G21" s="4" t="n"/>
      <c r="H21" s="4" t="n"/>
      <c r="I21" s="4" t="n"/>
      <c r="J21" s="4" t="n"/>
    </row>
    <row r="22">
      <c r="A22" s="9" t="inlineStr">
        <is>
          <t>EV-018</t>
        </is>
      </c>
      <c r="B22" s="4" t="n"/>
      <c r="C22" s="4" t="n"/>
      <c r="D22" s="4" t="n"/>
      <c r="E22" s="4" t="n"/>
      <c r="F22" s="4" t="n"/>
      <c r="G22" s="4" t="n"/>
      <c r="H22" s="4" t="n"/>
      <c r="I22" s="4" t="n"/>
      <c r="J22" s="4" t="n"/>
    </row>
    <row r="23">
      <c r="A23" s="9" t="inlineStr">
        <is>
          <t>EV-019</t>
        </is>
      </c>
      <c r="B23" s="4" t="n"/>
      <c r="C23" s="4" t="n"/>
      <c r="D23" s="4" t="n"/>
      <c r="E23" s="4" t="n"/>
      <c r="F23" s="4" t="n"/>
      <c r="G23" s="4" t="n"/>
      <c r="H23" s="4" t="n"/>
      <c r="I23" s="4" t="n"/>
      <c r="J23" s="4" t="n"/>
    </row>
    <row r="24">
      <c r="A24" s="9" t="inlineStr">
        <is>
          <t>EV-020</t>
        </is>
      </c>
      <c r="B24" s="4" t="n"/>
      <c r="C24" s="4" t="n"/>
      <c r="D24" s="4" t="n"/>
      <c r="E24" s="4" t="n"/>
      <c r="F24" s="4" t="n"/>
      <c r="G24" s="4" t="n"/>
      <c r="H24" s="4" t="n"/>
      <c r="I24" s="4" t="n"/>
      <c r="J24" s="4" t="n"/>
    </row>
    <row r="25">
      <c r="A25" s="9" t="inlineStr">
        <is>
          <t>EV-021</t>
        </is>
      </c>
      <c r="B25" s="4" t="n"/>
      <c r="C25" s="4" t="n"/>
      <c r="D25" s="4" t="n"/>
      <c r="E25" s="4" t="n"/>
      <c r="F25" s="4" t="n"/>
      <c r="G25" s="4" t="n"/>
      <c r="H25" s="4" t="n"/>
      <c r="I25" s="4" t="n"/>
      <c r="J25" s="4" t="n"/>
    </row>
    <row r="26">
      <c r="A26" s="9" t="inlineStr">
        <is>
          <t>EV-022</t>
        </is>
      </c>
      <c r="B26" s="4" t="n"/>
      <c r="C26" s="4" t="n"/>
      <c r="D26" s="4" t="n"/>
      <c r="E26" s="4" t="n"/>
      <c r="F26" s="4" t="n"/>
      <c r="G26" s="4" t="n"/>
      <c r="H26" s="4" t="n"/>
      <c r="I26" s="4" t="n"/>
      <c r="J26" s="4" t="n"/>
    </row>
    <row r="27">
      <c r="A27" s="9" t="inlineStr">
        <is>
          <t>EV-023</t>
        </is>
      </c>
      <c r="B27" s="4" t="n"/>
      <c r="C27" s="4" t="n"/>
      <c r="D27" s="4" t="n"/>
      <c r="E27" s="4" t="n"/>
      <c r="F27" s="4" t="n"/>
      <c r="G27" s="4" t="n"/>
      <c r="H27" s="4" t="n"/>
      <c r="I27" s="4" t="n"/>
      <c r="J27" s="4" t="n"/>
    </row>
    <row r="28">
      <c r="A28" s="9" t="inlineStr">
        <is>
          <t>EV-024</t>
        </is>
      </c>
      <c r="B28" s="4" t="n"/>
      <c r="C28" s="4" t="n"/>
      <c r="D28" s="4" t="n"/>
      <c r="E28" s="4" t="n"/>
      <c r="F28" s="4" t="n"/>
      <c r="G28" s="4" t="n"/>
      <c r="H28" s="4" t="n"/>
      <c r="I28" s="4" t="n"/>
      <c r="J28" s="4" t="n"/>
    </row>
    <row r="29">
      <c r="A29" s="9" t="inlineStr">
        <is>
          <t>EV-025</t>
        </is>
      </c>
      <c r="B29" s="4" t="n"/>
      <c r="C29" s="4" t="n"/>
      <c r="D29" s="4" t="n"/>
      <c r="E29" s="4" t="n"/>
      <c r="F29" s="4" t="n"/>
      <c r="G29" s="4" t="n"/>
      <c r="H29" s="4" t="n"/>
      <c r="I29" s="4" t="n"/>
      <c r="J29" s="4" t="n"/>
    </row>
    <row r="30">
      <c r="A30" s="9" t="inlineStr">
        <is>
          <t>EV-026</t>
        </is>
      </c>
      <c r="B30" s="4" t="n"/>
      <c r="C30" s="4" t="n"/>
      <c r="D30" s="4" t="n"/>
      <c r="E30" s="4" t="n"/>
      <c r="F30" s="4" t="n"/>
      <c r="G30" s="4" t="n"/>
      <c r="H30" s="4" t="n"/>
      <c r="I30" s="4" t="n"/>
      <c r="J30" s="4" t="n"/>
    </row>
    <row r="31">
      <c r="A31" s="9" t="inlineStr">
        <is>
          <t>EV-027</t>
        </is>
      </c>
      <c r="B31" s="4" t="n"/>
      <c r="C31" s="4" t="n"/>
      <c r="D31" s="4" t="n"/>
      <c r="E31" s="4" t="n"/>
      <c r="F31" s="4" t="n"/>
      <c r="G31" s="4" t="n"/>
      <c r="H31" s="4" t="n"/>
      <c r="I31" s="4" t="n"/>
      <c r="J31" s="4" t="n"/>
    </row>
    <row r="32">
      <c r="A32" s="9" t="inlineStr">
        <is>
          <t>EV-028</t>
        </is>
      </c>
      <c r="B32" s="4" t="n"/>
      <c r="C32" s="4" t="n"/>
      <c r="D32" s="4" t="n"/>
      <c r="E32" s="4" t="n"/>
      <c r="F32" s="4" t="n"/>
      <c r="G32" s="4" t="n"/>
      <c r="H32" s="4" t="n"/>
      <c r="I32" s="4" t="n"/>
      <c r="J32" s="4" t="n"/>
    </row>
    <row r="33">
      <c r="A33" s="9" t="inlineStr">
        <is>
          <t>EV-029</t>
        </is>
      </c>
      <c r="B33" s="4" t="n"/>
      <c r="C33" s="4" t="n"/>
      <c r="D33" s="4" t="n"/>
      <c r="E33" s="4" t="n"/>
      <c r="F33" s="4" t="n"/>
      <c r="G33" s="4" t="n"/>
      <c r="H33" s="4" t="n"/>
      <c r="I33" s="4" t="n"/>
      <c r="J33" s="4" t="n"/>
    </row>
    <row r="34">
      <c r="A34" s="9" t="inlineStr">
        <is>
          <t>EV-030</t>
        </is>
      </c>
      <c r="B34" s="4" t="n"/>
      <c r="C34" s="4" t="n"/>
      <c r="D34" s="4" t="n"/>
      <c r="E34" s="4" t="n"/>
      <c r="F34" s="4" t="n"/>
      <c r="G34" s="4" t="n"/>
      <c r="H34" s="4" t="n"/>
      <c r="I34" s="4" t="n"/>
      <c r="J34" s="4" t="n"/>
    </row>
    <row r="35">
      <c r="A35" s="9" t="inlineStr">
        <is>
          <t>EV-031</t>
        </is>
      </c>
      <c r="B35" s="4" t="n"/>
      <c r="C35" s="4" t="n"/>
      <c r="D35" s="4" t="n"/>
      <c r="E35" s="4" t="n"/>
      <c r="F35" s="4" t="n"/>
      <c r="G35" s="4" t="n"/>
      <c r="H35" s="4" t="n"/>
      <c r="I35" s="4" t="n"/>
      <c r="J35" s="4" t="n"/>
    </row>
    <row r="36">
      <c r="A36" s="9" t="inlineStr">
        <is>
          <t>EV-032</t>
        </is>
      </c>
      <c r="B36" s="4" t="n"/>
      <c r="C36" s="4" t="n"/>
      <c r="D36" s="4" t="n"/>
      <c r="E36" s="4" t="n"/>
      <c r="F36" s="4" t="n"/>
      <c r="G36" s="4" t="n"/>
      <c r="H36" s="4" t="n"/>
      <c r="I36" s="4" t="n"/>
      <c r="J36" s="4" t="n"/>
    </row>
    <row r="37">
      <c r="A37" s="9" t="inlineStr">
        <is>
          <t>EV-033</t>
        </is>
      </c>
      <c r="B37" s="4" t="n"/>
      <c r="C37" s="4" t="n"/>
      <c r="D37" s="4" t="n"/>
      <c r="E37" s="4" t="n"/>
      <c r="F37" s="4" t="n"/>
      <c r="G37" s="4" t="n"/>
      <c r="H37" s="4" t="n"/>
      <c r="I37" s="4" t="n"/>
      <c r="J37" s="4" t="n"/>
    </row>
    <row r="38">
      <c r="A38" s="9" t="inlineStr">
        <is>
          <t>EV-034</t>
        </is>
      </c>
      <c r="B38" s="4" t="n"/>
      <c r="C38" s="4" t="n"/>
      <c r="D38" s="4" t="n"/>
      <c r="E38" s="4" t="n"/>
      <c r="F38" s="4" t="n"/>
      <c r="G38" s="4" t="n"/>
      <c r="H38" s="4" t="n"/>
      <c r="I38" s="4" t="n"/>
      <c r="J38" s="4" t="n"/>
    </row>
    <row r="39">
      <c r="A39" s="9" t="inlineStr">
        <is>
          <t>EV-035</t>
        </is>
      </c>
      <c r="B39" s="4" t="n"/>
      <c r="C39" s="4" t="n"/>
      <c r="D39" s="4" t="n"/>
      <c r="E39" s="4" t="n"/>
      <c r="F39" s="4" t="n"/>
      <c r="G39" s="4" t="n"/>
      <c r="H39" s="4" t="n"/>
      <c r="I39" s="4" t="n"/>
      <c r="J39" s="4" t="n"/>
    </row>
    <row r="40">
      <c r="A40" s="9" t="inlineStr">
        <is>
          <t>EV-036</t>
        </is>
      </c>
      <c r="B40" s="4" t="n"/>
      <c r="C40" s="4" t="n"/>
      <c r="D40" s="4" t="n"/>
      <c r="E40" s="4" t="n"/>
      <c r="F40" s="4" t="n"/>
      <c r="G40" s="4" t="n"/>
      <c r="H40" s="4" t="n"/>
      <c r="I40" s="4" t="n"/>
      <c r="J40" s="4" t="n"/>
    </row>
    <row r="41">
      <c r="A41" s="9" t="inlineStr">
        <is>
          <t>EV-037</t>
        </is>
      </c>
      <c r="B41" s="4" t="n"/>
      <c r="C41" s="4" t="n"/>
      <c r="D41" s="4" t="n"/>
      <c r="E41" s="4" t="n"/>
      <c r="F41" s="4" t="n"/>
      <c r="G41" s="4" t="n"/>
      <c r="H41" s="4" t="n"/>
      <c r="I41" s="4" t="n"/>
      <c r="J41" s="4" t="n"/>
    </row>
    <row r="42">
      <c r="A42" s="9" t="inlineStr">
        <is>
          <t>EV-038</t>
        </is>
      </c>
      <c r="B42" s="4" t="n"/>
      <c r="C42" s="4" t="n"/>
      <c r="D42" s="4" t="n"/>
      <c r="E42" s="4" t="n"/>
      <c r="F42" s="4" t="n"/>
      <c r="G42" s="4" t="n"/>
      <c r="H42" s="4" t="n"/>
      <c r="I42" s="4" t="n"/>
      <c r="J42" s="4" t="n"/>
    </row>
    <row r="43">
      <c r="A43" s="9" t="inlineStr">
        <is>
          <t>EV-039</t>
        </is>
      </c>
      <c r="B43" s="4" t="n"/>
      <c r="C43" s="4" t="n"/>
      <c r="D43" s="4" t="n"/>
      <c r="E43" s="4" t="n"/>
      <c r="F43" s="4" t="n"/>
      <c r="G43" s="4" t="n"/>
      <c r="H43" s="4" t="n"/>
      <c r="I43" s="4" t="n"/>
      <c r="J43" s="4" t="n"/>
    </row>
    <row r="44">
      <c r="A44" s="9" t="inlineStr">
        <is>
          <t>EV-040</t>
        </is>
      </c>
      <c r="B44" s="4" t="n"/>
      <c r="C44" s="4" t="n"/>
      <c r="D44" s="4" t="n"/>
      <c r="E44" s="4" t="n"/>
      <c r="F44" s="4" t="n"/>
      <c r="G44" s="4" t="n"/>
      <c r="H44" s="4" t="n"/>
      <c r="I44" s="4" t="n"/>
      <c r="J44" s="4" t="n"/>
    </row>
    <row r="45">
      <c r="A45" s="9" t="inlineStr">
        <is>
          <t>EV-041</t>
        </is>
      </c>
      <c r="B45" s="4" t="n"/>
      <c r="C45" s="4" t="n"/>
      <c r="D45" s="4" t="n"/>
      <c r="E45" s="4" t="n"/>
      <c r="F45" s="4" t="n"/>
      <c r="G45" s="4" t="n"/>
      <c r="H45" s="4" t="n"/>
      <c r="I45" s="4" t="n"/>
      <c r="J45" s="4" t="n"/>
    </row>
    <row r="46">
      <c r="A46" s="9" t="inlineStr">
        <is>
          <t>EV-042</t>
        </is>
      </c>
      <c r="B46" s="4" t="n"/>
      <c r="C46" s="4" t="n"/>
      <c r="D46" s="4" t="n"/>
      <c r="E46" s="4" t="n"/>
      <c r="F46" s="4" t="n"/>
      <c r="G46" s="4" t="n"/>
      <c r="H46" s="4" t="n"/>
      <c r="I46" s="4" t="n"/>
      <c r="J46" s="4" t="n"/>
    </row>
    <row r="47">
      <c r="A47" s="9" t="inlineStr">
        <is>
          <t>EV-043</t>
        </is>
      </c>
      <c r="B47" s="4" t="n"/>
      <c r="C47" s="4" t="n"/>
      <c r="D47" s="4" t="n"/>
      <c r="E47" s="4" t="n"/>
      <c r="F47" s="4" t="n"/>
      <c r="G47" s="4" t="n"/>
      <c r="H47" s="4" t="n"/>
      <c r="I47" s="4" t="n"/>
      <c r="J47" s="4" t="n"/>
    </row>
    <row r="48">
      <c r="A48" s="9" t="inlineStr">
        <is>
          <t>EV-044</t>
        </is>
      </c>
      <c r="B48" s="4" t="n"/>
      <c r="C48" s="4" t="n"/>
      <c r="D48" s="4" t="n"/>
      <c r="E48" s="4" t="n"/>
      <c r="F48" s="4" t="n"/>
      <c r="G48" s="4" t="n"/>
      <c r="H48" s="4" t="n"/>
      <c r="I48" s="4" t="n"/>
      <c r="J48" s="4" t="n"/>
    </row>
    <row r="49">
      <c r="A49" s="9" t="inlineStr">
        <is>
          <t>EV-045</t>
        </is>
      </c>
      <c r="B49" s="4" t="n"/>
      <c r="C49" s="4" t="n"/>
      <c r="D49" s="4" t="n"/>
      <c r="E49" s="4" t="n"/>
      <c r="F49" s="4" t="n"/>
      <c r="G49" s="4" t="n"/>
      <c r="H49" s="4" t="n"/>
      <c r="I49" s="4" t="n"/>
      <c r="J49" s="4" t="n"/>
    </row>
    <row r="50">
      <c r="A50" s="9" t="inlineStr">
        <is>
          <t>EV-046</t>
        </is>
      </c>
      <c r="B50" s="4" t="n"/>
      <c r="C50" s="4" t="n"/>
      <c r="D50" s="4" t="n"/>
      <c r="E50" s="4" t="n"/>
      <c r="F50" s="4" t="n"/>
      <c r="G50" s="4" t="n"/>
      <c r="H50" s="4" t="n"/>
      <c r="I50" s="4" t="n"/>
      <c r="J50" s="4" t="n"/>
    </row>
    <row r="51">
      <c r="A51" s="9" t="inlineStr">
        <is>
          <t>EV-047</t>
        </is>
      </c>
      <c r="B51" s="4" t="n"/>
      <c r="C51" s="4" t="n"/>
      <c r="D51" s="4" t="n"/>
      <c r="E51" s="4" t="n"/>
      <c r="F51" s="4" t="n"/>
      <c r="G51" s="4" t="n"/>
      <c r="H51" s="4" t="n"/>
      <c r="I51" s="4" t="n"/>
      <c r="J51" s="4" t="n"/>
    </row>
    <row r="52">
      <c r="A52" s="9" t="inlineStr">
        <is>
          <t>EV-048</t>
        </is>
      </c>
      <c r="B52" s="4" t="n"/>
      <c r="C52" s="4" t="n"/>
      <c r="D52" s="4" t="n"/>
      <c r="E52" s="4" t="n"/>
      <c r="F52" s="4" t="n"/>
      <c r="G52" s="4" t="n"/>
      <c r="H52" s="4" t="n"/>
      <c r="I52" s="4" t="n"/>
      <c r="J52" s="4" t="n"/>
    </row>
    <row r="53">
      <c r="A53" s="9" t="inlineStr">
        <is>
          <t>EV-049</t>
        </is>
      </c>
      <c r="B53" s="4" t="n"/>
      <c r="C53" s="4" t="n"/>
      <c r="D53" s="4" t="n"/>
      <c r="E53" s="4" t="n"/>
      <c r="F53" s="4" t="n"/>
      <c r="G53" s="4" t="n"/>
      <c r="H53" s="4" t="n"/>
      <c r="I53" s="4" t="n"/>
      <c r="J53" s="4" t="n"/>
    </row>
    <row r="54">
      <c r="A54" s="9" t="inlineStr">
        <is>
          <t>EV-050</t>
        </is>
      </c>
      <c r="B54" s="4" t="n"/>
      <c r="C54" s="4" t="n"/>
      <c r="D54" s="4" t="n"/>
      <c r="E54" s="4" t="n"/>
      <c r="F54" s="4" t="n"/>
      <c r="G54" s="4" t="n"/>
      <c r="H54" s="4" t="n"/>
      <c r="I54" s="4" t="n"/>
      <c r="J54" s="4" t="n"/>
    </row>
    <row r="55">
      <c r="A55" s="9" t="inlineStr">
        <is>
          <t>EV-051</t>
        </is>
      </c>
      <c r="B55" s="4" t="n"/>
      <c r="C55" s="4" t="n"/>
      <c r="D55" s="4" t="n"/>
      <c r="E55" s="4" t="n"/>
      <c r="F55" s="4" t="n"/>
      <c r="G55" s="4" t="n"/>
      <c r="H55" s="4" t="n"/>
      <c r="I55" s="4" t="n"/>
      <c r="J55" s="4" t="n"/>
    </row>
    <row r="56">
      <c r="A56" s="9" t="inlineStr">
        <is>
          <t>EV-052</t>
        </is>
      </c>
      <c r="B56" s="4" t="n"/>
      <c r="C56" s="4" t="n"/>
      <c r="D56" s="4" t="n"/>
      <c r="E56" s="4" t="n"/>
      <c r="F56" s="4" t="n"/>
      <c r="G56" s="4" t="n"/>
      <c r="H56" s="4" t="n"/>
      <c r="I56" s="4" t="n"/>
      <c r="J56" s="4" t="n"/>
    </row>
    <row r="57">
      <c r="A57" s="9" t="inlineStr">
        <is>
          <t>EV-053</t>
        </is>
      </c>
      <c r="B57" s="4" t="n"/>
      <c r="C57" s="4" t="n"/>
      <c r="D57" s="4" t="n"/>
      <c r="E57" s="4" t="n"/>
      <c r="F57" s="4" t="n"/>
      <c r="G57" s="4" t="n"/>
      <c r="H57" s="4" t="n"/>
      <c r="I57" s="4" t="n"/>
      <c r="J57" s="4" t="n"/>
    </row>
    <row r="58">
      <c r="A58" s="9" t="inlineStr">
        <is>
          <t>EV-054</t>
        </is>
      </c>
      <c r="B58" s="4" t="n"/>
      <c r="C58" s="4" t="n"/>
      <c r="D58" s="4" t="n"/>
      <c r="E58" s="4" t="n"/>
      <c r="F58" s="4" t="n"/>
      <c r="G58" s="4" t="n"/>
      <c r="H58" s="4" t="n"/>
      <c r="I58" s="4" t="n"/>
      <c r="J58" s="4" t="n"/>
    </row>
    <row r="59">
      <c r="A59" s="9" t="inlineStr">
        <is>
          <t>EV-055</t>
        </is>
      </c>
      <c r="B59" s="4" t="n"/>
      <c r="C59" s="4" t="n"/>
      <c r="D59" s="4" t="n"/>
      <c r="E59" s="4" t="n"/>
      <c r="F59" s="4" t="n"/>
      <c r="G59" s="4" t="n"/>
      <c r="H59" s="4" t="n"/>
      <c r="I59" s="4" t="n"/>
      <c r="J59" s="4" t="n"/>
    </row>
    <row r="60">
      <c r="A60" s="9" t="inlineStr">
        <is>
          <t>EV-056</t>
        </is>
      </c>
      <c r="B60" s="4" t="n"/>
      <c r="C60" s="4" t="n"/>
      <c r="D60" s="4" t="n"/>
      <c r="E60" s="4" t="n"/>
      <c r="F60" s="4" t="n"/>
      <c r="G60" s="4" t="n"/>
      <c r="H60" s="4" t="n"/>
      <c r="I60" s="4" t="n"/>
      <c r="J60" s="4" t="n"/>
    </row>
    <row r="61">
      <c r="A61" s="9" t="inlineStr">
        <is>
          <t>EV-057</t>
        </is>
      </c>
      <c r="B61" s="4" t="n"/>
      <c r="C61" s="4" t="n"/>
      <c r="D61" s="4" t="n"/>
      <c r="E61" s="4" t="n"/>
      <c r="F61" s="4" t="n"/>
      <c r="G61" s="4" t="n"/>
      <c r="H61" s="4" t="n"/>
      <c r="I61" s="4" t="n"/>
      <c r="J61" s="4" t="n"/>
    </row>
    <row r="62">
      <c r="A62" s="9" t="inlineStr">
        <is>
          <t>EV-058</t>
        </is>
      </c>
      <c r="B62" s="4" t="n"/>
      <c r="C62" s="4" t="n"/>
      <c r="D62" s="4" t="n"/>
      <c r="E62" s="4" t="n"/>
      <c r="F62" s="4" t="n"/>
      <c r="G62" s="4" t="n"/>
      <c r="H62" s="4" t="n"/>
      <c r="I62" s="4" t="n"/>
      <c r="J62" s="4" t="n"/>
    </row>
    <row r="63">
      <c r="A63" s="9" t="inlineStr">
        <is>
          <t>EV-059</t>
        </is>
      </c>
      <c r="B63" s="4" t="n"/>
      <c r="C63" s="4" t="n"/>
      <c r="D63" s="4" t="n"/>
      <c r="E63" s="4" t="n"/>
      <c r="F63" s="4" t="n"/>
      <c r="G63" s="4" t="n"/>
      <c r="H63" s="4" t="n"/>
      <c r="I63" s="4" t="n"/>
      <c r="J63" s="4" t="n"/>
    </row>
    <row r="64">
      <c r="A64" s="9" t="inlineStr">
        <is>
          <t>EV-060</t>
        </is>
      </c>
      <c r="B64" s="4" t="n"/>
      <c r="C64" s="4" t="n"/>
      <c r="D64" s="4" t="n"/>
      <c r="E64" s="4" t="n"/>
      <c r="F64" s="4" t="n"/>
      <c r="G64" s="4" t="n"/>
      <c r="H64" s="4" t="n"/>
      <c r="I64" s="4" t="n"/>
      <c r="J64" s="4" t="n"/>
    </row>
    <row r="65">
      <c r="A65" s="9" t="inlineStr">
        <is>
          <t>EV-061</t>
        </is>
      </c>
      <c r="B65" s="4" t="n"/>
      <c r="C65" s="4" t="n"/>
      <c r="D65" s="4" t="n"/>
      <c r="E65" s="4" t="n"/>
      <c r="F65" s="4" t="n"/>
      <c r="G65" s="4" t="n"/>
      <c r="H65" s="4" t="n"/>
      <c r="I65" s="4" t="n"/>
      <c r="J65" s="4" t="n"/>
    </row>
    <row r="66">
      <c r="A66" s="9" t="inlineStr">
        <is>
          <t>EV-062</t>
        </is>
      </c>
      <c r="B66" s="4" t="n"/>
      <c r="C66" s="4" t="n"/>
      <c r="D66" s="4" t="n"/>
      <c r="E66" s="4" t="n"/>
      <c r="F66" s="4" t="n"/>
      <c r="G66" s="4" t="n"/>
      <c r="H66" s="4" t="n"/>
      <c r="I66" s="4" t="n"/>
      <c r="J66" s="4" t="n"/>
    </row>
    <row r="67">
      <c r="A67" s="9" t="inlineStr">
        <is>
          <t>EV-063</t>
        </is>
      </c>
      <c r="B67" s="4" t="n"/>
      <c r="C67" s="4" t="n"/>
      <c r="D67" s="4" t="n"/>
      <c r="E67" s="4" t="n"/>
      <c r="F67" s="4" t="n"/>
      <c r="G67" s="4" t="n"/>
      <c r="H67" s="4" t="n"/>
      <c r="I67" s="4" t="n"/>
      <c r="J67" s="4" t="n"/>
    </row>
    <row r="68">
      <c r="A68" s="9" t="inlineStr">
        <is>
          <t>EV-064</t>
        </is>
      </c>
      <c r="B68" s="4" t="n"/>
      <c r="C68" s="4" t="n"/>
      <c r="D68" s="4" t="n"/>
      <c r="E68" s="4" t="n"/>
      <c r="F68" s="4" t="n"/>
      <c r="G68" s="4" t="n"/>
      <c r="H68" s="4" t="n"/>
      <c r="I68" s="4" t="n"/>
      <c r="J68" s="4" t="n"/>
    </row>
    <row r="69">
      <c r="A69" s="9" t="inlineStr">
        <is>
          <t>EV-065</t>
        </is>
      </c>
      <c r="B69" s="4" t="n"/>
      <c r="C69" s="4" t="n"/>
      <c r="D69" s="4" t="n"/>
      <c r="E69" s="4" t="n"/>
      <c r="F69" s="4" t="n"/>
      <c r="G69" s="4" t="n"/>
      <c r="H69" s="4" t="n"/>
      <c r="I69" s="4" t="n"/>
      <c r="J69" s="4" t="n"/>
    </row>
    <row r="70">
      <c r="A70" s="9" t="inlineStr">
        <is>
          <t>EV-066</t>
        </is>
      </c>
      <c r="B70" s="4" t="n"/>
      <c r="C70" s="4" t="n"/>
      <c r="D70" s="4" t="n"/>
      <c r="E70" s="4" t="n"/>
      <c r="F70" s="4" t="n"/>
      <c r="G70" s="4" t="n"/>
      <c r="H70" s="4" t="n"/>
      <c r="I70" s="4" t="n"/>
      <c r="J70" s="4" t="n"/>
    </row>
    <row r="71">
      <c r="A71" s="9" t="inlineStr">
        <is>
          <t>EV-067</t>
        </is>
      </c>
      <c r="B71" s="4" t="n"/>
      <c r="C71" s="4" t="n"/>
      <c r="D71" s="4" t="n"/>
      <c r="E71" s="4" t="n"/>
      <c r="F71" s="4" t="n"/>
      <c r="G71" s="4" t="n"/>
      <c r="H71" s="4" t="n"/>
      <c r="I71" s="4" t="n"/>
      <c r="J71" s="4" t="n"/>
    </row>
    <row r="72">
      <c r="A72" s="9" t="inlineStr">
        <is>
          <t>EV-068</t>
        </is>
      </c>
      <c r="B72" s="4" t="n"/>
      <c r="C72" s="4" t="n"/>
      <c r="D72" s="4" t="n"/>
      <c r="E72" s="4" t="n"/>
      <c r="F72" s="4" t="n"/>
      <c r="G72" s="4" t="n"/>
      <c r="H72" s="4" t="n"/>
      <c r="I72" s="4" t="n"/>
      <c r="J72" s="4" t="n"/>
    </row>
    <row r="73">
      <c r="A73" s="9" t="inlineStr">
        <is>
          <t>EV-069</t>
        </is>
      </c>
      <c r="B73" s="4" t="n"/>
      <c r="C73" s="4" t="n"/>
      <c r="D73" s="4" t="n"/>
      <c r="E73" s="4" t="n"/>
      <c r="F73" s="4" t="n"/>
      <c r="G73" s="4" t="n"/>
      <c r="H73" s="4" t="n"/>
      <c r="I73" s="4" t="n"/>
      <c r="J73" s="4" t="n"/>
    </row>
    <row r="74">
      <c r="A74" s="9" t="inlineStr">
        <is>
          <t>EV-070</t>
        </is>
      </c>
      <c r="B74" s="4" t="n"/>
      <c r="C74" s="4" t="n"/>
      <c r="D74" s="4" t="n"/>
      <c r="E74" s="4" t="n"/>
      <c r="F74" s="4" t="n"/>
      <c r="G74" s="4" t="n"/>
      <c r="H74" s="4" t="n"/>
      <c r="I74" s="4" t="n"/>
      <c r="J74" s="4" t="n"/>
    </row>
    <row r="75">
      <c r="A75" s="9" t="inlineStr">
        <is>
          <t>EV-071</t>
        </is>
      </c>
      <c r="B75" s="4" t="n"/>
      <c r="C75" s="4" t="n"/>
      <c r="D75" s="4" t="n"/>
      <c r="E75" s="4" t="n"/>
      <c r="F75" s="4" t="n"/>
      <c r="G75" s="4" t="n"/>
      <c r="H75" s="4" t="n"/>
      <c r="I75" s="4" t="n"/>
      <c r="J75" s="4" t="n"/>
    </row>
    <row r="76">
      <c r="A76" s="9" t="inlineStr">
        <is>
          <t>EV-072</t>
        </is>
      </c>
      <c r="B76" s="4" t="n"/>
      <c r="C76" s="4" t="n"/>
      <c r="D76" s="4" t="n"/>
      <c r="E76" s="4" t="n"/>
      <c r="F76" s="4" t="n"/>
      <c r="G76" s="4" t="n"/>
      <c r="H76" s="4" t="n"/>
      <c r="I76" s="4" t="n"/>
      <c r="J76" s="4" t="n"/>
    </row>
    <row r="77">
      <c r="A77" s="9" t="inlineStr">
        <is>
          <t>EV-073</t>
        </is>
      </c>
      <c r="B77" s="4" t="n"/>
      <c r="C77" s="4" t="n"/>
      <c r="D77" s="4" t="n"/>
      <c r="E77" s="4" t="n"/>
      <c r="F77" s="4" t="n"/>
      <c r="G77" s="4" t="n"/>
      <c r="H77" s="4" t="n"/>
      <c r="I77" s="4" t="n"/>
      <c r="J77" s="4" t="n"/>
    </row>
    <row r="78">
      <c r="A78" s="9" t="inlineStr">
        <is>
          <t>EV-074</t>
        </is>
      </c>
      <c r="B78" s="4" t="n"/>
      <c r="C78" s="4" t="n"/>
      <c r="D78" s="4" t="n"/>
      <c r="E78" s="4" t="n"/>
      <c r="F78" s="4" t="n"/>
      <c r="G78" s="4" t="n"/>
      <c r="H78" s="4" t="n"/>
      <c r="I78" s="4" t="n"/>
      <c r="J78" s="4" t="n"/>
    </row>
    <row r="79">
      <c r="A79" s="9" t="inlineStr">
        <is>
          <t>EV-075</t>
        </is>
      </c>
      <c r="B79" s="4" t="n"/>
      <c r="C79" s="4" t="n"/>
      <c r="D79" s="4" t="n"/>
      <c r="E79" s="4" t="n"/>
      <c r="F79" s="4" t="n"/>
      <c r="G79" s="4" t="n"/>
      <c r="H79" s="4" t="n"/>
      <c r="I79" s="4" t="n"/>
      <c r="J79" s="4" t="n"/>
    </row>
    <row r="80">
      <c r="A80" s="9" t="inlineStr">
        <is>
          <t>EV-076</t>
        </is>
      </c>
      <c r="B80" s="4" t="n"/>
      <c r="C80" s="4" t="n"/>
      <c r="D80" s="4" t="n"/>
      <c r="E80" s="4" t="n"/>
      <c r="F80" s="4" t="n"/>
      <c r="G80" s="4" t="n"/>
      <c r="H80" s="4" t="n"/>
      <c r="I80" s="4" t="n"/>
      <c r="J80" s="4" t="n"/>
    </row>
    <row r="81">
      <c r="A81" s="9" t="inlineStr">
        <is>
          <t>EV-077</t>
        </is>
      </c>
      <c r="B81" s="4" t="n"/>
      <c r="C81" s="4" t="n"/>
      <c r="D81" s="4" t="n"/>
      <c r="E81" s="4" t="n"/>
      <c r="F81" s="4" t="n"/>
      <c r="G81" s="4" t="n"/>
      <c r="H81" s="4" t="n"/>
      <c r="I81" s="4" t="n"/>
      <c r="J81" s="4" t="n"/>
    </row>
    <row r="82">
      <c r="A82" s="9" t="inlineStr">
        <is>
          <t>EV-078</t>
        </is>
      </c>
      <c r="B82" s="4" t="n"/>
      <c r="C82" s="4" t="n"/>
      <c r="D82" s="4" t="n"/>
      <c r="E82" s="4" t="n"/>
      <c r="F82" s="4" t="n"/>
      <c r="G82" s="4" t="n"/>
      <c r="H82" s="4" t="n"/>
      <c r="I82" s="4" t="n"/>
      <c r="J82" s="4" t="n"/>
    </row>
    <row r="83">
      <c r="A83" s="9" t="inlineStr">
        <is>
          <t>EV-079</t>
        </is>
      </c>
      <c r="B83" s="4" t="n"/>
      <c r="C83" s="4" t="n"/>
      <c r="D83" s="4" t="n"/>
      <c r="E83" s="4" t="n"/>
      <c r="F83" s="4" t="n"/>
      <c r="G83" s="4" t="n"/>
      <c r="H83" s="4" t="n"/>
      <c r="I83" s="4" t="n"/>
      <c r="J83" s="4" t="n"/>
    </row>
    <row r="84">
      <c r="A84" s="9" t="inlineStr">
        <is>
          <t>EV-080</t>
        </is>
      </c>
      <c r="B84" s="4" t="n"/>
      <c r="C84" s="4" t="n"/>
      <c r="D84" s="4" t="n"/>
      <c r="E84" s="4" t="n"/>
      <c r="F84" s="4" t="n"/>
      <c r="G84" s="4" t="n"/>
      <c r="H84" s="4" t="n"/>
      <c r="I84" s="4" t="n"/>
      <c r="J84" s="4" t="n"/>
    </row>
    <row r="85">
      <c r="A85" s="9" t="inlineStr">
        <is>
          <t>EV-081</t>
        </is>
      </c>
      <c r="B85" s="4" t="n"/>
      <c r="C85" s="4" t="n"/>
      <c r="D85" s="4" t="n"/>
      <c r="E85" s="4" t="n"/>
      <c r="F85" s="4" t="n"/>
      <c r="G85" s="4" t="n"/>
      <c r="H85" s="4" t="n"/>
      <c r="I85" s="4" t="n"/>
      <c r="J85" s="4" t="n"/>
    </row>
    <row r="86">
      <c r="A86" s="9" t="inlineStr">
        <is>
          <t>EV-082</t>
        </is>
      </c>
      <c r="B86" s="4" t="n"/>
      <c r="C86" s="4" t="n"/>
      <c r="D86" s="4" t="n"/>
      <c r="E86" s="4" t="n"/>
      <c r="F86" s="4" t="n"/>
      <c r="G86" s="4" t="n"/>
      <c r="H86" s="4" t="n"/>
      <c r="I86" s="4" t="n"/>
      <c r="J86" s="4" t="n"/>
    </row>
    <row r="87">
      <c r="A87" s="9" t="inlineStr">
        <is>
          <t>EV-083</t>
        </is>
      </c>
      <c r="B87" s="4" t="n"/>
      <c r="C87" s="4" t="n"/>
      <c r="D87" s="4" t="n"/>
      <c r="E87" s="4" t="n"/>
      <c r="F87" s="4" t="n"/>
      <c r="G87" s="4" t="n"/>
      <c r="H87" s="4" t="n"/>
      <c r="I87" s="4" t="n"/>
      <c r="J87" s="4" t="n"/>
    </row>
    <row r="88">
      <c r="A88" s="9" t="inlineStr">
        <is>
          <t>EV-084</t>
        </is>
      </c>
      <c r="B88" s="4" t="n"/>
      <c r="C88" s="4" t="n"/>
      <c r="D88" s="4" t="n"/>
      <c r="E88" s="4" t="n"/>
      <c r="F88" s="4" t="n"/>
      <c r="G88" s="4" t="n"/>
      <c r="H88" s="4" t="n"/>
      <c r="I88" s="4" t="n"/>
      <c r="J88" s="4" t="n"/>
    </row>
    <row r="89">
      <c r="A89" s="9" t="inlineStr">
        <is>
          <t>EV-085</t>
        </is>
      </c>
      <c r="B89" s="4" t="n"/>
      <c r="C89" s="4" t="n"/>
      <c r="D89" s="4" t="n"/>
      <c r="E89" s="4" t="n"/>
      <c r="F89" s="4" t="n"/>
      <c r="G89" s="4" t="n"/>
      <c r="H89" s="4" t="n"/>
      <c r="I89" s="4" t="n"/>
      <c r="J89" s="4" t="n"/>
    </row>
    <row r="90">
      <c r="A90" s="9" t="inlineStr">
        <is>
          <t>EV-086</t>
        </is>
      </c>
      <c r="B90" s="4" t="n"/>
      <c r="C90" s="4" t="n"/>
      <c r="D90" s="4" t="n"/>
      <c r="E90" s="4" t="n"/>
      <c r="F90" s="4" t="n"/>
      <c r="G90" s="4" t="n"/>
      <c r="H90" s="4" t="n"/>
      <c r="I90" s="4" t="n"/>
      <c r="J90" s="4" t="n"/>
    </row>
    <row r="91">
      <c r="A91" s="9" t="inlineStr">
        <is>
          <t>EV-087</t>
        </is>
      </c>
      <c r="B91" s="4" t="n"/>
      <c r="C91" s="4" t="n"/>
      <c r="D91" s="4" t="n"/>
      <c r="E91" s="4" t="n"/>
      <c r="F91" s="4" t="n"/>
      <c r="G91" s="4" t="n"/>
      <c r="H91" s="4" t="n"/>
      <c r="I91" s="4" t="n"/>
      <c r="J91" s="4" t="n"/>
    </row>
    <row r="92">
      <c r="A92" s="9" t="inlineStr">
        <is>
          <t>EV-088</t>
        </is>
      </c>
      <c r="B92" s="4" t="n"/>
      <c r="C92" s="4" t="n"/>
      <c r="D92" s="4" t="n"/>
      <c r="E92" s="4" t="n"/>
      <c r="F92" s="4" t="n"/>
      <c r="G92" s="4" t="n"/>
      <c r="H92" s="4" t="n"/>
      <c r="I92" s="4" t="n"/>
      <c r="J92" s="4" t="n"/>
    </row>
    <row r="93">
      <c r="A93" s="9" t="inlineStr">
        <is>
          <t>EV-089</t>
        </is>
      </c>
      <c r="B93" s="4" t="n"/>
      <c r="C93" s="4" t="n"/>
      <c r="D93" s="4" t="n"/>
      <c r="E93" s="4" t="n"/>
      <c r="F93" s="4" t="n"/>
      <c r="G93" s="4" t="n"/>
      <c r="H93" s="4" t="n"/>
      <c r="I93" s="4" t="n"/>
      <c r="J93" s="4" t="n"/>
    </row>
    <row r="94">
      <c r="A94" s="9" t="inlineStr">
        <is>
          <t>EV-090</t>
        </is>
      </c>
      <c r="B94" s="4" t="n"/>
      <c r="C94" s="4" t="n"/>
      <c r="D94" s="4" t="n"/>
      <c r="E94" s="4" t="n"/>
      <c r="F94" s="4" t="n"/>
      <c r="G94" s="4" t="n"/>
      <c r="H94" s="4" t="n"/>
      <c r="I94" s="4" t="n"/>
      <c r="J94" s="4" t="n"/>
    </row>
    <row r="95">
      <c r="A95" s="9" t="inlineStr">
        <is>
          <t>EV-091</t>
        </is>
      </c>
      <c r="B95" s="4" t="n"/>
      <c r="C95" s="4" t="n"/>
      <c r="D95" s="4" t="n"/>
      <c r="E95" s="4" t="n"/>
      <c r="F95" s="4" t="n"/>
      <c r="G95" s="4" t="n"/>
      <c r="H95" s="4" t="n"/>
      <c r="I95" s="4" t="n"/>
      <c r="J95" s="4" t="n"/>
    </row>
    <row r="96">
      <c r="A96" s="9" t="inlineStr">
        <is>
          <t>EV-092</t>
        </is>
      </c>
      <c r="B96" s="4" t="n"/>
      <c r="C96" s="4" t="n"/>
      <c r="D96" s="4" t="n"/>
      <c r="E96" s="4" t="n"/>
      <c r="F96" s="4" t="n"/>
      <c r="G96" s="4" t="n"/>
      <c r="H96" s="4" t="n"/>
      <c r="I96" s="4" t="n"/>
      <c r="J96" s="4" t="n"/>
    </row>
    <row r="97">
      <c r="A97" s="9" t="inlineStr">
        <is>
          <t>EV-093</t>
        </is>
      </c>
      <c r="B97" s="4" t="n"/>
      <c r="C97" s="4" t="n"/>
      <c r="D97" s="4" t="n"/>
      <c r="E97" s="4" t="n"/>
      <c r="F97" s="4" t="n"/>
      <c r="G97" s="4" t="n"/>
      <c r="H97" s="4" t="n"/>
      <c r="I97" s="4" t="n"/>
      <c r="J97" s="4" t="n"/>
    </row>
    <row r="98">
      <c r="A98" s="9" t="inlineStr">
        <is>
          <t>EV-094</t>
        </is>
      </c>
      <c r="B98" s="4" t="n"/>
      <c r="C98" s="4" t="n"/>
      <c r="D98" s="4" t="n"/>
      <c r="E98" s="4" t="n"/>
      <c r="F98" s="4" t="n"/>
      <c r="G98" s="4" t="n"/>
      <c r="H98" s="4" t="n"/>
      <c r="I98" s="4" t="n"/>
      <c r="J98" s="4" t="n"/>
    </row>
    <row r="99">
      <c r="A99" s="9" t="inlineStr">
        <is>
          <t>EV-095</t>
        </is>
      </c>
      <c r="B99" s="4" t="n"/>
      <c r="C99" s="4" t="n"/>
      <c r="D99" s="4" t="n"/>
      <c r="E99" s="4" t="n"/>
      <c r="F99" s="4" t="n"/>
      <c r="G99" s="4" t="n"/>
      <c r="H99" s="4" t="n"/>
      <c r="I99" s="4" t="n"/>
      <c r="J99" s="4" t="n"/>
    </row>
    <row r="100">
      <c r="A100" s="9" t="inlineStr">
        <is>
          <t>EV-096</t>
        </is>
      </c>
      <c r="B100" s="4" t="n"/>
      <c r="C100" s="4" t="n"/>
      <c r="D100" s="4" t="n"/>
      <c r="E100" s="4" t="n"/>
      <c r="F100" s="4" t="n"/>
      <c r="G100" s="4" t="n"/>
      <c r="H100" s="4" t="n"/>
      <c r="I100" s="4" t="n"/>
      <c r="J100" s="4" t="n"/>
    </row>
    <row r="101">
      <c r="A101" s="9" t="inlineStr">
        <is>
          <t>EV-097</t>
        </is>
      </c>
      <c r="B101" s="4" t="n"/>
      <c r="C101" s="4" t="n"/>
      <c r="D101" s="4" t="n"/>
      <c r="E101" s="4" t="n"/>
      <c r="F101" s="4" t="n"/>
      <c r="G101" s="4" t="n"/>
      <c r="H101" s="4" t="n"/>
      <c r="I101" s="4" t="n"/>
      <c r="J101" s="4" t="n"/>
    </row>
    <row r="102">
      <c r="A102" s="9" t="inlineStr">
        <is>
          <t>EV-098</t>
        </is>
      </c>
      <c r="B102" s="4" t="n"/>
      <c r="C102" s="4" t="n"/>
      <c r="D102" s="4" t="n"/>
      <c r="E102" s="4" t="n"/>
      <c r="F102" s="4" t="n"/>
      <c r="G102" s="4" t="n"/>
      <c r="H102" s="4" t="n"/>
      <c r="I102" s="4" t="n"/>
      <c r="J102" s="4" t="n"/>
    </row>
    <row r="103">
      <c r="A103" s="9" t="inlineStr">
        <is>
          <t>EV-099</t>
        </is>
      </c>
      <c r="B103" s="4" t="n"/>
      <c r="C103" s="4" t="n"/>
      <c r="D103" s="4" t="n"/>
      <c r="E103" s="4" t="n"/>
      <c r="F103" s="4" t="n"/>
      <c r="G103" s="4" t="n"/>
      <c r="H103" s="4" t="n"/>
      <c r="I103" s="4" t="n"/>
      <c r="J103" s="4" t="n"/>
    </row>
    <row r="104">
      <c r="A104" s="9" t="inlineStr">
        <is>
          <t>EV-100</t>
        </is>
      </c>
      <c r="B104" s="4" t="n"/>
      <c r="C104" s="4" t="n"/>
      <c r="D104" s="4" t="n"/>
      <c r="E104" s="4" t="n"/>
      <c r="F104" s="4" t="n"/>
      <c r="G104" s="4" t="n"/>
      <c r="H104" s="4" t="n"/>
      <c r="I104" s="4" t="n"/>
      <c r="J104" s="4" t="n"/>
    </row>
    <row r="105">
      <c r="A105" s="9" t="inlineStr">
        <is>
          <t>EV-101</t>
        </is>
      </c>
      <c r="B105" s="4" t="n"/>
      <c r="C105" s="4" t="n"/>
      <c r="D105" s="4" t="n"/>
      <c r="E105" s="4" t="n"/>
      <c r="F105" s="4" t="n"/>
      <c r="G105" s="4" t="n"/>
      <c r="H105" s="4" t="n"/>
      <c r="I105" s="4" t="n"/>
      <c r="J105" s="4" t="n"/>
    </row>
    <row r="106">
      <c r="A106" s="9" t="inlineStr">
        <is>
          <t>EV-102</t>
        </is>
      </c>
      <c r="B106" s="4" t="n"/>
      <c r="C106" s="4" t="n"/>
      <c r="D106" s="4" t="n"/>
      <c r="E106" s="4" t="n"/>
      <c r="F106" s="4" t="n"/>
      <c r="G106" s="4" t="n"/>
      <c r="H106" s="4" t="n"/>
      <c r="I106" s="4" t="n"/>
      <c r="J106" s="4" t="n"/>
    </row>
    <row r="107">
      <c r="A107" s="9" t="inlineStr">
        <is>
          <t>EV-103</t>
        </is>
      </c>
      <c r="B107" s="4" t="n"/>
      <c r="C107" s="4" t="n"/>
      <c r="D107" s="4" t="n"/>
      <c r="E107" s="4" t="n"/>
      <c r="F107" s="4" t="n"/>
      <c r="G107" s="4" t="n"/>
      <c r="H107" s="4" t="n"/>
      <c r="I107" s="4" t="n"/>
      <c r="J107" s="4" t="n"/>
    </row>
    <row r="108">
      <c r="A108" s="9" t="inlineStr">
        <is>
          <t>EV-104</t>
        </is>
      </c>
      <c r="B108" s="4" t="n"/>
      <c r="C108" s="4" t="n"/>
      <c r="D108" s="4" t="n"/>
      <c r="E108" s="4" t="n"/>
      <c r="F108" s="4" t="n"/>
      <c r="G108" s="4" t="n"/>
      <c r="H108" s="4" t="n"/>
      <c r="I108" s="4" t="n"/>
      <c r="J108" s="4" t="n"/>
    </row>
    <row r="109">
      <c r="A109" s="9" t="inlineStr">
        <is>
          <t>EV-105</t>
        </is>
      </c>
      <c r="B109" s="4" t="n"/>
      <c r="C109" s="4" t="n"/>
      <c r="D109" s="4" t="n"/>
      <c r="E109" s="4" t="n"/>
      <c r="F109" s="4" t="n"/>
      <c r="G109" s="4" t="n"/>
      <c r="H109" s="4" t="n"/>
      <c r="I109" s="4" t="n"/>
      <c r="J109" s="4" t="n"/>
    </row>
    <row r="110">
      <c r="A110" s="9" t="inlineStr">
        <is>
          <t>EV-106</t>
        </is>
      </c>
      <c r="B110" s="4" t="n"/>
      <c r="C110" s="4" t="n"/>
      <c r="D110" s="4" t="n"/>
      <c r="E110" s="4" t="n"/>
      <c r="F110" s="4" t="n"/>
      <c r="G110" s="4" t="n"/>
      <c r="H110" s="4" t="n"/>
      <c r="I110" s="4" t="n"/>
      <c r="J110" s="4" t="n"/>
    </row>
    <row r="111">
      <c r="A111" s="9" t="inlineStr">
        <is>
          <t>EV-107</t>
        </is>
      </c>
      <c r="B111" s="4" t="n"/>
      <c r="C111" s="4" t="n"/>
      <c r="D111" s="4" t="n"/>
      <c r="E111" s="4" t="n"/>
      <c r="F111" s="4" t="n"/>
      <c r="G111" s="4" t="n"/>
      <c r="H111" s="4" t="n"/>
      <c r="I111" s="4" t="n"/>
      <c r="J111" s="4" t="n"/>
    </row>
    <row r="112">
      <c r="A112" s="9" t="inlineStr">
        <is>
          <t>EV-108</t>
        </is>
      </c>
      <c r="B112" s="4" t="n"/>
      <c r="C112" s="4" t="n"/>
      <c r="D112" s="4" t="n"/>
      <c r="E112" s="4" t="n"/>
      <c r="F112" s="4" t="n"/>
      <c r="G112" s="4" t="n"/>
      <c r="H112" s="4" t="n"/>
      <c r="I112" s="4" t="n"/>
      <c r="J112" s="4" t="n"/>
    </row>
    <row r="113">
      <c r="A113" s="9" t="inlineStr">
        <is>
          <t>EV-109</t>
        </is>
      </c>
      <c r="B113" s="4" t="n"/>
      <c r="C113" s="4" t="n"/>
      <c r="D113" s="4" t="n"/>
      <c r="E113" s="4" t="n"/>
      <c r="F113" s="4" t="n"/>
      <c r="G113" s="4" t="n"/>
      <c r="H113" s="4" t="n"/>
      <c r="I113" s="4" t="n"/>
      <c r="J113" s="4" t="n"/>
    </row>
    <row r="114">
      <c r="A114" s="9" t="inlineStr">
        <is>
          <t>EV-110</t>
        </is>
      </c>
      <c r="B114" s="4" t="n"/>
      <c r="C114" s="4" t="n"/>
      <c r="D114" s="4" t="n"/>
      <c r="E114" s="4" t="n"/>
      <c r="F114" s="4" t="n"/>
      <c r="G114" s="4" t="n"/>
      <c r="H114" s="4" t="n"/>
      <c r="I114" s="4" t="n"/>
      <c r="J114" s="4" t="n"/>
    </row>
    <row r="115">
      <c r="A115" s="9" t="inlineStr">
        <is>
          <t>EV-111</t>
        </is>
      </c>
      <c r="B115" s="4" t="n"/>
      <c r="C115" s="4" t="n"/>
      <c r="D115" s="4" t="n"/>
      <c r="E115" s="4" t="n"/>
      <c r="F115" s="4" t="n"/>
      <c r="G115" s="4" t="n"/>
      <c r="H115" s="4" t="n"/>
      <c r="I115" s="4" t="n"/>
      <c r="J115" s="4" t="n"/>
    </row>
    <row r="116">
      <c r="A116" s="9" t="inlineStr">
        <is>
          <t>EV-112</t>
        </is>
      </c>
      <c r="B116" s="4" t="n"/>
      <c r="C116" s="4" t="n"/>
      <c r="D116" s="4" t="n"/>
      <c r="E116" s="4" t="n"/>
      <c r="F116" s="4" t="n"/>
      <c r="G116" s="4" t="n"/>
      <c r="H116" s="4" t="n"/>
      <c r="I116" s="4" t="n"/>
      <c r="J116" s="4" t="n"/>
    </row>
    <row r="117">
      <c r="A117" s="9" t="inlineStr">
        <is>
          <t>EV-113</t>
        </is>
      </c>
      <c r="B117" s="4" t="n"/>
      <c r="C117" s="4" t="n"/>
      <c r="D117" s="4" t="n"/>
      <c r="E117" s="4" t="n"/>
      <c r="F117" s="4" t="n"/>
      <c r="G117" s="4" t="n"/>
      <c r="H117" s="4" t="n"/>
      <c r="I117" s="4" t="n"/>
      <c r="J117" s="4" t="n"/>
    </row>
    <row r="118">
      <c r="A118" s="9" t="inlineStr">
        <is>
          <t>EV-114</t>
        </is>
      </c>
      <c r="B118" s="4" t="n"/>
      <c r="C118" s="4" t="n"/>
      <c r="D118" s="4" t="n"/>
      <c r="E118" s="4" t="n"/>
      <c r="F118" s="4" t="n"/>
      <c r="G118" s="4" t="n"/>
      <c r="H118" s="4" t="n"/>
      <c r="I118" s="4" t="n"/>
      <c r="J118" s="4" t="n"/>
    </row>
    <row r="119">
      <c r="A119" s="9" t="inlineStr">
        <is>
          <t>EV-115</t>
        </is>
      </c>
      <c r="B119" s="4" t="n"/>
      <c r="C119" s="4" t="n"/>
      <c r="D119" s="4" t="n"/>
      <c r="E119" s="4" t="n"/>
      <c r="F119" s="4" t="n"/>
      <c r="G119" s="4" t="n"/>
      <c r="H119" s="4" t="n"/>
      <c r="I119" s="4" t="n"/>
      <c r="J119" s="4" t="n"/>
    </row>
    <row r="120">
      <c r="A120" s="9" t="inlineStr">
        <is>
          <t>EV-116</t>
        </is>
      </c>
      <c r="B120" s="4" t="n"/>
      <c r="C120" s="4" t="n"/>
      <c r="D120" s="4" t="n"/>
      <c r="E120" s="4" t="n"/>
      <c r="F120" s="4" t="n"/>
      <c r="G120" s="4" t="n"/>
      <c r="H120" s="4" t="n"/>
      <c r="I120" s="4" t="n"/>
      <c r="J120" s="4" t="n"/>
    </row>
    <row r="121">
      <c r="A121" s="9" t="inlineStr">
        <is>
          <t>EV-117</t>
        </is>
      </c>
      <c r="B121" s="4" t="n"/>
      <c r="C121" s="4" t="n"/>
      <c r="D121" s="4" t="n"/>
      <c r="E121" s="4" t="n"/>
      <c r="F121" s="4" t="n"/>
      <c r="G121" s="4" t="n"/>
      <c r="H121" s="4" t="n"/>
      <c r="I121" s="4" t="n"/>
      <c r="J121" s="4" t="n"/>
    </row>
    <row r="122">
      <c r="A122" s="9" t="inlineStr">
        <is>
          <t>EV-118</t>
        </is>
      </c>
      <c r="B122" s="4" t="n"/>
      <c r="C122" s="4" t="n"/>
      <c r="D122" s="4" t="n"/>
      <c r="E122" s="4" t="n"/>
      <c r="F122" s="4" t="n"/>
      <c r="G122" s="4" t="n"/>
      <c r="H122" s="4" t="n"/>
      <c r="I122" s="4" t="n"/>
      <c r="J122" s="4" t="n"/>
    </row>
    <row r="123">
      <c r="A123" s="9" t="inlineStr">
        <is>
          <t>EV-119</t>
        </is>
      </c>
      <c r="B123" s="4" t="n"/>
      <c r="C123" s="4" t="n"/>
      <c r="D123" s="4" t="n"/>
      <c r="E123" s="4" t="n"/>
      <c r="F123" s="4" t="n"/>
      <c r="G123" s="4" t="n"/>
      <c r="H123" s="4" t="n"/>
      <c r="I123" s="4" t="n"/>
      <c r="J123" s="4" t="n"/>
    </row>
    <row r="124">
      <c r="A124" s="9" t="inlineStr">
        <is>
          <t>EV-120</t>
        </is>
      </c>
      <c r="B124" s="4" t="n"/>
      <c r="C124" s="4" t="n"/>
      <c r="D124" s="4" t="n"/>
      <c r="E124" s="4" t="n"/>
      <c r="F124" s="4" t="n"/>
      <c r="G124" s="4" t="n"/>
      <c r="H124" s="4" t="n"/>
      <c r="I124" s="4" t="n"/>
      <c r="J124" s="4" t="n"/>
    </row>
    <row r="125">
      <c r="A125" s="9" t="inlineStr">
        <is>
          <t>EV-121</t>
        </is>
      </c>
      <c r="B125" s="4" t="n"/>
      <c r="C125" s="4" t="n"/>
      <c r="D125" s="4" t="n"/>
      <c r="E125" s="4" t="n"/>
      <c r="F125" s="4" t="n"/>
      <c r="G125" s="4" t="n"/>
      <c r="H125" s="4" t="n"/>
      <c r="I125" s="4" t="n"/>
      <c r="J125" s="4" t="n"/>
    </row>
    <row r="126">
      <c r="A126" s="9" t="inlineStr">
        <is>
          <t>EV-122</t>
        </is>
      </c>
      <c r="B126" s="4" t="n"/>
      <c r="C126" s="4" t="n"/>
      <c r="D126" s="4" t="n"/>
      <c r="E126" s="4" t="n"/>
      <c r="F126" s="4" t="n"/>
      <c r="G126" s="4" t="n"/>
      <c r="H126" s="4" t="n"/>
      <c r="I126" s="4" t="n"/>
      <c r="J126" s="4" t="n"/>
    </row>
    <row r="127">
      <c r="A127" s="9" t="inlineStr">
        <is>
          <t>EV-123</t>
        </is>
      </c>
      <c r="B127" s="4" t="n"/>
      <c r="C127" s="4" t="n"/>
      <c r="D127" s="4" t="n"/>
      <c r="E127" s="4" t="n"/>
      <c r="F127" s="4" t="n"/>
      <c r="G127" s="4" t="n"/>
      <c r="H127" s="4" t="n"/>
      <c r="I127" s="4" t="n"/>
      <c r="J127" s="4" t="n"/>
    </row>
    <row r="128">
      <c r="A128" s="9" t="inlineStr">
        <is>
          <t>EV-124</t>
        </is>
      </c>
      <c r="B128" s="4" t="n"/>
      <c r="C128" s="4" t="n"/>
      <c r="D128" s="4" t="n"/>
      <c r="E128" s="4" t="n"/>
      <c r="F128" s="4" t="n"/>
      <c r="G128" s="4" t="n"/>
      <c r="H128" s="4" t="n"/>
      <c r="I128" s="4" t="n"/>
      <c r="J128" s="4" t="n"/>
    </row>
    <row r="129">
      <c r="A129" s="9" t="inlineStr">
        <is>
          <t>EV-125</t>
        </is>
      </c>
      <c r="B129" s="4" t="n"/>
      <c r="C129" s="4" t="n"/>
      <c r="D129" s="4" t="n"/>
      <c r="E129" s="4" t="n"/>
      <c r="F129" s="4" t="n"/>
      <c r="G129" s="4" t="n"/>
      <c r="H129" s="4" t="n"/>
      <c r="I129" s="4" t="n"/>
      <c r="J129" s="4" t="n"/>
    </row>
    <row r="130">
      <c r="A130" s="9" t="inlineStr">
        <is>
          <t>EV-126</t>
        </is>
      </c>
      <c r="B130" s="4" t="n"/>
      <c r="C130" s="4" t="n"/>
      <c r="D130" s="4" t="n"/>
      <c r="E130" s="4" t="n"/>
      <c r="F130" s="4" t="n"/>
      <c r="G130" s="4" t="n"/>
      <c r="H130" s="4" t="n"/>
      <c r="I130" s="4" t="n"/>
      <c r="J130" s="4" t="n"/>
    </row>
    <row r="131">
      <c r="A131" s="9" t="inlineStr">
        <is>
          <t>EV-127</t>
        </is>
      </c>
      <c r="B131" s="4" t="n"/>
      <c r="C131" s="4" t="n"/>
      <c r="D131" s="4" t="n"/>
      <c r="E131" s="4" t="n"/>
      <c r="F131" s="4" t="n"/>
      <c r="G131" s="4" t="n"/>
      <c r="H131" s="4" t="n"/>
      <c r="I131" s="4" t="n"/>
      <c r="J131" s="4" t="n"/>
    </row>
    <row r="132">
      <c r="A132" s="9" t="inlineStr">
        <is>
          <t>EV-128</t>
        </is>
      </c>
      <c r="B132" s="4" t="n"/>
      <c r="C132" s="4" t="n"/>
      <c r="D132" s="4" t="n"/>
      <c r="E132" s="4" t="n"/>
      <c r="F132" s="4" t="n"/>
      <c r="G132" s="4" t="n"/>
      <c r="H132" s="4" t="n"/>
      <c r="I132" s="4" t="n"/>
      <c r="J132" s="4" t="n"/>
    </row>
    <row r="133">
      <c r="A133" s="9" t="inlineStr">
        <is>
          <t>EV-129</t>
        </is>
      </c>
      <c r="B133" s="4" t="n"/>
      <c r="C133" s="4" t="n"/>
      <c r="D133" s="4" t="n"/>
      <c r="E133" s="4" t="n"/>
      <c r="F133" s="4" t="n"/>
      <c r="G133" s="4" t="n"/>
      <c r="H133" s="4" t="n"/>
      <c r="I133" s="4" t="n"/>
      <c r="J133" s="4" t="n"/>
    </row>
    <row r="134">
      <c r="A134" s="9" t="inlineStr">
        <is>
          <t>EV-130</t>
        </is>
      </c>
      <c r="B134" s="4" t="n"/>
      <c r="C134" s="4" t="n"/>
      <c r="D134" s="4" t="n"/>
      <c r="E134" s="4" t="n"/>
      <c r="F134" s="4" t="n"/>
      <c r="G134" s="4" t="n"/>
      <c r="H134" s="4" t="n"/>
      <c r="I134" s="4" t="n"/>
      <c r="J134" s="4" t="n"/>
    </row>
    <row r="135">
      <c r="A135" s="9" t="inlineStr">
        <is>
          <t>EV-131</t>
        </is>
      </c>
      <c r="B135" s="4" t="n"/>
      <c r="C135" s="4" t="n"/>
      <c r="D135" s="4" t="n"/>
      <c r="E135" s="4" t="n"/>
      <c r="F135" s="4" t="n"/>
      <c r="G135" s="4" t="n"/>
      <c r="H135" s="4" t="n"/>
      <c r="I135" s="4" t="n"/>
      <c r="J135" s="4" t="n"/>
    </row>
    <row r="136">
      <c r="A136" s="9" t="inlineStr">
        <is>
          <t>EV-132</t>
        </is>
      </c>
      <c r="B136" s="4" t="n"/>
      <c r="C136" s="4" t="n"/>
      <c r="D136" s="4" t="n"/>
      <c r="E136" s="4" t="n"/>
      <c r="F136" s="4" t="n"/>
      <c r="G136" s="4" t="n"/>
      <c r="H136" s="4" t="n"/>
      <c r="I136" s="4" t="n"/>
      <c r="J136" s="4" t="n"/>
    </row>
    <row r="137">
      <c r="A137" s="9" t="inlineStr">
        <is>
          <t>EV-133</t>
        </is>
      </c>
      <c r="B137" s="4" t="n"/>
      <c r="C137" s="4" t="n"/>
      <c r="D137" s="4" t="n"/>
      <c r="E137" s="4" t="n"/>
      <c r="F137" s="4" t="n"/>
      <c r="G137" s="4" t="n"/>
      <c r="H137" s="4" t="n"/>
      <c r="I137" s="4" t="n"/>
      <c r="J137" s="4" t="n"/>
    </row>
    <row r="138">
      <c r="A138" s="9" t="inlineStr">
        <is>
          <t>EV-134</t>
        </is>
      </c>
      <c r="B138" s="4" t="n"/>
      <c r="C138" s="4" t="n"/>
      <c r="D138" s="4" t="n"/>
      <c r="E138" s="4" t="n"/>
      <c r="F138" s="4" t="n"/>
      <c r="G138" s="4" t="n"/>
      <c r="H138" s="4" t="n"/>
      <c r="I138" s="4" t="n"/>
      <c r="J138" s="4" t="n"/>
    </row>
    <row r="139">
      <c r="A139" s="9" t="inlineStr">
        <is>
          <t>EV-135</t>
        </is>
      </c>
      <c r="B139" s="4" t="n"/>
      <c r="C139" s="4" t="n"/>
      <c r="D139" s="4" t="n"/>
      <c r="E139" s="4" t="n"/>
      <c r="F139" s="4" t="n"/>
      <c r="G139" s="4" t="n"/>
      <c r="H139" s="4" t="n"/>
      <c r="I139" s="4" t="n"/>
      <c r="J139" s="4" t="n"/>
    </row>
    <row r="140">
      <c r="A140" s="9" t="inlineStr">
        <is>
          <t>EV-136</t>
        </is>
      </c>
      <c r="B140" s="4" t="n"/>
      <c r="C140" s="4" t="n"/>
      <c r="D140" s="4" t="n"/>
      <c r="E140" s="4" t="n"/>
      <c r="F140" s="4" t="n"/>
      <c r="G140" s="4" t="n"/>
      <c r="H140" s="4" t="n"/>
      <c r="I140" s="4" t="n"/>
      <c r="J140" s="4" t="n"/>
    </row>
    <row r="141">
      <c r="A141" s="9" t="inlineStr">
        <is>
          <t>EV-137</t>
        </is>
      </c>
      <c r="B141" s="4" t="n"/>
      <c r="C141" s="4" t="n"/>
      <c r="D141" s="4" t="n"/>
      <c r="E141" s="4" t="n"/>
      <c r="F141" s="4" t="n"/>
      <c r="G141" s="4" t="n"/>
      <c r="H141" s="4" t="n"/>
      <c r="I141" s="4" t="n"/>
      <c r="J141" s="4" t="n"/>
    </row>
    <row r="142">
      <c r="A142" s="9" t="inlineStr">
        <is>
          <t>EV-138</t>
        </is>
      </c>
      <c r="B142" s="4" t="n"/>
      <c r="C142" s="4" t="n"/>
      <c r="D142" s="4" t="n"/>
      <c r="E142" s="4" t="n"/>
      <c r="F142" s="4" t="n"/>
      <c r="G142" s="4" t="n"/>
      <c r="H142" s="4" t="n"/>
      <c r="I142" s="4" t="n"/>
      <c r="J142" s="4" t="n"/>
    </row>
    <row r="143">
      <c r="A143" s="9" t="inlineStr">
        <is>
          <t>EV-139</t>
        </is>
      </c>
      <c r="B143" s="4" t="n"/>
      <c r="C143" s="4" t="n"/>
      <c r="D143" s="4" t="n"/>
      <c r="E143" s="4" t="n"/>
      <c r="F143" s="4" t="n"/>
      <c r="G143" s="4" t="n"/>
      <c r="H143" s="4" t="n"/>
      <c r="I143" s="4" t="n"/>
      <c r="J143" s="4" t="n"/>
    </row>
    <row r="144">
      <c r="A144" s="9" t="inlineStr">
        <is>
          <t>EV-140</t>
        </is>
      </c>
      <c r="B144" s="4" t="n"/>
      <c r="C144" s="4" t="n"/>
      <c r="D144" s="4" t="n"/>
      <c r="E144" s="4" t="n"/>
      <c r="F144" s="4" t="n"/>
      <c r="G144" s="4" t="n"/>
      <c r="H144" s="4" t="n"/>
      <c r="I144" s="4" t="n"/>
      <c r="J144" s="4" t="n"/>
    </row>
    <row r="145">
      <c r="A145" s="9" t="inlineStr">
        <is>
          <t>EV-141</t>
        </is>
      </c>
      <c r="B145" s="4" t="n"/>
      <c r="C145" s="4" t="n"/>
      <c r="D145" s="4" t="n"/>
      <c r="E145" s="4" t="n"/>
      <c r="F145" s="4" t="n"/>
      <c r="G145" s="4" t="n"/>
      <c r="H145" s="4" t="n"/>
      <c r="I145" s="4" t="n"/>
      <c r="J145" s="4" t="n"/>
    </row>
    <row r="146">
      <c r="A146" s="9" t="inlineStr">
        <is>
          <t>EV-142</t>
        </is>
      </c>
      <c r="B146" s="4" t="n"/>
      <c r="C146" s="4" t="n"/>
      <c r="D146" s="4" t="n"/>
      <c r="E146" s="4" t="n"/>
      <c r="F146" s="4" t="n"/>
      <c r="G146" s="4" t="n"/>
      <c r="H146" s="4" t="n"/>
      <c r="I146" s="4" t="n"/>
      <c r="J146" s="4" t="n"/>
    </row>
    <row r="147">
      <c r="A147" s="9" t="inlineStr">
        <is>
          <t>EV-143</t>
        </is>
      </c>
      <c r="B147" s="4" t="n"/>
      <c r="C147" s="4" t="n"/>
      <c r="D147" s="4" t="n"/>
      <c r="E147" s="4" t="n"/>
      <c r="F147" s="4" t="n"/>
      <c r="G147" s="4" t="n"/>
      <c r="H147" s="4" t="n"/>
      <c r="I147" s="4" t="n"/>
      <c r="J147" s="4" t="n"/>
    </row>
    <row r="148">
      <c r="A148" s="9" t="inlineStr">
        <is>
          <t>EV-144</t>
        </is>
      </c>
      <c r="B148" s="4" t="n"/>
      <c r="C148" s="4" t="n"/>
      <c r="D148" s="4" t="n"/>
      <c r="E148" s="4" t="n"/>
      <c r="F148" s="4" t="n"/>
      <c r="G148" s="4" t="n"/>
      <c r="H148" s="4" t="n"/>
      <c r="I148" s="4" t="n"/>
      <c r="J148" s="4" t="n"/>
    </row>
    <row r="149">
      <c r="A149" s="9" t="inlineStr">
        <is>
          <t>EV-145</t>
        </is>
      </c>
      <c r="B149" s="4" t="n"/>
      <c r="C149" s="4" t="n"/>
      <c r="D149" s="4" t="n"/>
      <c r="E149" s="4" t="n"/>
      <c r="F149" s="4" t="n"/>
      <c r="G149" s="4" t="n"/>
      <c r="H149" s="4" t="n"/>
      <c r="I149" s="4" t="n"/>
      <c r="J149" s="4" t="n"/>
    </row>
    <row r="150">
      <c r="A150" s="9" t="inlineStr">
        <is>
          <t>EV-146</t>
        </is>
      </c>
      <c r="B150" s="4" t="n"/>
      <c r="C150" s="4" t="n"/>
      <c r="D150" s="4" t="n"/>
      <c r="E150" s="4" t="n"/>
      <c r="F150" s="4" t="n"/>
      <c r="G150" s="4" t="n"/>
      <c r="H150" s="4" t="n"/>
      <c r="I150" s="4" t="n"/>
      <c r="J150" s="4" t="n"/>
    </row>
    <row r="151">
      <c r="A151" s="9" t="inlineStr">
        <is>
          <t>EV-147</t>
        </is>
      </c>
      <c r="B151" s="4" t="n"/>
      <c r="C151" s="4" t="n"/>
      <c r="D151" s="4" t="n"/>
      <c r="E151" s="4" t="n"/>
      <c r="F151" s="4" t="n"/>
      <c r="G151" s="4" t="n"/>
      <c r="H151" s="4" t="n"/>
      <c r="I151" s="4" t="n"/>
      <c r="J151" s="4" t="n"/>
    </row>
    <row r="152">
      <c r="A152" s="9" t="inlineStr">
        <is>
          <t>EV-148</t>
        </is>
      </c>
      <c r="B152" s="4" t="n"/>
      <c r="C152" s="4" t="n"/>
      <c r="D152" s="4" t="n"/>
      <c r="E152" s="4" t="n"/>
      <c r="F152" s="4" t="n"/>
      <c r="G152" s="4" t="n"/>
      <c r="H152" s="4" t="n"/>
      <c r="I152" s="4" t="n"/>
      <c r="J152" s="4" t="n"/>
    </row>
    <row r="153">
      <c r="A153" s="9" t="inlineStr">
        <is>
          <t>EV-149</t>
        </is>
      </c>
      <c r="B153" s="4" t="n"/>
      <c r="C153" s="4" t="n"/>
      <c r="D153" s="4" t="n"/>
      <c r="E153" s="4" t="n"/>
      <c r="F153" s="4" t="n"/>
      <c r="G153" s="4" t="n"/>
      <c r="H153" s="4" t="n"/>
      <c r="I153" s="4" t="n"/>
      <c r="J153" s="4" t="n"/>
    </row>
    <row r="154">
      <c r="A154" s="9" t="inlineStr">
        <is>
          <t>EV-150</t>
        </is>
      </c>
      <c r="B154" s="4" t="n"/>
      <c r="C154" s="4" t="n"/>
      <c r="D154" s="4" t="n"/>
      <c r="E154" s="4" t="n"/>
      <c r="F154" s="4" t="n"/>
      <c r="G154" s="4" t="n"/>
      <c r="H154" s="4" t="n"/>
      <c r="I154" s="4" t="n"/>
      <c r="J154" s="4" t="n"/>
    </row>
    <row r="155">
      <c r="A155" s="9" t="inlineStr">
        <is>
          <t>EV-151</t>
        </is>
      </c>
      <c r="B155" s="4" t="n"/>
      <c r="C155" s="4" t="n"/>
      <c r="D155" s="4" t="n"/>
      <c r="E155" s="4" t="n"/>
      <c r="F155" s="4" t="n"/>
      <c r="G155" s="4" t="n"/>
      <c r="H155" s="4" t="n"/>
      <c r="I155" s="4" t="n"/>
      <c r="J155" s="4" t="n"/>
    </row>
    <row r="156">
      <c r="A156" s="9" t="inlineStr">
        <is>
          <t>EV-152</t>
        </is>
      </c>
      <c r="B156" s="4" t="n"/>
      <c r="C156" s="4" t="n"/>
      <c r="D156" s="4" t="n"/>
      <c r="E156" s="4" t="n"/>
      <c r="F156" s="4" t="n"/>
      <c r="G156" s="4" t="n"/>
      <c r="H156" s="4" t="n"/>
      <c r="I156" s="4" t="n"/>
      <c r="J156" s="4" t="n"/>
    </row>
    <row r="157">
      <c r="A157" s="9" t="inlineStr">
        <is>
          <t>EV-153</t>
        </is>
      </c>
      <c r="B157" s="4" t="n"/>
      <c r="C157" s="4" t="n"/>
      <c r="D157" s="4" t="n"/>
      <c r="E157" s="4" t="n"/>
      <c r="F157" s="4" t="n"/>
      <c r="G157" s="4" t="n"/>
      <c r="H157" s="4" t="n"/>
      <c r="I157" s="4" t="n"/>
      <c r="J157" s="4" t="n"/>
    </row>
    <row r="158">
      <c r="A158" s="9" t="inlineStr">
        <is>
          <t>EV-154</t>
        </is>
      </c>
      <c r="B158" s="4" t="n"/>
      <c r="C158" s="4" t="n"/>
      <c r="D158" s="4" t="n"/>
      <c r="E158" s="4" t="n"/>
      <c r="F158" s="4" t="n"/>
      <c r="G158" s="4" t="n"/>
      <c r="H158" s="4" t="n"/>
      <c r="I158" s="4" t="n"/>
      <c r="J158" s="4" t="n"/>
    </row>
    <row r="159">
      <c r="A159" s="9" t="inlineStr">
        <is>
          <t>EV-155</t>
        </is>
      </c>
      <c r="B159" s="4" t="n"/>
      <c r="C159" s="4" t="n"/>
      <c r="D159" s="4" t="n"/>
      <c r="E159" s="4" t="n"/>
      <c r="F159" s="4" t="n"/>
      <c r="G159" s="4" t="n"/>
      <c r="H159" s="4" t="n"/>
      <c r="I159" s="4" t="n"/>
      <c r="J159" s="4" t="n"/>
    </row>
    <row r="160">
      <c r="A160" s="9" t="inlineStr">
        <is>
          <t>EV-156</t>
        </is>
      </c>
      <c r="B160" s="4" t="n"/>
      <c r="C160" s="4" t="n"/>
      <c r="D160" s="4" t="n"/>
      <c r="E160" s="4" t="n"/>
      <c r="F160" s="4" t="n"/>
      <c r="G160" s="4" t="n"/>
      <c r="H160" s="4" t="n"/>
      <c r="I160" s="4" t="n"/>
      <c r="J160" s="4" t="n"/>
    </row>
    <row r="161">
      <c r="A161" s="9" t="inlineStr">
        <is>
          <t>EV-157</t>
        </is>
      </c>
      <c r="B161" s="4" t="n"/>
      <c r="C161" s="4" t="n"/>
      <c r="D161" s="4" t="n"/>
      <c r="E161" s="4" t="n"/>
      <c r="F161" s="4" t="n"/>
      <c r="G161" s="4" t="n"/>
      <c r="H161" s="4" t="n"/>
      <c r="I161" s="4" t="n"/>
      <c r="J161" s="4" t="n"/>
    </row>
    <row r="162">
      <c r="A162" s="9" t="inlineStr">
        <is>
          <t>EV-158</t>
        </is>
      </c>
      <c r="B162" s="4" t="n"/>
      <c r="C162" s="4" t="n"/>
      <c r="D162" s="4" t="n"/>
      <c r="E162" s="4" t="n"/>
      <c r="F162" s="4" t="n"/>
      <c r="G162" s="4" t="n"/>
      <c r="H162" s="4" t="n"/>
      <c r="I162" s="4" t="n"/>
      <c r="J162" s="4" t="n"/>
    </row>
    <row r="163">
      <c r="A163" s="9" t="inlineStr">
        <is>
          <t>EV-159</t>
        </is>
      </c>
      <c r="B163" s="4" t="n"/>
      <c r="C163" s="4" t="n"/>
      <c r="D163" s="4" t="n"/>
      <c r="E163" s="4" t="n"/>
      <c r="F163" s="4" t="n"/>
      <c r="G163" s="4" t="n"/>
      <c r="H163" s="4" t="n"/>
      <c r="I163" s="4" t="n"/>
      <c r="J163" s="4" t="n"/>
    </row>
    <row r="164">
      <c r="A164" s="9" t="inlineStr">
        <is>
          <t>EV-160</t>
        </is>
      </c>
      <c r="B164" s="4" t="n"/>
      <c r="C164" s="4" t="n"/>
      <c r="D164" s="4" t="n"/>
      <c r="E164" s="4" t="n"/>
      <c r="F164" s="4" t="n"/>
      <c r="G164" s="4" t="n"/>
      <c r="H164" s="4" t="n"/>
      <c r="I164" s="4" t="n"/>
      <c r="J164" s="4" t="n"/>
    </row>
    <row r="165">
      <c r="A165" s="9" t="inlineStr">
        <is>
          <t>EV-161</t>
        </is>
      </c>
      <c r="B165" s="4" t="n"/>
      <c r="C165" s="4" t="n"/>
      <c r="D165" s="4" t="n"/>
      <c r="E165" s="4" t="n"/>
      <c r="F165" s="4" t="n"/>
      <c r="G165" s="4" t="n"/>
      <c r="H165" s="4" t="n"/>
      <c r="I165" s="4" t="n"/>
      <c r="J165" s="4" t="n"/>
    </row>
    <row r="166">
      <c r="A166" s="9" t="inlineStr">
        <is>
          <t>EV-162</t>
        </is>
      </c>
      <c r="B166" s="4" t="n"/>
      <c r="C166" s="4" t="n"/>
      <c r="D166" s="4" t="n"/>
      <c r="E166" s="4" t="n"/>
      <c r="F166" s="4" t="n"/>
      <c r="G166" s="4" t="n"/>
      <c r="H166" s="4" t="n"/>
      <c r="I166" s="4" t="n"/>
      <c r="J166" s="4" t="n"/>
    </row>
    <row r="167">
      <c r="A167" s="9" t="inlineStr">
        <is>
          <t>EV-163</t>
        </is>
      </c>
      <c r="B167" s="4" t="n"/>
      <c r="C167" s="4" t="n"/>
      <c r="D167" s="4" t="n"/>
      <c r="E167" s="4" t="n"/>
      <c r="F167" s="4" t="n"/>
      <c r="G167" s="4" t="n"/>
      <c r="H167" s="4" t="n"/>
      <c r="I167" s="4" t="n"/>
      <c r="J167" s="4" t="n"/>
    </row>
    <row r="168">
      <c r="A168" s="9" t="inlineStr">
        <is>
          <t>EV-164</t>
        </is>
      </c>
      <c r="B168" s="4" t="n"/>
      <c r="C168" s="4" t="n"/>
      <c r="D168" s="4" t="n"/>
      <c r="E168" s="4" t="n"/>
      <c r="F168" s="4" t="n"/>
      <c r="G168" s="4" t="n"/>
      <c r="H168" s="4" t="n"/>
      <c r="I168" s="4" t="n"/>
      <c r="J168" s="4" t="n"/>
    </row>
    <row r="169">
      <c r="A169" s="9" t="inlineStr">
        <is>
          <t>EV-165</t>
        </is>
      </c>
      <c r="B169" s="4" t="n"/>
      <c r="C169" s="4" t="n"/>
      <c r="D169" s="4" t="n"/>
      <c r="E169" s="4" t="n"/>
      <c r="F169" s="4" t="n"/>
      <c r="G169" s="4" t="n"/>
      <c r="H169" s="4" t="n"/>
      <c r="I169" s="4" t="n"/>
      <c r="J169" s="4" t="n"/>
    </row>
    <row r="170">
      <c r="A170" s="9" t="inlineStr">
        <is>
          <t>EV-166</t>
        </is>
      </c>
      <c r="B170" s="4" t="n"/>
      <c r="C170" s="4" t="n"/>
      <c r="D170" s="4" t="n"/>
      <c r="E170" s="4" t="n"/>
      <c r="F170" s="4" t="n"/>
      <c r="G170" s="4" t="n"/>
      <c r="H170" s="4" t="n"/>
      <c r="I170" s="4" t="n"/>
      <c r="J170" s="4" t="n"/>
    </row>
    <row r="171">
      <c r="A171" s="9" t="inlineStr">
        <is>
          <t>EV-167</t>
        </is>
      </c>
      <c r="B171" s="4" t="n"/>
      <c r="C171" s="4" t="n"/>
      <c r="D171" s="4" t="n"/>
      <c r="E171" s="4" t="n"/>
      <c r="F171" s="4" t="n"/>
      <c r="G171" s="4" t="n"/>
      <c r="H171" s="4" t="n"/>
      <c r="I171" s="4" t="n"/>
      <c r="J171" s="4" t="n"/>
    </row>
    <row r="172">
      <c r="A172" s="9" t="inlineStr">
        <is>
          <t>EV-168</t>
        </is>
      </c>
      <c r="B172" s="4" t="n"/>
      <c r="C172" s="4" t="n"/>
      <c r="D172" s="4" t="n"/>
      <c r="E172" s="4" t="n"/>
      <c r="F172" s="4" t="n"/>
      <c r="G172" s="4" t="n"/>
      <c r="H172" s="4" t="n"/>
      <c r="I172" s="4" t="n"/>
      <c r="J172" s="4" t="n"/>
    </row>
    <row r="173">
      <c r="A173" s="9" t="inlineStr">
        <is>
          <t>EV-169</t>
        </is>
      </c>
      <c r="B173" s="4" t="n"/>
      <c r="C173" s="4" t="n"/>
      <c r="D173" s="4" t="n"/>
      <c r="E173" s="4" t="n"/>
      <c r="F173" s="4" t="n"/>
      <c r="G173" s="4" t="n"/>
      <c r="H173" s="4" t="n"/>
      <c r="I173" s="4" t="n"/>
      <c r="J173" s="4" t="n"/>
    </row>
    <row r="174">
      <c r="A174" s="9" t="inlineStr">
        <is>
          <t>EV-170</t>
        </is>
      </c>
      <c r="B174" s="4" t="n"/>
      <c r="C174" s="4" t="n"/>
      <c r="D174" s="4" t="n"/>
      <c r="E174" s="4" t="n"/>
      <c r="F174" s="4" t="n"/>
      <c r="G174" s="4" t="n"/>
      <c r="H174" s="4" t="n"/>
      <c r="I174" s="4" t="n"/>
      <c r="J174" s="4" t="n"/>
    </row>
    <row r="175">
      <c r="A175" s="9" t="inlineStr">
        <is>
          <t>EV-171</t>
        </is>
      </c>
      <c r="B175" s="4" t="n"/>
      <c r="C175" s="4" t="n"/>
      <c r="D175" s="4" t="n"/>
      <c r="E175" s="4" t="n"/>
      <c r="F175" s="4" t="n"/>
      <c r="G175" s="4" t="n"/>
      <c r="H175" s="4" t="n"/>
      <c r="I175" s="4" t="n"/>
      <c r="J175" s="4" t="n"/>
    </row>
    <row r="176">
      <c r="A176" s="9" t="inlineStr">
        <is>
          <t>EV-172</t>
        </is>
      </c>
      <c r="B176" s="4" t="n"/>
      <c r="C176" s="4" t="n"/>
      <c r="D176" s="4" t="n"/>
      <c r="E176" s="4" t="n"/>
      <c r="F176" s="4" t="n"/>
      <c r="G176" s="4" t="n"/>
      <c r="H176" s="4" t="n"/>
      <c r="I176" s="4" t="n"/>
      <c r="J176" s="4" t="n"/>
    </row>
    <row r="177">
      <c r="A177" s="9" t="inlineStr">
        <is>
          <t>EV-173</t>
        </is>
      </c>
      <c r="B177" s="4" t="n"/>
      <c r="C177" s="4" t="n"/>
      <c r="D177" s="4" t="n"/>
      <c r="E177" s="4" t="n"/>
      <c r="F177" s="4" t="n"/>
      <c r="G177" s="4" t="n"/>
      <c r="H177" s="4" t="n"/>
      <c r="I177" s="4" t="n"/>
      <c r="J177" s="4" t="n"/>
    </row>
    <row r="178">
      <c r="A178" s="9" t="inlineStr">
        <is>
          <t>EV-174</t>
        </is>
      </c>
      <c r="B178" s="4" t="n"/>
      <c r="C178" s="4" t="n"/>
      <c r="D178" s="4" t="n"/>
      <c r="E178" s="4" t="n"/>
      <c r="F178" s="4" t="n"/>
      <c r="G178" s="4" t="n"/>
      <c r="H178" s="4" t="n"/>
      <c r="I178" s="4" t="n"/>
      <c r="J178" s="4" t="n"/>
    </row>
    <row r="179">
      <c r="A179" s="9" t="inlineStr">
        <is>
          <t>EV-175</t>
        </is>
      </c>
      <c r="B179" s="4" t="n"/>
      <c r="C179" s="4" t="n"/>
      <c r="D179" s="4" t="n"/>
      <c r="E179" s="4" t="n"/>
      <c r="F179" s="4" t="n"/>
      <c r="G179" s="4" t="n"/>
      <c r="H179" s="4" t="n"/>
      <c r="I179" s="4" t="n"/>
      <c r="J179" s="4" t="n"/>
    </row>
    <row r="180">
      <c r="A180" s="9" t="inlineStr">
        <is>
          <t>EV-176</t>
        </is>
      </c>
      <c r="B180" s="4" t="n"/>
      <c r="C180" s="4" t="n"/>
      <c r="D180" s="4" t="n"/>
      <c r="E180" s="4" t="n"/>
      <c r="F180" s="4" t="n"/>
      <c r="G180" s="4" t="n"/>
      <c r="H180" s="4" t="n"/>
      <c r="I180" s="4" t="n"/>
      <c r="J180" s="4" t="n"/>
    </row>
    <row r="181">
      <c r="A181" s="9" t="inlineStr">
        <is>
          <t>EV-177</t>
        </is>
      </c>
      <c r="B181" s="4" t="n"/>
      <c r="C181" s="4" t="n"/>
      <c r="D181" s="4" t="n"/>
      <c r="E181" s="4" t="n"/>
      <c r="F181" s="4" t="n"/>
      <c r="G181" s="4" t="n"/>
      <c r="H181" s="4" t="n"/>
      <c r="I181" s="4" t="n"/>
      <c r="J181" s="4" t="n"/>
    </row>
    <row r="182">
      <c r="A182" s="9" t="inlineStr">
        <is>
          <t>EV-178</t>
        </is>
      </c>
      <c r="B182" s="4" t="n"/>
      <c r="C182" s="4" t="n"/>
      <c r="D182" s="4" t="n"/>
      <c r="E182" s="4" t="n"/>
      <c r="F182" s="4" t="n"/>
      <c r="G182" s="4" t="n"/>
      <c r="H182" s="4" t="n"/>
      <c r="I182" s="4" t="n"/>
      <c r="J182" s="4" t="n"/>
    </row>
    <row r="183">
      <c r="A183" s="9" t="inlineStr">
        <is>
          <t>EV-179</t>
        </is>
      </c>
      <c r="B183" s="4" t="n"/>
      <c r="C183" s="4" t="n"/>
      <c r="D183" s="4" t="n"/>
      <c r="E183" s="4" t="n"/>
      <c r="F183" s="4" t="n"/>
      <c r="G183" s="4" t="n"/>
      <c r="H183" s="4" t="n"/>
      <c r="I183" s="4" t="n"/>
      <c r="J183" s="4" t="n"/>
    </row>
    <row r="184">
      <c r="A184" s="9" t="inlineStr">
        <is>
          <t>EV-180</t>
        </is>
      </c>
      <c r="B184" s="4" t="n"/>
      <c r="C184" s="4" t="n"/>
      <c r="D184" s="4" t="n"/>
      <c r="E184" s="4" t="n"/>
      <c r="F184" s="4" t="n"/>
      <c r="G184" s="4" t="n"/>
      <c r="H184" s="4" t="n"/>
      <c r="I184" s="4" t="n"/>
      <c r="J184" s="4" t="n"/>
    </row>
    <row r="185">
      <c r="A185" s="9" t="inlineStr">
        <is>
          <t>EV-181</t>
        </is>
      </c>
      <c r="B185" s="4" t="n"/>
      <c r="C185" s="4" t="n"/>
      <c r="D185" s="4" t="n"/>
      <c r="E185" s="4" t="n"/>
      <c r="F185" s="4" t="n"/>
      <c r="G185" s="4" t="n"/>
      <c r="H185" s="4" t="n"/>
      <c r="I185" s="4" t="n"/>
      <c r="J185" s="4" t="n"/>
    </row>
    <row r="186">
      <c r="A186" s="9" t="inlineStr">
        <is>
          <t>EV-182</t>
        </is>
      </c>
      <c r="B186" s="4" t="n"/>
      <c r="C186" s="4" t="n"/>
      <c r="D186" s="4" t="n"/>
      <c r="E186" s="4" t="n"/>
      <c r="F186" s="4" t="n"/>
      <c r="G186" s="4" t="n"/>
      <c r="H186" s="4" t="n"/>
      <c r="I186" s="4" t="n"/>
      <c r="J186" s="4" t="n"/>
    </row>
    <row r="187">
      <c r="A187" s="9" t="inlineStr">
        <is>
          <t>EV-183</t>
        </is>
      </c>
      <c r="B187" s="4" t="n"/>
      <c r="C187" s="4" t="n"/>
      <c r="D187" s="4" t="n"/>
      <c r="E187" s="4" t="n"/>
      <c r="F187" s="4" t="n"/>
      <c r="G187" s="4" t="n"/>
      <c r="H187" s="4" t="n"/>
      <c r="I187" s="4" t="n"/>
      <c r="J187" s="4" t="n"/>
    </row>
    <row r="188">
      <c r="A188" s="9" t="inlineStr">
        <is>
          <t>EV-184</t>
        </is>
      </c>
      <c r="B188" s="4" t="n"/>
      <c r="C188" s="4" t="n"/>
      <c r="D188" s="4" t="n"/>
      <c r="E188" s="4" t="n"/>
      <c r="F188" s="4" t="n"/>
      <c r="G188" s="4" t="n"/>
      <c r="H188" s="4" t="n"/>
      <c r="I188" s="4" t="n"/>
      <c r="J188" s="4" t="n"/>
    </row>
    <row r="189">
      <c r="A189" s="9" t="inlineStr">
        <is>
          <t>EV-185</t>
        </is>
      </c>
      <c r="B189" s="4" t="n"/>
      <c r="C189" s="4" t="n"/>
      <c r="D189" s="4" t="n"/>
      <c r="E189" s="4" t="n"/>
      <c r="F189" s="4" t="n"/>
      <c r="G189" s="4" t="n"/>
      <c r="H189" s="4" t="n"/>
      <c r="I189" s="4" t="n"/>
      <c r="J189" s="4" t="n"/>
    </row>
    <row r="190">
      <c r="A190" s="9" t="inlineStr">
        <is>
          <t>EV-186</t>
        </is>
      </c>
      <c r="B190" s="4" t="n"/>
      <c r="C190" s="4" t="n"/>
      <c r="D190" s="4" t="n"/>
      <c r="E190" s="4" t="n"/>
      <c r="F190" s="4" t="n"/>
      <c r="G190" s="4" t="n"/>
      <c r="H190" s="4" t="n"/>
      <c r="I190" s="4" t="n"/>
      <c r="J190" s="4" t="n"/>
    </row>
    <row r="191">
      <c r="A191" s="9" t="inlineStr">
        <is>
          <t>EV-187</t>
        </is>
      </c>
      <c r="B191" s="4" t="n"/>
      <c r="C191" s="4" t="n"/>
      <c r="D191" s="4" t="n"/>
      <c r="E191" s="4" t="n"/>
      <c r="F191" s="4" t="n"/>
      <c r="G191" s="4" t="n"/>
      <c r="H191" s="4" t="n"/>
      <c r="I191" s="4" t="n"/>
      <c r="J191" s="4" t="n"/>
    </row>
    <row r="192">
      <c r="A192" s="9" t="inlineStr">
        <is>
          <t>EV-188</t>
        </is>
      </c>
      <c r="B192" s="4" t="n"/>
      <c r="C192" s="4" t="n"/>
      <c r="D192" s="4" t="n"/>
      <c r="E192" s="4" t="n"/>
      <c r="F192" s="4" t="n"/>
      <c r="G192" s="4" t="n"/>
      <c r="H192" s="4" t="n"/>
      <c r="I192" s="4" t="n"/>
      <c r="J192" s="4" t="n"/>
    </row>
    <row r="193">
      <c r="A193" s="9" t="inlineStr">
        <is>
          <t>EV-189</t>
        </is>
      </c>
      <c r="B193" s="4" t="n"/>
      <c r="C193" s="4" t="n"/>
      <c r="D193" s="4" t="n"/>
      <c r="E193" s="4" t="n"/>
      <c r="F193" s="4" t="n"/>
      <c r="G193" s="4" t="n"/>
      <c r="H193" s="4" t="n"/>
      <c r="I193" s="4" t="n"/>
      <c r="J193" s="4" t="n"/>
    </row>
    <row r="194">
      <c r="A194" s="9" t="inlineStr">
        <is>
          <t>EV-190</t>
        </is>
      </c>
      <c r="B194" s="4" t="n"/>
      <c r="C194" s="4" t="n"/>
      <c r="D194" s="4" t="n"/>
      <c r="E194" s="4" t="n"/>
      <c r="F194" s="4" t="n"/>
      <c r="G194" s="4" t="n"/>
      <c r="H194" s="4" t="n"/>
      <c r="I194" s="4" t="n"/>
      <c r="J194" s="4" t="n"/>
    </row>
    <row r="195">
      <c r="A195" s="9" t="inlineStr">
        <is>
          <t>EV-191</t>
        </is>
      </c>
      <c r="B195" s="4" t="n"/>
      <c r="C195" s="4" t="n"/>
      <c r="D195" s="4" t="n"/>
      <c r="E195" s="4" t="n"/>
      <c r="F195" s="4" t="n"/>
      <c r="G195" s="4" t="n"/>
      <c r="H195" s="4" t="n"/>
      <c r="I195" s="4" t="n"/>
      <c r="J195" s="4" t="n"/>
    </row>
    <row r="196">
      <c r="A196" s="9" t="inlineStr">
        <is>
          <t>EV-192</t>
        </is>
      </c>
      <c r="B196" s="4" t="n"/>
      <c r="C196" s="4" t="n"/>
      <c r="D196" s="4" t="n"/>
      <c r="E196" s="4" t="n"/>
      <c r="F196" s="4" t="n"/>
      <c r="G196" s="4" t="n"/>
      <c r="H196" s="4" t="n"/>
      <c r="I196" s="4" t="n"/>
      <c r="J196" s="4" t="n"/>
    </row>
    <row r="197">
      <c r="A197" s="9" t="inlineStr">
        <is>
          <t>EV-193</t>
        </is>
      </c>
      <c r="B197" s="4" t="n"/>
      <c r="C197" s="4" t="n"/>
      <c r="D197" s="4" t="n"/>
      <c r="E197" s="4" t="n"/>
      <c r="F197" s="4" t="n"/>
      <c r="G197" s="4" t="n"/>
      <c r="H197" s="4" t="n"/>
      <c r="I197" s="4" t="n"/>
      <c r="J197" s="4" t="n"/>
    </row>
    <row r="198">
      <c r="A198" s="9" t="inlineStr">
        <is>
          <t>EV-194</t>
        </is>
      </c>
      <c r="B198" s="4" t="n"/>
      <c r="C198" s="4" t="n"/>
      <c r="D198" s="4" t="n"/>
      <c r="E198" s="4" t="n"/>
      <c r="F198" s="4" t="n"/>
      <c r="G198" s="4" t="n"/>
      <c r="H198" s="4" t="n"/>
      <c r="I198" s="4" t="n"/>
      <c r="J198" s="4" t="n"/>
    </row>
    <row r="199">
      <c r="A199" s="9" t="inlineStr">
        <is>
          <t>EV-195</t>
        </is>
      </c>
      <c r="B199" s="4" t="n"/>
      <c r="C199" s="4" t="n"/>
      <c r="D199" s="4" t="n"/>
      <c r="E199" s="4" t="n"/>
      <c r="F199" s="4" t="n"/>
      <c r="G199" s="4" t="n"/>
      <c r="H199" s="4" t="n"/>
      <c r="I199" s="4" t="n"/>
      <c r="J199" s="4" t="n"/>
    </row>
    <row r="200">
      <c r="A200" s="9" t="inlineStr">
        <is>
          <t>EV-196</t>
        </is>
      </c>
      <c r="B200" s="4" t="n"/>
      <c r="C200" s="4" t="n"/>
      <c r="D200" s="4" t="n"/>
      <c r="E200" s="4" t="n"/>
      <c r="F200" s="4" t="n"/>
      <c r="G200" s="4" t="n"/>
      <c r="H200" s="4" t="n"/>
      <c r="I200" s="4" t="n"/>
      <c r="J200" s="4" t="n"/>
    </row>
    <row r="201">
      <c r="A201" s="9" t="inlineStr">
        <is>
          <t>EV-197</t>
        </is>
      </c>
      <c r="B201" s="4" t="n"/>
      <c r="C201" s="4" t="n"/>
      <c r="D201" s="4" t="n"/>
      <c r="E201" s="4" t="n"/>
      <c r="F201" s="4" t="n"/>
      <c r="G201" s="4" t="n"/>
      <c r="H201" s="4" t="n"/>
      <c r="I201" s="4" t="n"/>
      <c r="J201" s="4" t="n"/>
    </row>
    <row r="202">
      <c r="A202" s="9" t="inlineStr">
        <is>
          <t>EV-198</t>
        </is>
      </c>
      <c r="B202" s="4" t="n"/>
      <c r="C202" s="4" t="n"/>
      <c r="D202" s="4" t="n"/>
      <c r="E202" s="4" t="n"/>
      <c r="F202" s="4" t="n"/>
      <c r="G202" s="4" t="n"/>
      <c r="H202" s="4" t="n"/>
      <c r="I202" s="4" t="n"/>
      <c r="J202" s="4" t="n"/>
    </row>
    <row r="203">
      <c r="A203" s="9" t="inlineStr">
        <is>
          <t>EV-199</t>
        </is>
      </c>
      <c r="B203" s="4" t="n"/>
      <c r="C203" s="4" t="n"/>
      <c r="D203" s="4" t="n"/>
      <c r="E203" s="4" t="n"/>
      <c r="F203" s="4" t="n"/>
      <c r="G203" s="4" t="n"/>
      <c r="H203" s="4" t="n"/>
      <c r="I203" s="4" t="n"/>
      <c r="J203" s="4" t="n"/>
    </row>
    <row r="204">
      <c r="A204" s="9" t="inlineStr">
        <is>
          <t>EV-200</t>
        </is>
      </c>
      <c r="B204" s="4" t="n"/>
      <c r="C204" s="4" t="n"/>
      <c r="D204" s="4" t="n"/>
      <c r="E204" s="4" t="n"/>
      <c r="F204" s="4" t="n"/>
      <c r="G204" s="4" t="n"/>
      <c r="H204" s="4" t="n"/>
      <c r="I204" s="4" t="n"/>
      <c r="J204" s="4" t="n"/>
    </row>
  </sheetData>
  <mergeCells count="2">
    <mergeCell ref="A1:J1"/>
    <mergeCell ref="A2:J2"/>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showDropDown="0" showInputMessage="0" showErrorMessage="0" allowBlank="1" type="list">
      <formula1>"Destruction Certificate,Sanitisation Report,Asset Record,Vendor Contract,Chain of Custody,Photo,Screenshot,Other"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5"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ISMS-IMP-A.7.14.S3 - Equipment Disposal Assessment</t>
        </is>
      </c>
    </row>
    <row r="5">
      <c r="A5" s="3" t="inlineStr">
        <is>
          <t>Assessment Period</t>
        </is>
      </c>
      <c r="B5" s="4" t="inlineStr"/>
    </row>
    <row r="6">
      <c r="A6" s="3" t="inlineStr">
        <is>
          <t>Equipment Disposed</t>
        </is>
      </c>
      <c r="B6" s="4">
        <f>'Summary Dashboard'!B7</f>
        <v/>
      </c>
    </row>
    <row r="7">
      <c r="A7" s="3" t="inlineStr">
        <is>
          <t>Certificate Collection Rate</t>
        </is>
      </c>
      <c r="B7" s="4">
        <f>'Summary Dashboard'!B17</f>
        <v/>
      </c>
    </row>
    <row r="8">
      <c r="A8" s="3" t="inlineStr">
        <is>
          <t>Assessment Status</t>
        </is>
      </c>
      <c r="B8" s="4" t="inlineStr"/>
    </row>
    <row r="11">
      <c r="A11" s="2" t="inlineStr">
        <is>
          <t>Approval Workflow</t>
        </is>
      </c>
    </row>
    <row r="12">
      <c r="A12" s="5" t="inlineStr">
        <is>
          <t>Role</t>
        </is>
      </c>
      <c r="B12" s="5" t="inlineStr">
        <is>
          <t>Name</t>
        </is>
      </c>
      <c r="C12" s="5" t="inlineStr">
        <is>
          <t>Signature</t>
        </is>
      </c>
      <c r="D12" s="5" t="inlineStr">
        <is>
          <t>Date</t>
        </is>
      </c>
    </row>
    <row r="13">
      <c r="A13" s="3" t="inlineStr">
        <is>
          <t>Assessor</t>
        </is>
      </c>
      <c r="B13" s="4" t="n"/>
      <c r="C13" s="4" t="n"/>
      <c r="D13" s="4" t="n"/>
    </row>
    <row r="14">
      <c r="A14" s="3" t="inlineStr">
        <is>
          <t>IT Operations Manager</t>
        </is>
      </c>
      <c r="B14" s="4" t="n"/>
      <c r="C14" s="4" t="n"/>
      <c r="D14" s="4" t="n"/>
    </row>
    <row r="15">
      <c r="A15" s="3" t="inlineStr">
        <is>
          <t>CISO</t>
        </is>
      </c>
      <c r="B15" s="4" t="n"/>
      <c r="C15" s="4" t="n"/>
      <c r="D15" s="4" t="n"/>
    </row>
    <row r="16">
      <c r="A16" s="3" t="inlineStr">
        <is>
          <t>Compliance Officer</t>
        </is>
      </c>
      <c r="B16" s="4" t="n"/>
      <c r="C16" s="4" t="n"/>
      <c r="D16"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2026-02-08T11:25:57Z</dcterms:created>
  <dcterms:modified xmlns:dcterms="http://purl.org/dc/terms/" xmlns:xsi="http://www.w3.org/2001/XMLSchema-instance" xsi:type="dcterms:W3CDTF">2026-02-08T11:25:57Z</dcterms:modified>
</cp:coreProperties>
</file>