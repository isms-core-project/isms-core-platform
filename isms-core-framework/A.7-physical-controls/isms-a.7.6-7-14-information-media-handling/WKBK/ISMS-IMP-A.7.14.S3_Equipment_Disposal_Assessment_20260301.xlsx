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Disposal Requirements" sheetId="2" state="visible" r:id="rId2"/>
    <sheet xmlns:r="http://schemas.openxmlformats.org/officeDocument/2006/relationships" name="Disposal Tools" sheetId="3" state="visible" r:id="rId3"/>
    <sheet xmlns:r="http://schemas.openxmlformats.org/officeDocument/2006/relationships" name="Service Providers" sheetId="4" state="visible" r:id="rId4"/>
    <sheet xmlns:r="http://schemas.openxmlformats.org/officeDocument/2006/relationships" name="Disposal Log"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i val="1"/>
    </font>
    <font>
      <name val="Calibri"/>
      <b val="1"/>
      <color rgb="00FFFFFF"/>
      <sz val="10"/>
    </font>
    <font>
      <name val="Calibri"/>
      <color rgb="00003366"/>
    </font>
    <font>
      <name val="Calibri"/>
      <b val="1"/>
      <color rgb="00FFFFFF"/>
      <sz val="11"/>
    </font>
    <font>
      <name val="Calibri"/>
      <b val="1"/>
      <color rgb="00000000"/>
      <sz val="10"/>
    </font>
    <font>
      <name val="Calibri"/>
      <color rgb="00000000"/>
    </font>
    <font>
      <name val="Calibri"/>
      <b val="1"/>
      <color rgb="00000000"/>
    </font>
    <font>
      <name val="Calibri"/>
      <b val="1"/>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wrapText="1"/>
    </xf>
    <xf numFmtId="0" fontId="4" fillId="9" borderId="1" applyAlignment="1" pivotButton="0" quotePrefix="0" xfId="0">
      <alignment horizontal="center" vertical="center" wrapText="1"/>
    </xf>
    <xf numFmtId="0" fontId="0" fillId="10" borderId="1" pivotButton="0" quotePrefix="0" xfId="0"/>
    <xf numFmtId="0" fontId="5" fillId="11" borderId="1" applyAlignment="1" pivotButton="0" quotePrefix="0" xfId="0">
      <alignment horizontal="left" vertical="center" wrapText="1"/>
    </xf>
    <xf numFmtId="0" fontId="0" fillId="11" borderId="1" applyAlignment="1" pivotButton="0" quotePrefix="0" xfId="0">
      <alignment horizontal="left" vertical="center" wrapText="1"/>
    </xf>
    <xf numFmtId="0" fontId="0" fillId="10" borderId="1" applyAlignment="1" pivotButton="0" quotePrefix="0" xfId="0">
      <alignment horizontal="left" vertical="center" wrapText="1"/>
    </xf>
    <xf numFmtId="0" fontId="1" fillId="8" borderId="1" applyAlignment="1" pivotButton="0" quotePrefix="0" xfId="0">
      <alignment horizontal="center" vertical="center" wrapText="1"/>
    </xf>
    <xf numFmtId="0" fontId="6" fillId="0" borderId="0" applyAlignment="1" pivotButton="0" quotePrefix="0" xfId="0">
      <alignment horizontal="left" vertical="center"/>
    </xf>
    <xf numFmtId="0" fontId="7" fillId="8" borderId="1" applyAlignment="1" pivotButton="0" quotePrefix="0" xfId="0">
      <alignment horizontal="center" vertical="center" wrapText="1"/>
    </xf>
    <xf numFmtId="0" fontId="8" fillId="11" borderId="1" pivotButton="0" quotePrefix="0" xfId="0"/>
    <xf numFmtId="0" fontId="0" fillId="11" borderId="1" pivotButton="0" quotePrefix="0" xfId="0"/>
    <xf numFmtId="0" fontId="5" fillId="0" borderId="0" applyAlignment="1" pivotButton="0" quotePrefix="0" xfId="0">
      <alignment horizontal="left" vertical="center"/>
    </xf>
    <xf numFmtId="0" fontId="9" fillId="8" borderId="1" pivotButton="0" quotePrefix="0" xfId="0"/>
    <xf numFmtId="0" fontId="10" fillId="9" borderId="1" applyAlignment="1" pivotButton="0" quotePrefix="0" xfId="0">
      <alignment horizontal="center" vertical="center" wrapText="1"/>
    </xf>
    <xf numFmtId="0" fontId="11" fillId="0" borderId="1" applyAlignment="1" pivotButton="0" quotePrefix="0" xfId="0">
      <alignment horizontal="left" vertical="center"/>
    </xf>
    <xf numFmtId="0" fontId="11" fillId="0" borderId="1" applyAlignment="1" pivotButton="0" quotePrefix="0" xfId="0">
      <alignment horizontal="center"/>
    </xf>
    <xf numFmtId="164" fontId="11" fillId="0" borderId="1" applyAlignment="1" pivotButton="0" quotePrefix="0" xfId="0">
      <alignment horizontal="center"/>
    </xf>
    <xf numFmtId="0" fontId="12" fillId="9" borderId="1" applyAlignment="1" pivotButton="0" quotePrefix="0" xfId="0">
      <alignment horizontal="left" vertical="center"/>
    </xf>
    <xf numFmtId="0" fontId="12" fillId="9" borderId="1" applyAlignment="1" pivotButton="0" quotePrefix="0" xfId="0">
      <alignment horizontal="center"/>
    </xf>
    <xf numFmtId="164" fontId="11" fillId="9" borderId="1" applyAlignment="1" pivotButton="0" quotePrefix="0" xfId="0">
      <alignment horizontal="center"/>
    </xf>
    <xf numFmtId="0" fontId="10" fillId="9" borderId="1" applyAlignment="1" pivotButton="0" quotePrefix="0" xfId="0">
      <alignment horizontal="center"/>
    </xf>
    <xf numFmtId="0" fontId="9" fillId="12" borderId="1" pivotButton="0" quotePrefix="0" xfId="0"/>
    <xf numFmtId="0" fontId="11" fillId="10" borderId="1" applyAlignment="1" pivotButton="0" quotePrefix="0" xfId="0">
      <alignment horizontal="left" vertical="center"/>
    </xf>
    <xf numFmtId="0" fontId="11" fillId="10" borderId="1" applyAlignment="1" pivotButton="0" quotePrefix="0" xfId="0">
      <alignment horizontal="left" vertical="center" wrapText="1"/>
    </xf>
    <xf numFmtId="0" fontId="11" fillId="10" borderId="1" applyAlignment="1" pivotButton="0" quotePrefix="0" xfId="0">
      <alignment horizontal="center"/>
    </xf>
    <xf numFmtId="0" fontId="11" fillId="10" borderId="1" pivotButton="0" quotePrefix="0" xfId="0"/>
    <xf numFmtId="0" fontId="13" fillId="0" borderId="1" pivotButton="0" quotePrefix="0" xfId="0"/>
    <xf numFmtId="0" fontId="9" fillId="13" borderId="1" applyAlignment="1" pivotButton="0" quotePrefix="0" xfId="0">
      <alignment horizontal="left" vertical="center"/>
    </xf>
    <xf numFmtId="0" fontId="4" fillId="0" borderId="1" pivotButton="0" quotePrefix="0" xfId="0"/>
    <xf numFmtId="0" fontId="5" fillId="0" borderId="1" applyAlignment="1" pivotButton="0" quotePrefix="0" xfId="0">
      <alignment horizontal="center" vertical="center"/>
    </xf>
    <xf numFmtId="0" fontId="9" fillId="13" borderId="1" pivotButton="0" quotePrefix="0" xfId="0"/>
    <xf numFmtId="164"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ISMS-IMP-A.7.14.S3  -  Equipment Disposal Assessment
ISO/IEC 27001:2022 - Control A.7.14: Secure Disposal or Re-Use of Equipment</t>
        </is>
      </c>
    </row>
    <row r="3">
      <c r="A3" s="2" t="inlineStr">
        <is>
          <t>Document Information</t>
        </is>
      </c>
    </row>
    <row r="4">
      <c r="A4" s="3" t="inlineStr">
        <is>
          <t>Document ID</t>
        </is>
      </c>
      <c r="B4" t="inlineStr">
        <is>
          <t>ISMS-IMP-A.7.14.S3</t>
        </is>
      </c>
    </row>
    <row r="5">
      <c r="A5" s="3" t="inlineStr">
        <is>
          <t>Workbook Title</t>
        </is>
      </c>
      <c r="B5" t="inlineStr">
        <is>
          <t>Equipment Disposal Assessment</t>
        </is>
      </c>
    </row>
    <row r="6">
      <c r="A6" s="3" t="inlineStr">
        <is>
          <t>Control Reference</t>
        </is>
      </c>
      <c r="B6" t="inlineStr">
        <is>
          <t>ISO/IEC 27001:2022 - Control A.7.14: Secure Disposal or Re-Use of Equipment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Document disposal requirements by equipment type in Sheet 2.</t>
        </is>
      </c>
    </row>
    <row r="14">
      <c r="A14" t="inlineStr">
        <is>
          <t>2. List approved sanitisation tools in Sheet 3.</t>
        </is>
      </c>
    </row>
    <row r="15">
      <c r="A15" t="inlineStr">
        <is>
          <t>3. Document disposal service providers in Sheet 4.</t>
        </is>
      </c>
    </row>
    <row r="16">
      <c r="A16" t="inlineStr">
        <is>
          <t>4. Log all equipment disposals in Sheet 5 (Disposal Log).</t>
        </is>
      </c>
    </row>
    <row r="17">
      <c r="A17" t="inlineStr">
        <is>
          <t>5. Review Summary Dashboard (Sheet 6) for compliance metrics.</t>
        </is>
      </c>
    </row>
    <row r="18">
      <c r="A18" t="inlineStr">
        <is>
          <t>6. Document evidence (certificates) in Sheet 7.</t>
        </is>
      </c>
    </row>
    <row r="19">
      <c r="A19" t="inlineStr">
        <is>
          <t>7. Obtain approvals in Sheet 8.</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3"/>
  <sheetViews>
    <sheetView showGridLines="0" workbookViewId="0">
      <pane ySplit="3" topLeftCell="A4" activePane="bottomLeft" state="frozen"/>
      <selection pane="bottomLeft" activeCell="A1" sqref="A1"/>
    </sheetView>
  </sheetViews>
  <sheetFormatPr baseColWidth="8" defaultRowHeight="15"/>
  <cols>
    <col width="22" customWidth="1" min="1" max="1"/>
    <col width="18" customWidth="1" min="2" max="2"/>
    <col width="25" customWidth="1" min="3" max="3"/>
    <col width="25" customWidth="1" min="4" max="4"/>
    <col width="20" customWidth="1" min="5" max="5"/>
    <col width="18" customWidth="1" min="6" max="6"/>
    <col width="18" customWidth="1" min="7" max="7"/>
    <col width="20" customWidth="1" min="8" max="8"/>
    <col width="40" customWidth="1" min="9" max="9"/>
  </cols>
  <sheetData>
    <row r="1" ht="35" customHeight="1">
      <c r="A1" s="11" t="inlineStr">
        <is>
          <t>DISPOSAL REQUIREMENTS MATRIX
Disposal methods by equipment type and data classification</t>
        </is>
      </c>
    </row>
    <row r="2">
      <c r="A2" s="12" t="inlineStr">
        <is>
          <t>ISO/IEC 27001:2022 - Control A.7.14: Secure Disposal or Re-Use of Equipment</t>
        </is>
      </c>
    </row>
    <row r="3">
      <c r="A3" s="13" t="inlineStr">
        <is>
          <t>Equipment Type</t>
        </is>
      </c>
      <c r="B3" s="13" t="inlineStr">
        <is>
          <t>Storage Type</t>
        </is>
      </c>
      <c r="C3" s="13" t="inlineStr">
        <is>
          <t>CONFIDENTIAL Method</t>
        </is>
      </c>
      <c r="D3" s="13" t="inlineStr">
        <is>
          <t>INTERNAL Method</t>
        </is>
      </c>
      <c r="E3" s="13" t="inlineStr">
        <is>
          <t>PUBLIC Method</t>
        </is>
      </c>
      <c r="F3" s="13" t="inlineStr">
        <is>
          <t>Verification Required</t>
        </is>
      </c>
      <c r="G3" s="13" t="inlineStr">
        <is>
          <t>Certificate Required</t>
        </is>
      </c>
      <c r="H3" s="13" t="inlineStr">
        <is>
          <t>Implementation Status</t>
        </is>
      </c>
      <c r="I3" s="13" t="inlineStr">
        <is>
          <t>Notes</t>
        </is>
      </c>
    </row>
    <row r="4">
      <c r="A4" s="6" t="inlineStr">
        <is>
          <t>Hard Drives (HDD)</t>
        </is>
      </c>
      <c r="B4" s="6" t="inlineStr">
        <is>
          <t>HDD</t>
        </is>
      </c>
      <c r="C4" s="6" t="inlineStr">
        <is>
          <t>Physical Destruction</t>
        </is>
      </c>
      <c r="D4" s="6" t="inlineStr">
        <is>
          <t>3-Pass Overwrite or Destruction</t>
        </is>
      </c>
      <c r="E4" s="6" t="inlineStr">
        <is>
          <t>Format</t>
        </is>
      </c>
      <c r="F4" s="14" t="n"/>
      <c r="G4" s="14" t="n"/>
      <c r="H4" s="14" t="n"/>
      <c r="I4" s="14" t="n"/>
    </row>
    <row r="5">
      <c r="A5" s="6" t="inlineStr">
        <is>
          <t>Solid State Drives (SSD)</t>
        </is>
      </c>
      <c r="B5" s="6" t="inlineStr">
        <is>
          <t>SSD</t>
        </is>
      </c>
      <c r="C5" s="6" t="inlineStr">
        <is>
          <t>Physical Destruction</t>
        </is>
      </c>
      <c r="D5" s="6" t="inlineStr">
        <is>
          <t>Crypto Erase or Destruction</t>
        </is>
      </c>
      <c r="E5" s="6" t="inlineStr">
        <is>
          <t>Secure Erase</t>
        </is>
      </c>
      <c r="F5" s="14" t="n"/>
      <c r="G5" s="14" t="n"/>
      <c r="H5" s="14" t="n"/>
      <c r="I5" s="14" t="n"/>
    </row>
    <row r="6">
      <c r="A6" s="6" t="inlineStr">
        <is>
          <t>Mobile Devices</t>
        </is>
      </c>
      <c r="B6" s="6" t="inlineStr">
        <is>
          <t>Flash</t>
        </is>
      </c>
      <c r="C6" s="6" t="inlineStr">
        <is>
          <t>Physical Destruction</t>
        </is>
      </c>
      <c r="D6" s="6" t="inlineStr">
        <is>
          <t>Factory Reset + Verification</t>
        </is>
      </c>
      <c r="E6" s="6" t="inlineStr">
        <is>
          <t>Factory Reset</t>
        </is>
      </c>
      <c r="F6" s="14" t="n"/>
      <c r="G6" s="14" t="n"/>
      <c r="H6" s="14" t="n"/>
      <c r="I6" s="14" t="n"/>
    </row>
    <row r="7">
      <c r="A7" s="6" t="inlineStr">
        <is>
          <t>USB/Removable Media</t>
        </is>
      </c>
      <c r="B7" s="6" t="inlineStr">
        <is>
          <t>Flash</t>
        </is>
      </c>
      <c r="C7" s="6" t="inlineStr">
        <is>
          <t>Physical Destruction</t>
        </is>
      </c>
      <c r="D7" s="6" t="inlineStr">
        <is>
          <t>Secure Overwrite or Destruction</t>
        </is>
      </c>
      <c r="E7" s="6" t="inlineStr">
        <is>
          <t>Format</t>
        </is>
      </c>
      <c r="F7" s="14" t="n"/>
      <c r="G7" s="14" t="n"/>
      <c r="H7" s="14" t="n"/>
      <c r="I7" s="14" t="n"/>
    </row>
    <row r="8">
      <c r="A8" s="6" t="inlineStr">
        <is>
          <t>Printers/Copiers</t>
        </is>
      </c>
      <c r="B8" s="6" t="inlineStr">
        <is>
          <t>HDD</t>
        </is>
      </c>
      <c r="C8" s="6" t="inlineStr">
        <is>
          <t>HDD Removal + Destruction</t>
        </is>
      </c>
      <c r="D8" s="6" t="inlineStr">
        <is>
          <t>HDD Removal + Secure Wipe</t>
        </is>
      </c>
      <c r="E8" s="6" t="inlineStr">
        <is>
          <t>Clear Memory</t>
        </is>
      </c>
      <c r="F8" s="14" t="n"/>
      <c r="G8" s="14" t="n"/>
      <c r="H8" s="14" t="n"/>
      <c r="I8" s="14" t="n"/>
    </row>
    <row r="9">
      <c r="A9" s="6" t="inlineStr">
        <is>
          <t>Network Equipment</t>
        </is>
      </c>
      <c r="B9" s="6" t="inlineStr">
        <is>
          <t>Config</t>
        </is>
      </c>
      <c r="C9" s="6" t="inlineStr">
        <is>
          <t>N/A</t>
        </is>
      </c>
      <c r="D9" s="6" t="inlineStr">
        <is>
          <t>Config Wipe + Verification</t>
        </is>
      </c>
      <c r="E9" s="6" t="inlineStr">
        <is>
          <t>Config Reset</t>
        </is>
      </c>
      <c r="F9" s="14" t="n"/>
      <c r="G9" s="14" t="n"/>
      <c r="H9" s="14" t="n"/>
      <c r="I9" s="14" t="n"/>
    </row>
    <row r="10">
      <c r="A10" s="6" t="inlineStr">
        <is>
          <t>Servers</t>
        </is>
      </c>
      <c r="B10" s="6" t="inlineStr">
        <is>
          <t>HDD/SSD</t>
        </is>
      </c>
      <c r="C10" s="6" t="inlineStr">
        <is>
          <t>Physical Destruction</t>
        </is>
      </c>
      <c r="D10" s="6" t="inlineStr">
        <is>
          <t>Secure Wipe or Destruction</t>
        </is>
      </c>
      <c r="E10" s="6" t="inlineStr">
        <is>
          <t>Format + Reinstall</t>
        </is>
      </c>
      <c r="F10" s="14" t="n"/>
      <c r="G10" s="14" t="n"/>
      <c r="H10" s="14" t="n"/>
      <c r="I10" s="14" t="n"/>
    </row>
    <row r="11">
      <c r="A11" s="6" t="inlineStr">
        <is>
          <t>Laptops</t>
        </is>
      </c>
      <c r="B11" s="6" t="inlineStr">
        <is>
          <t>HDD/SSD</t>
        </is>
      </c>
      <c r="C11" s="6" t="inlineStr">
        <is>
          <t>Physical Destruction</t>
        </is>
      </c>
      <c r="D11" s="6" t="inlineStr">
        <is>
          <t>Secure Wipe or Destruction</t>
        </is>
      </c>
      <c r="E11" s="6" t="inlineStr">
        <is>
          <t>Factory Reset</t>
        </is>
      </c>
      <c r="F11" s="14" t="n"/>
      <c r="G11" s="14" t="n"/>
      <c r="H11" s="14" t="n"/>
      <c r="I11" s="14" t="n"/>
    </row>
    <row r="12">
      <c r="A12" s="6" t="inlineStr">
        <is>
          <t>Desktops</t>
        </is>
      </c>
      <c r="B12" s="6" t="inlineStr">
        <is>
          <t>HDD/SSD</t>
        </is>
      </c>
      <c r="C12" s="6" t="inlineStr">
        <is>
          <t>Physical Destruction</t>
        </is>
      </c>
      <c r="D12" s="6" t="inlineStr">
        <is>
          <t>Secure Wipe or Destruction</t>
        </is>
      </c>
      <c r="E12" s="6" t="inlineStr">
        <is>
          <t>Factory Reset</t>
        </is>
      </c>
      <c r="F12" s="14" t="n"/>
      <c r="G12" s="14" t="n"/>
      <c r="H12" s="14" t="n"/>
      <c r="I12" s="14" t="n"/>
    </row>
    <row r="13">
      <c r="A13" s="15" t="inlineStr">
        <is>
          <t>Sample — delete before use</t>
        </is>
      </c>
      <c r="B13" s="16" t="n"/>
      <c r="C13" s="16" t="n"/>
      <c r="D13" s="16" t="n"/>
      <c r="E13" s="16" t="n"/>
      <c r="F13" s="16" t="n"/>
      <c r="G13" s="16" t="n"/>
      <c r="H13" s="16" t="n"/>
      <c r="I13" s="16" t="n"/>
    </row>
    <row r="14">
      <c r="A14" s="17" t="n"/>
      <c r="B14" s="17" t="n"/>
      <c r="C14" s="17" t="n"/>
      <c r="D14" s="17" t="n"/>
      <c r="E14" s="17" t="n"/>
      <c r="F14" s="17" t="n"/>
      <c r="G14" s="17" t="n"/>
      <c r="H14" s="17" t="n"/>
      <c r="I14" s="17" t="n"/>
    </row>
    <row r="15">
      <c r="A15" s="17" t="n"/>
      <c r="B15" s="17" t="n"/>
      <c r="C15" s="17" t="n"/>
      <c r="D15" s="17" t="n"/>
      <c r="E15" s="17" t="n"/>
      <c r="F15" s="17" t="n"/>
      <c r="G15" s="17" t="n"/>
      <c r="H15" s="17" t="n"/>
      <c r="I15" s="17" t="n"/>
    </row>
    <row r="16">
      <c r="A16" s="17" t="n"/>
      <c r="B16" s="17" t="n"/>
      <c r="C16" s="17" t="n"/>
      <c r="D16" s="17" t="n"/>
      <c r="E16" s="17" t="n"/>
      <c r="F16" s="17" t="n"/>
      <c r="G16" s="17" t="n"/>
      <c r="H16" s="17" t="n"/>
      <c r="I16" s="17" t="n"/>
    </row>
    <row r="17">
      <c r="A17" s="17" t="n"/>
      <c r="B17" s="17" t="n"/>
      <c r="C17" s="17" t="n"/>
      <c r="D17" s="17" t="n"/>
      <c r="E17" s="17" t="n"/>
      <c r="F17" s="17" t="n"/>
      <c r="G17" s="17" t="n"/>
      <c r="H17" s="17" t="n"/>
      <c r="I17" s="17" t="n"/>
    </row>
    <row r="18">
      <c r="A18" s="17" t="n"/>
      <c r="B18" s="17" t="n"/>
      <c r="C18" s="17" t="n"/>
      <c r="D18" s="17" t="n"/>
      <c r="E18" s="17" t="n"/>
      <c r="F18" s="17" t="n"/>
      <c r="G18" s="17" t="n"/>
      <c r="H18" s="17" t="n"/>
      <c r="I18" s="17" t="n"/>
    </row>
    <row r="19">
      <c r="A19" s="17" t="n"/>
      <c r="B19" s="17" t="n"/>
      <c r="C19" s="17" t="n"/>
      <c r="D19" s="17" t="n"/>
      <c r="E19" s="17" t="n"/>
      <c r="F19" s="17" t="n"/>
      <c r="G19" s="17" t="n"/>
      <c r="H19" s="17" t="n"/>
      <c r="I19" s="17" t="n"/>
    </row>
    <row r="20">
      <c r="A20" s="17" t="n"/>
      <c r="B20" s="17" t="n"/>
      <c r="C20" s="17" t="n"/>
      <c r="D20" s="17" t="n"/>
      <c r="E20" s="17" t="n"/>
      <c r="F20" s="17" t="n"/>
      <c r="G20" s="17" t="n"/>
      <c r="H20" s="17" t="n"/>
      <c r="I20" s="17" t="n"/>
    </row>
    <row r="21">
      <c r="A21" s="17" t="n"/>
      <c r="B21" s="17" t="n"/>
      <c r="C21" s="17" t="n"/>
      <c r="D21" s="17" t="n"/>
      <c r="E21" s="17" t="n"/>
      <c r="F21" s="17" t="n"/>
      <c r="G21" s="17" t="n"/>
      <c r="H21" s="17" t="n"/>
      <c r="I21" s="17" t="n"/>
    </row>
    <row r="22">
      <c r="A22" s="17" t="n"/>
      <c r="B22" s="17" t="n"/>
      <c r="C22" s="17" t="n"/>
      <c r="D22" s="17" t="n"/>
      <c r="E22" s="17" t="n"/>
      <c r="F22" s="17" t="n"/>
      <c r="G22" s="17" t="n"/>
      <c r="H22" s="17" t="n"/>
      <c r="I22" s="17" t="n"/>
    </row>
    <row r="23">
      <c r="A23" s="17" t="n"/>
      <c r="B23" s="17" t="n"/>
      <c r="C23" s="17" t="n"/>
      <c r="D23" s="17" t="n"/>
      <c r="E23" s="17" t="n"/>
      <c r="F23" s="17" t="n"/>
      <c r="G23" s="17" t="n"/>
      <c r="H23" s="17" t="n"/>
      <c r="I23" s="17" t="n"/>
    </row>
    <row r="24">
      <c r="A24" s="17" t="n"/>
      <c r="B24" s="17" t="n"/>
      <c r="C24" s="17" t="n"/>
      <c r="D24" s="17" t="n"/>
      <c r="E24" s="17" t="n"/>
      <c r="F24" s="17" t="n"/>
      <c r="G24" s="17" t="n"/>
      <c r="H24" s="17" t="n"/>
      <c r="I24" s="17" t="n"/>
    </row>
    <row r="25">
      <c r="A25" s="17" t="n"/>
      <c r="B25" s="17" t="n"/>
      <c r="C25" s="17" t="n"/>
      <c r="D25" s="17" t="n"/>
      <c r="E25" s="17" t="n"/>
      <c r="F25" s="17" t="n"/>
      <c r="G25" s="17" t="n"/>
      <c r="H25" s="17" t="n"/>
      <c r="I25" s="17" t="n"/>
    </row>
    <row r="26">
      <c r="A26" s="17" t="n"/>
      <c r="B26" s="17" t="n"/>
      <c r="C26" s="17" t="n"/>
      <c r="D26" s="17" t="n"/>
      <c r="E26" s="17" t="n"/>
      <c r="F26" s="17" t="n"/>
      <c r="G26" s="17" t="n"/>
      <c r="H26" s="17" t="n"/>
      <c r="I26" s="17" t="n"/>
    </row>
    <row r="27">
      <c r="A27" s="17" t="n"/>
      <c r="B27" s="17" t="n"/>
      <c r="C27" s="17" t="n"/>
      <c r="D27" s="17" t="n"/>
      <c r="E27" s="17" t="n"/>
      <c r="F27" s="17" t="n"/>
      <c r="G27" s="17" t="n"/>
      <c r="H27" s="17" t="n"/>
      <c r="I27" s="17" t="n"/>
    </row>
    <row r="28">
      <c r="A28" s="17" t="n"/>
      <c r="B28" s="17" t="n"/>
      <c r="C28" s="17" t="n"/>
      <c r="D28" s="17" t="n"/>
      <c r="E28" s="17" t="n"/>
      <c r="F28" s="17" t="n"/>
      <c r="G28" s="17" t="n"/>
      <c r="H28" s="17" t="n"/>
      <c r="I28" s="17" t="n"/>
    </row>
    <row r="29">
      <c r="A29" s="17" t="n"/>
      <c r="B29" s="17" t="n"/>
      <c r="C29" s="17" t="n"/>
      <c r="D29" s="17" t="n"/>
      <c r="E29" s="17" t="n"/>
      <c r="F29" s="17" t="n"/>
      <c r="G29" s="17" t="n"/>
      <c r="H29" s="17" t="n"/>
      <c r="I29" s="17" t="n"/>
    </row>
    <row r="30">
      <c r="A30" s="17" t="n"/>
      <c r="B30" s="17" t="n"/>
      <c r="C30" s="17" t="n"/>
      <c r="D30" s="17" t="n"/>
      <c r="E30" s="17" t="n"/>
      <c r="F30" s="17" t="n"/>
      <c r="G30" s="17" t="n"/>
      <c r="H30" s="17" t="n"/>
      <c r="I30" s="17" t="n"/>
    </row>
    <row r="31">
      <c r="A31" s="17" t="n"/>
      <c r="B31" s="17" t="n"/>
      <c r="C31" s="17" t="n"/>
      <c r="D31" s="17" t="n"/>
      <c r="E31" s="17" t="n"/>
      <c r="F31" s="17" t="n"/>
      <c r="G31" s="17" t="n"/>
      <c r="H31" s="17" t="n"/>
      <c r="I31" s="17" t="n"/>
    </row>
    <row r="32">
      <c r="A32" s="17" t="n"/>
      <c r="B32" s="17" t="n"/>
      <c r="C32" s="17" t="n"/>
      <c r="D32" s="17" t="n"/>
      <c r="E32" s="17" t="n"/>
      <c r="F32" s="17" t="n"/>
      <c r="G32" s="17" t="n"/>
      <c r="H32" s="17" t="n"/>
      <c r="I32" s="17" t="n"/>
    </row>
    <row r="33">
      <c r="A33" s="17" t="n"/>
      <c r="B33" s="17" t="n"/>
      <c r="C33" s="17" t="n"/>
      <c r="D33" s="17" t="n"/>
      <c r="E33" s="17" t="n"/>
      <c r="F33" s="17" t="n"/>
      <c r="G33" s="17" t="n"/>
      <c r="H33" s="17" t="n"/>
      <c r="I33" s="17" t="n"/>
    </row>
    <row r="34">
      <c r="A34" s="17" t="n"/>
      <c r="B34" s="17" t="n"/>
      <c r="C34" s="17" t="n"/>
      <c r="D34" s="17" t="n"/>
      <c r="E34" s="17" t="n"/>
      <c r="F34" s="17" t="n"/>
      <c r="G34" s="17" t="n"/>
      <c r="H34" s="17" t="n"/>
      <c r="I34" s="17" t="n"/>
    </row>
    <row r="35">
      <c r="A35" s="17" t="n"/>
      <c r="B35" s="17" t="n"/>
      <c r="C35" s="17" t="n"/>
      <c r="D35" s="17" t="n"/>
      <c r="E35" s="17" t="n"/>
      <c r="F35" s="17" t="n"/>
      <c r="G35" s="17" t="n"/>
      <c r="H35" s="17" t="n"/>
      <c r="I35" s="17" t="n"/>
    </row>
    <row r="36">
      <c r="A36" s="17" t="n"/>
      <c r="B36" s="17" t="n"/>
      <c r="C36" s="17" t="n"/>
      <c r="D36" s="17" t="n"/>
      <c r="E36" s="17" t="n"/>
      <c r="F36" s="17" t="n"/>
      <c r="G36" s="17" t="n"/>
      <c r="H36" s="17" t="n"/>
      <c r="I36" s="17" t="n"/>
    </row>
    <row r="37">
      <c r="A37" s="17" t="n"/>
      <c r="B37" s="17" t="n"/>
      <c r="C37" s="17" t="n"/>
      <c r="D37" s="17" t="n"/>
      <c r="E37" s="17" t="n"/>
      <c r="F37" s="17" t="n"/>
      <c r="G37" s="17" t="n"/>
      <c r="H37" s="17" t="n"/>
      <c r="I37" s="17" t="n"/>
    </row>
    <row r="38">
      <c r="A38" s="17" t="n"/>
      <c r="B38" s="17" t="n"/>
      <c r="C38" s="17" t="n"/>
      <c r="D38" s="17" t="n"/>
      <c r="E38" s="17" t="n"/>
      <c r="F38" s="17" t="n"/>
      <c r="G38" s="17" t="n"/>
      <c r="H38" s="17" t="n"/>
      <c r="I38" s="17" t="n"/>
    </row>
    <row r="39">
      <c r="A39" s="17" t="n"/>
      <c r="B39" s="17" t="n"/>
      <c r="C39" s="17" t="n"/>
      <c r="D39" s="17" t="n"/>
      <c r="E39" s="17" t="n"/>
      <c r="F39" s="17" t="n"/>
      <c r="G39" s="17" t="n"/>
      <c r="H39" s="17" t="n"/>
      <c r="I39" s="17" t="n"/>
    </row>
    <row r="40">
      <c r="A40" s="17" t="n"/>
      <c r="B40" s="17" t="n"/>
      <c r="C40" s="17" t="n"/>
      <c r="D40" s="17" t="n"/>
      <c r="E40" s="17" t="n"/>
      <c r="F40" s="17" t="n"/>
      <c r="G40" s="17" t="n"/>
      <c r="H40" s="17" t="n"/>
      <c r="I40" s="17" t="n"/>
    </row>
    <row r="41">
      <c r="A41" s="17" t="n"/>
      <c r="B41" s="17" t="n"/>
      <c r="C41" s="17" t="n"/>
      <c r="D41" s="17" t="n"/>
      <c r="E41" s="17" t="n"/>
      <c r="F41" s="17" t="n"/>
      <c r="G41" s="17" t="n"/>
      <c r="H41" s="17" t="n"/>
      <c r="I41" s="17" t="n"/>
    </row>
    <row r="42">
      <c r="A42" s="17" t="n"/>
      <c r="B42" s="17" t="n"/>
      <c r="C42" s="17" t="n"/>
      <c r="D42" s="17" t="n"/>
      <c r="E42" s="17" t="n"/>
      <c r="F42" s="17" t="n"/>
      <c r="G42" s="17" t="n"/>
      <c r="H42" s="17" t="n"/>
      <c r="I42" s="17" t="n"/>
    </row>
    <row r="43">
      <c r="A43" s="17" t="n"/>
      <c r="B43" s="17" t="n"/>
      <c r="C43" s="17" t="n"/>
      <c r="D43" s="17" t="n"/>
      <c r="E43" s="17" t="n"/>
      <c r="F43" s="17" t="n"/>
      <c r="G43" s="17" t="n"/>
      <c r="H43" s="17" t="n"/>
      <c r="I43" s="17" t="n"/>
    </row>
    <row r="44">
      <c r="A44" s="17" t="n"/>
      <c r="B44" s="17" t="n"/>
      <c r="C44" s="17" t="n"/>
      <c r="D44" s="17" t="n"/>
      <c r="E44" s="17" t="n"/>
      <c r="F44" s="17" t="n"/>
      <c r="G44" s="17" t="n"/>
      <c r="H44" s="17" t="n"/>
      <c r="I44" s="17" t="n"/>
    </row>
    <row r="45">
      <c r="A45" s="17" t="n"/>
      <c r="B45" s="17" t="n"/>
      <c r="C45" s="17" t="n"/>
      <c r="D45" s="17" t="n"/>
      <c r="E45" s="17" t="n"/>
      <c r="F45" s="17" t="n"/>
      <c r="G45" s="17" t="n"/>
      <c r="H45" s="17" t="n"/>
      <c r="I45" s="17" t="n"/>
    </row>
    <row r="46">
      <c r="A46" s="17" t="n"/>
      <c r="B46" s="17" t="n"/>
      <c r="C46" s="17" t="n"/>
      <c r="D46" s="17" t="n"/>
      <c r="E46" s="17" t="n"/>
      <c r="F46" s="17" t="n"/>
      <c r="G46" s="17" t="n"/>
      <c r="H46" s="17" t="n"/>
      <c r="I46" s="17" t="n"/>
    </row>
    <row r="47">
      <c r="A47" s="17" t="n"/>
      <c r="B47" s="17" t="n"/>
      <c r="C47" s="17" t="n"/>
      <c r="D47" s="17" t="n"/>
      <c r="E47" s="17" t="n"/>
      <c r="F47" s="17" t="n"/>
      <c r="G47" s="17" t="n"/>
      <c r="H47" s="17" t="n"/>
      <c r="I47" s="17" t="n"/>
    </row>
    <row r="48">
      <c r="A48" s="17" t="n"/>
      <c r="B48" s="17" t="n"/>
      <c r="C48" s="17" t="n"/>
      <c r="D48" s="17" t="n"/>
      <c r="E48" s="17" t="n"/>
      <c r="F48" s="17" t="n"/>
      <c r="G48" s="17" t="n"/>
      <c r="H48" s="17" t="n"/>
      <c r="I48" s="17" t="n"/>
    </row>
    <row r="49">
      <c r="A49" s="17" t="n"/>
      <c r="B49" s="17" t="n"/>
      <c r="C49" s="17" t="n"/>
      <c r="D49" s="17" t="n"/>
      <c r="E49" s="17" t="n"/>
      <c r="F49" s="17" t="n"/>
      <c r="G49" s="17" t="n"/>
      <c r="H49" s="17" t="n"/>
      <c r="I49" s="17" t="n"/>
    </row>
    <row r="50">
      <c r="A50" s="17" t="n"/>
      <c r="B50" s="17" t="n"/>
      <c r="C50" s="17" t="n"/>
      <c r="D50" s="17" t="n"/>
      <c r="E50" s="17" t="n"/>
      <c r="F50" s="17" t="n"/>
      <c r="G50" s="17" t="n"/>
      <c r="H50" s="17" t="n"/>
      <c r="I50" s="17" t="n"/>
    </row>
    <row r="51">
      <c r="A51" s="17" t="n"/>
      <c r="B51" s="17" t="n"/>
      <c r="C51" s="17" t="n"/>
      <c r="D51" s="17" t="n"/>
      <c r="E51" s="17" t="n"/>
      <c r="F51" s="17" t="n"/>
      <c r="G51" s="17" t="n"/>
      <c r="H51" s="17" t="n"/>
      <c r="I51" s="17" t="n"/>
    </row>
    <row r="52">
      <c r="A52" s="17" t="n"/>
      <c r="B52" s="17" t="n"/>
      <c r="C52" s="17" t="n"/>
      <c r="D52" s="17" t="n"/>
      <c r="E52" s="17" t="n"/>
      <c r="F52" s="17" t="n"/>
      <c r="G52" s="17" t="n"/>
      <c r="H52" s="17" t="n"/>
      <c r="I52" s="17" t="n"/>
    </row>
    <row r="53">
      <c r="A53" s="17" t="n"/>
      <c r="B53" s="17" t="n"/>
      <c r="C53" s="17" t="n"/>
      <c r="D53" s="17" t="n"/>
      <c r="E53" s="17" t="n"/>
      <c r="F53" s="17" t="n"/>
      <c r="G53" s="17" t="n"/>
      <c r="H53" s="17" t="n"/>
      <c r="I53" s="17" t="n"/>
    </row>
    <row r="54">
      <c r="A54" s="17" t="n"/>
      <c r="B54" s="17" t="n"/>
      <c r="C54" s="17" t="n"/>
      <c r="D54" s="17" t="n"/>
      <c r="E54" s="17" t="n"/>
      <c r="F54" s="17" t="n"/>
      <c r="G54" s="17" t="n"/>
      <c r="H54" s="17" t="n"/>
      <c r="I54" s="17" t="n"/>
    </row>
    <row r="55">
      <c r="A55" s="17" t="n"/>
      <c r="B55" s="17" t="n"/>
      <c r="C55" s="17" t="n"/>
      <c r="D55" s="17" t="n"/>
      <c r="E55" s="17" t="n"/>
      <c r="F55" s="17" t="n"/>
      <c r="G55" s="17" t="n"/>
      <c r="H55" s="17" t="n"/>
      <c r="I55" s="17" t="n"/>
    </row>
    <row r="56">
      <c r="A56" s="17" t="n"/>
      <c r="B56" s="17" t="n"/>
      <c r="C56" s="17" t="n"/>
      <c r="D56" s="17" t="n"/>
      <c r="E56" s="17" t="n"/>
      <c r="F56" s="17" t="n"/>
      <c r="G56" s="17" t="n"/>
      <c r="H56" s="17" t="n"/>
      <c r="I56" s="17" t="n"/>
    </row>
    <row r="57">
      <c r="A57" s="17" t="n"/>
      <c r="B57" s="17" t="n"/>
      <c r="C57" s="17" t="n"/>
      <c r="D57" s="17" t="n"/>
      <c r="E57" s="17" t="n"/>
      <c r="F57" s="17" t="n"/>
      <c r="G57" s="17" t="n"/>
      <c r="H57" s="17" t="n"/>
      <c r="I57" s="17" t="n"/>
    </row>
    <row r="58">
      <c r="A58" s="17" t="n"/>
      <c r="B58" s="17" t="n"/>
      <c r="C58" s="17" t="n"/>
      <c r="D58" s="17" t="n"/>
      <c r="E58" s="17" t="n"/>
      <c r="F58" s="17" t="n"/>
      <c r="G58" s="17" t="n"/>
      <c r="H58" s="17" t="n"/>
      <c r="I58" s="17" t="n"/>
    </row>
    <row r="59">
      <c r="A59" s="17" t="n"/>
      <c r="B59" s="17" t="n"/>
      <c r="C59" s="17" t="n"/>
      <c r="D59" s="17" t="n"/>
      <c r="E59" s="17" t="n"/>
      <c r="F59" s="17" t="n"/>
      <c r="G59" s="17" t="n"/>
      <c r="H59" s="17" t="n"/>
      <c r="I59" s="17" t="n"/>
    </row>
    <row r="60">
      <c r="A60" s="17" t="n"/>
      <c r="B60" s="17" t="n"/>
      <c r="C60" s="17" t="n"/>
      <c r="D60" s="17" t="n"/>
      <c r="E60" s="17" t="n"/>
      <c r="F60" s="17" t="n"/>
      <c r="G60" s="17" t="n"/>
      <c r="H60" s="17" t="n"/>
      <c r="I60" s="17" t="n"/>
    </row>
    <row r="61">
      <c r="A61" s="17" t="n"/>
      <c r="B61" s="17" t="n"/>
      <c r="C61" s="17" t="n"/>
      <c r="D61" s="17" t="n"/>
      <c r="E61" s="17" t="n"/>
      <c r="F61" s="17" t="n"/>
      <c r="G61" s="17" t="n"/>
      <c r="H61" s="17" t="n"/>
      <c r="I61" s="17" t="n"/>
    </row>
    <row r="62">
      <c r="A62" s="17" t="n"/>
      <c r="B62" s="17" t="n"/>
      <c r="C62" s="17" t="n"/>
      <c r="D62" s="17" t="n"/>
      <c r="E62" s="17" t="n"/>
      <c r="F62" s="17" t="n"/>
      <c r="G62" s="17" t="n"/>
      <c r="H62" s="17" t="n"/>
      <c r="I62" s="17" t="n"/>
    </row>
    <row r="63">
      <c r="A63" s="17" t="n"/>
      <c r="B63" s="17" t="n"/>
      <c r="C63" s="17" t="n"/>
      <c r="D63" s="17" t="n"/>
      <c r="E63" s="17" t="n"/>
      <c r="F63" s="17" t="n"/>
      <c r="G63" s="17" t="n"/>
      <c r="H63" s="17" t="n"/>
      <c r="I63" s="17" t="n"/>
    </row>
  </sheetData>
  <mergeCells count="1">
    <mergeCell ref="A1:I1"/>
  </mergeCells>
  <dataValidations count="4">
    <dataValidation sqref="B13 B14 B15 B16 B17 B18 B19 B20 B21 B22 B23 B24 B25 B26 B27 B28 B29 B30 B31 B32 B33 B34 B35 B36 B37 B38 B39 B40 B41 B42 B43 B44 B45 B46 B47 B48 B49 B50 B51 B52 B53 B54 B55 B56 B57 B58 B59 B60 B61 B62 B63" showDropDown="0" showInputMessage="0" showErrorMessage="0" allowBlank="1" type="list">
      <formula1>"HDD,SSD,Flash,Memory,Config,Mixed"</formula1>
    </dataValidation>
    <dataValidation sqref="C13 C14 C15 C16 C17 C18 C19 C20 C21 C22 C23 C24 C25 C26 C27 C28 C29 C30 C31 C32 C33 C34 C35 C36 C37 C38 C39 C40 C41 C42 C43 C44 C45 C46 C47 C48 C49 C50 C51 C52 C53 C54 C55 C56 C57 C58 C59 C60 C61 C62 C63 D13 D14 D15 D16 D17 D18 D19 D20 D21 D22 D23 D24 D25 D26 D27 D28 D29 D30 D31 D32 D33 D34 D35 D36 D37 D38 D39 D40 D41 D42 D43 D44 D45 D46 D47 D48 D49 D50 D51 D52 D53 D54 D55 D56 D57 D58 D59 D60 D61 D62 D63 E13 E14 E15 E16 E17 E18 E19 E20 E21 E22 E23 E24 E25 E26 E27 E28 E29 E30 E31 E32 E33 E34 E35 E36 E37 E38 E39 E40 E41 E42 E43 E44 E45 E46 E47 E48 E49 E50 E51 E52 E53 E54 E55 E56 E57 E58 E59 E60 E61 E62 E63" showDropDown="0" showInputMessage="0" showErrorMessage="0" allowBlank="1" type="list">
      <formula1>"Physical Destruction,Crypto Erase,Secure Overwrite,3-Pass Overwrite,Factory Reset,Format,Config Wipe,N/A"</formula1>
    </dataValidation>
    <dataValidation sqref="F4 F5 F6 F7 F8 F9 F10 F11 F12 F13 F14 F15 F16 F17 F18 F19 F20 F21 F22 F23 F24 F25 F26 F27 F28 F29 F30 F31 F32 F33 F34 F35 F36 F37 F38 F39 F40 F41 F42 F43 F44 F45 F46 F47 F48 F49 F50 F51 F52 F53 F54 F55 F56 F57 F58 F59 F60 F61 F62 F63 G4 G5 G6 G7 G8 G9 G10 G11 G12 G13 G14 G15 G16 G17 G18 G19 G20 G21 G22 G23 G24 G25 G26 G27 G28 G29 G30 G31 G32 G33 G34 G35 G36 G37 G38 G39 G40 G41 G42 G43 G44 G45 G46 G47 G48 G49 G50 G51 G52 G53 G54 G55 G56 G57 G58 G59 G60 G61 G62 G63" showDropDown="0" showInputMessage="0" showErrorMessage="0" allowBlank="1" type="list">
      <formula1>"Yes,No"</formula1>
    </dataValidation>
    <dataValidation sqref="H4 H5 H6 H7 H8 H9 H10 H11 H12 H13 H14 H15 H16 H17 H18 H19 H20 H21 H22 H23 H24 H25 H26 H27 H28 H29 H30 H31 H32 H33 H34 H35 H36 H37 H38 H39 H40 H41 H42 H43 H44 H45 H46 H47 H48 H49 H50 H51 H52 H53 H54 H55 H56 H57 H58 H59 H60 H61 H62 H63" showDropDown="0" showInputMessage="0" showErrorMessage="0" allowBlank="1" type="list">
      <formula1>"Implemented,Partial,Not Implemented"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9"/>
  <sheetViews>
    <sheetView showGridLines="0" workbookViewId="0">
      <pane ySplit="3" topLeftCell="A4" activePane="bottomLeft" state="frozen"/>
      <selection pane="bottomLeft" activeCell="A1" sqref="A1"/>
    </sheetView>
  </sheetViews>
  <sheetFormatPr baseColWidth="8" defaultRowHeight="15"/>
  <cols>
    <col width="30" customWidth="1" min="1" max="1"/>
    <col width="22" customWidth="1" min="2" max="2"/>
    <col width="25" customWidth="1" min="3" max="3"/>
    <col width="25" customWidth="1" min="4" max="4"/>
    <col width="30" customWidth="1" min="5" max="5"/>
    <col width="15" customWidth="1" min="6" max="6"/>
    <col width="15" customWidth="1" min="7" max="7"/>
    <col width="12" customWidth="1" min="8" max="8"/>
    <col width="40" customWidth="1" min="9" max="9"/>
  </cols>
  <sheetData>
    <row r="1" ht="35" customHeight="1">
      <c r="A1" s="11" t="inlineStr">
        <is>
          <t>APPROVED DISPOSAL TOOLS AND METHODS
Data sanitisation tools and physical destruction methods</t>
        </is>
      </c>
    </row>
    <row r="2">
      <c r="A2" s="12" t="inlineStr">
        <is>
          <t>ISO/IEC 27001:2022 - Control A.7.14: Secure Disposal or Re-Use of Equipment</t>
        </is>
      </c>
    </row>
    <row r="3">
      <c r="A3" s="13" t="inlineStr">
        <is>
          <t>Tool/Method Name</t>
        </is>
      </c>
      <c r="B3" s="13" t="inlineStr">
        <is>
          <t>Tool Type</t>
        </is>
      </c>
      <c r="C3" s="13" t="inlineStr">
        <is>
          <t>Applicable Equipment</t>
        </is>
      </c>
      <c r="D3" s="13" t="inlineStr">
        <is>
          <t>Standard/Method</t>
        </is>
      </c>
      <c r="E3" s="13" t="inlineStr">
        <is>
          <t>Verification Method</t>
        </is>
      </c>
      <c r="F3" s="13" t="inlineStr">
        <is>
          <t>Approved Version</t>
        </is>
      </c>
      <c r="G3" s="13" t="inlineStr">
        <is>
          <t>Last Tested</t>
        </is>
      </c>
      <c r="H3" s="13" t="inlineStr">
        <is>
          <t>Compliant</t>
        </is>
      </c>
      <c r="I3" s="13" t="inlineStr">
        <is>
          <t>Notes</t>
        </is>
      </c>
    </row>
    <row r="4">
      <c r="A4" s="6" t="inlineStr">
        <is>
          <t>DBAN (Darik's Boot and Nuke)</t>
        </is>
      </c>
      <c r="B4" s="6" t="inlineStr">
        <is>
          <t>Software - Overwrite</t>
        </is>
      </c>
      <c r="C4" s="6" t="inlineStr">
        <is>
          <t>HDD</t>
        </is>
      </c>
      <c r="D4" s="6" t="inlineStr">
        <is>
          <t>DoD 5220.22-M (3-pass)</t>
        </is>
      </c>
      <c r="E4" s="6" t="inlineStr">
        <is>
          <t>Software verification report</t>
        </is>
      </c>
      <c r="F4" s="14" t="n"/>
      <c r="G4" s="14" t="n"/>
      <c r="H4" s="14" t="n"/>
      <c r="I4" s="14" t="n"/>
    </row>
    <row r="5">
      <c r="A5" s="6" t="inlineStr">
        <is>
          <t>Blancco Drive Eraser</t>
        </is>
      </c>
      <c r="B5" s="6" t="inlineStr">
        <is>
          <t>Software - Overwrite</t>
        </is>
      </c>
      <c r="C5" s="6" t="inlineStr">
        <is>
          <t>HDD, SSD</t>
        </is>
      </c>
      <c r="D5" s="6" t="inlineStr">
        <is>
          <t>NIST 800-88 Rev. 2 Purge</t>
        </is>
      </c>
      <c r="E5" s="6" t="inlineStr">
        <is>
          <t>Certificate generation</t>
        </is>
      </c>
      <c r="F5" s="14" t="n"/>
      <c r="G5" s="14" t="n"/>
      <c r="H5" s="14" t="n"/>
      <c r="I5" s="14" t="n"/>
    </row>
    <row r="6">
      <c r="A6" s="6" t="inlineStr">
        <is>
          <t>BitRaser</t>
        </is>
      </c>
      <c r="B6" s="6" t="inlineStr">
        <is>
          <t>Software - Crypto Erase</t>
        </is>
      </c>
      <c r="C6" s="6" t="inlineStr">
        <is>
          <t>SSD, Flash</t>
        </is>
      </c>
      <c r="D6" s="6" t="inlineStr">
        <is>
          <t>NIST 800-88 Rev. 2 Purge</t>
        </is>
      </c>
      <c r="E6" s="6" t="inlineStr">
        <is>
          <t>Certificate generation</t>
        </is>
      </c>
      <c r="F6" s="14" t="n"/>
      <c r="G6" s="14" t="n"/>
      <c r="H6" s="14" t="n"/>
      <c r="I6" s="14" t="n"/>
    </row>
    <row r="7">
      <c r="A7" s="6" t="inlineStr">
        <is>
          <t>Physical Shredder</t>
        </is>
      </c>
      <c r="B7" s="6" t="inlineStr">
        <is>
          <t>Hardware - Shredder</t>
        </is>
      </c>
      <c r="C7" s="6" t="inlineStr">
        <is>
          <t>All Storage Media</t>
        </is>
      </c>
      <c r="D7" s="6" t="inlineStr">
        <is>
          <t>Physical Destruction</t>
        </is>
      </c>
      <c r="E7" s="6" t="inlineStr">
        <is>
          <t>Visual inspection + certificate</t>
        </is>
      </c>
      <c r="F7" s="14" t="n"/>
      <c r="G7" s="14" t="n"/>
      <c r="H7" s="14" t="n"/>
      <c r="I7" s="14" t="n"/>
    </row>
    <row r="8">
      <c r="A8" s="6" t="inlineStr">
        <is>
          <t>Degausser</t>
        </is>
      </c>
      <c r="B8" s="6" t="inlineStr">
        <is>
          <t>Hardware - Degausser</t>
        </is>
      </c>
      <c r="C8" s="6" t="inlineStr">
        <is>
          <t>Magnetic Media (HDD, Tape)</t>
        </is>
      </c>
      <c r="D8" s="6" t="inlineStr">
        <is>
          <t>Magnetic Erasure</t>
        </is>
      </c>
      <c r="E8" s="6" t="inlineStr">
        <is>
          <t>Visual inspection</t>
        </is>
      </c>
      <c r="F8" s="14" t="n"/>
      <c r="G8" s="14" t="n"/>
      <c r="H8" s="14" t="n"/>
      <c r="I8" s="14" t="n"/>
    </row>
    <row r="9">
      <c r="A9" s="15" t="inlineStr">
        <is>
          <t>Sample — delete before use</t>
        </is>
      </c>
      <c r="B9" s="16" t="n"/>
      <c r="C9" s="16" t="n"/>
      <c r="D9" s="16" t="n"/>
      <c r="E9" s="16" t="n"/>
      <c r="F9" s="16" t="n"/>
      <c r="G9" s="16" t="n"/>
      <c r="H9" s="16" t="n"/>
      <c r="I9" s="16" t="n"/>
    </row>
    <row r="10">
      <c r="A10" s="17" t="n"/>
      <c r="B10" s="17" t="n"/>
      <c r="C10" s="17" t="n"/>
      <c r="D10" s="17" t="n"/>
      <c r="E10" s="17" t="n"/>
      <c r="F10" s="17" t="n"/>
      <c r="G10" s="17" t="n"/>
      <c r="H10" s="17" t="n"/>
      <c r="I10" s="17" t="n"/>
    </row>
    <row r="11">
      <c r="A11" s="17" t="n"/>
      <c r="B11" s="17" t="n"/>
      <c r="C11" s="17" t="n"/>
      <c r="D11" s="17" t="n"/>
      <c r="E11" s="17" t="n"/>
      <c r="F11" s="17" t="n"/>
      <c r="G11" s="17" t="n"/>
      <c r="H11" s="17" t="n"/>
      <c r="I11" s="17" t="n"/>
    </row>
    <row r="12">
      <c r="A12" s="17" t="n"/>
      <c r="B12" s="17" t="n"/>
      <c r="C12" s="17" t="n"/>
      <c r="D12" s="17" t="n"/>
      <c r="E12" s="17" t="n"/>
      <c r="F12" s="17" t="n"/>
      <c r="G12" s="17" t="n"/>
      <c r="H12" s="17" t="n"/>
      <c r="I12" s="17" t="n"/>
    </row>
    <row r="13">
      <c r="A13" s="17" t="n"/>
      <c r="B13" s="17" t="n"/>
      <c r="C13" s="17" t="n"/>
      <c r="D13" s="17" t="n"/>
      <c r="E13" s="17" t="n"/>
      <c r="F13" s="17" t="n"/>
      <c r="G13" s="17" t="n"/>
      <c r="H13" s="17" t="n"/>
      <c r="I13" s="17" t="n"/>
    </row>
    <row r="14">
      <c r="A14" s="17" t="n"/>
      <c r="B14" s="17" t="n"/>
      <c r="C14" s="17" t="n"/>
      <c r="D14" s="17" t="n"/>
      <c r="E14" s="17" t="n"/>
      <c r="F14" s="17" t="n"/>
      <c r="G14" s="17" t="n"/>
      <c r="H14" s="17" t="n"/>
      <c r="I14" s="17" t="n"/>
    </row>
    <row r="15">
      <c r="A15" s="17" t="n"/>
      <c r="B15" s="17" t="n"/>
      <c r="C15" s="17" t="n"/>
      <c r="D15" s="17" t="n"/>
      <c r="E15" s="17" t="n"/>
      <c r="F15" s="17" t="n"/>
      <c r="G15" s="17" t="n"/>
      <c r="H15" s="17" t="n"/>
      <c r="I15" s="17" t="n"/>
    </row>
    <row r="16">
      <c r="A16" s="17" t="n"/>
      <c r="B16" s="17" t="n"/>
      <c r="C16" s="17" t="n"/>
      <c r="D16" s="17" t="n"/>
      <c r="E16" s="17" t="n"/>
      <c r="F16" s="17" t="n"/>
      <c r="G16" s="17" t="n"/>
      <c r="H16" s="17" t="n"/>
      <c r="I16" s="17" t="n"/>
    </row>
    <row r="17">
      <c r="A17" s="17" t="n"/>
      <c r="B17" s="17" t="n"/>
      <c r="C17" s="17" t="n"/>
      <c r="D17" s="17" t="n"/>
      <c r="E17" s="17" t="n"/>
      <c r="F17" s="17" t="n"/>
      <c r="G17" s="17" t="n"/>
      <c r="H17" s="17" t="n"/>
      <c r="I17" s="17" t="n"/>
    </row>
    <row r="18">
      <c r="A18" s="17" t="n"/>
      <c r="B18" s="17" t="n"/>
      <c r="C18" s="17" t="n"/>
      <c r="D18" s="17" t="n"/>
      <c r="E18" s="17" t="n"/>
      <c r="F18" s="17" t="n"/>
      <c r="G18" s="17" t="n"/>
      <c r="H18" s="17" t="n"/>
      <c r="I18" s="17" t="n"/>
    </row>
    <row r="19">
      <c r="A19" s="17" t="n"/>
      <c r="B19" s="17" t="n"/>
      <c r="C19" s="17" t="n"/>
      <c r="D19" s="17" t="n"/>
      <c r="E19" s="17" t="n"/>
      <c r="F19" s="17" t="n"/>
      <c r="G19" s="17" t="n"/>
      <c r="H19" s="17" t="n"/>
      <c r="I19" s="17" t="n"/>
    </row>
    <row r="20">
      <c r="A20" s="17" t="n"/>
      <c r="B20" s="17" t="n"/>
      <c r="C20" s="17" t="n"/>
      <c r="D20" s="17" t="n"/>
      <c r="E20" s="17" t="n"/>
      <c r="F20" s="17" t="n"/>
      <c r="G20" s="17" t="n"/>
      <c r="H20" s="17" t="n"/>
      <c r="I20" s="17" t="n"/>
    </row>
    <row r="21">
      <c r="A21" s="17" t="n"/>
      <c r="B21" s="17" t="n"/>
      <c r="C21" s="17" t="n"/>
      <c r="D21" s="17" t="n"/>
      <c r="E21" s="17" t="n"/>
      <c r="F21" s="17" t="n"/>
      <c r="G21" s="17" t="n"/>
      <c r="H21" s="17" t="n"/>
      <c r="I21" s="17" t="n"/>
    </row>
    <row r="22">
      <c r="A22" s="17" t="n"/>
      <c r="B22" s="17" t="n"/>
      <c r="C22" s="17" t="n"/>
      <c r="D22" s="17" t="n"/>
      <c r="E22" s="17" t="n"/>
      <c r="F22" s="17" t="n"/>
      <c r="G22" s="17" t="n"/>
      <c r="H22" s="17" t="n"/>
      <c r="I22" s="17" t="n"/>
    </row>
    <row r="23">
      <c r="A23" s="17" t="n"/>
      <c r="B23" s="17" t="n"/>
      <c r="C23" s="17" t="n"/>
      <c r="D23" s="17" t="n"/>
      <c r="E23" s="17" t="n"/>
      <c r="F23" s="17" t="n"/>
      <c r="G23" s="17" t="n"/>
      <c r="H23" s="17" t="n"/>
      <c r="I23" s="17" t="n"/>
    </row>
    <row r="24">
      <c r="A24" s="17" t="n"/>
      <c r="B24" s="17" t="n"/>
      <c r="C24" s="17" t="n"/>
      <c r="D24" s="17" t="n"/>
      <c r="E24" s="17" t="n"/>
      <c r="F24" s="17" t="n"/>
      <c r="G24" s="17" t="n"/>
      <c r="H24" s="17" t="n"/>
      <c r="I24" s="17" t="n"/>
    </row>
    <row r="25">
      <c r="A25" s="17" t="n"/>
      <c r="B25" s="17" t="n"/>
      <c r="C25" s="17" t="n"/>
      <c r="D25" s="17" t="n"/>
      <c r="E25" s="17" t="n"/>
      <c r="F25" s="17" t="n"/>
      <c r="G25" s="17" t="n"/>
      <c r="H25" s="17" t="n"/>
      <c r="I25" s="17" t="n"/>
    </row>
    <row r="26">
      <c r="A26" s="17" t="n"/>
      <c r="B26" s="17" t="n"/>
      <c r="C26" s="17" t="n"/>
      <c r="D26" s="17" t="n"/>
      <c r="E26" s="17" t="n"/>
      <c r="F26" s="17" t="n"/>
      <c r="G26" s="17" t="n"/>
      <c r="H26" s="17" t="n"/>
      <c r="I26" s="17" t="n"/>
    </row>
    <row r="27">
      <c r="A27" s="17" t="n"/>
      <c r="B27" s="17" t="n"/>
      <c r="C27" s="17" t="n"/>
      <c r="D27" s="17" t="n"/>
      <c r="E27" s="17" t="n"/>
      <c r="F27" s="17" t="n"/>
      <c r="G27" s="17" t="n"/>
      <c r="H27" s="17" t="n"/>
      <c r="I27" s="17" t="n"/>
    </row>
    <row r="28">
      <c r="A28" s="17" t="n"/>
      <c r="B28" s="17" t="n"/>
      <c r="C28" s="17" t="n"/>
      <c r="D28" s="17" t="n"/>
      <c r="E28" s="17" t="n"/>
      <c r="F28" s="17" t="n"/>
      <c r="G28" s="17" t="n"/>
      <c r="H28" s="17" t="n"/>
      <c r="I28" s="17" t="n"/>
    </row>
    <row r="29">
      <c r="A29" s="17" t="n"/>
      <c r="B29" s="17" t="n"/>
      <c r="C29" s="17" t="n"/>
      <c r="D29" s="17" t="n"/>
      <c r="E29" s="17" t="n"/>
      <c r="F29" s="17" t="n"/>
      <c r="G29" s="17" t="n"/>
      <c r="H29" s="17" t="n"/>
      <c r="I29" s="17" t="n"/>
    </row>
    <row r="30">
      <c r="A30" s="17" t="n"/>
      <c r="B30" s="17" t="n"/>
      <c r="C30" s="17" t="n"/>
      <c r="D30" s="17" t="n"/>
      <c r="E30" s="17" t="n"/>
      <c r="F30" s="17" t="n"/>
      <c r="G30" s="17" t="n"/>
      <c r="H30" s="17" t="n"/>
      <c r="I30" s="17" t="n"/>
    </row>
    <row r="31">
      <c r="A31" s="17" t="n"/>
      <c r="B31" s="17" t="n"/>
      <c r="C31" s="17" t="n"/>
      <c r="D31" s="17" t="n"/>
      <c r="E31" s="17" t="n"/>
      <c r="F31" s="17" t="n"/>
      <c r="G31" s="17" t="n"/>
      <c r="H31" s="17" t="n"/>
      <c r="I31" s="17" t="n"/>
    </row>
    <row r="32">
      <c r="A32" s="17" t="n"/>
      <c r="B32" s="17" t="n"/>
      <c r="C32" s="17" t="n"/>
      <c r="D32" s="17" t="n"/>
      <c r="E32" s="17" t="n"/>
      <c r="F32" s="17" t="n"/>
      <c r="G32" s="17" t="n"/>
      <c r="H32" s="17" t="n"/>
      <c r="I32" s="17" t="n"/>
    </row>
    <row r="33">
      <c r="A33" s="17" t="n"/>
      <c r="B33" s="17" t="n"/>
      <c r="C33" s="17" t="n"/>
      <c r="D33" s="17" t="n"/>
      <c r="E33" s="17" t="n"/>
      <c r="F33" s="17" t="n"/>
      <c r="G33" s="17" t="n"/>
      <c r="H33" s="17" t="n"/>
      <c r="I33" s="17" t="n"/>
    </row>
    <row r="34">
      <c r="A34" s="17" t="n"/>
      <c r="B34" s="17" t="n"/>
      <c r="C34" s="17" t="n"/>
      <c r="D34" s="17" t="n"/>
      <c r="E34" s="17" t="n"/>
      <c r="F34" s="17" t="n"/>
      <c r="G34" s="17" t="n"/>
      <c r="H34" s="17" t="n"/>
      <c r="I34" s="17" t="n"/>
    </row>
    <row r="35">
      <c r="A35" s="17" t="n"/>
      <c r="B35" s="17" t="n"/>
      <c r="C35" s="17" t="n"/>
      <c r="D35" s="17" t="n"/>
      <c r="E35" s="17" t="n"/>
      <c r="F35" s="17" t="n"/>
      <c r="G35" s="17" t="n"/>
      <c r="H35" s="17" t="n"/>
      <c r="I35" s="17" t="n"/>
    </row>
    <row r="36">
      <c r="A36" s="17" t="n"/>
      <c r="B36" s="17" t="n"/>
      <c r="C36" s="17" t="n"/>
      <c r="D36" s="17" t="n"/>
      <c r="E36" s="17" t="n"/>
      <c r="F36" s="17" t="n"/>
      <c r="G36" s="17" t="n"/>
      <c r="H36" s="17" t="n"/>
      <c r="I36" s="17" t="n"/>
    </row>
    <row r="37">
      <c r="A37" s="17" t="n"/>
      <c r="B37" s="17" t="n"/>
      <c r="C37" s="17" t="n"/>
      <c r="D37" s="17" t="n"/>
      <c r="E37" s="17" t="n"/>
      <c r="F37" s="17" t="n"/>
      <c r="G37" s="17" t="n"/>
      <c r="H37" s="17" t="n"/>
      <c r="I37" s="17" t="n"/>
    </row>
    <row r="38">
      <c r="A38" s="17" t="n"/>
      <c r="B38" s="17" t="n"/>
      <c r="C38" s="17" t="n"/>
      <c r="D38" s="17" t="n"/>
      <c r="E38" s="17" t="n"/>
      <c r="F38" s="17" t="n"/>
      <c r="G38" s="17" t="n"/>
      <c r="H38" s="17" t="n"/>
      <c r="I38" s="17" t="n"/>
    </row>
    <row r="39">
      <c r="A39" s="17" t="n"/>
      <c r="B39" s="17" t="n"/>
      <c r="C39" s="17" t="n"/>
      <c r="D39" s="17" t="n"/>
      <c r="E39" s="17" t="n"/>
      <c r="F39" s="17" t="n"/>
      <c r="G39" s="17" t="n"/>
      <c r="H39" s="17" t="n"/>
      <c r="I39" s="17" t="n"/>
    </row>
    <row r="40">
      <c r="A40" s="17" t="n"/>
      <c r="B40" s="17" t="n"/>
      <c r="C40" s="17" t="n"/>
      <c r="D40" s="17" t="n"/>
      <c r="E40" s="17" t="n"/>
      <c r="F40" s="17" t="n"/>
      <c r="G40" s="17" t="n"/>
      <c r="H40" s="17" t="n"/>
      <c r="I40" s="17" t="n"/>
    </row>
    <row r="41">
      <c r="A41" s="17" t="n"/>
      <c r="B41" s="17" t="n"/>
      <c r="C41" s="17" t="n"/>
      <c r="D41" s="17" t="n"/>
      <c r="E41" s="17" t="n"/>
      <c r="F41" s="17" t="n"/>
      <c r="G41" s="17" t="n"/>
      <c r="H41" s="17" t="n"/>
      <c r="I41" s="17" t="n"/>
    </row>
    <row r="42">
      <c r="A42" s="17" t="n"/>
      <c r="B42" s="17" t="n"/>
      <c r="C42" s="17" t="n"/>
      <c r="D42" s="17" t="n"/>
      <c r="E42" s="17" t="n"/>
      <c r="F42" s="17" t="n"/>
      <c r="G42" s="17" t="n"/>
      <c r="H42" s="17" t="n"/>
      <c r="I42" s="17" t="n"/>
    </row>
    <row r="43">
      <c r="A43" s="17" t="n"/>
      <c r="B43" s="17" t="n"/>
      <c r="C43" s="17" t="n"/>
      <c r="D43" s="17" t="n"/>
      <c r="E43" s="17" t="n"/>
      <c r="F43" s="17" t="n"/>
      <c r="G43" s="17" t="n"/>
      <c r="H43" s="17" t="n"/>
      <c r="I43" s="17" t="n"/>
    </row>
    <row r="44">
      <c r="A44" s="17" t="n"/>
      <c r="B44" s="17" t="n"/>
      <c r="C44" s="17" t="n"/>
      <c r="D44" s="17" t="n"/>
      <c r="E44" s="17" t="n"/>
      <c r="F44" s="17" t="n"/>
      <c r="G44" s="17" t="n"/>
      <c r="H44" s="17" t="n"/>
      <c r="I44" s="17" t="n"/>
    </row>
    <row r="45">
      <c r="A45" s="17" t="n"/>
      <c r="B45" s="17" t="n"/>
      <c r="C45" s="17" t="n"/>
      <c r="D45" s="17" t="n"/>
      <c r="E45" s="17" t="n"/>
      <c r="F45" s="17" t="n"/>
      <c r="G45" s="17" t="n"/>
      <c r="H45" s="17" t="n"/>
      <c r="I45" s="17" t="n"/>
    </row>
    <row r="46">
      <c r="A46" s="17" t="n"/>
      <c r="B46" s="17" t="n"/>
      <c r="C46" s="17" t="n"/>
      <c r="D46" s="17" t="n"/>
      <c r="E46" s="17" t="n"/>
      <c r="F46" s="17" t="n"/>
      <c r="G46" s="17" t="n"/>
      <c r="H46" s="17" t="n"/>
      <c r="I46" s="17" t="n"/>
    </row>
    <row r="47">
      <c r="A47" s="17" t="n"/>
      <c r="B47" s="17" t="n"/>
      <c r="C47" s="17" t="n"/>
      <c r="D47" s="17" t="n"/>
      <c r="E47" s="17" t="n"/>
      <c r="F47" s="17" t="n"/>
      <c r="G47" s="17" t="n"/>
      <c r="H47" s="17" t="n"/>
      <c r="I47" s="17" t="n"/>
    </row>
    <row r="48">
      <c r="A48" s="17" t="n"/>
      <c r="B48" s="17" t="n"/>
      <c r="C48" s="17" t="n"/>
      <c r="D48" s="17" t="n"/>
      <c r="E48" s="17" t="n"/>
      <c r="F48" s="17" t="n"/>
      <c r="G48" s="17" t="n"/>
      <c r="H48" s="17" t="n"/>
      <c r="I48" s="17" t="n"/>
    </row>
    <row r="49">
      <c r="A49" s="17" t="n"/>
      <c r="B49" s="17" t="n"/>
      <c r="C49" s="17" t="n"/>
      <c r="D49" s="17" t="n"/>
      <c r="E49" s="17" t="n"/>
      <c r="F49" s="17" t="n"/>
      <c r="G49" s="17" t="n"/>
      <c r="H49" s="17" t="n"/>
      <c r="I49" s="17" t="n"/>
    </row>
    <row r="50">
      <c r="A50" s="17" t="n"/>
      <c r="B50" s="17" t="n"/>
      <c r="C50" s="17" t="n"/>
      <c r="D50" s="17" t="n"/>
      <c r="E50" s="17" t="n"/>
      <c r="F50" s="17" t="n"/>
      <c r="G50" s="17" t="n"/>
      <c r="H50" s="17" t="n"/>
      <c r="I50" s="17" t="n"/>
    </row>
    <row r="51">
      <c r="A51" s="17" t="n"/>
      <c r="B51" s="17" t="n"/>
      <c r="C51" s="17" t="n"/>
      <c r="D51" s="17" t="n"/>
      <c r="E51" s="17" t="n"/>
      <c r="F51" s="17" t="n"/>
      <c r="G51" s="17" t="n"/>
      <c r="H51" s="17" t="n"/>
      <c r="I51" s="17" t="n"/>
    </row>
    <row r="52">
      <c r="A52" s="17" t="n"/>
      <c r="B52" s="17" t="n"/>
      <c r="C52" s="17" t="n"/>
      <c r="D52" s="17" t="n"/>
      <c r="E52" s="17" t="n"/>
      <c r="F52" s="17" t="n"/>
      <c r="G52" s="17" t="n"/>
      <c r="H52" s="17" t="n"/>
      <c r="I52" s="17" t="n"/>
    </row>
    <row r="53">
      <c r="A53" s="17" t="n"/>
      <c r="B53" s="17" t="n"/>
      <c r="C53" s="17" t="n"/>
      <c r="D53" s="17" t="n"/>
      <c r="E53" s="17" t="n"/>
      <c r="F53" s="17" t="n"/>
      <c r="G53" s="17" t="n"/>
      <c r="H53" s="17" t="n"/>
      <c r="I53" s="17" t="n"/>
    </row>
    <row r="54">
      <c r="A54" s="17" t="n"/>
      <c r="B54" s="17" t="n"/>
      <c r="C54" s="17" t="n"/>
      <c r="D54" s="17" t="n"/>
      <c r="E54" s="17" t="n"/>
      <c r="F54" s="17" t="n"/>
      <c r="G54" s="17" t="n"/>
      <c r="H54" s="17" t="n"/>
      <c r="I54" s="17" t="n"/>
    </row>
    <row r="55">
      <c r="A55" s="17" t="n"/>
      <c r="B55" s="17" t="n"/>
      <c r="C55" s="17" t="n"/>
      <c r="D55" s="17" t="n"/>
      <c r="E55" s="17" t="n"/>
      <c r="F55" s="17" t="n"/>
      <c r="G55" s="17" t="n"/>
      <c r="H55" s="17" t="n"/>
      <c r="I55" s="17" t="n"/>
    </row>
    <row r="56">
      <c r="A56" s="17" t="n"/>
      <c r="B56" s="17" t="n"/>
      <c r="C56" s="17" t="n"/>
      <c r="D56" s="17" t="n"/>
      <c r="E56" s="17" t="n"/>
      <c r="F56" s="17" t="n"/>
      <c r="G56" s="17" t="n"/>
      <c r="H56" s="17" t="n"/>
      <c r="I56" s="17" t="n"/>
    </row>
    <row r="57">
      <c r="A57" s="17" t="n"/>
      <c r="B57" s="17" t="n"/>
      <c r="C57" s="17" t="n"/>
      <c r="D57" s="17" t="n"/>
      <c r="E57" s="17" t="n"/>
      <c r="F57" s="17" t="n"/>
      <c r="G57" s="17" t="n"/>
      <c r="H57" s="17" t="n"/>
      <c r="I57" s="17" t="n"/>
    </row>
    <row r="58">
      <c r="A58" s="17" t="n"/>
      <c r="B58" s="17" t="n"/>
      <c r="C58" s="17" t="n"/>
      <c r="D58" s="17" t="n"/>
      <c r="E58" s="17" t="n"/>
      <c r="F58" s="17" t="n"/>
      <c r="G58" s="17" t="n"/>
      <c r="H58" s="17" t="n"/>
      <c r="I58" s="17" t="n"/>
    </row>
    <row r="59">
      <c r="A59" s="17" t="n"/>
      <c r="B59" s="17" t="n"/>
      <c r="C59" s="17" t="n"/>
      <c r="D59" s="17" t="n"/>
      <c r="E59" s="17" t="n"/>
      <c r="F59" s="17" t="n"/>
      <c r="G59" s="17" t="n"/>
      <c r="H59" s="17" t="n"/>
      <c r="I59" s="17" t="n"/>
    </row>
  </sheetData>
  <mergeCells count="1">
    <mergeCell ref="A1:I1"/>
  </mergeCells>
  <dataValidations count="2">
    <dataValidation sqref="B9 B10 B11 B12 B13 B14 B15 B16 B17 B18 B19 B20 B21 B22 B23 B24 B25 B26 B27 B28 B29 B30 B31 B32 B33 B34 B35 B36 B37 B38 B39 B40 B41 B42 B43 B44 B45 B46 B47 B48 B49 B50 B51 B52 B53 B54 B55 B56 B57 B58 B59" showDropDown="0" showInputMessage="0" showErrorMessage="0" allowBlank="1" type="list">
      <formula1>"Software - Overwrite,Software - Crypto Erase,Hardware - Degausser,Hardware - Shredder,Manual Process"</formula1>
    </dataValidation>
    <dataValidation sqref="H4 H5 H6 H7 H8 H9 H10 H11 H12 H13 H14 H15 H16 H17 H18 H19 H20 H21 H22 H23 H24 H25 H26 H27 H28 H29 H30 H31 H32 H33 H34 H35 H36 H37 H38 H39 H40 H41 H42 H43 H44 H45 H46 H47 H48 H49 H50 H51 H52 H53 H54 H55 H56 H57 H58 H59" showDropDown="0" showInputMessage="0" showErrorMessage="0" allowBlank="1" type="list">
      <formula1>"Yes,Partial,No"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30" customWidth="1" min="1" max="1"/>
    <col width="22" customWidth="1" min="2" max="2"/>
    <col width="15" customWidth="1" min="3" max="3"/>
    <col width="15" customWidth="1" min="4" max="4"/>
    <col width="20" customWidth="1" min="5" max="5"/>
    <col width="15" customWidth="1" min="6" max="6"/>
    <col width="18" customWidth="1" min="7" max="7"/>
    <col width="15" customWidth="1" min="8" max="8"/>
    <col width="15" customWidth="1" min="9" max="9"/>
    <col width="40" customWidth="1" min="10" max="10"/>
  </cols>
  <sheetData>
    <row r="1" ht="35" customHeight="1">
      <c r="A1" s="11" t="inlineStr">
        <is>
          <t>DISPOSAL SERVICE PROVIDERS
Vendor management for equipment destruction services</t>
        </is>
      </c>
    </row>
    <row r="2">
      <c r="A2" s="12" t="inlineStr">
        <is>
          <t>ISO/IEC 27001:2022 - Control A.7.14: Secure Disposal or Re-Use of Equipment</t>
        </is>
      </c>
    </row>
    <row r="3">
      <c r="A3" s="13" t="inlineStr">
        <is>
          <t>Provider Name</t>
        </is>
      </c>
      <c r="B3" s="13" t="inlineStr">
        <is>
          <t>Service Type</t>
        </is>
      </c>
      <c r="C3" s="13" t="inlineStr">
        <is>
          <t>Contract Status</t>
        </is>
      </c>
      <c r="D3" s="13" t="inlineStr">
        <is>
          <t>Contract Expiry</t>
        </is>
      </c>
      <c r="E3" s="13" t="inlineStr">
        <is>
          <t>Certificate Provided</t>
        </is>
      </c>
      <c r="F3" s="13" t="inlineStr">
        <is>
          <t>On-Site Option</t>
        </is>
      </c>
      <c r="G3" s="13" t="inlineStr">
        <is>
          <t>Chain of Custody</t>
        </is>
      </c>
      <c r="H3" s="13" t="inlineStr">
        <is>
          <t>Last Audit/Review</t>
        </is>
      </c>
      <c r="I3" s="13" t="inlineStr">
        <is>
          <t>Status</t>
        </is>
      </c>
      <c r="J3" s="13" t="inlineStr">
        <is>
          <t>Notes</t>
        </is>
      </c>
    </row>
    <row r="4">
      <c r="A4" s="15" t="inlineStr">
        <is>
          <t>Sample — delete before use</t>
        </is>
      </c>
      <c r="B4" s="16" t="n"/>
      <c r="C4" s="16" t="n"/>
      <c r="D4" s="16" t="n"/>
      <c r="E4" s="16" t="n"/>
      <c r="F4" s="16" t="n"/>
      <c r="G4" s="16" t="n"/>
      <c r="H4" s="16" t="n"/>
      <c r="I4" s="16" t="n"/>
      <c r="J4" s="16" t="n"/>
    </row>
    <row r="5">
      <c r="A5" s="17" t="n"/>
      <c r="B5" s="17" t="n"/>
      <c r="C5" s="17" t="n"/>
      <c r="D5" s="17" t="n"/>
      <c r="E5" s="17" t="n"/>
      <c r="F5" s="17" t="n"/>
      <c r="G5" s="17" t="n"/>
      <c r="H5" s="17" t="n"/>
      <c r="I5" s="17" t="n"/>
      <c r="J5" s="17" t="n"/>
    </row>
    <row r="6">
      <c r="A6" s="17" t="n"/>
      <c r="B6" s="17" t="n"/>
      <c r="C6" s="17" t="n"/>
      <c r="D6" s="17" t="n"/>
      <c r="E6" s="17" t="n"/>
      <c r="F6" s="17" t="n"/>
      <c r="G6" s="17" t="n"/>
      <c r="H6" s="17" t="n"/>
      <c r="I6" s="17" t="n"/>
      <c r="J6" s="17" t="n"/>
    </row>
    <row r="7">
      <c r="A7" s="17" t="n"/>
      <c r="B7" s="17" t="n"/>
      <c r="C7" s="17" t="n"/>
      <c r="D7" s="17" t="n"/>
      <c r="E7" s="17" t="n"/>
      <c r="F7" s="17" t="n"/>
      <c r="G7" s="17" t="n"/>
      <c r="H7" s="17" t="n"/>
      <c r="I7" s="17" t="n"/>
      <c r="J7" s="17" t="n"/>
    </row>
    <row r="8">
      <c r="A8" s="17" t="n"/>
      <c r="B8" s="17" t="n"/>
      <c r="C8" s="17" t="n"/>
      <c r="D8" s="17" t="n"/>
      <c r="E8" s="17" t="n"/>
      <c r="F8" s="17" t="n"/>
      <c r="G8" s="17" t="n"/>
      <c r="H8" s="17" t="n"/>
      <c r="I8" s="17" t="n"/>
      <c r="J8" s="17" t="n"/>
    </row>
    <row r="9">
      <c r="A9" s="17" t="n"/>
      <c r="B9" s="17" t="n"/>
      <c r="C9" s="17" t="n"/>
      <c r="D9" s="17" t="n"/>
      <c r="E9" s="17" t="n"/>
      <c r="F9" s="17" t="n"/>
      <c r="G9" s="17" t="n"/>
      <c r="H9" s="17" t="n"/>
      <c r="I9" s="17" t="n"/>
      <c r="J9" s="17" t="n"/>
    </row>
    <row r="10">
      <c r="A10" s="17" t="n"/>
      <c r="B10" s="17" t="n"/>
      <c r="C10" s="17" t="n"/>
      <c r="D10" s="17" t="n"/>
      <c r="E10" s="17" t="n"/>
      <c r="F10" s="17" t="n"/>
      <c r="G10" s="17" t="n"/>
      <c r="H10" s="17" t="n"/>
      <c r="I10" s="17" t="n"/>
      <c r="J10" s="17" t="n"/>
    </row>
    <row r="11">
      <c r="A11" s="17" t="n"/>
      <c r="B11" s="17" t="n"/>
      <c r="C11" s="17" t="n"/>
      <c r="D11" s="17" t="n"/>
      <c r="E11" s="17" t="n"/>
      <c r="F11" s="17" t="n"/>
      <c r="G11" s="17" t="n"/>
      <c r="H11" s="17" t="n"/>
      <c r="I11" s="17" t="n"/>
      <c r="J11" s="17" t="n"/>
    </row>
    <row r="12">
      <c r="A12" s="17" t="n"/>
      <c r="B12" s="17" t="n"/>
      <c r="C12" s="17" t="n"/>
      <c r="D12" s="17" t="n"/>
      <c r="E12" s="17" t="n"/>
      <c r="F12" s="17" t="n"/>
      <c r="G12" s="17" t="n"/>
      <c r="H12" s="17" t="n"/>
      <c r="I12" s="17" t="n"/>
      <c r="J12" s="17" t="n"/>
    </row>
    <row r="13">
      <c r="A13" s="17" t="n"/>
      <c r="B13" s="17" t="n"/>
      <c r="C13" s="17" t="n"/>
      <c r="D13" s="17" t="n"/>
      <c r="E13" s="17" t="n"/>
      <c r="F13" s="17" t="n"/>
      <c r="G13" s="17" t="n"/>
      <c r="H13" s="17" t="n"/>
      <c r="I13" s="17" t="n"/>
      <c r="J13" s="17" t="n"/>
    </row>
    <row r="14">
      <c r="A14" s="17" t="n"/>
      <c r="B14" s="17" t="n"/>
      <c r="C14" s="17" t="n"/>
      <c r="D14" s="17" t="n"/>
      <c r="E14" s="17" t="n"/>
      <c r="F14" s="17" t="n"/>
      <c r="G14" s="17" t="n"/>
      <c r="H14" s="17" t="n"/>
      <c r="I14" s="17" t="n"/>
      <c r="J14" s="17" t="n"/>
    </row>
    <row r="15">
      <c r="A15" s="17" t="n"/>
      <c r="B15" s="17" t="n"/>
      <c r="C15" s="17" t="n"/>
      <c r="D15" s="17" t="n"/>
      <c r="E15" s="17" t="n"/>
      <c r="F15" s="17" t="n"/>
      <c r="G15" s="17" t="n"/>
      <c r="H15" s="17" t="n"/>
      <c r="I15" s="17" t="n"/>
      <c r="J15" s="17" t="n"/>
    </row>
    <row r="16">
      <c r="A16" s="17" t="n"/>
      <c r="B16" s="17" t="n"/>
      <c r="C16" s="17" t="n"/>
      <c r="D16" s="17" t="n"/>
      <c r="E16" s="17" t="n"/>
      <c r="F16" s="17" t="n"/>
      <c r="G16" s="17" t="n"/>
      <c r="H16" s="17" t="n"/>
      <c r="I16" s="17" t="n"/>
      <c r="J16" s="17" t="n"/>
    </row>
    <row r="17">
      <c r="A17" s="17" t="n"/>
      <c r="B17" s="17" t="n"/>
      <c r="C17" s="17" t="n"/>
      <c r="D17" s="17" t="n"/>
      <c r="E17" s="17" t="n"/>
      <c r="F17" s="17" t="n"/>
      <c r="G17" s="17" t="n"/>
      <c r="H17" s="17" t="n"/>
      <c r="I17" s="17" t="n"/>
      <c r="J17" s="17" t="n"/>
    </row>
    <row r="18">
      <c r="A18" s="17" t="n"/>
      <c r="B18" s="17" t="n"/>
      <c r="C18" s="17" t="n"/>
      <c r="D18" s="17" t="n"/>
      <c r="E18" s="17" t="n"/>
      <c r="F18" s="17" t="n"/>
      <c r="G18" s="17" t="n"/>
      <c r="H18" s="17" t="n"/>
      <c r="I18" s="17" t="n"/>
      <c r="J18" s="17" t="n"/>
    </row>
    <row r="19">
      <c r="A19" s="17" t="n"/>
      <c r="B19" s="17" t="n"/>
      <c r="C19" s="17" t="n"/>
      <c r="D19" s="17" t="n"/>
      <c r="E19" s="17" t="n"/>
      <c r="F19" s="17" t="n"/>
      <c r="G19" s="17" t="n"/>
      <c r="H19" s="17" t="n"/>
      <c r="I19" s="17" t="n"/>
      <c r="J19" s="17" t="n"/>
    </row>
    <row r="20">
      <c r="A20" s="17" t="n"/>
      <c r="B20" s="17" t="n"/>
      <c r="C20" s="17" t="n"/>
      <c r="D20" s="17" t="n"/>
      <c r="E20" s="17" t="n"/>
      <c r="F20" s="17" t="n"/>
      <c r="G20" s="17" t="n"/>
      <c r="H20" s="17" t="n"/>
      <c r="I20" s="17" t="n"/>
      <c r="J20" s="17" t="n"/>
    </row>
    <row r="21">
      <c r="A21" s="17" t="n"/>
      <c r="B21" s="17" t="n"/>
      <c r="C21" s="17" t="n"/>
      <c r="D21" s="17" t="n"/>
      <c r="E21" s="17" t="n"/>
      <c r="F21" s="17" t="n"/>
      <c r="G21" s="17" t="n"/>
      <c r="H21" s="17" t="n"/>
      <c r="I21" s="17" t="n"/>
      <c r="J21" s="17" t="n"/>
    </row>
    <row r="22">
      <c r="A22" s="17" t="n"/>
      <c r="B22" s="17" t="n"/>
      <c r="C22" s="17" t="n"/>
      <c r="D22" s="17" t="n"/>
      <c r="E22" s="17" t="n"/>
      <c r="F22" s="17" t="n"/>
      <c r="G22" s="17" t="n"/>
      <c r="H22" s="17" t="n"/>
      <c r="I22" s="17" t="n"/>
      <c r="J22" s="17" t="n"/>
    </row>
    <row r="23">
      <c r="A23" s="17" t="n"/>
      <c r="B23" s="17" t="n"/>
      <c r="C23" s="17" t="n"/>
      <c r="D23" s="17" t="n"/>
      <c r="E23" s="17" t="n"/>
      <c r="F23" s="17" t="n"/>
      <c r="G23" s="17" t="n"/>
      <c r="H23" s="17" t="n"/>
      <c r="I23" s="17" t="n"/>
      <c r="J23" s="17" t="n"/>
    </row>
    <row r="24">
      <c r="A24" s="17" t="n"/>
      <c r="B24" s="17" t="n"/>
      <c r="C24" s="17" t="n"/>
      <c r="D24" s="17" t="n"/>
      <c r="E24" s="17" t="n"/>
      <c r="F24" s="17" t="n"/>
      <c r="G24" s="17" t="n"/>
      <c r="H24" s="17" t="n"/>
      <c r="I24" s="17" t="n"/>
      <c r="J24" s="17" t="n"/>
    </row>
    <row r="25">
      <c r="A25" s="17" t="n"/>
      <c r="B25" s="17" t="n"/>
      <c r="C25" s="17" t="n"/>
      <c r="D25" s="17" t="n"/>
      <c r="E25" s="17" t="n"/>
      <c r="F25" s="17" t="n"/>
      <c r="G25" s="17" t="n"/>
      <c r="H25" s="17" t="n"/>
      <c r="I25" s="17" t="n"/>
      <c r="J25" s="17" t="n"/>
    </row>
    <row r="26">
      <c r="A26" s="17" t="n"/>
      <c r="B26" s="17" t="n"/>
      <c r="C26" s="17" t="n"/>
      <c r="D26" s="17" t="n"/>
      <c r="E26" s="17" t="n"/>
      <c r="F26" s="17" t="n"/>
      <c r="G26" s="17" t="n"/>
      <c r="H26" s="17" t="n"/>
      <c r="I26" s="17" t="n"/>
      <c r="J26" s="17" t="n"/>
    </row>
    <row r="27">
      <c r="A27" s="17" t="n"/>
      <c r="B27" s="17" t="n"/>
      <c r="C27" s="17" t="n"/>
      <c r="D27" s="17" t="n"/>
      <c r="E27" s="17" t="n"/>
      <c r="F27" s="17" t="n"/>
      <c r="G27" s="17" t="n"/>
      <c r="H27" s="17" t="n"/>
      <c r="I27" s="17" t="n"/>
      <c r="J27" s="17" t="n"/>
    </row>
    <row r="28">
      <c r="A28" s="17" t="n"/>
      <c r="B28" s="17" t="n"/>
      <c r="C28" s="17" t="n"/>
      <c r="D28" s="17" t="n"/>
      <c r="E28" s="17" t="n"/>
      <c r="F28" s="17" t="n"/>
      <c r="G28" s="17" t="n"/>
      <c r="H28" s="17" t="n"/>
      <c r="I28" s="17" t="n"/>
      <c r="J28" s="17" t="n"/>
    </row>
    <row r="29">
      <c r="A29" s="17" t="n"/>
      <c r="B29" s="17" t="n"/>
      <c r="C29" s="17" t="n"/>
      <c r="D29" s="17" t="n"/>
      <c r="E29" s="17" t="n"/>
      <c r="F29" s="17" t="n"/>
      <c r="G29" s="17" t="n"/>
      <c r="H29" s="17" t="n"/>
      <c r="I29" s="17" t="n"/>
      <c r="J29" s="17" t="n"/>
    </row>
    <row r="30">
      <c r="A30" s="17" t="n"/>
      <c r="B30" s="17" t="n"/>
      <c r="C30" s="17" t="n"/>
      <c r="D30" s="17" t="n"/>
      <c r="E30" s="17" t="n"/>
      <c r="F30" s="17" t="n"/>
      <c r="G30" s="17" t="n"/>
      <c r="H30" s="17" t="n"/>
      <c r="I30" s="17" t="n"/>
      <c r="J30" s="17" t="n"/>
    </row>
    <row r="31">
      <c r="A31" s="17" t="n"/>
      <c r="B31" s="17" t="n"/>
      <c r="C31" s="17" t="n"/>
      <c r="D31" s="17" t="n"/>
      <c r="E31" s="17" t="n"/>
      <c r="F31" s="17" t="n"/>
      <c r="G31" s="17" t="n"/>
      <c r="H31" s="17" t="n"/>
      <c r="I31" s="17" t="n"/>
      <c r="J31" s="17" t="n"/>
    </row>
    <row r="32">
      <c r="A32" s="17" t="n"/>
      <c r="B32" s="17" t="n"/>
      <c r="C32" s="17" t="n"/>
      <c r="D32" s="17" t="n"/>
      <c r="E32" s="17" t="n"/>
      <c r="F32" s="17" t="n"/>
      <c r="G32" s="17" t="n"/>
      <c r="H32" s="17" t="n"/>
      <c r="I32" s="17" t="n"/>
      <c r="J32" s="17" t="n"/>
    </row>
    <row r="33">
      <c r="A33" s="17" t="n"/>
      <c r="B33" s="17" t="n"/>
      <c r="C33" s="17" t="n"/>
      <c r="D33" s="17" t="n"/>
      <c r="E33" s="17" t="n"/>
      <c r="F33" s="17" t="n"/>
      <c r="G33" s="17" t="n"/>
      <c r="H33" s="17" t="n"/>
      <c r="I33" s="17" t="n"/>
      <c r="J33" s="17" t="n"/>
    </row>
    <row r="34">
      <c r="A34" s="17" t="n"/>
      <c r="B34" s="17" t="n"/>
      <c r="C34" s="17" t="n"/>
      <c r="D34" s="17" t="n"/>
      <c r="E34" s="17" t="n"/>
      <c r="F34" s="17" t="n"/>
      <c r="G34" s="17" t="n"/>
      <c r="H34" s="17" t="n"/>
      <c r="I34" s="17" t="n"/>
      <c r="J34" s="17" t="n"/>
    </row>
    <row r="35">
      <c r="A35" s="17" t="n"/>
      <c r="B35" s="17" t="n"/>
      <c r="C35" s="17" t="n"/>
      <c r="D35" s="17" t="n"/>
      <c r="E35" s="17" t="n"/>
      <c r="F35" s="17" t="n"/>
      <c r="G35" s="17" t="n"/>
      <c r="H35" s="17" t="n"/>
      <c r="I35" s="17" t="n"/>
      <c r="J35" s="17" t="n"/>
    </row>
    <row r="36">
      <c r="A36" s="17" t="n"/>
      <c r="B36" s="17" t="n"/>
      <c r="C36" s="17" t="n"/>
      <c r="D36" s="17" t="n"/>
      <c r="E36" s="17" t="n"/>
      <c r="F36" s="17" t="n"/>
      <c r="G36" s="17" t="n"/>
      <c r="H36" s="17" t="n"/>
      <c r="I36" s="17" t="n"/>
      <c r="J36" s="17" t="n"/>
    </row>
    <row r="37">
      <c r="A37" s="17" t="n"/>
      <c r="B37" s="17" t="n"/>
      <c r="C37" s="17" t="n"/>
      <c r="D37" s="17" t="n"/>
      <c r="E37" s="17" t="n"/>
      <c r="F37" s="17" t="n"/>
      <c r="G37" s="17" t="n"/>
      <c r="H37" s="17" t="n"/>
      <c r="I37" s="17" t="n"/>
      <c r="J37" s="17" t="n"/>
    </row>
    <row r="38">
      <c r="A38" s="17" t="n"/>
      <c r="B38" s="17" t="n"/>
      <c r="C38" s="17" t="n"/>
      <c r="D38" s="17" t="n"/>
      <c r="E38" s="17" t="n"/>
      <c r="F38" s="17" t="n"/>
      <c r="G38" s="17" t="n"/>
      <c r="H38" s="17" t="n"/>
      <c r="I38" s="17" t="n"/>
      <c r="J38" s="17" t="n"/>
    </row>
    <row r="39">
      <c r="A39" s="17" t="n"/>
      <c r="B39" s="17" t="n"/>
      <c r="C39" s="17" t="n"/>
      <c r="D39" s="17" t="n"/>
      <c r="E39" s="17" t="n"/>
      <c r="F39" s="17" t="n"/>
      <c r="G39" s="17" t="n"/>
      <c r="H39" s="17" t="n"/>
      <c r="I39" s="17" t="n"/>
      <c r="J39" s="17" t="n"/>
    </row>
    <row r="40">
      <c r="A40" s="17" t="n"/>
      <c r="B40" s="17" t="n"/>
      <c r="C40" s="17" t="n"/>
      <c r="D40" s="17" t="n"/>
      <c r="E40" s="17" t="n"/>
      <c r="F40" s="17" t="n"/>
      <c r="G40" s="17" t="n"/>
      <c r="H40" s="17" t="n"/>
      <c r="I40" s="17" t="n"/>
      <c r="J40" s="17" t="n"/>
    </row>
    <row r="41">
      <c r="A41" s="17" t="n"/>
      <c r="B41" s="17" t="n"/>
      <c r="C41" s="17" t="n"/>
      <c r="D41" s="17" t="n"/>
      <c r="E41" s="17" t="n"/>
      <c r="F41" s="17" t="n"/>
      <c r="G41" s="17" t="n"/>
      <c r="H41" s="17" t="n"/>
      <c r="I41" s="17" t="n"/>
      <c r="J41" s="17" t="n"/>
    </row>
    <row r="42">
      <c r="A42" s="17" t="n"/>
      <c r="B42" s="17" t="n"/>
      <c r="C42" s="17" t="n"/>
      <c r="D42" s="17" t="n"/>
      <c r="E42" s="17" t="n"/>
      <c r="F42" s="17" t="n"/>
      <c r="G42" s="17" t="n"/>
      <c r="H42" s="17" t="n"/>
      <c r="I42" s="17" t="n"/>
      <c r="J42" s="17" t="n"/>
    </row>
    <row r="43">
      <c r="A43" s="17" t="n"/>
      <c r="B43" s="17" t="n"/>
      <c r="C43" s="17" t="n"/>
      <c r="D43" s="17" t="n"/>
      <c r="E43" s="17" t="n"/>
      <c r="F43" s="17" t="n"/>
      <c r="G43" s="17" t="n"/>
      <c r="H43" s="17" t="n"/>
      <c r="I43" s="17" t="n"/>
      <c r="J43" s="17" t="n"/>
    </row>
    <row r="44">
      <c r="A44" s="17" t="n"/>
      <c r="B44" s="17" t="n"/>
      <c r="C44" s="17" t="n"/>
      <c r="D44" s="17" t="n"/>
      <c r="E44" s="17" t="n"/>
      <c r="F44" s="17" t="n"/>
      <c r="G44" s="17" t="n"/>
      <c r="H44" s="17" t="n"/>
      <c r="I44" s="17" t="n"/>
      <c r="J44" s="17" t="n"/>
    </row>
    <row r="45">
      <c r="A45" s="17" t="n"/>
      <c r="B45" s="17" t="n"/>
      <c r="C45" s="17" t="n"/>
      <c r="D45" s="17" t="n"/>
      <c r="E45" s="17" t="n"/>
      <c r="F45" s="17" t="n"/>
      <c r="G45" s="17" t="n"/>
      <c r="H45" s="17" t="n"/>
      <c r="I45" s="17" t="n"/>
      <c r="J45" s="17" t="n"/>
    </row>
    <row r="46">
      <c r="A46" s="17" t="n"/>
      <c r="B46" s="17" t="n"/>
      <c r="C46" s="17" t="n"/>
      <c r="D46" s="17" t="n"/>
      <c r="E46" s="17" t="n"/>
      <c r="F46" s="17" t="n"/>
      <c r="G46" s="17" t="n"/>
      <c r="H46" s="17" t="n"/>
      <c r="I46" s="17" t="n"/>
      <c r="J46" s="17" t="n"/>
    </row>
    <row r="47">
      <c r="A47" s="17" t="n"/>
      <c r="B47" s="17" t="n"/>
      <c r="C47" s="17" t="n"/>
      <c r="D47" s="17" t="n"/>
      <c r="E47" s="17" t="n"/>
      <c r="F47" s="17" t="n"/>
      <c r="G47" s="17" t="n"/>
      <c r="H47" s="17" t="n"/>
      <c r="I47" s="17" t="n"/>
      <c r="J47" s="17" t="n"/>
    </row>
    <row r="48">
      <c r="A48" s="17" t="n"/>
      <c r="B48" s="17" t="n"/>
      <c r="C48" s="17" t="n"/>
      <c r="D48" s="17" t="n"/>
      <c r="E48" s="17" t="n"/>
      <c r="F48" s="17" t="n"/>
      <c r="G48" s="17" t="n"/>
      <c r="H48" s="17" t="n"/>
      <c r="I48" s="17" t="n"/>
      <c r="J48" s="17" t="n"/>
    </row>
    <row r="49">
      <c r="A49" s="17" t="n"/>
      <c r="B49" s="17" t="n"/>
      <c r="C49" s="17" t="n"/>
      <c r="D49" s="17" t="n"/>
      <c r="E49" s="17" t="n"/>
      <c r="F49" s="17" t="n"/>
      <c r="G49" s="17" t="n"/>
      <c r="H49" s="17" t="n"/>
      <c r="I49" s="17" t="n"/>
      <c r="J49" s="17" t="n"/>
    </row>
    <row r="50">
      <c r="A50" s="17" t="n"/>
      <c r="B50" s="17" t="n"/>
      <c r="C50" s="17" t="n"/>
      <c r="D50" s="17" t="n"/>
      <c r="E50" s="17" t="n"/>
      <c r="F50" s="17" t="n"/>
      <c r="G50" s="17" t="n"/>
      <c r="H50" s="17" t="n"/>
      <c r="I50" s="17" t="n"/>
      <c r="J50" s="17" t="n"/>
    </row>
    <row r="51">
      <c r="A51" s="17" t="n"/>
      <c r="B51" s="17" t="n"/>
      <c r="C51" s="17" t="n"/>
      <c r="D51" s="17" t="n"/>
      <c r="E51" s="17" t="n"/>
      <c r="F51" s="17" t="n"/>
      <c r="G51" s="17" t="n"/>
      <c r="H51" s="17" t="n"/>
      <c r="I51" s="17" t="n"/>
      <c r="J51" s="17" t="n"/>
    </row>
    <row r="52">
      <c r="A52" s="17" t="n"/>
      <c r="B52" s="17" t="n"/>
      <c r="C52" s="17" t="n"/>
      <c r="D52" s="17" t="n"/>
      <c r="E52" s="17" t="n"/>
      <c r="F52" s="17" t="n"/>
      <c r="G52" s="17" t="n"/>
      <c r="H52" s="17" t="n"/>
      <c r="I52" s="17" t="n"/>
      <c r="J52" s="17" t="n"/>
    </row>
    <row r="53">
      <c r="A53" s="17" t="n"/>
      <c r="B53" s="17" t="n"/>
      <c r="C53" s="17" t="n"/>
      <c r="D53" s="17" t="n"/>
      <c r="E53" s="17" t="n"/>
      <c r="F53" s="17" t="n"/>
      <c r="G53" s="17" t="n"/>
      <c r="H53" s="17" t="n"/>
      <c r="I53" s="17" t="n"/>
      <c r="J53" s="17" t="n"/>
    </row>
    <row r="54">
      <c r="A54" s="17" t="n"/>
      <c r="B54" s="17" t="n"/>
      <c r="C54" s="17" t="n"/>
      <c r="D54" s="17" t="n"/>
      <c r="E54" s="17" t="n"/>
      <c r="F54" s="17" t="n"/>
      <c r="G54" s="17" t="n"/>
      <c r="H54" s="17" t="n"/>
      <c r="I54" s="17" t="n"/>
      <c r="J54" s="17" t="n"/>
    </row>
  </sheetData>
  <mergeCells count="1">
    <mergeCell ref="A1:J1"/>
  </mergeCells>
  <dataValidations count="6">
    <dataValidation sqref="B4 B5 B6 B7 B8 B9 B10 B11 B12 B13 B14 B15 B16 B17 B18 B19 B20 B21 B22 B23 B24 B25 B26 B27 B28 B29 B30 B31 B32 B33 B34 B35 B36 B37 B38 B39 B40 B41 B42 B43 B44 B45 B46 B47 B48 B49 B50 B51 B52 B53 B54" showDropDown="0" showInputMessage="0" showErrorMessage="0" allowBlank="1" type="list">
      <formula1>"On-site Destruction,Off-site Destruction,Recycling with Destruction,Certificate Only"</formula1>
    </dataValidation>
    <dataValidation sqref="C4 C5 C6 C7 C8 C9 C10 C11 C12 C13 C14 C15 C16 C17 C18 C19 C20 C21 C22 C23 C24 C25 C26 C27 C28 C29 C30 C31 C32 C33 C34 C35 C36 C37 C38 C39 C40 C41 C42 C43 C44 C45 C46 C47 C48 C49 C50 C51 C52 C53 C54" showDropDown="0" showInputMessage="0" showErrorMessage="0" allowBlank="1" type="list">
      <formula1>"Active,Expired,Under Review,Pending"</formula1>
    </dataValidation>
    <dataValidation sqref="E4 E5 E6 E7 E8 E9 E10 E11 E12 E13 E14 E15 E16 E17 E18 E19 E20 E21 E22 E23 E24 E25 E26 E27 E28 E29 E30 E31 E32 E33 E34 E35 E36 E37 E38 E39 E40 E41 E42 E43 E44 E45 E46 E47 E48 E49 E50 E51 E52 E53 E54" showDropDown="0" showInputMessage="0" showErrorMessage="0" allowBlank="1" type="list">
      <formula1>"Yes - Per Item,Yes - Per Batch,No"</formula1>
    </dataValidation>
    <dataValidation sqref="F4 F5 F6 F7 F8 F9 F10 F11 F12 F13 F14 F15 F16 F17 F18 F19 F20 F21 F22 F23 F24 F25 F26 F27 F28 F29 F30 F31 F32 F33 F34 F35 F36 F37 F38 F39 F40 F41 F42 F43 F44 F45 F46 F47 F48 F49 F50 F51 F52 F53 F54" showDropDown="0" showInputMessage="0" showErrorMessage="0" allowBlank="1" type="list">
      <formula1>"Yes,No"</formula1>
    </dataValidation>
    <dataValidation sqref="G4 G5 G6 G7 G8 G9 G10 G11 G12 G13 G14 G15 G16 G17 G18 G19 G20 G21 G22 G23 G24 G25 G26 G27 G28 G29 G30 G31 G32 G33 G34 G35 G36 G37 G38 G39 G40 G41 G42 G43 G44 G45 G46 G47 G48 G49 G50 G51 G52 G53 G54" showDropDown="0" showInputMessage="0" showErrorMessage="0" allowBlank="1" type="list">
      <formula1>"Documented,Partial,Not Documented"</formula1>
    </dataValidation>
    <dataValidation sqref="I4 I5 I6 I7 I8 I9 I10 I11 I12 I13 I14 I15 I16 I17 I18 I19 I20 I21 I22 I23 I24 I25 I26 I27 I28 I29 I30 I31 I32 I33 I34 I35 I36 I37 I38 I39 I40 I41 I42 I43 I44 I45 I46 I47 I48 I49 I50 I51 I52 I53 I54" showDropDown="0" showInputMessage="0" showErrorMessage="0" allowBlank="1" type="list">
      <formula1>"✅ Compliant,⚠ Partial,❌ Non-Compliant"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4"/>
  <sheetViews>
    <sheetView showGridLines="0" workbookViewId="0">
      <pane ySplit="3" topLeftCell="A4" activePane="bottomLeft" state="frozen"/>
      <selection pane="bottomLeft" activeCell="A1" sqref="A1"/>
    </sheetView>
  </sheetViews>
  <sheetFormatPr baseColWidth="8" defaultRowHeight="15"/>
  <cols>
    <col width="18" customWidth="1" min="1" max="1"/>
    <col width="12" customWidth="1" min="2" max="2"/>
    <col width="15" customWidth="1" min="3" max="3"/>
    <col width="15" customWidth="1" min="4" max="4"/>
    <col width="25" customWidth="1" min="5" max="5"/>
    <col width="20" customWidth="1" min="6" max="6"/>
    <col width="18" customWidth="1" min="7" max="7"/>
    <col width="22" customWidth="1" min="8" max="8"/>
    <col width="18" customWidth="1" min="9" max="9"/>
    <col width="18" customWidth="1" min="10" max="10"/>
    <col width="20" customWidth="1" min="11" max="11"/>
    <col width="18" customWidth="1" min="12" max="12"/>
    <col width="15" customWidth="1" min="13" max="13"/>
    <col width="12" customWidth="1" min="14" max="14"/>
    <col width="35" customWidth="1" min="15" max="15"/>
  </cols>
  <sheetData>
    <row r="1" ht="35" customHeight="1">
      <c r="A1" s="11" t="inlineStr">
        <is>
          <t>EQUIPMENT DISPOSAL LOG
Track all equipment disposals with certificates and verification</t>
        </is>
      </c>
    </row>
    <row r="2">
      <c r="A2" s="12" t="inlineStr">
        <is>
          <t>ISO/IEC 27001:2022 - Control A.7.14: Secure Disposal or Re-Use of Equipment</t>
        </is>
      </c>
    </row>
    <row r="3">
      <c r="A3" s="13" t="inlineStr">
        <is>
          <t>Disposal ID</t>
        </is>
      </c>
      <c r="B3" s="13" t="inlineStr">
        <is>
          <t>Date</t>
        </is>
      </c>
      <c r="C3" s="13" t="inlineStr">
        <is>
          <t>Asset Tag</t>
        </is>
      </c>
      <c r="D3" s="13" t="inlineStr">
        <is>
          <t>Equipment Type</t>
        </is>
      </c>
      <c r="E3" s="13" t="inlineStr">
        <is>
          <t>Make/Model</t>
        </is>
      </c>
      <c r="F3" s="13" t="inlineStr">
        <is>
          <t>Serial Number</t>
        </is>
      </c>
      <c r="G3" s="13" t="inlineStr">
        <is>
          <t>Data Classification</t>
        </is>
      </c>
      <c r="H3" s="13" t="inlineStr">
        <is>
          <t>Disposal Method</t>
        </is>
      </c>
      <c r="I3" s="13" t="inlineStr">
        <is>
          <t>Destination</t>
        </is>
      </c>
      <c r="J3" s="13" t="inlineStr">
        <is>
          <t>Certificate Obtained</t>
        </is>
      </c>
      <c r="K3" s="13" t="inlineStr">
        <is>
          <t>Certificate Ref</t>
        </is>
      </c>
      <c r="L3" s="13" t="inlineStr">
        <is>
          <t>Verified By</t>
        </is>
      </c>
      <c r="M3" s="13" t="inlineStr">
        <is>
          <t>Asset Updated</t>
        </is>
      </c>
      <c r="N3" s="13" t="inlineStr">
        <is>
          <t>Compliant</t>
        </is>
      </c>
      <c r="O3" s="13" t="inlineStr">
        <is>
          <t>Notes</t>
        </is>
      </c>
    </row>
    <row r="4">
      <c r="A4" s="15" t="inlineStr">
        <is>
          <t>Sample — delete before use</t>
        </is>
      </c>
      <c r="B4" s="16" t="n"/>
      <c r="C4" s="16" t="n"/>
      <c r="D4" s="16" t="n"/>
      <c r="E4" s="16" t="n"/>
      <c r="F4" s="16" t="n"/>
      <c r="G4" s="16" t="n"/>
      <c r="H4" s="16" t="n"/>
      <c r="I4" s="16" t="n"/>
      <c r="J4" s="16" t="n"/>
      <c r="K4" s="16" t="n"/>
      <c r="L4" s="16" t="n"/>
      <c r="M4" s="16" t="n"/>
      <c r="N4" s="16">
        <f>IF(OR(G4="",H4=""),"",IF(AND(G4="CONFIDENTIAL",H4="Physical Destruction",J4="Yes"),"Yes",IF(G4="PUBLIC","Yes",IF(J4="N/A","Yes","Check"))))</f>
        <v/>
      </c>
      <c r="O4" s="16" t="n"/>
    </row>
    <row r="5">
      <c r="A5" s="17" t="n"/>
      <c r="B5" s="17" t="n"/>
      <c r="C5" s="17" t="n"/>
      <c r="D5" s="17" t="n"/>
      <c r="E5" s="17" t="n"/>
      <c r="F5" s="17" t="n"/>
      <c r="G5" s="17" t="n"/>
      <c r="H5" s="17" t="n"/>
      <c r="I5" s="17" t="n"/>
      <c r="J5" s="17" t="n"/>
      <c r="K5" s="17" t="n"/>
      <c r="L5" s="17" t="n"/>
      <c r="M5" s="17" t="n"/>
      <c r="N5" s="17">
        <f>IF(OR(G5="",H5=""),"",IF(AND(G5="CONFIDENTIAL",H5="Physical Destruction",J5="Yes"),"Yes",IF(G5="PUBLIC","Yes",IF(J5="N/A","Yes","Check"))))</f>
        <v/>
      </c>
      <c r="O5" s="17" t="n"/>
    </row>
    <row r="6">
      <c r="A6" s="17" t="n"/>
      <c r="B6" s="17" t="n"/>
      <c r="C6" s="17" t="n"/>
      <c r="D6" s="17" t="n"/>
      <c r="E6" s="17" t="n"/>
      <c r="F6" s="17" t="n"/>
      <c r="G6" s="17" t="n"/>
      <c r="H6" s="17" t="n"/>
      <c r="I6" s="17" t="n"/>
      <c r="J6" s="17" t="n"/>
      <c r="K6" s="17" t="n"/>
      <c r="L6" s="17" t="n"/>
      <c r="M6" s="17" t="n"/>
      <c r="N6" s="17">
        <f>IF(OR(G6="",H6=""),"",IF(AND(G6="CONFIDENTIAL",H6="Physical Destruction",J6="Yes"),"Yes",IF(G6="PUBLIC","Yes",IF(J6="N/A","Yes","Check"))))</f>
        <v/>
      </c>
      <c r="O6" s="17" t="n"/>
    </row>
    <row r="7">
      <c r="A7" s="17" t="n"/>
      <c r="B7" s="17" t="n"/>
      <c r="C7" s="17" t="n"/>
      <c r="D7" s="17" t="n"/>
      <c r="E7" s="17" t="n"/>
      <c r="F7" s="17" t="n"/>
      <c r="G7" s="17" t="n"/>
      <c r="H7" s="17" t="n"/>
      <c r="I7" s="17" t="n"/>
      <c r="J7" s="17" t="n"/>
      <c r="K7" s="17" t="n"/>
      <c r="L7" s="17" t="n"/>
      <c r="M7" s="17" t="n"/>
      <c r="N7" s="17">
        <f>IF(OR(G7="",H7=""),"",IF(AND(G7="CONFIDENTIAL",H7="Physical Destruction",J7="Yes"),"Yes",IF(G7="PUBLIC","Yes",IF(J7="N/A","Yes","Check"))))</f>
        <v/>
      </c>
      <c r="O7" s="17" t="n"/>
    </row>
    <row r="8">
      <c r="A8" s="17" t="n"/>
      <c r="B8" s="17" t="n"/>
      <c r="C8" s="17" t="n"/>
      <c r="D8" s="17" t="n"/>
      <c r="E8" s="17" t="n"/>
      <c r="F8" s="17" t="n"/>
      <c r="G8" s="17" t="n"/>
      <c r="H8" s="17" t="n"/>
      <c r="I8" s="17" t="n"/>
      <c r="J8" s="17" t="n"/>
      <c r="K8" s="17" t="n"/>
      <c r="L8" s="17" t="n"/>
      <c r="M8" s="17" t="n"/>
      <c r="N8" s="17">
        <f>IF(OR(G8="",H8=""),"",IF(AND(G8="CONFIDENTIAL",H8="Physical Destruction",J8="Yes"),"Yes",IF(G8="PUBLIC","Yes",IF(J8="N/A","Yes","Check"))))</f>
        <v/>
      </c>
      <c r="O8" s="17" t="n"/>
    </row>
    <row r="9">
      <c r="A9" s="17" t="n"/>
      <c r="B9" s="17" t="n"/>
      <c r="C9" s="17" t="n"/>
      <c r="D9" s="17" t="n"/>
      <c r="E9" s="17" t="n"/>
      <c r="F9" s="17" t="n"/>
      <c r="G9" s="17" t="n"/>
      <c r="H9" s="17" t="n"/>
      <c r="I9" s="17" t="n"/>
      <c r="J9" s="17" t="n"/>
      <c r="K9" s="17" t="n"/>
      <c r="L9" s="17" t="n"/>
      <c r="M9" s="17" t="n"/>
      <c r="N9" s="17">
        <f>IF(OR(G9="",H9=""),"",IF(AND(G9="CONFIDENTIAL",H9="Physical Destruction",J9="Yes"),"Yes",IF(G9="PUBLIC","Yes",IF(J9="N/A","Yes","Check"))))</f>
        <v/>
      </c>
      <c r="O9" s="17" t="n"/>
    </row>
    <row r="10">
      <c r="A10" s="17" t="n"/>
      <c r="B10" s="17" t="n"/>
      <c r="C10" s="17" t="n"/>
      <c r="D10" s="17" t="n"/>
      <c r="E10" s="17" t="n"/>
      <c r="F10" s="17" t="n"/>
      <c r="G10" s="17" t="n"/>
      <c r="H10" s="17" t="n"/>
      <c r="I10" s="17" t="n"/>
      <c r="J10" s="17" t="n"/>
      <c r="K10" s="17" t="n"/>
      <c r="L10" s="17" t="n"/>
      <c r="M10" s="17" t="n"/>
      <c r="N10" s="17">
        <f>IF(OR(G10="",H10=""),"",IF(AND(G10="CONFIDENTIAL",H10="Physical Destruction",J10="Yes"),"Yes",IF(G10="PUBLIC","Yes",IF(J10="N/A","Yes","Check"))))</f>
        <v/>
      </c>
      <c r="O10" s="17" t="n"/>
    </row>
    <row r="11">
      <c r="A11" s="17" t="n"/>
      <c r="B11" s="17" t="n"/>
      <c r="C11" s="17" t="n"/>
      <c r="D11" s="17" t="n"/>
      <c r="E11" s="17" t="n"/>
      <c r="F11" s="17" t="n"/>
      <c r="G11" s="17" t="n"/>
      <c r="H11" s="17" t="n"/>
      <c r="I11" s="17" t="n"/>
      <c r="J11" s="17" t="n"/>
      <c r="K11" s="17" t="n"/>
      <c r="L11" s="17" t="n"/>
      <c r="M11" s="17" t="n"/>
      <c r="N11" s="17">
        <f>IF(OR(G11="",H11=""),"",IF(AND(G11="CONFIDENTIAL",H11="Physical Destruction",J11="Yes"),"Yes",IF(G11="PUBLIC","Yes",IF(J11="N/A","Yes","Check"))))</f>
        <v/>
      </c>
      <c r="O11" s="17" t="n"/>
    </row>
    <row r="12">
      <c r="A12" s="17" t="n"/>
      <c r="B12" s="17" t="n"/>
      <c r="C12" s="17" t="n"/>
      <c r="D12" s="17" t="n"/>
      <c r="E12" s="17" t="n"/>
      <c r="F12" s="17" t="n"/>
      <c r="G12" s="17" t="n"/>
      <c r="H12" s="17" t="n"/>
      <c r="I12" s="17" t="n"/>
      <c r="J12" s="17" t="n"/>
      <c r="K12" s="17" t="n"/>
      <c r="L12" s="17" t="n"/>
      <c r="M12" s="17" t="n"/>
      <c r="N12" s="17">
        <f>IF(OR(G12="",H12=""),"",IF(AND(G12="CONFIDENTIAL",H12="Physical Destruction",J12="Yes"),"Yes",IF(G12="PUBLIC","Yes",IF(J12="N/A","Yes","Check"))))</f>
        <v/>
      </c>
      <c r="O12" s="17" t="n"/>
    </row>
    <row r="13">
      <c r="A13" s="17" t="n"/>
      <c r="B13" s="17" t="n"/>
      <c r="C13" s="17" t="n"/>
      <c r="D13" s="17" t="n"/>
      <c r="E13" s="17" t="n"/>
      <c r="F13" s="17" t="n"/>
      <c r="G13" s="17" t="n"/>
      <c r="H13" s="17" t="n"/>
      <c r="I13" s="17" t="n"/>
      <c r="J13" s="17" t="n"/>
      <c r="K13" s="17" t="n"/>
      <c r="L13" s="17" t="n"/>
      <c r="M13" s="17" t="n"/>
      <c r="N13" s="17">
        <f>IF(OR(G13="",H13=""),"",IF(AND(G13="CONFIDENTIAL",H13="Physical Destruction",J13="Yes"),"Yes",IF(G13="PUBLIC","Yes",IF(J13="N/A","Yes","Check"))))</f>
        <v/>
      </c>
      <c r="O13" s="17" t="n"/>
    </row>
    <row r="14">
      <c r="A14" s="17" t="n"/>
      <c r="B14" s="17" t="n"/>
      <c r="C14" s="17" t="n"/>
      <c r="D14" s="17" t="n"/>
      <c r="E14" s="17" t="n"/>
      <c r="F14" s="17" t="n"/>
      <c r="G14" s="17" t="n"/>
      <c r="H14" s="17" t="n"/>
      <c r="I14" s="17" t="n"/>
      <c r="J14" s="17" t="n"/>
      <c r="K14" s="17" t="n"/>
      <c r="L14" s="17" t="n"/>
      <c r="M14" s="17" t="n"/>
      <c r="N14" s="17">
        <f>IF(OR(G14="",H14=""),"",IF(AND(G14="CONFIDENTIAL",H14="Physical Destruction",J14="Yes"),"Yes",IF(G14="PUBLIC","Yes",IF(J14="N/A","Yes","Check"))))</f>
        <v/>
      </c>
      <c r="O14" s="17" t="n"/>
    </row>
    <row r="15">
      <c r="A15" s="17" t="n"/>
      <c r="B15" s="17" t="n"/>
      <c r="C15" s="17" t="n"/>
      <c r="D15" s="17" t="n"/>
      <c r="E15" s="17" t="n"/>
      <c r="F15" s="17" t="n"/>
      <c r="G15" s="17" t="n"/>
      <c r="H15" s="17" t="n"/>
      <c r="I15" s="17" t="n"/>
      <c r="J15" s="17" t="n"/>
      <c r="K15" s="17" t="n"/>
      <c r="L15" s="17" t="n"/>
      <c r="M15" s="17" t="n"/>
      <c r="N15" s="17">
        <f>IF(OR(G15="",H15=""),"",IF(AND(G15="CONFIDENTIAL",H15="Physical Destruction",J15="Yes"),"Yes",IF(G15="PUBLIC","Yes",IF(J15="N/A","Yes","Check"))))</f>
        <v/>
      </c>
      <c r="O15" s="17" t="n"/>
    </row>
    <row r="16">
      <c r="A16" s="17" t="n"/>
      <c r="B16" s="17" t="n"/>
      <c r="C16" s="17" t="n"/>
      <c r="D16" s="17" t="n"/>
      <c r="E16" s="17" t="n"/>
      <c r="F16" s="17" t="n"/>
      <c r="G16" s="17" t="n"/>
      <c r="H16" s="17" t="n"/>
      <c r="I16" s="17" t="n"/>
      <c r="J16" s="17" t="n"/>
      <c r="K16" s="17" t="n"/>
      <c r="L16" s="17" t="n"/>
      <c r="M16" s="17" t="n"/>
      <c r="N16" s="17">
        <f>IF(OR(G16="",H16=""),"",IF(AND(G16="CONFIDENTIAL",H16="Physical Destruction",J16="Yes"),"Yes",IF(G16="PUBLIC","Yes",IF(J16="N/A","Yes","Check"))))</f>
        <v/>
      </c>
      <c r="O16" s="17" t="n"/>
    </row>
    <row r="17">
      <c r="A17" s="17" t="n"/>
      <c r="B17" s="17" t="n"/>
      <c r="C17" s="17" t="n"/>
      <c r="D17" s="17" t="n"/>
      <c r="E17" s="17" t="n"/>
      <c r="F17" s="17" t="n"/>
      <c r="G17" s="17" t="n"/>
      <c r="H17" s="17" t="n"/>
      <c r="I17" s="17" t="n"/>
      <c r="J17" s="17" t="n"/>
      <c r="K17" s="17" t="n"/>
      <c r="L17" s="17" t="n"/>
      <c r="M17" s="17" t="n"/>
      <c r="N17" s="17">
        <f>IF(OR(G17="",H17=""),"",IF(AND(G17="CONFIDENTIAL",H17="Physical Destruction",J17="Yes"),"Yes",IF(G17="PUBLIC","Yes",IF(J17="N/A","Yes","Check"))))</f>
        <v/>
      </c>
      <c r="O17" s="17" t="n"/>
    </row>
    <row r="18">
      <c r="A18" s="17" t="n"/>
      <c r="B18" s="17" t="n"/>
      <c r="C18" s="17" t="n"/>
      <c r="D18" s="17" t="n"/>
      <c r="E18" s="17" t="n"/>
      <c r="F18" s="17" t="n"/>
      <c r="G18" s="17" t="n"/>
      <c r="H18" s="17" t="n"/>
      <c r="I18" s="17" t="n"/>
      <c r="J18" s="17" t="n"/>
      <c r="K18" s="17" t="n"/>
      <c r="L18" s="17" t="n"/>
      <c r="M18" s="17" t="n"/>
      <c r="N18" s="17">
        <f>IF(OR(G18="",H18=""),"",IF(AND(G18="CONFIDENTIAL",H18="Physical Destruction",J18="Yes"),"Yes",IF(G18="PUBLIC","Yes",IF(J18="N/A","Yes","Check"))))</f>
        <v/>
      </c>
      <c r="O18" s="17" t="n"/>
    </row>
    <row r="19">
      <c r="A19" s="17" t="n"/>
      <c r="B19" s="17" t="n"/>
      <c r="C19" s="17" t="n"/>
      <c r="D19" s="17" t="n"/>
      <c r="E19" s="17" t="n"/>
      <c r="F19" s="17" t="n"/>
      <c r="G19" s="17" t="n"/>
      <c r="H19" s="17" t="n"/>
      <c r="I19" s="17" t="n"/>
      <c r="J19" s="17" t="n"/>
      <c r="K19" s="17" t="n"/>
      <c r="L19" s="17" t="n"/>
      <c r="M19" s="17" t="n"/>
      <c r="N19" s="17">
        <f>IF(OR(G19="",H19=""),"",IF(AND(G19="CONFIDENTIAL",H19="Physical Destruction",J19="Yes"),"Yes",IF(G19="PUBLIC","Yes",IF(J19="N/A","Yes","Check"))))</f>
        <v/>
      </c>
      <c r="O19" s="17" t="n"/>
    </row>
    <row r="20">
      <c r="A20" s="17" t="n"/>
      <c r="B20" s="17" t="n"/>
      <c r="C20" s="17" t="n"/>
      <c r="D20" s="17" t="n"/>
      <c r="E20" s="17" t="n"/>
      <c r="F20" s="17" t="n"/>
      <c r="G20" s="17" t="n"/>
      <c r="H20" s="17" t="n"/>
      <c r="I20" s="17" t="n"/>
      <c r="J20" s="17" t="n"/>
      <c r="K20" s="17" t="n"/>
      <c r="L20" s="17" t="n"/>
      <c r="M20" s="17" t="n"/>
      <c r="N20" s="17">
        <f>IF(OR(G20="",H20=""),"",IF(AND(G20="CONFIDENTIAL",H20="Physical Destruction",J20="Yes"),"Yes",IF(G20="PUBLIC","Yes",IF(J20="N/A","Yes","Check"))))</f>
        <v/>
      </c>
      <c r="O20" s="17" t="n"/>
    </row>
    <row r="21">
      <c r="A21" s="17" t="n"/>
      <c r="B21" s="17" t="n"/>
      <c r="C21" s="17" t="n"/>
      <c r="D21" s="17" t="n"/>
      <c r="E21" s="17" t="n"/>
      <c r="F21" s="17" t="n"/>
      <c r="G21" s="17" t="n"/>
      <c r="H21" s="17" t="n"/>
      <c r="I21" s="17" t="n"/>
      <c r="J21" s="17" t="n"/>
      <c r="K21" s="17" t="n"/>
      <c r="L21" s="17" t="n"/>
      <c r="M21" s="17" t="n"/>
      <c r="N21" s="17">
        <f>IF(OR(G21="",H21=""),"",IF(AND(G21="CONFIDENTIAL",H21="Physical Destruction",J21="Yes"),"Yes",IF(G21="PUBLIC","Yes",IF(J21="N/A","Yes","Check"))))</f>
        <v/>
      </c>
      <c r="O21" s="17" t="n"/>
    </row>
    <row r="22">
      <c r="A22" s="17" t="n"/>
      <c r="B22" s="17" t="n"/>
      <c r="C22" s="17" t="n"/>
      <c r="D22" s="17" t="n"/>
      <c r="E22" s="17" t="n"/>
      <c r="F22" s="17" t="n"/>
      <c r="G22" s="17" t="n"/>
      <c r="H22" s="17" t="n"/>
      <c r="I22" s="17" t="n"/>
      <c r="J22" s="17" t="n"/>
      <c r="K22" s="17" t="n"/>
      <c r="L22" s="17" t="n"/>
      <c r="M22" s="17" t="n"/>
      <c r="N22" s="17">
        <f>IF(OR(G22="",H22=""),"",IF(AND(G22="CONFIDENTIAL",H22="Physical Destruction",J22="Yes"),"Yes",IF(G22="PUBLIC","Yes",IF(J22="N/A","Yes","Check"))))</f>
        <v/>
      </c>
      <c r="O22" s="17" t="n"/>
    </row>
    <row r="23">
      <c r="A23" s="17" t="n"/>
      <c r="B23" s="17" t="n"/>
      <c r="C23" s="17" t="n"/>
      <c r="D23" s="17" t="n"/>
      <c r="E23" s="17" t="n"/>
      <c r="F23" s="17" t="n"/>
      <c r="G23" s="17" t="n"/>
      <c r="H23" s="17" t="n"/>
      <c r="I23" s="17" t="n"/>
      <c r="J23" s="17" t="n"/>
      <c r="K23" s="17" t="n"/>
      <c r="L23" s="17" t="n"/>
      <c r="M23" s="17" t="n"/>
      <c r="N23" s="17">
        <f>IF(OR(G23="",H23=""),"",IF(AND(G23="CONFIDENTIAL",H23="Physical Destruction",J23="Yes"),"Yes",IF(G23="PUBLIC","Yes",IF(J23="N/A","Yes","Check"))))</f>
        <v/>
      </c>
      <c r="O23" s="17" t="n"/>
    </row>
    <row r="24">
      <c r="A24" s="17" t="n"/>
      <c r="B24" s="17" t="n"/>
      <c r="C24" s="17" t="n"/>
      <c r="D24" s="17" t="n"/>
      <c r="E24" s="17" t="n"/>
      <c r="F24" s="17" t="n"/>
      <c r="G24" s="17" t="n"/>
      <c r="H24" s="17" t="n"/>
      <c r="I24" s="17" t="n"/>
      <c r="J24" s="17" t="n"/>
      <c r="K24" s="17" t="n"/>
      <c r="L24" s="17" t="n"/>
      <c r="M24" s="17" t="n"/>
      <c r="N24" s="17">
        <f>IF(OR(G24="",H24=""),"",IF(AND(G24="CONFIDENTIAL",H24="Physical Destruction",J24="Yes"),"Yes",IF(G24="PUBLIC","Yes",IF(J24="N/A","Yes","Check"))))</f>
        <v/>
      </c>
      <c r="O24" s="17" t="n"/>
    </row>
    <row r="25">
      <c r="A25" s="17" t="n"/>
      <c r="B25" s="17" t="n"/>
      <c r="C25" s="17" t="n"/>
      <c r="D25" s="17" t="n"/>
      <c r="E25" s="17" t="n"/>
      <c r="F25" s="17" t="n"/>
      <c r="G25" s="17" t="n"/>
      <c r="H25" s="17" t="n"/>
      <c r="I25" s="17" t="n"/>
      <c r="J25" s="17" t="n"/>
      <c r="K25" s="17" t="n"/>
      <c r="L25" s="17" t="n"/>
      <c r="M25" s="17" t="n"/>
      <c r="N25" s="17">
        <f>IF(OR(G25="",H25=""),"",IF(AND(G25="CONFIDENTIAL",H25="Physical Destruction",J25="Yes"),"Yes",IF(G25="PUBLIC","Yes",IF(J25="N/A","Yes","Check"))))</f>
        <v/>
      </c>
      <c r="O25" s="17" t="n"/>
    </row>
    <row r="26">
      <c r="A26" s="17" t="n"/>
      <c r="B26" s="17" t="n"/>
      <c r="C26" s="17" t="n"/>
      <c r="D26" s="17" t="n"/>
      <c r="E26" s="17" t="n"/>
      <c r="F26" s="17" t="n"/>
      <c r="G26" s="17" t="n"/>
      <c r="H26" s="17" t="n"/>
      <c r="I26" s="17" t="n"/>
      <c r="J26" s="17" t="n"/>
      <c r="K26" s="17" t="n"/>
      <c r="L26" s="17" t="n"/>
      <c r="M26" s="17" t="n"/>
      <c r="N26" s="17">
        <f>IF(OR(G26="",H26=""),"",IF(AND(G26="CONFIDENTIAL",H26="Physical Destruction",J26="Yes"),"Yes",IF(G26="PUBLIC","Yes",IF(J26="N/A","Yes","Check"))))</f>
        <v/>
      </c>
      <c r="O26" s="17" t="n"/>
    </row>
    <row r="27">
      <c r="A27" s="17" t="n"/>
      <c r="B27" s="17" t="n"/>
      <c r="C27" s="17" t="n"/>
      <c r="D27" s="17" t="n"/>
      <c r="E27" s="17" t="n"/>
      <c r="F27" s="17" t="n"/>
      <c r="G27" s="17" t="n"/>
      <c r="H27" s="17" t="n"/>
      <c r="I27" s="17" t="n"/>
      <c r="J27" s="17" t="n"/>
      <c r="K27" s="17" t="n"/>
      <c r="L27" s="17" t="n"/>
      <c r="M27" s="17" t="n"/>
      <c r="N27" s="17">
        <f>IF(OR(G27="",H27=""),"",IF(AND(G27="CONFIDENTIAL",H27="Physical Destruction",J27="Yes"),"Yes",IF(G27="PUBLIC","Yes",IF(J27="N/A","Yes","Check"))))</f>
        <v/>
      </c>
      <c r="O27" s="17" t="n"/>
    </row>
    <row r="28">
      <c r="A28" s="17" t="n"/>
      <c r="B28" s="17" t="n"/>
      <c r="C28" s="17" t="n"/>
      <c r="D28" s="17" t="n"/>
      <c r="E28" s="17" t="n"/>
      <c r="F28" s="17" t="n"/>
      <c r="G28" s="17" t="n"/>
      <c r="H28" s="17" t="n"/>
      <c r="I28" s="17" t="n"/>
      <c r="J28" s="17" t="n"/>
      <c r="K28" s="17" t="n"/>
      <c r="L28" s="17" t="n"/>
      <c r="M28" s="17" t="n"/>
      <c r="N28" s="17">
        <f>IF(OR(G28="",H28=""),"",IF(AND(G28="CONFIDENTIAL",H28="Physical Destruction",J28="Yes"),"Yes",IF(G28="PUBLIC","Yes",IF(J28="N/A","Yes","Check"))))</f>
        <v/>
      </c>
      <c r="O28" s="17" t="n"/>
    </row>
    <row r="29">
      <c r="A29" s="17" t="n"/>
      <c r="B29" s="17" t="n"/>
      <c r="C29" s="17" t="n"/>
      <c r="D29" s="17" t="n"/>
      <c r="E29" s="17" t="n"/>
      <c r="F29" s="17" t="n"/>
      <c r="G29" s="17" t="n"/>
      <c r="H29" s="17" t="n"/>
      <c r="I29" s="17" t="n"/>
      <c r="J29" s="17" t="n"/>
      <c r="K29" s="17" t="n"/>
      <c r="L29" s="17" t="n"/>
      <c r="M29" s="17" t="n"/>
      <c r="N29" s="17">
        <f>IF(OR(G29="",H29=""),"",IF(AND(G29="CONFIDENTIAL",H29="Physical Destruction",J29="Yes"),"Yes",IF(G29="PUBLIC","Yes",IF(J29="N/A","Yes","Check"))))</f>
        <v/>
      </c>
      <c r="O29" s="17" t="n"/>
    </row>
    <row r="30">
      <c r="A30" s="17" t="n"/>
      <c r="B30" s="17" t="n"/>
      <c r="C30" s="17" t="n"/>
      <c r="D30" s="17" t="n"/>
      <c r="E30" s="17" t="n"/>
      <c r="F30" s="17" t="n"/>
      <c r="G30" s="17" t="n"/>
      <c r="H30" s="17" t="n"/>
      <c r="I30" s="17" t="n"/>
      <c r="J30" s="17" t="n"/>
      <c r="K30" s="17" t="n"/>
      <c r="L30" s="17" t="n"/>
      <c r="M30" s="17" t="n"/>
      <c r="N30" s="17">
        <f>IF(OR(G30="",H30=""),"",IF(AND(G30="CONFIDENTIAL",H30="Physical Destruction",J30="Yes"),"Yes",IF(G30="PUBLIC","Yes",IF(J30="N/A","Yes","Check"))))</f>
        <v/>
      </c>
      <c r="O30" s="17" t="n"/>
    </row>
    <row r="31">
      <c r="A31" s="17" t="n"/>
      <c r="B31" s="17" t="n"/>
      <c r="C31" s="17" t="n"/>
      <c r="D31" s="17" t="n"/>
      <c r="E31" s="17" t="n"/>
      <c r="F31" s="17" t="n"/>
      <c r="G31" s="17" t="n"/>
      <c r="H31" s="17" t="n"/>
      <c r="I31" s="17" t="n"/>
      <c r="J31" s="17" t="n"/>
      <c r="K31" s="17" t="n"/>
      <c r="L31" s="17" t="n"/>
      <c r="M31" s="17" t="n"/>
      <c r="N31" s="17">
        <f>IF(OR(G31="",H31=""),"",IF(AND(G31="CONFIDENTIAL",H31="Physical Destruction",J31="Yes"),"Yes",IF(G31="PUBLIC","Yes",IF(J31="N/A","Yes","Check"))))</f>
        <v/>
      </c>
      <c r="O31" s="17" t="n"/>
    </row>
    <row r="32">
      <c r="A32" s="17" t="n"/>
      <c r="B32" s="17" t="n"/>
      <c r="C32" s="17" t="n"/>
      <c r="D32" s="17" t="n"/>
      <c r="E32" s="17" t="n"/>
      <c r="F32" s="17" t="n"/>
      <c r="G32" s="17" t="n"/>
      <c r="H32" s="17" t="n"/>
      <c r="I32" s="17" t="n"/>
      <c r="J32" s="17" t="n"/>
      <c r="K32" s="17" t="n"/>
      <c r="L32" s="17" t="n"/>
      <c r="M32" s="17" t="n"/>
      <c r="N32" s="17">
        <f>IF(OR(G32="",H32=""),"",IF(AND(G32="CONFIDENTIAL",H32="Physical Destruction",J32="Yes"),"Yes",IF(G32="PUBLIC","Yes",IF(J32="N/A","Yes","Check"))))</f>
        <v/>
      </c>
      <c r="O32" s="17" t="n"/>
    </row>
    <row r="33">
      <c r="A33" s="17" t="n"/>
      <c r="B33" s="17" t="n"/>
      <c r="C33" s="17" t="n"/>
      <c r="D33" s="17" t="n"/>
      <c r="E33" s="17" t="n"/>
      <c r="F33" s="17" t="n"/>
      <c r="G33" s="17" t="n"/>
      <c r="H33" s="17" t="n"/>
      <c r="I33" s="17" t="n"/>
      <c r="J33" s="17" t="n"/>
      <c r="K33" s="17" t="n"/>
      <c r="L33" s="17" t="n"/>
      <c r="M33" s="17" t="n"/>
      <c r="N33" s="17">
        <f>IF(OR(G33="",H33=""),"",IF(AND(G33="CONFIDENTIAL",H33="Physical Destruction",J33="Yes"),"Yes",IF(G33="PUBLIC","Yes",IF(J33="N/A","Yes","Check"))))</f>
        <v/>
      </c>
      <c r="O33" s="17" t="n"/>
    </row>
    <row r="34">
      <c r="A34" s="17" t="n"/>
      <c r="B34" s="17" t="n"/>
      <c r="C34" s="17" t="n"/>
      <c r="D34" s="17" t="n"/>
      <c r="E34" s="17" t="n"/>
      <c r="F34" s="17" t="n"/>
      <c r="G34" s="17" t="n"/>
      <c r="H34" s="17" t="n"/>
      <c r="I34" s="17" t="n"/>
      <c r="J34" s="17" t="n"/>
      <c r="K34" s="17" t="n"/>
      <c r="L34" s="17" t="n"/>
      <c r="M34" s="17" t="n"/>
      <c r="N34" s="17">
        <f>IF(OR(G34="",H34=""),"",IF(AND(G34="CONFIDENTIAL",H34="Physical Destruction",J34="Yes"),"Yes",IF(G34="PUBLIC","Yes",IF(J34="N/A","Yes","Check"))))</f>
        <v/>
      </c>
      <c r="O34" s="17" t="n"/>
    </row>
    <row r="35">
      <c r="A35" s="17" t="n"/>
      <c r="B35" s="17" t="n"/>
      <c r="C35" s="17" t="n"/>
      <c r="D35" s="17" t="n"/>
      <c r="E35" s="17" t="n"/>
      <c r="F35" s="17" t="n"/>
      <c r="G35" s="17" t="n"/>
      <c r="H35" s="17" t="n"/>
      <c r="I35" s="17" t="n"/>
      <c r="J35" s="17" t="n"/>
      <c r="K35" s="17" t="n"/>
      <c r="L35" s="17" t="n"/>
      <c r="M35" s="17" t="n"/>
      <c r="N35" s="17">
        <f>IF(OR(G35="",H35=""),"",IF(AND(G35="CONFIDENTIAL",H35="Physical Destruction",J35="Yes"),"Yes",IF(G35="PUBLIC","Yes",IF(J35="N/A","Yes","Check"))))</f>
        <v/>
      </c>
      <c r="O35" s="17" t="n"/>
    </row>
    <row r="36">
      <c r="A36" s="17" t="n"/>
      <c r="B36" s="17" t="n"/>
      <c r="C36" s="17" t="n"/>
      <c r="D36" s="17" t="n"/>
      <c r="E36" s="17" t="n"/>
      <c r="F36" s="17" t="n"/>
      <c r="G36" s="17" t="n"/>
      <c r="H36" s="17" t="n"/>
      <c r="I36" s="17" t="n"/>
      <c r="J36" s="17" t="n"/>
      <c r="K36" s="17" t="n"/>
      <c r="L36" s="17" t="n"/>
      <c r="M36" s="17" t="n"/>
      <c r="N36" s="17">
        <f>IF(OR(G36="",H36=""),"",IF(AND(G36="CONFIDENTIAL",H36="Physical Destruction",J36="Yes"),"Yes",IF(G36="PUBLIC","Yes",IF(J36="N/A","Yes","Check"))))</f>
        <v/>
      </c>
      <c r="O36" s="17" t="n"/>
    </row>
    <row r="37">
      <c r="A37" s="17" t="n"/>
      <c r="B37" s="17" t="n"/>
      <c r="C37" s="17" t="n"/>
      <c r="D37" s="17" t="n"/>
      <c r="E37" s="17" t="n"/>
      <c r="F37" s="17" t="n"/>
      <c r="G37" s="17" t="n"/>
      <c r="H37" s="17" t="n"/>
      <c r="I37" s="17" t="n"/>
      <c r="J37" s="17" t="n"/>
      <c r="K37" s="17" t="n"/>
      <c r="L37" s="17" t="n"/>
      <c r="M37" s="17" t="n"/>
      <c r="N37" s="17">
        <f>IF(OR(G37="",H37=""),"",IF(AND(G37="CONFIDENTIAL",H37="Physical Destruction",J37="Yes"),"Yes",IF(G37="PUBLIC","Yes",IF(J37="N/A","Yes","Check"))))</f>
        <v/>
      </c>
      <c r="O37" s="17" t="n"/>
    </row>
    <row r="38">
      <c r="A38" s="17" t="n"/>
      <c r="B38" s="17" t="n"/>
      <c r="C38" s="17" t="n"/>
      <c r="D38" s="17" t="n"/>
      <c r="E38" s="17" t="n"/>
      <c r="F38" s="17" t="n"/>
      <c r="G38" s="17" t="n"/>
      <c r="H38" s="17" t="n"/>
      <c r="I38" s="17" t="n"/>
      <c r="J38" s="17" t="n"/>
      <c r="K38" s="17" t="n"/>
      <c r="L38" s="17" t="n"/>
      <c r="M38" s="17" t="n"/>
      <c r="N38" s="17">
        <f>IF(OR(G38="",H38=""),"",IF(AND(G38="CONFIDENTIAL",H38="Physical Destruction",J38="Yes"),"Yes",IF(G38="PUBLIC","Yes",IF(J38="N/A","Yes","Check"))))</f>
        <v/>
      </c>
      <c r="O38" s="17" t="n"/>
    </row>
    <row r="39">
      <c r="A39" s="17" t="n"/>
      <c r="B39" s="17" t="n"/>
      <c r="C39" s="17" t="n"/>
      <c r="D39" s="17" t="n"/>
      <c r="E39" s="17" t="n"/>
      <c r="F39" s="17" t="n"/>
      <c r="G39" s="17" t="n"/>
      <c r="H39" s="17" t="n"/>
      <c r="I39" s="17" t="n"/>
      <c r="J39" s="17" t="n"/>
      <c r="K39" s="17" t="n"/>
      <c r="L39" s="17" t="n"/>
      <c r="M39" s="17" t="n"/>
      <c r="N39" s="17">
        <f>IF(OR(G39="",H39=""),"",IF(AND(G39="CONFIDENTIAL",H39="Physical Destruction",J39="Yes"),"Yes",IF(G39="PUBLIC","Yes",IF(J39="N/A","Yes","Check"))))</f>
        <v/>
      </c>
      <c r="O39" s="17" t="n"/>
    </row>
    <row r="40">
      <c r="A40" s="17" t="n"/>
      <c r="B40" s="17" t="n"/>
      <c r="C40" s="17" t="n"/>
      <c r="D40" s="17" t="n"/>
      <c r="E40" s="17" t="n"/>
      <c r="F40" s="17" t="n"/>
      <c r="G40" s="17" t="n"/>
      <c r="H40" s="17" t="n"/>
      <c r="I40" s="17" t="n"/>
      <c r="J40" s="17" t="n"/>
      <c r="K40" s="17" t="n"/>
      <c r="L40" s="17" t="n"/>
      <c r="M40" s="17" t="n"/>
      <c r="N40" s="17">
        <f>IF(OR(G40="",H40=""),"",IF(AND(G40="CONFIDENTIAL",H40="Physical Destruction",J40="Yes"),"Yes",IF(G40="PUBLIC","Yes",IF(J40="N/A","Yes","Check"))))</f>
        <v/>
      </c>
      <c r="O40" s="17" t="n"/>
    </row>
    <row r="41">
      <c r="A41" s="17" t="n"/>
      <c r="B41" s="17" t="n"/>
      <c r="C41" s="17" t="n"/>
      <c r="D41" s="17" t="n"/>
      <c r="E41" s="17" t="n"/>
      <c r="F41" s="17" t="n"/>
      <c r="G41" s="17" t="n"/>
      <c r="H41" s="17" t="n"/>
      <c r="I41" s="17" t="n"/>
      <c r="J41" s="17" t="n"/>
      <c r="K41" s="17" t="n"/>
      <c r="L41" s="17" t="n"/>
      <c r="M41" s="17" t="n"/>
      <c r="N41" s="17">
        <f>IF(OR(G41="",H41=""),"",IF(AND(G41="CONFIDENTIAL",H41="Physical Destruction",J41="Yes"),"Yes",IF(G41="PUBLIC","Yes",IF(J41="N/A","Yes","Check"))))</f>
        <v/>
      </c>
      <c r="O41" s="17" t="n"/>
    </row>
    <row r="42">
      <c r="A42" s="17" t="n"/>
      <c r="B42" s="17" t="n"/>
      <c r="C42" s="17" t="n"/>
      <c r="D42" s="17" t="n"/>
      <c r="E42" s="17" t="n"/>
      <c r="F42" s="17" t="n"/>
      <c r="G42" s="17" t="n"/>
      <c r="H42" s="17" t="n"/>
      <c r="I42" s="17" t="n"/>
      <c r="J42" s="17" t="n"/>
      <c r="K42" s="17" t="n"/>
      <c r="L42" s="17" t="n"/>
      <c r="M42" s="17" t="n"/>
      <c r="N42" s="17">
        <f>IF(OR(G42="",H42=""),"",IF(AND(G42="CONFIDENTIAL",H42="Physical Destruction",J42="Yes"),"Yes",IF(G42="PUBLIC","Yes",IF(J42="N/A","Yes","Check"))))</f>
        <v/>
      </c>
      <c r="O42" s="17" t="n"/>
    </row>
    <row r="43">
      <c r="A43" s="17" t="n"/>
      <c r="B43" s="17" t="n"/>
      <c r="C43" s="17" t="n"/>
      <c r="D43" s="17" t="n"/>
      <c r="E43" s="17" t="n"/>
      <c r="F43" s="17" t="n"/>
      <c r="G43" s="17" t="n"/>
      <c r="H43" s="17" t="n"/>
      <c r="I43" s="17" t="n"/>
      <c r="J43" s="17" t="n"/>
      <c r="K43" s="17" t="n"/>
      <c r="L43" s="17" t="n"/>
      <c r="M43" s="17" t="n"/>
      <c r="N43" s="17">
        <f>IF(OR(G43="",H43=""),"",IF(AND(G43="CONFIDENTIAL",H43="Physical Destruction",J43="Yes"),"Yes",IF(G43="PUBLIC","Yes",IF(J43="N/A","Yes","Check"))))</f>
        <v/>
      </c>
      <c r="O43" s="17" t="n"/>
    </row>
    <row r="44">
      <c r="A44" s="17" t="n"/>
      <c r="B44" s="17" t="n"/>
      <c r="C44" s="17" t="n"/>
      <c r="D44" s="17" t="n"/>
      <c r="E44" s="17" t="n"/>
      <c r="F44" s="17" t="n"/>
      <c r="G44" s="17" t="n"/>
      <c r="H44" s="17" t="n"/>
      <c r="I44" s="17" t="n"/>
      <c r="J44" s="17" t="n"/>
      <c r="K44" s="17" t="n"/>
      <c r="L44" s="17" t="n"/>
      <c r="M44" s="17" t="n"/>
      <c r="N44" s="17">
        <f>IF(OR(G44="",H44=""),"",IF(AND(G44="CONFIDENTIAL",H44="Physical Destruction",J44="Yes"),"Yes",IF(G44="PUBLIC","Yes",IF(J44="N/A","Yes","Check"))))</f>
        <v/>
      </c>
      <c r="O44" s="17" t="n"/>
    </row>
    <row r="45">
      <c r="A45" s="17" t="n"/>
      <c r="B45" s="17" t="n"/>
      <c r="C45" s="17" t="n"/>
      <c r="D45" s="17" t="n"/>
      <c r="E45" s="17" t="n"/>
      <c r="F45" s="17" t="n"/>
      <c r="G45" s="17" t="n"/>
      <c r="H45" s="17" t="n"/>
      <c r="I45" s="17" t="n"/>
      <c r="J45" s="17" t="n"/>
      <c r="K45" s="17" t="n"/>
      <c r="L45" s="17" t="n"/>
      <c r="M45" s="17" t="n"/>
      <c r="N45" s="17">
        <f>IF(OR(G45="",H45=""),"",IF(AND(G45="CONFIDENTIAL",H45="Physical Destruction",J45="Yes"),"Yes",IF(G45="PUBLIC","Yes",IF(J45="N/A","Yes","Check"))))</f>
        <v/>
      </c>
      <c r="O45" s="17" t="n"/>
    </row>
    <row r="46">
      <c r="A46" s="17" t="n"/>
      <c r="B46" s="17" t="n"/>
      <c r="C46" s="17" t="n"/>
      <c r="D46" s="17" t="n"/>
      <c r="E46" s="17" t="n"/>
      <c r="F46" s="17" t="n"/>
      <c r="G46" s="17" t="n"/>
      <c r="H46" s="17" t="n"/>
      <c r="I46" s="17" t="n"/>
      <c r="J46" s="17" t="n"/>
      <c r="K46" s="17" t="n"/>
      <c r="L46" s="17" t="n"/>
      <c r="M46" s="17" t="n"/>
      <c r="N46" s="17">
        <f>IF(OR(G46="",H46=""),"",IF(AND(G46="CONFIDENTIAL",H46="Physical Destruction",J46="Yes"),"Yes",IF(G46="PUBLIC","Yes",IF(J46="N/A","Yes","Check"))))</f>
        <v/>
      </c>
      <c r="O46" s="17" t="n"/>
    </row>
    <row r="47">
      <c r="A47" s="17" t="n"/>
      <c r="B47" s="17" t="n"/>
      <c r="C47" s="17" t="n"/>
      <c r="D47" s="17" t="n"/>
      <c r="E47" s="17" t="n"/>
      <c r="F47" s="17" t="n"/>
      <c r="G47" s="17" t="n"/>
      <c r="H47" s="17" t="n"/>
      <c r="I47" s="17" t="n"/>
      <c r="J47" s="17" t="n"/>
      <c r="K47" s="17" t="n"/>
      <c r="L47" s="17" t="n"/>
      <c r="M47" s="17" t="n"/>
      <c r="N47" s="17">
        <f>IF(OR(G47="",H47=""),"",IF(AND(G47="CONFIDENTIAL",H47="Physical Destruction",J47="Yes"),"Yes",IF(G47="PUBLIC","Yes",IF(J47="N/A","Yes","Check"))))</f>
        <v/>
      </c>
      <c r="O47" s="17" t="n"/>
    </row>
    <row r="48">
      <c r="A48" s="17" t="n"/>
      <c r="B48" s="17" t="n"/>
      <c r="C48" s="17" t="n"/>
      <c r="D48" s="17" t="n"/>
      <c r="E48" s="17" t="n"/>
      <c r="F48" s="17" t="n"/>
      <c r="G48" s="17" t="n"/>
      <c r="H48" s="17" t="n"/>
      <c r="I48" s="17" t="n"/>
      <c r="J48" s="17" t="n"/>
      <c r="K48" s="17" t="n"/>
      <c r="L48" s="17" t="n"/>
      <c r="M48" s="17" t="n"/>
      <c r="N48" s="17">
        <f>IF(OR(G48="",H48=""),"",IF(AND(G48="CONFIDENTIAL",H48="Physical Destruction",J48="Yes"),"Yes",IF(G48="PUBLIC","Yes",IF(J48="N/A","Yes","Check"))))</f>
        <v/>
      </c>
      <c r="O48" s="17" t="n"/>
    </row>
    <row r="49">
      <c r="A49" s="17" t="n"/>
      <c r="B49" s="17" t="n"/>
      <c r="C49" s="17" t="n"/>
      <c r="D49" s="17" t="n"/>
      <c r="E49" s="17" t="n"/>
      <c r="F49" s="17" t="n"/>
      <c r="G49" s="17" t="n"/>
      <c r="H49" s="17" t="n"/>
      <c r="I49" s="17" t="n"/>
      <c r="J49" s="17" t="n"/>
      <c r="K49" s="17" t="n"/>
      <c r="L49" s="17" t="n"/>
      <c r="M49" s="17" t="n"/>
      <c r="N49" s="17">
        <f>IF(OR(G49="",H49=""),"",IF(AND(G49="CONFIDENTIAL",H49="Physical Destruction",J49="Yes"),"Yes",IF(G49="PUBLIC","Yes",IF(J49="N/A","Yes","Check"))))</f>
        <v/>
      </c>
      <c r="O49" s="17" t="n"/>
    </row>
    <row r="50">
      <c r="A50" s="17" t="n"/>
      <c r="B50" s="17" t="n"/>
      <c r="C50" s="17" t="n"/>
      <c r="D50" s="17" t="n"/>
      <c r="E50" s="17" t="n"/>
      <c r="F50" s="17" t="n"/>
      <c r="G50" s="17" t="n"/>
      <c r="H50" s="17" t="n"/>
      <c r="I50" s="17" t="n"/>
      <c r="J50" s="17" t="n"/>
      <c r="K50" s="17" t="n"/>
      <c r="L50" s="17" t="n"/>
      <c r="M50" s="17" t="n"/>
      <c r="N50" s="17">
        <f>IF(OR(G50="",H50=""),"",IF(AND(G50="CONFIDENTIAL",H50="Physical Destruction",J50="Yes"),"Yes",IF(G50="PUBLIC","Yes",IF(J50="N/A","Yes","Check"))))</f>
        <v/>
      </c>
      <c r="O50" s="17" t="n"/>
    </row>
    <row r="51">
      <c r="A51" s="17" t="n"/>
      <c r="B51" s="17" t="n"/>
      <c r="C51" s="17" t="n"/>
      <c r="D51" s="17" t="n"/>
      <c r="E51" s="17" t="n"/>
      <c r="F51" s="17" t="n"/>
      <c r="G51" s="17" t="n"/>
      <c r="H51" s="17" t="n"/>
      <c r="I51" s="17" t="n"/>
      <c r="J51" s="17" t="n"/>
      <c r="K51" s="17" t="n"/>
      <c r="L51" s="17" t="n"/>
      <c r="M51" s="17" t="n"/>
      <c r="N51" s="17">
        <f>IF(OR(G51="",H51=""),"",IF(AND(G51="CONFIDENTIAL",H51="Physical Destruction",J51="Yes"),"Yes",IF(G51="PUBLIC","Yes",IF(J51="N/A","Yes","Check"))))</f>
        <v/>
      </c>
      <c r="O51" s="17" t="n"/>
    </row>
    <row r="52">
      <c r="A52" s="17" t="n"/>
      <c r="B52" s="17" t="n"/>
      <c r="C52" s="17" t="n"/>
      <c r="D52" s="17" t="n"/>
      <c r="E52" s="17" t="n"/>
      <c r="F52" s="17" t="n"/>
      <c r="G52" s="17" t="n"/>
      <c r="H52" s="17" t="n"/>
      <c r="I52" s="17" t="n"/>
      <c r="J52" s="17" t="n"/>
      <c r="K52" s="17" t="n"/>
      <c r="L52" s="17" t="n"/>
      <c r="M52" s="17" t="n"/>
      <c r="N52" s="17">
        <f>IF(OR(G52="",H52=""),"",IF(AND(G52="CONFIDENTIAL",H52="Physical Destruction",J52="Yes"),"Yes",IF(G52="PUBLIC","Yes",IF(J52="N/A","Yes","Check"))))</f>
        <v/>
      </c>
      <c r="O52" s="17" t="n"/>
    </row>
    <row r="53">
      <c r="A53" s="17" t="n"/>
      <c r="B53" s="17" t="n"/>
      <c r="C53" s="17" t="n"/>
      <c r="D53" s="17" t="n"/>
      <c r="E53" s="17" t="n"/>
      <c r="F53" s="17" t="n"/>
      <c r="G53" s="17" t="n"/>
      <c r="H53" s="17" t="n"/>
      <c r="I53" s="17" t="n"/>
      <c r="J53" s="17" t="n"/>
      <c r="K53" s="17" t="n"/>
      <c r="L53" s="17" t="n"/>
      <c r="M53" s="17" t="n"/>
      <c r="N53" s="17">
        <f>IF(OR(G53="",H53=""),"",IF(AND(G53="CONFIDENTIAL",H53="Physical Destruction",J53="Yes"),"Yes",IF(G53="PUBLIC","Yes",IF(J53="N/A","Yes","Check"))))</f>
        <v/>
      </c>
      <c r="O53" s="17" t="n"/>
    </row>
    <row r="54">
      <c r="A54" s="17" t="n"/>
      <c r="B54" s="17" t="n"/>
      <c r="C54" s="17" t="n"/>
      <c r="D54" s="17" t="n"/>
      <c r="E54" s="17" t="n"/>
      <c r="F54" s="17" t="n"/>
      <c r="G54" s="17" t="n"/>
      <c r="H54" s="17" t="n"/>
      <c r="I54" s="17" t="n"/>
      <c r="J54" s="17" t="n"/>
      <c r="K54" s="17" t="n"/>
      <c r="L54" s="17" t="n"/>
      <c r="M54" s="17" t="n"/>
      <c r="N54" s="17">
        <f>IF(OR(G54="",H54=""),"",IF(AND(G54="CONFIDENTIAL",H54="Physical Destruction",J54="Yes"),"Yes",IF(G54="PUBLIC","Yes",IF(J54="N/A","Yes","Check"))))</f>
        <v/>
      </c>
      <c r="O54" s="17" t="n"/>
    </row>
  </sheetData>
  <mergeCells count="1">
    <mergeCell ref="A1:O1"/>
  </mergeCells>
  <dataValidations count="6">
    <dataValidation sqref="D4 D5 D6 D7 D8 D9 D10 D11 D12 D13 D14 D15 D16 D17 D18 D19 D20 D21 D22 D23 D24 D25 D26 D27 D28 D29 D30 D31 D32 D33 D34 D35 D36 D37 D38 D39 D40 D41 D42 D43 D44 D45 D46 D47 D48 D49 D50 D51 D52 D53 D54" showDropDown="0" showInputMessage="0" showErrorMessage="0" allowBlank="1" type="list">
      <formula1>"Laptop,Desktop,Server,Mobile,Printer,Network,Storage,USB/Media,Other"</formula1>
    </dataValidation>
    <dataValidation sqref="G4 G5 G6 G7 G8 G9 G10 G11 G12 G13 G14 G15 G16 G17 G18 G19 G20 G21 G22 G23 G24 G25 G26 G27 G28 G29 G30 G31 G32 G33 G34 G35 G36 G37 G38 G39 G40 G41 G42 G43 G44 G45 G46 G47 G48 G49 G50 G51 G52 G53 G54" showDropDown="0" showInputMessage="0" showErrorMessage="0" allowBlank="1" type="list">
      <formula1>"CONFIDENTIAL,INTERNAL,PUBLIC,Unknown"</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1" type="list">
      <formula1>"Physical Destruction,Secure Overwrite,Crypto Erase,Factory Reset,Format,Config Wipe"</formula1>
    </dataValidation>
    <dataValidation sqref="I4 I5 I6 I7 I8 I9 I10 I11 I12 I13 I14 I15 I16 I17 I18 I19 I20 I21 I22 I23 I24 I25 I26 I27 I28 I29 I30 I31 I32 I33 I34 I35 I36 I37 I38 I39 I40 I41 I42 I43 I44 I45 I46 I47 I48 I49 I50 I51 I52 I53 I54" showDropDown="0" showInputMessage="0" showErrorMessage="0" allowBlank="1" type="list">
      <formula1>"Vendor Destruction,Internal Re-Use,Donation,Sale,Recycling"</formula1>
    </dataValidation>
    <dataValidation sqref="J4 J5 J6 J7 J8 J9 J10 J11 J12 J13 J14 J15 J16 J17 J18 J19 J20 J21 J22 J23 J24 J25 J26 J27 J28 J29 J30 J31 J32 J33 J34 J35 J36 J37 J38 J39 J40 J41 J42 J43 J44 J45 J46 J47 J48 J49 J50 J51 J52 J53 J54" showDropDown="0" showInputMessage="0" showErrorMessage="0" allowBlank="1" type="list">
      <formula1>"Yes,No,N/A"</formula1>
    </dataValidation>
    <dataValidation sqref="M4 M5 M6 M7 M8 M9 M10 M11 M12 M13 M14 M15 M16 M17 M18 M19 M20 M21 M22 M23 M24 M25 M26 M27 M28 M29 M30 M31 M32 M33 M34 M35 M36 M37 M38 M39 M40 M41 M42 M43 M44 M45 M46 M47 M48 M49 M50 M51 M52 M53 M54"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8" t="inlineStr">
        <is>
          <t>EVIDENCE REGISTER</t>
        </is>
      </c>
    </row>
    <row r="2">
      <c r="A2" s="19" t="inlineStr">
        <is>
          <t>List all evidence files/documents referenced in this assessment (audit traceability).</t>
        </is>
      </c>
    </row>
    <row r="4">
      <c r="A4" s="20" t="inlineStr">
        <is>
          <t>Evidence ID</t>
        </is>
      </c>
      <c r="B4" s="20" t="inlineStr">
        <is>
          <t>Assessment Area</t>
        </is>
      </c>
      <c r="C4" s="20" t="inlineStr">
        <is>
          <t>Evidence Type</t>
        </is>
      </c>
      <c r="D4" s="20" t="inlineStr">
        <is>
          <t>Description</t>
        </is>
      </c>
      <c r="E4" s="20" t="inlineStr">
        <is>
          <t>Location/Path</t>
        </is>
      </c>
      <c r="F4" s="20" t="inlineStr">
        <is>
          <t>Date Collected</t>
        </is>
      </c>
      <c r="G4" s="20" t="inlineStr">
        <is>
          <t>Collected By</t>
        </is>
      </c>
      <c r="H4" s="20" t="inlineStr">
        <is>
          <t>Verification Status</t>
        </is>
      </c>
    </row>
    <row r="5">
      <c r="A5" s="21" t="inlineStr">
        <is>
          <t>EV-001</t>
        </is>
      </c>
      <c r="B5" s="22" t="n"/>
      <c r="C5" s="22" t="n"/>
      <c r="D5" s="22" t="n"/>
      <c r="E5" s="22" t="n"/>
      <c r="F5" s="22" t="n"/>
      <c r="G5" s="22" t="n"/>
      <c r="H5" s="22" t="n"/>
    </row>
    <row r="6">
      <c r="A6" s="14" t="n"/>
      <c r="B6" s="14" t="n"/>
      <c r="C6" s="14" t="n"/>
      <c r="D6" s="14" t="n"/>
      <c r="E6" s="14" t="n"/>
      <c r="F6" s="14" t="n"/>
      <c r="G6" s="14" t="n"/>
      <c r="H6" s="14" t="n"/>
    </row>
    <row r="7">
      <c r="A7" s="14" t="n"/>
      <c r="B7" s="14" t="n"/>
      <c r="C7" s="14" t="n"/>
      <c r="D7" s="14" t="n"/>
      <c r="E7" s="14" t="n"/>
      <c r="F7" s="14" t="n"/>
      <c r="G7" s="14" t="n"/>
      <c r="H7" s="14" t="n"/>
    </row>
    <row r="8">
      <c r="A8" s="14" t="n"/>
      <c r="B8" s="14" t="n"/>
      <c r="C8" s="14" t="n"/>
      <c r="D8" s="14" t="n"/>
      <c r="E8" s="14" t="n"/>
      <c r="F8" s="14" t="n"/>
      <c r="G8" s="14" t="n"/>
      <c r="H8" s="14" t="n"/>
    </row>
    <row r="9">
      <c r="A9" s="14" t="n"/>
      <c r="B9" s="14" t="n"/>
      <c r="C9" s="14" t="n"/>
      <c r="D9" s="14" t="n"/>
      <c r="E9" s="14" t="n"/>
      <c r="F9" s="14" t="n"/>
      <c r="G9" s="14" t="n"/>
      <c r="H9" s="14" t="n"/>
    </row>
    <row r="10">
      <c r="A10" s="14" t="n"/>
      <c r="B10" s="14" t="n"/>
      <c r="C10" s="14" t="n"/>
      <c r="D10" s="14" t="n"/>
      <c r="E10" s="14" t="n"/>
      <c r="F10" s="14" t="n"/>
      <c r="G10" s="14" t="n"/>
      <c r="H10" s="14" t="n"/>
    </row>
    <row r="11">
      <c r="A11" s="14" t="n"/>
      <c r="B11" s="14" t="n"/>
      <c r="C11" s="14" t="n"/>
      <c r="D11" s="14" t="n"/>
      <c r="E11" s="14" t="n"/>
      <c r="F11" s="14" t="n"/>
      <c r="G11" s="14" t="n"/>
      <c r="H11" s="14" t="n"/>
    </row>
    <row r="12">
      <c r="A12" s="14" t="n"/>
      <c r="B12" s="14" t="n"/>
      <c r="C12" s="14" t="n"/>
      <c r="D12" s="14" t="n"/>
      <c r="E12" s="14" t="n"/>
      <c r="F12" s="14" t="n"/>
      <c r="G12" s="14" t="n"/>
      <c r="H12" s="14" t="n"/>
    </row>
    <row r="13">
      <c r="A13" s="14" t="n"/>
      <c r="B13" s="14" t="n"/>
      <c r="C13" s="14" t="n"/>
      <c r="D13" s="14" t="n"/>
      <c r="E13" s="14" t="n"/>
      <c r="F13" s="14" t="n"/>
      <c r="G13" s="14" t="n"/>
      <c r="H13" s="14" t="n"/>
    </row>
    <row r="14">
      <c r="A14" s="14" t="n"/>
      <c r="B14" s="14" t="n"/>
      <c r="C14" s="14" t="n"/>
      <c r="D14" s="14" t="n"/>
      <c r="E14" s="14" t="n"/>
      <c r="F14" s="14" t="n"/>
      <c r="G14" s="14" t="n"/>
      <c r="H14" s="14" t="n"/>
    </row>
    <row r="15">
      <c r="A15" s="14" t="n"/>
      <c r="B15" s="14" t="n"/>
      <c r="C15" s="14" t="n"/>
      <c r="D15" s="14" t="n"/>
      <c r="E15" s="14" t="n"/>
      <c r="F15" s="14" t="n"/>
      <c r="G15" s="14" t="n"/>
      <c r="H15" s="14" t="n"/>
    </row>
    <row r="16">
      <c r="A16" s="14" t="n"/>
      <c r="B16" s="14" t="n"/>
      <c r="C16" s="14" t="n"/>
      <c r="D16" s="14" t="n"/>
      <c r="E16" s="14" t="n"/>
      <c r="F16" s="14" t="n"/>
      <c r="G16" s="14" t="n"/>
      <c r="H16" s="14" t="n"/>
    </row>
    <row r="17">
      <c r="A17" s="14" t="n"/>
      <c r="B17" s="14" t="n"/>
      <c r="C17" s="14" t="n"/>
      <c r="D17" s="14" t="n"/>
      <c r="E17" s="14" t="n"/>
      <c r="F17" s="14" t="n"/>
      <c r="G17" s="14" t="n"/>
      <c r="H17" s="14" t="n"/>
    </row>
    <row r="18">
      <c r="A18" s="14" t="n"/>
      <c r="B18" s="14" t="n"/>
      <c r="C18" s="14" t="n"/>
      <c r="D18" s="14" t="n"/>
      <c r="E18" s="14" t="n"/>
      <c r="F18" s="14" t="n"/>
      <c r="G18" s="14" t="n"/>
      <c r="H18" s="14" t="n"/>
    </row>
    <row r="19">
      <c r="A19" s="14" t="n"/>
      <c r="B19" s="14" t="n"/>
      <c r="C19" s="14" t="n"/>
      <c r="D19" s="14" t="n"/>
      <c r="E19" s="14" t="n"/>
      <c r="F19" s="14" t="n"/>
      <c r="G19" s="14" t="n"/>
      <c r="H19" s="14" t="n"/>
    </row>
    <row r="20">
      <c r="A20" s="14" t="n"/>
      <c r="B20" s="14" t="n"/>
      <c r="C20" s="14" t="n"/>
      <c r="D20" s="14" t="n"/>
      <c r="E20" s="14" t="n"/>
      <c r="F20" s="14" t="n"/>
      <c r="G20" s="14" t="n"/>
      <c r="H20" s="14" t="n"/>
    </row>
    <row r="21">
      <c r="A21" s="14" t="n"/>
      <c r="B21" s="14" t="n"/>
      <c r="C21" s="14" t="n"/>
      <c r="D21" s="14" t="n"/>
      <c r="E21" s="14" t="n"/>
      <c r="F21" s="14" t="n"/>
      <c r="G21" s="14" t="n"/>
      <c r="H21" s="14" t="n"/>
    </row>
    <row r="22">
      <c r="A22" s="14" t="n"/>
      <c r="B22" s="14" t="n"/>
      <c r="C22" s="14" t="n"/>
      <c r="D22" s="14" t="n"/>
      <c r="E22" s="14" t="n"/>
      <c r="F22" s="14" t="n"/>
      <c r="G22" s="14" t="n"/>
      <c r="H22" s="14" t="n"/>
    </row>
    <row r="23">
      <c r="A23" s="14" t="n"/>
      <c r="B23" s="14" t="n"/>
      <c r="C23" s="14" t="n"/>
      <c r="D23" s="14" t="n"/>
      <c r="E23" s="14" t="n"/>
      <c r="F23" s="14" t="n"/>
      <c r="G23" s="14" t="n"/>
      <c r="H23" s="14" t="n"/>
    </row>
    <row r="24">
      <c r="A24" s="14" t="n"/>
      <c r="B24" s="14" t="n"/>
      <c r="C24" s="14" t="n"/>
      <c r="D24" s="14" t="n"/>
      <c r="E24" s="14" t="n"/>
      <c r="F24" s="14" t="n"/>
      <c r="G24" s="14" t="n"/>
      <c r="H24" s="14" t="n"/>
    </row>
    <row r="25">
      <c r="A25" s="14" t="n"/>
      <c r="B25" s="14" t="n"/>
      <c r="C25" s="14" t="n"/>
      <c r="D25" s="14" t="n"/>
      <c r="E25" s="14" t="n"/>
      <c r="F25" s="14" t="n"/>
      <c r="G25" s="14" t="n"/>
      <c r="H25" s="14" t="n"/>
    </row>
    <row r="26">
      <c r="A26" s="14" t="n"/>
      <c r="B26" s="14" t="n"/>
      <c r="C26" s="14" t="n"/>
      <c r="D26" s="14" t="n"/>
      <c r="E26" s="14" t="n"/>
      <c r="F26" s="14" t="n"/>
      <c r="G26" s="14" t="n"/>
      <c r="H26" s="14" t="n"/>
    </row>
    <row r="27">
      <c r="A27" s="14" t="n"/>
      <c r="B27" s="14" t="n"/>
      <c r="C27" s="14" t="n"/>
      <c r="D27" s="14" t="n"/>
      <c r="E27" s="14" t="n"/>
      <c r="F27" s="14" t="n"/>
      <c r="G27" s="14" t="n"/>
      <c r="H27" s="14" t="n"/>
    </row>
    <row r="28">
      <c r="A28" s="14" t="n"/>
      <c r="B28" s="14" t="n"/>
      <c r="C28" s="14" t="n"/>
      <c r="D28" s="14" t="n"/>
      <c r="E28" s="14" t="n"/>
      <c r="F28" s="14" t="n"/>
      <c r="G28" s="14" t="n"/>
      <c r="H28" s="14" t="n"/>
    </row>
    <row r="29">
      <c r="A29" s="14" t="n"/>
      <c r="B29" s="14" t="n"/>
      <c r="C29" s="14" t="n"/>
      <c r="D29" s="14" t="n"/>
      <c r="E29" s="14" t="n"/>
      <c r="F29" s="14" t="n"/>
      <c r="G29" s="14" t="n"/>
      <c r="H29" s="14" t="n"/>
    </row>
    <row r="30">
      <c r="A30" s="14" t="n"/>
      <c r="B30" s="14" t="n"/>
      <c r="C30" s="14" t="n"/>
      <c r="D30" s="14" t="n"/>
      <c r="E30" s="14" t="n"/>
      <c r="F30" s="14" t="n"/>
      <c r="G30" s="14" t="n"/>
      <c r="H30" s="14" t="n"/>
    </row>
    <row r="31">
      <c r="A31" s="14" t="n"/>
      <c r="B31" s="14" t="n"/>
      <c r="C31" s="14" t="n"/>
      <c r="D31" s="14" t="n"/>
      <c r="E31" s="14" t="n"/>
      <c r="F31" s="14" t="n"/>
      <c r="G31" s="14" t="n"/>
      <c r="H31" s="14" t="n"/>
    </row>
    <row r="32">
      <c r="A32" s="14" t="n"/>
      <c r="B32" s="14" t="n"/>
      <c r="C32" s="14" t="n"/>
      <c r="D32" s="14" t="n"/>
      <c r="E32" s="14" t="n"/>
      <c r="F32" s="14" t="n"/>
      <c r="G32" s="14" t="n"/>
      <c r="H32" s="14" t="n"/>
    </row>
    <row r="33">
      <c r="A33" s="14" t="n"/>
      <c r="B33" s="14" t="n"/>
      <c r="C33" s="14" t="n"/>
      <c r="D33" s="14" t="n"/>
      <c r="E33" s="14" t="n"/>
      <c r="F33" s="14" t="n"/>
      <c r="G33" s="14" t="n"/>
      <c r="H33" s="14" t="n"/>
    </row>
    <row r="34">
      <c r="A34" s="14" t="n"/>
      <c r="B34" s="14" t="n"/>
      <c r="C34" s="14" t="n"/>
      <c r="D34" s="14" t="n"/>
      <c r="E34" s="14" t="n"/>
      <c r="F34" s="14" t="n"/>
      <c r="G34" s="14" t="n"/>
      <c r="H34" s="14" t="n"/>
    </row>
    <row r="35">
      <c r="A35" s="14" t="n"/>
      <c r="B35" s="14" t="n"/>
      <c r="C35" s="14" t="n"/>
      <c r="D35" s="14" t="n"/>
      <c r="E35" s="14" t="n"/>
      <c r="F35" s="14" t="n"/>
      <c r="G35" s="14" t="n"/>
      <c r="H35" s="14" t="n"/>
    </row>
    <row r="36">
      <c r="A36" s="14" t="n"/>
      <c r="B36" s="14" t="n"/>
      <c r="C36" s="14" t="n"/>
      <c r="D36" s="14" t="n"/>
      <c r="E36" s="14" t="n"/>
      <c r="F36" s="14" t="n"/>
      <c r="G36" s="14" t="n"/>
      <c r="H36" s="14" t="n"/>
    </row>
    <row r="37">
      <c r="A37" s="14" t="n"/>
      <c r="B37" s="14" t="n"/>
      <c r="C37" s="14" t="n"/>
      <c r="D37" s="14" t="n"/>
      <c r="E37" s="14" t="n"/>
      <c r="F37" s="14" t="n"/>
      <c r="G37" s="14" t="n"/>
      <c r="H37" s="14" t="n"/>
    </row>
    <row r="38">
      <c r="A38" s="14" t="n"/>
      <c r="B38" s="14" t="n"/>
      <c r="C38" s="14" t="n"/>
      <c r="D38" s="14" t="n"/>
      <c r="E38" s="14" t="n"/>
      <c r="F38" s="14" t="n"/>
      <c r="G38" s="14" t="n"/>
      <c r="H38" s="14" t="n"/>
    </row>
    <row r="39">
      <c r="A39" s="14" t="n"/>
      <c r="B39" s="14" t="n"/>
      <c r="C39" s="14" t="n"/>
      <c r="D39" s="14" t="n"/>
      <c r="E39" s="14" t="n"/>
      <c r="F39" s="14" t="n"/>
      <c r="G39" s="14" t="n"/>
      <c r="H39" s="14" t="n"/>
    </row>
    <row r="40">
      <c r="A40" s="14" t="n"/>
      <c r="B40" s="14" t="n"/>
      <c r="C40" s="14" t="n"/>
      <c r="D40" s="14" t="n"/>
      <c r="E40" s="14" t="n"/>
      <c r="F40" s="14" t="n"/>
      <c r="G40" s="14" t="n"/>
      <c r="H40" s="14" t="n"/>
    </row>
    <row r="41">
      <c r="A41" s="14" t="n"/>
      <c r="B41" s="14" t="n"/>
      <c r="C41" s="14" t="n"/>
      <c r="D41" s="14" t="n"/>
      <c r="E41" s="14" t="n"/>
      <c r="F41" s="14" t="n"/>
      <c r="G41" s="14" t="n"/>
      <c r="H41" s="14" t="n"/>
    </row>
    <row r="42">
      <c r="A42" s="14" t="n"/>
      <c r="B42" s="14" t="n"/>
      <c r="C42" s="14" t="n"/>
      <c r="D42" s="14" t="n"/>
      <c r="E42" s="14" t="n"/>
      <c r="F42" s="14" t="n"/>
      <c r="G42" s="14" t="n"/>
      <c r="H42" s="14" t="n"/>
    </row>
    <row r="43">
      <c r="A43" s="14" t="n"/>
      <c r="B43" s="14" t="n"/>
      <c r="C43" s="14" t="n"/>
      <c r="D43" s="14" t="n"/>
      <c r="E43" s="14" t="n"/>
      <c r="F43" s="14" t="n"/>
      <c r="G43" s="14" t="n"/>
      <c r="H43" s="14" t="n"/>
    </row>
    <row r="44">
      <c r="A44" s="14" t="n"/>
      <c r="B44" s="14" t="n"/>
      <c r="C44" s="14" t="n"/>
      <c r="D44" s="14" t="n"/>
      <c r="E44" s="14" t="n"/>
      <c r="F44" s="14" t="n"/>
      <c r="G44" s="14" t="n"/>
      <c r="H44" s="14" t="n"/>
    </row>
    <row r="45">
      <c r="A45" s="14" t="n"/>
      <c r="B45" s="14" t="n"/>
      <c r="C45" s="14" t="n"/>
      <c r="D45" s="14" t="n"/>
      <c r="E45" s="14" t="n"/>
      <c r="F45" s="14" t="n"/>
      <c r="G45" s="14" t="n"/>
      <c r="H45" s="14" t="n"/>
    </row>
    <row r="46">
      <c r="A46" s="14" t="n"/>
      <c r="B46" s="14" t="n"/>
      <c r="C46" s="14" t="n"/>
      <c r="D46" s="14" t="n"/>
      <c r="E46" s="14" t="n"/>
      <c r="F46" s="14" t="n"/>
      <c r="G46" s="14" t="n"/>
      <c r="H46" s="14" t="n"/>
    </row>
    <row r="47">
      <c r="A47" s="14" t="n"/>
      <c r="B47" s="14" t="n"/>
      <c r="C47" s="14" t="n"/>
      <c r="D47" s="14" t="n"/>
      <c r="E47" s="14" t="n"/>
      <c r="F47" s="14" t="n"/>
      <c r="G47" s="14" t="n"/>
      <c r="H47" s="14" t="n"/>
    </row>
    <row r="48">
      <c r="A48" s="14" t="n"/>
      <c r="B48" s="14" t="n"/>
      <c r="C48" s="14" t="n"/>
      <c r="D48" s="14" t="n"/>
      <c r="E48" s="14" t="n"/>
      <c r="F48" s="14" t="n"/>
      <c r="G48" s="14" t="n"/>
      <c r="H48" s="14" t="n"/>
    </row>
    <row r="49">
      <c r="A49" s="14" t="n"/>
      <c r="B49" s="14" t="n"/>
      <c r="C49" s="14" t="n"/>
      <c r="D49" s="14" t="n"/>
      <c r="E49" s="14" t="n"/>
      <c r="F49" s="14" t="n"/>
      <c r="G49" s="14" t="n"/>
      <c r="H49" s="14" t="n"/>
    </row>
    <row r="50">
      <c r="A50" s="14" t="n"/>
      <c r="B50" s="14" t="n"/>
      <c r="C50" s="14" t="n"/>
      <c r="D50" s="14" t="n"/>
      <c r="E50" s="14" t="n"/>
      <c r="F50" s="14" t="n"/>
      <c r="G50" s="14" t="n"/>
      <c r="H50" s="14" t="n"/>
    </row>
    <row r="51">
      <c r="A51" s="14" t="n"/>
      <c r="B51" s="14" t="n"/>
      <c r="C51" s="14" t="n"/>
      <c r="D51" s="14" t="n"/>
      <c r="E51" s="14" t="n"/>
      <c r="F51" s="14" t="n"/>
      <c r="G51" s="14" t="n"/>
      <c r="H51" s="14" t="n"/>
    </row>
    <row r="52">
      <c r="A52" s="14" t="n"/>
      <c r="B52" s="14" t="n"/>
      <c r="C52" s="14" t="n"/>
      <c r="D52" s="14" t="n"/>
      <c r="E52" s="14" t="n"/>
      <c r="F52" s="14" t="n"/>
      <c r="G52" s="14" t="n"/>
      <c r="H52" s="14" t="n"/>
    </row>
    <row r="53">
      <c r="A53" s="14" t="n"/>
      <c r="B53" s="14" t="n"/>
      <c r="C53" s="14" t="n"/>
      <c r="D53" s="14" t="n"/>
      <c r="E53" s="14" t="n"/>
      <c r="F53" s="14" t="n"/>
      <c r="G53" s="14" t="n"/>
      <c r="H53" s="14" t="n"/>
    </row>
    <row r="54">
      <c r="A54" s="14" t="n"/>
      <c r="B54" s="14" t="n"/>
      <c r="C54" s="14" t="n"/>
      <c r="D54" s="14" t="n"/>
      <c r="E54" s="14" t="n"/>
      <c r="F54" s="14" t="n"/>
      <c r="G54" s="14" t="n"/>
      <c r="H54" s="14" t="n"/>
    </row>
    <row r="55">
      <c r="A55" s="14" t="n"/>
      <c r="B55" s="14" t="n"/>
      <c r="C55" s="14" t="n"/>
      <c r="D55" s="14" t="n"/>
      <c r="E55" s="14" t="n"/>
      <c r="F55" s="14" t="n"/>
      <c r="G55" s="14" t="n"/>
      <c r="H55" s="14" t="n"/>
    </row>
    <row r="56">
      <c r="A56" s="14" t="n"/>
      <c r="B56" s="14" t="n"/>
      <c r="C56" s="14" t="n"/>
      <c r="D56" s="14" t="n"/>
      <c r="E56" s="14" t="n"/>
      <c r="F56" s="14" t="n"/>
      <c r="G56" s="14" t="n"/>
      <c r="H56" s="14" t="n"/>
    </row>
    <row r="57">
      <c r="A57" s="14" t="n"/>
      <c r="B57" s="14" t="n"/>
      <c r="C57" s="14" t="n"/>
      <c r="D57" s="14" t="n"/>
      <c r="E57" s="14" t="n"/>
      <c r="F57" s="14" t="n"/>
      <c r="G57" s="14" t="n"/>
      <c r="H57" s="14" t="n"/>
    </row>
    <row r="58">
      <c r="A58" s="14" t="n"/>
      <c r="B58" s="14" t="n"/>
      <c r="C58" s="14" t="n"/>
      <c r="D58" s="14" t="n"/>
      <c r="E58" s="14" t="n"/>
      <c r="F58" s="14" t="n"/>
      <c r="G58" s="14" t="n"/>
      <c r="H58" s="14" t="n"/>
    </row>
    <row r="59">
      <c r="A59" s="14" t="n"/>
      <c r="B59" s="14" t="n"/>
      <c r="C59" s="14" t="n"/>
      <c r="D59" s="14" t="n"/>
      <c r="E59" s="14" t="n"/>
      <c r="F59" s="14" t="n"/>
      <c r="G59" s="14" t="n"/>
      <c r="H59" s="14" t="n"/>
    </row>
    <row r="60">
      <c r="A60" s="14" t="n"/>
      <c r="B60" s="14" t="n"/>
      <c r="C60" s="14" t="n"/>
      <c r="D60" s="14" t="n"/>
      <c r="E60" s="14" t="n"/>
      <c r="F60" s="14" t="n"/>
      <c r="G60" s="14" t="n"/>
      <c r="H60" s="14" t="n"/>
    </row>
    <row r="61">
      <c r="A61" s="14" t="n"/>
      <c r="B61" s="14" t="n"/>
      <c r="C61" s="14" t="n"/>
      <c r="D61" s="14" t="n"/>
      <c r="E61" s="14" t="n"/>
      <c r="F61" s="14" t="n"/>
      <c r="G61" s="14" t="n"/>
      <c r="H61" s="14" t="n"/>
    </row>
    <row r="62">
      <c r="A62" s="14" t="n"/>
      <c r="B62" s="14" t="n"/>
      <c r="C62" s="14" t="n"/>
      <c r="D62" s="14" t="n"/>
      <c r="E62" s="14" t="n"/>
      <c r="F62" s="14" t="n"/>
      <c r="G62" s="14" t="n"/>
      <c r="H62" s="14" t="n"/>
    </row>
    <row r="63">
      <c r="A63" s="14" t="n"/>
      <c r="B63" s="14" t="n"/>
      <c r="C63" s="14" t="n"/>
      <c r="D63" s="14" t="n"/>
      <c r="E63" s="14" t="n"/>
      <c r="F63" s="14" t="n"/>
      <c r="G63" s="14" t="n"/>
      <c r="H63" s="14" t="n"/>
    </row>
    <row r="64">
      <c r="A64" s="14" t="n"/>
      <c r="B64" s="14" t="n"/>
      <c r="C64" s="14" t="n"/>
      <c r="D64" s="14" t="n"/>
      <c r="E64" s="14" t="n"/>
      <c r="F64" s="14" t="n"/>
      <c r="G64" s="14" t="n"/>
      <c r="H64" s="14" t="n"/>
    </row>
    <row r="65">
      <c r="A65" s="14" t="n"/>
      <c r="B65" s="14" t="n"/>
      <c r="C65" s="14" t="n"/>
      <c r="D65" s="14" t="n"/>
      <c r="E65" s="14" t="n"/>
      <c r="F65" s="14" t="n"/>
      <c r="G65" s="14" t="n"/>
      <c r="H65" s="14" t="n"/>
    </row>
    <row r="66">
      <c r="A66" s="14" t="n"/>
      <c r="B66" s="14" t="n"/>
      <c r="C66" s="14" t="n"/>
      <c r="D66" s="14" t="n"/>
      <c r="E66" s="14" t="n"/>
      <c r="F66" s="14" t="n"/>
      <c r="G66" s="14" t="n"/>
      <c r="H66" s="14" t="n"/>
    </row>
    <row r="67">
      <c r="A67" s="14" t="n"/>
      <c r="B67" s="14" t="n"/>
      <c r="C67" s="14" t="n"/>
      <c r="D67" s="14" t="n"/>
      <c r="E67" s="14" t="n"/>
      <c r="F67" s="14" t="n"/>
      <c r="G67" s="14" t="n"/>
      <c r="H67" s="14" t="n"/>
    </row>
    <row r="68">
      <c r="A68" s="14" t="n"/>
      <c r="B68" s="14" t="n"/>
      <c r="C68" s="14" t="n"/>
      <c r="D68" s="14" t="n"/>
      <c r="E68" s="14" t="n"/>
      <c r="F68" s="14" t="n"/>
      <c r="G68" s="14" t="n"/>
      <c r="H68" s="14" t="n"/>
    </row>
    <row r="69">
      <c r="A69" s="14" t="n"/>
      <c r="B69" s="14" t="n"/>
      <c r="C69" s="14" t="n"/>
      <c r="D69" s="14" t="n"/>
      <c r="E69" s="14" t="n"/>
      <c r="F69" s="14" t="n"/>
      <c r="G69" s="14" t="n"/>
      <c r="H69" s="14" t="n"/>
    </row>
    <row r="70">
      <c r="A70" s="14" t="n"/>
      <c r="B70" s="14" t="n"/>
      <c r="C70" s="14" t="n"/>
      <c r="D70" s="14" t="n"/>
      <c r="E70" s="14" t="n"/>
      <c r="F70" s="14" t="n"/>
      <c r="G70" s="14" t="n"/>
      <c r="H70" s="14" t="n"/>
    </row>
    <row r="71">
      <c r="A71" s="14" t="n"/>
      <c r="B71" s="14" t="n"/>
      <c r="C71" s="14" t="n"/>
      <c r="D71" s="14" t="n"/>
      <c r="E71" s="14" t="n"/>
      <c r="F71" s="14" t="n"/>
      <c r="G71" s="14" t="n"/>
      <c r="H71" s="14" t="n"/>
    </row>
    <row r="72">
      <c r="A72" s="14" t="n"/>
      <c r="B72" s="14" t="n"/>
      <c r="C72" s="14" t="n"/>
      <c r="D72" s="14" t="n"/>
      <c r="E72" s="14" t="n"/>
      <c r="F72" s="14" t="n"/>
      <c r="G72" s="14" t="n"/>
      <c r="H72" s="14" t="n"/>
    </row>
    <row r="73">
      <c r="A73" s="14" t="n"/>
      <c r="B73" s="14" t="n"/>
      <c r="C73" s="14" t="n"/>
      <c r="D73" s="14" t="n"/>
      <c r="E73" s="14" t="n"/>
      <c r="F73" s="14" t="n"/>
      <c r="G73" s="14" t="n"/>
      <c r="H73" s="14" t="n"/>
    </row>
    <row r="74">
      <c r="A74" s="14" t="n"/>
      <c r="B74" s="14" t="n"/>
      <c r="C74" s="14" t="n"/>
      <c r="D74" s="14" t="n"/>
      <c r="E74" s="14" t="n"/>
      <c r="F74" s="14" t="n"/>
      <c r="G74" s="14" t="n"/>
      <c r="H74" s="14" t="n"/>
    </row>
    <row r="75">
      <c r="A75" s="14" t="n"/>
      <c r="B75" s="14" t="n"/>
      <c r="C75" s="14" t="n"/>
      <c r="D75" s="14" t="n"/>
      <c r="E75" s="14" t="n"/>
      <c r="F75" s="14" t="n"/>
      <c r="G75" s="14" t="n"/>
      <c r="H75" s="14" t="n"/>
    </row>
    <row r="76">
      <c r="A76" s="14" t="n"/>
      <c r="B76" s="14" t="n"/>
      <c r="C76" s="14" t="n"/>
      <c r="D76" s="14" t="n"/>
      <c r="E76" s="14" t="n"/>
      <c r="F76" s="14" t="n"/>
      <c r="G76" s="14" t="n"/>
      <c r="H76" s="14" t="n"/>
    </row>
    <row r="77">
      <c r="A77" s="14" t="n"/>
      <c r="B77" s="14" t="n"/>
      <c r="C77" s="14" t="n"/>
      <c r="D77" s="14" t="n"/>
      <c r="E77" s="14" t="n"/>
      <c r="F77" s="14" t="n"/>
      <c r="G77" s="14" t="n"/>
      <c r="H77" s="14" t="n"/>
    </row>
    <row r="78">
      <c r="A78" s="14" t="n"/>
      <c r="B78" s="14" t="n"/>
      <c r="C78" s="14" t="n"/>
      <c r="D78" s="14" t="n"/>
      <c r="E78" s="14" t="n"/>
      <c r="F78" s="14" t="n"/>
      <c r="G78" s="14" t="n"/>
      <c r="H78" s="14" t="n"/>
    </row>
    <row r="79">
      <c r="A79" s="14" t="n"/>
      <c r="B79" s="14" t="n"/>
      <c r="C79" s="14" t="n"/>
      <c r="D79" s="14" t="n"/>
      <c r="E79" s="14" t="n"/>
      <c r="F79" s="14" t="n"/>
      <c r="G79" s="14" t="n"/>
      <c r="H79" s="14" t="n"/>
    </row>
    <row r="80">
      <c r="A80" s="14" t="n"/>
      <c r="B80" s="14" t="n"/>
      <c r="C80" s="14" t="n"/>
      <c r="D80" s="14" t="n"/>
      <c r="E80" s="14" t="n"/>
      <c r="F80" s="14" t="n"/>
      <c r="G80" s="14" t="n"/>
      <c r="H80" s="14" t="n"/>
    </row>
    <row r="81">
      <c r="A81" s="14" t="n"/>
      <c r="B81" s="14" t="n"/>
      <c r="C81" s="14" t="n"/>
      <c r="D81" s="14" t="n"/>
      <c r="E81" s="14" t="n"/>
      <c r="F81" s="14" t="n"/>
      <c r="G81" s="14" t="n"/>
      <c r="H81" s="14" t="n"/>
    </row>
    <row r="82">
      <c r="A82" s="14" t="n"/>
      <c r="B82" s="14" t="n"/>
      <c r="C82" s="14" t="n"/>
      <c r="D82" s="14" t="n"/>
      <c r="E82" s="14" t="n"/>
      <c r="F82" s="14" t="n"/>
      <c r="G82" s="14" t="n"/>
      <c r="H82" s="14" t="n"/>
    </row>
    <row r="83">
      <c r="A83" s="14" t="n"/>
      <c r="B83" s="14" t="n"/>
      <c r="C83" s="14" t="n"/>
      <c r="D83" s="14" t="n"/>
      <c r="E83" s="14" t="n"/>
      <c r="F83" s="14" t="n"/>
      <c r="G83" s="14" t="n"/>
      <c r="H83" s="14" t="n"/>
    </row>
    <row r="84">
      <c r="A84" s="14" t="n"/>
      <c r="B84" s="14" t="n"/>
      <c r="C84" s="14" t="n"/>
      <c r="D84" s="14" t="n"/>
      <c r="E84" s="14" t="n"/>
      <c r="F84" s="14" t="n"/>
      <c r="G84" s="14" t="n"/>
      <c r="H84" s="14" t="n"/>
    </row>
    <row r="85">
      <c r="A85" s="14" t="n"/>
      <c r="B85" s="14" t="n"/>
      <c r="C85" s="14" t="n"/>
      <c r="D85" s="14" t="n"/>
      <c r="E85" s="14" t="n"/>
      <c r="F85" s="14" t="n"/>
      <c r="G85" s="14" t="n"/>
      <c r="H85" s="14" t="n"/>
    </row>
    <row r="86">
      <c r="A86" s="14" t="n"/>
      <c r="B86" s="14" t="n"/>
      <c r="C86" s="14" t="n"/>
      <c r="D86" s="14" t="n"/>
      <c r="E86" s="14" t="n"/>
      <c r="F86" s="14" t="n"/>
      <c r="G86" s="14" t="n"/>
      <c r="H86" s="14" t="n"/>
    </row>
    <row r="87">
      <c r="A87" s="14" t="n"/>
      <c r="B87" s="14" t="n"/>
      <c r="C87" s="14" t="n"/>
      <c r="D87" s="14" t="n"/>
      <c r="E87" s="14" t="n"/>
      <c r="F87" s="14" t="n"/>
      <c r="G87" s="14" t="n"/>
      <c r="H87" s="14" t="n"/>
    </row>
    <row r="88">
      <c r="A88" s="14" t="n"/>
      <c r="B88" s="14" t="n"/>
      <c r="C88" s="14" t="n"/>
      <c r="D88" s="14" t="n"/>
      <c r="E88" s="14" t="n"/>
      <c r="F88" s="14" t="n"/>
      <c r="G88" s="14" t="n"/>
      <c r="H88" s="14" t="n"/>
    </row>
    <row r="89">
      <c r="A89" s="14" t="n"/>
      <c r="B89" s="14" t="n"/>
      <c r="C89" s="14" t="n"/>
      <c r="D89" s="14" t="n"/>
      <c r="E89" s="14" t="n"/>
      <c r="F89" s="14" t="n"/>
      <c r="G89" s="14" t="n"/>
      <c r="H89" s="14" t="n"/>
    </row>
    <row r="90">
      <c r="A90" s="14" t="n"/>
      <c r="B90" s="14" t="n"/>
      <c r="C90" s="14" t="n"/>
      <c r="D90" s="14" t="n"/>
      <c r="E90" s="14" t="n"/>
      <c r="F90" s="14" t="n"/>
      <c r="G90" s="14" t="n"/>
      <c r="H90" s="14" t="n"/>
    </row>
    <row r="91">
      <c r="A91" s="14" t="n"/>
      <c r="B91" s="14" t="n"/>
      <c r="C91" s="14" t="n"/>
      <c r="D91" s="14" t="n"/>
      <c r="E91" s="14" t="n"/>
      <c r="F91" s="14" t="n"/>
      <c r="G91" s="14" t="n"/>
      <c r="H91" s="14" t="n"/>
    </row>
    <row r="92">
      <c r="A92" s="14" t="n"/>
      <c r="B92" s="14" t="n"/>
      <c r="C92" s="14" t="n"/>
      <c r="D92" s="14" t="n"/>
      <c r="E92" s="14" t="n"/>
      <c r="F92" s="14" t="n"/>
      <c r="G92" s="14" t="n"/>
      <c r="H92" s="14" t="n"/>
    </row>
    <row r="93">
      <c r="A93" s="14" t="n"/>
      <c r="B93" s="14" t="n"/>
      <c r="C93" s="14" t="n"/>
      <c r="D93" s="14" t="n"/>
      <c r="E93" s="14" t="n"/>
      <c r="F93" s="14" t="n"/>
      <c r="G93" s="14" t="n"/>
      <c r="H93" s="14" t="n"/>
    </row>
    <row r="94">
      <c r="A94" s="14" t="n"/>
      <c r="B94" s="14" t="n"/>
      <c r="C94" s="14" t="n"/>
      <c r="D94" s="14" t="n"/>
      <c r="E94" s="14" t="n"/>
      <c r="F94" s="14" t="n"/>
      <c r="G94" s="14" t="n"/>
      <c r="H94" s="14" t="n"/>
    </row>
    <row r="95">
      <c r="A95" s="14" t="n"/>
      <c r="B95" s="14" t="n"/>
      <c r="C95" s="14" t="n"/>
      <c r="D95" s="14" t="n"/>
      <c r="E95" s="14" t="n"/>
      <c r="F95" s="14" t="n"/>
      <c r="G95" s="14" t="n"/>
      <c r="H95" s="14" t="n"/>
    </row>
    <row r="96">
      <c r="A96" s="14" t="n"/>
      <c r="B96" s="14" t="n"/>
      <c r="C96" s="14" t="n"/>
      <c r="D96" s="14" t="n"/>
      <c r="E96" s="14" t="n"/>
      <c r="F96" s="14" t="n"/>
      <c r="G96" s="14" t="n"/>
      <c r="H96" s="14" t="n"/>
    </row>
    <row r="97">
      <c r="A97" s="14" t="n"/>
      <c r="B97" s="14" t="n"/>
      <c r="C97" s="14" t="n"/>
      <c r="D97" s="14" t="n"/>
      <c r="E97" s="14" t="n"/>
      <c r="F97" s="14" t="n"/>
      <c r="G97" s="14" t="n"/>
      <c r="H97" s="14" t="n"/>
    </row>
    <row r="98">
      <c r="A98" s="14" t="n"/>
      <c r="B98" s="14" t="n"/>
      <c r="C98" s="14" t="n"/>
      <c r="D98" s="14" t="n"/>
      <c r="E98" s="14" t="n"/>
      <c r="F98" s="14" t="n"/>
      <c r="G98" s="14" t="n"/>
      <c r="H98" s="14" t="n"/>
    </row>
    <row r="99">
      <c r="A99" s="14" t="n"/>
      <c r="B99" s="14" t="n"/>
      <c r="C99" s="14" t="n"/>
      <c r="D99" s="14" t="n"/>
      <c r="E99" s="14" t="n"/>
      <c r="F99" s="14" t="n"/>
      <c r="G99" s="14" t="n"/>
      <c r="H99" s="14" t="n"/>
    </row>
    <row r="100">
      <c r="A100" s="14" t="n"/>
      <c r="B100" s="14" t="n"/>
      <c r="C100" s="14" t="n"/>
      <c r="D100" s="14" t="n"/>
      <c r="E100" s="14" t="n"/>
      <c r="F100" s="14" t="n"/>
      <c r="G100" s="14" t="n"/>
      <c r="H100" s="14" t="n"/>
    </row>
    <row r="101">
      <c r="A101" s="14" t="n"/>
      <c r="B101" s="14" t="n"/>
      <c r="C101" s="14" t="n"/>
      <c r="D101" s="14" t="n"/>
      <c r="E101" s="14" t="n"/>
      <c r="F101" s="14" t="n"/>
      <c r="G101" s="14" t="n"/>
      <c r="H101" s="14" t="n"/>
    </row>
    <row r="102">
      <c r="A102" s="14" t="n"/>
      <c r="B102" s="14" t="n"/>
      <c r="C102" s="14" t="n"/>
      <c r="D102" s="14" t="n"/>
      <c r="E102" s="14" t="n"/>
      <c r="F102" s="14" t="n"/>
      <c r="G102" s="14" t="n"/>
      <c r="H102" s="14" t="n"/>
    </row>
    <row r="103">
      <c r="A103" s="14" t="n"/>
      <c r="B103" s="14" t="n"/>
      <c r="C103" s="14" t="n"/>
      <c r="D103" s="14" t="n"/>
      <c r="E103" s="14" t="n"/>
      <c r="F103" s="14" t="n"/>
      <c r="G103" s="14" t="n"/>
      <c r="H103" s="14" t="n"/>
    </row>
    <row r="104">
      <c r="A104" s="14" t="n"/>
      <c r="B104" s="14" t="n"/>
      <c r="C104" s="14" t="n"/>
      <c r="D104" s="14" t="n"/>
      <c r="E104" s="14" t="n"/>
      <c r="F104" s="14" t="n"/>
      <c r="G104" s="14" t="n"/>
      <c r="H104" s="14" t="n"/>
    </row>
    <row r="105">
      <c r="A105" s="14" t="n"/>
      <c r="B105" s="14" t="n"/>
      <c r="C105" s="14" t="n"/>
      <c r="D105" s="14" t="n"/>
      <c r="E105" s="14" t="n"/>
      <c r="F105" s="14" t="n"/>
      <c r="G105" s="14" t="n"/>
      <c r="H105" s="14"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"Policy document,Procedure document,Screenshot,Photograph,Audit report,Training record,Configuration file,Other"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"Verified,Pending verification,Not verified,Requires update"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9"/>
  <sheetViews>
    <sheetView showGridLines="0" workbookViewId="0">
      <pane ySplit="3" topLeftCell="A4" activePane="bottomLeft" state="frozen"/>
      <selection pane="bottomLeft" activeCell="A1" sqref="A1"/>
    </sheetView>
  </sheetViews>
  <sheetFormatPr baseColWidth="8" defaultRowHeight="15"/>
  <cols>
    <col width="45" customWidth="1" min="1" max="1"/>
    <col width="20" customWidth="1" min="2" max="2"/>
    <col width="14" customWidth="1" min="3" max="3"/>
    <col width="16" customWidth="1" min="4" max="4"/>
    <col width="18" customWidth="1" min="5" max="5"/>
    <col width="12" customWidth="1" min="6" max="6"/>
    <col width="13" customWidth="1" min="7" max="7"/>
  </cols>
  <sheetData>
    <row r="1" ht="35" customHeight="1">
      <c r="A1" s="18" t="inlineStr">
        <is>
          <t>EQUIPMENT DISPOSAL ASSESSMENT — SUMMARY DASHBOARD</t>
        </is>
      </c>
      <c r="B1" s="6" t="n"/>
      <c r="C1" s="6" t="n"/>
      <c r="D1" s="6" t="n"/>
      <c r="E1" s="6" t="n"/>
      <c r="F1" s="6" t="n"/>
      <c r="G1" s="6" t="n"/>
    </row>
    <row r="2">
      <c r="A2" s="23" t="inlineStr">
        <is>
          <t>ISO/IEC 27001:2022 — Control A.7.14: Secure Disposal or Re-Use of Equipment</t>
        </is>
      </c>
    </row>
    <row r="4">
      <c r="A4" s="24" t="inlineStr">
        <is>
          <t>TABLE 1: ASSESSMENT AREA COMPLIANCE OVERVIEW</t>
        </is>
      </c>
      <c r="B4" s="6" t="n"/>
      <c r="C4" s="6" t="n"/>
      <c r="D4" s="6" t="n"/>
      <c r="E4" s="6" t="n"/>
      <c r="F4" s="6" t="n"/>
      <c r="G4" s="6" t="n"/>
    </row>
    <row r="5">
      <c r="A5" s="25" t="inlineStr">
        <is>
          <t>Assessment Area</t>
        </is>
      </c>
      <c r="B5" s="25" t="inlineStr">
        <is>
          <t>Total Items</t>
        </is>
      </c>
      <c r="C5" s="25" t="inlineStr">
        <is>
          <t>Compliant</t>
        </is>
      </c>
      <c r="D5" s="25" t="inlineStr">
        <is>
          <t>Partial</t>
        </is>
      </c>
      <c r="E5" s="25" t="inlineStr">
        <is>
          <t>Non-Compliant</t>
        </is>
      </c>
      <c r="F5" s="25" t="inlineStr">
        <is>
          <t>N/A</t>
        </is>
      </c>
      <c r="G5" s="25" t="inlineStr">
        <is>
          <t>Compliance %</t>
        </is>
      </c>
    </row>
    <row r="6">
      <c r="A6" s="26" t="inlineStr">
        <is>
          <t>Disposal Requirements</t>
        </is>
      </c>
      <c r="B6" s="27">
        <f>COUNTA('Disposal Requirements'!A4:A63)</f>
        <v/>
      </c>
      <c r="C6" s="27">
        <f>COUNTIF('Disposal Requirements'!H4:H63,"Implemented")</f>
        <v/>
      </c>
      <c r="D6" s="27">
        <f>COUNTIF('Disposal Requirements'!H4:H63,"Partial")</f>
        <v/>
      </c>
      <c r="E6" s="27">
        <f>COUNTIF('Disposal Requirements'!H4:H63,"Not Implemented")</f>
        <v/>
      </c>
      <c r="F6" s="27" t="inlineStr">
        <is>
          <t>0</t>
        </is>
      </c>
      <c r="G6" s="28">
        <f>IF((B6-F6)=0,0,C6/(B6-F6))</f>
        <v/>
      </c>
    </row>
    <row r="7">
      <c r="A7" s="26" t="inlineStr">
        <is>
          <t>Service Providers</t>
        </is>
      </c>
      <c r="B7" s="27">
        <f>COUNTA('Service Providers'!A5:A54)</f>
        <v/>
      </c>
      <c r="C7" s="27">
        <f>COUNTIF('Service Providers'!I5:I54,"✅*")</f>
        <v/>
      </c>
      <c r="D7" s="27">
        <f>COUNTIF('Service Providers'!I5:I54,"⚠*")</f>
        <v/>
      </c>
      <c r="E7" s="27">
        <f>COUNTIF('Service Providers'!I5:I54,"❌*")</f>
        <v/>
      </c>
      <c r="F7" s="27" t="n">
        <v>0</v>
      </c>
      <c r="G7" s="28">
        <f>IF((B7-F7)=0,0,C7/(B7-F7))</f>
        <v/>
      </c>
    </row>
    <row r="8">
      <c r="A8" s="29" t="inlineStr">
        <is>
          <t>TOTAL</t>
        </is>
      </c>
      <c r="B8" s="30">
        <f>SUM(B6:B7)</f>
        <v/>
      </c>
      <c r="C8" s="30">
        <f>SUM(C6:C7)</f>
        <v/>
      </c>
      <c r="D8" s="30">
        <f>SUM(D6:D7)</f>
        <v/>
      </c>
      <c r="E8" s="30">
        <f>SUM(E6:E7)</f>
        <v/>
      </c>
      <c r="F8" s="30">
        <f>SUM(F6:F7)</f>
        <v/>
      </c>
      <c r="G8" s="31">
        <f>IF((B8-F8)=0,0,C8/(B8-F8))</f>
        <v/>
      </c>
    </row>
    <row r="10">
      <c r="A10" s="24" t="inlineStr">
        <is>
          <t>TABLE 2: KEY METRICS</t>
        </is>
      </c>
      <c r="B10" s="6" t="n"/>
      <c r="C10" s="6" t="n"/>
      <c r="D10" s="6" t="n"/>
      <c r="E10" s="6" t="n"/>
      <c r="F10" s="6" t="n"/>
      <c r="G10" s="6" t="n"/>
    </row>
    <row r="11">
      <c r="A11" s="32" t="inlineStr">
        <is>
          <t>Metric</t>
        </is>
      </c>
      <c r="B11" s="32" t="inlineStr">
        <is>
          <t>Value</t>
        </is>
      </c>
      <c r="C11" s="32" t="n"/>
      <c r="D11" s="32" t="n"/>
      <c r="E11" s="32" t="n"/>
      <c r="F11" s="32" t="n"/>
      <c r="G11" s="32" t="n"/>
    </row>
    <row r="12">
      <c r="A12" s="26" t="inlineStr">
        <is>
          <t>Total Equipment Disposed</t>
        </is>
      </c>
      <c r="B12" s="27">
        <f>COUNTA('Disposal Log'!A5:A54)</f>
        <v/>
      </c>
      <c r="C12" s="6" t="n"/>
      <c r="D12" s="6" t="n"/>
      <c r="E12" s="6" t="n"/>
      <c r="F12" s="6" t="n"/>
      <c r="G12" s="6" t="n"/>
    </row>
    <row r="13">
      <c r="A13" s="26" t="inlineStr">
        <is>
          <t>CONFIDENTIAL Equipment Disposed</t>
        </is>
      </c>
      <c r="B13" s="27">
        <f>COUNTIF('Disposal Log'!G5:G54,"CONFIDENTIAL")</f>
        <v/>
      </c>
      <c r="C13" s="6" t="n"/>
      <c r="D13" s="6" t="n"/>
      <c r="E13" s="6" t="n"/>
      <c r="F13" s="6" t="n"/>
      <c r="G13" s="6" t="n"/>
    </row>
    <row r="14">
      <c r="A14" s="26" t="inlineStr">
        <is>
          <t>Certificates Obtained (All Disposals)</t>
        </is>
      </c>
      <c r="B14" s="27">
        <f>COUNTIF('Disposal Log'!J5:J54,"Yes")</f>
        <v/>
      </c>
      <c r="C14" s="6" t="n"/>
      <c r="D14" s="6" t="n"/>
      <c r="E14" s="6" t="n"/>
      <c r="F14" s="6" t="n"/>
      <c r="G14" s="6" t="n"/>
    </row>
    <row r="15">
      <c r="A15" s="26" t="inlineStr">
        <is>
          <t>Approved Disposal Tools Registered</t>
        </is>
      </c>
      <c r="B15" s="27">
        <f>COUNTA('Disposal Tools'!A4:A59)</f>
        <v/>
      </c>
      <c r="C15" s="6" t="n"/>
      <c r="D15" s="6" t="n"/>
      <c r="E15" s="6" t="n"/>
      <c r="F15" s="6" t="n"/>
      <c r="G15" s="6" t="n"/>
    </row>
    <row r="16">
      <c r="A16" s="26" t="inlineStr">
        <is>
          <t>Non-Compliant Disposal Tools</t>
        </is>
      </c>
      <c r="B16" s="27">
        <f>COUNTIF('Disposal Tools'!H4:H59,"No")</f>
        <v/>
      </c>
      <c r="C16" s="6" t="n"/>
      <c r="D16" s="6" t="n"/>
      <c r="E16" s="6" t="n"/>
      <c r="F16" s="6" t="n"/>
      <c r="G16" s="6" t="n"/>
    </row>
    <row r="17">
      <c r="A17" s="26" t="inlineStr">
        <is>
          <t>Active Service Providers</t>
        </is>
      </c>
      <c r="B17" s="27">
        <f>COUNTIF('Service Providers'!C5:C54,"Active")</f>
        <v/>
      </c>
      <c r="C17" s="6" t="n"/>
      <c r="D17" s="6" t="n"/>
      <c r="E17" s="6" t="n"/>
      <c r="F17" s="6" t="n"/>
      <c r="G17" s="6" t="n"/>
    </row>
    <row r="18">
      <c r="A18" s="26" t="inlineStr">
        <is>
          <t>Providers with On-Site Destruction Option</t>
        </is>
      </c>
      <c r="B18" s="27">
        <f>COUNTIF('Service Providers'!F5:F54,"Yes")</f>
        <v/>
      </c>
      <c r="C18" s="6" t="n"/>
      <c r="D18" s="6" t="n"/>
      <c r="E18" s="6" t="n"/>
      <c r="F18" s="6" t="n"/>
      <c r="G18" s="6" t="n"/>
    </row>
    <row r="19">
      <c r="A19" s="26" t="inlineStr">
        <is>
          <t>Disposal Requirements: Not Implemented</t>
        </is>
      </c>
      <c r="B19" s="27">
        <f>COUNTIF('Disposal Requirements'!H4:H63,"Not Implemented")</f>
        <v/>
      </c>
      <c r="C19" s="6" t="n"/>
      <c r="D19" s="6" t="n"/>
      <c r="E19" s="6" t="n"/>
      <c r="F19" s="6" t="n"/>
      <c r="G19" s="6" t="n"/>
    </row>
    <row r="20">
      <c r="A20" s="6" t="n"/>
      <c r="B20" s="6" t="n"/>
      <c r="C20" s="6" t="n"/>
      <c r="D20" s="6" t="n"/>
      <c r="E20" s="6" t="n"/>
      <c r="F20" s="6" t="n"/>
      <c r="G20" s="6" t="n"/>
    </row>
    <row r="21">
      <c r="A21" s="6" t="n"/>
      <c r="B21" s="6" t="n"/>
      <c r="C21" s="6" t="n"/>
      <c r="D21" s="6" t="n"/>
      <c r="E21" s="6" t="n"/>
      <c r="F21" s="6" t="n"/>
      <c r="G21" s="6" t="n"/>
    </row>
    <row r="23">
      <c r="A23" s="33" t="inlineStr">
        <is>
          <t>TABLE 3: CRITICAL FINDINGS REQUIRING IMMEDIATE ATTENTION</t>
        </is>
      </c>
      <c r="B23" s="6" t="n"/>
      <c r="C23" s="6" t="n"/>
      <c r="D23" s="6" t="n"/>
      <c r="E23" s="6" t="n"/>
      <c r="F23" s="6" t="n"/>
      <c r="G23" s="6" t="n"/>
    </row>
    <row r="24">
      <c r="A24" s="32" t="inlineStr">
        <is>
          <t>Category</t>
        </is>
      </c>
      <c r="B24" s="32" t="inlineStr">
        <is>
          <t>Finding</t>
        </is>
      </c>
      <c r="C24" s="32" t="inlineStr">
        <is>
          <t>Count</t>
        </is>
      </c>
      <c r="D24" s="32" t="inlineStr">
        <is>
          <t>Severity</t>
        </is>
      </c>
      <c r="E24" s="32" t="inlineStr">
        <is>
          <t>Action Required</t>
        </is>
      </c>
      <c r="F24" s="32" t="n"/>
      <c r="G24" s="32" t="n"/>
    </row>
    <row r="25">
      <c r="A25" s="34" t="inlineStr">
        <is>
          <t>Disposal Log</t>
        </is>
      </c>
      <c r="B25" s="35" t="inlineStr">
        <is>
          <t>CONFIDENTIAL Items Without Destruction Certificate</t>
        </is>
      </c>
      <c r="C25" s="36">
        <f>COUNTIFS('Disposal Log'!G5:G54,"CONFIDENTIAL",'Disposal Log'!J5:J54,"No")</f>
        <v/>
      </c>
      <c r="D25" s="34" t="inlineStr">
        <is>
          <t>Critical</t>
        </is>
      </c>
      <c r="E25" s="34" t="inlineStr">
        <is>
          <t>Immediate</t>
        </is>
      </c>
      <c r="F25" s="37" t="n"/>
      <c r="G25" s="37" t="n"/>
    </row>
    <row r="26">
      <c r="A26" s="34" t="inlineStr">
        <is>
          <t>Service Providers</t>
        </is>
      </c>
      <c r="B26" s="35" t="inlineStr">
        <is>
          <t>Providers with Expired Contracts</t>
        </is>
      </c>
      <c r="C26" s="36">
        <f>COUNTIF('Service Providers'!C5:C54,"Expired")</f>
        <v/>
      </c>
      <c r="D26" s="34" t="inlineStr">
        <is>
          <t>Critical</t>
        </is>
      </c>
      <c r="E26" s="34" t="inlineStr">
        <is>
          <t>Immediate</t>
        </is>
      </c>
      <c r="F26" s="37" t="n"/>
      <c r="G26" s="37" t="n"/>
    </row>
    <row r="27">
      <c r="A27" s="34" t="inlineStr">
        <is>
          <t>Service Providers</t>
        </is>
      </c>
      <c r="B27" s="35" t="inlineStr">
        <is>
          <t>Providers Without Chain of Custody</t>
        </is>
      </c>
      <c r="C27" s="36">
        <f>COUNTIF('Service Providers'!G5:G54,"Not Documented")</f>
        <v/>
      </c>
      <c r="D27" s="34" t="inlineStr">
        <is>
          <t>High</t>
        </is>
      </c>
      <c r="E27" s="34" t="inlineStr">
        <is>
          <t>Urgent</t>
        </is>
      </c>
      <c r="F27" s="37" t="n"/>
      <c r="G27" s="37" t="n"/>
    </row>
    <row r="28">
      <c r="A28" s="34" t="inlineStr">
        <is>
          <t>Service Providers</t>
        </is>
      </c>
      <c r="B28" s="35" t="inlineStr">
        <is>
          <t>Providers Not Issuing Certificates</t>
        </is>
      </c>
      <c r="C28" s="36">
        <f>COUNTIF('Service Providers'!E5:E54,"No")</f>
        <v/>
      </c>
      <c r="D28" s="34" t="inlineStr">
        <is>
          <t>High</t>
        </is>
      </c>
      <c r="E28" s="34" t="inlineStr">
        <is>
          <t>Urgent</t>
        </is>
      </c>
      <c r="F28" s="37" t="n"/>
      <c r="G28" s="37" t="n"/>
    </row>
    <row r="29">
      <c r="A29" s="34" t="inlineStr">
        <is>
          <t>Service Providers</t>
        </is>
      </c>
      <c r="B29" s="35" t="inlineStr">
        <is>
          <t>Non-Compliant Service Providers</t>
        </is>
      </c>
      <c r="C29" s="36">
        <f>COUNTIF('Service Providers'!I5:I54,"❌*")</f>
        <v/>
      </c>
      <c r="D29" s="34" t="inlineStr">
        <is>
          <t>High</t>
        </is>
      </c>
      <c r="E29" s="34" t="inlineStr">
        <is>
          <t>Urgent</t>
        </is>
      </c>
      <c r="F29" s="37" t="n"/>
      <c r="G29" s="37" t="n"/>
    </row>
    <row r="30">
      <c r="A30" s="14" t="n"/>
      <c r="B30" s="14" t="n"/>
      <c r="C30" s="14" t="n"/>
      <c r="D30" s="14" t="n"/>
      <c r="E30" s="14" t="n"/>
      <c r="F30" s="14" t="n"/>
      <c r="G30" s="14" t="n"/>
    </row>
    <row r="31">
      <c r="A31" s="14" t="n"/>
      <c r="B31" s="14" t="n"/>
      <c r="C31" s="14" t="n"/>
      <c r="D31" s="14" t="n"/>
      <c r="E31" s="14" t="n"/>
      <c r="F31" s="14" t="n"/>
      <c r="G31" s="14" t="n"/>
    </row>
    <row r="33">
      <c r="A33" s="38" t="inlineStr">
        <is>
          <t>FINAL DECISION:</t>
        </is>
      </c>
      <c r="B33" s="14" t="n"/>
      <c r="C33" s="14" t="n"/>
      <c r="D33" s="14" t="n"/>
      <c r="E33" s="14" t="n"/>
    </row>
    <row r="36">
      <c r="A36" s="39" t="inlineStr">
        <is>
          <t>NEXT REVIEW DETAILS</t>
        </is>
      </c>
      <c r="B36" s="6" t="n"/>
      <c r="C36" s="6" t="n"/>
      <c r="D36" s="6" t="n"/>
      <c r="E36" s="6" t="n"/>
    </row>
    <row r="37">
      <c r="A37" s="40" t="inlineStr">
        <is>
          <t>Next Review Date:</t>
        </is>
      </c>
      <c r="B37" s="14" t="n"/>
      <c r="C37" s="14" t="n"/>
      <c r="D37" s="14" t="n"/>
      <c r="E37" s="14" t="n"/>
    </row>
    <row r="38">
      <c r="A38" s="40" t="inlineStr">
        <is>
          <t>Review Responsible:</t>
        </is>
      </c>
      <c r="B38" s="14" t="n"/>
      <c r="C38" s="14" t="n"/>
      <c r="D38" s="14" t="n"/>
      <c r="E38" s="14" t="n"/>
    </row>
    <row r="39">
      <c r="A39" s="40" t="inlineStr">
        <is>
          <t>Special Considerations:</t>
        </is>
      </c>
      <c r="B39" s="14" t="n"/>
      <c r="C39" s="14" t="n"/>
      <c r="D39" s="14" t="n"/>
      <c r="E39" s="14" t="n"/>
    </row>
  </sheetData>
  <mergeCells count="10">
    <mergeCell ref="A1:G1"/>
    <mergeCell ref="B38:E38"/>
    <mergeCell ref="A4:G4"/>
    <mergeCell ref="B33:E33"/>
    <mergeCell ref="A2:G2"/>
    <mergeCell ref="B39:E39"/>
    <mergeCell ref="A36:E36"/>
    <mergeCell ref="B37:E37"/>
    <mergeCell ref="A10:G10"/>
    <mergeCell ref="A23:G23"/>
  </mergeCells>
  <dataValidations count="1">
    <dataValidation sqref="B33" showDropDown="0" showInputMessage="0" showErrorMessage="0" allowBlank="1" type="list">
      <formula1>"Approved,Approved with Conditions,Rejected,Deferred"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8" t="inlineStr">
        <is>
          <t>ASSESSMENT APPROVAL AND SIGN-OFF</t>
        </is>
      </c>
      <c r="B1" s="6" t="n"/>
      <c r="C1" s="6" t="n"/>
      <c r="D1" s="6" t="n"/>
      <c r="E1" s="6" t="n"/>
    </row>
    <row r="2">
      <c r="A2" s="41" t="inlineStr">
        <is>
          <t>ISO/IEC 27001:2022 - Control A.7.14: Secure Disposal or Re-Use of Equipment</t>
        </is>
      </c>
      <c r="B2" s="6" t="n"/>
      <c r="C2" s="6" t="n"/>
      <c r="D2" s="6" t="n"/>
      <c r="E2" s="6" t="n"/>
    </row>
    <row r="3">
      <c r="A3" s="42" t="inlineStr">
        <is>
          <t>ASSESSMENT SUMMARY</t>
        </is>
      </c>
      <c r="B3" s="6" t="n"/>
      <c r="C3" s="6" t="n"/>
      <c r="D3" s="6" t="n"/>
      <c r="E3" s="6" t="n"/>
    </row>
    <row r="4">
      <c r="A4" s="3" t="inlineStr">
        <is>
          <t>Document:</t>
        </is>
      </c>
      <c r="B4" s="6" t="inlineStr">
        <is>
          <t>ISMS-IMP-A.7.14.S3 - Equipment Disposal Assessment</t>
        </is>
      </c>
      <c r="C4" s="6" t="n"/>
      <c r="D4" s="6" t="n"/>
      <c r="E4" s="6" t="n"/>
    </row>
    <row r="5">
      <c r="A5" s="3" t="inlineStr">
        <is>
          <t>Assessment Period:</t>
        </is>
      </c>
      <c r="B5" s="14" t="inlineStr"/>
      <c r="C5" s="6" t="n"/>
      <c r="D5" s="6" t="n"/>
      <c r="E5" s="6" t="n"/>
    </row>
    <row r="6">
      <c r="A6" s="3" t="inlineStr">
        <is>
          <t>Overall Compliance Rating:</t>
        </is>
      </c>
      <c r="B6" s="43">
        <f>IFERROR(AVERAGE('Summary Dashboard'!G6:G7),"")</f>
        <v/>
      </c>
      <c r="C6" s="6" t="n"/>
      <c r="D6" s="6" t="n"/>
      <c r="E6" s="6" t="n"/>
    </row>
    <row r="7">
      <c r="A7" s="3" t="inlineStr">
        <is>
          <t>Assessment Status:</t>
        </is>
      </c>
      <c r="B7" s="14" t="inlineStr"/>
      <c r="C7" s="6" t="n"/>
      <c r="D7" s="6" t="n"/>
      <c r="E7" s="6" t="n"/>
    </row>
    <row r="8">
      <c r="A8" s="3" t="inlineStr">
        <is>
          <t>Assessed By:</t>
        </is>
      </c>
      <c r="B8" s="14" t="inlineStr"/>
      <c r="C8" s="6" t="n"/>
      <c r="D8" s="6" t="n"/>
      <c r="E8" s="6" t="n"/>
    </row>
    <row r="11">
      <c r="A11" s="42" t="inlineStr">
        <is>
          <t>COMPLETED BY (ASSESSOR)</t>
        </is>
      </c>
      <c r="B11" s="6" t="n"/>
      <c r="C11" s="6" t="n"/>
      <c r="D11" s="6" t="n"/>
      <c r="E11" s="6" t="n"/>
    </row>
    <row r="12">
      <c r="A12" s="3" t="inlineStr">
        <is>
          <t>Name:</t>
        </is>
      </c>
      <c r="B12" s="14" t="n"/>
      <c r="C12" s="6" t="n"/>
      <c r="D12" s="6" t="n"/>
      <c r="E12" s="6" t="n"/>
    </row>
    <row r="13">
      <c r="A13" s="3" t="inlineStr">
        <is>
          <t>Title:</t>
        </is>
      </c>
      <c r="B13" s="14" t="n"/>
      <c r="C13" s="6" t="n"/>
      <c r="D13" s="6" t="n"/>
      <c r="E13" s="6" t="n"/>
    </row>
    <row r="14">
      <c r="A14" s="3" t="inlineStr">
        <is>
          <t>Date:</t>
        </is>
      </c>
      <c r="B14" s="14" t="n"/>
      <c r="C14" s="6" t="n"/>
      <c r="D14" s="6" t="n"/>
      <c r="E14" s="6" t="n"/>
    </row>
    <row r="15">
      <c r="A15" s="3" t="inlineStr">
        <is>
          <t>Signature:</t>
        </is>
      </c>
      <c r="B15" s="14" t="n"/>
      <c r="C15" s="6" t="n"/>
      <c r="D15" s="6" t="n"/>
      <c r="E15" s="6" t="n"/>
    </row>
    <row r="16">
      <c r="A16" s="3" t="inlineStr">
        <is>
          <t>Comments:</t>
        </is>
      </c>
      <c r="B16" s="14" t="n"/>
      <c r="C16" s="6" t="n"/>
      <c r="D16" s="6" t="n"/>
      <c r="E16" s="6" t="n"/>
    </row>
    <row r="18">
      <c r="A18" s="42" t="inlineStr">
        <is>
          <t>REVIEWED BY (INFORMATION SECURITY OFFICER)</t>
        </is>
      </c>
      <c r="B18" s="6" t="n"/>
      <c r="C18" s="6" t="n"/>
      <c r="D18" s="6" t="n"/>
      <c r="E18" s="6" t="n"/>
    </row>
    <row r="19">
      <c r="A19" s="3" t="inlineStr">
        <is>
          <t>Name:</t>
        </is>
      </c>
      <c r="B19" s="14" t="n"/>
      <c r="C19" s="6" t="n"/>
      <c r="D19" s="6" t="n"/>
      <c r="E19" s="6" t="n"/>
    </row>
    <row r="20">
      <c r="A20" s="3" t="inlineStr">
        <is>
          <t>Title:</t>
        </is>
      </c>
      <c r="B20" s="14" t="n"/>
      <c r="C20" s="6" t="n"/>
      <c r="D20" s="6" t="n"/>
      <c r="E20" s="6" t="n"/>
    </row>
    <row r="21">
      <c r="A21" s="3" t="inlineStr">
        <is>
          <t>Date:</t>
        </is>
      </c>
      <c r="B21" s="14" t="n"/>
      <c r="C21" s="6" t="n"/>
      <c r="D21" s="6" t="n"/>
      <c r="E21" s="6" t="n"/>
    </row>
    <row r="22">
      <c r="A22" s="3" t="inlineStr">
        <is>
          <t>Signature:</t>
        </is>
      </c>
      <c r="B22" s="14" t="n"/>
      <c r="C22" s="6" t="n"/>
      <c r="D22" s="6" t="n"/>
      <c r="E22" s="6" t="n"/>
    </row>
    <row r="23">
      <c r="A23" s="3" t="inlineStr">
        <is>
          <t>Comments:</t>
        </is>
      </c>
      <c r="B23" s="14" t="n"/>
      <c r="C23" s="6" t="n"/>
      <c r="D23" s="6" t="n"/>
      <c r="E23" s="6" t="n"/>
    </row>
    <row r="25">
      <c r="A25" s="24" t="inlineStr">
        <is>
          <t>APPROVED BY (CISO)</t>
        </is>
      </c>
      <c r="B25" s="6" t="n"/>
      <c r="C25" s="6" t="n"/>
      <c r="D25" s="6" t="n"/>
      <c r="E25" s="6" t="n"/>
    </row>
    <row r="26">
      <c r="A26" s="3" t="inlineStr">
        <is>
          <t>Name:</t>
        </is>
      </c>
      <c r="B26" s="14" t="n"/>
      <c r="C26" s="6" t="n"/>
      <c r="D26" s="6" t="n"/>
      <c r="E26" s="6" t="n"/>
    </row>
    <row r="27">
      <c r="A27" s="3" t="inlineStr">
        <is>
          <t>Title:</t>
        </is>
      </c>
      <c r="B27" s="14" t="n"/>
      <c r="C27" s="6" t="n"/>
      <c r="D27" s="6" t="n"/>
      <c r="E27" s="6" t="n"/>
    </row>
    <row r="28">
      <c r="A28" s="3" t="inlineStr">
        <is>
          <t>Date:</t>
        </is>
      </c>
      <c r="B28" s="14" t="n"/>
      <c r="C28" s="6" t="n"/>
      <c r="D28" s="6" t="n"/>
      <c r="E28" s="6" t="n"/>
    </row>
    <row r="29">
      <c r="A29" s="3" t="inlineStr">
        <is>
          <t>Signature:</t>
        </is>
      </c>
      <c r="B29" s="14" t="n"/>
      <c r="C29" s="6" t="n"/>
      <c r="D29" s="6" t="n"/>
      <c r="E29" s="6" t="n"/>
    </row>
    <row r="30">
      <c r="A30" s="3" t="inlineStr">
        <is>
          <t>Comments:</t>
        </is>
      </c>
      <c r="B30" s="14" t="n"/>
      <c r="C30" s="6" t="n"/>
      <c r="D30" s="6" t="n"/>
      <c r="E30" s="6" t="n"/>
    </row>
    <row r="32">
      <c r="A32" s="3" t="inlineStr">
        <is>
          <t>FINAL DECISION:</t>
        </is>
      </c>
      <c r="B32" s="14" t="n"/>
      <c r="C32" s="6" t="n"/>
      <c r="D32" s="6" t="n"/>
      <c r="E32" s="6" t="n"/>
    </row>
    <row r="35">
      <c r="A35" s="42" t="inlineStr">
        <is>
          <t>NEXT REVIEW DETAILS</t>
        </is>
      </c>
      <c r="B35" s="6" t="n"/>
      <c r="C35" s="6" t="n"/>
      <c r="D35" s="6" t="n"/>
      <c r="E35" s="6" t="n"/>
    </row>
    <row r="36">
      <c r="A36" s="3" t="inlineStr">
        <is>
          <t>Next Review Date:</t>
        </is>
      </c>
      <c r="B36" s="14" t="n"/>
      <c r="C36" s="6" t="n"/>
      <c r="D36" s="6" t="n"/>
      <c r="E36" s="6" t="n"/>
    </row>
    <row r="37">
      <c r="A37" s="3" t="inlineStr">
        <is>
          <t>Review Responsible:</t>
        </is>
      </c>
      <c r="B37" s="14" t="n"/>
      <c r="C37" s="6" t="n"/>
      <c r="D37" s="6" t="n"/>
      <c r="E37" s="6" t="n"/>
    </row>
    <row r="38">
      <c r="A38" s="3" t="inlineStr">
        <is>
          <t>Special Considerations:</t>
        </is>
      </c>
      <c r="B38" s="14"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ISMS-IMP-A.7.14.S3 — Equipment Disposal Assessment</dc:title>
  <dc:description xmlns:dc="http://purl.org/dc/elements/1.1/">ISMS Implementation Workbook — ISMS-IMP-A.7.14.S3</dc:description>
  <dc:subject xmlns:dc="http://purl.org/dc/elements/1.1/">ISO/IEC 27001:2022 — Control A.7.14: Secure Disposal or Re-Use of Equipment</dc:subject>
  <dcterms:created xmlns:dcterms="http://purl.org/dc/terms/" xmlns:xsi="http://www.w3.org/2001/XMLSchema-instance" xsi:type="dcterms:W3CDTF">2026-03-01T16:57:51Z</dcterms:created>
  <dcterms:modified xmlns:dcterms="http://purl.org/dc/terms/" xmlns:xsi="http://www.w3.org/2001/XMLSchema-instance" xsi:type="dcterms:W3CDTF">2026-03-01T16:57:51Z</dcterms:modified>
</cp:coreProperties>
</file>