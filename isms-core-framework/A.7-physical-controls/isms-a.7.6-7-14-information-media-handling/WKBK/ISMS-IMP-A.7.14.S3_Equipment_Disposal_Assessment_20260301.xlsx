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isposal Requirements" sheetId="2" state="visible" r:id="rId2"/>
    <sheet xmlns:r="http://schemas.openxmlformats.org/officeDocument/2006/relationships" name="Disposal Tools" sheetId="3" state="visible" r:id="rId3"/>
    <sheet xmlns:r="http://schemas.openxmlformats.org/officeDocument/2006/relationships" name="Service Providers" sheetId="4" state="visible" r:id="rId4"/>
    <sheet xmlns:r="http://schemas.openxmlformats.org/officeDocument/2006/relationships" name="Disposal Lo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font>
    <font>
      <name val="Calibri"/>
      <b val="1"/>
      <color rgb="00FFFFFF"/>
      <sz val="10"/>
    </font>
    <font>
      <name val="Calibri"/>
      <color rgb="00003366"/>
    </font>
    <font>
      <name val="Calibri"/>
      <b val="1"/>
      <color rgb="00FFFFFF"/>
      <sz val="11"/>
    </font>
    <font>
      <name val="Calibri"/>
      <b val="1"/>
      <color rgb="00000000"/>
      <sz val="10"/>
    </font>
    <font>
      <name val="Calibri"/>
      <color rgb="00000000"/>
    </font>
    <font>
      <name val="Calibri"/>
      <b val="1"/>
      <color rgb="00000000"/>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pivotButton="0" quotePrefix="0" xfId="0"/>
    <xf numFmtId="0" fontId="5"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6" fillId="0" borderId="0" applyAlignment="1" pivotButton="0" quotePrefix="0" xfId="0">
      <alignment horizontal="left" vertical="center"/>
    </xf>
    <xf numFmtId="0" fontId="7" fillId="8" borderId="1" applyAlignment="1" pivotButton="0" quotePrefix="0" xfId="0">
      <alignment horizontal="center" vertical="center" wrapText="1"/>
    </xf>
    <xf numFmtId="0" fontId="8" fillId="11" borderId="1" pivotButton="0" quotePrefix="0" xfId="0"/>
    <xf numFmtId="0" fontId="0" fillId="11" borderId="1" pivotButton="0" quotePrefix="0" xfId="0"/>
    <xf numFmtId="0" fontId="5" fillId="0" borderId="0" applyAlignment="1" pivotButton="0" quotePrefix="0" xfId="0">
      <alignment horizontal="left" vertical="center"/>
    </xf>
    <xf numFmtId="0" fontId="9" fillId="8" borderId="1" pivotButton="0" quotePrefix="0" xfId="0"/>
    <xf numFmtId="0" fontId="10" fillId="9"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xf>
    <xf numFmtId="164" fontId="11" fillId="0" borderId="1" applyAlignment="1" pivotButton="0" quotePrefix="0" xfId="0">
      <alignment horizontal="center"/>
    </xf>
    <xf numFmtId="0" fontId="12" fillId="9" borderId="1" applyAlignment="1" pivotButton="0" quotePrefix="0" xfId="0">
      <alignment horizontal="left" vertical="center"/>
    </xf>
    <xf numFmtId="0" fontId="12" fillId="9" borderId="1" applyAlignment="1" pivotButton="0" quotePrefix="0" xfId="0">
      <alignment horizontal="center"/>
    </xf>
    <xf numFmtId="164" fontId="11" fillId="9" borderId="1" applyAlignment="1" pivotButton="0" quotePrefix="0" xfId="0">
      <alignment horizontal="center"/>
    </xf>
    <xf numFmtId="0" fontId="10" fillId="9" borderId="1" applyAlignment="1" pivotButton="0" quotePrefix="0" xfId="0">
      <alignment horizontal="center"/>
    </xf>
    <xf numFmtId="0" fontId="9" fillId="12" borderId="1" pivotButton="0" quotePrefix="0" xfId="0"/>
    <xf numFmtId="0" fontId="11" fillId="10" borderId="1" applyAlignment="1" pivotButton="0" quotePrefix="0" xfId="0">
      <alignment horizontal="left" vertical="center"/>
    </xf>
    <xf numFmtId="0" fontId="11" fillId="10" borderId="1" applyAlignment="1" pivotButton="0" quotePrefix="0" xfId="0">
      <alignment horizontal="left" vertical="center" wrapText="1"/>
    </xf>
    <xf numFmtId="0" fontId="11" fillId="10" borderId="1" applyAlignment="1" pivotButton="0" quotePrefix="0" xfId="0">
      <alignment horizontal="center"/>
    </xf>
    <xf numFmtId="0" fontId="11" fillId="10" borderId="1" pivotButton="0" quotePrefix="0" xfId="0"/>
    <xf numFmtId="0" fontId="13" fillId="0" borderId="1" pivotButton="0" quotePrefix="0" xfId="0"/>
    <xf numFmtId="0" fontId="9" fillId="13" borderId="1" applyAlignment="1" pivotButton="0" quotePrefix="0" xfId="0">
      <alignment horizontal="left" vertical="center"/>
    </xf>
    <xf numFmtId="0" fontId="4" fillId="0" borderId="1" pivotButton="0" quotePrefix="0" xfId="0"/>
    <xf numFmtId="0" fontId="5" fillId="0" borderId="1" applyAlignment="1" pivotButton="0" quotePrefix="0" xfId="0">
      <alignment horizontal="center" vertical="center"/>
    </xf>
    <xf numFmtId="0" fontId="9"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ISMS-IMP-A.7.14.S3  -  Equipment Disposal Assessment
ISO/IEC 27001:2022 - Control A.7.14: Secure Disposal or Re-Use of Equipment</t>
        </is>
      </c>
    </row>
    <row r="3">
      <c r="A3" s="2" t="inlineStr">
        <is>
          <t>Document Information</t>
        </is>
      </c>
    </row>
    <row r="4">
      <c r="A4" s="3" t="inlineStr">
        <is>
          <t>Document ID</t>
        </is>
      </c>
      <c r="B4" t="inlineStr">
        <is>
          <t>ISMS-IMP-A.7.14.S3</t>
        </is>
      </c>
    </row>
    <row r="5">
      <c r="A5" s="3" t="inlineStr">
        <is>
          <t>Workbook Title</t>
        </is>
      </c>
      <c r="B5" t="inlineStr">
        <is>
          <t>Equipment Disposal Assessment</t>
        </is>
      </c>
    </row>
    <row r="6">
      <c r="A6" s="3" t="inlineStr">
        <is>
          <t>Control Reference</t>
        </is>
      </c>
      <c r="B6" t="inlineStr">
        <is>
          <t>ISO/IEC 27001:2022 - Control A.7.14: Secure Disposal or Re-Use of Equipment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disposal requirements by equipment type in Sheet 2.</t>
        </is>
      </c>
    </row>
    <row r="14">
      <c r="A14" t="inlineStr">
        <is>
          <t>2. List approved sanitisation tools in Sheet 3.</t>
        </is>
      </c>
    </row>
    <row r="15">
      <c r="A15" t="inlineStr">
        <is>
          <t>3. Document disposal service providers in Sheet 4.</t>
        </is>
      </c>
    </row>
    <row r="16">
      <c r="A16" t="inlineStr">
        <is>
          <t>4. Log all equipment disposals in Sheet 5 (Disposal Log).</t>
        </is>
      </c>
    </row>
    <row r="17">
      <c r="A17" t="inlineStr">
        <is>
          <t>5. Review Summary Dashboard (Sheet 6) for compliance metrics.</t>
        </is>
      </c>
    </row>
    <row r="18">
      <c r="A18" t="inlineStr">
        <is>
          <t>6. Document evidence (certificates) in Sheet 7.</t>
        </is>
      </c>
    </row>
    <row r="19">
      <c r="A19" t="inlineStr">
        <is>
          <t>7. Obtain approvals in Sheet 8.</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workbookViewId="0">
      <pane ySplit="3" topLeftCell="A4" activePane="bottomLeft" state="frozen"/>
      <selection pane="bottomLeft" activeCell="A1" sqref="A1"/>
    </sheetView>
  </sheetViews>
  <sheetFormatPr baseColWidth="8" defaultRowHeight="15"/>
  <cols>
    <col width="22" customWidth="1" min="1" max="1"/>
    <col width="18" customWidth="1" min="2" max="2"/>
    <col width="25" customWidth="1" min="3" max="3"/>
    <col width="25" customWidth="1" min="4" max="4"/>
    <col width="20" customWidth="1" min="5" max="5"/>
    <col width="18" customWidth="1" min="6" max="6"/>
    <col width="18" customWidth="1" min="7" max="7"/>
    <col width="20" customWidth="1" min="8" max="8"/>
    <col width="40" customWidth="1" min="9" max="9"/>
  </cols>
  <sheetData>
    <row r="1" ht="35" customHeight="1">
      <c r="A1" s="11" t="inlineStr">
        <is>
          <t>DISPOSAL REQUIREMENTS MATRIX
Disposal methods by equipment type and data classification</t>
        </is>
      </c>
    </row>
    <row r="2">
      <c r="A2" s="12" t="inlineStr">
        <is>
          <t>ISO/IEC 27001:2022 - Control A.7.14: Secure Disposal or Re-Use of Equipment</t>
        </is>
      </c>
    </row>
    <row r="3">
      <c r="A3" s="13" t="inlineStr">
        <is>
          <t>Equipment Type</t>
        </is>
      </c>
      <c r="B3" s="13" t="inlineStr">
        <is>
          <t>Storage Type</t>
        </is>
      </c>
      <c r="C3" s="13" t="inlineStr">
        <is>
          <t>CONFIDENTIAL Method</t>
        </is>
      </c>
      <c r="D3" s="13" t="inlineStr">
        <is>
          <t>INTERNAL Method</t>
        </is>
      </c>
      <c r="E3" s="13" t="inlineStr">
        <is>
          <t>PUBLIC Method</t>
        </is>
      </c>
      <c r="F3" s="13" t="inlineStr">
        <is>
          <t>Verification Required</t>
        </is>
      </c>
      <c r="G3" s="13" t="inlineStr">
        <is>
          <t>Certificate Required</t>
        </is>
      </c>
      <c r="H3" s="13" t="inlineStr">
        <is>
          <t>Implementation Status</t>
        </is>
      </c>
      <c r="I3" s="13" t="inlineStr">
        <is>
          <t>Notes</t>
        </is>
      </c>
    </row>
    <row r="4">
      <c r="A4" s="6" t="inlineStr">
        <is>
          <t>Hard Drives (HDD)</t>
        </is>
      </c>
      <c r="B4" s="6" t="inlineStr">
        <is>
          <t>HDD</t>
        </is>
      </c>
      <c r="C4" s="6" t="inlineStr">
        <is>
          <t>Physical Destruction</t>
        </is>
      </c>
      <c r="D4" s="6" t="inlineStr">
        <is>
          <t>3-Pass Overwrite or Destruction</t>
        </is>
      </c>
      <c r="E4" s="6" t="inlineStr">
        <is>
          <t>Format</t>
        </is>
      </c>
      <c r="F4" s="14" t="n"/>
      <c r="G4" s="14" t="n"/>
      <c r="H4" s="14" t="n"/>
      <c r="I4" s="14" t="n"/>
    </row>
    <row r="5">
      <c r="A5" s="6" t="inlineStr">
        <is>
          <t>Solid State Drives (SSD)</t>
        </is>
      </c>
      <c r="B5" s="6" t="inlineStr">
        <is>
          <t>SSD</t>
        </is>
      </c>
      <c r="C5" s="6" t="inlineStr">
        <is>
          <t>Physical Destruction</t>
        </is>
      </c>
      <c r="D5" s="6" t="inlineStr">
        <is>
          <t>Crypto Erase or Destruction</t>
        </is>
      </c>
      <c r="E5" s="6" t="inlineStr">
        <is>
          <t>Secure Erase</t>
        </is>
      </c>
      <c r="F5" s="14" t="n"/>
      <c r="G5" s="14" t="n"/>
      <c r="H5" s="14" t="n"/>
      <c r="I5" s="14" t="n"/>
    </row>
    <row r="6">
      <c r="A6" s="6" t="inlineStr">
        <is>
          <t>Mobile Devices</t>
        </is>
      </c>
      <c r="B6" s="6" t="inlineStr">
        <is>
          <t>Flash</t>
        </is>
      </c>
      <c r="C6" s="6" t="inlineStr">
        <is>
          <t>Physical Destruction</t>
        </is>
      </c>
      <c r="D6" s="6" t="inlineStr">
        <is>
          <t>Factory Reset + Verification</t>
        </is>
      </c>
      <c r="E6" s="6" t="inlineStr">
        <is>
          <t>Factory Reset</t>
        </is>
      </c>
      <c r="F6" s="14" t="n"/>
      <c r="G6" s="14" t="n"/>
      <c r="H6" s="14" t="n"/>
      <c r="I6" s="14" t="n"/>
    </row>
    <row r="7">
      <c r="A7" s="6" t="inlineStr">
        <is>
          <t>USB/Removable Media</t>
        </is>
      </c>
      <c r="B7" s="6" t="inlineStr">
        <is>
          <t>Flash</t>
        </is>
      </c>
      <c r="C7" s="6" t="inlineStr">
        <is>
          <t>Physical Destruction</t>
        </is>
      </c>
      <c r="D7" s="6" t="inlineStr">
        <is>
          <t>Secure Overwrite or Destruction</t>
        </is>
      </c>
      <c r="E7" s="6" t="inlineStr">
        <is>
          <t>Format</t>
        </is>
      </c>
      <c r="F7" s="14" t="n"/>
      <c r="G7" s="14" t="n"/>
      <c r="H7" s="14" t="n"/>
      <c r="I7" s="14" t="n"/>
    </row>
    <row r="8">
      <c r="A8" s="6" t="inlineStr">
        <is>
          <t>Printers/Copiers</t>
        </is>
      </c>
      <c r="B8" s="6" t="inlineStr">
        <is>
          <t>HDD</t>
        </is>
      </c>
      <c r="C8" s="6" t="inlineStr">
        <is>
          <t>HDD Removal + Destruction</t>
        </is>
      </c>
      <c r="D8" s="6" t="inlineStr">
        <is>
          <t>HDD Removal + Secure Wipe</t>
        </is>
      </c>
      <c r="E8" s="6" t="inlineStr">
        <is>
          <t>Clear Memory</t>
        </is>
      </c>
      <c r="F8" s="14" t="n"/>
      <c r="G8" s="14" t="n"/>
      <c r="H8" s="14" t="n"/>
      <c r="I8" s="14" t="n"/>
    </row>
    <row r="9">
      <c r="A9" s="6" t="inlineStr">
        <is>
          <t>Network Equipment</t>
        </is>
      </c>
      <c r="B9" s="6" t="inlineStr">
        <is>
          <t>Config</t>
        </is>
      </c>
      <c r="C9" s="6" t="inlineStr">
        <is>
          <t>N/A</t>
        </is>
      </c>
      <c r="D9" s="6" t="inlineStr">
        <is>
          <t>Config Wipe + Verification</t>
        </is>
      </c>
      <c r="E9" s="6" t="inlineStr">
        <is>
          <t>Config Reset</t>
        </is>
      </c>
      <c r="F9" s="14" t="n"/>
      <c r="G9" s="14" t="n"/>
      <c r="H9" s="14" t="n"/>
      <c r="I9" s="14" t="n"/>
    </row>
    <row r="10">
      <c r="A10" s="6" t="inlineStr">
        <is>
          <t>Servers</t>
        </is>
      </c>
      <c r="B10" s="6" t="inlineStr">
        <is>
          <t>HDD/SSD</t>
        </is>
      </c>
      <c r="C10" s="6" t="inlineStr">
        <is>
          <t>Physical Destruction</t>
        </is>
      </c>
      <c r="D10" s="6" t="inlineStr">
        <is>
          <t>Secure Wipe or Destruction</t>
        </is>
      </c>
      <c r="E10" s="6" t="inlineStr">
        <is>
          <t>Format + Reinstall</t>
        </is>
      </c>
      <c r="F10" s="14" t="n"/>
      <c r="G10" s="14" t="n"/>
      <c r="H10" s="14" t="n"/>
      <c r="I10" s="14" t="n"/>
    </row>
    <row r="11">
      <c r="A11" s="6" t="inlineStr">
        <is>
          <t>Laptops</t>
        </is>
      </c>
      <c r="B11" s="6" t="inlineStr">
        <is>
          <t>HDD/SSD</t>
        </is>
      </c>
      <c r="C11" s="6" t="inlineStr">
        <is>
          <t>Physical Destruction</t>
        </is>
      </c>
      <c r="D11" s="6" t="inlineStr">
        <is>
          <t>Secure Wipe or Destruction</t>
        </is>
      </c>
      <c r="E11" s="6" t="inlineStr">
        <is>
          <t>Factory Reset</t>
        </is>
      </c>
      <c r="F11" s="14" t="n"/>
      <c r="G11" s="14" t="n"/>
      <c r="H11" s="14" t="n"/>
      <c r="I11" s="14" t="n"/>
    </row>
    <row r="12">
      <c r="A12" s="6" t="inlineStr">
        <is>
          <t>Desktops</t>
        </is>
      </c>
      <c r="B12" s="6" t="inlineStr">
        <is>
          <t>HDD/SSD</t>
        </is>
      </c>
      <c r="C12" s="6" t="inlineStr">
        <is>
          <t>Physical Destruction</t>
        </is>
      </c>
      <c r="D12" s="6" t="inlineStr">
        <is>
          <t>Secure Wipe or Destruction</t>
        </is>
      </c>
      <c r="E12" s="6" t="inlineStr">
        <is>
          <t>Factory Reset</t>
        </is>
      </c>
      <c r="F12" s="14" t="n"/>
      <c r="G12" s="14" t="n"/>
      <c r="H12" s="14" t="n"/>
      <c r="I12" s="14" t="n"/>
    </row>
    <row r="13">
      <c r="A13" s="15" t="inlineStr">
        <is>
          <t>Sample — delete before use</t>
        </is>
      </c>
      <c r="B13" s="16" t="n"/>
      <c r="C13" s="16" t="n"/>
      <c r="D13" s="16" t="n"/>
      <c r="E13" s="16" t="n"/>
      <c r="F13" s="16" t="n"/>
      <c r="G13" s="16" t="n"/>
      <c r="H13" s="16" t="n"/>
      <c r="I13" s="16"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row r="58">
      <c r="A58" s="17" t="n"/>
      <c r="B58" s="17" t="n"/>
      <c r="C58" s="17" t="n"/>
      <c r="D58" s="17" t="n"/>
      <c r="E58" s="17" t="n"/>
      <c r="F58" s="17" t="n"/>
      <c r="G58" s="17" t="n"/>
      <c r="H58" s="17" t="n"/>
      <c r="I58" s="17" t="n"/>
    </row>
    <row r="59">
      <c r="A59" s="17" t="n"/>
      <c r="B59" s="17" t="n"/>
      <c r="C59" s="17" t="n"/>
      <c r="D59" s="17" t="n"/>
      <c r="E59" s="17" t="n"/>
      <c r="F59" s="17" t="n"/>
      <c r="G59" s="17" t="n"/>
      <c r="H59" s="17" t="n"/>
      <c r="I59" s="17" t="n"/>
    </row>
    <row r="60">
      <c r="A60" s="17" t="n"/>
      <c r="B60" s="17" t="n"/>
      <c r="C60" s="17" t="n"/>
      <c r="D60" s="17" t="n"/>
      <c r="E60" s="17" t="n"/>
      <c r="F60" s="17" t="n"/>
      <c r="G60" s="17" t="n"/>
      <c r="H60" s="17" t="n"/>
      <c r="I60" s="17" t="n"/>
    </row>
    <row r="61">
      <c r="A61" s="17" t="n"/>
      <c r="B61" s="17" t="n"/>
      <c r="C61" s="17" t="n"/>
      <c r="D61" s="17" t="n"/>
      <c r="E61" s="17" t="n"/>
      <c r="F61" s="17" t="n"/>
      <c r="G61" s="17" t="n"/>
      <c r="H61" s="17" t="n"/>
      <c r="I61" s="17" t="n"/>
    </row>
    <row r="62">
      <c r="A62" s="17" t="n"/>
      <c r="B62" s="17" t="n"/>
      <c r="C62" s="17" t="n"/>
      <c r="D62" s="17" t="n"/>
      <c r="E62" s="17" t="n"/>
      <c r="F62" s="17" t="n"/>
      <c r="G62" s="17" t="n"/>
      <c r="H62" s="17" t="n"/>
      <c r="I62" s="17" t="n"/>
    </row>
    <row r="63">
      <c r="A63" s="17" t="n"/>
      <c r="B63" s="17" t="n"/>
      <c r="C63" s="17" t="n"/>
      <c r="D63" s="17" t="n"/>
      <c r="E63" s="17" t="n"/>
      <c r="F63" s="17" t="n"/>
      <c r="G63" s="17" t="n"/>
      <c r="H63" s="17" t="n"/>
      <c r="I63" s="17" t="n"/>
    </row>
  </sheetData>
  <mergeCells count="1">
    <mergeCell ref="A1:I1"/>
  </mergeCells>
  <dataValidations count="4">
    <dataValidation sqref="B13 B14 B15 B16 B17 B18 B19 B20 B21 B22 B23 B24 B25 B26 B27 B28 B29 B30 B31 B32 B33 B34 B35 B36 B37 B38 B39 B40 B41 B42 B43 B44 B45 B46 B47 B48 B49 B50 B51 B52 B53 B54 B55 B56 B57 B58 B59 B60 B61 B62 B63" showDropDown="0" showInputMessage="0" showErrorMessage="0" allowBlank="1" type="list">
      <formula1>"HDD,SSD,Flash,Memory,Config,Mixed"</formula1>
    </dataValidation>
    <dataValidation sqref="C13 C14 C15 C16 C17 C18 C19 C20 C21 C22 C23 C24 C25 C26 C27 C28 C29 C30 C31 C32 C33 C34 C35 C36 C37 C38 C39 C40 C41 C42 C43 C44 C45 C46 C47 C48 C49 C50 C51 C52 C53 C54 C55 C56 C57 C58 C59 C60 C61 C62 C63 D13 D14 D15 D16 D17 D18 D19 D20 D21 D22 D23 D24 D25 D26 D27 D28 D29 D30 D31 D32 D33 D34 D35 D36 D37 D38 D39 D40 D41 D42 D43 D44 D45 D46 D47 D48 D49 D50 D51 D52 D53 D54 D55 D56 D57 D58 D59 D60 D61 D62 D63 E13 E14 E15 E16 E17 E18 E19 E20 E21 E22 E23 E24 E25 E26 E27 E28 E29 E30 E31 E32 E33 E34 E35 E36 E37 E38 E39 E40 E41 E42 E43 E44 E45 E46 E47 E48 E49 E50 E51 E52 E53 E54 E55 E56 E57 E58 E59 E60 E61 E62 E63" showDropDown="0" showInputMessage="0" showErrorMessage="0" allowBlank="1" type="list">
      <formula1>"Physical Destruction,Crypto Erase,Secure Overwrite,3-Pass Overwrite,Factory Reset,Format,Config Wipe,N/A"</formula1>
    </dataValidation>
    <dataValidation sqref="F4 F5 F6 F7 F8 F9 F10 F11 F12 F13 F14 F15 F16 F17 F18 F19 F20 F21 F22 F23 F24 F25 F26 F27 F28 F29 F30 F31 F32 F33 F34 F35 F36 F37 F38 F39 F40 F41 F42 F43 F44 F45 F46 F47 F48 F49 F50 F51 F52 F53 F54 F55 F56 F57 F58 F59 F60 F61 F62 F63 G4 G5 G6 G7 G8 G9 G10 G11 G12 G13 G14 G15 G16 G17 G18 G19 G20 G21 G22 G23 G24 G25 G26 G27 G28 G29 G30 G31 G32 G33 G34 G35 G36 G37 G38 G39 G40 G41 G42 G43 G44 G45 G46 G47 G48 G49 G50 G51 G52 G53 G54 G55 G56 G57 G58 G59 G60 G61 G62 G63"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1" type="list">
      <formula1>"Implemented,Partial,Not Implemented"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25" customWidth="1" min="3" max="3"/>
    <col width="25" customWidth="1" min="4" max="4"/>
    <col width="30" customWidth="1" min="5" max="5"/>
    <col width="15" customWidth="1" min="6" max="6"/>
    <col width="15" customWidth="1" min="7" max="7"/>
    <col width="12" customWidth="1" min="8" max="8"/>
    <col width="40" customWidth="1" min="9" max="9"/>
  </cols>
  <sheetData>
    <row r="1" ht="35" customHeight="1">
      <c r="A1" s="11" t="inlineStr">
        <is>
          <t>APPROVED DISPOSAL TOOLS AND METHODS
Data sanitisation tools and physical destruction methods</t>
        </is>
      </c>
    </row>
    <row r="2">
      <c r="A2" s="12" t="inlineStr">
        <is>
          <t>ISO/IEC 27001:2022 - Control A.7.14: Secure Disposal or Re-Use of Equipment</t>
        </is>
      </c>
    </row>
    <row r="3">
      <c r="A3" s="13" t="inlineStr">
        <is>
          <t>Tool/Method Name</t>
        </is>
      </c>
      <c r="B3" s="13" t="inlineStr">
        <is>
          <t>Tool Type</t>
        </is>
      </c>
      <c r="C3" s="13" t="inlineStr">
        <is>
          <t>Applicable Equipment</t>
        </is>
      </c>
      <c r="D3" s="13" t="inlineStr">
        <is>
          <t>Standard/Method</t>
        </is>
      </c>
      <c r="E3" s="13" t="inlineStr">
        <is>
          <t>Verification Method</t>
        </is>
      </c>
      <c r="F3" s="13" t="inlineStr">
        <is>
          <t>Approved Version</t>
        </is>
      </c>
      <c r="G3" s="13" t="inlineStr">
        <is>
          <t>Last Tested</t>
        </is>
      </c>
      <c r="H3" s="13" t="inlineStr">
        <is>
          <t>Compliant</t>
        </is>
      </c>
      <c r="I3" s="13" t="inlineStr">
        <is>
          <t>Notes</t>
        </is>
      </c>
    </row>
    <row r="4">
      <c r="A4" s="6" t="inlineStr">
        <is>
          <t>DBAN (Darik's Boot and Nuke)</t>
        </is>
      </c>
      <c r="B4" s="6" t="inlineStr">
        <is>
          <t>Software - Overwrite</t>
        </is>
      </c>
      <c r="C4" s="6" t="inlineStr">
        <is>
          <t>HDD</t>
        </is>
      </c>
      <c r="D4" s="6" t="inlineStr">
        <is>
          <t>DoD 5220.22-M (3-pass)</t>
        </is>
      </c>
      <c r="E4" s="6" t="inlineStr">
        <is>
          <t>Software verification report</t>
        </is>
      </c>
      <c r="F4" s="14" t="n"/>
      <c r="G4" s="14" t="n"/>
      <c r="H4" s="14" t="n"/>
      <c r="I4" s="14" t="n"/>
    </row>
    <row r="5">
      <c r="A5" s="6" t="inlineStr">
        <is>
          <t>Blancco Drive Eraser</t>
        </is>
      </c>
      <c r="B5" s="6" t="inlineStr">
        <is>
          <t>Software - Overwrite</t>
        </is>
      </c>
      <c r="C5" s="6" t="inlineStr">
        <is>
          <t>HDD, SSD</t>
        </is>
      </c>
      <c r="D5" s="6" t="inlineStr">
        <is>
          <t>NIST 800-88 Rev. 2 Purge</t>
        </is>
      </c>
      <c r="E5" s="6" t="inlineStr">
        <is>
          <t>Certificate generation</t>
        </is>
      </c>
      <c r="F5" s="14" t="n"/>
      <c r="G5" s="14" t="n"/>
      <c r="H5" s="14" t="n"/>
      <c r="I5" s="14" t="n"/>
    </row>
    <row r="6">
      <c r="A6" s="6" t="inlineStr">
        <is>
          <t>BitRaser</t>
        </is>
      </c>
      <c r="B6" s="6" t="inlineStr">
        <is>
          <t>Software - Crypto Erase</t>
        </is>
      </c>
      <c r="C6" s="6" t="inlineStr">
        <is>
          <t>SSD, Flash</t>
        </is>
      </c>
      <c r="D6" s="6" t="inlineStr">
        <is>
          <t>NIST 800-88 Rev. 2 Purge</t>
        </is>
      </c>
      <c r="E6" s="6" t="inlineStr">
        <is>
          <t>Certificate generation</t>
        </is>
      </c>
      <c r="F6" s="14" t="n"/>
      <c r="G6" s="14" t="n"/>
      <c r="H6" s="14" t="n"/>
      <c r="I6" s="14" t="n"/>
    </row>
    <row r="7">
      <c r="A7" s="6" t="inlineStr">
        <is>
          <t>Physical Shredder</t>
        </is>
      </c>
      <c r="B7" s="6" t="inlineStr">
        <is>
          <t>Hardware - Shredder</t>
        </is>
      </c>
      <c r="C7" s="6" t="inlineStr">
        <is>
          <t>All Storage Media</t>
        </is>
      </c>
      <c r="D7" s="6" t="inlineStr">
        <is>
          <t>Physical Destruction</t>
        </is>
      </c>
      <c r="E7" s="6" t="inlineStr">
        <is>
          <t>Visual inspection + certificate</t>
        </is>
      </c>
      <c r="F7" s="14" t="n"/>
      <c r="G7" s="14" t="n"/>
      <c r="H7" s="14" t="n"/>
      <c r="I7" s="14" t="n"/>
    </row>
    <row r="8">
      <c r="A8" s="6" t="inlineStr">
        <is>
          <t>Degausser</t>
        </is>
      </c>
      <c r="B8" s="6" t="inlineStr">
        <is>
          <t>Hardware - Degausser</t>
        </is>
      </c>
      <c r="C8" s="6" t="inlineStr">
        <is>
          <t>Magnetic Media (HDD, Tape)</t>
        </is>
      </c>
      <c r="D8" s="6" t="inlineStr">
        <is>
          <t>Magnetic Erasure</t>
        </is>
      </c>
      <c r="E8" s="6" t="inlineStr">
        <is>
          <t>Visual inspection</t>
        </is>
      </c>
      <c r="F8" s="14" t="n"/>
      <c r="G8" s="14" t="n"/>
      <c r="H8" s="14" t="n"/>
      <c r="I8" s="14" t="n"/>
    </row>
    <row r="9">
      <c r="A9" s="15" t="inlineStr">
        <is>
          <t>Sample — delete before use</t>
        </is>
      </c>
      <c r="B9" s="16" t="n"/>
      <c r="C9" s="16" t="n"/>
      <c r="D9" s="16" t="n"/>
      <c r="E9" s="16" t="n"/>
      <c r="F9" s="16" t="n"/>
      <c r="G9" s="16" t="n"/>
      <c r="H9" s="16" t="n"/>
      <c r="I9" s="16"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row r="58">
      <c r="A58" s="17" t="n"/>
      <c r="B58" s="17" t="n"/>
      <c r="C58" s="17" t="n"/>
      <c r="D58" s="17" t="n"/>
      <c r="E58" s="17" t="n"/>
      <c r="F58" s="17" t="n"/>
      <c r="G58" s="17" t="n"/>
      <c r="H58" s="17" t="n"/>
      <c r="I58" s="17" t="n"/>
    </row>
    <row r="59">
      <c r="A59" s="17" t="n"/>
      <c r="B59" s="17" t="n"/>
      <c r="C59" s="17" t="n"/>
      <c r="D59" s="17" t="n"/>
      <c r="E59" s="17" t="n"/>
      <c r="F59" s="17" t="n"/>
      <c r="G59" s="17" t="n"/>
      <c r="H59" s="17" t="n"/>
      <c r="I59" s="17" t="n"/>
    </row>
  </sheetData>
  <mergeCells count="1">
    <mergeCell ref="A1:I1"/>
  </mergeCells>
  <dataValidations count="2">
    <dataValidation sqref="B9 B10 B11 B12 B13 B14 B15 B16 B17 B18 B19 B20 B21 B22 B23 B24 B25 B26 B27 B28 B29 B30 B31 B32 B33 B34 B35 B36 B37 B38 B39 B40 B41 B42 B43 B44 B45 B46 B47 B48 B49 B50 B51 B52 B53 B54 B55 B56 B57 B58 B59" showDropDown="0" showInputMessage="0" showErrorMessage="0" allowBlank="1" type="list">
      <formula1>"Software - Overwrite,Software - Crypto Erase,Hardware - Degausser,Hardware - Shredder,Manual Process"</formula1>
    </dataValidation>
    <dataValidation sqref="H4 H5 H6 H7 H8 H9 H10 H11 H12 H13 H14 H15 H16 H17 H18 H19 H20 H21 H22 H23 H24 H25 H26 H27 H28 H29 H30 H31 H32 H33 H34 H35 H36 H37 H38 H39 H40 H41 H42 H43 H44 H45 H46 H47 H48 H49 H50 H51 H52 H53 H54 H55 H56 H57 H58 H59" showDropDown="0" showInputMessage="0" showErrorMessage="0" allowBlank="1" type="list">
      <formula1>"Yes,Partial,No"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15" customWidth="1" min="3" max="3"/>
    <col width="15" customWidth="1" min="4" max="4"/>
    <col width="20" customWidth="1" min="5" max="5"/>
    <col width="15" customWidth="1" min="6" max="6"/>
    <col width="18" customWidth="1" min="7" max="7"/>
    <col width="15" customWidth="1" min="8" max="8"/>
    <col width="15" customWidth="1" min="9" max="9"/>
    <col width="40" customWidth="1" min="10" max="10"/>
  </cols>
  <sheetData>
    <row r="1" ht="35" customHeight="1">
      <c r="A1" s="11" t="inlineStr">
        <is>
          <t>DISPOSAL SERVICE PROVIDERS
Vendor management for equipment destruction services</t>
        </is>
      </c>
    </row>
    <row r="2">
      <c r="A2" s="12" t="inlineStr">
        <is>
          <t>ISO/IEC 27001:2022 - Control A.7.14: Secure Disposal or Re-Use of Equipment</t>
        </is>
      </c>
    </row>
    <row r="3">
      <c r="A3" s="13" t="inlineStr">
        <is>
          <t>Provider Name</t>
        </is>
      </c>
      <c r="B3" s="13" t="inlineStr">
        <is>
          <t>Service Type</t>
        </is>
      </c>
      <c r="C3" s="13" t="inlineStr">
        <is>
          <t>Contract Status</t>
        </is>
      </c>
      <c r="D3" s="13" t="inlineStr">
        <is>
          <t>Contract Expiry</t>
        </is>
      </c>
      <c r="E3" s="13" t="inlineStr">
        <is>
          <t>Certificate Provided</t>
        </is>
      </c>
      <c r="F3" s="13" t="inlineStr">
        <is>
          <t>On-Site Option</t>
        </is>
      </c>
      <c r="G3" s="13" t="inlineStr">
        <is>
          <t>Chain of Custody</t>
        </is>
      </c>
      <c r="H3" s="13" t="inlineStr">
        <is>
          <t>Last Audit/Review</t>
        </is>
      </c>
      <c r="I3" s="13" t="inlineStr">
        <is>
          <t>Status</t>
        </is>
      </c>
      <c r="J3" s="13" t="inlineStr">
        <is>
          <t>Notes</t>
        </is>
      </c>
    </row>
    <row r="4">
      <c r="A4" s="15" t="inlineStr">
        <is>
          <t>Sample — delete before use</t>
        </is>
      </c>
      <c r="B4" s="16" t="n"/>
      <c r="C4" s="16" t="n"/>
      <c r="D4" s="16" t="n"/>
      <c r="E4" s="16" t="n"/>
      <c r="F4" s="16" t="n"/>
      <c r="G4" s="16" t="n"/>
      <c r="H4" s="16" t="n"/>
      <c r="I4" s="16" t="n"/>
      <c r="J4" s="16" t="n"/>
    </row>
    <row r="5">
      <c r="A5" s="17" t="n"/>
      <c r="B5" s="17" t="n"/>
      <c r="C5" s="17" t="n"/>
      <c r="D5" s="17" t="n"/>
      <c r="E5" s="17" t="n"/>
      <c r="F5" s="17" t="n"/>
      <c r="G5" s="17" t="n"/>
      <c r="H5" s="17" t="n"/>
      <c r="I5" s="17" t="n"/>
      <c r="J5" s="17" t="n"/>
    </row>
    <row r="6">
      <c r="A6" s="17" t="n"/>
      <c r="B6" s="17" t="n"/>
      <c r="C6" s="17" t="n"/>
      <c r="D6" s="17" t="n"/>
      <c r="E6" s="17" t="n"/>
      <c r="F6" s="17" t="n"/>
      <c r="G6" s="17" t="n"/>
      <c r="H6" s="17" t="n"/>
      <c r="I6" s="17" t="n"/>
      <c r="J6" s="17" t="n"/>
    </row>
    <row r="7">
      <c r="A7" s="17" t="n"/>
      <c r="B7" s="17" t="n"/>
      <c r="C7" s="17" t="n"/>
      <c r="D7" s="17" t="n"/>
      <c r="E7" s="17" t="n"/>
      <c r="F7" s="17" t="n"/>
      <c r="G7" s="17" t="n"/>
      <c r="H7" s="17" t="n"/>
      <c r="I7" s="17" t="n"/>
      <c r="J7" s="17"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sheetData>
  <mergeCells count="1">
    <mergeCell ref="A1:J1"/>
  </mergeCells>
  <dataValidations count="6">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"On-site Destruction,Off-site Destruction,Recycling with Destruction,Certificate Only"</formula1>
    </dataValidation>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"Active,Expired,Under Review,Pending"</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Per Item,Yes - Per Batch,No"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"Documented,Partial,Not Documented"</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 Compliant,⚠ Partial,❌ Non-Compliant"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15" customWidth="1" min="3" max="3"/>
    <col width="15" customWidth="1" min="4" max="4"/>
    <col width="25" customWidth="1" min="5" max="5"/>
    <col width="20" customWidth="1" min="6" max="6"/>
    <col width="18" customWidth="1" min="7" max="7"/>
    <col width="22" customWidth="1" min="8" max="8"/>
    <col width="18" customWidth="1" min="9" max="9"/>
    <col width="18" customWidth="1" min="10" max="10"/>
    <col width="20" customWidth="1" min="11" max="11"/>
    <col width="18" customWidth="1" min="12" max="12"/>
    <col width="15" customWidth="1" min="13" max="13"/>
    <col width="12" customWidth="1" min="14" max="14"/>
    <col width="35" customWidth="1" min="15" max="15"/>
  </cols>
  <sheetData>
    <row r="1" ht="35" customHeight="1">
      <c r="A1" s="11" t="inlineStr">
        <is>
          <t>EQUIPMENT DISPOSAL LOG
Track all equipment disposals with certificates and verification</t>
        </is>
      </c>
    </row>
    <row r="2">
      <c r="A2" s="12" t="inlineStr">
        <is>
          <t>ISO/IEC 27001:2022 - Control A.7.14: Secure Disposal or Re-Use of Equipment</t>
        </is>
      </c>
    </row>
    <row r="3">
      <c r="A3" s="13" t="inlineStr">
        <is>
          <t>Disposal ID</t>
        </is>
      </c>
      <c r="B3" s="13" t="inlineStr">
        <is>
          <t>Date</t>
        </is>
      </c>
      <c r="C3" s="13" t="inlineStr">
        <is>
          <t>Asset Tag</t>
        </is>
      </c>
      <c r="D3" s="13" t="inlineStr">
        <is>
          <t>Equipment Type</t>
        </is>
      </c>
      <c r="E3" s="13" t="inlineStr">
        <is>
          <t>Make/Model</t>
        </is>
      </c>
      <c r="F3" s="13" t="inlineStr">
        <is>
          <t>Serial Number</t>
        </is>
      </c>
      <c r="G3" s="13" t="inlineStr">
        <is>
          <t>Data Classification</t>
        </is>
      </c>
      <c r="H3" s="13" t="inlineStr">
        <is>
          <t>Disposal Method</t>
        </is>
      </c>
      <c r="I3" s="13" t="inlineStr">
        <is>
          <t>Destination</t>
        </is>
      </c>
      <c r="J3" s="13" t="inlineStr">
        <is>
          <t>Certificate Obtained</t>
        </is>
      </c>
      <c r="K3" s="13" t="inlineStr">
        <is>
          <t>Certificate Ref</t>
        </is>
      </c>
      <c r="L3" s="13" t="inlineStr">
        <is>
          <t>Verified By</t>
        </is>
      </c>
      <c r="M3" s="13" t="inlineStr">
        <is>
          <t>Asset Updated</t>
        </is>
      </c>
      <c r="N3" s="13" t="inlineStr">
        <is>
          <t>Compliant</t>
        </is>
      </c>
      <c r="O3" s="13" t="inlineStr">
        <is>
          <t>Notes</t>
        </is>
      </c>
    </row>
    <row r="4">
      <c r="A4" s="15" t="inlineStr">
        <is>
          <t>Sample — delete before use</t>
        </is>
      </c>
      <c r="B4" s="16" t="n"/>
      <c r="C4" s="16" t="n"/>
      <c r="D4" s="16" t="n"/>
      <c r="E4" s="16" t="n"/>
      <c r="F4" s="16" t="n"/>
      <c r="G4" s="16" t="n"/>
      <c r="H4" s="16" t="n"/>
      <c r="I4" s="16" t="n"/>
      <c r="J4" s="16" t="n"/>
      <c r="K4" s="16" t="n"/>
      <c r="L4" s="16" t="n"/>
      <c r="M4" s="16" t="n"/>
      <c r="N4" s="16">
        <f>IF(OR(G4="",H4=""),"",IF(AND(G4="CONFIDENTIAL",H4="Physical Destruction",J4="Yes"),"Yes",IF(G4="PUBLIC","Yes",IF(J4="N/A","Yes","Check"))))</f>
        <v/>
      </c>
      <c r="O4" s="16" t="n"/>
    </row>
    <row r="5">
      <c r="A5" s="17" t="n"/>
      <c r="B5" s="17" t="n"/>
      <c r="C5" s="17" t="n"/>
      <c r="D5" s="17" t="n"/>
      <c r="E5" s="17" t="n"/>
      <c r="F5" s="17" t="n"/>
      <c r="G5" s="17" t="n"/>
      <c r="H5" s="17" t="n"/>
      <c r="I5" s="17" t="n"/>
      <c r="J5" s="17" t="n"/>
      <c r="K5" s="17" t="n"/>
      <c r="L5" s="17" t="n"/>
      <c r="M5" s="17" t="n"/>
      <c r="N5" s="17">
        <f>IF(OR(G5="",H5=""),"",IF(AND(G5="CONFIDENTIAL",H5="Physical Destruction",J5="Yes"),"Yes",IF(G5="PUBLIC","Yes",IF(J5="N/A","Yes","Check"))))</f>
        <v/>
      </c>
      <c r="O5" s="17" t="n"/>
    </row>
    <row r="6">
      <c r="A6" s="17" t="n"/>
      <c r="B6" s="17" t="n"/>
      <c r="C6" s="17" t="n"/>
      <c r="D6" s="17" t="n"/>
      <c r="E6" s="17" t="n"/>
      <c r="F6" s="17" t="n"/>
      <c r="G6" s="17" t="n"/>
      <c r="H6" s="17" t="n"/>
      <c r="I6" s="17" t="n"/>
      <c r="J6" s="17" t="n"/>
      <c r="K6" s="17" t="n"/>
      <c r="L6" s="17" t="n"/>
      <c r="M6" s="17" t="n"/>
      <c r="N6" s="17">
        <f>IF(OR(G6="",H6=""),"",IF(AND(G6="CONFIDENTIAL",H6="Physical Destruction",J6="Yes"),"Yes",IF(G6="PUBLIC","Yes",IF(J6="N/A","Yes","Check"))))</f>
        <v/>
      </c>
      <c r="O6" s="17" t="n"/>
    </row>
    <row r="7">
      <c r="A7" s="17" t="n"/>
      <c r="B7" s="17" t="n"/>
      <c r="C7" s="17" t="n"/>
      <c r="D7" s="17" t="n"/>
      <c r="E7" s="17" t="n"/>
      <c r="F7" s="17" t="n"/>
      <c r="G7" s="17" t="n"/>
      <c r="H7" s="17" t="n"/>
      <c r="I7" s="17" t="n"/>
      <c r="J7" s="17" t="n"/>
      <c r="K7" s="17" t="n"/>
      <c r="L7" s="17" t="n"/>
      <c r="M7" s="17" t="n"/>
      <c r="N7" s="17">
        <f>IF(OR(G7="",H7=""),"",IF(AND(G7="CONFIDENTIAL",H7="Physical Destruction",J7="Yes"),"Yes",IF(G7="PUBLIC","Yes",IF(J7="N/A","Yes","Check"))))</f>
        <v/>
      </c>
      <c r="O7" s="17" t="n"/>
    </row>
    <row r="8">
      <c r="A8" s="17" t="n"/>
      <c r="B8" s="17" t="n"/>
      <c r="C8" s="17" t="n"/>
      <c r="D8" s="17" t="n"/>
      <c r="E8" s="17" t="n"/>
      <c r="F8" s="17" t="n"/>
      <c r="G8" s="17" t="n"/>
      <c r="H8" s="17" t="n"/>
      <c r="I8" s="17" t="n"/>
      <c r="J8" s="17" t="n"/>
      <c r="K8" s="17" t="n"/>
      <c r="L8" s="17" t="n"/>
      <c r="M8" s="17" t="n"/>
      <c r="N8" s="17">
        <f>IF(OR(G8="",H8=""),"",IF(AND(G8="CONFIDENTIAL",H8="Physical Destruction",J8="Yes"),"Yes",IF(G8="PUBLIC","Yes",IF(J8="N/A","Yes","Check"))))</f>
        <v/>
      </c>
      <c r="O8" s="17" t="n"/>
    </row>
    <row r="9">
      <c r="A9" s="17" t="n"/>
      <c r="B9" s="17" t="n"/>
      <c r="C9" s="17" t="n"/>
      <c r="D9" s="17" t="n"/>
      <c r="E9" s="17" t="n"/>
      <c r="F9" s="17" t="n"/>
      <c r="G9" s="17" t="n"/>
      <c r="H9" s="17" t="n"/>
      <c r="I9" s="17" t="n"/>
      <c r="J9" s="17" t="n"/>
      <c r="K9" s="17" t="n"/>
      <c r="L9" s="17" t="n"/>
      <c r="M9" s="17" t="n"/>
      <c r="N9" s="17">
        <f>IF(OR(G9="",H9=""),"",IF(AND(G9="CONFIDENTIAL",H9="Physical Destruction",J9="Yes"),"Yes",IF(G9="PUBLIC","Yes",IF(J9="N/A","Yes","Check"))))</f>
        <v/>
      </c>
      <c r="O9" s="17" t="n"/>
    </row>
    <row r="10">
      <c r="A10" s="17" t="n"/>
      <c r="B10" s="17" t="n"/>
      <c r="C10" s="17" t="n"/>
      <c r="D10" s="17" t="n"/>
      <c r="E10" s="17" t="n"/>
      <c r="F10" s="17" t="n"/>
      <c r="G10" s="17" t="n"/>
      <c r="H10" s="17" t="n"/>
      <c r="I10" s="17" t="n"/>
      <c r="J10" s="17" t="n"/>
      <c r="K10" s="17" t="n"/>
      <c r="L10" s="17" t="n"/>
      <c r="M10" s="17" t="n"/>
      <c r="N10" s="17">
        <f>IF(OR(G10="",H10=""),"",IF(AND(G10="CONFIDENTIAL",H10="Physical Destruction",J10="Yes"),"Yes",IF(G10="PUBLIC","Yes",IF(J10="N/A","Yes","Check"))))</f>
        <v/>
      </c>
      <c r="O10" s="17" t="n"/>
    </row>
    <row r="11">
      <c r="A11" s="17" t="n"/>
      <c r="B11" s="17" t="n"/>
      <c r="C11" s="17" t="n"/>
      <c r="D11" s="17" t="n"/>
      <c r="E11" s="17" t="n"/>
      <c r="F11" s="17" t="n"/>
      <c r="G11" s="17" t="n"/>
      <c r="H11" s="17" t="n"/>
      <c r="I11" s="17" t="n"/>
      <c r="J11" s="17" t="n"/>
      <c r="K11" s="17" t="n"/>
      <c r="L11" s="17" t="n"/>
      <c r="M11" s="17" t="n"/>
      <c r="N11" s="17">
        <f>IF(OR(G11="",H11=""),"",IF(AND(G11="CONFIDENTIAL",H11="Physical Destruction",J11="Yes"),"Yes",IF(G11="PUBLIC","Yes",IF(J11="N/A","Yes","Check"))))</f>
        <v/>
      </c>
      <c r="O11" s="17" t="n"/>
    </row>
    <row r="12">
      <c r="A12" s="17" t="n"/>
      <c r="B12" s="17" t="n"/>
      <c r="C12" s="17" t="n"/>
      <c r="D12" s="17" t="n"/>
      <c r="E12" s="17" t="n"/>
      <c r="F12" s="17" t="n"/>
      <c r="G12" s="17" t="n"/>
      <c r="H12" s="17" t="n"/>
      <c r="I12" s="17" t="n"/>
      <c r="J12" s="17" t="n"/>
      <c r="K12" s="17" t="n"/>
      <c r="L12" s="17" t="n"/>
      <c r="M12" s="17" t="n"/>
      <c r="N12" s="17">
        <f>IF(OR(G12="",H12=""),"",IF(AND(G12="CONFIDENTIAL",H12="Physical Destruction",J12="Yes"),"Yes",IF(G12="PUBLIC","Yes",IF(J12="N/A","Yes","Check"))))</f>
        <v/>
      </c>
      <c r="O12" s="17" t="n"/>
    </row>
    <row r="13">
      <c r="A13" s="17" t="n"/>
      <c r="B13" s="17" t="n"/>
      <c r="C13" s="17" t="n"/>
      <c r="D13" s="17" t="n"/>
      <c r="E13" s="17" t="n"/>
      <c r="F13" s="17" t="n"/>
      <c r="G13" s="17" t="n"/>
      <c r="H13" s="17" t="n"/>
      <c r="I13" s="17" t="n"/>
      <c r="J13" s="17" t="n"/>
      <c r="K13" s="17" t="n"/>
      <c r="L13" s="17" t="n"/>
      <c r="M13" s="17" t="n"/>
      <c r="N13" s="17">
        <f>IF(OR(G13="",H13=""),"",IF(AND(G13="CONFIDENTIAL",H13="Physical Destruction",J13="Yes"),"Yes",IF(G13="PUBLIC","Yes",IF(J13="N/A","Yes","Check"))))</f>
        <v/>
      </c>
      <c r="O13" s="17" t="n"/>
    </row>
    <row r="14">
      <c r="A14" s="17" t="n"/>
      <c r="B14" s="17" t="n"/>
      <c r="C14" s="17" t="n"/>
      <c r="D14" s="17" t="n"/>
      <c r="E14" s="17" t="n"/>
      <c r="F14" s="17" t="n"/>
      <c r="G14" s="17" t="n"/>
      <c r="H14" s="17" t="n"/>
      <c r="I14" s="17" t="n"/>
      <c r="J14" s="17" t="n"/>
      <c r="K14" s="17" t="n"/>
      <c r="L14" s="17" t="n"/>
      <c r="M14" s="17" t="n"/>
      <c r="N14" s="17">
        <f>IF(OR(G14="",H14=""),"",IF(AND(G14="CONFIDENTIAL",H14="Physical Destruction",J14="Yes"),"Yes",IF(G14="PUBLIC","Yes",IF(J14="N/A","Yes","Check"))))</f>
        <v/>
      </c>
      <c r="O14" s="17" t="n"/>
    </row>
    <row r="15">
      <c r="A15" s="17" t="n"/>
      <c r="B15" s="17" t="n"/>
      <c r="C15" s="17" t="n"/>
      <c r="D15" s="17" t="n"/>
      <c r="E15" s="17" t="n"/>
      <c r="F15" s="17" t="n"/>
      <c r="G15" s="17" t="n"/>
      <c r="H15" s="17" t="n"/>
      <c r="I15" s="17" t="n"/>
      <c r="J15" s="17" t="n"/>
      <c r="K15" s="17" t="n"/>
      <c r="L15" s="17" t="n"/>
      <c r="M15" s="17" t="n"/>
      <c r="N15" s="17">
        <f>IF(OR(G15="",H15=""),"",IF(AND(G15="CONFIDENTIAL",H15="Physical Destruction",J15="Yes"),"Yes",IF(G15="PUBLIC","Yes",IF(J15="N/A","Yes","Check"))))</f>
        <v/>
      </c>
      <c r="O15" s="17" t="n"/>
    </row>
    <row r="16">
      <c r="A16" s="17" t="n"/>
      <c r="B16" s="17" t="n"/>
      <c r="C16" s="17" t="n"/>
      <c r="D16" s="17" t="n"/>
      <c r="E16" s="17" t="n"/>
      <c r="F16" s="17" t="n"/>
      <c r="G16" s="17" t="n"/>
      <c r="H16" s="17" t="n"/>
      <c r="I16" s="17" t="n"/>
      <c r="J16" s="17" t="n"/>
      <c r="K16" s="17" t="n"/>
      <c r="L16" s="17" t="n"/>
      <c r="M16" s="17" t="n"/>
      <c r="N16" s="17">
        <f>IF(OR(G16="",H16=""),"",IF(AND(G16="CONFIDENTIAL",H16="Physical Destruction",J16="Yes"),"Yes",IF(G16="PUBLIC","Yes",IF(J16="N/A","Yes","Check"))))</f>
        <v/>
      </c>
      <c r="O16" s="17" t="n"/>
    </row>
    <row r="17">
      <c r="A17" s="17" t="n"/>
      <c r="B17" s="17" t="n"/>
      <c r="C17" s="17" t="n"/>
      <c r="D17" s="17" t="n"/>
      <c r="E17" s="17" t="n"/>
      <c r="F17" s="17" t="n"/>
      <c r="G17" s="17" t="n"/>
      <c r="H17" s="17" t="n"/>
      <c r="I17" s="17" t="n"/>
      <c r="J17" s="17" t="n"/>
      <c r="K17" s="17" t="n"/>
      <c r="L17" s="17" t="n"/>
      <c r="M17" s="17" t="n"/>
      <c r="N17" s="17">
        <f>IF(OR(G17="",H17=""),"",IF(AND(G17="CONFIDENTIAL",H17="Physical Destruction",J17="Yes"),"Yes",IF(G17="PUBLIC","Yes",IF(J17="N/A","Yes","Check"))))</f>
        <v/>
      </c>
      <c r="O17" s="17" t="n"/>
    </row>
    <row r="18">
      <c r="A18" s="17" t="n"/>
      <c r="B18" s="17" t="n"/>
      <c r="C18" s="17" t="n"/>
      <c r="D18" s="17" t="n"/>
      <c r="E18" s="17" t="n"/>
      <c r="F18" s="17" t="n"/>
      <c r="G18" s="17" t="n"/>
      <c r="H18" s="17" t="n"/>
      <c r="I18" s="17" t="n"/>
      <c r="J18" s="17" t="n"/>
      <c r="K18" s="17" t="n"/>
      <c r="L18" s="17" t="n"/>
      <c r="M18" s="17" t="n"/>
      <c r="N18" s="17">
        <f>IF(OR(G18="",H18=""),"",IF(AND(G18="CONFIDENTIAL",H18="Physical Destruction",J18="Yes"),"Yes",IF(G18="PUBLIC","Yes",IF(J18="N/A","Yes","Check"))))</f>
        <v/>
      </c>
      <c r="O18" s="17" t="n"/>
    </row>
    <row r="19">
      <c r="A19" s="17" t="n"/>
      <c r="B19" s="17" t="n"/>
      <c r="C19" s="17" t="n"/>
      <c r="D19" s="17" t="n"/>
      <c r="E19" s="17" t="n"/>
      <c r="F19" s="17" t="n"/>
      <c r="G19" s="17" t="n"/>
      <c r="H19" s="17" t="n"/>
      <c r="I19" s="17" t="n"/>
      <c r="J19" s="17" t="n"/>
      <c r="K19" s="17" t="n"/>
      <c r="L19" s="17" t="n"/>
      <c r="M19" s="17" t="n"/>
      <c r="N19" s="17">
        <f>IF(OR(G19="",H19=""),"",IF(AND(G19="CONFIDENTIAL",H19="Physical Destruction",J19="Yes"),"Yes",IF(G19="PUBLIC","Yes",IF(J19="N/A","Yes","Check"))))</f>
        <v/>
      </c>
      <c r="O19" s="17" t="n"/>
    </row>
    <row r="20">
      <c r="A20" s="17" t="n"/>
      <c r="B20" s="17" t="n"/>
      <c r="C20" s="17" t="n"/>
      <c r="D20" s="17" t="n"/>
      <c r="E20" s="17" t="n"/>
      <c r="F20" s="17" t="n"/>
      <c r="G20" s="17" t="n"/>
      <c r="H20" s="17" t="n"/>
      <c r="I20" s="17" t="n"/>
      <c r="J20" s="17" t="n"/>
      <c r="K20" s="17" t="n"/>
      <c r="L20" s="17" t="n"/>
      <c r="M20" s="17" t="n"/>
      <c r="N20" s="17">
        <f>IF(OR(G20="",H20=""),"",IF(AND(G20="CONFIDENTIAL",H20="Physical Destruction",J20="Yes"),"Yes",IF(G20="PUBLIC","Yes",IF(J20="N/A","Yes","Check"))))</f>
        <v/>
      </c>
      <c r="O20" s="17" t="n"/>
    </row>
    <row r="21">
      <c r="A21" s="17" t="n"/>
      <c r="B21" s="17" t="n"/>
      <c r="C21" s="17" t="n"/>
      <c r="D21" s="17" t="n"/>
      <c r="E21" s="17" t="n"/>
      <c r="F21" s="17" t="n"/>
      <c r="G21" s="17" t="n"/>
      <c r="H21" s="17" t="n"/>
      <c r="I21" s="17" t="n"/>
      <c r="J21" s="17" t="n"/>
      <c r="K21" s="17" t="n"/>
      <c r="L21" s="17" t="n"/>
      <c r="M21" s="17" t="n"/>
      <c r="N21" s="17">
        <f>IF(OR(G21="",H21=""),"",IF(AND(G21="CONFIDENTIAL",H21="Physical Destruction",J21="Yes"),"Yes",IF(G21="PUBLIC","Yes",IF(J21="N/A","Yes","Check"))))</f>
        <v/>
      </c>
      <c r="O21" s="17" t="n"/>
    </row>
    <row r="22">
      <c r="A22" s="17" t="n"/>
      <c r="B22" s="17" t="n"/>
      <c r="C22" s="17" t="n"/>
      <c r="D22" s="17" t="n"/>
      <c r="E22" s="17" t="n"/>
      <c r="F22" s="17" t="n"/>
      <c r="G22" s="17" t="n"/>
      <c r="H22" s="17" t="n"/>
      <c r="I22" s="17" t="n"/>
      <c r="J22" s="17" t="n"/>
      <c r="K22" s="17" t="n"/>
      <c r="L22" s="17" t="n"/>
      <c r="M22" s="17" t="n"/>
      <c r="N22" s="17">
        <f>IF(OR(G22="",H22=""),"",IF(AND(G22="CONFIDENTIAL",H22="Physical Destruction",J22="Yes"),"Yes",IF(G22="PUBLIC","Yes",IF(J22="N/A","Yes","Check"))))</f>
        <v/>
      </c>
      <c r="O22" s="17" t="n"/>
    </row>
    <row r="23">
      <c r="A23" s="17" t="n"/>
      <c r="B23" s="17" t="n"/>
      <c r="C23" s="17" t="n"/>
      <c r="D23" s="17" t="n"/>
      <c r="E23" s="17" t="n"/>
      <c r="F23" s="17" t="n"/>
      <c r="G23" s="17" t="n"/>
      <c r="H23" s="17" t="n"/>
      <c r="I23" s="17" t="n"/>
      <c r="J23" s="17" t="n"/>
      <c r="K23" s="17" t="n"/>
      <c r="L23" s="17" t="n"/>
      <c r="M23" s="17" t="n"/>
      <c r="N23" s="17">
        <f>IF(OR(G23="",H23=""),"",IF(AND(G23="CONFIDENTIAL",H23="Physical Destruction",J23="Yes"),"Yes",IF(G23="PUBLIC","Yes",IF(J23="N/A","Yes","Check"))))</f>
        <v/>
      </c>
      <c r="O23" s="17" t="n"/>
    </row>
    <row r="24">
      <c r="A24" s="17" t="n"/>
      <c r="B24" s="17" t="n"/>
      <c r="C24" s="17" t="n"/>
      <c r="D24" s="17" t="n"/>
      <c r="E24" s="17" t="n"/>
      <c r="F24" s="17" t="n"/>
      <c r="G24" s="17" t="n"/>
      <c r="H24" s="17" t="n"/>
      <c r="I24" s="17" t="n"/>
      <c r="J24" s="17" t="n"/>
      <c r="K24" s="17" t="n"/>
      <c r="L24" s="17" t="n"/>
      <c r="M24" s="17" t="n"/>
      <c r="N24" s="17">
        <f>IF(OR(G24="",H24=""),"",IF(AND(G24="CONFIDENTIAL",H24="Physical Destruction",J24="Yes"),"Yes",IF(G24="PUBLIC","Yes",IF(J24="N/A","Yes","Check"))))</f>
        <v/>
      </c>
      <c r="O24" s="17" t="n"/>
    </row>
    <row r="25">
      <c r="A25" s="17" t="n"/>
      <c r="B25" s="17" t="n"/>
      <c r="C25" s="17" t="n"/>
      <c r="D25" s="17" t="n"/>
      <c r="E25" s="17" t="n"/>
      <c r="F25" s="17" t="n"/>
      <c r="G25" s="17" t="n"/>
      <c r="H25" s="17" t="n"/>
      <c r="I25" s="17" t="n"/>
      <c r="J25" s="17" t="n"/>
      <c r="K25" s="17" t="n"/>
      <c r="L25" s="17" t="n"/>
      <c r="M25" s="17" t="n"/>
      <c r="N25" s="17">
        <f>IF(OR(G25="",H25=""),"",IF(AND(G25="CONFIDENTIAL",H25="Physical Destruction",J25="Yes"),"Yes",IF(G25="PUBLIC","Yes",IF(J25="N/A","Yes","Check"))))</f>
        <v/>
      </c>
      <c r="O25" s="17" t="n"/>
    </row>
    <row r="26">
      <c r="A26" s="17" t="n"/>
      <c r="B26" s="17" t="n"/>
      <c r="C26" s="17" t="n"/>
      <c r="D26" s="17" t="n"/>
      <c r="E26" s="17" t="n"/>
      <c r="F26" s="17" t="n"/>
      <c r="G26" s="17" t="n"/>
      <c r="H26" s="17" t="n"/>
      <c r="I26" s="17" t="n"/>
      <c r="J26" s="17" t="n"/>
      <c r="K26" s="17" t="n"/>
      <c r="L26" s="17" t="n"/>
      <c r="M26" s="17" t="n"/>
      <c r="N26" s="17">
        <f>IF(OR(G26="",H26=""),"",IF(AND(G26="CONFIDENTIAL",H26="Physical Destruction",J26="Yes"),"Yes",IF(G26="PUBLIC","Yes",IF(J26="N/A","Yes","Check"))))</f>
        <v/>
      </c>
      <c r="O26" s="17" t="n"/>
    </row>
    <row r="27">
      <c r="A27" s="17" t="n"/>
      <c r="B27" s="17" t="n"/>
      <c r="C27" s="17" t="n"/>
      <c r="D27" s="17" t="n"/>
      <c r="E27" s="17" t="n"/>
      <c r="F27" s="17" t="n"/>
      <c r="G27" s="17" t="n"/>
      <c r="H27" s="17" t="n"/>
      <c r="I27" s="17" t="n"/>
      <c r="J27" s="17" t="n"/>
      <c r="K27" s="17" t="n"/>
      <c r="L27" s="17" t="n"/>
      <c r="M27" s="17" t="n"/>
      <c r="N27" s="17">
        <f>IF(OR(G27="",H27=""),"",IF(AND(G27="CONFIDENTIAL",H27="Physical Destruction",J27="Yes"),"Yes",IF(G27="PUBLIC","Yes",IF(J27="N/A","Yes","Check"))))</f>
        <v/>
      </c>
      <c r="O27" s="17" t="n"/>
    </row>
    <row r="28">
      <c r="A28" s="17" t="n"/>
      <c r="B28" s="17" t="n"/>
      <c r="C28" s="17" t="n"/>
      <c r="D28" s="17" t="n"/>
      <c r="E28" s="17" t="n"/>
      <c r="F28" s="17" t="n"/>
      <c r="G28" s="17" t="n"/>
      <c r="H28" s="17" t="n"/>
      <c r="I28" s="17" t="n"/>
      <c r="J28" s="17" t="n"/>
      <c r="K28" s="17" t="n"/>
      <c r="L28" s="17" t="n"/>
      <c r="M28" s="17" t="n"/>
      <c r="N28" s="17">
        <f>IF(OR(G28="",H28=""),"",IF(AND(G28="CONFIDENTIAL",H28="Physical Destruction",J28="Yes"),"Yes",IF(G28="PUBLIC","Yes",IF(J28="N/A","Yes","Check"))))</f>
        <v/>
      </c>
      <c r="O28" s="17" t="n"/>
    </row>
    <row r="29">
      <c r="A29" s="17" t="n"/>
      <c r="B29" s="17" t="n"/>
      <c r="C29" s="17" t="n"/>
      <c r="D29" s="17" t="n"/>
      <c r="E29" s="17" t="n"/>
      <c r="F29" s="17" t="n"/>
      <c r="G29" s="17" t="n"/>
      <c r="H29" s="17" t="n"/>
      <c r="I29" s="17" t="n"/>
      <c r="J29" s="17" t="n"/>
      <c r="K29" s="17" t="n"/>
      <c r="L29" s="17" t="n"/>
      <c r="M29" s="17" t="n"/>
      <c r="N29" s="17">
        <f>IF(OR(G29="",H29=""),"",IF(AND(G29="CONFIDENTIAL",H29="Physical Destruction",J29="Yes"),"Yes",IF(G29="PUBLIC","Yes",IF(J29="N/A","Yes","Check"))))</f>
        <v/>
      </c>
      <c r="O29" s="17" t="n"/>
    </row>
    <row r="30">
      <c r="A30" s="17" t="n"/>
      <c r="B30" s="17" t="n"/>
      <c r="C30" s="17" t="n"/>
      <c r="D30" s="17" t="n"/>
      <c r="E30" s="17" t="n"/>
      <c r="F30" s="17" t="n"/>
      <c r="G30" s="17" t="n"/>
      <c r="H30" s="17" t="n"/>
      <c r="I30" s="17" t="n"/>
      <c r="J30" s="17" t="n"/>
      <c r="K30" s="17" t="n"/>
      <c r="L30" s="17" t="n"/>
      <c r="M30" s="17" t="n"/>
      <c r="N30" s="17">
        <f>IF(OR(G30="",H30=""),"",IF(AND(G30="CONFIDENTIAL",H30="Physical Destruction",J30="Yes"),"Yes",IF(G30="PUBLIC","Yes",IF(J30="N/A","Yes","Check"))))</f>
        <v/>
      </c>
      <c r="O30" s="17" t="n"/>
    </row>
    <row r="31">
      <c r="A31" s="17" t="n"/>
      <c r="B31" s="17" t="n"/>
      <c r="C31" s="17" t="n"/>
      <c r="D31" s="17" t="n"/>
      <c r="E31" s="17" t="n"/>
      <c r="F31" s="17" t="n"/>
      <c r="G31" s="17" t="n"/>
      <c r="H31" s="17" t="n"/>
      <c r="I31" s="17" t="n"/>
      <c r="J31" s="17" t="n"/>
      <c r="K31" s="17" t="n"/>
      <c r="L31" s="17" t="n"/>
      <c r="M31" s="17" t="n"/>
      <c r="N31" s="17">
        <f>IF(OR(G31="",H31=""),"",IF(AND(G31="CONFIDENTIAL",H31="Physical Destruction",J31="Yes"),"Yes",IF(G31="PUBLIC","Yes",IF(J31="N/A","Yes","Check"))))</f>
        <v/>
      </c>
      <c r="O31" s="17" t="n"/>
    </row>
    <row r="32">
      <c r="A32" s="17" t="n"/>
      <c r="B32" s="17" t="n"/>
      <c r="C32" s="17" t="n"/>
      <c r="D32" s="17" t="n"/>
      <c r="E32" s="17" t="n"/>
      <c r="F32" s="17" t="n"/>
      <c r="G32" s="17" t="n"/>
      <c r="H32" s="17" t="n"/>
      <c r="I32" s="17" t="n"/>
      <c r="J32" s="17" t="n"/>
      <c r="K32" s="17" t="n"/>
      <c r="L32" s="17" t="n"/>
      <c r="M32" s="17" t="n"/>
      <c r="N32" s="17">
        <f>IF(OR(G32="",H32=""),"",IF(AND(G32="CONFIDENTIAL",H32="Physical Destruction",J32="Yes"),"Yes",IF(G32="PUBLIC","Yes",IF(J32="N/A","Yes","Check"))))</f>
        <v/>
      </c>
      <c r="O32" s="17" t="n"/>
    </row>
    <row r="33">
      <c r="A33" s="17" t="n"/>
      <c r="B33" s="17" t="n"/>
      <c r="C33" s="17" t="n"/>
      <c r="D33" s="17" t="n"/>
      <c r="E33" s="17" t="n"/>
      <c r="F33" s="17" t="n"/>
      <c r="G33" s="17" t="n"/>
      <c r="H33" s="17" t="n"/>
      <c r="I33" s="17" t="n"/>
      <c r="J33" s="17" t="n"/>
      <c r="K33" s="17" t="n"/>
      <c r="L33" s="17" t="n"/>
      <c r="M33" s="17" t="n"/>
      <c r="N33" s="17">
        <f>IF(OR(G33="",H33=""),"",IF(AND(G33="CONFIDENTIAL",H33="Physical Destruction",J33="Yes"),"Yes",IF(G33="PUBLIC","Yes",IF(J33="N/A","Yes","Check"))))</f>
        <v/>
      </c>
      <c r="O33" s="17" t="n"/>
    </row>
    <row r="34">
      <c r="A34" s="17" t="n"/>
      <c r="B34" s="17" t="n"/>
      <c r="C34" s="17" t="n"/>
      <c r="D34" s="17" t="n"/>
      <c r="E34" s="17" t="n"/>
      <c r="F34" s="17" t="n"/>
      <c r="G34" s="17" t="n"/>
      <c r="H34" s="17" t="n"/>
      <c r="I34" s="17" t="n"/>
      <c r="J34" s="17" t="n"/>
      <c r="K34" s="17" t="n"/>
      <c r="L34" s="17" t="n"/>
      <c r="M34" s="17" t="n"/>
      <c r="N34" s="17">
        <f>IF(OR(G34="",H34=""),"",IF(AND(G34="CONFIDENTIAL",H34="Physical Destruction",J34="Yes"),"Yes",IF(G34="PUBLIC","Yes",IF(J34="N/A","Yes","Check"))))</f>
        <v/>
      </c>
      <c r="O34" s="17" t="n"/>
    </row>
    <row r="35">
      <c r="A35" s="17" t="n"/>
      <c r="B35" s="17" t="n"/>
      <c r="C35" s="17" t="n"/>
      <c r="D35" s="17" t="n"/>
      <c r="E35" s="17" t="n"/>
      <c r="F35" s="17" t="n"/>
      <c r="G35" s="17" t="n"/>
      <c r="H35" s="17" t="n"/>
      <c r="I35" s="17" t="n"/>
      <c r="J35" s="17" t="n"/>
      <c r="K35" s="17" t="n"/>
      <c r="L35" s="17" t="n"/>
      <c r="M35" s="17" t="n"/>
      <c r="N35" s="17">
        <f>IF(OR(G35="",H35=""),"",IF(AND(G35="CONFIDENTIAL",H35="Physical Destruction",J35="Yes"),"Yes",IF(G35="PUBLIC","Yes",IF(J35="N/A","Yes","Check"))))</f>
        <v/>
      </c>
      <c r="O35" s="17" t="n"/>
    </row>
    <row r="36">
      <c r="A36" s="17" t="n"/>
      <c r="B36" s="17" t="n"/>
      <c r="C36" s="17" t="n"/>
      <c r="D36" s="17" t="n"/>
      <c r="E36" s="17" t="n"/>
      <c r="F36" s="17" t="n"/>
      <c r="G36" s="17" t="n"/>
      <c r="H36" s="17" t="n"/>
      <c r="I36" s="17" t="n"/>
      <c r="J36" s="17" t="n"/>
      <c r="K36" s="17" t="n"/>
      <c r="L36" s="17" t="n"/>
      <c r="M36" s="17" t="n"/>
      <c r="N36" s="17">
        <f>IF(OR(G36="",H36=""),"",IF(AND(G36="CONFIDENTIAL",H36="Physical Destruction",J36="Yes"),"Yes",IF(G36="PUBLIC","Yes",IF(J36="N/A","Yes","Check"))))</f>
        <v/>
      </c>
      <c r="O36" s="17" t="n"/>
    </row>
    <row r="37">
      <c r="A37" s="17" t="n"/>
      <c r="B37" s="17" t="n"/>
      <c r="C37" s="17" t="n"/>
      <c r="D37" s="17" t="n"/>
      <c r="E37" s="17" t="n"/>
      <c r="F37" s="17" t="n"/>
      <c r="G37" s="17" t="n"/>
      <c r="H37" s="17" t="n"/>
      <c r="I37" s="17" t="n"/>
      <c r="J37" s="17" t="n"/>
      <c r="K37" s="17" t="n"/>
      <c r="L37" s="17" t="n"/>
      <c r="M37" s="17" t="n"/>
      <c r="N37" s="17">
        <f>IF(OR(G37="",H37=""),"",IF(AND(G37="CONFIDENTIAL",H37="Physical Destruction",J37="Yes"),"Yes",IF(G37="PUBLIC","Yes",IF(J37="N/A","Yes","Check"))))</f>
        <v/>
      </c>
      <c r="O37" s="17" t="n"/>
    </row>
    <row r="38">
      <c r="A38" s="17" t="n"/>
      <c r="B38" s="17" t="n"/>
      <c r="C38" s="17" t="n"/>
      <c r="D38" s="17" t="n"/>
      <c r="E38" s="17" t="n"/>
      <c r="F38" s="17" t="n"/>
      <c r="G38" s="17" t="n"/>
      <c r="H38" s="17" t="n"/>
      <c r="I38" s="17" t="n"/>
      <c r="J38" s="17" t="n"/>
      <c r="K38" s="17" t="n"/>
      <c r="L38" s="17" t="n"/>
      <c r="M38" s="17" t="n"/>
      <c r="N38" s="17">
        <f>IF(OR(G38="",H38=""),"",IF(AND(G38="CONFIDENTIAL",H38="Physical Destruction",J38="Yes"),"Yes",IF(G38="PUBLIC","Yes",IF(J38="N/A","Yes","Check"))))</f>
        <v/>
      </c>
      <c r="O38" s="17" t="n"/>
    </row>
    <row r="39">
      <c r="A39" s="17" t="n"/>
      <c r="B39" s="17" t="n"/>
      <c r="C39" s="17" t="n"/>
      <c r="D39" s="17" t="n"/>
      <c r="E39" s="17" t="n"/>
      <c r="F39" s="17" t="n"/>
      <c r="G39" s="17" t="n"/>
      <c r="H39" s="17" t="n"/>
      <c r="I39" s="17" t="n"/>
      <c r="J39" s="17" t="n"/>
      <c r="K39" s="17" t="n"/>
      <c r="L39" s="17" t="n"/>
      <c r="M39" s="17" t="n"/>
      <c r="N39" s="17">
        <f>IF(OR(G39="",H39=""),"",IF(AND(G39="CONFIDENTIAL",H39="Physical Destruction",J39="Yes"),"Yes",IF(G39="PUBLIC","Yes",IF(J39="N/A","Yes","Check"))))</f>
        <v/>
      </c>
      <c r="O39" s="17" t="n"/>
    </row>
    <row r="40">
      <c r="A40" s="17" t="n"/>
      <c r="B40" s="17" t="n"/>
      <c r="C40" s="17" t="n"/>
      <c r="D40" s="17" t="n"/>
      <c r="E40" s="17" t="n"/>
      <c r="F40" s="17" t="n"/>
      <c r="G40" s="17" t="n"/>
      <c r="H40" s="17" t="n"/>
      <c r="I40" s="17" t="n"/>
      <c r="J40" s="17" t="n"/>
      <c r="K40" s="17" t="n"/>
      <c r="L40" s="17" t="n"/>
      <c r="M40" s="17" t="n"/>
      <c r="N40" s="17">
        <f>IF(OR(G40="",H40=""),"",IF(AND(G40="CONFIDENTIAL",H40="Physical Destruction",J40="Yes"),"Yes",IF(G40="PUBLIC","Yes",IF(J40="N/A","Yes","Check"))))</f>
        <v/>
      </c>
      <c r="O40" s="17" t="n"/>
    </row>
    <row r="41">
      <c r="A41" s="17" t="n"/>
      <c r="B41" s="17" t="n"/>
      <c r="C41" s="17" t="n"/>
      <c r="D41" s="17" t="n"/>
      <c r="E41" s="17" t="n"/>
      <c r="F41" s="17" t="n"/>
      <c r="G41" s="17" t="n"/>
      <c r="H41" s="17" t="n"/>
      <c r="I41" s="17" t="n"/>
      <c r="J41" s="17" t="n"/>
      <c r="K41" s="17" t="n"/>
      <c r="L41" s="17" t="n"/>
      <c r="M41" s="17" t="n"/>
      <c r="N41" s="17">
        <f>IF(OR(G41="",H41=""),"",IF(AND(G41="CONFIDENTIAL",H41="Physical Destruction",J41="Yes"),"Yes",IF(G41="PUBLIC","Yes",IF(J41="N/A","Yes","Check"))))</f>
        <v/>
      </c>
      <c r="O41" s="17" t="n"/>
    </row>
    <row r="42">
      <c r="A42" s="17" t="n"/>
      <c r="B42" s="17" t="n"/>
      <c r="C42" s="17" t="n"/>
      <c r="D42" s="17" t="n"/>
      <c r="E42" s="17" t="n"/>
      <c r="F42" s="17" t="n"/>
      <c r="G42" s="17" t="n"/>
      <c r="H42" s="17" t="n"/>
      <c r="I42" s="17" t="n"/>
      <c r="J42" s="17" t="n"/>
      <c r="K42" s="17" t="n"/>
      <c r="L42" s="17" t="n"/>
      <c r="M42" s="17" t="n"/>
      <c r="N42" s="17">
        <f>IF(OR(G42="",H42=""),"",IF(AND(G42="CONFIDENTIAL",H42="Physical Destruction",J42="Yes"),"Yes",IF(G42="PUBLIC","Yes",IF(J42="N/A","Yes","Check"))))</f>
        <v/>
      </c>
      <c r="O42" s="17" t="n"/>
    </row>
    <row r="43">
      <c r="A43" s="17" t="n"/>
      <c r="B43" s="17" t="n"/>
      <c r="C43" s="17" t="n"/>
      <c r="D43" s="17" t="n"/>
      <c r="E43" s="17" t="n"/>
      <c r="F43" s="17" t="n"/>
      <c r="G43" s="17" t="n"/>
      <c r="H43" s="17" t="n"/>
      <c r="I43" s="17" t="n"/>
      <c r="J43" s="17" t="n"/>
      <c r="K43" s="17" t="n"/>
      <c r="L43" s="17" t="n"/>
      <c r="M43" s="17" t="n"/>
      <c r="N43" s="17">
        <f>IF(OR(G43="",H43=""),"",IF(AND(G43="CONFIDENTIAL",H43="Physical Destruction",J43="Yes"),"Yes",IF(G43="PUBLIC","Yes",IF(J43="N/A","Yes","Check"))))</f>
        <v/>
      </c>
      <c r="O43" s="17" t="n"/>
    </row>
    <row r="44">
      <c r="A44" s="17" t="n"/>
      <c r="B44" s="17" t="n"/>
      <c r="C44" s="17" t="n"/>
      <c r="D44" s="17" t="n"/>
      <c r="E44" s="17" t="n"/>
      <c r="F44" s="17" t="n"/>
      <c r="G44" s="17" t="n"/>
      <c r="H44" s="17" t="n"/>
      <c r="I44" s="17" t="n"/>
      <c r="J44" s="17" t="n"/>
      <c r="K44" s="17" t="n"/>
      <c r="L44" s="17" t="n"/>
      <c r="M44" s="17" t="n"/>
      <c r="N44" s="17">
        <f>IF(OR(G44="",H44=""),"",IF(AND(G44="CONFIDENTIAL",H44="Physical Destruction",J44="Yes"),"Yes",IF(G44="PUBLIC","Yes",IF(J44="N/A","Yes","Check"))))</f>
        <v/>
      </c>
      <c r="O44" s="17" t="n"/>
    </row>
    <row r="45">
      <c r="A45" s="17" t="n"/>
      <c r="B45" s="17" t="n"/>
      <c r="C45" s="17" t="n"/>
      <c r="D45" s="17" t="n"/>
      <c r="E45" s="17" t="n"/>
      <c r="F45" s="17" t="n"/>
      <c r="G45" s="17" t="n"/>
      <c r="H45" s="17" t="n"/>
      <c r="I45" s="17" t="n"/>
      <c r="J45" s="17" t="n"/>
      <c r="K45" s="17" t="n"/>
      <c r="L45" s="17" t="n"/>
      <c r="M45" s="17" t="n"/>
      <c r="N45" s="17">
        <f>IF(OR(G45="",H45=""),"",IF(AND(G45="CONFIDENTIAL",H45="Physical Destruction",J45="Yes"),"Yes",IF(G45="PUBLIC","Yes",IF(J45="N/A","Yes","Check"))))</f>
        <v/>
      </c>
      <c r="O45" s="17" t="n"/>
    </row>
    <row r="46">
      <c r="A46" s="17" t="n"/>
      <c r="B46" s="17" t="n"/>
      <c r="C46" s="17" t="n"/>
      <c r="D46" s="17" t="n"/>
      <c r="E46" s="17" t="n"/>
      <c r="F46" s="17" t="n"/>
      <c r="G46" s="17" t="n"/>
      <c r="H46" s="17" t="n"/>
      <c r="I46" s="17" t="n"/>
      <c r="J46" s="17" t="n"/>
      <c r="K46" s="17" t="n"/>
      <c r="L46" s="17" t="n"/>
      <c r="M46" s="17" t="n"/>
      <c r="N46" s="17">
        <f>IF(OR(G46="",H46=""),"",IF(AND(G46="CONFIDENTIAL",H46="Physical Destruction",J46="Yes"),"Yes",IF(G46="PUBLIC","Yes",IF(J46="N/A","Yes","Check"))))</f>
        <v/>
      </c>
      <c r="O46" s="17" t="n"/>
    </row>
    <row r="47">
      <c r="A47" s="17" t="n"/>
      <c r="B47" s="17" t="n"/>
      <c r="C47" s="17" t="n"/>
      <c r="D47" s="17" t="n"/>
      <c r="E47" s="17" t="n"/>
      <c r="F47" s="17" t="n"/>
      <c r="G47" s="17" t="n"/>
      <c r="H47" s="17" t="n"/>
      <c r="I47" s="17" t="n"/>
      <c r="J47" s="17" t="n"/>
      <c r="K47" s="17" t="n"/>
      <c r="L47" s="17" t="n"/>
      <c r="M47" s="17" t="n"/>
      <c r="N47" s="17">
        <f>IF(OR(G47="",H47=""),"",IF(AND(G47="CONFIDENTIAL",H47="Physical Destruction",J47="Yes"),"Yes",IF(G47="PUBLIC","Yes",IF(J47="N/A","Yes","Check"))))</f>
        <v/>
      </c>
      <c r="O47" s="17" t="n"/>
    </row>
    <row r="48">
      <c r="A48" s="17" t="n"/>
      <c r="B48" s="17" t="n"/>
      <c r="C48" s="17" t="n"/>
      <c r="D48" s="17" t="n"/>
      <c r="E48" s="17" t="n"/>
      <c r="F48" s="17" t="n"/>
      <c r="G48" s="17" t="n"/>
      <c r="H48" s="17" t="n"/>
      <c r="I48" s="17" t="n"/>
      <c r="J48" s="17" t="n"/>
      <c r="K48" s="17" t="n"/>
      <c r="L48" s="17" t="n"/>
      <c r="M48" s="17" t="n"/>
      <c r="N48" s="17">
        <f>IF(OR(G48="",H48=""),"",IF(AND(G48="CONFIDENTIAL",H48="Physical Destruction",J48="Yes"),"Yes",IF(G48="PUBLIC","Yes",IF(J48="N/A","Yes","Check"))))</f>
        <v/>
      </c>
      <c r="O48" s="17" t="n"/>
    </row>
    <row r="49">
      <c r="A49" s="17" t="n"/>
      <c r="B49" s="17" t="n"/>
      <c r="C49" s="17" t="n"/>
      <c r="D49" s="17" t="n"/>
      <c r="E49" s="17" t="n"/>
      <c r="F49" s="17" t="n"/>
      <c r="G49" s="17" t="n"/>
      <c r="H49" s="17" t="n"/>
      <c r="I49" s="17" t="n"/>
      <c r="J49" s="17" t="n"/>
      <c r="K49" s="17" t="n"/>
      <c r="L49" s="17" t="n"/>
      <c r="M49" s="17" t="n"/>
      <c r="N49" s="17">
        <f>IF(OR(G49="",H49=""),"",IF(AND(G49="CONFIDENTIAL",H49="Physical Destruction",J49="Yes"),"Yes",IF(G49="PUBLIC","Yes",IF(J49="N/A","Yes","Check"))))</f>
        <v/>
      </c>
      <c r="O49" s="17" t="n"/>
    </row>
    <row r="50">
      <c r="A50" s="17" t="n"/>
      <c r="B50" s="17" t="n"/>
      <c r="C50" s="17" t="n"/>
      <c r="D50" s="17" t="n"/>
      <c r="E50" s="17" t="n"/>
      <c r="F50" s="17" t="n"/>
      <c r="G50" s="17" t="n"/>
      <c r="H50" s="17" t="n"/>
      <c r="I50" s="17" t="n"/>
      <c r="J50" s="17" t="n"/>
      <c r="K50" s="17" t="n"/>
      <c r="L50" s="17" t="n"/>
      <c r="M50" s="17" t="n"/>
      <c r="N50" s="17">
        <f>IF(OR(G50="",H50=""),"",IF(AND(G50="CONFIDENTIAL",H50="Physical Destruction",J50="Yes"),"Yes",IF(G50="PUBLIC","Yes",IF(J50="N/A","Yes","Check"))))</f>
        <v/>
      </c>
      <c r="O50" s="17" t="n"/>
    </row>
    <row r="51">
      <c r="A51" s="17" t="n"/>
      <c r="B51" s="17" t="n"/>
      <c r="C51" s="17" t="n"/>
      <c r="D51" s="17" t="n"/>
      <c r="E51" s="17" t="n"/>
      <c r="F51" s="17" t="n"/>
      <c r="G51" s="17" t="n"/>
      <c r="H51" s="17" t="n"/>
      <c r="I51" s="17" t="n"/>
      <c r="J51" s="17" t="n"/>
      <c r="K51" s="17" t="n"/>
      <c r="L51" s="17" t="n"/>
      <c r="M51" s="17" t="n"/>
      <c r="N51" s="17">
        <f>IF(OR(G51="",H51=""),"",IF(AND(G51="CONFIDENTIAL",H51="Physical Destruction",J51="Yes"),"Yes",IF(G51="PUBLIC","Yes",IF(J51="N/A","Yes","Check"))))</f>
        <v/>
      </c>
      <c r="O51" s="17" t="n"/>
    </row>
    <row r="52">
      <c r="A52" s="17" t="n"/>
      <c r="B52" s="17" t="n"/>
      <c r="C52" s="17" t="n"/>
      <c r="D52" s="17" t="n"/>
      <c r="E52" s="17" t="n"/>
      <c r="F52" s="17" t="n"/>
      <c r="G52" s="17" t="n"/>
      <c r="H52" s="17" t="n"/>
      <c r="I52" s="17" t="n"/>
      <c r="J52" s="17" t="n"/>
      <c r="K52" s="17" t="n"/>
      <c r="L52" s="17" t="n"/>
      <c r="M52" s="17" t="n"/>
      <c r="N52" s="17">
        <f>IF(OR(G52="",H52=""),"",IF(AND(G52="CONFIDENTIAL",H52="Physical Destruction",J52="Yes"),"Yes",IF(G52="PUBLIC","Yes",IF(J52="N/A","Yes","Check"))))</f>
        <v/>
      </c>
      <c r="O52" s="17" t="n"/>
    </row>
    <row r="53">
      <c r="A53" s="17" t="n"/>
      <c r="B53" s="17" t="n"/>
      <c r="C53" s="17" t="n"/>
      <c r="D53" s="17" t="n"/>
      <c r="E53" s="17" t="n"/>
      <c r="F53" s="17" t="n"/>
      <c r="G53" s="17" t="n"/>
      <c r="H53" s="17" t="n"/>
      <c r="I53" s="17" t="n"/>
      <c r="J53" s="17" t="n"/>
      <c r="K53" s="17" t="n"/>
      <c r="L53" s="17" t="n"/>
      <c r="M53" s="17" t="n"/>
      <c r="N53" s="17">
        <f>IF(OR(G53="",H53=""),"",IF(AND(G53="CONFIDENTIAL",H53="Physical Destruction",J53="Yes"),"Yes",IF(G53="PUBLIC","Yes",IF(J53="N/A","Yes","Check"))))</f>
        <v/>
      </c>
      <c r="O53" s="17" t="n"/>
    </row>
    <row r="54">
      <c r="A54" s="17" t="n"/>
      <c r="B54" s="17" t="n"/>
      <c r="C54" s="17" t="n"/>
      <c r="D54" s="17" t="n"/>
      <c r="E54" s="17" t="n"/>
      <c r="F54" s="17" t="n"/>
      <c r="G54" s="17" t="n"/>
      <c r="H54" s="17" t="n"/>
      <c r="I54" s="17" t="n"/>
      <c r="J54" s="17" t="n"/>
      <c r="K54" s="17" t="n"/>
      <c r="L54" s="17" t="n"/>
      <c r="M54" s="17" t="n"/>
      <c r="N54" s="17">
        <f>IF(OR(G54="",H54=""),"",IF(AND(G54="CONFIDENTIAL",H54="Physical Destruction",J54="Yes"),"Yes",IF(G54="PUBLIC","Yes",IF(J54="N/A","Yes","Check"))))</f>
        <v/>
      </c>
      <c r="O54" s="17" t="n"/>
    </row>
  </sheetData>
  <mergeCells count="1">
    <mergeCell ref="A1:O1"/>
  </mergeCells>
  <dataValidations count="6">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"Laptop,Desktop,Server,Mobile,Printer,Network,Storage,USB/Media,Other"</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"CONFIDENTIAL,INTERNAL,PUBLIC,Unknown"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"Physical Destruction,Secure Overwrite,Crypto Erase,Factory Reset,Format,Config Wipe"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"Vendor Destruction,Internal Re-Use,Donation,Sale,Recycling"</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22" t="n"/>
      <c r="C5" s="22" t="n"/>
      <c r="D5" s="22" t="n"/>
      <c r="E5" s="22" t="n"/>
      <c r="F5" s="22" t="n"/>
      <c r="G5" s="22" t="n"/>
      <c r="H5" s="22"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 document,Screenshot,Photograph,Audit report,Training record,Configuration file,Other"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45" customWidth="1" min="1" max="1"/>
    <col width="20" customWidth="1" min="2" max="2"/>
    <col width="14" customWidth="1" min="3" max="3"/>
    <col width="16" customWidth="1" min="4" max="4"/>
    <col width="18" customWidth="1" min="5" max="5"/>
    <col width="12" customWidth="1" min="6" max="6"/>
    <col width="13" customWidth="1" min="7" max="7"/>
  </cols>
  <sheetData>
    <row r="1" ht="35" customHeight="1">
      <c r="A1" s="18" t="inlineStr">
        <is>
          <t>EQUIPMENT DISPOSAL ASSESSMENT — SUMMARY DASHBOARD</t>
        </is>
      </c>
      <c r="B1" s="6" t="n"/>
      <c r="C1" s="6" t="n"/>
      <c r="D1" s="6" t="n"/>
      <c r="E1" s="6" t="n"/>
      <c r="F1" s="6" t="n"/>
      <c r="G1" s="6" t="n"/>
    </row>
    <row r="2">
      <c r="A2" s="23" t="inlineStr">
        <is>
          <t>ISO/IEC 27001:2022 — Control A.7.14: Secure Disposal or Re-Use of Equipment</t>
        </is>
      </c>
    </row>
    <row r="4">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Disposal Requirements</t>
        </is>
      </c>
      <c r="B6" s="27">
        <f>COUNTA('Disposal Requirements'!A4:A63)</f>
        <v/>
      </c>
      <c r="C6" s="27">
        <f>COUNTIF('Disposal Requirements'!H4:H63,"Implemented")</f>
        <v/>
      </c>
      <c r="D6" s="27">
        <f>COUNTIF('Disposal Requirements'!H4:H63,"Partial")</f>
        <v/>
      </c>
      <c r="E6" s="27">
        <f>COUNTIF('Disposal Requirements'!H4:H63,"Not Implemented")</f>
        <v/>
      </c>
      <c r="F6" s="27" t="inlineStr">
        <is>
          <t>0</t>
        </is>
      </c>
      <c r="G6" s="28">
        <f>IF((B6-F6)=0,0,C6/(B6-F6))</f>
        <v/>
      </c>
    </row>
    <row r="7">
      <c r="A7" s="26" t="inlineStr">
        <is>
          <t>Service Providers</t>
        </is>
      </c>
      <c r="B7" s="27">
        <f>COUNTA('Service Providers'!A5:A54)</f>
        <v/>
      </c>
      <c r="C7" s="27">
        <f>COUNTIF('Service Providers'!I5:I54,"✅*")</f>
        <v/>
      </c>
      <c r="D7" s="27">
        <f>COUNTIF('Service Providers'!I5:I54,"⚠*")</f>
        <v/>
      </c>
      <c r="E7" s="27">
        <f>COUNTIF('Service Providers'!I5:I54,"❌*")</f>
        <v/>
      </c>
      <c r="F7" s="27" t="n">
        <v>0</v>
      </c>
      <c r="G7" s="28">
        <f>IF((B7-F7)=0,0,C7/(B7-F7))</f>
        <v/>
      </c>
    </row>
    <row r="8">
      <c r="A8" s="29" t="inlineStr">
        <is>
          <t>TOTAL</t>
        </is>
      </c>
      <c r="B8" s="30">
        <f>SUM(B6:B7)</f>
        <v/>
      </c>
      <c r="C8" s="30">
        <f>SUM(C6:C7)</f>
        <v/>
      </c>
      <c r="D8" s="30">
        <f>SUM(D6:D7)</f>
        <v/>
      </c>
      <c r="E8" s="30">
        <f>SUM(E6:E7)</f>
        <v/>
      </c>
      <c r="F8" s="30">
        <f>SUM(F6:F7)</f>
        <v/>
      </c>
      <c r="G8" s="31">
        <f>IF((B8-F8)=0,0,C8/(B8-F8))</f>
        <v/>
      </c>
    </row>
    <row r="10">
      <c r="A10" s="24" t="inlineStr">
        <is>
          <t>TABLE 2: KEY METRICS</t>
        </is>
      </c>
      <c r="B10" s="6" t="n"/>
      <c r="C10" s="6" t="n"/>
      <c r="D10" s="6" t="n"/>
      <c r="E10" s="6" t="n"/>
      <c r="F10" s="6" t="n"/>
      <c r="G10" s="6" t="n"/>
    </row>
    <row r="11">
      <c r="A11" s="32" t="inlineStr">
        <is>
          <t>Metric</t>
        </is>
      </c>
      <c r="B11" s="32" t="inlineStr">
        <is>
          <t>Value</t>
        </is>
      </c>
      <c r="C11" s="32" t="n"/>
      <c r="D11" s="32" t="n"/>
      <c r="E11" s="32" t="n"/>
      <c r="F11" s="32" t="n"/>
      <c r="G11" s="32" t="n"/>
    </row>
    <row r="12">
      <c r="A12" s="26" t="inlineStr">
        <is>
          <t>Total Equipment Disposed</t>
        </is>
      </c>
      <c r="B12" s="27">
        <f>COUNTA('Disposal Log'!A5:A54)</f>
        <v/>
      </c>
      <c r="C12" s="6" t="n"/>
      <c r="D12" s="6" t="n"/>
      <c r="E12" s="6" t="n"/>
      <c r="F12" s="6" t="n"/>
      <c r="G12" s="6" t="n"/>
    </row>
    <row r="13">
      <c r="A13" s="26" t="inlineStr">
        <is>
          <t>CONFIDENTIAL Equipment Disposed</t>
        </is>
      </c>
      <c r="B13" s="27">
        <f>COUNTIF('Disposal Log'!G5:G54,"CONFIDENTIAL")</f>
        <v/>
      </c>
      <c r="C13" s="6" t="n"/>
      <c r="D13" s="6" t="n"/>
      <c r="E13" s="6" t="n"/>
      <c r="F13" s="6" t="n"/>
      <c r="G13" s="6" t="n"/>
    </row>
    <row r="14">
      <c r="A14" s="26" t="inlineStr">
        <is>
          <t>Certificates Obtained (All Disposals)</t>
        </is>
      </c>
      <c r="B14" s="27">
        <f>COUNTIF('Disposal Log'!J5:J54,"Yes")</f>
        <v/>
      </c>
      <c r="C14" s="6" t="n"/>
      <c r="D14" s="6" t="n"/>
      <c r="E14" s="6" t="n"/>
      <c r="F14" s="6" t="n"/>
      <c r="G14" s="6" t="n"/>
    </row>
    <row r="15">
      <c r="A15" s="26" t="inlineStr">
        <is>
          <t>Approved Disposal Tools Registered</t>
        </is>
      </c>
      <c r="B15" s="27">
        <f>COUNTA('Disposal Tools'!A4:A59)</f>
        <v/>
      </c>
      <c r="C15" s="6" t="n"/>
      <c r="D15" s="6" t="n"/>
      <c r="E15" s="6" t="n"/>
      <c r="F15" s="6" t="n"/>
      <c r="G15" s="6" t="n"/>
    </row>
    <row r="16">
      <c r="A16" s="26" t="inlineStr">
        <is>
          <t>Non-Compliant Disposal Tools</t>
        </is>
      </c>
      <c r="B16" s="27">
        <f>COUNTIF('Disposal Tools'!H4:H59,"No")</f>
        <v/>
      </c>
      <c r="C16" s="6" t="n"/>
      <c r="D16" s="6" t="n"/>
      <c r="E16" s="6" t="n"/>
      <c r="F16" s="6" t="n"/>
      <c r="G16" s="6" t="n"/>
    </row>
    <row r="17">
      <c r="A17" s="26" t="inlineStr">
        <is>
          <t>Active Service Providers</t>
        </is>
      </c>
      <c r="B17" s="27">
        <f>COUNTIF('Service Providers'!C5:C54,"Active")</f>
        <v/>
      </c>
      <c r="C17" s="6" t="n"/>
      <c r="D17" s="6" t="n"/>
      <c r="E17" s="6" t="n"/>
      <c r="F17" s="6" t="n"/>
      <c r="G17" s="6" t="n"/>
    </row>
    <row r="18">
      <c r="A18" s="26" t="inlineStr">
        <is>
          <t>Providers with On-Site Destruction Option</t>
        </is>
      </c>
      <c r="B18" s="27">
        <f>COUNTIF('Service Providers'!F5:F54,"Yes")</f>
        <v/>
      </c>
      <c r="C18" s="6" t="n"/>
      <c r="D18" s="6" t="n"/>
      <c r="E18" s="6" t="n"/>
      <c r="F18" s="6" t="n"/>
      <c r="G18" s="6" t="n"/>
    </row>
    <row r="19">
      <c r="A19" s="26" t="inlineStr">
        <is>
          <t>Disposal Requirements: Not Implemented</t>
        </is>
      </c>
      <c r="B19" s="27">
        <f>COUNTIF('Disposal Requirements'!H4:H63,"Not Implemented")</f>
        <v/>
      </c>
      <c r="C19" s="6" t="n"/>
      <c r="D19" s="6" t="n"/>
      <c r="E19" s="6" t="n"/>
      <c r="F19" s="6" t="n"/>
      <c r="G19" s="6" t="n"/>
    </row>
    <row r="20">
      <c r="A20" s="6" t="n"/>
      <c r="B20" s="6" t="n"/>
      <c r="C20" s="6" t="n"/>
      <c r="D20" s="6" t="n"/>
      <c r="E20" s="6" t="n"/>
      <c r="F20" s="6" t="n"/>
      <c r="G20" s="6" t="n"/>
    </row>
    <row r="21">
      <c r="A21" s="6" t="n"/>
      <c r="B21" s="6" t="n"/>
      <c r="C21" s="6" t="n"/>
      <c r="D21" s="6" t="n"/>
      <c r="E21" s="6" t="n"/>
      <c r="F21" s="6" t="n"/>
      <c r="G21" s="6" t="n"/>
    </row>
    <row r="23">
      <c r="A23" s="33" t="inlineStr">
        <is>
          <t>TABLE 3: CRITICAL FINDINGS REQUIRING IMMEDIATE ATTENTION</t>
        </is>
      </c>
      <c r="B23" s="6" t="n"/>
      <c r="C23" s="6" t="n"/>
      <c r="D23" s="6" t="n"/>
      <c r="E23" s="6" t="n"/>
      <c r="F23" s="6" t="n"/>
      <c r="G23" s="6" t="n"/>
    </row>
    <row r="24">
      <c r="A24" s="32" t="inlineStr">
        <is>
          <t>Category</t>
        </is>
      </c>
      <c r="B24" s="32" t="inlineStr">
        <is>
          <t>Finding</t>
        </is>
      </c>
      <c r="C24" s="32" t="inlineStr">
        <is>
          <t>Count</t>
        </is>
      </c>
      <c r="D24" s="32" t="inlineStr">
        <is>
          <t>Severity</t>
        </is>
      </c>
      <c r="E24" s="32" t="inlineStr">
        <is>
          <t>Action Required</t>
        </is>
      </c>
      <c r="F24" s="32" t="n"/>
      <c r="G24" s="32" t="n"/>
    </row>
    <row r="25">
      <c r="A25" s="34" t="inlineStr">
        <is>
          <t>Disposal Log</t>
        </is>
      </c>
      <c r="B25" s="35" t="inlineStr">
        <is>
          <t>CONFIDENTIAL Items Without Destruction Certificate</t>
        </is>
      </c>
      <c r="C25" s="36">
        <f>COUNTIFS('Disposal Log'!G5:G54,"CONFIDENTIAL",'Disposal Log'!J5:J54,"No")</f>
        <v/>
      </c>
      <c r="D25" s="34" t="inlineStr">
        <is>
          <t>Critical</t>
        </is>
      </c>
      <c r="E25" s="34" t="inlineStr">
        <is>
          <t>Immediate</t>
        </is>
      </c>
      <c r="F25" s="37" t="n"/>
      <c r="G25" s="37" t="n"/>
    </row>
    <row r="26">
      <c r="A26" s="34" t="inlineStr">
        <is>
          <t>Service Providers</t>
        </is>
      </c>
      <c r="B26" s="35" t="inlineStr">
        <is>
          <t>Providers with Expired Contracts</t>
        </is>
      </c>
      <c r="C26" s="36">
        <f>COUNTIF('Service Providers'!C5:C54,"Expired")</f>
        <v/>
      </c>
      <c r="D26" s="34" t="inlineStr">
        <is>
          <t>Critical</t>
        </is>
      </c>
      <c r="E26" s="34" t="inlineStr">
        <is>
          <t>Immediate</t>
        </is>
      </c>
      <c r="F26" s="37" t="n"/>
      <c r="G26" s="37" t="n"/>
    </row>
    <row r="27">
      <c r="A27" s="34" t="inlineStr">
        <is>
          <t>Service Providers</t>
        </is>
      </c>
      <c r="B27" s="35" t="inlineStr">
        <is>
          <t>Providers Without Chain of Custody</t>
        </is>
      </c>
      <c r="C27" s="36">
        <f>COUNTIF('Service Providers'!G5:G54,"Not Documented")</f>
        <v/>
      </c>
      <c r="D27" s="34" t="inlineStr">
        <is>
          <t>High</t>
        </is>
      </c>
      <c r="E27" s="34" t="inlineStr">
        <is>
          <t>Urgent</t>
        </is>
      </c>
      <c r="F27" s="37" t="n"/>
      <c r="G27" s="37" t="n"/>
    </row>
    <row r="28">
      <c r="A28" s="34" t="inlineStr">
        <is>
          <t>Service Providers</t>
        </is>
      </c>
      <c r="B28" s="35" t="inlineStr">
        <is>
          <t>Providers Not Issuing Certificates</t>
        </is>
      </c>
      <c r="C28" s="36">
        <f>COUNTIF('Service Providers'!E5:E54,"No")</f>
        <v/>
      </c>
      <c r="D28" s="34" t="inlineStr">
        <is>
          <t>High</t>
        </is>
      </c>
      <c r="E28" s="34" t="inlineStr">
        <is>
          <t>Urgent</t>
        </is>
      </c>
      <c r="F28" s="37" t="n"/>
      <c r="G28" s="37" t="n"/>
    </row>
    <row r="29">
      <c r="A29" s="34" t="inlineStr">
        <is>
          <t>Service Providers</t>
        </is>
      </c>
      <c r="B29" s="35" t="inlineStr">
        <is>
          <t>Non-Compliant Service Providers</t>
        </is>
      </c>
      <c r="C29" s="36">
        <f>COUNTIF('Service Providers'!I5:I54,"❌*")</f>
        <v/>
      </c>
      <c r="D29" s="34" t="inlineStr">
        <is>
          <t>High</t>
        </is>
      </c>
      <c r="E29" s="34" t="inlineStr">
        <is>
          <t>Urgent</t>
        </is>
      </c>
      <c r="F29" s="37" t="n"/>
      <c r="G29" s="37" t="n"/>
    </row>
    <row r="30">
      <c r="A30" s="14" t="n"/>
      <c r="B30" s="14" t="n"/>
      <c r="C30" s="14" t="n"/>
      <c r="D30" s="14" t="n"/>
      <c r="E30" s="14" t="n"/>
      <c r="F30" s="14" t="n"/>
      <c r="G30" s="14" t="n"/>
    </row>
    <row r="31">
      <c r="A31" s="14" t="n"/>
      <c r="B31" s="14" t="n"/>
      <c r="C31" s="14" t="n"/>
      <c r="D31" s="14" t="n"/>
      <c r="E31" s="14" t="n"/>
      <c r="F31" s="14" t="n"/>
      <c r="G31" s="14" t="n"/>
    </row>
    <row r="33">
      <c r="A33" s="38" t="inlineStr">
        <is>
          <t>FINAL DECISION:</t>
        </is>
      </c>
      <c r="B33" s="14" t="n"/>
      <c r="C33" s="14" t="n"/>
      <c r="D33" s="14" t="n"/>
      <c r="E33" s="14" t="n"/>
    </row>
    <row r="36">
      <c r="A36" s="39" t="inlineStr">
        <is>
          <t>NEXT REVIEW DETAILS</t>
        </is>
      </c>
      <c r="B36" s="6" t="n"/>
      <c r="C36" s="6" t="n"/>
      <c r="D36" s="6" t="n"/>
      <c r="E36" s="6" t="n"/>
    </row>
    <row r="37">
      <c r="A37" s="40" t="inlineStr">
        <is>
          <t>Next Review Date:</t>
        </is>
      </c>
      <c r="B37" s="14" t="n"/>
      <c r="C37" s="14" t="n"/>
      <c r="D37" s="14" t="n"/>
      <c r="E37" s="14" t="n"/>
    </row>
    <row r="38">
      <c r="A38" s="40" t="inlineStr">
        <is>
          <t>Review Responsible:</t>
        </is>
      </c>
      <c r="B38" s="14" t="n"/>
      <c r="C38" s="14" t="n"/>
      <c r="D38" s="14" t="n"/>
      <c r="E38" s="14" t="n"/>
    </row>
    <row r="39">
      <c r="A39" s="40" t="inlineStr">
        <is>
          <t>Special Considerations:</t>
        </is>
      </c>
      <c r="B39" s="14" t="n"/>
      <c r="C39" s="14" t="n"/>
      <c r="D39" s="14" t="n"/>
      <c r="E39" s="14" t="n"/>
    </row>
  </sheetData>
  <mergeCells count="10">
    <mergeCell ref="A1:G1"/>
    <mergeCell ref="B38:E38"/>
    <mergeCell ref="A4:G4"/>
    <mergeCell ref="B33:E33"/>
    <mergeCell ref="A2:G2"/>
    <mergeCell ref="B39:E39"/>
    <mergeCell ref="A36:E36"/>
    <mergeCell ref="B37:E37"/>
    <mergeCell ref="A10:G10"/>
    <mergeCell ref="A23:G23"/>
  </mergeCells>
  <dataValidations count="1">
    <dataValidation sqref="B33" showDropDown="0" showInputMessage="0" showErrorMessage="0" allowBlank="1" type="list">
      <formula1>"Approved,Approved with Conditions,Rejected,Deferred"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A.7.14: Secure Disposal or Re-Use of Equipment</t>
        </is>
      </c>
      <c r="B2" s="6" t="n"/>
      <c r="C2" s="6" t="n"/>
      <c r="D2" s="6" t="n"/>
      <c r="E2" s="6" t="n"/>
    </row>
    <row r="3">
      <c r="A3" s="42" t="inlineStr">
        <is>
          <t>ASSESSMENT SUMMARY</t>
        </is>
      </c>
      <c r="B3" s="6" t="n"/>
      <c r="C3" s="6" t="n"/>
      <c r="D3" s="6" t="n"/>
      <c r="E3" s="6" t="n"/>
    </row>
    <row r="4">
      <c r="A4" s="3" t="inlineStr">
        <is>
          <t>Document:</t>
        </is>
      </c>
      <c r="B4" s="6" t="inlineStr">
        <is>
          <t>ISMS-IMP-A.7.14.S3 - Equipment Disposal Assessment</t>
        </is>
      </c>
      <c r="C4" s="6" t="n"/>
      <c r="D4" s="6" t="n"/>
      <c r="E4" s="6" t="n"/>
    </row>
    <row r="5">
      <c r="A5" s="3" t="inlineStr">
        <is>
          <t>Assessment Period:</t>
        </is>
      </c>
      <c r="B5" s="14" t="inlineStr"/>
      <c r="C5" s="6" t="n"/>
      <c r="D5" s="6" t="n"/>
      <c r="E5" s="6" t="n"/>
    </row>
    <row r="6">
      <c r="A6" s="3" t="inlineStr">
        <is>
          <t>Overall Compliance Rating:</t>
        </is>
      </c>
      <c r="B6" s="43">
        <f>IFERROR(AVERAGE('Summary Dashboard'!G6:G7),"")</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42"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42"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24"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42"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ISMS-IMP-A.7.14.S3 — Equipment Disposal Assessment</dc:title>
  <dc:description xmlns:dc="http://purl.org/dc/elements/1.1/">ISMS Implementation Workbook — ISMS-IMP-A.7.14.S3</dc:description>
  <dc:subject xmlns:dc="http://purl.org/dc/elements/1.1/">ISO/IEC 27001:2022 — Control A.7.14: Secure Disposal or Re-Use of Equipment</dc:subject>
  <dcterms:created xmlns:dcterms="http://purl.org/dc/terms/" xmlns:xsi="http://www.w3.org/2001/XMLSchema-instance" xsi:type="dcterms:W3CDTF">2026-03-01T10:00:38Z</dcterms:created>
  <dcterms:modified xmlns:dcterms="http://purl.org/dc/terms/" xmlns:xsi="http://www.w3.org/2001/XMLSchema-instance" xsi:type="dcterms:W3CDTF">2026-03-01T10:00:38Z</dcterms:modified>
</cp:coreProperties>
</file>