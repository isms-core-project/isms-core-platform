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e Area Register" sheetId="2" state="visible" r:id="rId2"/>
    <sheet xmlns:r="http://schemas.openxmlformats.org/officeDocument/2006/relationships" name="Working Procedures" sheetId="3" state="visible" r:id="rId3"/>
    <sheet xmlns:r="http://schemas.openxmlformats.org/officeDocument/2006/relationships" name="Third-Party Access"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0" fillId="10"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1" borderId="1" applyAlignment="1" pivotButton="0" quotePrefix="0" xfId="0">
      <alignment horizontal="left" vertical="center"/>
    </xf>
    <xf numFmtId="0" fontId="11" fillId="11" borderId="1" applyAlignment="1" pivotButton="0" quotePrefix="0" xfId="0">
      <alignment horizontal="left" vertical="center" wrapText="1"/>
    </xf>
    <xf numFmtId="0" fontId="11" fillId="11" borderId="1" applyAlignment="1" pivotButton="0" quotePrefix="0" xfId="0">
      <alignment horizontal="center"/>
    </xf>
    <xf numFmtId="0" fontId="11" fillId="11"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ISMS-IMP-A.7.6-7-14-S1  -  Secure Areas Working Assessment
ISO/IEC 27001:2022 - Control A.7.6: Working in Secure Areas</t>
        </is>
      </c>
    </row>
    <row r="3">
      <c r="A3" s="2" t="inlineStr">
        <is>
          <t>Document Information</t>
        </is>
      </c>
    </row>
    <row r="4">
      <c r="A4" s="3" t="inlineStr">
        <is>
          <t>Document ID</t>
        </is>
      </c>
      <c r="B4" t="inlineStr">
        <is>
          <t>ISMS-IMP-A.7.6-7-14-S1</t>
        </is>
      </c>
    </row>
    <row r="5">
      <c r="A5" s="3" t="inlineStr">
        <is>
          <t>Workbook Title</t>
        </is>
      </c>
      <c r="B5" t="inlineStr">
        <is>
          <t>Secure Areas Working Assessment</t>
        </is>
      </c>
    </row>
    <row r="6">
      <c r="A6" s="3" t="inlineStr">
        <is>
          <t>Control Reference</t>
        </is>
      </c>
      <c r="B6" t="inlineStr">
        <is>
          <t>ISO/IEC 27001:2022 - Control A.7.6: Working in Secure Areas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defined secure areas in Sheet 2 (Secure Area Register).</t>
        </is>
      </c>
    </row>
    <row r="14">
      <c r="A14" t="inlineStr">
        <is>
          <t>2. Assess working procedure compliance in Sheet 3 (Working Procedures).</t>
        </is>
      </c>
    </row>
    <row r="15">
      <c r="A15" t="inlineStr">
        <is>
          <t>3. Track third-party access in Sheet 4 (Third-Party Access).</t>
        </is>
      </c>
    </row>
    <row r="16">
      <c r="A16" t="inlineStr">
        <is>
          <t>4. Log security incidents in Sheet 5 (Incidents).</t>
        </is>
      </c>
    </row>
    <row r="17">
      <c r="A17" t="inlineStr">
        <is>
          <t>5. Review Summary Dashboard (Sheet 6) for compliance metrics.</t>
        </is>
      </c>
    </row>
    <row r="18">
      <c r="A18" t="inlineStr">
        <is>
          <t>6. Document evidence in Sheet 7 (Evidence Register).</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5" customWidth="1" min="11" max="11"/>
    <col width="40" customWidth="1" min="12" max="12"/>
  </cols>
  <sheetData>
    <row r="1" ht="35" customHeight="1">
      <c r="A1" s="11" t="inlineStr">
        <is>
          <t>SECURE AREA REGISTER
Policy Requirement: All secure areas must be defined, classified, and have appropriate controls</t>
        </is>
      </c>
    </row>
    <row r="2">
      <c r="A2" s="12" t="inlineStr">
        <is>
          <t>ISO/IEC 27001:2022 - Control A.7.6: Working in Secure Areas</t>
        </is>
      </c>
    </row>
    <row r="3">
      <c r="A3" s="13" t="inlineStr">
        <is>
          <t>Secure Area ID</t>
        </is>
      </c>
      <c r="B3" s="13" t="inlineStr">
        <is>
          <t>Secure Area Name</t>
        </is>
      </c>
      <c r="C3" s="13" t="inlineStr">
        <is>
          <t>Location</t>
        </is>
      </c>
      <c r="D3" s="13" t="inlineStr">
        <is>
          <t>Classification</t>
        </is>
      </c>
      <c r="E3" s="13" t="inlineStr">
        <is>
          <t>Access Control Type</t>
        </is>
      </c>
      <c r="F3" s="13" t="inlineStr">
        <is>
          <t>Authorised Personnel</t>
        </is>
      </c>
      <c r="G3" s="13" t="inlineStr">
        <is>
          <t>Last Access Review</t>
        </is>
      </c>
      <c r="H3" s="13" t="inlineStr">
        <is>
          <t>Emergency Procedures</t>
        </is>
      </c>
      <c r="I3" s="13" t="inlineStr">
        <is>
          <t>Recording Controls</t>
        </is>
      </c>
      <c r="J3" s="13" t="inlineStr">
        <is>
          <t>Unsupervised Working</t>
        </is>
      </c>
      <c r="K3" s="13" t="inlineStr">
        <is>
          <t>Status</t>
        </is>
      </c>
      <c r="L3" s="13" t="inlineStr">
        <is>
          <t>Notes</t>
        </is>
      </c>
    </row>
    <row r="4">
      <c r="A4" s="14" t="inlineStr">
        <is>
          <t>Sample — delete before use</t>
        </is>
      </c>
      <c r="B4" s="15" t="n"/>
      <c r="C4" s="15" t="n"/>
      <c r="D4" s="15" t="n"/>
      <c r="E4" s="15" t="n"/>
      <c r="F4" s="15" t="n"/>
      <c r="G4" s="15" t="n"/>
      <c r="H4" s="15" t="n"/>
      <c r="I4" s="15" t="n"/>
      <c r="J4" s="15" t="n"/>
      <c r="K4" s="15" t="n"/>
      <c r="L4" s="15" t="n"/>
    </row>
    <row r="5">
      <c r="A5" s="16" t="n"/>
      <c r="B5" s="16" t="n"/>
      <c r="C5" s="16" t="n"/>
      <c r="D5" s="16" t="n"/>
      <c r="E5" s="16" t="n"/>
      <c r="F5" s="16" t="n"/>
      <c r="G5" s="16" t="n"/>
      <c r="H5" s="16" t="n"/>
      <c r="I5" s="16" t="n"/>
      <c r="J5" s="16" t="n"/>
      <c r="K5" s="16" t="n"/>
      <c r="L5" s="16" t="n"/>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sheetData>
  <mergeCells count="1">
    <mergeCell ref="A1:L1"/>
  </mergeCells>
  <dataValidations count="6">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"Tier 1 - Critical,Tier 2 - Standard"</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"Badge + PIN,Biometric,Badge Only,Mantrap,Key Lock"</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"Prohibited,Authorised Only,No Restriction"</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"Prohibited,Restricted,Allowed"</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40" customWidth="1" min="4" max="4"/>
    <col width="15" customWidth="1" min="5" max="5"/>
    <col width="40" customWidth="1" min="6" max="6"/>
  </cols>
  <sheetData>
    <row r="1" ht="35" customHeight="1">
      <c r="A1" s="11" t="inlineStr">
        <is>
          <t>WORKING PROCEDURES COMPLIANCE ASSESSMENT
Policy Requirements per ISMS-POL-A.7.6-7-14 Section 2.1</t>
        </is>
      </c>
    </row>
    <row r="2">
      <c r="A2" s="12" t="inlineStr">
        <is>
          <t>ISO/IEC 27001:2022 - Control A.7.6: Working in Secure Areas</t>
        </is>
      </c>
    </row>
    <row r="3">
      <c r="A3" s="13" t="inlineStr">
        <is>
          <t>Requirement ID</t>
        </is>
      </c>
      <c r="B3" s="13" t="inlineStr">
        <is>
          <t>Requirement Description</t>
        </is>
      </c>
      <c r="C3" s="13" t="inlineStr">
        <is>
          <t>Implementation Status</t>
        </is>
      </c>
      <c r="D3" s="13" t="inlineStr">
        <is>
          <t>Evidence</t>
        </is>
      </c>
      <c r="E3" s="13" t="inlineStr">
        <is>
          <t>Status</t>
        </is>
      </c>
      <c r="F3" s="13" t="inlineStr">
        <is>
          <t>Notes</t>
        </is>
      </c>
    </row>
    <row r="4">
      <c r="A4" s="14" t="inlineStr">
        <is>
          <t>Sample — delete before use</t>
        </is>
      </c>
      <c r="B4" s="15" t="n"/>
      <c r="C4" s="15" t="n"/>
      <c r="D4" s="15" t="n"/>
      <c r="E4" s="15" t="n"/>
      <c r="F4" s="15"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"Implemented,Partial,Not Implemented,N/A"</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18" customWidth="1" min="4" max="4"/>
    <col width="15" customWidth="1" min="5" max="5"/>
    <col width="18" customWidth="1" min="6" max="6"/>
    <col width="18" customWidth="1" min="7" max="7"/>
    <col width="15" customWidth="1" min="8" max="8"/>
    <col width="40" customWidth="1" min="9" max="9"/>
  </cols>
  <sheetData>
    <row r="1" ht="35" customHeight="1">
      <c r="A1" s="11" t="inlineStr">
        <is>
          <t>THIRD-PARTY ACCESS TRACKING
Policy Requirement: All visitor/contractor access must be logged, escorted, and time-limited</t>
        </is>
      </c>
    </row>
    <row r="2">
      <c r="A2" s="12" t="inlineStr">
        <is>
          <t>ISO/IEC 27001:2022 - Control A.7.6: Working in Secure Areas</t>
        </is>
      </c>
    </row>
    <row r="3">
      <c r="A3" s="13" t="inlineStr">
        <is>
          <t>Access Period</t>
        </is>
      </c>
      <c r="B3" s="13" t="inlineStr">
        <is>
          <t>Secure Area</t>
        </is>
      </c>
      <c r="C3" s="13" t="inlineStr">
        <is>
          <t>Visitor/Contractor Count</t>
        </is>
      </c>
      <c r="D3" s="13" t="inlineStr">
        <is>
          <t>Escort Compliance %</t>
        </is>
      </c>
      <c r="E3" s="13" t="inlineStr">
        <is>
          <t>NDA Status</t>
        </is>
      </c>
      <c r="F3" s="13" t="inlineStr">
        <is>
          <t>Time Limit Compliance</t>
        </is>
      </c>
      <c r="G3" s="13" t="inlineStr">
        <is>
          <t>Equipment Inspected</t>
        </is>
      </c>
      <c r="H3" s="13" t="inlineStr">
        <is>
          <t>Status</t>
        </is>
      </c>
      <c r="I3" s="13" t="inlineStr">
        <is>
          <t>Notes</t>
        </is>
      </c>
    </row>
    <row r="4">
      <c r="A4" s="14" t="inlineStr">
        <is>
          <t>Sample — delete before use</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5" customWidth="1" min="3" max="3"/>
    <col width="22" customWidth="1" min="4" max="4"/>
    <col width="12" customWidth="1" min="5" max="5"/>
    <col width="40" customWidth="1" min="6" max="6"/>
    <col width="18" customWidth="1" min="7" max="7"/>
    <col width="15" customWidth="1" min="8" max="8"/>
    <col width="40" customWidth="1" min="9" max="9"/>
    <col width="35" customWidth="1" min="10" max="10"/>
  </cols>
  <sheetData>
    <row r="1" ht="35" customHeight="1">
      <c r="A1" s="11" t="inlineStr">
        <is>
          <t>SECURE AREA SECURITY INCIDENTS
Document all incidents from last 12 months</t>
        </is>
      </c>
    </row>
    <row r="2">
      <c r="A2" s="12" t="inlineStr">
        <is>
          <t>ISO/IEC 27001:2022 - Control A.7.6: Working in Secure Areas</t>
        </is>
      </c>
    </row>
    <row r="3">
      <c r="A3" s="13" t="inlineStr">
        <is>
          <t>Incident ID</t>
        </is>
      </c>
      <c r="B3" s="13" t="inlineStr">
        <is>
          <t>Date</t>
        </is>
      </c>
      <c r="C3" s="13" t="inlineStr">
        <is>
          <t>Secure Area</t>
        </is>
      </c>
      <c r="D3" s="13" t="inlineStr">
        <is>
          <t>Incident Type</t>
        </is>
      </c>
      <c r="E3" s="13" t="inlineStr">
        <is>
          <t>Severity</t>
        </is>
      </c>
      <c r="F3" s="13" t="inlineStr">
        <is>
          <t>Description</t>
        </is>
      </c>
      <c r="G3" s="13" t="inlineStr">
        <is>
          <t>Response Time (min)</t>
        </is>
      </c>
      <c r="H3" s="13" t="inlineStr">
        <is>
          <t>Resolution Status</t>
        </is>
      </c>
      <c r="I3" s="13" t="inlineStr">
        <is>
          <t>Corrective Action</t>
        </is>
      </c>
      <c r="J3" s="13" t="inlineStr">
        <is>
          <t>Notes</t>
        </is>
      </c>
    </row>
    <row r="4">
      <c r="A4" s="14" t="inlineStr">
        <is>
          <t>Sample — delete before use</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"Unauthorised Access,Procedure Violation,Tailgating,Equipment Policy Violation,Recording Violation,Other"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"Critical,High,Medium,Low"</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"Resolved,In Progress,Escalated"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7" t="inlineStr">
        <is>
          <t>SECURE AREAS WORKING ASSESSMENT — SUMMARY DASHBOARD</t>
        </is>
      </c>
      <c r="B1" s="6" t="n"/>
      <c r="C1" s="6" t="n"/>
      <c r="D1" s="6" t="n"/>
      <c r="E1" s="6" t="n"/>
      <c r="F1" s="6" t="n"/>
      <c r="G1" s="6" t="n"/>
    </row>
    <row r="2">
      <c r="A2" s="23" t="inlineStr">
        <is>
          <t>ISO/IEC 27001:2022 — Control A.7.6-7-14: Working in Secure Areas | Clear Desk | Secure Disposal</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Secure Area Register</t>
        </is>
      </c>
      <c r="B6" s="27">
        <f>COUNTA('Secure Area Register'!A5:A54)</f>
        <v/>
      </c>
      <c r="C6" s="27">
        <f>COUNTIF('Secure Area Register'!K5:K54,"✅*")</f>
        <v/>
      </c>
      <c r="D6" s="27">
        <f>COUNTIF('Secure Area Register'!K5:K54,"⚠*")</f>
        <v/>
      </c>
      <c r="E6" s="27">
        <f>COUNTIF('Secure Area Register'!K5:K54,"❌*")</f>
        <v/>
      </c>
      <c r="F6" s="27">
        <f>COUNTIF('Secure Area Register'!K5:K54,"N/A")</f>
        <v/>
      </c>
      <c r="G6" s="28">
        <f>IF((B6-F6)=0,0,C6/(B6-F6))</f>
        <v/>
      </c>
    </row>
    <row r="7">
      <c r="A7" s="26" t="inlineStr">
        <is>
          <t>Working Procedures</t>
        </is>
      </c>
      <c r="B7" s="27">
        <f>COUNTA('Working Procedures'!A5:A54)</f>
        <v/>
      </c>
      <c r="C7" s="27">
        <f>COUNTIF('Working Procedures'!E5:E54,"✅*")</f>
        <v/>
      </c>
      <c r="D7" s="27">
        <f>COUNTIF('Working Procedures'!E5:E54,"⚠*")</f>
        <v/>
      </c>
      <c r="E7" s="27">
        <f>COUNTIF('Working Procedures'!E5:E54,"❌*")</f>
        <v/>
      </c>
      <c r="F7" s="27">
        <f>COUNTIF('Working Procedures'!E5:E54,"N/A")</f>
        <v/>
      </c>
      <c r="G7" s="28">
        <f>IF((B7-F7)=0,0,C7/(B7-F7))</f>
        <v/>
      </c>
    </row>
    <row r="8">
      <c r="A8" s="26" t="inlineStr">
        <is>
          <t>Third-Party Access</t>
        </is>
      </c>
      <c r="B8" s="27">
        <f>COUNTA('Third-Party Access'!A5:A54)</f>
        <v/>
      </c>
      <c r="C8" s="27">
        <f>COUNTIF('Third-Party Access'!H5:H54,"✅*")</f>
        <v/>
      </c>
      <c r="D8" s="27">
        <f>COUNTIF('Third-Party Access'!H5:H54,"⚠*")</f>
        <v/>
      </c>
      <c r="E8" s="27">
        <f>COUNTIF('Third-Party Access'!H5:H54,"❌*")</f>
        <v/>
      </c>
      <c r="F8" s="27">
        <f>COUNTIF('Third-Party Access'!H5:H54,"N/A")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6" t="n"/>
      <c r="C11" s="6" t="n"/>
      <c r="D11" s="6" t="n"/>
      <c r="E11" s="6" t="n"/>
      <c r="F11" s="6" t="n"/>
      <c r="G11" s="6" t="n"/>
    </row>
    <row r="12">
      <c r="A12" s="32" t="inlineStr">
        <is>
          <t>Metric</t>
        </is>
      </c>
      <c r="B12" s="32" t="inlineStr">
        <is>
          <t>Value</t>
        </is>
      </c>
      <c r="C12" s="32" t="n"/>
      <c r="D12" s="32" t="n"/>
      <c r="E12" s="32" t="n"/>
      <c r="F12" s="32" t="n"/>
      <c r="G12" s="32" t="n"/>
    </row>
    <row r="13">
      <c r="A13" s="26" t="inlineStr">
        <is>
          <t>Tier 1 Critical Secure Areas</t>
        </is>
      </c>
      <c r="B13" s="27">
        <f>COUNTIF('Secure Area Register'!D5:D54,"Tier 1 - Critical")</f>
        <v/>
      </c>
      <c r="C13" s="6" t="n"/>
      <c r="D13" s="6" t="n"/>
      <c r="E13" s="6" t="n"/>
      <c r="F13" s="6" t="n"/>
      <c r="G13" s="6" t="n"/>
    </row>
    <row r="14">
      <c r="A14" s="26" t="inlineStr">
        <is>
          <t>Secure Areas with Strong Access Control</t>
        </is>
      </c>
      <c r="B14" s="27">
        <f>COUNTIF('Secure Area Register'!E5:E54,"Biometric")+COUNTIF('Secure Area Register'!E5:E54,"Badge + PIN")+COUNTIF('Secure Area Register'!E5:E54,"Mantrap")</f>
        <v/>
      </c>
      <c r="C14" s="6" t="n"/>
      <c r="D14" s="6" t="n"/>
      <c r="E14" s="6" t="n"/>
      <c r="F14" s="6" t="n"/>
      <c r="G14" s="6" t="n"/>
    </row>
    <row r="15">
      <c r="A15" s="26" t="inlineStr">
        <is>
          <t>Secure Areas Missing Emergency Procedures</t>
        </is>
      </c>
      <c r="B15" s="27">
        <f>COUNTIF('Secure Area Register'!H5:H54,"No")</f>
        <v/>
      </c>
      <c r="C15" s="6" t="n"/>
      <c r="D15" s="6" t="n"/>
      <c r="E15" s="6" t="n"/>
      <c r="F15" s="6" t="n"/>
      <c r="G15" s="6" t="n"/>
    </row>
    <row r="16">
      <c r="A16" s="26" t="inlineStr">
        <is>
          <t>Working Procedures: Not Implemented</t>
        </is>
      </c>
      <c r="B16" s="27">
        <f>COUNTIF('Working Procedures'!C5:C54,"Not Implemented")</f>
        <v/>
      </c>
      <c r="C16" s="6" t="n"/>
      <c r="D16" s="6" t="n"/>
      <c r="E16" s="6" t="n"/>
      <c r="F16" s="6" t="n"/>
      <c r="G16" s="6" t="n"/>
    </row>
    <row r="17">
      <c r="A17" s="26" t="inlineStr">
        <is>
          <t>Third-Party Access: NDA Issues</t>
        </is>
      </c>
      <c r="B17" s="27">
        <f>COUNTIF('Third-Party Access'!E5:E54,"No")</f>
        <v/>
      </c>
      <c r="C17" s="6" t="n"/>
      <c r="D17" s="6" t="n"/>
      <c r="E17" s="6" t="n"/>
      <c r="F17" s="6" t="n"/>
      <c r="G17" s="6" t="n"/>
    </row>
    <row r="18">
      <c r="A18" s="26" t="inlineStr">
        <is>
          <t>Third-Party Equipment Inspections Passed</t>
        </is>
      </c>
      <c r="B18" s="27">
        <f>COUNTIF('Third-Party Access'!G5:G54,"Yes")</f>
        <v/>
      </c>
      <c r="C18" s="6" t="n"/>
      <c r="D18" s="6" t="n"/>
      <c r="E18" s="6" t="n"/>
      <c r="F18" s="6" t="n"/>
      <c r="G18" s="6" t="n"/>
    </row>
    <row r="19">
      <c r="A19" s="26" t="inlineStr">
        <is>
          <t>Total Security Incidents (Last 12 Months)</t>
        </is>
      </c>
      <c r="B19" s="27">
        <f>COUNTA('Incidents'!A5:A54)</f>
        <v/>
      </c>
      <c r="C19" s="6" t="n"/>
      <c r="D19" s="6" t="n"/>
      <c r="E19" s="6" t="n"/>
      <c r="F19" s="6" t="n"/>
      <c r="G19" s="6" t="n"/>
    </row>
    <row r="20">
      <c r="A20" s="26" t="inlineStr">
        <is>
          <t>Critical/High Severity Incidents</t>
        </is>
      </c>
      <c r="B20" s="27">
        <f>COUNTIF('Incidents'!E5:E54,"Critical")+COUNTIF('Incidents'!E5:E54,"High")</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3"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4" t="inlineStr">
        <is>
          <t>Secure Areas</t>
        </is>
      </c>
      <c r="B26" s="35" t="inlineStr">
        <is>
          <t>Non-Compliant Secure Areas</t>
        </is>
      </c>
      <c r="C26" s="36">
        <f>COUNTIF('Secure Area Register'!K5:K54,"❌*")</f>
        <v/>
      </c>
      <c r="D26" s="34" t="inlineStr">
        <is>
          <t>Critical</t>
        </is>
      </c>
      <c r="E26" s="34" t="inlineStr">
        <is>
          <t>Immediate</t>
        </is>
      </c>
      <c r="F26" s="37" t="n"/>
      <c r="G26" s="37" t="n"/>
    </row>
    <row r="27">
      <c r="A27" s="34" t="inlineStr">
        <is>
          <t>Secure Areas</t>
        </is>
      </c>
      <c r="B27" s="35" t="inlineStr">
        <is>
          <t>Unrestricted Recording in Secure Areas</t>
        </is>
      </c>
      <c r="C27" s="36">
        <f>COUNTIF('Secure Area Register'!I5:I54,"No Restriction")</f>
        <v/>
      </c>
      <c r="D27" s="34" t="inlineStr">
        <is>
          <t>Critical</t>
        </is>
      </c>
      <c r="E27" s="34" t="inlineStr">
        <is>
          <t>Immediate</t>
        </is>
      </c>
      <c r="F27" s="37" t="n"/>
      <c r="G27" s="37" t="n"/>
    </row>
    <row r="28">
      <c r="A28" s="34" t="inlineStr">
        <is>
          <t>Secure Areas</t>
        </is>
      </c>
      <c r="B28" s="35" t="inlineStr">
        <is>
          <t>Unsupervised Work Allowed (No Control)</t>
        </is>
      </c>
      <c r="C28" s="36">
        <f>COUNTIF('Secure Area Register'!J5:J54,"Allowed")</f>
        <v/>
      </c>
      <c r="D28" s="34" t="inlineStr">
        <is>
          <t>High</t>
        </is>
      </c>
      <c r="E28" s="34" t="inlineStr">
        <is>
          <t>Urgent</t>
        </is>
      </c>
      <c r="F28" s="37" t="n"/>
      <c r="G28" s="37" t="n"/>
    </row>
    <row r="29">
      <c r="A29" s="34" t="inlineStr">
        <is>
          <t>Third-Party Access</t>
        </is>
      </c>
      <c r="B29" s="35" t="inlineStr">
        <is>
          <t>Access Periods Without NDA</t>
        </is>
      </c>
      <c r="C29" s="36">
        <f>COUNTIF('Third-Party Access'!E5:E54,"No")</f>
        <v/>
      </c>
      <c r="D29" s="34" t="inlineStr">
        <is>
          <t>High</t>
        </is>
      </c>
      <c r="E29" s="34" t="inlineStr">
        <is>
          <t>Urgent</t>
        </is>
      </c>
      <c r="F29" s="37" t="n"/>
      <c r="G29" s="37" t="n"/>
    </row>
    <row r="30">
      <c r="A30" s="34" t="inlineStr">
        <is>
          <t>Incidents</t>
        </is>
      </c>
      <c r="B30" s="35" t="inlineStr">
        <is>
          <t>Unresolved or Escalated Incidents</t>
        </is>
      </c>
      <c r="C30" s="36">
        <f>COUNTIF('Incidents'!H5:H54,"In Progress")+COUNTIF('Incidents'!H5:H54,"Escalated")</f>
        <v/>
      </c>
      <c r="D30" s="34" t="inlineStr">
        <is>
          <t>High</t>
        </is>
      </c>
      <c r="E30" s="34" t="inlineStr">
        <is>
          <t>Urgent</t>
        </is>
      </c>
      <c r="F30" s="37" t="n"/>
      <c r="G30" s="37" t="n"/>
    </row>
    <row r="31">
      <c r="A31" s="22" t="n"/>
      <c r="B31" s="22" t="n"/>
      <c r="C31" s="22" t="n"/>
      <c r="D31" s="22" t="n"/>
      <c r="E31" s="22" t="n"/>
      <c r="F31" s="22" t="n"/>
      <c r="G31" s="22" t="n"/>
    </row>
    <row r="32">
      <c r="A32" s="22" t="n"/>
      <c r="B32" s="22" t="n"/>
      <c r="C32" s="22" t="n"/>
      <c r="D32" s="22" t="n"/>
      <c r="E32" s="22" t="n"/>
      <c r="F32" s="22" t="n"/>
      <c r="G32" s="22" t="n"/>
    </row>
    <row r="34">
      <c r="A34" s="38" t="inlineStr">
        <is>
          <t>FINAL DECISION:</t>
        </is>
      </c>
      <c r="B34" s="22" t="n"/>
      <c r="C34" s="22" t="n"/>
      <c r="D34" s="22" t="n"/>
      <c r="E34" s="22" t="n"/>
    </row>
    <row r="37">
      <c r="A37" s="39" t="inlineStr">
        <is>
          <t>NEXT REVIEW DETAILS</t>
        </is>
      </c>
      <c r="B37" s="6" t="n"/>
      <c r="C37" s="6" t="n"/>
      <c r="D37" s="6" t="n"/>
      <c r="E37" s="6" t="n"/>
    </row>
    <row r="38">
      <c r="A38" s="40" t="inlineStr">
        <is>
          <t>Next Review Date:</t>
        </is>
      </c>
      <c r="B38" s="22" t="n"/>
      <c r="C38" s="22" t="n"/>
      <c r="D38" s="22" t="n"/>
      <c r="E38" s="22" t="n"/>
    </row>
    <row r="39">
      <c r="A39" s="40" t="inlineStr">
        <is>
          <t>Review Responsible:</t>
        </is>
      </c>
      <c r="B39" s="22" t="n"/>
      <c r="C39" s="22" t="n"/>
      <c r="D39" s="22" t="n"/>
      <c r="E39" s="22" t="n"/>
    </row>
    <row r="40">
      <c r="A40" s="40" t="inlineStr">
        <is>
          <t>Special Considerations:</t>
        </is>
      </c>
      <c r="B40" s="22" t="n"/>
      <c r="C40" s="22" t="n"/>
      <c r="D40" s="22" t="n"/>
      <c r="E40" s="22" t="n"/>
    </row>
  </sheetData>
  <mergeCells count="10">
    <mergeCell ref="B40:E40"/>
    <mergeCell ref="A1:G1"/>
    <mergeCell ref="B38:E38"/>
    <mergeCell ref="A4:G4"/>
    <mergeCell ref="A24:G24"/>
    <mergeCell ref="A2:G2"/>
    <mergeCell ref="A37:E37"/>
    <mergeCell ref="B39:E39"/>
    <mergeCell ref="B34:E34"/>
    <mergeCell ref="A11:G11"/>
  </mergeCells>
  <dataValidations count="1">
    <dataValidation sqref="B34"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1" t="inlineStr">
        <is>
          <t>ISO/IEC 27001:2022 - Control A.7.6: Working in Secure Areas</t>
        </is>
      </c>
      <c r="B2" s="6" t="n"/>
      <c r="C2" s="6" t="n"/>
      <c r="D2" s="6" t="n"/>
      <c r="E2" s="6" t="n"/>
    </row>
    <row r="3">
      <c r="A3" s="42" t="inlineStr">
        <is>
          <t>ASSESSMENT SUMMARY</t>
        </is>
      </c>
      <c r="B3" s="6" t="n"/>
      <c r="C3" s="6" t="n"/>
      <c r="D3" s="6" t="n"/>
      <c r="E3" s="6" t="n"/>
    </row>
    <row r="4">
      <c r="A4" s="3" t="inlineStr">
        <is>
          <t>Document:</t>
        </is>
      </c>
      <c r="B4" s="6" t="inlineStr">
        <is>
          <t>ISMS-IMP-A.7.6-7-14-S1 - Secure Areas Working Assessment</t>
        </is>
      </c>
      <c r="C4" s="6" t="n"/>
      <c r="D4" s="6" t="n"/>
      <c r="E4" s="6" t="n"/>
    </row>
    <row r="5">
      <c r="A5" s="3" t="inlineStr">
        <is>
          <t>Assessment Period:</t>
        </is>
      </c>
      <c r="B5" s="22" t="inlineStr"/>
      <c r="C5" s="6" t="n"/>
      <c r="D5" s="6" t="n"/>
      <c r="E5" s="6" t="n"/>
    </row>
    <row r="6">
      <c r="A6" s="3" t="inlineStr">
        <is>
          <t>Overall Compliance Rating:</t>
        </is>
      </c>
      <c r="B6" s="43">
        <f>IFERROR(AVERAGE('Summary Dashboard'!G6:G8),"")</f>
        <v/>
      </c>
      <c r="C6" s="6" t="n"/>
      <c r="D6" s="6" t="n"/>
      <c r="E6" s="6" t="n"/>
    </row>
    <row r="7">
      <c r="A7" s="3" t="inlineStr">
        <is>
          <t>Assessment Status:</t>
        </is>
      </c>
      <c r="B7" s="22" t="inlineStr"/>
      <c r="C7" s="6" t="n"/>
      <c r="D7" s="6" t="n"/>
      <c r="E7" s="6" t="n"/>
    </row>
    <row r="8">
      <c r="A8" s="3" t="inlineStr">
        <is>
          <t>Assessed By:</t>
        </is>
      </c>
      <c r="B8" s="22" t="inlineStr"/>
      <c r="C8" s="6" t="n"/>
      <c r="D8" s="6" t="n"/>
      <c r="E8" s="6" t="n"/>
    </row>
    <row r="11">
      <c r="A11" s="42" t="inlineStr">
        <is>
          <t>COMPLETED BY (ASSESSOR)</t>
        </is>
      </c>
      <c r="B11" s="6" t="n"/>
      <c r="C11" s="6" t="n"/>
      <c r="D11" s="6" t="n"/>
      <c r="E11" s="6" t="n"/>
    </row>
    <row r="12">
      <c r="A12" s="3" t="inlineStr">
        <is>
          <t>Name:</t>
        </is>
      </c>
      <c r="B12" s="22" t="n"/>
      <c r="C12" s="6" t="n"/>
      <c r="D12" s="6" t="n"/>
      <c r="E12" s="6" t="n"/>
    </row>
    <row r="13">
      <c r="A13" s="3" t="inlineStr">
        <is>
          <t>Title:</t>
        </is>
      </c>
      <c r="B13" s="22" t="n"/>
      <c r="C13" s="6" t="n"/>
      <c r="D13" s="6" t="n"/>
      <c r="E13" s="6" t="n"/>
    </row>
    <row r="14">
      <c r="A14" s="3" t="inlineStr">
        <is>
          <t>Date:</t>
        </is>
      </c>
      <c r="B14" s="22" t="n"/>
      <c r="C14" s="6" t="n"/>
      <c r="D14" s="6" t="n"/>
      <c r="E14" s="6" t="n"/>
    </row>
    <row r="15">
      <c r="A15" s="3" t="inlineStr">
        <is>
          <t>Signature:</t>
        </is>
      </c>
      <c r="B15" s="22" t="n"/>
      <c r="C15" s="6" t="n"/>
      <c r="D15" s="6" t="n"/>
      <c r="E15" s="6" t="n"/>
    </row>
    <row r="16">
      <c r="A16" s="3" t="inlineStr">
        <is>
          <t>Comments:</t>
        </is>
      </c>
      <c r="B16" s="22" t="n"/>
      <c r="C16" s="6" t="n"/>
      <c r="D16" s="6" t="n"/>
      <c r="E16" s="6" t="n"/>
    </row>
    <row r="18">
      <c r="A18" s="42" t="inlineStr">
        <is>
          <t>REVIEWED BY (INFORMATION SECURITY OFFICER)</t>
        </is>
      </c>
      <c r="B18" s="6" t="n"/>
      <c r="C18" s="6" t="n"/>
      <c r="D18" s="6" t="n"/>
      <c r="E18" s="6" t="n"/>
    </row>
    <row r="19">
      <c r="A19" s="3" t="inlineStr">
        <is>
          <t>Name:</t>
        </is>
      </c>
      <c r="B19" s="22" t="n"/>
      <c r="C19" s="6" t="n"/>
      <c r="D19" s="6" t="n"/>
      <c r="E19" s="6" t="n"/>
    </row>
    <row r="20">
      <c r="A20" s="3" t="inlineStr">
        <is>
          <t>Title:</t>
        </is>
      </c>
      <c r="B20" s="22" t="n"/>
      <c r="C20" s="6" t="n"/>
      <c r="D20" s="6" t="n"/>
      <c r="E20" s="6" t="n"/>
    </row>
    <row r="21">
      <c r="A21" s="3" t="inlineStr">
        <is>
          <t>Date:</t>
        </is>
      </c>
      <c r="B21" s="22" t="n"/>
      <c r="C21" s="6" t="n"/>
      <c r="D21" s="6" t="n"/>
      <c r="E21" s="6" t="n"/>
    </row>
    <row r="22">
      <c r="A22" s="3" t="inlineStr">
        <is>
          <t>Signature:</t>
        </is>
      </c>
      <c r="B22" s="22" t="n"/>
      <c r="C22" s="6" t="n"/>
      <c r="D22" s="6" t="n"/>
      <c r="E22" s="6" t="n"/>
    </row>
    <row r="23">
      <c r="A23" s="3" t="inlineStr">
        <is>
          <t>Comments:</t>
        </is>
      </c>
      <c r="B23" s="22" t="n"/>
      <c r="C23" s="6" t="n"/>
      <c r="D23" s="6" t="n"/>
      <c r="E23" s="6" t="n"/>
    </row>
    <row r="25">
      <c r="A25" s="24" t="inlineStr">
        <is>
          <t>APPROVED BY (CISO)</t>
        </is>
      </c>
      <c r="B25" s="6" t="n"/>
      <c r="C25" s="6" t="n"/>
      <c r="D25" s="6" t="n"/>
      <c r="E25" s="6" t="n"/>
    </row>
    <row r="26">
      <c r="A26" s="3" t="inlineStr">
        <is>
          <t>Name:</t>
        </is>
      </c>
      <c r="B26" s="22" t="n"/>
      <c r="C26" s="6" t="n"/>
      <c r="D26" s="6" t="n"/>
      <c r="E26" s="6" t="n"/>
    </row>
    <row r="27">
      <c r="A27" s="3" t="inlineStr">
        <is>
          <t>Title:</t>
        </is>
      </c>
      <c r="B27" s="22" t="n"/>
      <c r="C27" s="6" t="n"/>
      <c r="D27" s="6" t="n"/>
      <c r="E27" s="6" t="n"/>
    </row>
    <row r="28">
      <c r="A28" s="3" t="inlineStr">
        <is>
          <t>Date:</t>
        </is>
      </c>
      <c r="B28" s="22" t="n"/>
      <c r="C28" s="6" t="n"/>
      <c r="D28" s="6" t="n"/>
      <c r="E28" s="6" t="n"/>
    </row>
    <row r="29">
      <c r="A29" s="3" t="inlineStr">
        <is>
          <t>Signature:</t>
        </is>
      </c>
      <c r="B29" s="22" t="n"/>
      <c r="C29" s="6" t="n"/>
      <c r="D29" s="6" t="n"/>
      <c r="E29" s="6" t="n"/>
    </row>
    <row r="30">
      <c r="A30" s="3" t="inlineStr">
        <is>
          <t>Comments:</t>
        </is>
      </c>
      <c r="B30" s="22" t="n"/>
      <c r="C30" s="6" t="n"/>
      <c r="D30" s="6" t="n"/>
      <c r="E30" s="6" t="n"/>
    </row>
    <row r="32">
      <c r="A32" s="3" t="inlineStr">
        <is>
          <t>FINAL DECISION:</t>
        </is>
      </c>
      <c r="B32" s="22" t="n"/>
      <c r="C32" s="6" t="n"/>
      <c r="D32" s="6" t="n"/>
      <c r="E32" s="6" t="n"/>
    </row>
    <row r="35">
      <c r="A35" s="42" t="inlineStr">
        <is>
          <t>NEXT REVIEW DETAILS</t>
        </is>
      </c>
      <c r="B35" s="6" t="n"/>
      <c r="C35" s="6" t="n"/>
      <c r="D35" s="6" t="n"/>
      <c r="E35" s="6" t="n"/>
    </row>
    <row r="36">
      <c r="A36" s="3" t="inlineStr">
        <is>
          <t>Next Review Date:</t>
        </is>
      </c>
      <c r="B36" s="22" t="n"/>
      <c r="C36" s="6" t="n"/>
      <c r="D36" s="6" t="n"/>
      <c r="E36" s="6" t="n"/>
    </row>
    <row r="37">
      <c r="A37" s="3" t="inlineStr">
        <is>
          <t>Review Responsible:</t>
        </is>
      </c>
      <c r="B37" s="22" t="n"/>
      <c r="C37" s="6" t="n"/>
      <c r="D37" s="6" t="n"/>
      <c r="E37" s="6" t="n"/>
    </row>
    <row r="38">
      <c r="A38" s="3" t="inlineStr">
        <is>
          <t>Special Considerations:</t>
        </is>
      </c>
      <c r="B38" s="22"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ISMS-IMP-A.7.6-7-14-S1 — Secure Areas Working Assessment</dc:title>
  <dc:description xmlns:dc="http://purl.org/dc/elements/1.1/">ISMS Implementation Workbook — ISMS-IMP-A.7.6-7-14-S1</dc:description>
  <dc:subject xmlns:dc="http://purl.org/dc/elements/1.1/">ISO/IEC 27001:2022 — Control A.7.6: Working in Secure Areas</dc:subject>
  <dcterms:created xmlns:dcterms="http://purl.org/dc/terms/" xmlns:xsi="http://www.w3.org/2001/XMLSchema-instance" xsi:type="dcterms:W3CDTF">2026-03-10T18:49:10Z</dcterms:created>
  <dcterms:modified xmlns:dcterms="http://purl.org/dc/terms/" xmlns:xsi="http://www.w3.org/2001/XMLSchema-instance" xsi:type="dcterms:W3CDTF">2026-03-10T18:49:10Z</dcterms:modified>
</cp:coreProperties>
</file>