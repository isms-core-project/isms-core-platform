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quirements Matrix" sheetId="2" state="visible" r:id="rId2"/>
    <sheet xmlns:r="http://schemas.openxmlformats.org/officeDocument/2006/relationships" name="Screen Lock Configuration" sheetId="3" state="visible" r:id="rId3"/>
    <sheet xmlns:r="http://schemas.openxmlformats.org/officeDocument/2006/relationships" name="Audit Results" sheetId="4" state="visible" r:id="rId4"/>
    <sheet xmlns:r="http://schemas.openxmlformats.org/officeDocument/2006/relationships" name="Workspace Assessment"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color rgb="00003366"/>
      <sz val="10"/>
    </font>
    <font>
      <name val="Calibri"/>
      <i val="1"/>
    </font>
    <font>
      <name val="Calibri"/>
      <b val="1"/>
      <color rgb="00FFFFFF"/>
      <sz val="10"/>
    </font>
    <font>
      <name val="Calibri"/>
      <color rgb="00003366"/>
    </font>
    <font>
      <name val="Calibri"/>
      <b val="1"/>
      <color rgb="00FFFFFF"/>
      <sz val="11"/>
    </font>
    <font>
      <name val="Calibri"/>
      <b val="1"/>
      <color rgb="00000000"/>
      <sz val="10"/>
    </font>
    <font>
      <name val="Calibri"/>
      <color rgb="00000000"/>
    </font>
    <font>
      <name val="Calibri"/>
      <b val="1"/>
      <color rgb="00000000"/>
    </font>
    <font>
      <name val="Calibri"/>
      <b val="1"/>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wrapText="1"/>
    </xf>
    <xf numFmtId="0" fontId="4" fillId="9" borderId="1" applyAlignment="1" pivotButton="0" quotePrefix="0" xfId="0">
      <alignment horizontal="center" vertical="center" wrapText="1"/>
    </xf>
    <xf numFmtId="0" fontId="0" fillId="10" borderId="1" pivotButton="0" quotePrefix="0" xfId="0"/>
    <xf numFmtId="0" fontId="5" fillId="11" borderId="1" applyAlignment="1" pivotButton="0" quotePrefix="0" xfId="0">
      <alignment horizontal="left" vertical="center" wrapText="1"/>
    </xf>
    <xf numFmtId="0" fontId="0" fillId="11" borderId="1" applyAlignment="1" pivotButton="0" quotePrefix="0" xfId="0">
      <alignment horizontal="left" vertical="center" wrapText="1"/>
    </xf>
    <xf numFmtId="0" fontId="0" fillId="10" borderId="1" applyAlignment="1" pivotButton="0" quotePrefix="0" xfId="0">
      <alignment horizontal="left" vertical="center" wrapText="1"/>
    </xf>
    <xf numFmtId="0" fontId="1" fillId="8" borderId="1" applyAlignment="1" pivotButton="0" quotePrefix="0" xfId="0">
      <alignment horizontal="center" vertical="center" wrapText="1"/>
    </xf>
    <xf numFmtId="0" fontId="6" fillId="0" borderId="0" applyAlignment="1" pivotButton="0" quotePrefix="0" xfId="0">
      <alignment horizontal="left" vertical="center"/>
    </xf>
    <xf numFmtId="0" fontId="7" fillId="8" borderId="1" applyAlignment="1" pivotButton="0" quotePrefix="0" xfId="0">
      <alignment horizontal="center" vertical="center" wrapText="1"/>
    </xf>
    <xf numFmtId="0" fontId="8" fillId="11" borderId="1" pivotButton="0" quotePrefix="0" xfId="0"/>
    <xf numFmtId="0" fontId="0" fillId="11" borderId="1" pivotButton="0" quotePrefix="0" xfId="0"/>
    <xf numFmtId="0" fontId="5" fillId="0" borderId="0" applyAlignment="1" pivotButton="0" quotePrefix="0" xfId="0">
      <alignment horizontal="left" vertical="center"/>
    </xf>
    <xf numFmtId="0" fontId="9" fillId="8" borderId="1" pivotButton="0" quotePrefix="0" xfId="0"/>
    <xf numFmtId="0" fontId="10" fillId="9" borderId="1" applyAlignment="1" pivotButton="0" quotePrefix="0" xfId="0">
      <alignment horizontal="center" vertical="center" wrapText="1"/>
    </xf>
    <xf numFmtId="0" fontId="11" fillId="0" borderId="1" applyAlignment="1" pivotButton="0" quotePrefix="0" xfId="0">
      <alignment horizontal="left" vertical="center"/>
    </xf>
    <xf numFmtId="0" fontId="11" fillId="0" borderId="1" applyAlignment="1" pivotButton="0" quotePrefix="0" xfId="0">
      <alignment horizontal="center"/>
    </xf>
    <xf numFmtId="164" fontId="11" fillId="0" borderId="1" applyAlignment="1" pivotButton="0" quotePrefix="0" xfId="0">
      <alignment horizontal="center"/>
    </xf>
    <xf numFmtId="0" fontId="12" fillId="9" borderId="1" applyAlignment="1" pivotButton="0" quotePrefix="0" xfId="0">
      <alignment horizontal="left" vertical="center"/>
    </xf>
    <xf numFmtId="0" fontId="12" fillId="9" borderId="1" applyAlignment="1" pivotButton="0" quotePrefix="0" xfId="0">
      <alignment horizontal="center"/>
    </xf>
    <xf numFmtId="164" fontId="11" fillId="9" borderId="1" applyAlignment="1" pivotButton="0" quotePrefix="0" xfId="0">
      <alignment horizontal="center"/>
    </xf>
    <xf numFmtId="0" fontId="10" fillId="9" borderId="1" applyAlignment="1" pivotButton="0" quotePrefix="0" xfId="0">
      <alignment horizontal="center"/>
    </xf>
    <xf numFmtId="0" fontId="9" fillId="12" borderId="1" pivotButton="0" quotePrefix="0" xfId="0"/>
    <xf numFmtId="0" fontId="11" fillId="10" borderId="1" applyAlignment="1" pivotButton="0" quotePrefix="0" xfId="0">
      <alignment horizontal="left" vertical="center"/>
    </xf>
    <xf numFmtId="0" fontId="11" fillId="10" borderId="1" applyAlignment="1" pivotButton="0" quotePrefix="0" xfId="0">
      <alignment horizontal="left" vertical="center" wrapText="1"/>
    </xf>
    <xf numFmtId="0" fontId="11" fillId="10" borderId="1" applyAlignment="1" pivotButton="0" quotePrefix="0" xfId="0">
      <alignment horizontal="center"/>
    </xf>
    <xf numFmtId="0" fontId="11" fillId="10" borderId="1" pivotButton="0" quotePrefix="0" xfId="0"/>
    <xf numFmtId="0" fontId="13" fillId="0" borderId="1" pivotButton="0" quotePrefix="0" xfId="0"/>
    <xf numFmtId="0" fontId="9" fillId="13" borderId="1" applyAlignment="1" pivotButton="0" quotePrefix="0" xfId="0">
      <alignment horizontal="left" vertical="center"/>
    </xf>
    <xf numFmtId="0" fontId="4" fillId="0" borderId="1" pivotButton="0" quotePrefix="0" xfId="0"/>
    <xf numFmtId="0" fontId="5" fillId="0" borderId="1" applyAlignment="1" pivotButton="0" quotePrefix="0" xfId="0">
      <alignment horizontal="center" vertical="center"/>
    </xf>
    <xf numFmtId="0" fontId="9" fillId="13"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ISMS-IMP-A.7.7.S2  -  Clear Desk Screen Compliance
ISO/IEC 27001:2022 - Control A.7.7: Clear Desk and Clear Screen</t>
        </is>
      </c>
    </row>
    <row r="3">
      <c r="A3" s="2" t="inlineStr">
        <is>
          <t>Document Information</t>
        </is>
      </c>
    </row>
    <row r="4">
      <c r="A4" s="3" t="inlineStr">
        <is>
          <t>Document ID</t>
        </is>
      </c>
      <c r="B4" t="inlineStr">
        <is>
          <t>ISMS-IMP-A.7.7.S2</t>
        </is>
      </c>
    </row>
    <row r="5">
      <c r="A5" s="3" t="inlineStr">
        <is>
          <t>Workbook Title</t>
        </is>
      </c>
      <c r="B5" t="inlineStr">
        <is>
          <t>Clear Desk Screen Compliance</t>
        </is>
      </c>
    </row>
    <row r="6">
      <c r="A6" s="3" t="inlineStr">
        <is>
          <t>Control Reference</t>
        </is>
      </c>
      <c r="B6" t="inlineStr">
        <is>
          <t>ISO/IEC 27001:2022 - Control A.7.7: Clear Desk and Clear Screen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Document requirements by classification in Sheet 2 (Requirements Matrix).</t>
        </is>
      </c>
    </row>
    <row r="14">
      <c r="A14" t="inlineStr">
        <is>
          <t>2. Verify screen lock configurations in Sheet 3 (Screen Lock Configuration).</t>
        </is>
      </c>
    </row>
    <row r="15">
      <c r="A15" t="inlineStr">
        <is>
          <t>3. Track audit results in Sheet 4 (Audit Results).</t>
        </is>
      </c>
    </row>
    <row r="16">
      <c r="A16" t="inlineStr">
        <is>
          <t>4. Assess workspace infrastructure in Sheet 5 (Workspace Assessment).</t>
        </is>
      </c>
    </row>
    <row r="17">
      <c r="A17" t="inlineStr">
        <is>
          <t>5. Review Summary Dashboard (Sheet 6) for compliance metrics.</t>
        </is>
      </c>
    </row>
    <row r="18">
      <c r="A18" t="inlineStr">
        <is>
          <t>6. Document evidence in Sheet 7 (Evidence Register).</t>
        </is>
      </c>
    </row>
    <row r="19">
      <c r="A19" t="inlineStr">
        <is>
          <t>7. Obtain approvals in Sheet 8 (Approval Sign-Off).</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
  <sheetViews>
    <sheetView showGridLines="0" workbookViewId="0">
      <pane ySplit="3" topLeftCell="A4" activePane="bottomLeft" state="frozen"/>
      <selection pane="bottomLeft" activeCell="A1" sqref="A1"/>
    </sheetView>
  </sheetViews>
  <sheetFormatPr baseColWidth="8" defaultRowHeight="15"/>
  <cols>
    <col width="18" customWidth="1" min="1" max="1"/>
    <col width="25" customWidth="1" min="2" max="2"/>
    <col width="25" customWidth="1" min="3" max="3"/>
    <col width="25" customWidth="1" min="4" max="4"/>
    <col width="22" customWidth="1" min="5" max="5"/>
    <col width="22" customWidth="1" min="6" max="6"/>
    <col width="20" customWidth="1" min="7" max="7"/>
    <col width="40" customWidth="1" min="8" max="8"/>
  </cols>
  <sheetData>
    <row r="1" ht="35" customHeight="1">
      <c r="A1" s="11" t="inlineStr">
        <is>
          <t>CLEAR DESK/SCREEN REQUIREMENTS MATRIX
Requirements by Information Classification Level</t>
        </is>
      </c>
    </row>
    <row r="2">
      <c r="A2" s="12" t="inlineStr">
        <is>
          <t>ISO/IEC 27001:2022 - Control A.7.7: Clear Desk and Clear Screen</t>
        </is>
      </c>
    </row>
    <row r="3">
      <c r="A3" s="13" t="inlineStr">
        <is>
          <t>Classification</t>
        </is>
      </c>
      <c r="B3" s="13" t="inlineStr">
        <is>
          <t>Clear Desk - Work Hours</t>
        </is>
      </c>
      <c r="C3" s="13" t="inlineStr">
        <is>
          <t>Clear Desk - End of Day</t>
        </is>
      </c>
      <c r="D3" s="13" t="inlineStr">
        <is>
          <t>Storage Requirement</t>
        </is>
      </c>
      <c r="E3" s="13" t="inlineStr">
        <is>
          <t>Screen Lock Timeout (min)</t>
        </is>
      </c>
      <c r="F3" s="13" t="inlineStr">
        <is>
          <t>Privacy Screen Required</t>
        </is>
      </c>
      <c r="G3" s="13" t="inlineStr">
        <is>
          <t>Implementation Status</t>
        </is>
      </c>
      <c r="H3" s="13" t="inlineStr">
        <is>
          <t>Notes</t>
        </is>
      </c>
    </row>
    <row r="4">
      <c r="A4" s="6" t="inlineStr">
        <is>
          <t>CONFIDENTIAL</t>
        </is>
      </c>
      <c r="B4" s="6" t="inlineStr">
        <is>
          <t>Locked when unattended</t>
        </is>
      </c>
      <c r="C4" s="6" t="inlineStr">
        <is>
          <t>Mandatory locked storage</t>
        </is>
      </c>
      <c r="D4" s="6" t="inlineStr">
        <is>
          <t>Lockable drawer/cabinet</t>
        </is>
      </c>
      <c r="E4" s="6" t="n">
        <v>5</v>
      </c>
      <c r="F4" s="6" t="inlineStr">
        <is>
          <t>Required in open areas</t>
        </is>
      </c>
      <c r="G4" s="14" t="n"/>
      <c r="H4" s="14" t="n"/>
    </row>
    <row r="5">
      <c r="A5" s="6" t="inlineStr">
        <is>
          <t>INTERNAL</t>
        </is>
      </c>
      <c r="B5" s="6" t="inlineStr">
        <is>
          <t>Store when not in use</t>
        </is>
      </c>
      <c r="C5" s="6" t="inlineStr">
        <is>
          <t>Locked at end of day</t>
        </is>
      </c>
      <c r="D5" s="6" t="inlineStr">
        <is>
          <t>Lockable drawer/cabinet</t>
        </is>
      </c>
      <c r="E5" s="6" t="n">
        <v>10</v>
      </c>
      <c r="F5" s="6" t="inlineStr">
        <is>
          <t>Recommended</t>
        </is>
      </c>
      <c r="G5" s="14" t="n"/>
      <c r="H5" s="14" t="n"/>
    </row>
    <row r="6">
      <c r="A6" s="6" t="inlineStr">
        <is>
          <t>PUBLIC</t>
        </is>
      </c>
      <c r="B6" s="6" t="inlineStr">
        <is>
          <t>Best practice</t>
        </is>
      </c>
      <c r="C6" s="6" t="inlineStr">
        <is>
          <t>Not mandatory</t>
        </is>
      </c>
      <c r="D6" s="6" t="inlineStr">
        <is>
          <t>Open storage acceptable</t>
        </is>
      </c>
      <c r="E6" s="6" t="n">
        <v>15</v>
      </c>
      <c r="F6" s="6" t="inlineStr">
        <is>
          <t>Not required</t>
        </is>
      </c>
      <c r="G6" s="14" t="n"/>
      <c r="H6" s="14" t="n"/>
    </row>
  </sheetData>
  <mergeCells count="1">
    <mergeCell ref="A1:H1"/>
  </mergeCells>
  <dataValidations count="1">
    <dataValidation sqref="G4 G5 G6" showDropDown="0" showInputMessage="0" showErrorMessage="0" allowBlank="1" type="list">
      <formula1>"Implemented,Partial,Not Implemented"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9"/>
  <sheetViews>
    <sheetView showGridLines="0" workbookViewId="0">
      <pane ySplit="3" topLeftCell="A4" activePane="bottomLeft" state="frozen"/>
      <selection pane="bottomLeft" activeCell="A1" sqref="A1"/>
    </sheetView>
  </sheetViews>
  <sheetFormatPr baseColWidth="8" defaultRowHeight="15"/>
  <cols>
    <col width="20" customWidth="1" min="1" max="1"/>
    <col width="30" customWidth="1" min="2" max="2"/>
    <col width="22" customWidth="1" min="3" max="3"/>
    <col width="22" customWidth="1" min="4" max="4"/>
    <col width="12" customWidth="1" min="5" max="5"/>
    <col width="20" customWidth="1" min="6" max="6"/>
    <col width="15" customWidth="1" min="7" max="7"/>
    <col width="15" customWidth="1" min="8" max="8"/>
    <col width="30" customWidth="1" min="9" max="9"/>
    <col width="40" customWidth="1" min="10" max="10"/>
  </cols>
  <sheetData>
    <row r="1" ht="35" customHeight="1">
      <c r="A1" s="11" t="inlineStr">
        <is>
          <t>SCREEN LOCK CONFIGURATION ASSESSMENT
Verify screen lock timeout settings across device types</t>
        </is>
      </c>
    </row>
    <row r="2">
      <c r="A2" s="12" t="inlineStr">
        <is>
          <t>ISO/IEC 27001:2022 - Control A.7.7: Clear Desk and Clear Screen</t>
        </is>
      </c>
    </row>
    <row r="3">
      <c r="A3" s="13" t="inlineStr">
        <is>
          <t>Device Type</t>
        </is>
      </c>
      <c r="B3" s="13" t="inlineStr">
        <is>
          <t>Policy/GPO Name</t>
        </is>
      </c>
      <c r="C3" s="13" t="inlineStr">
        <is>
          <t>Configured Timeout (min)</t>
        </is>
      </c>
      <c r="D3" s="13" t="inlineStr">
        <is>
          <t>Required Timeout (min)</t>
        </is>
      </c>
      <c r="E3" s="13" t="inlineStr">
        <is>
          <t>Compliant</t>
        </is>
      </c>
      <c r="F3" s="13" t="inlineStr">
        <is>
          <t>Enforcement Method</t>
        </is>
      </c>
      <c r="G3" s="13" t="inlineStr">
        <is>
          <t>Device Count</t>
        </is>
      </c>
      <c r="H3" s="13" t="inlineStr">
        <is>
          <t>Last Verified</t>
        </is>
      </c>
      <c r="I3" s="13" t="inlineStr">
        <is>
          <t>Evidence</t>
        </is>
      </c>
      <c r="J3" s="13" t="inlineStr">
        <is>
          <t>Notes</t>
        </is>
      </c>
    </row>
    <row r="4">
      <c r="A4" s="6" t="inlineStr">
        <is>
          <t>Windows Workstations</t>
        </is>
      </c>
      <c r="B4" s="14" t="n"/>
      <c r="C4" s="14" t="n"/>
      <c r="D4" s="14" t="n"/>
      <c r="E4" s="14">
        <f>IF(C4&lt;=D4,"Yes","No")</f>
        <v/>
      </c>
      <c r="F4" s="14" t="n"/>
      <c r="G4" s="14" t="n"/>
      <c r="H4" s="14" t="n"/>
      <c r="I4" s="14" t="n"/>
      <c r="J4" s="14" t="n"/>
    </row>
    <row r="5">
      <c r="A5" s="6" t="inlineStr">
        <is>
          <t>MacOS Devices</t>
        </is>
      </c>
      <c r="B5" s="14" t="n"/>
      <c r="C5" s="14" t="n"/>
      <c r="D5" s="14" t="n"/>
      <c r="E5" s="14">
        <f>IF(C5&lt;=D5,"Yes","No")</f>
        <v/>
      </c>
      <c r="F5" s="14" t="n"/>
      <c r="G5" s="14" t="n"/>
      <c r="H5" s="14" t="n"/>
      <c r="I5" s="14" t="n"/>
      <c r="J5" s="14" t="n"/>
    </row>
    <row r="6">
      <c r="A6" s="6" t="inlineStr">
        <is>
          <t>Mobile Devices (iOS)</t>
        </is>
      </c>
      <c r="B6" s="14" t="n"/>
      <c r="C6" s="14" t="n"/>
      <c r="D6" s="14" t="n"/>
      <c r="E6" s="14">
        <f>IF(C6&lt;=D6,"Yes","No")</f>
        <v/>
      </c>
      <c r="F6" s="14" t="n"/>
      <c r="G6" s="14" t="n"/>
      <c r="H6" s="14" t="n"/>
      <c r="I6" s="14" t="n"/>
      <c r="J6" s="14" t="n"/>
    </row>
    <row r="7">
      <c r="A7" s="6" t="inlineStr">
        <is>
          <t>Mobile Devices (Android)</t>
        </is>
      </c>
      <c r="B7" s="14" t="n"/>
      <c r="C7" s="14" t="n"/>
      <c r="D7" s="14" t="n"/>
      <c r="E7" s="14">
        <f>IF(C7&lt;=D7,"Yes","No")</f>
        <v/>
      </c>
      <c r="F7" s="14" t="n"/>
      <c r="G7" s="14" t="n"/>
      <c r="H7" s="14" t="n"/>
      <c r="I7" s="14" t="n"/>
      <c r="J7" s="14" t="n"/>
    </row>
    <row r="8">
      <c r="A8" s="6" t="inlineStr">
        <is>
          <t>Linux Workstations</t>
        </is>
      </c>
      <c r="B8" s="14" t="n"/>
      <c r="C8" s="14" t="n"/>
      <c r="D8" s="14" t="n"/>
      <c r="E8" s="14">
        <f>IF(C8&lt;=D8,"Yes","No")</f>
        <v/>
      </c>
      <c r="F8" s="14" t="n"/>
      <c r="G8" s="14" t="n"/>
      <c r="H8" s="14" t="n"/>
      <c r="I8" s="14" t="n"/>
      <c r="J8" s="14" t="n"/>
    </row>
    <row r="9">
      <c r="A9" s="15" t="inlineStr">
        <is>
          <t>Sample — delete before use</t>
        </is>
      </c>
      <c r="B9" s="16" t="n"/>
      <c r="C9" s="16" t="n"/>
      <c r="D9" s="16" t="n"/>
      <c r="E9" s="16">
        <f>IF(C9&lt;=D9,"Yes","No")</f>
        <v/>
      </c>
      <c r="F9" s="16" t="n"/>
      <c r="G9" s="16" t="n"/>
      <c r="H9" s="16" t="n"/>
      <c r="I9" s="16" t="n"/>
      <c r="J9" s="16" t="n"/>
    </row>
    <row r="10">
      <c r="A10" s="17" t="n"/>
      <c r="B10" s="17" t="n"/>
      <c r="C10" s="17" t="n"/>
      <c r="D10" s="17" t="n"/>
      <c r="E10" s="17">
        <f>IF(C10&lt;=D10,"Yes","No")</f>
        <v/>
      </c>
      <c r="F10" s="17" t="n"/>
      <c r="G10" s="17" t="n"/>
      <c r="H10" s="17" t="n"/>
      <c r="I10" s="17" t="n"/>
      <c r="J10" s="17" t="n"/>
    </row>
    <row r="11">
      <c r="A11" s="17" t="n"/>
      <c r="B11" s="17" t="n"/>
      <c r="C11" s="17" t="n"/>
      <c r="D11" s="17" t="n"/>
      <c r="E11" s="17">
        <f>IF(C11&lt;=D11,"Yes","No")</f>
        <v/>
      </c>
      <c r="F11" s="17" t="n"/>
      <c r="G11" s="17" t="n"/>
      <c r="H11" s="17" t="n"/>
      <c r="I11" s="17" t="n"/>
      <c r="J11" s="17" t="n"/>
    </row>
    <row r="12">
      <c r="A12" s="17" t="n"/>
      <c r="B12" s="17" t="n"/>
      <c r="C12" s="17" t="n"/>
      <c r="D12" s="17" t="n"/>
      <c r="E12" s="17">
        <f>IF(C12&lt;=D12,"Yes","No")</f>
        <v/>
      </c>
      <c r="F12" s="17" t="n"/>
      <c r="G12" s="17" t="n"/>
      <c r="H12" s="17" t="n"/>
      <c r="I12" s="17" t="n"/>
      <c r="J12" s="17" t="n"/>
    </row>
    <row r="13">
      <c r="A13" s="17" t="n"/>
      <c r="B13" s="17" t="n"/>
      <c r="C13" s="17" t="n"/>
      <c r="D13" s="17" t="n"/>
      <c r="E13" s="17">
        <f>IF(C13&lt;=D13,"Yes","No")</f>
        <v/>
      </c>
      <c r="F13" s="17" t="n"/>
      <c r="G13" s="17" t="n"/>
      <c r="H13" s="17" t="n"/>
      <c r="I13" s="17" t="n"/>
      <c r="J13" s="17" t="n"/>
    </row>
    <row r="14">
      <c r="A14" s="17" t="n"/>
      <c r="B14" s="17" t="n"/>
      <c r="C14" s="17" t="n"/>
      <c r="D14" s="17" t="n"/>
      <c r="E14" s="17">
        <f>IF(C14&lt;=D14,"Yes","No")</f>
        <v/>
      </c>
      <c r="F14" s="17" t="n"/>
      <c r="G14" s="17" t="n"/>
      <c r="H14" s="17" t="n"/>
      <c r="I14" s="17" t="n"/>
      <c r="J14" s="17" t="n"/>
    </row>
    <row r="15">
      <c r="A15" s="17" t="n"/>
      <c r="B15" s="17" t="n"/>
      <c r="C15" s="17" t="n"/>
      <c r="D15" s="17" t="n"/>
      <c r="E15" s="17">
        <f>IF(C15&lt;=D15,"Yes","No")</f>
        <v/>
      </c>
      <c r="F15" s="17" t="n"/>
      <c r="G15" s="17" t="n"/>
      <c r="H15" s="17" t="n"/>
      <c r="I15" s="17" t="n"/>
      <c r="J15" s="17" t="n"/>
    </row>
    <row r="16">
      <c r="A16" s="17" t="n"/>
      <c r="B16" s="17" t="n"/>
      <c r="C16" s="17" t="n"/>
      <c r="D16" s="17" t="n"/>
      <c r="E16" s="17">
        <f>IF(C16&lt;=D16,"Yes","No")</f>
        <v/>
      </c>
      <c r="F16" s="17" t="n"/>
      <c r="G16" s="17" t="n"/>
      <c r="H16" s="17" t="n"/>
      <c r="I16" s="17" t="n"/>
      <c r="J16" s="17" t="n"/>
    </row>
    <row r="17">
      <c r="A17" s="17" t="n"/>
      <c r="B17" s="17" t="n"/>
      <c r="C17" s="17" t="n"/>
      <c r="D17" s="17" t="n"/>
      <c r="E17" s="17">
        <f>IF(C17&lt;=D17,"Yes","No")</f>
        <v/>
      </c>
      <c r="F17" s="17" t="n"/>
      <c r="G17" s="17" t="n"/>
      <c r="H17" s="17" t="n"/>
      <c r="I17" s="17" t="n"/>
      <c r="J17" s="17" t="n"/>
    </row>
    <row r="18">
      <c r="A18" s="17" t="n"/>
      <c r="B18" s="17" t="n"/>
      <c r="C18" s="17" t="n"/>
      <c r="D18" s="17" t="n"/>
      <c r="E18" s="17">
        <f>IF(C18&lt;=D18,"Yes","No")</f>
        <v/>
      </c>
      <c r="F18" s="17" t="n"/>
      <c r="G18" s="17" t="n"/>
      <c r="H18" s="17" t="n"/>
      <c r="I18" s="17" t="n"/>
      <c r="J18" s="17" t="n"/>
    </row>
    <row r="19">
      <c r="A19" s="17" t="n"/>
      <c r="B19" s="17" t="n"/>
      <c r="C19" s="17" t="n"/>
      <c r="D19" s="17" t="n"/>
      <c r="E19" s="17">
        <f>IF(C19&lt;=D19,"Yes","No")</f>
        <v/>
      </c>
      <c r="F19" s="17" t="n"/>
      <c r="G19" s="17" t="n"/>
      <c r="H19" s="17" t="n"/>
      <c r="I19" s="17" t="n"/>
      <c r="J19" s="17" t="n"/>
    </row>
    <row r="20">
      <c r="A20" s="17" t="n"/>
      <c r="B20" s="17" t="n"/>
      <c r="C20" s="17" t="n"/>
      <c r="D20" s="17" t="n"/>
      <c r="E20" s="17">
        <f>IF(C20&lt;=D20,"Yes","No")</f>
        <v/>
      </c>
      <c r="F20" s="17" t="n"/>
      <c r="G20" s="17" t="n"/>
      <c r="H20" s="17" t="n"/>
      <c r="I20" s="17" t="n"/>
      <c r="J20" s="17" t="n"/>
    </row>
    <row r="21">
      <c r="A21" s="17" t="n"/>
      <c r="B21" s="17" t="n"/>
      <c r="C21" s="17" t="n"/>
      <c r="D21" s="17" t="n"/>
      <c r="E21" s="17">
        <f>IF(C21&lt;=D21,"Yes","No")</f>
        <v/>
      </c>
      <c r="F21" s="17" t="n"/>
      <c r="G21" s="17" t="n"/>
      <c r="H21" s="17" t="n"/>
      <c r="I21" s="17" t="n"/>
      <c r="J21" s="17" t="n"/>
    </row>
    <row r="22">
      <c r="A22" s="17" t="n"/>
      <c r="B22" s="17" t="n"/>
      <c r="C22" s="17" t="n"/>
      <c r="D22" s="17" t="n"/>
      <c r="E22" s="17">
        <f>IF(C22&lt;=D22,"Yes","No")</f>
        <v/>
      </c>
      <c r="F22" s="17" t="n"/>
      <c r="G22" s="17" t="n"/>
      <c r="H22" s="17" t="n"/>
      <c r="I22" s="17" t="n"/>
      <c r="J22" s="17" t="n"/>
    </row>
    <row r="23">
      <c r="A23" s="17" t="n"/>
      <c r="B23" s="17" t="n"/>
      <c r="C23" s="17" t="n"/>
      <c r="D23" s="17" t="n"/>
      <c r="E23" s="17">
        <f>IF(C23&lt;=D23,"Yes","No")</f>
        <v/>
      </c>
      <c r="F23" s="17" t="n"/>
      <c r="G23" s="17" t="n"/>
      <c r="H23" s="17" t="n"/>
      <c r="I23" s="17" t="n"/>
      <c r="J23" s="17" t="n"/>
    </row>
    <row r="24">
      <c r="A24" s="17" t="n"/>
      <c r="B24" s="17" t="n"/>
      <c r="C24" s="17" t="n"/>
      <c r="D24" s="17" t="n"/>
      <c r="E24" s="17">
        <f>IF(C24&lt;=D24,"Yes","No")</f>
        <v/>
      </c>
      <c r="F24" s="17" t="n"/>
      <c r="G24" s="17" t="n"/>
      <c r="H24" s="17" t="n"/>
      <c r="I24" s="17" t="n"/>
      <c r="J24" s="17" t="n"/>
    </row>
    <row r="25">
      <c r="A25" s="17" t="n"/>
      <c r="B25" s="17" t="n"/>
      <c r="C25" s="17" t="n"/>
      <c r="D25" s="17" t="n"/>
      <c r="E25" s="17">
        <f>IF(C25&lt;=D25,"Yes","No")</f>
        <v/>
      </c>
      <c r="F25" s="17" t="n"/>
      <c r="G25" s="17" t="n"/>
      <c r="H25" s="17" t="n"/>
      <c r="I25" s="17" t="n"/>
      <c r="J25" s="17" t="n"/>
    </row>
    <row r="26">
      <c r="A26" s="17" t="n"/>
      <c r="B26" s="17" t="n"/>
      <c r="C26" s="17" t="n"/>
      <c r="D26" s="17" t="n"/>
      <c r="E26" s="17">
        <f>IF(C26&lt;=D26,"Yes","No")</f>
        <v/>
      </c>
      <c r="F26" s="17" t="n"/>
      <c r="G26" s="17" t="n"/>
      <c r="H26" s="17" t="n"/>
      <c r="I26" s="17" t="n"/>
      <c r="J26" s="17" t="n"/>
    </row>
    <row r="27">
      <c r="A27" s="17" t="n"/>
      <c r="B27" s="17" t="n"/>
      <c r="C27" s="17" t="n"/>
      <c r="D27" s="17" t="n"/>
      <c r="E27" s="17">
        <f>IF(C27&lt;=D27,"Yes","No")</f>
        <v/>
      </c>
      <c r="F27" s="17" t="n"/>
      <c r="G27" s="17" t="n"/>
      <c r="H27" s="17" t="n"/>
      <c r="I27" s="17" t="n"/>
      <c r="J27" s="17" t="n"/>
    </row>
    <row r="28">
      <c r="A28" s="17" t="n"/>
      <c r="B28" s="17" t="n"/>
      <c r="C28" s="17" t="n"/>
      <c r="D28" s="17" t="n"/>
      <c r="E28" s="17">
        <f>IF(C28&lt;=D28,"Yes","No")</f>
        <v/>
      </c>
      <c r="F28" s="17" t="n"/>
      <c r="G28" s="17" t="n"/>
      <c r="H28" s="17" t="n"/>
      <c r="I28" s="17" t="n"/>
      <c r="J28" s="17" t="n"/>
    </row>
    <row r="29">
      <c r="A29" s="17" t="n"/>
      <c r="B29" s="17" t="n"/>
      <c r="C29" s="17" t="n"/>
      <c r="D29" s="17" t="n"/>
      <c r="E29" s="17">
        <f>IF(C29&lt;=D29,"Yes","No")</f>
        <v/>
      </c>
      <c r="F29" s="17" t="n"/>
      <c r="G29" s="17" t="n"/>
      <c r="H29" s="17" t="n"/>
      <c r="I29" s="17" t="n"/>
      <c r="J29" s="17" t="n"/>
    </row>
    <row r="30">
      <c r="A30" s="17" t="n"/>
      <c r="B30" s="17" t="n"/>
      <c r="C30" s="17" t="n"/>
      <c r="D30" s="17" t="n"/>
      <c r="E30" s="17">
        <f>IF(C30&lt;=D30,"Yes","No")</f>
        <v/>
      </c>
      <c r="F30" s="17" t="n"/>
      <c r="G30" s="17" t="n"/>
      <c r="H30" s="17" t="n"/>
      <c r="I30" s="17" t="n"/>
      <c r="J30" s="17" t="n"/>
    </row>
    <row r="31">
      <c r="A31" s="17" t="n"/>
      <c r="B31" s="17" t="n"/>
      <c r="C31" s="17" t="n"/>
      <c r="D31" s="17" t="n"/>
      <c r="E31" s="17">
        <f>IF(C31&lt;=D31,"Yes","No")</f>
        <v/>
      </c>
      <c r="F31" s="17" t="n"/>
      <c r="G31" s="17" t="n"/>
      <c r="H31" s="17" t="n"/>
      <c r="I31" s="17" t="n"/>
      <c r="J31" s="17" t="n"/>
    </row>
    <row r="32">
      <c r="A32" s="17" t="n"/>
      <c r="B32" s="17" t="n"/>
      <c r="C32" s="17" t="n"/>
      <c r="D32" s="17" t="n"/>
      <c r="E32" s="17">
        <f>IF(C32&lt;=D32,"Yes","No")</f>
        <v/>
      </c>
      <c r="F32" s="17" t="n"/>
      <c r="G32" s="17" t="n"/>
      <c r="H32" s="17" t="n"/>
      <c r="I32" s="17" t="n"/>
      <c r="J32" s="17" t="n"/>
    </row>
    <row r="33">
      <c r="A33" s="17" t="n"/>
      <c r="B33" s="17" t="n"/>
      <c r="C33" s="17" t="n"/>
      <c r="D33" s="17" t="n"/>
      <c r="E33" s="17">
        <f>IF(C33&lt;=D33,"Yes","No")</f>
        <v/>
      </c>
      <c r="F33" s="17" t="n"/>
      <c r="G33" s="17" t="n"/>
      <c r="H33" s="17" t="n"/>
      <c r="I33" s="17" t="n"/>
      <c r="J33" s="17" t="n"/>
    </row>
    <row r="34">
      <c r="A34" s="17" t="n"/>
      <c r="B34" s="17" t="n"/>
      <c r="C34" s="17" t="n"/>
      <c r="D34" s="17" t="n"/>
      <c r="E34" s="17">
        <f>IF(C34&lt;=D34,"Yes","No")</f>
        <v/>
      </c>
      <c r="F34" s="17" t="n"/>
      <c r="G34" s="17" t="n"/>
      <c r="H34" s="17" t="n"/>
      <c r="I34" s="17" t="n"/>
      <c r="J34" s="17" t="n"/>
    </row>
    <row r="35">
      <c r="A35" s="17" t="n"/>
      <c r="B35" s="17" t="n"/>
      <c r="C35" s="17" t="n"/>
      <c r="D35" s="17" t="n"/>
      <c r="E35" s="17">
        <f>IF(C35&lt;=D35,"Yes","No")</f>
        <v/>
      </c>
      <c r="F35" s="17" t="n"/>
      <c r="G35" s="17" t="n"/>
      <c r="H35" s="17" t="n"/>
      <c r="I35" s="17" t="n"/>
      <c r="J35" s="17" t="n"/>
    </row>
    <row r="36">
      <c r="A36" s="17" t="n"/>
      <c r="B36" s="17" t="n"/>
      <c r="C36" s="17" t="n"/>
      <c r="D36" s="17" t="n"/>
      <c r="E36" s="17">
        <f>IF(C36&lt;=D36,"Yes","No")</f>
        <v/>
      </c>
      <c r="F36" s="17" t="n"/>
      <c r="G36" s="17" t="n"/>
      <c r="H36" s="17" t="n"/>
      <c r="I36" s="17" t="n"/>
      <c r="J36" s="17" t="n"/>
    </row>
    <row r="37">
      <c r="A37" s="17" t="n"/>
      <c r="B37" s="17" t="n"/>
      <c r="C37" s="17" t="n"/>
      <c r="D37" s="17" t="n"/>
      <c r="E37" s="17">
        <f>IF(C37&lt;=D37,"Yes","No")</f>
        <v/>
      </c>
      <c r="F37" s="17" t="n"/>
      <c r="G37" s="17" t="n"/>
      <c r="H37" s="17" t="n"/>
      <c r="I37" s="17" t="n"/>
      <c r="J37" s="17" t="n"/>
    </row>
    <row r="38">
      <c r="A38" s="17" t="n"/>
      <c r="B38" s="17" t="n"/>
      <c r="C38" s="17" t="n"/>
      <c r="D38" s="17" t="n"/>
      <c r="E38" s="17">
        <f>IF(C38&lt;=D38,"Yes","No")</f>
        <v/>
      </c>
      <c r="F38" s="17" t="n"/>
      <c r="G38" s="17" t="n"/>
      <c r="H38" s="17" t="n"/>
      <c r="I38" s="17" t="n"/>
      <c r="J38" s="17" t="n"/>
    </row>
    <row r="39">
      <c r="A39" s="17" t="n"/>
      <c r="B39" s="17" t="n"/>
      <c r="C39" s="17" t="n"/>
      <c r="D39" s="17" t="n"/>
      <c r="E39" s="17">
        <f>IF(C39&lt;=D39,"Yes","No")</f>
        <v/>
      </c>
      <c r="F39" s="17" t="n"/>
      <c r="G39" s="17" t="n"/>
      <c r="H39" s="17" t="n"/>
      <c r="I39" s="17" t="n"/>
      <c r="J39" s="17" t="n"/>
    </row>
    <row r="40">
      <c r="A40" s="17" t="n"/>
      <c r="B40" s="17" t="n"/>
      <c r="C40" s="17" t="n"/>
      <c r="D40" s="17" t="n"/>
      <c r="E40" s="17">
        <f>IF(C40&lt;=D40,"Yes","No")</f>
        <v/>
      </c>
      <c r="F40" s="17" t="n"/>
      <c r="G40" s="17" t="n"/>
      <c r="H40" s="17" t="n"/>
      <c r="I40" s="17" t="n"/>
      <c r="J40" s="17" t="n"/>
    </row>
    <row r="41">
      <c r="A41" s="17" t="n"/>
      <c r="B41" s="17" t="n"/>
      <c r="C41" s="17" t="n"/>
      <c r="D41" s="17" t="n"/>
      <c r="E41" s="17">
        <f>IF(C41&lt;=D41,"Yes","No")</f>
        <v/>
      </c>
      <c r="F41" s="17" t="n"/>
      <c r="G41" s="17" t="n"/>
      <c r="H41" s="17" t="n"/>
      <c r="I41" s="17" t="n"/>
      <c r="J41" s="17" t="n"/>
    </row>
    <row r="42">
      <c r="A42" s="17" t="n"/>
      <c r="B42" s="17" t="n"/>
      <c r="C42" s="17" t="n"/>
      <c r="D42" s="17" t="n"/>
      <c r="E42" s="17">
        <f>IF(C42&lt;=D42,"Yes","No")</f>
        <v/>
      </c>
      <c r="F42" s="17" t="n"/>
      <c r="G42" s="17" t="n"/>
      <c r="H42" s="17" t="n"/>
      <c r="I42" s="17" t="n"/>
      <c r="J42" s="17" t="n"/>
    </row>
    <row r="43">
      <c r="A43" s="17" t="n"/>
      <c r="B43" s="17" t="n"/>
      <c r="C43" s="17" t="n"/>
      <c r="D43" s="17" t="n"/>
      <c r="E43" s="17">
        <f>IF(C43&lt;=D43,"Yes","No")</f>
        <v/>
      </c>
      <c r="F43" s="17" t="n"/>
      <c r="G43" s="17" t="n"/>
      <c r="H43" s="17" t="n"/>
      <c r="I43" s="17" t="n"/>
      <c r="J43" s="17" t="n"/>
    </row>
    <row r="44">
      <c r="A44" s="17" t="n"/>
      <c r="B44" s="17" t="n"/>
      <c r="C44" s="17" t="n"/>
      <c r="D44" s="17" t="n"/>
      <c r="E44" s="17">
        <f>IF(C44&lt;=D44,"Yes","No")</f>
        <v/>
      </c>
      <c r="F44" s="17" t="n"/>
      <c r="G44" s="17" t="n"/>
      <c r="H44" s="17" t="n"/>
      <c r="I44" s="17" t="n"/>
      <c r="J44" s="17" t="n"/>
    </row>
    <row r="45">
      <c r="A45" s="17" t="n"/>
      <c r="B45" s="17" t="n"/>
      <c r="C45" s="17" t="n"/>
      <c r="D45" s="17" t="n"/>
      <c r="E45" s="17">
        <f>IF(C45&lt;=D45,"Yes","No")</f>
        <v/>
      </c>
      <c r="F45" s="17" t="n"/>
      <c r="G45" s="17" t="n"/>
      <c r="H45" s="17" t="n"/>
      <c r="I45" s="17" t="n"/>
      <c r="J45" s="17" t="n"/>
    </row>
    <row r="46">
      <c r="A46" s="17" t="n"/>
      <c r="B46" s="17" t="n"/>
      <c r="C46" s="17" t="n"/>
      <c r="D46" s="17" t="n"/>
      <c r="E46" s="17">
        <f>IF(C46&lt;=D46,"Yes","No")</f>
        <v/>
      </c>
      <c r="F46" s="17" t="n"/>
      <c r="G46" s="17" t="n"/>
      <c r="H46" s="17" t="n"/>
      <c r="I46" s="17" t="n"/>
      <c r="J46" s="17" t="n"/>
    </row>
    <row r="47">
      <c r="A47" s="17" t="n"/>
      <c r="B47" s="17" t="n"/>
      <c r="C47" s="17" t="n"/>
      <c r="D47" s="17" t="n"/>
      <c r="E47" s="17">
        <f>IF(C47&lt;=D47,"Yes","No")</f>
        <v/>
      </c>
      <c r="F47" s="17" t="n"/>
      <c r="G47" s="17" t="n"/>
      <c r="H47" s="17" t="n"/>
      <c r="I47" s="17" t="n"/>
      <c r="J47" s="17" t="n"/>
    </row>
    <row r="48">
      <c r="A48" s="17" t="n"/>
      <c r="B48" s="17" t="n"/>
      <c r="C48" s="17" t="n"/>
      <c r="D48" s="17" t="n"/>
      <c r="E48" s="17">
        <f>IF(C48&lt;=D48,"Yes","No")</f>
        <v/>
      </c>
      <c r="F48" s="17" t="n"/>
      <c r="G48" s="17" t="n"/>
      <c r="H48" s="17" t="n"/>
      <c r="I48" s="17" t="n"/>
      <c r="J48" s="17" t="n"/>
    </row>
    <row r="49">
      <c r="A49" s="17" t="n"/>
      <c r="B49" s="17" t="n"/>
      <c r="C49" s="17" t="n"/>
      <c r="D49" s="17" t="n"/>
      <c r="E49" s="17">
        <f>IF(C49&lt;=D49,"Yes","No")</f>
        <v/>
      </c>
      <c r="F49" s="17" t="n"/>
      <c r="G49" s="17" t="n"/>
      <c r="H49" s="17" t="n"/>
      <c r="I49" s="17" t="n"/>
      <c r="J49" s="17" t="n"/>
    </row>
    <row r="50">
      <c r="A50" s="17" t="n"/>
      <c r="B50" s="17" t="n"/>
      <c r="C50" s="17" t="n"/>
      <c r="D50" s="17" t="n"/>
      <c r="E50" s="17">
        <f>IF(C50&lt;=D50,"Yes","No")</f>
        <v/>
      </c>
      <c r="F50" s="17" t="n"/>
      <c r="G50" s="17" t="n"/>
      <c r="H50" s="17" t="n"/>
      <c r="I50" s="17" t="n"/>
      <c r="J50" s="17" t="n"/>
    </row>
    <row r="51">
      <c r="A51" s="17" t="n"/>
      <c r="B51" s="17" t="n"/>
      <c r="C51" s="17" t="n"/>
      <c r="D51" s="17" t="n"/>
      <c r="E51" s="17">
        <f>IF(C51&lt;=D51,"Yes","No")</f>
        <v/>
      </c>
      <c r="F51" s="17" t="n"/>
      <c r="G51" s="17" t="n"/>
      <c r="H51" s="17" t="n"/>
      <c r="I51" s="17" t="n"/>
      <c r="J51" s="17" t="n"/>
    </row>
    <row r="52">
      <c r="A52" s="17" t="n"/>
      <c r="B52" s="17" t="n"/>
      <c r="C52" s="17" t="n"/>
      <c r="D52" s="17" t="n"/>
      <c r="E52" s="17">
        <f>IF(C52&lt;=D52,"Yes","No")</f>
        <v/>
      </c>
      <c r="F52" s="17" t="n"/>
      <c r="G52" s="17" t="n"/>
      <c r="H52" s="17" t="n"/>
      <c r="I52" s="17" t="n"/>
      <c r="J52" s="17" t="n"/>
    </row>
    <row r="53">
      <c r="A53" s="17" t="n"/>
      <c r="B53" s="17" t="n"/>
      <c r="C53" s="17" t="n"/>
      <c r="D53" s="17" t="n"/>
      <c r="E53" s="17">
        <f>IF(C53&lt;=D53,"Yes","No")</f>
        <v/>
      </c>
      <c r="F53" s="17" t="n"/>
      <c r="G53" s="17" t="n"/>
      <c r="H53" s="17" t="n"/>
      <c r="I53" s="17" t="n"/>
      <c r="J53" s="17" t="n"/>
    </row>
    <row r="54">
      <c r="A54" s="17" t="n"/>
      <c r="B54" s="17" t="n"/>
      <c r="C54" s="17" t="n"/>
      <c r="D54" s="17" t="n"/>
      <c r="E54" s="17">
        <f>IF(C54&lt;=D54,"Yes","No")</f>
        <v/>
      </c>
      <c r="F54" s="17" t="n"/>
      <c r="G54" s="17" t="n"/>
      <c r="H54" s="17" t="n"/>
      <c r="I54" s="17" t="n"/>
      <c r="J54" s="17" t="n"/>
    </row>
    <row r="55">
      <c r="A55" s="17" t="n"/>
      <c r="B55" s="17" t="n"/>
      <c r="C55" s="17" t="n"/>
      <c r="D55" s="17" t="n"/>
      <c r="E55" s="17">
        <f>IF(C55&lt;=D55,"Yes","No")</f>
        <v/>
      </c>
      <c r="F55" s="17" t="n"/>
      <c r="G55" s="17" t="n"/>
      <c r="H55" s="17" t="n"/>
      <c r="I55" s="17" t="n"/>
      <c r="J55" s="17" t="n"/>
    </row>
    <row r="56">
      <c r="A56" s="17" t="n"/>
      <c r="B56" s="17" t="n"/>
      <c r="C56" s="17" t="n"/>
      <c r="D56" s="17" t="n"/>
      <c r="E56" s="17">
        <f>IF(C56&lt;=D56,"Yes","No")</f>
        <v/>
      </c>
      <c r="F56" s="17" t="n"/>
      <c r="G56" s="17" t="n"/>
      <c r="H56" s="17" t="n"/>
      <c r="I56" s="17" t="n"/>
      <c r="J56" s="17" t="n"/>
    </row>
    <row r="57">
      <c r="A57" s="17" t="n"/>
      <c r="B57" s="17" t="n"/>
      <c r="C57" s="17" t="n"/>
      <c r="D57" s="17" t="n"/>
      <c r="E57" s="17">
        <f>IF(C57&lt;=D57,"Yes","No")</f>
        <v/>
      </c>
      <c r="F57" s="17" t="n"/>
      <c r="G57" s="17" t="n"/>
      <c r="H57" s="17" t="n"/>
      <c r="I57" s="17" t="n"/>
      <c r="J57" s="17" t="n"/>
    </row>
    <row r="58">
      <c r="A58" s="17" t="n"/>
      <c r="B58" s="17" t="n"/>
      <c r="C58" s="17" t="n"/>
      <c r="D58" s="17" t="n"/>
      <c r="E58" s="17">
        <f>IF(C58&lt;=D58,"Yes","No")</f>
        <v/>
      </c>
      <c r="F58" s="17" t="n"/>
      <c r="G58" s="17" t="n"/>
      <c r="H58" s="17" t="n"/>
      <c r="I58" s="17" t="n"/>
      <c r="J58" s="17" t="n"/>
    </row>
    <row r="59">
      <c r="A59" s="17" t="n"/>
      <c r="B59" s="17" t="n"/>
      <c r="C59" s="17" t="n"/>
      <c r="D59" s="17" t="n"/>
      <c r="E59" s="17">
        <f>IF(C59&lt;=D59,"Yes","No")</f>
        <v/>
      </c>
      <c r="F59" s="17" t="n"/>
      <c r="G59" s="17" t="n"/>
      <c r="H59" s="17" t="n"/>
      <c r="I59" s="17" t="n"/>
      <c r="J59" s="17" t="n"/>
    </row>
  </sheetData>
  <mergeCells count="1">
    <mergeCell ref="A1:J1"/>
  </mergeCells>
  <dataValidations count="1">
    <dataValidation sqref="F4 F5 F6 F7 F8 F9 F10 F11 F12 F13 F14 F15 F16 F17 F18 F19 F20 F21 F22 F23 F24 F25 F26 F27 F28 F29 F30 F31 F32 F33 F34 F35 F36 F37 F38 F39 F40 F41 F42 F43 F44 F45 F46 F47 F48 F49 F50 F51 F52 F53 F54 F55 F56 F57 F58 F59" showDropDown="0" showInputMessage="0" showErrorMessage="0" allowBlank="1" type="list">
      <formula1>"Group Policy,MDM (Intune),MDM (JAMF),MDM (Other),Manual,Not Enforced"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5" customWidth="1" min="1" max="1"/>
    <col width="20" customWidth="1" min="2" max="2"/>
    <col width="25" customWidth="1" min="3" max="3"/>
    <col width="20" customWidth="1" min="4" max="4"/>
    <col width="12" customWidth="1" min="5" max="5"/>
    <col width="15" customWidth="1" min="6" max="6"/>
    <col width="15" customWidth="1" min="7" max="7"/>
    <col width="35" customWidth="1" min="8" max="8"/>
    <col width="35" customWidth="1" min="9" max="9"/>
    <col width="20" customWidth="1" min="10" max="10"/>
  </cols>
  <sheetData>
    <row r="1" ht="35" customHeight="1">
      <c r="A1" s="11" t="inlineStr">
        <is>
          <t>CLEAR DESK AUDIT RESULTS
Track monthly audit results and compliance trends</t>
        </is>
      </c>
    </row>
    <row r="2">
      <c r="A2" s="12" t="inlineStr">
        <is>
          <t>ISO/IEC 27001:2022 - Control A.7.7: Clear Desk and Clear Screen</t>
        </is>
      </c>
    </row>
    <row r="3">
      <c r="A3" s="13" t="inlineStr">
        <is>
          <t>Audit Date</t>
        </is>
      </c>
      <c r="B3" s="13" t="inlineStr">
        <is>
          <t>Audit Type</t>
        </is>
      </c>
      <c r="C3" s="13" t="inlineStr">
        <is>
          <t>Location/Area</t>
        </is>
      </c>
      <c r="D3" s="13" t="inlineStr">
        <is>
          <t>Workstations Audited</t>
        </is>
      </c>
      <c r="E3" s="13" t="inlineStr">
        <is>
          <t>Compliant</t>
        </is>
      </c>
      <c r="F3" s="13" t="inlineStr">
        <is>
          <t>Non-Compliant</t>
        </is>
      </c>
      <c r="G3" s="13" t="inlineStr">
        <is>
          <t>Compliance Rate</t>
        </is>
      </c>
      <c r="H3" s="13" t="inlineStr">
        <is>
          <t>Common Issues</t>
        </is>
      </c>
      <c r="I3" s="13" t="inlineStr">
        <is>
          <t>Follow-Up Actions</t>
        </is>
      </c>
      <c r="J3" s="13" t="inlineStr">
        <is>
          <t>Auditor</t>
        </is>
      </c>
    </row>
    <row r="4">
      <c r="A4" s="15" t="inlineStr">
        <is>
          <t>Sample — delete before use</t>
        </is>
      </c>
      <c r="B4" s="16" t="n"/>
      <c r="C4" s="16" t="n"/>
      <c r="D4" s="16" t="n"/>
      <c r="E4" s="16" t="n"/>
      <c r="F4" s="16" t="n"/>
      <c r="G4" s="16">
        <f>IF(D4=0,"",ROUND(E4/D4*100,1)&amp;"%")</f>
        <v/>
      </c>
      <c r="H4" s="16" t="n"/>
      <c r="I4" s="16" t="n"/>
      <c r="J4" s="16" t="n"/>
    </row>
    <row r="5">
      <c r="A5" s="17" t="n"/>
      <c r="B5" s="17" t="n"/>
      <c r="C5" s="17" t="n"/>
      <c r="D5" s="17" t="n"/>
      <c r="E5" s="17" t="n"/>
      <c r="F5" s="17" t="n"/>
      <c r="G5" s="17">
        <f>IF(D5=0,"",ROUND(E5/D5*100,1)&amp;"%")</f>
        <v/>
      </c>
      <c r="H5" s="17" t="n"/>
      <c r="I5" s="17" t="n"/>
      <c r="J5" s="17" t="n"/>
    </row>
    <row r="6">
      <c r="A6" s="17" t="n"/>
      <c r="B6" s="17" t="n"/>
      <c r="C6" s="17" t="n"/>
      <c r="D6" s="17" t="n"/>
      <c r="E6" s="17" t="n"/>
      <c r="F6" s="17" t="n"/>
      <c r="G6" s="17">
        <f>IF(D6=0,"",ROUND(E6/D6*100,1)&amp;"%")</f>
        <v/>
      </c>
      <c r="H6" s="17" t="n"/>
      <c r="I6" s="17" t="n"/>
      <c r="J6" s="17" t="n"/>
    </row>
    <row r="7">
      <c r="A7" s="17" t="n"/>
      <c r="B7" s="17" t="n"/>
      <c r="C7" s="17" t="n"/>
      <c r="D7" s="17" t="n"/>
      <c r="E7" s="17" t="n"/>
      <c r="F7" s="17" t="n"/>
      <c r="G7" s="17">
        <f>IF(D7=0,"",ROUND(E7/D7*100,1)&amp;"%")</f>
        <v/>
      </c>
      <c r="H7" s="17" t="n"/>
      <c r="I7" s="17" t="n"/>
      <c r="J7" s="17" t="n"/>
    </row>
    <row r="8">
      <c r="A8" s="17" t="n"/>
      <c r="B8" s="17" t="n"/>
      <c r="C8" s="17" t="n"/>
      <c r="D8" s="17" t="n"/>
      <c r="E8" s="17" t="n"/>
      <c r="F8" s="17" t="n"/>
      <c r="G8" s="17">
        <f>IF(D8=0,"",ROUND(E8/D8*100,1)&amp;"%")</f>
        <v/>
      </c>
      <c r="H8" s="17" t="n"/>
      <c r="I8" s="17" t="n"/>
      <c r="J8" s="17" t="n"/>
    </row>
    <row r="9">
      <c r="A9" s="17" t="n"/>
      <c r="B9" s="17" t="n"/>
      <c r="C9" s="17" t="n"/>
      <c r="D9" s="17" t="n"/>
      <c r="E9" s="17" t="n"/>
      <c r="F9" s="17" t="n"/>
      <c r="G9" s="17">
        <f>IF(D9=0,"",ROUND(E9/D9*100,1)&amp;"%")</f>
        <v/>
      </c>
      <c r="H9" s="17" t="n"/>
      <c r="I9" s="17" t="n"/>
      <c r="J9" s="17" t="n"/>
    </row>
    <row r="10">
      <c r="A10" s="17" t="n"/>
      <c r="B10" s="17" t="n"/>
      <c r="C10" s="17" t="n"/>
      <c r="D10" s="17" t="n"/>
      <c r="E10" s="17" t="n"/>
      <c r="F10" s="17" t="n"/>
      <c r="G10" s="17">
        <f>IF(D10=0,"",ROUND(E10/D10*100,1)&amp;"%")</f>
        <v/>
      </c>
      <c r="H10" s="17" t="n"/>
      <c r="I10" s="17" t="n"/>
      <c r="J10" s="17" t="n"/>
    </row>
    <row r="11">
      <c r="A11" s="17" t="n"/>
      <c r="B11" s="17" t="n"/>
      <c r="C11" s="17" t="n"/>
      <c r="D11" s="17" t="n"/>
      <c r="E11" s="17" t="n"/>
      <c r="F11" s="17" t="n"/>
      <c r="G11" s="17">
        <f>IF(D11=0,"",ROUND(E11/D11*100,1)&amp;"%")</f>
        <v/>
      </c>
      <c r="H11" s="17" t="n"/>
      <c r="I11" s="17" t="n"/>
      <c r="J11" s="17" t="n"/>
    </row>
    <row r="12">
      <c r="A12" s="17" t="n"/>
      <c r="B12" s="17" t="n"/>
      <c r="C12" s="17" t="n"/>
      <c r="D12" s="17" t="n"/>
      <c r="E12" s="17" t="n"/>
      <c r="F12" s="17" t="n"/>
      <c r="G12" s="17">
        <f>IF(D12=0,"",ROUND(E12/D12*100,1)&amp;"%")</f>
        <v/>
      </c>
      <c r="H12" s="17" t="n"/>
      <c r="I12" s="17" t="n"/>
      <c r="J12" s="17" t="n"/>
    </row>
    <row r="13">
      <c r="A13" s="17" t="n"/>
      <c r="B13" s="17" t="n"/>
      <c r="C13" s="17" t="n"/>
      <c r="D13" s="17" t="n"/>
      <c r="E13" s="17" t="n"/>
      <c r="F13" s="17" t="n"/>
      <c r="G13" s="17">
        <f>IF(D13=0,"",ROUND(E13/D13*100,1)&amp;"%")</f>
        <v/>
      </c>
      <c r="H13" s="17" t="n"/>
      <c r="I13" s="17" t="n"/>
      <c r="J13" s="17" t="n"/>
    </row>
    <row r="14">
      <c r="A14" s="17" t="n"/>
      <c r="B14" s="17" t="n"/>
      <c r="C14" s="17" t="n"/>
      <c r="D14" s="17" t="n"/>
      <c r="E14" s="17" t="n"/>
      <c r="F14" s="17" t="n"/>
      <c r="G14" s="17">
        <f>IF(D14=0,"",ROUND(E14/D14*100,1)&amp;"%")</f>
        <v/>
      </c>
      <c r="H14" s="17" t="n"/>
      <c r="I14" s="17" t="n"/>
      <c r="J14" s="17" t="n"/>
    </row>
    <row r="15">
      <c r="A15" s="17" t="n"/>
      <c r="B15" s="17" t="n"/>
      <c r="C15" s="17" t="n"/>
      <c r="D15" s="17" t="n"/>
      <c r="E15" s="17" t="n"/>
      <c r="F15" s="17" t="n"/>
      <c r="G15" s="17">
        <f>IF(D15=0,"",ROUND(E15/D15*100,1)&amp;"%")</f>
        <v/>
      </c>
      <c r="H15" s="17" t="n"/>
      <c r="I15" s="17" t="n"/>
      <c r="J15" s="17" t="n"/>
    </row>
    <row r="16">
      <c r="A16" s="17" t="n"/>
      <c r="B16" s="17" t="n"/>
      <c r="C16" s="17" t="n"/>
      <c r="D16" s="17" t="n"/>
      <c r="E16" s="17" t="n"/>
      <c r="F16" s="17" t="n"/>
      <c r="G16" s="17">
        <f>IF(D16=0,"",ROUND(E16/D16*100,1)&amp;"%")</f>
        <v/>
      </c>
      <c r="H16" s="17" t="n"/>
      <c r="I16" s="17" t="n"/>
      <c r="J16" s="17" t="n"/>
    </row>
    <row r="17">
      <c r="A17" s="17" t="n"/>
      <c r="B17" s="17" t="n"/>
      <c r="C17" s="17" t="n"/>
      <c r="D17" s="17" t="n"/>
      <c r="E17" s="17" t="n"/>
      <c r="F17" s="17" t="n"/>
      <c r="G17" s="17">
        <f>IF(D17=0,"",ROUND(E17/D17*100,1)&amp;"%")</f>
        <v/>
      </c>
      <c r="H17" s="17" t="n"/>
      <c r="I17" s="17" t="n"/>
      <c r="J17" s="17" t="n"/>
    </row>
    <row r="18">
      <c r="A18" s="17" t="n"/>
      <c r="B18" s="17" t="n"/>
      <c r="C18" s="17" t="n"/>
      <c r="D18" s="17" t="n"/>
      <c r="E18" s="17" t="n"/>
      <c r="F18" s="17" t="n"/>
      <c r="G18" s="17">
        <f>IF(D18=0,"",ROUND(E18/D18*100,1)&amp;"%")</f>
        <v/>
      </c>
      <c r="H18" s="17" t="n"/>
      <c r="I18" s="17" t="n"/>
      <c r="J18" s="17" t="n"/>
    </row>
    <row r="19">
      <c r="A19" s="17" t="n"/>
      <c r="B19" s="17" t="n"/>
      <c r="C19" s="17" t="n"/>
      <c r="D19" s="17" t="n"/>
      <c r="E19" s="17" t="n"/>
      <c r="F19" s="17" t="n"/>
      <c r="G19" s="17">
        <f>IF(D19=0,"",ROUND(E19/D19*100,1)&amp;"%")</f>
        <v/>
      </c>
      <c r="H19" s="17" t="n"/>
      <c r="I19" s="17" t="n"/>
      <c r="J19" s="17" t="n"/>
    </row>
    <row r="20">
      <c r="A20" s="17" t="n"/>
      <c r="B20" s="17" t="n"/>
      <c r="C20" s="17" t="n"/>
      <c r="D20" s="17" t="n"/>
      <c r="E20" s="17" t="n"/>
      <c r="F20" s="17" t="n"/>
      <c r="G20" s="17">
        <f>IF(D20=0,"",ROUND(E20/D20*100,1)&amp;"%")</f>
        <v/>
      </c>
      <c r="H20" s="17" t="n"/>
      <c r="I20" s="17" t="n"/>
      <c r="J20" s="17" t="n"/>
    </row>
    <row r="21">
      <c r="A21" s="17" t="n"/>
      <c r="B21" s="17" t="n"/>
      <c r="C21" s="17" t="n"/>
      <c r="D21" s="17" t="n"/>
      <c r="E21" s="17" t="n"/>
      <c r="F21" s="17" t="n"/>
      <c r="G21" s="17">
        <f>IF(D21=0,"",ROUND(E21/D21*100,1)&amp;"%")</f>
        <v/>
      </c>
      <c r="H21" s="17" t="n"/>
      <c r="I21" s="17" t="n"/>
      <c r="J21" s="17" t="n"/>
    </row>
    <row r="22">
      <c r="A22" s="17" t="n"/>
      <c r="B22" s="17" t="n"/>
      <c r="C22" s="17" t="n"/>
      <c r="D22" s="17" t="n"/>
      <c r="E22" s="17" t="n"/>
      <c r="F22" s="17" t="n"/>
      <c r="G22" s="17">
        <f>IF(D22=0,"",ROUND(E22/D22*100,1)&amp;"%")</f>
        <v/>
      </c>
      <c r="H22" s="17" t="n"/>
      <c r="I22" s="17" t="n"/>
      <c r="J22" s="17" t="n"/>
    </row>
    <row r="23">
      <c r="A23" s="17" t="n"/>
      <c r="B23" s="17" t="n"/>
      <c r="C23" s="17" t="n"/>
      <c r="D23" s="17" t="n"/>
      <c r="E23" s="17" t="n"/>
      <c r="F23" s="17" t="n"/>
      <c r="G23" s="17">
        <f>IF(D23=0,"",ROUND(E23/D23*100,1)&amp;"%")</f>
        <v/>
      </c>
      <c r="H23" s="17" t="n"/>
      <c r="I23" s="17" t="n"/>
      <c r="J23" s="17" t="n"/>
    </row>
    <row r="24">
      <c r="A24" s="17" t="n"/>
      <c r="B24" s="17" t="n"/>
      <c r="C24" s="17" t="n"/>
      <c r="D24" s="17" t="n"/>
      <c r="E24" s="17" t="n"/>
      <c r="F24" s="17" t="n"/>
      <c r="G24" s="17">
        <f>IF(D24=0,"",ROUND(E24/D24*100,1)&amp;"%")</f>
        <v/>
      </c>
      <c r="H24" s="17" t="n"/>
      <c r="I24" s="17" t="n"/>
      <c r="J24" s="17" t="n"/>
    </row>
    <row r="25">
      <c r="A25" s="17" t="n"/>
      <c r="B25" s="17" t="n"/>
      <c r="C25" s="17" t="n"/>
      <c r="D25" s="17" t="n"/>
      <c r="E25" s="17" t="n"/>
      <c r="F25" s="17" t="n"/>
      <c r="G25" s="17">
        <f>IF(D25=0,"",ROUND(E25/D25*100,1)&amp;"%")</f>
        <v/>
      </c>
      <c r="H25" s="17" t="n"/>
      <c r="I25" s="17" t="n"/>
      <c r="J25" s="17" t="n"/>
    </row>
    <row r="26">
      <c r="A26" s="17" t="n"/>
      <c r="B26" s="17" t="n"/>
      <c r="C26" s="17" t="n"/>
      <c r="D26" s="17" t="n"/>
      <c r="E26" s="17" t="n"/>
      <c r="F26" s="17" t="n"/>
      <c r="G26" s="17">
        <f>IF(D26=0,"",ROUND(E26/D26*100,1)&amp;"%")</f>
        <v/>
      </c>
      <c r="H26" s="17" t="n"/>
      <c r="I26" s="17" t="n"/>
      <c r="J26" s="17" t="n"/>
    </row>
    <row r="27">
      <c r="A27" s="17" t="n"/>
      <c r="B27" s="17" t="n"/>
      <c r="C27" s="17" t="n"/>
      <c r="D27" s="17" t="n"/>
      <c r="E27" s="17" t="n"/>
      <c r="F27" s="17" t="n"/>
      <c r="G27" s="17">
        <f>IF(D27=0,"",ROUND(E27/D27*100,1)&amp;"%")</f>
        <v/>
      </c>
      <c r="H27" s="17" t="n"/>
      <c r="I27" s="17" t="n"/>
      <c r="J27" s="17" t="n"/>
    </row>
    <row r="28">
      <c r="A28" s="17" t="n"/>
      <c r="B28" s="17" t="n"/>
      <c r="C28" s="17" t="n"/>
      <c r="D28" s="17" t="n"/>
      <c r="E28" s="17" t="n"/>
      <c r="F28" s="17" t="n"/>
      <c r="G28" s="17">
        <f>IF(D28=0,"",ROUND(E28/D28*100,1)&amp;"%")</f>
        <v/>
      </c>
      <c r="H28" s="17" t="n"/>
      <c r="I28" s="17" t="n"/>
      <c r="J28" s="17" t="n"/>
    </row>
    <row r="29">
      <c r="A29" s="17" t="n"/>
      <c r="B29" s="17" t="n"/>
      <c r="C29" s="17" t="n"/>
      <c r="D29" s="17" t="n"/>
      <c r="E29" s="17" t="n"/>
      <c r="F29" s="17" t="n"/>
      <c r="G29" s="17">
        <f>IF(D29=0,"",ROUND(E29/D29*100,1)&amp;"%")</f>
        <v/>
      </c>
      <c r="H29" s="17" t="n"/>
      <c r="I29" s="17" t="n"/>
      <c r="J29" s="17" t="n"/>
    </row>
    <row r="30">
      <c r="A30" s="17" t="n"/>
      <c r="B30" s="17" t="n"/>
      <c r="C30" s="17" t="n"/>
      <c r="D30" s="17" t="n"/>
      <c r="E30" s="17" t="n"/>
      <c r="F30" s="17" t="n"/>
      <c r="G30" s="17">
        <f>IF(D30=0,"",ROUND(E30/D30*100,1)&amp;"%")</f>
        <v/>
      </c>
      <c r="H30" s="17" t="n"/>
      <c r="I30" s="17" t="n"/>
      <c r="J30" s="17" t="n"/>
    </row>
    <row r="31">
      <c r="A31" s="17" t="n"/>
      <c r="B31" s="17" t="n"/>
      <c r="C31" s="17" t="n"/>
      <c r="D31" s="17" t="n"/>
      <c r="E31" s="17" t="n"/>
      <c r="F31" s="17" t="n"/>
      <c r="G31" s="17">
        <f>IF(D31=0,"",ROUND(E31/D31*100,1)&amp;"%")</f>
        <v/>
      </c>
      <c r="H31" s="17" t="n"/>
      <c r="I31" s="17" t="n"/>
      <c r="J31" s="17" t="n"/>
    </row>
    <row r="32">
      <c r="A32" s="17" t="n"/>
      <c r="B32" s="17" t="n"/>
      <c r="C32" s="17" t="n"/>
      <c r="D32" s="17" t="n"/>
      <c r="E32" s="17" t="n"/>
      <c r="F32" s="17" t="n"/>
      <c r="G32" s="17">
        <f>IF(D32=0,"",ROUND(E32/D32*100,1)&amp;"%")</f>
        <v/>
      </c>
      <c r="H32" s="17" t="n"/>
      <c r="I32" s="17" t="n"/>
      <c r="J32" s="17" t="n"/>
    </row>
    <row r="33">
      <c r="A33" s="17" t="n"/>
      <c r="B33" s="17" t="n"/>
      <c r="C33" s="17" t="n"/>
      <c r="D33" s="17" t="n"/>
      <c r="E33" s="17" t="n"/>
      <c r="F33" s="17" t="n"/>
      <c r="G33" s="17">
        <f>IF(D33=0,"",ROUND(E33/D33*100,1)&amp;"%")</f>
        <v/>
      </c>
      <c r="H33" s="17" t="n"/>
      <c r="I33" s="17" t="n"/>
      <c r="J33" s="17" t="n"/>
    </row>
    <row r="34">
      <c r="A34" s="17" t="n"/>
      <c r="B34" s="17" t="n"/>
      <c r="C34" s="17" t="n"/>
      <c r="D34" s="17" t="n"/>
      <c r="E34" s="17" t="n"/>
      <c r="F34" s="17" t="n"/>
      <c r="G34" s="17">
        <f>IF(D34=0,"",ROUND(E34/D34*100,1)&amp;"%")</f>
        <v/>
      </c>
      <c r="H34" s="17" t="n"/>
      <c r="I34" s="17" t="n"/>
      <c r="J34" s="17" t="n"/>
    </row>
    <row r="35">
      <c r="A35" s="17" t="n"/>
      <c r="B35" s="17" t="n"/>
      <c r="C35" s="17" t="n"/>
      <c r="D35" s="17" t="n"/>
      <c r="E35" s="17" t="n"/>
      <c r="F35" s="17" t="n"/>
      <c r="G35" s="17">
        <f>IF(D35=0,"",ROUND(E35/D35*100,1)&amp;"%")</f>
        <v/>
      </c>
      <c r="H35" s="17" t="n"/>
      <c r="I35" s="17" t="n"/>
      <c r="J35" s="17" t="n"/>
    </row>
    <row r="36">
      <c r="A36" s="17" t="n"/>
      <c r="B36" s="17" t="n"/>
      <c r="C36" s="17" t="n"/>
      <c r="D36" s="17" t="n"/>
      <c r="E36" s="17" t="n"/>
      <c r="F36" s="17" t="n"/>
      <c r="G36" s="17">
        <f>IF(D36=0,"",ROUND(E36/D36*100,1)&amp;"%")</f>
        <v/>
      </c>
      <c r="H36" s="17" t="n"/>
      <c r="I36" s="17" t="n"/>
      <c r="J36" s="17" t="n"/>
    </row>
    <row r="37">
      <c r="A37" s="17" t="n"/>
      <c r="B37" s="17" t="n"/>
      <c r="C37" s="17" t="n"/>
      <c r="D37" s="17" t="n"/>
      <c r="E37" s="17" t="n"/>
      <c r="F37" s="17" t="n"/>
      <c r="G37" s="17">
        <f>IF(D37=0,"",ROUND(E37/D37*100,1)&amp;"%")</f>
        <v/>
      </c>
      <c r="H37" s="17" t="n"/>
      <c r="I37" s="17" t="n"/>
      <c r="J37" s="17" t="n"/>
    </row>
    <row r="38">
      <c r="A38" s="17" t="n"/>
      <c r="B38" s="17" t="n"/>
      <c r="C38" s="17" t="n"/>
      <c r="D38" s="17" t="n"/>
      <c r="E38" s="17" t="n"/>
      <c r="F38" s="17" t="n"/>
      <c r="G38" s="17">
        <f>IF(D38=0,"",ROUND(E38/D38*100,1)&amp;"%")</f>
        <v/>
      </c>
      <c r="H38" s="17" t="n"/>
      <c r="I38" s="17" t="n"/>
      <c r="J38" s="17" t="n"/>
    </row>
    <row r="39">
      <c r="A39" s="17" t="n"/>
      <c r="B39" s="17" t="n"/>
      <c r="C39" s="17" t="n"/>
      <c r="D39" s="17" t="n"/>
      <c r="E39" s="17" t="n"/>
      <c r="F39" s="17" t="n"/>
      <c r="G39" s="17">
        <f>IF(D39=0,"",ROUND(E39/D39*100,1)&amp;"%")</f>
        <v/>
      </c>
      <c r="H39" s="17" t="n"/>
      <c r="I39" s="17" t="n"/>
      <c r="J39" s="17" t="n"/>
    </row>
    <row r="40">
      <c r="A40" s="17" t="n"/>
      <c r="B40" s="17" t="n"/>
      <c r="C40" s="17" t="n"/>
      <c r="D40" s="17" t="n"/>
      <c r="E40" s="17" t="n"/>
      <c r="F40" s="17" t="n"/>
      <c r="G40" s="17">
        <f>IF(D40=0,"",ROUND(E40/D40*100,1)&amp;"%")</f>
        <v/>
      </c>
      <c r="H40" s="17" t="n"/>
      <c r="I40" s="17" t="n"/>
      <c r="J40" s="17" t="n"/>
    </row>
    <row r="41">
      <c r="A41" s="17" t="n"/>
      <c r="B41" s="17" t="n"/>
      <c r="C41" s="17" t="n"/>
      <c r="D41" s="17" t="n"/>
      <c r="E41" s="17" t="n"/>
      <c r="F41" s="17" t="n"/>
      <c r="G41" s="17">
        <f>IF(D41=0,"",ROUND(E41/D41*100,1)&amp;"%")</f>
        <v/>
      </c>
      <c r="H41" s="17" t="n"/>
      <c r="I41" s="17" t="n"/>
      <c r="J41" s="17" t="n"/>
    </row>
    <row r="42">
      <c r="A42" s="17" t="n"/>
      <c r="B42" s="17" t="n"/>
      <c r="C42" s="17" t="n"/>
      <c r="D42" s="17" t="n"/>
      <c r="E42" s="17" t="n"/>
      <c r="F42" s="17" t="n"/>
      <c r="G42" s="17">
        <f>IF(D42=0,"",ROUND(E42/D42*100,1)&amp;"%")</f>
        <v/>
      </c>
      <c r="H42" s="17" t="n"/>
      <c r="I42" s="17" t="n"/>
      <c r="J42" s="17" t="n"/>
    </row>
    <row r="43">
      <c r="A43" s="17" t="n"/>
      <c r="B43" s="17" t="n"/>
      <c r="C43" s="17" t="n"/>
      <c r="D43" s="17" t="n"/>
      <c r="E43" s="17" t="n"/>
      <c r="F43" s="17" t="n"/>
      <c r="G43" s="17">
        <f>IF(D43=0,"",ROUND(E43/D43*100,1)&amp;"%")</f>
        <v/>
      </c>
      <c r="H43" s="17" t="n"/>
      <c r="I43" s="17" t="n"/>
      <c r="J43" s="17" t="n"/>
    </row>
    <row r="44">
      <c r="A44" s="17" t="n"/>
      <c r="B44" s="17" t="n"/>
      <c r="C44" s="17" t="n"/>
      <c r="D44" s="17" t="n"/>
      <c r="E44" s="17" t="n"/>
      <c r="F44" s="17" t="n"/>
      <c r="G44" s="17">
        <f>IF(D44=0,"",ROUND(E44/D44*100,1)&amp;"%")</f>
        <v/>
      </c>
      <c r="H44" s="17" t="n"/>
      <c r="I44" s="17" t="n"/>
      <c r="J44" s="17" t="n"/>
    </row>
    <row r="45">
      <c r="A45" s="17" t="n"/>
      <c r="B45" s="17" t="n"/>
      <c r="C45" s="17" t="n"/>
      <c r="D45" s="17" t="n"/>
      <c r="E45" s="17" t="n"/>
      <c r="F45" s="17" t="n"/>
      <c r="G45" s="17">
        <f>IF(D45=0,"",ROUND(E45/D45*100,1)&amp;"%")</f>
        <v/>
      </c>
      <c r="H45" s="17" t="n"/>
      <c r="I45" s="17" t="n"/>
      <c r="J45" s="17" t="n"/>
    </row>
    <row r="46">
      <c r="A46" s="17" t="n"/>
      <c r="B46" s="17" t="n"/>
      <c r="C46" s="17" t="n"/>
      <c r="D46" s="17" t="n"/>
      <c r="E46" s="17" t="n"/>
      <c r="F46" s="17" t="n"/>
      <c r="G46" s="17">
        <f>IF(D46=0,"",ROUND(E46/D46*100,1)&amp;"%")</f>
        <v/>
      </c>
      <c r="H46" s="17" t="n"/>
      <c r="I46" s="17" t="n"/>
      <c r="J46" s="17" t="n"/>
    </row>
    <row r="47">
      <c r="A47" s="17" t="n"/>
      <c r="B47" s="17" t="n"/>
      <c r="C47" s="17" t="n"/>
      <c r="D47" s="17" t="n"/>
      <c r="E47" s="17" t="n"/>
      <c r="F47" s="17" t="n"/>
      <c r="G47" s="17">
        <f>IF(D47=0,"",ROUND(E47/D47*100,1)&amp;"%")</f>
        <v/>
      </c>
      <c r="H47" s="17" t="n"/>
      <c r="I47" s="17" t="n"/>
      <c r="J47" s="17" t="n"/>
    </row>
    <row r="48">
      <c r="A48" s="17" t="n"/>
      <c r="B48" s="17" t="n"/>
      <c r="C48" s="17" t="n"/>
      <c r="D48" s="17" t="n"/>
      <c r="E48" s="17" t="n"/>
      <c r="F48" s="17" t="n"/>
      <c r="G48" s="17">
        <f>IF(D48=0,"",ROUND(E48/D48*100,1)&amp;"%")</f>
        <v/>
      </c>
      <c r="H48" s="17" t="n"/>
      <c r="I48" s="17" t="n"/>
      <c r="J48" s="17" t="n"/>
    </row>
    <row r="49">
      <c r="A49" s="17" t="n"/>
      <c r="B49" s="17" t="n"/>
      <c r="C49" s="17" t="n"/>
      <c r="D49" s="17" t="n"/>
      <c r="E49" s="17" t="n"/>
      <c r="F49" s="17" t="n"/>
      <c r="G49" s="17">
        <f>IF(D49=0,"",ROUND(E49/D49*100,1)&amp;"%")</f>
        <v/>
      </c>
      <c r="H49" s="17" t="n"/>
      <c r="I49" s="17" t="n"/>
      <c r="J49" s="17" t="n"/>
    </row>
    <row r="50">
      <c r="A50" s="17" t="n"/>
      <c r="B50" s="17" t="n"/>
      <c r="C50" s="17" t="n"/>
      <c r="D50" s="17" t="n"/>
      <c r="E50" s="17" t="n"/>
      <c r="F50" s="17" t="n"/>
      <c r="G50" s="17">
        <f>IF(D50=0,"",ROUND(E50/D50*100,1)&amp;"%")</f>
        <v/>
      </c>
      <c r="H50" s="17" t="n"/>
      <c r="I50" s="17" t="n"/>
      <c r="J50" s="17" t="n"/>
    </row>
    <row r="51">
      <c r="A51" s="17" t="n"/>
      <c r="B51" s="17" t="n"/>
      <c r="C51" s="17" t="n"/>
      <c r="D51" s="17" t="n"/>
      <c r="E51" s="17" t="n"/>
      <c r="F51" s="17" t="n"/>
      <c r="G51" s="17">
        <f>IF(D51=0,"",ROUND(E51/D51*100,1)&amp;"%")</f>
        <v/>
      </c>
      <c r="H51" s="17" t="n"/>
      <c r="I51" s="17" t="n"/>
      <c r="J51" s="17" t="n"/>
    </row>
    <row r="52">
      <c r="A52" s="17" t="n"/>
      <c r="B52" s="17" t="n"/>
      <c r="C52" s="17" t="n"/>
      <c r="D52" s="17" t="n"/>
      <c r="E52" s="17" t="n"/>
      <c r="F52" s="17" t="n"/>
      <c r="G52" s="17">
        <f>IF(D52=0,"",ROUND(E52/D52*100,1)&amp;"%")</f>
        <v/>
      </c>
      <c r="H52" s="17" t="n"/>
      <c r="I52" s="17" t="n"/>
      <c r="J52" s="17" t="n"/>
    </row>
    <row r="53">
      <c r="A53" s="17" t="n"/>
      <c r="B53" s="17" t="n"/>
      <c r="C53" s="17" t="n"/>
      <c r="D53" s="17" t="n"/>
      <c r="E53" s="17" t="n"/>
      <c r="F53" s="17" t="n"/>
      <c r="G53" s="17">
        <f>IF(D53=0,"",ROUND(E53/D53*100,1)&amp;"%")</f>
        <v/>
      </c>
      <c r="H53" s="17" t="n"/>
      <c r="I53" s="17" t="n"/>
      <c r="J53" s="17" t="n"/>
    </row>
    <row r="54">
      <c r="A54" s="17" t="n"/>
      <c r="B54" s="17" t="n"/>
      <c r="C54" s="17" t="n"/>
      <c r="D54" s="17" t="n"/>
      <c r="E54" s="17" t="n"/>
      <c r="F54" s="17" t="n"/>
      <c r="G54" s="17">
        <f>IF(D54=0,"",ROUND(E54/D54*100,1)&amp;"%")</f>
        <v/>
      </c>
      <c r="H54" s="17" t="n"/>
      <c r="I54" s="17" t="n"/>
      <c r="J54" s="17" t="n"/>
    </row>
  </sheetData>
  <mergeCells count="1">
    <mergeCell ref="A1:J1"/>
  </mergeCells>
  <dataValidations count="1">
    <dataValidation sqref="B4 B5 B6 B7 B8 B9 B10 B11 B12 B13 B14 B15 B16 B17 B18 B19 B20 B21 B22 B23 B24 B25 B26 B27 B28 B29 B30 B31 B32 B33 B34 B35 B36 B37 B38 B39 B40 B41 B42 B43 B44 B45 B46 B47 B48 B49 B50 B51 B52 B53 B54" showDropDown="0" showInputMessage="0" showErrorMessage="0" allowBlank="1" type="list">
      <formula1>"Scheduled Monthly,Random Spot Check,Post-Incident,Annual Comprehensive"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20" customWidth="1" min="3" max="3"/>
    <col width="18" customWidth="1" min="4" max="4"/>
    <col width="18" customWidth="1" min="5" max="5"/>
    <col width="18" customWidth="1" min="6" max="6"/>
    <col width="18" customWidth="1" min="7" max="7"/>
    <col width="18" customWidth="1" min="8" max="8"/>
    <col width="20" customWidth="1" min="9" max="9"/>
    <col width="15" customWidth="1" min="10" max="10"/>
    <col width="40" customWidth="1" min="11" max="11"/>
  </cols>
  <sheetData>
    <row r="1" ht="35" customHeight="1">
      <c r="A1" s="11" t="inlineStr">
        <is>
          <t>WORKSPACE INFRASTRUCTURE ASSESSMENT
Assess compliance infrastructure by workspace area</t>
        </is>
      </c>
    </row>
    <row r="2">
      <c r="A2" s="12" t="inlineStr">
        <is>
          <t>ISO/IEC 27001:2022 - Control A.7.7: Clear Desk and Clear Screen</t>
        </is>
      </c>
    </row>
    <row r="3">
      <c r="A3" s="13" t="inlineStr">
        <is>
          <t>Area ID</t>
        </is>
      </c>
      <c r="B3" s="13" t="inlineStr">
        <is>
          <t>Location</t>
        </is>
      </c>
      <c r="C3" s="13" t="inlineStr">
        <is>
          <t>Workspace Type</t>
        </is>
      </c>
      <c r="D3" s="13" t="inlineStr">
        <is>
          <t>Workstation Count</t>
        </is>
      </c>
      <c r="E3" s="13" t="inlineStr">
        <is>
          <t>Lockable Storage</t>
        </is>
      </c>
      <c r="F3" s="13" t="inlineStr">
        <is>
          <t>Shredder Access</t>
        </is>
      </c>
      <c r="G3" s="13" t="inlineStr">
        <is>
          <t>Confidential Bins</t>
        </is>
      </c>
      <c r="H3" s="13" t="inlineStr">
        <is>
          <t>Privacy Screens</t>
        </is>
      </c>
      <c r="I3" s="13" t="inlineStr">
        <is>
          <t>Avg Audit Compliance</t>
        </is>
      </c>
      <c r="J3" s="13" t="inlineStr">
        <is>
          <t>Status</t>
        </is>
      </c>
      <c r="K3" s="13" t="inlineStr">
        <is>
          <t>Notes</t>
        </is>
      </c>
    </row>
    <row r="4">
      <c r="A4" s="15" t="inlineStr">
        <is>
          <t>Sample — delete before use</t>
        </is>
      </c>
      <c r="B4" s="16" t="n"/>
      <c r="C4" s="16" t="n"/>
      <c r="D4" s="16" t="n"/>
      <c r="E4" s="16" t="n"/>
      <c r="F4" s="16" t="n"/>
      <c r="G4" s="16" t="n"/>
      <c r="H4" s="16" t="n"/>
      <c r="I4" s="16" t="n"/>
      <c r="J4" s="16" t="n"/>
      <c r="K4" s="16" t="n"/>
    </row>
    <row r="5">
      <c r="A5" s="17" t="n"/>
      <c r="B5" s="17" t="n"/>
      <c r="C5" s="17" t="n"/>
      <c r="D5" s="17" t="n"/>
      <c r="E5" s="17" t="n"/>
      <c r="F5" s="17" t="n"/>
      <c r="G5" s="17" t="n"/>
      <c r="H5" s="17" t="n"/>
      <c r="I5" s="17" t="n"/>
      <c r="J5" s="17" t="n"/>
      <c r="K5" s="17" t="n"/>
    </row>
    <row r="6">
      <c r="A6" s="17" t="n"/>
      <c r="B6" s="17" t="n"/>
      <c r="C6" s="17" t="n"/>
      <c r="D6" s="17" t="n"/>
      <c r="E6" s="17" t="n"/>
      <c r="F6" s="17" t="n"/>
      <c r="G6" s="17" t="n"/>
      <c r="H6" s="17" t="n"/>
      <c r="I6" s="17" t="n"/>
      <c r="J6" s="17" t="n"/>
      <c r="K6" s="17" t="n"/>
    </row>
    <row r="7">
      <c r="A7" s="17" t="n"/>
      <c r="B7" s="17" t="n"/>
      <c r="C7" s="17" t="n"/>
      <c r="D7" s="17" t="n"/>
      <c r="E7" s="17" t="n"/>
      <c r="F7" s="17" t="n"/>
      <c r="G7" s="17" t="n"/>
      <c r="H7" s="17" t="n"/>
      <c r="I7" s="17" t="n"/>
      <c r="J7" s="17" t="n"/>
      <c r="K7" s="17" t="n"/>
    </row>
    <row r="8">
      <c r="A8" s="17" t="n"/>
      <c r="B8" s="17" t="n"/>
      <c r="C8" s="17" t="n"/>
      <c r="D8" s="17" t="n"/>
      <c r="E8" s="17" t="n"/>
      <c r="F8" s="17" t="n"/>
      <c r="G8" s="17" t="n"/>
      <c r="H8" s="17" t="n"/>
      <c r="I8" s="17" t="n"/>
      <c r="J8" s="17" t="n"/>
      <c r="K8" s="17" t="n"/>
    </row>
    <row r="9">
      <c r="A9" s="17" t="n"/>
      <c r="B9" s="17" t="n"/>
      <c r="C9" s="17" t="n"/>
      <c r="D9" s="17" t="n"/>
      <c r="E9" s="17" t="n"/>
      <c r="F9" s="17" t="n"/>
      <c r="G9" s="17" t="n"/>
      <c r="H9" s="17" t="n"/>
      <c r="I9" s="17" t="n"/>
      <c r="J9" s="17" t="n"/>
      <c r="K9" s="17" t="n"/>
    </row>
    <row r="10">
      <c r="A10" s="17" t="n"/>
      <c r="B10" s="17" t="n"/>
      <c r="C10" s="17" t="n"/>
      <c r="D10" s="17" t="n"/>
      <c r="E10" s="17" t="n"/>
      <c r="F10" s="17" t="n"/>
      <c r="G10" s="17" t="n"/>
      <c r="H10" s="17" t="n"/>
      <c r="I10" s="17" t="n"/>
      <c r="J10" s="17" t="n"/>
      <c r="K10" s="17" t="n"/>
    </row>
    <row r="11">
      <c r="A11" s="17" t="n"/>
      <c r="B11" s="17" t="n"/>
      <c r="C11" s="17" t="n"/>
      <c r="D11" s="17" t="n"/>
      <c r="E11" s="17" t="n"/>
      <c r="F11" s="17" t="n"/>
      <c r="G11" s="17" t="n"/>
      <c r="H11" s="17" t="n"/>
      <c r="I11" s="17" t="n"/>
      <c r="J11" s="17" t="n"/>
      <c r="K11" s="17" t="n"/>
    </row>
    <row r="12">
      <c r="A12" s="17" t="n"/>
      <c r="B12" s="17" t="n"/>
      <c r="C12" s="17" t="n"/>
      <c r="D12" s="17" t="n"/>
      <c r="E12" s="17" t="n"/>
      <c r="F12" s="17" t="n"/>
      <c r="G12" s="17" t="n"/>
      <c r="H12" s="17" t="n"/>
      <c r="I12" s="17" t="n"/>
      <c r="J12" s="17" t="n"/>
      <c r="K12" s="17" t="n"/>
    </row>
    <row r="13">
      <c r="A13" s="17" t="n"/>
      <c r="B13" s="17" t="n"/>
      <c r="C13" s="17" t="n"/>
      <c r="D13" s="17" t="n"/>
      <c r="E13" s="17" t="n"/>
      <c r="F13" s="17" t="n"/>
      <c r="G13" s="17" t="n"/>
      <c r="H13" s="17" t="n"/>
      <c r="I13" s="17" t="n"/>
      <c r="J13" s="17" t="n"/>
      <c r="K13" s="17" t="n"/>
    </row>
    <row r="14">
      <c r="A14" s="17" t="n"/>
      <c r="B14" s="17" t="n"/>
      <c r="C14" s="17" t="n"/>
      <c r="D14" s="17" t="n"/>
      <c r="E14" s="17" t="n"/>
      <c r="F14" s="17" t="n"/>
      <c r="G14" s="17" t="n"/>
      <c r="H14" s="17" t="n"/>
      <c r="I14" s="17" t="n"/>
      <c r="J14" s="17" t="n"/>
      <c r="K14" s="17" t="n"/>
    </row>
    <row r="15">
      <c r="A15" s="17" t="n"/>
      <c r="B15" s="17" t="n"/>
      <c r="C15" s="17" t="n"/>
      <c r="D15" s="17" t="n"/>
      <c r="E15" s="17" t="n"/>
      <c r="F15" s="17" t="n"/>
      <c r="G15" s="17" t="n"/>
      <c r="H15" s="17" t="n"/>
      <c r="I15" s="17" t="n"/>
      <c r="J15" s="17" t="n"/>
      <c r="K15" s="17" t="n"/>
    </row>
    <row r="16">
      <c r="A16" s="17" t="n"/>
      <c r="B16" s="17" t="n"/>
      <c r="C16" s="17" t="n"/>
      <c r="D16" s="17" t="n"/>
      <c r="E16" s="17" t="n"/>
      <c r="F16" s="17" t="n"/>
      <c r="G16" s="17" t="n"/>
      <c r="H16" s="17" t="n"/>
      <c r="I16" s="17" t="n"/>
      <c r="J16" s="17" t="n"/>
      <c r="K16" s="17" t="n"/>
    </row>
    <row r="17">
      <c r="A17" s="17" t="n"/>
      <c r="B17" s="17" t="n"/>
      <c r="C17" s="17" t="n"/>
      <c r="D17" s="17" t="n"/>
      <c r="E17" s="17" t="n"/>
      <c r="F17" s="17" t="n"/>
      <c r="G17" s="17" t="n"/>
      <c r="H17" s="17" t="n"/>
      <c r="I17" s="17" t="n"/>
      <c r="J17" s="17" t="n"/>
      <c r="K17" s="17" t="n"/>
    </row>
    <row r="18">
      <c r="A18" s="17" t="n"/>
      <c r="B18" s="17" t="n"/>
      <c r="C18" s="17" t="n"/>
      <c r="D18" s="17" t="n"/>
      <c r="E18" s="17" t="n"/>
      <c r="F18" s="17" t="n"/>
      <c r="G18" s="17" t="n"/>
      <c r="H18" s="17" t="n"/>
      <c r="I18" s="17" t="n"/>
      <c r="J18" s="17" t="n"/>
      <c r="K18" s="17" t="n"/>
    </row>
    <row r="19">
      <c r="A19" s="17" t="n"/>
      <c r="B19" s="17" t="n"/>
      <c r="C19" s="17" t="n"/>
      <c r="D19" s="17" t="n"/>
      <c r="E19" s="17" t="n"/>
      <c r="F19" s="17" t="n"/>
      <c r="G19" s="17" t="n"/>
      <c r="H19" s="17" t="n"/>
      <c r="I19" s="17" t="n"/>
      <c r="J19" s="17" t="n"/>
      <c r="K19" s="17" t="n"/>
    </row>
    <row r="20">
      <c r="A20" s="17" t="n"/>
      <c r="B20" s="17" t="n"/>
      <c r="C20" s="17" t="n"/>
      <c r="D20" s="17" t="n"/>
      <c r="E20" s="17" t="n"/>
      <c r="F20" s="17" t="n"/>
      <c r="G20" s="17" t="n"/>
      <c r="H20" s="17" t="n"/>
      <c r="I20" s="17" t="n"/>
      <c r="J20" s="17" t="n"/>
      <c r="K20" s="17" t="n"/>
    </row>
    <row r="21">
      <c r="A21" s="17" t="n"/>
      <c r="B21" s="17" t="n"/>
      <c r="C21" s="17" t="n"/>
      <c r="D21" s="17" t="n"/>
      <c r="E21" s="17" t="n"/>
      <c r="F21" s="17" t="n"/>
      <c r="G21" s="17" t="n"/>
      <c r="H21" s="17" t="n"/>
      <c r="I21" s="17" t="n"/>
      <c r="J21" s="17" t="n"/>
      <c r="K21" s="17" t="n"/>
    </row>
    <row r="22">
      <c r="A22" s="17" t="n"/>
      <c r="B22" s="17" t="n"/>
      <c r="C22" s="17" t="n"/>
      <c r="D22" s="17" t="n"/>
      <c r="E22" s="17" t="n"/>
      <c r="F22" s="17" t="n"/>
      <c r="G22" s="17" t="n"/>
      <c r="H22" s="17" t="n"/>
      <c r="I22" s="17" t="n"/>
      <c r="J22" s="17" t="n"/>
      <c r="K22" s="17" t="n"/>
    </row>
    <row r="23">
      <c r="A23" s="17" t="n"/>
      <c r="B23" s="17" t="n"/>
      <c r="C23" s="17" t="n"/>
      <c r="D23" s="17" t="n"/>
      <c r="E23" s="17" t="n"/>
      <c r="F23" s="17" t="n"/>
      <c r="G23" s="17" t="n"/>
      <c r="H23" s="17" t="n"/>
      <c r="I23" s="17" t="n"/>
      <c r="J23" s="17" t="n"/>
      <c r="K23" s="17" t="n"/>
    </row>
    <row r="24">
      <c r="A24" s="17" t="n"/>
      <c r="B24" s="17" t="n"/>
      <c r="C24" s="17" t="n"/>
      <c r="D24" s="17" t="n"/>
      <c r="E24" s="17" t="n"/>
      <c r="F24" s="17" t="n"/>
      <c r="G24" s="17" t="n"/>
      <c r="H24" s="17" t="n"/>
      <c r="I24" s="17" t="n"/>
      <c r="J24" s="17" t="n"/>
      <c r="K24" s="17" t="n"/>
    </row>
    <row r="25">
      <c r="A25" s="17" t="n"/>
      <c r="B25" s="17" t="n"/>
      <c r="C25" s="17" t="n"/>
      <c r="D25" s="17" t="n"/>
      <c r="E25" s="17" t="n"/>
      <c r="F25" s="17" t="n"/>
      <c r="G25" s="17" t="n"/>
      <c r="H25" s="17" t="n"/>
      <c r="I25" s="17" t="n"/>
      <c r="J25" s="17" t="n"/>
      <c r="K25" s="17" t="n"/>
    </row>
    <row r="26">
      <c r="A26" s="17" t="n"/>
      <c r="B26" s="17" t="n"/>
      <c r="C26" s="17" t="n"/>
      <c r="D26" s="17" t="n"/>
      <c r="E26" s="17" t="n"/>
      <c r="F26" s="17" t="n"/>
      <c r="G26" s="17" t="n"/>
      <c r="H26" s="17" t="n"/>
      <c r="I26" s="17" t="n"/>
      <c r="J26" s="17" t="n"/>
      <c r="K26" s="17" t="n"/>
    </row>
    <row r="27">
      <c r="A27" s="17" t="n"/>
      <c r="B27" s="17" t="n"/>
      <c r="C27" s="17" t="n"/>
      <c r="D27" s="17" t="n"/>
      <c r="E27" s="17" t="n"/>
      <c r="F27" s="17" t="n"/>
      <c r="G27" s="17" t="n"/>
      <c r="H27" s="17" t="n"/>
      <c r="I27" s="17" t="n"/>
      <c r="J27" s="17" t="n"/>
      <c r="K27" s="17" t="n"/>
    </row>
    <row r="28">
      <c r="A28" s="17" t="n"/>
      <c r="B28" s="17" t="n"/>
      <c r="C28" s="17" t="n"/>
      <c r="D28" s="17" t="n"/>
      <c r="E28" s="17" t="n"/>
      <c r="F28" s="17" t="n"/>
      <c r="G28" s="17" t="n"/>
      <c r="H28" s="17" t="n"/>
      <c r="I28" s="17" t="n"/>
      <c r="J28" s="17" t="n"/>
      <c r="K28" s="17" t="n"/>
    </row>
    <row r="29">
      <c r="A29" s="17" t="n"/>
      <c r="B29" s="17" t="n"/>
      <c r="C29" s="17" t="n"/>
      <c r="D29" s="17" t="n"/>
      <c r="E29" s="17" t="n"/>
      <c r="F29" s="17" t="n"/>
      <c r="G29" s="17" t="n"/>
      <c r="H29" s="17" t="n"/>
      <c r="I29" s="17" t="n"/>
      <c r="J29" s="17" t="n"/>
      <c r="K29" s="17" t="n"/>
    </row>
    <row r="30">
      <c r="A30" s="17" t="n"/>
      <c r="B30" s="17" t="n"/>
      <c r="C30" s="17" t="n"/>
      <c r="D30" s="17" t="n"/>
      <c r="E30" s="17" t="n"/>
      <c r="F30" s="17" t="n"/>
      <c r="G30" s="17" t="n"/>
      <c r="H30" s="17" t="n"/>
      <c r="I30" s="17" t="n"/>
      <c r="J30" s="17" t="n"/>
      <c r="K30" s="17" t="n"/>
    </row>
    <row r="31">
      <c r="A31" s="17" t="n"/>
      <c r="B31" s="17" t="n"/>
      <c r="C31" s="17" t="n"/>
      <c r="D31" s="17" t="n"/>
      <c r="E31" s="17" t="n"/>
      <c r="F31" s="17" t="n"/>
      <c r="G31" s="17" t="n"/>
      <c r="H31" s="17" t="n"/>
      <c r="I31" s="17" t="n"/>
      <c r="J31" s="17" t="n"/>
      <c r="K31" s="17" t="n"/>
    </row>
    <row r="32">
      <c r="A32" s="17" t="n"/>
      <c r="B32" s="17" t="n"/>
      <c r="C32" s="17" t="n"/>
      <c r="D32" s="17" t="n"/>
      <c r="E32" s="17" t="n"/>
      <c r="F32" s="17" t="n"/>
      <c r="G32" s="17" t="n"/>
      <c r="H32" s="17" t="n"/>
      <c r="I32" s="17" t="n"/>
      <c r="J32" s="17" t="n"/>
      <c r="K32" s="17" t="n"/>
    </row>
    <row r="33">
      <c r="A33" s="17" t="n"/>
      <c r="B33" s="17" t="n"/>
      <c r="C33" s="17" t="n"/>
      <c r="D33" s="17" t="n"/>
      <c r="E33" s="17" t="n"/>
      <c r="F33" s="17" t="n"/>
      <c r="G33" s="17" t="n"/>
      <c r="H33" s="17" t="n"/>
      <c r="I33" s="17" t="n"/>
      <c r="J33" s="17" t="n"/>
      <c r="K33" s="17" t="n"/>
    </row>
    <row r="34">
      <c r="A34" s="17" t="n"/>
      <c r="B34" s="17" t="n"/>
      <c r="C34" s="17" t="n"/>
      <c r="D34" s="17" t="n"/>
      <c r="E34" s="17" t="n"/>
      <c r="F34" s="17" t="n"/>
      <c r="G34" s="17" t="n"/>
      <c r="H34" s="17" t="n"/>
      <c r="I34" s="17" t="n"/>
      <c r="J34" s="17" t="n"/>
      <c r="K34" s="17" t="n"/>
    </row>
    <row r="35">
      <c r="A35" s="17" t="n"/>
      <c r="B35" s="17" t="n"/>
      <c r="C35" s="17" t="n"/>
      <c r="D35" s="17" t="n"/>
      <c r="E35" s="17" t="n"/>
      <c r="F35" s="17" t="n"/>
      <c r="G35" s="17" t="n"/>
      <c r="H35" s="17" t="n"/>
      <c r="I35" s="17" t="n"/>
      <c r="J35" s="17" t="n"/>
      <c r="K35" s="17" t="n"/>
    </row>
    <row r="36">
      <c r="A36" s="17" t="n"/>
      <c r="B36" s="17" t="n"/>
      <c r="C36" s="17" t="n"/>
      <c r="D36" s="17" t="n"/>
      <c r="E36" s="17" t="n"/>
      <c r="F36" s="17" t="n"/>
      <c r="G36" s="17" t="n"/>
      <c r="H36" s="17" t="n"/>
      <c r="I36" s="17" t="n"/>
      <c r="J36" s="17" t="n"/>
      <c r="K36" s="17" t="n"/>
    </row>
    <row r="37">
      <c r="A37" s="17" t="n"/>
      <c r="B37" s="17" t="n"/>
      <c r="C37" s="17" t="n"/>
      <c r="D37" s="17" t="n"/>
      <c r="E37" s="17" t="n"/>
      <c r="F37" s="17" t="n"/>
      <c r="G37" s="17" t="n"/>
      <c r="H37" s="17" t="n"/>
      <c r="I37" s="17" t="n"/>
      <c r="J37" s="17" t="n"/>
      <c r="K37" s="17" t="n"/>
    </row>
    <row r="38">
      <c r="A38" s="17" t="n"/>
      <c r="B38" s="17" t="n"/>
      <c r="C38" s="17" t="n"/>
      <c r="D38" s="17" t="n"/>
      <c r="E38" s="17" t="n"/>
      <c r="F38" s="17" t="n"/>
      <c r="G38" s="17" t="n"/>
      <c r="H38" s="17" t="n"/>
      <c r="I38" s="17" t="n"/>
      <c r="J38" s="17" t="n"/>
      <c r="K38" s="17" t="n"/>
    </row>
    <row r="39">
      <c r="A39" s="17" t="n"/>
      <c r="B39" s="17" t="n"/>
      <c r="C39" s="17" t="n"/>
      <c r="D39" s="17" t="n"/>
      <c r="E39" s="17" t="n"/>
      <c r="F39" s="17" t="n"/>
      <c r="G39" s="17" t="n"/>
      <c r="H39" s="17" t="n"/>
      <c r="I39" s="17" t="n"/>
      <c r="J39" s="17" t="n"/>
      <c r="K39" s="17" t="n"/>
    </row>
    <row r="40">
      <c r="A40" s="17" t="n"/>
      <c r="B40" s="17" t="n"/>
      <c r="C40" s="17" t="n"/>
      <c r="D40" s="17" t="n"/>
      <c r="E40" s="17" t="n"/>
      <c r="F40" s="17" t="n"/>
      <c r="G40" s="17" t="n"/>
      <c r="H40" s="17" t="n"/>
      <c r="I40" s="17" t="n"/>
      <c r="J40" s="17" t="n"/>
      <c r="K40" s="17" t="n"/>
    </row>
    <row r="41">
      <c r="A41" s="17" t="n"/>
      <c r="B41" s="17" t="n"/>
      <c r="C41" s="17" t="n"/>
      <c r="D41" s="17" t="n"/>
      <c r="E41" s="17" t="n"/>
      <c r="F41" s="17" t="n"/>
      <c r="G41" s="17" t="n"/>
      <c r="H41" s="17" t="n"/>
      <c r="I41" s="17" t="n"/>
      <c r="J41" s="17" t="n"/>
      <c r="K41" s="17" t="n"/>
    </row>
    <row r="42">
      <c r="A42" s="17" t="n"/>
      <c r="B42" s="17" t="n"/>
      <c r="C42" s="17" t="n"/>
      <c r="D42" s="17" t="n"/>
      <c r="E42" s="17" t="n"/>
      <c r="F42" s="17" t="n"/>
      <c r="G42" s="17" t="n"/>
      <c r="H42" s="17" t="n"/>
      <c r="I42" s="17" t="n"/>
      <c r="J42" s="17" t="n"/>
      <c r="K42" s="17" t="n"/>
    </row>
    <row r="43">
      <c r="A43" s="17" t="n"/>
      <c r="B43" s="17" t="n"/>
      <c r="C43" s="17" t="n"/>
      <c r="D43" s="17" t="n"/>
      <c r="E43" s="17" t="n"/>
      <c r="F43" s="17" t="n"/>
      <c r="G43" s="17" t="n"/>
      <c r="H43" s="17" t="n"/>
      <c r="I43" s="17" t="n"/>
      <c r="J43" s="17" t="n"/>
      <c r="K43" s="17" t="n"/>
    </row>
    <row r="44">
      <c r="A44" s="17" t="n"/>
      <c r="B44" s="17" t="n"/>
      <c r="C44" s="17" t="n"/>
      <c r="D44" s="17" t="n"/>
      <c r="E44" s="17" t="n"/>
      <c r="F44" s="17" t="n"/>
      <c r="G44" s="17" t="n"/>
      <c r="H44" s="17" t="n"/>
      <c r="I44" s="17" t="n"/>
      <c r="J44" s="17" t="n"/>
      <c r="K44" s="17" t="n"/>
    </row>
    <row r="45">
      <c r="A45" s="17" t="n"/>
      <c r="B45" s="17" t="n"/>
      <c r="C45" s="17" t="n"/>
      <c r="D45" s="17" t="n"/>
      <c r="E45" s="17" t="n"/>
      <c r="F45" s="17" t="n"/>
      <c r="G45" s="17" t="n"/>
      <c r="H45" s="17" t="n"/>
      <c r="I45" s="17" t="n"/>
      <c r="J45" s="17" t="n"/>
      <c r="K45" s="17" t="n"/>
    </row>
    <row r="46">
      <c r="A46" s="17" t="n"/>
      <c r="B46" s="17" t="n"/>
      <c r="C46" s="17" t="n"/>
      <c r="D46" s="17" t="n"/>
      <c r="E46" s="17" t="n"/>
      <c r="F46" s="17" t="n"/>
      <c r="G46" s="17" t="n"/>
      <c r="H46" s="17" t="n"/>
      <c r="I46" s="17" t="n"/>
      <c r="J46" s="17" t="n"/>
      <c r="K46" s="17" t="n"/>
    </row>
    <row r="47">
      <c r="A47" s="17" t="n"/>
      <c r="B47" s="17" t="n"/>
      <c r="C47" s="17" t="n"/>
      <c r="D47" s="17" t="n"/>
      <c r="E47" s="17" t="n"/>
      <c r="F47" s="17" t="n"/>
      <c r="G47" s="17" t="n"/>
      <c r="H47" s="17" t="n"/>
      <c r="I47" s="17" t="n"/>
      <c r="J47" s="17" t="n"/>
      <c r="K47" s="17" t="n"/>
    </row>
    <row r="48">
      <c r="A48" s="17" t="n"/>
      <c r="B48" s="17" t="n"/>
      <c r="C48" s="17" t="n"/>
      <c r="D48" s="17" t="n"/>
      <c r="E48" s="17" t="n"/>
      <c r="F48" s="17" t="n"/>
      <c r="G48" s="17" t="n"/>
      <c r="H48" s="17" t="n"/>
      <c r="I48" s="17" t="n"/>
      <c r="J48" s="17" t="n"/>
      <c r="K48" s="17" t="n"/>
    </row>
    <row r="49">
      <c r="A49" s="17" t="n"/>
      <c r="B49" s="17" t="n"/>
      <c r="C49" s="17" t="n"/>
      <c r="D49" s="17" t="n"/>
      <c r="E49" s="17" t="n"/>
      <c r="F49" s="17" t="n"/>
      <c r="G49" s="17" t="n"/>
      <c r="H49" s="17" t="n"/>
      <c r="I49" s="17" t="n"/>
      <c r="J49" s="17" t="n"/>
      <c r="K49" s="17" t="n"/>
    </row>
    <row r="50">
      <c r="A50" s="17" t="n"/>
      <c r="B50" s="17" t="n"/>
      <c r="C50" s="17" t="n"/>
      <c r="D50" s="17" t="n"/>
      <c r="E50" s="17" t="n"/>
      <c r="F50" s="17" t="n"/>
      <c r="G50" s="17" t="n"/>
      <c r="H50" s="17" t="n"/>
      <c r="I50" s="17" t="n"/>
      <c r="J50" s="17" t="n"/>
      <c r="K50" s="17" t="n"/>
    </row>
    <row r="51">
      <c r="A51" s="17" t="n"/>
      <c r="B51" s="17" t="n"/>
      <c r="C51" s="17" t="n"/>
      <c r="D51" s="17" t="n"/>
      <c r="E51" s="17" t="n"/>
      <c r="F51" s="17" t="n"/>
      <c r="G51" s="17" t="n"/>
      <c r="H51" s="17" t="n"/>
      <c r="I51" s="17" t="n"/>
      <c r="J51" s="17" t="n"/>
      <c r="K51" s="17" t="n"/>
    </row>
    <row r="52">
      <c r="A52" s="17" t="n"/>
      <c r="B52" s="17" t="n"/>
      <c r="C52" s="17" t="n"/>
      <c r="D52" s="17" t="n"/>
      <c r="E52" s="17" t="n"/>
      <c r="F52" s="17" t="n"/>
      <c r="G52" s="17" t="n"/>
      <c r="H52" s="17" t="n"/>
      <c r="I52" s="17" t="n"/>
      <c r="J52" s="17" t="n"/>
      <c r="K52" s="17" t="n"/>
    </row>
    <row r="53">
      <c r="A53" s="17" t="n"/>
      <c r="B53" s="17" t="n"/>
      <c r="C53" s="17" t="n"/>
      <c r="D53" s="17" t="n"/>
      <c r="E53" s="17" t="n"/>
      <c r="F53" s="17" t="n"/>
      <c r="G53" s="17" t="n"/>
      <c r="H53" s="17" t="n"/>
      <c r="I53" s="17" t="n"/>
      <c r="J53" s="17" t="n"/>
      <c r="K53" s="17" t="n"/>
    </row>
    <row r="54">
      <c r="A54" s="17" t="n"/>
      <c r="B54" s="17" t="n"/>
      <c r="C54" s="17" t="n"/>
      <c r="D54" s="17" t="n"/>
      <c r="E54" s="17" t="n"/>
      <c r="F54" s="17" t="n"/>
      <c r="G54" s="17" t="n"/>
      <c r="H54" s="17" t="n"/>
      <c r="I54" s="17" t="n"/>
      <c r="J54" s="17" t="n"/>
      <c r="K54" s="17" t="n"/>
    </row>
  </sheetData>
  <mergeCells count="1">
    <mergeCell ref="A1:K1"/>
  </mergeCells>
  <dataValidations count="6">
    <dataValidation sqref="C4 C5 C6 C7 C8 C9 C10 C11 C12 C13 C14 C15 C16 C17 C18 C19 C20 C21 C22 C23 C24 C25 C26 C27 C28 C29 C30 C31 C32 C33 C34 C35 C36 C37 C38 C39 C40 C41 C42 C43 C44 C45 C46 C47 C48 C49 C50 C51 C52 C53 C54" showDropDown="0" showInputMessage="0" showErrorMessage="0" allowBlank="1" type="list">
      <formula1>"Open Plan Office,Private Office,Meeting Room,Shared Space,Home Office,Reception"</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"Yes - All,Yes - Partial,No"</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1" type="list">
      <formula1>"Yes - On Floor,Yes - Central,No"</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1" type="list">
      <formula1>"Yes,No"</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"Yes - All,Yes - Partial,No,N/A"</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1" type="list">
      <formula1>"✅ Compliant,⚠ Partial,❌ Non-Compliant,N/A"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8" t="inlineStr">
        <is>
          <t>EVIDENCE REGISTER</t>
        </is>
      </c>
    </row>
    <row r="2">
      <c r="A2" s="19" t="inlineStr">
        <is>
          <t>List all evidence files/documents referenced in this assessment (audit traceability).</t>
        </is>
      </c>
    </row>
    <row r="4">
      <c r="A4" s="20" t="inlineStr">
        <is>
          <t>Evidence ID</t>
        </is>
      </c>
      <c r="B4" s="20" t="inlineStr">
        <is>
          <t>Assessment Area</t>
        </is>
      </c>
      <c r="C4" s="20" t="inlineStr">
        <is>
          <t>Evidence Type</t>
        </is>
      </c>
      <c r="D4" s="20" t="inlineStr">
        <is>
          <t>Description</t>
        </is>
      </c>
      <c r="E4" s="20" t="inlineStr">
        <is>
          <t>Location/Path</t>
        </is>
      </c>
      <c r="F4" s="20" t="inlineStr">
        <is>
          <t>Date Collected</t>
        </is>
      </c>
      <c r="G4" s="20" t="inlineStr">
        <is>
          <t>Collected By</t>
        </is>
      </c>
      <c r="H4" s="20" t="inlineStr">
        <is>
          <t>Verification Status</t>
        </is>
      </c>
    </row>
    <row r="5">
      <c r="A5" s="21" t="inlineStr">
        <is>
          <t>EV-001</t>
        </is>
      </c>
      <c r="B5" s="22" t="n"/>
      <c r="C5" s="22" t="n"/>
      <c r="D5" s="22" t="n"/>
      <c r="E5" s="22" t="n"/>
      <c r="F5" s="22" t="n"/>
      <c r="G5" s="22" t="n"/>
      <c r="H5" s="22" t="n"/>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row r="63">
      <c r="A63" s="14" t="n"/>
      <c r="B63" s="14" t="n"/>
      <c r="C63" s="14" t="n"/>
      <c r="D63" s="14" t="n"/>
      <c r="E63" s="14" t="n"/>
      <c r="F63" s="14" t="n"/>
      <c r="G63" s="14" t="n"/>
      <c r="H63" s="14" t="n"/>
    </row>
    <row r="64">
      <c r="A64" s="14" t="n"/>
      <c r="B64" s="14" t="n"/>
      <c r="C64" s="14" t="n"/>
      <c r="D64" s="14" t="n"/>
      <c r="E64" s="14" t="n"/>
      <c r="F64" s="14" t="n"/>
      <c r="G64" s="14" t="n"/>
      <c r="H64" s="14" t="n"/>
    </row>
    <row r="65">
      <c r="A65" s="14" t="n"/>
      <c r="B65" s="14" t="n"/>
      <c r="C65" s="14" t="n"/>
      <c r="D65" s="14" t="n"/>
      <c r="E65" s="14" t="n"/>
      <c r="F65" s="14" t="n"/>
      <c r="G65" s="14" t="n"/>
      <c r="H65" s="14" t="n"/>
    </row>
    <row r="66">
      <c r="A66" s="14" t="n"/>
      <c r="B66" s="14" t="n"/>
      <c r="C66" s="14" t="n"/>
      <c r="D66" s="14" t="n"/>
      <c r="E66" s="14" t="n"/>
      <c r="F66" s="14" t="n"/>
      <c r="G66" s="14" t="n"/>
      <c r="H66" s="14" t="n"/>
    </row>
    <row r="67">
      <c r="A67" s="14" t="n"/>
      <c r="B67" s="14" t="n"/>
      <c r="C67" s="14" t="n"/>
      <c r="D67" s="14" t="n"/>
      <c r="E67" s="14" t="n"/>
      <c r="F67" s="14" t="n"/>
      <c r="G67" s="14" t="n"/>
      <c r="H67" s="14" t="n"/>
    </row>
    <row r="68">
      <c r="A68" s="14" t="n"/>
      <c r="B68" s="14" t="n"/>
      <c r="C68" s="14" t="n"/>
      <c r="D68" s="14" t="n"/>
      <c r="E68" s="14" t="n"/>
      <c r="F68" s="14" t="n"/>
      <c r="G68" s="14" t="n"/>
      <c r="H68" s="14" t="n"/>
    </row>
    <row r="69">
      <c r="A69" s="14" t="n"/>
      <c r="B69" s="14" t="n"/>
      <c r="C69" s="14" t="n"/>
      <c r="D69" s="14" t="n"/>
      <c r="E69" s="14" t="n"/>
      <c r="F69" s="14" t="n"/>
      <c r="G69" s="14" t="n"/>
      <c r="H69" s="14" t="n"/>
    </row>
    <row r="70">
      <c r="A70" s="14" t="n"/>
      <c r="B70" s="14" t="n"/>
      <c r="C70" s="14" t="n"/>
      <c r="D70" s="14" t="n"/>
      <c r="E70" s="14" t="n"/>
      <c r="F70" s="14" t="n"/>
      <c r="G70" s="14" t="n"/>
      <c r="H70" s="14" t="n"/>
    </row>
    <row r="71">
      <c r="A71" s="14" t="n"/>
      <c r="B71" s="14" t="n"/>
      <c r="C71" s="14" t="n"/>
      <c r="D71" s="14" t="n"/>
      <c r="E71" s="14" t="n"/>
      <c r="F71" s="14" t="n"/>
      <c r="G71" s="14" t="n"/>
      <c r="H71" s="14" t="n"/>
    </row>
    <row r="72">
      <c r="A72" s="14" t="n"/>
      <c r="B72" s="14" t="n"/>
      <c r="C72" s="14" t="n"/>
      <c r="D72" s="14" t="n"/>
      <c r="E72" s="14" t="n"/>
      <c r="F72" s="14" t="n"/>
      <c r="G72" s="14" t="n"/>
      <c r="H72" s="14" t="n"/>
    </row>
    <row r="73">
      <c r="A73" s="14" t="n"/>
      <c r="B73" s="14" t="n"/>
      <c r="C73" s="14" t="n"/>
      <c r="D73" s="14" t="n"/>
      <c r="E73" s="14" t="n"/>
      <c r="F73" s="14" t="n"/>
      <c r="G73" s="14" t="n"/>
      <c r="H73" s="14" t="n"/>
    </row>
    <row r="74">
      <c r="A74" s="14" t="n"/>
      <c r="B74" s="14" t="n"/>
      <c r="C74" s="14" t="n"/>
      <c r="D74" s="14" t="n"/>
      <c r="E74" s="14" t="n"/>
      <c r="F74" s="14" t="n"/>
      <c r="G74" s="14" t="n"/>
      <c r="H74" s="14" t="n"/>
    </row>
    <row r="75">
      <c r="A75" s="14" t="n"/>
      <c r="B75" s="14" t="n"/>
      <c r="C75" s="14" t="n"/>
      <c r="D75" s="14" t="n"/>
      <c r="E75" s="14" t="n"/>
      <c r="F75" s="14" t="n"/>
      <c r="G75" s="14" t="n"/>
      <c r="H75" s="14" t="n"/>
    </row>
    <row r="76">
      <c r="A76" s="14" t="n"/>
      <c r="B76" s="14" t="n"/>
      <c r="C76" s="14" t="n"/>
      <c r="D76" s="14" t="n"/>
      <c r="E76" s="14" t="n"/>
      <c r="F76" s="14" t="n"/>
      <c r="G76" s="14" t="n"/>
      <c r="H76" s="14" t="n"/>
    </row>
    <row r="77">
      <c r="A77" s="14" t="n"/>
      <c r="B77" s="14" t="n"/>
      <c r="C77" s="14" t="n"/>
      <c r="D77" s="14" t="n"/>
      <c r="E77" s="14" t="n"/>
      <c r="F77" s="14" t="n"/>
      <c r="G77" s="14" t="n"/>
      <c r="H77" s="14" t="n"/>
    </row>
    <row r="78">
      <c r="A78" s="14" t="n"/>
      <c r="B78" s="14" t="n"/>
      <c r="C78" s="14" t="n"/>
      <c r="D78" s="14" t="n"/>
      <c r="E78" s="14" t="n"/>
      <c r="F78" s="14" t="n"/>
      <c r="G78" s="14" t="n"/>
      <c r="H78" s="14" t="n"/>
    </row>
    <row r="79">
      <c r="A79" s="14" t="n"/>
      <c r="B79" s="14" t="n"/>
      <c r="C79" s="14" t="n"/>
      <c r="D79" s="14" t="n"/>
      <c r="E79" s="14" t="n"/>
      <c r="F79" s="14" t="n"/>
      <c r="G79" s="14" t="n"/>
      <c r="H79" s="14" t="n"/>
    </row>
    <row r="80">
      <c r="A80" s="14" t="n"/>
      <c r="B80" s="14" t="n"/>
      <c r="C80" s="14" t="n"/>
      <c r="D80" s="14" t="n"/>
      <c r="E80" s="14" t="n"/>
      <c r="F80" s="14" t="n"/>
      <c r="G80" s="14" t="n"/>
      <c r="H80" s="14" t="n"/>
    </row>
    <row r="81">
      <c r="A81" s="14" t="n"/>
      <c r="B81" s="14" t="n"/>
      <c r="C81" s="14" t="n"/>
      <c r="D81" s="14" t="n"/>
      <c r="E81" s="14" t="n"/>
      <c r="F81" s="14" t="n"/>
      <c r="G81" s="14" t="n"/>
      <c r="H81" s="14" t="n"/>
    </row>
    <row r="82">
      <c r="A82" s="14" t="n"/>
      <c r="B82" s="14" t="n"/>
      <c r="C82" s="14" t="n"/>
      <c r="D82" s="14" t="n"/>
      <c r="E82" s="14" t="n"/>
      <c r="F82" s="14" t="n"/>
      <c r="G82" s="14" t="n"/>
      <c r="H82" s="14" t="n"/>
    </row>
    <row r="83">
      <c r="A83" s="14" t="n"/>
      <c r="B83" s="14" t="n"/>
      <c r="C83" s="14" t="n"/>
      <c r="D83" s="14" t="n"/>
      <c r="E83" s="14" t="n"/>
      <c r="F83" s="14" t="n"/>
      <c r="G83" s="14" t="n"/>
      <c r="H83" s="14" t="n"/>
    </row>
    <row r="84">
      <c r="A84" s="14" t="n"/>
      <c r="B84" s="14" t="n"/>
      <c r="C84" s="14" t="n"/>
      <c r="D84" s="14" t="n"/>
      <c r="E84" s="14" t="n"/>
      <c r="F84" s="14" t="n"/>
      <c r="G84" s="14" t="n"/>
      <c r="H84" s="14" t="n"/>
    </row>
    <row r="85">
      <c r="A85" s="14" t="n"/>
      <c r="B85" s="14" t="n"/>
      <c r="C85" s="14" t="n"/>
      <c r="D85" s="14" t="n"/>
      <c r="E85" s="14" t="n"/>
      <c r="F85" s="14" t="n"/>
      <c r="G85" s="14" t="n"/>
      <c r="H85" s="14" t="n"/>
    </row>
    <row r="86">
      <c r="A86" s="14" t="n"/>
      <c r="B86" s="14" t="n"/>
      <c r="C86" s="14" t="n"/>
      <c r="D86" s="14" t="n"/>
      <c r="E86" s="14" t="n"/>
      <c r="F86" s="14" t="n"/>
      <c r="G86" s="14" t="n"/>
      <c r="H86" s="14" t="n"/>
    </row>
    <row r="87">
      <c r="A87" s="14" t="n"/>
      <c r="B87" s="14" t="n"/>
      <c r="C87" s="14" t="n"/>
      <c r="D87" s="14" t="n"/>
      <c r="E87" s="14" t="n"/>
      <c r="F87" s="14" t="n"/>
      <c r="G87" s="14" t="n"/>
      <c r="H87" s="14" t="n"/>
    </row>
    <row r="88">
      <c r="A88" s="14" t="n"/>
      <c r="B88" s="14" t="n"/>
      <c r="C88" s="14" t="n"/>
      <c r="D88" s="14" t="n"/>
      <c r="E88" s="14" t="n"/>
      <c r="F88" s="14" t="n"/>
      <c r="G88" s="14" t="n"/>
      <c r="H88" s="14" t="n"/>
    </row>
    <row r="89">
      <c r="A89" s="14" t="n"/>
      <c r="B89" s="14" t="n"/>
      <c r="C89" s="14" t="n"/>
      <c r="D89" s="14" t="n"/>
      <c r="E89" s="14" t="n"/>
      <c r="F89" s="14" t="n"/>
      <c r="G89" s="14" t="n"/>
      <c r="H89" s="14" t="n"/>
    </row>
    <row r="90">
      <c r="A90" s="14" t="n"/>
      <c r="B90" s="14" t="n"/>
      <c r="C90" s="14" t="n"/>
      <c r="D90" s="14" t="n"/>
      <c r="E90" s="14" t="n"/>
      <c r="F90" s="14" t="n"/>
      <c r="G90" s="14" t="n"/>
      <c r="H90" s="14" t="n"/>
    </row>
    <row r="91">
      <c r="A91" s="14" t="n"/>
      <c r="B91" s="14" t="n"/>
      <c r="C91" s="14" t="n"/>
      <c r="D91" s="14" t="n"/>
      <c r="E91" s="14" t="n"/>
      <c r="F91" s="14" t="n"/>
      <c r="G91" s="14" t="n"/>
      <c r="H91" s="14" t="n"/>
    </row>
    <row r="92">
      <c r="A92" s="14" t="n"/>
      <c r="B92" s="14" t="n"/>
      <c r="C92" s="14" t="n"/>
      <c r="D92" s="14" t="n"/>
      <c r="E92" s="14" t="n"/>
      <c r="F92" s="14" t="n"/>
      <c r="G92" s="14" t="n"/>
      <c r="H92" s="14" t="n"/>
    </row>
    <row r="93">
      <c r="A93" s="14" t="n"/>
      <c r="B93" s="14" t="n"/>
      <c r="C93" s="14" t="n"/>
      <c r="D93" s="14" t="n"/>
      <c r="E93" s="14" t="n"/>
      <c r="F93" s="14" t="n"/>
      <c r="G93" s="14" t="n"/>
      <c r="H93" s="14" t="n"/>
    </row>
    <row r="94">
      <c r="A94" s="14" t="n"/>
      <c r="B94" s="14" t="n"/>
      <c r="C94" s="14" t="n"/>
      <c r="D94" s="14" t="n"/>
      <c r="E94" s="14" t="n"/>
      <c r="F94" s="14" t="n"/>
      <c r="G94" s="14" t="n"/>
      <c r="H94" s="14" t="n"/>
    </row>
    <row r="95">
      <c r="A95" s="14" t="n"/>
      <c r="B95" s="14" t="n"/>
      <c r="C95" s="14" t="n"/>
      <c r="D95" s="14" t="n"/>
      <c r="E95" s="14" t="n"/>
      <c r="F95" s="14" t="n"/>
      <c r="G95" s="14" t="n"/>
      <c r="H95" s="14" t="n"/>
    </row>
    <row r="96">
      <c r="A96" s="14" t="n"/>
      <c r="B96" s="14" t="n"/>
      <c r="C96" s="14" t="n"/>
      <c r="D96" s="14" t="n"/>
      <c r="E96" s="14" t="n"/>
      <c r="F96" s="14" t="n"/>
      <c r="G96" s="14" t="n"/>
      <c r="H96" s="14" t="n"/>
    </row>
    <row r="97">
      <c r="A97" s="14" t="n"/>
      <c r="B97" s="14" t="n"/>
      <c r="C97" s="14" t="n"/>
      <c r="D97" s="14" t="n"/>
      <c r="E97" s="14" t="n"/>
      <c r="F97" s="14" t="n"/>
      <c r="G97" s="14" t="n"/>
      <c r="H97" s="14" t="n"/>
    </row>
    <row r="98">
      <c r="A98" s="14" t="n"/>
      <c r="B98" s="14" t="n"/>
      <c r="C98" s="14" t="n"/>
      <c r="D98" s="14" t="n"/>
      <c r="E98" s="14" t="n"/>
      <c r="F98" s="14" t="n"/>
      <c r="G98" s="14" t="n"/>
      <c r="H98" s="14" t="n"/>
    </row>
    <row r="99">
      <c r="A99" s="14" t="n"/>
      <c r="B99" s="14" t="n"/>
      <c r="C99" s="14" t="n"/>
      <c r="D99" s="14" t="n"/>
      <c r="E99" s="14" t="n"/>
      <c r="F99" s="14" t="n"/>
      <c r="G99" s="14" t="n"/>
      <c r="H99" s="14" t="n"/>
    </row>
    <row r="100">
      <c r="A100" s="14" t="n"/>
      <c r="B100" s="14" t="n"/>
      <c r="C100" s="14" t="n"/>
      <c r="D100" s="14" t="n"/>
      <c r="E100" s="14" t="n"/>
      <c r="F100" s="14" t="n"/>
      <c r="G100" s="14" t="n"/>
      <c r="H100" s="14" t="n"/>
    </row>
    <row r="101">
      <c r="A101" s="14" t="n"/>
      <c r="B101" s="14" t="n"/>
      <c r="C101" s="14" t="n"/>
      <c r="D101" s="14" t="n"/>
      <c r="E101" s="14" t="n"/>
      <c r="F101" s="14" t="n"/>
      <c r="G101" s="14" t="n"/>
      <c r="H101" s="14" t="n"/>
    </row>
    <row r="102">
      <c r="A102" s="14" t="n"/>
      <c r="B102" s="14" t="n"/>
      <c r="C102" s="14" t="n"/>
      <c r="D102" s="14" t="n"/>
      <c r="E102" s="14" t="n"/>
      <c r="F102" s="14" t="n"/>
      <c r="G102" s="14" t="n"/>
      <c r="H102" s="14" t="n"/>
    </row>
    <row r="103">
      <c r="A103" s="14" t="n"/>
      <c r="B103" s="14" t="n"/>
      <c r="C103" s="14" t="n"/>
      <c r="D103" s="14" t="n"/>
      <c r="E103" s="14" t="n"/>
      <c r="F103" s="14" t="n"/>
      <c r="G103" s="14" t="n"/>
      <c r="H103" s="14" t="n"/>
    </row>
    <row r="104">
      <c r="A104" s="14" t="n"/>
      <c r="B104" s="14" t="n"/>
      <c r="C104" s="14" t="n"/>
      <c r="D104" s="14" t="n"/>
      <c r="E104" s="14" t="n"/>
      <c r="F104" s="14" t="n"/>
      <c r="G104" s="14" t="n"/>
      <c r="H104" s="14" t="n"/>
    </row>
    <row r="105">
      <c r="A105" s="14" t="n"/>
      <c r="B105" s="14" t="n"/>
      <c r="C105" s="14" t="n"/>
      <c r="D105" s="14" t="n"/>
      <c r="E105" s="14" t="n"/>
      <c r="F105" s="14" t="n"/>
      <c r="G105" s="14" t="n"/>
      <c r="H105" s="14"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document,Procedure document,Screenshot,Photograph,Audit report,Training record,Configuration file,Other"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showGridLines="0" workbookViewId="0">
      <pane ySplit="3" topLeftCell="A4" activePane="bottomLeft" state="frozen"/>
      <selection pane="bottomLeft" activeCell="A1" sqref="A1"/>
    </sheetView>
  </sheetViews>
  <sheetFormatPr baseColWidth="8" defaultRowHeight="15"/>
  <cols>
    <col width="45" customWidth="1" min="1" max="1"/>
    <col width="20" customWidth="1" min="2" max="2"/>
    <col width="14" customWidth="1" min="3" max="3"/>
    <col width="16" customWidth="1" min="4" max="4"/>
    <col width="18" customWidth="1" min="5" max="5"/>
    <col width="12" customWidth="1" min="6" max="6"/>
    <col width="13" customWidth="1" min="7" max="7"/>
  </cols>
  <sheetData>
    <row r="1" ht="35" customHeight="1">
      <c r="A1" s="18" t="inlineStr">
        <is>
          <t>CLEAR DESK SCREEN COMPLIANCE — SUMMARY DASHBOARD</t>
        </is>
      </c>
      <c r="B1" s="6" t="n"/>
      <c r="C1" s="6" t="n"/>
      <c r="D1" s="6" t="n"/>
      <c r="E1" s="6" t="n"/>
      <c r="F1" s="6" t="n"/>
      <c r="G1" s="6" t="n"/>
    </row>
    <row r="2">
      <c r="A2" s="23" t="inlineStr">
        <is>
          <t>ISO/IEC 27001:2022 — Control A.7.7: Clear Desk and Clear Screen Policy</t>
        </is>
      </c>
    </row>
    <row r="4">
      <c r="A4" s="24" t="inlineStr">
        <is>
          <t>TABLE 1: ASSESSMENT AREA COMPLIANCE OVERVIEW</t>
        </is>
      </c>
      <c r="B4" s="6" t="n"/>
      <c r="C4" s="6" t="n"/>
      <c r="D4" s="6" t="n"/>
      <c r="E4" s="6" t="n"/>
      <c r="F4" s="6" t="n"/>
      <c r="G4" s="6" t="n"/>
    </row>
    <row r="5">
      <c r="A5" s="25" t="inlineStr">
        <is>
          <t>Assessment Area</t>
        </is>
      </c>
      <c r="B5" s="25" t="inlineStr">
        <is>
          <t>Total Items</t>
        </is>
      </c>
      <c r="C5" s="25" t="inlineStr">
        <is>
          <t>Compliant</t>
        </is>
      </c>
      <c r="D5" s="25" t="inlineStr">
        <is>
          <t>Partial</t>
        </is>
      </c>
      <c r="E5" s="25" t="inlineStr">
        <is>
          <t>Non-Compliant</t>
        </is>
      </c>
      <c r="F5" s="25" t="inlineStr">
        <is>
          <t>N/A</t>
        </is>
      </c>
      <c r="G5" s="25" t="inlineStr">
        <is>
          <t>Compliance %</t>
        </is>
      </c>
    </row>
    <row r="6">
      <c r="A6" s="26" t="inlineStr">
        <is>
          <t>Workspace Assessment</t>
        </is>
      </c>
      <c r="B6" s="27">
        <f>COUNTA('Workspace Assessment'!A5:A54)</f>
        <v/>
      </c>
      <c r="C6" s="27">
        <f>COUNTIF('Workspace Assessment'!J5:J54,"✅*")</f>
        <v/>
      </c>
      <c r="D6" s="27">
        <f>COUNTIF('Workspace Assessment'!J5:J54,"⚠*")</f>
        <v/>
      </c>
      <c r="E6" s="27">
        <f>COUNTIF('Workspace Assessment'!J5:J54,"❌*")</f>
        <v/>
      </c>
      <c r="F6" s="27">
        <f>COUNTIF('Workspace Assessment'!J5:J54,"N/A")</f>
        <v/>
      </c>
      <c r="G6" s="28">
        <f>IF((B6-F6)=0,0,C6/(B6-F6))</f>
        <v/>
      </c>
    </row>
    <row r="7">
      <c r="A7" s="26" t="inlineStr">
        <is>
          <t>Requirements Matrix</t>
        </is>
      </c>
      <c r="B7" s="27">
        <f>COUNTA('Requirements Matrix'!A4:A6)</f>
        <v/>
      </c>
      <c r="C7" s="27">
        <f>COUNTIF('Requirements Matrix'!G4:G6,"Implemented")</f>
        <v/>
      </c>
      <c r="D7" s="27">
        <f>COUNTIF('Requirements Matrix'!G4:G6,"Partial")</f>
        <v/>
      </c>
      <c r="E7" s="27">
        <f>COUNTIF('Requirements Matrix'!G4:G6,"Not Implemented")</f>
        <v/>
      </c>
      <c r="F7" s="27" t="n">
        <v>0</v>
      </c>
      <c r="G7" s="28">
        <f>IF((B7-F7)=0,0,C7/(B7-F7))</f>
        <v/>
      </c>
    </row>
    <row r="8">
      <c r="A8" s="29" t="inlineStr">
        <is>
          <t>TOTAL</t>
        </is>
      </c>
      <c r="B8" s="30">
        <f>SUM(B6:B7)</f>
        <v/>
      </c>
      <c r="C8" s="30">
        <f>SUM(C6:C7)</f>
        <v/>
      </c>
      <c r="D8" s="30">
        <f>SUM(D6:D7)</f>
        <v/>
      </c>
      <c r="E8" s="30">
        <f>SUM(E6:E7)</f>
        <v/>
      </c>
      <c r="F8" s="30">
        <f>SUM(F6:F7)</f>
        <v/>
      </c>
      <c r="G8" s="31">
        <f>IF((B8-F8)=0,0,C8/(B8-F8))</f>
        <v/>
      </c>
    </row>
    <row r="10">
      <c r="A10" s="24" t="inlineStr">
        <is>
          <t>TABLE 2: KEY METRICS</t>
        </is>
      </c>
      <c r="B10" s="6" t="n"/>
      <c r="C10" s="6" t="n"/>
      <c r="D10" s="6" t="n"/>
      <c r="E10" s="6" t="n"/>
      <c r="F10" s="6" t="n"/>
      <c r="G10" s="6" t="n"/>
    </row>
    <row r="11">
      <c r="A11" s="32" t="inlineStr">
        <is>
          <t>Metric</t>
        </is>
      </c>
      <c r="B11" s="32" t="inlineStr">
        <is>
          <t>Value</t>
        </is>
      </c>
      <c r="C11" s="32" t="n"/>
      <c r="D11" s="32" t="n"/>
      <c r="E11" s="32" t="n"/>
      <c r="F11" s="32" t="n"/>
      <c r="G11" s="32" t="n"/>
    </row>
    <row r="12">
      <c r="A12" s="26" t="inlineStr">
        <is>
          <t>Requirements Matrix: Not Implemented</t>
        </is>
      </c>
      <c r="B12" s="27">
        <f>COUNTIF('Requirements Matrix'!G4:G6,"Not Implemented")</f>
        <v/>
      </c>
      <c r="C12" s="6" t="n"/>
      <c r="D12" s="6" t="n"/>
      <c r="E12" s="6" t="n"/>
      <c r="F12" s="6" t="n"/>
      <c r="G12" s="6" t="n"/>
    </row>
    <row r="13">
      <c r="A13" s="26" t="inlineStr">
        <is>
          <t>Device Types with Non-Compliant Screen Lock</t>
        </is>
      </c>
      <c r="B13" s="27">
        <f>COUNTIF('Screen Lock Configuration'!E4:E59,"No")</f>
        <v/>
      </c>
      <c r="C13" s="6" t="n"/>
      <c r="D13" s="6" t="n"/>
      <c r="E13" s="6" t="n"/>
      <c r="F13" s="6" t="n"/>
      <c r="G13" s="6" t="n"/>
    </row>
    <row r="14">
      <c r="A14" s="26" t="inlineStr">
        <is>
          <t>Device Types with No Enforcement</t>
        </is>
      </c>
      <c r="B14" s="27">
        <f>COUNTIF('Screen Lock Configuration'!F4:F59,"Not Enforced")</f>
        <v/>
      </c>
      <c r="C14" s="6" t="n"/>
      <c r="D14" s="6" t="n"/>
      <c r="E14" s="6" t="n"/>
      <c r="F14" s="6" t="n"/>
      <c r="G14" s="6" t="n"/>
    </row>
    <row r="15">
      <c r="A15" s="26" t="inlineStr">
        <is>
          <t>Total Desk Audits Conducted</t>
        </is>
      </c>
      <c r="B15" s="27">
        <f>COUNTA('Audit Results'!A5:A54)</f>
        <v/>
      </c>
      <c r="C15" s="6" t="n"/>
      <c r="D15" s="6" t="n"/>
      <c r="E15" s="6" t="n"/>
      <c r="F15" s="6" t="n"/>
      <c r="G15" s="6" t="n"/>
    </row>
    <row r="16">
      <c r="A16" s="26" t="inlineStr">
        <is>
          <t>Open Plan Offices Assessed</t>
        </is>
      </c>
      <c r="B16" s="27">
        <f>COUNTIF('Workspace Assessment'!C5:C54,"Open Plan Office")</f>
        <v/>
      </c>
      <c r="C16" s="6" t="n"/>
      <c r="D16" s="6" t="n"/>
      <c r="E16" s="6" t="n"/>
      <c r="F16" s="6" t="n"/>
      <c r="G16" s="6" t="n"/>
    </row>
    <row r="17">
      <c r="A17" s="26" t="inlineStr">
        <is>
          <t>Workspaces with Full Lockable Storage</t>
        </is>
      </c>
      <c r="B17" s="27">
        <f>COUNTIF('Workspace Assessment'!E5:E54,"Yes - All")</f>
        <v/>
      </c>
      <c r="C17" s="6" t="n"/>
      <c r="D17" s="6" t="n"/>
      <c r="E17" s="6" t="n"/>
      <c r="F17" s="6" t="n"/>
      <c r="G17" s="6" t="n"/>
    </row>
    <row r="18">
      <c r="A18" s="26" t="inlineStr">
        <is>
          <t>Workspaces with Privacy Screens</t>
        </is>
      </c>
      <c r="B18" s="27">
        <f>COUNTIF('Workspace Assessment'!H5:H54,"Yes - All")+COUNTIF('Workspace Assessment'!H5:H54,"Yes - Partial")</f>
        <v/>
      </c>
      <c r="C18" s="6" t="n"/>
      <c r="D18" s="6" t="n"/>
      <c r="E18" s="6" t="n"/>
      <c r="F18" s="6" t="n"/>
      <c r="G18" s="6" t="n"/>
    </row>
    <row r="19">
      <c r="A19" s="26" t="inlineStr">
        <is>
          <t>Workspaces with Confidential Waste Bins</t>
        </is>
      </c>
      <c r="B19" s="27">
        <f>COUNTIF('Workspace Assessment'!G5:G54,"Yes")</f>
        <v/>
      </c>
      <c r="C19" s="6" t="n"/>
      <c r="D19" s="6" t="n"/>
      <c r="E19" s="6" t="n"/>
      <c r="F19" s="6" t="n"/>
      <c r="G19" s="6" t="n"/>
    </row>
    <row r="20">
      <c r="A20" s="6" t="n"/>
      <c r="B20" s="6" t="n"/>
      <c r="C20" s="6" t="n"/>
      <c r="D20" s="6" t="n"/>
      <c r="E20" s="6" t="n"/>
      <c r="F20" s="6" t="n"/>
      <c r="G20" s="6" t="n"/>
    </row>
    <row r="21">
      <c r="A21" s="6" t="n"/>
      <c r="B21" s="6" t="n"/>
      <c r="C21" s="6" t="n"/>
      <c r="D21" s="6" t="n"/>
      <c r="E21" s="6" t="n"/>
      <c r="F21" s="6" t="n"/>
      <c r="G21" s="6" t="n"/>
    </row>
    <row r="23">
      <c r="A23" s="33" t="inlineStr">
        <is>
          <t>TABLE 3: CRITICAL FINDINGS REQUIRING IMMEDIATE ATTENTION</t>
        </is>
      </c>
      <c r="B23" s="6" t="n"/>
      <c r="C23" s="6" t="n"/>
      <c r="D23" s="6" t="n"/>
      <c r="E23" s="6" t="n"/>
      <c r="F23" s="6" t="n"/>
      <c r="G23" s="6" t="n"/>
    </row>
    <row r="24">
      <c r="A24" s="32" t="inlineStr">
        <is>
          <t>Category</t>
        </is>
      </c>
      <c r="B24" s="32" t="inlineStr">
        <is>
          <t>Finding</t>
        </is>
      </c>
      <c r="C24" s="32" t="inlineStr">
        <is>
          <t>Count</t>
        </is>
      </c>
      <c r="D24" s="32" t="inlineStr">
        <is>
          <t>Severity</t>
        </is>
      </c>
      <c r="E24" s="32" t="inlineStr">
        <is>
          <t>Action Required</t>
        </is>
      </c>
      <c r="F24" s="32" t="n"/>
      <c r="G24" s="32" t="n"/>
    </row>
    <row r="25">
      <c r="A25" s="34" t="inlineStr">
        <is>
          <t>Workspace</t>
        </is>
      </c>
      <c r="B25" s="35" t="inlineStr">
        <is>
          <t>Non-Compliant Workspaces</t>
        </is>
      </c>
      <c r="C25" s="36">
        <f>COUNTIF('Workspace Assessment'!J5:J54,"❌*")</f>
        <v/>
      </c>
      <c r="D25" s="34" t="inlineStr">
        <is>
          <t>Critical</t>
        </is>
      </c>
      <c r="E25" s="34" t="inlineStr">
        <is>
          <t>Immediate</t>
        </is>
      </c>
      <c r="F25" s="37" t="n"/>
      <c r="G25" s="37" t="n"/>
    </row>
    <row r="26">
      <c r="A26" s="34" t="inlineStr">
        <is>
          <t>Requirements</t>
        </is>
      </c>
      <c r="B26" s="35" t="inlineStr">
        <is>
          <t>Clear Desk Requirements: Not Implemented</t>
        </is>
      </c>
      <c r="C26" s="36">
        <f>COUNTIF('Requirements Matrix'!G4:G6,"Not Implemented")</f>
        <v/>
      </c>
      <c r="D26" s="34" t="inlineStr">
        <is>
          <t>Critical</t>
        </is>
      </c>
      <c r="E26" s="34" t="inlineStr">
        <is>
          <t>Immediate</t>
        </is>
      </c>
      <c r="F26" s="37" t="n"/>
      <c r="G26" s="37" t="n"/>
    </row>
    <row r="27">
      <c r="A27" s="34" t="inlineStr">
        <is>
          <t>Workspace</t>
        </is>
      </c>
      <c r="B27" s="35" t="inlineStr">
        <is>
          <t>Workspaces Without Lockable Storage</t>
        </is>
      </c>
      <c r="C27" s="36">
        <f>COUNTIF('Workspace Assessment'!E5:E54,"No")</f>
        <v/>
      </c>
      <c r="D27" s="34" t="inlineStr">
        <is>
          <t>High</t>
        </is>
      </c>
      <c r="E27" s="34" t="inlineStr">
        <is>
          <t>Urgent</t>
        </is>
      </c>
      <c r="F27" s="37" t="n"/>
      <c r="G27" s="37" t="n"/>
    </row>
    <row r="28">
      <c r="A28" s="34" t="inlineStr">
        <is>
          <t>Screen Lock</t>
        </is>
      </c>
      <c r="B28" s="35" t="inlineStr">
        <is>
          <t>Device Types Without Screen Lock Enforcement</t>
        </is>
      </c>
      <c r="C28" s="36">
        <f>COUNTIF('Screen Lock Configuration'!F4:F59,"Not Enforced")</f>
        <v/>
      </c>
      <c r="D28" s="34" t="inlineStr">
        <is>
          <t>High</t>
        </is>
      </c>
      <c r="E28" s="34" t="inlineStr">
        <is>
          <t>Urgent</t>
        </is>
      </c>
      <c r="F28" s="37" t="n"/>
      <c r="G28" s="37" t="n"/>
    </row>
    <row r="29">
      <c r="A29" s="34" t="inlineStr">
        <is>
          <t>Screen Lock</t>
        </is>
      </c>
      <c r="B29" s="35" t="inlineStr">
        <is>
          <t>Non-Compliant Screen Lock Configurations</t>
        </is>
      </c>
      <c r="C29" s="36">
        <f>COUNTIF('Screen Lock Configuration'!E4:E59,"No")</f>
        <v/>
      </c>
      <c r="D29" s="34" t="inlineStr">
        <is>
          <t>Medium</t>
        </is>
      </c>
      <c r="E29" s="34" t="inlineStr">
        <is>
          <t>Plan</t>
        </is>
      </c>
      <c r="F29" s="37" t="n"/>
      <c r="G29" s="37" t="n"/>
    </row>
    <row r="30">
      <c r="A30" s="14" t="n"/>
      <c r="B30" s="14" t="n"/>
      <c r="C30" s="14" t="n"/>
      <c r="D30" s="14" t="n"/>
      <c r="E30" s="14" t="n"/>
      <c r="F30" s="14" t="n"/>
      <c r="G30" s="14" t="n"/>
    </row>
    <row r="31">
      <c r="A31" s="14" t="n"/>
      <c r="B31" s="14" t="n"/>
      <c r="C31" s="14" t="n"/>
      <c r="D31" s="14" t="n"/>
      <c r="E31" s="14" t="n"/>
      <c r="F31" s="14" t="n"/>
      <c r="G31" s="14" t="n"/>
    </row>
    <row r="33">
      <c r="A33" s="38" t="inlineStr">
        <is>
          <t>FINAL DECISION:</t>
        </is>
      </c>
      <c r="B33" s="14" t="n"/>
      <c r="C33" s="14" t="n"/>
      <c r="D33" s="14" t="n"/>
      <c r="E33" s="14" t="n"/>
    </row>
    <row r="36">
      <c r="A36" s="39" t="inlineStr">
        <is>
          <t>NEXT REVIEW DETAILS</t>
        </is>
      </c>
      <c r="B36" s="6" t="n"/>
      <c r="C36" s="6" t="n"/>
      <c r="D36" s="6" t="n"/>
      <c r="E36" s="6" t="n"/>
    </row>
    <row r="37">
      <c r="A37" s="40" t="inlineStr">
        <is>
          <t>Next Review Date:</t>
        </is>
      </c>
      <c r="B37" s="14" t="n"/>
      <c r="C37" s="14" t="n"/>
      <c r="D37" s="14" t="n"/>
      <c r="E37" s="14" t="n"/>
    </row>
    <row r="38">
      <c r="A38" s="40" t="inlineStr">
        <is>
          <t>Review Responsible:</t>
        </is>
      </c>
      <c r="B38" s="14" t="n"/>
      <c r="C38" s="14" t="n"/>
      <c r="D38" s="14" t="n"/>
      <c r="E38" s="14" t="n"/>
    </row>
    <row r="39">
      <c r="A39" s="40" t="inlineStr">
        <is>
          <t>Special Considerations:</t>
        </is>
      </c>
      <c r="B39" s="14" t="n"/>
      <c r="C39" s="14" t="n"/>
      <c r="D39" s="14" t="n"/>
      <c r="E39" s="14" t="n"/>
    </row>
  </sheetData>
  <mergeCells count="10">
    <mergeCell ref="A1:G1"/>
    <mergeCell ref="B38:E38"/>
    <mergeCell ref="A4:G4"/>
    <mergeCell ref="B33:E33"/>
    <mergeCell ref="A2:G2"/>
    <mergeCell ref="B39:E39"/>
    <mergeCell ref="A36:E36"/>
    <mergeCell ref="B37:E37"/>
    <mergeCell ref="A10:G10"/>
    <mergeCell ref="A23:G23"/>
  </mergeCells>
  <dataValidations count="1">
    <dataValidation sqref="B33" showDropDown="0" showInputMessage="0" showErrorMessage="0" allowBlank="1" type="list">
      <formula1>"Approved,Approved with Conditions,Rejected,Deferred"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18" t="inlineStr">
        <is>
          <t>ASSESSMENT APPROVAL AND SIGN-OFF</t>
        </is>
      </c>
      <c r="B1" s="6" t="n"/>
      <c r="C1" s="6" t="n"/>
      <c r="D1" s="6" t="n"/>
      <c r="E1" s="6" t="n"/>
    </row>
    <row r="2">
      <c r="A2" s="41" t="inlineStr">
        <is>
          <t>ISO/IEC 27001:2022 - Control A.7.7: Clear Desk and Clear Screen</t>
        </is>
      </c>
      <c r="B2" s="6" t="n"/>
      <c r="C2" s="6" t="n"/>
      <c r="D2" s="6" t="n"/>
      <c r="E2" s="6" t="n"/>
    </row>
    <row r="3">
      <c r="A3" s="42" t="inlineStr">
        <is>
          <t>ASSESSMENT SUMMARY</t>
        </is>
      </c>
      <c r="B3" s="6" t="n"/>
      <c r="C3" s="6" t="n"/>
      <c r="D3" s="6" t="n"/>
      <c r="E3" s="6" t="n"/>
    </row>
    <row r="4">
      <c r="A4" s="3" t="inlineStr">
        <is>
          <t>Document:</t>
        </is>
      </c>
      <c r="B4" s="6" t="inlineStr">
        <is>
          <t>ISMS-IMP-A.7.7.S2 - Clear Desk Screen Compliance</t>
        </is>
      </c>
      <c r="C4" s="6" t="n"/>
      <c r="D4" s="6" t="n"/>
      <c r="E4" s="6" t="n"/>
    </row>
    <row r="5">
      <c r="A5" s="3" t="inlineStr">
        <is>
          <t>Assessment Period:</t>
        </is>
      </c>
      <c r="B5" s="14" t="inlineStr"/>
      <c r="C5" s="6" t="n"/>
      <c r="D5" s="6" t="n"/>
      <c r="E5" s="6" t="n"/>
    </row>
    <row r="6">
      <c r="A6" s="3" t="inlineStr">
        <is>
          <t>Overall Compliance Rating:</t>
        </is>
      </c>
      <c r="B6" s="43">
        <f>IFERROR(AVERAGE('Summary Dashboard'!G6:G7),"")</f>
        <v/>
      </c>
      <c r="C6" s="6" t="n"/>
      <c r="D6" s="6" t="n"/>
      <c r="E6" s="6" t="n"/>
    </row>
    <row r="7">
      <c r="A7" s="3" t="inlineStr">
        <is>
          <t>Assessment Status:</t>
        </is>
      </c>
      <c r="B7" s="14" t="inlineStr"/>
      <c r="C7" s="6" t="n"/>
      <c r="D7" s="6" t="n"/>
      <c r="E7" s="6" t="n"/>
    </row>
    <row r="8">
      <c r="A8" s="3" t="inlineStr">
        <is>
          <t>Assessed By:</t>
        </is>
      </c>
      <c r="B8" s="14" t="inlineStr"/>
      <c r="C8" s="6" t="n"/>
      <c r="D8" s="6" t="n"/>
      <c r="E8" s="6" t="n"/>
    </row>
    <row r="11">
      <c r="A11" s="42" t="inlineStr">
        <is>
          <t>COMPLETED BY (ASSESSOR)</t>
        </is>
      </c>
      <c r="B11" s="6" t="n"/>
      <c r="C11" s="6" t="n"/>
      <c r="D11" s="6" t="n"/>
      <c r="E11" s="6" t="n"/>
    </row>
    <row r="12">
      <c r="A12" s="3" t="inlineStr">
        <is>
          <t>Name:</t>
        </is>
      </c>
      <c r="B12" s="14" t="n"/>
      <c r="C12" s="6" t="n"/>
      <c r="D12" s="6" t="n"/>
      <c r="E12" s="6" t="n"/>
    </row>
    <row r="13">
      <c r="A13" s="3" t="inlineStr">
        <is>
          <t>Title:</t>
        </is>
      </c>
      <c r="B13" s="14" t="n"/>
      <c r="C13" s="6" t="n"/>
      <c r="D13" s="6" t="n"/>
      <c r="E13" s="6" t="n"/>
    </row>
    <row r="14">
      <c r="A14" s="3" t="inlineStr">
        <is>
          <t>Date:</t>
        </is>
      </c>
      <c r="B14" s="14" t="n"/>
      <c r="C14" s="6" t="n"/>
      <c r="D14" s="6" t="n"/>
      <c r="E14" s="6" t="n"/>
    </row>
    <row r="15">
      <c r="A15" s="3" t="inlineStr">
        <is>
          <t>Signature:</t>
        </is>
      </c>
      <c r="B15" s="14" t="n"/>
      <c r="C15" s="6" t="n"/>
      <c r="D15" s="6" t="n"/>
      <c r="E15" s="6" t="n"/>
    </row>
    <row r="16">
      <c r="A16" s="3" t="inlineStr">
        <is>
          <t>Comments:</t>
        </is>
      </c>
      <c r="B16" s="14" t="n"/>
      <c r="C16" s="6" t="n"/>
      <c r="D16" s="6" t="n"/>
      <c r="E16" s="6" t="n"/>
    </row>
    <row r="18">
      <c r="A18" s="42" t="inlineStr">
        <is>
          <t>REVIEWED BY (INFORMATION SECURITY OFFICER)</t>
        </is>
      </c>
      <c r="B18" s="6" t="n"/>
      <c r="C18" s="6" t="n"/>
      <c r="D18" s="6" t="n"/>
      <c r="E18" s="6" t="n"/>
    </row>
    <row r="19">
      <c r="A19" s="3" t="inlineStr">
        <is>
          <t>Name:</t>
        </is>
      </c>
      <c r="B19" s="14" t="n"/>
      <c r="C19" s="6" t="n"/>
      <c r="D19" s="6" t="n"/>
      <c r="E19" s="6" t="n"/>
    </row>
    <row r="20">
      <c r="A20" s="3" t="inlineStr">
        <is>
          <t>Title:</t>
        </is>
      </c>
      <c r="B20" s="14" t="n"/>
      <c r="C20" s="6" t="n"/>
      <c r="D20" s="6" t="n"/>
      <c r="E20" s="6" t="n"/>
    </row>
    <row r="21">
      <c r="A21" s="3" t="inlineStr">
        <is>
          <t>Date:</t>
        </is>
      </c>
      <c r="B21" s="14" t="n"/>
      <c r="C21" s="6" t="n"/>
      <c r="D21" s="6" t="n"/>
      <c r="E21" s="6" t="n"/>
    </row>
    <row r="22">
      <c r="A22" s="3" t="inlineStr">
        <is>
          <t>Signature:</t>
        </is>
      </c>
      <c r="B22" s="14" t="n"/>
      <c r="C22" s="6" t="n"/>
      <c r="D22" s="6" t="n"/>
      <c r="E22" s="6" t="n"/>
    </row>
    <row r="23">
      <c r="A23" s="3" t="inlineStr">
        <is>
          <t>Comments:</t>
        </is>
      </c>
      <c r="B23" s="14" t="n"/>
      <c r="C23" s="6" t="n"/>
      <c r="D23" s="6" t="n"/>
      <c r="E23" s="6" t="n"/>
    </row>
    <row r="25">
      <c r="A25" s="24" t="inlineStr">
        <is>
          <t>APPROVED BY (CISO)</t>
        </is>
      </c>
      <c r="B25" s="6" t="n"/>
      <c r="C25" s="6" t="n"/>
      <c r="D25" s="6" t="n"/>
      <c r="E25" s="6" t="n"/>
    </row>
    <row r="26">
      <c r="A26" s="3" t="inlineStr">
        <is>
          <t>Name:</t>
        </is>
      </c>
      <c r="B26" s="14" t="n"/>
      <c r="C26" s="6" t="n"/>
      <c r="D26" s="6" t="n"/>
      <c r="E26" s="6" t="n"/>
    </row>
    <row r="27">
      <c r="A27" s="3" t="inlineStr">
        <is>
          <t>Title:</t>
        </is>
      </c>
      <c r="B27" s="14" t="n"/>
      <c r="C27" s="6" t="n"/>
      <c r="D27" s="6" t="n"/>
      <c r="E27" s="6" t="n"/>
    </row>
    <row r="28">
      <c r="A28" s="3" t="inlineStr">
        <is>
          <t>Date:</t>
        </is>
      </c>
      <c r="B28" s="14" t="n"/>
      <c r="C28" s="6" t="n"/>
      <c r="D28" s="6" t="n"/>
      <c r="E28" s="6" t="n"/>
    </row>
    <row r="29">
      <c r="A29" s="3" t="inlineStr">
        <is>
          <t>Signature:</t>
        </is>
      </c>
      <c r="B29" s="14" t="n"/>
      <c r="C29" s="6" t="n"/>
      <c r="D29" s="6" t="n"/>
      <c r="E29" s="6" t="n"/>
    </row>
    <row r="30">
      <c r="A30" s="3" t="inlineStr">
        <is>
          <t>Comments:</t>
        </is>
      </c>
      <c r="B30" s="14" t="n"/>
      <c r="C30" s="6" t="n"/>
      <c r="D30" s="6" t="n"/>
      <c r="E30" s="6" t="n"/>
    </row>
    <row r="32">
      <c r="A32" s="3" t="inlineStr">
        <is>
          <t>FINAL DECISION:</t>
        </is>
      </c>
      <c r="B32" s="14" t="n"/>
      <c r="C32" s="6" t="n"/>
      <c r="D32" s="6" t="n"/>
      <c r="E32" s="6" t="n"/>
    </row>
    <row r="35">
      <c r="A35" s="42" t="inlineStr">
        <is>
          <t>NEXT REVIEW DETAILS</t>
        </is>
      </c>
      <c r="B35" s="6" t="n"/>
      <c r="C35" s="6" t="n"/>
      <c r="D35" s="6" t="n"/>
      <c r="E35" s="6" t="n"/>
    </row>
    <row r="36">
      <c r="A36" s="3" t="inlineStr">
        <is>
          <t>Next Review Date:</t>
        </is>
      </c>
      <c r="B36" s="14" t="n"/>
      <c r="C36" s="6" t="n"/>
      <c r="D36" s="6" t="n"/>
      <c r="E36" s="6" t="n"/>
    </row>
    <row r="37">
      <c r="A37" s="3" t="inlineStr">
        <is>
          <t>Review Responsible:</t>
        </is>
      </c>
      <c r="B37" s="14" t="n"/>
      <c r="C37" s="6" t="n"/>
      <c r="D37" s="6" t="n"/>
      <c r="E37" s="6" t="n"/>
    </row>
    <row r="38">
      <c r="A38" s="3" t="inlineStr">
        <is>
          <t>Special Considerations:</t>
        </is>
      </c>
      <c r="B38" s="14"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ISMS-IMP-A.7.7.S2 — Clear Desk Screen Compliance</dc:title>
  <dc:description xmlns:dc="http://purl.org/dc/elements/1.1/">ISMS Implementation Workbook — ISMS-IMP-A.7.7.S2</dc:description>
  <dc:subject xmlns:dc="http://purl.org/dc/elements/1.1/">ISO/IEC 27001:2022 — Control A.7.7: Clear Desk and Clear Screen</dc:subject>
  <dcterms:created xmlns:dcterms="http://purl.org/dc/terms/" xmlns:xsi="http://www.w3.org/2001/XMLSchema-instance" xsi:type="dcterms:W3CDTF">2026-03-01T10:00:37Z</dcterms:created>
  <dcterms:modified xmlns:dcterms="http://purl.org/dc/terms/" xmlns:xsi="http://www.w3.org/2001/XMLSchema-instance" xsi:type="dcterms:W3CDTF">2026-03-01T10:00:38Z</dcterms:modified>
</cp:coreProperties>
</file>