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Password Security" sheetId="2" state="visible" r:id="rId2"/>
    <sheet xmlns:r="http://schemas.openxmlformats.org/officeDocument/2006/relationships" name="2. Multi-Factor Authentication" sheetId="3" state="visible" r:id="rId3"/>
    <sheet xmlns:r="http://schemas.openxmlformats.org/officeDocument/2006/relationships" name="3. Certificate-Based Auth" sheetId="4" state="visible" r:id="rId4"/>
    <sheet xmlns:r="http://schemas.openxmlformats.org/officeDocument/2006/relationships" name="4. Service Accounts" sheetId="5" state="visible" r:id="rId5"/>
    <sheet xmlns:r="http://schemas.openxmlformats.org/officeDocument/2006/relationships" name="5. SSO &amp; Federation"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b val="1"/>
      <sz val="12"/>
    </font>
    <font>
      <b val="1"/>
    </font>
    <font>
      <name val="Calibri"/>
      <b val="1"/>
      <sz val="10"/>
    </font>
    <font>
      <b val="1"/>
      <sz val="11"/>
    </font>
    <font>
      <i val="1"/>
      <color rgb="00808080"/>
    </font>
    <font>
      <b val="1"/>
      <color rgb="000000FF"/>
    </font>
    <font>
      <name val="Calibri"/>
      <b val="1"/>
      <color rgb="00FFFFFF"/>
      <sz val="11"/>
    </font>
    <font>
      <b val="1"/>
      <color rgb="000000FF"/>
      <sz val="12"/>
    </font>
    <font>
      <b val="1"/>
      <color rgb="00FFFFFF"/>
      <sz val="12"/>
    </font>
    <font>
      <i val="1"/>
    </font>
    <font>
      <color rgb="00808080"/>
    </font>
    <font>
      <b val="1"/>
      <color rgb="00FFFFFF"/>
      <sz val="11"/>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7" fillId="0" borderId="0" pivotButton="0" quotePrefix="0" xfId="0"/>
    <xf numFmtId="0" fontId="8" fillId="8" borderId="0" applyAlignment="1" pivotButton="0" quotePrefix="0" xfId="0">
      <alignment horizontal="center" vertical="center"/>
    </xf>
    <xf numFmtId="0" fontId="0" fillId="3" borderId="1" applyAlignment="1" pivotButton="0" quotePrefix="0" xfId="0">
      <alignment horizontal="left" vertical="top" wrapText="1"/>
    </xf>
    <xf numFmtId="0" fontId="9" fillId="0" borderId="0" pivotButton="0" quotePrefix="0" xfId="0"/>
    <xf numFmtId="0" fontId="2" fillId="0" borderId="0" applyAlignment="1" pivotButton="0" quotePrefix="0" xfId="0">
      <alignment horizontal="center" vertical="center"/>
    </xf>
    <xf numFmtId="0" fontId="0" fillId="3" borderId="0" pivotButton="0" quotePrefix="0" xfId="0"/>
    <xf numFmtId="0" fontId="10" fillId="2" borderId="0" applyAlignment="1" pivotButton="0" quotePrefix="0" xfId="0">
      <alignment horizontal="center" vertical="center"/>
    </xf>
    <xf numFmtId="0" fontId="10" fillId="8" borderId="0" applyAlignment="1" pivotButton="0" quotePrefix="0" xfId="0">
      <alignment horizontal="center" vertical="center"/>
    </xf>
    <xf numFmtId="0" fontId="11" fillId="0" borderId="0" applyAlignment="1" pivotButton="0" quotePrefix="0" xfId="0">
      <alignment horizontal="left" vertical="center"/>
    </xf>
    <xf numFmtId="0" fontId="12" fillId="0" borderId="0" pivotButton="0" quotePrefix="0" xfId="0"/>
    <xf numFmtId="0" fontId="8" fillId="9" borderId="0" applyAlignment="1" pivotButton="0" quotePrefix="0" xfId="0">
      <alignment horizontal="center" vertical="center" wrapText="1"/>
    </xf>
    <xf numFmtId="0" fontId="13"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ISMS-IMP-A.8.24.3 – Authentication Assessment
ISO/IEC 27001:2022 - Control A.8.24: Use of Cryptography</t>
        </is>
      </c>
    </row>
    <row r="3">
      <c r="A3" s="2" t="inlineStr">
        <is>
          <t>Document Information</t>
        </is>
      </c>
    </row>
    <row r="4">
      <c r="A4" s="3" t="inlineStr">
        <is>
          <t>Document ID</t>
        </is>
      </c>
      <c r="B4" t="inlineStr">
        <is>
          <t>ISMS-IMP-A.8.24.3</t>
        </is>
      </c>
    </row>
    <row r="5">
      <c r="A5" s="3" t="inlineStr">
        <is>
          <t>Assessment Area</t>
        </is>
      </c>
      <c r="B5" t="inlineStr">
        <is>
          <t>Authentication Cryptographic Controls</t>
        </is>
      </c>
    </row>
    <row r="6">
      <c r="A6" s="3" t="inlineStr">
        <is>
          <t>Related Policy</t>
        </is>
      </c>
      <c r="B6" t="inlineStr">
        <is>
          <t>ISMS-POL-A.8.24-S2.5</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worksheet tab (1–5) for applicable authentication methods</t>
        </is>
      </c>
    </row>
    <row r="15">
      <c r="A15" t="inlineStr">
        <is>
          <t>2. Use dropdown menus for standardized entries (Status, Auth Method, Algorithm, etc.)</t>
        </is>
      </c>
    </row>
    <row r="16">
      <c r="A16" t="inlineStr">
        <is>
          <t>3. Fill in yellow-highlighted cells with your information</t>
        </is>
      </c>
    </row>
    <row r="17">
      <c r="A17" t="inlineStr">
        <is>
          <t>4. If Status = Partial or Non-Compliant, complete the Exception/Deviation section</t>
        </is>
      </c>
    </row>
    <row r="18">
      <c r="A18" t="inlineStr">
        <is>
          <t>5. Document password policies, MFA implementations, certificate usage, and SSO configurations</t>
        </is>
      </c>
    </row>
    <row r="19">
      <c r="A19" t="inlineStr">
        <is>
          <t>6. Provide evidence location/path for each implementation entry</t>
        </is>
      </c>
    </row>
    <row r="20">
      <c r="A20" t="inlineStr">
        <is>
          <t>7. Summary Dashboard auto-calculates compliance statistics per authentication area</t>
        </is>
      </c>
    </row>
    <row r="21">
      <c r="A21" t="inlineStr">
        <is>
          <t>8. Maintain the Evidence Register for audit traceability</t>
        </is>
      </c>
    </row>
    <row r="22">
      <c r="A22" t="inlineStr">
        <is>
          <t>9.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t>
        </is>
      </c>
      <c r="C26" s="8" t="inlineStr">
        <is>
          <t>Fully meets policy requirements</t>
        </is>
      </c>
    </row>
    <row r="27">
      <c r="A27" s="6" t="inlineStr">
        <is>
          <t>⚠️</t>
        </is>
      </c>
      <c r="B27" s="9" t="inlineStr">
        <is>
          <t>Partial</t>
        </is>
      </c>
      <c r="C27" s="8" t="inlineStr">
        <is>
          <t>Some requirements met, gaps exist</t>
        </is>
      </c>
    </row>
    <row r="28">
      <c r="A28" s="6" t="inlineStr">
        <is>
          <t>❌</t>
        </is>
      </c>
      <c r="B28" s="10" t="inlineStr">
        <is>
          <t>Non-Compliant</t>
        </is>
      </c>
      <c r="C28" s="8" t="inlineStr">
        <is>
          <t>Does not meet policy requirements</t>
        </is>
      </c>
    </row>
    <row r="29">
      <c r="A29" s="6" t="inlineStr">
        <is>
          <t>N/A</t>
        </is>
      </c>
      <c r="B29" s="8" t="inlineStr">
        <is>
          <t>Not Applicable</t>
        </is>
      </c>
      <c r="C29" s="8" t="inlineStr">
        <is>
          <t>Requirement does not apply</t>
        </is>
      </c>
    </row>
    <row r="32">
      <c r="A32" s="2" t="inlineStr">
        <is>
          <t>ACCEPTABLE EVIDENCE (examples)</t>
        </is>
      </c>
    </row>
    <row r="33">
      <c r="A33" t="inlineStr">
        <is>
          <t>✓ Password policy documentation</t>
        </is>
      </c>
    </row>
    <row r="34">
      <c r="A34" t="inlineStr">
        <is>
          <t>✓ Active Directory Group Policy Objects (GPO)</t>
        </is>
      </c>
    </row>
    <row r="35">
      <c r="A35" t="inlineStr">
        <is>
          <t>✓ MFA enrollment reports</t>
        </is>
      </c>
    </row>
    <row r="36">
      <c r="A36" t="inlineStr">
        <is>
          <t>✓ Certificate authority configurations</t>
        </is>
      </c>
    </row>
    <row r="37">
      <c r="A37" t="inlineStr">
        <is>
          <t>✓ PKI infrastructure documentation</t>
        </is>
      </c>
    </row>
    <row r="38">
      <c r="A38" t="inlineStr">
        <is>
          <t>✓ SSO/SAML configuration screenshots</t>
        </is>
      </c>
    </row>
    <row r="39">
      <c r="A39" t="inlineStr">
        <is>
          <t>✓ Identity provider (IdP) settings</t>
        </is>
      </c>
    </row>
    <row r="40">
      <c r="A40" t="inlineStr">
        <is>
          <t>✓ Service account inventory</t>
        </is>
      </c>
    </row>
    <row r="41">
      <c r="A41" t="inlineStr">
        <is>
          <t>✓ Authentication logs and audit trails</t>
        </is>
      </c>
    </row>
    <row r="42">
      <c r="A42" t="inlineStr">
        <is>
          <t>✓ Password hash algorithm verification</t>
        </is>
      </c>
    </row>
    <row r="43">
      <c r="A43" t="inlineStr">
        <is>
          <t>✓ Account lockout policy screenshots</t>
        </is>
      </c>
    </row>
    <row r="44">
      <c r="A44" t="inlineStr">
        <is>
          <t>✓ MFA bypass exception approvals</t>
        </is>
      </c>
    </row>
    <row r="45">
      <c r="A45" t="inlineStr">
        <is>
          <t>✓ Federation trust relationships</t>
        </is>
      </c>
    </row>
    <row r="46">
      <c r="A46" t="inlineStr">
        <is>
          <t>✓ Privilege access management (PAM) reports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4"/>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16" customWidth="1" min="18" max="18"/>
    <col width="16" customWidth="1" min="19" max="19"/>
    <col width="18" customWidth="1" min="20" max="20"/>
    <col width="16" customWidth="1" min="21" max="21"/>
    <col width="16" customWidth="1" min="22" max="22"/>
    <col width="18" customWidth="1" min="23" max="23"/>
    <col width="18" customWidth="1" min="24" max="24"/>
  </cols>
  <sheetData>
    <row r="1" ht="40" customHeight="1">
      <c r="A1" s="1" t="inlineStr">
        <is>
          <t>1. PASSWORD SECURITY - PASSWORD AUTHENTICATION CONTROLS
Policy Requirement: Passwords MUST be hashed using approved algorithms (bcrypt, Argon2, PBKDF2, scrypt). Minimum 12 characters, complexity requirements enforced (Policy Section 2.5.1)</t>
        </is>
      </c>
    </row>
    <row r="3" ht="30" customHeight="1">
      <c r="A3" s="11" t="inlineStr">
        <is>
          <t>Does your organization use password-based authentication for any systems or applications?</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Min Password Length</t>
        </is>
      </c>
      <c r="S6" s="5" t="inlineStr">
        <is>
          <t>Complexity Enforced</t>
        </is>
      </c>
      <c r="T6" s="5" t="inlineStr">
        <is>
          <t>Password Expiry</t>
        </is>
      </c>
      <c r="U6" s="5" t="inlineStr">
        <is>
          <t>Password History</t>
        </is>
      </c>
      <c r="V6" s="5" t="inlineStr">
        <is>
          <t>Account Lockout</t>
        </is>
      </c>
      <c r="W6" s="5" t="inlineStr">
        <is>
          <t>Password Strength Meter</t>
        </is>
      </c>
      <c r="X6" s="5" t="inlineStr">
        <is>
          <t>Default Passwords</t>
        </is>
      </c>
    </row>
    <row r="7">
      <c r="A7" s="12" t="inlineStr">
        <is>
          <t>Example: Production HR System - Workday</t>
        </is>
      </c>
      <c r="B7" s="12" t="inlineStr">
        <is>
          <t>Password</t>
        </is>
      </c>
      <c r="C7" s="12" t="inlineStr">
        <is>
          <t>End User</t>
        </is>
      </c>
      <c r="D7" s="12" t="inlineStr">
        <is>
          <t>Confidential</t>
        </is>
      </c>
      <c r="E7" s="12" t="inlineStr">
        <is>
          <t>bcrypt</t>
        </is>
      </c>
      <c r="F7" s="12" t="inlineStr">
        <is>
          <t>Properly Hashed</t>
        </is>
      </c>
      <c r="G7" s="12" t="inlineStr">
        <is>
          <t>Strong (≥14 chars)</t>
        </is>
      </c>
      <c r="H7" s="12" t="inlineStr">
        <is>
          <t>✅ Compliant</t>
        </is>
      </c>
      <c r="I7" s="12" t="inlineStr">
        <is>
          <t>/evidence/auth/workday-password-policy.pdf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≥14 chars</t>
        </is>
      </c>
      <c r="S7" s="12" t="inlineStr">
        <is>
          <t>Yes</t>
        </is>
      </c>
      <c r="T7" s="12" t="inlineStr">
        <is>
          <t>90 days</t>
        </is>
      </c>
      <c r="U7" s="12" t="inlineStr">
        <is>
          <t>≥10 passwords</t>
        </is>
      </c>
      <c r="V7" s="12" t="inlineStr">
        <is>
          <t>Yes</t>
        </is>
      </c>
      <c r="W7" s="12" t="inlineStr">
        <is>
          <t>Yes</t>
        </is>
      </c>
      <c r="X7" s="12" t="inlineStr">
        <is>
          <t>Changed</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1. PASSWORD SECURITY CHECKLIST</t>
        </is>
      </c>
    </row>
    <row r="23">
      <c r="A23" s="3" t="inlineStr">
        <is>
          <t>☐</t>
        </is>
      </c>
      <c r="B23" s="3" t="inlineStr">
        <is>
          <t>Requirement</t>
        </is>
      </c>
      <c r="C23" s="3" t="inlineStr">
        <is>
          <t>Status</t>
        </is>
      </c>
    </row>
    <row r="24">
      <c r="A24" t="inlineStr">
        <is>
          <t>☐</t>
        </is>
      </c>
      <c r="B24" t="inlineStr">
        <is>
          <t>Passwords hashed with approved algorithm (bcrypt, Argon2, PBKDF2, scrypt)</t>
        </is>
      </c>
      <c r="C24" s="4" t="n"/>
    </row>
    <row r="25">
      <c r="A25" t="inlineStr">
        <is>
          <t>☐</t>
        </is>
      </c>
      <c r="B25" t="inlineStr">
        <is>
          <t>Passwords NOT stored in plaintext anywhere</t>
        </is>
      </c>
      <c r="C25" s="4" t="n"/>
    </row>
    <row r="26">
      <c r="A26" t="inlineStr">
        <is>
          <t>☐</t>
        </is>
      </c>
      <c r="B26" t="inlineStr">
        <is>
          <t>Passwords NOT stored with reversible encryption</t>
        </is>
      </c>
      <c r="C26" s="4" t="n"/>
    </row>
    <row r="27">
      <c r="A27" t="inlineStr">
        <is>
          <t>☐</t>
        </is>
      </c>
      <c r="B27" t="inlineStr">
        <is>
          <t>Password hashes salted (unique salt per user)</t>
        </is>
      </c>
      <c r="C27" s="4" t="n"/>
    </row>
    <row r="28">
      <c r="A28" t="inlineStr">
        <is>
          <t>☐</t>
        </is>
      </c>
      <c r="B28" t="inlineStr">
        <is>
          <t>Minimum password length ≥12 characters</t>
        </is>
      </c>
      <c r="C28" s="4" t="n"/>
    </row>
    <row r="29">
      <c r="A29" t="inlineStr">
        <is>
          <t>☐</t>
        </is>
      </c>
      <c r="B29" t="inlineStr">
        <is>
          <t>Recommended password length ≥14 characters</t>
        </is>
      </c>
      <c r="C29" s="4" t="n"/>
    </row>
    <row r="30">
      <c r="A30" t="inlineStr">
        <is>
          <t>☐</t>
        </is>
      </c>
      <c r="B30" t="inlineStr">
        <is>
          <t>Complexity requirements enforced (uppercase, lowercase, numbers, symbols)</t>
        </is>
      </c>
      <c r="C30" s="4" t="n"/>
    </row>
    <row r="31">
      <c r="A31" t="inlineStr">
        <is>
          <t>☐</t>
        </is>
      </c>
      <c r="B31" t="inlineStr">
        <is>
          <t>Password expiration policy: 90 days maximum (or risk-based)</t>
        </is>
      </c>
      <c r="C31" s="4" t="n"/>
    </row>
    <row r="32">
      <c r="A32" t="inlineStr">
        <is>
          <t>☐</t>
        </is>
      </c>
      <c r="B32" t="inlineStr">
        <is>
          <t>Password history enforced (minimum 10 previous passwords)</t>
        </is>
      </c>
      <c r="C32" s="4" t="n"/>
    </row>
    <row r="33">
      <c r="A33" t="inlineStr">
        <is>
          <t>☐</t>
        </is>
      </c>
      <c r="B33" t="inlineStr">
        <is>
          <t>Account lockout after failed attempts (5-10 attempts)</t>
        </is>
      </c>
      <c r="C33" s="4" t="n"/>
    </row>
    <row r="34">
      <c r="A34" t="inlineStr">
        <is>
          <t>☐</t>
        </is>
      </c>
      <c r="B34" t="inlineStr">
        <is>
          <t>Lockout duration or CAPTCHA implemented</t>
        </is>
      </c>
      <c r="C34" s="4" t="n"/>
    </row>
    <row r="35">
      <c r="A35" t="inlineStr">
        <is>
          <t>☐</t>
        </is>
      </c>
      <c r="B35" t="inlineStr">
        <is>
          <t>Common/weak passwords blocked (breach database check)</t>
        </is>
      </c>
      <c r="C35" s="4" t="n"/>
    </row>
    <row r="36">
      <c r="A36" t="inlineStr">
        <is>
          <t>☐</t>
        </is>
      </c>
      <c r="B36" t="inlineStr">
        <is>
          <t>Default/vendor passwords changed before production</t>
        </is>
      </c>
      <c r="C36" s="4" t="n"/>
    </row>
    <row r="37">
      <c r="A37" t="inlineStr">
        <is>
          <t>☐</t>
        </is>
      </c>
      <c r="B37" t="inlineStr">
        <is>
          <t>Password strength meter provided to users</t>
        </is>
      </c>
      <c r="C37" s="4" t="n"/>
    </row>
    <row r="38">
      <c r="A38" t="inlineStr">
        <is>
          <t>☐</t>
        </is>
      </c>
      <c r="B38" t="inlineStr">
        <is>
          <t>Password reset process secure (no email plaintext passwords)</t>
        </is>
      </c>
      <c r="C38" s="4" t="n"/>
    </row>
    <row r="39">
      <c r="A39" t="inlineStr">
        <is>
          <t>☐</t>
        </is>
      </c>
      <c r="B39" t="inlineStr">
        <is>
          <t>Temporary passwords expire after first use</t>
        </is>
      </c>
      <c r="C39" s="4" t="n"/>
    </row>
    <row r="40">
      <c r="A40" t="inlineStr">
        <is>
          <t>☐</t>
        </is>
      </c>
      <c r="B40" t="inlineStr">
        <is>
          <t>Passwords not displayed during entry (masked)</t>
        </is>
      </c>
      <c r="C40" s="4" t="n"/>
    </row>
    <row r="41">
      <c r="A41" t="inlineStr">
        <is>
          <t>☐</t>
        </is>
      </c>
      <c r="B41" t="inlineStr">
        <is>
          <t>Failed login attempts logged</t>
        </is>
      </c>
      <c r="C41" s="4" t="n"/>
    </row>
    <row r="42">
      <c r="A42" t="inlineStr">
        <is>
          <t>☐</t>
        </is>
      </c>
      <c r="B42" t="inlineStr">
        <is>
          <t>Password policy documented and communicated</t>
        </is>
      </c>
      <c r="C42" s="4" t="n"/>
    </row>
    <row r="43">
      <c r="A43" t="inlineStr">
        <is>
          <t>☐</t>
        </is>
      </c>
      <c r="B43" t="inlineStr">
        <is>
          <t>Privileged accounts require stronger passwords (≥14 characters)</t>
        </is>
      </c>
      <c r="C43" s="4" t="n"/>
    </row>
    <row r="44">
      <c r="A44" s="3" t="inlineStr">
        <is>
          <t>Checklist Score:</t>
        </is>
      </c>
      <c r="B44" s="15">
        <f>COUNTIF(C24:C43,"Yes")/COUNTA(C24:C43)*100&amp;"%"</f>
        <v/>
      </c>
    </row>
    <row r="46">
      <c r="A46" s="14" t="inlineStr">
        <is>
          <t>APPROVED PASSWORD HASHING ALGORITHMS</t>
        </is>
      </c>
    </row>
    <row r="47">
      <c r="A47" s="5" t="inlineStr">
        <is>
          <t>Algorithm</t>
        </is>
      </c>
      <c r="B47" s="5" t="inlineStr">
        <is>
          <t>Work Factor</t>
        </is>
      </c>
      <c r="C47" s="5" t="inlineStr">
        <is>
          <t>Salt Required</t>
        </is>
      </c>
      <c r="D47" s="5" t="inlineStr">
        <is>
          <t>Security Level</t>
        </is>
      </c>
      <c r="E47" s="5" t="inlineStr">
        <is>
          <t>Use Case</t>
        </is>
      </c>
    </row>
    <row r="48">
      <c r="A48" s="8" t="inlineStr">
        <is>
          <t>Argon2id</t>
        </is>
      </c>
      <c r="B48" s="8" t="inlineStr">
        <is>
          <t>High (configurable)</t>
        </is>
      </c>
      <c r="C48" s="8" t="inlineStr">
        <is>
          <t>Yes</t>
        </is>
      </c>
      <c r="D48" s="8" t="inlineStr">
        <is>
          <t>Highest</t>
        </is>
      </c>
      <c r="E48" s="8" t="inlineStr">
        <is>
          <t>New implementations (recommended)</t>
        </is>
      </c>
    </row>
    <row r="49">
      <c r="A49" s="8" t="inlineStr">
        <is>
          <t>bcrypt</t>
        </is>
      </c>
      <c r="B49" s="8" t="inlineStr">
        <is>
          <t>Medium-High (cost factor 10-12)</t>
        </is>
      </c>
      <c r="C49" s="8" t="inlineStr">
        <is>
          <t>Yes</t>
        </is>
      </c>
      <c r="D49" s="8" t="inlineStr">
        <is>
          <t>High</t>
        </is>
      </c>
      <c r="E49" s="8" t="inlineStr">
        <is>
          <t>Widely supported, proven</t>
        </is>
      </c>
    </row>
    <row r="50">
      <c r="A50" s="8" t="inlineStr">
        <is>
          <t>PBKDF2-SHA256</t>
        </is>
      </c>
      <c r="B50" s="8" t="inlineStr">
        <is>
          <t>High (100,000+ iterations)</t>
        </is>
      </c>
      <c r="C50" s="8" t="inlineStr">
        <is>
          <t>Yes</t>
        </is>
      </c>
      <c r="D50" s="8" t="inlineStr">
        <is>
          <t>High</t>
        </is>
      </c>
      <c r="E50" s="8" t="inlineStr">
        <is>
          <t>Standards compliance (NIST)</t>
        </is>
      </c>
    </row>
    <row r="51">
      <c r="A51" s="8" t="inlineStr">
        <is>
          <t>scrypt</t>
        </is>
      </c>
      <c r="B51" s="8" t="inlineStr">
        <is>
          <t>High (configurable)</t>
        </is>
      </c>
      <c r="C51" s="8" t="inlineStr">
        <is>
          <t>Yes</t>
        </is>
      </c>
      <c r="D51" s="8" t="inlineStr">
        <is>
          <t>High</t>
        </is>
      </c>
      <c r="E51" s="8" t="inlineStr">
        <is>
          <t>Memory-hard function</t>
        </is>
      </c>
    </row>
    <row r="53">
      <c r="A53" s="14" t="inlineStr">
        <is>
          <t>PASSWORD COMPLEXITY STANDARDS</t>
        </is>
      </c>
    </row>
    <row r="54">
      <c r="A54" s="5" t="inlineStr">
        <is>
          <t>Account Type</t>
        </is>
      </c>
      <c r="B54" s="5" t="inlineStr">
        <is>
          <t>Min Length</t>
        </is>
      </c>
      <c r="C54" s="5" t="inlineStr">
        <is>
          <t>Complexity</t>
        </is>
      </c>
      <c r="D54" s="5" t="inlineStr">
        <is>
          <t>Expiry</t>
        </is>
      </c>
      <c r="E54" s="5" t="inlineStr">
        <is>
          <t>MFA Required</t>
        </is>
      </c>
    </row>
    <row r="55">
      <c r="A55" s="8" t="inlineStr">
        <is>
          <t>Standard User</t>
        </is>
      </c>
      <c r="B55" s="8" t="inlineStr">
        <is>
          <t>12 chars</t>
        </is>
      </c>
      <c r="C55" s="8" t="inlineStr">
        <is>
          <t>Upper, lower, number, symbol</t>
        </is>
      </c>
      <c r="D55" s="8" t="inlineStr">
        <is>
          <t>90 days</t>
        </is>
      </c>
      <c r="E55" s="8" t="inlineStr">
        <is>
          <t>Recommended</t>
        </is>
      </c>
    </row>
    <row r="56">
      <c r="A56" s="8" t="inlineStr">
        <is>
          <t>Administrator</t>
        </is>
      </c>
      <c r="B56" s="8" t="inlineStr">
        <is>
          <t>14 chars</t>
        </is>
      </c>
      <c r="C56" s="8" t="inlineStr">
        <is>
          <t>Upper, lower, number, symbol</t>
        </is>
      </c>
      <c r="D56" s="8" t="inlineStr">
        <is>
          <t>90 days</t>
        </is>
      </c>
      <c r="E56" s="8" t="inlineStr">
        <is>
          <t>Required</t>
        </is>
      </c>
    </row>
    <row r="57">
      <c r="A57" s="8" t="inlineStr">
        <is>
          <t>Service Account</t>
        </is>
      </c>
      <c r="B57" s="8" t="inlineStr">
        <is>
          <t>20 chars</t>
        </is>
      </c>
      <c r="C57" s="8" t="inlineStr">
        <is>
          <t>Random generation</t>
        </is>
      </c>
      <c r="D57" s="8" t="inlineStr">
        <is>
          <t>No expiry (monitor)</t>
        </is>
      </c>
      <c r="E57" s="8" t="inlineStr">
        <is>
          <t>Certificate preferred</t>
        </is>
      </c>
    </row>
    <row r="58">
      <c r="A58" s="8" t="inlineStr">
        <is>
          <t>External User</t>
        </is>
      </c>
      <c r="B58" s="8" t="inlineStr">
        <is>
          <t>12 chars</t>
        </is>
      </c>
      <c r="C58" s="8" t="inlineStr">
        <is>
          <t>Upper, lower, number, symbol</t>
        </is>
      </c>
      <c r="D58" s="8" t="inlineStr">
        <is>
          <t>90 days</t>
        </is>
      </c>
      <c r="E58" s="8" t="inlineStr">
        <is>
          <t>Required</t>
        </is>
      </c>
    </row>
    <row r="59">
      <c r="A59" s="8" t="inlineStr">
        <is>
          <t>API Access</t>
        </is>
      </c>
      <c r="B59" s="8" t="inlineStr">
        <is>
          <t>N/A</t>
        </is>
      </c>
      <c r="C59" s="8" t="inlineStr">
        <is>
          <t>Use API keys/tokens</t>
        </is>
      </c>
      <c r="D59" s="8" t="inlineStr">
        <is>
          <t>Token expiry</t>
        </is>
      </c>
      <c r="E59" s="8" t="inlineStr">
        <is>
          <t>Yes</t>
        </is>
      </c>
    </row>
    <row r="61">
      <c r="A61" s="16" t="inlineStr">
        <is>
          <t>EXCEPTION / DEVIATION DOCUMENTATION (Complete if Status = Partial or Non-Compliant)</t>
        </is>
      </c>
    </row>
    <row r="62">
      <c r="A62" s="3" t="inlineStr">
        <is>
          <t>Formal exception request submitted:</t>
        </is>
      </c>
      <c r="B62" s="13" t="n"/>
    </row>
    <row r="63">
      <c r="A63" s="3" t="inlineStr">
        <is>
          <t>Exception ID:</t>
        </is>
      </c>
      <c r="B63" s="13" t="n"/>
    </row>
    <row r="64">
      <c r="A64" s="3" t="inlineStr">
        <is>
          <t>Risk acceptance documented:</t>
        </is>
      </c>
      <c r="B64" s="13" t="n"/>
    </row>
    <row r="65">
      <c r="A65" s="3" t="inlineStr">
        <is>
          <t>Risk ID:</t>
        </is>
      </c>
      <c r="B65" s="13" t="n"/>
    </row>
    <row r="66">
      <c r="A66" s="3" t="inlineStr">
        <is>
          <t>Compensating Controls (summary):</t>
        </is>
      </c>
      <c r="B66" s="13" t="n"/>
    </row>
    <row r="67">
      <c r="A67" s="3" t="inlineStr">
        <is>
          <t>☐ Enhanced monitoring and alerting</t>
        </is>
      </c>
      <c r="B67" s="13" t="n"/>
    </row>
    <row r="68">
      <c r="A68" s="3" t="inlineStr">
        <is>
          <t>☐ Network segmentation / restricted access</t>
        </is>
      </c>
      <c r="B68" s="13" t="n"/>
    </row>
    <row r="69">
      <c r="A69" s="3" t="inlineStr">
        <is>
          <t>☐ Additional authentication factor</t>
        </is>
      </c>
      <c r="B69" s="13" t="n"/>
    </row>
    <row r="70">
      <c r="A70" s="3" t="inlineStr">
        <is>
          <t>☐ Manual approval process</t>
        </is>
      </c>
      <c r="B70" s="13" t="n"/>
    </row>
    <row r="71">
      <c r="A71" s="3" t="inlineStr">
        <is>
          <t>☐ Increased audit frequency</t>
        </is>
      </c>
      <c r="B71" s="13" t="n"/>
    </row>
    <row r="72">
      <c r="A72" s="3" t="inlineStr">
        <is>
          <t>☐ Time-limited exception (expiry date required)</t>
        </is>
      </c>
      <c r="B72" s="13" t="n"/>
    </row>
    <row r="73">
      <c r="A73" s="3" t="inlineStr">
        <is>
          <t>☐ Other (describe):</t>
        </is>
      </c>
      <c r="B73" s="13" t="n"/>
    </row>
    <row r="75">
      <c r="A75" s="14" t="inlineStr">
        <is>
          <t>ADDITIONAL NOTES / COMMENTS</t>
        </is>
      </c>
    </row>
    <row r="76">
      <c r="A76" s="17" t="n"/>
    </row>
    <row r="77"/>
    <row r="78"/>
    <row r="79"/>
    <row r="80"/>
    <row r="81"/>
    <row r="82"/>
    <row r="83"/>
    <row r="84"/>
  </sheetData>
  <mergeCells count="17">
    <mergeCell ref="B72:D72"/>
    <mergeCell ref="A3:X3"/>
    <mergeCell ref="A75:X75"/>
    <mergeCell ref="B66:D66"/>
    <mergeCell ref="B67:D67"/>
    <mergeCell ref="B63:D63"/>
    <mergeCell ref="B71:D71"/>
    <mergeCell ref="B73:D73"/>
    <mergeCell ref="B70:D70"/>
    <mergeCell ref="B65:D65"/>
    <mergeCell ref="B62:D62"/>
    <mergeCell ref="A1:X1"/>
    <mergeCell ref="B68:D68"/>
    <mergeCell ref="B69:D69"/>
    <mergeCell ref="A61:X61"/>
    <mergeCell ref="B64:D64"/>
    <mergeCell ref="A76:X84"/>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C43" showDropDown="0" showInputMessage="0" showErrorMessage="0" allowBlank="0" type="list">
      <formula1>"Yes,No,N/A"</formula1>
    </dataValidation>
    <dataValidation sqref="B62 B64" showDropDown="0" showInputMessage="0" showErrorMessage="0" allowBlank="0" type="list">
      <formula1>"Yes,No"</formula1>
    </dataValidation>
    <dataValidation sqref="R8 R9 R10 R11 R12 R13 R14 R15 R16 R17 R18 R19 R20" showDropDown="0" showInputMessage="0" showErrorMessage="0" allowBlank="0" type="list">
      <formula1>"≥14 chars,12-13 chars,&lt;12 chars (weak),N/A"</formula1>
    </dataValidation>
    <dataValidation sqref="T8 T9 T10 T11 T12 T13 T14 T15 T16 T17 T18 T19 T20" showDropDown="0" showInputMessage="0" showErrorMessage="0" allowBlank="0" type="list">
      <formula1>"90 days,180 days,365 days,Never,N/A"</formula1>
    </dataValidation>
    <dataValidation sqref="U8 U9 U10 U11 U12 U13 U14 U15 U16 U17 U18 U19 U20" showDropDown="0" showInputMessage="0" showErrorMessage="0" allowBlank="0" type="list">
      <formula1>"≥10 passwords,5-9 passwords,&lt;5 passwords,None,N/A"</formula1>
    </dataValidation>
    <dataValidation sqref="X8 X9 X10 X11 X12 X13 X14 X15 X16 X17 X18 X19 X20" showDropDown="0" showInputMessage="0" showErrorMessage="0" allowBlank="0" type="list">
      <formula1>"Changed,Not Changed (Non-compliant),N/A"</formula1>
    </dataValidation>
    <dataValidation sqref="S8 S9 S10 S11 S12 S13 S14 S15 S16 S17 S18 S19 S20 V8 V9 V10 V11 V12 V13 V14 V15 V16 V17 V18 V19 V20 W8 W9 W10 W11 W12 W13 W14 W15 W16 W17 W18 W19 W20" showDropDown="0" showInputMessage="0" showErrorMessage="0" allowBlank="0"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7"/>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18" customWidth="1" min="19" max="19"/>
    <col width="16" customWidth="1" min="20" max="20"/>
    <col width="20" customWidth="1" min="21" max="21"/>
    <col width="18" customWidth="1" min="22" max="22"/>
    <col width="18" customWidth="1" min="23" max="23"/>
  </cols>
  <sheetData>
    <row r="1" ht="40" customHeight="1">
      <c r="A1" s="1" t="inlineStr">
        <is>
          <t>2. MULTI-FACTOR AUTHENTICATION (MFA) - STRONG AUTHENTICATION
Policy Requirement: MFA REQUIRED for all administrative access, remote access, and access to Confidential/Restricted data. Approved factors: TOTP, Push notification, Hardware token, Biometric (Policy Section 2.5.2)</t>
        </is>
      </c>
    </row>
    <row r="3" ht="30" customHeight="1">
      <c r="A3" s="11" t="inlineStr">
        <is>
          <t>Does your organization require multi-factor authentication for any systems or user types?</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MFA Factor Type</t>
        </is>
      </c>
      <c r="S6" s="5" t="inlineStr">
        <is>
          <t>MFA Enrollment Rate</t>
        </is>
      </c>
      <c r="T6" s="5" t="inlineStr">
        <is>
          <t>MFA Enforcement</t>
        </is>
      </c>
      <c r="U6" s="5" t="inlineStr">
        <is>
          <t>Backup MFA Method</t>
        </is>
      </c>
      <c r="V6" s="5" t="inlineStr">
        <is>
          <t>MFA Bypass Allowed</t>
        </is>
      </c>
      <c r="W6" s="5" t="inlineStr">
        <is>
          <t>Passwordless Option</t>
        </is>
      </c>
    </row>
    <row r="7">
      <c r="A7" s="12" t="inlineStr">
        <is>
          <t>Example: AWS Production Account</t>
        </is>
      </c>
      <c r="B7" s="12" t="inlineStr">
        <is>
          <t>MFA</t>
        </is>
      </c>
      <c r="C7" s="12" t="inlineStr">
        <is>
          <t>Administrator</t>
        </is>
      </c>
      <c r="D7" s="12" t="inlineStr">
        <is>
          <t>Restricted</t>
        </is>
      </c>
      <c r="E7" s="12" t="inlineStr">
        <is>
          <t>TOTP</t>
        </is>
      </c>
      <c r="F7" s="12" t="inlineStr">
        <is>
          <t>Encrypted</t>
        </is>
      </c>
      <c r="G7" s="12" t="inlineStr">
        <is>
          <t>N/A</t>
        </is>
      </c>
      <c r="H7" s="12" t="inlineStr">
        <is>
          <t>✅ Compliant</t>
        </is>
      </c>
      <c r="I7" s="12" t="inlineStr">
        <is>
          <t>/evidence/auth/aws-mfa-config.pdf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TOTP (Authenticator App)</t>
        </is>
      </c>
      <c r="S7" s="12" t="inlineStr">
        <is>
          <t>100%</t>
        </is>
      </c>
      <c r="T7" s="12" t="inlineStr">
        <is>
          <t>Required</t>
        </is>
      </c>
      <c r="U7" s="12" t="inlineStr">
        <is>
          <t>Yes</t>
        </is>
      </c>
      <c r="V7" s="12" t="inlineStr">
        <is>
          <t>Never</t>
        </is>
      </c>
      <c r="W7" s="12" t="inlineStr">
        <is>
          <t>Available</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row>
    <row r="22">
      <c r="A22" s="14" t="inlineStr">
        <is>
          <t>2. MULTI CHECKLIST</t>
        </is>
      </c>
    </row>
    <row r="23">
      <c r="A23" s="3" t="inlineStr">
        <is>
          <t>☐</t>
        </is>
      </c>
      <c r="B23" s="3" t="inlineStr">
        <is>
          <t>Requirement</t>
        </is>
      </c>
      <c r="C23" s="3" t="inlineStr">
        <is>
          <t>Status</t>
        </is>
      </c>
    </row>
    <row r="24">
      <c r="A24" t="inlineStr">
        <is>
          <t>☐</t>
        </is>
      </c>
      <c r="B24" t="inlineStr">
        <is>
          <t>MFA required for all administrative/privileged access</t>
        </is>
      </c>
      <c r="C24" s="4" t="n"/>
    </row>
    <row r="25">
      <c r="A25" t="inlineStr">
        <is>
          <t>☐</t>
        </is>
      </c>
      <c r="B25" t="inlineStr">
        <is>
          <t>MFA required for remote access (VPN, RDP, SSH)</t>
        </is>
      </c>
      <c r="C25" s="4" t="n"/>
    </row>
    <row r="26">
      <c r="A26" t="inlineStr">
        <is>
          <t>☐</t>
        </is>
      </c>
      <c r="B26" t="inlineStr">
        <is>
          <t>MFA required for access to Confidential/Restricted data</t>
        </is>
      </c>
      <c r="C26" s="4" t="n"/>
    </row>
    <row r="27">
      <c r="A27" t="inlineStr">
        <is>
          <t>☐</t>
        </is>
      </c>
      <c r="B27" t="inlineStr">
        <is>
          <t>MFA required for cloud service access (AWS, Azure, GCP, M365)</t>
        </is>
      </c>
      <c r="C27" s="4" t="n"/>
    </row>
    <row r="28">
      <c r="A28" t="inlineStr">
        <is>
          <t>☐</t>
        </is>
      </c>
      <c r="B28" t="inlineStr">
        <is>
          <t>MFA enrollment mandatory for all users</t>
        </is>
      </c>
      <c r="C28" s="4" t="n"/>
    </row>
    <row r="29">
      <c r="A29" t="inlineStr">
        <is>
          <t>☐</t>
        </is>
      </c>
      <c r="B29" t="inlineStr">
        <is>
          <t>TOTP (time-based one-time password) supported</t>
        </is>
      </c>
      <c r="C29" s="4" t="n"/>
    </row>
    <row r="30">
      <c r="A30" t="inlineStr">
        <is>
          <t>☐</t>
        </is>
      </c>
      <c r="B30" t="inlineStr">
        <is>
          <t>Push notification MFA supported</t>
        </is>
      </c>
      <c r="C30" s="4" t="n"/>
    </row>
    <row r="31">
      <c r="A31" t="inlineStr">
        <is>
          <t>☐</t>
        </is>
      </c>
      <c r="B31" t="inlineStr">
        <is>
          <t>Hardware security keys (FIDO2/WebAuthn) supported</t>
        </is>
      </c>
      <c r="C31" s="4" t="n"/>
    </row>
    <row r="32">
      <c r="A32" t="inlineStr">
        <is>
          <t>☐</t>
        </is>
      </c>
      <c r="B32" t="inlineStr">
        <is>
          <t>SMS-based MFA deprecated or phased out</t>
        </is>
      </c>
      <c r="C32" s="4" t="n"/>
    </row>
    <row r="33">
      <c r="A33" t="inlineStr">
        <is>
          <t>☐</t>
        </is>
      </c>
      <c r="B33" t="inlineStr">
        <is>
          <t>Biometric authentication available (where appropriate)</t>
        </is>
      </c>
      <c r="C33" s="4" t="n"/>
    </row>
    <row r="34">
      <c r="A34" t="inlineStr">
        <is>
          <t>☐</t>
        </is>
      </c>
      <c r="B34" t="inlineStr">
        <is>
          <t>Backup MFA methods configured for each user</t>
        </is>
      </c>
      <c r="C34" s="4" t="n"/>
    </row>
    <row r="35">
      <c r="A35" t="inlineStr">
        <is>
          <t>☐</t>
        </is>
      </c>
      <c r="B35" t="inlineStr">
        <is>
          <t>MFA bypass requests logged and approved</t>
        </is>
      </c>
      <c r="C35" s="4" t="n"/>
    </row>
    <row r="36">
      <c r="A36" t="inlineStr">
        <is>
          <t>☐</t>
        </is>
      </c>
      <c r="B36" t="inlineStr">
        <is>
          <t>MFA fatigue/prompt bombing protections implemented</t>
        </is>
      </c>
      <c r="C36" s="4" t="n"/>
    </row>
    <row r="37">
      <c r="A37" t="inlineStr">
        <is>
          <t>☐</t>
        </is>
      </c>
      <c r="B37" t="inlineStr">
        <is>
          <t>Device trust/registration for MFA</t>
        </is>
      </c>
      <c r="C37" s="4" t="n"/>
    </row>
    <row r="38">
      <c r="A38" t="inlineStr">
        <is>
          <t>☐</t>
        </is>
      </c>
      <c r="B38" t="inlineStr">
        <is>
          <t>MFA enrollment monitoring and alerts</t>
        </is>
      </c>
      <c r="C38" s="4" t="n"/>
    </row>
    <row r="39">
      <c r="A39" t="inlineStr">
        <is>
          <t>☐</t>
        </is>
      </c>
      <c r="B39" t="inlineStr">
        <is>
          <t>MFA recovery process documented</t>
        </is>
      </c>
      <c r="C39" s="4" t="n"/>
    </row>
    <row r="40">
      <c r="A40" t="inlineStr">
        <is>
          <t>☐</t>
        </is>
      </c>
      <c r="B40" t="inlineStr">
        <is>
          <t>Passwordless authentication option available</t>
        </is>
      </c>
      <c r="C40" s="4" t="n"/>
    </row>
    <row r="41">
      <c r="A41" t="inlineStr">
        <is>
          <t>☐</t>
        </is>
      </c>
      <c r="B41" t="inlineStr">
        <is>
          <t>MFA audit logs retained and reviewed</t>
        </is>
      </c>
      <c r="C41" s="4" t="n"/>
    </row>
    <row r="42">
      <c r="A42" t="inlineStr">
        <is>
          <t>☐</t>
        </is>
      </c>
      <c r="B42" t="inlineStr">
        <is>
          <t>Adaptive/risk-based MFA implemented</t>
        </is>
      </c>
      <c r="C42" s="4" t="n"/>
    </row>
    <row r="43">
      <c r="A43" s="3" t="inlineStr">
        <is>
          <t>Checklist Score:</t>
        </is>
      </c>
      <c r="B43" s="15">
        <f>COUNTIF(C24:C42,"Yes")/COUNTA(C24:C42)*100&amp;"%"</f>
        <v/>
      </c>
    </row>
    <row r="45">
      <c r="A45" s="14" t="inlineStr">
        <is>
          <t>MFA FACTOR SECURITY COMPARISON</t>
        </is>
      </c>
    </row>
    <row r="46">
      <c r="A46" s="5" t="inlineStr">
        <is>
          <t>MFA Factor</t>
        </is>
      </c>
      <c r="B46" s="5" t="inlineStr">
        <is>
          <t>Security Level</t>
        </is>
      </c>
      <c r="C46" s="5" t="inlineStr">
        <is>
          <t>Phishing Resistant</t>
        </is>
      </c>
      <c r="D46" s="5" t="inlineStr">
        <is>
          <t>User Convenience</t>
        </is>
      </c>
      <c r="E46" s="5" t="inlineStr">
        <is>
          <t>Recommended Use</t>
        </is>
      </c>
    </row>
    <row r="47">
      <c r="A47" s="8" t="inlineStr">
        <is>
          <t>FIDO2/WebAuthn (Hardware Key)</t>
        </is>
      </c>
      <c r="B47" s="8" t="inlineStr">
        <is>
          <t>Highest</t>
        </is>
      </c>
      <c r="C47" s="8" t="inlineStr">
        <is>
          <t>Yes</t>
        </is>
      </c>
      <c r="D47" s="8" t="inlineStr">
        <is>
          <t>High</t>
        </is>
      </c>
      <c r="E47" s="8" t="inlineStr">
        <is>
          <t>Privileged accounts, high-security</t>
        </is>
      </c>
    </row>
    <row r="48">
      <c r="A48" s="8" t="inlineStr">
        <is>
          <t>Certificate-based</t>
        </is>
      </c>
      <c r="B48" s="8" t="inlineStr">
        <is>
          <t>Highest</t>
        </is>
      </c>
      <c r="C48" s="8" t="inlineStr">
        <is>
          <t>Yes</t>
        </is>
      </c>
      <c r="D48" s="8" t="inlineStr">
        <is>
          <t>Medium</t>
        </is>
      </c>
      <c r="E48" s="8" t="inlineStr">
        <is>
          <t>Service accounts, automation</t>
        </is>
      </c>
    </row>
    <row r="49">
      <c r="A49" s="8" t="inlineStr">
        <is>
          <t>TOTP (Authenticator App)</t>
        </is>
      </c>
      <c r="B49" s="8" t="inlineStr">
        <is>
          <t>High</t>
        </is>
      </c>
      <c r="C49" s="8" t="inlineStr">
        <is>
          <t>No</t>
        </is>
      </c>
      <c r="D49" s="8" t="inlineStr">
        <is>
          <t>High</t>
        </is>
      </c>
      <c r="E49" s="8" t="inlineStr">
        <is>
          <t>General users, widely supported</t>
        </is>
      </c>
    </row>
    <row r="50">
      <c r="A50" s="8" t="inlineStr">
        <is>
          <t>Push Notification</t>
        </is>
      </c>
      <c r="B50" s="8" t="inlineStr">
        <is>
          <t>High</t>
        </is>
      </c>
      <c r="C50" s="8" t="inlineStr">
        <is>
          <t>Partial</t>
        </is>
      </c>
      <c r="D50" s="8" t="inlineStr">
        <is>
          <t>High</t>
        </is>
      </c>
      <c r="E50" s="8" t="inlineStr">
        <is>
          <t>General users, mobile-friendly</t>
        </is>
      </c>
    </row>
    <row r="51">
      <c r="A51" s="8" t="inlineStr">
        <is>
          <t>Biometric (with device trust)</t>
        </is>
      </c>
      <c r="B51" s="8" t="inlineStr">
        <is>
          <t>High</t>
        </is>
      </c>
      <c r="C51" s="8" t="inlineStr">
        <is>
          <t>Partial</t>
        </is>
      </c>
      <c r="D51" s="8" t="inlineStr">
        <is>
          <t>Highest</t>
        </is>
      </c>
      <c r="E51" s="8" t="inlineStr">
        <is>
          <t>Endpoints, mobile devices</t>
        </is>
      </c>
    </row>
    <row r="52">
      <c r="A52" s="8" t="inlineStr">
        <is>
          <t>SMS/Voice</t>
        </is>
      </c>
      <c r="B52" s="8" t="inlineStr">
        <is>
          <t>Low</t>
        </is>
      </c>
      <c r="C52" s="8" t="inlineStr">
        <is>
          <t>No</t>
        </is>
      </c>
      <c r="D52" s="8" t="inlineStr">
        <is>
          <t>Medium</t>
        </is>
      </c>
      <c r="E52" s="8" t="inlineStr">
        <is>
          <t>DEPRECATED - legacy only</t>
        </is>
      </c>
    </row>
    <row r="54">
      <c r="A54" s="14" t="inlineStr">
        <is>
          <t>MFA IMPLEMENTATION PRIORITIES</t>
        </is>
      </c>
    </row>
    <row r="55">
      <c r="A55" s="5" t="inlineStr">
        <is>
          <t>Priority</t>
        </is>
      </c>
      <c r="B55" s="5" t="inlineStr">
        <is>
          <t>Account Type</t>
        </is>
      </c>
      <c r="C55" s="5" t="inlineStr">
        <is>
          <t>MFA Requirement</t>
        </is>
      </c>
      <c r="D55" s="5" t="inlineStr">
        <is>
          <t>Recommended Factor</t>
        </is>
      </c>
    </row>
    <row r="56">
      <c r="A56" s="8" t="inlineStr">
        <is>
          <t>Critical</t>
        </is>
      </c>
      <c r="B56" s="8" t="inlineStr">
        <is>
          <t>Domain Administrators</t>
        </is>
      </c>
      <c r="C56" s="8" t="inlineStr">
        <is>
          <t>Required</t>
        </is>
      </c>
      <c r="D56" s="8" t="inlineStr">
        <is>
          <t>Hardware key + Backup TOTP</t>
        </is>
      </c>
    </row>
    <row r="57">
      <c r="A57" s="8" t="inlineStr">
        <is>
          <t>Critical</t>
        </is>
      </c>
      <c r="B57" s="8" t="inlineStr">
        <is>
          <t>Cloud Admins (AWS/Azure/GCP)</t>
        </is>
      </c>
      <c r="C57" s="8" t="inlineStr">
        <is>
          <t>Required</t>
        </is>
      </c>
      <c r="D57" s="8" t="inlineStr">
        <is>
          <t>Hardware key + Backup TOTP</t>
        </is>
      </c>
    </row>
    <row r="58">
      <c r="A58" s="8" t="inlineStr">
        <is>
          <t>Critical</t>
        </is>
      </c>
      <c r="B58" s="8" t="inlineStr">
        <is>
          <t>Privileged Access Management</t>
        </is>
      </c>
      <c r="C58" s="8" t="inlineStr">
        <is>
          <t>Required</t>
        </is>
      </c>
      <c r="D58" s="8" t="inlineStr">
        <is>
          <t>Hardware key or Certificate</t>
        </is>
      </c>
    </row>
    <row r="59">
      <c r="A59" s="8" t="inlineStr">
        <is>
          <t>High</t>
        </is>
      </c>
      <c r="B59" s="8" t="inlineStr">
        <is>
          <t>Standard Remote Users</t>
        </is>
      </c>
      <c r="C59" s="8" t="inlineStr">
        <is>
          <t>Required</t>
        </is>
      </c>
      <c r="D59" s="8" t="inlineStr">
        <is>
          <t>TOTP or Push</t>
        </is>
      </c>
    </row>
    <row r="60">
      <c r="A60" s="8" t="inlineStr">
        <is>
          <t>High</t>
        </is>
      </c>
      <c r="B60" s="8" t="inlineStr">
        <is>
          <t>Access to Confidential Data</t>
        </is>
      </c>
      <c r="C60" s="8" t="inlineStr">
        <is>
          <t>Required</t>
        </is>
      </c>
      <c r="D60" s="8" t="inlineStr">
        <is>
          <t>TOTP or Push</t>
        </is>
      </c>
    </row>
    <row r="61">
      <c r="A61" s="8" t="inlineStr">
        <is>
          <t>Medium</t>
        </is>
      </c>
      <c r="B61" s="8" t="inlineStr">
        <is>
          <t>Internal Users (on-premises)</t>
        </is>
      </c>
      <c r="C61" s="8" t="inlineStr">
        <is>
          <t>Recommended</t>
        </is>
      </c>
      <c r="D61" s="8" t="inlineStr">
        <is>
          <t>TOTP or Push</t>
        </is>
      </c>
    </row>
    <row r="62">
      <c r="A62" s="8" t="inlineStr">
        <is>
          <t>Low</t>
        </is>
      </c>
      <c r="B62" s="8" t="inlineStr">
        <is>
          <t>Read-only Public Data</t>
        </is>
      </c>
      <c r="C62" s="8" t="inlineStr">
        <is>
          <t>Optional</t>
        </is>
      </c>
      <c r="D62" s="8" t="inlineStr">
        <is>
          <t>TOTP</t>
        </is>
      </c>
    </row>
    <row r="64">
      <c r="A64" s="16" t="inlineStr">
        <is>
          <t>EXCEPTION / DEVIATION DOCUMENTATION (Complete if Status = Partial or Non-Compliant)</t>
        </is>
      </c>
    </row>
    <row r="65">
      <c r="A65" s="3" t="inlineStr">
        <is>
          <t>Formal exception request submitted:</t>
        </is>
      </c>
      <c r="B65" s="13" t="n"/>
    </row>
    <row r="66">
      <c r="A66" s="3" t="inlineStr">
        <is>
          <t>Exception ID:</t>
        </is>
      </c>
      <c r="B66" s="13" t="n"/>
    </row>
    <row r="67">
      <c r="A67" s="3" t="inlineStr">
        <is>
          <t>Risk acceptance documented:</t>
        </is>
      </c>
      <c r="B67" s="13" t="n"/>
    </row>
    <row r="68">
      <c r="A68" s="3" t="inlineStr">
        <is>
          <t>Risk ID:</t>
        </is>
      </c>
      <c r="B68" s="13" t="n"/>
    </row>
    <row r="69">
      <c r="A69" s="3" t="inlineStr">
        <is>
          <t>Compensating Controls (summary):</t>
        </is>
      </c>
      <c r="B69" s="13" t="n"/>
    </row>
    <row r="70">
      <c r="A70" s="3" t="inlineStr">
        <is>
          <t>☐ Enhanced monitoring and alerting</t>
        </is>
      </c>
      <c r="B70" s="13" t="n"/>
    </row>
    <row r="71">
      <c r="A71" s="3" t="inlineStr">
        <is>
          <t>☐ Network segmentation / restricted access</t>
        </is>
      </c>
      <c r="B71" s="13" t="n"/>
    </row>
    <row r="72">
      <c r="A72" s="3" t="inlineStr">
        <is>
          <t>☐ Additional authentication factor</t>
        </is>
      </c>
      <c r="B72" s="13" t="n"/>
    </row>
    <row r="73">
      <c r="A73" s="3" t="inlineStr">
        <is>
          <t>☐ Manual approval process</t>
        </is>
      </c>
      <c r="B73" s="13" t="n"/>
    </row>
    <row r="74">
      <c r="A74" s="3" t="inlineStr">
        <is>
          <t>☐ Increased audit frequency</t>
        </is>
      </c>
      <c r="B74" s="13" t="n"/>
    </row>
    <row r="75">
      <c r="A75" s="3" t="inlineStr">
        <is>
          <t>☐ Time-limited exception (expiry date required)</t>
        </is>
      </c>
      <c r="B75" s="13" t="n"/>
    </row>
    <row r="76">
      <c r="A76" s="3" t="inlineStr">
        <is>
          <t>☐ Other (describe):</t>
        </is>
      </c>
      <c r="B76" s="13" t="n"/>
    </row>
    <row r="78">
      <c r="A78" s="14" t="inlineStr">
        <is>
          <t>ADDITIONAL NOTES / COMMENTS</t>
        </is>
      </c>
    </row>
    <row r="79">
      <c r="A79" s="17" t="n"/>
    </row>
    <row r="80"/>
    <row r="81"/>
    <row r="82"/>
    <row r="83"/>
    <row r="84"/>
    <row r="85"/>
    <row r="86"/>
    <row r="87"/>
  </sheetData>
  <mergeCells count="17">
    <mergeCell ref="B72:D72"/>
    <mergeCell ref="A1:W1"/>
    <mergeCell ref="B66:D66"/>
    <mergeCell ref="B67:D67"/>
    <mergeCell ref="B76:D76"/>
    <mergeCell ref="B75:D75"/>
    <mergeCell ref="B71:D71"/>
    <mergeCell ref="A79:W87"/>
    <mergeCell ref="A3:W3"/>
    <mergeCell ref="B73:D73"/>
    <mergeCell ref="B74:D74"/>
    <mergeCell ref="A78:W78"/>
    <mergeCell ref="A64:W64"/>
    <mergeCell ref="B65:D65"/>
    <mergeCell ref="B68:D68"/>
    <mergeCell ref="B70:D70"/>
    <mergeCell ref="B69:D69"/>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showDropDown="0" showInputMessage="0" showErrorMessage="0" allowBlank="0" type="list">
      <formula1>"Yes,No,N/A"</formula1>
    </dataValidation>
    <dataValidation sqref="B65 B67" showDropDown="0" showInputMessage="0" showErrorMessage="0" allowBlank="0" type="list">
      <formula1>"Yes,No"</formula1>
    </dataValidation>
    <dataValidation sqref="R8 R9 R10 R11 R12 R13 R14 R15 R16 R17 R18 R19 R20" showDropDown="0" showInputMessage="0" showErrorMessage="0" allowBlank="0" type="list">
      <formula1>"TOTP (Authenticator App),Push Notification,SMS (Deprecated),Hardware Token,Biometric,Certificate,None,N/A"</formula1>
    </dataValidation>
    <dataValidation sqref="S8 S9 S10 S11 S12 S13 S14 S15 S16 S17 S18 S19 S20" showDropDown="0" showInputMessage="0" showErrorMessage="0" allowBlank="0" type="list">
      <formula1>"100%,90-99%,75-89%,&lt;75%,N/A"</formula1>
    </dataValidation>
    <dataValidation sqref="T8 T9 T10 T11 T12 T13 T14 T15 T16 T17 T18 T19 T20" showDropDown="0" showInputMessage="0" showErrorMessage="0" allowBlank="0" type="list">
      <formula1>"Required,Optional,Not Configured,N/A"</formula1>
    </dataValidation>
    <dataValidation sqref="V8 V9 V10 V11 V12 V13 V14 V15 V16 V17 V18 V19 V20" showDropDown="0" showInputMessage="0" showErrorMessage="0" allowBlank="0" type="list">
      <formula1>"Never,With Approval,Emergency Only,Always (Non-compliant),N/A"</formula1>
    </dataValidation>
    <dataValidation sqref="U8 U9 U10 U11 U12 U13 U14 U15 U16 U17 U18 U19 U20 W8 W9 W10 W11 W12 W13 W14 W15 W16 W17 W18 W19 W20"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7"/>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5" customWidth="1" min="19" max="19"/>
    <col width="18" customWidth="1" min="20" max="20"/>
    <col width="16" customWidth="1" min="21" max="21"/>
    <col width="18" customWidth="1" min="22" max="22"/>
    <col width="18" customWidth="1" min="23" max="23"/>
    <col width="18" customWidth="1" min="24" max="24"/>
  </cols>
  <sheetData>
    <row r="1" ht="40" customHeight="1">
      <c r="A1" s="1" t="inlineStr">
        <is>
          <t>3. CERTIFICATE-BASED AUTHENTICATION - PKI &amp; DIGITAL CERTIFICATES
Policy Requirement: Certificate-based authentication REQUIRED for service accounts, automated processes, and high-security environments. Certificates issued from trusted CA with proper key management (Policy Section 2.5.3)</t>
        </is>
      </c>
    </row>
    <row r="3" ht="30" customHeight="1">
      <c r="A3" s="11" t="inlineStr">
        <is>
          <t>Does your organization use digital certificates for authentication (client certificates, smart cards, machine authentication)?</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Certificate Type</t>
        </is>
      </c>
      <c r="S6" s="5" t="inlineStr">
        <is>
          <t>Issuing CA</t>
        </is>
      </c>
      <c r="T6" s="5" t="inlineStr">
        <is>
          <t>Key Algorithm</t>
        </is>
      </c>
      <c r="U6" s="5" t="inlineStr">
        <is>
          <t>Certificate Validity</t>
        </is>
      </c>
      <c r="V6" s="5" t="inlineStr">
        <is>
          <t>CRL/OCSP Configured</t>
        </is>
      </c>
      <c r="W6" s="5" t="inlineStr">
        <is>
          <t>Smart Card Required</t>
        </is>
      </c>
      <c r="X6" s="5" t="inlineStr">
        <is>
          <t>PIV/CAC Compliant</t>
        </is>
      </c>
    </row>
    <row r="7">
      <c r="A7" s="12" t="inlineStr">
        <is>
          <t>Example: VPN Gateway - Cisco ASA</t>
        </is>
      </c>
      <c r="B7" s="12" t="inlineStr">
        <is>
          <t>Certificate</t>
        </is>
      </c>
      <c r="C7" s="12" t="inlineStr">
        <is>
          <t>End User</t>
        </is>
      </c>
      <c r="D7" s="12" t="inlineStr">
        <is>
          <t>Confidential</t>
        </is>
      </c>
      <c r="E7" s="12" t="inlineStr">
        <is>
          <t>RSA-3072</t>
        </is>
      </c>
      <c r="F7" s="12" t="inlineStr">
        <is>
          <t>Encrypted</t>
        </is>
      </c>
      <c r="G7" s="12" t="inlineStr">
        <is>
          <t>N/A</t>
        </is>
      </c>
      <c r="H7" s="12" t="inlineStr">
        <is>
          <t>✅ Compliant</t>
        </is>
      </c>
      <c r="I7" s="12" t="inlineStr">
        <is>
          <t>/evidence/auth/vpn-cert-config.pdf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Client Certificate</t>
        </is>
      </c>
      <c r="S7" s="12" t="inlineStr">
        <is>
          <t>Internal CA</t>
        </is>
      </c>
      <c r="T7" s="12" t="inlineStr">
        <is>
          <t>RSA-3072</t>
        </is>
      </c>
      <c r="U7" s="12" t="inlineStr">
        <is>
          <t>≤1 year</t>
        </is>
      </c>
      <c r="V7" s="12" t="inlineStr">
        <is>
          <t>Yes</t>
        </is>
      </c>
      <c r="W7" s="12" t="inlineStr">
        <is>
          <t>No</t>
        </is>
      </c>
      <c r="X7" s="12" t="inlineStr">
        <is>
          <t>No</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3. CERTIFICATE CHECKLIST</t>
        </is>
      </c>
    </row>
    <row r="23">
      <c r="A23" s="3" t="inlineStr">
        <is>
          <t>☐</t>
        </is>
      </c>
      <c r="B23" s="3" t="inlineStr">
        <is>
          <t>Requirement</t>
        </is>
      </c>
      <c r="C23" s="3" t="inlineStr">
        <is>
          <t>Status</t>
        </is>
      </c>
    </row>
    <row r="24">
      <c r="A24" t="inlineStr">
        <is>
          <t>☐</t>
        </is>
      </c>
      <c r="B24" t="inlineStr">
        <is>
          <t>Certificates issued from trusted CA (internal PKI or public CA)</t>
        </is>
      </c>
      <c r="C24" s="4" t="n"/>
    </row>
    <row r="25">
      <c r="A25" t="inlineStr">
        <is>
          <t>☐</t>
        </is>
      </c>
      <c r="B25" t="inlineStr">
        <is>
          <t>Certificate-based auth required for service accounts</t>
        </is>
      </c>
      <c r="C25" s="4" t="n"/>
    </row>
    <row r="26">
      <c r="A26" t="inlineStr">
        <is>
          <t>☐</t>
        </is>
      </c>
      <c r="B26" t="inlineStr">
        <is>
          <t>Certificate-based auth required for automated processes</t>
        </is>
      </c>
      <c r="C26" s="4" t="n"/>
    </row>
    <row r="27">
      <c r="A27" t="inlineStr">
        <is>
          <t>☐</t>
        </is>
      </c>
      <c r="B27" t="inlineStr">
        <is>
          <t>Client certificates used for VPN/remote access</t>
        </is>
      </c>
      <c r="C27" s="4" t="n"/>
    </row>
    <row r="28">
      <c r="A28" t="inlineStr">
        <is>
          <t>☐</t>
        </is>
      </c>
      <c r="B28" t="inlineStr">
        <is>
          <t>Smart cards issued for privileged users</t>
        </is>
      </c>
      <c r="C28" s="4" t="n"/>
    </row>
    <row r="29">
      <c r="A29" t="inlineStr">
        <is>
          <t>☐</t>
        </is>
      </c>
      <c r="B29" t="inlineStr">
        <is>
          <t>Machine/device certificates for endpoint authentication</t>
        </is>
      </c>
      <c r="C29" s="4" t="n"/>
    </row>
    <row r="30">
      <c r="A30" t="inlineStr">
        <is>
          <t>☐</t>
        </is>
      </c>
      <c r="B30" t="inlineStr">
        <is>
          <t>Certificate validity ≤2 years (1 year preferred)</t>
        </is>
      </c>
      <c r="C30" s="4" t="n"/>
    </row>
    <row r="31">
      <c r="A31" t="inlineStr">
        <is>
          <t>☐</t>
        </is>
      </c>
      <c r="B31" t="inlineStr">
        <is>
          <t>Certificate revocation checking enabled (CRL/OCSP)</t>
        </is>
      </c>
      <c r="C31" s="4" t="n"/>
    </row>
    <row r="32">
      <c r="A32" t="inlineStr">
        <is>
          <t>☐</t>
        </is>
      </c>
      <c r="B32" t="inlineStr">
        <is>
          <t>Certificate pinning implemented for critical services</t>
        </is>
      </c>
      <c r="C32" s="4" t="n"/>
    </row>
    <row r="33">
      <c r="A33" t="inlineStr">
        <is>
          <t>☐</t>
        </is>
      </c>
      <c r="B33" t="inlineStr">
        <is>
          <t>Private keys stored in HSM/TPM/smart card</t>
        </is>
      </c>
      <c r="C33" s="4" t="n"/>
    </row>
    <row r="34">
      <c r="A34" t="inlineStr">
        <is>
          <t>☐</t>
        </is>
      </c>
      <c r="B34" t="inlineStr">
        <is>
          <t>Private keys never exported in plaintext</t>
        </is>
      </c>
      <c r="C34" s="4" t="n"/>
    </row>
    <row r="35">
      <c r="A35" t="inlineStr">
        <is>
          <t>☐</t>
        </is>
      </c>
      <c r="B35" t="inlineStr">
        <is>
          <t>Certificate enrollment process documented</t>
        </is>
      </c>
      <c r="C35" s="4" t="n"/>
    </row>
    <row r="36">
      <c r="A36" t="inlineStr">
        <is>
          <t>☐</t>
        </is>
      </c>
      <c r="B36" t="inlineStr">
        <is>
          <t>Certificate inventory maintained</t>
        </is>
      </c>
      <c r="C36" s="4" t="n"/>
    </row>
    <row r="37">
      <c r="A37" t="inlineStr">
        <is>
          <t>☐</t>
        </is>
      </c>
      <c r="B37" t="inlineStr">
        <is>
          <t>Certificate expiration monitoring configured</t>
        </is>
      </c>
      <c r="C37" s="4" t="n"/>
    </row>
    <row r="38">
      <c r="A38" t="inlineStr">
        <is>
          <t>☐</t>
        </is>
      </c>
      <c r="B38" t="inlineStr">
        <is>
          <t>Mutual TLS (mTLS) implemented for API authentication</t>
        </is>
      </c>
      <c r="C38" s="4" t="n"/>
    </row>
    <row r="39">
      <c r="A39" t="inlineStr">
        <is>
          <t>☐</t>
        </is>
      </c>
      <c r="B39" t="inlineStr">
        <is>
          <t>PIV/CAC compliance (government/high-security)</t>
        </is>
      </c>
      <c r="C39" s="4" t="n"/>
    </row>
    <row r="40">
      <c r="A40" t="inlineStr">
        <is>
          <t>☐</t>
        </is>
      </c>
      <c r="B40" t="inlineStr">
        <is>
          <t>Certificate-based SSH authentication enabled</t>
        </is>
      </c>
      <c r="C40" s="4" t="n"/>
    </row>
    <row r="41">
      <c r="A41" t="inlineStr">
        <is>
          <t>☐</t>
        </is>
      </c>
      <c r="B41" t="inlineStr">
        <is>
          <t>Certificate revocation process tested</t>
        </is>
      </c>
      <c r="C41" s="4" t="n"/>
    </row>
    <row r="42">
      <c r="A42" s="3" t="inlineStr">
        <is>
          <t>Checklist Score:</t>
        </is>
      </c>
      <c r="B42" s="15">
        <f>COUNTIF(C24:C41,"Yes")/COUNTA(C24:C41)*100&amp;"%"</f>
        <v/>
      </c>
    </row>
    <row r="44">
      <c r="A44" s="14" t="inlineStr">
        <is>
          <t>CERTIFICATE AUTHENTICATION USE CASES</t>
        </is>
      </c>
    </row>
    <row r="45">
      <c r="A45" s="5" t="inlineStr">
        <is>
          <t>Use Case</t>
        </is>
      </c>
      <c r="B45" s="5" t="inlineStr">
        <is>
          <t>Certificate Type</t>
        </is>
      </c>
      <c r="C45" s="5" t="inlineStr">
        <is>
          <t>Key Algorithm</t>
        </is>
      </c>
      <c r="D45" s="5" t="inlineStr">
        <is>
          <t>Validity</t>
        </is>
      </c>
      <c r="E45" s="5" t="inlineStr">
        <is>
          <t>Storage</t>
        </is>
      </c>
    </row>
    <row r="46">
      <c r="A46" s="8" t="inlineStr">
        <is>
          <t>Service Account Auth</t>
        </is>
      </c>
      <c r="B46" s="8" t="inlineStr">
        <is>
          <t>Client Certificate</t>
        </is>
      </c>
      <c r="C46" s="8" t="inlineStr">
        <is>
          <t>RSA-3072+</t>
        </is>
      </c>
      <c r="D46" s="8" t="inlineStr">
        <is>
          <t>1 year</t>
        </is>
      </c>
      <c r="E46" s="8" t="inlineStr">
        <is>
          <t>HSM/KMS</t>
        </is>
      </c>
    </row>
    <row r="47">
      <c r="A47" s="8" t="inlineStr">
        <is>
          <t>Smart Card Login</t>
        </is>
      </c>
      <c r="B47" s="8" t="inlineStr">
        <is>
          <t>User Certificate (PIV)</t>
        </is>
      </c>
      <c r="C47" s="8" t="inlineStr">
        <is>
          <t>RSA-2048+ or ECDSA P-256+</t>
        </is>
      </c>
      <c r="D47" s="8" t="inlineStr">
        <is>
          <t>1-3 years</t>
        </is>
      </c>
      <c r="E47" s="8" t="inlineStr">
        <is>
          <t>Smart Card</t>
        </is>
      </c>
    </row>
    <row r="48">
      <c r="A48" s="8" t="inlineStr">
        <is>
          <t>VPN Client Auth</t>
        </is>
      </c>
      <c r="B48" s="8" t="inlineStr">
        <is>
          <t>Client Certificate</t>
        </is>
      </c>
      <c r="C48" s="8" t="inlineStr">
        <is>
          <t>RSA-3072+ or ECDSA P-256+</t>
        </is>
      </c>
      <c r="D48" s="8" t="inlineStr">
        <is>
          <t>1 year</t>
        </is>
      </c>
      <c r="E48" s="8" t="inlineStr">
        <is>
          <t>TPM/Smart Card</t>
        </is>
      </c>
    </row>
    <row r="49">
      <c r="A49" s="8" t="inlineStr">
        <is>
          <t>Machine/Device Auth</t>
        </is>
      </c>
      <c r="B49" s="8" t="inlineStr">
        <is>
          <t>Device Certificate</t>
        </is>
      </c>
      <c r="C49" s="8" t="inlineStr">
        <is>
          <t>RSA-2048+ or ECDSA P-256+</t>
        </is>
      </c>
      <c r="D49" s="8" t="inlineStr">
        <is>
          <t>1-2 years</t>
        </is>
      </c>
      <c r="E49" s="8" t="inlineStr">
        <is>
          <t>TPM</t>
        </is>
      </c>
    </row>
    <row r="50">
      <c r="A50" s="8" t="inlineStr">
        <is>
          <t>Mutual TLS (mTLS)</t>
        </is>
      </c>
      <c r="B50" s="8" t="inlineStr">
        <is>
          <t>Client &amp; Server Cert</t>
        </is>
      </c>
      <c r="C50" s="8" t="inlineStr">
        <is>
          <t>RSA-3072+ or ECDSA P-256+</t>
        </is>
      </c>
      <c r="D50" s="8" t="inlineStr">
        <is>
          <t>1 year</t>
        </is>
      </c>
      <c r="E50" s="8" t="inlineStr">
        <is>
          <t>HSM/KMS</t>
        </is>
      </c>
    </row>
    <row r="51">
      <c r="A51" s="8" t="inlineStr">
        <is>
          <t>Code Signing</t>
        </is>
      </c>
      <c r="B51" s="8" t="inlineStr">
        <is>
          <t>Code Signing Cert</t>
        </is>
      </c>
      <c r="C51" s="8" t="inlineStr">
        <is>
          <t>RSA-3072+</t>
        </is>
      </c>
      <c r="D51" s="8" t="inlineStr">
        <is>
          <t>1-3 years</t>
        </is>
      </c>
      <c r="E51" s="8" t="inlineStr">
        <is>
          <t>Hardware Token</t>
        </is>
      </c>
    </row>
    <row r="52">
      <c r="A52" s="8" t="inlineStr">
        <is>
          <t>Email Signing (S/MIME)</t>
        </is>
      </c>
      <c r="B52" s="8" t="inlineStr">
        <is>
          <t>Email Certificate</t>
        </is>
      </c>
      <c r="C52" s="8" t="inlineStr">
        <is>
          <t>RSA-2048+ or ECDSA P-256+</t>
        </is>
      </c>
      <c r="D52" s="8" t="inlineStr">
        <is>
          <t>1 year</t>
        </is>
      </c>
      <c r="E52" s="8" t="inlineStr">
        <is>
          <t>Smart Card/Keystore</t>
        </is>
      </c>
    </row>
    <row r="54">
      <c r="A54" s="14" t="inlineStr">
        <is>
          <t>PKI INFRASTRUCTURE CHECKLIST</t>
        </is>
      </c>
    </row>
    <row r="55">
      <c r="A55" s="5" t="inlineStr">
        <is>
          <t>Component</t>
        </is>
      </c>
      <c r="B55" s="5" t="inlineStr">
        <is>
          <t>Requirement</t>
        </is>
      </c>
      <c r="C55" s="5" t="inlineStr">
        <is>
          <t>Implementation Status</t>
        </is>
      </c>
    </row>
    <row r="56">
      <c r="A56" s="8" t="inlineStr">
        <is>
          <t>Root CA</t>
        </is>
      </c>
      <c r="B56" s="8" t="inlineStr">
        <is>
          <t>Offline, HSM-protected</t>
        </is>
      </c>
      <c r="C56" s="13" t="inlineStr"/>
    </row>
    <row r="57">
      <c r="A57" s="8" t="inlineStr">
        <is>
          <t>Issuing CA</t>
        </is>
      </c>
      <c r="B57" s="8" t="inlineStr">
        <is>
          <t>Online, HSM-protected</t>
        </is>
      </c>
      <c r="C57" s="13" t="inlineStr"/>
    </row>
    <row r="58">
      <c r="A58" s="8" t="inlineStr">
        <is>
          <t>Registration Authority</t>
        </is>
      </c>
      <c r="B58" s="8" t="inlineStr">
        <is>
          <t>Enrollment process automation</t>
        </is>
      </c>
      <c r="C58" s="13" t="inlineStr"/>
    </row>
    <row r="59">
      <c r="A59" s="8" t="inlineStr">
        <is>
          <t>CRL Distribution</t>
        </is>
      </c>
      <c r="B59" s="8" t="inlineStr">
        <is>
          <t>HTTP/LDAP accessible</t>
        </is>
      </c>
      <c r="C59" s="13" t="inlineStr"/>
    </row>
    <row r="60">
      <c r="A60" s="8" t="inlineStr">
        <is>
          <t>OCSP Responder</t>
        </is>
      </c>
      <c r="B60" s="8" t="inlineStr">
        <is>
          <t>Real-time revocation checking</t>
        </is>
      </c>
      <c r="C60" s="13" t="inlineStr"/>
    </row>
    <row r="61">
      <c r="A61" s="8" t="inlineStr">
        <is>
          <t>Certificate Templates</t>
        </is>
      </c>
      <c r="B61" s="8" t="inlineStr">
        <is>
          <t>Standardized certificate profiles</t>
        </is>
      </c>
      <c r="C61" s="13" t="inlineStr"/>
    </row>
    <row r="62">
      <c r="A62" s="8" t="inlineStr">
        <is>
          <t>Auto-enrollment</t>
        </is>
      </c>
      <c r="B62" s="8" t="inlineStr">
        <is>
          <t>User/machine certificate automation</t>
        </is>
      </c>
      <c r="C62" s="13" t="inlineStr"/>
    </row>
    <row r="64">
      <c r="A64" s="16" t="inlineStr">
        <is>
          <t>EXCEPTION / DEVIATION DOCUMENTATION (Complete if Status = Partial or Non-Compliant)</t>
        </is>
      </c>
    </row>
    <row r="65">
      <c r="A65" s="3" t="inlineStr">
        <is>
          <t>Formal exception request submitted:</t>
        </is>
      </c>
      <c r="B65" s="13" t="n"/>
    </row>
    <row r="66">
      <c r="A66" s="3" t="inlineStr">
        <is>
          <t>Exception ID:</t>
        </is>
      </c>
      <c r="B66" s="13" t="n"/>
    </row>
    <row r="67">
      <c r="A67" s="3" t="inlineStr">
        <is>
          <t>Risk acceptance documented:</t>
        </is>
      </c>
      <c r="B67" s="13" t="n"/>
    </row>
    <row r="68">
      <c r="A68" s="3" t="inlineStr">
        <is>
          <t>Risk ID:</t>
        </is>
      </c>
      <c r="B68" s="13" t="n"/>
    </row>
    <row r="69">
      <c r="A69" s="3" t="inlineStr">
        <is>
          <t>Compensating Controls (summary):</t>
        </is>
      </c>
      <c r="B69" s="13" t="n"/>
    </row>
    <row r="70">
      <c r="A70" s="3" t="inlineStr">
        <is>
          <t>☐ Enhanced monitoring and alerting</t>
        </is>
      </c>
      <c r="B70" s="13" t="n"/>
    </row>
    <row r="71">
      <c r="A71" s="3" t="inlineStr">
        <is>
          <t>☐ Network segmentation / restricted access</t>
        </is>
      </c>
      <c r="B71" s="13" t="n"/>
    </row>
    <row r="72">
      <c r="A72" s="3" t="inlineStr">
        <is>
          <t>☐ Additional authentication factor</t>
        </is>
      </c>
      <c r="B72" s="13" t="n"/>
    </row>
    <row r="73">
      <c r="A73" s="3" t="inlineStr">
        <is>
          <t>☐ Manual approval process</t>
        </is>
      </c>
      <c r="B73" s="13" t="n"/>
    </row>
    <row r="74">
      <c r="A74" s="3" t="inlineStr">
        <is>
          <t>☐ Increased audit frequency</t>
        </is>
      </c>
      <c r="B74" s="13" t="n"/>
    </row>
    <row r="75">
      <c r="A75" s="3" t="inlineStr">
        <is>
          <t>☐ Time-limited exception (expiry date required)</t>
        </is>
      </c>
      <c r="B75" s="13" t="n"/>
    </row>
    <row r="76">
      <c r="A76" s="3" t="inlineStr">
        <is>
          <t>☐ Other (describe):</t>
        </is>
      </c>
      <c r="B76" s="13" t="n"/>
    </row>
    <row r="78">
      <c r="A78" s="14" t="inlineStr">
        <is>
          <t>ADDITIONAL NOTES / COMMENTS</t>
        </is>
      </c>
    </row>
    <row r="79">
      <c r="A79" s="17" t="n"/>
    </row>
    <row r="80"/>
    <row r="81"/>
    <row r="82"/>
    <row r="83"/>
    <row r="84"/>
    <row r="85"/>
    <row r="86"/>
    <row r="87"/>
  </sheetData>
  <mergeCells count="17">
    <mergeCell ref="A79:X87"/>
    <mergeCell ref="B72:D72"/>
    <mergeCell ref="A3:X3"/>
    <mergeCell ref="B66:D66"/>
    <mergeCell ref="B67:D67"/>
    <mergeCell ref="B76:D76"/>
    <mergeCell ref="A78:X78"/>
    <mergeCell ref="B75:D75"/>
    <mergeCell ref="B71:D71"/>
    <mergeCell ref="A64:X64"/>
    <mergeCell ref="B73:D73"/>
    <mergeCell ref="B74:D74"/>
    <mergeCell ref="B70:D70"/>
    <mergeCell ref="B65:D65"/>
    <mergeCell ref="A1:X1"/>
    <mergeCell ref="B68:D68"/>
    <mergeCell ref="B69:D69"/>
  </mergeCells>
  <dataValidations count="23">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showDropDown="0" showInputMessage="0" showErrorMessage="0" allowBlank="0" type="list">
      <formula1>"Yes,No,N/A"</formula1>
    </dataValidation>
    <dataValidation sqref="B65 B67" showDropDown="0" showInputMessage="0" showErrorMessage="0" allowBlank="0" type="list">
      <formula1>"Yes,No"</formula1>
    </dataValidation>
    <dataValidation sqref="R8 R9 R10 R11 R12 R13 R14 R15 R16 R17 R18 R19 R20" showDropDown="0" showInputMessage="0" showErrorMessage="0" allowBlank="0" type="list">
      <formula1>"Client Certificate,Smart Card,Machine/Device,Code Signing,Email,User,N/A"</formula1>
    </dataValidation>
    <dataValidation sqref="U8 U9 U10 U11 U12 U13 U14 U15 U16 U17 U18 U19 U20" showDropDown="0" showInputMessage="0" showErrorMessage="0" allowBlank="0" type="list">
      <formula1>"≤1 year,1-2 years,&gt;2 years,Expired,N/A"</formula1>
    </dataValidation>
    <dataValidation sqref="T8 T9 T10 T11 T12 T13 T14 T15 T16 T17 T18 T19 T20" showDropDown="0" showInputMessage="0" showErrorMessage="0" allowBlank="0" type="list">
      <formula1>"RSA-4096,RSA-3072,RSA-2048,ECDSA P-256,ECDSA P-384,Ed25519,N/A"</formula1>
    </dataValidation>
    <dataValidation sqref="V8 V9 V10 V11 V12 V13 V14 V15 V16 V17 V18 V19 V20 W8 W9 W10 W11 W12 W13 W14 W15 W16 W17 W18 W19 W20 X8 X9 X10 X11 X12 X13 X14 X15 X16 X17 X18 X19 X20" showDropDown="0" showInputMessage="0" showErrorMessage="0" allowBlank="0" type="list">
      <formula1>"Yes,No,N/A"</formula1>
    </dataValidation>
    <dataValidation sqref="C56" showDropDown="0" showInputMessage="0" showErrorMessage="0" allowBlank="0" type="list">
      <formula1>"Implemented,Planned,Not Implemented"</formula1>
    </dataValidation>
    <dataValidation sqref="C57" showDropDown="0" showInputMessage="0" showErrorMessage="0" allowBlank="0" type="list">
      <formula1>"Implemented,Planned,Not Implemented"</formula1>
    </dataValidation>
    <dataValidation sqref="C58" showDropDown="0" showInputMessage="0" showErrorMessage="0" allowBlank="0" type="list">
      <formula1>"Implemented,Planned,Not Implemented"</formula1>
    </dataValidation>
    <dataValidation sqref="C59" showDropDown="0" showInputMessage="0" showErrorMessage="0" allowBlank="0" type="list">
      <formula1>"Implemented,Planned,Not Implemented"</formula1>
    </dataValidation>
    <dataValidation sqref="C60" showDropDown="0" showInputMessage="0" showErrorMessage="0" allowBlank="0" type="list">
      <formula1>"Implemented,Planned,Not Implemented"</formula1>
    </dataValidation>
    <dataValidation sqref="C61" showDropDown="0" showInputMessage="0" showErrorMessage="0" allowBlank="0" type="list">
      <formula1>"Implemented,Planned,Not Implemented"</formula1>
    </dataValidation>
    <dataValidation sqref="C62" showDropDown="0" showInputMessage="0" showErrorMessage="0" allowBlank="0" type="list">
      <formula1>"Implemented,Planned,Not Implemented"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87"/>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0" customWidth="1" min="19" max="19"/>
    <col width="18" customWidth="1" min="20" max="20"/>
    <col width="16" customWidth="1" min="21" max="21"/>
    <col width="18" customWidth="1" min="22" max="22"/>
    <col width="18" customWidth="1" min="23" max="23"/>
    <col width="16" customWidth="1" min="24" max="24"/>
  </cols>
  <sheetData>
    <row r="1" ht="40" customHeight="1">
      <c r="A1" s="1" t="inlineStr">
        <is>
          <t>4. SERVICE ACCOUNTS - NON-HUMAN AUTHENTICATION
Policy Requirement: Service accounts MUST use certificate-based authentication or long random passwords (≥20 characters). Password expiry disabled with monitoring. MFA or certificate preferred (Policy Section 2.5.4)</t>
        </is>
      </c>
    </row>
    <row r="3" ht="30" customHeight="1">
      <c r="A3" s="11" t="inlineStr">
        <is>
          <t>Does your organization use service accounts for application-to-application or automated process authentication?</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Service Account Type</t>
        </is>
      </c>
      <c r="S6" s="5" t="inlineStr">
        <is>
          <t>Auth Method</t>
        </is>
      </c>
      <c r="T6" s="5" t="inlineStr">
        <is>
          <t>Password Rotation</t>
        </is>
      </c>
      <c r="U6" s="5" t="inlineStr">
        <is>
          <t>Privileged Account</t>
        </is>
      </c>
      <c r="V6" s="5" t="inlineStr">
        <is>
          <t>Account Monitoring</t>
        </is>
      </c>
      <c r="W6" s="5" t="inlineStr">
        <is>
          <t>Interactive Login</t>
        </is>
      </c>
      <c r="X6" s="5" t="inlineStr">
        <is>
          <t>Least Privilege</t>
        </is>
      </c>
    </row>
    <row r="7">
      <c r="A7" s="12" t="inlineStr">
        <is>
          <t>Example: Database Service Account - SQL_SVC</t>
        </is>
      </c>
      <c r="B7" s="12" t="inlineStr">
        <is>
          <t>Service Account</t>
        </is>
      </c>
      <c r="C7" s="12" t="inlineStr">
        <is>
          <t>Service Account</t>
        </is>
      </c>
      <c r="D7" s="12" t="inlineStr">
        <is>
          <t>Restricted</t>
        </is>
      </c>
      <c r="E7" s="12" t="inlineStr">
        <is>
          <t>Certificate</t>
        </is>
      </c>
      <c r="F7" s="12" t="inlineStr">
        <is>
          <t>Encrypted</t>
        </is>
      </c>
      <c r="G7" s="12" t="inlineStr">
        <is>
          <t>N/A</t>
        </is>
      </c>
      <c r="H7" s="12" t="inlineStr">
        <is>
          <t>✅ Compliant</t>
        </is>
      </c>
      <c r="I7" s="12" t="inlineStr">
        <is>
          <t>/evidence/auth/sqlsvc-cert.pdf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Database Service</t>
        </is>
      </c>
      <c r="S7" s="12" t="inlineStr">
        <is>
          <t>Certificate</t>
        </is>
      </c>
      <c r="T7" s="12" t="inlineStr">
        <is>
          <t>Never (Monitored)</t>
        </is>
      </c>
      <c r="U7" s="12" t="inlineStr">
        <is>
          <t>Yes</t>
        </is>
      </c>
      <c r="V7" s="12" t="inlineStr">
        <is>
          <t>Yes</t>
        </is>
      </c>
      <c r="W7" s="12" t="inlineStr">
        <is>
          <t>Disabled</t>
        </is>
      </c>
      <c r="X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4. SERVICE ACCOUNTS CHECKLIST</t>
        </is>
      </c>
    </row>
    <row r="23">
      <c r="A23" s="3" t="inlineStr">
        <is>
          <t>☐</t>
        </is>
      </c>
      <c r="B23" s="3" t="inlineStr">
        <is>
          <t>Requirement</t>
        </is>
      </c>
      <c r="C23" s="3" t="inlineStr">
        <is>
          <t>Status</t>
        </is>
      </c>
    </row>
    <row r="24">
      <c r="A24" t="inlineStr">
        <is>
          <t>☐</t>
        </is>
      </c>
      <c r="B24" t="inlineStr">
        <is>
          <t>Service account inventory maintained and up to date</t>
        </is>
      </c>
      <c r="C24" s="4" t="n"/>
    </row>
    <row r="25">
      <c r="A25" t="inlineStr">
        <is>
          <t>☐</t>
        </is>
      </c>
      <c r="B25" t="inlineStr">
        <is>
          <t>Certificate-based authentication used (preferred)</t>
        </is>
      </c>
      <c r="C25" s="4" t="n"/>
    </row>
    <row r="26">
      <c r="A26" t="inlineStr">
        <is>
          <t>☐</t>
        </is>
      </c>
      <c r="B26" t="inlineStr">
        <is>
          <t>Managed identities used for cloud services (AWS IAM, Azure MI)</t>
        </is>
      </c>
      <c r="C26" s="4" t="n"/>
    </row>
    <row r="27">
      <c r="A27" t="inlineStr">
        <is>
          <t>☐</t>
        </is>
      </c>
      <c r="B27" t="inlineStr">
        <is>
          <t>Long random passwords (≥20 characters) if certificate not available</t>
        </is>
      </c>
      <c r="C27" s="4" t="n"/>
    </row>
    <row r="28">
      <c r="A28" t="inlineStr">
        <is>
          <t>☐</t>
        </is>
      </c>
      <c r="B28" t="inlineStr">
        <is>
          <t>Password expiry disabled with compensating monitoring</t>
        </is>
      </c>
      <c r="C28" s="4" t="n"/>
    </row>
    <row r="29">
      <c r="A29" t="inlineStr">
        <is>
          <t>☐</t>
        </is>
      </c>
      <c r="B29" t="inlineStr">
        <is>
          <t>Service account passwords stored in secrets vault</t>
        </is>
      </c>
      <c r="C29" s="4" t="n"/>
    </row>
    <row r="30">
      <c r="A30" t="inlineStr">
        <is>
          <t>☐</t>
        </is>
      </c>
      <c r="B30" t="inlineStr">
        <is>
          <t>Service account passwords NEVER hardcoded in code</t>
        </is>
      </c>
      <c r="C30" s="4" t="n"/>
    </row>
    <row r="31">
      <c r="A31" t="inlineStr">
        <is>
          <t>☐</t>
        </is>
      </c>
      <c r="B31" t="inlineStr">
        <is>
          <t>Service account passwords NEVER in configuration files</t>
        </is>
      </c>
      <c r="C31" s="4" t="n"/>
    </row>
    <row r="32">
      <c r="A32" t="inlineStr">
        <is>
          <t>☐</t>
        </is>
      </c>
      <c r="B32" t="inlineStr">
        <is>
          <t>Interactive login disabled for service accounts</t>
        </is>
      </c>
      <c r="C32" s="4" t="n"/>
    </row>
    <row r="33">
      <c r="A33" t="inlineStr">
        <is>
          <t>☐</t>
        </is>
      </c>
      <c r="B33" t="inlineStr">
        <is>
          <t>Service accounts follow least privilege principle</t>
        </is>
      </c>
      <c r="C33" s="4" t="n"/>
    </row>
    <row r="34">
      <c r="A34" t="inlineStr">
        <is>
          <t>☐</t>
        </is>
      </c>
      <c r="B34" t="inlineStr">
        <is>
          <t>Service account usage logged and monitored</t>
        </is>
      </c>
      <c r="C34" s="4" t="n"/>
    </row>
    <row r="35">
      <c r="A35" t="inlineStr">
        <is>
          <t>☐</t>
        </is>
      </c>
      <c r="B35" t="inlineStr">
        <is>
          <t>Service account activity anomaly detection configured</t>
        </is>
      </c>
      <c r="C35" s="4" t="n"/>
    </row>
    <row r="36">
      <c r="A36" t="inlineStr">
        <is>
          <t>☐</t>
        </is>
      </c>
      <c r="B36" t="inlineStr">
        <is>
          <t>Privileged service accounts require additional controls</t>
        </is>
      </c>
      <c r="C36" s="4" t="n"/>
    </row>
    <row r="37">
      <c r="A37" t="inlineStr">
        <is>
          <t>☐</t>
        </is>
      </c>
      <c r="B37" t="inlineStr">
        <is>
          <t>Service account ownership documented</t>
        </is>
      </c>
      <c r="C37" s="4" t="n"/>
    </row>
    <row r="38">
      <c r="A38" t="inlineStr">
        <is>
          <t>☐</t>
        </is>
      </c>
      <c r="B38" t="inlineStr">
        <is>
          <t>Unused service accounts disabled/removed</t>
        </is>
      </c>
      <c r="C38" s="4" t="n"/>
    </row>
    <row r="39">
      <c r="A39" t="inlineStr">
        <is>
          <t>☐</t>
        </is>
      </c>
      <c r="B39" t="inlineStr">
        <is>
          <t>Service account naming convention followed</t>
        </is>
      </c>
      <c r="C39" s="4" t="n"/>
    </row>
    <row r="40">
      <c r="A40" t="inlineStr">
        <is>
          <t>☐</t>
        </is>
      </c>
      <c r="B40" t="inlineStr">
        <is>
          <t>Service account access reviewed quarterly</t>
        </is>
      </c>
      <c r="C40" s="4" t="n"/>
    </row>
    <row r="41">
      <c r="A41" t="inlineStr">
        <is>
          <t>☐</t>
        </is>
      </c>
      <c r="B41" t="inlineStr">
        <is>
          <t>Credential rotation tested in non-production</t>
        </is>
      </c>
      <c r="C41" s="4" t="n"/>
    </row>
    <row r="42">
      <c r="A42" t="inlineStr">
        <is>
          <t>☐</t>
        </is>
      </c>
      <c r="B42" t="inlineStr">
        <is>
          <t>Break-glass procedures for service account failures</t>
        </is>
      </c>
      <c r="C42" s="4" t="n"/>
    </row>
    <row r="43">
      <c r="A43" s="3" t="inlineStr">
        <is>
          <t>Checklist Score:</t>
        </is>
      </c>
      <c r="B43" s="15">
        <f>COUNTIF(C24:C42,"Yes")/COUNTA(C24:C42)*100&amp;"%"</f>
        <v/>
      </c>
    </row>
    <row r="45">
      <c r="A45" s="14" t="inlineStr">
        <is>
          <t>SERVICE ACCOUNT AUTHENTICATION METHODS</t>
        </is>
      </c>
    </row>
    <row r="46">
      <c r="A46" s="5" t="inlineStr">
        <is>
          <t>Authentication Method</t>
        </is>
      </c>
      <c r="B46" s="5" t="inlineStr">
        <is>
          <t>Security Level</t>
        </is>
      </c>
      <c r="C46" s="5" t="inlineStr">
        <is>
          <t>Use Case</t>
        </is>
      </c>
      <c r="D46" s="5" t="inlineStr">
        <is>
          <t>Implementation</t>
        </is>
      </c>
    </row>
    <row r="47">
      <c r="A47" s="8" t="inlineStr">
        <is>
          <t>Managed Identity (Cloud)</t>
        </is>
      </c>
      <c r="B47" s="8" t="inlineStr">
        <is>
          <t>Highest</t>
        </is>
      </c>
      <c r="C47" s="8" t="inlineStr">
        <is>
          <t>Cloud services (AWS, Azure, GCP)</t>
        </is>
      </c>
      <c r="D47" s="8" t="inlineStr">
        <is>
          <t>AWS IAM Roles, Azure Managed Identity</t>
        </is>
      </c>
    </row>
    <row r="48">
      <c r="A48" s="8" t="inlineStr">
        <is>
          <t>Certificate-based</t>
        </is>
      </c>
      <c r="B48" s="8" t="inlineStr">
        <is>
          <t>Highest</t>
        </is>
      </c>
      <c r="C48" s="8" t="inlineStr">
        <is>
          <t>On-premises, API integration</t>
        </is>
      </c>
      <c r="D48" s="8" t="inlineStr">
        <is>
          <t>Client certificates, mTLS</t>
        </is>
      </c>
    </row>
    <row r="49">
      <c r="A49" s="8" t="inlineStr">
        <is>
          <t>Secrets Vault (HashiCorp/CyberArk)</t>
        </is>
      </c>
      <c r="B49" s="8" t="inlineStr">
        <is>
          <t>High</t>
        </is>
      </c>
      <c r="C49" s="8" t="inlineStr">
        <is>
          <t>Dynamic secret generation</t>
        </is>
      </c>
      <c r="D49" s="8" t="inlineStr">
        <is>
          <t>Vault dynamic credentials</t>
        </is>
      </c>
    </row>
    <row r="50">
      <c r="A50" s="8" t="inlineStr">
        <is>
          <t>API Key (Long, Random)</t>
        </is>
      </c>
      <c r="B50" s="8" t="inlineStr">
        <is>
          <t>Medium-High</t>
        </is>
      </c>
      <c r="C50" s="8" t="inlineStr">
        <is>
          <t>API services, integrations</t>
        </is>
      </c>
      <c r="D50" s="8" t="inlineStr">
        <is>
          <t>≥256-bit entropy, rotated 90 days</t>
        </is>
      </c>
    </row>
    <row r="51">
      <c r="A51" s="8" t="inlineStr">
        <is>
          <t>Long Password (≥20 chars)</t>
        </is>
      </c>
      <c r="B51" s="8" t="inlineStr">
        <is>
          <t>Medium</t>
        </is>
      </c>
      <c r="C51" s="8" t="inlineStr">
        <is>
          <t>Legacy systems, compatibility</t>
        </is>
      </c>
      <c r="D51" s="8" t="inlineStr">
        <is>
          <t>Random generation, vault storage</t>
        </is>
      </c>
    </row>
    <row r="52">
      <c r="A52" s="8" t="inlineStr">
        <is>
          <t>Shared Secret</t>
        </is>
      </c>
      <c r="B52" s="8" t="inlineStr">
        <is>
          <t>Low</t>
        </is>
      </c>
      <c r="C52" s="8" t="inlineStr">
        <is>
          <t>DEPRECATED</t>
        </is>
      </c>
      <c r="D52" s="8" t="inlineStr">
        <is>
          <t>Phase out</t>
        </is>
      </c>
    </row>
    <row r="54">
      <c r="A54" s="14" t="inlineStr">
        <is>
          <t>SERVICE ACCOUNT LIFECYCLE MANAGEMENT</t>
        </is>
      </c>
    </row>
    <row r="55">
      <c r="A55" s="5" t="inlineStr">
        <is>
          <t>Lifecycle Stage</t>
        </is>
      </c>
      <c r="B55" s="5" t="inlineStr">
        <is>
          <t>Actions</t>
        </is>
      </c>
      <c r="C55" s="5" t="inlineStr">
        <is>
          <t>Responsible Role</t>
        </is>
      </c>
      <c r="D55" s="5" t="inlineStr">
        <is>
          <t>Frequency</t>
        </is>
      </c>
    </row>
    <row r="56">
      <c r="A56" s="8" t="inlineStr">
        <is>
          <t>Request</t>
        </is>
      </c>
      <c r="B56" s="8" t="inlineStr">
        <is>
          <t>Business justification, owner assignment</t>
        </is>
      </c>
      <c r="C56" s="8" t="inlineStr">
        <is>
          <t>Service Owner</t>
        </is>
      </c>
      <c r="D56" s="8" t="inlineStr">
        <is>
          <t>As needed</t>
        </is>
      </c>
    </row>
    <row r="57">
      <c r="A57" s="8" t="inlineStr">
        <is>
          <t>Provisioning</t>
        </is>
      </c>
      <c r="B57" s="8" t="inlineStr">
        <is>
          <t>Create account, assign permissions, document</t>
        </is>
      </c>
      <c r="C57" s="8" t="inlineStr">
        <is>
          <t>IAM Admin</t>
        </is>
      </c>
      <c r="D57" s="8" t="inlineStr">
        <is>
          <t>Upon approval</t>
        </is>
      </c>
    </row>
    <row r="58">
      <c r="A58" s="8" t="inlineStr">
        <is>
          <t>Credential Storage</t>
        </is>
      </c>
      <c r="B58" s="8" t="inlineStr">
        <is>
          <t>Store in secrets vault, configure rotation</t>
        </is>
      </c>
      <c r="C58" s="8" t="inlineStr">
        <is>
          <t>Security Team</t>
        </is>
      </c>
      <c r="D58" s="8" t="inlineStr">
        <is>
          <t>At creation</t>
        </is>
      </c>
    </row>
    <row r="59">
      <c r="A59" s="8" t="inlineStr">
        <is>
          <t>Monitoring</t>
        </is>
      </c>
      <c r="B59" s="8" t="inlineStr">
        <is>
          <t>Log usage, detect anomalies, alert</t>
        </is>
      </c>
      <c r="C59" s="8" t="inlineStr">
        <is>
          <t>SOC/Security Team</t>
        </is>
      </c>
      <c r="D59" s="8" t="inlineStr">
        <is>
          <t>Continuous</t>
        </is>
      </c>
    </row>
    <row r="60">
      <c r="A60" s="8" t="inlineStr">
        <is>
          <t>Review</t>
        </is>
      </c>
      <c r="B60" s="8" t="inlineStr">
        <is>
          <t>Validate ownership, access, necessity</t>
        </is>
      </c>
      <c r="C60" s="8" t="inlineStr">
        <is>
          <t>IAM Admin</t>
        </is>
      </c>
      <c r="D60" s="8" t="inlineStr">
        <is>
          <t>Quarterly</t>
        </is>
      </c>
    </row>
    <row r="61">
      <c r="A61" s="8" t="inlineStr">
        <is>
          <t>Rotation</t>
        </is>
      </c>
      <c r="B61" s="8" t="inlineStr">
        <is>
          <t>Update credentials, test connectivity</t>
        </is>
      </c>
      <c r="C61" s="8" t="inlineStr">
        <is>
          <t>Service Owner</t>
        </is>
      </c>
      <c r="D61" s="8" t="inlineStr">
        <is>
          <t>90 days (if password)</t>
        </is>
      </c>
    </row>
    <row r="62">
      <c r="A62" s="8" t="inlineStr">
        <is>
          <t>Decommissioning</t>
        </is>
      </c>
      <c r="B62" s="8" t="inlineStr">
        <is>
          <t>Disable account, remove access, document</t>
        </is>
      </c>
      <c r="C62" s="8" t="inlineStr">
        <is>
          <t>IAM Admin</t>
        </is>
      </c>
      <c r="D62" s="8" t="inlineStr">
        <is>
          <t>Upon request</t>
        </is>
      </c>
    </row>
    <row r="64">
      <c r="A64" s="16" t="inlineStr">
        <is>
          <t>EXCEPTION / DEVIATION DOCUMENTATION (Complete if Status = Partial or Non-Compliant)</t>
        </is>
      </c>
    </row>
    <row r="65">
      <c r="A65" s="3" t="inlineStr">
        <is>
          <t>Formal exception request submitted:</t>
        </is>
      </c>
      <c r="B65" s="13" t="n"/>
    </row>
    <row r="66">
      <c r="A66" s="3" t="inlineStr">
        <is>
          <t>Exception ID:</t>
        </is>
      </c>
      <c r="B66" s="13" t="n"/>
    </row>
    <row r="67">
      <c r="A67" s="3" t="inlineStr">
        <is>
          <t>Risk acceptance documented:</t>
        </is>
      </c>
      <c r="B67" s="13" t="n"/>
    </row>
    <row r="68">
      <c r="A68" s="3" t="inlineStr">
        <is>
          <t>Risk ID:</t>
        </is>
      </c>
      <c r="B68" s="13" t="n"/>
    </row>
    <row r="69">
      <c r="A69" s="3" t="inlineStr">
        <is>
          <t>Compensating Controls (summary):</t>
        </is>
      </c>
      <c r="B69" s="13" t="n"/>
    </row>
    <row r="70">
      <c r="A70" s="3" t="inlineStr">
        <is>
          <t>☐ Enhanced monitoring and alerting</t>
        </is>
      </c>
      <c r="B70" s="13" t="n"/>
    </row>
    <row r="71">
      <c r="A71" s="3" t="inlineStr">
        <is>
          <t>☐ Network segmentation / restricted access</t>
        </is>
      </c>
      <c r="B71" s="13" t="n"/>
    </row>
    <row r="72">
      <c r="A72" s="3" t="inlineStr">
        <is>
          <t>☐ Additional authentication factor</t>
        </is>
      </c>
      <c r="B72" s="13" t="n"/>
    </row>
    <row r="73">
      <c r="A73" s="3" t="inlineStr">
        <is>
          <t>☐ Manual approval process</t>
        </is>
      </c>
      <c r="B73" s="13" t="n"/>
    </row>
    <row r="74">
      <c r="A74" s="3" t="inlineStr">
        <is>
          <t>☐ Increased audit frequency</t>
        </is>
      </c>
      <c r="B74" s="13" t="n"/>
    </row>
    <row r="75">
      <c r="A75" s="3" t="inlineStr">
        <is>
          <t>☐ Time-limited exception (expiry date required)</t>
        </is>
      </c>
      <c r="B75" s="13" t="n"/>
    </row>
    <row r="76">
      <c r="A76" s="3" t="inlineStr">
        <is>
          <t>☐ Other (describe):</t>
        </is>
      </c>
      <c r="B76" s="13" t="n"/>
    </row>
    <row r="78">
      <c r="A78" s="14" t="inlineStr">
        <is>
          <t>ADDITIONAL NOTES / COMMENTS</t>
        </is>
      </c>
    </row>
    <row r="79">
      <c r="A79" s="17" t="n"/>
    </row>
    <row r="80"/>
    <row r="81"/>
    <row r="82"/>
    <row r="83"/>
    <row r="84"/>
    <row r="85"/>
    <row r="86"/>
    <row r="87"/>
  </sheetData>
  <mergeCells count="17">
    <mergeCell ref="A79:X87"/>
    <mergeCell ref="B72:D72"/>
    <mergeCell ref="A3:X3"/>
    <mergeCell ref="B66:D66"/>
    <mergeCell ref="B67:D67"/>
    <mergeCell ref="B76:D76"/>
    <mergeCell ref="A78:X78"/>
    <mergeCell ref="B75:D75"/>
    <mergeCell ref="B71:D71"/>
    <mergeCell ref="A64:X64"/>
    <mergeCell ref="B73:D73"/>
    <mergeCell ref="B74:D74"/>
    <mergeCell ref="B70:D70"/>
    <mergeCell ref="B65:D65"/>
    <mergeCell ref="A1:X1"/>
    <mergeCell ref="B68:D68"/>
    <mergeCell ref="B69:D69"/>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showDropDown="0" showInputMessage="0" showErrorMessage="0" allowBlank="0" type="list">
      <formula1>"Yes,No,N/A"</formula1>
    </dataValidation>
    <dataValidation sqref="B65 B67" showDropDown="0" showInputMessage="0" showErrorMessage="0" allowBlank="0" type="list">
      <formula1>"Yes,No"</formula1>
    </dataValidation>
    <dataValidation sqref="R8 R9 R10 R11 R12 R13 R14 R15 R16 R17 R18 R19 R20" showDropDown="0" showInputMessage="0" showErrorMessage="0" allowBlank="0" type="list">
      <formula1>"Database Service,Application Service,API Service,Scheduled Task,Integration,N/A"</formula1>
    </dataValidation>
    <dataValidation sqref="S8 S9 S10 S11 S12 S13 S14 S15 S16 S17 S18 S19 S20" showDropDown="0" showInputMessage="0" showErrorMessage="0" allowBlank="0" type="list">
      <formula1>"Certificate,Long Password (≥20 chars),API Key,Managed Identity,Secret,N/A"</formula1>
    </dataValidation>
    <dataValidation sqref="T8 T9 T10 T11 T12 T13 T14 T15 T16 T17 T18 T19 T20" showDropDown="0" showInputMessage="0" showErrorMessage="0" allowBlank="0" type="list">
      <formula1>"Never (Monitored),90 days,180 days,365 days,On Change Only,N/A"</formula1>
    </dataValidation>
    <dataValidation sqref="W8 W9 W10 W11 W12 W13 W14 W15 W16 W17 W18 W19 W20" showDropDown="0" showInputMessage="0" showErrorMessage="0" allowBlank="0" type="list">
      <formula1>"Disabled,Enabled (Non-compliant),N/A"</formula1>
    </dataValidation>
    <dataValidation sqref="U8 U9 U10 U11 U12 U13 U14 U15 U16 U17 U18 U19 U20 V8 V9 V10 V11 V12 V13 V14 V15 V16 V17 V18 V19 V20 X8 X9 X10 X11 X12 X13 X14 X15 X16 X17 X18 X19 X20" showDropDown="0" showInputMessage="0" showErrorMessage="0" allowBlank="0"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95"/>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0" customWidth="1" min="18" max="18"/>
    <col width="25" customWidth="1" min="19" max="19"/>
    <col width="16" customWidth="1" min="20" max="20"/>
    <col width="18" customWidth="1" min="21" max="21"/>
    <col width="18" customWidth="1" min="22" max="22"/>
    <col width="18" customWidth="1" min="23" max="23"/>
    <col width="16" customWidth="1" min="24" max="24"/>
  </cols>
  <sheetData>
    <row r="1" ht="40" customHeight="1">
      <c r="A1" s="1" t="inlineStr">
        <is>
          <t>5. SSO &amp; FEDERATION - CENTRALIZED AUTHENTICATION
Policy Requirement: SSO/Federation REQUIRED using SAML 2.0, OAuth 2.0/OIDC, or WS-Federation. Identity Provider (IdP) must enforce strong authentication and MFA (Policy Section 2.5.5)</t>
        </is>
      </c>
    </row>
    <row r="3" ht="30" customHeight="1">
      <c r="A3" s="11" t="inlineStr">
        <is>
          <t>Does your organization use Single Sign-On (SSO) or federated authentication for applications and services?</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SSO Protocol</t>
        </is>
      </c>
      <c r="S6" s="5" t="inlineStr">
        <is>
          <t>Identity Provider</t>
        </is>
      </c>
      <c r="T6" s="5" t="inlineStr">
        <is>
          <t>MFA at IdP</t>
        </is>
      </c>
      <c r="U6" s="5" t="inlineStr">
        <is>
          <t>Just-In-Time Provisioning</t>
        </is>
      </c>
      <c r="V6" s="5" t="inlineStr">
        <is>
          <t>Session Timeout</t>
        </is>
      </c>
      <c r="W6" s="5" t="inlineStr">
        <is>
          <t>Certificate Validation</t>
        </is>
      </c>
      <c r="X6" s="5" t="inlineStr">
        <is>
          <t>Token Encryption</t>
        </is>
      </c>
    </row>
    <row r="7">
      <c r="A7" s="12" t="inlineStr">
        <is>
          <t>Example: Office 365 SSO - Microsoft Entra ID (formerly Azure AD)</t>
        </is>
      </c>
      <c r="B7" s="12" t="inlineStr">
        <is>
          <t>SSO</t>
        </is>
      </c>
      <c r="C7" s="12" t="inlineStr">
        <is>
          <t>End User</t>
        </is>
      </c>
      <c r="D7" s="12" t="inlineStr">
        <is>
          <t>Confidential</t>
        </is>
      </c>
      <c r="E7" s="12" t="inlineStr">
        <is>
          <t>SHA-256</t>
        </is>
      </c>
      <c r="F7" s="12" t="inlineStr">
        <is>
          <t>Encrypted</t>
        </is>
      </c>
      <c r="G7" s="12" t="inlineStr">
        <is>
          <t>N/A</t>
        </is>
      </c>
      <c r="H7" s="12" t="inlineStr">
        <is>
          <t>✅ Compliant</t>
        </is>
      </c>
      <c r="I7" s="12" t="inlineStr">
        <is>
          <t>/evidence/auth/o365-sso-config.pdf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SAML 2.0</t>
        </is>
      </c>
      <c r="S7" s="12" t="inlineStr">
        <is>
          <t>Microsoft Entra ID (formerly Azure AD)</t>
        </is>
      </c>
      <c r="T7" s="12" t="inlineStr">
        <is>
          <t>Yes</t>
        </is>
      </c>
      <c r="U7" s="12" t="inlineStr">
        <is>
          <t>Enabled</t>
        </is>
      </c>
      <c r="V7" s="12" t="inlineStr">
        <is>
          <t>≤1 hour</t>
        </is>
      </c>
      <c r="W7" s="12" t="inlineStr">
        <is>
          <t>Yes</t>
        </is>
      </c>
      <c r="X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5. SSO &amp; FEDERATION CHECKLIST</t>
        </is>
      </c>
    </row>
    <row r="23">
      <c r="A23" s="3" t="inlineStr">
        <is>
          <t>☐</t>
        </is>
      </c>
      <c r="B23" s="3" t="inlineStr">
        <is>
          <t>Requirement</t>
        </is>
      </c>
      <c r="C23" s="3" t="inlineStr">
        <is>
          <t>Status</t>
        </is>
      </c>
    </row>
    <row r="24">
      <c r="A24" t="inlineStr">
        <is>
          <t>☐</t>
        </is>
      </c>
      <c r="B24" t="inlineStr">
        <is>
          <t>SSO implemented for all compatible applications</t>
        </is>
      </c>
      <c r="C24" s="4" t="n"/>
    </row>
    <row r="25">
      <c r="A25" t="inlineStr">
        <is>
          <t>☐</t>
        </is>
      </c>
      <c r="B25" t="inlineStr">
        <is>
          <t>SAML 2.0, OAuth 2.0/OIDC, or WS-Federation protocols used</t>
        </is>
      </c>
      <c r="C25" s="4" t="n"/>
    </row>
    <row r="26">
      <c r="A26" t="inlineStr">
        <is>
          <t>☐</t>
        </is>
      </c>
      <c r="B26" t="inlineStr">
        <is>
          <t>Centralized Identity Provider (IdP) configured</t>
        </is>
      </c>
      <c r="C26" s="4" t="n"/>
    </row>
    <row r="27">
      <c r="A27" t="inlineStr">
        <is>
          <t>☐</t>
        </is>
      </c>
      <c r="B27" t="inlineStr">
        <is>
          <t>MFA enforced at IdP level</t>
        </is>
      </c>
      <c r="C27" s="4" t="n"/>
    </row>
    <row r="28">
      <c r="A28" t="inlineStr">
        <is>
          <t>☐</t>
        </is>
      </c>
      <c r="B28" t="inlineStr">
        <is>
          <t>SAML assertions signed and encrypted</t>
        </is>
      </c>
      <c r="C28" s="4" t="n"/>
    </row>
    <row r="29">
      <c r="A29" t="inlineStr">
        <is>
          <t>☐</t>
        </is>
      </c>
      <c r="B29" t="inlineStr">
        <is>
          <t>Certificate-based trust established (SAML metadata)</t>
        </is>
      </c>
      <c r="C29" s="4" t="n"/>
    </row>
    <row r="30">
      <c r="A30" t="inlineStr">
        <is>
          <t>☐</t>
        </is>
      </c>
      <c r="B30" t="inlineStr">
        <is>
          <t>Token lifetime/expiration configured (≤1 hour access token)</t>
        </is>
      </c>
      <c r="C30" s="4" t="n"/>
    </row>
    <row r="31">
      <c r="A31" t="inlineStr">
        <is>
          <t>☐</t>
        </is>
      </c>
      <c r="B31" t="inlineStr">
        <is>
          <t>Refresh token rotation implemented</t>
        </is>
      </c>
      <c r="C31" s="4" t="n"/>
    </row>
    <row r="32">
      <c r="A32" t="inlineStr">
        <is>
          <t>☐</t>
        </is>
      </c>
      <c r="B32" t="inlineStr">
        <is>
          <t>Just-in-time (JIT) user provisioning configured</t>
        </is>
      </c>
      <c r="C32" s="4" t="n"/>
    </row>
    <row r="33">
      <c r="A33" t="inlineStr">
        <is>
          <t>☐</t>
        </is>
      </c>
      <c r="B33" t="inlineStr">
        <is>
          <t>Attribute/claim mapping documented</t>
        </is>
      </c>
      <c r="C33" s="4" t="n"/>
    </row>
    <row r="34">
      <c r="A34" t="inlineStr">
        <is>
          <t>☐</t>
        </is>
      </c>
      <c r="B34" t="inlineStr">
        <is>
          <t>SSO session timeout configured (≤8 hours)</t>
        </is>
      </c>
      <c r="C34" s="4" t="n"/>
    </row>
    <row r="35">
      <c r="A35" t="inlineStr">
        <is>
          <t>☐</t>
        </is>
      </c>
      <c r="B35" t="inlineStr">
        <is>
          <t>Conditional access policies implemented</t>
        </is>
      </c>
      <c r="C35" s="4" t="n"/>
    </row>
    <row r="36">
      <c r="A36" t="inlineStr">
        <is>
          <t>☐</t>
        </is>
      </c>
      <c r="B36" t="inlineStr">
        <is>
          <t>Device compliance checks before SSO access</t>
        </is>
      </c>
      <c r="C36" s="4" t="n"/>
    </row>
    <row r="37">
      <c r="A37" t="inlineStr">
        <is>
          <t>☐</t>
        </is>
      </c>
      <c r="B37" t="inlineStr">
        <is>
          <t>SSO authentication logs centralized</t>
        </is>
      </c>
      <c r="C37" s="4" t="n"/>
    </row>
    <row r="38">
      <c r="A38" t="inlineStr">
        <is>
          <t>☐</t>
        </is>
      </c>
      <c r="B38" t="inlineStr">
        <is>
          <t>SSO bypass/backdoor disabled</t>
        </is>
      </c>
      <c r="C38" s="4" t="n"/>
    </row>
    <row r="39">
      <c r="A39" t="inlineStr">
        <is>
          <t>☐</t>
        </is>
      </c>
      <c r="B39" t="inlineStr">
        <is>
          <t>Federation trust relationships documented</t>
        </is>
      </c>
      <c r="C39" s="4" t="n"/>
    </row>
    <row r="40">
      <c r="A40" t="inlineStr">
        <is>
          <t>☐</t>
        </is>
      </c>
      <c r="B40" t="inlineStr">
        <is>
          <t>External federation partners vetted and approved</t>
        </is>
      </c>
      <c r="C40" s="4" t="n"/>
    </row>
    <row r="41">
      <c r="A41" t="inlineStr">
        <is>
          <t>☐</t>
        </is>
      </c>
      <c r="B41" t="inlineStr">
        <is>
          <t>SSO failover/redundancy configured</t>
        </is>
      </c>
      <c r="C41" s="4" t="n"/>
    </row>
    <row r="42">
      <c r="A42" t="inlineStr">
        <is>
          <t>☐</t>
        </is>
      </c>
      <c r="B42" t="inlineStr">
        <is>
          <t>IdP high availability implemented</t>
        </is>
      </c>
      <c r="C42" s="4" t="n"/>
    </row>
    <row r="43">
      <c r="A43" t="inlineStr">
        <is>
          <t>☐</t>
        </is>
      </c>
      <c r="B43" t="inlineStr">
        <is>
          <t>Privileged access management (PAM) integrated with SSO</t>
        </is>
      </c>
      <c r="C43" s="4" t="n"/>
    </row>
    <row r="44">
      <c r="A44" s="3" t="inlineStr">
        <is>
          <t>Checklist Score:</t>
        </is>
      </c>
      <c r="B44" s="15">
        <f>COUNTIF(C24:C43,"Yes")/COUNTA(C24:C43)*100&amp;"%"</f>
        <v/>
      </c>
    </row>
    <row r="46">
      <c r="A46" s="14" t="inlineStr">
        <is>
          <t>SSO PROTOCOL COMPARISON</t>
        </is>
      </c>
    </row>
    <row r="47">
      <c r="A47" s="5" t="inlineStr">
        <is>
          <t>Protocol</t>
        </is>
      </c>
      <c r="B47" s="5" t="inlineStr">
        <is>
          <t>Use Case</t>
        </is>
      </c>
      <c r="C47" s="5" t="inlineStr">
        <is>
          <t>Security Features</t>
        </is>
      </c>
      <c r="D47" s="5" t="inlineStr">
        <is>
          <t>Token Type</t>
        </is>
      </c>
      <c r="E47" s="5" t="inlineStr">
        <is>
          <t>Best For</t>
        </is>
      </c>
    </row>
    <row r="48">
      <c r="A48" s="8" t="inlineStr">
        <is>
          <t>SAML 2.0</t>
        </is>
      </c>
      <c r="B48" s="8" t="inlineStr">
        <is>
          <t>Enterprise SSO, SaaS</t>
        </is>
      </c>
      <c r="C48" s="8" t="inlineStr">
        <is>
          <t>Signed/encrypted assertions, strong binding</t>
        </is>
      </c>
      <c r="D48" s="8" t="inlineStr">
        <is>
          <t>XML assertions</t>
        </is>
      </c>
      <c r="E48" s="8" t="inlineStr">
        <is>
          <t>Enterprise applications, legacy systems</t>
        </is>
      </c>
    </row>
    <row r="49">
      <c r="A49" s="8" t="inlineStr">
        <is>
          <t>OAuth 2.0 + OIDC</t>
        </is>
      </c>
      <c r="B49" s="8" t="inlineStr">
        <is>
          <t>Modern web/mobile apps, APIs</t>
        </is>
      </c>
      <c r="C49" s="8" t="inlineStr">
        <is>
          <t>JWT tokens, PKCE, scopes</t>
        </is>
      </c>
      <c r="D49" s="8" t="inlineStr">
        <is>
          <t>JSON Web Tokens (JWT)</t>
        </is>
      </c>
      <c r="E49" s="8" t="inlineStr">
        <is>
          <t>Cloud-native apps, mobile, APIs</t>
        </is>
      </c>
    </row>
    <row r="50">
      <c r="A50" s="8" t="inlineStr">
        <is>
          <t>WS-Federation</t>
        </is>
      </c>
      <c r="B50" s="8" t="inlineStr">
        <is>
          <t>Microsoft ecosystems</t>
        </is>
      </c>
      <c r="C50" s="8" t="inlineStr">
        <is>
          <t>Encrypted tokens, claims-based</t>
        </is>
      </c>
      <c r="D50" s="8" t="inlineStr">
        <is>
          <t>SAML tokens</t>
        </is>
      </c>
      <c r="E50" s="8" t="inlineStr">
        <is>
          <t>Active Directory Federation Services (ADFS)</t>
        </is>
      </c>
    </row>
    <row r="51">
      <c r="A51" s="8" t="inlineStr">
        <is>
          <t>Kerberos</t>
        </is>
      </c>
      <c r="B51" s="8" t="inlineStr">
        <is>
          <t>On-premises Windows</t>
        </is>
      </c>
      <c r="C51" s="8" t="inlineStr">
        <is>
          <t>Ticket-based, mutual authentication</t>
        </is>
      </c>
      <c r="D51" s="8" t="inlineStr">
        <is>
          <t>Kerberos tickets</t>
        </is>
      </c>
      <c r="E51" s="8" t="inlineStr">
        <is>
          <t>Internal Windows environments</t>
        </is>
      </c>
    </row>
    <row r="53">
      <c r="A53" s="14" t="inlineStr">
        <is>
          <t>IDENTITY PROVIDER SECURITY CHECKLIST</t>
        </is>
      </c>
    </row>
    <row r="54">
      <c r="A54" s="5" t="inlineStr">
        <is>
          <t>Requirement</t>
        </is>
      </c>
      <c r="B54" s="5" t="inlineStr">
        <is>
          <t>Implementation Status</t>
        </is>
      </c>
      <c r="C54" s="5" t="inlineStr">
        <is>
          <t>Notes</t>
        </is>
      </c>
    </row>
    <row r="55">
      <c r="A55" s="8" t="inlineStr">
        <is>
          <t>MFA enforcement at IdP</t>
        </is>
      </c>
      <c r="B55" s="8" t="inlineStr"/>
      <c r="C55" s="8" t="inlineStr">
        <is>
          <t>Required for all users</t>
        </is>
      </c>
    </row>
    <row r="56">
      <c r="A56" s="8" t="inlineStr">
        <is>
          <t>Conditional access policies</t>
        </is>
      </c>
      <c r="B56" s="8" t="inlineStr"/>
      <c r="C56" s="8" t="inlineStr">
        <is>
          <t>Risk-based authentication</t>
        </is>
      </c>
    </row>
    <row r="57">
      <c r="A57" s="8" t="inlineStr">
        <is>
          <t>Device compliance checking</t>
        </is>
      </c>
      <c r="B57" s="8" t="inlineStr"/>
      <c r="C57" s="8" t="inlineStr">
        <is>
          <t>Managed devices only</t>
        </is>
      </c>
    </row>
    <row r="58">
      <c r="A58" s="8" t="inlineStr">
        <is>
          <t>Geo-location restrictions</t>
        </is>
      </c>
      <c r="B58" s="8" t="inlineStr"/>
      <c r="C58" s="8" t="inlineStr">
        <is>
          <t>Block suspicious locations</t>
        </is>
      </c>
    </row>
    <row r="59">
      <c r="A59" s="8" t="inlineStr">
        <is>
          <t>Adaptive authentication</t>
        </is>
      </c>
      <c r="B59" s="8" t="inlineStr"/>
      <c r="C59" s="8" t="inlineStr">
        <is>
          <t>Risk scoring, step-up auth</t>
        </is>
      </c>
    </row>
    <row r="60">
      <c r="A60" s="8" t="inlineStr">
        <is>
          <t>Session management</t>
        </is>
      </c>
      <c r="B60" s="8" t="inlineStr"/>
      <c r="C60" s="8" t="inlineStr">
        <is>
          <t>Timeout, revocation</t>
        </is>
      </c>
    </row>
    <row r="61">
      <c r="A61" s="8" t="inlineStr">
        <is>
          <t>Audit logging</t>
        </is>
      </c>
      <c r="B61" s="8" t="inlineStr"/>
      <c r="C61" s="8" t="inlineStr">
        <is>
          <t>All auth events logged</t>
        </is>
      </c>
    </row>
    <row r="62">
      <c r="A62" s="8" t="inlineStr">
        <is>
          <t>High availability</t>
        </is>
      </c>
      <c r="B62" s="8" t="inlineStr"/>
      <c r="C62" s="8" t="inlineStr">
        <is>
          <t>99.9%+ uptime SLA</t>
        </is>
      </c>
    </row>
    <row r="64">
      <c r="A64" s="14" t="inlineStr">
        <is>
          <t>TOKEN LIFETIME BEST PRACTICES</t>
        </is>
      </c>
    </row>
    <row r="65">
      <c r="A65" s="5" t="inlineStr">
        <is>
          <t>Token Type</t>
        </is>
      </c>
      <c r="B65" s="5" t="inlineStr">
        <is>
          <t>Recommended Lifetime</t>
        </is>
      </c>
      <c r="C65" s="5" t="inlineStr">
        <is>
          <t>Maximum Lifetime</t>
        </is>
      </c>
      <c r="D65" s="5" t="inlineStr">
        <is>
          <t>Rotation</t>
        </is>
      </c>
    </row>
    <row r="66">
      <c r="A66" s="8" t="inlineStr">
        <is>
          <t>Access Token (OAuth)</t>
        </is>
      </c>
      <c r="B66" s="8" t="inlineStr">
        <is>
          <t>15 minutes</t>
        </is>
      </c>
      <c r="C66" s="8" t="inlineStr">
        <is>
          <t>1 hour</t>
        </is>
      </c>
      <c r="D66" s="8" t="inlineStr">
        <is>
          <t>Auto-expire</t>
        </is>
      </c>
    </row>
    <row r="67">
      <c r="A67" s="8" t="inlineStr">
        <is>
          <t>Refresh Token (OAuth)</t>
        </is>
      </c>
      <c r="B67" s="8" t="inlineStr">
        <is>
          <t>90 days</t>
        </is>
      </c>
      <c r="C67" s="8" t="inlineStr">
        <is>
          <t>1 year</t>
        </is>
      </c>
      <c r="D67" s="8" t="inlineStr">
        <is>
          <t>Rotate on use</t>
        </is>
      </c>
    </row>
    <row r="68">
      <c r="A68" s="8" t="inlineStr">
        <is>
          <t>ID Token (OIDC)</t>
        </is>
      </c>
      <c r="B68" s="8" t="inlineStr">
        <is>
          <t>5 minutes</t>
        </is>
      </c>
      <c r="C68" s="8" t="inlineStr">
        <is>
          <t>15 minutes</t>
        </is>
      </c>
      <c r="D68" s="8" t="inlineStr">
        <is>
          <t>Per request</t>
        </is>
      </c>
    </row>
    <row r="69">
      <c r="A69" s="8" t="inlineStr">
        <is>
          <t>SAML Assertion</t>
        </is>
      </c>
      <c r="B69" s="8" t="inlineStr">
        <is>
          <t>5 minutes</t>
        </is>
      </c>
      <c r="C69" s="8" t="inlineStr">
        <is>
          <t>15 minutes</t>
        </is>
      </c>
      <c r="D69" s="8" t="inlineStr">
        <is>
          <t>Per request</t>
        </is>
      </c>
    </row>
    <row r="70">
      <c r="A70" s="8" t="inlineStr">
        <is>
          <t>Session Token</t>
        </is>
      </c>
      <c r="B70" s="8" t="inlineStr">
        <is>
          <t>1 hour inactive</t>
        </is>
      </c>
      <c r="C70" s="8" t="inlineStr">
        <is>
          <t>8 hours absolute</t>
        </is>
      </c>
      <c r="D70" s="8" t="inlineStr">
        <is>
          <t>Extend on activity</t>
        </is>
      </c>
    </row>
    <row r="72">
      <c r="A72" s="16" t="inlineStr">
        <is>
          <t>EXCEPTION / DEVIATION DOCUMENTATION (Complete if Status = Partial or Non-Compliant)</t>
        </is>
      </c>
    </row>
    <row r="73">
      <c r="A73" s="3" t="inlineStr">
        <is>
          <t>Formal exception request submitted:</t>
        </is>
      </c>
      <c r="B73" s="13" t="n"/>
    </row>
    <row r="74">
      <c r="A74" s="3" t="inlineStr">
        <is>
          <t>Exception ID:</t>
        </is>
      </c>
      <c r="B74" s="13" t="n"/>
    </row>
    <row r="75">
      <c r="A75" s="3" t="inlineStr">
        <is>
          <t>Risk acceptance documented:</t>
        </is>
      </c>
      <c r="B75" s="13" t="n"/>
    </row>
    <row r="76">
      <c r="A76" s="3" t="inlineStr">
        <is>
          <t>Risk ID:</t>
        </is>
      </c>
      <c r="B76" s="13" t="n"/>
    </row>
    <row r="77">
      <c r="A77" s="3" t="inlineStr">
        <is>
          <t>Compensating Controls (summary):</t>
        </is>
      </c>
      <c r="B77" s="13" t="n"/>
    </row>
    <row r="78">
      <c r="A78" s="3" t="inlineStr">
        <is>
          <t>☐ Enhanced monitoring and alerting</t>
        </is>
      </c>
      <c r="B78" s="13" t="n"/>
    </row>
    <row r="79">
      <c r="A79" s="3" t="inlineStr">
        <is>
          <t>☐ Network segmentation / restricted access</t>
        </is>
      </c>
      <c r="B79" s="13" t="n"/>
    </row>
    <row r="80">
      <c r="A80" s="3" t="inlineStr">
        <is>
          <t>☐ Additional authentication factor</t>
        </is>
      </c>
      <c r="B80" s="13" t="n"/>
    </row>
    <row r="81">
      <c r="A81" s="3" t="inlineStr">
        <is>
          <t>☐ Manual approval process</t>
        </is>
      </c>
      <c r="B81" s="13" t="n"/>
    </row>
    <row r="82">
      <c r="A82" s="3" t="inlineStr">
        <is>
          <t>☐ Increased audit frequency</t>
        </is>
      </c>
      <c r="B82" s="13" t="n"/>
    </row>
    <row r="83">
      <c r="A83" s="3" t="inlineStr">
        <is>
          <t>☐ Time-limited exception (expiry date required)</t>
        </is>
      </c>
      <c r="B83" s="13" t="n"/>
    </row>
    <row r="84">
      <c r="A84" s="3" t="inlineStr">
        <is>
          <t>☐ Other (describe):</t>
        </is>
      </c>
      <c r="B84" s="13" t="n"/>
    </row>
    <row r="86">
      <c r="A86" s="14" t="inlineStr">
        <is>
          <t>ADDITIONAL NOTES / COMMENTS</t>
        </is>
      </c>
    </row>
    <row r="87">
      <c r="A87" s="17" t="n"/>
    </row>
    <row r="88"/>
    <row r="89"/>
    <row r="90"/>
    <row r="91"/>
    <row r="92"/>
    <row r="93"/>
    <row r="94"/>
    <row r="95"/>
  </sheetData>
  <mergeCells count="17">
    <mergeCell ref="A3:X3"/>
    <mergeCell ref="B80:D80"/>
    <mergeCell ref="B76:D76"/>
    <mergeCell ref="B79:D79"/>
    <mergeCell ref="A72:X72"/>
    <mergeCell ref="B84:D84"/>
    <mergeCell ref="A86:X86"/>
    <mergeCell ref="A87:X95"/>
    <mergeCell ref="B73:D73"/>
    <mergeCell ref="B74:D74"/>
    <mergeCell ref="B82:D82"/>
    <mergeCell ref="A1:X1"/>
    <mergeCell ref="B75:D75"/>
    <mergeCell ref="B83:D83"/>
    <mergeCell ref="B77:D77"/>
    <mergeCell ref="B78:D78"/>
    <mergeCell ref="B81:D81"/>
  </mergeCells>
  <dataValidations count="15">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C43" showDropDown="0" showInputMessage="0" showErrorMessage="0" allowBlank="0" type="list">
      <formula1>"Yes,No,N/A"</formula1>
    </dataValidation>
    <dataValidation sqref="B73 B75" showDropDown="0" showInputMessage="0" showErrorMessage="0" allowBlank="0" type="list">
      <formula1>"Yes,No"</formula1>
    </dataValidation>
    <dataValidation sqref="R8 R9 R10 R11 R12 R13 R14 R15 R16 R17 R18 R19 R20" showDropDown="0" showInputMessage="0" showErrorMessage="0" allowBlank="0" type="list">
      <formula1>"SAML 2.0,OAuth 2.0,OIDC,WS-Federation,Kerberos,LDAP,None,N/A"</formula1>
    </dataValidation>
    <dataValidation sqref="V8 V9 V10 V11 V12 V13 V14 V15 V16 V17 V18 V19 V20" showDropDown="0" showInputMessage="0" showErrorMessage="0" allowBlank="0" type="list">
      <formula1>"≤1 hour,1-8 hours,&gt;8 hours,No timeout,N/A"</formula1>
    </dataValidation>
    <dataValidation sqref="T8 T9 T10 T11 T12 T13 T14 T15 T16 T17 T18 T19 T20 U8 U9 U10 U11 U12 U13 U14 U15 U16 U17 U18 U19 U20 W8 W9 W10 W11 W12 W13 W14 W15 W16 W17 W18 W19 W20 X8 X9 X10 X11 X12 X13 X14 X15 X16 X17 X18 X19 X20" showDropDown="0"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4"/>
  <sheetViews>
    <sheetView workbookViewId="0">
      <pane ySplit="3" topLeftCell="A4"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 t="inlineStr">
        <is>
          <t>AUTHENTICATION ASSESSMENT - COMPLIANCE SUMMARY</t>
        </is>
      </c>
    </row>
    <row r="3">
      <c r="A3" s="5" t="inlineStr">
        <is>
          <t>Assessment Area</t>
        </is>
      </c>
      <c r="B3" s="5" t="inlineStr">
        <is>
          <t>Total Items</t>
        </is>
      </c>
      <c r="C3" s="5" t="inlineStr">
        <is>
          <t>Compliant</t>
        </is>
      </c>
      <c r="D3" s="5" t="inlineStr">
        <is>
          <t>Partial</t>
        </is>
      </c>
      <c r="E3" s="5" t="inlineStr">
        <is>
          <t>Non-Compliant</t>
        </is>
      </c>
      <c r="F3" s="5" t="inlineStr">
        <is>
          <t>N/A</t>
        </is>
      </c>
      <c r="G3" s="5" t="inlineStr">
        <is>
          <t>Compliance %</t>
        </is>
      </c>
    </row>
    <row r="4">
      <c r="A4" t="inlineStr">
        <is>
          <t>1. Password Security</t>
        </is>
      </c>
      <c r="B4">
        <f>COUNTA('1. Password Security'!H8:H20)</f>
        <v/>
      </c>
      <c r="C4">
        <f>COUNTIF('1. Password Security'!H8:H20,"✅*")</f>
        <v/>
      </c>
      <c r="D4">
        <f>COUNTIF('1. Password Security'!H8:H20,"⚠️*")</f>
        <v/>
      </c>
      <c r="E4">
        <f>COUNTIF('1. Password Security'!H8:H20,"❌*")</f>
        <v/>
      </c>
      <c r="F4">
        <f>COUNTIF('1. Password Security'!H8:H20,"N/A")</f>
        <v/>
      </c>
      <c r="G4">
        <f>IF((B4-F4)=0,"0%",ROUND(C4/(B4-F4)*100,1)&amp;"%")</f>
        <v/>
      </c>
    </row>
    <row r="5">
      <c r="A5" t="inlineStr">
        <is>
          <t>2. Multi-Factor Authentication</t>
        </is>
      </c>
      <c r="B5">
        <f>COUNTA('2. Multi-Factor Authentication'!H8:H20)</f>
        <v/>
      </c>
      <c r="C5">
        <f>COUNTIF('2. Multi-Factor Authentication'!H8:H20,"✅*")</f>
        <v/>
      </c>
      <c r="D5">
        <f>COUNTIF('2. Multi-Factor Authentication'!H8:H20,"⚠️*")</f>
        <v/>
      </c>
      <c r="E5">
        <f>COUNTIF('2. Multi-Factor Authentication'!H8:H20,"❌*")</f>
        <v/>
      </c>
      <c r="F5">
        <f>COUNTIF('2. Multi-Factor Authentication'!H8:H20,"N/A")</f>
        <v/>
      </c>
      <c r="G5">
        <f>IF((B5-F5)=0,"0%",ROUND(C5/(B5-F5)*100,1)&amp;"%")</f>
        <v/>
      </c>
    </row>
    <row r="6">
      <c r="A6" t="inlineStr">
        <is>
          <t>3. Certificate-Based Auth</t>
        </is>
      </c>
      <c r="B6">
        <f>COUNTA('3. Certificate-Based Auth'!H8:H20)</f>
        <v/>
      </c>
      <c r="C6">
        <f>COUNTIF('3. Certificate-Based Auth'!H8:H20,"✅*")</f>
        <v/>
      </c>
      <c r="D6">
        <f>COUNTIF('3. Certificate-Based Auth'!H8:H20,"⚠️*")</f>
        <v/>
      </c>
      <c r="E6">
        <f>COUNTIF('3. Certificate-Based Auth'!H8:H20,"❌*")</f>
        <v/>
      </c>
      <c r="F6">
        <f>COUNTIF('3. Certificate-Based Auth'!H8:H20,"N/A")</f>
        <v/>
      </c>
      <c r="G6">
        <f>IF((B6-F6)=0,"0%",ROUND(C6/(B6-F6)*100,1)&amp;"%")</f>
        <v/>
      </c>
    </row>
    <row r="7">
      <c r="A7" t="inlineStr">
        <is>
          <t>4. Service Accounts</t>
        </is>
      </c>
      <c r="B7">
        <f>COUNTA('4. Service Accounts'!H8:H20)</f>
        <v/>
      </c>
      <c r="C7">
        <f>COUNTIF('4. Service Accounts'!H8:H20,"✅*")</f>
        <v/>
      </c>
      <c r="D7">
        <f>COUNTIF('4. Service Accounts'!H8:H20,"⚠️*")</f>
        <v/>
      </c>
      <c r="E7">
        <f>COUNTIF('4. Service Accounts'!H8:H20,"❌*")</f>
        <v/>
      </c>
      <c r="F7">
        <f>COUNTIF('4. Service Accounts'!H8:H20,"N/A")</f>
        <v/>
      </c>
      <c r="G7">
        <f>IF((B7-F7)=0,"0%",ROUND(C7/(B7-F7)*100,1)&amp;"%")</f>
        <v/>
      </c>
    </row>
    <row r="8">
      <c r="A8" t="inlineStr">
        <is>
          <t>5. SSO &amp; Federation</t>
        </is>
      </c>
      <c r="B8">
        <f>COUNTA('5. SSO &amp; Federation'!H8:H20)</f>
        <v/>
      </c>
      <c r="C8">
        <f>COUNTIF('5. SSO &amp; Federation'!H8:H20,"✅*")</f>
        <v/>
      </c>
      <c r="D8">
        <f>COUNTIF('5. SSO &amp; Federation'!H8:H20,"⚠️*")</f>
        <v/>
      </c>
      <c r="E8">
        <f>COUNTIF('5. SSO &amp; Federation'!H8:H20,"❌*")</f>
        <v/>
      </c>
      <c r="F8">
        <f>COUNTIF('5. SSO &amp; Federation'!H8:H20,"N/A")</f>
        <v/>
      </c>
      <c r="G8">
        <f>IF((B8-F8)=0,"0%",ROUND(C8/(B8-F8)*100,1)&amp;"%")</f>
        <v/>
      </c>
    </row>
    <row r="9">
      <c r="A9" s="3" t="inlineStr">
        <is>
          <t>TOTAL</t>
        </is>
      </c>
      <c r="B9" s="3">
        <f>SUM(B4:B8)</f>
        <v/>
      </c>
      <c r="C9" s="3">
        <f>SUM(C4:C8)</f>
        <v/>
      </c>
      <c r="D9" s="3">
        <f>SUM(D4:D8)</f>
        <v/>
      </c>
      <c r="E9" s="3">
        <f>SUM(E4:E8)</f>
        <v/>
      </c>
      <c r="F9" s="3">
        <f>SUM(F4:F8)</f>
        <v/>
      </c>
      <c r="G9" s="18">
        <f>IF((B9-F9)=0,"0%",ROUND(C9/(B9-F9)*100,1)&amp;"%")</f>
        <v/>
      </c>
    </row>
    <row r="12">
      <c r="A12" s="19" t="inlineStr">
        <is>
          <t>AUTHENTICATION METHOD DISTRIBUTION</t>
        </is>
      </c>
    </row>
    <row r="13">
      <c r="A13" s="5" t="inlineStr">
        <is>
          <t>Authentication Method</t>
        </is>
      </c>
      <c r="B13" s="5" t="inlineStr">
        <is>
          <t>Count</t>
        </is>
      </c>
      <c r="C13" s="5" t="inlineStr">
        <is>
          <t>Percentage</t>
        </is>
      </c>
      <c r="D13" s="5" t="inlineStr">
        <is>
          <t>Security Rating</t>
        </is>
      </c>
    </row>
    <row r="14">
      <c r="A14" t="inlineStr">
        <is>
          <t>Password Only</t>
        </is>
      </c>
      <c r="B14" s="20" t="n"/>
      <c r="C14">
        <f>IF(SUM(B14:B14)=0,"0%",ROUND(B14/SUM(B$14:B$14)*100,1)&amp;"%")</f>
        <v/>
      </c>
      <c r="D14" t="inlineStr">
        <is>
          <t>LOW RISK ⚠️</t>
        </is>
      </c>
    </row>
    <row r="15">
      <c r="A15" t="inlineStr">
        <is>
          <t>Password + MFA</t>
        </is>
      </c>
      <c r="B15" s="20" t="n"/>
      <c r="C15">
        <f>IF(SUM(B14:B15)=0,"0%",ROUND(B15/SUM(B$14:B$15)*100,1)&amp;"%")</f>
        <v/>
      </c>
      <c r="D15" t="inlineStr">
        <is>
          <t>Good ✅</t>
        </is>
      </c>
    </row>
    <row r="16">
      <c r="A16" t="inlineStr">
        <is>
          <t>Certificate-based</t>
        </is>
      </c>
      <c r="B16" s="20" t="n"/>
      <c r="C16">
        <f>IF(SUM(B14:B16)=0,"0%",ROUND(B16/SUM(B$14:B$16)*100,1)&amp;"%")</f>
        <v/>
      </c>
      <c r="D16" t="inlineStr">
        <is>
          <t>Excellent ✅</t>
        </is>
      </c>
    </row>
    <row r="17">
      <c r="A17" t="inlineStr">
        <is>
          <t>SSO + MFA</t>
        </is>
      </c>
      <c r="B17" s="20" t="n"/>
      <c r="C17">
        <f>IF(SUM(B14:B17)=0,"0%",ROUND(B17/SUM(B$14:B$17)*100,1)&amp;"%")</f>
        <v/>
      </c>
      <c r="D17" t="inlineStr">
        <is>
          <t>Excellent ✅</t>
        </is>
      </c>
    </row>
    <row r="18">
      <c r="A18" t="inlineStr">
        <is>
          <t>Biometric + MFA</t>
        </is>
      </c>
      <c r="B18" s="20" t="n"/>
      <c r="C18">
        <f>IF(SUM(B14:B18)=0,"0%",ROUND(B18/SUM(B$14:B$18)*100,1)&amp;"%")</f>
        <v/>
      </c>
      <c r="D18" t="inlineStr">
        <is>
          <t>Excellent ✅</t>
        </is>
      </c>
    </row>
    <row r="19">
      <c r="A19" t="inlineStr">
        <is>
          <t>Legacy/Weak</t>
        </is>
      </c>
      <c r="B19" s="20" t="n"/>
      <c r="C19">
        <f>IF(SUM(B14:B19)=0,"0%",ROUND(B19/SUM(B$14:B$19)*100,1)&amp;"%")</f>
        <v/>
      </c>
      <c r="D19" t="inlineStr">
        <is>
          <t>CRITICAL RISK ❌</t>
        </is>
      </c>
    </row>
    <row r="22">
      <c r="A22" s="19" t="inlineStr">
        <is>
          <t>MFA ADOPTION METRICS</t>
        </is>
      </c>
    </row>
    <row r="23">
      <c r="A23" s="5" t="inlineStr">
        <is>
          <t>User Type</t>
        </is>
      </c>
      <c r="B23" s="5" t="inlineStr">
        <is>
          <t>Total Users</t>
        </is>
      </c>
      <c r="C23" s="5" t="inlineStr">
        <is>
          <t>MFA Enrolled</t>
        </is>
      </c>
      <c r="D23" s="5" t="inlineStr">
        <is>
          <t>Enrollment %</t>
        </is>
      </c>
      <c r="E23" s="5" t="inlineStr">
        <is>
          <t>MFA Enforcement</t>
        </is>
      </c>
    </row>
    <row r="24">
      <c r="A24" t="inlineStr">
        <is>
          <t>Administrators</t>
        </is>
      </c>
      <c r="B24" s="20" t="n"/>
      <c r="C24" s="20" t="n"/>
      <c r="D24">
        <f>IF(B24&gt;0,C24/B24*100&amp;"%","N/A")</f>
        <v/>
      </c>
      <c r="E24" s="20" t="n"/>
    </row>
    <row r="25">
      <c r="A25" t="inlineStr">
        <is>
          <t>Remote Users</t>
        </is>
      </c>
      <c r="B25" s="20" t="n"/>
      <c r="C25" s="20" t="n"/>
      <c r="D25">
        <f>IF(B25&gt;0,C25/B25*100&amp;"%","N/A")</f>
        <v/>
      </c>
      <c r="E25" s="20" t="n"/>
    </row>
    <row r="26">
      <c r="A26" t="inlineStr">
        <is>
          <t>Internal Users</t>
        </is>
      </c>
      <c r="B26" s="20" t="n"/>
      <c r="C26" s="20" t="n"/>
      <c r="D26">
        <f>IF(B26&gt;0,C26/B26*100&amp;"%","N/A")</f>
        <v/>
      </c>
      <c r="E26" s="20" t="n"/>
    </row>
    <row r="27">
      <c r="A27" t="inlineStr">
        <is>
          <t>External Users</t>
        </is>
      </c>
      <c r="B27" s="20" t="n"/>
      <c r="C27" s="20" t="n"/>
      <c r="D27">
        <f>IF(B27&gt;0,C27/B27*100&amp;"%","N/A")</f>
        <v/>
      </c>
      <c r="E27" s="20" t="n"/>
    </row>
    <row r="28">
      <c r="A28" t="inlineStr">
        <is>
          <t>Service Accounts</t>
        </is>
      </c>
      <c r="B28" s="20" t="n"/>
      <c r="C28" s="20" t="n"/>
      <c r="D28">
        <f>IF(B28&gt;0,C28/B28*100&amp;"%","N/A")</f>
        <v/>
      </c>
      <c r="E28" s="20" t="n"/>
    </row>
    <row r="31">
      <c r="A31" s="19" t="inlineStr">
        <is>
          <t>PASSWORD SECURITY METRICS</t>
        </is>
      </c>
    </row>
    <row r="32">
      <c r="A32" s="5" t="inlineStr">
        <is>
          <t>Password Metric</t>
        </is>
      </c>
      <c r="B32" s="5" t="inlineStr">
        <is>
          <t>Count</t>
        </is>
      </c>
      <c r="C32" s="5" t="inlineStr">
        <is>
          <t>Percentage</t>
        </is>
      </c>
      <c r="D32" s="5" t="inlineStr">
        <is>
          <t>Compliance Status</t>
        </is>
      </c>
    </row>
    <row r="33">
      <c r="A33" t="inlineStr">
        <is>
          <t>Hashed with Approved Algorithm</t>
        </is>
      </c>
      <c r="B33" s="20" t="n"/>
      <c r="C33">
        <f>IF(SUM(B33:B33)=0,"0%",ROUND(B33/SUM(B$33:B$33)*100,1)&amp;"%")</f>
        <v/>
      </c>
      <c r="D33" t="inlineStr">
        <is>
          <t>✅ Compliant</t>
        </is>
      </c>
    </row>
    <row r="34">
      <c r="A34" t="inlineStr">
        <is>
          <t>Plaintext Storage</t>
        </is>
      </c>
      <c r="B34" s="20" t="n"/>
      <c r="C34">
        <f>IF(SUM(B33:B34)=0,"0%",ROUND(B34/SUM(B$33:B$34)*100,1)&amp;"%")</f>
        <v/>
      </c>
      <c r="D34" t="inlineStr">
        <is>
          <t>❌ CRITICAL</t>
        </is>
      </c>
    </row>
    <row r="35">
      <c r="A35" t="inlineStr">
        <is>
          <t>Weak Hashing (MD5/SHA-1)</t>
        </is>
      </c>
      <c r="B35" s="20" t="n"/>
      <c r="C35">
        <f>IF(SUM(B33:B35)=0,"0%",ROUND(B35/SUM(B$33:B$35)*100,1)&amp;"%")</f>
        <v/>
      </c>
      <c r="D35" t="inlineStr">
        <is>
          <t>❌ Non-Compliant</t>
        </is>
      </c>
    </row>
    <row r="36">
      <c r="A36" t="inlineStr">
        <is>
          <t>Min Length ≥14 chars</t>
        </is>
      </c>
      <c r="B36" s="20" t="n"/>
      <c r="C36">
        <f>IF(SUM(B33:B36)=0,"0%",ROUND(B36/SUM(B$33:B$36)*100,1)&amp;"%")</f>
        <v/>
      </c>
      <c r="D36" t="inlineStr">
        <is>
          <t>✅ Recommended</t>
        </is>
      </c>
    </row>
    <row r="37">
      <c r="A37" t="inlineStr">
        <is>
          <t>Min Length 12-13 chars</t>
        </is>
      </c>
      <c r="B37" s="20" t="n"/>
      <c r="C37">
        <f>IF(SUM(B33:B37)=0,"0%",ROUND(B37/SUM(B$33:B$37)*100,1)&amp;"%")</f>
        <v/>
      </c>
      <c r="D37" t="inlineStr">
        <is>
          <t>⚠️ Adequate</t>
        </is>
      </c>
    </row>
    <row r="38">
      <c r="A38" t="inlineStr">
        <is>
          <t>Min Length &lt;12 chars</t>
        </is>
      </c>
      <c r="B38" s="20" t="n"/>
      <c r="C38">
        <f>IF(SUM(B33:B38)=0,"0%",ROUND(B38/SUM(B$33:B$38)*100,1)&amp;"%")</f>
        <v/>
      </c>
      <c r="D38" t="inlineStr">
        <is>
          <t>❌ Weak</t>
        </is>
      </c>
    </row>
    <row r="39">
      <c r="A39" t="inlineStr">
        <is>
          <t>Account Lockout Enabled</t>
        </is>
      </c>
      <c r="B39" s="20" t="n"/>
      <c r="C39">
        <f>IF(SUM(B33:B39)=0,"0%",ROUND(B39/SUM(B$33:B$39)*100,1)&amp;"%")</f>
        <v/>
      </c>
      <c r="D39" t="inlineStr">
        <is>
          <t>✅ Required</t>
        </is>
      </c>
    </row>
    <row r="40">
      <c r="A40" t="inlineStr">
        <is>
          <t>Password Expiry Configured</t>
        </is>
      </c>
      <c r="B40" s="20" t="n"/>
      <c r="C40">
        <f>IF(SUM(B33:B40)=0,"0%",ROUND(B40/SUM(B$33:B$40)*100,1)&amp;"%")</f>
        <v/>
      </c>
      <c r="D40" t="inlineStr">
        <is>
          <t>✅ Required</t>
        </is>
      </c>
    </row>
    <row r="43">
      <c r="A43" s="19" t="inlineStr">
        <is>
          <t>SERVICE ACCOUNT SECURITY</t>
        </is>
      </c>
    </row>
    <row r="44">
      <c r="A44" s="5" t="inlineStr">
        <is>
          <t>Service Account Metric</t>
        </is>
      </c>
      <c r="B44" s="5" t="inlineStr">
        <is>
          <t>Count</t>
        </is>
      </c>
      <c r="C44" s="5" t="inlineStr">
        <is>
          <t>Status</t>
        </is>
      </c>
    </row>
    <row r="45">
      <c r="A45" t="inlineStr">
        <is>
          <t>Total Service Accounts</t>
        </is>
      </c>
      <c r="B45" s="20" t="n"/>
      <c r="C45" t="inlineStr"/>
    </row>
    <row r="46">
      <c r="A46" t="inlineStr">
        <is>
          <t>Certificate-based Auth</t>
        </is>
      </c>
      <c r="B46" s="20" t="n"/>
      <c r="C46" t="inlineStr">
        <is>
          <t>✅</t>
        </is>
      </c>
    </row>
    <row r="47">
      <c r="A47" t="inlineStr">
        <is>
          <t>Long Password (≥20 chars)</t>
        </is>
      </c>
      <c r="B47" s="20" t="n"/>
      <c r="C47" t="inlineStr">
        <is>
          <t>✅</t>
        </is>
      </c>
    </row>
    <row r="48">
      <c r="A48" t="inlineStr">
        <is>
          <t>Weak Password (&lt;20 chars)</t>
        </is>
      </c>
      <c r="B48" s="20" t="n"/>
      <c r="C48" t="inlineStr">
        <is>
          <t>❌</t>
        </is>
      </c>
    </row>
    <row r="49">
      <c r="A49" t="inlineStr">
        <is>
          <t>Interactive Login Disabled</t>
        </is>
      </c>
      <c r="B49" s="20" t="n"/>
      <c r="C49" t="inlineStr">
        <is>
          <t>✅</t>
        </is>
      </c>
    </row>
    <row r="50">
      <c r="A50" t="inlineStr">
        <is>
          <t>Stored in Secrets Vault</t>
        </is>
      </c>
      <c r="B50" s="20" t="n"/>
      <c r="C50" t="inlineStr">
        <is>
          <t>✅</t>
        </is>
      </c>
    </row>
    <row r="51">
      <c r="A51" t="inlineStr">
        <is>
          <t>Privileged Accounts</t>
        </is>
      </c>
      <c r="B51" s="20" t="n"/>
      <c r="C51" t="inlineStr">
        <is>
          <t>⚠️</t>
        </is>
      </c>
    </row>
    <row r="54">
      <c r="A54" s="19" t="inlineStr">
        <is>
          <t>SSO COVERAGE ANALYSIS</t>
        </is>
      </c>
    </row>
    <row r="55">
      <c r="A55" s="5" t="inlineStr">
        <is>
          <t>SSO Metric</t>
        </is>
      </c>
      <c r="B55" s="5" t="inlineStr">
        <is>
          <t>Count</t>
        </is>
      </c>
      <c r="C55" s="5" t="inlineStr">
        <is>
          <t>Status</t>
        </is>
      </c>
    </row>
    <row r="56">
      <c r="A56" t="inlineStr">
        <is>
          <t>Applications with SSO</t>
        </is>
      </c>
      <c r="B56" s="20" t="n"/>
      <c r="C56" t="inlineStr"/>
    </row>
    <row r="57">
      <c r="A57" t="inlineStr">
        <is>
          <t>SAML 2.0 Implementations</t>
        </is>
      </c>
      <c r="B57" s="20" t="n"/>
      <c r="C57" t="inlineStr"/>
    </row>
    <row r="58">
      <c r="A58" t="inlineStr">
        <is>
          <t>OAuth 2.0/OIDC Implementations</t>
        </is>
      </c>
      <c r="B58" s="20" t="n"/>
      <c r="C58" t="inlineStr"/>
    </row>
    <row r="59">
      <c r="A59" t="inlineStr">
        <is>
          <t>MFA Required at IdP</t>
        </is>
      </c>
      <c r="B59" s="20" t="n"/>
      <c r="C59" t="inlineStr">
        <is>
          <t>✅</t>
        </is>
      </c>
    </row>
    <row r="60">
      <c r="A60" t="inlineStr">
        <is>
          <t>Legacy Protocols (LDAP/Kerberos)</t>
        </is>
      </c>
      <c r="B60" s="20" t="n"/>
      <c r="C60" t="inlineStr">
        <is>
          <t>⚠️</t>
        </is>
      </c>
    </row>
    <row r="61">
      <c r="A61" t="inlineStr">
        <is>
          <t>JIT Provisioning Enabled</t>
        </is>
      </c>
      <c r="B61" s="20" t="n"/>
      <c r="C61" t="inlineStr">
        <is>
          <t>✅</t>
        </is>
      </c>
    </row>
    <row r="64">
      <c r="A64" s="21" t="inlineStr">
        <is>
          <t>OVERALL AUTHENTICATION SECURITY SCORE</t>
        </is>
      </c>
    </row>
    <row r="65">
      <c r="A65" s="3" t="inlineStr">
        <is>
          <t>Component</t>
        </is>
      </c>
      <c r="B65" s="3" t="inlineStr">
        <is>
          <t>Weight</t>
        </is>
      </c>
      <c r="C65" s="3" t="inlineStr">
        <is>
          <t>Score</t>
        </is>
      </c>
      <c r="D65" s="3" t="inlineStr">
        <is>
          <t>Weighted Score</t>
        </is>
      </c>
    </row>
    <row r="66">
      <c r="A66" t="inlineStr">
        <is>
          <t>Password Security (20%)</t>
        </is>
      </c>
      <c r="B66" t="inlineStr">
        <is>
          <t>0.20</t>
        </is>
      </c>
      <c r="C66" s="20" t="n"/>
      <c r="D66">
        <f>C66*B66</f>
        <v/>
      </c>
    </row>
    <row r="67">
      <c r="A67" t="inlineStr">
        <is>
          <t>MFA Coverage (30%)</t>
        </is>
      </c>
      <c r="B67" t="inlineStr">
        <is>
          <t>0.30</t>
        </is>
      </c>
      <c r="C67" s="20" t="n"/>
      <c r="D67">
        <f>C67*B67</f>
        <v/>
      </c>
    </row>
    <row r="68">
      <c r="A68" t="inlineStr">
        <is>
          <t>Certificate Auth (15%)</t>
        </is>
      </c>
      <c r="B68" t="inlineStr">
        <is>
          <t>0.15</t>
        </is>
      </c>
      <c r="C68" s="20" t="n"/>
      <c r="D68">
        <f>C68*B68</f>
        <v/>
      </c>
    </row>
    <row r="69">
      <c r="A69" t="inlineStr">
        <is>
          <t>Service Accounts (15%)</t>
        </is>
      </c>
      <c r="B69" t="inlineStr">
        <is>
          <t>0.15</t>
        </is>
      </c>
      <c r="C69" s="20" t="n"/>
      <c r="D69">
        <f>C69*B69</f>
        <v/>
      </c>
    </row>
    <row r="70">
      <c r="A70" t="inlineStr">
        <is>
          <t>SSO &amp; Federation (20%)</t>
        </is>
      </c>
      <c r="B70" t="inlineStr">
        <is>
          <t>0.20</t>
        </is>
      </c>
      <c r="C70" s="20" t="n"/>
      <c r="D70">
        <f>C70*B70</f>
        <v/>
      </c>
    </row>
    <row r="71">
      <c r="A71" s="3" t="inlineStr">
        <is>
          <t>TOTAL WEIGHTED SCORE:</t>
        </is>
      </c>
      <c r="D71" s="18">
        <f>SUM(D66:D70)*100&amp;"%"</f>
        <v/>
      </c>
    </row>
    <row r="72">
      <c r="A72" s="3" t="inlineStr">
        <is>
          <t>Security Posture Rating:</t>
        </is>
      </c>
      <c r="B72" s="20" t="n"/>
    </row>
    <row r="75">
      <c r="A75" s="22" t="inlineStr">
        <is>
          <t>CRITICAL GAPS REQUIRING IMMEDIATE ATTENTION</t>
        </is>
      </c>
    </row>
    <row r="76">
      <c r="A76" s="5" t="inlineStr">
        <is>
          <t>Priority</t>
        </is>
      </c>
      <c r="B76" s="5" t="inlineStr">
        <is>
          <t>Assessment Area</t>
        </is>
      </c>
      <c r="C76" s="5" t="inlineStr">
        <is>
          <t>Gap Description</t>
        </is>
      </c>
      <c r="D76" s="5" t="inlineStr">
        <is>
          <t>Risk Level</t>
        </is>
      </c>
      <c r="E76" s="5" t="inlineStr">
        <is>
          <t>Responsible Person</t>
        </is>
      </c>
      <c r="F76" s="5" t="inlineStr">
        <is>
          <t>Target Date</t>
        </is>
      </c>
      <c r="G76" s="5" t="inlineStr">
        <is>
          <t>Status</t>
        </is>
      </c>
    </row>
    <row r="77">
      <c r="A77" s="20" t="n"/>
      <c r="B77" s="13" t="n"/>
      <c r="C77" s="13" t="n"/>
      <c r="D77" s="13" t="n"/>
      <c r="E77" s="13" t="n"/>
      <c r="F77" s="20" t="n"/>
      <c r="G77" s="20" t="n"/>
    </row>
    <row r="78">
      <c r="A78" s="20" t="n"/>
      <c r="B78" s="13" t="n"/>
      <c r="C78" s="13" t="n"/>
      <c r="D78" s="13" t="n"/>
      <c r="E78" s="13" t="n"/>
      <c r="F78" s="20" t="n"/>
      <c r="G78" s="20" t="n"/>
    </row>
    <row r="79">
      <c r="A79" s="20" t="n"/>
      <c r="B79" s="13" t="n"/>
      <c r="C79" s="13" t="n"/>
      <c r="D79" s="13" t="n"/>
      <c r="E79" s="13" t="n"/>
      <c r="F79" s="20" t="n"/>
      <c r="G79" s="20" t="n"/>
    </row>
    <row r="80">
      <c r="A80" s="20" t="n"/>
      <c r="B80" s="13" t="n"/>
      <c r="C80" s="13" t="n"/>
      <c r="D80" s="13" t="n"/>
      <c r="E80" s="13" t="n"/>
      <c r="F80" s="20" t="n"/>
      <c r="G80" s="20" t="n"/>
    </row>
    <row r="81">
      <c r="A81" s="20" t="n"/>
      <c r="B81" s="13" t="n"/>
      <c r="C81" s="13" t="n"/>
      <c r="D81" s="13" t="n"/>
      <c r="E81" s="13" t="n"/>
      <c r="F81" s="20" t="n"/>
      <c r="G81" s="20" t="n"/>
    </row>
    <row r="82">
      <c r="A82" s="20" t="n"/>
      <c r="B82" s="13" t="n"/>
      <c r="C82" s="13" t="n"/>
      <c r="D82" s="13" t="n"/>
      <c r="E82" s="13" t="n"/>
      <c r="F82" s="20" t="n"/>
      <c r="G82" s="20" t="n"/>
    </row>
    <row r="83">
      <c r="A83" s="20" t="n"/>
      <c r="B83" s="13" t="n"/>
      <c r="C83" s="13" t="n"/>
      <c r="D83" s="13" t="n"/>
      <c r="E83" s="13" t="n"/>
      <c r="F83" s="20" t="n"/>
      <c r="G83" s="20" t="n"/>
    </row>
    <row r="84">
      <c r="A84" s="20" t="n"/>
      <c r="B84" s="13" t="n"/>
      <c r="C84" s="13" t="n"/>
      <c r="D84" s="13" t="n"/>
      <c r="E84" s="13" t="n"/>
      <c r="F84" s="20" t="n"/>
      <c r="G84" s="20" t="n"/>
    </row>
  </sheetData>
  <mergeCells count="8">
    <mergeCell ref="A31:D31"/>
    <mergeCell ref="A1:G1"/>
    <mergeCell ref="A12:D12"/>
    <mergeCell ref="A64:D64"/>
    <mergeCell ref="A22:E22"/>
    <mergeCell ref="A43:C43"/>
    <mergeCell ref="A54:C54"/>
    <mergeCell ref="A75:G75"/>
  </mergeCells>
  <dataValidations count="3">
    <dataValidation sqref="A77 A78 A79 A80 A81 A82 A83 A84" showDropDown="0" showInputMessage="0" showErrorMessage="0" allowBlank="0" type="list">
      <formula1>"High,Medium,Low"</formula1>
    </dataValidation>
    <dataValidation sqref="D77 D78 D79 D80 D81 D82 D83 D84" showDropDown="0" showInputMessage="0" showErrorMessage="0" allowBlank="0" type="list">
      <formula1>"Critical,High,Medium,Low"</formula1>
    </dataValidation>
    <dataValidation sqref="G77 G78 G79 G80 G81 G82 G83 G84" showDropDown="0" showInputMessage="0" showErrorMessage="0" allowBlank="0" type="list">
      <formula1>"Open,In Progress,Resolved,Closed"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23"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24" t="inlineStr">
        <is>
          <t>EV-001</t>
        </is>
      </c>
      <c r="B5" s="13" t="n"/>
      <c r="C5" s="13" t="n"/>
      <c r="D5" s="13" t="n"/>
      <c r="E5" s="13" t="n"/>
      <c r="F5" s="13" t="n"/>
      <c r="G5" s="13" t="n"/>
      <c r="H5" s="13" t="n"/>
    </row>
    <row r="6">
      <c r="A6" s="24" t="inlineStr">
        <is>
          <t>EV-002</t>
        </is>
      </c>
      <c r="B6" s="13" t="n"/>
      <c r="C6" s="13" t="n"/>
      <c r="D6" s="13" t="n"/>
      <c r="E6" s="13" t="n"/>
      <c r="F6" s="13" t="n"/>
      <c r="G6" s="13" t="n"/>
      <c r="H6" s="13" t="n"/>
    </row>
    <row r="7">
      <c r="A7" s="24" t="inlineStr">
        <is>
          <t>EV-003</t>
        </is>
      </c>
      <c r="B7" s="13" t="n"/>
      <c r="C7" s="13" t="n"/>
      <c r="D7" s="13" t="n"/>
      <c r="E7" s="13" t="n"/>
      <c r="F7" s="13" t="n"/>
      <c r="G7" s="13" t="n"/>
      <c r="H7" s="13" t="n"/>
    </row>
    <row r="8">
      <c r="A8" s="24" t="inlineStr">
        <is>
          <t>EV-004</t>
        </is>
      </c>
      <c r="B8" s="13" t="n"/>
      <c r="C8" s="13" t="n"/>
      <c r="D8" s="13" t="n"/>
      <c r="E8" s="13" t="n"/>
      <c r="F8" s="13" t="n"/>
      <c r="G8" s="13" t="n"/>
      <c r="H8" s="13" t="n"/>
    </row>
    <row r="9">
      <c r="A9" s="24" t="inlineStr">
        <is>
          <t>EV-005</t>
        </is>
      </c>
      <c r="B9" s="13" t="n"/>
      <c r="C9" s="13" t="n"/>
      <c r="D9" s="13" t="n"/>
      <c r="E9" s="13" t="n"/>
      <c r="F9" s="13" t="n"/>
      <c r="G9" s="13" t="n"/>
      <c r="H9" s="13" t="n"/>
    </row>
    <row r="10">
      <c r="A10" s="24" t="inlineStr">
        <is>
          <t>EV-006</t>
        </is>
      </c>
      <c r="B10" s="13" t="n"/>
      <c r="C10" s="13" t="n"/>
      <c r="D10" s="13" t="n"/>
      <c r="E10" s="13" t="n"/>
      <c r="F10" s="13" t="n"/>
      <c r="G10" s="13" t="n"/>
      <c r="H10" s="13" t="n"/>
    </row>
    <row r="11">
      <c r="A11" s="24" t="inlineStr">
        <is>
          <t>EV-007</t>
        </is>
      </c>
      <c r="B11" s="13" t="n"/>
      <c r="C11" s="13" t="n"/>
      <c r="D11" s="13" t="n"/>
      <c r="E11" s="13" t="n"/>
      <c r="F11" s="13" t="n"/>
      <c r="G11" s="13" t="n"/>
      <c r="H11" s="13" t="n"/>
    </row>
    <row r="12">
      <c r="A12" s="24" t="inlineStr">
        <is>
          <t>EV-008</t>
        </is>
      </c>
      <c r="B12" s="13" t="n"/>
      <c r="C12" s="13" t="n"/>
      <c r="D12" s="13" t="n"/>
      <c r="E12" s="13" t="n"/>
      <c r="F12" s="13" t="n"/>
      <c r="G12" s="13" t="n"/>
      <c r="H12" s="13" t="n"/>
    </row>
    <row r="13">
      <c r="A13" s="24" t="inlineStr">
        <is>
          <t>EV-009</t>
        </is>
      </c>
      <c r="B13" s="13" t="n"/>
      <c r="C13" s="13" t="n"/>
      <c r="D13" s="13" t="n"/>
      <c r="E13" s="13" t="n"/>
      <c r="F13" s="13" t="n"/>
      <c r="G13" s="13" t="n"/>
      <c r="H13" s="13" t="n"/>
    </row>
    <row r="14">
      <c r="A14" s="24" t="inlineStr">
        <is>
          <t>EV-010</t>
        </is>
      </c>
      <c r="B14" s="13" t="n"/>
      <c r="C14" s="13" t="n"/>
      <c r="D14" s="13" t="n"/>
      <c r="E14" s="13" t="n"/>
      <c r="F14" s="13" t="n"/>
      <c r="G14" s="13" t="n"/>
      <c r="H14" s="13" t="n"/>
    </row>
    <row r="15">
      <c r="A15" s="24" t="inlineStr">
        <is>
          <t>EV-011</t>
        </is>
      </c>
      <c r="B15" s="13" t="n"/>
      <c r="C15" s="13" t="n"/>
      <c r="D15" s="13" t="n"/>
      <c r="E15" s="13" t="n"/>
      <c r="F15" s="13" t="n"/>
      <c r="G15" s="13" t="n"/>
      <c r="H15" s="13" t="n"/>
    </row>
    <row r="16">
      <c r="A16" s="24" t="inlineStr">
        <is>
          <t>EV-012</t>
        </is>
      </c>
      <c r="B16" s="13" t="n"/>
      <c r="C16" s="13" t="n"/>
      <c r="D16" s="13" t="n"/>
      <c r="E16" s="13" t="n"/>
      <c r="F16" s="13" t="n"/>
      <c r="G16" s="13" t="n"/>
      <c r="H16" s="13" t="n"/>
    </row>
    <row r="17">
      <c r="A17" s="24" t="inlineStr">
        <is>
          <t>EV-013</t>
        </is>
      </c>
      <c r="B17" s="13" t="n"/>
      <c r="C17" s="13" t="n"/>
      <c r="D17" s="13" t="n"/>
      <c r="E17" s="13" t="n"/>
      <c r="F17" s="13" t="n"/>
      <c r="G17" s="13" t="n"/>
      <c r="H17" s="13" t="n"/>
    </row>
    <row r="18">
      <c r="A18" s="24" t="inlineStr">
        <is>
          <t>EV-014</t>
        </is>
      </c>
      <c r="B18" s="13" t="n"/>
      <c r="C18" s="13" t="n"/>
      <c r="D18" s="13" t="n"/>
      <c r="E18" s="13" t="n"/>
      <c r="F18" s="13" t="n"/>
      <c r="G18" s="13" t="n"/>
      <c r="H18" s="13" t="n"/>
    </row>
    <row r="19">
      <c r="A19" s="24" t="inlineStr">
        <is>
          <t>EV-015</t>
        </is>
      </c>
      <c r="B19" s="13" t="n"/>
      <c r="C19" s="13" t="n"/>
      <c r="D19" s="13" t="n"/>
      <c r="E19" s="13" t="n"/>
      <c r="F19" s="13" t="n"/>
      <c r="G19" s="13" t="n"/>
      <c r="H19" s="13" t="n"/>
    </row>
    <row r="20">
      <c r="A20" s="24" t="inlineStr">
        <is>
          <t>EV-016</t>
        </is>
      </c>
      <c r="B20" s="13" t="n"/>
      <c r="C20" s="13" t="n"/>
      <c r="D20" s="13" t="n"/>
      <c r="E20" s="13" t="n"/>
      <c r="F20" s="13" t="n"/>
      <c r="G20" s="13" t="n"/>
      <c r="H20" s="13" t="n"/>
    </row>
    <row r="21">
      <c r="A21" s="24" t="inlineStr">
        <is>
          <t>EV-017</t>
        </is>
      </c>
      <c r="B21" s="13" t="n"/>
      <c r="C21" s="13" t="n"/>
      <c r="D21" s="13" t="n"/>
      <c r="E21" s="13" t="n"/>
      <c r="F21" s="13" t="n"/>
      <c r="G21" s="13" t="n"/>
      <c r="H21" s="13" t="n"/>
    </row>
    <row r="22">
      <c r="A22" s="24" t="inlineStr">
        <is>
          <t>EV-018</t>
        </is>
      </c>
      <c r="B22" s="13" t="n"/>
      <c r="C22" s="13" t="n"/>
      <c r="D22" s="13" t="n"/>
      <c r="E22" s="13" t="n"/>
      <c r="F22" s="13" t="n"/>
      <c r="G22" s="13" t="n"/>
      <c r="H22" s="13" t="n"/>
    </row>
    <row r="23">
      <c r="A23" s="24" t="inlineStr">
        <is>
          <t>EV-019</t>
        </is>
      </c>
      <c r="B23" s="13" t="n"/>
      <c r="C23" s="13" t="n"/>
      <c r="D23" s="13" t="n"/>
      <c r="E23" s="13" t="n"/>
      <c r="F23" s="13" t="n"/>
      <c r="G23" s="13" t="n"/>
      <c r="H23" s="13" t="n"/>
    </row>
    <row r="24">
      <c r="A24" s="24" t="inlineStr">
        <is>
          <t>EV-020</t>
        </is>
      </c>
      <c r="B24" s="13" t="n"/>
      <c r="C24" s="13" t="n"/>
      <c r="D24" s="13" t="n"/>
      <c r="E24" s="13" t="n"/>
      <c r="F24" s="13" t="n"/>
      <c r="G24" s="13" t="n"/>
      <c r="H24" s="13" t="n"/>
    </row>
    <row r="25">
      <c r="A25" s="24" t="inlineStr">
        <is>
          <t>EV-021</t>
        </is>
      </c>
      <c r="B25" s="13" t="n"/>
      <c r="C25" s="13" t="n"/>
      <c r="D25" s="13" t="n"/>
      <c r="E25" s="13" t="n"/>
      <c r="F25" s="13" t="n"/>
      <c r="G25" s="13" t="n"/>
      <c r="H25" s="13" t="n"/>
    </row>
    <row r="26">
      <c r="A26" s="24" t="inlineStr">
        <is>
          <t>EV-022</t>
        </is>
      </c>
      <c r="B26" s="13" t="n"/>
      <c r="C26" s="13" t="n"/>
      <c r="D26" s="13" t="n"/>
      <c r="E26" s="13" t="n"/>
      <c r="F26" s="13" t="n"/>
      <c r="G26" s="13" t="n"/>
      <c r="H26" s="13" t="n"/>
    </row>
    <row r="27">
      <c r="A27" s="24" t="inlineStr">
        <is>
          <t>EV-023</t>
        </is>
      </c>
      <c r="B27" s="13" t="n"/>
      <c r="C27" s="13" t="n"/>
      <c r="D27" s="13" t="n"/>
      <c r="E27" s="13" t="n"/>
      <c r="F27" s="13" t="n"/>
      <c r="G27" s="13" t="n"/>
      <c r="H27" s="13" t="n"/>
    </row>
    <row r="28">
      <c r="A28" s="24" t="inlineStr">
        <is>
          <t>EV-024</t>
        </is>
      </c>
      <c r="B28" s="13" t="n"/>
      <c r="C28" s="13" t="n"/>
      <c r="D28" s="13" t="n"/>
      <c r="E28" s="13" t="n"/>
      <c r="F28" s="13" t="n"/>
      <c r="G28" s="13" t="n"/>
      <c r="H28" s="13" t="n"/>
    </row>
    <row r="29">
      <c r="A29" s="24" t="inlineStr">
        <is>
          <t>EV-025</t>
        </is>
      </c>
      <c r="B29" s="13" t="n"/>
      <c r="C29" s="13" t="n"/>
      <c r="D29" s="13" t="n"/>
      <c r="E29" s="13" t="n"/>
      <c r="F29" s="13" t="n"/>
      <c r="G29" s="13" t="n"/>
      <c r="H29" s="13" t="n"/>
    </row>
    <row r="30">
      <c r="A30" s="24" t="inlineStr">
        <is>
          <t>EV-026</t>
        </is>
      </c>
      <c r="B30" s="13" t="n"/>
      <c r="C30" s="13" t="n"/>
      <c r="D30" s="13" t="n"/>
      <c r="E30" s="13" t="n"/>
      <c r="F30" s="13" t="n"/>
      <c r="G30" s="13" t="n"/>
      <c r="H30" s="13" t="n"/>
    </row>
    <row r="31">
      <c r="A31" s="24" t="inlineStr">
        <is>
          <t>EV-027</t>
        </is>
      </c>
      <c r="B31" s="13" t="n"/>
      <c r="C31" s="13" t="n"/>
      <c r="D31" s="13" t="n"/>
      <c r="E31" s="13" t="n"/>
      <c r="F31" s="13" t="n"/>
      <c r="G31" s="13" t="n"/>
      <c r="H31" s="13" t="n"/>
    </row>
    <row r="32">
      <c r="A32" s="24" t="inlineStr">
        <is>
          <t>EV-028</t>
        </is>
      </c>
      <c r="B32" s="13" t="n"/>
      <c r="C32" s="13" t="n"/>
      <c r="D32" s="13" t="n"/>
      <c r="E32" s="13" t="n"/>
      <c r="F32" s="13" t="n"/>
      <c r="G32" s="13" t="n"/>
      <c r="H32" s="13" t="n"/>
    </row>
    <row r="33">
      <c r="A33" s="24" t="inlineStr">
        <is>
          <t>EV-029</t>
        </is>
      </c>
      <c r="B33" s="13" t="n"/>
      <c r="C33" s="13" t="n"/>
      <c r="D33" s="13" t="n"/>
      <c r="E33" s="13" t="n"/>
      <c r="F33" s="13" t="n"/>
      <c r="G33" s="13" t="n"/>
      <c r="H33" s="13" t="n"/>
    </row>
    <row r="34">
      <c r="A34" s="24" t="inlineStr">
        <is>
          <t>EV-030</t>
        </is>
      </c>
      <c r="B34" s="13" t="n"/>
      <c r="C34" s="13" t="n"/>
      <c r="D34" s="13" t="n"/>
      <c r="E34" s="13" t="n"/>
      <c r="F34" s="13" t="n"/>
      <c r="G34" s="13" t="n"/>
      <c r="H34" s="13" t="n"/>
    </row>
    <row r="35">
      <c r="A35" s="24" t="inlineStr">
        <is>
          <t>EV-031</t>
        </is>
      </c>
      <c r="B35" s="13" t="n"/>
      <c r="C35" s="13" t="n"/>
      <c r="D35" s="13" t="n"/>
      <c r="E35" s="13" t="n"/>
      <c r="F35" s="13" t="n"/>
      <c r="G35" s="13" t="n"/>
      <c r="H35" s="13" t="n"/>
    </row>
    <row r="36">
      <c r="A36" s="24" t="inlineStr">
        <is>
          <t>EV-032</t>
        </is>
      </c>
      <c r="B36" s="13" t="n"/>
      <c r="C36" s="13" t="n"/>
      <c r="D36" s="13" t="n"/>
      <c r="E36" s="13" t="n"/>
      <c r="F36" s="13" t="n"/>
      <c r="G36" s="13" t="n"/>
      <c r="H36" s="13" t="n"/>
    </row>
    <row r="37">
      <c r="A37" s="24" t="inlineStr">
        <is>
          <t>EV-033</t>
        </is>
      </c>
      <c r="B37" s="13" t="n"/>
      <c r="C37" s="13" t="n"/>
      <c r="D37" s="13" t="n"/>
      <c r="E37" s="13" t="n"/>
      <c r="F37" s="13" t="n"/>
      <c r="G37" s="13" t="n"/>
      <c r="H37" s="13" t="n"/>
    </row>
    <row r="38">
      <c r="A38" s="24" t="inlineStr">
        <is>
          <t>EV-034</t>
        </is>
      </c>
      <c r="B38" s="13" t="n"/>
      <c r="C38" s="13" t="n"/>
      <c r="D38" s="13" t="n"/>
      <c r="E38" s="13" t="n"/>
      <c r="F38" s="13" t="n"/>
      <c r="G38" s="13" t="n"/>
      <c r="H38" s="13" t="n"/>
    </row>
    <row r="39">
      <c r="A39" s="24" t="inlineStr">
        <is>
          <t>EV-035</t>
        </is>
      </c>
      <c r="B39" s="13" t="n"/>
      <c r="C39" s="13" t="n"/>
      <c r="D39" s="13" t="n"/>
      <c r="E39" s="13" t="n"/>
      <c r="F39" s="13" t="n"/>
      <c r="G39" s="13" t="n"/>
      <c r="H39" s="13" t="n"/>
    </row>
    <row r="40">
      <c r="A40" s="24" t="inlineStr">
        <is>
          <t>EV-036</t>
        </is>
      </c>
      <c r="B40" s="13" t="n"/>
      <c r="C40" s="13" t="n"/>
      <c r="D40" s="13" t="n"/>
      <c r="E40" s="13" t="n"/>
      <c r="F40" s="13" t="n"/>
      <c r="G40" s="13" t="n"/>
      <c r="H40" s="13" t="n"/>
    </row>
    <row r="41">
      <c r="A41" s="24" t="inlineStr">
        <is>
          <t>EV-037</t>
        </is>
      </c>
      <c r="B41" s="13" t="n"/>
      <c r="C41" s="13" t="n"/>
      <c r="D41" s="13" t="n"/>
      <c r="E41" s="13" t="n"/>
      <c r="F41" s="13" t="n"/>
      <c r="G41" s="13" t="n"/>
      <c r="H41" s="13" t="n"/>
    </row>
    <row r="42">
      <c r="A42" s="24" t="inlineStr">
        <is>
          <t>EV-038</t>
        </is>
      </c>
      <c r="B42" s="13" t="n"/>
      <c r="C42" s="13" t="n"/>
      <c r="D42" s="13" t="n"/>
      <c r="E42" s="13" t="n"/>
      <c r="F42" s="13" t="n"/>
      <c r="G42" s="13" t="n"/>
      <c r="H42" s="13" t="n"/>
    </row>
    <row r="43">
      <c r="A43" s="24" t="inlineStr">
        <is>
          <t>EV-039</t>
        </is>
      </c>
      <c r="B43" s="13" t="n"/>
      <c r="C43" s="13" t="n"/>
      <c r="D43" s="13" t="n"/>
      <c r="E43" s="13" t="n"/>
      <c r="F43" s="13" t="n"/>
      <c r="G43" s="13" t="n"/>
      <c r="H43" s="13" t="n"/>
    </row>
    <row r="44">
      <c r="A44" s="24" t="inlineStr">
        <is>
          <t>EV-040</t>
        </is>
      </c>
      <c r="B44" s="13" t="n"/>
      <c r="C44" s="13" t="n"/>
      <c r="D44" s="13" t="n"/>
      <c r="E44" s="13" t="n"/>
      <c r="F44" s="13" t="n"/>
      <c r="G44" s="13" t="n"/>
      <c r="H44" s="13" t="n"/>
    </row>
    <row r="45">
      <c r="A45" s="24" t="inlineStr">
        <is>
          <t>EV-041</t>
        </is>
      </c>
      <c r="B45" s="13" t="n"/>
      <c r="C45" s="13" t="n"/>
      <c r="D45" s="13" t="n"/>
      <c r="E45" s="13" t="n"/>
      <c r="F45" s="13" t="n"/>
      <c r="G45" s="13" t="n"/>
      <c r="H45" s="13" t="n"/>
    </row>
    <row r="46">
      <c r="A46" s="24" t="inlineStr">
        <is>
          <t>EV-042</t>
        </is>
      </c>
      <c r="B46" s="13" t="n"/>
      <c r="C46" s="13" t="n"/>
      <c r="D46" s="13" t="n"/>
      <c r="E46" s="13" t="n"/>
      <c r="F46" s="13" t="n"/>
      <c r="G46" s="13" t="n"/>
      <c r="H46" s="13" t="n"/>
    </row>
    <row r="47">
      <c r="A47" s="24" t="inlineStr">
        <is>
          <t>EV-043</t>
        </is>
      </c>
      <c r="B47" s="13" t="n"/>
      <c r="C47" s="13" t="n"/>
      <c r="D47" s="13" t="n"/>
      <c r="E47" s="13" t="n"/>
      <c r="F47" s="13" t="n"/>
      <c r="G47" s="13" t="n"/>
      <c r="H47" s="13" t="n"/>
    </row>
    <row r="48">
      <c r="A48" s="24" t="inlineStr">
        <is>
          <t>EV-044</t>
        </is>
      </c>
      <c r="B48" s="13" t="n"/>
      <c r="C48" s="13" t="n"/>
      <c r="D48" s="13" t="n"/>
      <c r="E48" s="13" t="n"/>
      <c r="F48" s="13" t="n"/>
      <c r="G48" s="13" t="n"/>
      <c r="H48" s="13" t="n"/>
    </row>
    <row r="49">
      <c r="A49" s="24" t="inlineStr">
        <is>
          <t>EV-045</t>
        </is>
      </c>
      <c r="B49" s="13" t="n"/>
      <c r="C49" s="13" t="n"/>
      <c r="D49" s="13" t="n"/>
      <c r="E49" s="13" t="n"/>
      <c r="F49" s="13" t="n"/>
      <c r="G49" s="13" t="n"/>
      <c r="H49" s="13" t="n"/>
    </row>
    <row r="50">
      <c r="A50" s="24" t="inlineStr">
        <is>
          <t>EV-046</t>
        </is>
      </c>
      <c r="B50" s="13" t="n"/>
      <c r="C50" s="13" t="n"/>
      <c r="D50" s="13" t="n"/>
      <c r="E50" s="13" t="n"/>
      <c r="F50" s="13" t="n"/>
      <c r="G50" s="13" t="n"/>
      <c r="H50" s="13" t="n"/>
    </row>
    <row r="51">
      <c r="A51" s="24" t="inlineStr">
        <is>
          <t>EV-047</t>
        </is>
      </c>
      <c r="B51" s="13" t="n"/>
      <c r="C51" s="13" t="n"/>
      <c r="D51" s="13" t="n"/>
      <c r="E51" s="13" t="n"/>
      <c r="F51" s="13" t="n"/>
      <c r="G51" s="13" t="n"/>
      <c r="H51" s="13" t="n"/>
    </row>
    <row r="52">
      <c r="A52" s="24" t="inlineStr">
        <is>
          <t>EV-048</t>
        </is>
      </c>
      <c r="B52" s="13" t="n"/>
      <c r="C52" s="13" t="n"/>
      <c r="D52" s="13" t="n"/>
      <c r="E52" s="13" t="n"/>
      <c r="F52" s="13" t="n"/>
      <c r="G52" s="13" t="n"/>
      <c r="H52" s="13" t="n"/>
    </row>
    <row r="53">
      <c r="A53" s="24" t="inlineStr">
        <is>
          <t>EV-049</t>
        </is>
      </c>
      <c r="B53" s="13" t="n"/>
      <c r="C53" s="13" t="n"/>
      <c r="D53" s="13" t="n"/>
      <c r="E53" s="13" t="n"/>
      <c r="F53" s="13" t="n"/>
      <c r="G53" s="13" t="n"/>
      <c r="H53" s="13" t="n"/>
    </row>
    <row r="54">
      <c r="A54" s="24" t="inlineStr">
        <is>
          <t>EV-050</t>
        </is>
      </c>
      <c r="B54" s="13" t="n"/>
      <c r="C54" s="13" t="n"/>
      <c r="D54" s="13" t="n"/>
      <c r="E54" s="13" t="n"/>
      <c r="F54" s="13" t="n"/>
      <c r="G54" s="13" t="n"/>
      <c r="H54" s="13" t="n"/>
    </row>
    <row r="55">
      <c r="A55" s="24" t="inlineStr">
        <is>
          <t>EV-051</t>
        </is>
      </c>
      <c r="B55" s="13" t="n"/>
      <c r="C55" s="13" t="n"/>
      <c r="D55" s="13" t="n"/>
      <c r="E55" s="13" t="n"/>
      <c r="F55" s="13" t="n"/>
      <c r="G55" s="13" t="n"/>
      <c r="H55" s="13" t="n"/>
    </row>
    <row r="56">
      <c r="A56" s="24" t="inlineStr">
        <is>
          <t>EV-052</t>
        </is>
      </c>
      <c r="B56" s="13" t="n"/>
      <c r="C56" s="13" t="n"/>
      <c r="D56" s="13" t="n"/>
      <c r="E56" s="13" t="n"/>
      <c r="F56" s="13" t="n"/>
      <c r="G56" s="13" t="n"/>
      <c r="H56" s="13" t="n"/>
    </row>
    <row r="57">
      <c r="A57" s="24" t="inlineStr">
        <is>
          <t>EV-053</t>
        </is>
      </c>
      <c r="B57" s="13" t="n"/>
      <c r="C57" s="13" t="n"/>
      <c r="D57" s="13" t="n"/>
      <c r="E57" s="13" t="n"/>
      <c r="F57" s="13" t="n"/>
      <c r="G57" s="13" t="n"/>
      <c r="H57" s="13" t="n"/>
    </row>
    <row r="58">
      <c r="A58" s="24" t="inlineStr">
        <is>
          <t>EV-054</t>
        </is>
      </c>
      <c r="B58" s="13" t="n"/>
      <c r="C58" s="13" t="n"/>
      <c r="D58" s="13" t="n"/>
      <c r="E58" s="13" t="n"/>
      <c r="F58" s="13" t="n"/>
      <c r="G58" s="13" t="n"/>
      <c r="H58" s="13" t="n"/>
    </row>
    <row r="59">
      <c r="A59" s="24" t="inlineStr">
        <is>
          <t>EV-055</t>
        </is>
      </c>
      <c r="B59" s="13" t="n"/>
      <c r="C59" s="13" t="n"/>
      <c r="D59" s="13" t="n"/>
      <c r="E59" s="13" t="n"/>
      <c r="F59" s="13" t="n"/>
      <c r="G59" s="13" t="n"/>
      <c r="H59" s="13" t="n"/>
    </row>
    <row r="60">
      <c r="A60" s="24" t="inlineStr">
        <is>
          <t>EV-056</t>
        </is>
      </c>
      <c r="B60" s="13" t="n"/>
      <c r="C60" s="13" t="n"/>
      <c r="D60" s="13" t="n"/>
      <c r="E60" s="13" t="n"/>
      <c r="F60" s="13" t="n"/>
      <c r="G60" s="13" t="n"/>
      <c r="H60" s="13" t="n"/>
    </row>
    <row r="61">
      <c r="A61" s="24" t="inlineStr">
        <is>
          <t>EV-057</t>
        </is>
      </c>
      <c r="B61" s="13" t="n"/>
      <c r="C61" s="13" t="n"/>
      <c r="D61" s="13" t="n"/>
      <c r="E61" s="13" t="n"/>
      <c r="F61" s="13" t="n"/>
      <c r="G61" s="13" t="n"/>
      <c r="H61" s="13" t="n"/>
    </row>
    <row r="62">
      <c r="A62" s="24" t="inlineStr">
        <is>
          <t>EV-058</t>
        </is>
      </c>
      <c r="B62" s="13" t="n"/>
      <c r="C62" s="13" t="n"/>
      <c r="D62" s="13" t="n"/>
      <c r="E62" s="13" t="n"/>
      <c r="F62" s="13" t="n"/>
      <c r="G62" s="13" t="n"/>
      <c r="H62" s="13" t="n"/>
    </row>
    <row r="63">
      <c r="A63" s="24" t="inlineStr">
        <is>
          <t>EV-059</t>
        </is>
      </c>
      <c r="B63" s="13" t="n"/>
      <c r="C63" s="13" t="n"/>
      <c r="D63" s="13" t="n"/>
      <c r="E63" s="13" t="n"/>
      <c r="F63" s="13" t="n"/>
      <c r="G63" s="13" t="n"/>
      <c r="H63" s="13" t="n"/>
    </row>
    <row r="64">
      <c r="A64" s="24" t="inlineStr">
        <is>
          <t>EV-060</t>
        </is>
      </c>
      <c r="B64" s="13" t="n"/>
      <c r="C64" s="13" t="n"/>
      <c r="D64" s="13" t="n"/>
      <c r="E64" s="13" t="n"/>
      <c r="F64" s="13" t="n"/>
      <c r="G64" s="13" t="n"/>
      <c r="H64" s="13" t="n"/>
    </row>
    <row r="65">
      <c r="A65" s="24" t="inlineStr">
        <is>
          <t>EV-061</t>
        </is>
      </c>
      <c r="B65" s="13" t="n"/>
      <c r="C65" s="13" t="n"/>
      <c r="D65" s="13" t="n"/>
      <c r="E65" s="13" t="n"/>
      <c r="F65" s="13" t="n"/>
      <c r="G65" s="13" t="n"/>
      <c r="H65" s="13" t="n"/>
    </row>
    <row r="66">
      <c r="A66" s="24" t="inlineStr">
        <is>
          <t>EV-062</t>
        </is>
      </c>
      <c r="B66" s="13" t="n"/>
      <c r="C66" s="13" t="n"/>
      <c r="D66" s="13" t="n"/>
      <c r="E66" s="13" t="n"/>
      <c r="F66" s="13" t="n"/>
      <c r="G66" s="13" t="n"/>
      <c r="H66" s="13" t="n"/>
    </row>
    <row r="67">
      <c r="A67" s="24" t="inlineStr">
        <is>
          <t>EV-063</t>
        </is>
      </c>
      <c r="B67" s="13" t="n"/>
      <c r="C67" s="13" t="n"/>
      <c r="D67" s="13" t="n"/>
      <c r="E67" s="13" t="n"/>
      <c r="F67" s="13" t="n"/>
      <c r="G67" s="13" t="n"/>
      <c r="H67" s="13" t="n"/>
    </row>
    <row r="68">
      <c r="A68" s="24" t="inlineStr">
        <is>
          <t>EV-064</t>
        </is>
      </c>
      <c r="B68" s="13" t="n"/>
      <c r="C68" s="13" t="n"/>
      <c r="D68" s="13" t="n"/>
      <c r="E68" s="13" t="n"/>
      <c r="F68" s="13" t="n"/>
      <c r="G68" s="13" t="n"/>
      <c r="H68" s="13" t="n"/>
    </row>
    <row r="69">
      <c r="A69" s="24" t="inlineStr">
        <is>
          <t>EV-065</t>
        </is>
      </c>
      <c r="B69" s="13" t="n"/>
      <c r="C69" s="13" t="n"/>
      <c r="D69" s="13" t="n"/>
      <c r="E69" s="13" t="n"/>
      <c r="F69" s="13" t="n"/>
      <c r="G69" s="13" t="n"/>
      <c r="H69" s="13" t="n"/>
    </row>
    <row r="70">
      <c r="A70" s="24" t="inlineStr">
        <is>
          <t>EV-066</t>
        </is>
      </c>
      <c r="B70" s="13" t="n"/>
      <c r="C70" s="13" t="n"/>
      <c r="D70" s="13" t="n"/>
      <c r="E70" s="13" t="n"/>
      <c r="F70" s="13" t="n"/>
      <c r="G70" s="13" t="n"/>
      <c r="H70" s="13" t="n"/>
    </row>
    <row r="71">
      <c r="A71" s="24" t="inlineStr">
        <is>
          <t>EV-067</t>
        </is>
      </c>
      <c r="B71" s="13" t="n"/>
      <c r="C71" s="13" t="n"/>
      <c r="D71" s="13" t="n"/>
      <c r="E71" s="13" t="n"/>
      <c r="F71" s="13" t="n"/>
      <c r="G71" s="13" t="n"/>
      <c r="H71" s="13" t="n"/>
    </row>
    <row r="72">
      <c r="A72" s="24" t="inlineStr">
        <is>
          <t>EV-068</t>
        </is>
      </c>
      <c r="B72" s="13" t="n"/>
      <c r="C72" s="13" t="n"/>
      <c r="D72" s="13" t="n"/>
      <c r="E72" s="13" t="n"/>
      <c r="F72" s="13" t="n"/>
      <c r="G72" s="13" t="n"/>
      <c r="H72" s="13" t="n"/>
    </row>
    <row r="73">
      <c r="A73" s="24" t="inlineStr">
        <is>
          <t>EV-069</t>
        </is>
      </c>
      <c r="B73" s="13" t="n"/>
      <c r="C73" s="13" t="n"/>
      <c r="D73" s="13" t="n"/>
      <c r="E73" s="13" t="n"/>
      <c r="F73" s="13" t="n"/>
      <c r="G73" s="13" t="n"/>
      <c r="H73" s="13" t="n"/>
    </row>
    <row r="74">
      <c r="A74" s="24" t="inlineStr">
        <is>
          <t>EV-070</t>
        </is>
      </c>
      <c r="B74" s="13" t="n"/>
      <c r="C74" s="13" t="n"/>
      <c r="D74" s="13" t="n"/>
      <c r="E74" s="13" t="n"/>
      <c r="F74" s="13" t="n"/>
      <c r="G74" s="13" t="n"/>
      <c r="H74" s="13" t="n"/>
    </row>
    <row r="75">
      <c r="A75" s="24" t="inlineStr">
        <is>
          <t>EV-071</t>
        </is>
      </c>
      <c r="B75" s="13" t="n"/>
      <c r="C75" s="13" t="n"/>
      <c r="D75" s="13" t="n"/>
      <c r="E75" s="13" t="n"/>
      <c r="F75" s="13" t="n"/>
      <c r="G75" s="13" t="n"/>
      <c r="H75" s="13" t="n"/>
    </row>
    <row r="76">
      <c r="A76" s="24" t="inlineStr">
        <is>
          <t>EV-072</t>
        </is>
      </c>
      <c r="B76" s="13" t="n"/>
      <c r="C76" s="13" t="n"/>
      <c r="D76" s="13" t="n"/>
      <c r="E76" s="13" t="n"/>
      <c r="F76" s="13" t="n"/>
      <c r="G76" s="13" t="n"/>
      <c r="H76" s="13" t="n"/>
    </row>
    <row r="77">
      <c r="A77" s="24" t="inlineStr">
        <is>
          <t>EV-073</t>
        </is>
      </c>
      <c r="B77" s="13" t="n"/>
      <c r="C77" s="13" t="n"/>
      <c r="D77" s="13" t="n"/>
      <c r="E77" s="13" t="n"/>
      <c r="F77" s="13" t="n"/>
      <c r="G77" s="13" t="n"/>
      <c r="H77" s="13" t="n"/>
    </row>
    <row r="78">
      <c r="A78" s="24" t="inlineStr">
        <is>
          <t>EV-074</t>
        </is>
      </c>
      <c r="B78" s="13" t="n"/>
      <c r="C78" s="13" t="n"/>
      <c r="D78" s="13" t="n"/>
      <c r="E78" s="13" t="n"/>
      <c r="F78" s="13" t="n"/>
      <c r="G78" s="13" t="n"/>
      <c r="H78" s="13" t="n"/>
    </row>
    <row r="79">
      <c r="A79" s="24" t="inlineStr">
        <is>
          <t>EV-075</t>
        </is>
      </c>
      <c r="B79" s="13" t="n"/>
      <c r="C79" s="13" t="n"/>
      <c r="D79" s="13" t="n"/>
      <c r="E79" s="13" t="n"/>
      <c r="F79" s="13" t="n"/>
      <c r="G79" s="13" t="n"/>
      <c r="H79" s="13" t="n"/>
    </row>
    <row r="80">
      <c r="A80" s="24" t="inlineStr">
        <is>
          <t>EV-076</t>
        </is>
      </c>
      <c r="B80" s="13" t="n"/>
      <c r="C80" s="13" t="n"/>
      <c r="D80" s="13" t="n"/>
      <c r="E80" s="13" t="n"/>
      <c r="F80" s="13" t="n"/>
      <c r="G80" s="13" t="n"/>
      <c r="H80" s="13" t="n"/>
    </row>
    <row r="81">
      <c r="A81" s="24" t="inlineStr">
        <is>
          <t>EV-077</t>
        </is>
      </c>
      <c r="B81" s="13" t="n"/>
      <c r="C81" s="13" t="n"/>
      <c r="D81" s="13" t="n"/>
      <c r="E81" s="13" t="n"/>
      <c r="F81" s="13" t="n"/>
      <c r="G81" s="13" t="n"/>
      <c r="H81" s="13" t="n"/>
    </row>
    <row r="82">
      <c r="A82" s="24" t="inlineStr">
        <is>
          <t>EV-078</t>
        </is>
      </c>
      <c r="B82" s="13" t="n"/>
      <c r="C82" s="13" t="n"/>
      <c r="D82" s="13" t="n"/>
      <c r="E82" s="13" t="n"/>
      <c r="F82" s="13" t="n"/>
      <c r="G82" s="13" t="n"/>
      <c r="H82" s="13" t="n"/>
    </row>
    <row r="83">
      <c r="A83" s="24" t="inlineStr">
        <is>
          <t>EV-079</t>
        </is>
      </c>
      <c r="B83" s="13" t="n"/>
      <c r="C83" s="13" t="n"/>
      <c r="D83" s="13" t="n"/>
      <c r="E83" s="13" t="n"/>
      <c r="F83" s="13" t="n"/>
      <c r="G83" s="13" t="n"/>
      <c r="H83" s="13" t="n"/>
    </row>
    <row r="84">
      <c r="A84" s="24" t="inlineStr">
        <is>
          <t>EV-080</t>
        </is>
      </c>
      <c r="B84" s="13" t="n"/>
      <c r="C84" s="13" t="n"/>
      <c r="D84" s="13" t="n"/>
      <c r="E84" s="13" t="n"/>
      <c r="F84" s="13" t="n"/>
      <c r="G84" s="13" t="n"/>
      <c r="H84" s="13" t="n"/>
    </row>
    <row r="85">
      <c r="A85" s="24" t="inlineStr">
        <is>
          <t>EV-081</t>
        </is>
      </c>
      <c r="B85" s="13" t="n"/>
      <c r="C85" s="13" t="n"/>
      <c r="D85" s="13" t="n"/>
      <c r="E85" s="13" t="n"/>
      <c r="F85" s="13" t="n"/>
      <c r="G85" s="13" t="n"/>
      <c r="H85" s="13" t="n"/>
    </row>
    <row r="86">
      <c r="A86" s="24" t="inlineStr">
        <is>
          <t>EV-082</t>
        </is>
      </c>
      <c r="B86" s="13" t="n"/>
      <c r="C86" s="13" t="n"/>
      <c r="D86" s="13" t="n"/>
      <c r="E86" s="13" t="n"/>
      <c r="F86" s="13" t="n"/>
      <c r="G86" s="13" t="n"/>
      <c r="H86" s="13" t="n"/>
    </row>
    <row r="87">
      <c r="A87" s="24" t="inlineStr">
        <is>
          <t>EV-083</t>
        </is>
      </c>
      <c r="B87" s="13" t="n"/>
      <c r="C87" s="13" t="n"/>
      <c r="D87" s="13" t="n"/>
      <c r="E87" s="13" t="n"/>
      <c r="F87" s="13" t="n"/>
      <c r="G87" s="13" t="n"/>
      <c r="H87" s="13" t="n"/>
    </row>
    <row r="88">
      <c r="A88" s="24" t="inlineStr">
        <is>
          <t>EV-084</t>
        </is>
      </c>
      <c r="B88" s="13" t="n"/>
      <c r="C88" s="13" t="n"/>
      <c r="D88" s="13" t="n"/>
      <c r="E88" s="13" t="n"/>
      <c r="F88" s="13" t="n"/>
      <c r="G88" s="13" t="n"/>
      <c r="H88" s="13" t="n"/>
    </row>
    <row r="89">
      <c r="A89" s="24" t="inlineStr">
        <is>
          <t>EV-085</t>
        </is>
      </c>
      <c r="B89" s="13" t="n"/>
      <c r="C89" s="13" t="n"/>
      <c r="D89" s="13" t="n"/>
      <c r="E89" s="13" t="n"/>
      <c r="F89" s="13" t="n"/>
      <c r="G89" s="13" t="n"/>
      <c r="H89" s="13" t="n"/>
    </row>
    <row r="90">
      <c r="A90" s="24" t="inlineStr">
        <is>
          <t>EV-086</t>
        </is>
      </c>
      <c r="B90" s="13" t="n"/>
      <c r="C90" s="13" t="n"/>
      <c r="D90" s="13" t="n"/>
      <c r="E90" s="13" t="n"/>
      <c r="F90" s="13" t="n"/>
      <c r="G90" s="13" t="n"/>
      <c r="H90" s="13" t="n"/>
    </row>
    <row r="91">
      <c r="A91" s="24" t="inlineStr">
        <is>
          <t>EV-087</t>
        </is>
      </c>
      <c r="B91" s="13" t="n"/>
      <c r="C91" s="13" t="n"/>
      <c r="D91" s="13" t="n"/>
      <c r="E91" s="13" t="n"/>
      <c r="F91" s="13" t="n"/>
      <c r="G91" s="13" t="n"/>
      <c r="H91" s="13" t="n"/>
    </row>
    <row r="92">
      <c r="A92" s="24" t="inlineStr">
        <is>
          <t>EV-088</t>
        </is>
      </c>
      <c r="B92" s="13" t="n"/>
      <c r="C92" s="13" t="n"/>
      <c r="D92" s="13" t="n"/>
      <c r="E92" s="13" t="n"/>
      <c r="F92" s="13" t="n"/>
      <c r="G92" s="13" t="n"/>
      <c r="H92" s="13" t="n"/>
    </row>
    <row r="93">
      <c r="A93" s="24" t="inlineStr">
        <is>
          <t>EV-089</t>
        </is>
      </c>
      <c r="B93" s="13" t="n"/>
      <c r="C93" s="13" t="n"/>
      <c r="D93" s="13" t="n"/>
      <c r="E93" s="13" t="n"/>
      <c r="F93" s="13" t="n"/>
      <c r="G93" s="13" t="n"/>
      <c r="H93" s="13" t="n"/>
    </row>
    <row r="94">
      <c r="A94" s="24" t="inlineStr">
        <is>
          <t>EV-090</t>
        </is>
      </c>
      <c r="B94" s="13" t="n"/>
      <c r="C94" s="13" t="n"/>
      <c r="D94" s="13" t="n"/>
      <c r="E94" s="13" t="n"/>
      <c r="F94" s="13" t="n"/>
      <c r="G94" s="13" t="n"/>
      <c r="H94" s="13" t="n"/>
    </row>
    <row r="95">
      <c r="A95" s="24" t="inlineStr">
        <is>
          <t>EV-091</t>
        </is>
      </c>
      <c r="B95" s="13" t="n"/>
      <c r="C95" s="13" t="n"/>
      <c r="D95" s="13" t="n"/>
      <c r="E95" s="13" t="n"/>
      <c r="F95" s="13" t="n"/>
      <c r="G95" s="13" t="n"/>
      <c r="H95" s="13" t="n"/>
    </row>
    <row r="96">
      <c r="A96" s="24" t="inlineStr">
        <is>
          <t>EV-092</t>
        </is>
      </c>
      <c r="B96" s="13" t="n"/>
      <c r="C96" s="13" t="n"/>
      <c r="D96" s="13" t="n"/>
      <c r="E96" s="13" t="n"/>
      <c r="F96" s="13" t="n"/>
      <c r="G96" s="13" t="n"/>
      <c r="H96" s="13" t="n"/>
    </row>
    <row r="97">
      <c r="A97" s="24" t="inlineStr">
        <is>
          <t>EV-093</t>
        </is>
      </c>
      <c r="B97" s="13" t="n"/>
      <c r="C97" s="13" t="n"/>
      <c r="D97" s="13" t="n"/>
      <c r="E97" s="13" t="n"/>
      <c r="F97" s="13" t="n"/>
      <c r="G97" s="13" t="n"/>
      <c r="H97" s="13" t="n"/>
    </row>
    <row r="98">
      <c r="A98" s="24" t="inlineStr">
        <is>
          <t>EV-094</t>
        </is>
      </c>
      <c r="B98" s="13" t="n"/>
      <c r="C98" s="13" t="n"/>
      <c r="D98" s="13" t="n"/>
      <c r="E98" s="13" t="n"/>
      <c r="F98" s="13" t="n"/>
      <c r="G98" s="13" t="n"/>
      <c r="H98" s="13" t="n"/>
    </row>
    <row r="99">
      <c r="A99" s="24" t="inlineStr">
        <is>
          <t>EV-095</t>
        </is>
      </c>
      <c r="B99" s="13" t="n"/>
      <c r="C99" s="13" t="n"/>
      <c r="D99" s="13" t="n"/>
      <c r="E99" s="13" t="n"/>
      <c r="F99" s="13" t="n"/>
      <c r="G99" s="13" t="n"/>
      <c r="H99" s="13" t="n"/>
    </row>
    <row r="100">
      <c r="A100" s="24" t="inlineStr">
        <is>
          <t>EV-096</t>
        </is>
      </c>
      <c r="B100" s="13" t="n"/>
      <c r="C100" s="13" t="n"/>
      <c r="D100" s="13" t="n"/>
      <c r="E100" s="13" t="n"/>
      <c r="F100" s="13" t="n"/>
      <c r="G100" s="13" t="n"/>
      <c r="H100" s="13" t="n"/>
    </row>
    <row r="101">
      <c r="A101" s="24" t="inlineStr">
        <is>
          <t>EV-097</t>
        </is>
      </c>
      <c r="B101" s="13" t="n"/>
      <c r="C101" s="13" t="n"/>
      <c r="D101" s="13" t="n"/>
      <c r="E101" s="13" t="n"/>
      <c r="F101" s="13" t="n"/>
      <c r="G101" s="13" t="n"/>
      <c r="H101" s="13" t="n"/>
    </row>
    <row r="102">
      <c r="A102" s="24" t="inlineStr">
        <is>
          <t>EV-098</t>
        </is>
      </c>
      <c r="B102" s="13" t="n"/>
      <c r="C102" s="13" t="n"/>
      <c r="D102" s="13" t="n"/>
      <c r="E102" s="13" t="n"/>
      <c r="F102" s="13" t="n"/>
      <c r="G102" s="13" t="n"/>
      <c r="H102" s="13" t="n"/>
    </row>
    <row r="103">
      <c r="A103" s="24" t="inlineStr">
        <is>
          <t>EV-099</t>
        </is>
      </c>
      <c r="B103" s="13" t="n"/>
      <c r="C103" s="13" t="n"/>
      <c r="D103" s="13" t="n"/>
      <c r="E103" s="13" t="n"/>
      <c r="F103" s="13" t="n"/>
      <c r="G103" s="13" t="n"/>
      <c r="H103" s="13" t="n"/>
    </row>
    <row r="104">
      <c r="A104" s="24" t="inlineStr">
        <is>
          <t>EV-100</t>
        </is>
      </c>
      <c r="B104" s="13" t="n"/>
      <c r="C104" s="13" t="n"/>
      <c r="D104" s="13" t="n"/>
      <c r="E104" s="13" t="n"/>
      <c r="F104" s="13" t="n"/>
      <c r="G104" s="13" t="n"/>
      <c r="H104" s="1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"Password policy,GPO screenshot,MFA enrollment report,Certificate config,PKI documentation,SAML configuration,IdP settings,Service account inventory,Authentication logs,Audit trail,Policy document,Security assessment,Penetration test,Compliance scan,Other"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AND SIGN-OFF</t>
        </is>
      </c>
    </row>
    <row r="3">
      <c r="A3" s="2" t="inlineStr">
        <is>
          <t>Assessment Summary</t>
        </is>
      </c>
    </row>
    <row r="4">
      <c r="A4" s="3" t="inlineStr">
        <is>
          <t>Assessment Document</t>
        </is>
      </c>
      <c r="B4" s="13" t="inlineStr">
        <is>
          <t>ISMS-IMP-A.8.24.3 - Authentication Assessment</t>
        </is>
      </c>
    </row>
    <row r="5">
      <c r="A5" s="3" t="inlineStr">
        <is>
          <t>Assessment Period</t>
        </is>
      </c>
      <c r="B5" s="13" t="inlineStr"/>
    </row>
    <row r="6">
      <c r="A6" s="3" t="inlineStr">
        <is>
          <t>Overall Compliance Rate</t>
        </is>
      </c>
      <c r="B6" s="13">
        <f>'Summary Dashboard'!G8</f>
        <v/>
      </c>
    </row>
    <row r="7">
      <c r="A7" s="3" t="inlineStr">
        <is>
          <t>Assessment Status</t>
        </is>
      </c>
      <c r="B7" s="13" t="inlineStr"/>
    </row>
    <row r="10">
      <c r="A10" s="25" t="inlineStr">
        <is>
          <t>ASSESSMENT COMPLETED BY</t>
        </is>
      </c>
    </row>
    <row r="11">
      <c r="A11" s="3" t="inlineStr">
        <is>
          <t>Name:</t>
        </is>
      </c>
      <c r="B11" s="13" t="n"/>
    </row>
    <row r="12">
      <c r="A12" s="3" t="inlineStr">
        <is>
          <t>Role/Title:</t>
        </is>
      </c>
      <c r="B12" s="13" t="n"/>
    </row>
    <row r="13">
      <c r="A13" s="3" t="inlineStr">
        <is>
          <t>Department:</t>
        </is>
      </c>
      <c r="B13" s="13" t="n"/>
    </row>
    <row r="14">
      <c r="A14" s="3" t="inlineStr">
        <is>
          <t>Email:</t>
        </is>
      </c>
      <c r="B14" s="13" t="n"/>
    </row>
    <row r="15">
      <c r="A15" s="3" t="inlineStr">
        <is>
          <t>Date:</t>
        </is>
      </c>
      <c r="B15" s="13" t="n"/>
    </row>
    <row r="18">
      <c r="A18" s="25" t="inlineStr">
        <is>
          <t>REVIEWED BY (INFORMATION SECURITY OFFICER)</t>
        </is>
      </c>
    </row>
    <row r="19">
      <c r="A19" s="3" t="inlineStr">
        <is>
          <t>Name:</t>
        </is>
      </c>
      <c r="B19" s="13" t="n"/>
    </row>
    <row r="20">
      <c r="A20" s="3" t="inlineStr">
        <is>
          <t>Date:</t>
        </is>
      </c>
      <c r="B20" s="13" t="n"/>
    </row>
    <row r="21">
      <c r="A21" s="3" t="inlineStr">
        <is>
          <t>Review Notes:</t>
        </is>
      </c>
      <c r="B21" s="13" t="n"/>
    </row>
    <row r="24">
      <c r="A24" s="26" t="inlineStr">
        <is>
          <t>APPROVED BY (CISO)</t>
        </is>
      </c>
    </row>
    <row r="25">
      <c r="A25" s="3" t="inlineStr">
        <is>
          <t>Name:</t>
        </is>
      </c>
      <c r="B25" s="13" t="n"/>
    </row>
    <row r="26">
      <c r="A26" s="3" t="inlineStr">
        <is>
          <t>Date:</t>
        </is>
      </c>
      <c r="B26" s="13" t="n"/>
    </row>
    <row r="27">
      <c r="A27" s="3" t="inlineStr">
        <is>
          <t>Approval Decision:</t>
        </is>
      </c>
      <c r="B27" s="13" t="n"/>
    </row>
    <row r="28">
      <c r="A28" s="3" t="inlineStr">
        <is>
          <t>Conditions/Notes:</t>
        </is>
      </c>
      <c r="B28" s="13" t="n"/>
    </row>
    <row r="31">
      <c r="A31" s="14" t="inlineStr">
        <is>
          <t>NEXT REVIEW DETAILS</t>
        </is>
      </c>
    </row>
    <row r="32">
      <c r="A32" s="3" t="inlineStr">
        <is>
          <t>Next Review Date:</t>
        </is>
      </c>
      <c r="B32" s="13" t="n"/>
    </row>
    <row r="33">
      <c r="A33" s="3" t="inlineStr">
        <is>
          <t>Review Responsible:</t>
        </is>
      </c>
      <c r="B33" s="13" t="n"/>
    </row>
    <row r="34">
      <c r="A34" s="3" t="inlineStr">
        <is>
          <t>Special Considerations:</t>
        </is>
      </c>
      <c r="B34" s="13" t="n"/>
    </row>
  </sheetData>
  <mergeCells count="20">
    <mergeCell ref="A24:E24"/>
    <mergeCell ref="B15:E15"/>
    <mergeCell ref="B33:E33"/>
    <mergeCell ref="A1:E1"/>
    <mergeCell ref="B20:E20"/>
    <mergeCell ref="B32:E32"/>
    <mergeCell ref="B26:E26"/>
    <mergeCell ref="B25:E25"/>
    <mergeCell ref="A18:E18"/>
    <mergeCell ref="B27:E27"/>
    <mergeCell ref="B12:E12"/>
    <mergeCell ref="B21:E21"/>
    <mergeCell ref="B11:E11"/>
    <mergeCell ref="B14:E14"/>
    <mergeCell ref="B13:E13"/>
    <mergeCell ref="A10:E10"/>
    <mergeCell ref="B19:E19"/>
    <mergeCell ref="A31:E31"/>
    <mergeCell ref="B28:E28"/>
    <mergeCell ref="B34:E34"/>
  </mergeCells>
  <dataValidations count="2">
    <dataValidation sqref="B7" showDropDown="0" showInputMessage="0" showErrorMessage="0" allowBlank="0" type="list">
      <formula1>"Draft,Final,Requires remediation,Re-assessment required"</formula1>
    </dataValidation>
    <dataValidation sqref="B27"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2026-02-08T11:26:25Z</dcterms:created>
  <dcterms:modified xmlns:dcterms="http://purl.org/dc/terms/" xmlns:xsi="http://www.w3.org/2001/XMLSchema-instance" xsi:type="dcterms:W3CDTF">2026-02-08T11:26:25Z</dcterms:modified>
</cp:coreProperties>
</file>