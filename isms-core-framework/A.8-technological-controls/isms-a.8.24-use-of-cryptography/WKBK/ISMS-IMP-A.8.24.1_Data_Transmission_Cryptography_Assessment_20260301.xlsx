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1 External HTTPS-TLS" sheetId="2" state="visible" r:id="rId2"/>
    <sheet xmlns:r="http://schemas.openxmlformats.org/officeDocument/2006/relationships" name="1.2 Internal HTTPS-TLS" sheetId="3" state="visible" r:id="rId3"/>
    <sheet xmlns:r="http://schemas.openxmlformats.org/officeDocument/2006/relationships" name="2.1 Email Encryption" sheetId="4" state="visible" r:id="rId4"/>
    <sheet xmlns:r="http://schemas.openxmlformats.org/officeDocument/2006/relationships" name="2.2 Digital Signatures" sheetId="5" state="visible" r:id="rId5"/>
    <sheet xmlns:r="http://schemas.openxmlformats.org/officeDocument/2006/relationships" name="3.1 File Transfer Protocols" sheetId="6" state="visible" r:id="rId6"/>
    <sheet xmlns:r="http://schemas.openxmlformats.org/officeDocument/2006/relationships" name="4.1 VPN" sheetId="7" state="visible" r:id="rId7"/>
    <sheet xmlns:r="http://schemas.openxmlformats.org/officeDocument/2006/relationships" name="4.2 SSH" sheetId="8" state="visible" r:id="rId8"/>
    <sheet xmlns:r="http://schemas.openxmlformats.org/officeDocument/2006/relationships" name="4.3 RDP" sheetId="9" state="visible" r:id="rId9"/>
    <sheet xmlns:r="http://schemas.openxmlformats.org/officeDocument/2006/relationships" name="5.1 API Security" sheetId="10" state="visible" r:id="rId10"/>
    <sheet xmlns:r="http://schemas.openxmlformats.org/officeDocument/2006/relationships" name="6.1 Database Connections" sheetId="11" state="visible" r:id="rId11"/>
    <sheet xmlns:r="http://schemas.openxmlformats.org/officeDocument/2006/relationships" name="6.2 Wireless Networks" sheetId="12" state="visible" r:id="rId12"/>
    <sheet xmlns:r="http://schemas.openxmlformats.org/officeDocument/2006/relationships" name="7.1 Cloud Transmission" sheetId="13" state="visible" r:id="rId13"/>
    <sheet xmlns:r="http://schemas.openxmlformats.org/officeDocument/2006/relationships" name="Evidence Register" sheetId="14" state="visible" r:id="rId14"/>
    <sheet xmlns:r="http://schemas.openxmlformats.org/officeDocument/2006/relationships" name="Summary Dashboard" sheetId="15" state="visible" r:id="rId15"/>
    <sheet xmlns:r="http://schemas.openxmlformats.org/officeDocument/2006/relationships" name="Approval Sign-Off" sheetId="16" state="visible" r:id="rId16"/>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i val="1"/>
      <color rgb="00003366"/>
      <sz val="10"/>
    </font>
    <font>
      <b val="1"/>
      <sz val="11"/>
    </font>
    <font>
      <b val="1"/>
    </font>
    <font>
      <i val="1"/>
      <color rgb="00808080"/>
    </font>
    <font>
      <b val="1"/>
      <color rgb="000000FF"/>
    </font>
    <font>
      <b val="1"/>
      <color rgb="00FFFFFF"/>
      <sz val="11"/>
    </font>
    <font>
      <name val="Calibri"/>
      <i val="1"/>
      <color rgb="00003366"/>
      <sz val="10"/>
    </font>
    <font>
      <name val="Calibri"/>
      <b val="1"/>
      <color rgb="00FFFFFF"/>
      <sz val="11"/>
    </font>
    <font>
      <name val="Calibri"/>
      <b val="1"/>
      <color rgb="00000000"/>
      <sz val="10"/>
    </font>
    <font>
      <name val="Calibri"/>
      <b val="1"/>
      <color rgb="00000000"/>
      <sz val="12"/>
    </font>
    <font>
      <name val="Calibri"/>
      <color rgb="00000000"/>
      <sz val="10"/>
    </font>
    <font>
      <b val="1"/>
      <color rgb="00FFFFFF"/>
      <sz val="14"/>
    </font>
    <font>
      <i val="1"/>
    </font>
    <font>
      <b val="1"/>
      <color rgb="00FFFFFF"/>
      <sz val="10"/>
    </font>
    <font>
      <i val="1"/>
      <color rgb="00555555"/>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0" borderId="0" applyAlignment="1" pivotButton="0" quotePrefix="0" xfId="0">
      <alignment horizontal="left" vertical="center"/>
    </xf>
    <xf numFmtId="0" fontId="6" fillId="0" borderId="1" applyAlignment="1" pivotButton="0" quotePrefix="0" xfId="0">
      <alignment horizontal="left" vertical="center" wrapText="1"/>
    </xf>
    <xf numFmtId="0" fontId="7" fillId="0" borderId="0" pivotButton="0" quotePrefix="0" xfId="0"/>
    <xf numFmtId="0" fontId="0" fillId="9" borderId="1" pivotButton="0" quotePrefix="0" xfId="0"/>
    <xf numFmtId="0" fontId="4" fillId="10" borderId="1" applyAlignment="1" pivotButton="0" quotePrefix="0" xfId="0">
      <alignment horizontal="center" vertical="center" wrapText="1"/>
    </xf>
    <xf numFmtId="0" fontId="8" fillId="11" borderId="0" applyAlignment="1" pivotButton="0" quotePrefix="0" xfId="0">
      <alignment horizontal="left" vertical="center" wrapText="1"/>
    </xf>
    <xf numFmtId="0" fontId="0" fillId="9" borderId="1" applyAlignment="1" pivotButton="0" quotePrefix="0" xfId="0">
      <alignment horizontal="left" vertical="center" wrapText="1"/>
    </xf>
    <xf numFmtId="0" fontId="6" fillId="0" borderId="0" pivotButton="0" quotePrefix="0" xfId="0"/>
    <xf numFmtId="0" fontId="9" fillId="0" borderId="0" pivotButton="0" quotePrefix="0" xfId="0"/>
    <xf numFmtId="0" fontId="10" fillId="12" borderId="1" applyAlignment="1" pivotButton="0" quotePrefix="0" xfId="0">
      <alignment horizontal="center" vertical="center"/>
    </xf>
    <xf numFmtId="0" fontId="6" fillId="0" borderId="1" pivotButton="0" quotePrefix="0" xfId="0"/>
    <xf numFmtId="0" fontId="0" fillId="9" borderId="1" applyAlignment="1" pivotButton="0" quotePrefix="0" xfId="0">
      <alignment horizontal="left" vertical="top" wrapText="1"/>
    </xf>
    <xf numFmtId="0" fontId="16" fillId="8" borderId="0" applyAlignment="1" pivotButton="0" quotePrefix="0" xfId="0">
      <alignment horizontal="center" vertical="center" wrapText="1"/>
    </xf>
    <xf numFmtId="0" fontId="17" fillId="0" borderId="0" applyAlignment="1" pivotButton="0" quotePrefix="0" xfId="0">
      <alignment horizontal="left" vertical="center"/>
    </xf>
    <xf numFmtId="0" fontId="18" fillId="8" borderId="1" applyAlignment="1" pivotButton="0" quotePrefix="0" xfId="0">
      <alignment horizontal="center" vertical="center" wrapText="1"/>
    </xf>
    <xf numFmtId="0" fontId="19" fillId="11" borderId="1" applyAlignment="1" pivotButton="0" quotePrefix="0" xfId="0">
      <alignment horizontal="left" vertical="center" wrapText="1"/>
    </xf>
    <xf numFmtId="0" fontId="0" fillId="11" borderId="1" applyAlignment="1" pivotButton="0" quotePrefix="0" xfId="0">
      <alignment horizontal="left" vertical="center" wrapText="1"/>
    </xf>
    <xf numFmtId="0" fontId="11" fillId="0" borderId="1" applyAlignment="1" pivotButton="0" quotePrefix="0" xfId="0">
      <alignment horizontal="left" vertical="center"/>
    </xf>
    <xf numFmtId="0" fontId="12" fillId="2" borderId="1" pivotButton="0" quotePrefix="0" xfId="0"/>
    <xf numFmtId="0" fontId="13" fillId="4" borderId="1" applyAlignment="1" pivotButton="0" quotePrefix="0" xfId="0">
      <alignment horizontal="center" vertical="center" wrapText="1"/>
    </xf>
    <xf numFmtId="0" fontId="4" fillId="4" borderId="1" pivotButton="0" quotePrefix="0" xfId="0"/>
    <xf numFmtId="0" fontId="14" fillId="4" borderId="1" pivotButton="0" quotePrefix="0" xfId="0"/>
    <xf numFmtId="0" fontId="12" fillId="13" borderId="1" pivotButton="0" quotePrefix="0" xfId="0"/>
    <xf numFmtId="0" fontId="15" fillId="3" borderId="1" pivotButton="0" quotePrefix="0" xfId="0"/>
    <xf numFmtId="164" fontId="15" fillId="3" borderId="1" pivotButton="0" quotePrefix="0" xfId="0"/>
    <xf numFmtId="164" fontId="13" fillId="4" borderId="1" pivotButton="0" quotePrefix="0" xfId="0"/>
    <xf numFmtId="0" fontId="16" fillId="8" borderId="1" applyAlignment="1" pivotButton="0" quotePrefix="0" xfId="0">
      <alignment horizontal="center" vertical="center" wrapText="1"/>
    </xf>
    <xf numFmtId="0" fontId="10" fillId="14" borderId="1" pivotButton="0" quotePrefix="0" xfId="0"/>
    <xf numFmtId="0" fontId="10"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ISMS-IMP-A.8.24.1  -  Data Transmission Cryptography Assessment
ISO/IEC 27001:2022 - Control A.8.24: Use of Cryptography</t>
        </is>
      </c>
    </row>
    <row r="3">
      <c r="A3" s="2" t="inlineStr">
        <is>
          <t>Document Information</t>
        </is>
      </c>
    </row>
    <row r="4">
      <c r="A4" s="3" t="inlineStr">
        <is>
          <t>Document ID</t>
        </is>
      </c>
      <c r="B4" t="inlineStr">
        <is>
          <t>ISMS-IMP-A.8.24.1</t>
        </is>
      </c>
    </row>
    <row r="5">
      <c r="A5" s="3" t="inlineStr">
        <is>
          <t>Workbook Title</t>
        </is>
      </c>
      <c r="B5" t="inlineStr">
        <is>
          <t>Data Transmission Cryptography Assessment</t>
        </is>
      </c>
    </row>
    <row r="6">
      <c r="A6" s="3" t="inlineStr">
        <is>
          <t>Control Reference</t>
        </is>
      </c>
      <c r="B6" t="inlineStr">
        <is>
          <t>ISO/IEC 27001:2022 - Control A.8.24: Use of Cryptography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4"/>
  <sheetViews>
    <sheetView showGridLines="0" workbookViewId="0">
      <pane ySplit="6" topLeftCell="A7" activePane="bottomLeft" state="frozen"/>
      <selection pane="bottomLeft" activeCell="A1" sqref="A1"/>
    </sheetView>
  </sheetViews>
  <sheetFormatPr baseColWidth="8" defaultRowHeight="15"/>
  <cols>
    <col width="35" customWidth="1" min="1" max="1"/>
    <col width="18" customWidth="1" min="2" max="2"/>
    <col width="22" customWidth="1" min="3" max="3"/>
    <col width="16" customWidth="1" min="4" max="4"/>
    <col width="15" customWidth="1" min="5" max="5"/>
    <col width="30" customWidth="1" min="6" max="6"/>
    <col width="30" customWidth="1" min="7" max="7"/>
    <col width="16" customWidth="1" min="8" max="8"/>
  </cols>
  <sheetData>
    <row r="1" ht="35" customHeight="1">
      <c r="A1" s="11" t="inlineStr">
        <is>
          <t>1.1 HTTPS/TLS - EXTERNAL WEB SERVICES
Policy Requirement: All externally accessible web services MUST use TLS encryption with valid certificates from trusted CAs (Policy Section 2.2.1)</t>
        </is>
      </c>
      <c r="B1" s="6" t="n"/>
      <c r="C1" s="6" t="n"/>
      <c r="D1" s="6" t="n"/>
      <c r="E1" s="6" t="n"/>
      <c r="F1" s="6" t="n"/>
      <c r="G1" s="6" t="n"/>
      <c r="H1" s="6" t="n"/>
    </row>
    <row r="2">
      <c r="A2" s="12" t="inlineStr">
        <is>
          <t>ISO/IEC 27001:2022 | Control A.8.24: Use of Cryptography</t>
        </is>
      </c>
    </row>
    <row r="3" ht="30" customHeight="1">
      <c r="A3" s="13" t="inlineStr">
        <is>
          <t>Does your organisation have external-facing web services or websites?</t>
        </is>
      </c>
      <c r="B3" s="6" t="n"/>
      <c r="C3" s="6" t="n"/>
      <c r="D3" s="6" t="n"/>
      <c r="E3" s="6" t="n"/>
      <c r="F3" s="6" t="n"/>
      <c r="G3" s="6" t="n"/>
      <c r="H3" s="6" t="n"/>
    </row>
    <row r="4">
      <c r="A4" s="14" t="inlineStr">
        <is>
          <t>Response:</t>
        </is>
      </c>
      <c r="B4" s="15" t="n"/>
    </row>
    <row r="6">
      <c r="A6" s="16" t="inlineStr">
        <is>
          <t>Service Description</t>
        </is>
      </c>
      <c r="B6" s="16" t="inlineStr">
        <is>
          <t>Current TLS Version</t>
        </is>
      </c>
      <c r="C6" s="16" t="inlineStr">
        <is>
          <t>Certificate Source (CA)</t>
        </is>
      </c>
      <c r="D6" s="16" t="inlineStr">
        <is>
          <t>Certificate Validity</t>
        </is>
      </c>
      <c r="E6" s="16" t="inlineStr">
        <is>
          <t>Status</t>
        </is>
      </c>
      <c r="F6" s="16" t="inlineStr">
        <is>
          <t>Evidence Location</t>
        </is>
      </c>
      <c r="G6" s="16" t="inlineStr">
        <is>
          <t>Gap Description</t>
        </is>
      </c>
      <c r="H6" s="16" t="inlineStr">
        <is>
          <t>Remediation Needed</t>
        </is>
      </c>
    </row>
    <row r="7">
      <c r="A7" s="17" t="inlineStr">
        <is>
          <t>Corporate website (www.example.com)</t>
        </is>
      </c>
      <c r="B7" s="17" t="inlineStr">
        <is>
          <t>TLS 1.3</t>
        </is>
      </c>
      <c r="C7" s="17" t="inlineStr">
        <is>
          <t>Let's Encrypt</t>
        </is>
      </c>
      <c r="D7" s="17" t="inlineStr">
        <is>
          <t>90 days</t>
        </is>
      </c>
      <c r="E7" s="17" t="inlineStr">
        <is>
          <t>✅ Compliant</t>
        </is>
      </c>
      <c r="F7" s="17" t="inlineStr">
        <is>
          <t>/evidence/a824/1.1-ssllabs-website-20260218.pdf</t>
        </is>
      </c>
      <c r="G7" s="17" t="inlineStr">
        <is>
          <t>None</t>
        </is>
      </c>
      <c r="H7" s="17" t="inlineStr">
        <is>
          <t>❌ No</t>
        </is>
      </c>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2">
      <c r="A32" s="19" t="inlineStr">
        <is>
          <t>Additional Details</t>
        </is>
      </c>
    </row>
    <row r="33">
      <c r="A33" s="14" t="inlineStr">
        <is>
          <t>Number of external web services:</t>
        </is>
      </c>
      <c r="B33" s="18" t="n"/>
      <c r="C33" s="6" t="n"/>
      <c r="D33" s="6" t="n"/>
    </row>
    <row r="34">
      <c r="A34" s="14" t="inlineStr">
        <is>
          <t>Certificate expiration monitoring configured:</t>
        </is>
      </c>
      <c r="B34" s="18" t="n"/>
      <c r="C34" s="6" t="n"/>
      <c r="D34" s="6" t="n"/>
    </row>
    <row r="35">
      <c r="A35" s="14" t="inlineStr">
        <is>
          <t>Automated certificate renewal (REQUIRED for public CAs by Mar 2026):</t>
        </is>
      </c>
      <c r="B35" s="18" t="n"/>
      <c r="C35" s="6" t="n"/>
      <c r="D35" s="6" t="n"/>
    </row>
    <row r="36">
      <c r="A36" s="14" t="inlineStr">
        <is>
          <t>Certificate inventory maintained:</t>
        </is>
      </c>
      <c r="B36" s="18" t="n"/>
      <c r="C36" s="6" t="n"/>
      <c r="D36" s="6" t="n"/>
    </row>
    <row r="38">
      <c r="A38" s="19" t="inlineStr">
        <is>
          <t>COMPLIANCE CHECKLIST</t>
        </is>
      </c>
    </row>
    <row r="39">
      <c r="A39" s="14" t="inlineStr">
        <is>
          <t>☐</t>
        </is>
      </c>
      <c r="B39" s="14" t="inlineStr">
        <is>
          <t>Requirement</t>
        </is>
      </c>
      <c r="C39" s="14" t="inlineStr">
        <is>
          <t>Status</t>
        </is>
      </c>
    </row>
    <row r="40">
      <c r="A40" t="inlineStr">
        <is>
          <t>☐</t>
        </is>
      </c>
      <c r="B40" t="inlineStr">
        <is>
          <t>TLS 1.3 preferred OR TLS 1.2 minimum</t>
        </is>
      </c>
      <c r="C40" s="15" t="n"/>
    </row>
    <row r="41">
      <c r="A41" t="inlineStr">
        <is>
          <t>☐</t>
        </is>
      </c>
      <c r="B41" t="inlineStr">
        <is>
          <t>Valid certificates from trusted public CA</t>
        </is>
      </c>
      <c r="C41" s="15" t="n"/>
    </row>
    <row r="42">
      <c r="A42" t="inlineStr">
        <is>
          <t>☐</t>
        </is>
      </c>
      <c r="B42" t="inlineStr">
        <is>
          <t>Certificate validity: ≤398d (until Mar 2026), ≤200d (Mar 2026+), ≤100d (Mar 2027+), ≤47d (Mar 2029+)</t>
        </is>
      </c>
      <c r="C42" s="15" t="n"/>
    </row>
    <row r="43">
      <c r="A43" t="inlineStr">
        <is>
          <t>☐</t>
        </is>
      </c>
      <c r="B43" t="inlineStr">
        <is>
          <t>Self-signed certificates NOT used in production</t>
        </is>
      </c>
      <c r="C43" s="15" t="n"/>
    </row>
    <row r="44">
      <c r="A44" t="inlineStr">
        <is>
          <t>☐</t>
        </is>
      </c>
      <c r="B44" t="inlineStr">
        <is>
          <t>HTTP automatically redirects to HTTPS</t>
        </is>
      </c>
      <c r="C44" s="15" t="n"/>
    </row>
    <row r="45">
      <c r="A45" t="inlineStr">
        <is>
          <t>☐</t>
        </is>
      </c>
      <c r="B45" t="inlineStr">
        <is>
          <t>HSTS header configured</t>
        </is>
      </c>
      <c r="C45" s="15" t="n"/>
    </row>
    <row r="46">
      <c r="A46" t="inlineStr">
        <is>
          <t>☐</t>
        </is>
      </c>
      <c r="B46" t="inlineStr">
        <is>
          <t>Strong cipher suites configured</t>
        </is>
      </c>
      <c r="C46" s="15" t="n"/>
    </row>
    <row r="47">
      <c r="A47" t="inlineStr">
        <is>
          <t>☐</t>
        </is>
      </c>
      <c r="B47" t="inlineStr">
        <is>
          <t>Weak protocols disabled (TLS 1.1, 1.0, SSL)</t>
        </is>
      </c>
      <c r="C47" s="15" t="n"/>
    </row>
    <row r="48">
      <c r="A48" t="inlineStr">
        <is>
          <t>☐</t>
        </is>
      </c>
      <c r="B48" t="inlineStr">
        <is>
          <t>Perfect Forward Secrecy (PFS) enabled</t>
        </is>
      </c>
      <c r="C48" s="15" t="n"/>
    </row>
    <row r="49">
      <c r="A49" t="inlineStr">
        <is>
          <t>☐</t>
        </is>
      </c>
      <c r="B49" t="inlineStr">
        <is>
          <t>Certificate expiration alerts (≥ 30 days)</t>
        </is>
      </c>
      <c r="C49" s="15" t="n"/>
    </row>
    <row r="50">
      <c r="A50" t="inlineStr">
        <is>
          <t>☐</t>
        </is>
      </c>
      <c r="B50" t="inlineStr">
        <is>
          <t>Automation infrastructure ready for 47-day certificate lifecycle (by Mar 2029)</t>
        </is>
      </c>
      <c r="C50" s="15" t="n"/>
    </row>
    <row r="51">
      <c r="A51" s="14" t="inlineStr">
        <is>
          <t>Checklist Score:</t>
        </is>
      </c>
      <c r="B51" s="20">
        <f>IFERROR(ROUND(COUNTIF(C40:C50,"✅ Yes")/COUNTA(C40:C50)*100,0)&amp;"%","0%")</f>
        <v/>
      </c>
    </row>
    <row r="53">
      <c r="A53" s="21" t="inlineStr">
        <is>
          <t>EXCEPTION / DEVIATION DOCUMENTATION (Complete if Status = Partial or Non-Compliant)</t>
        </is>
      </c>
      <c r="B53" s="6" t="n"/>
      <c r="C53" s="6" t="n"/>
      <c r="D53" s="6" t="n"/>
      <c r="E53" s="6" t="n"/>
      <c r="F53" s="6" t="n"/>
      <c r="G53" s="6" t="n"/>
      <c r="H53" s="6" t="n"/>
    </row>
    <row r="54">
      <c r="A54" s="14" t="inlineStr">
        <is>
          <t>Formal exception request submitted:</t>
        </is>
      </c>
      <c r="B54" s="18" t="n"/>
      <c r="C54" s="6" t="n"/>
      <c r="D54" s="6" t="n"/>
    </row>
    <row r="55">
      <c r="A55" s="14" t="inlineStr">
        <is>
          <t>Exception ID:</t>
        </is>
      </c>
      <c r="B55" s="18" t="n"/>
      <c r="C55" s="6" t="n"/>
      <c r="D55" s="6" t="n"/>
    </row>
    <row r="56">
      <c r="A56" s="14" t="inlineStr">
        <is>
          <t>Risk acceptance documented:</t>
        </is>
      </c>
      <c r="B56" s="18" t="n"/>
      <c r="C56" s="6" t="n"/>
      <c r="D56" s="6" t="n"/>
    </row>
    <row r="57">
      <c r="A57" s="14" t="inlineStr">
        <is>
          <t>Risk ID:</t>
        </is>
      </c>
      <c r="B57" s="18" t="n"/>
      <c r="C57" s="6" t="n"/>
      <c r="D57" s="6" t="n"/>
    </row>
    <row r="58">
      <c r="A58" s="14" t="inlineStr">
        <is>
          <t>Compensating Controls (summary):</t>
        </is>
      </c>
      <c r="B58" s="18" t="n"/>
      <c r="C58" s="6" t="n"/>
      <c r="D58" s="6" t="n"/>
    </row>
    <row r="59">
      <c r="A59" s="14" t="inlineStr">
        <is>
          <t>☐ Network segmentation / firewall restrictions</t>
        </is>
      </c>
      <c r="B59" s="18" t="n"/>
      <c r="C59" s="6" t="n"/>
      <c r="D59" s="6" t="n"/>
    </row>
    <row r="60">
      <c r="A60" s="14" t="inlineStr">
        <is>
          <t>☐ Enhanced monitoring / alerting</t>
        </is>
      </c>
      <c r="B60" s="18" t="n"/>
      <c r="C60" s="6" t="n"/>
      <c r="D60" s="6" t="n"/>
    </row>
    <row r="61">
      <c r="A61" s="14" t="inlineStr">
        <is>
          <t>☐ IP allowlisting / access restrictions</t>
        </is>
      </c>
      <c r="B61" s="18" t="n"/>
      <c r="C61" s="6" t="n"/>
      <c r="D61" s="6" t="n"/>
    </row>
    <row r="62">
      <c r="A62" s="14" t="inlineStr">
        <is>
          <t>☐ Other (describe):</t>
        </is>
      </c>
      <c r="B62" s="18" t="n"/>
      <c r="C62" s="6" t="n"/>
      <c r="D62" s="6" t="n"/>
    </row>
    <row r="63">
      <c r="A63" s="14" t="inlineStr">
        <is>
          <t>Remediation actions required:</t>
        </is>
      </c>
      <c r="B63" s="18" t="n"/>
      <c r="C63" s="6" t="n"/>
      <c r="D63" s="6" t="n"/>
    </row>
    <row r="64">
      <c r="A64" s="14" t="inlineStr">
        <is>
          <t>Responsible person:</t>
        </is>
      </c>
      <c r="B64" s="18" t="n"/>
      <c r="C64" s="6" t="n"/>
      <c r="D64" s="6" t="n"/>
    </row>
    <row r="65">
      <c r="A65" s="14" t="inlineStr">
        <is>
          <t>Target completion date:</t>
        </is>
      </c>
      <c r="B65" s="18" t="n"/>
      <c r="C65" s="6" t="n"/>
      <c r="D65" s="6" t="n"/>
    </row>
    <row r="66">
      <c r="A66" s="14" t="inlineStr">
        <is>
          <t>Budget required:</t>
        </is>
      </c>
      <c r="B66" s="18" t="n"/>
      <c r="C66" s="6" t="n"/>
      <c r="D66" s="6" t="n"/>
    </row>
    <row r="68">
      <c r="A68" s="22" t="inlineStr">
        <is>
          <t>ADDITIONAL NOTES / COMMENTS</t>
        </is>
      </c>
      <c r="B68" s="6" t="n"/>
      <c r="C68" s="6" t="n"/>
      <c r="D68" s="6" t="n"/>
      <c r="E68" s="6" t="n"/>
      <c r="F68" s="6" t="n"/>
      <c r="G68" s="6" t="n"/>
      <c r="H68" s="6" t="n"/>
    </row>
    <row r="69">
      <c r="A69" s="23" t="n"/>
      <c r="B69" s="6" t="n"/>
      <c r="C69" s="6" t="n"/>
      <c r="D69" s="6" t="n"/>
      <c r="E69" s="6" t="n"/>
      <c r="F69" s="6" t="n"/>
      <c r="G69" s="6" t="n"/>
      <c r="H69" s="6" t="n"/>
    </row>
    <row r="70">
      <c r="A70" s="6" t="n"/>
      <c r="B70" s="6" t="n"/>
      <c r="C70" s="6" t="n"/>
      <c r="D70" s="6" t="n"/>
      <c r="E70" s="6" t="n"/>
      <c r="F70" s="6" t="n"/>
      <c r="G70" s="6" t="n"/>
      <c r="H70" s="6" t="n"/>
    </row>
    <row r="71">
      <c r="A71" s="6" t="n"/>
      <c r="B71" s="6" t="n"/>
      <c r="C71" s="6" t="n"/>
      <c r="D71" s="6" t="n"/>
      <c r="E71" s="6" t="n"/>
      <c r="F71" s="6" t="n"/>
      <c r="G71" s="6" t="n"/>
      <c r="H71" s="6" t="n"/>
    </row>
    <row r="72">
      <c r="A72" s="6" t="n"/>
      <c r="B72" s="6" t="n"/>
      <c r="C72" s="6" t="n"/>
      <c r="D72" s="6" t="n"/>
      <c r="E72" s="6" t="n"/>
      <c r="F72" s="6" t="n"/>
      <c r="G72" s="6" t="n"/>
      <c r="H72" s="6" t="n"/>
    </row>
    <row r="73">
      <c r="A73" s="6" t="n"/>
      <c r="B73" s="6" t="n"/>
      <c r="C73" s="6" t="n"/>
      <c r="D73" s="6" t="n"/>
      <c r="E73" s="6" t="n"/>
      <c r="F73" s="6" t="n"/>
      <c r="G73" s="6" t="n"/>
      <c r="H73" s="6" t="n"/>
    </row>
    <row r="74">
      <c r="A74" s="6" t="n"/>
      <c r="B74" s="6" t="n"/>
      <c r="C74" s="6" t="n"/>
      <c r="D74" s="6" t="n"/>
      <c r="E74" s="6" t="n"/>
      <c r="F74" s="6" t="n"/>
      <c r="G74" s="6" t="n"/>
      <c r="H74" s="6" t="n"/>
    </row>
  </sheetData>
  <mergeCells count="22">
    <mergeCell ref="B60:D60"/>
    <mergeCell ref="A69:H74"/>
    <mergeCell ref="B61:D61"/>
    <mergeCell ref="B57:D57"/>
    <mergeCell ref="A1:H1"/>
    <mergeCell ref="B34:D34"/>
    <mergeCell ref="B65:D65"/>
    <mergeCell ref="B55:D55"/>
    <mergeCell ref="B64:D64"/>
    <mergeCell ref="B33:D33"/>
    <mergeCell ref="A3:H3"/>
    <mergeCell ref="B36:D36"/>
    <mergeCell ref="B63:D63"/>
    <mergeCell ref="B35:D35"/>
    <mergeCell ref="B62:D62"/>
    <mergeCell ref="B54:D54"/>
    <mergeCell ref="B59:D59"/>
    <mergeCell ref="A53:H53"/>
    <mergeCell ref="B66:D66"/>
    <mergeCell ref="B56:D56"/>
    <mergeCell ref="B58:D58"/>
    <mergeCell ref="A68:H68"/>
  </mergeCells>
  <dataValidations count="20">
    <dataValidation sqref="B4" showDropDown="0" showInputMessage="0" showErrorMessage="0" allowBlank="0" type="list">
      <formula1>"✅ Yes,❌ No,⚠️ 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 Yes,❌ No"</formula1>
    </dataValidation>
    <dataValidation sqref="B34" showDropDown="0" showInputMessage="0" showErrorMessage="0" allowBlank="0" type="list">
      <formula1>"✅ Yes,❌ No"</formula1>
    </dataValidation>
    <dataValidation sqref="B35" showDropDown="0" showInputMessage="0" showErrorMessage="0" allowBlank="0" type="list">
      <formula1>"✅ Yes,❌ No,⏳ Planned"</formula1>
    </dataValidation>
    <dataValidation sqref="B36" showDropDown="0" showInputMessage="0" showErrorMessage="0" allowBlank="0" type="list">
      <formula1>"✅ Yes,❌ No"</formula1>
    </dataValidation>
    <dataValidation sqref="C40" showDropDown="0" showInputMessage="0" showErrorMessage="0" allowBlank="0" type="list">
      <formula1>"✅ Yes,❌ No,N/A"</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C45" showDropDown="0" showInputMessage="0" showErrorMessage="0" allowBlank="0" type="list">
      <formula1>"✅ Yes,❌ No,N/A"</formula1>
    </dataValidation>
    <dataValidation sqref="C46" showDropDown="0" showInputMessage="0" showErrorMessage="0" allowBlank="0" type="list">
      <formula1>"✅ Yes,❌ No,N/A"</formula1>
    </dataValidation>
    <dataValidation sqref="C47" showDropDown="0" showInputMessage="0" showErrorMessage="0" allowBlank="0" type="list">
      <formula1>"✅ Yes,❌ No,N/A"</formula1>
    </dataValidation>
    <dataValidation sqref="C48" showDropDown="0" showInputMessage="0" showErrorMessage="0" allowBlank="0" type="list">
      <formula1>"✅ Yes,❌ No,N/A"</formula1>
    </dataValidation>
    <dataValidation sqref="C49" showDropDown="0" showInputMessage="0" showErrorMessage="0" allowBlank="0" type="list">
      <formula1>"✅ Yes,❌ No,N/A"</formula1>
    </dataValidation>
    <dataValidation sqref="C50" showDropDown="0" showInputMessage="0" showErrorMessage="0" allowBlank="0" type="list">
      <formula1>"✅ Yes,❌ No,N/A"</formula1>
    </dataValidation>
    <dataValidation sqref="B54" showDropDown="0" showInputMessage="0" showErrorMessage="0" allowBlank="0" type="list">
      <formula1>"✅ Yes,❌ No"</formula1>
    </dataValidation>
    <dataValidation sqref="B56" showDropDown="0" showInputMessage="0" showErrorMessage="0" allowBlank="0" type="list">
      <formula1>"✅ Yes,❌ No"</formula1>
    </dataValidation>
    <dataValidation sqref="B66" showDropDown="0" showInputMessage="0" showErrorMessage="0" allowBlank="0" type="list">
      <formula1>"✅ Yes,❌ No,⚠️ 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8"/>
  <sheetViews>
    <sheetView showGridLines="0" workbookViewId="0">
      <pane ySplit="6" topLeftCell="A7" activePane="bottomLeft" state="frozen"/>
      <selection pane="bottomLeft" activeCell="A1" sqref="A1"/>
    </sheetView>
  </sheetViews>
  <sheetFormatPr baseColWidth="8" defaultRowHeight="15"/>
  <cols>
    <col width="35" customWidth="1" min="1" max="1"/>
    <col width="18" customWidth="1" min="2" max="2"/>
    <col width="18" customWidth="1" min="3" max="3"/>
    <col width="20" customWidth="1" min="4" max="4"/>
    <col width="15" customWidth="1" min="5" max="5"/>
    <col width="30" customWidth="1" min="6" max="6"/>
    <col width="30" customWidth="1" min="7" max="7"/>
    <col width="16" customWidth="1" min="8" max="8"/>
  </cols>
  <sheetData>
    <row r="1" ht="35" customHeight="1">
      <c r="A1" s="11" t="inlineStr">
        <is>
          <t>1.2 HTTPS/TLS - INTERNAL WEB SERVICES
Policy Requirement: Internal web services containing sensitive data (Confidential or Restricted classification) MUST use TLS (Policy Section 2.2.1)</t>
        </is>
      </c>
      <c r="B1" s="6" t="n"/>
      <c r="C1" s="6" t="n"/>
      <c r="D1" s="6" t="n"/>
      <c r="E1" s="6" t="n"/>
      <c r="F1" s="6" t="n"/>
      <c r="G1" s="6" t="n"/>
      <c r="H1" s="6" t="n"/>
    </row>
    <row r="2">
      <c r="A2" s="12" t="inlineStr">
        <is>
          <t>ISO/IEC 27001:2022 | Control A.8.24: Use of Cryptography</t>
        </is>
      </c>
    </row>
    <row r="3" ht="30" customHeight="1">
      <c r="A3" s="13" t="inlineStr">
        <is>
          <t>Does your organisation have internal web services (intranet, internal portals, internal APIs)?</t>
        </is>
      </c>
      <c r="B3" s="6" t="n"/>
      <c r="C3" s="6" t="n"/>
      <c r="D3" s="6" t="n"/>
      <c r="E3" s="6" t="n"/>
      <c r="F3" s="6" t="n"/>
      <c r="G3" s="6" t="n"/>
      <c r="H3" s="6" t="n"/>
    </row>
    <row r="4">
      <c r="A4" s="14" t="inlineStr">
        <is>
          <t>Response:</t>
        </is>
      </c>
      <c r="B4" s="15" t="n"/>
    </row>
    <row r="6">
      <c r="A6" s="16" t="inlineStr">
        <is>
          <t>Service Description</t>
        </is>
      </c>
      <c r="B6" s="16" t="inlineStr">
        <is>
          <t>Data Classification</t>
        </is>
      </c>
      <c r="C6" s="16" t="inlineStr">
        <is>
          <t>Current TLS Version</t>
        </is>
      </c>
      <c r="D6" s="16" t="inlineStr">
        <is>
          <t>Certificate Type</t>
        </is>
      </c>
      <c r="E6" s="16" t="inlineStr">
        <is>
          <t>Status</t>
        </is>
      </c>
      <c r="F6" s="16" t="inlineStr">
        <is>
          <t>Evidence Location</t>
        </is>
      </c>
      <c r="G6" s="16" t="inlineStr">
        <is>
          <t>Gap Description</t>
        </is>
      </c>
      <c r="H6" s="16" t="inlineStr">
        <is>
          <t>Remediation Needed</t>
        </is>
      </c>
    </row>
    <row r="7">
      <c r="A7" s="17" t="inlineStr">
        <is>
          <t>HR portal (hr.internal.example.com)</t>
        </is>
      </c>
      <c r="B7" s="17" t="inlineStr">
        <is>
          <t>Confidential</t>
        </is>
      </c>
      <c r="C7" s="17" t="inlineStr">
        <is>
          <t>TLS 1.2</t>
        </is>
      </c>
      <c r="D7" s="17" t="inlineStr">
        <is>
          <t>Internal CA</t>
        </is>
      </c>
      <c r="E7" s="17" t="inlineStr">
        <is>
          <t>✅ Compliant</t>
        </is>
      </c>
      <c r="F7" s="17" t="inlineStr">
        <is>
          <t>/evidence/a824/1.2-internal-tls-config-20260218.txt</t>
        </is>
      </c>
      <c r="G7" s="17" t="inlineStr">
        <is>
          <t>None</t>
        </is>
      </c>
      <c r="H7" s="17" t="inlineStr">
        <is>
          <t>❌ No</t>
        </is>
      </c>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2">
      <c r="A32" s="19" t="inlineStr">
        <is>
          <t>Additional Details</t>
        </is>
      </c>
    </row>
    <row r="33">
      <c r="A33" s="14" t="inlineStr">
        <is>
          <t>Number of internal web services:</t>
        </is>
      </c>
      <c r="B33" s="18" t="n"/>
      <c r="C33" s="6" t="n"/>
      <c r="D33" s="6" t="n"/>
    </row>
    <row r="34">
      <c r="A34" s="14" t="inlineStr">
        <is>
          <t>Data classification(s) handled:</t>
        </is>
      </c>
      <c r="B34" s="18" t="n"/>
      <c r="C34" s="6" t="n"/>
      <c r="D34" s="6" t="n"/>
    </row>
    <row r="35">
      <c r="A35" s="14" t="inlineStr">
        <is>
          <t>Internal CA in use:</t>
        </is>
      </c>
      <c r="B35" s="18" t="n"/>
      <c r="C35" s="6" t="n"/>
      <c r="D35" s="6" t="n"/>
    </row>
    <row r="36">
      <c r="A36" s="14" t="inlineStr">
        <is>
          <t>Certificate management process documented:</t>
        </is>
      </c>
      <c r="B36" s="18" t="n"/>
      <c r="C36" s="6" t="n"/>
      <c r="D36" s="6" t="n"/>
    </row>
    <row r="38">
      <c r="A38" s="19" t="inlineStr">
        <is>
          <t>COMPLIANCE CHECKLIST</t>
        </is>
      </c>
    </row>
    <row r="39">
      <c r="A39" s="14" t="inlineStr">
        <is>
          <t>☐</t>
        </is>
      </c>
      <c r="B39" s="14" t="inlineStr">
        <is>
          <t>Requirement</t>
        </is>
      </c>
      <c r="C39" s="14" t="inlineStr">
        <is>
          <t>Status</t>
        </is>
      </c>
    </row>
    <row r="40">
      <c r="A40" t="inlineStr">
        <is>
          <t>☐</t>
        </is>
      </c>
      <c r="B40" t="inlineStr">
        <is>
          <t>TLS 1.2+ for services with Confidential/Restricted data</t>
        </is>
      </c>
      <c r="C40" s="15" t="n"/>
    </row>
    <row r="41">
      <c r="A41" t="inlineStr">
        <is>
          <t>☐</t>
        </is>
      </c>
      <c r="B41" t="inlineStr">
        <is>
          <t>Valid certificates (internal CA acceptable)</t>
        </is>
      </c>
      <c r="C41" s="15" t="n"/>
    </row>
    <row r="42">
      <c r="A42" t="inlineStr">
        <is>
          <t>☐</t>
        </is>
      </c>
      <c r="B42" t="inlineStr">
        <is>
          <t>Services with non-sensitive data: Risk assessed and documented</t>
        </is>
      </c>
      <c r="C42" s="15" t="n"/>
    </row>
    <row r="43">
      <c r="A43" t="inlineStr">
        <is>
          <t>☐</t>
        </is>
      </c>
      <c r="B43" t="inlineStr">
        <is>
          <t>Certificate inventory maintained</t>
        </is>
      </c>
      <c r="C43" s="15" t="n"/>
    </row>
    <row r="44">
      <c r="A44" t="inlineStr">
        <is>
          <t>☐</t>
        </is>
      </c>
      <c r="B44" t="inlineStr">
        <is>
          <t>Certificate expiration monitoring configured</t>
        </is>
      </c>
      <c r="C44" s="15" t="n"/>
    </row>
    <row r="45">
      <c r="A45" s="14" t="inlineStr">
        <is>
          <t>Checklist Score:</t>
        </is>
      </c>
      <c r="B45" s="20">
        <f>IFERROR(ROUND(COUNTIF(C40:C44,"✅ Yes")/COUNTA(C40:C44)*100,0)&amp;"%","0%")</f>
        <v/>
      </c>
    </row>
    <row r="47">
      <c r="A47" s="21" t="inlineStr">
        <is>
          <t>EXCEPTION / DEVIATION DOCUMENTATION (Complete if Status = Partial or Non-Compliant)</t>
        </is>
      </c>
      <c r="B47" s="6" t="n"/>
      <c r="C47" s="6" t="n"/>
      <c r="D47" s="6" t="n"/>
      <c r="E47" s="6" t="n"/>
      <c r="F47" s="6" t="n"/>
      <c r="G47" s="6" t="n"/>
      <c r="H47" s="6" t="n"/>
    </row>
    <row r="48">
      <c r="A48" s="14" t="inlineStr">
        <is>
          <t>Formal exception request submitted:</t>
        </is>
      </c>
      <c r="B48" s="18" t="n"/>
      <c r="C48" s="6" t="n"/>
      <c r="D48" s="6" t="n"/>
    </row>
    <row r="49">
      <c r="A49" s="14" t="inlineStr">
        <is>
          <t>Exception ID:</t>
        </is>
      </c>
      <c r="B49" s="18" t="n"/>
      <c r="C49" s="6" t="n"/>
      <c r="D49" s="6" t="n"/>
    </row>
    <row r="50">
      <c r="A50" s="14" t="inlineStr">
        <is>
          <t>Risk acceptance documented:</t>
        </is>
      </c>
      <c r="B50" s="18" t="n"/>
      <c r="C50" s="6" t="n"/>
      <c r="D50" s="6" t="n"/>
    </row>
    <row r="51">
      <c r="A51" s="14" t="inlineStr">
        <is>
          <t>Risk ID:</t>
        </is>
      </c>
      <c r="B51" s="18" t="n"/>
      <c r="C51" s="6" t="n"/>
      <c r="D51" s="6" t="n"/>
    </row>
    <row r="52">
      <c r="A52" s="14" t="inlineStr">
        <is>
          <t>Compensating Controls (summary):</t>
        </is>
      </c>
      <c r="B52" s="18" t="n"/>
      <c r="C52" s="6" t="n"/>
      <c r="D52" s="6" t="n"/>
    </row>
    <row r="53">
      <c r="A53" s="14" t="inlineStr">
        <is>
          <t>☐ Network segmentation / firewall restrictions</t>
        </is>
      </c>
      <c r="B53" s="18" t="n"/>
      <c r="C53" s="6" t="n"/>
      <c r="D53" s="6" t="n"/>
    </row>
    <row r="54">
      <c r="A54" s="14" t="inlineStr">
        <is>
          <t>☐ Enhanced monitoring / alerting</t>
        </is>
      </c>
      <c r="B54" s="18" t="n"/>
      <c r="C54" s="6" t="n"/>
      <c r="D54" s="6" t="n"/>
    </row>
    <row r="55">
      <c r="A55" s="14" t="inlineStr">
        <is>
          <t>☐ IP allowlisting / access restrictions</t>
        </is>
      </c>
      <c r="B55" s="18" t="n"/>
      <c r="C55" s="6" t="n"/>
      <c r="D55" s="6" t="n"/>
    </row>
    <row r="56">
      <c r="A56" s="14" t="inlineStr">
        <is>
          <t>☐ Other (describe):</t>
        </is>
      </c>
      <c r="B56" s="18" t="n"/>
      <c r="C56" s="6" t="n"/>
      <c r="D56" s="6" t="n"/>
    </row>
    <row r="57">
      <c r="A57" s="14" t="inlineStr">
        <is>
          <t>Remediation actions required:</t>
        </is>
      </c>
      <c r="B57" s="18" t="n"/>
      <c r="C57" s="6" t="n"/>
      <c r="D57" s="6" t="n"/>
    </row>
    <row r="58">
      <c r="A58" s="14" t="inlineStr">
        <is>
          <t>Responsible person:</t>
        </is>
      </c>
      <c r="B58" s="18" t="n"/>
      <c r="C58" s="6" t="n"/>
      <c r="D58" s="6" t="n"/>
    </row>
    <row r="59">
      <c r="A59" s="14" t="inlineStr">
        <is>
          <t>Target completion date:</t>
        </is>
      </c>
      <c r="B59" s="18" t="n"/>
      <c r="C59" s="6" t="n"/>
      <c r="D59" s="6" t="n"/>
    </row>
    <row r="60">
      <c r="A60" s="14" t="inlineStr">
        <is>
          <t>Budget required:</t>
        </is>
      </c>
      <c r="B60" s="18" t="n"/>
      <c r="C60" s="6" t="n"/>
      <c r="D60" s="6" t="n"/>
    </row>
    <row r="62">
      <c r="A62" s="22" t="inlineStr">
        <is>
          <t>ADDITIONAL NOTES / COMMENTS</t>
        </is>
      </c>
      <c r="B62" s="6" t="n"/>
      <c r="C62" s="6" t="n"/>
      <c r="D62" s="6" t="n"/>
      <c r="E62" s="6" t="n"/>
      <c r="F62" s="6" t="n"/>
      <c r="G62" s="6" t="n"/>
      <c r="H62" s="6" t="n"/>
    </row>
    <row r="63">
      <c r="A63" s="23" t="n"/>
      <c r="B63" s="6" t="n"/>
      <c r="C63" s="6" t="n"/>
      <c r="D63" s="6" t="n"/>
      <c r="E63" s="6" t="n"/>
      <c r="F63" s="6" t="n"/>
      <c r="G63" s="6" t="n"/>
      <c r="H63" s="6" t="n"/>
    </row>
    <row r="64">
      <c r="A64" s="6" t="n"/>
      <c r="B64" s="6" t="n"/>
      <c r="C64" s="6" t="n"/>
      <c r="D64" s="6" t="n"/>
      <c r="E64" s="6" t="n"/>
      <c r="F64" s="6" t="n"/>
      <c r="G64" s="6" t="n"/>
      <c r="H64" s="6" t="n"/>
    </row>
    <row r="65">
      <c r="A65" s="6" t="n"/>
      <c r="B65" s="6" t="n"/>
      <c r="C65" s="6" t="n"/>
      <c r="D65" s="6" t="n"/>
      <c r="E65" s="6" t="n"/>
      <c r="F65" s="6" t="n"/>
      <c r="G65" s="6" t="n"/>
      <c r="H65" s="6" t="n"/>
    </row>
    <row r="66">
      <c r="A66" s="6" t="n"/>
      <c r="B66" s="6" t="n"/>
      <c r="C66" s="6" t="n"/>
      <c r="D66" s="6" t="n"/>
      <c r="E66" s="6" t="n"/>
      <c r="F66" s="6" t="n"/>
      <c r="G66" s="6" t="n"/>
      <c r="H66" s="6" t="n"/>
    </row>
    <row r="67">
      <c r="A67" s="6" t="n"/>
      <c r="B67" s="6" t="n"/>
      <c r="C67" s="6" t="n"/>
      <c r="D67" s="6" t="n"/>
      <c r="E67" s="6" t="n"/>
      <c r="F67" s="6" t="n"/>
      <c r="G67" s="6" t="n"/>
      <c r="H67" s="6" t="n"/>
    </row>
    <row r="68">
      <c r="A68" s="6" t="n"/>
      <c r="B68" s="6" t="n"/>
      <c r="C68" s="6" t="n"/>
      <c r="D68" s="6" t="n"/>
      <c r="E68" s="6" t="n"/>
      <c r="F68" s="6" t="n"/>
      <c r="G68" s="6" t="n"/>
      <c r="H68" s="6" t="n"/>
    </row>
  </sheetData>
  <mergeCells count="22">
    <mergeCell ref="B60:D60"/>
    <mergeCell ref="B57:D57"/>
    <mergeCell ref="B53:D53"/>
    <mergeCell ref="A1:H1"/>
    <mergeCell ref="B34:D34"/>
    <mergeCell ref="B49:D49"/>
    <mergeCell ref="B55:D55"/>
    <mergeCell ref="B51:D51"/>
    <mergeCell ref="B33:D33"/>
    <mergeCell ref="A3:H3"/>
    <mergeCell ref="B36:D36"/>
    <mergeCell ref="A63:H68"/>
    <mergeCell ref="B35:D35"/>
    <mergeCell ref="B50:D50"/>
    <mergeCell ref="A47:H47"/>
    <mergeCell ref="B54:D54"/>
    <mergeCell ref="A62:H62"/>
    <mergeCell ref="B59:D59"/>
    <mergeCell ref="B56:D56"/>
    <mergeCell ref="B58:D58"/>
    <mergeCell ref="B52:D52"/>
    <mergeCell ref="B48:D48"/>
  </mergeCells>
  <dataValidations count="14">
    <dataValidation sqref="B4" showDropDown="0" showInputMessage="0" showErrorMessage="0" allowBlank="0" type="list">
      <formula1>"✅ Yes,❌ No,⚠️ 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 Yes,❌ No"</formula1>
    </dataValidation>
    <dataValidation sqref="B34" showDropDown="0" showInputMessage="0" showErrorMessage="0" allowBlank="0" type="list">
      <formula1>"Public,Internal,Confidential,Restricted"</formula1>
    </dataValidation>
    <dataValidation sqref="B35" showDropDown="0" showInputMessage="0" showErrorMessage="0" allowBlank="0" type="list">
      <formula1>"✅ Yes,❌ No"</formula1>
    </dataValidation>
    <dataValidation sqref="B36" showDropDown="0" showInputMessage="0" showErrorMessage="0" allowBlank="0" type="list">
      <formula1>"✅ Yes,❌ No"</formula1>
    </dataValidation>
    <dataValidation sqref="C40" showDropDown="0" showInputMessage="0" showErrorMessage="0" allowBlank="0" type="list">
      <formula1>"✅ Yes,❌ No,N/A"</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B48" showDropDown="0" showInputMessage="0" showErrorMessage="0" allowBlank="0" type="list">
      <formula1>"✅ Yes,❌ No"</formula1>
    </dataValidation>
    <dataValidation sqref="B50" showDropDown="0" showInputMessage="0" showErrorMessage="0" allowBlank="0" type="list">
      <formula1>"✅ Yes,❌ No"</formula1>
    </dataValidation>
    <dataValidation sqref="B60" showDropDown="0" showInputMessage="0" showErrorMessage="0" allowBlank="0" type="list">
      <formula1>"✅ Yes,❌ No,⚠️ 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8"/>
  <sheetViews>
    <sheetView showGridLines="0" workbookViewId="0">
      <pane ySplit="6" topLeftCell="A7" activePane="bottomLeft" state="frozen"/>
      <selection pane="bottomLeft" activeCell="A1" sqref="A1"/>
    </sheetView>
  </sheetViews>
  <sheetFormatPr baseColWidth="8" defaultRowHeight="15"/>
  <cols>
    <col width="25" customWidth="1" min="1" max="1"/>
    <col width="22" customWidth="1" min="2" max="2"/>
    <col width="20" customWidth="1" min="3" max="3"/>
    <col width="16" customWidth="1" min="4" max="4"/>
    <col width="15" customWidth="1" min="5" max="5"/>
    <col width="30" customWidth="1" min="6" max="6"/>
    <col width="30" customWidth="1" min="7" max="7"/>
    <col width="16" customWidth="1" min="8" max="8"/>
  </cols>
  <sheetData>
    <row r="1" ht="35" customHeight="1">
      <c r="A1" s="11" t="inlineStr">
        <is>
          <t>2.1 EMAIL ENCRYPTION
Policy Requirement: Emails containing classified information (Confidential or Restricted) MUST be encrypted when sent externally (Policy Section 2.2.2)</t>
        </is>
      </c>
      <c r="B1" s="6" t="n"/>
      <c r="C1" s="6" t="n"/>
      <c r="D1" s="6" t="n"/>
      <c r="E1" s="6" t="n"/>
      <c r="F1" s="6" t="n"/>
      <c r="G1" s="6" t="n"/>
      <c r="H1" s="6" t="n"/>
    </row>
    <row r="2">
      <c r="A2" s="12" t="inlineStr">
        <is>
          <t>ISO/IEC 27001:2022 | Control A.8.24: Use of Cryptography</t>
        </is>
      </c>
    </row>
    <row r="3" ht="30" customHeight="1">
      <c r="A3" s="13" t="inlineStr">
        <is>
          <t>Does your organisation send emails containing classified information to external parties?</t>
        </is>
      </c>
      <c r="B3" s="6" t="n"/>
      <c r="C3" s="6" t="n"/>
      <c r="D3" s="6" t="n"/>
      <c r="E3" s="6" t="n"/>
      <c r="F3" s="6" t="n"/>
      <c r="G3" s="6" t="n"/>
      <c r="H3" s="6" t="n"/>
    </row>
    <row r="4">
      <c r="A4" s="14" t="inlineStr">
        <is>
          <t>Response:</t>
        </is>
      </c>
      <c r="B4" s="15" t="n"/>
    </row>
    <row r="6">
      <c r="A6" s="16" t="inlineStr">
        <is>
          <t>Email System</t>
        </is>
      </c>
      <c r="B6" s="16" t="inlineStr">
        <is>
          <t>Encryption Solution</t>
        </is>
      </c>
      <c r="C6" s="16" t="inlineStr">
        <is>
          <t>Encryption Method</t>
        </is>
      </c>
      <c r="D6" s="16" t="inlineStr">
        <is>
          <t>User Adoption Rate</t>
        </is>
      </c>
      <c r="E6" s="16" t="inlineStr">
        <is>
          <t>Status</t>
        </is>
      </c>
      <c r="F6" s="16" t="inlineStr">
        <is>
          <t>Evidence Location</t>
        </is>
      </c>
      <c r="G6" s="16" t="inlineStr">
        <is>
          <t>Gap Description</t>
        </is>
      </c>
      <c r="H6" s="16" t="inlineStr">
        <is>
          <t>Remediation Needed</t>
        </is>
      </c>
    </row>
    <row r="7">
      <c r="A7" s="17" t="inlineStr">
        <is>
          <t>Microsoft Exchange Online</t>
        </is>
      </c>
      <c r="B7" s="17" t="inlineStr">
        <is>
          <t>S/MIME</t>
        </is>
      </c>
      <c r="C7" s="17" t="inlineStr">
        <is>
          <t>End-to-end encryption</t>
        </is>
      </c>
      <c r="D7" s="17" t="inlineStr">
        <is>
          <t>85%</t>
        </is>
      </c>
      <c r="E7" s="17" t="inlineStr">
        <is>
          <t>⚠️ Partial</t>
        </is>
      </c>
      <c r="F7" s="17" t="inlineStr">
        <is>
          <t>/evidence/a824/2.1-smime-policy-20260218.pdf</t>
        </is>
      </c>
      <c r="G7" s="17" t="inlineStr">
        <is>
          <t>User adoption below 90% target</t>
        </is>
      </c>
      <c r="H7" s="17" t="inlineStr">
        <is>
          <t>✅ Yes</t>
        </is>
      </c>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2">
      <c r="A32" s="19" t="inlineStr">
        <is>
          <t>Additional Details</t>
        </is>
      </c>
    </row>
    <row r="33">
      <c r="A33" s="14" t="inlineStr">
        <is>
          <t>Encryption solution in use:</t>
        </is>
      </c>
      <c r="B33" s="18" t="n"/>
      <c r="C33" s="6" t="n"/>
      <c r="D33" s="6" t="n"/>
    </row>
    <row r="34">
      <c r="A34" s="14" t="inlineStr">
        <is>
          <t>PKI infrastructure for email:</t>
        </is>
      </c>
      <c r="B34" s="18" t="n"/>
      <c r="C34" s="6" t="n"/>
      <c r="D34" s="6" t="n"/>
    </row>
    <row r="35">
      <c r="A35" s="14" t="inlineStr">
        <is>
          <t>User training provided:</t>
        </is>
      </c>
      <c r="B35" s="18" t="n"/>
      <c r="C35" s="6" t="n"/>
      <c r="D35" s="6" t="n"/>
    </row>
    <row r="36">
      <c r="A36" s="14" t="inlineStr">
        <is>
          <t>Encryption enforced via policy/DLP:</t>
        </is>
      </c>
      <c r="B36" s="18" t="n"/>
      <c r="C36" s="6" t="n"/>
      <c r="D36" s="6" t="n"/>
    </row>
    <row r="38">
      <c r="A38" s="19" t="inlineStr">
        <is>
          <t>COMPLIANCE CHECKLIST</t>
        </is>
      </c>
    </row>
    <row r="39">
      <c r="A39" s="14" t="inlineStr">
        <is>
          <t>☐</t>
        </is>
      </c>
      <c r="B39" s="14" t="inlineStr">
        <is>
          <t>Requirement</t>
        </is>
      </c>
      <c r="C39" s="14" t="inlineStr">
        <is>
          <t>Status</t>
        </is>
      </c>
    </row>
    <row r="40">
      <c r="A40" t="inlineStr">
        <is>
          <t>☐</t>
        </is>
      </c>
      <c r="B40" t="inlineStr">
        <is>
          <t>S/MIME or PGP/GPG encryption available</t>
        </is>
      </c>
      <c r="C40" s="15" t="n"/>
    </row>
    <row r="41">
      <c r="A41" t="inlineStr">
        <is>
          <t>☐</t>
        </is>
      </c>
      <c r="B41" t="inlineStr">
        <is>
          <t>Users trained on when/how to encrypt sensitive emails</t>
        </is>
      </c>
      <c r="C41" s="15" t="n"/>
    </row>
    <row r="42">
      <c r="A42" t="inlineStr">
        <is>
          <t>☐</t>
        </is>
      </c>
      <c r="B42" t="inlineStr">
        <is>
          <t>PKI infrastructure in place for S/MIME</t>
        </is>
      </c>
      <c r="C42" s="15" t="n"/>
    </row>
    <row r="43">
      <c r="A43" t="inlineStr">
        <is>
          <t>☐</t>
        </is>
      </c>
      <c r="B43" t="inlineStr">
        <is>
          <t>Opportunistic TLS enabled for mail server connections</t>
        </is>
      </c>
      <c r="C43" s="15" t="n"/>
    </row>
    <row r="44">
      <c r="A44" t="inlineStr">
        <is>
          <t>☐</t>
        </is>
      </c>
      <c r="B44" t="inlineStr">
        <is>
          <t>STARTTLS enabled for SMTP</t>
        </is>
      </c>
      <c r="C44" s="15" t="n"/>
    </row>
    <row r="45">
      <c r="A45" s="14" t="inlineStr">
        <is>
          <t>Checklist Score:</t>
        </is>
      </c>
      <c r="B45" s="20">
        <f>IFERROR(ROUND(COUNTIF(C40:C44,"✅ Yes")/COUNTA(C40:C44)*100,0)&amp;"%","0%")</f>
        <v/>
      </c>
    </row>
    <row r="47">
      <c r="A47" s="21" t="inlineStr">
        <is>
          <t>EXCEPTION / DEVIATION DOCUMENTATION (Complete if Status = Partial or Non-Compliant)</t>
        </is>
      </c>
      <c r="B47" s="6" t="n"/>
      <c r="C47" s="6" t="n"/>
      <c r="D47" s="6" t="n"/>
      <c r="E47" s="6" t="n"/>
      <c r="F47" s="6" t="n"/>
      <c r="G47" s="6" t="n"/>
      <c r="H47" s="6" t="n"/>
    </row>
    <row r="48">
      <c r="A48" s="14" t="inlineStr">
        <is>
          <t>Formal exception request submitted:</t>
        </is>
      </c>
      <c r="B48" s="18" t="n"/>
      <c r="C48" s="6" t="n"/>
      <c r="D48" s="6" t="n"/>
    </row>
    <row r="49">
      <c r="A49" s="14" t="inlineStr">
        <is>
          <t>Exception ID:</t>
        </is>
      </c>
      <c r="B49" s="18" t="n"/>
      <c r="C49" s="6" t="n"/>
      <c r="D49" s="6" t="n"/>
    </row>
    <row r="50">
      <c r="A50" s="14" t="inlineStr">
        <is>
          <t>Risk acceptance documented:</t>
        </is>
      </c>
      <c r="B50" s="18" t="n"/>
      <c r="C50" s="6" t="n"/>
      <c r="D50" s="6" t="n"/>
    </row>
    <row r="51">
      <c r="A51" s="14" t="inlineStr">
        <is>
          <t>Risk ID:</t>
        </is>
      </c>
      <c r="B51" s="18" t="n"/>
      <c r="C51" s="6" t="n"/>
      <c r="D51" s="6" t="n"/>
    </row>
    <row r="52">
      <c r="A52" s="14" t="inlineStr">
        <is>
          <t>Compensating Controls (summary):</t>
        </is>
      </c>
      <c r="B52" s="18" t="n"/>
      <c r="C52" s="6" t="n"/>
      <c r="D52" s="6" t="n"/>
    </row>
    <row r="53">
      <c r="A53" s="14" t="inlineStr">
        <is>
          <t>☐ Network segmentation / firewall restrictions</t>
        </is>
      </c>
      <c r="B53" s="18" t="n"/>
      <c r="C53" s="6" t="n"/>
      <c r="D53" s="6" t="n"/>
    </row>
    <row r="54">
      <c r="A54" s="14" t="inlineStr">
        <is>
          <t>☐ Enhanced monitoring / alerting</t>
        </is>
      </c>
      <c r="B54" s="18" t="n"/>
      <c r="C54" s="6" t="n"/>
      <c r="D54" s="6" t="n"/>
    </row>
    <row r="55">
      <c r="A55" s="14" t="inlineStr">
        <is>
          <t>☐ IP allowlisting / access restrictions</t>
        </is>
      </c>
      <c r="B55" s="18" t="n"/>
      <c r="C55" s="6" t="n"/>
      <c r="D55" s="6" t="n"/>
    </row>
    <row r="56">
      <c r="A56" s="14" t="inlineStr">
        <is>
          <t>☐ Other (describe):</t>
        </is>
      </c>
      <c r="B56" s="18" t="n"/>
      <c r="C56" s="6" t="n"/>
      <c r="D56" s="6" t="n"/>
    </row>
    <row r="57">
      <c r="A57" s="14" t="inlineStr">
        <is>
          <t>Remediation actions required:</t>
        </is>
      </c>
      <c r="B57" s="18" t="n"/>
      <c r="C57" s="6" t="n"/>
      <c r="D57" s="6" t="n"/>
    </row>
    <row r="58">
      <c r="A58" s="14" t="inlineStr">
        <is>
          <t>Responsible person:</t>
        </is>
      </c>
      <c r="B58" s="18" t="n"/>
      <c r="C58" s="6" t="n"/>
      <c r="D58" s="6" t="n"/>
    </row>
    <row r="59">
      <c r="A59" s="14" t="inlineStr">
        <is>
          <t>Target completion date:</t>
        </is>
      </c>
      <c r="B59" s="18" t="n"/>
      <c r="C59" s="6" t="n"/>
      <c r="D59" s="6" t="n"/>
    </row>
    <row r="60">
      <c r="A60" s="14" t="inlineStr">
        <is>
          <t>Budget required:</t>
        </is>
      </c>
      <c r="B60" s="18" t="n"/>
      <c r="C60" s="6" t="n"/>
      <c r="D60" s="6" t="n"/>
    </row>
    <row r="62">
      <c r="A62" s="22" t="inlineStr">
        <is>
          <t>ADDITIONAL NOTES / COMMENTS</t>
        </is>
      </c>
      <c r="B62" s="6" t="n"/>
      <c r="C62" s="6" t="n"/>
      <c r="D62" s="6" t="n"/>
      <c r="E62" s="6" t="n"/>
      <c r="F62" s="6" t="n"/>
      <c r="G62" s="6" t="n"/>
      <c r="H62" s="6" t="n"/>
    </row>
    <row r="63">
      <c r="A63" s="23" t="n"/>
      <c r="B63" s="6" t="n"/>
      <c r="C63" s="6" t="n"/>
      <c r="D63" s="6" t="n"/>
      <c r="E63" s="6" t="n"/>
      <c r="F63" s="6" t="n"/>
      <c r="G63" s="6" t="n"/>
      <c r="H63" s="6" t="n"/>
    </row>
    <row r="64">
      <c r="A64" s="6" t="n"/>
      <c r="B64" s="6" t="n"/>
      <c r="C64" s="6" t="n"/>
      <c r="D64" s="6" t="n"/>
      <c r="E64" s="6" t="n"/>
      <c r="F64" s="6" t="n"/>
      <c r="G64" s="6" t="n"/>
      <c r="H64" s="6" t="n"/>
    </row>
    <row r="65">
      <c r="A65" s="6" t="n"/>
      <c r="B65" s="6" t="n"/>
      <c r="C65" s="6" t="n"/>
      <c r="D65" s="6" t="n"/>
      <c r="E65" s="6" t="n"/>
      <c r="F65" s="6" t="n"/>
      <c r="G65" s="6" t="n"/>
      <c r="H65" s="6" t="n"/>
    </row>
    <row r="66">
      <c r="A66" s="6" t="n"/>
      <c r="B66" s="6" t="n"/>
      <c r="C66" s="6" t="n"/>
      <c r="D66" s="6" t="n"/>
      <c r="E66" s="6" t="n"/>
      <c r="F66" s="6" t="n"/>
      <c r="G66" s="6" t="n"/>
      <c r="H66" s="6" t="n"/>
    </row>
    <row r="67">
      <c r="A67" s="6" t="n"/>
      <c r="B67" s="6" t="n"/>
      <c r="C67" s="6" t="n"/>
      <c r="D67" s="6" t="n"/>
      <c r="E67" s="6" t="n"/>
      <c r="F67" s="6" t="n"/>
      <c r="G67" s="6" t="n"/>
      <c r="H67" s="6" t="n"/>
    </row>
    <row r="68">
      <c r="A68" s="6" t="n"/>
      <c r="B68" s="6" t="n"/>
      <c r="C68" s="6" t="n"/>
      <c r="D68" s="6" t="n"/>
      <c r="E68" s="6" t="n"/>
      <c r="F68" s="6" t="n"/>
      <c r="G68" s="6" t="n"/>
      <c r="H68" s="6" t="n"/>
    </row>
  </sheetData>
  <mergeCells count="22">
    <mergeCell ref="B60:D60"/>
    <mergeCell ref="B57:D57"/>
    <mergeCell ref="B53:D53"/>
    <mergeCell ref="A1:H1"/>
    <mergeCell ref="B34:D34"/>
    <mergeCell ref="B49:D49"/>
    <mergeCell ref="B55:D55"/>
    <mergeCell ref="B51:D51"/>
    <mergeCell ref="B33:D33"/>
    <mergeCell ref="A3:H3"/>
    <mergeCell ref="B36:D36"/>
    <mergeCell ref="A63:H68"/>
    <mergeCell ref="B35:D35"/>
    <mergeCell ref="B50:D50"/>
    <mergeCell ref="A47:H47"/>
    <mergeCell ref="B54:D54"/>
    <mergeCell ref="A62:H62"/>
    <mergeCell ref="B59:D59"/>
    <mergeCell ref="B56:D56"/>
    <mergeCell ref="B58:D58"/>
    <mergeCell ref="B52:D52"/>
    <mergeCell ref="B48:D48"/>
  </mergeCells>
  <dataValidations count="15">
    <dataValidation sqref="B4" showDropDown="0" showInputMessage="0" showErrorMessage="0" allowBlank="0" type="list">
      <formula1>"✅ Yes,❌ No,⚠️ 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 Yes,❌ No"</formula1>
    </dataValidation>
    <dataValidation sqref="B33" showDropDown="0" showInputMessage="0" showErrorMessage="0" allowBlank="0" type="list">
      <formula1>"S/MIME,PGP/GPG,TLS-only,Other"</formula1>
    </dataValidation>
    <dataValidation sqref="B34" showDropDown="0" showInputMessage="0" showErrorMessage="0" allowBlank="0" type="list">
      <formula1>"Implemented,Planned,Not implemented"</formula1>
    </dataValidation>
    <dataValidation sqref="B35" showDropDown="0" showInputMessage="0" showErrorMessage="0" allowBlank="0" type="list">
      <formula1>"✅ Yes,❌ No"</formula1>
    </dataValidation>
    <dataValidation sqref="B36" showDropDown="0" showInputMessage="0" showErrorMessage="0" allowBlank="0" type="list">
      <formula1>"✅ Yes,❌ No"</formula1>
    </dataValidation>
    <dataValidation sqref="C40" showDropDown="0" showInputMessage="0" showErrorMessage="0" allowBlank="0" type="list">
      <formula1>"✅ Yes,❌ No,N/A"</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B48" showDropDown="0" showInputMessage="0" showErrorMessage="0" allowBlank="0" type="list">
      <formula1>"✅ Yes,❌ No"</formula1>
    </dataValidation>
    <dataValidation sqref="B50" showDropDown="0" showInputMessage="0" showErrorMessage="0" allowBlank="0" type="list">
      <formula1>"✅ Yes,❌ No"</formula1>
    </dataValidation>
    <dataValidation sqref="B60" showDropDown="0" showInputMessage="0" showErrorMessage="0" allowBlank="0" type="list">
      <formula1>"✅ Yes,❌ No,⚠️ 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8"/>
  <sheetViews>
    <sheetView showGridLines="0" workbookViewId="0">
      <pane ySplit="6" topLeftCell="A7" activePane="bottomLeft" state="frozen"/>
      <selection pane="bottomLeft" activeCell="A1" sqref="A1"/>
    </sheetView>
  </sheetViews>
  <sheetFormatPr baseColWidth="8" defaultRowHeight="15"/>
  <cols>
    <col width="30" customWidth="1" min="1" max="1"/>
    <col width="20" customWidth="1" min="2" max="2"/>
    <col width="22" customWidth="1" min="3" max="3"/>
    <col width="15" customWidth="1" min="4" max="4"/>
    <col width="30" customWidth="1" min="5" max="5"/>
    <col width="30" customWidth="1" min="6" max="6"/>
    <col width="16" customWidth="1" min="7" max="7"/>
  </cols>
  <sheetData>
    <row r="1" ht="35" customHeight="1">
      <c r="A1" s="11" t="inlineStr">
        <is>
          <t>2.2 DIGITAL SIGNATURES
Policy Requirement: Digital signatures RECOMMENDED for all external emails, REQUIRED for legal/financial/official communications (Policy Section 2.2.2)</t>
        </is>
      </c>
      <c r="B1" s="6" t="n"/>
      <c r="C1" s="6" t="n"/>
      <c r="D1" s="6" t="n"/>
      <c r="E1" s="6" t="n"/>
      <c r="F1" s="6" t="n"/>
      <c r="G1" s="6" t="n"/>
      <c r="H1" s="6" t="n"/>
    </row>
    <row r="2">
      <c r="A2" s="12" t="inlineStr">
        <is>
          <t>ISO/IEC 27001:2022 | Control A.8.24: Use of Cryptography</t>
        </is>
      </c>
    </row>
    <row r="3" ht="30" customHeight="1">
      <c r="A3" s="13" t="inlineStr">
        <is>
          <t>Does your organisation use digital signatures for email?</t>
        </is>
      </c>
      <c r="B3" s="6" t="n"/>
      <c r="C3" s="6" t="n"/>
      <c r="D3" s="6" t="n"/>
      <c r="E3" s="6" t="n"/>
      <c r="F3" s="6" t="n"/>
      <c r="G3" s="6" t="n"/>
      <c r="H3" s="6" t="n"/>
    </row>
    <row r="4">
      <c r="A4" s="14" t="inlineStr">
        <is>
          <t>Response:</t>
        </is>
      </c>
      <c r="B4" s="15" t="n"/>
    </row>
    <row r="6">
      <c r="A6" s="16" t="inlineStr">
        <is>
          <t>Use Case</t>
        </is>
      </c>
      <c r="B6" s="16" t="inlineStr">
        <is>
          <t>Signature Method</t>
        </is>
      </c>
      <c r="C6" s="16" t="inlineStr">
        <is>
          <t>Certificate Source</t>
        </is>
      </c>
      <c r="D6" s="16" t="inlineStr">
        <is>
          <t>Status</t>
        </is>
      </c>
      <c r="E6" s="16" t="inlineStr">
        <is>
          <t>Evidence Location</t>
        </is>
      </c>
      <c r="F6" s="16" t="inlineStr">
        <is>
          <t>Gap Description</t>
        </is>
      </c>
      <c r="G6" s="16" t="inlineStr">
        <is>
          <t>Remediation Needed</t>
        </is>
      </c>
    </row>
    <row r="7">
      <c r="A7" s="17" t="inlineStr">
        <is>
          <t>Contract signing</t>
        </is>
      </c>
      <c r="B7" s="17" t="inlineStr">
        <is>
          <t>S/MIME</t>
        </is>
      </c>
      <c r="C7" s="17" t="inlineStr">
        <is>
          <t>Internal CA</t>
        </is>
      </c>
      <c r="D7" s="17" t="inlineStr">
        <is>
          <t>✅ Compliant</t>
        </is>
      </c>
      <c r="E7" s="17" t="inlineStr">
        <is>
          <t>/evidence/a824/2.2-digital-sig-cert-20260218.p12</t>
        </is>
      </c>
      <c r="F7" s="17" t="inlineStr">
        <is>
          <t>None</t>
        </is>
      </c>
      <c r="G7" s="17" t="inlineStr">
        <is>
          <t>❌ No</t>
        </is>
      </c>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2">
      <c r="A32" s="19" t="inlineStr">
        <is>
          <t>Additional Details</t>
        </is>
      </c>
    </row>
    <row r="33">
      <c r="A33" s="14" t="inlineStr">
        <is>
          <t>Digital signatures used for:</t>
        </is>
      </c>
      <c r="B33" s="18" t="n"/>
      <c r="C33" s="6" t="n"/>
      <c r="D33" s="6" t="n"/>
    </row>
    <row r="34">
      <c r="A34" s="14" t="inlineStr">
        <is>
          <t>Certificate source:</t>
        </is>
      </c>
      <c r="B34" s="18" t="n"/>
      <c r="C34" s="6" t="n"/>
      <c r="D34" s="6" t="n"/>
    </row>
    <row r="36">
      <c r="A36" s="19" t="inlineStr">
        <is>
          <t>COMPLIANCE CHECKLIST</t>
        </is>
      </c>
    </row>
    <row r="37">
      <c r="A37" s="14" t="inlineStr">
        <is>
          <t>☐</t>
        </is>
      </c>
      <c r="B37" s="14" t="inlineStr">
        <is>
          <t>Requirement</t>
        </is>
      </c>
      <c r="C37" s="14" t="inlineStr">
        <is>
          <t>Status</t>
        </is>
      </c>
    </row>
    <row r="38">
      <c r="A38" t="inlineStr">
        <is>
          <t>☐</t>
        </is>
      </c>
      <c r="B38" t="inlineStr">
        <is>
          <t>Digital signatures available for required use cases</t>
        </is>
      </c>
      <c r="C38" s="15" t="n"/>
    </row>
    <row r="39">
      <c r="A39" t="inlineStr">
        <is>
          <t>☐</t>
        </is>
      </c>
      <c r="B39" t="inlineStr">
        <is>
          <t>Email certificates issued from trusted CA or internal PKI</t>
        </is>
      </c>
      <c r="C39" s="15" t="n"/>
    </row>
    <row r="40">
      <c r="A40" t="inlineStr">
        <is>
          <t>☐</t>
        </is>
      </c>
      <c r="B40" t="inlineStr">
        <is>
          <t>Certificate validity ≤ 1 year</t>
        </is>
      </c>
      <c r="C40" s="15" t="n"/>
    </row>
    <row r="41">
      <c r="A41" t="inlineStr">
        <is>
          <t>☐</t>
        </is>
      </c>
      <c r="B41" t="inlineStr">
        <is>
          <t>Users trained on digital signature usage</t>
        </is>
      </c>
      <c r="C41" s="15" t="n"/>
    </row>
    <row r="42">
      <c r="A42" t="inlineStr">
        <is>
          <t>☐</t>
        </is>
      </c>
      <c r="B42" t="inlineStr">
        <is>
          <t>Non-repudiation implemented for legally binding transactions — digital signatures with qualified certificates where required</t>
        </is>
      </c>
      <c r="C42" s="15" t="n"/>
    </row>
    <row r="43">
      <c r="A43" t="inlineStr">
        <is>
          <t>☐</t>
        </is>
      </c>
      <c r="B43" t="inlineStr">
        <is>
          <t>Audit log integrity protected — cryptographic checksums (HMAC, digital signatures) applied to audit logs to detect tampering</t>
        </is>
      </c>
      <c r="C43" s="15" t="n"/>
    </row>
    <row r="44">
      <c r="A44" t="inlineStr">
        <is>
          <t>☐</t>
        </is>
      </c>
      <c r="B44" t="inlineStr">
        <is>
          <t>Time-stamping implemented — qualified electronic timestamps applied to critical evidence and transaction records</t>
        </is>
      </c>
      <c r="C44" s="15" t="n"/>
    </row>
    <row r="45">
      <c r="A45" s="14" t="inlineStr">
        <is>
          <t>Checklist Score:</t>
        </is>
      </c>
      <c r="B45" s="20">
        <f>IFERROR(ROUND(COUNTIF(C38:C44,"✅ Yes")/COUNTA(C38:C44)*100,0)&amp;"%","0%")</f>
        <v/>
      </c>
    </row>
    <row r="47">
      <c r="A47" s="21" t="inlineStr">
        <is>
          <t>EXCEPTION / DEVIATION DOCUMENTATION (Complete if Status = Partial or Non-Compliant)</t>
        </is>
      </c>
      <c r="B47" s="6" t="n"/>
      <c r="C47" s="6" t="n"/>
      <c r="D47" s="6" t="n"/>
      <c r="E47" s="6" t="n"/>
      <c r="F47" s="6" t="n"/>
      <c r="G47" s="6" t="n"/>
      <c r="H47" s="6" t="n"/>
    </row>
    <row r="48">
      <c r="A48" s="14" t="inlineStr">
        <is>
          <t>Formal exception request submitted:</t>
        </is>
      </c>
      <c r="B48" s="18" t="n"/>
      <c r="C48" s="6" t="n"/>
      <c r="D48" s="6" t="n"/>
    </row>
    <row r="49">
      <c r="A49" s="14" t="inlineStr">
        <is>
          <t>Exception ID:</t>
        </is>
      </c>
      <c r="B49" s="18" t="n"/>
      <c r="C49" s="6" t="n"/>
      <c r="D49" s="6" t="n"/>
    </row>
    <row r="50">
      <c r="A50" s="14" t="inlineStr">
        <is>
          <t>Risk acceptance documented:</t>
        </is>
      </c>
      <c r="B50" s="18" t="n"/>
      <c r="C50" s="6" t="n"/>
      <c r="D50" s="6" t="n"/>
    </row>
    <row r="51">
      <c r="A51" s="14" t="inlineStr">
        <is>
          <t>Risk ID:</t>
        </is>
      </c>
      <c r="B51" s="18" t="n"/>
      <c r="C51" s="6" t="n"/>
      <c r="D51" s="6" t="n"/>
    </row>
    <row r="52">
      <c r="A52" s="14" t="inlineStr">
        <is>
          <t>Compensating Controls (summary):</t>
        </is>
      </c>
      <c r="B52" s="18" t="n"/>
      <c r="C52" s="6" t="n"/>
      <c r="D52" s="6" t="n"/>
    </row>
    <row r="53">
      <c r="A53" s="14" t="inlineStr">
        <is>
          <t>☐ Network segmentation / firewall restrictions</t>
        </is>
      </c>
      <c r="B53" s="18" t="n"/>
      <c r="C53" s="6" t="n"/>
      <c r="D53" s="6" t="n"/>
    </row>
    <row r="54">
      <c r="A54" s="14" t="inlineStr">
        <is>
          <t>☐ Enhanced monitoring / alerting</t>
        </is>
      </c>
      <c r="B54" s="18" t="n"/>
      <c r="C54" s="6" t="n"/>
      <c r="D54" s="6" t="n"/>
    </row>
    <row r="55">
      <c r="A55" s="14" t="inlineStr">
        <is>
          <t>☐ IP allowlisting / access restrictions</t>
        </is>
      </c>
      <c r="B55" s="18" t="n"/>
      <c r="C55" s="6" t="n"/>
      <c r="D55" s="6" t="n"/>
    </row>
    <row r="56">
      <c r="A56" s="14" t="inlineStr">
        <is>
          <t>☐ Other (describe):</t>
        </is>
      </c>
      <c r="B56" s="18" t="n"/>
      <c r="C56" s="6" t="n"/>
      <c r="D56" s="6" t="n"/>
    </row>
    <row r="57">
      <c r="A57" s="14" t="inlineStr">
        <is>
          <t>Remediation actions required:</t>
        </is>
      </c>
      <c r="B57" s="18" t="n"/>
      <c r="C57" s="6" t="n"/>
      <c r="D57" s="6" t="n"/>
    </row>
    <row r="58">
      <c r="A58" s="14" t="inlineStr">
        <is>
          <t>Responsible person:</t>
        </is>
      </c>
      <c r="B58" s="18" t="n"/>
      <c r="C58" s="6" t="n"/>
      <c r="D58" s="6" t="n"/>
    </row>
    <row r="59">
      <c r="A59" s="14" t="inlineStr">
        <is>
          <t>Target completion date:</t>
        </is>
      </c>
      <c r="B59" s="18" t="n"/>
      <c r="C59" s="6" t="n"/>
      <c r="D59" s="6" t="n"/>
    </row>
    <row r="60">
      <c r="A60" s="14" t="inlineStr">
        <is>
          <t>Budget required:</t>
        </is>
      </c>
      <c r="B60" s="18" t="n"/>
      <c r="C60" s="6" t="n"/>
      <c r="D60" s="6" t="n"/>
    </row>
    <row r="62">
      <c r="A62" s="22" t="inlineStr">
        <is>
          <t>ADDITIONAL NOTES / COMMENTS</t>
        </is>
      </c>
      <c r="B62" s="6" t="n"/>
      <c r="C62" s="6" t="n"/>
      <c r="D62" s="6" t="n"/>
      <c r="E62" s="6" t="n"/>
      <c r="F62" s="6" t="n"/>
      <c r="G62" s="6" t="n"/>
      <c r="H62" s="6" t="n"/>
    </row>
    <row r="63">
      <c r="A63" s="23" t="n"/>
      <c r="B63" s="6" t="n"/>
      <c r="C63" s="6" t="n"/>
      <c r="D63" s="6" t="n"/>
      <c r="E63" s="6" t="n"/>
      <c r="F63" s="6" t="n"/>
      <c r="G63" s="6" t="n"/>
      <c r="H63" s="6" t="n"/>
    </row>
    <row r="64">
      <c r="A64" s="6" t="n"/>
      <c r="B64" s="6" t="n"/>
      <c r="C64" s="6" t="n"/>
      <c r="D64" s="6" t="n"/>
      <c r="E64" s="6" t="n"/>
      <c r="F64" s="6" t="n"/>
      <c r="G64" s="6" t="n"/>
      <c r="H64" s="6" t="n"/>
    </row>
    <row r="65">
      <c r="A65" s="6" t="n"/>
      <c r="B65" s="6" t="n"/>
      <c r="C65" s="6" t="n"/>
      <c r="D65" s="6" t="n"/>
      <c r="E65" s="6" t="n"/>
      <c r="F65" s="6" t="n"/>
      <c r="G65" s="6" t="n"/>
      <c r="H65" s="6" t="n"/>
    </row>
    <row r="66">
      <c r="A66" s="6" t="n"/>
      <c r="B66" s="6" t="n"/>
      <c r="C66" s="6" t="n"/>
      <c r="D66" s="6" t="n"/>
      <c r="E66" s="6" t="n"/>
      <c r="F66" s="6" t="n"/>
      <c r="G66" s="6" t="n"/>
      <c r="H66" s="6" t="n"/>
    </row>
    <row r="67">
      <c r="A67" s="6" t="n"/>
      <c r="B67" s="6" t="n"/>
      <c r="C67" s="6" t="n"/>
      <c r="D67" s="6" t="n"/>
      <c r="E67" s="6" t="n"/>
      <c r="F67" s="6" t="n"/>
      <c r="G67" s="6" t="n"/>
      <c r="H67" s="6" t="n"/>
    </row>
    <row r="68">
      <c r="A68" s="6" t="n"/>
      <c r="B68" s="6" t="n"/>
      <c r="C68" s="6" t="n"/>
      <c r="D68" s="6" t="n"/>
      <c r="E68" s="6" t="n"/>
      <c r="F68" s="6" t="n"/>
      <c r="G68" s="6" t="n"/>
      <c r="H68" s="6" t="n"/>
    </row>
  </sheetData>
  <mergeCells count="20">
    <mergeCell ref="B60:D60"/>
    <mergeCell ref="B57:D57"/>
    <mergeCell ref="B53:D53"/>
    <mergeCell ref="A1:H1"/>
    <mergeCell ref="B34:D34"/>
    <mergeCell ref="B49:D49"/>
    <mergeCell ref="B55:D55"/>
    <mergeCell ref="B51:D51"/>
    <mergeCell ref="B33:D33"/>
    <mergeCell ref="A3:H3"/>
    <mergeCell ref="A63:H68"/>
    <mergeCell ref="B50:D50"/>
    <mergeCell ref="A47:H47"/>
    <mergeCell ref="B54:D54"/>
    <mergeCell ref="A62:H62"/>
    <mergeCell ref="B59:D59"/>
    <mergeCell ref="B56:D56"/>
    <mergeCell ref="B58:D58"/>
    <mergeCell ref="B52:D52"/>
    <mergeCell ref="B48:D48"/>
  </mergeCells>
  <dataValidations count="15">
    <dataValidation sqref="B4" showDropDown="0" showInputMessage="0" showErrorMessage="0" allowBlank="0" type="list">
      <formula1>"✅ Yes,❌ No,⚠️ Not Applicable"</formula1>
    </dataValidation>
    <dataValidation sqref="D8 D9 D10 D11 D12 D13 D14 D15 D16 D17 D18 D19 D20 D21 D22 D23 D24 D25 D26 D27 D28 D29 D30" showDropDown="0" showInputMessage="0" showErrorMessage="0" allowBlank="0" type="list">
      <formula1>"✅ Compliant,⚠️ Partial,❌ Non-Compliant,N/A"</formula1>
    </dataValidation>
    <dataValidation sqref="G8 G9 G10 G11 G12 G13 G14 G15 G16 G17 G18 G19 G20 G21 G22 G23 G24 G25 G26 G27 G28 G29 G30" showDropDown="0" showInputMessage="0" showErrorMessage="0" allowBlank="0" type="list">
      <formula1>"✅ Yes,❌ No"</formula1>
    </dataValidation>
    <dataValidation sqref="B33" showDropDown="0" showInputMessage="0" showErrorMessage="0" allowBlank="0" type="list">
      <formula1>"All emails,Legal docs only,Executives only,Not used"</formula1>
    </dataValidation>
    <dataValidation sqref="B34" showDropDown="0" showInputMessage="0" showErrorMessage="0" allowBlank="0" type="list">
      <formula1>"Public CA,Internal PKI,Both"</formula1>
    </dataValidation>
    <dataValidation sqref="C38" showDropDown="0" showInputMessage="0" showErrorMessage="0" allowBlank="0" type="list">
      <formula1>"✅ Yes,❌ No,N/A"</formula1>
    </dataValidation>
    <dataValidation sqref="C39" showDropDown="0" showInputMessage="0" showErrorMessage="0" allowBlank="0" type="list">
      <formula1>"✅ Yes,❌ No,N/A"</formula1>
    </dataValidation>
    <dataValidation sqref="C40" showDropDown="0" showInputMessage="0" showErrorMessage="0" allowBlank="0" type="list">
      <formula1>"✅ Yes,❌ No,N/A"</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B48" showDropDown="0" showInputMessage="0" showErrorMessage="0" allowBlank="0" type="list">
      <formula1>"✅ Yes,❌ No"</formula1>
    </dataValidation>
    <dataValidation sqref="B50" showDropDown="0" showInputMessage="0" showErrorMessage="0" allowBlank="0" type="list">
      <formula1>"✅ Yes,❌ No"</formula1>
    </dataValidation>
    <dataValidation sqref="B60" showDropDown="0" showInputMessage="0" showErrorMessage="0" allowBlank="0" type="list">
      <formula1>"✅ Yes,❌ No,⚠️ Unknown"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8"/>
  <sheetViews>
    <sheetView showGridLines="0" workbookViewId="0">
      <pane ySplit="6" topLeftCell="A7" activePane="bottomLeft" state="frozen"/>
      <selection pane="bottomLeft" activeCell="A1" sqref="A1"/>
    </sheetView>
  </sheetViews>
  <sheetFormatPr baseColWidth="8" defaultRowHeight="15"/>
  <cols>
    <col width="30" customWidth="1" min="1" max="1"/>
    <col width="18" customWidth="1" min="2" max="2"/>
    <col width="22" customWidth="1" min="3" max="3"/>
    <col width="18" customWidth="1" min="4" max="4"/>
    <col width="15" customWidth="1" min="5" max="5"/>
    <col width="30" customWidth="1" min="6" max="6"/>
    <col width="30" customWidth="1" min="7" max="7"/>
    <col width="16" customWidth="1" min="8" max="8"/>
  </cols>
  <sheetData>
    <row r="1" ht="35" customHeight="1">
      <c r="A1" s="11" t="inlineStr">
        <is>
          <t>3.1 SECURE FILE TRANSFER
Policy Requirement: File transfers containing sensitive data MUST use encrypted protocols (SFTP, FTPS, HTTPS). Unencrypted FTP is PROHIBITED (Policy Section 2.2.3)</t>
        </is>
      </c>
      <c r="B1" s="6" t="n"/>
      <c r="C1" s="6" t="n"/>
      <c r="D1" s="6" t="n"/>
      <c r="E1" s="6" t="n"/>
      <c r="F1" s="6" t="n"/>
      <c r="G1" s="6" t="n"/>
      <c r="H1" s="6" t="n"/>
    </row>
    <row r="2">
      <c r="A2" s="12" t="inlineStr">
        <is>
          <t>ISO/IEC 27001:2022 | Control A.8.24: Use of Cryptography</t>
        </is>
      </c>
    </row>
    <row r="3" ht="30" customHeight="1">
      <c r="A3" s="13" t="inlineStr">
        <is>
          <t>Does your organisation transfer files containing sensitive data to/from external parties or between systems?</t>
        </is>
      </c>
      <c r="B3" s="6" t="n"/>
      <c r="C3" s="6" t="n"/>
      <c r="D3" s="6" t="n"/>
      <c r="E3" s="6" t="n"/>
      <c r="F3" s="6" t="n"/>
      <c r="G3" s="6" t="n"/>
      <c r="H3" s="6" t="n"/>
    </row>
    <row r="4">
      <c r="A4" s="14" t="inlineStr">
        <is>
          <t>Response:</t>
        </is>
      </c>
      <c r="B4" s="15" t="n"/>
    </row>
    <row r="6">
      <c r="A6" s="16" t="inlineStr">
        <is>
          <t>Transfer Method/System</t>
        </is>
      </c>
      <c r="B6" s="16" t="inlineStr">
        <is>
          <t>Protocol Used</t>
        </is>
      </c>
      <c r="C6" s="16" t="inlineStr">
        <is>
          <t>Authentication Method</t>
        </is>
      </c>
      <c r="D6" s="16" t="inlineStr">
        <is>
          <t>Data Classification</t>
        </is>
      </c>
      <c r="E6" s="16" t="inlineStr">
        <is>
          <t>Status</t>
        </is>
      </c>
      <c r="F6" s="16" t="inlineStr">
        <is>
          <t>Evidence Location</t>
        </is>
      </c>
      <c r="G6" s="16" t="inlineStr">
        <is>
          <t>Gap Description</t>
        </is>
      </c>
      <c r="H6" s="16" t="inlineStr">
        <is>
          <t>Remediation Needed</t>
        </is>
      </c>
    </row>
    <row r="7">
      <c r="A7" s="17" t="inlineStr">
        <is>
          <t>SFTP Server (files.example.com)</t>
        </is>
      </c>
      <c r="B7" s="17" t="inlineStr">
        <is>
          <t>SFTP</t>
        </is>
      </c>
      <c r="C7" s="17" t="inlineStr">
        <is>
          <t>SSH key + MFA</t>
        </is>
      </c>
      <c r="D7" s="17" t="inlineStr">
        <is>
          <t>Confidential</t>
        </is>
      </c>
      <c r="E7" s="17" t="inlineStr">
        <is>
          <t>✅ Compliant</t>
        </is>
      </c>
      <c r="F7" s="17" t="inlineStr">
        <is>
          <t>/evidence/a824/3.1-sftp-config-20260218.txt</t>
        </is>
      </c>
      <c r="G7" s="17" t="inlineStr">
        <is>
          <t>None</t>
        </is>
      </c>
      <c r="H7" s="17" t="inlineStr">
        <is>
          <t>❌ No</t>
        </is>
      </c>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2">
      <c r="A32" s="19" t="inlineStr">
        <is>
          <t>Additional Details</t>
        </is>
      </c>
    </row>
    <row r="33">
      <c r="A33" s="14" t="inlineStr">
        <is>
          <t>Approved protocols in use:</t>
        </is>
      </c>
      <c r="B33" s="18" t="n"/>
      <c r="C33" s="6" t="n"/>
      <c r="D33" s="6" t="n"/>
    </row>
    <row r="34">
      <c r="A34" s="14" t="inlineStr">
        <is>
          <t>Prohibited protocols detected:</t>
        </is>
      </c>
      <c r="B34" s="18" t="n"/>
      <c r="C34" s="6" t="n"/>
      <c r="D34" s="6" t="n"/>
    </row>
    <row r="35">
      <c r="A35" s="14" t="inlineStr">
        <is>
          <t>Authentication:</t>
        </is>
      </c>
      <c r="B35" s="18" t="n"/>
      <c r="C35" s="6" t="n"/>
      <c r="D35" s="6" t="n"/>
    </row>
    <row r="37">
      <c r="A37" s="19" t="inlineStr">
        <is>
          <t>COMPLIANCE CHECKLIST</t>
        </is>
      </c>
    </row>
    <row r="38">
      <c r="A38" s="14" t="inlineStr">
        <is>
          <t>☐</t>
        </is>
      </c>
      <c r="B38" s="14" t="inlineStr">
        <is>
          <t>Requirement</t>
        </is>
      </c>
      <c r="C38" s="14" t="inlineStr">
        <is>
          <t>Status</t>
        </is>
      </c>
    </row>
    <row r="39">
      <c r="A39" t="inlineStr">
        <is>
          <t>☐</t>
        </is>
      </c>
      <c r="B39" t="inlineStr">
        <is>
          <t>SFTP, FTPS, or HTTPS used for sensitive file transfers</t>
        </is>
      </c>
      <c r="C39" s="15" t="n"/>
    </row>
    <row r="40">
      <c r="A40" t="inlineStr">
        <is>
          <t>☐</t>
        </is>
      </c>
      <c r="B40" t="inlineStr">
        <is>
          <t>Plain FTP NOT used for sensitive data</t>
        </is>
      </c>
      <c r="C40" s="15" t="n"/>
    </row>
    <row r="41">
      <c r="A41" t="inlineStr">
        <is>
          <t>☐</t>
        </is>
      </c>
      <c r="B41" t="inlineStr">
        <is>
          <t>Strong authentication configured (key-based preferred)</t>
        </is>
      </c>
      <c r="C41" s="15" t="n"/>
    </row>
    <row r="42">
      <c r="A42" t="inlineStr">
        <is>
          <t>☐</t>
        </is>
      </c>
      <c r="B42" t="inlineStr">
        <is>
          <t>MFA required for external file transfer</t>
        </is>
      </c>
      <c r="C42" s="15" t="n"/>
    </row>
    <row r="43">
      <c r="A43" t="inlineStr">
        <is>
          <t>☐</t>
        </is>
      </c>
      <c r="B43" t="inlineStr">
        <is>
          <t>File transfer logging enabled</t>
        </is>
      </c>
      <c r="C43" s="15" t="n"/>
    </row>
    <row r="44">
      <c r="A44" t="inlineStr">
        <is>
          <t>☐</t>
        </is>
      </c>
      <c r="B44" t="inlineStr">
        <is>
          <t>SSH keys rotated annually (if SFTP used)</t>
        </is>
      </c>
      <c r="C44" s="15" t="n"/>
    </row>
    <row r="45">
      <c r="A45" s="14" t="inlineStr">
        <is>
          <t>Checklist Score:</t>
        </is>
      </c>
      <c r="B45" s="20">
        <f>IFERROR(ROUND(COUNTIF(C39:C44,"✅ Yes")/COUNTA(C39:C44)*100,0)&amp;"%","0%")</f>
        <v/>
      </c>
    </row>
    <row r="47">
      <c r="A47" s="21" t="inlineStr">
        <is>
          <t>EXCEPTION / DEVIATION DOCUMENTATION (Complete if Status = Partial or Non-Compliant)</t>
        </is>
      </c>
      <c r="B47" s="6" t="n"/>
      <c r="C47" s="6" t="n"/>
      <c r="D47" s="6" t="n"/>
      <c r="E47" s="6" t="n"/>
      <c r="F47" s="6" t="n"/>
      <c r="G47" s="6" t="n"/>
      <c r="H47" s="6" t="n"/>
    </row>
    <row r="48">
      <c r="A48" s="14" t="inlineStr">
        <is>
          <t>Formal exception request submitted:</t>
        </is>
      </c>
      <c r="B48" s="18" t="n"/>
      <c r="C48" s="6" t="n"/>
      <c r="D48" s="6" t="n"/>
    </row>
    <row r="49">
      <c r="A49" s="14" t="inlineStr">
        <is>
          <t>Exception ID:</t>
        </is>
      </c>
      <c r="B49" s="18" t="n"/>
      <c r="C49" s="6" t="n"/>
      <c r="D49" s="6" t="n"/>
    </row>
    <row r="50">
      <c r="A50" s="14" t="inlineStr">
        <is>
          <t>Risk acceptance documented:</t>
        </is>
      </c>
      <c r="B50" s="18" t="n"/>
      <c r="C50" s="6" t="n"/>
      <c r="D50" s="6" t="n"/>
    </row>
    <row r="51">
      <c r="A51" s="14" t="inlineStr">
        <is>
          <t>Risk ID:</t>
        </is>
      </c>
      <c r="B51" s="18" t="n"/>
      <c r="C51" s="6" t="n"/>
      <c r="D51" s="6" t="n"/>
    </row>
    <row r="52">
      <c r="A52" s="14" t="inlineStr">
        <is>
          <t>Compensating Controls (summary):</t>
        </is>
      </c>
      <c r="B52" s="18" t="n"/>
      <c r="C52" s="6" t="n"/>
      <c r="D52" s="6" t="n"/>
    </row>
    <row r="53">
      <c r="A53" s="14" t="inlineStr">
        <is>
          <t>☐ Network segmentation / firewall restrictions</t>
        </is>
      </c>
      <c r="B53" s="18" t="n"/>
      <c r="C53" s="6" t="n"/>
      <c r="D53" s="6" t="n"/>
    </row>
    <row r="54">
      <c r="A54" s="14" t="inlineStr">
        <is>
          <t>☐ Enhanced monitoring / alerting</t>
        </is>
      </c>
      <c r="B54" s="18" t="n"/>
      <c r="C54" s="6" t="n"/>
      <c r="D54" s="6" t="n"/>
    </row>
    <row r="55">
      <c r="A55" s="14" t="inlineStr">
        <is>
          <t>☐ IP allowlisting / access restrictions</t>
        </is>
      </c>
      <c r="B55" s="18" t="n"/>
      <c r="C55" s="6" t="n"/>
      <c r="D55" s="6" t="n"/>
    </row>
    <row r="56">
      <c r="A56" s="14" t="inlineStr">
        <is>
          <t>☐ Other (describe):</t>
        </is>
      </c>
      <c r="B56" s="18" t="n"/>
      <c r="C56" s="6" t="n"/>
      <c r="D56" s="6" t="n"/>
    </row>
    <row r="57">
      <c r="A57" s="14" t="inlineStr">
        <is>
          <t>Remediation actions required:</t>
        </is>
      </c>
      <c r="B57" s="18" t="n"/>
      <c r="C57" s="6" t="n"/>
      <c r="D57" s="6" t="n"/>
    </row>
    <row r="58">
      <c r="A58" s="14" t="inlineStr">
        <is>
          <t>Responsible person:</t>
        </is>
      </c>
      <c r="B58" s="18" t="n"/>
      <c r="C58" s="6" t="n"/>
      <c r="D58" s="6" t="n"/>
    </row>
    <row r="59">
      <c r="A59" s="14" t="inlineStr">
        <is>
          <t>Target completion date:</t>
        </is>
      </c>
      <c r="B59" s="18" t="n"/>
      <c r="C59" s="6" t="n"/>
      <c r="D59" s="6" t="n"/>
    </row>
    <row r="60">
      <c r="A60" s="14" t="inlineStr">
        <is>
          <t>Budget required:</t>
        </is>
      </c>
      <c r="B60" s="18" t="n"/>
      <c r="C60" s="6" t="n"/>
      <c r="D60" s="6" t="n"/>
    </row>
    <row r="62">
      <c r="A62" s="22" t="inlineStr">
        <is>
          <t>ADDITIONAL NOTES / COMMENTS</t>
        </is>
      </c>
      <c r="B62" s="6" t="n"/>
      <c r="C62" s="6" t="n"/>
      <c r="D62" s="6" t="n"/>
      <c r="E62" s="6" t="n"/>
      <c r="F62" s="6" t="n"/>
      <c r="G62" s="6" t="n"/>
      <c r="H62" s="6" t="n"/>
    </row>
    <row r="63">
      <c r="A63" s="23" t="n"/>
      <c r="B63" s="6" t="n"/>
      <c r="C63" s="6" t="n"/>
      <c r="D63" s="6" t="n"/>
      <c r="E63" s="6" t="n"/>
      <c r="F63" s="6" t="n"/>
      <c r="G63" s="6" t="n"/>
      <c r="H63" s="6" t="n"/>
    </row>
    <row r="64">
      <c r="A64" s="6" t="n"/>
      <c r="B64" s="6" t="n"/>
      <c r="C64" s="6" t="n"/>
      <c r="D64" s="6" t="n"/>
      <c r="E64" s="6" t="n"/>
      <c r="F64" s="6" t="n"/>
      <c r="G64" s="6" t="n"/>
      <c r="H64" s="6" t="n"/>
    </row>
    <row r="65">
      <c r="A65" s="6" t="n"/>
      <c r="B65" s="6" t="n"/>
      <c r="C65" s="6" t="n"/>
      <c r="D65" s="6" t="n"/>
      <c r="E65" s="6" t="n"/>
      <c r="F65" s="6" t="n"/>
      <c r="G65" s="6" t="n"/>
      <c r="H65" s="6" t="n"/>
    </row>
    <row r="66">
      <c r="A66" s="6" t="n"/>
      <c r="B66" s="6" t="n"/>
      <c r="C66" s="6" t="n"/>
      <c r="D66" s="6" t="n"/>
      <c r="E66" s="6" t="n"/>
      <c r="F66" s="6" t="n"/>
      <c r="G66" s="6" t="n"/>
      <c r="H66" s="6" t="n"/>
    </row>
    <row r="67">
      <c r="A67" s="6" t="n"/>
      <c r="B67" s="6" t="n"/>
      <c r="C67" s="6" t="n"/>
      <c r="D67" s="6" t="n"/>
      <c r="E67" s="6" t="n"/>
      <c r="F67" s="6" t="n"/>
      <c r="G67" s="6" t="n"/>
      <c r="H67" s="6" t="n"/>
    </row>
    <row r="68">
      <c r="A68" s="6" t="n"/>
      <c r="B68" s="6" t="n"/>
      <c r="C68" s="6" t="n"/>
      <c r="D68" s="6" t="n"/>
      <c r="E68" s="6" t="n"/>
      <c r="F68" s="6" t="n"/>
      <c r="G68" s="6" t="n"/>
      <c r="H68" s="6" t="n"/>
    </row>
  </sheetData>
  <mergeCells count="21">
    <mergeCell ref="B60:D60"/>
    <mergeCell ref="B57:D57"/>
    <mergeCell ref="B53:D53"/>
    <mergeCell ref="A1:H1"/>
    <mergeCell ref="B34:D34"/>
    <mergeCell ref="B49:D49"/>
    <mergeCell ref="B55:D55"/>
    <mergeCell ref="B51:D51"/>
    <mergeCell ref="B33:D33"/>
    <mergeCell ref="A3:H3"/>
    <mergeCell ref="A63:H68"/>
    <mergeCell ref="B35:D35"/>
    <mergeCell ref="B50:D50"/>
    <mergeCell ref="A47:H47"/>
    <mergeCell ref="B54:D54"/>
    <mergeCell ref="A62:H62"/>
    <mergeCell ref="B59:D59"/>
    <mergeCell ref="B56:D56"/>
    <mergeCell ref="B58:D58"/>
    <mergeCell ref="B52:D52"/>
    <mergeCell ref="B48:D48"/>
  </mergeCells>
  <dataValidations count="15">
    <dataValidation sqref="B4" showDropDown="0" showInputMessage="0" showErrorMessage="0" allowBlank="0" type="list">
      <formula1>"✅ Yes,❌ No,⚠️ 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 Yes,❌ No"</formula1>
    </dataValidation>
    <dataValidation sqref="B33" showDropDown="0" showInputMessage="0" showErrorMessage="0" allowBlank="0" type="list">
      <formula1>"SFTP,FTPS,HTTPS,SCP,Other"</formula1>
    </dataValidation>
    <dataValidation sqref="B34" showDropDown="0" showInputMessage="0" showErrorMessage="0" allowBlank="0" type="list">
      <formula1>"FTP,TFTP,None"</formula1>
    </dataValidation>
    <dataValidation sqref="B35" showDropDown="0" showInputMessage="0" showErrorMessage="0" allowBlank="0" type="list">
      <formula1>"Password,Key-based,MFA,Certificate"</formula1>
    </dataValidation>
    <dataValidation sqref="C39" showDropDown="0" showInputMessage="0" showErrorMessage="0" allowBlank="0" type="list">
      <formula1>"✅ Yes,❌ No,N/A"</formula1>
    </dataValidation>
    <dataValidation sqref="C40" showDropDown="0" showInputMessage="0" showErrorMessage="0" allowBlank="0" type="list">
      <formula1>"✅ Yes,❌ No,N/A"</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B48" showDropDown="0" showInputMessage="0" showErrorMessage="0" allowBlank="0" type="list">
      <formula1>"✅ Yes,❌ No"</formula1>
    </dataValidation>
    <dataValidation sqref="B50" showDropDown="0" showInputMessage="0" showErrorMessage="0" allowBlank="0" type="list">
      <formula1>"✅ Yes,❌ No"</formula1>
    </dataValidation>
    <dataValidation sqref="B60" showDropDown="0" showInputMessage="0" showErrorMessage="0" allowBlank="0" type="list">
      <formula1>"✅ Yes,❌ No,⚠️ Unknown"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2"/>
  <sheetViews>
    <sheetView showGridLines="0" workbookViewId="0">
      <pane ySplit="6" topLeftCell="A7" activePane="bottomLeft" state="frozen"/>
      <selection pane="bottomLeft" activeCell="A1" sqref="A1"/>
    </sheetView>
  </sheetViews>
  <sheetFormatPr baseColWidth="8" defaultRowHeight="15"/>
  <cols>
    <col width="25" customWidth="1" min="1" max="1"/>
    <col width="18" customWidth="1" min="2" max="2"/>
    <col width="20" customWidth="1" min="3" max="3"/>
    <col width="14" customWidth="1" min="4" max="4"/>
    <col width="15" customWidth="1" min="5" max="5"/>
    <col width="30" customWidth="1" min="6" max="6"/>
    <col width="30" customWidth="1" min="7" max="7"/>
    <col width="16" customWidth="1" min="8" max="8"/>
  </cols>
  <sheetData>
    <row r="1" ht="35" customHeight="1">
      <c r="A1" s="11" t="inlineStr">
        <is>
          <t>4.1 VPN (VIRTUAL PRIVATE NETWORK)
Policy Requirement: All remote access to organisational networks MUST use encrypted VPN with approved protocols (IPsec, WireGuard, OpenVPN). MFA REQUIRED (Policy Section 2.2.4)</t>
        </is>
      </c>
      <c r="B1" s="6" t="n"/>
      <c r="C1" s="6" t="n"/>
      <c r="D1" s="6" t="n"/>
      <c r="E1" s="6" t="n"/>
      <c r="F1" s="6" t="n"/>
      <c r="G1" s="6" t="n"/>
      <c r="H1" s="6" t="n"/>
    </row>
    <row r="2">
      <c r="A2" s="12" t="inlineStr">
        <is>
          <t>ISO/IEC 27001:2022 | Control A.8.24: Use of Cryptography</t>
        </is>
      </c>
    </row>
    <row r="3" ht="30" customHeight="1">
      <c r="A3" s="13" t="inlineStr">
        <is>
          <t>Does your organisation provide remote access via VPN?</t>
        </is>
      </c>
      <c r="B3" s="6" t="n"/>
      <c r="C3" s="6" t="n"/>
      <c r="D3" s="6" t="n"/>
      <c r="E3" s="6" t="n"/>
      <c r="F3" s="6" t="n"/>
      <c r="G3" s="6" t="n"/>
      <c r="H3" s="6" t="n"/>
    </row>
    <row r="4">
      <c r="A4" s="14" t="inlineStr">
        <is>
          <t>Response:</t>
        </is>
      </c>
      <c r="B4" s="15" t="n"/>
    </row>
    <row r="6">
      <c r="A6" s="16" t="inlineStr">
        <is>
          <t>VPN Solution</t>
        </is>
      </c>
      <c r="B6" s="16" t="inlineStr">
        <is>
          <t>Protocol</t>
        </is>
      </c>
      <c r="C6" s="16" t="inlineStr">
        <is>
          <t>Encryption Algorithm</t>
        </is>
      </c>
      <c r="D6" s="16" t="inlineStr">
        <is>
          <t>MFA Enabled</t>
        </is>
      </c>
      <c r="E6" s="16" t="inlineStr">
        <is>
          <t>Status</t>
        </is>
      </c>
      <c r="F6" s="16" t="inlineStr">
        <is>
          <t>Evidence Location</t>
        </is>
      </c>
      <c r="G6" s="16" t="inlineStr">
        <is>
          <t>Gap Description</t>
        </is>
      </c>
      <c r="H6" s="16" t="inlineStr">
        <is>
          <t>Remediation Needed</t>
        </is>
      </c>
    </row>
    <row r="7">
      <c r="A7" s="17" t="inlineStr">
        <is>
          <t>Cisco AnyConnect</t>
        </is>
      </c>
      <c r="B7" s="17" t="inlineStr">
        <is>
          <t>IKEv2/IPSec</t>
        </is>
      </c>
      <c r="C7" s="17" t="inlineStr">
        <is>
          <t>AES-256</t>
        </is>
      </c>
      <c r="D7" s="17" t="inlineStr">
        <is>
          <t>✅ Yes</t>
        </is>
      </c>
      <c r="E7" s="17" t="inlineStr">
        <is>
          <t>✅ Compliant</t>
        </is>
      </c>
      <c r="F7" s="17" t="inlineStr">
        <is>
          <t>/evidence/a824/4.1-vpn-config-20260218.pdf</t>
        </is>
      </c>
      <c r="G7" s="17" t="inlineStr">
        <is>
          <t>None</t>
        </is>
      </c>
      <c r="H7" s="17" t="inlineStr">
        <is>
          <t>❌ No</t>
        </is>
      </c>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2">
      <c r="A32" s="19" t="inlineStr">
        <is>
          <t>Additional Details</t>
        </is>
      </c>
    </row>
    <row r="33">
      <c r="A33" s="14" t="inlineStr">
        <is>
          <t>VPN protocol in use:</t>
        </is>
      </c>
      <c r="B33" s="18" t="n"/>
      <c r="C33" s="6" t="n"/>
      <c r="D33" s="6" t="n"/>
    </row>
    <row r="34">
      <c r="A34" s="14" t="inlineStr">
        <is>
          <t>Encryption algorithm:</t>
        </is>
      </c>
      <c r="B34" s="18" t="n"/>
      <c r="C34" s="6" t="n"/>
      <c r="D34" s="6" t="n"/>
    </row>
    <row r="35">
      <c r="A35" s="14" t="inlineStr">
        <is>
          <t>Number of VPN users:</t>
        </is>
      </c>
      <c r="B35" s="18" t="n"/>
      <c r="C35" s="6" t="n"/>
      <c r="D35" s="6" t="n"/>
    </row>
    <row r="36">
      <c r="A36" s="14" t="inlineStr">
        <is>
          <t>MFA solution:</t>
        </is>
      </c>
      <c r="B36" s="18" t="n"/>
      <c r="C36" s="6" t="n"/>
      <c r="D36" s="6" t="n"/>
    </row>
    <row r="37">
      <c r="A37" s="14" t="inlineStr">
        <is>
          <t>Split-tunneling:</t>
        </is>
      </c>
      <c r="B37" s="18" t="n"/>
      <c r="C37" s="6" t="n"/>
      <c r="D37" s="6" t="n"/>
    </row>
    <row r="39">
      <c r="A39" s="19" t="inlineStr">
        <is>
          <t>COMPLIANCE CHECKLIST</t>
        </is>
      </c>
    </row>
    <row r="40">
      <c r="A40" s="14" t="inlineStr">
        <is>
          <t>☐</t>
        </is>
      </c>
      <c r="B40" s="14" t="inlineStr">
        <is>
          <t>Requirement</t>
        </is>
      </c>
      <c r="C40" s="14" t="inlineStr">
        <is>
          <t>Status</t>
        </is>
      </c>
    </row>
    <row r="41">
      <c r="A41" t="inlineStr">
        <is>
          <t>☐</t>
        </is>
      </c>
      <c r="B41" t="inlineStr">
        <is>
          <t>Approved VPN protocol (IPsec/IKEv2, WireGuard, OpenVPN with TLS 1.2+)</t>
        </is>
      </c>
      <c r="C41" s="15" t="n"/>
    </row>
    <row r="42">
      <c r="A42" t="inlineStr">
        <is>
          <t>☐</t>
        </is>
      </c>
      <c r="B42" t="inlineStr">
        <is>
          <t>AES-256 or ChaCha20 encryption</t>
        </is>
      </c>
      <c r="C42" s="15" t="n"/>
    </row>
    <row r="43">
      <c r="A43" t="inlineStr">
        <is>
          <t>☐</t>
        </is>
      </c>
      <c r="B43" t="inlineStr">
        <is>
          <t>Perfect Forward Secrecy (PFS) enabled</t>
        </is>
      </c>
      <c r="C43" s="15" t="n"/>
    </row>
    <row r="44">
      <c r="A44" t="inlineStr">
        <is>
          <t>☐</t>
        </is>
      </c>
      <c r="B44" t="inlineStr">
        <is>
          <t>MFA required for all VPN connections</t>
        </is>
      </c>
      <c r="C44" s="15" t="n"/>
    </row>
    <row r="45">
      <c r="A45" t="inlineStr">
        <is>
          <t>☐</t>
        </is>
      </c>
      <c r="B45" t="inlineStr">
        <is>
          <t>Certificate-based authentication (preferred) OR strong pre-shared key</t>
        </is>
      </c>
      <c r="C45" s="15" t="n"/>
    </row>
    <row r="46">
      <c r="A46" t="inlineStr">
        <is>
          <t>☐</t>
        </is>
      </c>
      <c r="B46" t="inlineStr">
        <is>
          <t>VPN session timeout configured (≤30 minutes idle)</t>
        </is>
      </c>
      <c r="C46" s="15" t="n"/>
    </row>
    <row r="47">
      <c r="A47" t="inlineStr">
        <is>
          <t>☐</t>
        </is>
      </c>
      <c r="B47" t="inlineStr">
        <is>
          <t>Split-tunneling disabled (or documented exception)</t>
        </is>
      </c>
      <c r="C47" s="15" t="n"/>
    </row>
    <row r="48">
      <c r="A48" t="inlineStr">
        <is>
          <t>☐</t>
        </is>
      </c>
      <c r="B48" t="inlineStr">
        <is>
          <t>VPN access logs retained and reviewed</t>
        </is>
      </c>
      <c r="C48" s="15" t="n"/>
    </row>
    <row r="49">
      <c r="A49" s="14" t="inlineStr">
        <is>
          <t>Checklist Score:</t>
        </is>
      </c>
      <c r="B49" s="20">
        <f>IFERROR(ROUND(COUNTIF(C41:C48,"✅ Yes")/COUNTA(C41:C48)*100,0)&amp;"%","0%")</f>
        <v/>
      </c>
    </row>
    <row r="51">
      <c r="A51" s="21" t="inlineStr">
        <is>
          <t>EXCEPTION / DEVIATION DOCUMENTATION (Complete if Status = Partial or Non-Compliant)</t>
        </is>
      </c>
      <c r="B51" s="6" t="n"/>
      <c r="C51" s="6" t="n"/>
      <c r="D51" s="6" t="n"/>
      <c r="E51" s="6" t="n"/>
      <c r="F51" s="6" t="n"/>
      <c r="G51" s="6" t="n"/>
      <c r="H51" s="6" t="n"/>
    </row>
    <row r="52">
      <c r="A52" s="14" t="inlineStr">
        <is>
          <t>Formal exception request submitted:</t>
        </is>
      </c>
      <c r="B52" s="18" t="n"/>
      <c r="C52" s="6" t="n"/>
      <c r="D52" s="6" t="n"/>
    </row>
    <row r="53">
      <c r="A53" s="14" t="inlineStr">
        <is>
          <t>Exception ID:</t>
        </is>
      </c>
      <c r="B53" s="18" t="n"/>
      <c r="C53" s="6" t="n"/>
      <c r="D53" s="6" t="n"/>
    </row>
    <row r="54">
      <c r="A54" s="14" t="inlineStr">
        <is>
          <t>Risk acceptance documented:</t>
        </is>
      </c>
      <c r="B54" s="18" t="n"/>
      <c r="C54" s="6" t="n"/>
      <c r="D54" s="6" t="n"/>
    </row>
    <row r="55">
      <c r="A55" s="14" t="inlineStr">
        <is>
          <t>Risk ID:</t>
        </is>
      </c>
      <c r="B55" s="18" t="n"/>
      <c r="C55" s="6" t="n"/>
      <c r="D55" s="6" t="n"/>
    </row>
    <row r="56">
      <c r="A56" s="14" t="inlineStr">
        <is>
          <t>Compensating Controls (summary):</t>
        </is>
      </c>
      <c r="B56" s="18" t="n"/>
      <c r="C56" s="6" t="n"/>
      <c r="D56" s="6" t="n"/>
    </row>
    <row r="57">
      <c r="A57" s="14" t="inlineStr">
        <is>
          <t>☐ Network segmentation / firewall restrictions</t>
        </is>
      </c>
      <c r="B57" s="18" t="n"/>
      <c r="C57" s="6" t="n"/>
      <c r="D57" s="6" t="n"/>
    </row>
    <row r="58">
      <c r="A58" s="14" t="inlineStr">
        <is>
          <t>☐ Enhanced monitoring / alerting</t>
        </is>
      </c>
      <c r="B58" s="18" t="n"/>
      <c r="C58" s="6" t="n"/>
      <c r="D58" s="6" t="n"/>
    </row>
    <row r="59">
      <c r="A59" s="14" t="inlineStr">
        <is>
          <t>☐ IP allowlisting / access restrictions</t>
        </is>
      </c>
      <c r="B59" s="18" t="n"/>
      <c r="C59" s="6" t="n"/>
      <c r="D59" s="6" t="n"/>
    </row>
    <row r="60">
      <c r="A60" s="14" t="inlineStr">
        <is>
          <t>☐ Other (describe):</t>
        </is>
      </c>
      <c r="B60" s="18" t="n"/>
      <c r="C60" s="6" t="n"/>
      <c r="D60" s="6" t="n"/>
    </row>
    <row r="61">
      <c r="A61" s="14" t="inlineStr">
        <is>
          <t>Remediation actions required:</t>
        </is>
      </c>
      <c r="B61" s="18" t="n"/>
      <c r="C61" s="6" t="n"/>
      <c r="D61" s="6" t="n"/>
    </row>
    <row r="62">
      <c r="A62" s="14" t="inlineStr">
        <is>
          <t>Responsible person:</t>
        </is>
      </c>
      <c r="B62" s="18" t="n"/>
      <c r="C62" s="6" t="n"/>
      <c r="D62" s="6" t="n"/>
    </row>
    <row r="63">
      <c r="A63" s="14" t="inlineStr">
        <is>
          <t>Target completion date:</t>
        </is>
      </c>
      <c r="B63" s="18" t="n"/>
      <c r="C63" s="6" t="n"/>
      <c r="D63" s="6" t="n"/>
    </row>
    <row r="64">
      <c r="A64" s="14" t="inlineStr">
        <is>
          <t>Budget required:</t>
        </is>
      </c>
      <c r="B64" s="18" t="n"/>
      <c r="C64" s="6" t="n"/>
      <c r="D64" s="6" t="n"/>
    </row>
    <row r="66">
      <c r="A66" s="22" t="inlineStr">
        <is>
          <t>ADDITIONAL NOTES / COMMENTS</t>
        </is>
      </c>
      <c r="B66" s="6" t="n"/>
      <c r="C66" s="6" t="n"/>
      <c r="D66" s="6" t="n"/>
      <c r="E66" s="6" t="n"/>
      <c r="F66" s="6" t="n"/>
      <c r="G66" s="6" t="n"/>
      <c r="H66" s="6" t="n"/>
    </row>
    <row r="67">
      <c r="A67" s="23" t="n"/>
      <c r="B67" s="6" t="n"/>
      <c r="C67" s="6" t="n"/>
      <c r="D67" s="6" t="n"/>
      <c r="E67" s="6" t="n"/>
      <c r="F67" s="6" t="n"/>
      <c r="G67" s="6" t="n"/>
      <c r="H67" s="6" t="n"/>
    </row>
    <row r="68">
      <c r="A68" s="6" t="n"/>
      <c r="B68" s="6" t="n"/>
      <c r="C68" s="6" t="n"/>
      <c r="D68" s="6" t="n"/>
      <c r="E68" s="6" t="n"/>
      <c r="F68" s="6" t="n"/>
      <c r="G68" s="6" t="n"/>
      <c r="H68" s="6" t="n"/>
    </row>
    <row r="69">
      <c r="A69" s="6" t="n"/>
      <c r="B69" s="6" t="n"/>
      <c r="C69" s="6" t="n"/>
      <c r="D69" s="6" t="n"/>
      <c r="E69" s="6" t="n"/>
      <c r="F69" s="6" t="n"/>
      <c r="G69" s="6" t="n"/>
      <c r="H69" s="6" t="n"/>
    </row>
    <row r="70">
      <c r="A70" s="6" t="n"/>
      <c r="B70" s="6" t="n"/>
      <c r="C70" s="6" t="n"/>
      <c r="D70" s="6" t="n"/>
      <c r="E70" s="6" t="n"/>
      <c r="F70" s="6" t="n"/>
      <c r="G70" s="6" t="n"/>
      <c r="H70" s="6" t="n"/>
    </row>
    <row r="71">
      <c r="A71" s="6" t="n"/>
      <c r="B71" s="6" t="n"/>
      <c r="C71" s="6" t="n"/>
      <c r="D71" s="6" t="n"/>
      <c r="E71" s="6" t="n"/>
      <c r="F71" s="6" t="n"/>
      <c r="G71" s="6" t="n"/>
      <c r="H71" s="6" t="n"/>
    </row>
    <row r="72">
      <c r="A72" s="6" t="n"/>
      <c r="B72" s="6" t="n"/>
      <c r="C72" s="6" t="n"/>
      <c r="D72" s="6" t="n"/>
      <c r="E72" s="6" t="n"/>
      <c r="F72" s="6" t="n"/>
      <c r="G72" s="6" t="n"/>
      <c r="H72" s="6" t="n"/>
    </row>
  </sheetData>
  <mergeCells count="23">
    <mergeCell ref="B60:D60"/>
    <mergeCell ref="B61:D61"/>
    <mergeCell ref="B57:D57"/>
    <mergeCell ref="A51:H51"/>
    <mergeCell ref="B53:D53"/>
    <mergeCell ref="A1:H1"/>
    <mergeCell ref="B34:D34"/>
    <mergeCell ref="B37:D37"/>
    <mergeCell ref="A66:H66"/>
    <mergeCell ref="B55:D55"/>
    <mergeCell ref="B64:D64"/>
    <mergeCell ref="B33:D33"/>
    <mergeCell ref="A3:H3"/>
    <mergeCell ref="B36:D36"/>
    <mergeCell ref="B63:D63"/>
    <mergeCell ref="B35:D35"/>
    <mergeCell ref="B62:D62"/>
    <mergeCell ref="B54:D54"/>
    <mergeCell ref="B59:D59"/>
    <mergeCell ref="B56:D56"/>
    <mergeCell ref="B58:D58"/>
    <mergeCell ref="A67:H72"/>
    <mergeCell ref="B52:D52"/>
  </mergeCells>
  <dataValidations count="17">
    <dataValidation sqref="B4" showDropDown="0" showInputMessage="0" showErrorMessage="0" allowBlank="0" type="list">
      <formula1>"✅ Yes,❌ No,⚠️ 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 Yes,❌ No"</formula1>
    </dataValidation>
    <dataValidation sqref="B33" showDropDown="0" showInputMessage="0" showErrorMessage="0" allowBlank="0" type="list">
      <formula1>"IPsec/IKEv2,WireGuard,OpenVPN,Other"</formula1>
    </dataValidation>
    <dataValidation sqref="B36" showDropDown="0" showInputMessage="0" showErrorMessage="0" allowBlank="0" type="list">
      <formula1>"TOTP,Push notification,SMS,Hardware token,None"</formula1>
    </dataValidation>
    <dataValidation sqref="B37" showDropDown="0" showInputMessage="0" showErrorMessage="0" allowBlank="0" type="list">
      <formula1>"Disabled,Enabled (with justification)"</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C45" showDropDown="0" showInputMessage="0" showErrorMessage="0" allowBlank="0" type="list">
      <formula1>"✅ Yes,❌ No,N/A"</formula1>
    </dataValidation>
    <dataValidation sqref="C46" showDropDown="0" showInputMessage="0" showErrorMessage="0" allowBlank="0" type="list">
      <formula1>"✅ Yes,❌ No,N/A"</formula1>
    </dataValidation>
    <dataValidation sqref="C47" showDropDown="0" showInputMessage="0" showErrorMessage="0" allowBlank="0" type="list">
      <formula1>"✅ Yes,❌ No,N/A"</formula1>
    </dataValidation>
    <dataValidation sqref="C48" showDropDown="0" showInputMessage="0" showErrorMessage="0" allowBlank="0" type="list">
      <formula1>"✅ Yes,❌ No,N/A"</formula1>
    </dataValidation>
    <dataValidation sqref="B52" showDropDown="0" showInputMessage="0" showErrorMessage="0" allowBlank="0" type="list">
      <formula1>"✅ Yes,❌ No"</formula1>
    </dataValidation>
    <dataValidation sqref="B54" showDropDown="0" showInputMessage="0" showErrorMessage="0" allowBlank="0" type="list">
      <formula1>"✅ Yes,❌ No"</formula1>
    </dataValidation>
    <dataValidation sqref="B64" showDropDown="0" showInputMessage="0" showErrorMessage="0" allowBlank="0" type="list">
      <formula1>"✅ Yes,❌ No,⚠️ Unknown"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2"/>
  <sheetViews>
    <sheetView showGridLines="0" workbookViewId="0">
      <pane ySplit="6" topLeftCell="A7" activePane="bottomLeft" state="frozen"/>
      <selection pane="bottomLeft" activeCell="A1" sqref="A1"/>
    </sheetView>
  </sheetViews>
  <sheetFormatPr baseColWidth="8" defaultRowHeight="15"/>
  <cols>
    <col width="30" customWidth="1" min="1" max="1"/>
    <col width="14" customWidth="1" min="2" max="2"/>
    <col width="22" customWidth="1" min="3" max="3"/>
    <col width="18" customWidth="1" min="4" max="4"/>
    <col width="15" customWidth="1" min="5" max="5"/>
    <col width="30" customWidth="1" min="6" max="6"/>
    <col width="30" customWidth="1" min="7" max="7"/>
    <col width="16" customWidth="1" min="8" max="8"/>
  </cols>
  <sheetData>
    <row r="1" ht="35" customHeight="1">
      <c r="A1" s="11" t="inlineStr">
        <is>
          <t>4.2 SSH (SECURE SHELL)
Policy Requirement: SSH REQUIRED for all administrative and remote terminal access. SSH protocol version 2 REQUIRED, password authentication SHOULD be disabled (Policy Section 2.2.4)</t>
        </is>
      </c>
      <c r="B1" s="6" t="n"/>
      <c r="C1" s="6" t="n"/>
      <c r="D1" s="6" t="n"/>
      <c r="E1" s="6" t="n"/>
      <c r="F1" s="6" t="n"/>
      <c r="G1" s="6" t="n"/>
      <c r="H1" s="6" t="n"/>
    </row>
    <row r="2">
      <c r="A2" s="12" t="inlineStr">
        <is>
          <t>ISO/IEC 27001:2022 | Control A.8.24: Use of Cryptography</t>
        </is>
      </c>
    </row>
    <row r="3" ht="30" customHeight="1">
      <c r="A3" s="13" t="inlineStr">
        <is>
          <t>Does your organisation use SSH for remote system administration?</t>
        </is>
      </c>
      <c r="B3" s="6" t="n"/>
      <c r="C3" s="6" t="n"/>
      <c r="D3" s="6" t="n"/>
      <c r="E3" s="6" t="n"/>
      <c r="F3" s="6" t="n"/>
      <c r="G3" s="6" t="n"/>
      <c r="H3" s="6" t="n"/>
    </row>
    <row r="4">
      <c r="A4" s="14" t="inlineStr">
        <is>
          <t>Response:</t>
        </is>
      </c>
      <c r="B4" s="15" t="n"/>
    </row>
    <row r="6">
      <c r="A6" s="16" t="inlineStr">
        <is>
          <t>System/Service</t>
        </is>
      </c>
      <c r="B6" s="16" t="inlineStr">
        <is>
          <t>SSH Version</t>
        </is>
      </c>
      <c r="C6" s="16" t="inlineStr">
        <is>
          <t>Authentication Method</t>
        </is>
      </c>
      <c r="D6" s="16" t="inlineStr">
        <is>
          <t>Key Algorithm</t>
        </is>
      </c>
      <c r="E6" s="16" t="inlineStr">
        <is>
          <t>Status</t>
        </is>
      </c>
      <c r="F6" s="16" t="inlineStr">
        <is>
          <t>Evidence Location</t>
        </is>
      </c>
      <c r="G6" s="16" t="inlineStr">
        <is>
          <t>Gap Description</t>
        </is>
      </c>
      <c r="H6" s="16" t="inlineStr">
        <is>
          <t>Remediation Needed</t>
        </is>
      </c>
    </row>
    <row r="7">
      <c r="A7" s="17" t="inlineStr">
        <is>
          <t>Linux production servers</t>
        </is>
      </c>
      <c r="B7" s="17" t="inlineStr">
        <is>
          <t>SSH 2.0</t>
        </is>
      </c>
      <c r="C7" s="17" t="inlineStr">
        <is>
          <t>Public key (RSA)</t>
        </is>
      </c>
      <c r="D7" s="17" t="inlineStr">
        <is>
          <t>RSA-4096</t>
        </is>
      </c>
      <c r="E7" s="17" t="inlineStr">
        <is>
          <t>✅ Compliant</t>
        </is>
      </c>
      <c r="F7" s="17" t="inlineStr">
        <is>
          <t>/evidence/a824/4.2-ssh-key-audit-20260218.txt</t>
        </is>
      </c>
      <c r="G7" s="17" t="inlineStr">
        <is>
          <t>None</t>
        </is>
      </c>
      <c r="H7" s="17" t="inlineStr">
        <is>
          <t>❌ No</t>
        </is>
      </c>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2">
      <c r="A32" s="19" t="inlineStr">
        <is>
          <t>Additional Details</t>
        </is>
      </c>
    </row>
    <row r="33">
      <c r="A33" s="14" t="inlineStr">
        <is>
          <t>SSH protocol version:</t>
        </is>
      </c>
      <c r="B33" s="18" t="n"/>
      <c r="C33" s="6" t="n"/>
      <c r="D33" s="6" t="n"/>
    </row>
    <row r="34">
      <c r="A34" s="14" t="inlineStr">
        <is>
          <t>Authentication method:</t>
        </is>
      </c>
      <c r="B34" s="18" t="n"/>
      <c r="C34" s="6" t="n"/>
      <c r="D34" s="6" t="n"/>
    </row>
    <row r="35">
      <c r="A35" s="14" t="inlineStr">
        <is>
          <t>SSH key types in use:</t>
        </is>
      </c>
      <c r="B35" s="18" t="n"/>
      <c r="C35" s="6" t="n"/>
      <c r="D35" s="6" t="n"/>
    </row>
    <row r="36">
      <c r="A36" s="14" t="inlineStr">
        <is>
          <t>Root login via SSH:</t>
        </is>
      </c>
      <c r="B36" s="18" t="n"/>
      <c r="C36" s="6" t="n"/>
      <c r="D36" s="6" t="n"/>
    </row>
    <row r="37">
      <c r="A37" s="14" t="inlineStr">
        <is>
          <t>SSH key rotation schedule:</t>
        </is>
      </c>
      <c r="B37" s="18" t="n"/>
      <c r="C37" s="6" t="n"/>
      <c r="D37" s="6" t="n"/>
    </row>
    <row r="39">
      <c r="A39" s="19" t="inlineStr">
        <is>
          <t>COMPLIANCE CHECKLIST</t>
        </is>
      </c>
    </row>
    <row r="40">
      <c r="A40" s="14" t="inlineStr">
        <is>
          <t>☐</t>
        </is>
      </c>
      <c r="B40" s="14" t="inlineStr">
        <is>
          <t>Requirement</t>
        </is>
      </c>
      <c r="C40" s="14" t="inlineStr">
        <is>
          <t>Status</t>
        </is>
      </c>
    </row>
    <row r="41">
      <c r="A41" t="inlineStr">
        <is>
          <t>☐</t>
        </is>
      </c>
      <c r="B41" t="inlineStr">
        <is>
          <t>SSH protocol version 2 only (SSHv1 disabled)</t>
        </is>
      </c>
      <c r="C41" s="15" t="n"/>
    </row>
    <row r="42">
      <c r="A42" t="inlineStr">
        <is>
          <t>☐</t>
        </is>
      </c>
      <c r="B42" t="inlineStr">
        <is>
          <t>Key-based authentication (password auth disabled preferred)</t>
        </is>
      </c>
      <c r="C42" s="15" t="n"/>
    </row>
    <row r="43">
      <c r="A43" t="inlineStr">
        <is>
          <t>☐</t>
        </is>
      </c>
      <c r="B43" t="inlineStr">
        <is>
          <t>Minimum key length: RSA 2048-bit or Ed25519</t>
        </is>
      </c>
      <c r="C43" s="15" t="n"/>
    </row>
    <row r="44">
      <c r="A44" t="inlineStr">
        <is>
          <t>☐</t>
        </is>
      </c>
      <c r="B44" t="inlineStr">
        <is>
          <t>Root login disabled</t>
        </is>
      </c>
      <c r="C44" s="15" t="n"/>
    </row>
    <row r="45">
      <c r="A45" t="inlineStr">
        <is>
          <t>☐</t>
        </is>
      </c>
      <c r="B45" t="inlineStr">
        <is>
          <t>SSH keys rotated annually</t>
        </is>
      </c>
      <c r="C45" s="15" t="n"/>
    </row>
    <row r="46">
      <c r="A46" t="inlineStr">
        <is>
          <t>☐</t>
        </is>
      </c>
      <c r="B46" t="inlineStr">
        <is>
          <t>Unused SSH keys removed</t>
        </is>
      </c>
      <c r="C46" s="15" t="n"/>
    </row>
    <row r="47">
      <c r="A47" t="inlineStr">
        <is>
          <t>☐</t>
        </is>
      </c>
      <c r="B47" t="inlineStr">
        <is>
          <t>Strong algorithms configured (per Policy Appendix A)</t>
        </is>
      </c>
      <c r="C47" s="15" t="n"/>
    </row>
    <row r="48">
      <c r="A48" t="inlineStr">
        <is>
          <t>☐</t>
        </is>
      </c>
      <c r="B48" t="inlineStr">
        <is>
          <t>Weak algorithms disabled (DSA, MD5, SHA-1)</t>
        </is>
      </c>
      <c r="C48" s="15" t="n"/>
    </row>
    <row r="49">
      <c r="A49" s="14" t="inlineStr">
        <is>
          <t>Checklist Score:</t>
        </is>
      </c>
      <c r="B49" s="20">
        <f>IFERROR(ROUND(COUNTIF(C41:C48,"✅ Yes")/COUNTA(C41:C48)*100,0)&amp;"%","0%")</f>
        <v/>
      </c>
    </row>
    <row r="51">
      <c r="A51" s="21" t="inlineStr">
        <is>
          <t>EXCEPTION / DEVIATION DOCUMENTATION (Complete if Status = Partial or Non-Compliant)</t>
        </is>
      </c>
      <c r="B51" s="6" t="n"/>
      <c r="C51" s="6" t="n"/>
      <c r="D51" s="6" t="n"/>
      <c r="E51" s="6" t="n"/>
      <c r="F51" s="6" t="n"/>
      <c r="G51" s="6" t="n"/>
      <c r="H51" s="6" t="n"/>
    </row>
    <row r="52">
      <c r="A52" s="14" t="inlineStr">
        <is>
          <t>Formal exception request submitted:</t>
        </is>
      </c>
      <c r="B52" s="18" t="n"/>
      <c r="C52" s="6" t="n"/>
      <c r="D52" s="6" t="n"/>
    </row>
    <row r="53">
      <c r="A53" s="14" t="inlineStr">
        <is>
          <t>Exception ID:</t>
        </is>
      </c>
      <c r="B53" s="18" t="n"/>
      <c r="C53" s="6" t="n"/>
      <c r="D53" s="6" t="n"/>
    </row>
    <row r="54">
      <c r="A54" s="14" t="inlineStr">
        <is>
          <t>Risk acceptance documented:</t>
        </is>
      </c>
      <c r="B54" s="18" t="n"/>
      <c r="C54" s="6" t="n"/>
      <c r="D54" s="6" t="n"/>
    </row>
    <row r="55">
      <c r="A55" s="14" t="inlineStr">
        <is>
          <t>Risk ID:</t>
        </is>
      </c>
      <c r="B55" s="18" t="n"/>
      <c r="C55" s="6" t="n"/>
      <c r="D55" s="6" t="n"/>
    </row>
    <row r="56">
      <c r="A56" s="14" t="inlineStr">
        <is>
          <t>Compensating Controls (summary):</t>
        </is>
      </c>
      <c r="B56" s="18" t="n"/>
      <c r="C56" s="6" t="n"/>
      <c r="D56" s="6" t="n"/>
    </row>
    <row r="57">
      <c r="A57" s="14" t="inlineStr">
        <is>
          <t>☐ Network segmentation / firewall restrictions</t>
        </is>
      </c>
      <c r="B57" s="18" t="n"/>
      <c r="C57" s="6" t="n"/>
      <c r="D57" s="6" t="n"/>
    </row>
    <row r="58">
      <c r="A58" s="14" t="inlineStr">
        <is>
          <t>☐ Enhanced monitoring / alerting</t>
        </is>
      </c>
      <c r="B58" s="18" t="n"/>
      <c r="C58" s="6" t="n"/>
      <c r="D58" s="6" t="n"/>
    </row>
    <row r="59">
      <c r="A59" s="14" t="inlineStr">
        <is>
          <t>☐ IP allowlisting / access restrictions</t>
        </is>
      </c>
      <c r="B59" s="18" t="n"/>
      <c r="C59" s="6" t="n"/>
      <c r="D59" s="6" t="n"/>
    </row>
    <row r="60">
      <c r="A60" s="14" t="inlineStr">
        <is>
          <t>☐ Other (describe):</t>
        </is>
      </c>
      <c r="B60" s="18" t="n"/>
      <c r="C60" s="6" t="n"/>
      <c r="D60" s="6" t="n"/>
    </row>
    <row r="61">
      <c r="A61" s="14" t="inlineStr">
        <is>
          <t>Remediation actions required:</t>
        </is>
      </c>
      <c r="B61" s="18" t="n"/>
      <c r="C61" s="6" t="n"/>
      <c r="D61" s="6" t="n"/>
    </row>
    <row r="62">
      <c r="A62" s="14" t="inlineStr">
        <is>
          <t>Responsible person:</t>
        </is>
      </c>
      <c r="B62" s="18" t="n"/>
      <c r="C62" s="6" t="n"/>
      <c r="D62" s="6" t="n"/>
    </row>
    <row r="63">
      <c r="A63" s="14" t="inlineStr">
        <is>
          <t>Target completion date:</t>
        </is>
      </c>
      <c r="B63" s="18" t="n"/>
      <c r="C63" s="6" t="n"/>
      <c r="D63" s="6" t="n"/>
    </row>
    <row r="64">
      <c r="A64" s="14" t="inlineStr">
        <is>
          <t>Budget required:</t>
        </is>
      </c>
      <c r="B64" s="18" t="n"/>
      <c r="C64" s="6" t="n"/>
      <c r="D64" s="6" t="n"/>
    </row>
    <row r="66">
      <c r="A66" s="22" t="inlineStr">
        <is>
          <t>ADDITIONAL NOTES / COMMENTS</t>
        </is>
      </c>
      <c r="B66" s="6" t="n"/>
      <c r="C66" s="6" t="n"/>
      <c r="D66" s="6" t="n"/>
      <c r="E66" s="6" t="n"/>
      <c r="F66" s="6" t="n"/>
      <c r="G66" s="6" t="n"/>
      <c r="H66" s="6" t="n"/>
    </row>
    <row r="67">
      <c r="A67" s="23" t="n"/>
      <c r="B67" s="6" t="n"/>
      <c r="C67" s="6" t="n"/>
      <c r="D67" s="6" t="n"/>
      <c r="E67" s="6" t="n"/>
      <c r="F67" s="6" t="n"/>
      <c r="G67" s="6" t="n"/>
      <c r="H67" s="6" t="n"/>
    </row>
    <row r="68">
      <c r="A68" s="6" t="n"/>
      <c r="B68" s="6" t="n"/>
      <c r="C68" s="6" t="n"/>
      <c r="D68" s="6" t="n"/>
      <c r="E68" s="6" t="n"/>
      <c r="F68" s="6" t="n"/>
      <c r="G68" s="6" t="n"/>
      <c r="H68" s="6" t="n"/>
    </row>
    <row r="69">
      <c r="A69" s="6" t="n"/>
      <c r="B69" s="6" t="n"/>
      <c r="C69" s="6" t="n"/>
      <c r="D69" s="6" t="n"/>
      <c r="E69" s="6" t="n"/>
      <c r="F69" s="6" t="n"/>
      <c r="G69" s="6" t="n"/>
      <c r="H69" s="6" t="n"/>
    </row>
    <row r="70">
      <c r="A70" s="6" t="n"/>
      <c r="B70" s="6" t="n"/>
      <c r="C70" s="6" t="n"/>
      <c r="D70" s="6" t="n"/>
      <c r="E70" s="6" t="n"/>
      <c r="F70" s="6" t="n"/>
      <c r="G70" s="6" t="n"/>
      <c r="H70" s="6" t="n"/>
    </row>
    <row r="71">
      <c r="A71" s="6" t="n"/>
      <c r="B71" s="6" t="n"/>
      <c r="C71" s="6" t="n"/>
      <c r="D71" s="6" t="n"/>
      <c r="E71" s="6" t="n"/>
      <c r="F71" s="6" t="n"/>
      <c r="G71" s="6" t="n"/>
      <c r="H71" s="6" t="n"/>
    </row>
    <row r="72">
      <c r="A72" s="6" t="n"/>
      <c r="B72" s="6" t="n"/>
      <c r="C72" s="6" t="n"/>
      <c r="D72" s="6" t="n"/>
      <c r="E72" s="6" t="n"/>
      <c r="F72" s="6" t="n"/>
      <c r="G72" s="6" t="n"/>
      <c r="H72" s="6" t="n"/>
    </row>
  </sheetData>
  <mergeCells count="23">
    <mergeCell ref="B60:D60"/>
    <mergeCell ref="B61:D61"/>
    <mergeCell ref="B57:D57"/>
    <mergeCell ref="A51:H51"/>
    <mergeCell ref="B53:D53"/>
    <mergeCell ref="A1:H1"/>
    <mergeCell ref="B34:D34"/>
    <mergeCell ref="B37:D37"/>
    <mergeCell ref="A66:H66"/>
    <mergeCell ref="B55:D55"/>
    <mergeCell ref="B64:D64"/>
    <mergeCell ref="B33:D33"/>
    <mergeCell ref="A3:H3"/>
    <mergeCell ref="B36:D36"/>
    <mergeCell ref="B63:D63"/>
    <mergeCell ref="B35:D35"/>
    <mergeCell ref="B62:D62"/>
    <mergeCell ref="B54:D54"/>
    <mergeCell ref="B59:D59"/>
    <mergeCell ref="B56:D56"/>
    <mergeCell ref="B58:D58"/>
    <mergeCell ref="A67:H72"/>
    <mergeCell ref="B52:D52"/>
  </mergeCells>
  <dataValidations count="19">
    <dataValidation sqref="B4" showDropDown="0" showInputMessage="0" showErrorMessage="0" allowBlank="0" type="list">
      <formula1>"✅ Yes,❌ No,⚠️ 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 Yes,❌ No"</formula1>
    </dataValidation>
    <dataValidation sqref="B33" showDropDown="0" showInputMessage="0" showErrorMessage="0" allowBlank="0" type="list">
      <formula1>"SSHv2 only,SSHv1 (legacy - prohibited)"</formula1>
    </dataValidation>
    <dataValidation sqref="B34" showDropDown="0" showInputMessage="0" showErrorMessage="0" allowBlank="0" type="list">
      <formula1>"Key-based only,Password allowed,Both"</formula1>
    </dataValidation>
    <dataValidation sqref="B35" showDropDown="0" showInputMessage="0" showErrorMessage="0" allowBlank="0" type="list">
      <formula1>"Ed25519,RSA 3072+,RSA 2048,ECDSA,Other"</formula1>
    </dataValidation>
    <dataValidation sqref="B36" showDropDown="0" showInputMessage="0" showErrorMessage="0" allowBlank="0" type="list">
      <formula1>"Disabled,Enabled"</formula1>
    </dataValidation>
    <dataValidation sqref="B37" showDropDown="0" showInputMessage="0" showErrorMessage="0" allowBlank="0" type="list">
      <formula1>"Annual,On personnel change,No rotation"</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C45" showDropDown="0" showInputMessage="0" showErrorMessage="0" allowBlank="0" type="list">
      <formula1>"✅ Yes,❌ No,N/A"</formula1>
    </dataValidation>
    <dataValidation sqref="C46" showDropDown="0" showInputMessage="0" showErrorMessage="0" allowBlank="0" type="list">
      <formula1>"✅ Yes,❌ No,N/A"</formula1>
    </dataValidation>
    <dataValidation sqref="C47" showDropDown="0" showInputMessage="0" showErrorMessage="0" allowBlank="0" type="list">
      <formula1>"✅ Yes,❌ No,N/A"</formula1>
    </dataValidation>
    <dataValidation sqref="C48" showDropDown="0" showInputMessage="0" showErrorMessage="0" allowBlank="0" type="list">
      <formula1>"✅ Yes,❌ No,N/A"</formula1>
    </dataValidation>
    <dataValidation sqref="B52" showDropDown="0" showInputMessage="0" showErrorMessage="0" allowBlank="0" type="list">
      <formula1>"✅ Yes,❌ No"</formula1>
    </dataValidation>
    <dataValidation sqref="B54" showDropDown="0" showInputMessage="0" showErrorMessage="0" allowBlank="0" type="list">
      <formula1>"✅ Yes,❌ No"</formula1>
    </dataValidation>
    <dataValidation sqref="B64" showDropDown="0" showInputMessage="0" showErrorMessage="0" allowBlank="0" type="list">
      <formula1>"✅ Yes,❌ No,⚠️ Unknown"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9"/>
  <sheetViews>
    <sheetView showGridLines="0" workbookViewId="0">
      <pane ySplit="6" topLeftCell="A7" activePane="bottomLeft" state="frozen"/>
      <selection pane="bottomLeft" activeCell="A1" sqref="A1"/>
    </sheetView>
  </sheetViews>
  <sheetFormatPr baseColWidth="8" defaultRowHeight="15"/>
  <cols>
    <col width="30" customWidth="1" min="1" max="1"/>
    <col width="22" customWidth="1" min="2" max="2"/>
    <col width="16" customWidth="1" min="3" max="3"/>
    <col width="14" customWidth="1" min="4" max="4"/>
    <col width="15" customWidth="1" min="5" max="5"/>
    <col width="30" customWidth="1" min="6" max="6"/>
    <col width="30" customWidth="1" min="7" max="7"/>
    <col width="16" customWidth="1" min="8" max="8"/>
  </cols>
  <sheetData>
    <row r="1" ht="35" customHeight="1">
      <c r="A1" s="11" t="inlineStr">
        <is>
          <t>4.3 RDP (REMOTE DESKTOP PROTOCOL)
Policy Requirement: RDP connections MUST be encrypted using TLS. RDP MUST NOT be directly exposed to the Internet (Policy Section 2.2.4)</t>
        </is>
      </c>
      <c r="B1" s="6" t="n"/>
      <c r="C1" s="6" t="n"/>
      <c r="D1" s="6" t="n"/>
      <c r="E1" s="6" t="n"/>
      <c r="F1" s="6" t="n"/>
      <c r="G1" s="6" t="n"/>
      <c r="H1" s="6" t="n"/>
    </row>
    <row r="2">
      <c r="A2" s="12" t="inlineStr">
        <is>
          <t>ISO/IEC 27001:2022 | Control A.8.24: Use of Cryptography</t>
        </is>
      </c>
    </row>
    <row r="3" ht="30" customHeight="1">
      <c r="A3" s="13" t="inlineStr">
        <is>
          <t>Does your organisation use RDP for remote access?</t>
        </is>
      </c>
      <c r="B3" s="6" t="n"/>
      <c r="C3" s="6" t="n"/>
      <c r="D3" s="6" t="n"/>
      <c r="E3" s="6" t="n"/>
      <c r="F3" s="6" t="n"/>
      <c r="G3" s="6" t="n"/>
      <c r="H3" s="6" t="n"/>
    </row>
    <row r="4">
      <c r="A4" s="14" t="inlineStr">
        <is>
          <t>Response:</t>
        </is>
      </c>
      <c r="B4" s="15" t="n"/>
    </row>
    <row r="6">
      <c r="A6" s="16" t="inlineStr">
        <is>
          <t>System/Environment</t>
        </is>
      </c>
      <c r="B6" s="16" t="inlineStr">
        <is>
          <t>RDP Access Method</t>
        </is>
      </c>
      <c r="C6" s="16" t="inlineStr">
        <is>
          <t>TLS Encryption</t>
        </is>
      </c>
      <c r="D6" s="16" t="inlineStr">
        <is>
          <t>NLA Enabled</t>
        </is>
      </c>
      <c r="E6" s="16" t="inlineStr">
        <is>
          <t>Status</t>
        </is>
      </c>
      <c r="F6" s="16" t="inlineStr">
        <is>
          <t>Evidence Location</t>
        </is>
      </c>
      <c r="G6" s="16" t="inlineStr">
        <is>
          <t>Gap Description</t>
        </is>
      </c>
      <c r="H6" s="16" t="inlineStr">
        <is>
          <t>Remediation Needed</t>
        </is>
      </c>
    </row>
    <row r="7">
      <c r="A7" s="17" t="inlineStr">
        <is>
          <t>Windows admin servers</t>
        </is>
      </c>
      <c r="B7" s="17" t="inlineStr">
        <is>
          <t>VPN + RDP Gateway</t>
        </is>
      </c>
      <c r="C7" s="17" t="inlineStr">
        <is>
          <t>TLS 1.2</t>
        </is>
      </c>
      <c r="D7" s="17" t="inlineStr">
        <is>
          <t>✅ Yes</t>
        </is>
      </c>
      <c r="E7" s="17" t="inlineStr">
        <is>
          <t>✅ Compliant</t>
        </is>
      </c>
      <c r="F7" s="17" t="inlineStr">
        <is>
          <t>/evidence/a824/4.3-rdp-config-20260218.png</t>
        </is>
      </c>
      <c r="G7" s="17" t="inlineStr">
        <is>
          <t>None</t>
        </is>
      </c>
      <c r="H7" s="17" t="inlineStr">
        <is>
          <t>❌ No</t>
        </is>
      </c>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2">
      <c r="A32" s="19" t="inlineStr">
        <is>
          <t>Additional Details</t>
        </is>
      </c>
    </row>
    <row r="33">
      <c r="A33" s="14" t="inlineStr">
        <is>
          <t>RDP access method:</t>
        </is>
      </c>
      <c r="B33" s="18" t="n"/>
      <c r="C33" s="6" t="n"/>
      <c r="D33" s="6" t="n"/>
    </row>
    <row r="34">
      <c r="A34" s="14" t="inlineStr">
        <is>
          <t>Network Level Authentication (NLA):</t>
        </is>
      </c>
      <c r="B34" s="18" t="n"/>
      <c r="C34" s="6" t="n"/>
      <c r="D34" s="6" t="n"/>
    </row>
    <row r="35">
      <c r="A35" s="14" t="inlineStr">
        <is>
          <t>MFA for RDP:</t>
        </is>
      </c>
      <c r="B35" s="18" t="n"/>
      <c r="C35" s="6" t="n"/>
      <c r="D35" s="6" t="n"/>
    </row>
    <row r="36">
      <c r="A36" s="14" t="inlineStr">
        <is>
          <t>RDP encryption level:</t>
        </is>
      </c>
      <c r="B36" s="18" t="n"/>
      <c r="C36" s="6" t="n"/>
      <c r="D36" s="6" t="n"/>
    </row>
    <row r="38">
      <c r="A38" s="19" t="inlineStr">
        <is>
          <t>COMPLIANCE CHECKLIST</t>
        </is>
      </c>
    </row>
    <row r="39">
      <c r="A39" s="14" t="inlineStr">
        <is>
          <t>☐</t>
        </is>
      </c>
      <c r="B39" s="14" t="inlineStr">
        <is>
          <t>Requirement</t>
        </is>
      </c>
      <c r="C39" s="14" t="inlineStr">
        <is>
          <t>Status</t>
        </is>
      </c>
    </row>
    <row r="40">
      <c r="A40" t="inlineStr">
        <is>
          <t>☐</t>
        </is>
      </c>
      <c r="B40" t="inlineStr">
        <is>
          <t>RDP accessed through VPN or jump host (NOT directly exposed)</t>
        </is>
      </c>
      <c r="C40" s="15" t="n"/>
    </row>
    <row r="41">
      <c r="A41" t="inlineStr">
        <is>
          <t>☐</t>
        </is>
      </c>
      <c r="B41" t="inlineStr">
        <is>
          <t>TLS encryption configured</t>
        </is>
      </c>
      <c r="C41" s="15" t="n"/>
    </row>
    <row r="42">
      <c r="A42" t="inlineStr">
        <is>
          <t>☐</t>
        </is>
      </c>
      <c r="B42" t="inlineStr">
        <is>
          <t>Network Level Authentication (NLA) enabled</t>
        </is>
      </c>
      <c r="C42" s="15" t="n"/>
    </row>
    <row r="43">
      <c r="A43" t="inlineStr">
        <is>
          <t>☐</t>
        </is>
      </c>
      <c r="B43" t="inlineStr">
        <is>
          <t>RDP encryption level set to 'High'</t>
        </is>
      </c>
      <c r="C43" s="15" t="n"/>
    </row>
    <row r="44">
      <c r="A44" t="inlineStr">
        <is>
          <t>☐</t>
        </is>
      </c>
      <c r="B44" t="inlineStr">
        <is>
          <t>MFA required for production system access</t>
        </is>
      </c>
      <c r="C44" s="15" t="n"/>
    </row>
    <row r="45">
      <c r="A45" t="inlineStr">
        <is>
          <t>☐</t>
        </is>
      </c>
      <c r="B45" t="inlineStr">
        <is>
          <t>RDP session recording (recommended for privileged access)</t>
        </is>
      </c>
      <c r="C45" s="15" t="n"/>
    </row>
    <row r="46">
      <c r="A46" s="14" t="inlineStr">
        <is>
          <t>Checklist Score:</t>
        </is>
      </c>
      <c r="B46" s="20">
        <f>IFERROR(ROUND(COUNTIF(C40:C45,"✅ Yes")/COUNTA(C40:C45)*100,0)&amp;"%","0%")</f>
        <v/>
      </c>
    </row>
    <row r="48">
      <c r="A48" s="21" t="inlineStr">
        <is>
          <t>EXCEPTION / DEVIATION DOCUMENTATION (Complete if Status = Partial or Non-Compliant)</t>
        </is>
      </c>
      <c r="B48" s="6" t="n"/>
      <c r="C48" s="6" t="n"/>
      <c r="D48" s="6" t="n"/>
      <c r="E48" s="6" t="n"/>
      <c r="F48" s="6" t="n"/>
      <c r="G48" s="6" t="n"/>
      <c r="H48" s="6" t="n"/>
    </row>
    <row r="49">
      <c r="A49" s="14" t="inlineStr">
        <is>
          <t>Formal exception request submitted:</t>
        </is>
      </c>
      <c r="B49" s="18" t="n"/>
      <c r="C49" s="6" t="n"/>
      <c r="D49" s="6" t="n"/>
    </row>
    <row r="50">
      <c r="A50" s="14" t="inlineStr">
        <is>
          <t>Exception ID:</t>
        </is>
      </c>
      <c r="B50" s="18" t="n"/>
      <c r="C50" s="6" t="n"/>
      <c r="D50" s="6" t="n"/>
    </row>
    <row r="51">
      <c r="A51" s="14" t="inlineStr">
        <is>
          <t>Risk acceptance documented:</t>
        </is>
      </c>
      <c r="B51" s="18" t="n"/>
      <c r="C51" s="6" t="n"/>
      <c r="D51" s="6" t="n"/>
    </row>
    <row r="52">
      <c r="A52" s="14" t="inlineStr">
        <is>
          <t>Risk ID:</t>
        </is>
      </c>
      <c r="B52" s="18" t="n"/>
      <c r="C52" s="6" t="n"/>
      <c r="D52" s="6" t="n"/>
    </row>
    <row r="53">
      <c r="A53" s="14" t="inlineStr">
        <is>
          <t>Compensating Controls (summary):</t>
        </is>
      </c>
      <c r="B53" s="18" t="n"/>
      <c r="C53" s="6" t="n"/>
      <c r="D53" s="6" t="n"/>
    </row>
    <row r="54">
      <c r="A54" s="14" t="inlineStr">
        <is>
          <t>☐ Network segmentation / firewall restrictions</t>
        </is>
      </c>
      <c r="B54" s="18" t="n"/>
      <c r="C54" s="6" t="n"/>
      <c r="D54" s="6" t="n"/>
    </row>
    <row r="55">
      <c r="A55" s="14" t="inlineStr">
        <is>
          <t>☐ Enhanced monitoring / alerting</t>
        </is>
      </c>
      <c r="B55" s="18" t="n"/>
      <c r="C55" s="6" t="n"/>
      <c r="D55" s="6" t="n"/>
    </row>
    <row r="56">
      <c r="A56" s="14" t="inlineStr">
        <is>
          <t>☐ IP allowlisting / access restrictions</t>
        </is>
      </c>
      <c r="B56" s="18" t="n"/>
      <c r="C56" s="6" t="n"/>
      <c r="D56" s="6" t="n"/>
    </row>
    <row r="57">
      <c r="A57" s="14" t="inlineStr">
        <is>
          <t>☐ Other (describe):</t>
        </is>
      </c>
      <c r="B57" s="18" t="n"/>
      <c r="C57" s="6" t="n"/>
      <c r="D57" s="6" t="n"/>
    </row>
    <row r="58">
      <c r="A58" s="14" t="inlineStr">
        <is>
          <t>Remediation actions required:</t>
        </is>
      </c>
      <c r="B58" s="18" t="n"/>
      <c r="C58" s="6" t="n"/>
      <c r="D58" s="6" t="n"/>
    </row>
    <row r="59">
      <c r="A59" s="14" t="inlineStr">
        <is>
          <t>Responsible person:</t>
        </is>
      </c>
      <c r="B59" s="18" t="n"/>
      <c r="C59" s="6" t="n"/>
      <c r="D59" s="6" t="n"/>
    </row>
    <row r="60">
      <c r="A60" s="14" t="inlineStr">
        <is>
          <t>Target completion date:</t>
        </is>
      </c>
      <c r="B60" s="18" t="n"/>
      <c r="C60" s="6" t="n"/>
      <c r="D60" s="6" t="n"/>
    </row>
    <row r="61">
      <c r="A61" s="14" t="inlineStr">
        <is>
          <t>Budget required:</t>
        </is>
      </c>
      <c r="B61" s="18" t="n"/>
      <c r="C61" s="6" t="n"/>
      <c r="D61" s="6" t="n"/>
    </row>
    <row r="63">
      <c r="A63" s="22" t="inlineStr">
        <is>
          <t>ADDITIONAL NOTES / COMMENTS</t>
        </is>
      </c>
      <c r="B63" s="6" t="n"/>
      <c r="C63" s="6" t="n"/>
      <c r="D63" s="6" t="n"/>
      <c r="E63" s="6" t="n"/>
      <c r="F63" s="6" t="n"/>
      <c r="G63" s="6" t="n"/>
      <c r="H63" s="6" t="n"/>
    </row>
    <row r="64">
      <c r="A64" s="23" t="n"/>
      <c r="B64" s="6" t="n"/>
      <c r="C64" s="6" t="n"/>
      <c r="D64" s="6" t="n"/>
      <c r="E64" s="6" t="n"/>
      <c r="F64" s="6" t="n"/>
      <c r="G64" s="6" t="n"/>
      <c r="H64" s="6" t="n"/>
    </row>
    <row r="65">
      <c r="A65" s="6" t="n"/>
      <c r="B65" s="6" t="n"/>
      <c r="C65" s="6" t="n"/>
      <c r="D65" s="6" t="n"/>
      <c r="E65" s="6" t="n"/>
      <c r="F65" s="6" t="n"/>
      <c r="G65" s="6" t="n"/>
      <c r="H65" s="6" t="n"/>
    </row>
    <row r="66">
      <c r="A66" s="6" t="n"/>
      <c r="B66" s="6" t="n"/>
      <c r="C66" s="6" t="n"/>
      <c r="D66" s="6" t="n"/>
      <c r="E66" s="6" t="n"/>
      <c r="F66" s="6" t="n"/>
      <c r="G66" s="6" t="n"/>
      <c r="H66" s="6" t="n"/>
    </row>
    <row r="67">
      <c r="A67" s="6" t="n"/>
      <c r="B67" s="6" t="n"/>
      <c r="C67" s="6" t="n"/>
      <c r="D67" s="6" t="n"/>
      <c r="E67" s="6" t="n"/>
      <c r="F67" s="6" t="n"/>
      <c r="G67" s="6" t="n"/>
      <c r="H67" s="6" t="n"/>
    </row>
    <row r="68">
      <c r="A68" s="6" t="n"/>
      <c r="B68" s="6" t="n"/>
      <c r="C68" s="6" t="n"/>
      <c r="D68" s="6" t="n"/>
      <c r="E68" s="6" t="n"/>
      <c r="F68" s="6" t="n"/>
      <c r="G68" s="6" t="n"/>
      <c r="H68" s="6" t="n"/>
    </row>
    <row r="69">
      <c r="A69" s="6" t="n"/>
      <c r="B69" s="6" t="n"/>
      <c r="C69" s="6" t="n"/>
      <c r="D69" s="6" t="n"/>
      <c r="E69" s="6" t="n"/>
      <c r="F69" s="6" t="n"/>
      <c r="G69" s="6" t="n"/>
      <c r="H69" s="6" t="n"/>
    </row>
  </sheetData>
  <mergeCells count="22">
    <mergeCell ref="A48:H48"/>
    <mergeCell ref="B60:D60"/>
    <mergeCell ref="B61:D61"/>
    <mergeCell ref="B57:D57"/>
    <mergeCell ref="B53:D53"/>
    <mergeCell ref="A1:H1"/>
    <mergeCell ref="B34:D34"/>
    <mergeCell ref="B49:D49"/>
    <mergeCell ref="B55:D55"/>
    <mergeCell ref="B51:D51"/>
    <mergeCell ref="B33:D33"/>
    <mergeCell ref="A3:H3"/>
    <mergeCell ref="B36:D36"/>
    <mergeCell ref="B35:D35"/>
    <mergeCell ref="B50:D50"/>
    <mergeCell ref="B54:D54"/>
    <mergeCell ref="B59:D59"/>
    <mergeCell ref="A63:H63"/>
    <mergeCell ref="A64:H69"/>
    <mergeCell ref="B56:D56"/>
    <mergeCell ref="B58:D58"/>
    <mergeCell ref="B52:D52"/>
  </mergeCells>
  <dataValidations count="16">
    <dataValidation sqref="B4" showDropDown="0" showInputMessage="0" showErrorMessage="0" allowBlank="0" type="list">
      <formula1>"✅ Yes,❌ No,⚠️ 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 Yes,❌ No"</formula1>
    </dataValidation>
    <dataValidation sqref="B33" showDropDown="0" showInputMessage="0" showErrorMessage="0" allowBlank="0" type="list">
      <formula1>"VPN required,Jump host/bastion,Direct (prohibited),Zero-trust gateway"</formula1>
    </dataValidation>
    <dataValidation sqref="B34" showDropDown="0" showInputMessage="0" showErrorMessage="0" allowBlank="0" type="list">
      <formula1>"Enabled,Disabled"</formula1>
    </dataValidation>
    <dataValidation sqref="B35" showDropDown="0" showInputMessage="0" showErrorMessage="0" allowBlank="0" type="list">
      <formula1>"Required,Optional,Not implemented"</formula1>
    </dataValidation>
    <dataValidation sqref="B36" showDropDown="0" showInputMessage="0" showErrorMessage="0" allowBlank="0" type="list">
      <formula1>"High,Medium,Low"</formula1>
    </dataValidation>
    <dataValidation sqref="C40" showDropDown="0" showInputMessage="0" showErrorMessage="0" allowBlank="0" type="list">
      <formula1>"✅ Yes,❌ No,N/A"</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C45" showDropDown="0" showInputMessage="0" showErrorMessage="0" allowBlank="0" type="list">
      <formula1>"✅ Yes,❌ No,N/A"</formula1>
    </dataValidation>
    <dataValidation sqref="B49" showDropDown="0" showInputMessage="0" showErrorMessage="0" allowBlank="0" type="list">
      <formula1>"✅ Yes,❌ No"</formula1>
    </dataValidation>
    <dataValidation sqref="B51" showDropDown="0" showInputMessage="0" showErrorMessage="0" allowBlank="0" type="list">
      <formula1>"✅ Yes,❌ No"</formula1>
    </dataValidation>
    <dataValidation sqref="B61" showDropDown="0" showInputMessage="0" showErrorMessage="0" allowBlank="0" type="list">
      <formula1>"✅ Yes,❌ No,⚠️ Unknown"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4"/>
  <sheetViews>
    <sheetView showGridLines="0" workbookViewId="0">
      <pane ySplit="6" topLeftCell="A7" activePane="bottomLeft" state="frozen"/>
      <selection pane="bottomLeft" activeCell="A1" sqref="A1"/>
    </sheetView>
  </sheetViews>
  <sheetFormatPr baseColWidth="8" defaultRowHeight="15"/>
  <cols>
    <col width="30" customWidth="1" min="1" max="1"/>
    <col width="22" customWidth="1" min="2" max="2"/>
    <col width="14" customWidth="1" min="3" max="3"/>
    <col width="22" customWidth="1" min="4" max="4"/>
    <col width="16" customWidth="1" min="5" max="5"/>
    <col width="15" customWidth="1" min="6" max="6"/>
    <col width="30" customWidth="1" min="7" max="7"/>
    <col width="30" customWidth="1" min="8" max="8"/>
    <col width="16" customWidth="1" min="9" max="9"/>
  </cols>
  <sheetData>
    <row r="1" ht="35" customHeight="1">
      <c r="A1" s="11" t="inlineStr">
        <is>
          <t>5.1 API SECURITY
Policy Requirement: API endpoints MUST use HTTPS with TLS 1.2+. API authentication MUST use OAuth 2.0, API keys (256-bit entropy), or mutual TLS (Policy Section 2.2.5)</t>
        </is>
      </c>
      <c r="B1" s="6" t="n"/>
      <c r="C1" s="6" t="n"/>
      <c r="D1" s="6" t="n"/>
      <c r="E1" s="6" t="n"/>
      <c r="F1" s="6" t="n"/>
      <c r="G1" s="6" t="n"/>
      <c r="H1" s="6" t="n"/>
    </row>
    <row r="2">
      <c r="A2" s="12" t="inlineStr">
        <is>
          <t>ISO/IEC 27001:2022 | Control A.8.24: Use of Cryptography</t>
        </is>
      </c>
    </row>
    <row r="3" ht="30" customHeight="1">
      <c r="A3" s="13" t="inlineStr">
        <is>
          <t>Does your organisation expose APIs (REST, SOAP, GraphQL, etc.)?</t>
        </is>
      </c>
      <c r="B3" s="6" t="n"/>
      <c r="C3" s="6" t="n"/>
      <c r="D3" s="6" t="n"/>
      <c r="E3" s="6" t="n"/>
      <c r="F3" s="6" t="n"/>
      <c r="G3" s="6" t="n"/>
      <c r="H3" s="6" t="n"/>
    </row>
    <row r="4">
      <c r="A4" s="14" t="inlineStr">
        <is>
          <t>Response:</t>
        </is>
      </c>
      <c r="B4" s="15" t="n"/>
    </row>
    <row r="6">
      <c r="A6" s="16" t="inlineStr">
        <is>
          <t>API Name/Service</t>
        </is>
      </c>
      <c r="B6" s="16" t="inlineStr">
        <is>
          <t>Authentication Method</t>
        </is>
      </c>
      <c r="C6" s="16" t="inlineStr">
        <is>
          <t>TLS Version</t>
        </is>
      </c>
      <c r="D6" s="16" t="inlineStr">
        <is>
          <t>API Key Management</t>
        </is>
      </c>
      <c r="E6" s="16" t="inlineStr">
        <is>
          <t>Token Expiry</t>
        </is>
      </c>
      <c r="F6" s="16" t="inlineStr">
        <is>
          <t>Status</t>
        </is>
      </c>
      <c r="G6" s="16" t="inlineStr">
        <is>
          <t>Evidence Location</t>
        </is>
      </c>
      <c r="H6" s="16" t="inlineStr">
        <is>
          <t>Gap Description</t>
        </is>
      </c>
      <c r="I6" s="16" t="inlineStr">
        <is>
          <t>Remediation Needed</t>
        </is>
      </c>
    </row>
    <row r="7">
      <c r="A7" s="17" t="inlineStr">
        <is>
          <t>Customer REST API</t>
        </is>
      </c>
      <c r="B7" s="17" t="inlineStr">
        <is>
          <t>OAuth 2.0 / JWT</t>
        </is>
      </c>
      <c r="C7" s="17" t="inlineStr">
        <is>
          <t>TLS 1.3</t>
        </is>
      </c>
      <c r="D7" s="17" t="inlineStr">
        <is>
          <t>Vault (HashiCorp)</t>
        </is>
      </c>
      <c r="E7" s="17" t="inlineStr">
        <is>
          <t>1 hour</t>
        </is>
      </c>
      <c r="F7" s="17" t="inlineStr">
        <is>
          <t>✅ Compliant</t>
        </is>
      </c>
      <c r="G7" s="17" t="inlineStr">
        <is>
          <t>/evidence/a824/5.1-api-tls-scan-20260218.pdf</t>
        </is>
      </c>
      <c r="H7" s="17" t="inlineStr">
        <is>
          <t>None</t>
        </is>
      </c>
      <c r="I7" s="17" t="inlineStr">
        <is>
          <t>❌ No</t>
        </is>
      </c>
    </row>
    <row r="8">
      <c r="A8" s="18" t="n"/>
      <c r="B8" s="18" t="n"/>
      <c r="C8" s="18" t="n"/>
      <c r="D8" s="18" t="n"/>
      <c r="E8" s="18" t="n"/>
      <c r="F8" s="18" t="n"/>
      <c r="G8" s="18" t="n"/>
      <c r="H8" s="18" t="n"/>
      <c r="I8" s="18" t="n"/>
    </row>
    <row r="9">
      <c r="A9" s="18" t="n"/>
      <c r="B9" s="18" t="n"/>
      <c r="C9" s="18" t="n"/>
      <c r="D9" s="18" t="n"/>
      <c r="E9" s="18" t="n"/>
      <c r="F9" s="18" t="n"/>
      <c r="G9" s="18" t="n"/>
      <c r="H9" s="18" t="n"/>
      <c r="I9" s="18" t="n"/>
    </row>
    <row r="10">
      <c r="A10" s="18" t="n"/>
      <c r="B10" s="18" t="n"/>
      <c r="C10" s="18" t="n"/>
      <c r="D10" s="18" t="n"/>
      <c r="E10" s="18" t="n"/>
      <c r="F10" s="18" t="n"/>
      <c r="G10" s="18" t="n"/>
      <c r="H10" s="18" t="n"/>
      <c r="I10" s="18" t="n"/>
    </row>
    <row r="11">
      <c r="A11" s="18" t="n"/>
      <c r="B11" s="18" t="n"/>
      <c r="C11" s="18" t="n"/>
      <c r="D11" s="18" t="n"/>
      <c r="E11" s="18" t="n"/>
      <c r="F11" s="18" t="n"/>
      <c r="G11" s="18" t="n"/>
      <c r="H11" s="18" t="n"/>
      <c r="I11" s="18" t="n"/>
    </row>
    <row r="12">
      <c r="A12" s="18" t="n"/>
      <c r="B12" s="18" t="n"/>
      <c r="C12" s="18" t="n"/>
      <c r="D12" s="18" t="n"/>
      <c r="E12" s="18" t="n"/>
      <c r="F12" s="18" t="n"/>
      <c r="G12" s="18" t="n"/>
      <c r="H12" s="18" t="n"/>
      <c r="I12" s="18" t="n"/>
    </row>
    <row r="13">
      <c r="A13" s="18" t="n"/>
      <c r="B13" s="18" t="n"/>
      <c r="C13" s="18" t="n"/>
      <c r="D13" s="18" t="n"/>
      <c r="E13" s="18" t="n"/>
      <c r="F13" s="18" t="n"/>
      <c r="G13" s="18" t="n"/>
      <c r="H13" s="18" t="n"/>
      <c r="I13" s="18" t="n"/>
    </row>
    <row r="14">
      <c r="A14" s="18" t="n"/>
      <c r="B14" s="18" t="n"/>
      <c r="C14" s="18" t="n"/>
      <c r="D14" s="18" t="n"/>
      <c r="E14" s="18" t="n"/>
      <c r="F14" s="18" t="n"/>
      <c r="G14" s="18" t="n"/>
      <c r="H14" s="18" t="n"/>
      <c r="I14" s="18" t="n"/>
    </row>
    <row r="15">
      <c r="A15" s="18" t="n"/>
      <c r="B15" s="18" t="n"/>
      <c r="C15" s="18" t="n"/>
      <c r="D15" s="18" t="n"/>
      <c r="E15" s="18" t="n"/>
      <c r="F15" s="18" t="n"/>
      <c r="G15" s="18" t="n"/>
      <c r="H15" s="18" t="n"/>
      <c r="I15" s="18" t="n"/>
    </row>
    <row r="16">
      <c r="A16" s="18" t="n"/>
      <c r="B16" s="18" t="n"/>
      <c r="C16" s="18" t="n"/>
      <c r="D16" s="18" t="n"/>
      <c r="E16" s="18" t="n"/>
      <c r="F16" s="18" t="n"/>
      <c r="G16" s="18" t="n"/>
      <c r="H16" s="18" t="n"/>
      <c r="I16" s="18" t="n"/>
    </row>
    <row r="17">
      <c r="A17" s="18" t="n"/>
      <c r="B17" s="18" t="n"/>
      <c r="C17" s="18" t="n"/>
      <c r="D17" s="18" t="n"/>
      <c r="E17" s="18" t="n"/>
      <c r="F17" s="18" t="n"/>
      <c r="G17" s="18" t="n"/>
      <c r="H17" s="18" t="n"/>
      <c r="I17" s="18" t="n"/>
    </row>
    <row r="18">
      <c r="A18" s="18" t="n"/>
      <c r="B18" s="18" t="n"/>
      <c r="C18" s="18" t="n"/>
      <c r="D18" s="18" t="n"/>
      <c r="E18" s="18" t="n"/>
      <c r="F18" s="18" t="n"/>
      <c r="G18" s="18" t="n"/>
      <c r="H18" s="18" t="n"/>
      <c r="I18" s="18" t="n"/>
    </row>
    <row r="19">
      <c r="A19" s="18" t="n"/>
      <c r="B19" s="18" t="n"/>
      <c r="C19" s="18" t="n"/>
      <c r="D19" s="18" t="n"/>
      <c r="E19" s="18" t="n"/>
      <c r="F19" s="18" t="n"/>
      <c r="G19" s="18" t="n"/>
      <c r="H19" s="18" t="n"/>
      <c r="I19" s="18" t="n"/>
    </row>
    <row r="20">
      <c r="A20" s="18" t="n"/>
      <c r="B20" s="18" t="n"/>
      <c r="C20" s="18" t="n"/>
      <c r="D20" s="18" t="n"/>
      <c r="E20" s="18" t="n"/>
      <c r="F20" s="18" t="n"/>
      <c r="G20" s="18" t="n"/>
      <c r="H20" s="18" t="n"/>
      <c r="I20" s="18" t="n"/>
    </row>
    <row r="21">
      <c r="A21" s="18" t="n"/>
      <c r="B21" s="18" t="n"/>
      <c r="C21" s="18" t="n"/>
      <c r="D21" s="18" t="n"/>
      <c r="E21" s="18" t="n"/>
      <c r="F21" s="18" t="n"/>
      <c r="G21" s="18" t="n"/>
      <c r="H21" s="18" t="n"/>
      <c r="I21" s="18" t="n"/>
    </row>
    <row r="22">
      <c r="A22" s="18" t="n"/>
      <c r="B22" s="18" t="n"/>
      <c r="C22" s="18" t="n"/>
      <c r="D22" s="18" t="n"/>
      <c r="E22" s="18" t="n"/>
      <c r="F22" s="18" t="n"/>
      <c r="G22" s="18" t="n"/>
      <c r="H22" s="18" t="n"/>
      <c r="I22" s="18" t="n"/>
    </row>
    <row r="23">
      <c r="A23" s="18" t="n"/>
      <c r="B23" s="18" t="n"/>
      <c r="C23" s="18" t="n"/>
      <c r="D23" s="18" t="n"/>
      <c r="E23" s="18" t="n"/>
      <c r="F23" s="18" t="n"/>
      <c r="G23" s="18" t="n"/>
      <c r="H23" s="18" t="n"/>
      <c r="I23" s="18" t="n"/>
    </row>
    <row r="24">
      <c r="A24" s="18" t="n"/>
      <c r="B24" s="18" t="n"/>
      <c r="C24" s="18" t="n"/>
      <c r="D24" s="18" t="n"/>
      <c r="E24" s="18" t="n"/>
      <c r="F24" s="18" t="n"/>
      <c r="G24" s="18" t="n"/>
      <c r="H24" s="18" t="n"/>
      <c r="I24" s="18" t="n"/>
    </row>
    <row r="25">
      <c r="A25" s="18" t="n"/>
      <c r="B25" s="18" t="n"/>
      <c r="C25" s="18" t="n"/>
      <c r="D25" s="18" t="n"/>
      <c r="E25" s="18" t="n"/>
      <c r="F25" s="18" t="n"/>
      <c r="G25" s="18" t="n"/>
      <c r="H25" s="18" t="n"/>
      <c r="I25" s="18" t="n"/>
    </row>
    <row r="26">
      <c r="A26" s="18" t="n"/>
      <c r="B26" s="18" t="n"/>
      <c r="C26" s="18" t="n"/>
      <c r="D26" s="18" t="n"/>
      <c r="E26" s="18" t="n"/>
      <c r="F26" s="18" t="n"/>
      <c r="G26" s="18" t="n"/>
      <c r="H26" s="18" t="n"/>
      <c r="I26" s="18" t="n"/>
    </row>
    <row r="27">
      <c r="A27" s="18" t="n"/>
      <c r="B27" s="18" t="n"/>
      <c r="C27" s="18" t="n"/>
      <c r="D27" s="18" t="n"/>
      <c r="E27" s="18" t="n"/>
      <c r="F27" s="18" t="n"/>
      <c r="G27" s="18" t="n"/>
      <c r="H27" s="18" t="n"/>
      <c r="I27" s="18" t="n"/>
    </row>
    <row r="28">
      <c r="A28" s="18" t="n"/>
      <c r="B28" s="18" t="n"/>
      <c r="C28" s="18" t="n"/>
      <c r="D28" s="18" t="n"/>
      <c r="E28" s="18" t="n"/>
      <c r="F28" s="18" t="n"/>
      <c r="G28" s="18" t="n"/>
      <c r="H28" s="18" t="n"/>
      <c r="I28" s="18" t="n"/>
    </row>
    <row r="29">
      <c r="A29" s="18" t="n"/>
      <c r="B29" s="18" t="n"/>
      <c r="C29" s="18" t="n"/>
      <c r="D29" s="18" t="n"/>
      <c r="E29" s="18" t="n"/>
      <c r="F29" s="18" t="n"/>
      <c r="G29" s="18" t="n"/>
      <c r="H29" s="18" t="n"/>
      <c r="I29" s="18" t="n"/>
    </row>
    <row r="30">
      <c r="A30" s="18" t="n"/>
      <c r="B30" s="18" t="n"/>
      <c r="C30" s="18" t="n"/>
      <c r="D30" s="18" t="n"/>
      <c r="E30" s="18" t="n"/>
      <c r="F30" s="18" t="n"/>
      <c r="G30" s="18" t="n"/>
      <c r="H30" s="18" t="n"/>
      <c r="I30" s="18" t="n"/>
    </row>
    <row r="32">
      <c r="A32" s="19" t="inlineStr">
        <is>
          <t>Additional Details</t>
        </is>
      </c>
    </row>
    <row r="33">
      <c r="A33" s="14" t="inlineStr">
        <is>
          <t>Number of APIs:</t>
        </is>
      </c>
      <c r="B33" s="18" t="n"/>
      <c r="C33" s="6" t="n"/>
      <c r="D33" s="6" t="n"/>
    </row>
    <row r="34">
      <c r="A34" s="14" t="inlineStr">
        <is>
          <t>API authentication:</t>
        </is>
      </c>
      <c r="B34" s="18" t="n"/>
      <c r="C34" s="6" t="n"/>
      <c r="D34" s="6" t="n"/>
    </row>
    <row r="35">
      <c r="A35" s="14" t="inlineStr">
        <is>
          <t>API key entropy:</t>
        </is>
      </c>
      <c r="B35" s="18" t="n"/>
      <c r="C35" s="6" t="n"/>
      <c r="D35" s="6" t="n"/>
    </row>
    <row r="36">
      <c r="A36" s="14" t="inlineStr">
        <is>
          <t>API key rotation:</t>
        </is>
      </c>
      <c r="B36" s="18" t="n"/>
      <c r="C36" s="6" t="n"/>
      <c r="D36" s="6" t="n"/>
    </row>
    <row r="37">
      <c r="A37" s="14" t="inlineStr">
        <is>
          <t>API keys stored in:</t>
        </is>
      </c>
      <c r="B37" s="18" t="n"/>
      <c r="C37" s="6" t="n"/>
      <c r="D37" s="6" t="n"/>
    </row>
    <row r="39">
      <c r="A39" s="19" t="inlineStr">
        <is>
          <t>COMPLIANCE CHECKLIST</t>
        </is>
      </c>
    </row>
    <row r="40">
      <c r="A40" s="14" t="inlineStr">
        <is>
          <t>☐</t>
        </is>
      </c>
      <c r="B40" s="14" t="inlineStr">
        <is>
          <t>Requirement</t>
        </is>
      </c>
      <c r="C40" s="14" t="inlineStr">
        <is>
          <t>Status</t>
        </is>
      </c>
    </row>
    <row r="41">
      <c r="A41" t="inlineStr">
        <is>
          <t>☐</t>
        </is>
      </c>
      <c r="B41" t="inlineStr">
        <is>
          <t>All API endpoints use HTTPS (TLS 1.2+)</t>
        </is>
      </c>
      <c r="C41" s="15" t="n"/>
    </row>
    <row r="42">
      <c r="A42" t="inlineStr">
        <is>
          <t>☐</t>
        </is>
      </c>
      <c r="B42" t="inlineStr">
        <is>
          <t>HTTP endpoints disabled or blocked</t>
        </is>
      </c>
      <c r="C42" s="15" t="n"/>
    </row>
    <row r="43">
      <c r="A43" t="inlineStr">
        <is>
          <t>☐</t>
        </is>
      </c>
      <c r="B43" t="inlineStr">
        <is>
          <t>OAuth 2.0 with PKCE (for user-facing APIs)</t>
        </is>
      </c>
      <c r="C43" s="15" t="n"/>
    </row>
    <row r="44">
      <c r="A44" t="inlineStr">
        <is>
          <t>☐</t>
        </is>
      </c>
      <c r="B44" t="inlineStr">
        <is>
          <t>API keys have ≥256-bit entropy</t>
        </is>
      </c>
      <c r="C44" s="15" t="n"/>
    </row>
    <row r="45">
      <c r="A45" t="inlineStr">
        <is>
          <t>☐</t>
        </is>
      </c>
      <c r="B45" t="inlineStr">
        <is>
          <t>API keys rotate every 90 days</t>
        </is>
      </c>
      <c r="C45" s="15" t="n"/>
    </row>
    <row r="46">
      <c r="A46" t="inlineStr">
        <is>
          <t>☐</t>
        </is>
      </c>
      <c r="B46" t="inlineStr">
        <is>
          <t>API keys stored in secrets manager (NOT in code/config)</t>
        </is>
      </c>
      <c r="C46" s="15" t="n"/>
    </row>
    <row r="47">
      <c r="A47" t="inlineStr">
        <is>
          <t>☐</t>
        </is>
      </c>
      <c r="B47" t="inlineStr">
        <is>
          <t>Access tokens expire within 1 hour</t>
        </is>
      </c>
      <c r="C47" s="15" t="n"/>
    </row>
    <row r="48">
      <c r="A48" t="inlineStr">
        <is>
          <t>☐</t>
        </is>
      </c>
      <c r="B48" t="inlineStr">
        <is>
          <t>Refresh tokens expire within 24 hours</t>
        </is>
      </c>
      <c r="C48" s="15" t="n"/>
    </row>
    <row r="49">
      <c r="A49" t="inlineStr">
        <is>
          <t>☐</t>
        </is>
      </c>
      <c r="B49" t="inlineStr">
        <is>
          <t>Rate limiting implemented per API key</t>
        </is>
      </c>
      <c r="C49" s="15" t="n"/>
    </row>
    <row r="50">
      <c r="A50" t="inlineStr">
        <is>
          <t>☐</t>
        </is>
      </c>
      <c r="B50" t="inlineStr">
        <is>
          <t>API keys NOT passed in URL query parameters</t>
        </is>
      </c>
      <c r="C50" s="15" t="n"/>
    </row>
    <row r="51">
      <c r="A51" s="14" t="inlineStr">
        <is>
          <t>Checklist Score:</t>
        </is>
      </c>
      <c r="B51" s="20">
        <f>IFERROR(ROUND(COUNTIF(C41:C50,"✅ Yes")/COUNTA(C41:C50)*100,0)&amp;"%","0%")</f>
        <v/>
      </c>
    </row>
    <row r="53">
      <c r="A53" s="21" t="inlineStr">
        <is>
          <t>EXCEPTION / DEVIATION DOCUMENTATION (Complete if Status = Partial or Non-Compliant)</t>
        </is>
      </c>
      <c r="B53" s="6" t="n"/>
      <c r="C53" s="6" t="n"/>
      <c r="D53" s="6" t="n"/>
      <c r="E53" s="6" t="n"/>
      <c r="F53" s="6" t="n"/>
      <c r="G53" s="6" t="n"/>
      <c r="H53" s="6" t="n"/>
    </row>
    <row r="54">
      <c r="A54" s="14" t="inlineStr">
        <is>
          <t>Formal exception request submitted:</t>
        </is>
      </c>
      <c r="B54" s="18" t="n"/>
      <c r="C54" s="6" t="n"/>
      <c r="D54" s="6" t="n"/>
    </row>
    <row r="55">
      <c r="A55" s="14" t="inlineStr">
        <is>
          <t>Exception ID:</t>
        </is>
      </c>
      <c r="B55" s="18" t="n"/>
      <c r="C55" s="6" t="n"/>
      <c r="D55" s="6" t="n"/>
    </row>
    <row r="56">
      <c r="A56" s="14" t="inlineStr">
        <is>
          <t>Risk acceptance documented:</t>
        </is>
      </c>
      <c r="B56" s="18" t="n"/>
      <c r="C56" s="6" t="n"/>
      <c r="D56" s="6" t="n"/>
    </row>
    <row r="57">
      <c r="A57" s="14" t="inlineStr">
        <is>
          <t>Risk ID:</t>
        </is>
      </c>
      <c r="B57" s="18" t="n"/>
      <c r="C57" s="6" t="n"/>
      <c r="D57" s="6" t="n"/>
    </row>
    <row r="58">
      <c r="A58" s="14" t="inlineStr">
        <is>
          <t>Compensating Controls (summary):</t>
        </is>
      </c>
      <c r="B58" s="18" t="n"/>
      <c r="C58" s="6" t="n"/>
      <c r="D58" s="6" t="n"/>
    </row>
    <row r="59">
      <c r="A59" s="14" t="inlineStr">
        <is>
          <t>☐ Network segmentation / firewall restrictions</t>
        </is>
      </c>
      <c r="B59" s="18" t="n"/>
      <c r="C59" s="6" t="n"/>
      <c r="D59" s="6" t="n"/>
    </row>
    <row r="60">
      <c r="A60" s="14" t="inlineStr">
        <is>
          <t>☐ Enhanced monitoring / alerting</t>
        </is>
      </c>
      <c r="B60" s="18" t="n"/>
      <c r="C60" s="6" t="n"/>
      <c r="D60" s="6" t="n"/>
    </row>
    <row r="61">
      <c r="A61" s="14" t="inlineStr">
        <is>
          <t>☐ IP allowlisting / access restrictions</t>
        </is>
      </c>
      <c r="B61" s="18" t="n"/>
      <c r="C61" s="6" t="n"/>
      <c r="D61" s="6" t="n"/>
    </row>
    <row r="62">
      <c r="A62" s="14" t="inlineStr">
        <is>
          <t>☐ Other (describe):</t>
        </is>
      </c>
      <c r="B62" s="18" t="n"/>
      <c r="C62" s="6" t="n"/>
      <c r="D62" s="6" t="n"/>
    </row>
    <row r="63">
      <c r="A63" s="14" t="inlineStr">
        <is>
          <t>Remediation actions required:</t>
        </is>
      </c>
      <c r="B63" s="18" t="n"/>
      <c r="C63" s="6" t="n"/>
      <c r="D63" s="6" t="n"/>
    </row>
    <row r="64">
      <c r="A64" s="14" t="inlineStr">
        <is>
          <t>Responsible person:</t>
        </is>
      </c>
      <c r="B64" s="18" t="n"/>
      <c r="C64" s="6" t="n"/>
      <c r="D64" s="6" t="n"/>
    </row>
    <row r="65">
      <c r="A65" s="14" t="inlineStr">
        <is>
          <t>Target completion date:</t>
        </is>
      </c>
      <c r="B65" s="18" t="n"/>
      <c r="C65" s="6" t="n"/>
      <c r="D65" s="6" t="n"/>
    </row>
    <row r="66">
      <c r="A66" s="14" t="inlineStr">
        <is>
          <t>Budget required:</t>
        </is>
      </c>
      <c r="B66" s="18" t="n"/>
      <c r="C66" s="6" t="n"/>
      <c r="D66" s="6" t="n"/>
    </row>
    <row r="68">
      <c r="A68" s="22" t="inlineStr">
        <is>
          <t>ADDITIONAL NOTES / COMMENTS</t>
        </is>
      </c>
      <c r="B68" s="6" t="n"/>
      <c r="C68" s="6" t="n"/>
      <c r="D68" s="6" t="n"/>
      <c r="E68" s="6" t="n"/>
      <c r="F68" s="6" t="n"/>
      <c r="G68" s="6" t="n"/>
      <c r="H68" s="6" t="n"/>
    </row>
    <row r="69">
      <c r="A69" s="23" t="n"/>
      <c r="B69" s="6" t="n"/>
      <c r="C69" s="6" t="n"/>
      <c r="D69" s="6" t="n"/>
      <c r="E69" s="6" t="n"/>
      <c r="F69" s="6" t="n"/>
      <c r="G69" s="6" t="n"/>
      <c r="H69" s="6" t="n"/>
    </row>
    <row r="70">
      <c r="A70" s="6" t="n"/>
      <c r="B70" s="6" t="n"/>
      <c r="C70" s="6" t="n"/>
      <c r="D70" s="6" t="n"/>
      <c r="E70" s="6" t="n"/>
      <c r="F70" s="6" t="n"/>
      <c r="G70" s="6" t="n"/>
      <c r="H70" s="6" t="n"/>
    </row>
    <row r="71">
      <c r="A71" s="6" t="n"/>
      <c r="B71" s="6" t="n"/>
      <c r="C71" s="6" t="n"/>
      <c r="D71" s="6" t="n"/>
      <c r="E71" s="6" t="n"/>
      <c r="F71" s="6" t="n"/>
      <c r="G71" s="6" t="n"/>
      <c r="H71" s="6" t="n"/>
    </row>
    <row r="72">
      <c r="A72" s="6" t="n"/>
      <c r="B72" s="6" t="n"/>
      <c r="C72" s="6" t="n"/>
      <c r="D72" s="6" t="n"/>
      <c r="E72" s="6" t="n"/>
      <c r="F72" s="6" t="n"/>
      <c r="G72" s="6" t="n"/>
      <c r="H72" s="6" t="n"/>
    </row>
    <row r="73">
      <c r="A73" s="6" t="n"/>
      <c r="B73" s="6" t="n"/>
      <c r="C73" s="6" t="n"/>
      <c r="D73" s="6" t="n"/>
      <c r="E73" s="6" t="n"/>
      <c r="F73" s="6" t="n"/>
      <c r="G73" s="6" t="n"/>
      <c r="H73" s="6" t="n"/>
    </row>
    <row r="74">
      <c r="A74" s="6" t="n"/>
      <c r="B74" s="6" t="n"/>
      <c r="C74" s="6" t="n"/>
      <c r="D74" s="6" t="n"/>
      <c r="E74" s="6" t="n"/>
      <c r="F74" s="6" t="n"/>
      <c r="G74" s="6" t="n"/>
      <c r="H74" s="6" t="n"/>
    </row>
  </sheetData>
  <mergeCells count="23">
    <mergeCell ref="B60:D60"/>
    <mergeCell ref="A69:H74"/>
    <mergeCell ref="B61:D61"/>
    <mergeCell ref="B57:D57"/>
    <mergeCell ref="A1:H1"/>
    <mergeCell ref="B34:D34"/>
    <mergeCell ref="B37:D37"/>
    <mergeCell ref="B65:D65"/>
    <mergeCell ref="B55:D55"/>
    <mergeCell ref="B64:D64"/>
    <mergeCell ref="B33:D33"/>
    <mergeCell ref="A3:H3"/>
    <mergeCell ref="B36:D36"/>
    <mergeCell ref="B63:D63"/>
    <mergeCell ref="B35:D35"/>
    <mergeCell ref="B62:D62"/>
    <mergeCell ref="B54:D54"/>
    <mergeCell ref="B59:D59"/>
    <mergeCell ref="A53:H53"/>
    <mergeCell ref="B66:D66"/>
    <mergeCell ref="B56:D56"/>
    <mergeCell ref="B58:D58"/>
    <mergeCell ref="A68:H68"/>
  </mergeCells>
  <dataValidations count="20">
    <dataValidation sqref="B4" showDropDown="0" showInputMessage="0" showErrorMessage="0" allowBlank="0" type="list">
      <formula1>"✅ Yes,❌ No,⚠️ Not Applicable"</formula1>
    </dataValidation>
    <dataValidation sqref="F8 F9 F10 F11 F12 F13 F14 F15 F16 F17 F18 F19 F20 F21 F22 F23 F24 F25 F26 F27 F28 F29 F30" showDropDown="0" showInputMessage="0" showErrorMessage="0" allowBlank="0" type="list">
      <formula1>"✅ Compliant,⚠️ Partial,❌ Non-Compliant,N/A"</formula1>
    </dataValidation>
    <dataValidation sqref="I8 I9 I10 I11 I12 I13 I14 I15 I16 I17 I18 I19 I20 I21 I22 I23 I24 I25 I26 I27 I28 I29 I30" showDropDown="0" showInputMessage="0" showErrorMessage="0" allowBlank="0" type="list">
      <formula1>"✅ Yes,❌ No"</formula1>
    </dataValidation>
    <dataValidation sqref="B34" showDropDown="0" showInputMessage="0" showErrorMessage="0" allowBlank="0" type="list">
      <formula1>"OAuth 2.0,API keys,Mutual TLS,JWT,Basic auth,None"</formula1>
    </dataValidation>
    <dataValidation sqref="B35" showDropDown="0" showInputMessage="0" showErrorMessage="0" allowBlank="0" type="list">
      <formula1>"≥256 bits,&lt;256 bits,Unknown"</formula1>
    </dataValidation>
    <dataValidation sqref="B36" showDropDown="0" showInputMessage="0" showErrorMessage="0" allowBlank="0" type="list">
      <formula1>"Automated (90 days),Manual,No rotation"</formula1>
    </dataValidation>
    <dataValidation sqref="B37" showDropDown="0" showInputMessage="0" showErrorMessage="0" allowBlank="0" type="list">
      <formula1>"Secrets manager,Environment variables,Code (prohibited),Config files"</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C45" showDropDown="0" showInputMessage="0" showErrorMessage="0" allowBlank="0" type="list">
      <formula1>"✅ Yes,❌ No,N/A"</formula1>
    </dataValidation>
    <dataValidation sqref="C46" showDropDown="0" showInputMessage="0" showErrorMessage="0" allowBlank="0" type="list">
      <formula1>"✅ Yes,❌ No,N/A"</formula1>
    </dataValidation>
    <dataValidation sqref="C47" showDropDown="0" showInputMessage="0" showErrorMessage="0" allowBlank="0" type="list">
      <formula1>"✅ Yes,❌ No,N/A"</formula1>
    </dataValidation>
    <dataValidation sqref="C48" showDropDown="0" showInputMessage="0" showErrorMessage="0" allowBlank="0" type="list">
      <formula1>"✅ Yes,❌ No,N/A"</formula1>
    </dataValidation>
    <dataValidation sqref="C49" showDropDown="0" showInputMessage="0" showErrorMessage="0" allowBlank="0" type="list">
      <formula1>"✅ Yes,❌ No,N/A"</formula1>
    </dataValidation>
    <dataValidation sqref="C50" showDropDown="0" showInputMessage="0" showErrorMessage="0" allowBlank="0" type="list">
      <formula1>"✅ Yes,❌ No,N/A"</formula1>
    </dataValidation>
    <dataValidation sqref="B54" showDropDown="0" showInputMessage="0" showErrorMessage="0" allowBlank="0" type="list">
      <formula1>"✅ Yes,❌ No"</formula1>
    </dataValidation>
    <dataValidation sqref="B56" showDropDown="0" showInputMessage="0" showErrorMessage="0" allowBlank="0" type="list">
      <formula1>"✅ Yes,❌ No"</formula1>
    </dataValidation>
    <dataValidation sqref="B66" showDropDown="0" showInputMessage="0" showErrorMessage="0" allowBlank="0" type="list">
      <formula1>"✅ Yes,❌ No,⚠️ Unknown"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5"/>
  <sheetViews>
    <sheetView showGridLines="0" workbookViewId="0">
      <pane ySplit="6" topLeftCell="A7" activePane="bottomLeft" state="frozen"/>
      <selection pane="bottomLeft" activeCell="A1" sqref="A1"/>
    </sheetView>
  </sheetViews>
  <sheetFormatPr baseColWidth="8" defaultRowHeight="15"/>
  <cols>
    <col width="25" customWidth="1" min="1" max="1"/>
    <col width="22" customWidth="1" min="2" max="2"/>
    <col width="20" customWidth="1" min="3" max="3"/>
    <col width="15" customWidth="1" min="4" max="4"/>
    <col width="30" customWidth="1" min="5" max="5"/>
    <col width="30" customWidth="1" min="6" max="6"/>
    <col width="16" customWidth="1" min="7" max="7"/>
  </cols>
  <sheetData>
    <row r="1" ht="35" customHeight="1">
      <c r="A1" s="11" t="inlineStr">
        <is>
          <t>6.1 DATABASE CONNECTIONS
Policy Requirement: Database connections MUST use encrypted protocols (TLS for PostgreSQL/MySQL, encrypted connections for MSSQL) (Policy Section 2.2.6)</t>
        </is>
      </c>
      <c r="B1" s="6" t="n"/>
      <c r="C1" s="6" t="n"/>
      <c r="D1" s="6" t="n"/>
      <c r="E1" s="6" t="n"/>
      <c r="F1" s="6" t="n"/>
      <c r="G1" s="6" t="n"/>
      <c r="H1" s="6" t="n"/>
    </row>
    <row r="2">
      <c r="A2" s="12" t="inlineStr">
        <is>
          <t>ISO/IEC 27001:2022 | Control A.8.24: Use of Cryptography</t>
        </is>
      </c>
    </row>
    <row r="3" ht="30" customHeight="1">
      <c r="A3" s="13" t="inlineStr">
        <is>
          <t>Does your organisation have applications connecting to databases?</t>
        </is>
      </c>
      <c r="B3" s="6" t="n"/>
      <c r="C3" s="6" t="n"/>
      <c r="D3" s="6" t="n"/>
      <c r="E3" s="6" t="n"/>
      <c r="F3" s="6" t="n"/>
      <c r="G3" s="6" t="n"/>
      <c r="H3" s="6" t="n"/>
    </row>
    <row r="4">
      <c r="A4" s="14" t="inlineStr">
        <is>
          <t>Response:</t>
        </is>
      </c>
      <c r="B4" s="15" t="n"/>
    </row>
    <row r="6">
      <c r="A6" s="16" t="inlineStr">
        <is>
          <t>Database System</t>
        </is>
      </c>
      <c r="B6" s="16" t="inlineStr">
        <is>
          <t>Connection Encryption</t>
        </is>
      </c>
      <c r="C6" s="16" t="inlineStr">
        <is>
          <t>Certificate Validation</t>
        </is>
      </c>
      <c r="D6" s="16" t="inlineStr">
        <is>
          <t>Status</t>
        </is>
      </c>
      <c r="E6" s="16" t="inlineStr">
        <is>
          <t>Evidence Location</t>
        </is>
      </c>
      <c r="F6" s="16" t="inlineStr">
        <is>
          <t>Gap Description</t>
        </is>
      </c>
      <c r="G6" s="16" t="inlineStr">
        <is>
          <t>Remediation Needed</t>
        </is>
      </c>
    </row>
    <row r="7">
      <c r="A7" s="17" t="inlineStr">
        <is>
          <t>PostgreSQL 15 (FINDB01)</t>
        </is>
      </c>
      <c r="B7" s="17" t="inlineStr">
        <is>
          <t>TLS 1.2 (sslmode=verify-full)</t>
        </is>
      </c>
      <c r="C7" s="17" t="inlineStr">
        <is>
          <t>Internal CA (verify-full)</t>
        </is>
      </c>
      <c r="D7" s="17" t="inlineStr">
        <is>
          <t>✅ Compliant</t>
        </is>
      </c>
      <c r="E7" s="17" t="inlineStr">
        <is>
          <t>/evidence/a824/6.1-db-tls-config-20260218.txt</t>
        </is>
      </c>
      <c r="F7" s="17" t="inlineStr">
        <is>
          <t>None</t>
        </is>
      </c>
      <c r="G7" s="17" t="inlineStr">
        <is>
          <t>❌ No</t>
        </is>
      </c>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2">
      <c r="A32" s="19" t="inlineStr">
        <is>
          <t>Additional Details</t>
        </is>
      </c>
    </row>
    <row r="33">
      <c r="A33" s="14" t="inlineStr">
        <is>
          <t>Database systems in use:</t>
        </is>
      </c>
      <c r="B33" s="18" t="n"/>
      <c r="C33" s="6" t="n"/>
      <c r="D33" s="6" t="n"/>
    </row>
    <row r="34">
      <c r="A34" s="14" t="inlineStr">
        <is>
          <t>Connection encryption enforced:</t>
        </is>
      </c>
      <c r="B34" s="18" t="n"/>
      <c r="C34" s="6" t="n"/>
      <c r="D34" s="6" t="n"/>
    </row>
    <row r="36">
      <c r="A36" s="19" t="inlineStr">
        <is>
          <t>COMPLIANCE CHECKLIST</t>
        </is>
      </c>
    </row>
    <row r="37">
      <c r="A37" s="14" t="inlineStr">
        <is>
          <t>☐</t>
        </is>
      </c>
      <c r="B37" s="14" t="inlineStr">
        <is>
          <t>Requirement</t>
        </is>
      </c>
      <c r="C37" s="14" t="inlineStr">
        <is>
          <t>Status</t>
        </is>
      </c>
    </row>
    <row r="38">
      <c r="A38" t="inlineStr">
        <is>
          <t>☐</t>
        </is>
      </c>
      <c r="B38" t="inlineStr">
        <is>
          <t>Database connections encrypted (TLS/SSL)</t>
        </is>
      </c>
      <c r="C38" s="15" t="n"/>
    </row>
    <row r="39">
      <c r="A39" t="inlineStr">
        <is>
          <t>☐</t>
        </is>
      </c>
      <c r="B39" t="inlineStr">
        <is>
          <t>Certificate validation enabled (not 'trust any certificate')</t>
        </is>
      </c>
      <c r="C39" s="15" t="n"/>
    </row>
    <row r="40">
      <c r="A40" t="inlineStr">
        <is>
          <t>☐</t>
        </is>
      </c>
      <c r="B40" t="inlineStr">
        <is>
          <t>Self-signed certificates only for internal databases (with proper CA)</t>
        </is>
      </c>
      <c r="C40" s="15" t="n"/>
    </row>
    <row r="41">
      <c r="A41" t="inlineStr">
        <is>
          <t>☐</t>
        </is>
      </c>
      <c r="B41" t="inlineStr">
        <is>
          <t>Unencrypted connections disabled or documented exception</t>
        </is>
      </c>
      <c r="C41" s="15" t="n"/>
    </row>
    <row r="42">
      <c r="A42" s="14" t="inlineStr">
        <is>
          <t>Checklist Score:</t>
        </is>
      </c>
      <c r="B42" s="20">
        <f>IFERROR(ROUND(COUNTIF(C38:C41,"✅ Yes")/COUNTA(C38:C41)*100,0)&amp;"%","0%")</f>
        <v/>
      </c>
    </row>
    <row r="44">
      <c r="A44" s="21" t="inlineStr">
        <is>
          <t>EXCEPTION / DEVIATION DOCUMENTATION (Complete if Status = Partial or Non-Compliant)</t>
        </is>
      </c>
      <c r="B44" s="6" t="n"/>
      <c r="C44" s="6" t="n"/>
      <c r="D44" s="6" t="n"/>
      <c r="E44" s="6" t="n"/>
      <c r="F44" s="6" t="n"/>
      <c r="G44" s="6" t="n"/>
      <c r="H44" s="6" t="n"/>
    </row>
    <row r="45">
      <c r="A45" s="14" t="inlineStr">
        <is>
          <t>Formal exception request submitted:</t>
        </is>
      </c>
      <c r="B45" s="18" t="n"/>
      <c r="C45" s="6" t="n"/>
      <c r="D45" s="6" t="n"/>
    </row>
    <row r="46">
      <c r="A46" s="14" t="inlineStr">
        <is>
          <t>Exception ID:</t>
        </is>
      </c>
      <c r="B46" s="18" t="n"/>
      <c r="C46" s="6" t="n"/>
      <c r="D46" s="6" t="n"/>
    </row>
    <row r="47">
      <c r="A47" s="14" t="inlineStr">
        <is>
          <t>Risk acceptance documented:</t>
        </is>
      </c>
      <c r="B47" s="18" t="n"/>
      <c r="C47" s="6" t="n"/>
      <c r="D47" s="6" t="n"/>
    </row>
    <row r="48">
      <c r="A48" s="14" t="inlineStr">
        <is>
          <t>Risk ID:</t>
        </is>
      </c>
      <c r="B48" s="18" t="n"/>
      <c r="C48" s="6" t="n"/>
      <c r="D48" s="6" t="n"/>
    </row>
    <row r="49">
      <c r="A49" s="14" t="inlineStr">
        <is>
          <t>Compensating Controls (summary):</t>
        </is>
      </c>
      <c r="B49" s="18" t="n"/>
      <c r="C49" s="6" t="n"/>
      <c r="D49" s="6" t="n"/>
    </row>
    <row r="50">
      <c r="A50" s="14" t="inlineStr">
        <is>
          <t>☐ Network segmentation / firewall restrictions</t>
        </is>
      </c>
      <c r="B50" s="18" t="n"/>
      <c r="C50" s="6" t="n"/>
      <c r="D50" s="6" t="n"/>
    </row>
    <row r="51">
      <c r="A51" s="14" t="inlineStr">
        <is>
          <t>☐ Enhanced monitoring / alerting</t>
        </is>
      </c>
      <c r="B51" s="18" t="n"/>
      <c r="C51" s="6" t="n"/>
      <c r="D51" s="6" t="n"/>
    </row>
    <row r="52">
      <c r="A52" s="14" t="inlineStr">
        <is>
          <t>☐ IP allowlisting / access restrictions</t>
        </is>
      </c>
      <c r="B52" s="18" t="n"/>
      <c r="C52" s="6" t="n"/>
      <c r="D52" s="6" t="n"/>
    </row>
    <row r="53">
      <c r="A53" s="14" t="inlineStr">
        <is>
          <t>☐ Other (describe):</t>
        </is>
      </c>
      <c r="B53" s="18" t="n"/>
      <c r="C53" s="6" t="n"/>
      <c r="D53" s="6" t="n"/>
    </row>
    <row r="54">
      <c r="A54" s="14" t="inlineStr">
        <is>
          <t>Remediation actions required:</t>
        </is>
      </c>
      <c r="B54" s="18" t="n"/>
      <c r="C54" s="6" t="n"/>
      <c r="D54" s="6" t="n"/>
    </row>
    <row r="55">
      <c r="A55" s="14" t="inlineStr">
        <is>
          <t>Responsible person:</t>
        </is>
      </c>
      <c r="B55" s="18" t="n"/>
      <c r="C55" s="6" t="n"/>
      <c r="D55" s="6" t="n"/>
    </row>
    <row r="56">
      <c r="A56" s="14" t="inlineStr">
        <is>
          <t>Target completion date:</t>
        </is>
      </c>
      <c r="B56" s="18" t="n"/>
      <c r="C56" s="6" t="n"/>
      <c r="D56" s="6" t="n"/>
    </row>
    <row r="57">
      <c r="A57" s="14" t="inlineStr">
        <is>
          <t>Budget required:</t>
        </is>
      </c>
      <c r="B57" s="18" t="n"/>
      <c r="C57" s="6" t="n"/>
      <c r="D57" s="6" t="n"/>
    </row>
    <row r="59">
      <c r="A59" s="22" t="inlineStr">
        <is>
          <t>ADDITIONAL NOTES / COMMENTS</t>
        </is>
      </c>
      <c r="B59" s="6" t="n"/>
      <c r="C59" s="6" t="n"/>
      <c r="D59" s="6" t="n"/>
      <c r="E59" s="6" t="n"/>
      <c r="F59" s="6" t="n"/>
      <c r="G59" s="6" t="n"/>
      <c r="H59" s="6" t="n"/>
    </row>
    <row r="60">
      <c r="A60" s="23" t="n"/>
      <c r="B60" s="6" t="n"/>
      <c r="C60" s="6" t="n"/>
      <c r="D60" s="6" t="n"/>
      <c r="E60" s="6" t="n"/>
      <c r="F60" s="6" t="n"/>
      <c r="G60" s="6" t="n"/>
      <c r="H60" s="6" t="n"/>
    </row>
    <row r="61">
      <c r="A61" s="6" t="n"/>
      <c r="B61" s="6" t="n"/>
      <c r="C61" s="6" t="n"/>
      <c r="D61" s="6" t="n"/>
      <c r="E61" s="6" t="n"/>
      <c r="F61" s="6" t="n"/>
      <c r="G61" s="6" t="n"/>
      <c r="H61" s="6" t="n"/>
    </row>
    <row r="62">
      <c r="A62" s="6" t="n"/>
      <c r="B62" s="6" t="n"/>
      <c r="C62" s="6" t="n"/>
      <c r="D62" s="6" t="n"/>
      <c r="E62" s="6" t="n"/>
      <c r="F62" s="6" t="n"/>
      <c r="G62" s="6" t="n"/>
      <c r="H62" s="6" t="n"/>
    </row>
    <row r="63">
      <c r="A63" s="6" t="n"/>
      <c r="B63" s="6" t="n"/>
      <c r="C63" s="6" t="n"/>
      <c r="D63" s="6" t="n"/>
      <c r="E63" s="6" t="n"/>
      <c r="F63" s="6" t="n"/>
      <c r="G63" s="6" t="n"/>
      <c r="H63" s="6" t="n"/>
    </row>
    <row r="64">
      <c r="A64" s="6" t="n"/>
      <c r="B64" s="6" t="n"/>
      <c r="C64" s="6" t="n"/>
      <c r="D64" s="6" t="n"/>
      <c r="E64" s="6" t="n"/>
      <c r="F64" s="6" t="n"/>
      <c r="G64" s="6" t="n"/>
      <c r="H64" s="6" t="n"/>
    </row>
    <row r="65">
      <c r="A65" s="6" t="n"/>
      <c r="B65" s="6" t="n"/>
      <c r="C65" s="6" t="n"/>
      <c r="D65" s="6" t="n"/>
      <c r="E65" s="6" t="n"/>
      <c r="F65" s="6" t="n"/>
      <c r="G65" s="6" t="n"/>
      <c r="H65" s="6" t="n"/>
    </row>
  </sheetData>
  <mergeCells count="20">
    <mergeCell ref="A59:H59"/>
    <mergeCell ref="B57:D57"/>
    <mergeCell ref="B53:D53"/>
    <mergeCell ref="A1:H1"/>
    <mergeCell ref="B34:D34"/>
    <mergeCell ref="B49:D49"/>
    <mergeCell ref="B55:D55"/>
    <mergeCell ref="B51:D51"/>
    <mergeCell ref="B33:D33"/>
    <mergeCell ref="A3:H3"/>
    <mergeCell ref="B45:D45"/>
    <mergeCell ref="B50:D50"/>
    <mergeCell ref="B47:D47"/>
    <mergeCell ref="B54:D54"/>
    <mergeCell ref="B46:D46"/>
    <mergeCell ref="A60:H65"/>
    <mergeCell ref="B56:D56"/>
    <mergeCell ref="B52:D52"/>
    <mergeCell ref="A44:H44"/>
    <mergeCell ref="B48:D48"/>
  </mergeCells>
  <dataValidations count="12">
    <dataValidation sqref="B4" showDropDown="0" showInputMessage="0" showErrorMessage="0" allowBlank="0" type="list">
      <formula1>"✅ Yes,❌ No,⚠️ Not Applicable"</formula1>
    </dataValidation>
    <dataValidation sqref="D8 D9 D10 D11 D12 D13 D14 D15 D16 D17 D18 D19 D20 D21 D22 D23 D24 D25 D26 D27 D28 D29 D30" showDropDown="0" showInputMessage="0" showErrorMessage="0" allowBlank="0" type="list">
      <formula1>"✅ Compliant,⚠️ Partial,❌ Non-Compliant,N/A"</formula1>
    </dataValidation>
    <dataValidation sqref="G8 G9 G10 G11 G12 G13 G14 G15 G16 G17 G18 G19 G20 G21 G22 G23 G24 G25 G26 G27 G28 G29 G30" showDropDown="0" showInputMessage="0" showErrorMessage="0" allowBlank="0" type="list">
      <formula1>"✅ Yes,❌ No"</formula1>
    </dataValidation>
    <dataValidation sqref="B33" showDropDown="0" showInputMessage="0" showErrorMessage="0" allowBlank="0" type="list">
      <formula1>"PostgreSQL,MySQL,MSSQL,Oracle,MongoDB,Other"</formula1>
    </dataValidation>
    <dataValidation sqref="B34" showDropDown="0" showInputMessage="0" showErrorMessage="0" allowBlank="0" type="list">
      <formula1>"✅ Yes,❌ No,⚠️ Mixed"</formula1>
    </dataValidation>
    <dataValidation sqref="C38" showDropDown="0" showInputMessage="0" showErrorMessage="0" allowBlank="0" type="list">
      <formula1>"✅ Yes,❌ No,N/A"</formula1>
    </dataValidation>
    <dataValidation sqref="C39" showDropDown="0" showInputMessage="0" showErrorMessage="0" allowBlank="0" type="list">
      <formula1>"✅ Yes,❌ No,N/A"</formula1>
    </dataValidation>
    <dataValidation sqref="C40" showDropDown="0" showInputMessage="0" showErrorMessage="0" allowBlank="0" type="list">
      <formula1>"✅ Yes,❌ No,N/A"</formula1>
    </dataValidation>
    <dataValidation sqref="C41" showDropDown="0" showInputMessage="0" showErrorMessage="0" allowBlank="0" type="list">
      <formula1>"✅ Yes,❌ No,N/A"</formula1>
    </dataValidation>
    <dataValidation sqref="B45" showDropDown="0" showInputMessage="0" showErrorMessage="0" allowBlank="0" type="list">
      <formula1>"✅ Yes,❌ No"</formula1>
    </dataValidation>
    <dataValidation sqref="B47" showDropDown="0" showInputMessage="0" showErrorMessage="0" allowBlank="0" type="list">
      <formula1>"✅ Yes,❌ No"</formula1>
    </dataValidation>
    <dataValidation sqref="B57" showDropDown="0" showInputMessage="0" showErrorMessage="0" allowBlank="0" type="list">
      <formula1>"✅ Yes,❌ No,⚠️ Unknown"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9"/>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22" customWidth="1" min="3" max="3"/>
    <col width="15" customWidth="1" min="4" max="4"/>
    <col width="30" customWidth="1" min="5" max="5"/>
    <col width="30" customWidth="1" min="6" max="6"/>
    <col width="16" customWidth="1" min="7" max="7"/>
  </cols>
  <sheetData>
    <row r="1" ht="35" customHeight="1">
      <c r="A1" s="11" t="inlineStr">
        <is>
          <t>6.2 WIRELESS NETWORKS
Policy Requirement: Wireless networks MUST use WPA3-Enterprise or WPA2-Enterprise minimum. WEP and WPA (original) PROHIBITED (Policy Section 2.2.6)</t>
        </is>
      </c>
      <c r="B1" s="6" t="n"/>
      <c r="C1" s="6" t="n"/>
      <c r="D1" s="6" t="n"/>
      <c r="E1" s="6" t="n"/>
      <c r="F1" s="6" t="n"/>
      <c r="G1" s="6" t="n"/>
      <c r="H1" s="6" t="n"/>
    </row>
    <row r="2">
      <c r="A2" s="12" t="inlineStr">
        <is>
          <t>ISO/IEC 27001:2022 | Control A.8.24: Use of Cryptography</t>
        </is>
      </c>
    </row>
    <row r="3" ht="30" customHeight="1">
      <c r="A3" s="13" t="inlineStr">
        <is>
          <t>Does your organisation have wireless networks?</t>
        </is>
      </c>
      <c r="B3" s="6" t="n"/>
      <c r="C3" s="6" t="n"/>
      <c r="D3" s="6" t="n"/>
      <c r="E3" s="6" t="n"/>
      <c r="F3" s="6" t="n"/>
      <c r="G3" s="6" t="n"/>
      <c r="H3" s="6" t="n"/>
    </row>
    <row r="4">
      <c r="A4" s="14" t="inlineStr">
        <is>
          <t>Response:</t>
        </is>
      </c>
      <c r="B4" s="15" t="n"/>
    </row>
    <row r="6">
      <c r="A6" s="16" t="inlineStr">
        <is>
          <t>Network SSID</t>
        </is>
      </c>
      <c r="B6" s="16" t="inlineStr">
        <is>
          <t>Encryption Standard</t>
        </is>
      </c>
      <c r="C6" s="16" t="inlineStr">
        <is>
          <t>Authentication Method</t>
        </is>
      </c>
      <c r="D6" s="16" t="inlineStr">
        <is>
          <t>Status</t>
        </is>
      </c>
      <c r="E6" s="16" t="inlineStr">
        <is>
          <t>Evidence Location</t>
        </is>
      </c>
      <c r="F6" s="16" t="inlineStr">
        <is>
          <t>Gap Description</t>
        </is>
      </c>
      <c r="G6" s="16" t="inlineStr">
        <is>
          <t>Remediation Needed</t>
        </is>
      </c>
    </row>
    <row r="7">
      <c r="A7" s="17" t="inlineStr">
        <is>
          <t>CORP-WIFI</t>
        </is>
      </c>
      <c r="B7" s="17" t="inlineStr">
        <is>
          <t>WPA3-Enterprise</t>
        </is>
      </c>
      <c r="C7" s="17" t="inlineStr">
        <is>
          <t>802.1X / EAP-TLS</t>
        </is>
      </c>
      <c r="D7" s="17" t="inlineStr">
        <is>
          <t>✅ Compliant</t>
        </is>
      </c>
      <c r="E7" s="17" t="inlineStr">
        <is>
          <t>/evidence/a824/6.2-wifi-controller-20260218.png</t>
        </is>
      </c>
      <c r="F7" s="17" t="inlineStr">
        <is>
          <t>None</t>
        </is>
      </c>
      <c r="G7" s="17" t="inlineStr">
        <is>
          <t>❌ No</t>
        </is>
      </c>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2">
      <c r="A32" s="19" t="inlineStr">
        <is>
          <t>Additional Details</t>
        </is>
      </c>
    </row>
    <row r="33">
      <c r="A33" s="14" t="inlineStr">
        <is>
          <t>Corporate WiFi encryption:</t>
        </is>
      </c>
      <c r="B33" s="18" t="n"/>
      <c r="C33" s="6" t="n"/>
      <c r="D33" s="6" t="n"/>
    </row>
    <row r="34">
      <c r="A34" s="14" t="inlineStr">
        <is>
          <t>Guest WiFi:</t>
        </is>
      </c>
      <c r="B34" s="18" t="n"/>
      <c r="C34" s="6" t="n"/>
      <c r="D34" s="6" t="n"/>
    </row>
    <row r="35">
      <c r="A35" s="14" t="inlineStr">
        <is>
          <t>802.1X authentication:</t>
        </is>
      </c>
      <c r="B35" s="18" t="n"/>
      <c r="C35" s="6" t="n"/>
      <c r="D35" s="6" t="n"/>
    </row>
    <row r="36">
      <c r="A36" s="14" t="inlineStr">
        <is>
          <t>WiFi password strength:</t>
        </is>
      </c>
      <c r="B36" s="18" t="n"/>
      <c r="C36" s="6" t="n"/>
      <c r="D36" s="6" t="n"/>
    </row>
    <row r="38">
      <c r="A38" s="19" t="inlineStr">
        <is>
          <t>COMPLIANCE CHECKLIST</t>
        </is>
      </c>
    </row>
    <row r="39">
      <c r="A39" s="14" t="inlineStr">
        <is>
          <t>☐</t>
        </is>
      </c>
      <c r="B39" s="14" t="inlineStr">
        <is>
          <t>Requirement</t>
        </is>
      </c>
      <c r="C39" s="14" t="inlineStr">
        <is>
          <t>Status</t>
        </is>
      </c>
    </row>
    <row r="40">
      <c r="A40" t="inlineStr">
        <is>
          <t>☐</t>
        </is>
      </c>
      <c r="B40" t="inlineStr">
        <is>
          <t>WPA3-Enterprise or WPA2-Enterprise for corporate networks</t>
        </is>
      </c>
      <c r="C40" s="15" t="n"/>
    </row>
    <row r="41">
      <c r="A41" t="inlineStr">
        <is>
          <t>☐</t>
        </is>
      </c>
      <c r="B41" t="inlineStr">
        <is>
          <t>802.1X with EAP-TLS (certificate-based) preferred</t>
        </is>
      </c>
      <c r="C41" s="15" t="n"/>
    </row>
    <row r="42">
      <c r="A42" t="inlineStr">
        <is>
          <t>☐</t>
        </is>
      </c>
      <c r="B42" t="inlineStr">
        <is>
          <t>WPA2-Personal only with strong passphrase (≥20 characters)</t>
        </is>
      </c>
      <c r="C42" s="15" t="n"/>
    </row>
    <row r="43">
      <c r="A43" t="inlineStr">
        <is>
          <t>☐</t>
        </is>
      </c>
      <c r="B43" t="inlineStr">
        <is>
          <t>WEP and WPA (original) NOT used</t>
        </is>
      </c>
      <c r="C43" s="15" t="n"/>
    </row>
    <row r="44">
      <c r="A44" t="inlineStr">
        <is>
          <t>☐</t>
        </is>
      </c>
      <c r="B44" t="inlineStr">
        <is>
          <t>Guest wireless isolated from corporate network</t>
        </is>
      </c>
      <c r="C44" s="15" t="n"/>
    </row>
    <row r="45">
      <c r="A45" t="inlineStr">
        <is>
          <t>☐</t>
        </is>
      </c>
      <c r="B45" t="inlineStr">
        <is>
          <t>WiFi passwords rotated quarterly (for PSK networks)</t>
        </is>
      </c>
      <c r="C45" s="15" t="n"/>
    </row>
    <row r="46">
      <c r="A46" s="14" t="inlineStr">
        <is>
          <t>Checklist Score:</t>
        </is>
      </c>
      <c r="B46" s="20">
        <f>IFERROR(ROUND(COUNTIF(C40:C45,"✅ Yes")/COUNTA(C40:C45)*100,0)&amp;"%","0%")</f>
        <v/>
      </c>
    </row>
    <row r="48">
      <c r="A48" s="21" t="inlineStr">
        <is>
          <t>EXCEPTION / DEVIATION DOCUMENTATION (Complete if Status = Partial or Non-Compliant)</t>
        </is>
      </c>
      <c r="B48" s="6" t="n"/>
      <c r="C48" s="6" t="n"/>
      <c r="D48" s="6" t="n"/>
      <c r="E48" s="6" t="n"/>
      <c r="F48" s="6" t="n"/>
      <c r="G48" s="6" t="n"/>
      <c r="H48" s="6" t="n"/>
    </row>
    <row r="49">
      <c r="A49" s="14" t="inlineStr">
        <is>
          <t>Formal exception request submitted:</t>
        </is>
      </c>
      <c r="B49" s="18" t="n"/>
      <c r="C49" s="6" t="n"/>
      <c r="D49" s="6" t="n"/>
    </row>
    <row r="50">
      <c r="A50" s="14" t="inlineStr">
        <is>
          <t>Exception ID:</t>
        </is>
      </c>
      <c r="B50" s="18" t="n"/>
      <c r="C50" s="6" t="n"/>
      <c r="D50" s="6" t="n"/>
    </row>
    <row r="51">
      <c r="A51" s="14" t="inlineStr">
        <is>
          <t>Risk acceptance documented:</t>
        </is>
      </c>
      <c r="B51" s="18" t="n"/>
      <c r="C51" s="6" t="n"/>
      <c r="D51" s="6" t="n"/>
    </row>
    <row r="52">
      <c r="A52" s="14" t="inlineStr">
        <is>
          <t>Risk ID:</t>
        </is>
      </c>
      <c r="B52" s="18" t="n"/>
      <c r="C52" s="6" t="n"/>
      <c r="D52" s="6" t="n"/>
    </row>
    <row r="53">
      <c r="A53" s="14" t="inlineStr">
        <is>
          <t>Compensating Controls (summary):</t>
        </is>
      </c>
      <c r="B53" s="18" t="n"/>
      <c r="C53" s="6" t="n"/>
      <c r="D53" s="6" t="n"/>
    </row>
    <row r="54">
      <c r="A54" s="14" t="inlineStr">
        <is>
          <t>☐ Network segmentation / firewall restrictions</t>
        </is>
      </c>
      <c r="B54" s="18" t="n"/>
      <c r="C54" s="6" t="n"/>
      <c r="D54" s="6" t="n"/>
    </row>
    <row r="55">
      <c r="A55" s="14" t="inlineStr">
        <is>
          <t>☐ Enhanced monitoring / alerting</t>
        </is>
      </c>
      <c r="B55" s="18" t="n"/>
      <c r="C55" s="6" t="n"/>
      <c r="D55" s="6" t="n"/>
    </row>
    <row r="56">
      <c r="A56" s="14" t="inlineStr">
        <is>
          <t>☐ IP allowlisting / access restrictions</t>
        </is>
      </c>
      <c r="B56" s="18" t="n"/>
      <c r="C56" s="6" t="n"/>
      <c r="D56" s="6" t="n"/>
    </row>
    <row r="57">
      <c r="A57" s="14" t="inlineStr">
        <is>
          <t>☐ Other (describe):</t>
        </is>
      </c>
      <c r="B57" s="18" t="n"/>
      <c r="C57" s="6" t="n"/>
      <c r="D57" s="6" t="n"/>
    </row>
    <row r="58">
      <c r="A58" s="14" t="inlineStr">
        <is>
          <t>Remediation actions required:</t>
        </is>
      </c>
      <c r="B58" s="18" t="n"/>
      <c r="C58" s="6" t="n"/>
      <c r="D58" s="6" t="n"/>
    </row>
    <row r="59">
      <c r="A59" s="14" t="inlineStr">
        <is>
          <t>Responsible person:</t>
        </is>
      </c>
      <c r="B59" s="18" t="n"/>
      <c r="C59" s="6" t="n"/>
      <c r="D59" s="6" t="n"/>
    </row>
    <row r="60">
      <c r="A60" s="14" t="inlineStr">
        <is>
          <t>Target completion date:</t>
        </is>
      </c>
      <c r="B60" s="18" t="n"/>
      <c r="C60" s="6" t="n"/>
      <c r="D60" s="6" t="n"/>
    </row>
    <row r="61">
      <c r="A61" s="14" t="inlineStr">
        <is>
          <t>Budget required:</t>
        </is>
      </c>
      <c r="B61" s="18" t="n"/>
      <c r="C61" s="6" t="n"/>
      <c r="D61" s="6" t="n"/>
    </row>
    <row r="63">
      <c r="A63" s="22" t="inlineStr">
        <is>
          <t>ADDITIONAL NOTES / COMMENTS</t>
        </is>
      </c>
      <c r="B63" s="6" t="n"/>
      <c r="C63" s="6" t="n"/>
      <c r="D63" s="6" t="n"/>
      <c r="E63" s="6" t="n"/>
      <c r="F63" s="6" t="n"/>
      <c r="G63" s="6" t="n"/>
      <c r="H63" s="6" t="n"/>
    </row>
    <row r="64">
      <c r="A64" s="23" t="n"/>
      <c r="B64" s="6" t="n"/>
      <c r="C64" s="6" t="n"/>
      <c r="D64" s="6" t="n"/>
      <c r="E64" s="6" t="n"/>
      <c r="F64" s="6" t="n"/>
      <c r="G64" s="6" t="n"/>
      <c r="H64" s="6" t="n"/>
    </row>
    <row r="65">
      <c r="A65" s="6" t="n"/>
      <c r="B65" s="6" t="n"/>
      <c r="C65" s="6" t="n"/>
      <c r="D65" s="6" t="n"/>
      <c r="E65" s="6" t="n"/>
      <c r="F65" s="6" t="n"/>
      <c r="G65" s="6" t="n"/>
      <c r="H65" s="6" t="n"/>
    </row>
    <row r="66">
      <c r="A66" s="6" t="n"/>
      <c r="B66" s="6" t="n"/>
      <c r="C66" s="6" t="n"/>
      <c r="D66" s="6" t="n"/>
      <c r="E66" s="6" t="n"/>
      <c r="F66" s="6" t="n"/>
      <c r="G66" s="6" t="n"/>
      <c r="H66" s="6" t="n"/>
    </row>
    <row r="67">
      <c r="A67" s="6" t="n"/>
      <c r="B67" s="6" t="n"/>
      <c r="C67" s="6" t="n"/>
      <c r="D67" s="6" t="n"/>
      <c r="E67" s="6" t="n"/>
      <c r="F67" s="6" t="n"/>
      <c r="G67" s="6" t="n"/>
      <c r="H67" s="6" t="n"/>
    </row>
    <row r="68">
      <c r="A68" s="6" t="n"/>
      <c r="B68" s="6" t="n"/>
      <c r="C68" s="6" t="n"/>
      <c r="D68" s="6" t="n"/>
      <c r="E68" s="6" t="n"/>
      <c r="F68" s="6" t="n"/>
      <c r="G68" s="6" t="n"/>
      <c r="H68" s="6" t="n"/>
    </row>
    <row r="69">
      <c r="A69" s="6" t="n"/>
      <c r="B69" s="6" t="n"/>
      <c r="C69" s="6" t="n"/>
      <c r="D69" s="6" t="n"/>
      <c r="E69" s="6" t="n"/>
      <c r="F69" s="6" t="n"/>
      <c r="G69" s="6" t="n"/>
      <c r="H69" s="6" t="n"/>
    </row>
  </sheetData>
  <mergeCells count="22">
    <mergeCell ref="A48:H48"/>
    <mergeCell ref="B60:D60"/>
    <mergeCell ref="B61:D61"/>
    <mergeCell ref="B57:D57"/>
    <mergeCell ref="B53:D53"/>
    <mergeCell ref="A1:H1"/>
    <mergeCell ref="B34:D34"/>
    <mergeCell ref="B49:D49"/>
    <mergeCell ref="B55:D55"/>
    <mergeCell ref="B51:D51"/>
    <mergeCell ref="B33:D33"/>
    <mergeCell ref="A3:H3"/>
    <mergeCell ref="B36:D36"/>
    <mergeCell ref="B35:D35"/>
    <mergeCell ref="B50:D50"/>
    <mergeCell ref="B54:D54"/>
    <mergeCell ref="B59:D59"/>
    <mergeCell ref="A63:H63"/>
    <mergeCell ref="A64:H69"/>
    <mergeCell ref="B56:D56"/>
    <mergeCell ref="B58:D58"/>
    <mergeCell ref="B52:D52"/>
  </mergeCells>
  <dataValidations count="16">
    <dataValidation sqref="B4" showDropDown="0" showInputMessage="0" showErrorMessage="0" allowBlank="0" type="list">
      <formula1>"✅ Yes,❌ No,⚠️ Not Applicable"</formula1>
    </dataValidation>
    <dataValidation sqref="D8 D9 D10 D11 D12 D13 D14 D15 D16 D17 D18 D19 D20 D21 D22 D23 D24 D25 D26 D27 D28 D29 D30" showDropDown="0" showInputMessage="0" showErrorMessage="0" allowBlank="0" type="list">
      <formula1>"✅ Compliant,⚠️ Partial,❌ Non-Compliant,N/A"</formula1>
    </dataValidation>
    <dataValidation sqref="G8 G9 G10 G11 G12 G13 G14 G15 G16 G17 G18 G19 G20 G21 G22 G23 G24 G25 G26 G27 G28 G29 G30" showDropDown="0" showInputMessage="0" showErrorMessage="0" allowBlank="0" type="list">
      <formula1>"✅ Yes,❌ No"</formula1>
    </dataValidation>
    <dataValidation sqref="B33" showDropDown="0" showInputMessage="0" showErrorMessage="0" allowBlank="0" type="list">
      <formula1>"WPA3-Enterprise,WPA2-Enterprise,WPA2-Personal,Other"</formula1>
    </dataValidation>
    <dataValidation sqref="B34" showDropDown="0" showInputMessage="0" showErrorMessage="0" allowBlank="0" type="list">
      <formula1>"Isolated network,Captive portal,Open (no encryption)"</formula1>
    </dataValidation>
    <dataValidation sqref="B35" showDropDown="0" showInputMessage="0" showErrorMessage="0" allowBlank="0" type="list">
      <formula1>"Implemented,Planned,Not implemented"</formula1>
    </dataValidation>
    <dataValidation sqref="B36" showDropDown="0" showInputMessage="0" showErrorMessage="0" allowBlank="0" type="list">
      <formula1>"≥20 characters,&lt;20 characters"</formula1>
    </dataValidation>
    <dataValidation sqref="C40" showDropDown="0" showInputMessage="0" showErrorMessage="0" allowBlank="0" type="list">
      <formula1>"✅ Yes,❌ No,N/A"</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C45" showDropDown="0" showInputMessage="0" showErrorMessage="0" allowBlank="0" type="list">
      <formula1>"✅ Yes,❌ No,N/A"</formula1>
    </dataValidation>
    <dataValidation sqref="B49" showDropDown="0" showInputMessage="0" showErrorMessage="0" allowBlank="0" type="list">
      <formula1>"✅ Yes,❌ No"</formula1>
    </dataValidation>
    <dataValidation sqref="B51" showDropDown="0" showInputMessage="0" showErrorMessage="0" allowBlank="0" type="list">
      <formula1>"✅ Yes,❌ No"</formula1>
    </dataValidation>
    <dataValidation sqref="B61" showDropDown="0" showInputMessage="0" showErrorMessage="0" allowBlank="0" type="list">
      <formula1>"✅ Yes,❌ No,⚠️ Unknown"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6"/>
  <sheetViews>
    <sheetView showGridLines="0" workbookViewId="0">
      <pane ySplit="6" topLeftCell="A7" activePane="bottomLeft" state="frozen"/>
      <selection pane="bottomLeft" activeCell="A1" sqref="A1"/>
    </sheetView>
  </sheetViews>
  <sheetFormatPr baseColWidth="8" defaultRowHeight="15"/>
  <cols>
    <col width="30" customWidth="1" min="1" max="1"/>
    <col width="22" customWidth="1" min="2" max="2"/>
    <col width="18" customWidth="1" min="3" max="3"/>
    <col width="15" customWidth="1" min="4" max="4"/>
    <col width="30" customWidth="1" min="5" max="5"/>
    <col width="30" customWidth="1" min="6" max="6"/>
    <col width="16" customWidth="1" min="7" max="7"/>
  </cols>
  <sheetData>
    <row r="1" ht="35" customHeight="1">
      <c r="A1" s="11" t="inlineStr">
        <is>
          <t>7.1 CLOUD DATA TRANSMISSION
Policy Requirement: Connections to cloud provider APIs MUST use TLS 1.2+. Private connectivity options (PrivateLink, Private Link, Private Service Connect) RECOMMENDED for high-volume or sensitive data (Policy Section 2.2.7)</t>
        </is>
      </c>
      <c r="B1" s="6" t="n"/>
      <c r="C1" s="6" t="n"/>
      <c r="D1" s="6" t="n"/>
      <c r="E1" s="6" t="n"/>
      <c r="F1" s="6" t="n"/>
      <c r="G1" s="6" t="n"/>
      <c r="H1" s="6" t="n"/>
    </row>
    <row r="2">
      <c r="A2" s="12" t="inlineStr">
        <is>
          <t>ISO/IEC 27001:2022 | Control A.8.24: Use of Cryptography</t>
        </is>
      </c>
    </row>
    <row r="3" ht="30" customHeight="1">
      <c r="A3" s="13" t="inlineStr">
        <is>
          <t>Does your organisation use cloud services (AWS, Azure, GCP, SaaS)?</t>
        </is>
      </c>
      <c r="B3" s="6" t="n"/>
      <c r="C3" s="6" t="n"/>
      <c r="D3" s="6" t="n"/>
      <c r="E3" s="6" t="n"/>
      <c r="F3" s="6" t="n"/>
      <c r="G3" s="6" t="n"/>
      <c r="H3" s="6" t="n"/>
    </row>
    <row r="4">
      <c r="A4" s="14" t="inlineStr">
        <is>
          <t>Response:</t>
        </is>
      </c>
      <c r="B4" s="15" t="n"/>
    </row>
    <row r="6">
      <c r="A6" s="16" t="inlineStr">
        <is>
          <t>Cloud Provider/Service</t>
        </is>
      </c>
      <c r="B6" s="16" t="inlineStr">
        <is>
          <t>Connection Method</t>
        </is>
      </c>
      <c r="C6" s="16" t="inlineStr">
        <is>
          <t>Encryption</t>
        </is>
      </c>
      <c r="D6" s="16" t="inlineStr">
        <is>
          <t>Status</t>
        </is>
      </c>
      <c r="E6" s="16" t="inlineStr">
        <is>
          <t>Evidence Location</t>
        </is>
      </c>
      <c r="F6" s="16" t="inlineStr">
        <is>
          <t>Gap Description</t>
        </is>
      </c>
      <c r="G6" s="16" t="inlineStr">
        <is>
          <t>Remediation Needed</t>
        </is>
      </c>
    </row>
    <row r="7">
      <c r="A7" s="17" t="inlineStr">
        <is>
          <t>AWS S3 (data backups)</t>
        </is>
      </c>
      <c r="B7" s="17" t="inlineStr">
        <is>
          <t>HTTPS/TLS 1.3</t>
        </is>
      </c>
      <c r="C7" s="17" t="inlineStr">
        <is>
          <t>AES-256 (in transit + at rest)</t>
        </is>
      </c>
      <c r="D7" s="17" t="inlineStr">
        <is>
          <t>✅ Compliant</t>
        </is>
      </c>
      <c r="E7" s="17" t="inlineStr">
        <is>
          <t>/evidence/a824/7.1-aws-config-20260218.pdf</t>
        </is>
      </c>
      <c r="F7" s="17" t="inlineStr">
        <is>
          <t>None</t>
        </is>
      </c>
      <c r="G7" s="17" t="inlineStr">
        <is>
          <t>❌ No</t>
        </is>
      </c>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2">
      <c r="A32" s="19" t="inlineStr">
        <is>
          <t>Additional Details</t>
        </is>
      </c>
    </row>
    <row r="33">
      <c r="A33" s="14" t="inlineStr">
        <is>
          <t>Connection type:</t>
        </is>
      </c>
      <c r="B33" s="18" t="n"/>
      <c r="C33" s="6" t="n"/>
      <c r="D33" s="6" t="n"/>
    </row>
    <row r="34">
      <c r="A34" s="14" t="inlineStr">
        <is>
          <t>Data classification transmitted:</t>
        </is>
      </c>
      <c r="B34" s="18" t="n"/>
      <c r="C34" s="6" t="n"/>
      <c r="D34" s="6" t="n"/>
    </row>
    <row r="35">
      <c r="A35" s="14" t="inlineStr">
        <is>
          <t>Cloud providers used:</t>
        </is>
      </c>
      <c r="B35" s="18" t="n"/>
      <c r="C35" s="6" t="n"/>
      <c r="D35" s="6" t="n"/>
    </row>
    <row r="37">
      <c r="A37" s="19" t="inlineStr">
        <is>
          <t>COMPLIANCE CHECKLIST</t>
        </is>
      </c>
    </row>
    <row r="38">
      <c r="A38" s="14" t="inlineStr">
        <is>
          <t>☐</t>
        </is>
      </c>
      <c r="B38" s="14" t="inlineStr">
        <is>
          <t>Requirement</t>
        </is>
      </c>
      <c r="C38" s="14" t="inlineStr">
        <is>
          <t>Status</t>
        </is>
      </c>
    </row>
    <row r="39">
      <c r="A39" t="inlineStr">
        <is>
          <t>☐</t>
        </is>
      </c>
      <c r="B39" t="inlineStr">
        <is>
          <t>TLS 1.2+ for all cloud API connections</t>
        </is>
      </c>
      <c r="C39" s="15" t="n"/>
    </row>
    <row r="40">
      <c r="A40" t="inlineStr">
        <is>
          <t>☐</t>
        </is>
      </c>
      <c r="B40" t="inlineStr">
        <is>
          <t>Private connectivity for Confidential/Restricted data (preferred)</t>
        </is>
      </c>
      <c r="C40" s="15" t="n"/>
    </row>
    <row r="41">
      <c r="A41" t="inlineStr">
        <is>
          <t>☐</t>
        </is>
      </c>
      <c r="B41" t="inlineStr">
        <is>
          <t>Cloud provider native encryption enabled</t>
        </is>
      </c>
      <c r="C41" s="15" t="n"/>
    </row>
    <row r="42">
      <c r="A42" t="inlineStr">
        <is>
          <t>☐</t>
        </is>
      </c>
      <c r="B42" t="inlineStr">
        <is>
          <t>Data encrypted in transit to/from cloud</t>
        </is>
      </c>
      <c r="C42" s="15" t="n"/>
    </row>
    <row r="43">
      <c r="A43" s="14" t="inlineStr">
        <is>
          <t>Checklist Score:</t>
        </is>
      </c>
      <c r="B43" s="20">
        <f>IFERROR(ROUND(COUNTIF(C39:C42,"✅ Yes")/COUNTA(C39:C42)*100,0)&amp;"%","0%")</f>
        <v/>
      </c>
    </row>
    <row r="45">
      <c r="A45" s="21" t="inlineStr">
        <is>
          <t>EXCEPTION / DEVIATION DOCUMENTATION (Complete if Status = Partial or Non-Compliant)</t>
        </is>
      </c>
      <c r="B45" s="6" t="n"/>
      <c r="C45" s="6" t="n"/>
      <c r="D45" s="6" t="n"/>
      <c r="E45" s="6" t="n"/>
      <c r="F45" s="6" t="n"/>
      <c r="G45" s="6" t="n"/>
      <c r="H45" s="6" t="n"/>
    </row>
    <row r="46">
      <c r="A46" s="14" t="inlineStr">
        <is>
          <t>Formal exception request submitted:</t>
        </is>
      </c>
      <c r="B46" s="18" t="n"/>
      <c r="C46" s="6" t="n"/>
      <c r="D46" s="6" t="n"/>
    </row>
    <row r="47">
      <c r="A47" s="14" t="inlineStr">
        <is>
          <t>Exception ID:</t>
        </is>
      </c>
      <c r="B47" s="18" t="n"/>
      <c r="C47" s="6" t="n"/>
      <c r="D47" s="6" t="n"/>
    </row>
    <row r="48">
      <c r="A48" s="14" t="inlineStr">
        <is>
          <t>Risk acceptance documented:</t>
        </is>
      </c>
      <c r="B48" s="18" t="n"/>
      <c r="C48" s="6" t="n"/>
      <c r="D48" s="6" t="n"/>
    </row>
    <row r="49">
      <c r="A49" s="14" t="inlineStr">
        <is>
          <t>Risk ID:</t>
        </is>
      </c>
      <c r="B49" s="18" t="n"/>
      <c r="C49" s="6" t="n"/>
      <c r="D49" s="6" t="n"/>
    </row>
    <row r="50">
      <c r="A50" s="14" t="inlineStr">
        <is>
          <t>Compensating Controls (summary):</t>
        </is>
      </c>
      <c r="B50" s="18" t="n"/>
      <c r="C50" s="6" t="n"/>
      <c r="D50" s="6" t="n"/>
    </row>
    <row r="51">
      <c r="A51" s="14" t="inlineStr">
        <is>
          <t>☐ Network segmentation / firewall restrictions</t>
        </is>
      </c>
      <c r="B51" s="18" t="n"/>
      <c r="C51" s="6" t="n"/>
      <c r="D51" s="6" t="n"/>
    </row>
    <row r="52">
      <c r="A52" s="14" t="inlineStr">
        <is>
          <t>☐ Enhanced monitoring / alerting</t>
        </is>
      </c>
      <c r="B52" s="18" t="n"/>
      <c r="C52" s="6" t="n"/>
      <c r="D52" s="6" t="n"/>
    </row>
    <row r="53">
      <c r="A53" s="14" t="inlineStr">
        <is>
          <t>☐ IP allowlisting / access restrictions</t>
        </is>
      </c>
      <c r="B53" s="18" t="n"/>
      <c r="C53" s="6" t="n"/>
      <c r="D53" s="6" t="n"/>
    </row>
    <row r="54">
      <c r="A54" s="14" t="inlineStr">
        <is>
          <t>☐ Other (describe):</t>
        </is>
      </c>
      <c r="B54" s="18" t="n"/>
      <c r="C54" s="6" t="n"/>
      <c r="D54" s="6" t="n"/>
    </row>
    <row r="55">
      <c r="A55" s="14" t="inlineStr">
        <is>
          <t>Remediation actions required:</t>
        </is>
      </c>
      <c r="B55" s="18" t="n"/>
      <c r="C55" s="6" t="n"/>
      <c r="D55" s="6" t="n"/>
    </row>
    <row r="56">
      <c r="A56" s="14" t="inlineStr">
        <is>
          <t>Responsible person:</t>
        </is>
      </c>
      <c r="B56" s="18" t="n"/>
      <c r="C56" s="6" t="n"/>
      <c r="D56" s="6" t="n"/>
    </row>
    <row r="57">
      <c r="A57" s="14" t="inlineStr">
        <is>
          <t>Target completion date:</t>
        </is>
      </c>
      <c r="B57" s="18" t="n"/>
      <c r="C57" s="6" t="n"/>
      <c r="D57" s="6" t="n"/>
    </row>
    <row r="58">
      <c r="A58" s="14" t="inlineStr">
        <is>
          <t>Budget required:</t>
        </is>
      </c>
      <c r="B58" s="18" t="n"/>
      <c r="C58" s="6" t="n"/>
      <c r="D58" s="6" t="n"/>
    </row>
    <row r="60">
      <c r="A60" s="22" t="inlineStr">
        <is>
          <t>ADDITIONAL NOTES / COMMENTS</t>
        </is>
      </c>
      <c r="B60" s="6" t="n"/>
      <c r="C60" s="6" t="n"/>
      <c r="D60" s="6" t="n"/>
      <c r="E60" s="6" t="n"/>
      <c r="F60" s="6" t="n"/>
      <c r="G60" s="6" t="n"/>
      <c r="H60" s="6" t="n"/>
    </row>
    <row r="61">
      <c r="A61" s="23" t="n"/>
      <c r="B61" s="6" t="n"/>
      <c r="C61" s="6" t="n"/>
      <c r="D61" s="6" t="n"/>
      <c r="E61" s="6" t="n"/>
      <c r="F61" s="6" t="n"/>
      <c r="G61" s="6" t="n"/>
      <c r="H61" s="6" t="n"/>
    </row>
    <row r="62">
      <c r="A62" s="6" t="n"/>
      <c r="B62" s="6" t="n"/>
      <c r="C62" s="6" t="n"/>
      <c r="D62" s="6" t="n"/>
      <c r="E62" s="6" t="n"/>
      <c r="F62" s="6" t="n"/>
      <c r="G62" s="6" t="n"/>
      <c r="H62" s="6" t="n"/>
    </row>
    <row r="63">
      <c r="A63" s="6" t="n"/>
      <c r="B63" s="6" t="n"/>
      <c r="C63" s="6" t="n"/>
      <c r="D63" s="6" t="n"/>
      <c r="E63" s="6" t="n"/>
      <c r="F63" s="6" t="n"/>
      <c r="G63" s="6" t="n"/>
      <c r="H63" s="6" t="n"/>
    </row>
    <row r="64">
      <c r="A64" s="6" t="n"/>
      <c r="B64" s="6" t="n"/>
      <c r="C64" s="6" t="n"/>
      <c r="D64" s="6" t="n"/>
      <c r="E64" s="6" t="n"/>
      <c r="F64" s="6" t="n"/>
      <c r="G64" s="6" t="n"/>
      <c r="H64" s="6" t="n"/>
    </row>
    <row r="65">
      <c r="A65" s="6" t="n"/>
      <c r="B65" s="6" t="n"/>
      <c r="C65" s="6" t="n"/>
      <c r="D65" s="6" t="n"/>
      <c r="E65" s="6" t="n"/>
      <c r="F65" s="6" t="n"/>
      <c r="G65" s="6" t="n"/>
      <c r="H65" s="6" t="n"/>
    </row>
    <row r="66">
      <c r="A66" s="6" t="n"/>
      <c r="B66" s="6" t="n"/>
      <c r="C66" s="6" t="n"/>
      <c r="D66" s="6" t="n"/>
      <c r="E66" s="6" t="n"/>
      <c r="F66" s="6" t="n"/>
      <c r="G66" s="6" t="n"/>
      <c r="H66" s="6" t="n"/>
    </row>
  </sheetData>
  <mergeCells count="21">
    <mergeCell ref="B57:D57"/>
    <mergeCell ref="A60:H60"/>
    <mergeCell ref="B53:D53"/>
    <mergeCell ref="A45:H45"/>
    <mergeCell ref="A1:H1"/>
    <mergeCell ref="B34:D34"/>
    <mergeCell ref="B49:D49"/>
    <mergeCell ref="B55:D55"/>
    <mergeCell ref="B51:D51"/>
    <mergeCell ref="B33:D33"/>
    <mergeCell ref="A3:H3"/>
    <mergeCell ref="B35:D35"/>
    <mergeCell ref="B50:D50"/>
    <mergeCell ref="B47:D47"/>
    <mergeCell ref="B54:D54"/>
    <mergeCell ref="B46:D46"/>
    <mergeCell ref="B56:D56"/>
    <mergeCell ref="B58:D58"/>
    <mergeCell ref="B52:D52"/>
    <mergeCell ref="A61:H66"/>
    <mergeCell ref="B48:D48"/>
  </mergeCells>
  <dataValidations count="13">
    <dataValidation sqref="B4" showDropDown="0" showInputMessage="0" showErrorMessage="0" allowBlank="0" type="list">
      <formula1>"✅ Yes,❌ No,⚠️ Not Applicable"</formula1>
    </dataValidation>
    <dataValidation sqref="D8 D9 D10 D11 D12 D13 D14 D15 D16 D17 D18 D19 D20 D21 D22 D23 D24 D25 D26 D27 D28 D29 D30" showDropDown="0" showInputMessage="0" showErrorMessage="0" allowBlank="0" type="list">
      <formula1>"✅ Compliant,⚠️ Partial,❌ Non-Compliant,N/A"</formula1>
    </dataValidation>
    <dataValidation sqref="G8 G9 G10 G11 G12 G13 G14 G15 G16 G17 G18 G19 G20 G21 G22 G23 G24 G25 G26 G27 G28 G29 G30" showDropDown="0" showInputMessage="0" showErrorMessage="0" allowBlank="0" type="list">
      <formula1>"✅ Yes,❌ No"</formula1>
    </dataValidation>
    <dataValidation sqref="B33" showDropDown="0" showInputMessage="0" showErrorMessage="0" allowBlank="0" type="list">
      <formula1>"Public internet (TLS),VPN,Private Link/PrivateLink,Direct Connect/ExpressRoute"</formula1>
    </dataValidation>
    <dataValidation sqref="B34" showDropDown="0" showInputMessage="0" showErrorMessage="0" allowBlank="0" type="list">
      <formula1>"Public,Internal,Confidential,Restricted"</formula1>
    </dataValidation>
    <dataValidation sqref="B35" showDropDown="0" showInputMessage="0" showErrorMessage="0" allowBlank="0" type="list">
      <formula1>"AWS,Azure,GCP,Office 365,Salesforce,Other"</formula1>
    </dataValidation>
    <dataValidation sqref="C39" showDropDown="0" showInputMessage="0" showErrorMessage="0" allowBlank="0" type="list">
      <formula1>"✅ Yes,❌ No,N/A"</formula1>
    </dataValidation>
    <dataValidation sqref="C40" showDropDown="0" showInputMessage="0" showErrorMessage="0" allowBlank="0" type="list">
      <formula1>"✅ Yes,❌ No,N/A"</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B46" showDropDown="0" showInputMessage="0" showErrorMessage="0" allowBlank="0" type="list">
      <formula1>"✅ Yes,❌ No"</formula1>
    </dataValidation>
    <dataValidation sqref="B48" showDropDown="0" showInputMessage="0" showErrorMessage="0" allowBlank="0" type="list">
      <formula1>"✅ Yes,❌ No"</formula1>
    </dataValidation>
    <dataValidation sqref="B58" showDropDown="0" showInputMessage="0" showErrorMessage="0" allowBlank="0" type="list">
      <formula1>"✅ Yes,❌ No,⚠️ Unknown"</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4" t="inlineStr">
        <is>
          <t>EVIDENCE REGISTER</t>
        </is>
      </c>
    </row>
    <row r="2">
      <c r="A2" s="25" t="inlineStr">
        <is>
          <t>List all evidence files/documents referenced in this assessment (audit traceability).</t>
        </is>
      </c>
    </row>
    <row r="4">
      <c r="A4" s="26" t="inlineStr">
        <is>
          <t>Evidence ID</t>
        </is>
      </c>
      <c r="B4" s="26" t="inlineStr">
        <is>
          <t>Assessment Area</t>
        </is>
      </c>
      <c r="C4" s="26" t="inlineStr">
        <is>
          <t>Evidence Type</t>
        </is>
      </c>
      <c r="D4" s="26" t="inlineStr">
        <is>
          <t>Description</t>
        </is>
      </c>
      <c r="E4" s="26" t="inlineStr">
        <is>
          <t>Location/Path</t>
        </is>
      </c>
      <c r="F4" s="26" t="inlineStr">
        <is>
          <t>Date Collected</t>
        </is>
      </c>
      <c r="G4" s="26" t="inlineStr">
        <is>
          <t>Collected By</t>
        </is>
      </c>
      <c r="H4" s="26" t="inlineStr">
        <is>
          <t>Verification Status</t>
        </is>
      </c>
    </row>
    <row r="5">
      <c r="A5" s="27" t="inlineStr">
        <is>
          <t>EV-001</t>
        </is>
      </c>
      <c r="B5" s="28" t="inlineStr">
        <is>
          <t>1.1 External HTTPS-TLS</t>
        </is>
      </c>
      <c r="C5" s="28" t="inlineStr">
        <is>
          <t>Configuration file</t>
        </is>
      </c>
      <c r="D5" s="28" t="inlineStr">
        <is>
          <t>TLS/encryption configuration export for audit evidence</t>
        </is>
      </c>
      <c r="E5" s="28" t="inlineStr">
        <is>
          <t>/evidence/a824/config-export-2025.txt</t>
        </is>
      </c>
      <c r="F5" s="28" t="inlineStr">
        <is>
          <t>01.01.2025</t>
        </is>
      </c>
      <c r="G5" s="28" t="inlineStr">
        <is>
          <t>Security Team</t>
        </is>
      </c>
      <c r="H5" s="28" t="inlineStr">
        <is>
          <t>✅ Verified</t>
        </is>
      </c>
    </row>
    <row r="6">
      <c r="A6" s="18" t="n"/>
      <c r="B6" s="18" t="n"/>
      <c r="C6" s="18" t="n"/>
      <c r="D6" s="18" t="n"/>
      <c r="E6" s="18" t="n"/>
      <c r="F6" s="18" t="n"/>
      <c r="G6" s="18" t="n"/>
      <c r="H6" s="18"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row r="57">
      <c r="A57" s="18" t="n"/>
      <c r="B57" s="18" t="n"/>
      <c r="C57" s="18" t="n"/>
      <c r="D57" s="18" t="n"/>
      <c r="E57" s="18" t="n"/>
      <c r="F57" s="18" t="n"/>
      <c r="G57" s="18" t="n"/>
      <c r="H57" s="18" t="n"/>
    </row>
    <row r="58">
      <c r="A58" s="18" t="n"/>
      <c r="B58" s="18" t="n"/>
      <c r="C58" s="18" t="n"/>
      <c r="D58" s="18" t="n"/>
      <c r="E58" s="18" t="n"/>
      <c r="F58" s="18" t="n"/>
      <c r="G58" s="18" t="n"/>
      <c r="H58" s="18" t="n"/>
    </row>
    <row r="59">
      <c r="A59" s="18" t="n"/>
      <c r="B59" s="18" t="n"/>
      <c r="C59" s="18" t="n"/>
      <c r="D59" s="18" t="n"/>
      <c r="E59" s="18" t="n"/>
      <c r="F59" s="18" t="n"/>
      <c r="G59" s="18" t="n"/>
      <c r="H59" s="18" t="n"/>
    </row>
    <row r="60">
      <c r="A60" s="18" t="n"/>
      <c r="B60" s="18" t="n"/>
      <c r="C60" s="18" t="n"/>
      <c r="D60" s="18" t="n"/>
      <c r="E60" s="18" t="n"/>
      <c r="F60" s="18" t="n"/>
      <c r="G60" s="18" t="n"/>
      <c r="H60" s="18" t="n"/>
    </row>
    <row r="61">
      <c r="A61" s="18" t="n"/>
      <c r="B61" s="18" t="n"/>
      <c r="C61" s="18" t="n"/>
      <c r="D61" s="18" t="n"/>
      <c r="E61" s="18" t="n"/>
      <c r="F61" s="18" t="n"/>
      <c r="G61" s="18" t="n"/>
      <c r="H61" s="18" t="n"/>
    </row>
    <row r="62">
      <c r="A62" s="18" t="n"/>
      <c r="B62" s="18" t="n"/>
      <c r="C62" s="18" t="n"/>
      <c r="D62" s="18" t="n"/>
      <c r="E62" s="18" t="n"/>
      <c r="F62" s="18" t="n"/>
      <c r="G62" s="18" t="n"/>
      <c r="H62" s="18" t="n"/>
    </row>
    <row r="63">
      <c r="A63" s="18" t="n"/>
      <c r="B63" s="18" t="n"/>
      <c r="C63" s="18" t="n"/>
      <c r="D63" s="18" t="n"/>
      <c r="E63" s="18" t="n"/>
      <c r="F63" s="18" t="n"/>
      <c r="G63" s="18" t="n"/>
      <c r="H63" s="18" t="n"/>
    </row>
    <row r="64">
      <c r="A64" s="18" t="n"/>
      <c r="B64" s="18" t="n"/>
      <c r="C64" s="18" t="n"/>
      <c r="D64" s="18" t="n"/>
      <c r="E64" s="18" t="n"/>
      <c r="F64" s="18" t="n"/>
      <c r="G64" s="18" t="n"/>
      <c r="H64" s="18" t="n"/>
    </row>
    <row r="65">
      <c r="A65" s="18" t="n"/>
      <c r="B65" s="18" t="n"/>
      <c r="C65" s="18" t="n"/>
      <c r="D65" s="18" t="n"/>
      <c r="E65" s="18" t="n"/>
      <c r="F65" s="18" t="n"/>
      <c r="G65" s="18" t="n"/>
      <c r="H65" s="18" t="n"/>
    </row>
    <row r="66">
      <c r="A66" s="18" t="n"/>
      <c r="B66" s="18" t="n"/>
      <c r="C66" s="18" t="n"/>
      <c r="D66" s="18" t="n"/>
      <c r="E66" s="18" t="n"/>
      <c r="F66" s="18" t="n"/>
      <c r="G66" s="18" t="n"/>
      <c r="H66" s="18" t="n"/>
    </row>
    <row r="67">
      <c r="A67" s="18" t="n"/>
      <c r="B67" s="18" t="n"/>
      <c r="C67" s="18" t="n"/>
      <c r="D67" s="18" t="n"/>
      <c r="E67" s="18" t="n"/>
      <c r="F67" s="18" t="n"/>
      <c r="G67" s="18" t="n"/>
      <c r="H67" s="18" t="n"/>
    </row>
    <row r="68">
      <c r="A68" s="18" t="n"/>
      <c r="B68" s="18" t="n"/>
      <c r="C68" s="18" t="n"/>
      <c r="D68" s="18" t="n"/>
      <c r="E68" s="18" t="n"/>
      <c r="F68" s="18" t="n"/>
      <c r="G68" s="18" t="n"/>
      <c r="H68" s="18" t="n"/>
    </row>
    <row r="69">
      <c r="A69" s="18" t="n"/>
      <c r="B69" s="18" t="n"/>
      <c r="C69" s="18" t="n"/>
      <c r="D69" s="18" t="n"/>
      <c r="E69" s="18" t="n"/>
      <c r="F69" s="18" t="n"/>
      <c r="G69" s="18" t="n"/>
      <c r="H69" s="18" t="n"/>
    </row>
    <row r="70">
      <c r="A70" s="18" t="n"/>
      <c r="B70" s="18" t="n"/>
      <c r="C70" s="18" t="n"/>
      <c r="D70" s="18" t="n"/>
      <c r="E70" s="18" t="n"/>
      <c r="F70" s="18" t="n"/>
      <c r="G70" s="18" t="n"/>
      <c r="H70" s="18" t="n"/>
    </row>
    <row r="71">
      <c r="A71" s="18" t="n"/>
      <c r="B71" s="18" t="n"/>
      <c r="C71" s="18" t="n"/>
      <c r="D71" s="18" t="n"/>
      <c r="E71" s="18" t="n"/>
      <c r="F71" s="18" t="n"/>
      <c r="G71" s="18" t="n"/>
      <c r="H71" s="18" t="n"/>
    </row>
    <row r="72">
      <c r="A72" s="18" t="n"/>
      <c r="B72" s="18" t="n"/>
      <c r="C72" s="18" t="n"/>
      <c r="D72" s="18" t="n"/>
      <c r="E72" s="18" t="n"/>
      <c r="F72" s="18" t="n"/>
      <c r="G72" s="18" t="n"/>
      <c r="H72" s="18" t="n"/>
    </row>
    <row r="73">
      <c r="A73" s="18" t="n"/>
      <c r="B73" s="18" t="n"/>
      <c r="C73" s="18" t="n"/>
      <c r="D73" s="18" t="n"/>
      <c r="E73" s="18" t="n"/>
      <c r="F73" s="18" t="n"/>
      <c r="G73" s="18" t="n"/>
      <c r="H73" s="18" t="n"/>
    </row>
    <row r="74">
      <c r="A74" s="18" t="n"/>
      <c r="B74" s="18" t="n"/>
      <c r="C74" s="18" t="n"/>
      <c r="D74" s="18" t="n"/>
      <c r="E74" s="18" t="n"/>
      <c r="F74" s="18" t="n"/>
      <c r="G74" s="18" t="n"/>
      <c r="H74" s="18" t="n"/>
    </row>
    <row r="75">
      <c r="A75" s="18" t="n"/>
      <c r="B75" s="18" t="n"/>
      <c r="C75" s="18" t="n"/>
      <c r="D75" s="18" t="n"/>
      <c r="E75" s="18" t="n"/>
      <c r="F75" s="18" t="n"/>
      <c r="G75" s="18" t="n"/>
      <c r="H75" s="18" t="n"/>
    </row>
    <row r="76">
      <c r="A76" s="18" t="n"/>
      <c r="B76" s="18" t="n"/>
      <c r="C76" s="18" t="n"/>
      <c r="D76" s="18" t="n"/>
      <c r="E76" s="18" t="n"/>
      <c r="F76" s="18" t="n"/>
      <c r="G76" s="18" t="n"/>
      <c r="H76" s="18" t="n"/>
    </row>
    <row r="77">
      <c r="A77" s="18" t="n"/>
      <c r="B77" s="18" t="n"/>
      <c r="C77" s="18" t="n"/>
      <c r="D77" s="18" t="n"/>
      <c r="E77" s="18" t="n"/>
      <c r="F77" s="18" t="n"/>
      <c r="G77" s="18" t="n"/>
      <c r="H77" s="18" t="n"/>
    </row>
    <row r="78">
      <c r="A78" s="18" t="n"/>
      <c r="B78" s="18" t="n"/>
      <c r="C78" s="18" t="n"/>
      <c r="D78" s="18" t="n"/>
      <c r="E78" s="18" t="n"/>
      <c r="F78" s="18" t="n"/>
      <c r="G78" s="18" t="n"/>
      <c r="H78" s="18" t="n"/>
    </row>
    <row r="79">
      <c r="A79" s="18" t="n"/>
      <c r="B79" s="18" t="n"/>
      <c r="C79" s="18" t="n"/>
      <c r="D79" s="18" t="n"/>
      <c r="E79" s="18" t="n"/>
      <c r="F79" s="18" t="n"/>
      <c r="G79" s="18" t="n"/>
      <c r="H79" s="18" t="n"/>
    </row>
    <row r="80">
      <c r="A80" s="18" t="n"/>
      <c r="B80" s="18" t="n"/>
      <c r="C80" s="18" t="n"/>
      <c r="D80" s="18" t="n"/>
      <c r="E80" s="18" t="n"/>
      <c r="F80" s="18" t="n"/>
      <c r="G80" s="18" t="n"/>
      <c r="H80" s="18" t="n"/>
    </row>
    <row r="81">
      <c r="A81" s="18" t="n"/>
      <c r="B81" s="18" t="n"/>
      <c r="C81" s="18" t="n"/>
      <c r="D81" s="18" t="n"/>
      <c r="E81" s="18" t="n"/>
      <c r="F81" s="18" t="n"/>
      <c r="G81" s="18" t="n"/>
      <c r="H81" s="18" t="n"/>
    </row>
    <row r="82">
      <c r="A82" s="18" t="n"/>
      <c r="B82" s="18" t="n"/>
      <c r="C82" s="18" t="n"/>
      <c r="D82" s="18" t="n"/>
      <c r="E82" s="18" t="n"/>
      <c r="F82" s="18" t="n"/>
      <c r="G82" s="18" t="n"/>
      <c r="H82" s="18" t="n"/>
    </row>
    <row r="83">
      <c r="A83" s="18" t="n"/>
      <c r="B83" s="18" t="n"/>
      <c r="C83" s="18" t="n"/>
      <c r="D83" s="18" t="n"/>
      <c r="E83" s="18" t="n"/>
      <c r="F83" s="18" t="n"/>
      <c r="G83" s="18" t="n"/>
      <c r="H83" s="18" t="n"/>
    </row>
    <row r="84">
      <c r="A84" s="18" t="n"/>
      <c r="B84" s="18" t="n"/>
      <c r="C84" s="18" t="n"/>
      <c r="D84" s="18" t="n"/>
      <c r="E84" s="18" t="n"/>
      <c r="F84" s="18" t="n"/>
      <c r="G84" s="18" t="n"/>
      <c r="H84" s="18" t="n"/>
    </row>
    <row r="85">
      <c r="A85" s="18" t="n"/>
      <c r="B85" s="18" t="n"/>
      <c r="C85" s="18" t="n"/>
      <c r="D85" s="18" t="n"/>
      <c r="E85" s="18" t="n"/>
      <c r="F85" s="18" t="n"/>
      <c r="G85" s="18" t="n"/>
      <c r="H85" s="18" t="n"/>
    </row>
    <row r="86">
      <c r="A86" s="18" t="n"/>
      <c r="B86" s="18" t="n"/>
      <c r="C86" s="18" t="n"/>
      <c r="D86" s="18" t="n"/>
      <c r="E86" s="18" t="n"/>
      <c r="F86" s="18" t="n"/>
      <c r="G86" s="18" t="n"/>
      <c r="H86" s="18" t="n"/>
    </row>
    <row r="87">
      <c r="A87" s="18" t="n"/>
      <c r="B87" s="18" t="n"/>
      <c r="C87" s="18" t="n"/>
      <c r="D87" s="18" t="n"/>
      <c r="E87" s="18" t="n"/>
      <c r="F87" s="18" t="n"/>
      <c r="G87" s="18" t="n"/>
      <c r="H87" s="18" t="n"/>
    </row>
    <row r="88">
      <c r="A88" s="18" t="n"/>
      <c r="B88" s="18" t="n"/>
      <c r="C88" s="18" t="n"/>
      <c r="D88" s="18" t="n"/>
      <c r="E88" s="18" t="n"/>
      <c r="F88" s="18" t="n"/>
      <c r="G88" s="18" t="n"/>
      <c r="H88" s="18" t="n"/>
    </row>
    <row r="89">
      <c r="A89" s="18" t="n"/>
      <c r="B89" s="18" t="n"/>
      <c r="C89" s="18" t="n"/>
      <c r="D89" s="18" t="n"/>
      <c r="E89" s="18" t="n"/>
      <c r="F89" s="18" t="n"/>
      <c r="G89" s="18" t="n"/>
      <c r="H89" s="18" t="n"/>
    </row>
    <row r="90">
      <c r="A90" s="18" t="n"/>
      <c r="B90" s="18" t="n"/>
      <c r="C90" s="18" t="n"/>
      <c r="D90" s="18" t="n"/>
      <c r="E90" s="18" t="n"/>
      <c r="F90" s="18" t="n"/>
      <c r="G90" s="18" t="n"/>
      <c r="H90" s="18" t="n"/>
    </row>
    <row r="91">
      <c r="A91" s="18" t="n"/>
      <c r="B91" s="18" t="n"/>
      <c r="C91" s="18" t="n"/>
      <c r="D91" s="18" t="n"/>
      <c r="E91" s="18" t="n"/>
      <c r="F91" s="18" t="n"/>
      <c r="G91" s="18" t="n"/>
      <c r="H91" s="18" t="n"/>
    </row>
    <row r="92">
      <c r="A92" s="18" t="n"/>
      <c r="B92" s="18" t="n"/>
      <c r="C92" s="18" t="n"/>
      <c r="D92" s="18" t="n"/>
      <c r="E92" s="18" t="n"/>
      <c r="F92" s="18" t="n"/>
      <c r="G92" s="18" t="n"/>
      <c r="H92" s="18" t="n"/>
    </row>
    <row r="93">
      <c r="A93" s="18" t="n"/>
      <c r="B93" s="18" t="n"/>
      <c r="C93" s="18" t="n"/>
      <c r="D93" s="18" t="n"/>
      <c r="E93" s="18" t="n"/>
      <c r="F93" s="18" t="n"/>
      <c r="G93" s="18" t="n"/>
      <c r="H93" s="18" t="n"/>
    </row>
    <row r="94">
      <c r="A94" s="18" t="n"/>
      <c r="B94" s="18" t="n"/>
      <c r="C94" s="18" t="n"/>
      <c r="D94" s="18" t="n"/>
      <c r="E94" s="18" t="n"/>
      <c r="F94" s="18" t="n"/>
      <c r="G94" s="18" t="n"/>
      <c r="H94" s="18" t="n"/>
    </row>
    <row r="95">
      <c r="A95" s="18" t="n"/>
      <c r="B95" s="18" t="n"/>
      <c r="C95" s="18" t="n"/>
      <c r="D95" s="18" t="n"/>
      <c r="E95" s="18" t="n"/>
      <c r="F95" s="18" t="n"/>
      <c r="G95" s="18" t="n"/>
      <c r="H95" s="18" t="n"/>
    </row>
    <row r="96">
      <c r="A96" s="18" t="n"/>
      <c r="B96" s="18" t="n"/>
      <c r="C96" s="18" t="n"/>
      <c r="D96" s="18" t="n"/>
      <c r="E96" s="18" t="n"/>
      <c r="F96" s="18" t="n"/>
      <c r="G96" s="18" t="n"/>
      <c r="H96" s="18" t="n"/>
    </row>
    <row r="97">
      <c r="A97" s="18" t="n"/>
      <c r="B97" s="18" t="n"/>
      <c r="C97" s="18" t="n"/>
      <c r="D97" s="18" t="n"/>
      <c r="E97" s="18" t="n"/>
      <c r="F97" s="18" t="n"/>
      <c r="G97" s="18" t="n"/>
      <c r="H97" s="18" t="n"/>
    </row>
    <row r="98">
      <c r="A98" s="18" t="n"/>
      <c r="B98" s="18" t="n"/>
      <c r="C98" s="18" t="n"/>
      <c r="D98" s="18" t="n"/>
      <c r="E98" s="18" t="n"/>
      <c r="F98" s="18" t="n"/>
      <c r="G98" s="18" t="n"/>
      <c r="H98" s="18" t="n"/>
    </row>
    <row r="99">
      <c r="A99" s="18" t="n"/>
      <c r="B99" s="18" t="n"/>
      <c r="C99" s="18" t="n"/>
      <c r="D99" s="18" t="n"/>
      <c r="E99" s="18" t="n"/>
      <c r="F99" s="18" t="n"/>
      <c r="G99" s="18" t="n"/>
      <c r="H99" s="18" t="n"/>
    </row>
    <row r="100">
      <c r="A100" s="18" t="n"/>
      <c r="B100" s="18" t="n"/>
      <c r="C100" s="18" t="n"/>
      <c r="D100" s="18" t="n"/>
      <c r="E100" s="18" t="n"/>
      <c r="F100" s="18" t="n"/>
      <c r="G100" s="18" t="n"/>
      <c r="H100" s="18" t="n"/>
    </row>
    <row r="101">
      <c r="A101" s="18" t="n"/>
      <c r="B101" s="18" t="n"/>
      <c r="C101" s="18" t="n"/>
      <c r="D101" s="18" t="n"/>
      <c r="E101" s="18" t="n"/>
      <c r="F101" s="18" t="n"/>
      <c r="G101" s="18" t="n"/>
      <c r="H101" s="18" t="n"/>
    </row>
    <row r="102">
      <c r="A102" s="18" t="n"/>
      <c r="B102" s="18" t="n"/>
      <c r="C102" s="18" t="n"/>
      <c r="D102" s="18" t="n"/>
      <c r="E102" s="18" t="n"/>
      <c r="F102" s="18" t="n"/>
      <c r="G102" s="18" t="n"/>
      <c r="H102" s="18" t="n"/>
    </row>
    <row r="103">
      <c r="A103" s="18" t="n"/>
      <c r="B103" s="18" t="n"/>
      <c r="C103" s="18" t="n"/>
      <c r="D103" s="18" t="n"/>
      <c r="E103" s="18" t="n"/>
      <c r="F103" s="18" t="n"/>
      <c r="G103" s="18" t="n"/>
      <c r="H103" s="18" t="n"/>
    </row>
    <row r="104">
      <c r="A104" s="18" t="n"/>
      <c r="B104" s="18" t="n"/>
      <c r="C104" s="18" t="n"/>
      <c r="D104" s="18" t="n"/>
      <c r="E104" s="18" t="n"/>
      <c r="F104" s="18" t="n"/>
      <c r="G104" s="18" t="n"/>
      <c r="H104" s="18" t="n"/>
    </row>
    <row r="105">
      <c r="A105" s="18" t="n"/>
      <c r="B105" s="18" t="n"/>
      <c r="C105" s="18" t="n"/>
      <c r="D105" s="18" t="n"/>
      <c r="E105" s="18" t="n"/>
      <c r="F105" s="18" t="n"/>
      <c r="G105" s="18" t="n"/>
      <c r="H105" s="18"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 Verified,⚠️ Pending,❌ Not Verified,N/A"</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9"/>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4" customWidth="1" min="6" max="6"/>
    <col width="15" customWidth="1" min="7" max="7"/>
  </cols>
  <sheetData>
    <row r="1" ht="35" customHeight="1">
      <c r="A1" s="11" t="inlineStr">
        <is>
          <t>DATA TRANSMISSION CRYPTOGRAPHY ASSESSMENT — SUMMARY DASHBOARD</t>
        </is>
      </c>
      <c r="B1" s="6" t="n"/>
      <c r="C1" s="6" t="n"/>
      <c r="D1" s="6" t="n"/>
      <c r="E1" s="6" t="n"/>
      <c r="F1" s="6" t="n"/>
      <c r="G1" s="6" t="n"/>
    </row>
    <row r="2">
      <c r="A2" s="29" t="inlineStr">
        <is>
          <t>ISO/IEC 27001:2022 | Control A.8.24 | Data Transmission Cryptography</t>
        </is>
      </c>
      <c r="B2" s="6" t="n"/>
      <c r="C2" s="6" t="n"/>
      <c r="D2" s="6" t="n"/>
      <c r="E2" s="6" t="n"/>
      <c r="F2" s="6" t="n"/>
      <c r="G2" s="6" t="n"/>
    </row>
    <row r="4">
      <c r="A4" s="30" t="inlineStr">
        <is>
          <t>TABLE 1: ASSESSMENT AREA COMPLIANCE OVERVIEW</t>
        </is>
      </c>
      <c r="B4" s="6" t="n"/>
      <c r="C4" s="6" t="n"/>
      <c r="D4" s="6" t="n"/>
      <c r="E4" s="6" t="n"/>
      <c r="F4" s="6" t="n"/>
      <c r="G4" s="6" t="n"/>
    </row>
    <row r="5">
      <c r="A5" s="31" t="inlineStr">
        <is>
          <t>Assessment Area</t>
        </is>
      </c>
      <c r="B5" s="31" t="inlineStr">
        <is>
          <t>Total Items</t>
        </is>
      </c>
      <c r="C5" s="31" t="inlineStr">
        <is>
          <t>Compliant</t>
        </is>
      </c>
      <c r="D5" s="31" t="inlineStr">
        <is>
          <t>Partial</t>
        </is>
      </c>
      <c r="E5" s="31" t="inlineStr">
        <is>
          <t>Non-Compliant</t>
        </is>
      </c>
      <c r="F5" s="31" t="inlineStr">
        <is>
          <t>N/A</t>
        </is>
      </c>
      <c r="G5" s="31" t="inlineStr">
        <is>
          <t>Compliance %</t>
        </is>
      </c>
    </row>
    <row r="6">
      <c r="A6" t="inlineStr">
        <is>
          <t>1.1 External HTTPS/TLS</t>
        </is>
      </c>
      <c r="B6">
        <f>COUNTA('1.1 External HTTPS-TLS'!E8:E69)</f>
        <v/>
      </c>
      <c r="C6">
        <f>COUNTIF('1.1 External HTTPS-TLS'!E8:E69,"*Compliant")</f>
        <v/>
      </c>
      <c r="D6">
        <f>COUNTIF('1.1 External HTTPS-TLS'!E8:E69,"*Partial")</f>
        <v/>
      </c>
      <c r="E6">
        <f>COUNTIF('1.1 External HTTPS-TLS'!E8:E69,"*Non-Compliant")</f>
        <v/>
      </c>
      <c r="F6">
        <f>COUNTIF('1.1 External HTTPS-TLS'!E8:E69,"N/A")</f>
        <v/>
      </c>
      <c r="G6">
        <f>IF((B6-F6)=0,"0%",ROUND(C6/(B6-F6)*100,1)&amp;"%")</f>
        <v/>
      </c>
    </row>
    <row r="7">
      <c r="A7" t="inlineStr">
        <is>
          <t>1.2 Internal HTTPS/TLS</t>
        </is>
      </c>
      <c r="B7">
        <f>COUNTA('1.2 Internal HTTPS-TLS'!E8:E69)</f>
        <v/>
      </c>
      <c r="C7">
        <f>COUNTIF('1.2 Internal HTTPS-TLS'!E8:E69,"*Compliant")</f>
        <v/>
      </c>
      <c r="D7">
        <f>COUNTIF('1.2 Internal HTTPS-TLS'!E8:E69,"*Partial")</f>
        <v/>
      </c>
      <c r="E7">
        <f>COUNTIF('1.2 Internal HTTPS-TLS'!E8:E69,"*Non-Compliant")</f>
        <v/>
      </c>
      <c r="F7">
        <f>COUNTIF('1.2 Internal HTTPS-TLS'!E8:E69,"N/A")</f>
        <v/>
      </c>
      <c r="G7">
        <f>IF((B7-F7)=0,"0%",ROUND(C7/(B7-F7)*100,1)&amp;"%")</f>
        <v/>
      </c>
    </row>
    <row r="8">
      <c r="A8" t="inlineStr">
        <is>
          <t>2.1 Email Encryption</t>
        </is>
      </c>
      <c r="B8">
        <f>COUNTA('2.1 Email Encryption'!E8:E69)</f>
        <v/>
      </c>
      <c r="C8">
        <f>COUNTIF('2.1 Email Encryption'!E8:E69,"*Compliant")</f>
        <v/>
      </c>
      <c r="D8">
        <f>COUNTIF('2.1 Email Encryption'!E8:E69,"*Partial")</f>
        <v/>
      </c>
      <c r="E8">
        <f>COUNTIF('2.1 Email Encryption'!E8:E69,"*Non-Compliant")</f>
        <v/>
      </c>
      <c r="F8">
        <f>COUNTIF('2.1 Email Encryption'!E8:E69,"N/A")</f>
        <v/>
      </c>
      <c r="G8">
        <f>IF((B8-F8)=0,"0%",ROUND(C8/(B8-F8)*100,1)&amp;"%")</f>
        <v/>
      </c>
    </row>
    <row r="9">
      <c r="A9" t="inlineStr">
        <is>
          <t>2.2 Digital Signatures</t>
        </is>
      </c>
      <c r="B9">
        <f>COUNTA('2.2 Digital Signatures'!D8:D69)</f>
        <v/>
      </c>
      <c r="C9">
        <f>COUNTIF('2.2 Digital Signatures'!D8:D69,"*Compliant")</f>
        <v/>
      </c>
      <c r="D9">
        <f>COUNTIF('2.2 Digital Signatures'!D8:D69,"*Partial")</f>
        <v/>
      </c>
      <c r="E9">
        <f>COUNTIF('2.2 Digital Signatures'!D8:D69,"*Non-Compliant")</f>
        <v/>
      </c>
      <c r="F9">
        <f>COUNTIF('2.2 Digital Signatures'!D8:D69,"N/A")</f>
        <v/>
      </c>
      <c r="G9">
        <f>IF((B9-F9)=0,"0%",ROUND(C9/(B9-F9)*100,1)&amp;"%")</f>
        <v/>
      </c>
    </row>
    <row r="10">
      <c r="A10" t="inlineStr">
        <is>
          <t>3.1 File Transfer</t>
        </is>
      </c>
      <c r="B10">
        <f>COUNTA('3.1 File Transfer Protocols'!E8:E69)</f>
        <v/>
      </c>
      <c r="C10">
        <f>COUNTIF('3.1 File Transfer Protocols'!E8:E69,"*Compliant")</f>
        <v/>
      </c>
      <c r="D10">
        <f>COUNTIF('3.1 File Transfer Protocols'!E8:E69,"*Partial")</f>
        <v/>
      </c>
      <c r="E10">
        <f>COUNTIF('3.1 File Transfer Protocols'!E8:E69,"*Non-Compliant")</f>
        <v/>
      </c>
      <c r="F10">
        <f>COUNTIF('3.1 File Transfer Protocols'!E8:E69,"N/A")</f>
        <v/>
      </c>
      <c r="G10">
        <f>IF((B10-F10)=0,"0%",ROUND(C10/(B10-F10)*100,1)&amp;"%")</f>
        <v/>
      </c>
    </row>
    <row r="11">
      <c r="A11" t="inlineStr">
        <is>
          <t>4.1 VPN</t>
        </is>
      </c>
      <c r="B11">
        <f>COUNTA('4.1 VPN'!E8:E69)</f>
        <v/>
      </c>
      <c r="C11">
        <f>COUNTIF('4.1 VPN'!E8:E69,"*Compliant")</f>
        <v/>
      </c>
      <c r="D11">
        <f>COUNTIF('4.1 VPN'!E8:E69,"*Partial")</f>
        <v/>
      </c>
      <c r="E11">
        <f>COUNTIF('4.1 VPN'!E8:E69,"*Non-Compliant")</f>
        <v/>
      </c>
      <c r="F11">
        <f>COUNTIF('4.1 VPN'!E8:E69,"N/A")</f>
        <v/>
      </c>
      <c r="G11">
        <f>IF((B11-F11)=0,"0%",ROUND(C11/(B11-F11)*100,1)&amp;"%")</f>
        <v/>
      </c>
    </row>
    <row r="12">
      <c r="A12" t="inlineStr">
        <is>
          <t>4.2 SSH</t>
        </is>
      </c>
      <c r="B12">
        <f>COUNTA('4.2 SSH'!E8:E69)</f>
        <v/>
      </c>
      <c r="C12">
        <f>COUNTIF('4.2 SSH'!E8:E69,"*Compliant")</f>
        <v/>
      </c>
      <c r="D12">
        <f>COUNTIF('4.2 SSH'!E8:E69,"*Partial")</f>
        <v/>
      </c>
      <c r="E12">
        <f>COUNTIF('4.2 SSH'!E8:E69,"*Non-Compliant")</f>
        <v/>
      </c>
      <c r="F12">
        <f>COUNTIF('4.2 SSH'!E8:E69,"N/A")</f>
        <v/>
      </c>
      <c r="G12">
        <f>IF((B12-F12)=0,"0%",ROUND(C12/(B12-F12)*100,1)&amp;"%")</f>
        <v/>
      </c>
    </row>
    <row r="13">
      <c r="A13" t="inlineStr">
        <is>
          <t>4.3 RDP</t>
        </is>
      </c>
      <c r="B13">
        <f>COUNTA('4.3 RDP'!E8:E69)</f>
        <v/>
      </c>
      <c r="C13">
        <f>COUNTIF('4.3 RDP'!E8:E69,"*Compliant")</f>
        <v/>
      </c>
      <c r="D13">
        <f>COUNTIF('4.3 RDP'!E8:E69,"*Partial")</f>
        <v/>
      </c>
      <c r="E13">
        <f>COUNTIF('4.3 RDP'!E8:E69,"*Non-Compliant")</f>
        <v/>
      </c>
      <c r="F13">
        <f>COUNTIF('4.3 RDP'!E8:E69,"N/A")</f>
        <v/>
      </c>
      <c r="G13">
        <f>IF((B13-F13)=0,"0%",ROUND(C13/(B13-F13)*100,1)&amp;"%")</f>
        <v/>
      </c>
    </row>
    <row r="14">
      <c r="A14" t="inlineStr">
        <is>
          <t>5.1 API Security</t>
        </is>
      </c>
      <c r="B14">
        <f>COUNTA('5.1 API Security'!F8:F69)</f>
        <v/>
      </c>
      <c r="C14">
        <f>COUNTIF('5.1 API Security'!F8:F69,"*Compliant")</f>
        <v/>
      </c>
      <c r="D14">
        <f>COUNTIF('5.1 API Security'!F8:F69,"*Partial")</f>
        <v/>
      </c>
      <c r="E14">
        <f>COUNTIF('5.1 API Security'!F8:F69,"*Non-Compliant")</f>
        <v/>
      </c>
      <c r="F14">
        <f>COUNTIF('5.1 API Security'!F8:F69,"N/A")</f>
        <v/>
      </c>
      <c r="G14">
        <f>IF((B14-F14)=0,"0%",ROUND(C14/(B14-F14)*100,1)&amp;"%")</f>
        <v/>
      </c>
    </row>
    <row r="15">
      <c r="A15" t="inlineStr">
        <is>
          <t>6.1 Database Connections</t>
        </is>
      </c>
      <c r="B15">
        <f>COUNTA('6.1 Database Connections'!D8:D69)</f>
        <v/>
      </c>
      <c r="C15">
        <f>COUNTIF('6.1 Database Connections'!D8:D69,"*Compliant")</f>
        <v/>
      </c>
      <c r="D15">
        <f>COUNTIF('6.1 Database Connections'!D8:D69,"*Partial")</f>
        <v/>
      </c>
      <c r="E15">
        <f>COUNTIF('6.1 Database Connections'!D8:D69,"*Non-Compliant")</f>
        <v/>
      </c>
      <c r="F15">
        <f>COUNTIF('6.1 Database Connections'!D8:D69,"N/A")</f>
        <v/>
      </c>
      <c r="G15">
        <f>IF((B15-F15)=0,"0%",ROUND(C15/(B15-F15)*100,1)&amp;"%")</f>
        <v/>
      </c>
    </row>
    <row r="16">
      <c r="A16" t="inlineStr">
        <is>
          <t>6.2 Wireless Networks</t>
        </is>
      </c>
      <c r="B16">
        <f>COUNTA('6.2 Wireless Networks'!D8:D69)</f>
        <v/>
      </c>
      <c r="C16">
        <f>COUNTIF('6.2 Wireless Networks'!D8:D69,"*Compliant")</f>
        <v/>
      </c>
      <c r="D16">
        <f>COUNTIF('6.2 Wireless Networks'!D8:D69,"*Partial")</f>
        <v/>
      </c>
      <c r="E16">
        <f>COUNTIF('6.2 Wireless Networks'!D8:D69,"*Non-Compliant")</f>
        <v/>
      </c>
      <c r="F16">
        <f>COUNTIF('6.2 Wireless Networks'!D8:D69,"N/A")</f>
        <v/>
      </c>
      <c r="G16">
        <f>IF((B16-F16)=0,"0%",ROUND(C16/(B16-F16)*100,1)&amp;"%")</f>
        <v/>
      </c>
    </row>
    <row r="17">
      <c r="A17" t="inlineStr">
        <is>
          <t>7.1 Cloud Transmission</t>
        </is>
      </c>
      <c r="B17">
        <f>COUNTA('7.1 Cloud Transmission'!D8:D69)</f>
        <v/>
      </c>
      <c r="C17">
        <f>COUNTIF('7.1 Cloud Transmission'!D8:D69,"*Compliant")</f>
        <v/>
      </c>
      <c r="D17">
        <f>COUNTIF('7.1 Cloud Transmission'!D8:D69,"*Partial")</f>
        <v/>
      </c>
      <c r="E17">
        <f>COUNTIF('7.1 Cloud Transmission'!D8:D69,"*Non-Compliant")</f>
        <v/>
      </c>
      <c r="F17">
        <f>COUNTIF('7.1 Cloud Transmission'!D8:D69,"N/A")</f>
        <v/>
      </c>
      <c r="G17">
        <f>IF((B17-F17)=0,"0%",ROUND(C17/(B17-F17)*100,1)&amp;"%")</f>
        <v/>
      </c>
    </row>
    <row r="18">
      <c r="A18" s="32" t="inlineStr">
        <is>
          <t>TOTAL</t>
        </is>
      </c>
      <c r="B18" s="32">
        <f>SUM(B6:B17)</f>
        <v/>
      </c>
      <c r="C18" s="32">
        <f>SUM(C6:C17)</f>
        <v/>
      </c>
      <c r="D18" s="32">
        <f>SUM(D6:D17)</f>
        <v/>
      </c>
      <c r="E18" s="32">
        <f>SUM(E6:E17)</f>
        <v/>
      </c>
      <c r="F18" s="32">
        <f>SUM(F6:F17)</f>
        <v/>
      </c>
      <c r="G18" s="33">
        <f>IF((B18-F18)=0,"0%",ROUND(C18/(B18-F18)*100,1)&amp;"%")</f>
        <v/>
      </c>
    </row>
    <row r="20">
      <c r="A20" s="30" t="inlineStr">
        <is>
          <t>TABLE 2: KEY METRICS</t>
        </is>
      </c>
      <c r="B20" s="6" t="n"/>
      <c r="C20" s="6" t="n"/>
      <c r="D20" s="6" t="n"/>
      <c r="E20" s="6" t="n"/>
      <c r="F20" s="6" t="n"/>
      <c r="G20" s="6" t="n"/>
    </row>
    <row r="21">
      <c r="A21" s="31" t="inlineStr">
        <is>
          <t>KPI</t>
        </is>
      </c>
      <c r="B21" s="31" t="inlineStr">
        <is>
          <t>Current Value</t>
        </is>
      </c>
      <c r="C21" s="31" t="inlineStr">
        <is>
          <t>Target</t>
        </is>
      </c>
      <c r="D21" s="31" t="inlineStr">
        <is>
          <t>Status</t>
        </is>
      </c>
      <c r="E21" s="31" t="inlineStr">
        <is>
          <t>Last Updated</t>
        </is>
      </c>
      <c r="F21" s="31" t="inlineStr">
        <is>
          <t>Owner</t>
        </is>
      </c>
      <c r="G21" s="31" t="inlineStr">
        <is>
          <t>Notes</t>
        </is>
      </c>
    </row>
    <row r="22">
      <c r="A22" s="6" t="inlineStr">
        <is>
          <t>TLS 1.2+ Coverage – External</t>
        </is>
      </c>
      <c r="B22" s="6" t="n"/>
      <c r="C22" s="6" t="inlineStr">
        <is>
          <t>100%</t>
        </is>
      </c>
      <c r="D22" s="6" t="n"/>
      <c r="E22" s="6" t="n"/>
      <c r="F22" s="6" t="n"/>
      <c r="G22" s="6" t="n"/>
    </row>
    <row r="23">
      <c r="A23" s="6" t="inlineStr">
        <is>
          <t>TLS 1.2+ Coverage – Internal</t>
        </is>
      </c>
      <c r="B23" s="6" t="n"/>
      <c r="C23" s="6" t="inlineStr">
        <is>
          <t>≥95%</t>
        </is>
      </c>
      <c r="D23" s="6" t="n"/>
      <c r="E23" s="6" t="n"/>
      <c r="F23" s="6" t="n"/>
      <c r="G23" s="6" t="n"/>
    </row>
    <row r="24">
      <c r="A24" s="6" t="inlineStr">
        <is>
          <t>Email Encryption – Sensitive Data</t>
        </is>
      </c>
      <c r="B24" s="6" t="n"/>
      <c r="C24" s="6" t="inlineStr">
        <is>
          <t>100%</t>
        </is>
      </c>
      <c r="D24" s="6" t="n"/>
      <c r="E24" s="6" t="n"/>
      <c r="F24" s="6" t="n"/>
      <c r="G24" s="6" t="n"/>
    </row>
    <row r="25">
      <c r="A25" s="6" t="inlineStr">
        <is>
          <t>VPN Compliance Rate</t>
        </is>
      </c>
      <c r="B25" s="6" t="n"/>
      <c r="C25" s="6" t="inlineStr">
        <is>
          <t>100%</t>
        </is>
      </c>
      <c r="D25" s="6" t="n"/>
      <c r="E25" s="6" t="n"/>
      <c r="F25" s="6" t="n"/>
      <c r="G25" s="6" t="n"/>
    </row>
    <row r="26">
      <c r="A26" s="6" t="inlineStr">
        <is>
          <t>SSH Key Rotation Compliance</t>
        </is>
      </c>
      <c r="B26" s="6" t="n"/>
      <c r="C26" s="6" t="inlineStr">
        <is>
          <t>≥90%</t>
        </is>
      </c>
      <c r="D26" s="6" t="n"/>
      <c r="E26" s="6" t="n"/>
      <c r="F26" s="6" t="n"/>
      <c r="G26" s="6" t="n"/>
    </row>
    <row r="27">
      <c r="A27" s="6" t="inlineStr">
        <is>
          <t>API mTLS Coverage</t>
        </is>
      </c>
      <c r="B27" s="6" t="n"/>
      <c r="C27" s="6" t="inlineStr">
        <is>
          <t>≥95%</t>
        </is>
      </c>
      <c r="D27" s="6" t="n"/>
      <c r="E27" s="6" t="n"/>
      <c r="F27" s="6" t="n"/>
      <c r="G27" s="6" t="n"/>
    </row>
    <row r="28">
      <c r="A28" s="6" t="inlineStr">
        <is>
          <t>Database Encryption in Transit</t>
        </is>
      </c>
      <c r="B28" s="6" t="n"/>
      <c r="C28" s="6" t="inlineStr">
        <is>
          <t>100%</t>
        </is>
      </c>
      <c r="D28" s="6" t="n"/>
      <c r="E28" s="6" t="n"/>
      <c r="F28" s="6" t="n"/>
      <c r="G28" s="6" t="n"/>
    </row>
    <row r="29">
      <c r="A29" s="6" t="inlineStr">
        <is>
          <t>Cloud Transmission Encryption</t>
        </is>
      </c>
      <c r="B29" s="6" t="n"/>
      <c r="C29" s="6" t="inlineStr">
        <is>
          <t>100%</t>
        </is>
      </c>
      <c r="D29" s="6" t="n"/>
      <c r="E29" s="6" t="n"/>
      <c r="F29" s="6" t="n"/>
      <c r="G29" s="6" t="n"/>
    </row>
    <row r="30">
      <c r="A30" s="6" t="inlineStr">
        <is>
          <t>Certificates Expiring &lt; 30 Days (count)</t>
        </is>
      </c>
      <c r="B30" s="6" t="n"/>
      <c r="C30" s="6" t="inlineStr">
        <is>
          <t>0</t>
        </is>
      </c>
      <c r="D30" s="6" t="n"/>
      <c r="E30" s="6" t="n"/>
      <c r="F30" s="6" t="n"/>
      <c r="G30" s="6" t="n"/>
    </row>
    <row r="31">
      <c r="A31" s="6" t="inlineStr">
        <is>
          <t>Evidence Documentation Rate</t>
        </is>
      </c>
      <c r="B31" s="6" t="n"/>
      <c r="C31" s="6" t="inlineStr">
        <is>
          <t>100%</t>
        </is>
      </c>
      <c r="D31" s="6" t="n"/>
      <c r="E31" s="6" t="n"/>
      <c r="F31" s="6" t="n"/>
      <c r="G31" s="6" t="n"/>
    </row>
    <row r="32">
      <c r="A32" s="6" t="n"/>
      <c r="B32" s="6" t="n"/>
      <c r="C32" s="6" t="n"/>
      <c r="D32" s="6" t="n"/>
      <c r="E32" s="6" t="n"/>
      <c r="F32" s="6" t="n"/>
      <c r="G32" s="6" t="n"/>
    </row>
    <row r="33">
      <c r="A33" s="6" t="n"/>
      <c r="B33" s="6" t="n"/>
      <c r="C33" s="6" t="n"/>
      <c r="D33" s="6" t="n"/>
      <c r="E33" s="6" t="n"/>
      <c r="F33" s="6" t="n"/>
      <c r="G33" s="6" t="n"/>
    </row>
    <row r="35">
      <c r="A35" s="34" t="inlineStr">
        <is>
          <t>TABLE 3: DOMAIN COMPLIANCE SUMMARY</t>
        </is>
      </c>
      <c r="B35" s="6" t="n"/>
      <c r="C35" s="6" t="n"/>
      <c r="D35" s="6" t="n"/>
      <c r="E35" s="6" t="n"/>
      <c r="F35" s="6" t="n"/>
      <c r="G35" s="6" t="n"/>
    </row>
    <row r="36">
      <c r="A36" s="31" t="inlineStr">
        <is>
          <t>Transmission Domain</t>
        </is>
      </c>
      <c r="B36" s="31" t="inlineStr">
        <is>
          <t>Non-Compliant</t>
        </is>
      </c>
      <c r="C36" s="31" t="inlineStr">
        <is>
          <t>Partial</t>
        </is>
      </c>
      <c r="D36" s="31" t="inlineStr">
        <is>
          <t>Compliant</t>
        </is>
      </c>
      <c r="E36" s="31" t="inlineStr">
        <is>
          <t>N/A</t>
        </is>
      </c>
      <c r="F36" s="31" t="inlineStr">
        <is>
          <t>Total Items</t>
        </is>
      </c>
      <c r="G36" s="31" t="inlineStr">
        <is>
          <t>Compliance %</t>
        </is>
      </c>
    </row>
    <row r="37">
      <c r="A37" s="35" t="inlineStr">
        <is>
          <t>1.1 External HTTPS/TLS</t>
        </is>
      </c>
      <c r="B37" s="35">
        <f>COUNTIF('1.1 External HTTPS-TLS'!E8:E69,"*Non-Compliant")</f>
        <v/>
      </c>
      <c r="C37" s="35">
        <f>COUNTIF('1.1 External HTTPS-TLS'!E8:E69,"*Partial")</f>
        <v/>
      </c>
      <c r="D37" s="35">
        <f>COUNTIF('1.1 External HTTPS-TLS'!E8:E69,"*Compliant")</f>
        <v/>
      </c>
      <c r="E37" s="35">
        <f>COUNTIF('1.1 External HTTPS-TLS'!E8:E69,"N/A")</f>
        <v/>
      </c>
      <c r="F37" s="35">
        <f>COUNTA('1.1 External HTTPS-TLS'!E8:E69)</f>
        <v/>
      </c>
      <c r="G37" s="36">
        <f>IF((F37-E37)=0,0,D37/(F37-E37))</f>
        <v/>
      </c>
    </row>
    <row r="38">
      <c r="A38" s="35" t="inlineStr">
        <is>
          <t>1.2 Internal HTTPS/TLS</t>
        </is>
      </c>
      <c r="B38" s="35">
        <f>COUNTIF('1.2 Internal HTTPS-TLS'!E8:E69,"*Non-Compliant")</f>
        <v/>
      </c>
      <c r="C38" s="35">
        <f>COUNTIF('1.2 Internal HTTPS-TLS'!E8:E69,"*Partial")</f>
        <v/>
      </c>
      <c r="D38" s="35">
        <f>COUNTIF('1.2 Internal HTTPS-TLS'!E8:E69,"*Compliant")</f>
        <v/>
      </c>
      <c r="E38" s="35">
        <f>COUNTIF('1.2 Internal HTTPS-TLS'!E8:E69,"N/A")</f>
        <v/>
      </c>
      <c r="F38" s="35">
        <f>COUNTA('1.2 Internal HTTPS-TLS'!E8:E69)</f>
        <v/>
      </c>
      <c r="G38" s="36">
        <f>IF((F38-E38)=0,0,D38/(F38-E38))</f>
        <v/>
      </c>
    </row>
    <row r="39">
      <c r="A39" s="35" t="inlineStr">
        <is>
          <t>2.1 Email Encryption</t>
        </is>
      </c>
      <c r="B39" s="35">
        <f>COUNTIF('2.1 Email Encryption'!E8:E69,"*Non-Compliant")</f>
        <v/>
      </c>
      <c r="C39" s="35">
        <f>COUNTIF('2.1 Email Encryption'!E8:E69,"*Partial")</f>
        <v/>
      </c>
      <c r="D39" s="35">
        <f>COUNTIF('2.1 Email Encryption'!E8:E69,"*Compliant")</f>
        <v/>
      </c>
      <c r="E39" s="35">
        <f>COUNTIF('2.1 Email Encryption'!E8:E69,"N/A")</f>
        <v/>
      </c>
      <c r="F39" s="35">
        <f>COUNTA('2.1 Email Encryption'!E8:E69)</f>
        <v/>
      </c>
      <c r="G39" s="36">
        <f>IF((F39-E39)=0,0,D39/(F39-E39))</f>
        <v/>
      </c>
    </row>
    <row r="40">
      <c r="A40" s="35" t="inlineStr">
        <is>
          <t>2.2 Digital Signatures</t>
        </is>
      </c>
      <c r="B40" s="35">
        <f>COUNTIF('2.2 Digital Signatures'!D8:D69,"*Non-Compliant")</f>
        <v/>
      </c>
      <c r="C40" s="35">
        <f>COUNTIF('2.2 Digital Signatures'!D8:D69,"*Partial")</f>
        <v/>
      </c>
      <c r="D40" s="35">
        <f>COUNTIF('2.2 Digital Signatures'!D8:D69,"*Compliant")</f>
        <v/>
      </c>
      <c r="E40" s="35">
        <f>COUNTIF('2.2 Digital Signatures'!D8:D69,"N/A")</f>
        <v/>
      </c>
      <c r="F40" s="35">
        <f>COUNTA('2.2 Digital Signatures'!D8:D69)</f>
        <v/>
      </c>
      <c r="G40" s="36">
        <f>IF((F40-E40)=0,0,D40/(F40-E40))</f>
        <v/>
      </c>
    </row>
    <row r="41">
      <c r="A41" s="35" t="inlineStr">
        <is>
          <t>3.1 File Transfer</t>
        </is>
      </c>
      <c r="B41" s="35">
        <f>COUNTIF('3.1 File Transfer Protocols'!E8:E69,"*Non-Compliant")</f>
        <v/>
      </c>
      <c r="C41" s="35">
        <f>COUNTIF('3.1 File Transfer Protocols'!E8:E69,"*Partial")</f>
        <v/>
      </c>
      <c r="D41" s="35">
        <f>COUNTIF('3.1 File Transfer Protocols'!E8:E69,"*Compliant")</f>
        <v/>
      </c>
      <c r="E41" s="35">
        <f>COUNTIF('3.1 File Transfer Protocols'!E8:E69,"N/A")</f>
        <v/>
      </c>
      <c r="F41" s="35">
        <f>COUNTA('3.1 File Transfer Protocols'!E8:E69)</f>
        <v/>
      </c>
      <c r="G41" s="36">
        <f>IF((F41-E41)=0,0,D41/(F41-E41))</f>
        <v/>
      </c>
    </row>
    <row r="42">
      <c r="A42" s="35" t="inlineStr">
        <is>
          <t>4.1 VPN</t>
        </is>
      </c>
      <c r="B42" s="35">
        <f>COUNTIF('4.1 VPN'!E8:E69,"*Non-Compliant")</f>
        <v/>
      </c>
      <c r="C42" s="35">
        <f>COUNTIF('4.1 VPN'!E8:E69,"*Partial")</f>
        <v/>
      </c>
      <c r="D42" s="35">
        <f>COUNTIF('4.1 VPN'!E8:E69,"*Compliant")</f>
        <v/>
      </c>
      <c r="E42" s="35">
        <f>COUNTIF('4.1 VPN'!E8:E69,"N/A")</f>
        <v/>
      </c>
      <c r="F42" s="35">
        <f>COUNTA('4.1 VPN'!E8:E69)</f>
        <v/>
      </c>
      <c r="G42" s="36">
        <f>IF((F42-E42)=0,0,D42/(F42-E42))</f>
        <v/>
      </c>
    </row>
    <row r="43">
      <c r="A43" s="35" t="inlineStr">
        <is>
          <t>4.2 SSH</t>
        </is>
      </c>
      <c r="B43" s="35">
        <f>COUNTIF('4.2 SSH'!E8:E69,"*Non-Compliant")</f>
        <v/>
      </c>
      <c r="C43" s="35">
        <f>COUNTIF('4.2 SSH'!E8:E69,"*Partial")</f>
        <v/>
      </c>
      <c r="D43" s="35">
        <f>COUNTIF('4.2 SSH'!E8:E69,"*Compliant")</f>
        <v/>
      </c>
      <c r="E43" s="35">
        <f>COUNTIF('4.2 SSH'!E8:E69,"N/A")</f>
        <v/>
      </c>
      <c r="F43" s="35">
        <f>COUNTA('4.2 SSH'!E8:E69)</f>
        <v/>
      </c>
      <c r="G43" s="36">
        <f>IF((F43-E43)=0,0,D43/(F43-E43))</f>
        <v/>
      </c>
    </row>
    <row r="44">
      <c r="A44" s="35" t="inlineStr">
        <is>
          <t>4.3 RDP</t>
        </is>
      </c>
      <c r="B44" s="35">
        <f>COUNTIF('4.3 RDP'!E8:E69,"*Non-Compliant")</f>
        <v/>
      </c>
      <c r="C44" s="35">
        <f>COUNTIF('4.3 RDP'!E8:E69,"*Partial")</f>
        <v/>
      </c>
      <c r="D44" s="35">
        <f>COUNTIF('4.3 RDP'!E8:E69,"*Compliant")</f>
        <v/>
      </c>
      <c r="E44" s="35">
        <f>COUNTIF('4.3 RDP'!E8:E69,"N/A")</f>
        <v/>
      </c>
      <c r="F44" s="35">
        <f>COUNTA('4.3 RDP'!E8:E69)</f>
        <v/>
      </c>
      <c r="G44" s="36">
        <f>IF((F44-E44)=0,0,D44/(F44-E44))</f>
        <v/>
      </c>
    </row>
    <row r="45">
      <c r="A45" s="35" t="inlineStr">
        <is>
          <t>5.1 API Security</t>
        </is>
      </c>
      <c r="B45" s="35">
        <f>COUNTIF('5.1 API Security'!F8:F69,"*Non-Compliant")</f>
        <v/>
      </c>
      <c r="C45" s="35">
        <f>COUNTIF('5.1 API Security'!F8:F69,"*Partial")</f>
        <v/>
      </c>
      <c r="D45" s="35">
        <f>COUNTIF('5.1 API Security'!F8:F69,"*Compliant")</f>
        <v/>
      </c>
      <c r="E45" s="35">
        <f>COUNTIF('5.1 API Security'!F8:F69,"N/A")</f>
        <v/>
      </c>
      <c r="F45" s="35">
        <f>COUNTA('5.1 API Security'!F8:F69)</f>
        <v/>
      </c>
      <c r="G45" s="36">
        <f>IF((F45-E45)=0,0,D45/(F45-E45))</f>
        <v/>
      </c>
    </row>
    <row r="46">
      <c r="A46" s="35" t="inlineStr">
        <is>
          <t>6.1 Database Connections</t>
        </is>
      </c>
      <c r="B46" s="35">
        <f>COUNTIF('6.1 Database Connections'!D8:D69,"*Non-Compliant")</f>
        <v/>
      </c>
      <c r="C46" s="35">
        <f>COUNTIF('6.1 Database Connections'!D8:D69,"*Partial")</f>
        <v/>
      </c>
      <c r="D46" s="35">
        <f>COUNTIF('6.1 Database Connections'!D8:D69,"*Compliant")</f>
        <v/>
      </c>
      <c r="E46" s="35">
        <f>COUNTIF('6.1 Database Connections'!D8:D69,"N/A")</f>
        <v/>
      </c>
      <c r="F46" s="35">
        <f>COUNTA('6.1 Database Connections'!D8:D69)</f>
        <v/>
      </c>
      <c r="G46" s="36">
        <f>IF((F46-E46)=0,0,D46/(F46-E46))</f>
        <v/>
      </c>
    </row>
    <row r="47">
      <c r="A47" s="35" t="inlineStr">
        <is>
          <t>6.2 Wireless Networks</t>
        </is>
      </c>
      <c r="B47" s="35">
        <f>COUNTIF('6.2 Wireless Networks'!D8:D69,"*Non-Compliant")</f>
        <v/>
      </c>
      <c r="C47" s="35">
        <f>COUNTIF('6.2 Wireless Networks'!D8:D69,"*Partial")</f>
        <v/>
      </c>
      <c r="D47" s="35">
        <f>COUNTIF('6.2 Wireless Networks'!D8:D69,"*Compliant")</f>
        <v/>
      </c>
      <c r="E47" s="35">
        <f>COUNTIF('6.2 Wireless Networks'!D8:D69,"N/A")</f>
        <v/>
      </c>
      <c r="F47" s="35">
        <f>COUNTA('6.2 Wireless Networks'!D8:D69)</f>
        <v/>
      </c>
      <c r="G47" s="36">
        <f>IF((F47-E47)=0,0,D47/(F47-E47))</f>
        <v/>
      </c>
    </row>
    <row r="48">
      <c r="A48" s="35" t="inlineStr">
        <is>
          <t>7.1 Cloud Transmission</t>
        </is>
      </c>
      <c r="B48" s="35">
        <f>COUNTIF('7.1 Cloud Transmission'!D8:D69,"*Non-Compliant")</f>
        <v/>
      </c>
      <c r="C48" s="35">
        <f>COUNTIF('7.1 Cloud Transmission'!D8:D69,"*Partial")</f>
        <v/>
      </c>
      <c r="D48" s="35">
        <f>COUNTIF('7.1 Cloud Transmission'!D8:D69,"*Compliant")</f>
        <v/>
      </c>
      <c r="E48" s="35">
        <f>COUNTIF('7.1 Cloud Transmission'!D8:D69,"N/A")</f>
        <v/>
      </c>
      <c r="F48" s="35">
        <f>COUNTA('7.1 Cloud Transmission'!D8:D69)</f>
        <v/>
      </c>
      <c r="G48" s="36">
        <f>IF((F48-E48)=0,0,D48/(F48-E48))</f>
        <v/>
      </c>
    </row>
    <row r="49">
      <c r="A49" s="32" t="inlineStr">
        <is>
          <t>TOTAL</t>
        </is>
      </c>
      <c r="B49" s="32">
        <f>SUM(B37:B48)</f>
        <v/>
      </c>
      <c r="C49" s="32">
        <f>SUM(C37:C48)</f>
        <v/>
      </c>
      <c r="D49" s="32">
        <f>SUM(D37:D48)</f>
        <v/>
      </c>
      <c r="E49" s="32">
        <f>SUM(E37:E48)</f>
        <v/>
      </c>
      <c r="F49" s="32">
        <f>SUM(F37:F48)</f>
        <v/>
      </c>
      <c r="G49" s="37">
        <f>IF((F49-E49)=0,0,D49/(F49-E49))</f>
        <v/>
      </c>
    </row>
  </sheetData>
  <mergeCells count="5">
    <mergeCell ref="A1:G1"/>
    <mergeCell ref="A35:G35"/>
    <mergeCell ref="A4:G4"/>
    <mergeCell ref="A20:G20"/>
    <mergeCell ref="A2:G2"/>
  </mergeCells>
  <dataValidations count="1">
    <dataValidation sqref="D22 D23 D24 D25 D26 D27 D28 D29 D30 D31" showDropDown="0" showInputMessage="0" showErrorMessage="0" allowBlank="1" type="list">
      <formula1>"✅ On Target,⚠️ At Risk,❌ Below Target"</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8" t="inlineStr">
        <is>
          <t>ASSESSMENT APPROVAL AND SIGN-OFF</t>
        </is>
      </c>
      <c r="B1" s="6" t="n"/>
      <c r="C1" s="6" t="n"/>
      <c r="D1" s="6" t="n"/>
      <c r="E1" s="6" t="n"/>
    </row>
    <row r="3">
      <c r="A3" s="39" t="inlineStr">
        <is>
          <t>ASSESSMENT SUMMARY</t>
        </is>
      </c>
      <c r="B3" s="6" t="n"/>
      <c r="C3" s="6" t="n"/>
      <c r="D3" s="6" t="n"/>
      <c r="E3" s="6" t="n"/>
    </row>
    <row r="4">
      <c r="A4" s="14" t="inlineStr">
        <is>
          <t>Document:</t>
        </is>
      </c>
      <c r="B4" s="6" t="inlineStr">
        <is>
          <t>ISMS-IMP-A.8.24.1 - Data Transmission Assessment</t>
        </is>
      </c>
      <c r="C4" s="6" t="n"/>
      <c r="D4" s="6" t="n"/>
      <c r="E4" s="6" t="n"/>
    </row>
    <row r="5">
      <c r="A5" s="14" t="inlineStr">
        <is>
          <t>Assessment Period:</t>
        </is>
      </c>
      <c r="B5" s="15" t="inlineStr"/>
      <c r="C5" s="6" t="n"/>
      <c r="D5" s="6" t="n"/>
      <c r="E5" s="6" t="n"/>
    </row>
    <row r="6">
      <c r="A6" s="14" t="inlineStr">
        <is>
          <t>Overall Compliance:</t>
        </is>
      </c>
      <c r="B6" s="6">
        <f>'Summary Dashboard'!G18</f>
        <v/>
      </c>
      <c r="C6" s="6" t="n"/>
      <c r="D6" s="6" t="n"/>
      <c r="E6" s="6" t="n"/>
    </row>
    <row r="7">
      <c r="A7" s="14" t="inlineStr">
        <is>
          <t>Assessment Status:</t>
        </is>
      </c>
      <c r="B7" s="15" t="inlineStr"/>
      <c r="C7" s="6" t="n"/>
      <c r="D7" s="6" t="n"/>
      <c r="E7" s="6" t="n"/>
    </row>
    <row r="10">
      <c r="A10" s="39" t="inlineStr">
        <is>
          <t>COMPLETED BY (ASSESSOR)</t>
        </is>
      </c>
      <c r="B10" s="6" t="n"/>
      <c r="C10" s="6" t="n"/>
      <c r="D10" s="6" t="n"/>
      <c r="E10" s="6" t="n"/>
    </row>
    <row r="11">
      <c r="A11" s="14" t="inlineStr">
        <is>
          <t>Name:</t>
        </is>
      </c>
      <c r="B11" s="15" t="n"/>
      <c r="C11" s="6" t="n"/>
      <c r="D11" s="6" t="n"/>
      <c r="E11" s="6" t="n"/>
    </row>
    <row r="12">
      <c r="A12" s="14" t="inlineStr">
        <is>
          <t>Title:</t>
        </is>
      </c>
      <c r="B12" s="15" t="n"/>
      <c r="C12" s="6" t="n"/>
      <c r="D12" s="6" t="n"/>
      <c r="E12" s="6" t="n"/>
    </row>
    <row r="13">
      <c r="A13" s="14" t="inlineStr">
        <is>
          <t>Date:</t>
        </is>
      </c>
      <c r="B13" s="15" t="n"/>
      <c r="C13" s="6" t="n"/>
      <c r="D13" s="6" t="n"/>
      <c r="E13" s="6" t="n"/>
    </row>
    <row r="14">
      <c r="A14" s="14" t="inlineStr">
        <is>
          <t>Signature:</t>
        </is>
      </c>
      <c r="B14" s="15" t="n"/>
      <c r="C14" s="6" t="n"/>
      <c r="D14" s="6" t="n"/>
      <c r="E14" s="6" t="n"/>
    </row>
    <row r="15">
      <c r="A15" s="14" t="inlineStr">
        <is>
          <t>Comments:</t>
        </is>
      </c>
      <c r="B15" s="15" t="n"/>
      <c r="C15" s="6" t="n"/>
      <c r="D15" s="6" t="n"/>
      <c r="E15" s="6" t="n"/>
    </row>
    <row r="17">
      <c r="A17" s="39" t="inlineStr">
        <is>
          <t>REVIEWED BY (INFORMATION SECURITY OFFICER)</t>
        </is>
      </c>
      <c r="B17" s="6" t="n"/>
      <c r="C17" s="6" t="n"/>
      <c r="D17" s="6" t="n"/>
      <c r="E17" s="6" t="n"/>
    </row>
    <row r="18">
      <c r="A18" s="14" t="inlineStr">
        <is>
          <t>Name:</t>
        </is>
      </c>
      <c r="B18" s="15" t="n"/>
      <c r="C18" s="6" t="n"/>
      <c r="D18" s="6" t="n"/>
      <c r="E18" s="6" t="n"/>
    </row>
    <row r="19">
      <c r="A19" s="14" t="inlineStr">
        <is>
          <t>Title:</t>
        </is>
      </c>
      <c r="B19" s="15" t="n"/>
      <c r="C19" s="6" t="n"/>
      <c r="D19" s="6" t="n"/>
      <c r="E19" s="6" t="n"/>
    </row>
    <row r="20">
      <c r="A20" s="14" t="inlineStr">
        <is>
          <t>Date:</t>
        </is>
      </c>
      <c r="B20" s="15" t="n"/>
      <c r="C20" s="6" t="n"/>
      <c r="D20" s="6" t="n"/>
      <c r="E20" s="6" t="n"/>
    </row>
    <row r="21">
      <c r="A21" s="14" t="inlineStr">
        <is>
          <t>Signature:</t>
        </is>
      </c>
      <c r="B21" s="15" t="n"/>
      <c r="C21" s="6" t="n"/>
      <c r="D21" s="6" t="n"/>
      <c r="E21" s="6" t="n"/>
    </row>
    <row r="22">
      <c r="A22" s="14" t="inlineStr">
        <is>
          <t>Comments:</t>
        </is>
      </c>
      <c r="B22" s="15" t="n"/>
      <c r="C22" s="6" t="n"/>
      <c r="D22" s="6" t="n"/>
      <c r="E22" s="6" t="n"/>
    </row>
    <row r="24">
      <c r="A24" s="40" t="inlineStr">
        <is>
          <t>APPROVED BY (CISO)</t>
        </is>
      </c>
      <c r="B24" s="6" t="n"/>
      <c r="C24" s="6" t="n"/>
      <c r="D24" s="6" t="n"/>
      <c r="E24" s="6" t="n"/>
    </row>
    <row r="25">
      <c r="A25" s="14" t="inlineStr">
        <is>
          <t>Name:</t>
        </is>
      </c>
      <c r="B25" s="15" t="n"/>
      <c r="C25" s="6" t="n"/>
      <c r="D25" s="6" t="n"/>
      <c r="E25" s="6" t="n"/>
    </row>
    <row r="26">
      <c r="A26" s="14" t="inlineStr">
        <is>
          <t>Title:</t>
        </is>
      </c>
      <c r="B26" s="15" t="n"/>
      <c r="C26" s="6" t="n"/>
      <c r="D26" s="6" t="n"/>
      <c r="E26" s="6" t="n"/>
    </row>
    <row r="27">
      <c r="A27" s="14" t="inlineStr">
        <is>
          <t>Date:</t>
        </is>
      </c>
      <c r="B27" s="15" t="n"/>
      <c r="C27" s="6" t="n"/>
      <c r="D27" s="6" t="n"/>
      <c r="E27" s="6" t="n"/>
    </row>
    <row r="28">
      <c r="A28" s="14" t="inlineStr">
        <is>
          <t>Signature:</t>
        </is>
      </c>
      <c r="B28" s="15" t="n"/>
      <c r="C28" s="6" t="n"/>
      <c r="D28" s="6" t="n"/>
      <c r="E28" s="6" t="n"/>
    </row>
    <row r="29">
      <c r="A29" s="14" t="inlineStr">
        <is>
          <t>Comments:</t>
        </is>
      </c>
      <c r="B29" s="15" t="n"/>
      <c r="C29" s="6" t="n"/>
      <c r="D29" s="6" t="n"/>
      <c r="E29" s="6" t="n"/>
    </row>
    <row r="31">
      <c r="A31" s="14" t="inlineStr">
        <is>
          <t>FINAL DECISION:</t>
        </is>
      </c>
      <c r="B31" s="15" t="n"/>
      <c r="C31" s="6" t="n"/>
      <c r="D31" s="6" t="n"/>
      <c r="E31" s="6" t="n"/>
    </row>
    <row r="34">
      <c r="A34" s="39" t="inlineStr">
        <is>
          <t>NEXT REVIEW DETAILS</t>
        </is>
      </c>
      <c r="B34" s="6" t="n"/>
      <c r="C34" s="6" t="n"/>
      <c r="D34" s="6" t="n"/>
      <c r="E34" s="6" t="n"/>
    </row>
    <row r="35">
      <c r="A35" s="14" t="inlineStr">
        <is>
          <t>Next Review Date:</t>
        </is>
      </c>
      <c r="B35" s="15" t="n"/>
      <c r="C35" s="6" t="n"/>
      <c r="D35" s="6" t="n"/>
      <c r="E35" s="6" t="n"/>
    </row>
    <row r="36">
      <c r="A36" s="14" t="inlineStr">
        <is>
          <t>Review Responsible:</t>
        </is>
      </c>
      <c r="B36" s="15" t="n"/>
      <c r="C36" s="6" t="n"/>
      <c r="D36" s="6" t="n"/>
      <c r="E36" s="6" t="n"/>
    </row>
    <row r="37">
      <c r="A37" s="14" t="inlineStr">
        <is>
          <t>Special Considerations:</t>
        </is>
      </c>
      <c r="B37" s="15" t="n"/>
      <c r="C37" s="6" t="n"/>
      <c r="D37" s="6" t="n"/>
      <c r="E37" s="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ISMS-IMP-A.8.24.1 — Data Transmission Cryptography Assessment</dc:title>
  <dc:description xmlns:dc="http://purl.org/dc/elements/1.1/">ISMS Implementation Workbook — ISMS-IMP-A.8.24.1</dc:description>
  <dc:subject xmlns:dc="http://purl.org/dc/elements/1.1/">ISO/IEC 27001:2022 — Control A.8.24: Use of Cryptography</dc:subject>
  <dcterms:created xmlns:dcterms="http://purl.org/dc/terms/" xmlns:xsi="http://www.w3.org/2001/XMLSchema-instance" xsi:type="dcterms:W3CDTF">2026-03-01T16:58:15Z</dcterms:created>
  <dcterms:modified xmlns:dcterms="http://purl.org/dc/terms/" xmlns:xsi="http://www.w3.org/2001/XMLSchema-instance" xsi:type="dcterms:W3CDTF">2026-03-01T16:58:15Z</dcterms:modified>
</cp:coreProperties>
</file>