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Key Generation" sheetId="2" state="visible" r:id="rId2"/>
    <sheet xmlns:r="http://schemas.openxmlformats.org/officeDocument/2006/relationships" name="2. Key Storage" sheetId="3" state="visible" r:id="rId3"/>
    <sheet xmlns:r="http://schemas.openxmlformats.org/officeDocument/2006/relationships" name="3. Key Rotation" sheetId="4" state="visible" r:id="rId4"/>
    <sheet xmlns:r="http://schemas.openxmlformats.org/officeDocument/2006/relationships" name="4. Key Backup &amp; Recovery" sheetId="5" state="visible" r:id="rId5"/>
    <sheet xmlns:r="http://schemas.openxmlformats.org/officeDocument/2006/relationships" name="5. Certificate Management"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name val="Calibri"/>
      <b val="1"/>
      <color rgb="00FFFFFF"/>
      <sz val="11"/>
    </font>
    <font>
      <b val="1"/>
      <color rgb="000000FF"/>
      <sz val="12"/>
    </font>
    <font>
      <b val="1"/>
      <color rgb="00FFFFFF"/>
      <sz val="12"/>
    </font>
    <font>
      <i val="1"/>
    </font>
    <font>
      <color rgb="00808080"/>
    </font>
    <font>
      <b val="1"/>
      <color rgb="00FFFFFF"/>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9" fillId="0" borderId="0" pivotButton="0" quotePrefix="0" xfId="0"/>
    <xf numFmtId="0" fontId="2" fillId="0" borderId="0" applyAlignment="1" pivotButton="0" quotePrefix="0" xfId="0">
      <alignment horizontal="center" vertical="center"/>
    </xf>
    <xf numFmtId="0" fontId="0" fillId="3" borderId="0" pivotButton="0" quotePrefix="0" xfId="0"/>
    <xf numFmtId="0" fontId="10" fillId="8" borderId="0" applyAlignment="1" pivotButton="0" quotePrefix="0" xfId="0">
      <alignment horizontal="center" vertical="center"/>
    </xf>
    <xf numFmtId="0" fontId="10" fillId="2"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13" fillId="9" borderId="0" pivotButton="0" quotePrefix="0" xfId="0"/>
    <xf numFmtId="0" fontId="1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ISMS-IMP-A.8.24.4 – Key Management Assessment
ISO/IEC 27001:2022 - Control A.8.24: Use of Cryptography</t>
        </is>
      </c>
    </row>
    <row r="3">
      <c r="A3" s="2" t="inlineStr">
        <is>
          <t>Document Information</t>
        </is>
      </c>
    </row>
    <row r="4">
      <c r="A4" s="3" t="inlineStr">
        <is>
          <t>Document ID</t>
        </is>
      </c>
      <c r="B4" t="inlineStr">
        <is>
          <t>ISMS-IMP-A.8.24.4</t>
        </is>
      </c>
    </row>
    <row r="5">
      <c r="A5" s="3" t="inlineStr">
        <is>
          <t>Assessment Area</t>
        </is>
      </c>
      <c r="B5" t="inlineStr">
        <is>
          <t>Key Management Cryptographic Controls</t>
        </is>
      </c>
    </row>
    <row r="6">
      <c r="A6" s="3" t="inlineStr">
        <is>
          <t>Related Policy</t>
        </is>
      </c>
      <c r="B6" t="inlineStr">
        <is>
          <t>ISMS-POL-A.8.24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HOW TO USE THIS WORKBOOK</t>
        </is>
      </c>
    </row>
    <row r="14">
      <c r="A14" t="inlineStr">
        <is>
          <t>1. Complete each worksheet tab (1–5) for applicable key management areas</t>
        </is>
      </c>
    </row>
    <row r="15">
      <c r="A15" t="inlineStr">
        <is>
          <t>2. Use dropdown menus for standardised entries (Status, Key Type, Algorithm, Storage Method, etc.)</t>
        </is>
      </c>
    </row>
    <row r="16">
      <c r="A16" t="inlineStr">
        <is>
          <t>3. Fill in yellow-highlighted cells with your information</t>
        </is>
      </c>
    </row>
    <row r="17">
      <c r="A17" t="inlineStr">
        <is>
          <t>4. If Status = Partial or Non-Compliant, complete the Exception/Deviation section</t>
        </is>
      </c>
    </row>
    <row r="18">
      <c r="A18" t="inlineStr">
        <is>
          <t>5. Document key lifecycle details for each cryptographic system</t>
        </is>
      </c>
    </row>
    <row r="19">
      <c r="A19" t="inlineStr">
        <is>
          <t>6. Provide evidence location/path for each implementation entry</t>
        </is>
      </c>
    </row>
    <row r="20">
      <c r="A20" t="inlineStr">
        <is>
          <t>7. Summary Dashboard auto-calculates compliance statistics per key management area</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Key generation audit logs</t>
        </is>
      </c>
    </row>
    <row r="34">
      <c r="A34" t="inlineStr">
        <is>
          <t>✓ HSM configuration and initialization records</t>
        </is>
      </c>
    </row>
    <row r="35">
      <c r="A35" t="inlineStr">
        <is>
          <t>✓ KMS architecture diagrams</t>
        </is>
      </c>
    </row>
    <row r="36">
      <c r="A36" t="inlineStr">
        <is>
          <t>✓ Key rotation schedules and logs</t>
        </is>
      </c>
    </row>
    <row r="37">
      <c r="A37" t="inlineStr">
        <is>
          <t>✓ Key backup and recovery procedures</t>
        </is>
      </c>
    </row>
    <row r="38">
      <c r="A38" t="inlineStr">
        <is>
          <t>✓ Key escrow agreements</t>
        </is>
      </c>
    </row>
    <row r="39">
      <c r="A39" t="inlineStr">
        <is>
          <t>✓ Certificate lifecycle management reports</t>
        </is>
      </c>
    </row>
    <row r="40">
      <c r="A40" t="inlineStr">
        <is>
          <t>✓ Certificate Authority (CA) audit reports</t>
        </is>
      </c>
    </row>
    <row r="41">
      <c r="A41" t="inlineStr">
        <is>
          <t>✓ Key ceremony documentation</t>
        </is>
      </c>
    </row>
    <row r="42">
      <c r="A42" t="inlineStr">
        <is>
          <t>✓ Cryptographic module validation certificates (FIPS 140-2/3)</t>
        </is>
      </c>
    </row>
    <row r="43">
      <c r="A43" t="inlineStr">
        <is>
          <t>✓ Key usage and access logs</t>
        </is>
      </c>
    </row>
    <row r="44">
      <c r="A44" t="inlineStr">
        <is>
          <t>✓ Key destruction records</t>
        </is>
      </c>
    </row>
    <row r="45">
      <c r="A45" t="inlineStr">
        <is>
          <t>✓ Algorithm compliance verification reports</t>
        </is>
      </c>
    </row>
    <row r="46">
      <c r="A46" t="inlineStr">
        <is>
          <t>✓ Third-party key management audit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3"/>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20" customWidth="1" min="19" max="19"/>
    <col width="16" customWidth="1" min="20" max="20"/>
    <col width="16" customWidth="1" min="21" max="21"/>
    <col width="16" customWidth="1" min="22" max="22"/>
  </cols>
  <sheetData>
    <row r="1" ht="40" customHeight="1">
      <c r="A1" s="1" t="inlineStr">
        <is>
          <t>1. KEY GENERATION - CRYPTOGRAPHIC KEY CREATION
Policy Requirement: Cryptographic keys MUST be generated using approved algorithms with cryptographically secure random number generators (Policy Section 2.4.1)</t>
        </is>
      </c>
    </row>
    <row r="3" ht="30" customHeight="1">
      <c r="A3" s="11" t="inlineStr">
        <is>
          <t>Does your organisation generate cryptographic keys for encryption, signing, or authentication purposes?</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Random Number Generator</t>
        </is>
      </c>
      <c r="S6" s="5" t="inlineStr">
        <is>
          <t>Generation Location</t>
        </is>
      </c>
      <c r="T6" s="5" t="inlineStr">
        <is>
          <t>Key Ceremony Performed</t>
        </is>
      </c>
      <c r="U6" s="5" t="inlineStr">
        <is>
          <t>Entropy Source Verified</t>
        </is>
      </c>
      <c r="V6" s="5" t="inlineStr">
        <is>
          <t>Generation Audit Log</t>
        </is>
      </c>
    </row>
    <row r="7">
      <c r="A7" s="12" t="inlineStr">
        <is>
          <t>Example: Production Database Encryption - FINDB01</t>
        </is>
      </c>
      <c r="B7" s="12" t="inlineStr">
        <is>
          <t>Data Encryption Key</t>
        </is>
      </c>
      <c r="C7" s="12" t="inlineStr">
        <is>
          <t>AES-256</t>
        </is>
      </c>
      <c r="D7" s="12" t="inlineStr">
        <is>
          <t>256</t>
        </is>
      </c>
      <c r="E7" s="12" t="inlineStr">
        <is>
          <t>HSM</t>
        </is>
      </c>
      <c r="F7" s="12" t="inlineStr">
        <is>
          <t>Restricted</t>
        </is>
      </c>
      <c r="G7" s="12" t="inlineStr">
        <is>
          <t>Active</t>
        </is>
      </c>
      <c r="H7" s="12" t="inlineStr">
        <is>
          <t>✅ Compliant</t>
        </is>
      </c>
      <c r="I7" s="12" t="inlineStr">
        <is>
          <t>/evidence/key-mgmt/FINDB01-key-generation-log.pdf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HSM RNG</t>
        </is>
      </c>
      <c r="S7" s="12" t="inlineStr">
        <is>
          <t>HSM</t>
        </is>
      </c>
      <c r="T7" s="12" t="inlineStr">
        <is>
          <t>Yes</t>
        </is>
      </c>
      <c r="U7" s="12" t="inlineStr">
        <is>
          <t>Yes</t>
        </is>
      </c>
      <c r="V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row>
    <row r="22">
      <c r="A22" s="14" t="inlineStr">
        <is>
          <t>1. KEY GENERATION CHECKLIST</t>
        </is>
      </c>
    </row>
    <row r="23">
      <c r="A23" s="3" t="inlineStr">
        <is>
          <t>☐</t>
        </is>
      </c>
      <c r="B23" s="3" t="inlineStr">
        <is>
          <t>Requirement</t>
        </is>
      </c>
      <c r="C23" s="3" t="inlineStr">
        <is>
          <t>Status</t>
        </is>
      </c>
    </row>
    <row r="24">
      <c r="A24" t="inlineStr">
        <is>
          <t>☐</t>
        </is>
      </c>
      <c r="B24" t="inlineStr">
        <is>
          <t>Approved algorithms only (AES-256, RSA ≥3072, Ed25519, ECDSA P-256+)</t>
        </is>
      </c>
      <c r="C24" s="4" t="n"/>
    </row>
    <row r="25">
      <c r="A25" t="inlineStr">
        <is>
          <t>☐</t>
        </is>
      </c>
      <c r="B25" t="inlineStr">
        <is>
          <t>Cryptographically secure random number generator (CSRNG) used</t>
        </is>
      </c>
      <c r="C25" s="4" t="n"/>
    </row>
    <row r="26">
      <c r="A26" t="inlineStr">
        <is>
          <t>☐</t>
        </is>
      </c>
      <c r="B26" t="inlineStr">
        <is>
          <t>FIPS 140-2 Level 2+ validated cryptographic module (production)</t>
        </is>
      </c>
      <c r="C26" s="4" t="n"/>
    </row>
    <row r="27">
      <c r="A27" t="inlineStr">
        <is>
          <t>☐</t>
        </is>
      </c>
      <c r="B27" t="inlineStr">
        <is>
          <t>Key generation performed in secure environment (HSM/KMS/TPM)</t>
        </is>
      </c>
      <c r="C27" s="4" t="n"/>
    </row>
    <row r="28">
      <c r="A28" t="inlineStr">
        <is>
          <t>☐</t>
        </is>
      </c>
      <c r="B28" t="inlineStr">
        <is>
          <t>Weak algorithms prohibited (DES, 3DES, MD5, SHA-1, RSA &lt;2048)</t>
        </is>
      </c>
      <c r="C28" s="4" t="n"/>
    </row>
    <row r="29">
      <c r="A29" t="inlineStr">
        <is>
          <t>☐</t>
        </is>
      </c>
      <c r="B29" t="inlineStr">
        <is>
          <t>Key ceremony documented for master/root keys</t>
        </is>
      </c>
      <c r="C29" s="4" t="n"/>
    </row>
    <row r="30">
      <c r="A30" t="inlineStr">
        <is>
          <t>☐</t>
        </is>
      </c>
      <c r="B30" t="inlineStr">
        <is>
          <t>Dual control/split knowledge for critical key generation</t>
        </is>
      </c>
      <c r="C30" s="4" t="n"/>
    </row>
    <row r="31">
      <c r="A31" t="inlineStr">
        <is>
          <t>☐</t>
        </is>
      </c>
      <c r="B31" t="inlineStr">
        <is>
          <t>Key generation audit logging enabled</t>
        </is>
      </c>
      <c r="C31" s="4" t="n"/>
    </row>
    <row r="32">
      <c r="A32" t="inlineStr">
        <is>
          <t>☐</t>
        </is>
      </c>
      <c r="B32" t="inlineStr">
        <is>
          <t>Generated keys never exposed in plaintext outside secure boundary</t>
        </is>
      </c>
      <c r="C32" s="4" t="n"/>
    </row>
    <row r="33">
      <c r="A33" t="inlineStr">
        <is>
          <t>☐</t>
        </is>
      </c>
      <c r="B33" t="inlineStr">
        <is>
          <t>Entropy source quality verified and tested</t>
        </is>
      </c>
      <c r="C33" s="4" t="n"/>
    </row>
    <row r="34">
      <c r="A34" t="inlineStr">
        <is>
          <t>☐</t>
        </is>
      </c>
      <c r="B34" t="inlineStr">
        <is>
          <t>Key generation procedures documented</t>
        </is>
      </c>
      <c r="C34" s="4" t="n"/>
    </row>
    <row r="35">
      <c r="A35" t="inlineStr">
        <is>
          <t>☐</t>
        </is>
      </c>
      <c r="B35" t="inlineStr">
        <is>
          <t>Key metadata tracked (creation date, purpose, owner, classification)</t>
        </is>
      </c>
      <c r="C35" s="4" t="n"/>
    </row>
    <row r="36">
      <c r="A36" t="inlineStr">
        <is>
          <t>☐</t>
        </is>
      </c>
      <c r="B36" t="inlineStr">
        <is>
          <t>Test/development keys distinct from production keys</t>
        </is>
      </c>
      <c r="C36" s="4" t="n"/>
    </row>
    <row r="37">
      <c r="A37" t="inlineStr">
        <is>
          <t>☐</t>
        </is>
      </c>
      <c r="B37" t="inlineStr">
        <is>
          <t>Default/vendor keys replaced before production use</t>
        </is>
      </c>
      <c r="C37" s="4" t="n"/>
    </row>
    <row r="38">
      <c r="A38" s="3" t="inlineStr">
        <is>
          <t>Checklist Score:</t>
        </is>
      </c>
      <c r="B38" s="15">
        <f>COUNTIF(C24:C37,"Yes")/COUNTA(C24:C37)*100&amp;"%"</f>
        <v/>
      </c>
    </row>
    <row r="40">
      <c r="A40" s="14" t="inlineStr">
        <is>
          <t>APPROVED ALGORITHMS BY USE CASE</t>
        </is>
      </c>
    </row>
    <row r="41">
      <c r="A41" s="5" t="inlineStr">
        <is>
          <t>Use Case</t>
        </is>
      </c>
      <c r="B41" s="5" t="inlineStr">
        <is>
          <t>Minimum Algorithm</t>
        </is>
      </c>
      <c r="C41" s="5" t="inlineStr">
        <is>
          <t>Key Length</t>
        </is>
      </c>
      <c r="D41" s="5" t="inlineStr">
        <is>
          <t>Notes</t>
        </is>
      </c>
    </row>
    <row r="42">
      <c r="A42" s="8" t="inlineStr">
        <is>
          <t>Symmetric Encryption (Data at Rest)</t>
        </is>
      </c>
      <c r="B42" s="8" t="inlineStr">
        <is>
          <t>AES</t>
        </is>
      </c>
      <c r="C42" s="8" t="inlineStr">
        <is>
          <t>256 bits</t>
        </is>
      </c>
      <c r="D42" s="8" t="inlineStr">
        <is>
          <t>AES-256-GCM preferred</t>
        </is>
      </c>
    </row>
    <row r="43">
      <c r="A43" s="8" t="inlineStr">
        <is>
          <t>Symmetric Encryption (Data in Transit)</t>
        </is>
      </c>
      <c r="B43" s="8" t="inlineStr">
        <is>
          <t>AES, ChaCha20</t>
        </is>
      </c>
      <c r="C43" s="8" t="inlineStr">
        <is>
          <t>256 bits</t>
        </is>
      </c>
      <c r="D43" s="8" t="inlineStr">
        <is>
          <t>ChaCha20-Poly1305 for mobile</t>
        </is>
      </c>
    </row>
    <row r="44">
      <c r="A44" s="8" t="inlineStr">
        <is>
          <t>Asymmetric Encryption</t>
        </is>
      </c>
      <c r="B44" s="8" t="inlineStr">
        <is>
          <t>RSA, ECDH</t>
        </is>
      </c>
      <c r="C44" s="8" t="inlineStr">
        <is>
          <t>RSA ≥3072, ECDH P-256+</t>
        </is>
      </c>
      <c r="D44" s="8" t="inlineStr">
        <is>
          <t>RSA-4096 for long-term</t>
        </is>
      </c>
    </row>
    <row r="45">
      <c r="A45" s="8" t="inlineStr">
        <is>
          <t>Digital Signatures</t>
        </is>
      </c>
      <c r="B45" s="8" t="inlineStr">
        <is>
          <t>RSA, Ed25519, ECDSA</t>
        </is>
      </c>
      <c r="C45" s="8" t="inlineStr">
        <is>
          <t>RSA ≥3072, Ed25519, ECDSA P-256+</t>
        </is>
      </c>
      <c r="D45" s="8" t="inlineStr">
        <is>
          <t>Ed25519 preferred for new systems</t>
        </is>
      </c>
    </row>
    <row r="46">
      <c r="A46" s="8" t="inlineStr">
        <is>
          <t>Key Exchange</t>
        </is>
      </c>
      <c r="B46" s="8" t="inlineStr">
        <is>
          <t>ECDH, RSA</t>
        </is>
      </c>
      <c r="C46" s="8" t="inlineStr">
        <is>
          <t>ECDH P-256+, RSA ≥3072</t>
        </is>
      </c>
      <c r="D46" s="8" t="inlineStr">
        <is>
          <t>Use ephemeral keys for PFS</t>
        </is>
      </c>
    </row>
    <row r="47">
      <c r="A47" s="8" t="inlineStr">
        <is>
          <t>Hashing</t>
        </is>
      </c>
      <c r="B47" s="8" t="inlineStr">
        <is>
          <t>SHA-256, SHA-384, SHA-512</t>
        </is>
      </c>
      <c r="C47" s="8" t="inlineStr">
        <is>
          <t>N/A (output size)</t>
        </is>
      </c>
      <c r="D47" s="8" t="inlineStr">
        <is>
          <t>SHA-256 minimum</t>
        </is>
      </c>
    </row>
    <row r="48">
      <c r="A48" s="8" t="inlineStr">
        <is>
          <t>HMAC</t>
        </is>
      </c>
      <c r="B48" s="8" t="inlineStr">
        <is>
          <t>HMAC-SHA256</t>
        </is>
      </c>
      <c r="C48" s="8" t="inlineStr">
        <is>
          <t>≥256 bits</t>
        </is>
      </c>
      <c r="D48" s="8" t="inlineStr">
        <is>
          <t>For message authentication</t>
        </is>
      </c>
    </row>
    <row r="50">
      <c r="A50" s="16" t="inlineStr">
        <is>
          <t>EXCEPTION / DEVIATION DOCUMENTATION (Complete if Status = Partial or Non-Compliant)</t>
        </is>
      </c>
    </row>
    <row r="51">
      <c r="A51" s="3" t="inlineStr">
        <is>
          <t>Formal exception request submitted:</t>
        </is>
      </c>
      <c r="B51" s="13" t="n"/>
    </row>
    <row r="52">
      <c r="A52" s="3" t="inlineStr">
        <is>
          <t>Exception ID:</t>
        </is>
      </c>
      <c r="B52" s="13" t="n"/>
    </row>
    <row r="53">
      <c r="A53" s="3" t="inlineStr">
        <is>
          <t>Risk acceptance documented:</t>
        </is>
      </c>
      <c r="B53" s="13" t="n"/>
    </row>
    <row r="54">
      <c r="A54" s="3" t="inlineStr">
        <is>
          <t>Risk ID:</t>
        </is>
      </c>
      <c r="B54" s="13" t="n"/>
    </row>
    <row r="55">
      <c r="A55" s="3" t="inlineStr">
        <is>
          <t>Compensating Controls (summary):</t>
        </is>
      </c>
      <c r="B55" s="13" t="n"/>
    </row>
    <row r="56">
      <c r="A56" s="3" t="inlineStr">
        <is>
          <t>☐ Enhanced monitoring and alerting</t>
        </is>
      </c>
      <c r="B56" s="13" t="n"/>
    </row>
    <row r="57">
      <c r="A57" s="3" t="inlineStr">
        <is>
          <t>☐ Restricted network access / air-gapped systems</t>
        </is>
      </c>
      <c r="B57" s="13" t="n"/>
    </row>
    <row r="58">
      <c r="A58" s="3" t="inlineStr">
        <is>
          <t>☐ Additional encryption layer</t>
        </is>
      </c>
      <c r="B58" s="13" t="n"/>
    </row>
    <row r="59">
      <c r="A59" s="3" t="inlineStr">
        <is>
          <t>☐ Manual key management procedures</t>
        </is>
      </c>
      <c r="B59" s="13" t="n"/>
    </row>
    <row r="60">
      <c r="A60" s="3" t="inlineStr">
        <is>
          <t>☐ Increased audit frequency</t>
        </is>
      </c>
      <c r="B60" s="13" t="n"/>
    </row>
    <row r="61">
      <c r="A61" s="3" t="inlineStr">
        <is>
          <t>☐ Physical security controls</t>
        </is>
      </c>
      <c r="B61" s="13" t="n"/>
    </row>
    <row r="62">
      <c r="A62" s="3" t="inlineStr">
        <is>
          <t>☐ Other (describe):</t>
        </is>
      </c>
      <c r="B62" s="13" t="n"/>
    </row>
    <row r="64">
      <c r="A64" s="14" t="inlineStr">
        <is>
          <t>ADDITIONAL NOTES / COMMENTS</t>
        </is>
      </c>
    </row>
    <row r="65">
      <c r="A65" s="17" t="n"/>
    </row>
    <row r="66"/>
    <row r="67"/>
    <row r="68"/>
    <row r="69"/>
    <row r="70"/>
    <row r="71"/>
    <row r="72"/>
    <row r="73"/>
  </sheetData>
  <mergeCells count="17">
    <mergeCell ref="A64:V64"/>
    <mergeCell ref="B59:D59"/>
    <mergeCell ref="B54:D54"/>
    <mergeCell ref="B60:D60"/>
    <mergeCell ref="B61:D61"/>
    <mergeCell ref="A1:V1"/>
    <mergeCell ref="B57:D57"/>
    <mergeCell ref="B56:D56"/>
    <mergeCell ref="B58:D58"/>
    <mergeCell ref="B52:D52"/>
    <mergeCell ref="A50:V50"/>
    <mergeCell ref="B53:D53"/>
    <mergeCell ref="A3:V3"/>
    <mergeCell ref="B62:D62"/>
    <mergeCell ref="A65:V73"/>
    <mergeCell ref="B55:D55"/>
    <mergeCell ref="B51:D51"/>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showDropDown="0" showInputMessage="0" showErrorMessage="0" allowBlank="0" type="list">
      <formula1>"Yes,No,N/A"</formula1>
    </dataValidation>
    <dataValidation sqref="B51 B53" showDropDown="0" showInputMessage="0" showErrorMessage="0" allowBlank="0" type="list">
      <formula1>"Yes,No"</formula1>
    </dataValidation>
    <dataValidation sqref="R8 R9 R10 R11 R12 R13 R14 R15 R16 R17 R18 R19 R20" showDropDown="0" showInputMessage="0" showErrorMessage="0" allowBlank="0" type="list">
      <formula1>"Hardware RNG,OS Crypto RNG,HSM RNG,TPM RNG,FIPS 140-2 Validated,NIST SP 800-90A,Non-compliant,N/A"</formula1>
    </dataValidation>
    <dataValidation sqref="S8 S9 S10 S11 S12 S13 S14 S15 S16 S17 S18 S19 S20" showDropDown="0" showInputMessage="0" showErrorMessage="0" allowBlank="0" type="list">
      <formula1>"HSM,KMS,TPM,Local System,Cloud Service,Smart Card,N/A"</formula1>
    </dataValidation>
    <dataValidation sqref="T8 T9 T10 T11 T12 T13 T14 T15 T16 T17 T18 T19 T20 U8 U9 U10 U11 U12 U13 U14 U15 U16 U17 U18 U19 U20 V8 V9 V10 V11 V12 V13 V14 V15 V16 V17 V18 V19 V20" showDropDown="0" showInputMessage="0" showErrorMessage="0" allowBlank="0"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4"/>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16" customWidth="1" min="19" max="19"/>
    <col width="22" customWidth="1" min="20" max="20"/>
    <col width="16" customWidth="1" min="21" max="21"/>
    <col width="20" customWidth="1" min="22" max="22"/>
    <col width="16" customWidth="1" min="23" max="23"/>
  </cols>
  <sheetData>
    <row r="1" ht="40" customHeight="1">
      <c r="A1" s="1" t="inlineStr">
        <is>
          <t>2. KEY STORAGE - SECURE KEY PROTECTION
Policy Requirement: Cryptographic keys MUST be stored in hardware security modules (HSM), cloud KMS, or TPM for production systems. Software keystores permitted only for non-production with documented risk acceptance (Policy Section 2.4.2)</t>
        </is>
      </c>
    </row>
    <row r="3" ht="30" customHeight="1">
      <c r="A3" s="11" t="inlineStr">
        <is>
          <t>Does your organisation store cryptographic keys that require protection?</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HSM/KMS Model</t>
        </is>
      </c>
      <c r="S6" s="5" t="inlineStr">
        <is>
          <t>FIPS 140 Level</t>
        </is>
      </c>
      <c r="T6" s="5" t="inlineStr">
        <is>
          <t>Access Control Method</t>
        </is>
      </c>
      <c r="U6" s="5" t="inlineStr">
        <is>
          <t>Encryption at Rest</t>
        </is>
      </c>
      <c r="V6" s="5" t="inlineStr">
        <is>
          <t>Physical Security</t>
        </is>
      </c>
      <c r="W6" s="5" t="inlineStr">
        <is>
          <t>Key Backup Exists</t>
        </is>
      </c>
    </row>
    <row r="7">
      <c r="A7" s="12" t="inlineStr">
        <is>
          <t>Example: Azure Key Vault - App1 Keys</t>
        </is>
      </c>
      <c r="B7" s="12" t="inlineStr">
        <is>
          <t>Key Encryption Key</t>
        </is>
      </c>
      <c r="C7" s="12" t="inlineStr">
        <is>
          <t>RSA-4096</t>
        </is>
      </c>
      <c r="D7" s="12" t="inlineStr">
        <is>
          <t>4096</t>
        </is>
      </c>
      <c r="E7" s="12" t="inlineStr">
        <is>
          <t>Cloud KMS</t>
        </is>
      </c>
      <c r="F7" s="12" t="inlineStr">
        <is>
          <t>Confidential</t>
        </is>
      </c>
      <c r="G7" s="12" t="inlineStr">
        <is>
          <t>Active</t>
        </is>
      </c>
      <c r="H7" s="12" t="inlineStr">
        <is>
          <t>✅ Compliant</t>
        </is>
      </c>
      <c r="I7" s="12" t="inlineStr">
        <is>
          <t>/evidence/key-mgmt/app1-kv-config.pdf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Azure Key Vault</t>
        </is>
      </c>
      <c r="S7" s="12" t="inlineStr">
        <is>
          <t>Level 2</t>
        </is>
      </c>
      <c r="T7" s="12" t="inlineStr">
        <is>
          <t>MFA Required</t>
        </is>
      </c>
      <c r="U7" s="12" t="inlineStr">
        <is>
          <t>Yes</t>
        </is>
      </c>
      <c r="V7" s="12" t="inlineStr">
        <is>
          <t>Cloud Provider</t>
        </is>
      </c>
      <c r="W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row>
    <row r="22">
      <c r="A22" s="14" t="inlineStr">
        <is>
          <t>2. KEY STORAGE CHECKLIST</t>
        </is>
      </c>
    </row>
    <row r="23">
      <c r="A23" s="3" t="inlineStr">
        <is>
          <t>☐</t>
        </is>
      </c>
      <c r="B23" s="3" t="inlineStr">
        <is>
          <t>Requirement</t>
        </is>
      </c>
      <c r="C23" s="3" t="inlineStr">
        <is>
          <t>Status</t>
        </is>
      </c>
    </row>
    <row r="24">
      <c r="A24" t="inlineStr">
        <is>
          <t>☐</t>
        </is>
      </c>
      <c r="B24" t="inlineStr">
        <is>
          <t>Production keys stored in HSM, cloud KMS, or TPM</t>
        </is>
      </c>
      <c r="C24" s="4" t="n"/>
    </row>
    <row r="25">
      <c r="A25" t="inlineStr">
        <is>
          <t>☐</t>
        </is>
      </c>
      <c r="B25" t="inlineStr">
        <is>
          <t>FIPS 140-2 Level 2+ (or FIPS 140-3 equivalent) for production</t>
        </is>
      </c>
      <c r="C25" s="4" t="n"/>
    </row>
    <row r="26">
      <c r="A26" t="inlineStr">
        <is>
          <t>☐</t>
        </is>
      </c>
      <c r="B26" t="inlineStr">
        <is>
          <t>Keys encrypted when stored (key encryption keys protected by HSM)</t>
        </is>
      </c>
      <c r="C26" s="4" t="n"/>
    </row>
    <row r="27">
      <c r="A27" t="inlineStr">
        <is>
          <t>☐</t>
        </is>
      </c>
      <c r="B27" t="inlineStr">
        <is>
          <t>Keys never stored in plaintext files or code repositories</t>
        </is>
      </c>
      <c r="C27" s="4" t="n"/>
    </row>
    <row r="28">
      <c r="A28" t="inlineStr">
        <is>
          <t>☐</t>
        </is>
      </c>
      <c r="B28" t="inlineStr">
        <is>
          <t>Keys never stored in application configuration files</t>
        </is>
      </c>
      <c r="C28" s="4" t="n"/>
    </row>
    <row r="29">
      <c r="A29" t="inlineStr">
        <is>
          <t>☐</t>
        </is>
      </c>
      <c r="B29" t="inlineStr">
        <is>
          <t>Keys never stored in environment variables (production)</t>
        </is>
      </c>
      <c r="C29" s="4" t="n"/>
    </row>
    <row r="30">
      <c r="A30" t="inlineStr">
        <is>
          <t>☐</t>
        </is>
      </c>
      <c r="B30" t="inlineStr">
        <is>
          <t>Keys never stored in databases without encryption</t>
        </is>
      </c>
      <c r="C30" s="4" t="n"/>
    </row>
    <row r="31">
      <c r="A31" t="inlineStr">
        <is>
          <t>☐</t>
        </is>
      </c>
      <c r="B31" t="inlineStr">
        <is>
          <t>Access to keys restricted by role-based access control (RBAC)</t>
        </is>
      </c>
      <c r="C31" s="4" t="n"/>
    </row>
    <row r="32">
      <c r="A32" t="inlineStr">
        <is>
          <t>☐</t>
        </is>
      </c>
      <c r="B32" t="inlineStr">
        <is>
          <t>Multi-factor authentication required for key access</t>
        </is>
      </c>
      <c r="C32" s="4" t="n"/>
    </row>
    <row r="33">
      <c r="A33" t="inlineStr">
        <is>
          <t>☐</t>
        </is>
      </c>
      <c r="B33" t="inlineStr">
        <is>
          <t>Dual control/split knowledge for master keys</t>
        </is>
      </c>
      <c r="C33" s="4" t="n"/>
    </row>
    <row r="34">
      <c r="A34" t="inlineStr">
        <is>
          <t>☐</t>
        </is>
      </c>
      <c r="B34" t="inlineStr">
        <is>
          <t>Key access logged and monitored</t>
        </is>
      </c>
      <c r="C34" s="4" t="n"/>
    </row>
    <row r="35">
      <c r="A35" t="inlineStr">
        <is>
          <t>☐</t>
        </is>
      </c>
      <c r="B35" t="inlineStr">
        <is>
          <t>Keys physically secured (locked facilities, tamper-evident HSMs)</t>
        </is>
      </c>
      <c r="C35" s="4" t="n"/>
    </row>
    <row r="36">
      <c r="A36" t="inlineStr">
        <is>
          <t>☐</t>
        </is>
      </c>
      <c r="B36" t="inlineStr">
        <is>
          <t>Key storage location geographically documented</t>
        </is>
      </c>
      <c r="C36" s="4" t="n"/>
    </row>
    <row r="37">
      <c r="A37" t="inlineStr">
        <is>
          <t>☐</t>
        </is>
      </c>
      <c r="B37" t="inlineStr">
        <is>
          <t>Keys stored separately from encrypted data</t>
        </is>
      </c>
      <c r="C37" s="4" t="n"/>
    </row>
    <row r="38">
      <c r="A38" t="inlineStr">
        <is>
          <t>☐</t>
        </is>
      </c>
      <c r="B38" t="inlineStr">
        <is>
          <t>Backup keys stored with equal or greater security</t>
        </is>
      </c>
      <c r="C38" s="4" t="n"/>
    </row>
    <row r="39">
      <c r="A39" t="inlineStr">
        <is>
          <t>☐</t>
        </is>
      </c>
      <c r="B39" t="inlineStr">
        <is>
          <t>Key export restricted and logged</t>
        </is>
      </c>
      <c r="C39" s="4" t="n"/>
    </row>
    <row r="40">
      <c r="A40" t="inlineStr">
        <is>
          <t>☐</t>
        </is>
      </c>
      <c r="B40" t="inlineStr">
        <is>
          <t>Unused/obsolete keys securely destroyed</t>
        </is>
      </c>
      <c r="C40" s="4" t="n"/>
    </row>
    <row r="41">
      <c r="A41" s="3" t="inlineStr">
        <is>
          <t>Checklist Score:</t>
        </is>
      </c>
      <c r="B41" s="15">
        <f>COUNTIF(C24:C40,"Yes")/COUNTA(C24:C40)*100&amp;"%"</f>
        <v/>
      </c>
    </row>
    <row r="43">
      <c r="A43" s="14" t="inlineStr">
        <is>
          <t>APPROVED KEY STORAGE SOLUTIONS</t>
        </is>
      </c>
    </row>
    <row r="44">
      <c r="A44" s="5" t="inlineStr">
        <is>
          <t>Solution Type</t>
        </is>
      </c>
      <c r="B44" s="5" t="inlineStr">
        <is>
          <t>Examples</t>
        </is>
      </c>
      <c r="C44" s="5" t="inlineStr">
        <is>
          <t>FIPS 140-2 Level</t>
        </is>
      </c>
      <c r="D44" s="5" t="inlineStr">
        <is>
          <t>Use Case</t>
        </is>
      </c>
    </row>
    <row r="45">
      <c r="A45" s="8" t="inlineStr">
        <is>
          <t>Hardware HSM</t>
        </is>
      </c>
      <c r="B45" s="8" t="inlineStr">
        <is>
          <t>Thales Luna, Entrust nShield, Utimaco</t>
        </is>
      </c>
      <c r="C45" s="8" t="inlineStr">
        <is>
          <t>Level 3/4</t>
        </is>
      </c>
      <c r="D45" s="8" t="inlineStr">
        <is>
          <t>High-security production</t>
        </is>
      </c>
    </row>
    <row r="46">
      <c r="A46" s="8" t="inlineStr">
        <is>
          <t>Cloud HSM</t>
        </is>
      </c>
      <c r="B46" s="8" t="inlineStr">
        <is>
          <t>AWS CloudHSM, Azure Dedicated HSM</t>
        </is>
      </c>
      <c r="C46" s="8" t="inlineStr">
        <is>
          <t>Level 3</t>
        </is>
      </c>
      <c r="D46" s="8" t="inlineStr">
        <is>
          <t>Cloud-native high-security</t>
        </is>
      </c>
    </row>
    <row r="47">
      <c r="A47" s="8" t="inlineStr">
        <is>
          <t>Cloud KMS</t>
        </is>
      </c>
      <c r="B47" s="8" t="inlineStr">
        <is>
          <t>AWS KMS, Azure Key Vault, GCP Cloud KMS</t>
        </is>
      </c>
      <c r="C47" s="8" t="inlineStr">
        <is>
          <t>Level 2/3</t>
        </is>
      </c>
      <c r="D47" s="8" t="inlineStr">
        <is>
          <t>General cloud workloads</t>
        </is>
      </c>
    </row>
    <row r="48">
      <c r="A48" s="8" t="inlineStr">
        <is>
          <t>TPM</t>
        </is>
      </c>
      <c r="B48" s="8" t="inlineStr">
        <is>
          <t>TPM 2.0 (various vendors)</t>
        </is>
      </c>
      <c r="C48" s="8" t="inlineStr">
        <is>
          <t>Level 2</t>
        </is>
      </c>
      <c r="D48" s="8" t="inlineStr">
        <is>
          <t>Endpoint/device keys</t>
        </is>
      </c>
    </row>
    <row r="49">
      <c r="A49" s="8" t="inlineStr">
        <is>
          <t>Software Vault</t>
        </is>
      </c>
      <c r="B49" s="8" t="inlineStr">
        <is>
          <t>HashiCorp Vault, CyberArk</t>
        </is>
      </c>
      <c r="C49" s="8" t="inlineStr">
        <is>
          <t>Varies</t>
        </is>
      </c>
      <c r="D49" s="8" t="inlineStr">
        <is>
          <t>Non-production acceptable</t>
        </is>
      </c>
    </row>
    <row r="51">
      <c r="A51" s="16" t="inlineStr">
        <is>
          <t>EXCEPTION / DEVIATION DOCUMENTATION (Complete if Status = Partial or Non-Compliant)</t>
        </is>
      </c>
    </row>
    <row r="52">
      <c r="A52" s="3" t="inlineStr">
        <is>
          <t>Formal exception request submitted:</t>
        </is>
      </c>
      <c r="B52" s="13" t="n"/>
    </row>
    <row r="53">
      <c r="A53" s="3" t="inlineStr">
        <is>
          <t>Exception ID:</t>
        </is>
      </c>
      <c r="B53" s="13" t="n"/>
    </row>
    <row r="54">
      <c r="A54" s="3" t="inlineStr">
        <is>
          <t>Risk acceptance documented:</t>
        </is>
      </c>
      <c r="B54" s="13" t="n"/>
    </row>
    <row r="55">
      <c r="A55" s="3" t="inlineStr">
        <is>
          <t>Risk ID:</t>
        </is>
      </c>
      <c r="B55" s="13" t="n"/>
    </row>
    <row r="56">
      <c r="A56" s="3" t="inlineStr">
        <is>
          <t>Compensating Controls (summary):</t>
        </is>
      </c>
      <c r="B56" s="13" t="n"/>
    </row>
    <row r="57">
      <c r="A57" s="3" t="inlineStr">
        <is>
          <t>☐ Enhanced monitoring and alerting</t>
        </is>
      </c>
      <c r="B57" s="13" t="n"/>
    </row>
    <row r="58">
      <c r="A58" s="3" t="inlineStr">
        <is>
          <t>☐ Restricted network access / air-gapped systems</t>
        </is>
      </c>
      <c r="B58" s="13" t="n"/>
    </row>
    <row r="59">
      <c r="A59" s="3" t="inlineStr">
        <is>
          <t>☐ Additional encryption layer</t>
        </is>
      </c>
      <c r="B59" s="13" t="n"/>
    </row>
    <row r="60">
      <c r="A60" s="3" t="inlineStr">
        <is>
          <t>☐ Manual key management procedures</t>
        </is>
      </c>
      <c r="B60" s="13" t="n"/>
    </row>
    <row r="61">
      <c r="A61" s="3" t="inlineStr">
        <is>
          <t>☐ Increased audit frequency</t>
        </is>
      </c>
      <c r="B61" s="13" t="n"/>
    </row>
    <row r="62">
      <c r="A62" s="3" t="inlineStr">
        <is>
          <t>☐ Physical security controls</t>
        </is>
      </c>
      <c r="B62" s="13" t="n"/>
    </row>
    <row r="63">
      <c r="A63" s="3" t="inlineStr">
        <is>
          <t>☐ Other (describe):</t>
        </is>
      </c>
      <c r="B63" s="13" t="n"/>
    </row>
    <row r="65">
      <c r="A65" s="14" t="inlineStr">
        <is>
          <t>ADDITIONAL NOTES / COMMENTS</t>
        </is>
      </c>
    </row>
    <row r="66">
      <c r="A66" s="17" t="n"/>
    </row>
    <row r="67"/>
    <row r="68"/>
    <row r="69"/>
    <row r="70"/>
    <row r="71"/>
    <row r="72"/>
    <row r="73"/>
    <row r="74"/>
  </sheetData>
  <mergeCells count="17">
    <mergeCell ref="B55:D55"/>
    <mergeCell ref="B59:D59"/>
    <mergeCell ref="A1:W1"/>
    <mergeCell ref="B60:D60"/>
    <mergeCell ref="B63:D63"/>
    <mergeCell ref="B61:D61"/>
    <mergeCell ref="A66:W74"/>
    <mergeCell ref="B57:D57"/>
    <mergeCell ref="A3:W3"/>
    <mergeCell ref="B56:D56"/>
    <mergeCell ref="B58:D58"/>
    <mergeCell ref="B52:D52"/>
    <mergeCell ref="B53:D53"/>
    <mergeCell ref="B62:D62"/>
    <mergeCell ref="A65:W65"/>
    <mergeCell ref="A51:W51"/>
    <mergeCell ref="B54:D54"/>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showDropDown="0" showInputMessage="0" showErrorMessage="0" allowBlank="0" type="list">
      <formula1>"Yes,No,N/A"</formula1>
    </dataValidation>
    <dataValidation sqref="B52 B54" showDropDown="0" showInputMessage="0" showErrorMessage="0" allowBlank="0" type="list">
      <formula1>"Yes,No"</formula1>
    </dataValidation>
    <dataValidation sqref="S8 S9 S10 S11 S12 S13 S14 S15 S16 S17 S18 S19 S20" showDropDown="0" showInputMessage="0" showErrorMessage="0" allowBlank="0" type="list">
      <formula1>"Level 1,Level 2,Level 3,Level 4,Not Validated,N/A"</formula1>
    </dataValidation>
    <dataValidation sqref="T8 T9 T10 T11 T12 T13 T14 T15 T16 T17 T18 T19 T20" showDropDown="0" showInputMessage="0" showErrorMessage="0" allowBlank="0" type="list">
      <formula1>"Role-based,Certificate-based,MFA Required,PIN/Password,Smart Card,Dual Control,N/A"</formula1>
    </dataValidation>
    <dataValidation sqref="V8 V9 V10 V11 V12 V13 V14 V15 V16 V17 V18 V19 V20" showDropDown="0" showInputMessage="0" showErrorMessage="0" allowBlank="0" type="list">
      <formula1>"Locked Data Center,Secure Room,Tamper-evident,Cloud Provider,Inadequate,N/A"</formula1>
    </dataValidation>
    <dataValidation sqref="U8 U9 U10 U11 U12 U13 U14 U15 U16 U17 U18 U19 U20 W8 W9 W10 W11 W12 W13 W14 W15 W16 W17 W18 W19 W20"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77"/>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16" customWidth="1" min="19" max="19"/>
    <col width="16" customWidth="1" min="20" max="20"/>
    <col width="16" customWidth="1" min="21" max="21"/>
    <col width="16" customWidth="1" min="22" max="22"/>
    <col width="18" customWidth="1" min="23" max="23"/>
  </cols>
  <sheetData>
    <row r="1" ht="40" customHeight="1">
      <c r="A1" s="1" t="inlineStr">
        <is>
          <t>3. KEY ROTATION - CRYPTOGRAPHIC KEY LIFECYCLE MANAGEMENT
Policy Requirement: Cryptographic keys MUST be rotated according to defined schedules: Encryption keys annually, signing keys biennially, session keys hourly/daily (Policy Section 2.4.3)</t>
        </is>
      </c>
    </row>
    <row r="3" ht="30" customHeight="1">
      <c r="A3" s="11" t="inlineStr">
        <is>
          <t>Does your organisation have a key rotation policy and implementation for cryptographic keys?</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Rotation Schedule</t>
        </is>
      </c>
      <c r="S6" s="5" t="inlineStr">
        <is>
          <t>Last Rotation Date</t>
        </is>
      </c>
      <c r="T6" s="5" t="inlineStr">
        <is>
          <t>Next Rotation Due</t>
        </is>
      </c>
      <c r="U6" s="5" t="inlineStr">
        <is>
          <t>Automated Rotation</t>
        </is>
      </c>
      <c r="V6" s="5" t="inlineStr">
        <is>
          <t>Rotation Tested</t>
        </is>
      </c>
      <c r="W6" s="5" t="inlineStr">
        <is>
          <t>Re-encryption Required</t>
        </is>
      </c>
    </row>
    <row r="7">
      <c r="A7" s="12" t="inlineStr">
        <is>
          <t>Example: API Signing Keys</t>
        </is>
      </c>
      <c r="B7" s="12" t="inlineStr">
        <is>
          <t>Signing Key</t>
        </is>
      </c>
      <c r="C7" s="12" t="inlineStr">
        <is>
          <t>RSA-3072</t>
        </is>
      </c>
      <c r="D7" s="12" t="inlineStr">
        <is>
          <t>3072</t>
        </is>
      </c>
      <c r="E7" s="12" t="inlineStr">
        <is>
          <t>Cloud KMS</t>
        </is>
      </c>
      <c r="F7" s="12" t="inlineStr">
        <is>
          <t>Confidential</t>
        </is>
      </c>
      <c r="G7" s="12" t="inlineStr">
        <is>
          <t>Active</t>
        </is>
      </c>
      <c r="H7" s="12" t="inlineStr">
        <is>
          <t>✅ Compliant</t>
        </is>
      </c>
      <c r="I7" s="12" t="inlineStr">
        <is>
          <t>/evidence/key-mgmt/api-key-rotation.pdf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Quarterly</t>
        </is>
      </c>
      <c r="S7" s="12" t="inlineStr">
        <is>
          <t>2024-10-01</t>
        </is>
      </c>
      <c r="T7" s="12" t="inlineStr">
        <is>
          <t>2025-01-01</t>
        </is>
      </c>
      <c r="U7" s="12" t="inlineStr">
        <is>
          <t>Yes</t>
        </is>
      </c>
      <c r="V7" s="12" t="inlineStr">
        <is>
          <t>Yes</t>
        </is>
      </c>
      <c r="W7" s="12" t="inlineStr">
        <is>
          <t>No</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row>
    <row r="22">
      <c r="A22" s="14" t="inlineStr">
        <is>
          <t>3. KEY ROTATION CHECKLIST</t>
        </is>
      </c>
    </row>
    <row r="23">
      <c r="A23" s="3" t="inlineStr">
        <is>
          <t>☐</t>
        </is>
      </c>
      <c r="B23" s="3" t="inlineStr">
        <is>
          <t>Requirement</t>
        </is>
      </c>
      <c r="C23" s="3" t="inlineStr">
        <is>
          <t>Status</t>
        </is>
      </c>
    </row>
    <row r="24">
      <c r="A24" t="inlineStr">
        <is>
          <t>☐</t>
        </is>
      </c>
      <c r="B24" t="inlineStr">
        <is>
          <t>Key rotation policy documented and approved</t>
        </is>
      </c>
      <c r="C24" s="4" t="n"/>
    </row>
    <row r="25">
      <c r="A25" t="inlineStr">
        <is>
          <t>☐</t>
        </is>
      </c>
      <c r="B25" t="inlineStr">
        <is>
          <t>Encryption keys (data at rest) rotated annually minimum</t>
        </is>
      </c>
      <c r="C25" s="4" t="n"/>
    </row>
    <row r="26">
      <c r="A26" t="inlineStr">
        <is>
          <t>☐</t>
        </is>
      </c>
      <c r="B26" t="inlineStr">
        <is>
          <t>Signing keys rotated biennially minimum</t>
        </is>
      </c>
      <c r="C26" s="4" t="n"/>
    </row>
    <row r="27">
      <c r="A27" t="inlineStr">
        <is>
          <t>☐</t>
        </is>
      </c>
      <c r="B27" t="inlineStr">
        <is>
          <t>Session keys rotated hourly/daily</t>
        </is>
      </c>
      <c r="C27" s="4" t="n"/>
    </row>
    <row r="28">
      <c r="A28" t="inlineStr">
        <is>
          <t>☐</t>
        </is>
      </c>
      <c r="B28" t="inlineStr">
        <is>
          <t>Master keys rotated every 1-3 years</t>
        </is>
      </c>
      <c r="C28" s="4" t="n"/>
    </row>
    <row r="29">
      <c r="A29" t="inlineStr">
        <is>
          <t>☐</t>
        </is>
      </c>
      <c r="B29" t="inlineStr">
        <is>
          <t>Key rotation automated where possible</t>
        </is>
      </c>
      <c r="C29" s="4" t="n"/>
    </row>
    <row r="30">
      <c r="A30" t="inlineStr">
        <is>
          <t>☐</t>
        </is>
      </c>
      <c r="B30" t="inlineStr">
        <is>
          <t>Key rotation triggers defined (time, usage, compromise)</t>
        </is>
      </c>
      <c r="C30" s="4" t="n"/>
    </row>
    <row r="31">
      <c r="A31" t="inlineStr">
        <is>
          <t>☐</t>
        </is>
      </c>
      <c r="B31" t="inlineStr">
        <is>
          <t>Data re-encryption performed after key rotation</t>
        </is>
      </c>
      <c r="C31" s="4" t="n"/>
    </row>
    <row r="32">
      <c r="A32" t="inlineStr">
        <is>
          <t>☐</t>
        </is>
      </c>
      <c r="B32" t="inlineStr">
        <is>
          <t>Old keys retained for decryption (with restricted access)</t>
        </is>
      </c>
      <c r="C32" s="4" t="n"/>
    </row>
    <row r="33">
      <c r="A33" t="inlineStr">
        <is>
          <t>☐</t>
        </is>
      </c>
      <c r="B33" t="inlineStr">
        <is>
          <t>Key version tracking implemented</t>
        </is>
      </c>
      <c r="C33" s="4" t="n"/>
    </row>
    <row r="34">
      <c r="A34" t="inlineStr">
        <is>
          <t>☐</t>
        </is>
      </c>
      <c r="B34" t="inlineStr">
        <is>
          <t>Rotation procedures tested in non-production</t>
        </is>
      </c>
      <c r="C34" s="4" t="n"/>
    </row>
    <row r="35">
      <c r="A35" t="inlineStr">
        <is>
          <t>☐</t>
        </is>
      </c>
      <c r="B35" t="inlineStr">
        <is>
          <t>Rotation audit logs maintained</t>
        </is>
      </c>
      <c r="C35" s="4" t="n"/>
    </row>
    <row r="36">
      <c r="A36" t="inlineStr">
        <is>
          <t>☐</t>
        </is>
      </c>
      <c r="B36" t="inlineStr">
        <is>
          <t>Emergency rotation procedure documented</t>
        </is>
      </c>
      <c r="C36" s="4" t="n"/>
    </row>
    <row r="37">
      <c r="A37" t="inlineStr">
        <is>
          <t>☐</t>
        </is>
      </c>
      <c r="B37" t="inlineStr">
        <is>
          <t>Rotation scheduling prevents service disruption</t>
        </is>
      </c>
      <c r="C37" s="4" t="n"/>
    </row>
    <row r="38">
      <c r="A38" t="inlineStr">
        <is>
          <t>☐</t>
        </is>
      </c>
      <c r="B38" t="inlineStr">
        <is>
          <t>Key rotation monitored and alerts configured</t>
        </is>
      </c>
      <c r="C38" s="4" t="n"/>
    </row>
    <row r="39">
      <c r="A39" t="inlineStr">
        <is>
          <t>☐</t>
        </is>
      </c>
      <c r="B39" t="inlineStr">
        <is>
          <t>Cryptoperiod limits enforced (max key usage duration)</t>
        </is>
      </c>
      <c r="C39" s="4" t="n"/>
    </row>
    <row r="40">
      <c r="A40" s="3" t="inlineStr">
        <is>
          <t>Checklist Score:</t>
        </is>
      </c>
      <c r="B40" s="15">
        <f>COUNTIF(C24:C39,"Yes")/COUNTA(C24:C39)*100&amp;"%"</f>
        <v/>
      </c>
    </row>
    <row r="42">
      <c r="A42" s="14" t="inlineStr">
        <is>
          <t>ROTATION SCHEDULE BY KEY TYPE</t>
        </is>
      </c>
    </row>
    <row r="43">
      <c r="A43" s="5" t="inlineStr">
        <is>
          <t>Key Type</t>
        </is>
      </c>
      <c r="B43" s="5" t="inlineStr">
        <is>
          <t>Minimum Rotation Frequency</t>
        </is>
      </c>
      <c r="C43" s="5" t="inlineStr">
        <is>
          <t>Recommended Frequency</t>
        </is>
      </c>
      <c r="D43" s="5" t="inlineStr">
        <is>
          <t>Trigger Events</t>
        </is>
      </c>
    </row>
    <row r="44">
      <c r="A44" s="8" t="inlineStr">
        <is>
          <t>Master Encryption Key</t>
        </is>
      </c>
      <c r="B44" s="8" t="inlineStr">
        <is>
          <t>1 year</t>
        </is>
      </c>
      <c r="C44" s="8" t="inlineStr">
        <is>
          <t>1 year</t>
        </is>
      </c>
      <c r="D44" s="8" t="inlineStr">
        <is>
          <t>Compromise, personnel change</t>
        </is>
      </c>
    </row>
    <row r="45">
      <c r="A45" s="8" t="inlineStr">
        <is>
          <t>Data Encryption Key</t>
        </is>
      </c>
      <c r="B45" s="8" t="inlineStr">
        <is>
          <t>1 year</t>
        </is>
      </c>
      <c r="C45" s="8" t="inlineStr">
        <is>
          <t>90 days</t>
        </is>
      </c>
      <c r="D45" s="8" t="inlineStr">
        <is>
          <t>High volume usage, compromise</t>
        </is>
      </c>
    </row>
    <row r="46">
      <c r="A46" s="8" t="inlineStr">
        <is>
          <t>Key Encryption Key</t>
        </is>
      </c>
      <c r="B46" s="8" t="inlineStr">
        <is>
          <t>1 year</t>
        </is>
      </c>
      <c r="C46" s="8" t="inlineStr">
        <is>
          <t>1 year</t>
        </is>
      </c>
      <c r="D46" s="8" t="inlineStr">
        <is>
          <t>Master key rotation, compromise</t>
        </is>
      </c>
    </row>
    <row r="47">
      <c r="A47" s="8" t="inlineStr">
        <is>
          <t>Signing Key</t>
        </is>
      </c>
      <c r="B47" s="8" t="inlineStr">
        <is>
          <t>2 years</t>
        </is>
      </c>
      <c r="C47" s="8" t="inlineStr">
        <is>
          <t>1 year</t>
        </is>
      </c>
      <c r="D47" s="8" t="inlineStr">
        <is>
          <t>Certificate expiry, compromise</t>
        </is>
      </c>
    </row>
    <row r="48">
      <c r="A48" s="8" t="inlineStr">
        <is>
          <t>Session Key</t>
        </is>
      </c>
      <c r="B48" s="8" t="inlineStr">
        <is>
          <t>24 hours</t>
        </is>
      </c>
      <c r="C48" s="8" t="inlineStr">
        <is>
          <t>1 hour</t>
        </is>
      </c>
      <c r="D48" s="8" t="inlineStr">
        <is>
          <t>Session end, compromise</t>
        </is>
      </c>
    </row>
    <row r="49">
      <c r="A49" s="8" t="inlineStr">
        <is>
          <t>API Key</t>
        </is>
      </c>
      <c r="B49" s="8" t="inlineStr">
        <is>
          <t>90 days</t>
        </is>
      </c>
      <c r="C49" s="8" t="inlineStr">
        <is>
          <t>30-90 days</t>
        </is>
      </c>
      <c r="D49" s="8" t="inlineStr">
        <is>
          <t>Personnel change, compromise</t>
        </is>
      </c>
    </row>
    <row r="50">
      <c r="A50" s="8" t="inlineStr">
        <is>
          <t>TLS/SSL Certificate Private Key</t>
        </is>
      </c>
      <c r="B50" s="8" t="inlineStr">
        <is>
          <t>Certificate validity</t>
        </is>
      </c>
      <c r="C50" s="8" t="inlineStr">
        <is>
          <t>Annual</t>
        </is>
      </c>
      <c r="D50" s="8" t="inlineStr">
        <is>
          <t>Certificate renewal, compromise</t>
        </is>
      </c>
    </row>
    <row r="51">
      <c r="A51" s="8" t="inlineStr">
        <is>
          <t>SSH Key</t>
        </is>
      </c>
      <c r="B51" s="8" t="inlineStr">
        <is>
          <t>1 year</t>
        </is>
      </c>
      <c r="C51" s="8" t="inlineStr">
        <is>
          <t>90 days</t>
        </is>
      </c>
      <c r="D51" s="8" t="inlineStr">
        <is>
          <t>Personnel change, compromise</t>
        </is>
      </c>
    </row>
    <row r="52">
      <c r="A52" s="8" t="inlineStr">
        <is>
          <t>Database TDE Key</t>
        </is>
      </c>
      <c r="B52" s="8" t="inlineStr">
        <is>
          <t>1 year</t>
        </is>
      </c>
      <c r="C52" s="8" t="inlineStr">
        <is>
          <t>1 year</t>
        </is>
      </c>
      <c r="D52" s="8" t="inlineStr">
        <is>
          <t>Compliance requirement, compromise</t>
        </is>
      </c>
    </row>
    <row r="54">
      <c r="A54" s="16" t="inlineStr">
        <is>
          <t>EXCEPTION / DEVIATION DOCUMENTATION (Complete if Status = Partial or Non-Compliant)</t>
        </is>
      </c>
    </row>
    <row r="55">
      <c r="A55" s="3" t="inlineStr">
        <is>
          <t>Formal exception request submitted:</t>
        </is>
      </c>
      <c r="B55" s="13" t="n"/>
    </row>
    <row r="56">
      <c r="A56" s="3" t="inlineStr">
        <is>
          <t>Exception ID:</t>
        </is>
      </c>
      <c r="B56" s="13" t="n"/>
    </row>
    <row r="57">
      <c r="A57" s="3" t="inlineStr">
        <is>
          <t>Risk acceptance documented:</t>
        </is>
      </c>
      <c r="B57" s="13" t="n"/>
    </row>
    <row r="58">
      <c r="A58" s="3" t="inlineStr">
        <is>
          <t>Risk ID:</t>
        </is>
      </c>
      <c r="B58" s="13" t="n"/>
    </row>
    <row r="59">
      <c r="A59" s="3" t="inlineStr">
        <is>
          <t>Compensating Controls (summary):</t>
        </is>
      </c>
      <c r="B59" s="13" t="n"/>
    </row>
    <row r="60">
      <c r="A60" s="3" t="inlineStr">
        <is>
          <t>☐ Enhanced monitoring and alerting</t>
        </is>
      </c>
      <c r="B60" s="13" t="n"/>
    </row>
    <row r="61">
      <c r="A61" s="3" t="inlineStr">
        <is>
          <t>☐ Restricted network access / air-gapped systems</t>
        </is>
      </c>
      <c r="B61" s="13" t="n"/>
    </row>
    <row r="62">
      <c r="A62" s="3" t="inlineStr">
        <is>
          <t>☐ Additional encryption layer</t>
        </is>
      </c>
      <c r="B62" s="13" t="n"/>
    </row>
    <row r="63">
      <c r="A63" s="3" t="inlineStr">
        <is>
          <t>☐ Manual key management procedures</t>
        </is>
      </c>
      <c r="B63" s="13" t="n"/>
    </row>
    <row r="64">
      <c r="A64" s="3" t="inlineStr">
        <is>
          <t>☐ Increased audit frequency</t>
        </is>
      </c>
      <c r="B64" s="13" t="n"/>
    </row>
    <row r="65">
      <c r="A65" s="3" t="inlineStr">
        <is>
          <t>☐ Physical security controls</t>
        </is>
      </c>
      <c r="B65" s="13" t="n"/>
    </row>
    <row r="66">
      <c r="A66" s="3" t="inlineStr">
        <is>
          <t>☐ Other (describe):</t>
        </is>
      </c>
      <c r="B66" s="13" t="n"/>
    </row>
    <row r="68">
      <c r="A68" s="14" t="inlineStr">
        <is>
          <t>ADDITIONAL NOTES / COMMENTS</t>
        </is>
      </c>
    </row>
    <row r="69">
      <c r="A69" s="17" t="n"/>
    </row>
    <row r="70"/>
    <row r="71"/>
    <row r="72"/>
    <row r="73"/>
    <row r="74"/>
    <row r="75"/>
    <row r="76"/>
    <row r="77"/>
  </sheetData>
  <mergeCells count="17">
    <mergeCell ref="A68:W68"/>
    <mergeCell ref="B59:D59"/>
    <mergeCell ref="A1:W1"/>
    <mergeCell ref="B60:D60"/>
    <mergeCell ref="B66:D66"/>
    <mergeCell ref="B63:D63"/>
    <mergeCell ref="B61:D61"/>
    <mergeCell ref="B57:D57"/>
    <mergeCell ref="A3:W3"/>
    <mergeCell ref="B56:D56"/>
    <mergeCell ref="A54:W54"/>
    <mergeCell ref="B58:D58"/>
    <mergeCell ref="A69:W77"/>
    <mergeCell ref="B65:D65"/>
    <mergeCell ref="B62:D62"/>
    <mergeCell ref="B55:D55"/>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showDropDown="0" showInputMessage="0" showErrorMessage="0" allowBlank="0" type="list">
      <formula1>"Yes,No,N/A"</formula1>
    </dataValidation>
    <dataValidation sqref="B55 B57" showDropDown="0" showInputMessage="0" showErrorMessage="0" allowBlank="0" type="list">
      <formula1>"Yes,No"</formula1>
    </dataValidation>
    <dataValidation sqref="R8 R9 R10 R11 R12 R13 R14 R15 R16 R17 R18 R19 R20" showDropDown="0" showInputMessage="0" showErrorMessage="0" allowBlank="0" type="list">
      <formula1>"Hourly,Daily,Weekly,Monthly,Quarterly,Annually,Biennially,On Compromise,Never,N/A"</formula1>
    </dataValidation>
    <dataValidation sqref="U8 U9 U10 U11 U12 U13 U14 U15 U16 U17 U18 U19 U20 V8 V9 V10 V11 V12 V13 V14 V15 V16 V17 V18 V19 V20" showDropDown="0" showInputMessage="0" showErrorMessage="0" allowBlank="0" type="list">
      <formula1>"Yes,No,N/A"</formula1>
    </dataValidation>
    <dataValidation sqref="W8 W9 W10 W11 W12 W13 W14 W15 W16 W17 W18 W19 W20" showDropDown="0" showInputMessage="0" showErrorMessage="0" allowBlank="0" type="list">
      <formula1>"Yes,No,In 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6"/>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6" customWidth="1" min="19" max="19"/>
    <col width="22" customWidth="1" min="20" max="20"/>
    <col width="16" customWidth="1" min="21" max="21"/>
    <col width="16" customWidth="1" min="22" max="22"/>
    <col width="18" customWidth="1" min="23" max="23"/>
    <col width="16" customWidth="1" min="24" max="24"/>
  </cols>
  <sheetData>
    <row r="1" ht="40" customHeight="1">
      <c r="A1" s="1" t="inlineStr">
        <is>
          <t>4. KEY BACKUP &amp; RECOVERY - BUSINESS CONTINUITY
Policy Requirement: Cryptographic keys MUST have documented backup and recovery procedures. Backup keys stored with equal or greater security than production keys (Policy Section 2.4.4)</t>
        </is>
      </c>
    </row>
    <row r="3" ht="30" customHeight="1">
      <c r="A3" s="11" t="inlineStr">
        <is>
          <t>Does your organisation maintain backup and recovery procedures for cryptographic keys?</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Backup Method</t>
        </is>
      </c>
      <c r="S6" s="5" t="inlineStr">
        <is>
          <t>Backup Encryption</t>
        </is>
      </c>
      <c r="T6" s="5" t="inlineStr">
        <is>
          <t>Backup Location</t>
        </is>
      </c>
      <c r="U6" s="5" t="inlineStr">
        <is>
          <t>Recovery Tested</t>
        </is>
      </c>
      <c r="V6" s="5" t="inlineStr">
        <is>
          <t>Last Recovery Test</t>
        </is>
      </c>
      <c r="W6" s="5" t="inlineStr">
        <is>
          <t>RTO (Recovery Time)</t>
        </is>
      </c>
      <c r="X6" s="5" t="inlineStr">
        <is>
          <t>Escrow Agreement</t>
        </is>
      </c>
    </row>
    <row r="7">
      <c r="A7" s="12" t="inlineStr">
        <is>
          <t>Example: Master Encryption Key Backup</t>
        </is>
      </c>
      <c r="B7" s="12" t="inlineStr">
        <is>
          <t>Master Key</t>
        </is>
      </c>
      <c r="C7" s="12" t="inlineStr">
        <is>
          <t>AES-256</t>
        </is>
      </c>
      <c r="D7" s="12" t="inlineStr">
        <is>
          <t>256</t>
        </is>
      </c>
      <c r="E7" s="12" t="inlineStr">
        <is>
          <t>HSM</t>
        </is>
      </c>
      <c r="F7" s="12" t="inlineStr">
        <is>
          <t>Restricted</t>
        </is>
      </c>
      <c r="G7" s="12" t="inlineStr">
        <is>
          <t>Active</t>
        </is>
      </c>
      <c r="H7" s="12" t="inlineStr">
        <is>
          <t>✅ Compliant</t>
        </is>
      </c>
      <c r="I7" s="12" t="inlineStr">
        <is>
          <t>/evidence/key-mgmt/master-key-backup.pdf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HSM Backup</t>
        </is>
      </c>
      <c r="S7" s="12" t="inlineStr">
        <is>
          <t>Yes</t>
        </is>
      </c>
      <c r="T7" s="12" t="inlineStr">
        <is>
          <t>Offsite Secure Vault</t>
        </is>
      </c>
      <c r="U7" s="12" t="inlineStr">
        <is>
          <t>Yes</t>
        </is>
      </c>
      <c r="V7" s="12" t="inlineStr">
        <is>
          <t>2024-06-15</t>
        </is>
      </c>
      <c r="W7" s="12" t="inlineStr">
        <is>
          <t>&lt;1 hour</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4. KEY BACKUP &amp; RECOVERY CHECKLIST</t>
        </is>
      </c>
    </row>
    <row r="23">
      <c r="A23" s="3" t="inlineStr">
        <is>
          <t>☐</t>
        </is>
      </c>
      <c r="B23" s="3" t="inlineStr">
        <is>
          <t>Requirement</t>
        </is>
      </c>
      <c r="C23" s="3" t="inlineStr">
        <is>
          <t>Status</t>
        </is>
      </c>
    </row>
    <row r="24">
      <c r="A24" t="inlineStr">
        <is>
          <t>☐</t>
        </is>
      </c>
      <c r="B24" t="inlineStr">
        <is>
          <t>Key backup and recovery procedures documented</t>
        </is>
      </c>
      <c r="C24" s="4" t="n"/>
    </row>
    <row r="25">
      <c r="A25" t="inlineStr">
        <is>
          <t>☐</t>
        </is>
      </c>
      <c r="B25" t="inlineStr">
        <is>
          <t>All critical keys have backup copies</t>
        </is>
      </c>
      <c r="C25" s="4" t="n"/>
    </row>
    <row r="26">
      <c r="A26" t="inlineStr">
        <is>
          <t>☐</t>
        </is>
      </c>
      <c r="B26" t="inlineStr">
        <is>
          <t>Backup keys encrypted with equal or stronger encryption</t>
        </is>
      </c>
      <c r="C26" s="4" t="n"/>
    </row>
    <row r="27">
      <c r="A27" t="inlineStr">
        <is>
          <t>☐</t>
        </is>
      </c>
      <c r="B27" t="inlineStr">
        <is>
          <t>Backup keys stored separately from production keys</t>
        </is>
      </c>
      <c r="C27" s="4" t="n"/>
    </row>
    <row r="28">
      <c r="A28" t="inlineStr">
        <is>
          <t>☐</t>
        </is>
      </c>
      <c r="B28" t="inlineStr">
        <is>
          <t>Geographic separation of backup keys (offsite/different region)</t>
        </is>
      </c>
      <c r="C28" s="4" t="n"/>
    </row>
    <row r="29">
      <c r="A29" t="inlineStr">
        <is>
          <t>☐</t>
        </is>
      </c>
      <c r="B29" t="inlineStr">
        <is>
          <t>Backup key access restricted (dual control/escrow)</t>
        </is>
      </c>
      <c r="C29" s="4" t="n"/>
    </row>
    <row r="30">
      <c r="A30" t="inlineStr">
        <is>
          <t>☐</t>
        </is>
      </c>
      <c r="B30" t="inlineStr">
        <is>
          <t>Key recovery procedures tested quarterly</t>
        </is>
      </c>
      <c r="C30" s="4" t="n"/>
    </row>
    <row r="31">
      <c r="A31" t="inlineStr">
        <is>
          <t>☐</t>
        </is>
      </c>
      <c r="B31" t="inlineStr">
        <is>
          <t>Recovery time objective (RTO) defined and documented</t>
        </is>
      </c>
      <c r="C31" s="4" t="n"/>
    </row>
    <row r="32">
      <c r="A32" t="inlineStr">
        <is>
          <t>☐</t>
        </is>
      </c>
      <c r="B32" t="inlineStr">
        <is>
          <t>Recovery point objective (RPO) defined and documented</t>
        </is>
      </c>
      <c r="C32" s="4" t="n"/>
    </row>
    <row r="33">
      <c r="A33" t="inlineStr">
        <is>
          <t>☐</t>
        </is>
      </c>
      <c r="B33" t="inlineStr">
        <is>
          <t>Key escrow agreements in place (where required)</t>
        </is>
      </c>
      <c r="C33" s="4" t="n"/>
    </row>
    <row r="34">
      <c r="A34" t="inlineStr">
        <is>
          <t>☐</t>
        </is>
      </c>
      <c r="B34" t="inlineStr">
        <is>
          <t>Split knowledge/dual control for backup key recovery</t>
        </is>
      </c>
      <c r="C34" s="4" t="n"/>
    </row>
    <row r="35">
      <c r="A35" t="inlineStr">
        <is>
          <t>☐</t>
        </is>
      </c>
      <c r="B35" t="inlineStr">
        <is>
          <t>Backup key inventory maintained and audited</t>
        </is>
      </c>
      <c r="C35" s="4" t="n"/>
    </row>
    <row r="36">
      <c r="A36" t="inlineStr">
        <is>
          <t>☐</t>
        </is>
      </c>
      <c r="B36" t="inlineStr">
        <is>
          <t>Backup keys versioned and synchronized with production</t>
        </is>
      </c>
      <c r="C36" s="4" t="n"/>
    </row>
    <row r="37">
      <c r="A37" t="inlineStr">
        <is>
          <t>☐</t>
        </is>
      </c>
      <c r="B37" t="inlineStr">
        <is>
          <t>Emergency recovery procedures documented</t>
        </is>
      </c>
      <c r="C37" s="4" t="n"/>
    </row>
    <row r="38">
      <c r="A38" t="inlineStr">
        <is>
          <t>☐</t>
        </is>
      </c>
      <c r="B38" t="inlineStr">
        <is>
          <t>Key recovery audit logging enabled</t>
        </is>
      </c>
      <c r="C38" s="4" t="n"/>
    </row>
    <row r="39">
      <c r="A39" t="inlineStr">
        <is>
          <t>☐</t>
        </is>
      </c>
      <c r="B39" t="inlineStr">
        <is>
          <t>Backup keys updated when production keys rotate</t>
        </is>
      </c>
      <c r="C39" s="4" t="n"/>
    </row>
    <row r="40">
      <c r="A40" t="inlineStr">
        <is>
          <t>☐</t>
        </is>
      </c>
      <c r="B40" t="inlineStr">
        <is>
          <t>Cloud KMS backup to different region/account</t>
        </is>
      </c>
      <c r="C40" s="4" t="n"/>
    </row>
    <row r="41">
      <c r="A41" t="inlineStr">
        <is>
          <t>☐</t>
        </is>
      </c>
      <c r="B41" t="inlineStr">
        <is>
          <t>HSM backup cards stored in secure facility</t>
        </is>
      </c>
      <c r="C41" s="4" t="n"/>
    </row>
    <row r="42">
      <c r="A42" s="3" t="inlineStr">
        <is>
          <t>Checklist Score:</t>
        </is>
      </c>
      <c r="B42" s="15">
        <f>COUNTIF(C24:C41,"Yes")/COUNTA(C24:C41)*100&amp;"%"</f>
        <v/>
      </c>
    </row>
    <row r="44">
      <c r="A44" s="14" t="inlineStr">
        <is>
          <t>BACKUP STRATEGIES BY KEY TYPE</t>
        </is>
      </c>
    </row>
    <row r="45">
      <c r="A45" s="5" t="inlineStr">
        <is>
          <t>Key Type</t>
        </is>
      </c>
      <c r="B45" s="5" t="inlineStr">
        <is>
          <t>Recommended Backup Method</t>
        </is>
      </c>
      <c r="C45" s="5" t="inlineStr">
        <is>
          <t>Storage Location</t>
        </is>
      </c>
      <c r="D45" s="5" t="inlineStr">
        <is>
          <t>Recovery Testing Frequency</t>
        </is>
      </c>
    </row>
    <row r="46">
      <c r="A46" s="8" t="inlineStr">
        <is>
          <t>Master Keys</t>
        </is>
      </c>
      <c r="B46" s="8" t="inlineStr">
        <is>
          <t>HSM backup card + escrow</t>
        </is>
      </c>
      <c r="C46" s="8" t="inlineStr">
        <is>
          <t>Offsite secure vault</t>
        </is>
      </c>
      <c r="D46" s="8" t="inlineStr">
        <is>
          <t>Annually</t>
        </is>
      </c>
    </row>
    <row r="47">
      <c r="A47" s="8" t="inlineStr">
        <is>
          <t>Encryption Keys</t>
        </is>
      </c>
      <c r="B47" s="8" t="inlineStr">
        <is>
          <t>KMS automated backup</t>
        </is>
      </c>
      <c r="C47" s="8" t="inlineStr">
        <is>
          <t>Different region/account</t>
        </is>
      </c>
      <c r="D47" s="8" t="inlineStr">
        <is>
          <t>Quarterly</t>
        </is>
      </c>
    </row>
    <row r="48">
      <c r="A48" s="8" t="inlineStr">
        <is>
          <t>Certificate Private Keys</t>
        </is>
      </c>
      <c r="B48" s="8" t="inlineStr">
        <is>
          <t>Encrypted file backup</t>
        </is>
      </c>
      <c r="C48" s="8" t="inlineStr">
        <is>
          <t>Secure file storage</t>
        </is>
      </c>
      <c r="D48" s="8" t="inlineStr">
        <is>
          <t>Semi-annually</t>
        </is>
      </c>
    </row>
    <row r="49">
      <c r="A49" s="8" t="inlineStr">
        <is>
          <t>SSH Keys</t>
        </is>
      </c>
      <c r="B49" s="8" t="inlineStr">
        <is>
          <t>Encrypted backup + key management system</t>
        </is>
      </c>
      <c r="C49" s="8" t="inlineStr">
        <is>
          <t>Secrets vault</t>
        </is>
      </c>
      <c r="D49" s="8" t="inlineStr">
        <is>
          <t>Annually</t>
        </is>
      </c>
    </row>
    <row r="50">
      <c r="A50" s="8" t="inlineStr">
        <is>
          <t>API Keys</t>
        </is>
      </c>
      <c r="B50" s="8" t="inlineStr">
        <is>
          <t>Secrets management system</t>
        </is>
      </c>
      <c r="C50" s="8" t="inlineStr">
        <is>
          <t>Multi-region vault</t>
        </is>
      </c>
      <c r="D50" s="8" t="inlineStr">
        <is>
          <t>Quarterly</t>
        </is>
      </c>
    </row>
    <row r="51">
      <c r="A51" s="8" t="inlineStr">
        <is>
          <t>Database TDE Keys</t>
        </is>
      </c>
      <c r="B51" s="8" t="inlineStr">
        <is>
          <t>Native database backup + KMS</t>
        </is>
      </c>
      <c r="C51" s="8" t="inlineStr">
        <is>
          <t>Encrypted backup storage</t>
        </is>
      </c>
      <c r="D51" s="8" t="inlineStr">
        <is>
          <t>Quarterly</t>
        </is>
      </c>
    </row>
    <row r="53">
      <c r="A53" s="16" t="inlineStr">
        <is>
          <t>EXCEPTION / DEVIATION DOCUMENTATION (Complete if Status = Partial or Non-Compliant)</t>
        </is>
      </c>
    </row>
    <row r="54">
      <c r="A54" s="3" t="inlineStr">
        <is>
          <t>Formal exception request submitted:</t>
        </is>
      </c>
      <c r="B54" s="13" t="n"/>
    </row>
    <row r="55">
      <c r="A55" s="3" t="inlineStr">
        <is>
          <t>Exception ID:</t>
        </is>
      </c>
      <c r="B55" s="13" t="n"/>
    </row>
    <row r="56">
      <c r="A56" s="3" t="inlineStr">
        <is>
          <t>Risk acceptance documented:</t>
        </is>
      </c>
      <c r="B56" s="13" t="n"/>
    </row>
    <row r="57">
      <c r="A57" s="3" t="inlineStr">
        <is>
          <t>Risk ID:</t>
        </is>
      </c>
      <c r="B57" s="13" t="n"/>
    </row>
    <row r="58">
      <c r="A58" s="3" t="inlineStr">
        <is>
          <t>Compensating Controls (summary):</t>
        </is>
      </c>
      <c r="B58" s="13" t="n"/>
    </row>
    <row r="59">
      <c r="A59" s="3" t="inlineStr">
        <is>
          <t>☐ Enhanced monitoring and alerting</t>
        </is>
      </c>
      <c r="B59" s="13" t="n"/>
    </row>
    <row r="60">
      <c r="A60" s="3" t="inlineStr">
        <is>
          <t>☐ Restricted network access / air-gapped systems</t>
        </is>
      </c>
      <c r="B60" s="13" t="n"/>
    </row>
    <row r="61">
      <c r="A61" s="3" t="inlineStr">
        <is>
          <t>☐ Additional encryption layer</t>
        </is>
      </c>
      <c r="B61" s="13" t="n"/>
    </row>
    <row r="62">
      <c r="A62" s="3" t="inlineStr">
        <is>
          <t>☐ Manual key management procedures</t>
        </is>
      </c>
      <c r="B62" s="13" t="n"/>
    </row>
    <row r="63">
      <c r="A63" s="3" t="inlineStr">
        <is>
          <t>☐ Increased audit frequency</t>
        </is>
      </c>
      <c r="B63" s="13" t="n"/>
    </row>
    <row r="64">
      <c r="A64" s="3" t="inlineStr">
        <is>
          <t>☐ Physical security controls</t>
        </is>
      </c>
      <c r="B64" s="13" t="n"/>
    </row>
    <row r="65">
      <c r="A65" s="3" t="inlineStr">
        <is>
          <t>☐ Other (describe):</t>
        </is>
      </c>
      <c r="B65" s="13" t="n"/>
    </row>
    <row r="67">
      <c r="A67" s="14" t="inlineStr">
        <is>
          <t>ADDITIONAL NOTES / COMMENTS</t>
        </is>
      </c>
    </row>
    <row r="68">
      <c r="A68" s="17" t="n"/>
    </row>
    <row r="69"/>
    <row r="70"/>
    <row r="71"/>
    <row r="72"/>
    <row r="73"/>
    <row r="74"/>
    <row r="75"/>
    <row r="76"/>
  </sheetData>
  <mergeCells count="17">
    <mergeCell ref="A67:X67"/>
    <mergeCell ref="A3:X3"/>
    <mergeCell ref="B59:D59"/>
    <mergeCell ref="A53:X53"/>
    <mergeCell ref="B60:D60"/>
    <mergeCell ref="B63:D63"/>
    <mergeCell ref="B61:D61"/>
    <mergeCell ref="B57:D57"/>
    <mergeCell ref="A68:X76"/>
    <mergeCell ref="B56:D56"/>
    <mergeCell ref="B58:D58"/>
    <mergeCell ref="B65:D65"/>
    <mergeCell ref="A1:X1"/>
    <mergeCell ref="B62:D62"/>
    <mergeCell ref="B55:D55"/>
    <mergeCell ref="B54:D54"/>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showDropDown="0" showInputMessage="0" showErrorMessage="0" allowBlank="0" type="list">
      <formula1>"Yes,No,N/A"</formula1>
    </dataValidation>
    <dataValidation sqref="B54 B56" showDropDown="0" showInputMessage="0" showErrorMessage="0" allowBlank="0" type="list">
      <formula1>"Yes,No"</formula1>
    </dataValidation>
    <dataValidation sqref="R8 R9 R10 R11 R12 R13 R14 R15 R16 R17 R18 R19 R20" showDropDown="0" showInputMessage="0" showErrorMessage="0" allowBlank="0" type="list">
      <formula1>"HSM Backup,KMS Backup,Encrypted File,Key Escrow,Split Knowledge,Cloud Backup,No Backup,N/A"</formula1>
    </dataValidation>
    <dataValidation sqref="U8 U9 U10 U11 U12 U13 U14 U15 U16 U17 U18 U19 U20" showDropDown="0" showInputMessage="0" showErrorMessage="0" allowBlank="0" type="list">
      <formula1>"Yes,No,Scheduled,N/A"</formula1>
    </dataValidation>
    <dataValidation sqref="S8 S9 S10 S11 S12 S13 S14 S15 S16 S17 S18 S19 S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89"/>
  <sheetViews>
    <sheetView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6" customWidth="1" min="20" max="20"/>
    <col width="16" customWidth="1" min="21" max="21"/>
    <col width="16" customWidth="1" min="22" max="22"/>
    <col width="20" customWidth="1" min="23" max="23"/>
    <col width="16" customWidth="1" min="24" max="24"/>
  </cols>
  <sheetData>
    <row r="1" ht="40" customHeight="1">
      <c r="A1" s="1" t="inlineStr">
        <is>
          <t>5. CERTIFICATE MANAGEMENT - DIGITAL CERTIFICATE LIFECYCLE
Policy Requirement: Digital certificates MUST be issued from trusted Certificate Authorities. Certificate lifecycle management includes issuance, renewal, revocation, and expiration monitoring (Policy Section 2.4.5)</t>
        </is>
      </c>
    </row>
    <row r="3" ht="30" customHeight="1">
      <c r="A3" s="11" t="inlineStr">
        <is>
          <t>Does your organisation use digital certificates for TLS/SSL, code signing, email signing, or authentication?</t>
        </is>
      </c>
    </row>
    <row r="4">
      <c r="A4" s="3" t="inlineStr">
        <is>
          <t>Response:</t>
        </is>
      </c>
      <c r="B4" s="4" t="n"/>
    </row>
    <row r="6">
      <c r="A6" s="5" t="inlineStr">
        <is>
          <t>System/Service</t>
        </is>
      </c>
      <c r="B6" s="5" t="inlineStr">
        <is>
          <t>Key Type</t>
        </is>
      </c>
      <c r="C6" s="5" t="inlineStr">
        <is>
          <t>Algorithm</t>
        </is>
      </c>
      <c r="D6" s="5" t="inlineStr">
        <is>
          <t>Key Length (bits)</t>
        </is>
      </c>
      <c r="E6" s="5" t="inlineStr">
        <is>
          <t>Storage Method</t>
        </is>
      </c>
      <c r="F6" s="5" t="inlineStr">
        <is>
          <t>Data Classification</t>
        </is>
      </c>
      <c r="G6" s="5" t="inlineStr">
        <is>
          <t>Lifecycle Stage</t>
        </is>
      </c>
      <c r="H6" s="5" t="inlineStr">
        <is>
          <t>Status</t>
        </is>
      </c>
      <c r="I6" s="5" t="inlineStr">
        <is>
          <t>Evidence Location</t>
        </is>
      </c>
      <c r="J6" s="5" t="inlineStr">
        <is>
          <t>Gap Description</t>
        </is>
      </c>
      <c r="K6" s="5" t="inlineStr">
        <is>
          <t>Remediation Needed</t>
        </is>
      </c>
      <c r="L6" s="5" t="inlineStr">
        <is>
          <t>Exception ID</t>
        </is>
      </c>
      <c r="M6" s="5" t="inlineStr">
        <is>
          <t>Risk ID</t>
        </is>
      </c>
      <c r="N6" s="5" t="inlineStr">
        <is>
          <t>Compensating Controls</t>
        </is>
      </c>
      <c r="O6" s="5" t="inlineStr">
        <is>
          <t>Responsible Person</t>
        </is>
      </c>
      <c r="P6" s="5" t="inlineStr">
        <is>
          <t>Target Date</t>
        </is>
      </c>
      <c r="Q6" s="5" t="inlineStr">
        <is>
          <t>Budget Required</t>
        </is>
      </c>
      <c r="R6" s="5" t="inlineStr">
        <is>
          <t>Certificate Type</t>
        </is>
      </c>
      <c r="S6" s="5" t="inlineStr">
        <is>
          <t>Issuing CA</t>
        </is>
      </c>
      <c r="T6" s="5" t="inlineStr">
        <is>
          <t>Certificate Validity</t>
        </is>
      </c>
      <c r="U6" s="5" t="inlineStr">
        <is>
          <t>Expiration Date</t>
        </is>
      </c>
      <c r="V6" s="5" t="inlineStr">
        <is>
          <t>Auto-Renewal</t>
        </is>
      </c>
      <c r="W6" s="5" t="inlineStr">
        <is>
          <t>Revocation Method</t>
        </is>
      </c>
      <c r="X6" s="5" t="inlineStr">
        <is>
          <t>Monitoring Enabled</t>
        </is>
      </c>
    </row>
    <row r="7">
      <c r="A7" s="12" t="inlineStr">
        <is>
          <t>Example: Production Web Server TLS</t>
        </is>
      </c>
      <c r="B7" s="12" t="inlineStr">
        <is>
          <t>Certificate</t>
        </is>
      </c>
      <c r="C7" s="12" t="inlineStr">
        <is>
          <t>RSA-2048</t>
        </is>
      </c>
      <c r="D7" s="12" t="inlineStr">
        <is>
          <t>2048</t>
        </is>
      </c>
      <c r="E7" s="12" t="inlineStr">
        <is>
          <t>TPM</t>
        </is>
      </c>
      <c r="F7" s="12" t="inlineStr">
        <is>
          <t>Public</t>
        </is>
      </c>
      <c r="G7" s="12" t="inlineStr">
        <is>
          <t>Active</t>
        </is>
      </c>
      <c r="H7" s="12" t="inlineStr">
        <is>
          <t>✅ Compliant</t>
        </is>
      </c>
      <c r="I7" s="12" t="inlineStr">
        <is>
          <t>/evidence/key-mgmt/web-tls-cert.pdf</t>
        </is>
      </c>
      <c r="J7" s="12" t="inlineStr">
        <is>
          <t>None</t>
        </is>
      </c>
      <c r="K7" s="12" t="inlineStr">
        <is>
          <t>No</t>
        </is>
      </c>
      <c r="L7" s="12" t="inlineStr">
        <is>
          <t>N/A</t>
        </is>
      </c>
      <c r="M7" s="12" t="inlineStr">
        <is>
          <t>N/A</t>
        </is>
      </c>
      <c r="N7" s="12" t="inlineStr">
        <is>
          <t>N/A</t>
        </is>
      </c>
      <c r="O7" s="12" t="inlineStr">
        <is>
          <t>N/A</t>
        </is>
      </c>
      <c r="P7" s="12" t="inlineStr">
        <is>
          <t>N/A</t>
        </is>
      </c>
      <c r="Q7" s="12" t="inlineStr">
        <is>
          <t>No</t>
        </is>
      </c>
      <c r="R7" s="12" t="inlineStr">
        <is>
          <t>TLS/SSL Server</t>
        </is>
      </c>
      <c r="S7" s="12" t="inlineStr">
        <is>
          <t>Let's Encrypt</t>
        </is>
      </c>
      <c r="T7" s="12" t="inlineStr">
        <is>
          <t>≤90 days</t>
        </is>
      </c>
      <c r="U7" s="12" t="inlineStr">
        <is>
          <t>2025-03-15</t>
        </is>
      </c>
      <c r="V7" s="12" t="inlineStr">
        <is>
          <t>Yes</t>
        </is>
      </c>
      <c r="W7" s="12" t="inlineStr">
        <is>
          <t>OCSP</t>
        </is>
      </c>
      <c r="X7" s="12" t="inlineStr">
        <is>
          <t>Yes</t>
        </is>
      </c>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row>
    <row r="22">
      <c r="A22" s="14" t="inlineStr">
        <is>
          <t>5. CERTIFICATE MANAGEMENT CHECKLIST</t>
        </is>
      </c>
    </row>
    <row r="23">
      <c r="A23" s="3" t="inlineStr">
        <is>
          <t>☐</t>
        </is>
      </c>
      <c r="B23" s="3" t="inlineStr">
        <is>
          <t>Requirement</t>
        </is>
      </c>
      <c r="C23" s="3" t="inlineStr">
        <is>
          <t>Status</t>
        </is>
      </c>
    </row>
    <row r="24">
      <c r="A24" t="inlineStr">
        <is>
          <t>☐</t>
        </is>
      </c>
      <c r="B24" t="inlineStr">
        <is>
          <t>Certificates issued from trusted public CA (for external services)</t>
        </is>
      </c>
      <c r="C24" s="4" t="n"/>
    </row>
    <row r="25">
      <c r="A25" t="inlineStr">
        <is>
          <t>☐</t>
        </is>
      </c>
      <c r="B25" t="inlineStr">
        <is>
          <t>Internal CA infrastructure properly secured (for internal services)</t>
        </is>
      </c>
      <c r="C25" s="4" t="n"/>
    </row>
    <row r="26">
      <c r="A26" t="inlineStr">
        <is>
          <t>☐</t>
        </is>
      </c>
      <c r="B26" t="inlineStr">
        <is>
          <t>Certificate validity ≤397 days (public TLS certificates)</t>
        </is>
      </c>
      <c r="C26" s="4" t="n"/>
    </row>
    <row r="27">
      <c r="A27" t="inlineStr">
        <is>
          <t>☐</t>
        </is>
      </c>
      <c r="B27" t="inlineStr">
        <is>
          <t>Certificate validity ≤90 days preferred (automated renewal)</t>
        </is>
      </c>
      <c r="C27" s="4" t="n"/>
    </row>
    <row r="28">
      <c r="A28" t="inlineStr">
        <is>
          <t>☐</t>
        </is>
      </c>
      <c r="B28" t="inlineStr">
        <is>
          <t>Self-signed certificates NOT used in production</t>
        </is>
      </c>
      <c r="C28" s="4" t="n"/>
    </row>
    <row r="29">
      <c r="A29" t="inlineStr">
        <is>
          <t>☐</t>
        </is>
      </c>
      <c r="B29" t="inlineStr">
        <is>
          <t>Certificate inventory maintained and up to date</t>
        </is>
      </c>
      <c r="C29" s="4" t="n"/>
    </row>
    <row r="30">
      <c r="A30" t="inlineStr">
        <is>
          <t>☐</t>
        </is>
      </c>
      <c r="B30" t="inlineStr">
        <is>
          <t>Certificate expiration monitoring implemented</t>
        </is>
      </c>
      <c r="C30" s="4" t="n"/>
    </row>
    <row r="31">
      <c r="A31" t="inlineStr">
        <is>
          <t>☐</t>
        </is>
      </c>
      <c r="B31" t="inlineStr">
        <is>
          <t>Alerts configured for 30/60/90 days before expiration</t>
        </is>
      </c>
      <c r="C31" s="4" t="n"/>
    </row>
    <row r="32">
      <c r="A32" t="inlineStr">
        <is>
          <t>☐</t>
        </is>
      </c>
      <c r="B32" t="inlineStr">
        <is>
          <t>Automated certificate renewal configured</t>
        </is>
      </c>
      <c r="C32" s="4" t="n"/>
    </row>
    <row r="33">
      <c r="A33" t="inlineStr">
        <is>
          <t>☐</t>
        </is>
      </c>
      <c r="B33" t="inlineStr">
        <is>
          <t>Certificate renewal tested in non-production</t>
        </is>
      </c>
      <c r="C33" s="4" t="n"/>
    </row>
    <row r="34">
      <c r="A34" t="inlineStr">
        <is>
          <t>☐</t>
        </is>
      </c>
      <c r="B34" t="inlineStr">
        <is>
          <t>Certificate revocation procedures documented</t>
        </is>
      </c>
      <c r="C34" s="4" t="n"/>
    </row>
    <row r="35">
      <c r="A35" t="inlineStr">
        <is>
          <t>☐</t>
        </is>
      </c>
      <c r="B35" t="inlineStr">
        <is>
          <t>CRL or OCSP configured for revocation checking</t>
        </is>
      </c>
      <c r="C35" s="4" t="n"/>
    </row>
    <row r="36">
      <c r="A36" t="inlineStr">
        <is>
          <t>☐</t>
        </is>
      </c>
      <c r="B36" t="inlineStr">
        <is>
          <t>Compromised certificate revocation within 24 hours</t>
        </is>
      </c>
      <c r="C36" s="4" t="n"/>
    </row>
    <row r="37">
      <c r="A37" t="inlineStr">
        <is>
          <t>☐</t>
        </is>
      </c>
      <c r="B37" t="inlineStr">
        <is>
          <t>Certificate private keys stored securely (HSM/KMS preferred)</t>
        </is>
      </c>
      <c r="C37" s="4" t="n"/>
    </row>
    <row r="38">
      <c r="A38" t="inlineStr">
        <is>
          <t>☐</t>
        </is>
      </c>
      <c r="B38" t="inlineStr">
        <is>
          <t>Certificate private keys never shared across systems</t>
        </is>
      </c>
      <c r="C38" s="4" t="n"/>
    </row>
    <row r="39">
      <c r="A39" t="inlineStr">
        <is>
          <t>☐</t>
        </is>
      </c>
      <c r="B39" t="inlineStr">
        <is>
          <t>Wildcard certificates use documented and restricted</t>
        </is>
      </c>
      <c r="C39" s="4" t="n"/>
    </row>
    <row r="40">
      <c r="A40" t="inlineStr">
        <is>
          <t>☐</t>
        </is>
      </c>
      <c r="B40" t="inlineStr">
        <is>
          <t>Certificate signing requests (CSR) process documented</t>
        </is>
      </c>
      <c r="C40" s="4" t="n"/>
    </row>
    <row r="41">
      <c r="A41" t="inlineStr">
        <is>
          <t>☐</t>
        </is>
      </c>
      <c r="B41" t="inlineStr">
        <is>
          <t>Certificate audit logs maintained</t>
        </is>
      </c>
      <c r="C41" s="4" t="n"/>
    </row>
    <row r="42">
      <c r="A42" t="inlineStr">
        <is>
          <t>☐</t>
        </is>
      </c>
      <c r="B42" t="inlineStr">
        <is>
          <t>Code signing certificates protected with hardware tokens</t>
        </is>
      </c>
      <c r="C42" s="4" t="n"/>
    </row>
    <row r="43">
      <c r="A43" t="inlineStr">
        <is>
          <t>☐</t>
        </is>
      </c>
      <c r="B43" t="inlineStr">
        <is>
          <t>Email certificates (S/MIME) issued per user</t>
        </is>
      </c>
      <c r="C43" s="4" t="n"/>
    </row>
    <row r="44">
      <c r="A44" s="3" t="inlineStr">
        <is>
          <t>Checklist Score:</t>
        </is>
      </c>
      <c r="B44" s="15">
        <f>COUNTIF(C24:C43,"Yes")/COUNTA(C24:C43)*100&amp;"%"</f>
        <v/>
      </c>
    </row>
    <row r="46">
      <c r="A46" s="14" t="inlineStr">
        <is>
          <t>CERTIFICATE VALIDITY STANDARDS</t>
        </is>
      </c>
    </row>
    <row r="47">
      <c r="A47" s="5" t="inlineStr">
        <is>
          <t>Certificate Type</t>
        </is>
      </c>
      <c r="B47" s="5" t="inlineStr">
        <is>
          <t>Maximum Validity</t>
        </is>
      </c>
      <c r="C47" s="5" t="inlineStr">
        <is>
          <t>Recommended Validity</t>
        </is>
      </c>
      <c r="D47" s="5" t="inlineStr">
        <is>
          <t>Renewal Process</t>
        </is>
      </c>
    </row>
    <row r="48">
      <c r="A48" s="8" t="inlineStr">
        <is>
          <t>Public TLS/SSL</t>
        </is>
      </c>
      <c r="B48" s="8" t="inlineStr">
        <is>
          <t>397 days (13 months)</t>
        </is>
      </c>
      <c r="C48" s="8" t="inlineStr">
        <is>
          <t>90 days</t>
        </is>
      </c>
      <c r="D48" s="8" t="inlineStr">
        <is>
          <t>ACME/Let's Encrypt automated</t>
        </is>
      </c>
    </row>
    <row r="49">
      <c r="A49" s="8" t="inlineStr">
        <is>
          <t>Internal TLS/SSL</t>
        </is>
      </c>
      <c r="B49" s="8" t="inlineStr">
        <is>
          <t>2 years</t>
        </is>
      </c>
      <c r="C49" s="8" t="inlineStr">
        <is>
          <t>1 year</t>
        </is>
      </c>
      <c r="D49" s="8" t="inlineStr">
        <is>
          <t>Internal CA automated</t>
        </is>
      </c>
    </row>
    <row r="50">
      <c r="A50" s="8" t="inlineStr">
        <is>
          <t>Code Signing</t>
        </is>
      </c>
      <c r="B50" s="8" t="inlineStr">
        <is>
          <t>3 years</t>
        </is>
      </c>
      <c r="C50" s="8" t="inlineStr">
        <is>
          <t>1 year</t>
        </is>
      </c>
      <c r="D50" s="8" t="inlineStr">
        <is>
          <t>Manual with hardware token</t>
        </is>
      </c>
    </row>
    <row r="51">
      <c r="A51" s="8" t="inlineStr">
        <is>
          <t>Email (S/MIME)</t>
        </is>
      </c>
      <c r="B51" s="8" t="inlineStr">
        <is>
          <t>2 years</t>
        </is>
      </c>
      <c r="C51" s="8" t="inlineStr">
        <is>
          <t>1 year</t>
        </is>
      </c>
      <c r="D51" s="8" t="inlineStr">
        <is>
          <t>PKI automated or manual</t>
        </is>
      </c>
    </row>
    <row r="52">
      <c r="A52" s="8" t="inlineStr">
        <is>
          <t>Client Authentication</t>
        </is>
      </c>
      <c r="B52" s="8" t="inlineStr">
        <is>
          <t>2 years</t>
        </is>
      </c>
      <c r="C52" s="8" t="inlineStr">
        <is>
          <t>1 year</t>
        </is>
      </c>
      <c r="D52" s="8" t="inlineStr">
        <is>
          <t>PKI automated</t>
        </is>
      </c>
    </row>
    <row r="53">
      <c r="A53" s="8" t="inlineStr">
        <is>
          <t>Root CA</t>
        </is>
      </c>
      <c r="B53" s="8" t="inlineStr">
        <is>
          <t>20 years</t>
        </is>
      </c>
      <c r="C53" s="8" t="inlineStr">
        <is>
          <t>10 years</t>
        </is>
      </c>
      <c r="D53" s="8" t="inlineStr">
        <is>
          <t>Manual with ceremony</t>
        </is>
      </c>
    </row>
    <row r="54">
      <c r="A54" s="8" t="inlineStr">
        <is>
          <t>Intermediate CA</t>
        </is>
      </c>
      <c r="B54" s="8" t="inlineStr">
        <is>
          <t>10 years</t>
        </is>
      </c>
      <c r="C54" s="8" t="inlineStr">
        <is>
          <t>5 years</t>
        </is>
      </c>
      <c r="D54" s="8" t="inlineStr">
        <is>
          <t>Manual with ceremony</t>
        </is>
      </c>
    </row>
    <row r="56">
      <c r="A56" s="14" t="inlineStr">
        <is>
          <t>CERTIFICATE LIFECYCLE STAGES</t>
        </is>
      </c>
    </row>
    <row r="57">
      <c r="A57" s="5" t="inlineStr">
        <is>
          <t>Stage</t>
        </is>
      </c>
      <c r="B57" s="5" t="inlineStr">
        <is>
          <t>Actions</t>
        </is>
      </c>
      <c r="C57" s="5" t="inlineStr">
        <is>
          <t>Responsible Role</t>
        </is>
      </c>
      <c r="D57" s="5" t="inlineStr">
        <is>
          <t>Documentation Required</t>
        </is>
      </c>
    </row>
    <row r="58">
      <c r="A58" s="8" t="inlineStr">
        <is>
          <t>Request</t>
        </is>
      </c>
      <c r="B58" s="8" t="inlineStr">
        <is>
          <t>Generate CSR, validate domain/identity</t>
        </is>
      </c>
      <c r="C58" s="8" t="inlineStr">
        <is>
          <t>System Owner</t>
        </is>
      </c>
      <c r="D58" s="8" t="inlineStr">
        <is>
          <t>CSR details, approval</t>
        </is>
      </c>
    </row>
    <row r="59">
      <c r="A59" s="8" t="inlineStr">
        <is>
          <t>Issuance</t>
        </is>
      </c>
      <c r="B59" s="8" t="inlineStr">
        <is>
          <t>CA validation, certificate generation</t>
        </is>
      </c>
      <c r="C59" s="8" t="inlineStr">
        <is>
          <t>CA Admin</t>
        </is>
      </c>
      <c r="D59" s="8" t="inlineStr">
        <is>
          <t>Issuance record, validation log</t>
        </is>
      </c>
    </row>
    <row r="60">
      <c r="A60" s="8" t="inlineStr">
        <is>
          <t>Installation</t>
        </is>
      </c>
      <c r="B60" s="8" t="inlineStr">
        <is>
          <t>Deploy certificate to service</t>
        </is>
      </c>
      <c r="C60" s="8" t="inlineStr">
        <is>
          <t>System Admin</t>
        </is>
      </c>
      <c r="D60" s="8" t="inlineStr">
        <is>
          <t>Deployment log, verification</t>
        </is>
      </c>
    </row>
    <row r="61">
      <c r="A61" s="8" t="inlineStr">
        <is>
          <t>Monitoring</t>
        </is>
      </c>
      <c r="B61" s="8" t="inlineStr">
        <is>
          <t>Track expiration, validate configuration</t>
        </is>
      </c>
      <c r="C61" s="8" t="inlineStr">
        <is>
          <t>Security Team</t>
        </is>
      </c>
      <c r="D61" s="8" t="inlineStr">
        <is>
          <t>Monitoring dashboard</t>
        </is>
      </c>
    </row>
    <row r="62">
      <c r="A62" s="8" t="inlineStr">
        <is>
          <t>Renewal</t>
        </is>
      </c>
      <c r="B62" s="8" t="inlineStr">
        <is>
          <t>Generate new CSR, request renewal</t>
        </is>
      </c>
      <c r="C62" s="8" t="inlineStr">
        <is>
          <t>System Owner</t>
        </is>
      </c>
      <c r="D62" s="8" t="inlineStr">
        <is>
          <t>Renewal approval, testing</t>
        </is>
      </c>
    </row>
    <row r="63">
      <c r="A63" s="8" t="inlineStr">
        <is>
          <t>Revocation</t>
        </is>
      </c>
      <c r="B63" s="8" t="inlineStr">
        <is>
          <t>Revoke compromised/obsolete certificate</t>
        </is>
      </c>
      <c r="C63" s="8" t="inlineStr">
        <is>
          <t>CA Admin</t>
        </is>
      </c>
      <c r="D63" s="8" t="inlineStr">
        <is>
          <t>Incident record, revocation log</t>
        </is>
      </c>
    </row>
    <row r="64">
      <c r="A64" s="8" t="inlineStr">
        <is>
          <t>Archival</t>
        </is>
      </c>
      <c r="B64" s="8" t="inlineStr">
        <is>
          <t>Archive expired certificates</t>
        </is>
      </c>
      <c r="C64" s="8" t="inlineStr">
        <is>
          <t>Security Team</t>
        </is>
      </c>
      <c r="D64" s="8" t="inlineStr">
        <is>
          <t>Archive log, retention period</t>
        </is>
      </c>
    </row>
    <row r="66">
      <c r="A66" s="16" t="inlineStr">
        <is>
          <t>EXCEPTION / DEVIATION DOCUMENTATION (Complete if Status = Partial or Non-Compliant)</t>
        </is>
      </c>
    </row>
    <row r="67">
      <c r="A67" s="3" t="inlineStr">
        <is>
          <t>Formal exception request submitted:</t>
        </is>
      </c>
      <c r="B67" s="13" t="n"/>
    </row>
    <row r="68">
      <c r="A68" s="3" t="inlineStr">
        <is>
          <t>Exception ID:</t>
        </is>
      </c>
      <c r="B68" s="13" t="n"/>
    </row>
    <row r="69">
      <c r="A69" s="3" t="inlineStr">
        <is>
          <t>Risk acceptance documented:</t>
        </is>
      </c>
      <c r="B69" s="13" t="n"/>
    </row>
    <row r="70">
      <c r="A70" s="3" t="inlineStr">
        <is>
          <t>Risk ID:</t>
        </is>
      </c>
      <c r="B70" s="13" t="n"/>
    </row>
    <row r="71">
      <c r="A71" s="3" t="inlineStr">
        <is>
          <t>Compensating Controls (summary):</t>
        </is>
      </c>
      <c r="B71" s="13" t="n"/>
    </row>
    <row r="72">
      <c r="A72" s="3" t="inlineStr">
        <is>
          <t>☐ Enhanced monitoring and alerting</t>
        </is>
      </c>
      <c r="B72" s="13" t="n"/>
    </row>
    <row r="73">
      <c r="A73" s="3" t="inlineStr">
        <is>
          <t>☐ Restricted network access / air-gapped systems</t>
        </is>
      </c>
      <c r="B73" s="13" t="n"/>
    </row>
    <row r="74">
      <c r="A74" s="3" t="inlineStr">
        <is>
          <t>☐ Additional encryption layer</t>
        </is>
      </c>
      <c r="B74" s="13" t="n"/>
    </row>
    <row r="75">
      <c r="A75" s="3" t="inlineStr">
        <is>
          <t>☐ Manual key management procedures</t>
        </is>
      </c>
      <c r="B75" s="13" t="n"/>
    </row>
    <row r="76">
      <c r="A76" s="3" t="inlineStr">
        <is>
          <t>☐ Increased audit frequency</t>
        </is>
      </c>
      <c r="B76" s="13" t="n"/>
    </row>
    <row r="77">
      <c r="A77" s="3" t="inlineStr">
        <is>
          <t>☐ Physical security controls</t>
        </is>
      </c>
      <c r="B77" s="13" t="n"/>
    </row>
    <row r="78">
      <c r="A78" s="3" t="inlineStr">
        <is>
          <t>☐ Other (describe):</t>
        </is>
      </c>
      <c r="B78" s="13" t="n"/>
    </row>
    <row r="80">
      <c r="A80" s="14" t="inlineStr">
        <is>
          <t>ADDITIONAL NOTES / COMMENTS</t>
        </is>
      </c>
    </row>
    <row r="81">
      <c r="A81" s="17" t="n"/>
    </row>
    <row r="82"/>
    <row r="83"/>
    <row r="84"/>
    <row r="85"/>
    <row r="86"/>
    <row r="87"/>
    <row r="88"/>
    <row r="89"/>
  </sheetData>
  <mergeCells count="17">
    <mergeCell ref="B72:D72"/>
    <mergeCell ref="A3:X3"/>
    <mergeCell ref="B67:D67"/>
    <mergeCell ref="B76:D76"/>
    <mergeCell ref="B71:D71"/>
    <mergeCell ref="A81:X89"/>
    <mergeCell ref="B73:D73"/>
    <mergeCell ref="B74:D74"/>
    <mergeCell ref="B70:D70"/>
    <mergeCell ref="B68:D68"/>
    <mergeCell ref="A1:X1"/>
    <mergeCell ref="B75:D75"/>
    <mergeCell ref="B77:D77"/>
    <mergeCell ref="A66:X66"/>
    <mergeCell ref="B78:D78"/>
    <mergeCell ref="A80:X80"/>
    <mergeCell ref="B69:D69"/>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"Yes,No"</formula1>
    </dataValidation>
    <dataValidation sqref="Q8 Q9 Q10 Q11 Q12 Q13 Q14 Q15 Q16 Q17 Q18 Q19 Q20" showDropDown="0" showInputMessage="0" showErrorMessage="0" allowBlank="0" type="list">
      <formula1>"Yes,No,Unknown"</formula1>
    </dataValidation>
    <dataValidation sqref="B4" showDropDown="0" showInputMessage="0" showErrorMessage="0" allowBlank="0" type="list">
      <formula1>"Yes,No,Not Applicable"</formula1>
    </dataValidation>
    <dataValidation sqref="C24 C25 C26 C27 C28 C29 C30 C31 C32 C33 C34 C35 C36 C37 C38 C39 C40 C41 C42 C43" showDropDown="0" showInputMessage="0" showErrorMessage="0" allowBlank="0" type="list">
      <formula1>"Yes,No,N/A"</formula1>
    </dataValidation>
    <dataValidation sqref="B67 B69" showDropDown="0" showInputMessage="0" showErrorMessage="0" allowBlank="0" type="list">
      <formula1>"Yes,No"</formula1>
    </dataValidation>
    <dataValidation sqref="R8 R9 R10 R11 R12 R13 R14 R15 R16 R17 R18 R19 R20" showDropDown="0" showInputMessage="0" showErrorMessage="0" allowBlank="0" type="list">
      <formula1>"TLS/SSL Server,TLS/SSL Client,Code Signing,Email (S/MIME),User Authentication,CA Certificate,Wildcard,SAN,Self-signed,N/A"</formula1>
    </dataValidation>
    <dataValidation sqref="T8 T9 T10 T11 T12 T13 T14 T15 T16 T17 T18 T19 T20" showDropDown="0" showInputMessage="0" showErrorMessage="0" allowBlank="0" type="list">
      <formula1>"≤90 days,91-180 days,181-365 days,366-397 days,&gt;397 days (non-compliant),Expired,N/A"</formula1>
    </dataValidation>
    <dataValidation sqref="W8 W9 W10 W11 W12 W13 W14 W15 W16 W17 W18 W19 W20" showDropDown="0" showInputMessage="0" showErrorMessage="0" allowBlank="0" type="list">
      <formula1>"CRL,OCSP,OCSP Stapling,Not Configured,N/A"</formula1>
    </dataValidation>
    <dataValidation sqref="V8 V9 V10 V11 V12 V13 V14 V15 V16 V17 V18 V19 V20 X8 X9 X10 X11 X12 X13 X14 X15 X16 X17 X18 X19 X20" showDropDown="0" showInputMessage="0" showErrorMessage="0" allowBlank="0"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8"/>
  <sheetViews>
    <sheetView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 t="inlineStr">
        <is>
          <t>KEY MANAGEMENT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 Key Generation</t>
        </is>
      </c>
      <c r="B4">
        <f>COUNTA('1. Key Generation'!H8:H20)</f>
        <v/>
      </c>
      <c r="C4">
        <f>COUNTIF('1. Key Generation'!H8:H20,"✅*")</f>
        <v/>
      </c>
      <c r="D4">
        <f>COUNTIF('1. Key Generation'!H8:H20,"⚠️*")</f>
        <v/>
      </c>
      <c r="E4">
        <f>COUNTIF('1. Key Generation'!H8:H20,"❌*")</f>
        <v/>
      </c>
      <c r="F4">
        <f>COUNTIF('1. Key Generation'!H8:H20,"N/A")</f>
        <v/>
      </c>
      <c r="G4">
        <f>IF((B4-F4)=0,"0%",ROUND(C4/(B4-F4)*100,1)&amp;"%")</f>
        <v/>
      </c>
    </row>
    <row r="5">
      <c r="A5" t="inlineStr">
        <is>
          <t>2. Key Storage</t>
        </is>
      </c>
      <c r="B5">
        <f>COUNTA('2. Key Storage'!H8:H20)</f>
        <v/>
      </c>
      <c r="C5">
        <f>COUNTIF('2. Key Storage'!H8:H20,"✅*")</f>
        <v/>
      </c>
      <c r="D5">
        <f>COUNTIF('2. Key Storage'!H8:H20,"⚠️*")</f>
        <v/>
      </c>
      <c r="E5">
        <f>COUNTIF('2. Key Storage'!H8:H20,"❌*")</f>
        <v/>
      </c>
      <c r="F5">
        <f>COUNTIF('2. Key Storage'!H8:H20,"N/A")</f>
        <v/>
      </c>
      <c r="G5">
        <f>IF((B5-F5)=0,"0%",ROUND(C5/(B5-F5)*100,1)&amp;"%")</f>
        <v/>
      </c>
    </row>
    <row r="6">
      <c r="A6" t="inlineStr">
        <is>
          <t>3. Key Rotation</t>
        </is>
      </c>
      <c r="B6">
        <f>COUNTA('3. Key Rotation'!H8:H20)</f>
        <v/>
      </c>
      <c r="C6">
        <f>COUNTIF('3. Key Rotation'!H8:H20,"✅*")</f>
        <v/>
      </c>
      <c r="D6">
        <f>COUNTIF('3. Key Rotation'!H8:H20,"⚠️*")</f>
        <v/>
      </c>
      <c r="E6">
        <f>COUNTIF('3. Key Rotation'!H8:H20,"❌*")</f>
        <v/>
      </c>
      <c r="F6">
        <f>COUNTIF('3. Key Rotation'!H8:H20,"N/A")</f>
        <v/>
      </c>
      <c r="G6">
        <f>IF((B6-F6)=0,"0%",ROUND(C6/(B6-F6)*100,1)&amp;"%")</f>
        <v/>
      </c>
    </row>
    <row r="7">
      <c r="A7" t="inlineStr">
        <is>
          <t>4. Key Backup &amp; Recovery</t>
        </is>
      </c>
      <c r="B7">
        <f>COUNTA('4. Key Backup &amp; Recovery'!H8:H20)</f>
        <v/>
      </c>
      <c r="C7">
        <f>COUNTIF('4. Key Backup &amp; Recovery'!H8:H20,"✅*")</f>
        <v/>
      </c>
      <c r="D7">
        <f>COUNTIF('4. Key Backup &amp; Recovery'!H8:H20,"⚠️*")</f>
        <v/>
      </c>
      <c r="E7">
        <f>COUNTIF('4. Key Backup &amp; Recovery'!H8:H20,"❌*")</f>
        <v/>
      </c>
      <c r="F7">
        <f>COUNTIF('4. Key Backup &amp; Recovery'!H8:H20,"N/A")</f>
        <v/>
      </c>
      <c r="G7">
        <f>IF((B7-F7)=0,"0%",ROUND(C7/(B7-F7)*100,1)&amp;"%")</f>
        <v/>
      </c>
    </row>
    <row r="8">
      <c r="A8" t="inlineStr">
        <is>
          <t>5. Certificate Management</t>
        </is>
      </c>
      <c r="B8">
        <f>COUNTA('5. Certificate Management'!H8:H20)</f>
        <v/>
      </c>
      <c r="C8">
        <f>COUNTIF('5. Certificate Management'!H8:H20,"✅*")</f>
        <v/>
      </c>
      <c r="D8">
        <f>COUNTIF('5. Certificate Management'!H8:H20,"⚠️*")</f>
        <v/>
      </c>
      <c r="E8">
        <f>COUNTIF('5. Certificate Management'!H8:H20,"❌*")</f>
        <v/>
      </c>
      <c r="F8">
        <f>COUNTIF('5. Certificate Management'!H8:H20,"N/A")</f>
        <v/>
      </c>
      <c r="G8">
        <f>IF((B8-F8)=0,"0%",ROUND(C8/(B8-F8)*100,1)&amp;"%")</f>
        <v/>
      </c>
    </row>
    <row r="9">
      <c r="A9" s="3" t="inlineStr">
        <is>
          <t>TOTAL</t>
        </is>
      </c>
      <c r="B9" s="3">
        <f>SUM(B4:B8)</f>
        <v/>
      </c>
      <c r="C9" s="3">
        <f>SUM(C4:C8)</f>
        <v/>
      </c>
      <c r="D9" s="3">
        <f>SUM(D4:D8)</f>
        <v/>
      </c>
      <c r="E9" s="3">
        <f>SUM(E4:E8)</f>
        <v/>
      </c>
      <c r="F9" s="3">
        <f>SUM(F4:F8)</f>
        <v/>
      </c>
      <c r="G9" s="18">
        <f>IF((B9-F9)=0,"0%",ROUND(C9/(B9-F9)*100,1)&amp;"%")</f>
        <v/>
      </c>
    </row>
    <row r="12">
      <c r="A12" s="19" t="inlineStr">
        <is>
          <t>KEY MANAGEMENT MATURITY BY AREA</t>
        </is>
      </c>
    </row>
    <row r="13">
      <c r="A13" s="5" t="inlineStr">
        <is>
          <t>Key Management Area</t>
        </is>
      </c>
      <c r="B13" s="5" t="inlineStr">
        <is>
          <t>Checklist Score</t>
        </is>
      </c>
      <c r="C13" s="5" t="inlineStr">
        <is>
          <t>Maturity Level</t>
        </is>
      </c>
    </row>
    <row r="14">
      <c r="A14" t="inlineStr">
        <is>
          <t>Key Generation</t>
        </is>
      </c>
      <c r="B14" s="20" t="n"/>
      <c r="C14">
        <f>IF(B14&gt;=90%,"Advanced",IF(B14&gt;=70%,"Intermediate","Basic"))</f>
        <v/>
      </c>
    </row>
    <row r="15">
      <c r="A15" t="inlineStr">
        <is>
          <t>Key Storage</t>
        </is>
      </c>
      <c r="B15" s="20" t="n"/>
      <c r="C15">
        <f>IF(B15&gt;=90%,"Advanced",IF(B15&gt;=70%,"Intermediate","Basic"))</f>
        <v/>
      </c>
    </row>
    <row r="16">
      <c r="A16" t="inlineStr">
        <is>
          <t>Key Rotation</t>
        </is>
      </c>
      <c r="B16" s="20" t="n"/>
      <c r="C16">
        <f>IF(B16&gt;=90%,"Advanced",IF(B16&gt;=70%,"Intermediate","Basic"))</f>
        <v/>
      </c>
    </row>
    <row r="17">
      <c r="A17" t="inlineStr">
        <is>
          <t>Key Backup &amp; Recovery</t>
        </is>
      </c>
      <c r="B17" s="20" t="n"/>
      <c r="C17">
        <f>IF(B17&gt;=90%,"Advanced",IF(B17&gt;=70%,"Intermediate","Basic"))</f>
        <v/>
      </c>
    </row>
    <row r="18">
      <c r="A18" t="inlineStr">
        <is>
          <t>Certificate Management</t>
        </is>
      </c>
      <c r="B18" s="20" t="n"/>
      <c r="C18">
        <f>IF(B18&gt;=90%,"Advanced",IF(B18&gt;=70%,"Intermediate","Basic"))</f>
        <v/>
      </c>
    </row>
    <row r="21">
      <c r="A21" s="19" t="inlineStr">
        <is>
          <t>ALGORITHM DISTRIBUTION ANALYSIS</t>
        </is>
      </c>
    </row>
    <row r="22">
      <c r="A22" s="5" t="inlineStr">
        <is>
          <t>Algorithm Type</t>
        </is>
      </c>
      <c r="B22" s="5" t="inlineStr">
        <is>
          <t>Count</t>
        </is>
      </c>
      <c r="C22" s="5" t="inlineStr">
        <is>
          <t>Percentage</t>
        </is>
      </c>
      <c r="D22" s="5" t="inlineStr">
        <is>
          <t>Compliance Status</t>
        </is>
      </c>
    </row>
    <row r="23">
      <c r="A23" t="inlineStr">
        <is>
          <t>AES-256</t>
        </is>
      </c>
      <c r="B23" s="20" t="n"/>
      <c r="C23">
        <f>IF(SUM(B23:B23)=0,"0%",ROUND(B23/SUM(B$23:B$23)*100,1)&amp;"%")</f>
        <v/>
      </c>
      <c r="D23" t="inlineStr">
        <is>
          <t>Approved</t>
        </is>
      </c>
    </row>
    <row r="24">
      <c r="A24" t="inlineStr">
        <is>
          <t>AES-128</t>
        </is>
      </c>
      <c r="B24" s="20" t="n"/>
      <c r="C24">
        <f>IF(SUM(B23:B24)=0,"0%",ROUND(B24/SUM(B$23:B$24)*100,1)&amp;"%")</f>
        <v/>
      </c>
      <c r="D24" t="inlineStr">
        <is>
          <t>Approved</t>
        </is>
      </c>
    </row>
    <row r="25">
      <c r="A25" t="inlineStr">
        <is>
          <t>RSA-4096</t>
        </is>
      </c>
      <c r="B25" s="20" t="n"/>
      <c r="C25">
        <f>IF(SUM(B23:B25)=0,"0%",ROUND(B25/SUM(B$23:B$25)*100,1)&amp;"%")</f>
        <v/>
      </c>
      <c r="D25" t="inlineStr">
        <is>
          <t>Approved</t>
        </is>
      </c>
    </row>
    <row r="26">
      <c r="A26" t="inlineStr">
        <is>
          <t>RSA-3072</t>
        </is>
      </c>
      <c r="B26" s="20" t="n"/>
      <c r="C26">
        <f>IF(SUM(B23:B26)=0,"0%",ROUND(B26/SUM(B$23:B$26)*100,1)&amp;"%")</f>
        <v/>
      </c>
      <c r="D26" t="inlineStr">
        <is>
          <t>Approved</t>
        </is>
      </c>
    </row>
    <row r="27">
      <c r="A27" t="inlineStr">
        <is>
          <t>RSA-2048</t>
        </is>
      </c>
      <c r="B27" s="20" t="n"/>
      <c r="C27">
        <f>IF(SUM(B23:B27)=0,"0%",ROUND(B27/SUM(B$23:B$27)*100,1)&amp;"%")</f>
        <v/>
      </c>
      <c r="D27" t="inlineStr">
        <is>
          <t>Minimum (Legacy)</t>
        </is>
      </c>
    </row>
    <row r="28">
      <c r="A28" t="inlineStr">
        <is>
          <t>Ed25519</t>
        </is>
      </c>
      <c r="B28" s="20" t="n"/>
      <c r="C28">
        <f>IF(SUM(B23:B28)=0,"0%",ROUND(B28/SUM(B$23:B$28)*100,1)&amp;"%")</f>
        <v/>
      </c>
      <c r="D28" t="inlineStr">
        <is>
          <t>Approved</t>
        </is>
      </c>
    </row>
    <row r="29">
      <c r="A29" t="inlineStr">
        <is>
          <t>ECDSA P-256+</t>
        </is>
      </c>
      <c r="B29" s="20" t="n"/>
      <c r="C29">
        <f>IF(SUM(B23:B29)=0,"0%",ROUND(B29/SUM(B$23:B$29)*100,1)&amp;"%")</f>
        <v/>
      </c>
      <c r="D29" t="inlineStr">
        <is>
          <t>Approved</t>
        </is>
      </c>
    </row>
    <row r="30">
      <c r="A30" t="inlineStr">
        <is>
          <t>ChaCha20</t>
        </is>
      </c>
      <c r="B30" s="20" t="n"/>
      <c r="C30">
        <f>IF(SUM(B23:B30)=0,"0%",ROUND(B30/SUM(B$23:B$30)*100,1)&amp;"%")</f>
        <v/>
      </c>
      <c r="D30" t="inlineStr">
        <is>
          <t>Approved</t>
        </is>
      </c>
    </row>
    <row r="31">
      <c r="A31" t="inlineStr">
        <is>
          <t>Weak/Legacy</t>
        </is>
      </c>
      <c r="B31" s="20" t="n"/>
      <c r="C31">
        <f>IF(SUM(B23:B31)=0,"0%",ROUND(B31/SUM(B$23:B$31)*100,1)&amp;"%")</f>
        <v/>
      </c>
      <c r="D31" t="inlineStr">
        <is>
          <t>NON-COMPLIANT</t>
        </is>
      </c>
    </row>
    <row r="34">
      <c r="A34" s="19" t="inlineStr">
        <is>
          <t>STORAGE METHOD DISTRIBUTION</t>
        </is>
      </c>
    </row>
    <row r="35">
      <c r="A35" s="5" t="inlineStr">
        <is>
          <t>Storage Method</t>
        </is>
      </c>
      <c r="B35" s="5" t="inlineStr">
        <is>
          <t>Count</t>
        </is>
      </c>
      <c r="C35" s="5" t="inlineStr">
        <is>
          <t>Percentage</t>
        </is>
      </c>
      <c r="D35" s="5" t="inlineStr">
        <is>
          <t>Security Rating</t>
        </is>
      </c>
    </row>
    <row r="36">
      <c r="A36" t="inlineStr">
        <is>
          <t>HSM</t>
        </is>
      </c>
      <c r="B36" s="20" t="n"/>
      <c r="C36">
        <f>IF(SUM(B36:B36)=0,"0%",ROUND(B36/SUM(B$36:B$36)*100,1)&amp;"%")</f>
        <v/>
      </c>
      <c r="D36" t="inlineStr">
        <is>
          <t>Highest</t>
        </is>
      </c>
    </row>
    <row r="37">
      <c r="A37" t="inlineStr">
        <is>
          <t>Cloud KMS</t>
        </is>
      </c>
      <c r="B37" s="20" t="n"/>
      <c r="C37">
        <f>IF(SUM(B36:B37)=0,"0%",ROUND(B37/SUM(B$36:B$37)*100,1)&amp;"%")</f>
        <v/>
      </c>
      <c r="D37" t="inlineStr">
        <is>
          <t>High</t>
        </is>
      </c>
    </row>
    <row r="38">
      <c r="A38" t="inlineStr">
        <is>
          <t>TPM</t>
        </is>
      </c>
      <c r="B38" s="20" t="n"/>
      <c r="C38">
        <f>IF(SUM(B36:B38)=0,"0%",ROUND(B38/SUM(B$36:B$38)*100,1)&amp;"%")</f>
        <v/>
      </c>
      <c r="D38" t="inlineStr">
        <is>
          <t>High</t>
        </is>
      </c>
    </row>
    <row r="39">
      <c r="A39" t="inlineStr">
        <is>
          <t>Software Keystore</t>
        </is>
      </c>
      <c r="B39" s="20" t="n"/>
      <c r="C39">
        <f>IF(SUM(B36:B39)=0,"0%",ROUND(B39/SUM(B$36:B$39)*100,1)&amp;"%")</f>
        <v/>
      </c>
      <c r="D39" t="inlineStr">
        <is>
          <t>Medium</t>
        </is>
      </c>
    </row>
    <row r="40">
      <c r="A40" t="inlineStr">
        <is>
          <t>Vault</t>
        </is>
      </c>
      <c r="B40" s="20" t="n"/>
      <c r="C40">
        <f>IF(SUM(B36:B40)=0,"0%",ROUND(B40/SUM(B$36:B$40)*100,1)&amp;"%")</f>
        <v/>
      </c>
      <c r="D40" t="inlineStr">
        <is>
          <t>Medium</t>
        </is>
      </c>
    </row>
    <row r="41">
      <c r="A41" t="inlineStr">
        <is>
          <t>File-based</t>
        </is>
      </c>
      <c r="B41" s="20" t="n"/>
      <c r="C41">
        <f>IF(SUM(B36:B41)=0,"0%",ROUND(B41/SUM(B$36:B$41)*100,1)&amp;"%")</f>
        <v/>
      </c>
      <c r="D41" t="inlineStr">
        <is>
          <t>LOW RISK</t>
        </is>
      </c>
    </row>
    <row r="42">
      <c r="A42" t="inlineStr">
        <is>
          <t>Database</t>
        </is>
      </c>
      <c r="B42" s="20" t="n"/>
      <c r="C42">
        <f>IF(SUM(B36:B42)=0,"0%",ROUND(B42/SUM(B$36:B$42)*100,1)&amp;"%")</f>
        <v/>
      </c>
      <c r="D42" t="inlineStr">
        <is>
          <t>LOW RISK</t>
        </is>
      </c>
    </row>
    <row r="45">
      <c r="A45" s="19" t="inlineStr">
        <is>
          <t>KEY ROTATION COVERAGE</t>
        </is>
      </c>
    </row>
    <row r="46">
      <c r="A46" s="5" t="inlineStr">
        <is>
          <t>Rotation Schedule</t>
        </is>
      </c>
      <c r="B46" s="5" t="inlineStr">
        <is>
          <t>Count</t>
        </is>
      </c>
      <c r="C46" s="5" t="inlineStr">
        <is>
          <t>Percentage</t>
        </is>
      </c>
      <c r="D46" s="5" t="inlineStr">
        <is>
          <t>Compliance Status</t>
        </is>
      </c>
    </row>
    <row r="47">
      <c r="A47" t="inlineStr">
        <is>
          <t>Automated</t>
        </is>
      </c>
      <c r="B47" s="20" t="n"/>
      <c r="C47" s="20" t="n"/>
      <c r="D47" t="inlineStr">
        <is>
          <t>Optimal</t>
        </is>
      </c>
    </row>
    <row r="48">
      <c r="A48" t="inlineStr">
        <is>
          <t>Manual (Scheduled)</t>
        </is>
      </c>
      <c r="B48" s="20" t="n"/>
      <c r="C48" s="20" t="n"/>
      <c r="D48" t="inlineStr">
        <is>
          <t>Acceptable</t>
        </is>
      </c>
    </row>
    <row r="49">
      <c r="A49" t="inlineStr">
        <is>
          <t>Never / Not Configured</t>
        </is>
      </c>
      <c r="B49" s="20" t="n"/>
      <c r="C49" s="20" t="n"/>
      <c r="D49" t="inlineStr">
        <is>
          <t>NON-COMPLIANT</t>
        </is>
      </c>
    </row>
    <row r="52">
      <c r="A52" s="19" t="inlineStr">
        <is>
          <t>CERTIFICATE MANAGEMENT HEALTH</t>
        </is>
      </c>
    </row>
    <row r="53">
      <c r="A53" s="5" t="inlineStr">
        <is>
          <t>Certificate Metric</t>
        </is>
      </c>
      <c r="B53" s="5" t="inlineStr">
        <is>
          <t>Count</t>
        </is>
      </c>
      <c r="C53" s="5" t="inlineStr">
        <is>
          <t>Status</t>
        </is>
      </c>
    </row>
    <row r="54">
      <c r="A54" t="inlineStr">
        <is>
          <t>Total Certificates</t>
        </is>
      </c>
      <c r="B54" s="20" t="n"/>
      <c r="C54" t="inlineStr"/>
    </row>
    <row r="55">
      <c r="A55" t="inlineStr">
        <is>
          <t>Valid Certificates (≤397 days)</t>
        </is>
      </c>
      <c r="B55" s="20" t="n"/>
      <c r="C55" t="inlineStr"/>
    </row>
    <row r="56">
      <c r="A56" t="inlineStr">
        <is>
          <t>Expired Certificates</t>
        </is>
      </c>
      <c r="B56" s="20" t="n"/>
      <c r="C56" t="inlineStr">
        <is>
          <t>❌</t>
        </is>
      </c>
    </row>
    <row r="57">
      <c r="A57" t="inlineStr">
        <is>
          <t>Non-Compliant (&gt;397 days)</t>
        </is>
      </c>
      <c r="B57" s="20" t="n"/>
      <c r="C57" t="inlineStr">
        <is>
          <t>❌</t>
        </is>
      </c>
    </row>
    <row r="58">
      <c r="A58" t="inlineStr">
        <is>
          <t>Auto-Renewal Enabled</t>
        </is>
      </c>
      <c r="B58" s="20" t="n"/>
      <c r="C58" t="inlineStr"/>
    </row>
    <row r="59">
      <c r="A59" t="inlineStr">
        <is>
          <t>Self-Signed (Non-Compliant)</t>
        </is>
      </c>
      <c r="B59" s="20" t="n"/>
      <c r="C59" t="inlineStr">
        <is>
          <t>❌</t>
        </is>
      </c>
    </row>
    <row r="60">
      <c r="A60" t="inlineStr">
        <is>
          <t>Certificates Expiring &lt;30 days</t>
        </is>
      </c>
      <c r="B60" s="20" t="n"/>
      <c r="C60" t="inlineStr">
        <is>
          <t>⚠️</t>
        </is>
      </c>
    </row>
    <row r="63">
      <c r="A63" s="19" t="inlineStr">
        <is>
          <t>FIPS 140-2 VALIDATION STATUS</t>
        </is>
      </c>
    </row>
    <row r="64">
      <c r="A64" s="5" t="inlineStr">
        <is>
          <t>FIPS Validation Level</t>
        </is>
      </c>
      <c r="B64" s="5" t="inlineStr">
        <is>
          <t>Count</t>
        </is>
      </c>
      <c r="C64" s="5" t="inlineStr">
        <is>
          <t>Percentage</t>
        </is>
      </c>
      <c r="D64" s="5" t="inlineStr">
        <is>
          <t>Requirement Met</t>
        </is>
      </c>
    </row>
    <row r="65">
      <c r="A65" t="inlineStr">
        <is>
          <t>Level 4</t>
        </is>
      </c>
      <c r="B65" s="20" t="n"/>
      <c r="C65">
        <f>IF(SUM(B65:B65)=0,"0%",ROUND(B65/SUM(B$65:B$65)*100,1)&amp;"%")</f>
        <v/>
      </c>
      <c r="D65" t="inlineStr">
        <is>
          <t>Highest Security</t>
        </is>
      </c>
    </row>
    <row r="66">
      <c r="A66" t="inlineStr">
        <is>
          <t>Level 3</t>
        </is>
      </c>
      <c r="B66" s="20" t="n"/>
      <c r="C66">
        <f>IF(SUM(B65:B66)=0,"0%",ROUND(B66/SUM(B$65:B$66)*100,1)&amp;"%")</f>
        <v/>
      </c>
      <c r="D66" t="inlineStr">
        <is>
          <t>High Security</t>
        </is>
      </c>
    </row>
    <row r="67">
      <c r="A67" t="inlineStr">
        <is>
          <t>Level 2</t>
        </is>
      </c>
      <c r="B67" s="20" t="n"/>
      <c r="C67">
        <f>IF(SUM(B65:B67)=0,"0%",ROUND(B67/SUM(B$65:B$67)*100,1)&amp;"%")</f>
        <v/>
      </c>
      <c r="D67" t="inlineStr">
        <is>
          <t>Production Minimum</t>
        </is>
      </c>
    </row>
    <row r="68">
      <c r="A68" t="inlineStr">
        <is>
          <t>Level 1</t>
        </is>
      </c>
      <c r="B68" s="20" t="n"/>
      <c r="C68">
        <f>IF(SUM(B65:B68)=0,"0%",ROUND(B68/SUM(B$65:B$68)*100,1)&amp;"%")</f>
        <v/>
      </c>
      <c r="D68" t="inlineStr">
        <is>
          <t>Below Requirement</t>
        </is>
      </c>
    </row>
    <row r="69">
      <c r="A69" t="inlineStr">
        <is>
          <t>Not Validated</t>
        </is>
      </c>
      <c r="B69" s="20" t="n"/>
      <c r="C69">
        <f>IF(SUM(B65:B69)=0,"0%",ROUND(B69/SUM(B$65:B$69)*100,1)&amp;"%")</f>
        <v/>
      </c>
      <c r="D69" t="inlineStr">
        <is>
          <t>NON-COMPLIANT</t>
        </is>
      </c>
    </row>
    <row r="72">
      <c r="A72" s="21" t="inlineStr">
        <is>
          <t>CRITICAL GAPS REQUIRING IMMEDIATE ATTENTION</t>
        </is>
      </c>
    </row>
    <row r="73">
      <c r="A73" s="5" t="inlineStr">
        <is>
          <t>Priority</t>
        </is>
      </c>
      <c r="B73" s="5" t="inlineStr">
        <is>
          <t>Assessment Area</t>
        </is>
      </c>
      <c r="C73" s="5" t="inlineStr">
        <is>
          <t>Gap Description</t>
        </is>
      </c>
      <c r="D73" s="5" t="inlineStr">
        <is>
          <t>Responsible Person</t>
        </is>
      </c>
      <c r="E73" s="5" t="inlineStr">
        <is>
          <t>Target Date</t>
        </is>
      </c>
      <c r="F73" s="5" t="inlineStr">
        <is>
          <t>Status</t>
        </is>
      </c>
    </row>
    <row r="74">
      <c r="A74" s="20" t="n"/>
      <c r="B74" s="13" t="n"/>
      <c r="C74" s="13" t="n"/>
      <c r="D74" s="13" t="n"/>
      <c r="E74" s="13" t="n"/>
      <c r="F74" s="20" t="n"/>
    </row>
    <row r="75">
      <c r="A75" s="20" t="n"/>
      <c r="B75" s="13" t="n"/>
      <c r="C75" s="13" t="n"/>
      <c r="D75" s="13" t="n"/>
      <c r="E75" s="13" t="n"/>
      <c r="F75" s="20" t="n"/>
    </row>
    <row r="76">
      <c r="A76" s="20" t="n"/>
      <c r="B76" s="13" t="n"/>
      <c r="C76" s="13" t="n"/>
      <c r="D76" s="13" t="n"/>
      <c r="E76" s="13" t="n"/>
      <c r="F76" s="20" t="n"/>
    </row>
    <row r="77">
      <c r="A77" s="20" t="n"/>
      <c r="B77" s="13" t="n"/>
      <c r="C77" s="13" t="n"/>
      <c r="D77" s="13" t="n"/>
      <c r="E77" s="13" t="n"/>
      <c r="F77" s="20" t="n"/>
    </row>
    <row r="78">
      <c r="A78" s="20" t="n"/>
      <c r="B78" s="13" t="n"/>
      <c r="C78" s="13" t="n"/>
      <c r="D78" s="13" t="n"/>
      <c r="E78" s="13" t="n"/>
      <c r="F78" s="20" t="n"/>
    </row>
    <row r="79">
      <c r="A79" s="20" t="n"/>
      <c r="B79" s="13" t="n"/>
      <c r="C79" s="13" t="n"/>
      <c r="D79" s="13" t="n"/>
      <c r="E79" s="13" t="n"/>
      <c r="F79" s="20" t="n"/>
    </row>
    <row r="80">
      <c r="A80" s="20" t="n"/>
      <c r="B80" s="13" t="n"/>
      <c r="C80" s="13" t="n"/>
      <c r="D80" s="13" t="n"/>
      <c r="E80" s="13" t="n"/>
      <c r="F80" s="20" t="n"/>
    </row>
    <row r="81">
      <c r="A81" s="20" t="n"/>
      <c r="B81" s="13" t="n"/>
      <c r="C81" s="13" t="n"/>
      <c r="D81" s="13" t="n"/>
      <c r="E81" s="13" t="n"/>
      <c r="F81" s="20" t="n"/>
    </row>
    <row r="83">
      <c r="A83" s="19" t="inlineStr">
        <is>
          <t>RISK SUMMARY BY DATA CLASSIFICATION</t>
        </is>
      </c>
    </row>
    <row r="84">
      <c r="A84" s="5" t="inlineStr">
        <is>
          <t>Data Classification</t>
        </is>
      </c>
      <c r="B84" s="5" t="inlineStr">
        <is>
          <t>Keys/Certs Managed</t>
        </is>
      </c>
      <c r="C84" s="5" t="inlineStr">
        <is>
          <t>Compliant</t>
        </is>
      </c>
      <c r="D84" s="5" t="inlineStr">
        <is>
          <t>Non-Compliant</t>
        </is>
      </c>
      <c r="E84" s="5" t="inlineStr">
        <is>
          <t>Risk Level</t>
        </is>
      </c>
    </row>
    <row r="85">
      <c r="A85" t="inlineStr">
        <is>
          <t>Restricted</t>
        </is>
      </c>
      <c r="B85" s="20" t="n"/>
      <c r="C85" s="20" t="n"/>
      <c r="D85" s="20" t="n"/>
      <c r="E85">
        <f>IF(D85&gt;0,"HIGH",IF(C85/B85&lt;0.9,"MEDIUM","LOW"))</f>
        <v/>
      </c>
    </row>
    <row r="86">
      <c r="A86" t="inlineStr">
        <is>
          <t>Confidential</t>
        </is>
      </c>
      <c r="B86" s="20" t="n"/>
      <c r="C86" s="20" t="n"/>
      <c r="D86" s="20" t="n"/>
      <c r="E86">
        <f>IF(D86&gt;0,"HIGH",IF(C86/B86&lt;0.9,"MEDIUM","LOW"))</f>
        <v/>
      </c>
    </row>
    <row r="87">
      <c r="A87" t="inlineStr">
        <is>
          <t>Internal</t>
        </is>
      </c>
      <c r="B87" s="20" t="n"/>
      <c r="C87" s="20" t="n"/>
      <c r="D87" s="20" t="n"/>
      <c r="E87">
        <f>IF(D87&gt;0,"HIGH",IF(C87/B87&lt;0.9,"MEDIUM","LOW"))</f>
        <v/>
      </c>
    </row>
    <row r="88">
      <c r="A88" t="inlineStr">
        <is>
          <t>Public</t>
        </is>
      </c>
      <c r="B88" s="20" t="n"/>
      <c r="C88" s="20" t="n"/>
      <c r="D88" s="20" t="n"/>
      <c r="E88">
        <f>IF(D88&gt;0,"HIGH",IF(C88/B88&lt;0.9,"MEDIUM","LOW"))</f>
        <v/>
      </c>
    </row>
    <row r="91">
      <c r="A91" s="19" t="inlineStr">
        <is>
          <t>KEY BACKUP COVERAGE</t>
        </is>
      </c>
    </row>
    <row r="92">
      <c r="A92" s="5" t="inlineStr">
        <is>
          <t>Backup Status</t>
        </is>
      </c>
      <c r="B92" s="5" t="inlineStr">
        <is>
          <t>Count</t>
        </is>
      </c>
      <c r="C92" s="5" t="inlineStr">
        <is>
          <t>Percentage</t>
        </is>
      </c>
    </row>
    <row r="93">
      <c r="A93" t="inlineStr">
        <is>
          <t>Backed Up</t>
        </is>
      </c>
      <c r="B93" s="20" t="n"/>
      <c r="C93">
        <f>IF(SUM(B93:B93)=0,"0%",ROUND(B93/SUM(B$93:B$93)*100,1)&amp;"%")</f>
        <v/>
      </c>
    </row>
    <row r="94">
      <c r="A94" t="inlineStr">
        <is>
          <t>Not Backed Up</t>
        </is>
      </c>
      <c r="B94" s="20" t="n"/>
      <c r="C94">
        <f>IF(SUM(B93:B94)=0,"0%",ROUND(B94/SUM(B$93:B$94)*100,1)&amp;"%")</f>
        <v/>
      </c>
    </row>
    <row r="95">
      <c r="A95" t="inlineStr">
        <is>
          <t>Recovery Tested</t>
        </is>
      </c>
      <c r="B95" s="20" t="n"/>
      <c r="C95">
        <f>IF(SUM(B93:B95)=0,"0%",ROUND(B95/SUM(B$93:B$95)*100,1)&amp;"%")</f>
        <v/>
      </c>
    </row>
    <row r="96">
      <c r="A96" t="inlineStr">
        <is>
          <t>Recovery Not Tested</t>
        </is>
      </c>
      <c r="B96" s="20" t="n"/>
      <c r="C96">
        <f>IF(SUM(B93:B96)=0,"0%",ROUND(B96/SUM(B$93:B$96)*100,1)&amp;"%")</f>
        <v/>
      </c>
    </row>
    <row r="99">
      <c r="A99" s="22" t="inlineStr">
        <is>
          <t>OVERALL ASSESSMENT SUMMARY</t>
        </is>
      </c>
    </row>
    <row r="100">
      <c r="A100" s="3" t="inlineStr">
        <is>
          <t>OVERALL KEY MANAGEMENT COMPLIANCE:</t>
        </is>
      </c>
      <c r="B100" s="18">
        <f>'Summary Dashboard'!G9</f>
        <v/>
      </c>
    </row>
    <row r="101">
      <c r="A101" s="3" t="inlineStr">
        <is>
          <t>Assessment Status:</t>
        </is>
      </c>
      <c r="B101" s="20" t="n"/>
    </row>
    <row r="103">
      <c r="A103" s="3" t="inlineStr">
        <is>
          <t>Key Findings Summary:</t>
        </is>
      </c>
    </row>
    <row r="104">
      <c r="A104" s="17" t="n"/>
    </row>
    <row r="105"/>
    <row r="106"/>
    <row r="107"/>
    <row r="108"/>
  </sheetData>
  <mergeCells count="12">
    <mergeCell ref="A83:E83"/>
    <mergeCell ref="A1:G1"/>
    <mergeCell ref="A104:E108"/>
    <mergeCell ref="A45:C45"/>
    <mergeCell ref="A34:D34"/>
    <mergeCell ref="A21:D21"/>
    <mergeCell ref="A99:E99"/>
    <mergeCell ref="A91:C91"/>
    <mergeCell ref="A63:D63"/>
    <mergeCell ref="A12:C12"/>
    <mergeCell ref="A72:F72"/>
    <mergeCell ref="A52:C52"/>
  </mergeCells>
  <dataValidations count="3">
    <dataValidation sqref="A74 A75 A76 A77 A78 A79 A80 A81" showDropDown="0" showInputMessage="0" showErrorMessage="0" allowBlank="0" type="list">
      <formula1>"High,Medium,Low"</formula1>
    </dataValidation>
    <dataValidation sqref="F74 F75 F76 F77 F78 F79 F80 F81" showDropDown="0" showInputMessage="0" showErrorMessage="0" allowBlank="0" type="list">
      <formula1>"Open,In Progress,Resolved,Closed"</formula1>
    </dataValidation>
    <dataValidation sqref="B101" showDropDown="0" showInputMessage="0" showErrorMessage="0" allowBlank="0" type="list">
      <formula1>"Excellent (≥95%),Good (90-94%),Adequate (80-89%),Needs Improvement (70-79%),Critical (&lt;70%)"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 t="inlineStr">
        <is>
          <t>EVIDENCE REGISTER</t>
        </is>
      </c>
    </row>
    <row r="2">
      <c r="A2" s="23"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4" t="inlineStr">
        <is>
          <t>EV-001</t>
        </is>
      </c>
      <c r="B5" s="13" t="n"/>
      <c r="C5" s="13" t="n"/>
      <c r="D5" s="13" t="n"/>
      <c r="E5" s="13" t="n"/>
      <c r="F5" s="13" t="n"/>
      <c r="G5" s="13" t="n"/>
      <c r="H5" s="13" t="n"/>
    </row>
    <row r="6">
      <c r="A6" s="24" t="inlineStr">
        <is>
          <t>EV-002</t>
        </is>
      </c>
      <c r="B6" s="13" t="n"/>
      <c r="C6" s="13" t="n"/>
      <c r="D6" s="13" t="n"/>
      <c r="E6" s="13" t="n"/>
      <c r="F6" s="13" t="n"/>
      <c r="G6" s="13" t="n"/>
      <c r="H6" s="13" t="n"/>
    </row>
    <row r="7">
      <c r="A7" s="24" t="inlineStr">
        <is>
          <t>EV-003</t>
        </is>
      </c>
      <c r="B7" s="13" t="n"/>
      <c r="C7" s="13" t="n"/>
      <c r="D7" s="13" t="n"/>
      <c r="E7" s="13" t="n"/>
      <c r="F7" s="13" t="n"/>
      <c r="G7" s="13" t="n"/>
      <c r="H7" s="13" t="n"/>
    </row>
    <row r="8">
      <c r="A8" s="24" t="inlineStr">
        <is>
          <t>EV-004</t>
        </is>
      </c>
      <c r="B8" s="13" t="n"/>
      <c r="C8" s="13" t="n"/>
      <c r="D8" s="13" t="n"/>
      <c r="E8" s="13" t="n"/>
      <c r="F8" s="13" t="n"/>
      <c r="G8" s="13" t="n"/>
      <c r="H8" s="13" t="n"/>
    </row>
    <row r="9">
      <c r="A9" s="24" t="inlineStr">
        <is>
          <t>EV-005</t>
        </is>
      </c>
      <c r="B9" s="13" t="n"/>
      <c r="C9" s="13" t="n"/>
      <c r="D9" s="13" t="n"/>
      <c r="E9" s="13" t="n"/>
      <c r="F9" s="13" t="n"/>
      <c r="G9" s="13" t="n"/>
      <c r="H9" s="13" t="n"/>
    </row>
    <row r="10">
      <c r="A10" s="24" t="inlineStr">
        <is>
          <t>EV-006</t>
        </is>
      </c>
      <c r="B10" s="13" t="n"/>
      <c r="C10" s="13" t="n"/>
      <c r="D10" s="13" t="n"/>
      <c r="E10" s="13" t="n"/>
      <c r="F10" s="13" t="n"/>
      <c r="G10" s="13" t="n"/>
      <c r="H10" s="13" t="n"/>
    </row>
    <row r="11">
      <c r="A11" s="24" t="inlineStr">
        <is>
          <t>EV-007</t>
        </is>
      </c>
      <c r="B11" s="13" t="n"/>
      <c r="C11" s="13" t="n"/>
      <c r="D11" s="13" t="n"/>
      <c r="E11" s="13" t="n"/>
      <c r="F11" s="13" t="n"/>
      <c r="G11" s="13" t="n"/>
      <c r="H11" s="13" t="n"/>
    </row>
    <row r="12">
      <c r="A12" s="24" t="inlineStr">
        <is>
          <t>EV-008</t>
        </is>
      </c>
      <c r="B12" s="13" t="n"/>
      <c r="C12" s="13" t="n"/>
      <c r="D12" s="13" t="n"/>
      <c r="E12" s="13" t="n"/>
      <c r="F12" s="13" t="n"/>
      <c r="G12" s="13" t="n"/>
      <c r="H12" s="13" t="n"/>
    </row>
    <row r="13">
      <c r="A13" s="24" t="inlineStr">
        <is>
          <t>EV-009</t>
        </is>
      </c>
      <c r="B13" s="13" t="n"/>
      <c r="C13" s="13" t="n"/>
      <c r="D13" s="13" t="n"/>
      <c r="E13" s="13" t="n"/>
      <c r="F13" s="13" t="n"/>
      <c r="G13" s="13" t="n"/>
      <c r="H13" s="13" t="n"/>
    </row>
    <row r="14">
      <c r="A14" s="24" t="inlineStr">
        <is>
          <t>EV-010</t>
        </is>
      </c>
      <c r="B14" s="13" t="n"/>
      <c r="C14" s="13" t="n"/>
      <c r="D14" s="13" t="n"/>
      <c r="E14" s="13" t="n"/>
      <c r="F14" s="13" t="n"/>
      <c r="G14" s="13" t="n"/>
      <c r="H14" s="13" t="n"/>
    </row>
    <row r="15">
      <c r="A15" s="24" t="inlineStr">
        <is>
          <t>EV-011</t>
        </is>
      </c>
      <c r="B15" s="13" t="n"/>
      <c r="C15" s="13" t="n"/>
      <c r="D15" s="13" t="n"/>
      <c r="E15" s="13" t="n"/>
      <c r="F15" s="13" t="n"/>
      <c r="G15" s="13" t="n"/>
      <c r="H15" s="13" t="n"/>
    </row>
    <row r="16">
      <c r="A16" s="24" t="inlineStr">
        <is>
          <t>EV-012</t>
        </is>
      </c>
      <c r="B16" s="13" t="n"/>
      <c r="C16" s="13" t="n"/>
      <c r="D16" s="13" t="n"/>
      <c r="E16" s="13" t="n"/>
      <c r="F16" s="13" t="n"/>
      <c r="G16" s="13" t="n"/>
      <c r="H16" s="13" t="n"/>
    </row>
    <row r="17">
      <c r="A17" s="24" t="inlineStr">
        <is>
          <t>EV-013</t>
        </is>
      </c>
      <c r="B17" s="13" t="n"/>
      <c r="C17" s="13" t="n"/>
      <c r="D17" s="13" t="n"/>
      <c r="E17" s="13" t="n"/>
      <c r="F17" s="13" t="n"/>
      <c r="G17" s="13" t="n"/>
      <c r="H17" s="13" t="n"/>
    </row>
    <row r="18">
      <c r="A18" s="24" t="inlineStr">
        <is>
          <t>EV-014</t>
        </is>
      </c>
      <c r="B18" s="13" t="n"/>
      <c r="C18" s="13" t="n"/>
      <c r="D18" s="13" t="n"/>
      <c r="E18" s="13" t="n"/>
      <c r="F18" s="13" t="n"/>
      <c r="G18" s="13" t="n"/>
      <c r="H18" s="13" t="n"/>
    </row>
    <row r="19">
      <c r="A19" s="24" t="inlineStr">
        <is>
          <t>EV-015</t>
        </is>
      </c>
      <c r="B19" s="13" t="n"/>
      <c r="C19" s="13" t="n"/>
      <c r="D19" s="13" t="n"/>
      <c r="E19" s="13" t="n"/>
      <c r="F19" s="13" t="n"/>
      <c r="G19" s="13" t="n"/>
      <c r="H19" s="13" t="n"/>
    </row>
    <row r="20">
      <c r="A20" s="24" t="inlineStr">
        <is>
          <t>EV-016</t>
        </is>
      </c>
      <c r="B20" s="13" t="n"/>
      <c r="C20" s="13" t="n"/>
      <c r="D20" s="13" t="n"/>
      <c r="E20" s="13" t="n"/>
      <c r="F20" s="13" t="n"/>
      <c r="G20" s="13" t="n"/>
      <c r="H20" s="13" t="n"/>
    </row>
    <row r="21">
      <c r="A21" s="24" t="inlineStr">
        <is>
          <t>EV-017</t>
        </is>
      </c>
      <c r="B21" s="13" t="n"/>
      <c r="C21" s="13" t="n"/>
      <c r="D21" s="13" t="n"/>
      <c r="E21" s="13" t="n"/>
      <c r="F21" s="13" t="n"/>
      <c r="G21" s="13" t="n"/>
      <c r="H21" s="13" t="n"/>
    </row>
    <row r="22">
      <c r="A22" s="24" t="inlineStr">
        <is>
          <t>EV-018</t>
        </is>
      </c>
      <c r="B22" s="13" t="n"/>
      <c r="C22" s="13" t="n"/>
      <c r="D22" s="13" t="n"/>
      <c r="E22" s="13" t="n"/>
      <c r="F22" s="13" t="n"/>
      <c r="G22" s="13" t="n"/>
      <c r="H22" s="13" t="n"/>
    </row>
    <row r="23">
      <c r="A23" s="24" t="inlineStr">
        <is>
          <t>EV-019</t>
        </is>
      </c>
      <c r="B23" s="13" t="n"/>
      <c r="C23" s="13" t="n"/>
      <c r="D23" s="13" t="n"/>
      <c r="E23" s="13" t="n"/>
      <c r="F23" s="13" t="n"/>
      <c r="G23" s="13" t="n"/>
      <c r="H23" s="13" t="n"/>
    </row>
    <row r="24">
      <c r="A24" s="24" t="inlineStr">
        <is>
          <t>EV-020</t>
        </is>
      </c>
      <c r="B24" s="13" t="n"/>
      <c r="C24" s="13" t="n"/>
      <c r="D24" s="13" t="n"/>
      <c r="E24" s="13" t="n"/>
      <c r="F24" s="13" t="n"/>
      <c r="G24" s="13" t="n"/>
      <c r="H24" s="13" t="n"/>
    </row>
    <row r="25">
      <c r="A25" s="24" t="inlineStr">
        <is>
          <t>EV-021</t>
        </is>
      </c>
      <c r="B25" s="13" t="n"/>
      <c r="C25" s="13" t="n"/>
      <c r="D25" s="13" t="n"/>
      <c r="E25" s="13" t="n"/>
      <c r="F25" s="13" t="n"/>
      <c r="G25" s="13" t="n"/>
      <c r="H25" s="13" t="n"/>
    </row>
    <row r="26">
      <c r="A26" s="24" t="inlineStr">
        <is>
          <t>EV-022</t>
        </is>
      </c>
      <c r="B26" s="13" t="n"/>
      <c r="C26" s="13" t="n"/>
      <c r="D26" s="13" t="n"/>
      <c r="E26" s="13" t="n"/>
      <c r="F26" s="13" t="n"/>
      <c r="G26" s="13" t="n"/>
      <c r="H26" s="13" t="n"/>
    </row>
    <row r="27">
      <c r="A27" s="24" t="inlineStr">
        <is>
          <t>EV-023</t>
        </is>
      </c>
      <c r="B27" s="13" t="n"/>
      <c r="C27" s="13" t="n"/>
      <c r="D27" s="13" t="n"/>
      <c r="E27" s="13" t="n"/>
      <c r="F27" s="13" t="n"/>
      <c r="G27" s="13" t="n"/>
      <c r="H27" s="13" t="n"/>
    </row>
    <row r="28">
      <c r="A28" s="24" t="inlineStr">
        <is>
          <t>EV-024</t>
        </is>
      </c>
      <c r="B28" s="13" t="n"/>
      <c r="C28" s="13" t="n"/>
      <c r="D28" s="13" t="n"/>
      <c r="E28" s="13" t="n"/>
      <c r="F28" s="13" t="n"/>
      <c r="G28" s="13" t="n"/>
      <c r="H28" s="13" t="n"/>
    </row>
    <row r="29">
      <c r="A29" s="24" t="inlineStr">
        <is>
          <t>EV-025</t>
        </is>
      </c>
      <c r="B29" s="13" t="n"/>
      <c r="C29" s="13" t="n"/>
      <c r="D29" s="13" t="n"/>
      <c r="E29" s="13" t="n"/>
      <c r="F29" s="13" t="n"/>
      <c r="G29" s="13" t="n"/>
      <c r="H29" s="13" t="n"/>
    </row>
    <row r="30">
      <c r="A30" s="24" t="inlineStr">
        <is>
          <t>EV-026</t>
        </is>
      </c>
      <c r="B30" s="13" t="n"/>
      <c r="C30" s="13" t="n"/>
      <c r="D30" s="13" t="n"/>
      <c r="E30" s="13" t="n"/>
      <c r="F30" s="13" t="n"/>
      <c r="G30" s="13" t="n"/>
      <c r="H30" s="13" t="n"/>
    </row>
    <row r="31">
      <c r="A31" s="24" t="inlineStr">
        <is>
          <t>EV-027</t>
        </is>
      </c>
      <c r="B31" s="13" t="n"/>
      <c r="C31" s="13" t="n"/>
      <c r="D31" s="13" t="n"/>
      <c r="E31" s="13" t="n"/>
      <c r="F31" s="13" t="n"/>
      <c r="G31" s="13" t="n"/>
      <c r="H31" s="13" t="n"/>
    </row>
    <row r="32">
      <c r="A32" s="24" t="inlineStr">
        <is>
          <t>EV-028</t>
        </is>
      </c>
      <c r="B32" s="13" t="n"/>
      <c r="C32" s="13" t="n"/>
      <c r="D32" s="13" t="n"/>
      <c r="E32" s="13" t="n"/>
      <c r="F32" s="13" t="n"/>
      <c r="G32" s="13" t="n"/>
      <c r="H32" s="13" t="n"/>
    </row>
    <row r="33">
      <c r="A33" s="24" t="inlineStr">
        <is>
          <t>EV-029</t>
        </is>
      </c>
      <c r="B33" s="13" t="n"/>
      <c r="C33" s="13" t="n"/>
      <c r="D33" s="13" t="n"/>
      <c r="E33" s="13" t="n"/>
      <c r="F33" s="13" t="n"/>
      <c r="G33" s="13" t="n"/>
      <c r="H33" s="13" t="n"/>
    </row>
    <row r="34">
      <c r="A34" s="24" t="inlineStr">
        <is>
          <t>EV-030</t>
        </is>
      </c>
      <c r="B34" s="13" t="n"/>
      <c r="C34" s="13" t="n"/>
      <c r="D34" s="13" t="n"/>
      <c r="E34" s="13" t="n"/>
      <c r="F34" s="13" t="n"/>
      <c r="G34" s="13" t="n"/>
      <c r="H34" s="13" t="n"/>
    </row>
    <row r="35">
      <c r="A35" s="24" t="inlineStr">
        <is>
          <t>EV-031</t>
        </is>
      </c>
      <c r="B35" s="13" t="n"/>
      <c r="C35" s="13" t="n"/>
      <c r="D35" s="13" t="n"/>
      <c r="E35" s="13" t="n"/>
      <c r="F35" s="13" t="n"/>
      <c r="G35" s="13" t="n"/>
      <c r="H35" s="13" t="n"/>
    </row>
    <row r="36">
      <c r="A36" s="24" t="inlineStr">
        <is>
          <t>EV-032</t>
        </is>
      </c>
      <c r="B36" s="13" t="n"/>
      <c r="C36" s="13" t="n"/>
      <c r="D36" s="13" t="n"/>
      <c r="E36" s="13" t="n"/>
      <c r="F36" s="13" t="n"/>
      <c r="G36" s="13" t="n"/>
      <c r="H36" s="13" t="n"/>
    </row>
    <row r="37">
      <c r="A37" s="24" t="inlineStr">
        <is>
          <t>EV-033</t>
        </is>
      </c>
      <c r="B37" s="13" t="n"/>
      <c r="C37" s="13" t="n"/>
      <c r="D37" s="13" t="n"/>
      <c r="E37" s="13" t="n"/>
      <c r="F37" s="13" t="n"/>
      <c r="G37" s="13" t="n"/>
      <c r="H37" s="13" t="n"/>
    </row>
    <row r="38">
      <c r="A38" s="24" t="inlineStr">
        <is>
          <t>EV-034</t>
        </is>
      </c>
      <c r="B38" s="13" t="n"/>
      <c r="C38" s="13" t="n"/>
      <c r="D38" s="13" t="n"/>
      <c r="E38" s="13" t="n"/>
      <c r="F38" s="13" t="n"/>
      <c r="G38" s="13" t="n"/>
      <c r="H38" s="13" t="n"/>
    </row>
    <row r="39">
      <c r="A39" s="24" t="inlineStr">
        <is>
          <t>EV-035</t>
        </is>
      </c>
      <c r="B39" s="13" t="n"/>
      <c r="C39" s="13" t="n"/>
      <c r="D39" s="13" t="n"/>
      <c r="E39" s="13" t="n"/>
      <c r="F39" s="13" t="n"/>
      <c r="G39" s="13" t="n"/>
      <c r="H39" s="13" t="n"/>
    </row>
    <row r="40">
      <c r="A40" s="24" t="inlineStr">
        <is>
          <t>EV-036</t>
        </is>
      </c>
      <c r="B40" s="13" t="n"/>
      <c r="C40" s="13" t="n"/>
      <c r="D40" s="13" t="n"/>
      <c r="E40" s="13" t="n"/>
      <c r="F40" s="13" t="n"/>
      <c r="G40" s="13" t="n"/>
      <c r="H40" s="13" t="n"/>
    </row>
    <row r="41">
      <c r="A41" s="24" t="inlineStr">
        <is>
          <t>EV-037</t>
        </is>
      </c>
      <c r="B41" s="13" t="n"/>
      <c r="C41" s="13" t="n"/>
      <c r="D41" s="13" t="n"/>
      <c r="E41" s="13" t="n"/>
      <c r="F41" s="13" t="n"/>
      <c r="G41" s="13" t="n"/>
      <c r="H41" s="13" t="n"/>
    </row>
    <row r="42">
      <c r="A42" s="24" t="inlineStr">
        <is>
          <t>EV-038</t>
        </is>
      </c>
      <c r="B42" s="13" t="n"/>
      <c r="C42" s="13" t="n"/>
      <c r="D42" s="13" t="n"/>
      <c r="E42" s="13" t="n"/>
      <c r="F42" s="13" t="n"/>
      <c r="G42" s="13" t="n"/>
      <c r="H42" s="13" t="n"/>
    </row>
    <row r="43">
      <c r="A43" s="24" t="inlineStr">
        <is>
          <t>EV-039</t>
        </is>
      </c>
      <c r="B43" s="13" t="n"/>
      <c r="C43" s="13" t="n"/>
      <c r="D43" s="13" t="n"/>
      <c r="E43" s="13" t="n"/>
      <c r="F43" s="13" t="n"/>
      <c r="G43" s="13" t="n"/>
      <c r="H43" s="13" t="n"/>
    </row>
    <row r="44">
      <c r="A44" s="24" t="inlineStr">
        <is>
          <t>EV-040</t>
        </is>
      </c>
      <c r="B44" s="13" t="n"/>
      <c r="C44" s="13" t="n"/>
      <c r="D44" s="13" t="n"/>
      <c r="E44" s="13" t="n"/>
      <c r="F44" s="13" t="n"/>
      <c r="G44" s="13" t="n"/>
      <c r="H44" s="13" t="n"/>
    </row>
    <row r="45">
      <c r="A45" s="24" t="inlineStr">
        <is>
          <t>EV-041</t>
        </is>
      </c>
      <c r="B45" s="13" t="n"/>
      <c r="C45" s="13" t="n"/>
      <c r="D45" s="13" t="n"/>
      <c r="E45" s="13" t="n"/>
      <c r="F45" s="13" t="n"/>
      <c r="G45" s="13" t="n"/>
      <c r="H45" s="13" t="n"/>
    </row>
    <row r="46">
      <c r="A46" s="24" t="inlineStr">
        <is>
          <t>EV-042</t>
        </is>
      </c>
      <c r="B46" s="13" t="n"/>
      <c r="C46" s="13" t="n"/>
      <c r="D46" s="13" t="n"/>
      <c r="E46" s="13" t="n"/>
      <c r="F46" s="13" t="n"/>
      <c r="G46" s="13" t="n"/>
      <c r="H46" s="13" t="n"/>
    </row>
    <row r="47">
      <c r="A47" s="24" t="inlineStr">
        <is>
          <t>EV-043</t>
        </is>
      </c>
      <c r="B47" s="13" t="n"/>
      <c r="C47" s="13" t="n"/>
      <c r="D47" s="13" t="n"/>
      <c r="E47" s="13" t="n"/>
      <c r="F47" s="13" t="n"/>
      <c r="G47" s="13" t="n"/>
      <c r="H47" s="13" t="n"/>
    </row>
    <row r="48">
      <c r="A48" s="24" t="inlineStr">
        <is>
          <t>EV-044</t>
        </is>
      </c>
      <c r="B48" s="13" t="n"/>
      <c r="C48" s="13" t="n"/>
      <c r="D48" s="13" t="n"/>
      <c r="E48" s="13" t="n"/>
      <c r="F48" s="13" t="n"/>
      <c r="G48" s="13" t="n"/>
      <c r="H48" s="13" t="n"/>
    </row>
    <row r="49">
      <c r="A49" s="24" t="inlineStr">
        <is>
          <t>EV-045</t>
        </is>
      </c>
      <c r="B49" s="13" t="n"/>
      <c r="C49" s="13" t="n"/>
      <c r="D49" s="13" t="n"/>
      <c r="E49" s="13" t="n"/>
      <c r="F49" s="13" t="n"/>
      <c r="G49" s="13" t="n"/>
      <c r="H49" s="13" t="n"/>
    </row>
    <row r="50">
      <c r="A50" s="24" t="inlineStr">
        <is>
          <t>EV-046</t>
        </is>
      </c>
      <c r="B50" s="13" t="n"/>
      <c r="C50" s="13" t="n"/>
      <c r="D50" s="13" t="n"/>
      <c r="E50" s="13" t="n"/>
      <c r="F50" s="13" t="n"/>
      <c r="G50" s="13" t="n"/>
      <c r="H50" s="13" t="n"/>
    </row>
    <row r="51">
      <c r="A51" s="24" t="inlineStr">
        <is>
          <t>EV-047</t>
        </is>
      </c>
      <c r="B51" s="13" t="n"/>
      <c r="C51" s="13" t="n"/>
      <c r="D51" s="13" t="n"/>
      <c r="E51" s="13" t="n"/>
      <c r="F51" s="13" t="n"/>
      <c r="G51" s="13" t="n"/>
      <c r="H51" s="13" t="n"/>
    </row>
    <row r="52">
      <c r="A52" s="24" t="inlineStr">
        <is>
          <t>EV-048</t>
        </is>
      </c>
      <c r="B52" s="13" t="n"/>
      <c r="C52" s="13" t="n"/>
      <c r="D52" s="13" t="n"/>
      <c r="E52" s="13" t="n"/>
      <c r="F52" s="13" t="n"/>
      <c r="G52" s="13" t="n"/>
      <c r="H52" s="13" t="n"/>
    </row>
    <row r="53">
      <c r="A53" s="24" t="inlineStr">
        <is>
          <t>EV-049</t>
        </is>
      </c>
      <c r="B53" s="13" t="n"/>
      <c r="C53" s="13" t="n"/>
      <c r="D53" s="13" t="n"/>
      <c r="E53" s="13" t="n"/>
      <c r="F53" s="13" t="n"/>
      <c r="G53" s="13" t="n"/>
      <c r="H53" s="13" t="n"/>
    </row>
    <row r="54">
      <c r="A54" s="24" t="inlineStr">
        <is>
          <t>EV-050</t>
        </is>
      </c>
      <c r="B54" s="13" t="n"/>
      <c r="C54" s="13" t="n"/>
      <c r="D54" s="13" t="n"/>
      <c r="E54" s="13" t="n"/>
      <c r="F54" s="13" t="n"/>
      <c r="G54" s="13" t="n"/>
      <c r="H54" s="13" t="n"/>
    </row>
    <row r="55">
      <c r="A55" s="24" t="inlineStr">
        <is>
          <t>EV-051</t>
        </is>
      </c>
      <c r="B55" s="13" t="n"/>
      <c r="C55" s="13" t="n"/>
      <c r="D55" s="13" t="n"/>
      <c r="E55" s="13" t="n"/>
      <c r="F55" s="13" t="n"/>
      <c r="G55" s="13" t="n"/>
      <c r="H55" s="13" t="n"/>
    </row>
    <row r="56">
      <c r="A56" s="24" t="inlineStr">
        <is>
          <t>EV-052</t>
        </is>
      </c>
      <c r="B56" s="13" t="n"/>
      <c r="C56" s="13" t="n"/>
      <c r="D56" s="13" t="n"/>
      <c r="E56" s="13" t="n"/>
      <c r="F56" s="13" t="n"/>
      <c r="G56" s="13" t="n"/>
      <c r="H56" s="13" t="n"/>
    </row>
    <row r="57">
      <c r="A57" s="24" t="inlineStr">
        <is>
          <t>EV-053</t>
        </is>
      </c>
      <c r="B57" s="13" t="n"/>
      <c r="C57" s="13" t="n"/>
      <c r="D57" s="13" t="n"/>
      <c r="E57" s="13" t="n"/>
      <c r="F57" s="13" t="n"/>
      <c r="G57" s="13" t="n"/>
      <c r="H57" s="13" t="n"/>
    </row>
    <row r="58">
      <c r="A58" s="24" t="inlineStr">
        <is>
          <t>EV-054</t>
        </is>
      </c>
      <c r="B58" s="13" t="n"/>
      <c r="C58" s="13" t="n"/>
      <c r="D58" s="13" t="n"/>
      <c r="E58" s="13" t="n"/>
      <c r="F58" s="13" t="n"/>
      <c r="G58" s="13" t="n"/>
      <c r="H58" s="13" t="n"/>
    </row>
    <row r="59">
      <c r="A59" s="24" t="inlineStr">
        <is>
          <t>EV-055</t>
        </is>
      </c>
      <c r="B59" s="13" t="n"/>
      <c r="C59" s="13" t="n"/>
      <c r="D59" s="13" t="n"/>
      <c r="E59" s="13" t="n"/>
      <c r="F59" s="13" t="n"/>
      <c r="G59" s="13" t="n"/>
      <c r="H59" s="13" t="n"/>
    </row>
    <row r="60">
      <c r="A60" s="24" t="inlineStr">
        <is>
          <t>EV-056</t>
        </is>
      </c>
      <c r="B60" s="13" t="n"/>
      <c r="C60" s="13" t="n"/>
      <c r="D60" s="13" t="n"/>
      <c r="E60" s="13" t="n"/>
      <c r="F60" s="13" t="n"/>
      <c r="G60" s="13" t="n"/>
      <c r="H60" s="13" t="n"/>
    </row>
    <row r="61">
      <c r="A61" s="24" t="inlineStr">
        <is>
          <t>EV-057</t>
        </is>
      </c>
      <c r="B61" s="13" t="n"/>
      <c r="C61" s="13" t="n"/>
      <c r="D61" s="13" t="n"/>
      <c r="E61" s="13" t="n"/>
      <c r="F61" s="13" t="n"/>
      <c r="G61" s="13" t="n"/>
      <c r="H61" s="13" t="n"/>
    </row>
    <row r="62">
      <c r="A62" s="24" t="inlineStr">
        <is>
          <t>EV-058</t>
        </is>
      </c>
      <c r="B62" s="13" t="n"/>
      <c r="C62" s="13" t="n"/>
      <c r="D62" s="13" t="n"/>
      <c r="E62" s="13" t="n"/>
      <c r="F62" s="13" t="n"/>
      <c r="G62" s="13" t="n"/>
      <c r="H62" s="13" t="n"/>
    </row>
    <row r="63">
      <c r="A63" s="24" t="inlineStr">
        <is>
          <t>EV-059</t>
        </is>
      </c>
      <c r="B63" s="13" t="n"/>
      <c r="C63" s="13" t="n"/>
      <c r="D63" s="13" t="n"/>
      <c r="E63" s="13" t="n"/>
      <c r="F63" s="13" t="n"/>
      <c r="G63" s="13" t="n"/>
      <c r="H63" s="13" t="n"/>
    </row>
    <row r="64">
      <c r="A64" s="24" t="inlineStr">
        <is>
          <t>EV-060</t>
        </is>
      </c>
      <c r="B64" s="13" t="n"/>
      <c r="C64" s="13" t="n"/>
      <c r="D64" s="13" t="n"/>
      <c r="E64" s="13" t="n"/>
      <c r="F64" s="13" t="n"/>
      <c r="G64" s="13" t="n"/>
      <c r="H64" s="13" t="n"/>
    </row>
    <row r="65">
      <c r="A65" s="24" t="inlineStr">
        <is>
          <t>EV-061</t>
        </is>
      </c>
      <c r="B65" s="13" t="n"/>
      <c r="C65" s="13" t="n"/>
      <c r="D65" s="13" t="n"/>
      <c r="E65" s="13" t="n"/>
      <c r="F65" s="13" t="n"/>
      <c r="G65" s="13" t="n"/>
      <c r="H65" s="13" t="n"/>
    </row>
    <row r="66">
      <c r="A66" s="24" t="inlineStr">
        <is>
          <t>EV-062</t>
        </is>
      </c>
      <c r="B66" s="13" t="n"/>
      <c r="C66" s="13" t="n"/>
      <c r="D66" s="13" t="n"/>
      <c r="E66" s="13" t="n"/>
      <c r="F66" s="13" t="n"/>
      <c r="G66" s="13" t="n"/>
      <c r="H66" s="13" t="n"/>
    </row>
    <row r="67">
      <c r="A67" s="24" t="inlineStr">
        <is>
          <t>EV-063</t>
        </is>
      </c>
      <c r="B67" s="13" t="n"/>
      <c r="C67" s="13" t="n"/>
      <c r="D67" s="13" t="n"/>
      <c r="E67" s="13" t="n"/>
      <c r="F67" s="13" t="n"/>
      <c r="G67" s="13" t="n"/>
      <c r="H67" s="13" t="n"/>
    </row>
    <row r="68">
      <c r="A68" s="24" t="inlineStr">
        <is>
          <t>EV-064</t>
        </is>
      </c>
      <c r="B68" s="13" t="n"/>
      <c r="C68" s="13" t="n"/>
      <c r="D68" s="13" t="n"/>
      <c r="E68" s="13" t="n"/>
      <c r="F68" s="13" t="n"/>
      <c r="G68" s="13" t="n"/>
      <c r="H68" s="13" t="n"/>
    </row>
    <row r="69">
      <c r="A69" s="24" t="inlineStr">
        <is>
          <t>EV-065</t>
        </is>
      </c>
      <c r="B69" s="13" t="n"/>
      <c r="C69" s="13" t="n"/>
      <c r="D69" s="13" t="n"/>
      <c r="E69" s="13" t="n"/>
      <c r="F69" s="13" t="n"/>
      <c r="G69" s="13" t="n"/>
      <c r="H69" s="13" t="n"/>
    </row>
    <row r="70">
      <c r="A70" s="24" t="inlineStr">
        <is>
          <t>EV-066</t>
        </is>
      </c>
      <c r="B70" s="13" t="n"/>
      <c r="C70" s="13" t="n"/>
      <c r="D70" s="13" t="n"/>
      <c r="E70" s="13" t="n"/>
      <c r="F70" s="13" t="n"/>
      <c r="G70" s="13" t="n"/>
      <c r="H70" s="13" t="n"/>
    </row>
    <row r="71">
      <c r="A71" s="24" t="inlineStr">
        <is>
          <t>EV-067</t>
        </is>
      </c>
      <c r="B71" s="13" t="n"/>
      <c r="C71" s="13" t="n"/>
      <c r="D71" s="13" t="n"/>
      <c r="E71" s="13" t="n"/>
      <c r="F71" s="13" t="n"/>
      <c r="G71" s="13" t="n"/>
      <c r="H71" s="13" t="n"/>
    </row>
    <row r="72">
      <c r="A72" s="24" t="inlineStr">
        <is>
          <t>EV-068</t>
        </is>
      </c>
      <c r="B72" s="13" t="n"/>
      <c r="C72" s="13" t="n"/>
      <c r="D72" s="13" t="n"/>
      <c r="E72" s="13" t="n"/>
      <c r="F72" s="13" t="n"/>
      <c r="G72" s="13" t="n"/>
      <c r="H72" s="13" t="n"/>
    </row>
    <row r="73">
      <c r="A73" s="24" t="inlineStr">
        <is>
          <t>EV-069</t>
        </is>
      </c>
      <c r="B73" s="13" t="n"/>
      <c r="C73" s="13" t="n"/>
      <c r="D73" s="13" t="n"/>
      <c r="E73" s="13" t="n"/>
      <c r="F73" s="13" t="n"/>
      <c r="G73" s="13" t="n"/>
      <c r="H73" s="13" t="n"/>
    </row>
    <row r="74">
      <c r="A74" s="24" t="inlineStr">
        <is>
          <t>EV-070</t>
        </is>
      </c>
      <c r="B74" s="13" t="n"/>
      <c r="C74" s="13" t="n"/>
      <c r="D74" s="13" t="n"/>
      <c r="E74" s="13" t="n"/>
      <c r="F74" s="13" t="n"/>
      <c r="G74" s="13" t="n"/>
      <c r="H74" s="13" t="n"/>
    </row>
    <row r="75">
      <c r="A75" s="24" t="inlineStr">
        <is>
          <t>EV-071</t>
        </is>
      </c>
      <c r="B75" s="13" t="n"/>
      <c r="C75" s="13" t="n"/>
      <c r="D75" s="13" t="n"/>
      <c r="E75" s="13" t="n"/>
      <c r="F75" s="13" t="n"/>
      <c r="G75" s="13" t="n"/>
      <c r="H75" s="13" t="n"/>
    </row>
    <row r="76">
      <c r="A76" s="24" t="inlineStr">
        <is>
          <t>EV-072</t>
        </is>
      </c>
      <c r="B76" s="13" t="n"/>
      <c r="C76" s="13" t="n"/>
      <c r="D76" s="13" t="n"/>
      <c r="E76" s="13" t="n"/>
      <c r="F76" s="13" t="n"/>
      <c r="G76" s="13" t="n"/>
      <c r="H76" s="13" t="n"/>
    </row>
    <row r="77">
      <c r="A77" s="24" t="inlineStr">
        <is>
          <t>EV-073</t>
        </is>
      </c>
      <c r="B77" s="13" t="n"/>
      <c r="C77" s="13" t="n"/>
      <c r="D77" s="13" t="n"/>
      <c r="E77" s="13" t="n"/>
      <c r="F77" s="13" t="n"/>
      <c r="G77" s="13" t="n"/>
      <c r="H77" s="13" t="n"/>
    </row>
    <row r="78">
      <c r="A78" s="24" t="inlineStr">
        <is>
          <t>EV-074</t>
        </is>
      </c>
      <c r="B78" s="13" t="n"/>
      <c r="C78" s="13" t="n"/>
      <c r="D78" s="13" t="n"/>
      <c r="E78" s="13" t="n"/>
      <c r="F78" s="13" t="n"/>
      <c r="G78" s="13" t="n"/>
      <c r="H78" s="13" t="n"/>
    </row>
    <row r="79">
      <c r="A79" s="24" t="inlineStr">
        <is>
          <t>EV-075</t>
        </is>
      </c>
      <c r="B79" s="13" t="n"/>
      <c r="C79" s="13" t="n"/>
      <c r="D79" s="13" t="n"/>
      <c r="E79" s="13" t="n"/>
      <c r="F79" s="13" t="n"/>
      <c r="G79" s="13" t="n"/>
      <c r="H79" s="13" t="n"/>
    </row>
    <row r="80">
      <c r="A80" s="24" t="inlineStr">
        <is>
          <t>EV-076</t>
        </is>
      </c>
      <c r="B80" s="13" t="n"/>
      <c r="C80" s="13" t="n"/>
      <c r="D80" s="13" t="n"/>
      <c r="E80" s="13" t="n"/>
      <c r="F80" s="13" t="n"/>
      <c r="G80" s="13" t="n"/>
      <c r="H80" s="13" t="n"/>
    </row>
    <row r="81">
      <c r="A81" s="24" t="inlineStr">
        <is>
          <t>EV-077</t>
        </is>
      </c>
      <c r="B81" s="13" t="n"/>
      <c r="C81" s="13" t="n"/>
      <c r="D81" s="13" t="n"/>
      <c r="E81" s="13" t="n"/>
      <c r="F81" s="13" t="n"/>
      <c r="G81" s="13" t="n"/>
      <c r="H81" s="13" t="n"/>
    </row>
    <row r="82">
      <c r="A82" s="24" t="inlineStr">
        <is>
          <t>EV-078</t>
        </is>
      </c>
      <c r="B82" s="13" t="n"/>
      <c r="C82" s="13" t="n"/>
      <c r="D82" s="13" t="n"/>
      <c r="E82" s="13" t="n"/>
      <c r="F82" s="13" t="n"/>
      <c r="G82" s="13" t="n"/>
      <c r="H82" s="13" t="n"/>
    </row>
    <row r="83">
      <c r="A83" s="24" t="inlineStr">
        <is>
          <t>EV-079</t>
        </is>
      </c>
      <c r="B83" s="13" t="n"/>
      <c r="C83" s="13" t="n"/>
      <c r="D83" s="13" t="n"/>
      <c r="E83" s="13" t="n"/>
      <c r="F83" s="13" t="n"/>
      <c r="G83" s="13" t="n"/>
      <c r="H83" s="13" t="n"/>
    </row>
    <row r="84">
      <c r="A84" s="24" t="inlineStr">
        <is>
          <t>EV-080</t>
        </is>
      </c>
      <c r="B84" s="13" t="n"/>
      <c r="C84" s="13" t="n"/>
      <c r="D84" s="13" t="n"/>
      <c r="E84" s="13" t="n"/>
      <c r="F84" s="13" t="n"/>
      <c r="G84" s="13" t="n"/>
      <c r="H84" s="13" t="n"/>
    </row>
    <row r="85">
      <c r="A85" s="24" t="inlineStr">
        <is>
          <t>EV-081</t>
        </is>
      </c>
      <c r="B85" s="13" t="n"/>
      <c r="C85" s="13" t="n"/>
      <c r="D85" s="13" t="n"/>
      <c r="E85" s="13" t="n"/>
      <c r="F85" s="13" t="n"/>
      <c r="G85" s="13" t="n"/>
      <c r="H85" s="13" t="n"/>
    </row>
    <row r="86">
      <c r="A86" s="24" t="inlineStr">
        <is>
          <t>EV-082</t>
        </is>
      </c>
      <c r="B86" s="13" t="n"/>
      <c r="C86" s="13" t="n"/>
      <c r="D86" s="13" t="n"/>
      <c r="E86" s="13" t="n"/>
      <c r="F86" s="13" t="n"/>
      <c r="G86" s="13" t="n"/>
      <c r="H86" s="13" t="n"/>
    </row>
    <row r="87">
      <c r="A87" s="24" t="inlineStr">
        <is>
          <t>EV-083</t>
        </is>
      </c>
      <c r="B87" s="13" t="n"/>
      <c r="C87" s="13" t="n"/>
      <c r="D87" s="13" t="n"/>
      <c r="E87" s="13" t="n"/>
      <c r="F87" s="13" t="n"/>
      <c r="G87" s="13" t="n"/>
      <c r="H87" s="13" t="n"/>
    </row>
    <row r="88">
      <c r="A88" s="24" t="inlineStr">
        <is>
          <t>EV-084</t>
        </is>
      </c>
      <c r="B88" s="13" t="n"/>
      <c r="C88" s="13" t="n"/>
      <c r="D88" s="13" t="n"/>
      <c r="E88" s="13" t="n"/>
      <c r="F88" s="13" t="n"/>
      <c r="G88" s="13" t="n"/>
      <c r="H88" s="13" t="n"/>
    </row>
    <row r="89">
      <c r="A89" s="24" t="inlineStr">
        <is>
          <t>EV-085</t>
        </is>
      </c>
      <c r="B89" s="13" t="n"/>
      <c r="C89" s="13" t="n"/>
      <c r="D89" s="13" t="n"/>
      <c r="E89" s="13" t="n"/>
      <c r="F89" s="13" t="n"/>
      <c r="G89" s="13" t="n"/>
      <c r="H89" s="13" t="n"/>
    </row>
    <row r="90">
      <c r="A90" s="24" t="inlineStr">
        <is>
          <t>EV-086</t>
        </is>
      </c>
      <c r="B90" s="13" t="n"/>
      <c r="C90" s="13" t="n"/>
      <c r="D90" s="13" t="n"/>
      <c r="E90" s="13" t="n"/>
      <c r="F90" s="13" t="n"/>
      <c r="G90" s="13" t="n"/>
      <c r="H90" s="13" t="n"/>
    </row>
    <row r="91">
      <c r="A91" s="24" t="inlineStr">
        <is>
          <t>EV-087</t>
        </is>
      </c>
      <c r="B91" s="13" t="n"/>
      <c r="C91" s="13" t="n"/>
      <c r="D91" s="13" t="n"/>
      <c r="E91" s="13" t="n"/>
      <c r="F91" s="13" t="n"/>
      <c r="G91" s="13" t="n"/>
      <c r="H91" s="13" t="n"/>
    </row>
    <row r="92">
      <c r="A92" s="24" t="inlineStr">
        <is>
          <t>EV-088</t>
        </is>
      </c>
      <c r="B92" s="13" t="n"/>
      <c r="C92" s="13" t="n"/>
      <c r="D92" s="13" t="n"/>
      <c r="E92" s="13" t="n"/>
      <c r="F92" s="13" t="n"/>
      <c r="G92" s="13" t="n"/>
      <c r="H92" s="13" t="n"/>
    </row>
    <row r="93">
      <c r="A93" s="24" t="inlineStr">
        <is>
          <t>EV-089</t>
        </is>
      </c>
      <c r="B93" s="13" t="n"/>
      <c r="C93" s="13" t="n"/>
      <c r="D93" s="13" t="n"/>
      <c r="E93" s="13" t="n"/>
      <c r="F93" s="13" t="n"/>
      <c r="G93" s="13" t="n"/>
      <c r="H93" s="13" t="n"/>
    </row>
    <row r="94">
      <c r="A94" s="24" t="inlineStr">
        <is>
          <t>EV-090</t>
        </is>
      </c>
      <c r="B94" s="13" t="n"/>
      <c r="C94" s="13" t="n"/>
      <c r="D94" s="13" t="n"/>
      <c r="E94" s="13" t="n"/>
      <c r="F94" s="13" t="n"/>
      <c r="G94" s="13" t="n"/>
      <c r="H94" s="13" t="n"/>
    </row>
    <row r="95">
      <c r="A95" s="24" t="inlineStr">
        <is>
          <t>EV-091</t>
        </is>
      </c>
      <c r="B95" s="13" t="n"/>
      <c r="C95" s="13" t="n"/>
      <c r="D95" s="13" t="n"/>
      <c r="E95" s="13" t="n"/>
      <c r="F95" s="13" t="n"/>
      <c r="G95" s="13" t="n"/>
      <c r="H95" s="13" t="n"/>
    </row>
    <row r="96">
      <c r="A96" s="24" t="inlineStr">
        <is>
          <t>EV-092</t>
        </is>
      </c>
      <c r="B96" s="13" t="n"/>
      <c r="C96" s="13" t="n"/>
      <c r="D96" s="13" t="n"/>
      <c r="E96" s="13" t="n"/>
      <c r="F96" s="13" t="n"/>
      <c r="G96" s="13" t="n"/>
      <c r="H96" s="13" t="n"/>
    </row>
    <row r="97">
      <c r="A97" s="24" t="inlineStr">
        <is>
          <t>EV-093</t>
        </is>
      </c>
      <c r="B97" s="13" t="n"/>
      <c r="C97" s="13" t="n"/>
      <c r="D97" s="13" t="n"/>
      <c r="E97" s="13" t="n"/>
      <c r="F97" s="13" t="n"/>
      <c r="G97" s="13" t="n"/>
      <c r="H97" s="13" t="n"/>
    </row>
    <row r="98">
      <c r="A98" s="24" t="inlineStr">
        <is>
          <t>EV-094</t>
        </is>
      </c>
      <c r="B98" s="13" t="n"/>
      <c r="C98" s="13" t="n"/>
      <c r="D98" s="13" t="n"/>
      <c r="E98" s="13" t="n"/>
      <c r="F98" s="13" t="n"/>
      <c r="G98" s="13" t="n"/>
      <c r="H98" s="13" t="n"/>
    </row>
    <row r="99">
      <c r="A99" s="24" t="inlineStr">
        <is>
          <t>EV-095</t>
        </is>
      </c>
      <c r="B99" s="13" t="n"/>
      <c r="C99" s="13" t="n"/>
      <c r="D99" s="13" t="n"/>
      <c r="E99" s="13" t="n"/>
      <c r="F99" s="13" t="n"/>
      <c r="G99" s="13" t="n"/>
      <c r="H99" s="13" t="n"/>
    </row>
    <row r="100">
      <c r="A100" s="24" t="inlineStr">
        <is>
          <t>EV-096</t>
        </is>
      </c>
      <c r="B100" s="13" t="n"/>
      <c r="C100" s="13" t="n"/>
      <c r="D100" s="13" t="n"/>
      <c r="E100" s="13" t="n"/>
      <c r="F100" s="13" t="n"/>
      <c r="G100" s="13" t="n"/>
      <c r="H100" s="13" t="n"/>
    </row>
    <row r="101">
      <c r="A101" s="24" t="inlineStr">
        <is>
          <t>EV-097</t>
        </is>
      </c>
      <c r="B101" s="13" t="n"/>
      <c r="C101" s="13" t="n"/>
      <c r="D101" s="13" t="n"/>
      <c r="E101" s="13" t="n"/>
      <c r="F101" s="13" t="n"/>
      <c r="G101" s="13" t="n"/>
      <c r="H101" s="13" t="n"/>
    </row>
    <row r="102">
      <c r="A102" s="24" t="inlineStr">
        <is>
          <t>EV-098</t>
        </is>
      </c>
      <c r="B102" s="13" t="n"/>
      <c r="C102" s="13" t="n"/>
      <c r="D102" s="13" t="n"/>
      <c r="E102" s="13" t="n"/>
      <c r="F102" s="13" t="n"/>
      <c r="G102" s="13" t="n"/>
      <c r="H102" s="13" t="n"/>
    </row>
    <row r="103">
      <c r="A103" s="24" t="inlineStr">
        <is>
          <t>EV-099</t>
        </is>
      </c>
      <c r="B103" s="13" t="n"/>
      <c r="C103" s="13" t="n"/>
      <c r="D103" s="13" t="n"/>
      <c r="E103" s="13" t="n"/>
      <c r="F103" s="13" t="n"/>
      <c r="G103" s="13" t="n"/>
      <c r="H103" s="13" t="n"/>
    </row>
    <row r="104">
      <c r="A104" s="24"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"Key generation log,HSM configuration,KMS architecture,Rotation log,Backup procedure,Recovery test,Certificate inventory,CA audit report,FIPS certificate,Key ceremony record,Access log,Destruction record,Algorithm verification,Third-party audit,Other"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 t="inlineStr">
        <is>
          <t>ASSESSMENT APPROVAL AND SIGN-OFF</t>
        </is>
      </c>
    </row>
    <row r="3">
      <c r="A3" s="25" t="inlineStr">
        <is>
          <t>ASSESSMENT SUMMARY</t>
        </is>
      </c>
    </row>
    <row r="4">
      <c r="A4" s="3" t="inlineStr">
        <is>
          <t>Document:</t>
        </is>
      </c>
      <c r="B4" t="inlineStr">
        <is>
          <t>ISMS-IMP-A.8.24.4 - Key Management Assessment</t>
        </is>
      </c>
    </row>
    <row r="5">
      <c r="A5" s="3" t="inlineStr">
        <is>
          <t>Assessment Period:</t>
        </is>
      </c>
      <c r="B5" s="20" t="inlineStr"/>
    </row>
    <row r="6">
      <c r="A6" s="3" t="inlineStr">
        <is>
          <t>Overall Compliance:</t>
        </is>
      </c>
      <c r="B6">
        <f>'Summary Dashboard'!G9</f>
        <v/>
      </c>
    </row>
    <row r="7">
      <c r="A7" s="3" t="inlineStr">
        <is>
          <t>Assessment Status:</t>
        </is>
      </c>
      <c r="B7" s="20" t="inlineStr"/>
    </row>
    <row r="10">
      <c r="A10" s="25" t="inlineStr">
        <is>
          <t>COMPLETED BY (ASSESSOR)</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25" t="inlineStr">
        <is>
          <t>REVIEWED BY (INFORMATION SECURITY OFFICER)</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26"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 t="inlineStr">
        <is>
          <t>FINAL DECISION:</t>
        </is>
      </c>
      <c r="B31" s="4" t="n"/>
    </row>
    <row r="34">
      <c r="A34" s="25" t="inlineStr">
        <is>
          <t>NEXT REVIEW DETAILS</t>
        </is>
      </c>
    </row>
    <row r="35">
      <c r="A35" s="3" t="inlineStr">
        <is>
          <t>Next Review Date:</t>
        </is>
      </c>
      <c r="B35" s="4" t="n"/>
    </row>
    <row r="36">
      <c r="A36" s="3" t="inlineStr">
        <is>
          <t>Review Responsible:</t>
        </is>
      </c>
      <c r="B36" s="4" t="n"/>
    </row>
    <row r="37">
      <c r="A37" s="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2026-02-10T19:40:59Z</dcterms:created>
  <dcterms:modified xmlns:dcterms="http://purl.org/dc/terms/" xmlns:xsi="http://www.w3.org/2001/XMLSchema-instance" xsi:type="dcterms:W3CDTF">2026-02-10T19:40:59Z</dcterms:modified>
</cp:coreProperties>
</file>