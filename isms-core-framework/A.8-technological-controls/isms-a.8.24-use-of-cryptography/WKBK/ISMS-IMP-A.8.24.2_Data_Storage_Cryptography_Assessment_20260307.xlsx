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Mobile Devices" sheetId="2" state="visible" r:id="rId2"/>
    <sheet xmlns:r="http://schemas.openxmlformats.org/officeDocument/2006/relationships" name="2. Laptops &amp; Workstations" sheetId="3" state="visible" r:id="rId3"/>
    <sheet xmlns:r="http://schemas.openxmlformats.org/officeDocument/2006/relationships" name="3. Servers" sheetId="4" state="visible" r:id="rId4"/>
    <sheet xmlns:r="http://schemas.openxmlformats.org/officeDocument/2006/relationships" name="4. Databases" sheetId="5" state="visible" r:id="rId5"/>
    <sheet xmlns:r="http://schemas.openxmlformats.org/officeDocument/2006/relationships" name="5. Cloud Storage" sheetId="6" state="visible" r:id="rId6"/>
    <sheet xmlns:r="http://schemas.openxmlformats.org/officeDocument/2006/relationships" name="6. Backups" sheetId="7" state="visible" r:id="rId7"/>
    <sheet xmlns:r="http://schemas.openxmlformats.org/officeDocument/2006/relationships" name="7. Removable Media"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i val="1"/>
      <color rgb="00003366"/>
      <sz val="10"/>
    </font>
    <font>
      <b val="1"/>
      <sz val="11"/>
    </font>
    <font>
      <b val="1"/>
    </font>
    <font>
      <i val="1"/>
      <color rgb="00808080"/>
    </font>
    <font>
      <b val="1"/>
      <color rgb="000000FF"/>
    </font>
    <font>
      <name val="Calibri"/>
      <b val="1"/>
      <color rgb="00FFFFFF"/>
      <sz val="11"/>
    </font>
    <font>
      <name val="Calibri"/>
      <i val="1"/>
      <color rgb="00003366"/>
      <sz val="10"/>
    </font>
    <font>
      <name val="Calibri"/>
      <b val="1"/>
      <color rgb="00000000"/>
      <sz val="10"/>
    </font>
    <font>
      <name val="Calibri"/>
      <b val="1"/>
      <color rgb="00000000"/>
      <sz val="12"/>
    </font>
    <font>
      <name val="Calibri"/>
      <color rgb="00000000"/>
      <sz val="10"/>
    </font>
    <font>
      <b val="1"/>
      <color rgb="00FFFFFF"/>
      <sz val="14"/>
    </font>
    <font>
      <i val="1"/>
    </font>
    <font>
      <b val="1"/>
      <color rgb="00FFFFFF"/>
      <sz val="10"/>
    </font>
    <font>
      <i val="1"/>
      <color rgb="00555555"/>
    </font>
    <font>
      <b val="1"/>
      <color rgb="00FFFFFF"/>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0" borderId="0" applyAlignment="1" pivotButton="0" quotePrefix="0" xfId="0">
      <alignment horizontal="left" vertical="center"/>
    </xf>
    <xf numFmtId="0" fontId="6" fillId="0" borderId="1" applyAlignment="1" pivotButton="0" quotePrefix="0" xfId="0">
      <alignment horizontal="left" vertical="center" wrapText="1"/>
    </xf>
    <xf numFmtId="0" fontId="7" fillId="0" borderId="0" pivotButton="0" quotePrefix="0" xfId="0"/>
    <xf numFmtId="0" fontId="0" fillId="9" borderId="1" pivotButton="0" quotePrefix="0" xfId="0"/>
    <xf numFmtId="0" fontId="4" fillId="10" borderId="1" applyAlignment="1" pivotButton="0" quotePrefix="0" xfId="0">
      <alignment horizontal="center" vertical="center" wrapText="1"/>
    </xf>
    <xf numFmtId="0" fontId="8" fillId="11" borderId="0" applyAlignment="1" pivotButton="0" quotePrefix="0" xfId="0">
      <alignment horizontal="left" vertical="center" wrapText="1"/>
    </xf>
    <xf numFmtId="0" fontId="0" fillId="9" borderId="1" applyAlignment="1" pivotButton="0" quotePrefix="0" xfId="0">
      <alignment horizontal="left" vertical="center" wrapText="1"/>
    </xf>
    <xf numFmtId="0" fontId="6" fillId="0" borderId="0" pivotButton="0" quotePrefix="0" xfId="0"/>
    <xf numFmtId="0" fontId="9" fillId="0" borderId="0" pivotButton="0" quotePrefix="0" xfId="0"/>
    <xf numFmtId="0" fontId="10" fillId="12" borderId="1" applyAlignment="1" pivotButton="0" quotePrefix="0" xfId="0">
      <alignment horizontal="center" vertical="center"/>
    </xf>
    <xf numFmtId="0" fontId="6" fillId="0" borderId="1" pivotButton="0" quotePrefix="0" xfId="0"/>
    <xf numFmtId="0" fontId="0" fillId="9" borderId="1" applyAlignment="1" pivotButton="0" quotePrefix="0" xfId="0">
      <alignment horizontal="left" vertical="top" wrapText="1"/>
    </xf>
    <xf numFmtId="0" fontId="0" fillId="0" borderId="0" applyAlignment="1" pivotButton="0" quotePrefix="0" xfId="0">
      <alignment horizontal="left" vertical="center" wrapText="1"/>
    </xf>
    <xf numFmtId="0" fontId="15" fillId="8" borderId="0" applyAlignment="1" pivotButton="0" quotePrefix="0" xfId="0">
      <alignment horizontal="center" vertical="center" wrapText="1"/>
    </xf>
    <xf numFmtId="0" fontId="16" fillId="0" borderId="0" applyAlignment="1" pivotButton="0" quotePrefix="0" xfId="0">
      <alignment horizontal="left" vertical="center"/>
    </xf>
    <xf numFmtId="0" fontId="17" fillId="8" borderId="1" applyAlignment="1" pivotButton="0" quotePrefix="0" xfId="0">
      <alignment horizontal="center" vertical="center" wrapText="1"/>
    </xf>
    <xf numFmtId="0" fontId="18" fillId="11" borderId="1" applyAlignment="1" pivotButton="0" quotePrefix="0" xfId="0">
      <alignment horizontal="left" vertical="center" wrapText="1"/>
    </xf>
    <xf numFmtId="0" fontId="0" fillId="11" borderId="1" applyAlignment="1" pivotButton="0" quotePrefix="0" xfId="0">
      <alignment horizontal="left" vertical="center" wrapText="1"/>
    </xf>
    <xf numFmtId="0" fontId="11" fillId="0" borderId="1" applyAlignment="1" pivotButton="0" quotePrefix="0" xfId="0">
      <alignment horizontal="left" vertical="center"/>
    </xf>
    <xf numFmtId="0" fontId="10" fillId="2" borderId="1" pivotButton="0" quotePrefix="0" xfId="0"/>
    <xf numFmtId="0" fontId="12" fillId="4" borderId="1" applyAlignment="1" pivotButton="0" quotePrefix="0" xfId="0">
      <alignment horizontal="center" vertical="center" wrapText="1"/>
    </xf>
    <xf numFmtId="0" fontId="4" fillId="4" borderId="1" pivotButton="0" quotePrefix="0" xfId="0"/>
    <xf numFmtId="0" fontId="13" fillId="4" borderId="1" pivotButton="0" quotePrefix="0" xfId="0"/>
    <xf numFmtId="0" fontId="12" fillId="4" borderId="1" pivotButton="0" quotePrefix="0" xfId="0"/>
    <xf numFmtId="0" fontId="14" fillId="0" borderId="1" pivotButton="0" quotePrefix="0" xfId="0"/>
    <xf numFmtId="0" fontId="10" fillId="13" borderId="1" pivotButton="0" quotePrefix="0" xfId="0"/>
    <xf numFmtId="0" fontId="14" fillId="3" borderId="1" pivotButton="0" quotePrefix="0" xfId="0"/>
    <xf numFmtId="164" fontId="14" fillId="3" borderId="1" pivotButton="0" quotePrefix="0" xfId="0"/>
    <xf numFmtId="164" fontId="12" fillId="4" borderId="1" pivotButton="0" quotePrefix="0" xfId="0"/>
    <xf numFmtId="0" fontId="15" fillId="8" borderId="1" applyAlignment="1" pivotButton="0" quotePrefix="0" xfId="0">
      <alignment horizontal="center" vertical="center" wrapText="1"/>
    </xf>
    <xf numFmtId="0" fontId="19" fillId="14" borderId="1" pivotButton="0" quotePrefix="0" xfId="0"/>
    <xf numFmtId="0" fontId="1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ISMS-IMP-A.8.24.2  -  Data Storage Cryptography Assessment
ISO/IEC 27001:2022 - Control A.8.24: Use of Cryptography</t>
        </is>
      </c>
    </row>
    <row r="3">
      <c r="A3" s="2" t="inlineStr">
        <is>
          <t>Document Information</t>
        </is>
      </c>
    </row>
    <row r="4">
      <c r="A4" s="3" t="inlineStr">
        <is>
          <t>Document ID</t>
        </is>
      </c>
      <c r="B4" t="inlineStr">
        <is>
          <t>ISMS-IMP-A.8.24.2</t>
        </is>
      </c>
    </row>
    <row r="5">
      <c r="A5" s="3" t="inlineStr">
        <is>
          <t>Workbook Title</t>
        </is>
      </c>
      <c r="B5" t="inlineStr">
        <is>
          <t>Data Storage Cryptography Assessment</t>
        </is>
      </c>
    </row>
    <row r="6">
      <c r="A6" s="3" t="inlineStr">
        <is>
          <t>Control Reference</t>
        </is>
      </c>
      <c r="B6" t="inlineStr">
        <is>
          <t>ISO/IEC 27001:2022 - Control A.8.24: Use of Cryptography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(1–7) for applicable storage systems.</t>
        </is>
      </c>
    </row>
    <row r="14">
      <c r="A14" t="inlineStr">
        <is>
          <t>2. Use dropdown menus for standardised entries (Status, Encryption Type, Algorithm, etc.).</t>
        </is>
      </c>
    </row>
    <row r="15">
      <c r="A15" t="inlineStr">
        <is>
          <t>3. Fill in yellow-highlighted cells with your information.</t>
        </is>
      </c>
    </row>
    <row r="16">
      <c r="A16" t="inlineStr">
        <is>
          <t>4. If Status = Partial or Non-Compliant, complete the Exception/Deviation section.</t>
        </is>
      </c>
    </row>
    <row r="17">
      <c r="A17" t="inlineStr">
        <is>
          <t>5. Document key management details for each encrypted storage system.</t>
        </is>
      </c>
    </row>
    <row r="18">
      <c r="A18" t="inlineStr">
        <is>
          <t>6. Provide evidence location/path for each implementation entry.</t>
        </is>
      </c>
    </row>
    <row r="19">
      <c r="A19" t="inlineStr">
        <is>
          <t>7. Summary Dashboard auto-calculates compliance statistics per storage type.</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8"/>
  <sheetViews>
    <sheetView showGridLines="0"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35" customHeight="1">
      <c r="A1" s="11" t="inlineStr">
        <is>
          <t>1. MOBILE DEVICES - DATA AT REST ENCRYPTION
Policy Requirement: Mobile devices storing organisational data MUST use full device encryption (Policy Section 2.3.1)</t>
        </is>
      </c>
      <c r="B1" s="6" t="n"/>
      <c r="C1" s="6" t="n"/>
      <c r="D1" s="6" t="n"/>
      <c r="E1" s="6" t="n"/>
      <c r="F1" s="6" t="n"/>
      <c r="G1" s="6" t="n"/>
      <c r="H1" s="6" t="n"/>
      <c r="I1" s="6" t="n"/>
      <c r="J1" s="6" t="n"/>
      <c r="K1" s="6" t="n"/>
      <c r="L1" s="6" t="n"/>
      <c r="M1" s="6" t="n"/>
      <c r="N1" s="6" t="n"/>
      <c r="O1" s="6" t="n"/>
      <c r="P1" s="6" t="n"/>
      <c r="Q1" s="6" t="n"/>
    </row>
    <row r="2">
      <c r="A2" s="12" t="inlineStr">
        <is>
          <t>ISO/IEC 27001:2022 | Control A.8.24: Use of Cryptography</t>
        </is>
      </c>
    </row>
    <row r="3" ht="30" customHeight="1">
      <c r="A3" s="13" t="inlineStr">
        <is>
          <t>Does your organisation issue or allow mobile devices (smartphones, tablets) that store organisational data?</t>
        </is>
      </c>
      <c r="B3" s="6" t="n"/>
      <c r="C3" s="6" t="n"/>
      <c r="D3" s="6" t="n"/>
      <c r="E3" s="6" t="n"/>
      <c r="F3" s="6" t="n"/>
      <c r="G3" s="6" t="n"/>
      <c r="H3" s="6" t="n"/>
      <c r="I3" s="6" t="n"/>
      <c r="J3" s="6" t="n"/>
      <c r="K3" s="6" t="n"/>
      <c r="L3" s="6" t="n"/>
      <c r="M3" s="6" t="n"/>
      <c r="N3" s="6" t="n"/>
      <c r="O3" s="6" t="n"/>
      <c r="P3" s="6" t="n"/>
      <c r="Q3" s="6" t="n"/>
    </row>
    <row r="4">
      <c r="A4" s="14" t="inlineStr">
        <is>
          <t>Response:</t>
        </is>
      </c>
      <c r="B4" s="15" t="n"/>
    </row>
    <row r="6">
      <c r="A6" s="16" t="inlineStr">
        <is>
          <t>Storage System/Device</t>
        </is>
      </c>
      <c r="B6" s="16" t="inlineStr">
        <is>
          <t>Data Classification</t>
        </is>
      </c>
      <c r="C6" s="16" t="inlineStr">
        <is>
          <t>Encryption Status</t>
        </is>
      </c>
      <c r="D6" s="16" t="inlineStr">
        <is>
          <t>Encryption Type</t>
        </is>
      </c>
      <c r="E6" s="16" t="inlineStr">
        <is>
          <t>Algorithm &amp; Key Size</t>
        </is>
      </c>
      <c r="F6" s="16" t="inlineStr">
        <is>
          <t>Key Management Method</t>
        </is>
      </c>
      <c r="G6" s="16" t="inlineStr">
        <is>
          <t>Key Rotation Enabled</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row>
    <row r="7">
      <c r="A7" s="17" t="inlineStr">
        <is>
          <t>Example: Production SQL Server 2019 - FINDB01</t>
        </is>
      </c>
      <c r="B7" s="17" t="inlineStr">
        <is>
          <t>Restricted</t>
        </is>
      </c>
      <c r="C7" s="17" t="inlineStr">
        <is>
          <t>Encrypted</t>
        </is>
      </c>
      <c r="D7" s="17" t="inlineStr">
        <is>
          <t>Database TDE</t>
        </is>
      </c>
      <c r="E7" s="17" t="inlineStr">
        <is>
          <t>AES-256</t>
        </is>
      </c>
      <c r="F7" s="17" t="inlineStr">
        <is>
          <t>HSM</t>
        </is>
      </c>
      <c r="G7" s="17" t="inlineStr">
        <is>
          <t>✅ Yes</t>
        </is>
      </c>
      <c r="H7" s="17" t="inlineStr">
        <is>
          <t>✅ Compliant</t>
        </is>
      </c>
      <c r="I7" s="17" t="inlineStr">
        <is>
          <t>/evidence/databases/FINDB01-TDE-config.pdf</t>
        </is>
      </c>
      <c r="J7" s="17" t="inlineStr">
        <is>
          <t>None</t>
        </is>
      </c>
      <c r="K7" s="17" t="inlineStr">
        <is>
          <t>❌ No</t>
        </is>
      </c>
      <c r="L7" s="17" t="inlineStr">
        <is>
          <t>N/A</t>
        </is>
      </c>
      <c r="M7" s="17" t="inlineStr">
        <is>
          <t>N/A</t>
        </is>
      </c>
      <c r="N7" s="17" t="inlineStr">
        <is>
          <t>N/A</t>
        </is>
      </c>
      <c r="O7" s="17" t="inlineStr">
        <is>
          <t>N/A</t>
        </is>
      </c>
      <c r="P7" s="17" t="inlineStr">
        <is>
          <t>N/A</t>
        </is>
      </c>
      <c r="Q7" s="17" t="inlineStr">
        <is>
          <t>❌ No</t>
        </is>
      </c>
    </row>
    <row r="8">
      <c r="A8" s="18" t="n"/>
      <c r="B8" s="18" t="n"/>
      <c r="C8" s="18" t="n"/>
      <c r="D8" s="18" t="n"/>
      <c r="E8" s="18" t="n"/>
      <c r="F8" s="18" t="n"/>
      <c r="G8" s="18" t="n"/>
      <c r="H8" s="18" t="n"/>
      <c r="I8" s="18" t="n"/>
      <c r="J8" s="18" t="n"/>
      <c r="K8" s="18" t="n"/>
      <c r="L8" s="18" t="n"/>
      <c r="M8" s="18" t="n"/>
      <c r="N8" s="18" t="n"/>
      <c r="O8" s="18" t="n"/>
      <c r="P8" s="18" t="n"/>
      <c r="Q8" s="18" t="n"/>
    </row>
    <row r="9">
      <c r="A9" s="18" t="n"/>
      <c r="B9" s="18" t="n"/>
      <c r="C9" s="18" t="n"/>
      <c r="D9" s="18" t="n"/>
      <c r="E9" s="18" t="n"/>
      <c r="F9" s="18" t="n"/>
      <c r="G9" s="18" t="n"/>
      <c r="H9" s="18" t="n"/>
      <c r="I9" s="18" t="n"/>
      <c r="J9" s="18" t="n"/>
      <c r="K9" s="18" t="n"/>
      <c r="L9" s="18" t="n"/>
      <c r="M9" s="18" t="n"/>
      <c r="N9" s="18" t="n"/>
      <c r="O9" s="18" t="n"/>
      <c r="P9" s="18" t="n"/>
      <c r="Q9" s="18" t="n"/>
    </row>
    <row r="10">
      <c r="A10" s="18" t="n"/>
      <c r="B10" s="18" t="n"/>
      <c r="C10" s="18" t="n"/>
      <c r="D10" s="18" t="n"/>
      <c r="E10" s="18" t="n"/>
      <c r="F10" s="18" t="n"/>
      <c r="G10" s="18" t="n"/>
      <c r="H10" s="18" t="n"/>
      <c r="I10" s="18" t="n"/>
      <c r="J10" s="18" t="n"/>
      <c r="K10" s="18" t="n"/>
      <c r="L10" s="18" t="n"/>
      <c r="M10" s="18" t="n"/>
      <c r="N10" s="18" t="n"/>
      <c r="O10" s="18" t="n"/>
      <c r="P10" s="18" t="n"/>
      <c r="Q10" s="18" t="n"/>
    </row>
    <row r="11">
      <c r="A11" s="18" t="n"/>
      <c r="B11" s="18" t="n"/>
      <c r="C11" s="18" t="n"/>
      <c r="D11" s="18" t="n"/>
      <c r="E11" s="18" t="n"/>
      <c r="F11" s="18" t="n"/>
      <c r="G11" s="18" t="n"/>
      <c r="H11" s="18" t="n"/>
      <c r="I11" s="18" t="n"/>
      <c r="J11" s="18" t="n"/>
      <c r="K11" s="18" t="n"/>
      <c r="L11" s="18" t="n"/>
      <c r="M11" s="18" t="n"/>
      <c r="N11" s="18" t="n"/>
      <c r="O11" s="18" t="n"/>
      <c r="P11" s="18" t="n"/>
      <c r="Q11" s="18" t="n"/>
    </row>
    <row r="12">
      <c r="A12" s="18" t="n"/>
      <c r="B12" s="18" t="n"/>
      <c r="C12" s="18" t="n"/>
      <c r="D12" s="18" t="n"/>
      <c r="E12" s="18" t="n"/>
      <c r="F12" s="18" t="n"/>
      <c r="G12" s="18" t="n"/>
      <c r="H12" s="18" t="n"/>
      <c r="I12" s="18" t="n"/>
      <c r="J12" s="18" t="n"/>
      <c r="K12" s="18" t="n"/>
      <c r="L12" s="18" t="n"/>
      <c r="M12" s="18" t="n"/>
      <c r="N12" s="18" t="n"/>
      <c r="O12" s="18" t="n"/>
      <c r="P12" s="18" t="n"/>
      <c r="Q12" s="18" t="n"/>
    </row>
    <row r="13">
      <c r="A13" s="18" t="n"/>
      <c r="B13" s="18" t="n"/>
      <c r="C13" s="18" t="n"/>
      <c r="D13" s="18" t="n"/>
      <c r="E13" s="18" t="n"/>
      <c r="F13" s="18" t="n"/>
      <c r="G13" s="18" t="n"/>
      <c r="H13" s="18" t="n"/>
      <c r="I13" s="18" t="n"/>
      <c r="J13" s="18" t="n"/>
      <c r="K13" s="18" t="n"/>
      <c r="L13" s="18" t="n"/>
      <c r="M13" s="18" t="n"/>
      <c r="N13" s="18" t="n"/>
      <c r="O13" s="18" t="n"/>
      <c r="P13" s="18" t="n"/>
      <c r="Q13" s="18" t="n"/>
    </row>
    <row r="14">
      <c r="A14" s="18" t="n"/>
      <c r="B14" s="18" t="n"/>
      <c r="C14" s="18" t="n"/>
      <c r="D14" s="18" t="n"/>
      <c r="E14" s="18" t="n"/>
      <c r="F14" s="18" t="n"/>
      <c r="G14" s="18" t="n"/>
      <c r="H14" s="18" t="n"/>
      <c r="I14" s="18" t="n"/>
      <c r="J14" s="18" t="n"/>
      <c r="K14" s="18" t="n"/>
      <c r="L14" s="18" t="n"/>
      <c r="M14" s="18" t="n"/>
      <c r="N14" s="18" t="n"/>
      <c r="O14" s="18" t="n"/>
      <c r="P14" s="18" t="n"/>
      <c r="Q14" s="18" t="n"/>
    </row>
    <row r="15">
      <c r="A15" s="18" t="n"/>
      <c r="B15" s="18" t="n"/>
      <c r="C15" s="18" t="n"/>
      <c r="D15" s="18" t="n"/>
      <c r="E15" s="18" t="n"/>
      <c r="F15" s="18" t="n"/>
      <c r="G15" s="18" t="n"/>
      <c r="H15" s="18" t="n"/>
      <c r="I15" s="18" t="n"/>
      <c r="J15" s="18" t="n"/>
      <c r="K15" s="18" t="n"/>
      <c r="L15" s="18" t="n"/>
      <c r="M15" s="18" t="n"/>
      <c r="N15" s="18" t="n"/>
      <c r="O15" s="18" t="n"/>
      <c r="P15" s="18" t="n"/>
      <c r="Q15" s="18" t="n"/>
    </row>
    <row r="16">
      <c r="A16" s="18" t="n"/>
      <c r="B16" s="18" t="n"/>
      <c r="C16" s="18" t="n"/>
      <c r="D16" s="18" t="n"/>
      <c r="E16" s="18" t="n"/>
      <c r="F16" s="18" t="n"/>
      <c r="G16" s="18" t="n"/>
      <c r="H16" s="18" t="n"/>
      <c r="I16" s="18" t="n"/>
      <c r="J16" s="18" t="n"/>
      <c r="K16" s="18" t="n"/>
      <c r="L16" s="18" t="n"/>
      <c r="M16" s="18" t="n"/>
      <c r="N16" s="18" t="n"/>
      <c r="O16" s="18" t="n"/>
      <c r="P16" s="18" t="n"/>
      <c r="Q16" s="18" t="n"/>
    </row>
    <row r="17">
      <c r="A17" s="18" t="n"/>
      <c r="B17" s="18" t="n"/>
      <c r="C17" s="18" t="n"/>
      <c r="D17" s="18" t="n"/>
      <c r="E17" s="18" t="n"/>
      <c r="F17" s="18" t="n"/>
      <c r="G17" s="18" t="n"/>
      <c r="H17" s="18" t="n"/>
      <c r="I17" s="18" t="n"/>
      <c r="J17" s="18" t="n"/>
      <c r="K17" s="18" t="n"/>
      <c r="L17" s="18" t="n"/>
      <c r="M17" s="18" t="n"/>
      <c r="N17" s="18" t="n"/>
      <c r="O17" s="18" t="n"/>
      <c r="P17" s="18" t="n"/>
      <c r="Q17" s="18" t="n"/>
    </row>
    <row r="18">
      <c r="A18" s="18" t="n"/>
      <c r="B18" s="18" t="n"/>
      <c r="C18" s="18" t="n"/>
      <c r="D18" s="18" t="n"/>
      <c r="E18" s="18" t="n"/>
      <c r="F18" s="18" t="n"/>
      <c r="G18" s="18" t="n"/>
      <c r="H18" s="18" t="n"/>
      <c r="I18" s="18" t="n"/>
      <c r="J18" s="18" t="n"/>
      <c r="K18" s="18" t="n"/>
      <c r="L18" s="18" t="n"/>
      <c r="M18" s="18" t="n"/>
      <c r="N18" s="18" t="n"/>
      <c r="O18" s="18" t="n"/>
      <c r="P18" s="18" t="n"/>
      <c r="Q18" s="18" t="n"/>
    </row>
    <row r="19">
      <c r="A19" s="18" t="n"/>
      <c r="B19" s="18" t="n"/>
      <c r="C19" s="18" t="n"/>
      <c r="D19" s="18" t="n"/>
      <c r="E19" s="18" t="n"/>
      <c r="F19" s="18" t="n"/>
      <c r="G19" s="18" t="n"/>
      <c r="H19" s="18" t="n"/>
      <c r="I19" s="18" t="n"/>
      <c r="J19" s="18" t="n"/>
      <c r="K19" s="18" t="n"/>
      <c r="L19" s="18" t="n"/>
      <c r="M19" s="18" t="n"/>
      <c r="N19" s="18" t="n"/>
      <c r="O19" s="18" t="n"/>
      <c r="P19" s="18" t="n"/>
      <c r="Q19" s="18" t="n"/>
    </row>
    <row r="20">
      <c r="A20" s="18" t="n"/>
      <c r="B20" s="18" t="n"/>
      <c r="C20" s="18" t="n"/>
      <c r="D20" s="18" t="n"/>
      <c r="E20" s="18" t="n"/>
      <c r="F20" s="18" t="n"/>
      <c r="G20" s="18" t="n"/>
      <c r="H20" s="18" t="n"/>
      <c r="I20" s="18" t="n"/>
      <c r="J20" s="18" t="n"/>
      <c r="K20" s="18" t="n"/>
      <c r="L20" s="18" t="n"/>
      <c r="M20" s="18" t="n"/>
      <c r="N20" s="18" t="n"/>
      <c r="O20" s="18" t="n"/>
      <c r="P20" s="18" t="n"/>
      <c r="Q20" s="18" t="n"/>
    </row>
    <row r="22">
      <c r="A22" s="19" t="inlineStr">
        <is>
          <t>1. MOBILE DEVICES ENCRYPTION CHECKLIST</t>
        </is>
      </c>
    </row>
    <row r="23">
      <c r="A23" s="14" t="inlineStr">
        <is>
          <t>☐</t>
        </is>
      </c>
      <c r="B23" s="14" t="inlineStr">
        <is>
          <t>Requirement</t>
        </is>
      </c>
      <c r="C23" s="14" t="inlineStr">
        <is>
          <t>Status</t>
        </is>
      </c>
    </row>
    <row r="24">
      <c r="A24" t="inlineStr">
        <is>
          <t>☐</t>
        </is>
      </c>
      <c r="B24" t="inlineStr">
        <is>
          <t>iOS devices: FileVault/built-in encryption enabled</t>
        </is>
      </c>
      <c r="C24" s="15" t="n"/>
    </row>
    <row r="25">
      <c r="A25" t="inlineStr">
        <is>
          <t>☐</t>
        </is>
      </c>
      <c r="B25" t="inlineStr">
        <is>
          <t>Android devices: Full device encryption enabled</t>
        </is>
      </c>
      <c r="C25" s="15" t="n"/>
    </row>
    <row r="26">
      <c r="A26" t="inlineStr">
        <is>
          <t>☐</t>
        </is>
      </c>
      <c r="B26" t="inlineStr">
        <is>
          <t>MDM policy enforces encryption</t>
        </is>
      </c>
      <c r="C26" s="15" t="n"/>
    </row>
    <row r="27">
      <c r="A27" t="inlineStr">
        <is>
          <t>☐</t>
        </is>
      </c>
      <c r="B27" t="inlineStr">
        <is>
          <t>Encryption status verified via MDM reporting</t>
        </is>
      </c>
      <c r="C27" s="15" t="n"/>
    </row>
    <row r="28">
      <c r="A28" t="inlineStr">
        <is>
          <t>☐</t>
        </is>
      </c>
      <c r="B28" t="inlineStr">
        <is>
          <t>PIN/password/biometric required for device unlock</t>
        </is>
      </c>
      <c r="C28" s="15" t="n"/>
    </row>
    <row r="29">
      <c r="A29" t="inlineStr">
        <is>
          <t>☐</t>
        </is>
      </c>
      <c r="B29" t="inlineStr">
        <is>
          <t>Remote wipe capability configured</t>
        </is>
      </c>
      <c r="C29" s="15" t="n"/>
    </row>
    <row r="30">
      <c r="A30" t="inlineStr">
        <is>
          <t>☐</t>
        </is>
      </c>
      <c r="B30" t="inlineStr">
        <is>
          <t>Encryption cannot be disabled by user</t>
        </is>
      </c>
      <c r="C30" s="15" t="n"/>
    </row>
    <row r="31">
      <c r="A31" t="inlineStr">
        <is>
          <t>☐</t>
        </is>
      </c>
      <c r="B31" t="inlineStr">
        <is>
          <t>BYOD devices meet encryption requirements</t>
        </is>
      </c>
      <c r="C31" s="15" t="n"/>
    </row>
    <row r="32">
      <c r="A32" t="inlineStr">
        <is>
          <t>☐</t>
        </is>
      </c>
      <c r="B32" t="inlineStr">
        <is>
          <t>Lost/stolen device procedure includes encryption verification</t>
        </is>
      </c>
      <c r="C32" s="15" t="n"/>
    </row>
    <row r="33">
      <c r="A33" t="inlineStr">
        <is>
          <t>☐</t>
        </is>
      </c>
      <c r="B33" t="inlineStr">
        <is>
          <t>Regular compliance audits performed (quarterly minimum)</t>
        </is>
      </c>
      <c r="C33" s="15" t="n"/>
    </row>
    <row r="34">
      <c r="A34" s="14" t="inlineStr">
        <is>
          <t>Checklist Score:</t>
        </is>
      </c>
      <c r="B34" s="20">
        <f>IFERROR(ROUND(COUNTIF(C24:C33,"✅ Yes")/COUNTA(C24:C33)*100,0)&amp;"%","0%")</f>
        <v/>
      </c>
    </row>
    <row r="36">
      <c r="A36" s="21" t="inlineStr">
        <is>
          <t>EXCEPTION / DEVIATION DOCUMENTATION (Complete if Status = Partial or Non-Compliant)</t>
        </is>
      </c>
      <c r="B36" s="6" t="n"/>
      <c r="C36" s="6" t="n"/>
      <c r="D36" s="6" t="n"/>
      <c r="E36" s="6" t="n"/>
      <c r="F36" s="6" t="n"/>
      <c r="G36" s="6" t="n"/>
      <c r="H36" s="6" t="n"/>
      <c r="I36" s="6" t="n"/>
      <c r="J36" s="6" t="n"/>
      <c r="K36" s="6" t="n"/>
      <c r="L36" s="6" t="n"/>
      <c r="M36" s="6" t="n"/>
      <c r="N36" s="6" t="n"/>
      <c r="O36" s="6" t="n"/>
      <c r="P36" s="6" t="n"/>
      <c r="Q36" s="6" t="n"/>
    </row>
    <row r="37">
      <c r="A37" s="14" t="inlineStr">
        <is>
          <t>Formal exception request submitted:</t>
        </is>
      </c>
      <c r="B37" s="18" t="n"/>
      <c r="C37" s="6" t="n"/>
      <c r="D37" s="6" t="n"/>
    </row>
    <row r="38">
      <c r="A38" s="14" t="inlineStr">
        <is>
          <t>Exception ID:</t>
        </is>
      </c>
      <c r="B38" s="18" t="n"/>
      <c r="C38" s="6" t="n"/>
      <c r="D38" s="6" t="n"/>
    </row>
    <row r="39">
      <c r="A39" s="14" t="inlineStr">
        <is>
          <t>Risk acceptance documented:</t>
        </is>
      </c>
      <c r="B39" s="18" t="n"/>
      <c r="C39" s="6" t="n"/>
      <c r="D39" s="6" t="n"/>
    </row>
    <row r="40">
      <c r="A40" s="14" t="inlineStr">
        <is>
          <t>Risk ID:</t>
        </is>
      </c>
      <c r="B40" s="18" t="n"/>
      <c r="C40" s="6" t="n"/>
      <c r="D40" s="6" t="n"/>
    </row>
    <row r="41">
      <c r="A41" s="14" t="inlineStr">
        <is>
          <t>Compensating Controls (summary):</t>
        </is>
      </c>
      <c r="B41" s="18" t="n"/>
      <c r="C41" s="6" t="n"/>
      <c r="D41" s="6" t="n"/>
    </row>
    <row r="42">
      <c r="A42" s="14" t="inlineStr">
        <is>
          <t>☐ Physical security controls (locked facility, restricted access)</t>
        </is>
      </c>
      <c r="B42" s="18" t="n"/>
      <c r="C42" s="6" t="n"/>
      <c r="D42" s="6" t="n"/>
    </row>
    <row r="43">
      <c r="A43" s="14" t="inlineStr">
        <is>
          <t>☐ Network segmentation / air-gapped systems</t>
        </is>
      </c>
      <c r="B43" s="18" t="n"/>
      <c r="C43" s="6" t="n"/>
      <c r="D43" s="6" t="n"/>
    </row>
    <row r="44">
      <c r="A44" s="14" t="inlineStr">
        <is>
          <t>☐ Enhanced monitoring / DLP controls</t>
        </is>
      </c>
      <c r="B44" s="18" t="n"/>
      <c r="C44" s="6" t="n"/>
      <c r="D44" s="6" t="n"/>
    </row>
    <row r="45">
      <c r="A45" s="14" t="inlineStr">
        <is>
          <t>☐ Restricted user access / privileged access management</t>
        </is>
      </c>
      <c r="B45" s="18" t="n"/>
      <c r="C45" s="6" t="n"/>
      <c r="D45" s="6" t="n"/>
    </row>
    <row r="46">
      <c r="A46" s="14" t="inlineStr">
        <is>
          <t>☐ Data minimisation / reduced storage scope</t>
        </is>
      </c>
      <c r="B46" s="18" t="n"/>
      <c r="C46" s="6" t="n"/>
      <c r="D46" s="6" t="n"/>
    </row>
    <row r="47">
      <c r="A47" s="14" t="inlineStr">
        <is>
          <t>☐ Other (describe):</t>
        </is>
      </c>
      <c r="B47" s="18" t="n"/>
      <c r="C47" s="6" t="n"/>
      <c r="D47" s="6" t="n"/>
    </row>
    <row r="49">
      <c r="A49" s="22" t="inlineStr">
        <is>
          <t>ADDITIONAL NOTES / COMMENTS</t>
        </is>
      </c>
      <c r="B49" s="6" t="n"/>
      <c r="C49" s="6" t="n"/>
      <c r="D49" s="6" t="n"/>
      <c r="E49" s="6" t="n"/>
      <c r="F49" s="6" t="n"/>
      <c r="G49" s="6" t="n"/>
      <c r="H49" s="6" t="n"/>
      <c r="I49" s="6" t="n"/>
      <c r="J49" s="6" t="n"/>
      <c r="K49" s="6" t="n"/>
      <c r="L49" s="6" t="n"/>
      <c r="M49" s="6" t="n"/>
      <c r="N49" s="6" t="n"/>
      <c r="O49" s="6" t="n"/>
      <c r="P49" s="6" t="n"/>
      <c r="Q49" s="6" t="n"/>
    </row>
    <row r="50">
      <c r="A50" s="23" t="n"/>
      <c r="B50" s="6" t="n"/>
      <c r="C50" s="6" t="n"/>
      <c r="D50" s="6" t="n"/>
      <c r="E50" s="6" t="n"/>
      <c r="F50" s="6" t="n"/>
      <c r="G50" s="6" t="n"/>
      <c r="H50" s="6" t="n"/>
      <c r="I50" s="6" t="n"/>
      <c r="J50" s="6" t="n"/>
      <c r="K50" s="6" t="n"/>
      <c r="L50" s="6" t="n"/>
      <c r="M50" s="6" t="n"/>
      <c r="N50" s="6" t="n"/>
      <c r="O50" s="6" t="n"/>
      <c r="P50" s="6" t="n"/>
      <c r="Q50" s="6" t="n"/>
    </row>
    <row r="51">
      <c r="A51" s="6" t="n"/>
      <c r="B51" s="6" t="n"/>
      <c r="C51" s="6" t="n"/>
      <c r="D51" s="6" t="n"/>
      <c r="E51" s="6" t="n"/>
      <c r="F51" s="6" t="n"/>
      <c r="G51" s="6" t="n"/>
      <c r="H51" s="6" t="n"/>
      <c r="I51" s="6" t="n"/>
      <c r="J51" s="6" t="n"/>
      <c r="K51" s="6" t="n"/>
      <c r="L51" s="6" t="n"/>
      <c r="M51" s="6" t="n"/>
      <c r="N51" s="6" t="n"/>
      <c r="O51" s="6" t="n"/>
      <c r="P51" s="6" t="n"/>
      <c r="Q51" s="6" t="n"/>
    </row>
    <row r="52">
      <c r="A52" s="6" t="n"/>
      <c r="B52" s="6" t="n"/>
      <c r="C52" s="6" t="n"/>
      <c r="D52" s="6" t="n"/>
      <c r="E52" s="6" t="n"/>
      <c r="F52" s="6" t="n"/>
      <c r="G52" s="6" t="n"/>
      <c r="H52" s="6" t="n"/>
      <c r="I52" s="6" t="n"/>
      <c r="J52" s="6" t="n"/>
      <c r="K52" s="6" t="n"/>
      <c r="L52" s="6" t="n"/>
      <c r="M52" s="6" t="n"/>
      <c r="N52" s="6" t="n"/>
      <c r="O52" s="6" t="n"/>
      <c r="P52" s="6" t="n"/>
      <c r="Q52" s="6" t="n"/>
    </row>
    <row r="53">
      <c r="A53" s="6" t="n"/>
      <c r="B53" s="6" t="n"/>
      <c r="C53" s="6" t="n"/>
      <c r="D53" s="6" t="n"/>
      <c r="E53" s="6" t="n"/>
      <c r="F53" s="6" t="n"/>
      <c r="G53" s="6" t="n"/>
      <c r="H53" s="6" t="n"/>
      <c r="I53" s="6" t="n"/>
      <c r="J53" s="6" t="n"/>
      <c r="K53" s="6" t="n"/>
      <c r="L53" s="6" t="n"/>
      <c r="M53" s="6" t="n"/>
      <c r="N53" s="6" t="n"/>
      <c r="O53" s="6" t="n"/>
      <c r="P53" s="6" t="n"/>
      <c r="Q53" s="6" t="n"/>
    </row>
    <row r="54">
      <c r="A54" s="6" t="n"/>
      <c r="B54" s="6" t="n"/>
      <c r="C54" s="6" t="n"/>
      <c r="D54" s="6" t="n"/>
      <c r="E54" s="6" t="n"/>
      <c r="F54" s="6" t="n"/>
      <c r="G54" s="6" t="n"/>
      <c r="H54" s="6" t="n"/>
      <c r="I54" s="6" t="n"/>
      <c r="J54" s="6" t="n"/>
      <c r="K54" s="6" t="n"/>
      <c r="L54" s="6" t="n"/>
      <c r="M54" s="6" t="n"/>
      <c r="N54" s="6" t="n"/>
      <c r="O54" s="6" t="n"/>
      <c r="P54" s="6" t="n"/>
      <c r="Q54" s="6" t="n"/>
    </row>
    <row r="55">
      <c r="A55" s="6" t="n"/>
      <c r="B55" s="6" t="n"/>
      <c r="C55" s="6" t="n"/>
      <c r="D55" s="6" t="n"/>
      <c r="E55" s="6" t="n"/>
      <c r="F55" s="6" t="n"/>
      <c r="G55" s="6" t="n"/>
      <c r="H55" s="6" t="n"/>
      <c r="I55" s="6" t="n"/>
      <c r="J55" s="6" t="n"/>
      <c r="K55" s="6" t="n"/>
      <c r="L55" s="6" t="n"/>
      <c r="M55" s="6" t="n"/>
      <c r="N55" s="6" t="n"/>
      <c r="O55" s="6" t="n"/>
      <c r="P55" s="6" t="n"/>
      <c r="Q55" s="6" t="n"/>
    </row>
    <row r="56">
      <c r="A56" s="6" t="n"/>
      <c r="B56" s="6" t="n"/>
      <c r="C56" s="6" t="n"/>
      <c r="D56" s="6" t="n"/>
      <c r="E56" s="6" t="n"/>
      <c r="F56" s="6" t="n"/>
      <c r="G56" s="6" t="n"/>
      <c r="H56" s="6" t="n"/>
      <c r="I56" s="6" t="n"/>
      <c r="J56" s="6" t="n"/>
      <c r="K56" s="6" t="n"/>
      <c r="L56" s="6" t="n"/>
      <c r="M56" s="6" t="n"/>
      <c r="N56" s="6" t="n"/>
      <c r="O56" s="6" t="n"/>
      <c r="P56" s="6" t="n"/>
      <c r="Q56" s="6" t="n"/>
    </row>
    <row r="57">
      <c r="A57" s="6" t="n"/>
      <c r="B57" s="6" t="n"/>
      <c r="C57" s="6" t="n"/>
      <c r="D57" s="6" t="n"/>
      <c r="E57" s="6" t="n"/>
      <c r="F57" s="6" t="n"/>
      <c r="G57" s="6" t="n"/>
      <c r="H57" s="6" t="n"/>
      <c r="I57" s="6" t="n"/>
      <c r="J57" s="6" t="n"/>
      <c r="K57" s="6" t="n"/>
      <c r="L57" s="6" t="n"/>
      <c r="M57" s="6" t="n"/>
      <c r="N57" s="6" t="n"/>
      <c r="O57" s="6" t="n"/>
      <c r="P57" s="6" t="n"/>
      <c r="Q57" s="6" t="n"/>
    </row>
    <row r="58">
      <c r="A58" s="6" t="n"/>
      <c r="B58" s="6" t="n"/>
      <c r="C58" s="6" t="n"/>
      <c r="D58" s="6" t="n"/>
      <c r="E58" s="6" t="n"/>
      <c r="F58" s="6" t="n"/>
      <c r="G58" s="6" t="n"/>
      <c r="H58" s="6" t="n"/>
      <c r="I58" s="6" t="n"/>
      <c r="J58" s="6" t="n"/>
      <c r="K58" s="6" t="n"/>
      <c r="L58" s="6" t="n"/>
      <c r="M58" s="6" t="n"/>
      <c r="N58" s="6" t="n"/>
      <c r="O58" s="6" t="n"/>
      <c r="P58" s="6" t="n"/>
      <c r="Q58" s="6" t="n"/>
    </row>
  </sheetData>
  <mergeCells count="16">
    <mergeCell ref="B42:D42"/>
    <mergeCell ref="B47:D47"/>
    <mergeCell ref="B37:D37"/>
    <mergeCell ref="A3:Q3"/>
    <mergeCell ref="B45:D45"/>
    <mergeCell ref="B41:D41"/>
    <mergeCell ref="B46:D46"/>
    <mergeCell ref="A50:Q58"/>
    <mergeCell ref="B40:D40"/>
    <mergeCell ref="B39:D39"/>
    <mergeCell ref="B44:D44"/>
    <mergeCell ref="B43:D43"/>
    <mergeCell ref="A1:Q1"/>
    <mergeCell ref="B38:D38"/>
    <mergeCell ref="A49:Q49"/>
    <mergeCell ref="A36:Q36"/>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 Yes,❌ 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showDropDown="0" showInputMessage="0" showErrorMessage="0" allowBlank="0" type="list">
      <formula1>"✅ Yes,❌ No,N/A"</formula1>
    </dataValidation>
    <dataValidation sqref="B37 B39" showDropDown="0" showInputMessage="0" showErrorMessage="0" allowBlank="0" type="list">
      <formula1>"✅ Yes,❌ 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9"/>
  <sheetViews>
    <sheetView showGridLines="0"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35" customHeight="1">
      <c r="A1" s="11" t="inlineStr">
        <is>
          <t>2. LAPTOPS &amp; WORKSTATIONS - DATA AT REST ENCRYPTION
Policy Requirement: Laptops and workstations storing sensitive data MUST use full disk encryption (Policy Section 2.3.2)</t>
        </is>
      </c>
      <c r="B1" s="6" t="n"/>
      <c r="C1" s="6" t="n"/>
      <c r="D1" s="6" t="n"/>
      <c r="E1" s="6" t="n"/>
      <c r="F1" s="6" t="n"/>
      <c r="G1" s="6" t="n"/>
      <c r="H1" s="6" t="n"/>
      <c r="I1" s="6" t="n"/>
      <c r="J1" s="6" t="n"/>
      <c r="K1" s="6" t="n"/>
      <c r="L1" s="6" t="n"/>
      <c r="M1" s="6" t="n"/>
      <c r="N1" s="6" t="n"/>
      <c r="O1" s="6" t="n"/>
      <c r="P1" s="6" t="n"/>
      <c r="Q1" s="6" t="n"/>
    </row>
    <row r="2">
      <c r="A2" s="12" t="inlineStr">
        <is>
          <t>ISO/IEC 27001:2022 | Control A.8.24: Use of Cryptography</t>
        </is>
      </c>
    </row>
    <row r="3" ht="30" customHeight="1">
      <c r="A3" s="13" t="inlineStr">
        <is>
          <t>Does your organisation have laptops or workstations that store organisational data locally?</t>
        </is>
      </c>
      <c r="B3" s="6" t="n"/>
      <c r="C3" s="6" t="n"/>
      <c r="D3" s="6" t="n"/>
      <c r="E3" s="6" t="n"/>
      <c r="F3" s="6" t="n"/>
      <c r="G3" s="6" t="n"/>
      <c r="H3" s="6" t="n"/>
      <c r="I3" s="6" t="n"/>
      <c r="J3" s="6" t="n"/>
      <c r="K3" s="6" t="n"/>
      <c r="L3" s="6" t="n"/>
      <c r="M3" s="6" t="n"/>
      <c r="N3" s="6" t="n"/>
      <c r="O3" s="6" t="n"/>
      <c r="P3" s="6" t="n"/>
      <c r="Q3" s="6" t="n"/>
    </row>
    <row r="4">
      <c r="A4" s="14" t="inlineStr">
        <is>
          <t>Response:</t>
        </is>
      </c>
      <c r="B4" s="15" t="n"/>
    </row>
    <row r="6">
      <c r="A6" s="16" t="inlineStr">
        <is>
          <t>Storage System/Device</t>
        </is>
      </c>
      <c r="B6" s="16" t="inlineStr">
        <is>
          <t>Data Classification</t>
        </is>
      </c>
      <c r="C6" s="16" t="inlineStr">
        <is>
          <t>Encryption Status</t>
        </is>
      </c>
      <c r="D6" s="16" t="inlineStr">
        <is>
          <t>Encryption Type</t>
        </is>
      </c>
      <c r="E6" s="16" t="inlineStr">
        <is>
          <t>Algorithm &amp; Key Size</t>
        </is>
      </c>
      <c r="F6" s="16" t="inlineStr">
        <is>
          <t>Key Management Method</t>
        </is>
      </c>
      <c r="G6" s="16" t="inlineStr">
        <is>
          <t>Key Rotation Enabled</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row>
    <row r="7">
      <c r="A7" s="17" t="inlineStr">
        <is>
          <t>Example: Production SQL Server 2019 - FINDB01</t>
        </is>
      </c>
      <c r="B7" s="17" t="inlineStr">
        <is>
          <t>Restricted</t>
        </is>
      </c>
      <c r="C7" s="17" t="inlineStr">
        <is>
          <t>Encrypted</t>
        </is>
      </c>
      <c r="D7" s="17" t="inlineStr">
        <is>
          <t>Database TDE</t>
        </is>
      </c>
      <c r="E7" s="17" t="inlineStr">
        <is>
          <t>AES-256</t>
        </is>
      </c>
      <c r="F7" s="17" t="inlineStr">
        <is>
          <t>HSM</t>
        </is>
      </c>
      <c r="G7" s="17" t="inlineStr">
        <is>
          <t>✅ Yes</t>
        </is>
      </c>
      <c r="H7" s="17" t="inlineStr">
        <is>
          <t>✅ Compliant</t>
        </is>
      </c>
      <c r="I7" s="17" t="inlineStr">
        <is>
          <t>/evidence/databases/FINDB01-TDE-config.pdf</t>
        </is>
      </c>
      <c r="J7" s="17" t="inlineStr">
        <is>
          <t>None</t>
        </is>
      </c>
      <c r="K7" s="17" t="inlineStr">
        <is>
          <t>❌ No</t>
        </is>
      </c>
      <c r="L7" s="17" t="inlineStr">
        <is>
          <t>N/A</t>
        </is>
      </c>
      <c r="M7" s="17" t="inlineStr">
        <is>
          <t>N/A</t>
        </is>
      </c>
      <c r="N7" s="17" t="inlineStr">
        <is>
          <t>N/A</t>
        </is>
      </c>
      <c r="O7" s="17" t="inlineStr">
        <is>
          <t>N/A</t>
        </is>
      </c>
      <c r="P7" s="17" t="inlineStr">
        <is>
          <t>N/A</t>
        </is>
      </c>
      <c r="Q7" s="17" t="inlineStr">
        <is>
          <t>❌ No</t>
        </is>
      </c>
    </row>
    <row r="8">
      <c r="A8" s="18" t="n"/>
      <c r="B8" s="18" t="n"/>
      <c r="C8" s="18" t="n"/>
      <c r="D8" s="18" t="n"/>
      <c r="E8" s="18" t="n"/>
      <c r="F8" s="18" t="n"/>
      <c r="G8" s="18" t="n"/>
      <c r="H8" s="18" t="n"/>
      <c r="I8" s="18" t="n"/>
      <c r="J8" s="18" t="n"/>
      <c r="K8" s="18" t="n"/>
      <c r="L8" s="18" t="n"/>
      <c r="M8" s="18" t="n"/>
      <c r="N8" s="18" t="n"/>
      <c r="O8" s="18" t="n"/>
      <c r="P8" s="18" t="n"/>
      <c r="Q8" s="18" t="n"/>
    </row>
    <row r="9">
      <c r="A9" s="18" t="n"/>
      <c r="B9" s="18" t="n"/>
      <c r="C9" s="18" t="n"/>
      <c r="D9" s="18" t="n"/>
      <c r="E9" s="18" t="n"/>
      <c r="F9" s="18" t="n"/>
      <c r="G9" s="18" t="n"/>
      <c r="H9" s="18" t="n"/>
      <c r="I9" s="18" t="n"/>
      <c r="J9" s="18" t="n"/>
      <c r="K9" s="18" t="n"/>
      <c r="L9" s="18" t="n"/>
      <c r="M9" s="18" t="n"/>
      <c r="N9" s="18" t="n"/>
      <c r="O9" s="18" t="n"/>
      <c r="P9" s="18" t="n"/>
      <c r="Q9" s="18" t="n"/>
    </row>
    <row r="10">
      <c r="A10" s="18" t="n"/>
      <c r="B10" s="18" t="n"/>
      <c r="C10" s="18" t="n"/>
      <c r="D10" s="18" t="n"/>
      <c r="E10" s="18" t="n"/>
      <c r="F10" s="18" t="n"/>
      <c r="G10" s="18" t="n"/>
      <c r="H10" s="18" t="n"/>
      <c r="I10" s="18" t="n"/>
      <c r="J10" s="18" t="n"/>
      <c r="K10" s="18" t="n"/>
      <c r="L10" s="18" t="n"/>
      <c r="M10" s="18" t="n"/>
      <c r="N10" s="18" t="n"/>
      <c r="O10" s="18" t="n"/>
      <c r="P10" s="18" t="n"/>
      <c r="Q10" s="18" t="n"/>
    </row>
    <row r="11">
      <c r="A11" s="18" t="n"/>
      <c r="B11" s="18" t="n"/>
      <c r="C11" s="18" t="n"/>
      <c r="D11" s="18" t="n"/>
      <c r="E11" s="18" t="n"/>
      <c r="F11" s="18" t="n"/>
      <c r="G11" s="18" t="n"/>
      <c r="H11" s="18" t="n"/>
      <c r="I11" s="18" t="n"/>
      <c r="J11" s="18" t="n"/>
      <c r="K11" s="18" t="n"/>
      <c r="L11" s="18" t="n"/>
      <c r="M11" s="18" t="n"/>
      <c r="N11" s="18" t="n"/>
      <c r="O11" s="18" t="n"/>
      <c r="P11" s="18" t="n"/>
      <c r="Q11" s="18" t="n"/>
    </row>
    <row r="12">
      <c r="A12" s="18" t="n"/>
      <c r="B12" s="18" t="n"/>
      <c r="C12" s="18" t="n"/>
      <c r="D12" s="18" t="n"/>
      <c r="E12" s="18" t="n"/>
      <c r="F12" s="18" t="n"/>
      <c r="G12" s="18" t="n"/>
      <c r="H12" s="18" t="n"/>
      <c r="I12" s="18" t="n"/>
      <c r="J12" s="18" t="n"/>
      <c r="K12" s="18" t="n"/>
      <c r="L12" s="18" t="n"/>
      <c r="M12" s="18" t="n"/>
      <c r="N12" s="18" t="n"/>
      <c r="O12" s="18" t="n"/>
      <c r="P12" s="18" t="n"/>
      <c r="Q12" s="18" t="n"/>
    </row>
    <row r="13">
      <c r="A13" s="18" t="n"/>
      <c r="B13" s="18" t="n"/>
      <c r="C13" s="18" t="n"/>
      <c r="D13" s="18" t="n"/>
      <c r="E13" s="18" t="n"/>
      <c r="F13" s="18" t="n"/>
      <c r="G13" s="18" t="n"/>
      <c r="H13" s="18" t="n"/>
      <c r="I13" s="18" t="n"/>
      <c r="J13" s="18" t="n"/>
      <c r="K13" s="18" t="n"/>
      <c r="L13" s="18" t="n"/>
      <c r="M13" s="18" t="n"/>
      <c r="N13" s="18" t="n"/>
      <c r="O13" s="18" t="n"/>
      <c r="P13" s="18" t="n"/>
      <c r="Q13" s="18" t="n"/>
    </row>
    <row r="14">
      <c r="A14" s="18" t="n"/>
      <c r="B14" s="18" t="n"/>
      <c r="C14" s="18" t="n"/>
      <c r="D14" s="18" t="n"/>
      <c r="E14" s="18" t="n"/>
      <c r="F14" s="18" t="n"/>
      <c r="G14" s="18" t="n"/>
      <c r="H14" s="18" t="n"/>
      <c r="I14" s="18" t="n"/>
      <c r="J14" s="18" t="n"/>
      <c r="K14" s="18" t="n"/>
      <c r="L14" s="18" t="n"/>
      <c r="M14" s="18" t="n"/>
      <c r="N14" s="18" t="n"/>
      <c r="O14" s="18" t="n"/>
      <c r="P14" s="18" t="n"/>
      <c r="Q14" s="18" t="n"/>
    </row>
    <row r="15">
      <c r="A15" s="18" t="n"/>
      <c r="B15" s="18" t="n"/>
      <c r="C15" s="18" t="n"/>
      <c r="D15" s="18" t="n"/>
      <c r="E15" s="18" t="n"/>
      <c r="F15" s="18" t="n"/>
      <c r="G15" s="18" t="n"/>
      <c r="H15" s="18" t="n"/>
      <c r="I15" s="18" t="n"/>
      <c r="J15" s="18" t="n"/>
      <c r="K15" s="18" t="n"/>
      <c r="L15" s="18" t="n"/>
      <c r="M15" s="18" t="n"/>
      <c r="N15" s="18" t="n"/>
      <c r="O15" s="18" t="n"/>
      <c r="P15" s="18" t="n"/>
      <c r="Q15" s="18" t="n"/>
    </row>
    <row r="16">
      <c r="A16" s="18" t="n"/>
      <c r="B16" s="18" t="n"/>
      <c r="C16" s="18" t="n"/>
      <c r="D16" s="18" t="n"/>
      <c r="E16" s="18" t="n"/>
      <c r="F16" s="18" t="n"/>
      <c r="G16" s="18" t="n"/>
      <c r="H16" s="18" t="n"/>
      <c r="I16" s="18" t="n"/>
      <c r="J16" s="18" t="n"/>
      <c r="K16" s="18" t="n"/>
      <c r="L16" s="18" t="n"/>
      <c r="M16" s="18" t="n"/>
      <c r="N16" s="18" t="n"/>
      <c r="O16" s="18" t="n"/>
      <c r="P16" s="18" t="n"/>
      <c r="Q16" s="18" t="n"/>
    </row>
    <row r="17">
      <c r="A17" s="18" t="n"/>
      <c r="B17" s="18" t="n"/>
      <c r="C17" s="18" t="n"/>
      <c r="D17" s="18" t="n"/>
      <c r="E17" s="18" t="n"/>
      <c r="F17" s="18" t="n"/>
      <c r="G17" s="18" t="n"/>
      <c r="H17" s="18" t="n"/>
      <c r="I17" s="18" t="n"/>
      <c r="J17" s="18" t="n"/>
      <c r="K17" s="18" t="n"/>
      <c r="L17" s="18" t="n"/>
      <c r="M17" s="18" t="n"/>
      <c r="N17" s="18" t="n"/>
      <c r="O17" s="18" t="n"/>
      <c r="P17" s="18" t="n"/>
      <c r="Q17" s="18" t="n"/>
    </row>
    <row r="18">
      <c r="A18" s="18" t="n"/>
      <c r="B18" s="18" t="n"/>
      <c r="C18" s="18" t="n"/>
      <c r="D18" s="18" t="n"/>
      <c r="E18" s="18" t="n"/>
      <c r="F18" s="18" t="n"/>
      <c r="G18" s="18" t="n"/>
      <c r="H18" s="18" t="n"/>
      <c r="I18" s="18" t="n"/>
      <c r="J18" s="18" t="n"/>
      <c r="K18" s="18" t="n"/>
      <c r="L18" s="18" t="n"/>
      <c r="M18" s="18" t="n"/>
      <c r="N18" s="18" t="n"/>
      <c r="O18" s="18" t="n"/>
      <c r="P18" s="18" t="n"/>
      <c r="Q18" s="18" t="n"/>
    </row>
    <row r="19">
      <c r="A19" s="18" t="n"/>
      <c r="B19" s="18" t="n"/>
      <c r="C19" s="18" t="n"/>
      <c r="D19" s="18" t="n"/>
      <c r="E19" s="18" t="n"/>
      <c r="F19" s="18" t="n"/>
      <c r="G19" s="18" t="n"/>
      <c r="H19" s="18" t="n"/>
      <c r="I19" s="18" t="n"/>
      <c r="J19" s="18" t="n"/>
      <c r="K19" s="18" t="n"/>
      <c r="L19" s="18" t="n"/>
      <c r="M19" s="18" t="n"/>
      <c r="N19" s="18" t="n"/>
      <c r="O19" s="18" t="n"/>
      <c r="P19" s="18" t="n"/>
      <c r="Q19" s="18" t="n"/>
    </row>
    <row r="20">
      <c r="A20" s="18" t="n"/>
      <c r="B20" s="18" t="n"/>
      <c r="C20" s="18" t="n"/>
      <c r="D20" s="18" t="n"/>
      <c r="E20" s="18" t="n"/>
      <c r="F20" s="18" t="n"/>
      <c r="G20" s="18" t="n"/>
      <c r="H20" s="18" t="n"/>
      <c r="I20" s="18" t="n"/>
      <c r="J20" s="18" t="n"/>
      <c r="K20" s="18" t="n"/>
      <c r="L20" s="18" t="n"/>
      <c r="M20" s="18" t="n"/>
      <c r="N20" s="18" t="n"/>
      <c r="O20" s="18" t="n"/>
      <c r="P20" s="18" t="n"/>
      <c r="Q20" s="18" t="n"/>
    </row>
    <row r="22">
      <c r="A22" s="19" t="inlineStr">
        <is>
          <t>2. LAPTOPS &amp; WORKSTATIONS ENCRYPTION CHECKLIST</t>
        </is>
      </c>
    </row>
    <row r="23">
      <c r="A23" s="14" t="inlineStr">
        <is>
          <t>☐</t>
        </is>
      </c>
      <c r="B23" s="14" t="inlineStr">
        <is>
          <t>Requirement</t>
        </is>
      </c>
      <c r="C23" s="14" t="inlineStr">
        <is>
          <t>Status</t>
        </is>
      </c>
    </row>
    <row r="24">
      <c r="A24" t="inlineStr">
        <is>
          <t>☐</t>
        </is>
      </c>
      <c r="B24" t="inlineStr">
        <is>
          <t>Windows: BitLocker enabled and configured</t>
        </is>
      </c>
      <c r="C24" s="15" t="n"/>
    </row>
    <row r="25">
      <c r="A25" t="inlineStr">
        <is>
          <t>☐</t>
        </is>
      </c>
      <c r="B25" t="inlineStr">
        <is>
          <t>macOS: FileVault 2 enabled</t>
        </is>
      </c>
      <c r="C25" s="15" t="n"/>
    </row>
    <row r="26">
      <c r="A26" t="inlineStr">
        <is>
          <t>☐</t>
        </is>
      </c>
      <c r="B26" t="inlineStr">
        <is>
          <t>Linux: LUKS/dm-crypt configured</t>
        </is>
      </c>
      <c r="C26" s="15" t="n"/>
    </row>
    <row r="27">
      <c r="A27" t="inlineStr">
        <is>
          <t>☐</t>
        </is>
      </c>
      <c r="B27" t="inlineStr">
        <is>
          <t>TPM 2.0 utilised for key storage (where available)</t>
        </is>
      </c>
      <c r="C27" s="15" t="n"/>
    </row>
    <row r="28">
      <c r="A28" t="inlineStr">
        <is>
          <t>☐</t>
        </is>
      </c>
      <c r="B28" t="inlineStr">
        <is>
          <t>Pre-boot authentication required</t>
        </is>
      </c>
      <c r="C28" s="15" t="n"/>
    </row>
    <row r="29">
      <c r="A29" t="inlineStr">
        <is>
          <t>☐</t>
        </is>
      </c>
      <c r="B29" t="inlineStr">
        <is>
          <t>Recovery keys securely escrowed</t>
        </is>
      </c>
      <c r="C29" s="15" t="n"/>
    </row>
    <row r="30">
      <c r="A30" t="inlineStr">
        <is>
          <t>☐</t>
        </is>
      </c>
      <c r="B30" t="inlineStr">
        <is>
          <t>Encryption status monitored centrally</t>
        </is>
      </c>
      <c r="C30" s="15" t="n"/>
    </row>
    <row r="31">
      <c r="A31" t="inlineStr">
        <is>
          <t>☐</t>
        </is>
      </c>
      <c r="B31" t="inlineStr">
        <is>
          <t>Users cannot disable encryption</t>
        </is>
      </c>
      <c r="C31" s="15" t="n"/>
    </row>
    <row r="32">
      <c r="A32" t="inlineStr">
        <is>
          <t>☐</t>
        </is>
      </c>
      <c r="B32" t="inlineStr">
        <is>
          <t>Encryption applied before device deployment</t>
        </is>
      </c>
      <c r="C32" s="15" t="n"/>
    </row>
    <row r="33">
      <c r="A33" t="inlineStr">
        <is>
          <t>☐</t>
        </is>
      </c>
      <c r="B33" t="inlineStr">
        <is>
          <t>Hibernate/sleep mode protected</t>
        </is>
      </c>
      <c r="C33" s="15" t="n"/>
    </row>
    <row r="34">
      <c r="A34" t="inlineStr">
        <is>
          <t>☐</t>
        </is>
      </c>
      <c r="B34" t="inlineStr">
        <is>
          <t>External storage auto-encryption policy enforced</t>
        </is>
      </c>
      <c r="C34" s="15" t="n"/>
    </row>
    <row r="35">
      <c r="A35" s="14" t="inlineStr">
        <is>
          <t>Checklist Score:</t>
        </is>
      </c>
      <c r="B35" s="20">
        <f>IFERROR(ROUND(COUNTIF(C24:C34,"✅ Yes")/COUNTA(C24:C34)*100,0)&amp;"%","0%")</f>
        <v/>
      </c>
    </row>
    <row r="37">
      <c r="A37" s="21" t="inlineStr">
        <is>
          <t>EXCEPTION / DEVIATION DOCUMENTATION (Complete if Status = Partial or Non-Compliant)</t>
        </is>
      </c>
      <c r="B37" s="6" t="n"/>
      <c r="C37" s="6" t="n"/>
      <c r="D37" s="6" t="n"/>
      <c r="E37" s="6" t="n"/>
      <c r="F37" s="6" t="n"/>
      <c r="G37" s="6" t="n"/>
      <c r="H37" s="6" t="n"/>
      <c r="I37" s="6" t="n"/>
      <c r="J37" s="6" t="n"/>
      <c r="K37" s="6" t="n"/>
      <c r="L37" s="6" t="n"/>
      <c r="M37" s="6" t="n"/>
      <c r="N37" s="6" t="n"/>
      <c r="O37" s="6" t="n"/>
      <c r="P37" s="6" t="n"/>
      <c r="Q37" s="6" t="n"/>
    </row>
    <row r="38">
      <c r="A38" s="14" t="inlineStr">
        <is>
          <t>Formal exception request submitted:</t>
        </is>
      </c>
      <c r="B38" s="18" t="n"/>
      <c r="C38" s="6" t="n"/>
      <c r="D38" s="6" t="n"/>
    </row>
    <row r="39">
      <c r="A39" s="14" t="inlineStr">
        <is>
          <t>Exception ID:</t>
        </is>
      </c>
      <c r="B39" s="18" t="n"/>
      <c r="C39" s="6" t="n"/>
      <c r="D39" s="6" t="n"/>
    </row>
    <row r="40">
      <c r="A40" s="14" t="inlineStr">
        <is>
          <t>Risk acceptance documented:</t>
        </is>
      </c>
      <c r="B40" s="18" t="n"/>
      <c r="C40" s="6" t="n"/>
      <c r="D40" s="6" t="n"/>
    </row>
    <row r="41">
      <c r="A41" s="14" t="inlineStr">
        <is>
          <t>Risk ID:</t>
        </is>
      </c>
      <c r="B41" s="18" t="n"/>
      <c r="C41" s="6" t="n"/>
      <c r="D41" s="6" t="n"/>
    </row>
    <row r="42">
      <c r="A42" s="14" t="inlineStr">
        <is>
          <t>Compensating Controls (summary):</t>
        </is>
      </c>
      <c r="B42" s="18" t="n"/>
      <c r="C42" s="6" t="n"/>
      <c r="D42" s="6" t="n"/>
    </row>
    <row r="43">
      <c r="A43" s="14" t="inlineStr">
        <is>
          <t>☐ Physical security controls (locked facility, restricted access)</t>
        </is>
      </c>
      <c r="B43" s="18" t="n"/>
      <c r="C43" s="6" t="n"/>
      <c r="D43" s="6" t="n"/>
    </row>
    <row r="44">
      <c r="A44" s="14" t="inlineStr">
        <is>
          <t>☐ Network segmentation / air-gapped systems</t>
        </is>
      </c>
      <c r="B44" s="18" t="n"/>
      <c r="C44" s="6" t="n"/>
      <c r="D44" s="6" t="n"/>
    </row>
    <row r="45">
      <c r="A45" s="14" t="inlineStr">
        <is>
          <t>☐ Enhanced monitoring / DLP controls</t>
        </is>
      </c>
      <c r="B45" s="18" t="n"/>
      <c r="C45" s="6" t="n"/>
      <c r="D45" s="6" t="n"/>
    </row>
    <row r="46">
      <c r="A46" s="14" t="inlineStr">
        <is>
          <t>☐ Restricted user access / privileged access management</t>
        </is>
      </c>
      <c r="B46" s="18" t="n"/>
      <c r="C46" s="6" t="n"/>
      <c r="D46" s="6" t="n"/>
    </row>
    <row r="47">
      <c r="A47" s="14" t="inlineStr">
        <is>
          <t>☐ Data minimisation / reduced storage scope</t>
        </is>
      </c>
      <c r="B47" s="18" t="n"/>
      <c r="C47" s="6" t="n"/>
      <c r="D47" s="6" t="n"/>
    </row>
    <row r="48">
      <c r="A48" s="14" t="inlineStr">
        <is>
          <t>☐ Other (describe):</t>
        </is>
      </c>
      <c r="B48" s="18" t="n"/>
      <c r="C48" s="6" t="n"/>
      <c r="D48" s="6" t="n"/>
    </row>
    <row r="50">
      <c r="A50" s="22" t="inlineStr">
        <is>
          <t>ADDITIONAL NOTES / COMMENTS</t>
        </is>
      </c>
      <c r="B50" s="6" t="n"/>
      <c r="C50" s="6" t="n"/>
      <c r="D50" s="6" t="n"/>
      <c r="E50" s="6" t="n"/>
      <c r="F50" s="6" t="n"/>
      <c r="G50" s="6" t="n"/>
      <c r="H50" s="6" t="n"/>
      <c r="I50" s="6" t="n"/>
      <c r="J50" s="6" t="n"/>
      <c r="K50" s="6" t="n"/>
      <c r="L50" s="6" t="n"/>
      <c r="M50" s="6" t="n"/>
      <c r="N50" s="6" t="n"/>
      <c r="O50" s="6" t="n"/>
      <c r="P50" s="6" t="n"/>
      <c r="Q50" s="6" t="n"/>
    </row>
    <row r="51">
      <c r="A51" s="23" t="n"/>
      <c r="B51" s="6" t="n"/>
      <c r="C51" s="6" t="n"/>
      <c r="D51" s="6" t="n"/>
      <c r="E51" s="6" t="n"/>
      <c r="F51" s="6" t="n"/>
      <c r="G51" s="6" t="n"/>
      <c r="H51" s="6" t="n"/>
      <c r="I51" s="6" t="n"/>
      <c r="J51" s="6" t="n"/>
      <c r="K51" s="6" t="n"/>
      <c r="L51" s="6" t="n"/>
      <c r="M51" s="6" t="n"/>
      <c r="N51" s="6" t="n"/>
      <c r="O51" s="6" t="n"/>
      <c r="P51" s="6" t="n"/>
      <c r="Q51" s="6" t="n"/>
    </row>
    <row r="52">
      <c r="A52" s="6" t="n"/>
      <c r="B52" s="6" t="n"/>
      <c r="C52" s="6" t="n"/>
      <c r="D52" s="6" t="n"/>
      <c r="E52" s="6" t="n"/>
      <c r="F52" s="6" t="n"/>
      <c r="G52" s="6" t="n"/>
      <c r="H52" s="6" t="n"/>
      <c r="I52" s="6" t="n"/>
      <c r="J52" s="6" t="n"/>
      <c r="K52" s="6" t="n"/>
      <c r="L52" s="6" t="n"/>
      <c r="M52" s="6" t="n"/>
      <c r="N52" s="6" t="n"/>
      <c r="O52" s="6" t="n"/>
      <c r="P52" s="6" t="n"/>
      <c r="Q52" s="6" t="n"/>
    </row>
    <row r="53">
      <c r="A53" s="6" t="n"/>
      <c r="B53" s="6" t="n"/>
      <c r="C53" s="6" t="n"/>
      <c r="D53" s="6" t="n"/>
      <c r="E53" s="6" t="n"/>
      <c r="F53" s="6" t="n"/>
      <c r="G53" s="6" t="n"/>
      <c r="H53" s="6" t="n"/>
      <c r="I53" s="6" t="n"/>
      <c r="J53" s="6" t="n"/>
      <c r="K53" s="6" t="n"/>
      <c r="L53" s="6" t="n"/>
      <c r="M53" s="6" t="n"/>
      <c r="N53" s="6" t="n"/>
      <c r="O53" s="6" t="n"/>
      <c r="P53" s="6" t="n"/>
      <c r="Q53" s="6" t="n"/>
    </row>
    <row r="54">
      <c r="A54" s="6" t="n"/>
      <c r="B54" s="6" t="n"/>
      <c r="C54" s="6" t="n"/>
      <c r="D54" s="6" t="n"/>
      <c r="E54" s="6" t="n"/>
      <c r="F54" s="6" t="n"/>
      <c r="G54" s="6" t="n"/>
      <c r="H54" s="6" t="n"/>
      <c r="I54" s="6" t="n"/>
      <c r="J54" s="6" t="n"/>
      <c r="K54" s="6" t="n"/>
      <c r="L54" s="6" t="n"/>
      <c r="M54" s="6" t="n"/>
      <c r="N54" s="6" t="n"/>
      <c r="O54" s="6" t="n"/>
      <c r="P54" s="6" t="n"/>
      <c r="Q54" s="6" t="n"/>
    </row>
    <row r="55">
      <c r="A55" s="6" t="n"/>
      <c r="B55" s="6" t="n"/>
      <c r="C55" s="6" t="n"/>
      <c r="D55" s="6" t="n"/>
      <c r="E55" s="6" t="n"/>
      <c r="F55" s="6" t="n"/>
      <c r="G55" s="6" t="n"/>
      <c r="H55" s="6" t="n"/>
      <c r="I55" s="6" t="n"/>
      <c r="J55" s="6" t="n"/>
      <c r="K55" s="6" t="n"/>
      <c r="L55" s="6" t="n"/>
      <c r="M55" s="6" t="n"/>
      <c r="N55" s="6" t="n"/>
      <c r="O55" s="6" t="n"/>
      <c r="P55" s="6" t="n"/>
      <c r="Q55" s="6" t="n"/>
    </row>
    <row r="56">
      <c r="A56" s="6" t="n"/>
      <c r="B56" s="6" t="n"/>
      <c r="C56" s="6" t="n"/>
      <c r="D56" s="6" t="n"/>
      <c r="E56" s="6" t="n"/>
      <c r="F56" s="6" t="n"/>
      <c r="G56" s="6" t="n"/>
      <c r="H56" s="6" t="n"/>
      <c r="I56" s="6" t="n"/>
      <c r="J56" s="6" t="n"/>
      <c r="K56" s="6" t="n"/>
      <c r="L56" s="6" t="n"/>
      <c r="M56" s="6" t="n"/>
      <c r="N56" s="6" t="n"/>
      <c r="O56" s="6" t="n"/>
      <c r="P56" s="6" t="n"/>
      <c r="Q56" s="6" t="n"/>
    </row>
    <row r="57">
      <c r="A57" s="6" t="n"/>
      <c r="B57" s="6" t="n"/>
      <c r="C57" s="6" t="n"/>
      <c r="D57" s="6" t="n"/>
      <c r="E57" s="6" t="n"/>
      <c r="F57" s="6" t="n"/>
      <c r="G57" s="6" t="n"/>
      <c r="H57" s="6" t="n"/>
      <c r="I57" s="6" t="n"/>
      <c r="J57" s="6" t="n"/>
      <c r="K57" s="6" t="n"/>
      <c r="L57" s="6" t="n"/>
      <c r="M57" s="6" t="n"/>
      <c r="N57" s="6" t="n"/>
      <c r="O57" s="6" t="n"/>
      <c r="P57" s="6" t="n"/>
      <c r="Q57" s="6" t="n"/>
    </row>
    <row r="58">
      <c r="A58" s="6" t="n"/>
      <c r="B58" s="6" t="n"/>
      <c r="C58" s="6" t="n"/>
      <c r="D58" s="6" t="n"/>
      <c r="E58" s="6" t="n"/>
      <c r="F58" s="6" t="n"/>
      <c r="G58" s="6" t="n"/>
      <c r="H58" s="6" t="n"/>
      <c r="I58" s="6" t="n"/>
      <c r="J58" s="6" t="n"/>
      <c r="K58" s="6" t="n"/>
      <c r="L58" s="6" t="n"/>
      <c r="M58" s="6" t="n"/>
      <c r="N58" s="6" t="n"/>
      <c r="O58" s="6" t="n"/>
      <c r="P58" s="6" t="n"/>
      <c r="Q58" s="6" t="n"/>
    </row>
    <row r="59">
      <c r="A59" s="6" t="n"/>
      <c r="B59" s="6" t="n"/>
      <c r="C59" s="6" t="n"/>
      <c r="D59" s="6" t="n"/>
      <c r="E59" s="6" t="n"/>
      <c r="F59" s="6" t="n"/>
      <c r="G59" s="6" t="n"/>
      <c r="H59" s="6" t="n"/>
      <c r="I59" s="6" t="n"/>
      <c r="J59" s="6" t="n"/>
      <c r="K59" s="6" t="n"/>
      <c r="L59" s="6" t="n"/>
      <c r="M59" s="6" t="n"/>
      <c r="N59" s="6" t="n"/>
      <c r="O59" s="6" t="n"/>
      <c r="P59" s="6" t="n"/>
      <c r="Q59" s="6" t="n"/>
    </row>
  </sheetData>
  <mergeCells count="16">
    <mergeCell ref="B42:D42"/>
    <mergeCell ref="B47:D47"/>
    <mergeCell ref="A3:Q3"/>
    <mergeCell ref="B45:D45"/>
    <mergeCell ref="B41:D41"/>
    <mergeCell ref="B46:D46"/>
    <mergeCell ref="B48:D48"/>
    <mergeCell ref="A50:Q50"/>
    <mergeCell ref="B40:D40"/>
    <mergeCell ref="A51:Q59"/>
    <mergeCell ref="B39:D39"/>
    <mergeCell ref="B44:D44"/>
    <mergeCell ref="B43:D43"/>
    <mergeCell ref="A1:Q1"/>
    <mergeCell ref="B38:D38"/>
    <mergeCell ref="A37:Q37"/>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 Yes,❌ 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showDropDown="0" showInputMessage="0" showErrorMessage="0" allowBlank="0" type="list">
      <formula1>"✅ Yes,❌ No,N/A"</formula1>
    </dataValidation>
    <dataValidation sqref="B38 B40" showDropDown="0" showInputMessage="0" showErrorMessage="0" allowBlank="0" type="list">
      <formula1>"✅ Yes,❌ 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0"/>
  <sheetViews>
    <sheetView showGridLines="0"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35" customHeight="1">
      <c r="A1" s="11" t="inlineStr">
        <is>
          <t>3. SERVERS - DATA AT REST ENCRYPTION
Policy Requirement: Servers storing sensitive data MUST implement appropriate encryption at rest (Policy Section 2.3.3)</t>
        </is>
      </c>
      <c r="B1" s="6" t="n"/>
      <c r="C1" s="6" t="n"/>
      <c r="D1" s="6" t="n"/>
      <c r="E1" s="6" t="n"/>
      <c r="F1" s="6" t="n"/>
      <c r="G1" s="6" t="n"/>
      <c r="H1" s="6" t="n"/>
      <c r="I1" s="6" t="n"/>
      <c r="J1" s="6" t="n"/>
      <c r="K1" s="6" t="n"/>
      <c r="L1" s="6" t="n"/>
      <c r="M1" s="6" t="n"/>
      <c r="N1" s="6" t="n"/>
      <c r="O1" s="6" t="n"/>
      <c r="P1" s="6" t="n"/>
      <c r="Q1" s="6" t="n"/>
    </row>
    <row r="2">
      <c r="A2" s="12" t="inlineStr">
        <is>
          <t>ISO/IEC 27001:2022 | Control A.8.24: Use of Cryptography</t>
        </is>
      </c>
    </row>
    <row r="3" ht="30" customHeight="1">
      <c r="A3" s="13" t="inlineStr">
        <is>
          <t>Does your organisation operate servers (physical or virtual) that store sensitive organisational data?</t>
        </is>
      </c>
      <c r="B3" s="6" t="n"/>
      <c r="C3" s="6" t="n"/>
      <c r="D3" s="6" t="n"/>
      <c r="E3" s="6" t="n"/>
      <c r="F3" s="6" t="n"/>
      <c r="G3" s="6" t="n"/>
      <c r="H3" s="6" t="n"/>
      <c r="I3" s="6" t="n"/>
      <c r="J3" s="6" t="n"/>
      <c r="K3" s="6" t="n"/>
      <c r="L3" s="6" t="n"/>
      <c r="M3" s="6" t="n"/>
      <c r="N3" s="6" t="n"/>
      <c r="O3" s="6" t="n"/>
      <c r="P3" s="6" t="n"/>
      <c r="Q3" s="6" t="n"/>
    </row>
    <row r="4">
      <c r="A4" s="14" t="inlineStr">
        <is>
          <t>Response:</t>
        </is>
      </c>
      <c r="B4" s="15" t="n"/>
    </row>
    <row r="6">
      <c r="A6" s="16" t="inlineStr">
        <is>
          <t>Storage System/Device</t>
        </is>
      </c>
      <c r="B6" s="16" t="inlineStr">
        <is>
          <t>Data Classification</t>
        </is>
      </c>
      <c r="C6" s="16" t="inlineStr">
        <is>
          <t>Encryption Status</t>
        </is>
      </c>
      <c r="D6" s="16" t="inlineStr">
        <is>
          <t>Encryption Type</t>
        </is>
      </c>
      <c r="E6" s="16" t="inlineStr">
        <is>
          <t>Algorithm &amp; Key Size</t>
        </is>
      </c>
      <c r="F6" s="16" t="inlineStr">
        <is>
          <t>Key Management Method</t>
        </is>
      </c>
      <c r="G6" s="16" t="inlineStr">
        <is>
          <t>Key Rotation Enabled</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row>
    <row r="7">
      <c r="A7" s="17" t="inlineStr">
        <is>
          <t>Example: Production SQL Server 2019 - FINDB01</t>
        </is>
      </c>
      <c r="B7" s="17" t="inlineStr">
        <is>
          <t>Restricted</t>
        </is>
      </c>
      <c r="C7" s="17" t="inlineStr">
        <is>
          <t>Encrypted</t>
        </is>
      </c>
      <c r="D7" s="17" t="inlineStr">
        <is>
          <t>Database TDE</t>
        </is>
      </c>
      <c r="E7" s="17" t="inlineStr">
        <is>
          <t>AES-256</t>
        </is>
      </c>
      <c r="F7" s="17" t="inlineStr">
        <is>
          <t>HSM</t>
        </is>
      </c>
      <c r="G7" s="17" t="inlineStr">
        <is>
          <t>✅ Yes</t>
        </is>
      </c>
      <c r="H7" s="17" t="inlineStr">
        <is>
          <t>✅ Compliant</t>
        </is>
      </c>
      <c r="I7" s="17" t="inlineStr">
        <is>
          <t>/evidence/databases/FINDB01-TDE-config.pdf</t>
        </is>
      </c>
      <c r="J7" s="17" t="inlineStr">
        <is>
          <t>None</t>
        </is>
      </c>
      <c r="K7" s="17" t="inlineStr">
        <is>
          <t>❌ No</t>
        </is>
      </c>
      <c r="L7" s="17" t="inlineStr">
        <is>
          <t>N/A</t>
        </is>
      </c>
      <c r="M7" s="17" t="inlineStr">
        <is>
          <t>N/A</t>
        </is>
      </c>
      <c r="N7" s="17" t="inlineStr">
        <is>
          <t>N/A</t>
        </is>
      </c>
      <c r="O7" s="17" t="inlineStr">
        <is>
          <t>N/A</t>
        </is>
      </c>
      <c r="P7" s="17" t="inlineStr">
        <is>
          <t>N/A</t>
        </is>
      </c>
      <c r="Q7" s="17" t="inlineStr">
        <is>
          <t>❌ No</t>
        </is>
      </c>
    </row>
    <row r="8">
      <c r="A8" s="18" t="n"/>
      <c r="B8" s="18" t="n"/>
      <c r="C8" s="18" t="n"/>
      <c r="D8" s="18" t="n"/>
      <c r="E8" s="18" t="n"/>
      <c r="F8" s="18" t="n"/>
      <c r="G8" s="18" t="n"/>
      <c r="H8" s="18" t="n"/>
      <c r="I8" s="18" t="n"/>
      <c r="J8" s="18" t="n"/>
      <c r="K8" s="18" t="n"/>
      <c r="L8" s="18" t="n"/>
      <c r="M8" s="18" t="n"/>
      <c r="N8" s="18" t="n"/>
      <c r="O8" s="18" t="n"/>
      <c r="P8" s="18" t="n"/>
      <c r="Q8" s="18" t="n"/>
    </row>
    <row r="9">
      <c r="A9" s="18" t="n"/>
      <c r="B9" s="18" t="n"/>
      <c r="C9" s="18" t="n"/>
      <c r="D9" s="18" t="n"/>
      <c r="E9" s="18" t="n"/>
      <c r="F9" s="18" t="n"/>
      <c r="G9" s="18" t="n"/>
      <c r="H9" s="18" t="n"/>
      <c r="I9" s="18" t="n"/>
      <c r="J9" s="18" t="n"/>
      <c r="K9" s="18" t="n"/>
      <c r="L9" s="18" t="n"/>
      <c r="M9" s="18" t="n"/>
      <c r="N9" s="18" t="n"/>
      <c r="O9" s="18" t="n"/>
      <c r="P9" s="18" t="n"/>
      <c r="Q9" s="18" t="n"/>
    </row>
    <row r="10">
      <c r="A10" s="18" t="n"/>
      <c r="B10" s="18" t="n"/>
      <c r="C10" s="18" t="n"/>
      <c r="D10" s="18" t="n"/>
      <c r="E10" s="18" t="n"/>
      <c r="F10" s="18" t="n"/>
      <c r="G10" s="18" t="n"/>
      <c r="H10" s="18" t="n"/>
      <c r="I10" s="18" t="n"/>
      <c r="J10" s="18" t="n"/>
      <c r="K10" s="18" t="n"/>
      <c r="L10" s="18" t="n"/>
      <c r="M10" s="18" t="n"/>
      <c r="N10" s="18" t="n"/>
      <c r="O10" s="18" t="n"/>
      <c r="P10" s="18" t="n"/>
      <c r="Q10" s="18" t="n"/>
    </row>
    <row r="11">
      <c r="A11" s="18" t="n"/>
      <c r="B11" s="18" t="n"/>
      <c r="C11" s="18" t="n"/>
      <c r="D11" s="18" t="n"/>
      <c r="E11" s="18" t="n"/>
      <c r="F11" s="18" t="n"/>
      <c r="G11" s="18" t="n"/>
      <c r="H11" s="18" t="n"/>
      <c r="I11" s="18" t="n"/>
      <c r="J11" s="18" t="n"/>
      <c r="K11" s="18" t="n"/>
      <c r="L11" s="18" t="n"/>
      <c r="M11" s="18" t="n"/>
      <c r="N11" s="18" t="n"/>
      <c r="O11" s="18" t="n"/>
      <c r="P11" s="18" t="n"/>
      <c r="Q11" s="18" t="n"/>
    </row>
    <row r="12">
      <c r="A12" s="18" t="n"/>
      <c r="B12" s="18" t="n"/>
      <c r="C12" s="18" t="n"/>
      <c r="D12" s="18" t="n"/>
      <c r="E12" s="18" t="n"/>
      <c r="F12" s="18" t="n"/>
      <c r="G12" s="18" t="n"/>
      <c r="H12" s="18" t="n"/>
      <c r="I12" s="18" t="n"/>
      <c r="J12" s="18" t="n"/>
      <c r="K12" s="18" t="n"/>
      <c r="L12" s="18" t="n"/>
      <c r="M12" s="18" t="n"/>
      <c r="N12" s="18" t="n"/>
      <c r="O12" s="18" t="n"/>
      <c r="P12" s="18" t="n"/>
      <c r="Q12" s="18" t="n"/>
    </row>
    <row r="13">
      <c r="A13" s="18" t="n"/>
      <c r="B13" s="18" t="n"/>
      <c r="C13" s="18" t="n"/>
      <c r="D13" s="18" t="n"/>
      <c r="E13" s="18" t="n"/>
      <c r="F13" s="18" t="n"/>
      <c r="G13" s="18" t="n"/>
      <c r="H13" s="18" t="n"/>
      <c r="I13" s="18" t="n"/>
      <c r="J13" s="18" t="n"/>
      <c r="K13" s="18" t="n"/>
      <c r="L13" s="18" t="n"/>
      <c r="M13" s="18" t="n"/>
      <c r="N13" s="18" t="n"/>
      <c r="O13" s="18" t="n"/>
      <c r="P13" s="18" t="n"/>
      <c r="Q13" s="18" t="n"/>
    </row>
    <row r="14">
      <c r="A14" s="18" t="n"/>
      <c r="B14" s="18" t="n"/>
      <c r="C14" s="18" t="n"/>
      <c r="D14" s="18" t="n"/>
      <c r="E14" s="18" t="n"/>
      <c r="F14" s="18" t="n"/>
      <c r="G14" s="18" t="n"/>
      <c r="H14" s="18" t="n"/>
      <c r="I14" s="18" t="n"/>
      <c r="J14" s="18" t="n"/>
      <c r="K14" s="18" t="n"/>
      <c r="L14" s="18" t="n"/>
      <c r="M14" s="18" t="n"/>
      <c r="N14" s="18" t="n"/>
      <c r="O14" s="18" t="n"/>
      <c r="P14" s="18" t="n"/>
      <c r="Q14" s="18" t="n"/>
    </row>
    <row r="15">
      <c r="A15" s="18" t="n"/>
      <c r="B15" s="18" t="n"/>
      <c r="C15" s="18" t="n"/>
      <c r="D15" s="18" t="n"/>
      <c r="E15" s="18" t="n"/>
      <c r="F15" s="18" t="n"/>
      <c r="G15" s="18" t="n"/>
      <c r="H15" s="18" t="n"/>
      <c r="I15" s="18" t="n"/>
      <c r="J15" s="18" t="n"/>
      <c r="K15" s="18" t="n"/>
      <c r="L15" s="18" t="n"/>
      <c r="M15" s="18" t="n"/>
      <c r="N15" s="18" t="n"/>
      <c r="O15" s="18" t="n"/>
      <c r="P15" s="18" t="n"/>
      <c r="Q15" s="18" t="n"/>
    </row>
    <row r="16">
      <c r="A16" s="18" t="n"/>
      <c r="B16" s="18" t="n"/>
      <c r="C16" s="18" t="n"/>
      <c r="D16" s="18" t="n"/>
      <c r="E16" s="18" t="n"/>
      <c r="F16" s="18" t="n"/>
      <c r="G16" s="18" t="n"/>
      <c r="H16" s="18" t="n"/>
      <c r="I16" s="18" t="n"/>
      <c r="J16" s="18" t="n"/>
      <c r="K16" s="18" t="n"/>
      <c r="L16" s="18" t="n"/>
      <c r="M16" s="18" t="n"/>
      <c r="N16" s="18" t="n"/>
      <c r="O16" s="18" t="n"/>
      <c r="P16" s="18" t="n"/>
      <c r="Q16" s="18" t="n"/>
    </row>
    <row r="17">
      <c r="A17" s="18" t="n"/>
      <c r="B17" s="18" t="n"/>
      <c r="C17" s="18" t="n"/>
      <c r="D17" s="18" t="n"/>
      <c r="E17" s="18" t="n"/>
      <c r="F17" s="18" t="n"/>
      <c r="G17" s="18" t="n"/>
      <c r="H17" s="18" t="n"/>
      <c r="I17" s="18" t="n"/>
      <c r="J17" s="18" t="n"/>
      <c r="K17" s="18" t="n"/>
      <c r="L17" s="18" t="n"/>
      <c r="M17" s="18" t="n"/>
      <c r="N17" s="18" t="n"/>
      <c r="O17" s="18" t="n"/>
      <c r="P17" s="18" t="n"/>
      <c r="Q17" s="18" t="n"/>
    </row>
    <row r="18">
      <c r="A18" s="18" t="n"/>
      <c r="B18" s="18" t="n"/>
      <c r="C18" s="18" t="n"/>
      <c r="D18" s="18" t="n"/>
      <c r="E18" s="18" t="n"/>
      <c r="F18" s="18" t="n"/>
      <c r="G18" s="18" t="n"/>
      <c r="H18" s="18" t="n"/>
      <c r="I18" s="18" t="n"/>
      <c r="J18" s="18" t="n"/>
      <c r="K18" s="18" t="n"/>
      <c r="L18" s="18" t="n"/>
      <c r="M18" s="18" t="n"/>
      <c r="N18" s="18" t="n"/>
      <c r="O18" s="18" t="n"/>
      <c r="P18" s="18" t="n"/>
      <c r="Q18" s="18" t="n"/>
    </row>
    <row r="19">
      <c r="A19" s="18" t="n"/>
      <c r="B19" s="18" t="n"/>
      <c r="C19" s="18" t="n"/>
      <c r="D19" s="18" t="n"/>
      <c r="E19" s="18" t="n"/>
      <c r="F19" s="18" t="n"/>
      <c r="G19" s="18" t="n"/>
      <c r="H19" s="18" t="n"/>
      <c r="I19" s="18" t="n"/>
      <c r="J19" s="18" t="n"/>
      <c r="K19" s="18" t="n"/>
      <c r="L19" s="18" t="n"/>
      <c r="M19" s="18" t="n"/>
      <c r="N19" s="18" t="n"/>
      <c r="O19" s="18" t="n"/>
      <c r="P19" s="18" t="n"/>
      <c r="Q19" s="18" t="n"/>
    </row>
    <row r="20">
      <c r="A20" s="18" t="n"/>
      <c r="B20" s="18" t="n"/>
      <c r="C20" s="18" t="n"/>
      <c r="D20" s="18" t="n"/>
      <c r="E20" s="18" t="n"/>
      <c r="F20" s="18" t="n"/>
      <c r="G20" s="18" t="n"/>
      <c r="H20" s="18" t="n"/>
      <c r="I20" s="18" t="n"/>
      <c r="J20" s="18" t="n"/>
      <c r="K20" s="18" t="n"/>
      <c r="L20" s="18" t="n"/>
      <c r="M20" s="18" t="n"/>
      <c r="N20" s="18" t="n"/>
      <c r="O20" s="18" t="n"/>
      <c r="P20" s="18" t="n"/>
      <c r="Q20" s="18" t="n"/>
    </row>
    <row r="22">
      <c r="A22" s="19" t="inlineStr">
        <is>
          <t>3. SERVERS ENCRYPTION CHECKLIST</t>
        </is>
      </c>
    </row>
    <row r="23">
      <c r="A23" s="14" t="inlineStr">
        <is>
          <t>☐</t>
        </is>
      </c>
      <c r="B23" s="14" t="inlineStr">
        <is>
          <t>Requirement</t>
        </is>
      </c>
      <c r="C23" s="14" t="inlineStr">
        <is>
          <t>Status</t>
        </is>
      </c>
    </row>
    <row r="24">
      <c r="A24" t="inlineStr">
        <is>
          <t>☐</t>
        </is>
      </c>
      <c r="B24" t="inlineStr">
        <is>
          <t>OS-level encryption enabled (LUKS, BitLocker, etc.)</t>
        </is>
      </c>
      <c r="C24" s="15" t="n"/>
    </row>
    <row r="25">
      <c r="A25" t="inlineStr">
        <is>
          <t>☐</t>
        </is>
      </c>
      <c r="B25" t="inlineStr">
        <is>
          <t>Storage volume/LUN encryption configured</t>
        </is>
      </c>
      <c r="C25" s="15" t="n"/>
    </row>
    <row r="26">
      <c r="A26" t="inlineStr">
        <is>
          <t>☐</t>
        </is>
      </c>
      <c r="B26" t="inlineStr">
        <is>
          <t>Virtual machine disk encryption enabled</t>
        </is>
      </c>
      <c r="C26" s="15" t="n"/>
    </row>
    <row r="27">
      <c r="A27" t="inlineStr">
        <is>
          <t>☐</t>
        </is>
      </c>
      <c r="B27" t="inlineStr">
        <is>
          <t>Key management solution integrated</t>
        </is>
      </c>
      <c r="C27" s="15" t="n"/>
    </row>
    <row r="28">
      <c r="A28" t="inlineStr">
        <is>
          <t>☐</t>
        </is>
      </c>
      <c r="B28" t="inlineStr">
        <is>
          <t>Encryption keys stored separately from encrypted data</t>
        </is>
      </c>
      <c r="C28" s="15" t="n"/>
    </row>
    <row r="29">
      <c r="A29" t="inlineStr">
        <is>
          <t>☐</t>
        </is>
      </c>
      <c r="B29" t="inlineStr">
        <is>
          <t>SAN/NAS encryption enabled (if applicable)</t>
        </is>
      </c>
      <c r="C29" s="15" t="n"/>
    </row>
    <row r="30">
      <c r="A30" t="inlineStr">
        <is>
          <t>☐</t>
        </is>
      </c>
      <c r="B30" t="inlineStr">
        <is>
          <t>Self-encrypting drives (SED) utilised where appropriate</t>
        </is>
      </c>
      <c r="C30" s="15" t="n"/>
    </row>
    <row r="31">
      <c r="A31" t="inlineStr">
        <is>
          <t>☐</t>
        </is>
      </c>
      <c r="B31" t="inlineStr">
        <is>
          <t>Boot volumes encrypted</t>
        </is>
      </c>
      <c r="C31" s="15" t="n"/>
    </row>
    <row r="32">
      <c r="A32" t="inlineStr">
        <is>
          <t>☐</t>
        </is>
      </c>
      <c r="B32" t="inlineStr">
        <is>
          <t>Temporary/swap space encrypted</t>
        </is>
      </c>
      <c r="C32" s="15" t="n"/>
    </row>
    <row r="33">
      <c r="A33" t="inlineStr">
        <is>
          <t>☐</t>
        </is>
      </c>
      <c r="B33" t="inlineStr">
        <is>
          <t>Encryption status monitoring automated</t>
        </is>
      </c>
      <c r="C33" s="15" t="n"/>
    </row>
    <row r="34">
      <c r="A34" t="inlineStr">
        <is>
          <t>☐</t>
        </is>
      </c>
      <c r="B34" t="inlineStr">
        <is>
          <t>Key rotation procedures documented and implemented</t>
        </is>
      </c>
      <c r="C34" s="15" t="n"/>
    </row>
    <row r="35">
      <c r="A35" t="inlineStr">
        <is>
          <t>☐</t>
        </is>
      </c>
      <c r="B35" t="inlineStr">
        <is>
          <t>HSM integration for key protection (production systems)</t>
        </is>
      </c>
      <c r="C35" s="15" t="n"/>
    </row>
    <row r="36">
      <c r="A36" s="14" t="inlineStr">
        <is>
          <t>Checklist Score:</t>
        </is>
      </c>
      <c r="B36" s="20">
        <f>IFERROR(ROUND(COUNTIF(C24:C35,"✅ Yes")/COUNTA(C24:C35)*100,0)&amp;"%","0%")</f>
        <v/>
      </c>
    </row>
    <row r="38">
      <c r="A38" s="21" t="inlineStr">
        <is>
          <t>EXCEPTION / DEVIATION DOCUMENTATION (Complete if Status = Partial or Non-Compliant)</t>
        </is>
      </c>
      <c r="B38" s="6" t="n"/>
      <c r="C38" s="6" t="n"/>
      <c r="D38" s="6" t="n"/>
      <c r="E38" s="6" t="n"/>
      <c r="F38" s="6" t="n"/>
      <c r="G38" s="6" t="n"/>
      <c r="H38" s="6" t="n"/>
      <c r="I38" s="6" t="n"/>
      <c r="J38" s="6" t="n"/>
      <c r="K38" s="6" t="n"/>
      <c r="L38" s="6" t="n"/>
      <c r="M38" s="6" t="n"/>
      <c r="N38" s="6" t="n"/>
      <c r="O38" s="6" t="n"/>
      <c r="P38" s="6" t="n"/>
      <c r="Q38" s="6" t="n"/>
    </row>
    <row r="39">
      <c r="A39" s="14" t="inlineStr">
        <is>
          <t>Formal exception request submitted:</t>
        </is>
      </c>
      <c r="B39" s="18" t="n"/>
      <c r="C39" s="6" t="n"/>
      <c r="D39" s="6" t="n"/>
    </row>
    <row r="40">
      <c r="A40" s="14" t="inlineStr">
        <is>
          <t>Exception ID:</t>
        </is>
      </c>
      <c r="B40" s="18" t="n"/>
      <c r="C40" s="6" t="n"/>
      <c r="D40" s="6" t="n"/>
    </row>
    <row r="41">
      <c r="A41" s="14" t="inlineStr">
        <is>
          <t>Risk acceptance documented:</t>
        </is>
      </c>
      <c r="B41" s="18" t="n"/>
      <c r="C41" s="6" t="n"/>
      <c r="D41" s="6" t="n"/>
    </row>
    <row r="42">
      <c r="A42" s="14" t="inlineStr">
        <is>
          <t>Risk ID:</t>
        </is>
      </c>
      <c r="B42" s="18" t="n"/>
      <c r="C42" s="6" t="n"/>
      <c r="D42" s="6" t="n"/>
    </row>
    <row r="43">
      <c r="A43" s="14" t="inlineStr">
        <is>
          <t>Compensating Controls (summary):</t>
        </is>
      </c>
      <c r="B43" s="18" t="n"/>
      <c r="C43" s="6" t="n"/>
      <c r="D43" s="6" t="n"/>
    </row>
    <row r="44">
      <c r="A44" s="14" t="inlineStr">
        <is>
          <t>☐ Physical security controls (locked facility, restricted access)</t>
        </is>
      </c>
      <c r="B44" s="18" t="n"/>
      <c r="C44" s="6" t="n"/>
      <c r="D44" s="6" t="n"/>
    </row>
    <row r="45">
      <c r="A45" s="14" t="inlineStr">
        <is>
          <t>☐ Network segmentation / air-gapped systems</t>
        </is>
      </c>
      <c r="B45" s="18" t="n"/>
      <c r="C45" s="6" t="n"/>
      <c r="D45" s="6" t="n"/>
    </row>
    <row r="46">
      <c r="A46" s="14" t="inlineStr">
        <is>
          <t>☐ Enhanced monitoring / DLP controls</t>
        </is>
      </c>
      <c r="B46" s="18" t="n"/>
      <c r="C46" s="6" t="n"/>
      <c r="D46" s="6" t="n"/>
    </row>
    <row r="47">
      <c r="A47" s="14" t="inlineStr">
        <is>
          <t>☐ Restricted user access / privileged access management</t>
        </is>
      </c>
      <c r="B47" s="18" t="n"/>
      <c r="C47" s="6" t="n"/>
      <c r="D47" s="6" t="n"/>
    </row>
    <row r="48">
      <c r="A48" s="14" t="inlineStr">
        <is>
          <t>☐ Data minimisation / reduced storage scope</t>
        </is>
      </c>
      <c r="B48" s="18" t="n"/>
      <c r="C48" s="6" t="n"/>
      <c r="D48" s="6" t="n"/>
    </row>
    <row r="49">
      <c r="A49" s="14" t="inlineStr">
        <is>
          <t>☐ Other (describe):</t>
        </is>
      </c>
      <c r="B49" s="18" t="n"/>
      <c r="C49" s="6" t="n"/>
      <c r="D49" s="6" t="n"/>
    </row>
    <row r="51">
      <c r="A51" s="22" t="inlineStr">
        <is>
          <t>ADDITIONAL NOTES / COMMENTS</t>
        </is>
      </c>
      <c r="B51" s="6" t="n"/>
      <c r="C51" s="6" t="n"/>
      <c r="D51" s="6" t="n"/>
      <c r="E51" s="6" t="n"/>
      <c r="F51" s="6" t="n"/>
      <c r="G51" s="6" t="n"/>
      <c r="H51" s="6" t="n"/>
      <c r="I51" s="6" t="n"/>
      <c r="J51" s="6" t="n"/>
      <c r="K51" s="6" t="n"/>
      <c r="L51" s="6" t="n"/>
      <c r="M51" s="6" t="n"/>
      <c r="N51" s="6" t="n"/>
      <c r="O51" s="6" t="n"/>
      <c r="P51" s="6" t="n"/>
      <c r="Q51" s="6" t="n"/>
    </row>
    <row r="52">
      <c r="A52" s="23" t="n"/>
      <c r="B52" s="6" t="n"/>
      <c r="C52" s="6" t="n"/>
      <c r="D52" s="6" t="n"/>
      <c r="E52" s="6" t="n"/>
      <c r="F52" s="6" t="n"/>
      <c r="G52" s="6" t="n"/>
      <c r="H52" s="6" t="n"/>
      <c r="I52" s="6" t="n"/>
      <c r="J52" s="6" t="n"/>
      <c r="K52" s="6" t="n"/>
      <c r="L52" s="6" t="n"/>
      <c r="M52" s="6" t="n"/>
      <c r="N52" s="6" t="n"/>
      <c r="O52" s="6" t="n"/>
      <c r="P52" s="6" t="n"/>
      <c r="Q52" s="6" t="n"/>
    </row>
    <row r="53">
      <c r="A53" s="6" t="n"/>
      <c r="B53" s="6" t="n"/>
      <c r="C53" s="6" t="n"/>
      <c r="D53" s="6" t="n"/>
      <c r="E53" s="6" t="n"/>
      <c r="F53" s="6" t="n"/>
      <c r="G53" s="6" t="n"/>
      <c r="H53" s="6" t="n"/>
      <c r="I53" s="6" t="n"/>
      <c r="J53" s="6" t="n"/>
      <c r="K53" s="6" t="n"/>
      <c r="L53" s="6" t="n"/>
      <c r="M53" s="6" t="n"/>
      <c r="N53" s="6" t="n"/>
      <c r="O53" s="6" t="n"/>
      <c r="P53" s="6" t="n"/>
      <c r="Q53" s="6" t="n"/>
    </row>
    <row r="54">
      <c r="A54" s="6" t="n"/>
      <c r="B54" s="6" t="n"/>
      <c r="C54" s="6" t="n"/>
      <c r="D54" s="6" t="n"/>
      <c r="E54" s="6" t="n"/>
      <c r="F54" s="6" t="n"/>
      <c r="G54" s="6" t="n"/>
      <c r="H54" s="6" t="n"/>
      <c r="I54" s="6" t="n"/>
      <c r="J54" s="6" t="n"/>
      <c r="K54" s="6" t="n"/>
      <c r="L54" s="6" t="n"/>
      <c r="M54" s="6" t="n"/>
      <c r="N54" s="6" t="n"/>
      <c r="O54" s="6" t="n"/>
      <c r="P54" s="6" t="n"/>
      <c r="Q54" s="6" t="n"/>
    </row>
    <row r="55">
      <c r="A55" s="6" t="n"/>
      <c r="B55" s="6" t="n"/>
      <c r="C55" s="6" t="n"/>
      <c r="D55" s="6" t="n"/>
      <c r="E55" s="6" t="n"/>
      <c r="F55" s="6" t="n"/>
      <c r="G55" s="6" t="n"/>
      <c r="H55" s="6" t="n"/>
      <c r="I55" s="6" t="n"/>
      <c r="J55" s="6" t="n"/>
      <c r="K55" s="6" t="n"/>
      <c r="L55" s="6" t="n"/>
      <c r="M55" s="6" t="n"/>
      <c r="N55" s="6" t="n"/>
      <c r="O55" s="6" t="n"/>
      <c r="P55" s="6" t="n"/>
      <c r="Q55" s="6" t="n"/>
    </row>
    <row r="56">
      <c r="A56" s="6" t="n"/>
      <c r="B56" s="6" t="n"/>
      <c r="C56" s="6" t="n"/>
      <c r="D56" s="6" t="n"/>
      <c r="E56" s="6" t="n"/>
      <c r="F56" s="6" t="n"/>
      <c r="G56" s="6" t="n"/>
      <c r="H56" s="6" t="n"/>
      <c r="I56" s="6" t="n"/>
      <c r="J56" s="6" t="n"/>
      <c r="K56" s="6" t="n"/>
      <c r="L56" s="6" t="n"/>
      <c r="M56" s="6" t="n"/>
      <c r="N56" s="6" t="n"/>
      <c r="O56" s="6" t="n"/>
      <c r="P56" s="6" t="n"/>
      <c r="Q56" s="6" t="n"/>
    </row>
    <row r="57">
      <c r="A57" s="6" t="n"/>
      <c r="B57" s="6" t="n"/>
      <c r="C57" s="6" t="n"/>
      <c r="D57" s="6" t="n"/>
      <c r="E57" s="6" t="n"/>
      <c r="F57" s="6" t="n"/>
      <c r="G57" s="6" t="n"/>
      <c r="H57" s="6" t="n"/>
      <c r="I57" s="6" t="n"/>
      <c r="J57" s="6" t="n"/>
      <c r="K57" s="6" t="n"/>
      <c r="L57" s="6" t="n"/>
      <c r="M57" s="6" t="n"/>
      <c r="N57" s="6" t="n"/>
      <c r="O57" s="6" t="n"/>
      <c r="P57" s="6" t="n"/>
      <c r="Q57" s="6" t="n"/>
    </row>
    <row r="58">
      <c r="A58" s="6" t="n"/>
      <c r="B58" s="6" t="n"/>
      <c r="C58" s="6" t="n"/>
      <c r="D58" s="6" t="n"/>
      <c r="E58" s="6" t="n"/>
      <c r="F58" s="6" t="n"/>
      <c r="G58" s="6" t="n"/>
      <c r="H58" s="6" t="n"/>
      <c r="I58" s="6" t="n"/>
      <c r="J58" s="6" t="n"/>
      <c r="K58" s="6" t="n"/>
      <c r="L58" s="6" t="n"/>
      <c r="M58" s="6" t="n"/>
      <c r="N58" s="6" t="n"/>
      <c r="O58" s="6" t="n"/>
      <c r="P58" s="6" t="n"/>
      <c r="Q58" s="6" t="n"/>
    </row>
    <row r="59">
      <c r="A59" s="6" t="n"/>
      <c r="B59" s="6" t="n"/>
      <c r="C59" s="6" t="n"/>
      <c r="D59" s="6" t="n"/>
      <c r="E59" s="6" t="n"/>
      <c r="F59" s="6" t="n"/>
      <c r="G59" s="6" t="n"/>
      <c r="H59" s="6" t="n"/>
      <c r="I59" s="6" t="n"/>
      <c r="J59" s="6" t="n"/>
      <c r="K59" s="6" t="n"/>
      <c r="L59" s="6" t="n"/>
      <c r="M59" s="6" t="n"/>
      <c r="N59" s="6" t="n"/>
      <c r="O59" s="6" t="n"/>
      <c r="P59" s="6" t="n"/>
      <c r="Q59" s="6" t="n"/>
    </row>
    <row r="60">
      <c r="A60" s="6" t="n"/>
      <c r="B60" s="6" t="n"/>
      <c r="C60" s="6" t="n"/>
      <c r="D60" s="6" t="n"/>
      <c r="E60" s="6" t="n"/>
      <c r="F60" s="6" t="n"/>
      <c r="G60" s="6" t="n"/>
      <c r="H60" s="6" t="n"/>
      <c r="I60" s="6" t="n"/>
      <c r="J60" s="6" t="n"/>
      <c r="K60" s="6" t="n"/>
      <c r="L60" s="6" t="n"/>
      <c r="M60" s="6" t="n"/>
      <c r="N60" s="6" t="n"/>
      <c r="O60" s="6" t="n"/>
      <c r="P60" s="6" t="n"/>
      <c r="Q60" s="6" t="n"/>
    </row>
  </sheetData>
  <mergeCells count="16">
    <mergeCell ref="B42:D42"/>
    <mergeCell ref="B47:D47"/>
    <mergeCell ref="A3:Q3"/>
    <mergeCell ref="B45:D45"/>
    <mergeCell ref="B41:D41"/>
    <mergeCell ref="B46:D46"/>
    <mergeCell ref="A52:Q60"/>
    <mergeCell ref="B49:D49"/>
    <mergeCell ref="B40:D40"/>
    <mergeCell ref="A38:Q38"/>
    <mergeCell ref="B44:D44"/>
    <mergeCell ref="A51:Q51"/>
    <mergeCell ref="B43:D43"/>
    <mergeCell ref="B39:D39"/>
    <mergeCell ref="A1:Q1"/>
    <mergeCell ref="B48:D48"/>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 Yes,❌ 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showDropDown="0" showInputMessage="0" showErrorMessage="0" allowBlank="0" type="list">
      <formula1>"✅ Yes,❌ No,N/A"</formula1>
    </dataValidation>
    <dataValidation sqref="B39 B41" showDropDown="0" showInputMessage="0" showErrorMessage="0" allowBlank="0" type="list">
      <formula1>"✅ Yes,❌ 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8"/>
  <sheetViews>
    <sheetView showGridLines="0"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35" customHeight="1">
      <c r="A1" s="11" t="inlineStr">
        <is>
          <t>4. DATABASES - DATA AT REST ENCRYPTION
Policy Requirement: Databases containing sensitive data MUST implement Transparent Data Encryption or equivalent (Policy Section 2.3.4)</t>
        </is>
      </c>
      <c r="B1" s="6" t="n"/>
      <c r="C1" s="6" t="n"/>
      <c r="D1" s="6" t="n"/>
      <c r="E1" s="6" t="n"/>
      <c r="F1" s="6" t="n"/>
      <c r="G1" s="6" t="n"/>
      <c r="H1" s="6" t="n"/>
      <c r="I1" s="6" t="n"/>
      <c r="J1" s="6" t="n"/>
      <c r="K1" s="6" t="n"/>
      <c r="L1" s="6" t="n"/>
      <c r="M1" s="6" t="n"/>
      <c r="N1" s="6" t="n"/>
      <c r="O1" s="6" t="n"/>
      <c r="P1" s="6" t="n"/>
      <c r="Q1" s="6" t="n"/>
    </row>
    <row r="2">
      <c r="A2" s="12" t="inlineStr">
        <is>
          <t>ISO/IEC 27001:2022 | Control A.8.24: Use of Cryptography</t>
        </is>
      </c>
    </row>
    <row r="3" ht="30" customHeight="1">
      <c r="A3" s="13" t="inlineStr">
        <is>
          <t>Does your organisation operate databases that store sensitive or regulated data?</t>
        </is>
      </c>
      <c r="B3" s="6" t="n"/>
      <c r="C3" s="6" t="n"/>
      <c r="D3" s="6" t="n"/>
      <c r="E3" s="6" t="n"/>
      <c r="F3" s="6" t="n"/>
      <c r="G3" s="6" t="n"/>
      <c r="H3" s="6" t="n"/>
      <c r="I3" s="6" t="n"/>
      <c r="J3" s="6" t="n"/>
      <c r="K3" s="6" t="n"/>
      <c r="L3" s="6" t="n"/>
      <c r="M3" s="6" t="n"/>
      <c r="N3" s="6" t="n"/>
      <c r="O3" s="6" t="n"/>
      <c r="P3" s="6" t="n"/>
      <c r="Q3" s="6" t="n"/>
    </row>
    <row r="4">
      <c r="A4" s="14" t="inlineStr">
        <is>
          <t>Response:</t>
        </is>
      </c>
      <c r="B4" s="15" t="n"/>
    </row>
    <row r="6">
      <c r="A6" s="16" t="inlineStr">
        <is>
          <t>Storage System/Device</t>
        </is>
      </c>
      <c r="B6" s="16" t="inlineStr">
        <is>
          <t>Data Classification</t>
        </is>
      </c>
      <c r="C6" s="16" t="inlineStr">
        <is>
          <t>Encryption Status</t>
        </is>
      </c>
      <c r="D6" s="16" t="inlineStr">
        <is>
          <t>Encryption Type</t>
        </is>
      </c>
      <c r="E6" s="16" t="inlineStr">
        <is>
          <t>Algorithm &amp; Key Size</t>
        </is>
      </c>
      <c r="F6" s="16" t="inlineStr">
        <is>
          <t>Key Management Method</t>
        </is>
      </c>
      <c r="G6" s="16" t="inlineStr">
        <is>
          <t>Key Rotation Enabled</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row>
    <row r="7">
      <c r="A7" s="17" t="inlineStr">
        <is>
          <t>Example: Production SQL Server 2019 - FINDB01</t>
        </is>
      </c>
      <c r="B7" s="17" t="inlineStr">
        <is>
          <t>Restricted</t>
        </is>
      </c>
      <c r="C7" s="17" t="inlineStr">
        <is>
          <t>Encrypted</t>
        </is>
      </c>
      <c r="D7" s="17" t="inlineStr">
        <is>
          <t>Database TDE</t>
        </is>
      </c>
      <c r="E7" s="17" t="inlineStr">
        <is>
          <t>AES-256</t>
        </is>
      </c>
      <c r="F7" s="17" t="inlineStr">
        <is>
          <t>HSM</t>
        </is>
      </c>
      <c r="G7" s="17" t="inlineStr">
        <is>
          <t>✅ Yes</t>
        </is>
      </c>
      <c r="H7" s="17" t="inlineStr">
        <is>
          <t>✅ Compliant</t>
        </is>
      </c>
      <c r="I7" s="17" t="inlineStr">
        <is>
          <t>/evidence/databases/FINDB01-TDE-config.pdf</t>
        </is>
      </c>
      <c r="J7" s="17" t="inlineStr">
        <is>
          <t>None</t>
        </is>
      </c>
      <c r="K7" s="17" t="inlineStr">
        <is>
          <t>❌ No</t>
        </is>
      </c>
      <c r="L7" s="17" t="inlineStr">
        <is>
          <t>N/A</t>
        </is>
      </c>
      <c r="M7" s="17" t="inlineStr">
        <is>
          <t>N/A</t>
        </is>
      </c>
      <c r="N7" s="17" t="inlineStr">
        <is>
          <t>N/A</t>
        </is>
      </c>
      <c r="O7" s="17" t="inlineStr">
        <is>
          <t>N/A</t>
        </is>
      </c>
      <c r="P7" s="17" t="inlineStr">
        <is>
          <t>N/A</t>
        </is>
      </c>
      <c r="Q7" s="17" t="inlineStr">
        <is>
          <t>❌ No</t>
        </is>
      </c>
    </row>
    <row r="8">
      <c r="A8" s="18" t="n"/>
      <c r="B8" s="18" t="n"/>
      <c r="C8" s="18" t="n"/>
      <c r="D8" s="18" t="n"/>
      <c r="E8" s="18" t="n"/>
      <c r="F8" s="18" t="n"/>
      <c r="G8" s="18" t="n"/>
      <c r="H8" s="18" t="n"/>
      <c r="I8" s="18" t="n"/>
      <c r="J8" s="18" t="n"/>
      <c r="K8" s="18" t="n"/>
      <c r="L8" s="18" t="n"/>
      <c r="M8" s="18" t="n"/>
      <c r="N8" s="18" t="n"/>
      <c r="O8" s="18" t="n"/>
      <c r="P8" s="18" t="n"/>
      <c r="Q8" s="18" t="n"/>
    </row>
    <row r="9">
      <c r="A9" s="18" t="n"/>
      <c r="B9" s="18" t="n"/>
      <c r="C9" s="18" t="n"/>
      <c r="D9" s="18" t="n"/>
      <c r="E9" s="18" t="n"/>
      <c r="F9" s="18" t="n"/>
      <c r="G9" s="18" t="n"/>
      <c r="H9" s="18" t="n"/>
      <c r="I9" s="18" t="n"/>
      <c r="J9" s="18" t="n"/>
      <c r="K9" s="18" t="n"/>
      <c r="L9" s="18" t="n"/>
      <c r="M9" s="18" t="n"/>
      <c r="N9" s="18" t="n"/>
      <c r="O9" s="18" t="n"/>
      <c r="P9" s="18" t="n"/>
      <c r="Q9" s="18" t="n"/>
    </row>
    <row r="10">
      <c r="A10" s="18" t="n"/>
      <c r="B10" s="18" t="n"/>
      <c r="C10" s="18" t="n"/>
      <c r="D10" s="18" t="n"/>
      <c r="E10" s="18" t="n"/>
      <c r="F10" s="18" t="n"/>
      <c r="G10" s="18" t="n"/>
      <c r="H10" s="18" t="n"/>
      <c r="I10" s="18" t="n"/>
      <c r="J10" s="18" t="n"/>
      <c r="K10" s="18" t="n"/>
      <c r="L10" s="18" t="n"/>
      <c r="M10" s="18" t="n"/>
      <c r="N10" s="18" t="n"/>
      <c r="O10" s="18" t="n"/>
      <c r="P10" s="18" t="n"/>
      <c r="Q10" s="18" t="n"/>
    </row>
    <row r="11">
      <c r="A11" s="18" t="n"/>
      <c r="B11" s="18" t="n"/>
      <c r="C11" s="18" t="n"/>
      <c r="D11" s="18" t="n"/>
      <c r="E11" s="18" t="n"/>
      <c r="F11" s="18" t="n"/>
      <c r="G11" s="18" t="n"/>
      <c r="H11" s="18" t="n"/>
      <c r="I11" s="18" t="n"/>
      <c r="J11" s="18" t="n"/>
      <c r="K11" s="18" t="n"/>
      <c r="L11" s="18" t="n"/>
      <c r="M11" s="18" t="n"/>
      <c r="N11" s="18" t="n"/>
      <c r="O11" s="18" t="n"/>
      <c r="P11" s="18" t="n"/>
      <c r="Q11" s="18" t="n"/>
    </row>
    <row r="12">
      <c r="A12" s="18" t="n"/>
      <c r="B12" s="18" t="n"/>
      <c r="C12" s="18" t="n"/>
      <c r="D12" s="18" t="n"/>
      <c r="E12" s="18" t="n"/>
      <c r="F12" s="18" t="n"/>
      <c r="G12" s="18" t="n"/>
      <c r="H12" s="18" t="n"/>
      <c r="I12" s="18" t="n"/>
      <c r="J12" s="18" t="n"/>
      <c r="K12" s="18" t="n"/>
      <c r="L12" s="18" t="n"/>
      <c r="M12" s="18" t="n"/>
      <c r="N12" s="18" t="n"/>
      <c r="O12" s="18" t="n"/>
      <c r="P12" s="18" t="n"/>
      <c r="Q12" s="18" t="n"/>
    </row>
    <row r="13">
      <c r="A13" s="18" t="n"/>
      <c r="B13" s="18" t="n"/>
      <c r="C13" s="18" t="n"/>
      <c r="D13" s="18" t="n"/>
      <c r="E13" s="18" t="n"/>
      <c r="F13" s="18" t="n"/>
      <c r="G13" s="18" t="n"/>
      <c r="H13" s="18" t="n"/>
      <c r="I13" s="18" t="n"/>
      <c r="J13" s="18" t="n"/>
      <c r="K13" s="18" t="n"/>
      <c r="L13" s="18" t="n"/>
      <c r="M13" s="18" t="n"/>
      <c r="N13" s="18" t="n"/>
      <c r="O13" s="18" t="n"/>
      <c r="P13" s="18" t="n"/>
      <c r="Q13" s="18" t="n"/>
    </row>
    <row r="14">
      <c r="A14" s="18" t="n"/>
      <c r="B14" s="18" t="n"/>
      <c r="C14" s="18" t="n"/>
      <c r="D14" s="18" t="n"/>
      <c r="E14" s="18" t="n"/>
      <c r="F14" s="18" t="n"/>
      <c r="G14" s="18" t="n"/>
      <c r="H14" s="18" t="n"/>
      <c r="I14" s="18" t="n"/>
      <c r="J14" s="18" t="n"/>
      <c r="K14" s="18" t="n"/>
      <c r="L14" s="18" t="n"/>
      <c r="M14" s="18" t="n"/>
      <c r="N14" s="18" t="n"/>
      <c r="O14" s="18" t="n"/>
      <c r="P14" s="18" t="n"/>
      <c r="Q14" s="18" t="n"/>
    </row>
    <row r="15">
      <c r="A15" s="18" t="n"/>
      <c r="B15" s="18" t="n"/>
      <c r="C15" s="18" t="n"/>
      <c r="D15" s="18" t="n"/>
      <c r="E15" s="18" t="n"/>
      <c r="F15" s="18" t="n"/>
      <c r="G15" s="18" t="n"/>
      <c r="H15" s="18" t="n"/>
      <c r="I15" s="18" t="n"/>
      <c r="J15" s="18" t="n"/>
      <c r="K15" s="18" t="n"/>
      <c r="L15" s="18" t="n"/>
      <c r="M15" s="18" t="n"/>
      <c r="N15" s="18" t="n"/>
      <c r="O15" s="18" t="n"/>
      <c r="P15" s="18" t="n"/>
      <c r="Q15" s="18" t="n"/>
    </row>
    <row r="16">
      <c r="A16" s="18" t="n"/>
      <c r="B16" s="18" t="n"/>
      <c r="C16" s="18" t="n"/>
      <c r="D16" s="18" t="n"/>
      <c r="E16" s="18" t="n"/>
      <c r="F16" s="18" t="n"/>
      <c r="G16" s="18" t="n"/>
      <c r="H16" s="18" t="n"/>
      <c r="I16" s="18" t="n"/>
      <c r="J16" s="18" t="n"/>
      <c r="K16" s="18" t="n"/>
      <c r="L16" s="18" t="n"/>
      <c r="M16" s="18" t="n"/>
      <c r="N16" s="18" t="n"/>
      <c r="O16" s="18" t="n"/>
      <c r="P16" s="18" t="n"/>
      <c r="Q16" s="18" t="n"/>
    </row>
    <row r="17">
      <c r="A17" s="18" t="n"/>
      <c r="B17" s="18" t="n"/>
      <c r="C17" s="18" t="n"/>
      <c r="D17" s="18" t="n"/>
      <c r="E17" s="18" t="n"/>
      <c r="F17" s="18" t="n"/>
      <c r="G17" s="18" t="n"/>
      <c r="H17" s="18" t="n"/>
      <c r="I17" s="18" t="n"/>
      <c r="J17" s="18" t="n"/>
      <c r="K17" s="18" t="n"/>
      <c r="L17" s="18" t="n"/>
      <c r="M17" s="18" t="n"/>
      <c r="N17" s="18" t="n"/>
      <c r="O17" s="18" t="n"/>
      <c r="P17" s="18" t="n"/>
      <c r="Q17" s="18" t="n"/>
    </row>
    <row r="18">
      <c r="A18" s="18" t="n"/>
      <c r="B18" s="18" t="n"/>
      <c r="C18" s="18" t="n"/>
      <c r="D18" s="18" t="n"/>
      <c r="E18" s="18" t="n"/>
      <c r="F18" s="18" t="n"/>
      <c r="G18" s="18" t="n"/>
      <c r="H18" s="18" t="n"/>
      <c r="I18" s="18" t="n"/>
      <c r="J18" s="18" t="n"/>
      <c r="K18" s="18" t="n"/>
      <c r="L18" s="18" t="n"/>
      <c r="M18" s="18" t="n"/>
      <c r="N18" s="18" t="n"/>
      <c r="O18" s="18" t="n"/>
      <c r="P18" s="18" t="n"/>
      <c r="Q18" s="18" t="n"/>
    </row>
    <row r="19">
      <c r="A19" s="18" t="n"/>
      <c r="B19" s="18" t="n"/>
      <c r="C19" s="18" t="n"/>
      <c r="D19" s="18" t="n"/>
      <c r="E19" s="18" t="n"/>
      <c r="F19" s="18" t="n"/>
      <c r="G19" s="18" t="n"/>
      <c r="H19" s="18" t="n"/>
      <c r="I19" s="18" t="n"/>
      <c r="J19" s="18" t="n"/>
      <c r="K19" s="18" t="n"/>
      <c r="L19" s="18" t="n"/>
      <c r="M19" s="18" t="n"/>
      <c r="N19" s="18" t="n"/>
      <c r="O19" s="18" t="n"/>
      <c r="P19" s="18" t="n"/>
      <c r="Q19" s="18" t="n"/>
    </row>
    <row r="20">
      <c r="A20" s="18" t="n"/>
      <c r="B20" s="18" t="n"/>
      <c r="C20" s="18" t="n"/>
      <c r="D20" s="18" t="n"/>
      <c r="E20" s="18" t="n"/>
      <c r="F20" s="18" t="n"/>
      <c r="G20" s="18" t="n"/>
      <c r="H20" s="18" t="n"/>
      <c r="I20" s="18" t="n"/>
      <c r="J20" s="18" t="n"/>
      <c r="K20" s="18" t="n"/>
      <c r="L20" s="18" t="n"/>
      <c r="M20" s="18" t="n"/>
      <c r="N20" s="18" t="n"/>
      <c r="O20" s="18" t="n"/>
      <c r="P20" s="18" t="n"/>
      <c r="Q20" s="18" t="n"/>
    </row>
    <row r="22">
      <c r="A22" s="19" t="inlineStr">
        <is>
          <t>4. DATABASES ENCRYPTION CHECKLIST</t>
        </is>
      </c>
    </row>
    <row r="23">
      <c r="A23" s="14" t="inlineStr">
        <is>
          <t>☐</t>
        </is>
      </c>
      <c r="B23" s="14" t="inlineStr">
        <is>
          <t>Requirement</t>
        </is>
      </c>
      <c r="C23" s="14" t="inlineStr">
        <is>
          <t>Status</t>
        </is>
      </c>
    </row>
    <row r="24">
      <c r="A24" t="inlineStr">
        <is>
          <t>☐</t>
        </is>
      </c>
      <c r="B24" t="inlineStr">
        <is>
          <t>TDE (Transparent Data Encryption) enabled</t>
        </is>
      </c>
      <c r="C24" s="15" t="n"/>
    </row>
    <row r="25">
      <c r="A25" t="inlineStr">
        <is>
          <t>☐</t>
        </is>
      </c>
      <c r="B25" t="inlineStr">
        <is>
          <t>Encryption at column level for sensitive fields (if applicable)</t>
        </is>
      </c>
      <c r="C25" s="15" t="n"/>
    </row>
    <row r="26">
      <c r="A26" t="inlineStr">
        <is>
          <t>☐</t>
        </is>
      </c>
      <c r="B26" t="inlineStr">
        <is>
          <t>Encryption at tablespace level configured</t>
        </is>
      </c>
      <c r="C26" s="15" t="n"/>
    </row>
    <row r="27">
      <c r="A27" t="inlineStr">
        <is>
          <t>☐</t>
        </is>
      </c>
      <c r="B27" t="inlineStr">
        <is>
          <t>Database backup files encrypted</t>
        </is>
      </c>
      <c r="C27" s="15" t="n"/>
    </row>
    <row r="28">
      <c r="A28" t="inlineStr">
        <is>
          <t>☐</t>
        </is>
      </c>
      <c r="B28" t="inlineStr">
        <is>
          <t>Transaction logs encrypted</t>
        </is>
      </c>
      <c r="C28" s="15" t="n"/>
    </row>
    <row r="29">
      <c r="A29" t="inlineStr">
        <is>
          <t>☐</t>
        </is>
      </c>
      <c r="B29" t="inlineStr">
        <is>
          <t>Encryption keys managed via KMS/HSM</t>
        </is>
      </c>
      <c r="C29" s="15" t="n"/>
    </row>
    <row r="30">
      <c r="A30" t="inlineStr">
        <is>
          <t>☐</t>
        </is>
      </c>
      <c r="B30" t="inlineStr">
        <is>
          <t>Master encryption key rotated per policy</t>
        </is>
      </c>
      <c r="C30" s="15" t="n"/>
    </row>
    <row r="31">
      <c r="A31" t="inlineStr">
        <is>
          <t>☐</t>
        </is>
      </c>
      <c r="B31" t="inlineStr">
        <is>
          <t>Encryption does not significantly impact performance</t>
        </is>
      </c>
      <c r="C31" s="15" t="n"/>
    </row>
    <row r="32">
      <c r="A32" t="inlineStr">
        <is>
          <t>☐</t>
        </is>
      </c>
      <c r="B32" t="inlineStr">
        <is>
          <t>Application-layer encryption for PII/PHI (if TDE unavailable)</t>
        </is>
      </c>
      <c r="C32" s="15" t="n"/>
    </row>
    <row r="33">
      <c r="A33" t="inlineStr">
        <is>
          <t>☐</t>
        </is>
      </c>
      <c r="B33" t="inlineStr">
        <is>
          <t>Encryption status verified in database audit logs</t>
        </is>
      </c>
      <c r="C33" s="15" t="n"/>
    </row>
    <row r="34">
      <c r="A34" t="inlineStr">
        <is>
          <t>☐</t>
        </is>
      </c>
      <c r="B34" t="inlineStr">
        <is>
          <t>Development/test databases use encryption for prod data</t>
        </is>
      </c>
      <c r="C34" s="15" t="n"/>
    </row>
    <row r="35">
      <c r="A35" t="inlineStr">
        <is>
          <t>☐</t>
        </is>
      </c>
      <c r="B35" t="inlineStr">
        <is>
          <t>Database snapshots/clones encrypted</t>
        </is>
      </c>
      <c r="C35" s="15" t="n"/>
    </row>
    <row r="36">
      <c r="A36" s="14" t="inlineStr">
        <is>
          <t>Checklist Score:</t>
        </is>
      </c>
      <c r="B36" s="20">
        <f>IFERROR(ROUND(COUNTIF(C24:C35,"✅ Yes")/COUNTA(C24:C35)*100,0)&amp;"%","0%")</f>
        <v/>
      </c>
    </row>
    <row r="38">
      <c r="A38" s="19" t="inlineStr">
        <is>
          <t>Technology-Specific Notes / Examples</t>
        </is>
      </c>
    </row>
    <row r="39">
      <c r="A39" s="14" t="inlineStr">
        <is>
          <t>SQL Server:</t>
        </is>
      </c>
      <c r="B39" s="24" t="inlineStr">
        <is>
          <t>TDE, Always Encrypted</t>
        </is>
      </c>
    </row>
    <row r="40">
      <c r="A40" s="14" t="inlineStr">
        <is>
          <t>Oracle:</t>
        </is>
      </c>
      <c r="B40" s="24" t="inlineStr">
        <is>
          <t>TDE, DBMS_CRYPTO</t>
        </is>
      </c>
    </row>
    <row r="41">
      <c r="A41" s="14" t="inlineStr">
        <is>
          <t>PostgreSQL:</t>
        </is>
      </c>
      <c r="B41" s="24" t="inlineStr">
        <is>
          <t>pgcrypto, LUKS volume encryption</t>
        </is>
      </c>
    </row>
    <row r="42">
      <c r="A42" s="14" t="inlineStr">
        <is>
          <t>MySQL:</t>
        </is>
      </c>
      <c r="B42" s="24" t="inlineStr">
        <is>
          <t>InnoDB encryption, file-level encryption</t>
        </is>
      </c>
    </row>
    <row r="43">
      <c r="A43" s="14" t="inlineStr">
        <is>
          <t>MongoDB:</t>
        </is>
      </c>
      <c r="B43" s="24" t="inlineStr">
        <is>
          <t>Encrypted Storage Engine</t>
        </is>
      </c>
    </row>
    <row r="44">
      <c r="A44" s="14" t="inlineStr">
        <is>
          <t>Cassandra:</t>
        </is>
      </c>
      <c r="B44" s="24" t="inlineStr">
        <is>
          <t>Transparent data encryption</t>
        </is>
      </c>
    </row>
    <row r="46">
      <c r="A46" s="21" t="inlineStr">
        <is>
          <t>EXCEPTION / DEVIATION DOCUMENTATION (Complete if Status = Partial or Non-Compliant)</t>
        </is>
      </c>
      <c r="B46" s="6" t="n"/>
      <c r="C46" s="6" t="n"/>
      <c r="D46" s="6" t="n"/>
      <c r="E46" s="6" t="n"/>
      <c r="F46" s="6" t="n"/>
      <c r="G46" s="6" t="n"/>
      <c r="H46" s="6" t="n"/>
      <c r="I46" s="6" t="n"/>
      <c r="J46" s="6" t="n"/>
      <c r="K46" s="6" t="n"/>
      <c r="L46" s="6" t="n"/>
      <c r="M46" s="6" t="n"/>
      <c r="N46" s="6" t="n"/>
      <c r="O46" s="6" t="n"/>
      <c r="P46" s="6" t="n"/>
      <c r="Q46" s="6" t="n"/>
    </row>
    <row r="47">
      <c r="A47" s="14" t="inlineStr">
        <is>
          <t>Formal exception request submitted:</t>
        </is>
      </c>
      <c r="B47" s="18" t="n"/>
      <c r="C47" s="6" t="n"/>
      <c r="D47" s="6" t="n"/>
    </row>
    <row r="48">
      <c r="A48" s="14" t="inlineStr">
        <is>
          <t>Exception ID:</t>
        </is>
      </c>
      <c r="B48" s="18" t="n"/>
      <c r="C48" s="6" t="n"/>
      <c r="D48" s="6" t="n"/>
    </row>
    <row r="49">
      <c r="A49" s="14" t="inlineStr">
        <is>
          <t>Risk acceptance documented:</t>
        </is>
      </c>
      <c r="B49" s="18" t="n"/>
      <c r="C49" s="6" t="n"/>
      <c r="D49" s="6" t="n"/>
    </row>
    <row r="50">
      <c r="A50" s="14" t="inlineStr">
        <is>
          <t>Risk ID:</t>
        </is>
      </c>
      <c r="B50" s="18" t="n"/>
      <c r="C50" s="6" t="n"/>
      <c r="D50" s="6" t="n"/>
    </row>
    <row r="51">
      <c r="A51" s="14" t="inlineStr">
        <is>
          <t>Compensating Controls (summary):</t>
        </is>
      </c>
      <c r="B51" s="18" t="n"/>
      <c r="C51" s="6" t="n"/>
      <c r="D51" s="6" t="n"/>
    </row>
    <row r="52">
      <c r="A52" s="14" t="inlineStr">
        <is>
          <t>☐ Physical security controls (locked facility, restricted access)</t>
        </is>
      </c>
      <c r="B52" s="18" t="n"/>
      <c r="C52" s="6" t="n"/>
      <c r="D52" s="6" t="n"/>
    </row>
    <row r="53">
      <c r="A53" s="14" t="inlineStr">
        <is>
          <t>☐ Network segmentation / air-gapped systems</t>
        </is>
      </c>
      <c r="B53" s="18" t="n"/>
      <c r="C53" s="6" t="n"/>
      <c r="D53" s="6" t="n"/>
    </row>
    <row r="54">
      <c r="A54" s="14" t="inlineStr">
        <is>
          <t>☐ Enhanced monitoring / DLP controls</t>
        </is>
      </c>
      <c r="B54" s="18" t="n"/>
      <c r="C54" s="6" t="n"/>
      <c r="D54" s="6" t="n"/>
    </row>
    <row r="55">
      <c r="A55" s="14" t="inlineStr">
        <is>
          <t>☐ Restricted user access / privileged access management</t>
        </is>
      </c>
      <c r="B55" s="18" t="n"/>
      <c r="C55" s="6" t="n"/>
      <c r="D55" s="6" t="n"/>
    </row>
    <row r="56">
      <c r="A56" s="14" t="inlineStr">
        <is>
          <t>☐ Data minimisation / reduced storage scope</t>
        </is>
      </c>
      <c r="B56" s="18" t="n"/>
      <c r="C56" s="6" t="n"/>
      <c r="D56" s="6" t="n"/>
    </row>
    <row r="57">
      <c r="A57" s="14" t="inlineStr">
        <is>
          <t>☐ Other (describe):</t>
        </is>
      </c>
      <c r="B57" s="18" t="n"/>
      <c r="C57" s="6" t="n"/>
      <c r="D57" s="6" t="n"/>
    </row>
    <row r="59">
      <c r="A59" s="22" t="inlineStr">
        <is>
          <t>ADDITIONAL NOTES / COMMENTS</t>
        </is>
      </c>
      <c r="B59" s="6" t="n"/>
      <c r="C59" s="6" t="n"/>
      <c r="D59" s="6" t="n"/>
      <c r="E59" s="6" t="n"/>
      <c r="F59" s="6" t="n"/>
      <c r="G59" s="6" t="n"/>
      <c r="H59" s="6" t="n"/>
      <c r="I59" s="6" t="n"/>
      <c r="J59" s="6" t="n"/>
      <c r="K59" s="6" t="n"/>
      <c r="L59" s="6" t="n"/>
      <c r="M59" s="6" t="n"/>
      <c r="N59" s="6" t="n"/>
      <c r="O59" s="6" t="n"/>
      <c r="P59" s="6" t="n"/>
      <c r="Q59" s="6" t="n"/>
    </row>
    <row r="60">
      <c r="A60" s="23" t="n"/>
      <c r="B60" s="6" t="n"/>
      <c r="C60" s="6" t="n"/>
      <c r="D60" s="6" t="n"/>
      <c r="E60" s="6" t="n"/>
      <c r="F60" s="6" t="n"/>
      <c r="G60" s="6" t="n"/>
      <c r="H60" s="6" t="n"/>
      <c r="I60" s="6" t="n"/>
      <c r="J60" s="6" t="n"/>
      <c r="K60" s="6" t="n"/>
      <c r="L60" s="6" t="n"/>
      <c r="M60" s="6" t="n"/>
      <c r="N60" s="6" t="n"/>
      <c r="O60" s="6" t="n"/>
      <c r="P60" s="6" t="n"/>
      <c r="Q60" s="6" t="n"/>
    </row>
    <row r="61">
      <c r="A61" s="6" t="n"/>
      <c r="B61" s="6" t="n"/>
      <c r="C61" s="6" t="n"/>
      <c r="D61" s="6" t="n"/>
      <c r="E61" s="6" t="n"/>
      <c r="F61" s="6" t="n"/>
      <c r="G61" s="6" t="n"/>
      <c r="H61" s="6" t="n"/>
      <c r="I61" s="6" t="n"/>
      <c r="J61" s="6" t="n"/>
      <c r="K61" s="6" t="n"/>
      <c r="L61" s="6" t="n"/>
      <c r="M61" s="6" t="n"/>
      <c r="N61" s="6" t="n"/>
      <c r="O61" s="6" t="n"/>
      <c r="P61" s="6" t="n"/>
      <c r="Q61" s="6" t="n"/>
    </row>
    <row r="62">
      <c r="A62" s="6" t="n"/>
      <c r="B62" s="6" t="n"/>
      <c r="C62" s="6" t="n"/>
      <c r="D62" s="6" t="n"/>
      <c r="E62" s="6" t="n"/>
      <c r="F62" s="6" t="n"/>
      <c r="G62" s="6" t="n"/>
      <c r="H62" s="6" t="n"/>
      <c r="I62" s="6" t="n"/>
      <c r="J62" s="6" t="n"/>
      <c r="K62" s="6" t="n"/>
      <c r="L62" s="6" t="n"/>
      <c r="M62" s="6" t="n"/>
      <c r="N62" s="6" t="n"/>
      <c r="O62" s="6" t="n"/>
      <c r="P62" s="6" t="n"/>
      <c r="Q62" s="6" t="n"/>
    </row>
    <row r="63">
      <c r="A63" s="6" t="n"/>
      <c r="B63" s="6" t="n"/>
      <c r="C63" s="6" t="n"/>
      <c r="D63" s="6" t="n"/>
      <c r="E63" s="6" t="n"/>
      <c r="F63" s="6" t="n"/>
      <c r="G63" s="6" t="n"/>
      <c r="H63" s="6" t="n"/>
      <c r="I63" s="6" t="n"/>
      <c r="J63" s="6" t="n"/>
      <c r="K63" s="6" t="n"/>
      <c r="L63" s="6" t="n"/>
      <c r="M63" s="6" t="n"/>
      <c r="N63" s="6" t="n"/>
      <c r="O63" s="6" t="n"/>
      <c r="P63" s="6" t="n"/>
      <c r="Q63" s="6" t="n"/>
    </row>
    <row r="64">
      <c r="A64" s="6" t="n"/>
      <c r="B64" s="6" t="n"/>
      <c r="C64" s="6" t="n"/>
      <c r="D64" s="6" t="n"/>
      <c r="E64" s="6" t="n"/>
      <c r="F64" s="6" t="n"/>
      <c r="G64" s="6" t="n"/>
      <c r="H64" s="6" t="n"/>
      <c r="I64" s="6" t="n"/>
      <c r="J64" s="6" t="n"/>
      <c r="K64" s="6" t="n"/>
      <c r="L64" s="6" t="n"/>
      <c r="M64" s="6" t="n"/>
      <c r="N64" s="6" t="n"/>
      <c r="O64" s="6" t="n"/>
      <c r="P64" s="6" t="n"/>
      <c r="Q64" s="6" t="n"/>
    </row>
    <row r="65">
      <c r="A65" s="6" t="n"/>
      <c r="B65" s="6" t="n"/>
      <c r="C65" s="6" t="n"/>
      <c r="D65" s="6" t="n"/>
      <c r="E65" s="6" t="n"/>
      <c r="F65" s="6" t="n"/>
      <c r="G65" s="6" t="n"/>
      <c r="H65" s="6" t="n"/>
      <c r="I65" s="6" t="n"/>
      <c r="J65" s="6" t="n"/>
      <c r="K65" s="6" t="n"/>
      <c r="L65" s="6" t="n"/>
      <c r="M65" s="6" t="n"/>
      <c r="N65" s="6" t="n"/>
      <c r="O65" s="6" t="n"/>
      <c r="P65" s="6" t="n"/>
      <c r="Q65" s="6" t="n"/>
    </row>
    <row r="66">
      <c r="A66" s="6" t="n"/>
      <c r="B66" s="6" t="n"/>
      <c r="C66" s="6" t="n"/>
      <c r="D66" s="6" t="n"/>
      <c r="E66" s="6" t="n"/>
      <c r="F66" s="6" t="n"/>
      <c r="G66" s="6" t="n"/>
      <c r="H66" s="6" t="n"/>
      <c r="I66" s="6" t="n"/>
      <c r="J66" s="6" t="n"/>
      <c r="K66" s="6" t="n"/>
      <c r="L66" s="6" t="n"/>
      <c r="M66" s="6" t="n"/>
      <c r="N66" s="6" t="n"/>
      <c r="O66" s="6" t="n"/>
      <c r="P66" s="6" t="n"/>
      <c r="Q66" s="6" t="n"/>
    </row>
    <row r="67">
      <c r="A67" s="6" t="n"/>
      <c r="B67" s="6" t="n"/>
      <c r="C67" s="6" t="n"/>
      <c r="D67" s="6" t="n"/>
      <c r="E67" s="6" t="n"/>
      <c r="F67" s="6" t="n"/>
      <c r="G67" s="6" t="n"/>
      <c r="H67" s="6" t="n"/>
      <c r="I67" s="6" t="n"/>
      <c r="J67" s="6" t="n"/>
      <c r="K67" s="6" t="n"/>
      <c r="L67" s="6" t="n"/>
      <c r="M67" s="6" t="n"/>
      <c r="N67" s="6" t="n"/>
      <c r="O67" s="6" t="n"/>
      <c r="P67" s="6" t="n"/>
      <c r="Q67" s="6" t="n"/>
    </row>
    <row r="68">
      <c r="A68" s="6" t="n"/>
      <c r="B68" s="6" t="n"/>
      <c r="C68" s="6" t="n"/>
      <c r="D68" s="6" t="n"/>
      <c r="E68" s="6" t="n"/>
      <c r="F68" s="6" t="n"/>
      <c r="G68" s="6" t="n"/>
      <c r="H68" s="6" t="n"/>
      <c r="I68" s="6" t="n"/>
      <c r="J68" s="6" t="n"/>
      <c r="K68" s="6" t="n"/>
      <c r="L68" s="6" t="n"/>
      <c r="M68" s="6" t="n"/>
      <c r="N68" s="6" t="n"/>
      <c r="O68" s="6" t="n"/>
      <c r="P68" s="6" t="n"/>
      <c r="Q68" s="6" t="n"/>
    </row>
  </sheetData>
  <mergeCells count="16">
    <mergeCell ref="B54:D54"/>
    <mergeCell ref="A3:Q3"/>
    <mergeCell ref="B57:D57"/>
    <mergeCell ref="B49:D49"/>
    <mergeCell ref="B50:D50"/>
    <mergeCell ref="A59:Q59"/>
    <mergeCell ref="A60:Q68"/>
    <mergeCell ref="B56:D56"/>
    <mergeCell ref="B52:D52"/>
    <mergeCell ref="B53:D53"/>
    <mergeCell ref="A1:Q1"/>
    <mergeCell ref="B55:D55"/>
    <mergeCell ref="B51:D51"/>
    <mergeCell ref="B47:D47"/>
    <mergeCell ref="B48:D48"/>
    <mergeCell ref="A46:Q46"/>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 Yes,❌ 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showDropDown="0" showInputMessage="0" showErrorMessage="0" allowBlank="0" type="list">
      <formula1>"✅ Yes,❌ No,N/A"</formula1>
    </dataValidation>
    <dataValidation sqref="B47 B49" showDropDown="0" showInputMessage="0" showErrorMessage="0" allowBlank="0" type="list">
      <formula1>"✅ Yes,❌ 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66"/>
  <sheetViews>
    <sheetView showGridLines="0"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35" customHeight="1">
      <c r="A1" s="11" t="inlineStr">
        <is>
          <t>5. CLOUD STORAGE - DATA AT REST ENCRYPTION
Policy Requirement: Cloud storage MUST use provider encryption with customer-managed keys where available (Policy Section 2.3.5)</t>
        </is>
      </c>
      <c r="B1" s="6" t="n"/>
      <c r="C1" s="6" t="n"/>
      <c r="D1" s="6" t="n"/>
      <c r="E1" s="6" t="n"/>
      <c r="F1" s="6" t="n"/>
      <c r="G1" s="6" t="n"/>
      <c r="H1" s="6" t="n"/>
      <c r="I1" s="6" t="n"/>
      <c r="J1" s="6" t="n"/>
      <c r="K1" s="6" t="n"/>
      <c r="L1" s="6" t="n"/>
      <c r="M1" s="6" t="n"/>
      <c r="N1" s="6" t="n"/>
      <c r="O1" s="6" t="n"/>
      <c r="P1" s="6" t="n"/>
      <c r="Q1" s="6" t="n"/>
    </row>
    <row r="2">
      <c r="A2" s="12" t="inlineStr">
        <is>
          <t>ISO/IEC 27001:2022 | Control A.8.24: Use of Cryptography</t>
        </is>
      </c>
    </row>
    <row r="3" ht="30" customHeight="1">
      <c r="A3" s="13" t="inlineStr">
        <is>
          <t>Does your organisation store data in cloud storage services (object storage, block storage, file storage)?</t>
        </is>
      </c>
      <c r="B3" s="6" t="n"/>
      <c r="C3" s="6" t="n"/>
      <c r="D3" s="6" t="n"/>
      <c r="E3" s="6" t="n"/>
      <c r="F3" s="6" t="n"/>
      <c r="G3" s="6" t="n"/>
      <c r="H3" s="6" t="n"/>
      <c r="I3" s="6" t="n"/>
      <c r="J3" s="6" t="n"/>
      <c r="K3" s="6" t="n"/>
      <c r="L3" s="6" t="n"/>
      <c r="M3" s="6" t="n"/>
      <c r="N3" s="6" t="n"/>
      <c r="O3" s="6" t="n"/>
      <c r="P3" s="6" t="n"/>
      <c r="Q3" s="6" t="n"/>
    </row>
    <row r="4">
      <c r="A4" s="14" t="inlineStr">
        <is>
          <t>Response:</t>
        </is>
      </c>
      <c r="B4" s="15" t="n"/>
    </row>
    <row r="6">
      <c r="A6" s="16" t="inlineStr">
        <is>
          <t>Storage System/Device</t>
        </is>
      </c>
      <c r="B6" s="16" t="inlineStr">
        <is>
          <t>Data Classification</t>
        </is>
      </c>
      <c r="C6" s="16" t="inlineStr">
        <is>
          <t>Encryption Status</t>
        </is>
      </c>
      <c r="D6" s="16" t="inlineStr">
        <is>
          <t>Encryption Type</t>
        </is>
      </c>
      <c r="E6" s="16" t="inlineStr">
        <is>
          <t>Algorithm &amp; Key Size</t>
        </is>
      </c>
      <c r="F6" s="16" t="inlineStr">
        <is>
          <t>Key Management Method</t>
        </is>
      </c>
      <c r="G6" s="16" t="inlineStr">
        <is>
          <t>Key Rotation Enabled</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row>
    <row r="7">
      <c r="A7" s="17" t="inlineStr">
        <is>
          <t>Example: Production SQL Server 2019 - FINDB01</t>
        </is>
      </c>
      <c r="B7" s="17" t="inlineStr">
        <is>
          <t>Restricted</t>
        </is>
      </c>
      <c r="C7" s="17" t="inlineStr">
        <is>
          <t>Encrypted</t>
        </is>
      </c>
      <c r="D7" s="17" t="inlineStr">
        <is>
          <t>Database TDE</t>
        </is>
      </c>
      <c r="E7" s="17" t="inlineStr">
        <is>
          <t>AES-256</t>
        </is>
      </c>
      <c r="F7" s="17" t="inlineStr">
        <is>
          <t>HSM</t>
        </is>
      </c>
      <c r="G7" s="17" t="inlineStr">
        <is>
          <t>✅ Yes</t>
        </is>
      </c>
      <c r="H7" s="17" t="inlineStr">
        <is>
          <t>✅ Compliant</t>
        </is>
      </c>
      <c r="I7" s="17" t="inlineStr">
        <is>
          <t>/evidence/databases/FINDB01-TDE-config.pdf</t>
        </is>
      </c>
      <c r="J7" s="17" t="inlineStr">
        <is>
          <t>None</t>
        </is>
      </c>
      <c r="K7" s="17" t="inlineStr">
        <is>
          <t>❌ No</t>
        </is>
      </c>
      <c r="L7" s="17" t="inlineStr">
        <is>
          <t>N/A</t>
        </is>
      </c>
      <c r="M7" s="17" t="inlineStr">
        <is>
          <t>N/A</t>
        </is>
      </c>
      <c r="N7" s="17" t="inlineStr">
        <is>
          <t>N/A</t>
        </is>
      </c>
      <c r="O7" s="17" t="inlineStr">
        <is>
          <t>N/A</t>
        </is>
      </c>
      <c r="P7" s="17" t="inlineStr">
        <is>
          <t>N/A</t>
        </is>
      </c>
      <c r="Q7" s="17" t="inlineStr">
        <is>
          <t>❌ No</t>
        </is>
      </c>
    </row>
    <row r="8">
      <c r="A8" s="18" t="n"/>
      <c r="B8" s="18" t="n"/>
      <c r="C8" s="18" t="n"/>
      <c r="D8" s="18" t="n"/>
      <c r="E8" s="18" t="n"/>
      <c r="F8" s="18" t="n"/>
      <c r="G8" s="18" t="n"/>
      <c r="H8" s="18" t="n"/>
      <c r="I8" s="18" t="n"/>
      <c r="J8" s="18" t="n"/>
      <c r="K8" s="18" t="n"/>
      <c r="L8" s="18" t="n"/>
      <c r="M8" s="18" t="n"/>
      <c r="N8" s="18" t="n"/>
      <c r="O8" s="18" t="n"/>
      <c r="P8" s="18" t="n"/>
      <c r="Q8" s="18" t="n"/>
    </row>
    <row r="9">
      <c r="A9" s="18" t="n"/>
      <c r="B9" s="18" t="n"/>
      <c r="C9" s="18" t="n"/>
      <c r="D9" s="18" t="n"/>
      <c r="E9" s="18" t="n"/>
      <c r="F9" s="18" t="n"/>
      <c r="G9" s="18" t="n"/>
      <c r="H9" s="18" t="n"/>
      <c r="I9" s="18" t="n"/>
      <c r="J9" s="18" t="n"/>
      <c r="K9" s="18" t="n"/>
      <c r="L9" s="18" t="n"/>
      <c r="M9" s="18" t="n"/>
      <c r="N9" s="18" t="n"/>
      <c r="O9" s="18" t="n"/>
      <c r="P9" s="18" t="n"/>
      <c r="Q9" s="18" t="n"/>
    </row>
    <row r="10">
      <c r="A10" s="18" t="n"/>
      <c r="B10" s="18" t="n"/>
      <c r="C10" s="18" t="n"/>
      <c r="D10" s="18" t="n"/>
      <c r="E10" s="18" t="n"/>
      <c r="F10" s="18" t="n"/>
      <c r="G10" s="18" t="n"/>
      <c r="H10" s="18" t="n"/>
      <c r="I10" s="18" t="n"/>
      <c r="J10" s="18" t="n"/>
      <c r="K10" s="18" t="n"/>
      <c r="L10" s="18" t="n"/>
      <c r="M10" s="18" t="n"/>
      <c r="N10" s="18" t="n"/>
      <c r="O10" s="18" t="n"/>
      <c r="P10" s="18" t="n"/>
      <c r="Q10" s="18" t="n"/>
    </row>
    <row r="11">
      <c r="A11" s="18" t="n"/>
      <c r="B11" s="18" t="n"/>
      <c r="C11" s="18" t="n"/>
      <c r="D11" s="18" t="n"/>
      <c r="E11" s="18" t="n"/>
      <c r="F11" s="18" t="n"/>
      <c r="G11" s="18" t="n"/>
      <c r="H11" s="18" t="n"/>
      <c r="I11" s="18" t="n"/>
      <c r="J11" s="18" t="n"/>
      <c r="K11" s="18" t="n"/>
      <c r="L11" s="18" t="n"/>
      <c r="M11" s="18" t="n"/>
      <c r="N11" s="18" t="n"/>
      <c r="O11" s="18" t="n"/>
      <c r="P11" s="18" t="n"/>
      <c r="Q11" s="18" t="n"/>
    </row>
    <row r="12">
      <c r="A12" s="18" t="n"/>
      <c r="B12" s="18" t="n"/>
      <c r="C12" s="18" t="n"/>
      <c r="D12" s="18" t="n"/>
      <c r="E12" s="18" t="n"/>
      <c r="F12" s="18" t="n"/>
      <c r="G12" s="18" t="n"/>
      <c r="H12" s="18" t="n"/>
      <c r="I12" s="18" t="n"/>
      <c r="J12" s="18" t="n"/>
      <c r="K12" s="18" t="n"/>
      <c r="L12" s="18" t="n"/>
      <c r="M12" s="18" t="n"/>
      <c r="N12" s="18" t="n"/>
      <c r="O12" s="18" t="n"/>
      <c r="P12" s="18" t="n"/>
      <c r="Q12" s="18" t="n"/>
    </row>
    <row r="13">
      <c r="A13" s="18" t="n"/>
      <c r="B13" s="18" t="n"/>
      <c r="C13" s="18" t="n"/>
      <c r="D13" s="18" t="n"/>
      <c r="E13" s="18" t="n"/>
      <c r="F13" s="18" t="n"/>
      <c r="G13" s="18" t="n"/>
      <c r="H13" s="18" t="n"/>
      <c r="I13" s="18" t="n"/>
      <c r="J13" s="18" t="n"/>
      <c r="K13" s="18" t="n"/>
      <c r="L13" s="18" t="n"/>
      <c r="M13" s="18" t="n"/>
      <c r="N13" s="18" t="n"/>
      <c r="O13" s="18" t="n"/>
      <c r="P13" s="18" t="n"/>
      <c r="Q13" s="18" t="n"/>
    </row>
    <row r="14">
      <c r="A14" s="18" t="n"/>
      <c r="B14" s="18" t="n"/>
      <c r="C14" s="18" t="n"/>
      <c r="D14" s="18" t="n"/>
      <c r="E14" s="18" t="n"/>
      <c r="F14" s="18" t="n"/>
      <c r="G14" s="18" t="n"/>
      <c r="H14" s="18" t="n"/>
      <c r="I14" s="18" t="n"/>
      <c r="J14" s="18" t="n"/>
      <c r="K14" s="18" t="n"/>
      <c r="L14" s="18" t="n"/>
      <c r="M14" s="18" t="n"/>
      <c r="N14" s="18" t="n"/>
      <c r="O14" s="18" t="n"/>
      <c r="P14" s="18" t="n"/>
      <c r="Q14" s="18" t="n"/>
    </row>
    <row r="15">
      <c r="A15" s="18" t="n"/>
      <c r="B15" s="18" t="n"/>
      <c r="C15" s="18" t="n"/>
      <c r="D15" s="18" t="n"/>
      <c r="E15" s="18" t="n"/>
      <c r="F15" s="18" t="n"/>
      <c r="G15" s="18" t="n"/>
      <c r="H15" s="18" t="n"/>
      <c r="I15" s="18" t="n"/>
      <c r="J15" s="18" t="n"/>
      <c r="K15" s="18" t="n"/>
      <c r="L15" s="18" t="n"/>
      <c r="M15" s="18" t="n"/>
      <c r="N15" s="18" t="n"/>
      <c r="O15" s="18" t="n"/>
      <c r="P15" s="18" t="n"/>
      <c r="Q15" s="18" t="n"/>
    </row>
    <row r="16">
      <c r="A16" s="18" t="n"/>
      <c r="B16" s="18" t="n"/>
      <c r="C16" s="18" t="n"/>
      <c r="D16" s="18" t="n"/>
      <c r="E16" s="18" t="n"/>
      <c r="F16" s="18" t="n"/>
      <c r="G16" s="18" t="n"/>
      <c r="H16" s="18" t="n"/>
      <c r="I16" s="18" t="n"/>
      <c r="J16" s="18" t="n"/>
      <c r="K16" s="18" t="n"/>
      <c r="L16" s="18" t="n"/>
      <c r="M16" s="18" t="n"/>
      <c r="N16" s="18" t="n"/>
      <c r="O16" s="18" t="n"/>
      <c r="P16" s="18" t="n"/>
      <c r="Q16" s="18" t="n"/>
    </row>
    <row r="17">
      <c r="A17" s="18" t="n"/>
      <c r="B17" s="18" t="n"/>
      <c r="C17" s="18" t="n"/>
      <c r="D17" s="18" t="n"/>
      <c r="E17" s="18" t="n"/>
      <c r="F17" s="18" t="n"/>
      <c r="G17" s="18" t="n"/>
      <c r="H17" s="18" t="n"/>
      <c r="I17" s="18" t="n"/>
      <c r="J17" s="18" t="n"/>
      <c r="K17" s="18" t="n"/>
      <c r="L17" s="18" t="n"/>
      <c r="M17" s="18" t="n"/>
      <c r="N17" s="18" t="n"/>
      <c r="O17" s="18" t="n"/>
      <c r="P17" s="18" t="n"/>
      <c r="Q17" s="18" t="n"/>
    </row>
    <row r="18">
      <c r="A18" s="18" t="n"/>
      <c r="B18" s="18" t="n"/>
      <c r="C18" s="18" t="n"/>
      <c r="D18" s="18" t="n"/>
      <c r="E18" s="18" t="n"/>
      <c r="F18" s="18" t="n"/>
      <c r="G18" s="18" t="n"/>
      <c r="H18" s="18" t="n"/>
      <c r="I18" s="18" t="n"/>
      <c r="J18" s="18" t="n"/>
      <c r="K18" s="18" t="n"/>
      <c r="L18" s="18" t="n"/>
      <c r="M18" s="18" t="n"/>
      <c r="N18" s="18" t="n"/>
      <c r="O18" s="18" t="n"/>
      <c r="P18" s="18" t="n"/>
      <c r="Q18" s="18" t="n"/>
    </row>
    <row r="19">
      <c r="A19" s="18" t="n"/>
      <c r="B19" s="18" t="n"/>
      <c r="C19" s="18" t="n"/>
      <c r="D19" s="18" t="n"/>
      <c r="E19" s="18" t="n"/>
      <c r="F19" s="18" t="n"/>
      <c r="G19" s="18" t="n"/>
      <c r="H19" s="18" t="n"/>
      <c r="I19" s="18" t="n"/>
      <c r="J19" s="18" t="n"/>
      <c r="K19" s="18" t="n"/>
      <c r="L19" s="18" t="n"/>
      <c r="M19" s="18" t="n"/>
      <c r="N19" s="18" t="n"/>
      <c r="O19" s="18" t="n"/>
      <c r="P19" s="18" t="n"/>
      <c r="Q19" s="18" t="n"/>
    </row>
    <row r="20">
      <c r="A20" s="18" t="n"/>
      <c r="B20" s="18" t="n"/>
      <c r="C20" s="18" t="n"/>
      <c r="D20" s="18" t="n"/>
      <c r="E20" s="18" t="n"/>
      <c r="F20" s="18" t="n"/>
      <c r="G20" s="18" t="n"/>
      <c r="H20" s="18" t="n"/>
      <c r="I20" s="18" t="n"/>
      <c r="J20" s="18" t="n"/>
      <c r="K20" s="18" t="n"/>
      <c r="L20" s="18" t="n"/>
      <c r="M20" s="18" t="n"/>
      <c r="N20" s="18" t="n"/>
      <c r="O20" s="18" t="n"/>
      <c r="P20" s="18" t="n"/>
      <c r="Q20" s="18" t="n"/>
    </row>
    <row r="22">
      <c r="A22" s="19" t="inlineStr">
        <is>
          <t>5. CLOUD STORAGE ENCRYPTION CHECKLIST</t>
        </is>
      </c>
    </row>
    <row r="23">
      <c r="A23" s="14" t="inlineStr">
        <is>
          <t>☐</t>
        </is>
      </c>
      <c r="B23" s="14" t="inlineStr">
        <is>
          <t>Requirement</t>
        </is>
      </c>
      <c r="C23" s="14" t="inlineStr">
        <is>
          <t>Status</t>
        </is>
      </c>
    </row>
    <row r="24">
      <c r="A24" t="inlineStr">
        <is>
          <t>☐</t>
        </is>
      </c>
      <c r="B24" t="inlineStr">
        <is>
          <t>Server-side encryption (SSE) enabled by default</t>
        </is>
      </c>
      <c r="C24" s="15" t="n"/>
    </row>
    <row r="25">
      <c r="A25" t="inlineStr">
        <is>
          <t>☐</t>
        </is>
      </c>
      <c r="B25" t="inlineStr">
        <is>
          <t>Customer-managed keys (CMK) configured</t>
        </is>
      </c>
      <c r="C25" s="15" t="n"/>
    </row>
    <row r="26">
      <c r="A26" t="inlineStr">
        <is>
          <t>☐</t>
        </is>
      </c>
      <c r="B26" t="inlineStr">
        <is>
          <t>Client-side encryption implemented for highly sensitive data</t>
        </is>
      </c>
      <c r="C26" s="15" t="n"/>
    </row>
    <row r="27">
      <c r="A27" t="inlineStr">
        <is>
          <t>☐</t>
        </is>
      </c>
      <c r="B27" t="inlineStr">
        <is>
          <t>Encryption key location documented (region/jurisdiction)</t>
        </is>
      </c>
      <c r="C27" s="15" t="n"/>
    </row>
    <row r="28">
      <c r="A28" t="inlineStr">
        <is>
          <t>☐</t>
        </is>
      </c>
      <c r="B28" t="inlineStr">
        <is>
          <t>Cloud KMS integrated (AWS KMS, Azure Key Vault, GCP KMS)</t>
        </is>
      </c>
      <c r="C28" s="15" t="n"/>
    </row>
    <row r="29">
      <c r="A29" t="inlineStr">
        <is>
          <t>☐</t>
        </is>
      </c>
      <c r="B29" t="inlineStr">
        <is>
          <t>Automatic key rotation enabled</t>
        </is>
      </c>
      <c r="C29" s="15" t="n"/>
    </row>
    <row r="30">
      <c r="A30" t="inlineStr">
        <is>
          <t>☐</t>
        </is>
      </c>
      <c r="B30" t="inlineStr">
        <is>
          <t>Encryption validated via cloud audit logs</t>
        </is>
      </c>
      <c r="C30" s="15" t="n"/>
    </row>
    <row r="31">
      <c r="A31" t="inlineStr">
        <is>
          <t>☐</t>
        </is>
      </c>
      <c r="B31" t="inlineStr">
        <is>
          <t>Data encrypted before upload (for maximum sensitivity)</t>
        </is>
      </c>
      <c r="C31" s="15" t="n"/>
    </row>
    <row r="32">
      <c r="A32" t="inlineStr">
        <is>
          <t>☐</t>
        </is>
      </c>
      <c r="B32" t="inlineStr">
        <is>
          <t>Bucket/container policies enforce encryption</t>
        </is>
      </c>
      <c r="C32" s="15" t="n"/>
    </row>
    <row r="33">
      <c r="A33" t="inlineStr">
        <is>
          <t>☐</t>
        </is>
      </c>
      <c r="B33" t="inlineStr">
        <is>
          <t>Cross-region replication maintains encryption</t>
        </is>
      </c>
      <c r="C33" s="15" t="n"/>
    </row>
    <row r="34">
      <c r="A34" t="inlineStr">
        <is>
          <t>☐</t>
        </is>
      </c>
      <c r="B34" t="inlineStr">
        <is>
          <t>Cloud backup snapshots encrypted</t>
        </is>
      </c>
      <c r="C34" s="15" t="n"/>
    </row>
    <row r="35">
      <c r="A35" t="inlineStr">
        <is>
          <t>☐</t>
        </is>
      </c>
      <c r="B35" t="inlineStr">
        <is>
          <t>Compliance certifications verified (SOC 2, ISO 27001)</t>
        </is>
      </c>
      <c r="C35" s="15" t="n"/>
    </row>
    <row r="36">
      <c r="A36" s="14" t="inlineStr">
        <is>
          <t>Checklist Score:</t>
        </is>
      </c>
      <c r="B36" s="20">
        <f>IFERROR(ROUND(COUNTIF(C24:C35,"✅ Yes")/COUNTA(C24:C35)*100,0)&amp;"%","0%")</f>
        <v/>
      </c>
    </row>
    <row r="38">
      <c r="A38" s="19" t="inlineStr">
        <is>
          <t>Technology-Specific Notes / Examples</t>
        </is>
      </c>
    </row>
    <row r="39">
      <c r="A39" s="14" t="inlineStr">
        <is>
          <t>AWS:</t>
        </is>
      </c>
      <c r="B39" s="24" t="inlineStr">
        <is>
          <t>S3 SSE-KMS, EBS encryption, RDS encryption</t>
        </is>
      </c>
    </row>
    <row r="40">
      <c r="A40" s="14" t="inlineStr">
        <is>
          <t>Azure:</t>
        </is>
      </c>
      <c r="B40" s="24" t="inlineStr">
        <is>
          <t>Storage Service Encryption, Azure Disk Encryption</t>
        </is>
      </c>
    </row>
    <row r="41">
      <c r="A41" s="14" t="inlineStr">
        <is>
          <t>GCP:</t>
        </is>
      </c>
      <c r="B41" s="24" t="inlineStr">
        <is>
          <t>Default encryption at rest, CMEK</t>
        </is>
      </c>
    </row>
    <row r="42">
      <c r="A42" s="14" t="inlineStr">
        <is>
          <t>Others:</t>
        </is>
      </c>
      <c r="B42" s="24" t="inlineStr">
        <is>
          <t>Document specific provider controls</t>
        </is>
      </c>
    </row>
    <row r="44">
      <c r="A44" s="21" t="inlineStr">
        <is>
          <t>EXCEPTION / DEVIATION DOCUMENTATION (Complete if Status = Partial or Non-Compliant)</t>
        </is>
      </c>
      <c r="B44" s="6" t="n"/>
      <c r="C44" s="6" t="n"/>
      <c r="D44" s="6" t="n"/>
      <c r="E44" s="6" t="n"/>
      <c r="F44" s="6" t="n"/>
      <c r="G44" s="6" t="n"/>
      <c r="H44" s="6" t="n"/>
      <c r="I44" s="6" t="n"/>
      <c r="J44" s="6" t="n"/>
      <c r="K44" s="6" t="n"/>
      <c r="L44" s="6" t="n"/>
      <c r="M44" s="6" t="n"/>
      <c r="N44" s="6" t="n"/>
      <c r="O44" s="6" t="n"/>
      <c r="P44" s="6" t="n"/>
      <c r="Q44" s="6" t="n"/>
    </row>
    <row r="45">
      <c r="A45" s="14" t="inlineStr">
        <is>
          <t>Formal exception request submitted:</t>
        </is>
      </c>
      <c r="B45" s="18" t="n"/>
      <c r="C45" s="6" t="n"/>
      <c r="D45" s="6" t="n"/>
    </row>
    <row r="46">
      <c r="A46" s="14" t="inlineStr">
        <is>
          <t>Exception ID:</t>
        </is>
      </c>
      <c r="B46" s="18" t="n"/>
      <c r="C46" s="6" t="n"/>
      <c r="D46" s="6" t="n"/>
    </row>
    <row r="47">
      <c r="A47" s="14" t="inlineStr">
        <is>
          <t>Risk acceptance documented:</t>
        </is>
      </c>
      <c r="B47" s="18" t="n"/>
      <c r="C47" s="6" t="n"/>
      <c r="D47" s="6" t="n"/>
    </row>
    <row r="48">
      <c r="A48" s="14" t="inlineStr">
        <is>
          <t>Risk ID:</t>
        </is>
      </c>
      <c r="B48" s="18" t="n"/>
      <c r="C48" s="6" t="n"/>
      <c r="D48" s="6" t="n"/>
    </row>
    <row r="49">
      <c r="A49" s="14" t="inlineStr">
        <is>
          <t>Compensating Controls (summary):</t>
        </is>
      </c>
      <c r="B49" s="18" t="n"/>
      <c r="C49" s="6" t="n"/>
      <c r="D49" s="6" t="n"/>
    </row>
    <row r="50">
      <c r="A50" s="14" t="inlineStr">
        <is>
          <t>☐ Physical security controls (locked facility, restricted access)</t>
        </is>
      </c>
      <c r="B50" s="18" t="n"/>
      <c r="C50" s="6" t="n"/>
      <c r="D50" s="6" t="n"/>
    </row>
    <row r="51">
      <c r="A51" s="14" t="inlineStr">
        <is>
          <t>☐ Network segmentation / air-gapped systems</t>
        </is>
      </c>
      <c r="B51" s="18" t="n"/>
      <c r="C51" s="6" t="n"/>
      <c r="D51" s="6" t="n"/>
    </row>
    <row r="52">
      <c r="A52" s="14" t="inlineStr">
        <is>
          <t>☐ Enhanced monitoring / DLP controls</t>
        </is>
      </c>
      <c r="B52" s="18" t="n"/>
      <c r="C52" s="6" t="n"/>
      <c r="D52" s="6" t="n"/>
    </row>
    <row r="53">
      <c r="A53" s="14" t="inlineStr">
        <is>
          <t>☐ Restricted user access / privileged access management</t>
        </is>
      </c>
      <c r="B53" s="18" t="n"/>
      <c r="C53" s="6" t="n"/>
      <c r="D53" s="6" t="n"/>
    </row>
    <row r="54">
      <c r="A54" s="14" t="inlineStr">
        <is>
          <t>☐ Data minimisation / reduced storage scope</t>
        </is>
      </c>
      <c r="B54" s="18" t="n"/>
      <c r="C54" s="6" t="n"/>
      <c r="D54" s="6" t="n"/>
    </row>
    <row r="55">
      <c r="A55" s="14" t="inlineStr">
        <is>
          <t>☐ Other (describe):</t>
        </is>
      </c>
      <c r="B55" s="18" t="n"/>
      <c r="C55" s="6" t="n"/>
      <c r="D55" s="6" t="n"/>
    </row>
    <row r="57">
      <c r="A57" s="22" t="inlineStr">
        <is>
          <t>ADDITIONAL NOTES / COMMENTS</t>
        </is>
      </c>
      <c r="B57" s="6" t="n"/>
      <c r="C57" s="6" t="n"/>
      <c r="D57" s="6" t="n"/>
      <c r="E57" s="6" t="n"/>
      <c r="F57" s="6" t="n"/>
      <c r="G57" s="6" t="n"/>
      <c r="H57" s="6" t="n"/>
      <c r="I57" s="6" t="n"/>
      <c r="J57" s="6" t="n"/>
      <c r="K57" s="6" t="n"/>
      <c r="L57" s="6" t="n"/>
      <c r="M57" s="6" t="n"/>
      <c r="N57" s="6" t="n"/>
      <c r="O57" s="6" t="n"/>
      <c r="P57" s="6" t="n"/>
      <c r="Q57" s="6" t="n"/>
    </row>
    <row r="58">
      <c r="A58" s="23" t="n"/>
      <c r="B58" s="6" t="n"/>
      <c r="C58" s="6" t="n"/>
      <c r="D58" s="6" t="n"/>
      <c r="E58" s="6" t="n"/>
      <c r="F58" s="6" t="n"/>
      <c r="G58" s="6" t="n"/>
      <c r="H58" s="6" t="n"/>
      <c r="I58" s="6" t="n"/>
      <c r="J58" s="6" t="n"/>
      <c r="K58" s="6" t="n"/>
      <c r="L58" s="6" t="n"/>
      <c r="M58" s="6" t="n"/>
      <c r="N58" s="6" t="n"/>
      <c r="O58" s="6" t="n"/>
      <c r="P58" s="6" t="n"/>
      <c r="Q58" s="6" t="n"/>
    </row>
    <row r="59">
      <c r="A59" s="6" t="n"/>
      <c r="B59" s="6" t="n"/>
      <c r="C59" s="6" t="n"/>
      <c r="D59" s="6" t="n"/>
      <c r="E59" s="6" t="n"/>
      <c r="F59" s="6" t="n"/>
      <c r="G59" s="6" t="n"/>
      <c r="H59" s="6" t="n"/>
      <c r="I59" s="6" t="n"/>
      <c r="J59" s="6" t="n"/>
      <c r="K59" s="6" t="n"/>
      <c r="L59" s="6" t="n"/>
      <c r="M59" s="6" t="n"/>
      <c r="N59" s="6" t="n"/>
      <c r="O59" s="6" t="n"/>
      <c r="P59" s="6" t="n"/>
      <c r="Q59" s="6" t="n"/>
    </row>
    <row r="60">
      <c r="A60" s="6" t="n"/>
      <c r="B60" s="6" t="n"/>
      <c r="C60" s="6" t="n"/>
      <c r="D60" s="6" t="n"/>
      <c r="E60" s="6" t="n"/>
      <c r="F60" s="6" t="n"/>
      <c r="G60" s="6" t="n"/>
      <c r="H60" s="6" t="n"/>
      <c r="I60" s="6" t="n"/>
      <c r="J60" s="6" t="n"/>
      <c r="K60" s="6" t="n"/>
      <c r="L60" s="6" t="n"/>
      <c r="M60" s="6" t="n"/>
      <c r="N60" s="6" t="n"/>
      <c r="O60" s="6" t="n"/>
      <c r="P60" s="6" t="n"/>
      <c r="Q60" s="6" t="n"/>
    </row>
    <row r="61">
      <c r="A61" s="6" t="n"/>
      <c r="B61" s="6" t="n"/>
      <c r="C61" s="6" t="n"/>
      <c r="D61" s="6" t="n"/>
      <c r="E61" s="6" t="n"/>
      <c r="F61" s="6" t="n"/>
      <c r="G61" s="6" t="n"/>
      <c r="H61" s="6" t="n"/>
      <c r="I61" s="6" t="n"/>
      <c r="J61" s="6" t="n"/>
      <c r="K61" s="6" t="n"/>
      <c r="L61" s="6" t="n"/>
      <c r="M61" s="6" t="n"/>
      <c r="N61" s="6" t="n"/>
      <c r="O61" s="6" t="n"/>
      <c r="P61" s="6" t="n"/>
      <c r="Q61" s="6" t="n"/>
    </row>
    <row r="62">
      <c r="A62" s="6" t="n"/>
      <c r="B62" s="6" t="n"/>
      <c r="C62" s="6" t="n"/>
      <c r="D62" s="6" t="n"/>
      <c r="E62" s="6" t="n"/>
      <c r="F62" s="6" t="n"/>
      <c r="G62" s="6" t="n"/>
      <c r="H62" s="6" t="n"/>
      <c r="I62" s="6" t="n"/>
      <c r="J62" s="6" t="n"/>
      <c r="K62" s="6" t="n"/>
      <c r="L62" s="6" t="n"/>
      <c r="M62" s="6" t="n"/>
      <c r="N62" s="6" t="n"/>
      <c r="O62" s="6" t="n"/>
      <c r="P62" s="6" t="n"/>
      <c r="Q62" s="6" t="n"/>
    </row>
    <row r="63">
      <c r="A63" s="6" t="n"/>
      <c r="B63" s="6" t="n"/>
      <c r="C63" s="6" t="n"/>
      <c r="D63" s="6" t="n"/>
      <c r="E63" s="6" t="n"/>
      <c r="F63" s="6" t="n"/>
      <c r="G63" s="6" t="n"/>
      <c r="H63" s="6" t="n"/>
      <c r="I63" s="6" t="n"/>
      <c r="J63" s="6" t="n"/>
      <c r="K63" s="6" t="n"/>
      <c r="L63" s="6" t="n"/>
      <c r="M63" s="6" t="n"/>
      <c r="N63" s="6" t="n"/>
      <c r="O63" s="6" t="n"/>
      <c r="P63" s="6" t="n"/>
      <c r="Q63" s="6" t="n"/>
    </row>
    <row r="64">
      <c r="A64" s="6" t="n"/>
      <c r="B64" s="6" t="n"/>
      <c r="C64" s="6" t="n"/>
      <c r="D64" s="6" t="n"/>
      <c r="E64" s="6" t="n"/>
      <c r="F64" s="6" t="n"/>
      <c r="G64" s="6" t="n"/>
      <c r="H64" s="6" t="n"/>
      <c r="I64" s="6" t="n"/>
      <c r="J64" s="6" t="n"/>
      <c r="K64" s="6" t="n"/>
      <c r="L64" s="6" t="n"/>
      <c r="M64" s="6" t="n"/>
      <c r="N64" s="6" t="n"/>
      <c r="O64" s="6" t="n"/>
      <c r="P64" s="6" t="n"/>
      <c r="Q64" s="6" t="n"/>
    </row>
    <row r="65">
      <c r="A65" s="6" t="n"/>
      <c r="B65" s="6" t="n"/>
      <c r="C65" s="6" t="n"/>
      <c r="D65" s="6" t="n"/>
      <c r="E65" s="6" t="n"/>
      <c r="F65" s="6" t="n"/>
      <c r="G65" s="6" t="n"/>
      <c r="H65" s="6" t="n"/>
      <c r="I65" s="6" t="n"/>
      <c r="J65" s="6" t="n"/>
      <c r="K65" s="6" t="n"/>
      <c r="L65" s="6" t="n"/>
      <c r="M65" s="6" t="n"/>
      <c r="N65" s="6" t="n"/>
      <c r="O65" s="6" t="n"/>
      <c r="P65" s="6" t="n"/>
      <c r="Q65" s="6" t="n"/>
    </row>
    <row r="66">
      <c r="A66" s="6" t="n"/>
      <c r="B66" s="6" t="n"/>
      <c r="C66" s="6" t="n"/>
      <c r="D66" s="6" t="n"/>
      <c r="E66" s="6" t="n"/>
      <c r="F66" s="6" t="n"/>
      <c r="G66" s="6" t="n"/>
      <c r="H66" s="6" t="n"/>
      <c r="I66" s="6" t="n"/>
      <c r="J66" s="6" t="n"/>
      <c r="K66" s="6" t="n"/>
      <c r="L66" s="6" t="n"/>
      <c r="M66" s="6" t="n"/>
      <c r="N66" s="6" t="n"/>
      <c r="O66" s="6" t="n"/>
      <c r="P66" s="6" t="n"/>
      <c r="Q66" s="6" t="n"/>
    </row>
  </sheetData>
  <mergeCells count="16">
    <mergeCell ref="A58:Q66"/>
    <mergeCell ref="A44:Q44"/>
    <mergeCell ref="B47:D47"/>
    <mergeCell ref="B54:D54"/>
    <mergeCell ref="A3:Q3"/>
    <mergeCell ref="B46:D46"/>
    <mergeCell ref="B45:D45"/>
    <mergeCell ref="B49:D49"/>
    <mergeCell ref="B50:D50"/>
    <mergeCell ref="A57:Q57"/>
    <mergeCell ref="B52:D52"/>
    <mergeCell ref="B53:D53"/>
    <mergeCell ref="B55:D55"/>
    <mergeCell ref="B51:D51"/>
    <mergeCell ref="A1:Q1"/>
    <mergeCell ref="B48:D48"/>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 Yes,❌ 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showDropDown="0" showInputMessage="0" showErrorMessage="0" allowBlank="0" type="list">
      <formula1>"✅ Yes,❌ No,N/A"</formula1>
    </dataValidation>
    <dataValidation sqref="B45 B47" showDropDown="0" showInputMessage="0" showErrorMessage="0" allowBlank="0" type="list">
      <formula1>"✅ Yes,❌ 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67"/>
  <sheetViews>
    <sheetView showGridLines="0"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35" customHeight="1">
      <c r="A1" s="11" t="inlineStr">
        <is>
          <t>6. BACKUPS - DATA AT REST ENCRYPTION
Policy Requirement: Backup media and backup data MUST be encrypted with strong cryptography (Policy Section 2.3.6)</t>
        </is>
      </c>
      <c r="B1" s="6" t="n"/>
      <c r="C1" s="6" t="n"/>
      <c r="D1" s="6" t="n"/>
      <c r="E1" s="6" t="n"/>
      <c r="F1" s="6" t="n"/>
      <c r="G1" s="6" t="n"/>
      <c r="H1" s="6" t="n"/>
      <c r="I1" s="6" t="n"/>
      <c r="J1" s="6" t="n"/>
      <c r="K1" s="6" t="n"/>
      <c r="L1" s="6" t="n"/>
      <c r="M1" s="6" t="n"/>
      <c r="N1" s="6" t="n"/>
      <c r="O1" s="6" t="n"/>
      <c r="P1" s="6" t="n"/>
      <c r="Q1" s="6" t="n"/>
    </row>
    <row r="2">
      <c r="A2" s="12" t="inlineStr">
        <is>
          <t>ISO/IEC 27001:2022 | Control A.8.24: Use of Cryptography</t>
        </is>
      </c>
    </row>
    <row r="3" ht="30" customHeight="1">
      <c r="A3" s="13" t="inlineStr">
        <is>
          <t>Does your organisation perform backups of systems, databases, or files?</t>
        </is>
      </c>
      <c r="B3" s="6" t="n"/>
      <c r="C3" s="6" t="n"/>
      <c r="D3" s="6" t="n"/>
      <c r="E3" s="6" t="n"/>
      <c r="F3" s="6" t="n"/>
      <c r="G3" s="6" t="n"/>
      <c r="H3" s="6" t="n"/>
      <c r="I3" s="6" t="n"/>
      <c r="J3" s="6" t="n"/>
      <c r="K3" s="6" t="n"/>
      <c r="L3" s="6" t="n"/>
      <c r="M3" s="6" t="n"/>
      <c r="N3" s="6" t="n"/>
      <c r="O3" s="6" t="n"/>
      <c r="P3" s="6" t="n"/>
      <c r="Q3" s="6" t="n"/>
    </row>
    <row r="4">
      <c r="A4" s="14" t="inlineStr">
        <is>
          <t>Response:</t>
        </is>
      </c>
      <c r="B4" s="15" t="n"/>
    </row>
    <row r="6">
      <c r="A6" s="16" t="inlineStr">
        <is>
          <t>Storage System/Device</t>
        </is>
      </c>
      <c r="B6" s="16" t="inlineStr">
        <is>
          <t>Data Classification</t>
        </is>
      </c>
      <c r="C6" s="16" t="inlineStr">
        <is>
          <t>Encryption Status</t>
        </is>
      </c>
      <c r="D6" s="16" t="inlineStr">
        <is>
          <t>Encryption Type</t>
        </is>
      </c>
      <c r="E6" s="16" t="inlineStr">
        <is>
          <t>Algorithm &amp; Key Size</t>
        </is>
      </c>
      <c r="F6" s="16" t="inlineStr">
        <is>
          <t>Key Management Method</t>
        </is>
      </c>
      <c r="G6" s="16" t="inlineStr">
        <is>
          <t>Key Rotation Enabled</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row>
    <row r="7">
      <c r="A7" s="17" t="inlineStr">
        <is>
          <t>Example: Production SQL Server 2019 - FINDB01</t>
        </is>
      </c>
      <c r="B7" s="17" t="inlineStr">
        <is>
          <t>Restricted</t>
        </is>
      </c>
      <c r="C7" s="17" t="inlineStr">
        <is>
          <t>Encrypted</t>
        </is>
      </c>
      <c r="D7" s="17" t="inlineStr">
        <is>
          <t>Database TDE</t>
        </is>
      </c>
      <c r="E7" s="17" t="inlineStr">
        <is>
          <t>AES-256</t>
        </is>
      </c>
      <c r="F7" s="17" t="inlineStr">
        <is>
          <t>HSM</t>
        </is>
      </c>
      <c r="G7" s="17" t="inlineStr">
        <is>
          <t>✅ Yes</t>
        </is>
      </c>
      <c r="H7" s="17" t="inlineStr">
        <is>
          <t>✅ Compliant</t>
        </is>
      </c>
      <c r="I7" s="17" t="inlineStr">
        <is>
          <t>/evidence/databases/FINDB01-TDE-config.pdf</t>
        </is>
      </c>
      <c r="J7" s="17" t="inlineStr">
        <is>
          <t>None</t>
        </is>
      </c>
      <c r="K7" s="17" t="inlineStr">
        <is>
          <t>❌ No</t>
        </is>
      </c>
      <c r="L7" s="17" t="inlineStr">
        <is>
          <t>N/A</t>
        </is>
      </c>
      <c r="M7" s="17" t="inlineStr">
        <is>
          <t>N/A</t>
        </is>
      </c>
      <c r="N7" s="17" t="inlineStr">
        <is>
          <t>N/A</t>
        </is>
      </c>
      <c r="O7" s="17" t="inlineStr">
        <is>
          <t>N/A</t>
        </is>
      </c>
      <c r="P7" s="17" t="inlineStr">
        <is>
          <t>N/A</t>
        </is>
      </c>
      <c r="Q7" s="17" t="inlineStr">
        <is>
          <t>❌ No</t>
        </is>
      </c>
    </row>
    <row r="8">
      <c r="A8" s="18" t="n"/>
      <c r="B8" s="18" t="n"/>
      <c r="C8" s="18" t="n"/>
      <c r="D8" s="18" t="n"/>
      <c r="E8" s="18" t="n"/>
      <c r="F8" s="18" t="n"/>
      <c r="G8" s="18" t="n"/>
      <c r="H8" s="18" t="n"/>
      <c r="I8" s="18" t="n"/>
      <c r="J8" s="18" t="n"/>
      <c r="K8" s="18" t="n"/>
      <c r="L8" s="18" t="n"/>
      <c r="M8" s="18" t="n"/>
      <c r="N8" s="18" t="n"/>
      <c r="O8" s="18" t="n"/>
      <c r="P8" s="18" t="n"/>
      <c r="Q8" s="18" t="n"/>
    </row>
    <row r="9">
      <c r="A9" s="18" t="n"/>
      <c r="B9" s="18" t="n"/>
      <c r="C9" s="18" t="n"/>
      <c r="D9" s="18" t="n"/>
      <c r="E9" s="18" t="n"/>
      <c r="F9" s="18" t="n"/>
      <c r="G9" s="18" t="n"/>
      <c r="H9" s="18" t="n"/>
      <c r="I9" s="18" t="n"/>
      <c r="J9" s="18" t="n"/>
      <c r="K9" s="18" t="n"/>
      <c r="L9" s="18" t="n"/>
      <c r="M9" s="18" t="n"/>
      <c r="N9" s="18" t="n"/>
      <c r="O9" s="18" t="n"/>
      <c r="P9" s="18" t="n"/>
      <c r="Q9" s="18" t="n"/>
    </row>
    <row r="10">
      <c r="A10" s="18" t="n"/>
      <c r="B10" s="18" t="n"/>
      <c r="C10" s="18" t="n"/>
      <c r="D10" s="18" t="n"/>
      <c r="E10" s="18" t="n"/>
      <c r="F10" s="18" t="n"/>
      <c r="G10" s="18" t="n"/>
      <c r="H10" s="18" t="n"/>
      <c r="I10" s="18" t="n"/>
      <c r="J10" s="18" t="n"/>
      <c r="K10" s="18" t="n"/>
      <c r="L10" s="18" t="n"/>
      <c r="M10" s="18" t="n"/>
      <c r="N10" s="18" t="n"/>
      <c r="O10" s="18" t="n"/>
      <c r="P10" s="18" t="n"/>
      <c r="Q10" s="18" t="n"/>
    </row>
    <row r="11">
      <c r="A11" s="18" t="n"/>
      <c r="B11" s="18" t="n"/>
      <c r="C11" s="18" t="n"/>
      <c r="D11" s="18" t="n"/>
      <c r="E11" s="18" t="n"/>
      <c r="F11" s="18" t="n"/>
      <c r="G11" s="18" t="n"/>
      <c r="H11" s="18" t="n"/>
      <c r="I11" s="18" t="n"/>
      <c r="J11" s="18" t="n"/>
      <c r="K11" s="18" t="n"/>
      <c r="L11" s="18" t="n"/>
      <c r="M11" s="18" t="n"/>
      <c r="N11" s="18" t="n"/>
      <c r="O11" s="18" t="n"/>
      <c r="P11" s="18" t="n"/>
      <c r="Q11" s="18" t="n"/>
    </row>
    <row r="12">
      <c r="A12" s="18" t="n"/>
      <c r="B12" s="18" t="n"/>
      <c r="C12" s="18" t="n"/>
      <c r="D12" s="18" t="n"/>
      <c r="E12" s="18" t="n"/>
      <c r="F12" s="18" t="n"/>
      <c r="G12" s="18" t="n"/>
      <c r="H12" s="18" t="n"/>
      <c r="I12" s="18" t="n"/>
      <c r="J12" s="18" t="n"/>
      <c r="K12" s="18" t="n"/>
      <c r="L12" s="18" t="n"/>
      <c r="M12" s="18" t="n"/>
      <c r="N12" s="18" t="n"/>
      <c r="O12" s="18" t="n"/>
      <c r="P12" s="18" t="n"/>
      <c r="Q12" s="18" t="n"/>
    </row>
    <row r="13">
      <c r="A13" s="18" t="n"/>
      <c r="B13" s="18" t="n"/>
      <c r="C13" s="18" t="n"/>
      <c r="D13" s="18" t="n"/>
      <c r="E13" s="18" t="n"/>
      <c r="F13" s="18" t="n"/>
      <c r="G13" s="18" t="n"/>
      <c r="H13" s="18" t="n"/>
      <c r="I13" s="18" t="n"/>
      <c r="J13" s="18" t="n"/>
      <c r="K13" s="18" t="n"/>
      <c r="L13" s="18" t="n"/>
      <c r="M13" s="18" t="n"/>
      <c r="N13" s="18" t="n"/>
      <c r="O13" s="18" t="n"/>
      <c r="P13" s="18" t="n"/>
      <c r="Q13" s="18" t="n"/>
    </row>
    <row r="14">
      <c r="A14" s="18" t="n"/>
      <c r="B14" s="18" t="n"/>
      <c r="C14" s="18" t="n"/>
      <c r="D14" s="18" t="n"/>
      <c r="E14" s="18" t="n"/>
      <c r="F14" s="18" t="n"/>
      <c r="G14" s="18" t="n"/>
      <c r="H14" s="18" t="n"/>
      <c r="I14" s="18" t="n"/>
      <c r="J14" s="18" t="n"/>
      <c r="K14" s="18" t="n"/>
      <c r="L14" s="18" t="n"/>
      <c r="M14" s="18" t="n"/>
      <c r="N14" s="18" t="n"/>
      <c r="O14" s="18" t="n"/>
      <c r="P14" s="18" t="n"/>
      <c r="Q14" s="18" t="n"/>
    </row>
    <row r="15">
      <c r="A15" s="18" t="n"/>
      <c r="B15" s="18" t="n"/>
      <c r="C15" s="18" t="n"/>
      <c r="D15" s="18" t="n"/>
      <c r="E15" s="18" t="n"/>
      <c r="F15" s="18" t="n"/>
      <c r="G15" s="18" t="n"/>
      <c r="H15" s="18" t="n"/>
      <c r="I15" s="18" t="n"/>
      <c r="J15" s="18" t="n"/>
      <c r="K15" s="18" t="n"/>
      <c r="L15" s="18" t="n"/>
      <c r="M15" s="18" t="n"/>
      <c r="N15" s="18" t="n"/>
      <c r="O15" s="18" t="n"/>
      <c r="P15" s="18" t="n"/>
      <c r="Q15" s="18" t="n"/>
    </row>
    <row r="16">
      <c r="A16" s="18" t="n"/>
      <c r="B16" s="18" t="n"/>
      <c r="C16" s="18" t="n"/>
      <c r="D16" s="18" t="n"/>
      <c r="E16" s="18" t="n"/>
      <c r="F16" s="18" t="n"/>
      <c r="G16" s="18" t="n"/>
      <c r="H16" s="18" t="n"/>
      <c r="I16" s="18" t="n"/>
      <c r="J16" s="18" t="n"/>
      <c r="K16" s="18" t="n"/>
      <c r="L16" s="18" t="n"/>
      <c r="M16" s="18" t="n"/>
      <c r="N16" s="18" t="n"/>
      <c r="O16" s="18" t="n"/>
      <c r="P16" s="18" t="n"/>
      <c r="Q16" s="18" t="n"/>
    </row>
    <row r="17">
      <c r="A17" s="18" t="n"/>
      <c r="B17" s="18" t="n"/>
      <c r="C17" s="18" t="n"/>
      <c r="D17" s="18" t="n"/>
      <c r="E17" s="18" t="n"/>
      <c r="F17" s="18" t="n"/>
      <c r="G17" s="18" t="n"/>
      <c r="H17" s="18" t="n"/>
      <c r="I17" s="18" t="n"/>
      <c r="J17" s="18" t="n"/>
      <c r="K17" s="18" t="n"/>
      <c r="L17" s="18" t="n"/>
      <c r="M17" s="18" t="n"/>
      <c r="N17" s="18" t="n"/>
      <c r="O17" s="18" t="n"/>
      <c r="P17" s="18" t="n"/>
      <c r="Q17" s="18" t="n"/>
    </row>
    <row r="18">
      <c r="A18" s="18" t="n"/>
      <c r="B18" s="18" t="n"/>
      <c r="C18" s="18" t="n"/>
      <c r="D18" s="18" t="n"/>
      <c r="E18" s="18" t="n"/>
      <c r="F18" s="18" t="n"/>
      <c r="G18" s="18" t="n"/>
      <c r="H18" s="18" t="n"/>
      <c r="I18" s="18" t="n"/>
      <c r="J18" s="18" t="n"/>
      <c r="K18" s="18" t="n"/>
      <c r="L18" s="18" t="n"/>
      <c r="M18" s="18" t="n"/>
      <c r="N18" s="18" t="n"/>
      <c r="O18" s="18" t="n"/>
      <c r="P18" s="18" t="n"/>
      <c r="Q18" s="18" t="n"/>
    </row>
    <row r="19">
      <c r="A19" s="18" t="n"/>
      <c r="B19" s="18" t="n"/>
      <c r="C19" s="18" t="n"/>
      <c r="D19" s="18" t="n"/>
      <c r="E19" s="18" t="n"/>
      <c r="F19" s="18" t="n"/>
      <c r="G19" s="18" t="n"/>
      <c r="H19" s="18" t="n"/>
      <c r="I19" s="18" t="n"/>
      <c r="J19" s="18" t="n"/>
      <c r="K19" s="18" t="n"/>
      <c r="L19" s="18" t="n"/>
      <c r="M19" s="18" t="n"/>
      <c r="N19" s="18" t="n"/>
      <c r="O19" s="18" t="n"/>
      <c r="P19" s="18" t="n"/>
      <c r="Q19" s="18" t="n"/>
    </row>
    <row r="20">
      <c r="A20" s="18" t="n"/>
      <c r="B20" s="18" t="n"/>
      <c r="C20" s="18" t="n"/>
      <c r="D20" s="18" t="n"/>
      <c r="E20" s="18" t="n"/>
      <c r="F20" s="18" t="n"/>
      <c r="G20" s="18" t="n"/>
      <c r="H20" s="18" t="n"/>
      <c r="I20" s="18" t="n"/>
      <c r="J20" s="18" t="n"/>
      <c r="K20" s="18" t="n"/>
      <c r="L20" s="18" t="n"/>
      <c r="M20" s="18" t="n"/>
      <c r="N20" s="18" t="n"/>
      <c r="O20" s="18" t="n"/>
      <c r="P20" s="18" t="n"/>
      <c r="Q20" s="18" t="n"/>
    </row>
    <row r="22">
      <c r="A22" s="19" t="inlineStr">
        <is>
          <t>6. BACKUPS ENCRYPTION CHECKLIST</t>
        </is>
      </c>
    </row>
    <row r="23">
      <c r="A23" s="14" t="inlineStr">
        <is>
          <t>☐</t>
        </is>
      </c>
      <c r="B23" s="14" t="inlineStr">
        <is>
          <t>Requirement</t>
        </is>
      </c>
      <c r="C23" s="14" t="inlineStr">
        <is>
          <t>Status</t>
        </is>
      </c>
    </row>
    <row r="24">
      <c r="A24" t="inlineStr">
        <is>
          <t>☐</t>
        </is>
      </c>
      <c r="B24" t="inlineStr">
        <is>
          <t>Full backup encryption enabled</t>
        </is>
      </c>
      <c r="C24" s="15" t="n"/>
    </row>
    <row r="25">
      <c r="A25" t="inlineStr">
        <is>
          <t>☐</t>
        </is>
      </c>
      <c r="B25" t="inlineStr">
        <is>
          <t>Incremental/differential backups encrypted</t>
        </is>
      </c>
      <c r="C25" s="15" t="n"/>
    </row>
    <row r="26">
      <c r="A26" t="inlineStr">
        <is>
          <t>☐</t>
        </is>
      </c>
      <c r="B26" t="inlineStr">
        <is>
          <t>Backup encryption configured before first backup</t>
        </is>
      </c>
      <c r="C26" s="15" t="n"/>
    </row>
    <row r="27">
      <c r="A27" t="inlineStr">
        <is>
          <t>☐</t>
        </is>
      </c>
      <c r="B27" t="inlineStr">
        <is>
          <t>Backup encryption keys managed separately from backup data</t>
        </is>
      </c>
      <c r="C27" s="15" t="n"/>
    </row>
    <row r="28">
      <c r="A28" t="inlineStr">
        <is>
          <t>☐</t>
        </is>
      </c>
      <c r="B28" t="inlineStr">
        <is>
          <t>Offsite/cloud backup storage encrypted in transit AND at rest</t>
        </is>
      </c>
      <c r="C28" s="15" t="n"/>
    </row>
    <row r="29">
      <c r="A29" t="inlineStr">
        <is>
          <t>☐</t>
        </is>
      </c>
      <c r="B29" t="inlineStr">
        <is>
          <t>Tape backups encrypted (if applicable)</t>
        </is>
      </c>
      <c r="C29" s="15" t="n"/>
    </row>
    <row r="30">
      <c r="A30" t="inlineStr">
        <is>
          <t>☐</t>
        </is>
      </c>
      <c r="B30" t="inlineStr">
        <is>
          <t>Virtual machine backups encrypted</t>
        </is>
      </c>
      <c r="C30" s="15" t="n"/>
    </row>
    <row r="31">
      <c r="A31" t="inlineStr">
        <is>
          <t>☐</t>
        </is>
      </c>
      <c r="B31" t="inlineStr">
        <is>
          <t>Database backup encryption independent of TDE</t>
        </is>
      </c>
      <c r="C31" s="15" t="n"/>
    </row>
    <row r="32">
      <c r="A32" t="inlineStr">
        <is>
          <t>☐</t>
        </is>
      </c>
      <c r="B32" t="inlineStr">
        <is>
          <t>Backup restoration tested with encryption</t>
        </is>
      </c>
      <c r="C32" s="15" t="n"/>
    </row>
    <row r="33">
      <c r="A33" t="inlineStr">
        <is>
          <t>☐</t>
        </is>
      </c>
      <c r="B33" t="inlineStr">
        <is>
          <t>Backup encryption key recovery procedure documented</t>
        </is>
      </c>
      <c r="C33" s="15" t="n"/>
    </row>
    <row r="34">
      <c r="A34" t="inlineStr">
        <is>
          <t>☐</t>
        </is>
      </c>
      <c r="B34" t="inlineStr">
        <is>
          <t>Long-term archive backups maintain encryption</t>
        </is>
      </c>
      <c r="C34" s="15" t="n"/>
    </row>
    <row r="35">
      <c r="A35" t="inlineStr">
        <is>
          <t>☐</t>
        </is>
      </c>
      <c r="B35" t="inlineStr">
        <is>
          <t>Backup logs do not expose sensitive data in plaintext</t>
        </is>
      </c>
      <c r="C35" s="15" t="n"/>
    </row>
    <row r="36">
      <c r="A36" s="14" t="inlineStr">
        <is>
          <t>Checklist Score:</t>
        </is>
      </c>
      <c r="B36" s="20">
        <f>IFERROR(ROUND(COUNTIF(C24:C35,"✅ Yes")/COUNTA(C24:C35)*100,0)&amp;"%","0%")</f>
        <v/>
      </c>
    </row>
    <row r="38">
      <c r="A38" s="19" t="inlineStr">
        <is>
          <t>Technology-Specific Notes / Examples</t>
        </is>
      </c>
    </row>
    <row r="39">
      <c r="A39" s="14" t="inlineStr">
        <is>
          <t>Agent-based:</t>
        </is>
      </c>
      <c r="B39" s="24" t="inlineStr">
        <is>
          <t>Veeam, Commvault, Veritas</t>
        </is>
      </c>
    </row>
    <row r="40">
      <c r="A40" s="14" t="inlineStr">
        <is>
          <t>Cloud-native:</t>
        </is>
      </c>
      <c r="B40" s="24" t="inlineStr">
        <is>
          <t>AWS Backup, Azure Backup</t>
        </is>
      </c>
    </row>
    <row r="41">
      <c r="A41" s="14" t="inlineStr">
        <is>
          <t>Database-native:</t>
        </is>
      </c>
      <c r="B41" s="24" t="inlineStr">
        <is>
          <t>RMAN (Oracle), SQL Server Backup</t>
        </is>
      </c>
    </row>
    <row r="42">
      <c r="A42" s="14" t="inlineStr">
        <is>
          <t>File-level:</t>
        </is>
      </c>
      <c r="B42" s="24" t="inlineStr">
        <is>
          <t>rsync + GPG, Duplicati</t>
        </is>
      </c>
    </row>
    <row r="43">
      <c r="A43" s="14" t="inlineStr">
        <is>
          <t>Container:</t>
        </is>
      </c>
      <c r="B43" s="24" t="inlineStr">
        <is>
          <t>Velero with encryption</t>
        </is>
      </c>
    </row>
    <row r="45">
      <c r="A45" s="21" t="inlineStr">
        <is>
          <t>EXCEPTION / DEVIATION DOCUMENTATION (Complete if Status = Partial or Non-Compliant)</t>
        </is>
      </c>
      <c r="B45" s="6" t="n"/>
      <c r="C45" s="6" t="n"/>
      <c r="D45" s="6" t="n"/>
      <c r="E45" s="6" t="n"/>
      <c r="F45" s="6" t="n"/>
      <c r="G45" s="6" t="n"/>
      <c r="H45" s="6" t="n"/>
      <c r="I45" s="6" t="n"/>
      <c r="J45" s="6" t="n"/>
      <c r="K45" s="6" t="n"/>
      <c r="L45" s="6" t="n"/>
      <c r="M45" s="6" t="n"/>
      <c r="N45" s="6" t="n"/>
      <c r="O45" s="6" t="n"/>
      <c r="P45" s="6" t="n"/>
      <c r="Q45" s="6" t="n"/>
    </row>
    <row r="46">
      <c r="A46" s="14" t="inlineStr">
        <is>
          <t>Formal exception request submitted:</t>
        </is>
      </c>
      <c r="B46" s="18" t="n"/>
      <c r="C46" s="6" t="n"/>
      <c r="D46" s="6" t="n"/>
    </row>
    <row r="47">
      <c r="A47" s="14" t="inlineStr">
        <is>
          <t>Exception ID:</t>
        </is>
      </c>
      <c r="B47" s="18" t="n"/>
      <c r="C47" s="6" t="n"/>
      <c r="D47" s="6" t="n"/>
    </row>
    <row r="48">
      <c r="A48" s="14" t="inlineStr">
        <is>
          <t>Risk acceptance documented:</t>
        </is>
      </c>
      <c r="B48" s="18" t="n"/>
      <c r="C48" s="6" t="n"/>
      <c r="D48" s="6" t="n"/>
    </row>
    <row r="49">
      <c r="A49" s="14" t="inlineStr">
        <is>
          <t>Risk ID:</t>
        </is>
      </c>
      <c r="B49" s="18" t="n"/>
      <c r="C49" s="6" t="n"/>
      <c r="D49" s="6" t="n"/>
    </row>
    <row r="50">
      <c r="A50" s="14" t="inlineStr">
        <is>
          <t>Compensating Controls (summary):</t>
        </is>
      </c>
      <c r="B50" s="18" t="n"/>
      <c r="C50" s="6" t="n"/>
      <c r="D50" s="6" t="n"/>
    </row>
    <row r="51">
      <c r="A51" s="14" t="inlineStr">
        <is>
          <t>☐ Physical security controls (locked facility, restricted access)</t>
        </is>
      </c>
      <c r="B51" s="18" t="n"/>
      <c r="C51" s="6" t="n"/>
      <c r="D51" s="6" t="n"/>
    </row>
    <row r="52">
      <c r="A52" s="14" t="inlineStr">
        <is>
          <t>☐ Network segmentation / air-gapped systems</t>
        </is>
      </c>
      <c r="B52" s="18" t="n"/>
      <c r="C52" s="6" t="n"/>
      <c r="D52" s="6" t="n"/>
    </row>
    <row r="53">
      <c r="A53" s="14" t="inlineStr">
        <is>
          <t>☐ Enhanced monitoring / DLP controls</t>
        </is>
      </c>
      <c r="B53" s="18" t="n"/>
      <c r="C53" s="6" t="n"/>
      <c r="D53" s="6" t="n"/>
    </row>
    <row r="54">
      <c r="A54" s="14" t="inlineStr">
        <is>
          <t>☐ Restricted user access / privileged access management</t>
        </is>
      </c>
      <c r="B54" s="18" t="n"/>
      <c r="C54" s="6" t="n"/>
      <c r="D54" s="6" t="n"/>
    </row>
    <row r="55">
      <c r="A55" s="14" t="inlineStr">
        <is>
          <t>☐ Data minimisation / reduced storage scope</t>
        </is>
      </c>
      <c r="B55" s="18" t="n"/>
      <c r="C55" s="6" t="n"/>
      <c r="D55" s="6" t="n"/>
    </row>
    <row r="56">
      <c r="A56" s="14" t="inlineStr">
        <is>
          <t>☐ Other (describe):</t>
        </is>
      </c>
      <c r="B56" s="18" t="n"/>
      <c r="C56" s="6" t="n"/>
      <c r="D56" s="6" t="n"/>
    </row>
    <row r="58">
      <c r="A58" s="22" t="inlineStr">
        <is>
          <t>ADDITIONAL NOTES / COMMENTS</t>
        </is>
      </c>
      <c r="B58" s="6" t="n"/>
      <c r="C58" s="6" t="n"/>
      <c r="D58" s="6" t="n"/>
      <c r="E58" s="6" t="n"/>
      <c r="F58" s="6" t="n"/>
      <c r="G58" s="6" t="n"/>
      <c r="H58" s="6" t="n"/>
      <c r="I58" s="6" t="n"/>
      <c r="J58" s="6" t="n"/>
      <c r="K58" s="6" t="n"/>
      <c r="L58" s="6" t="n"/>
      <c r="M58" s="6" t="n"/>
      <c r="N58" s="6" t="n"/>
      <c r="O58" s="6" t="n"/>
      <c r="P58" s="6" t="n"/>
      <c r="Q58" s="6" t="n"/>
    </row>
    <row r="59">
      <c r="A59" s="23" t="n"/>
      <c r="B59" s="6" t="n"/>
      <c r="C59" s="6" t="n"/>
      <c r="D59" s="6" t="n"/>
      <c r="E59" s="6" t="n"/>
      <c r="F59" s="6" t="n"/>
      <c r="G59" s="6" t="n"/>
      <c r="H59" s="6" t="n"/>
      <c r="I59" s="6" t="n"/>
      <c r="J59" s="6" t="n"/>
      <c r="K59" s="6" t="n"/>
      <c r="L59" s="6" t="n"/>
      <c r="M59" s="6" t="n"/>
      <c r="N59" s="6" t="n"/>
      <c r="O59" s="6" t="n"/>
      <c r="P59" s="6" t="n"/>
      <c r="Q59" s="6" t="n"/>
    </row>
    <row r="60">
      <c r="A60" s="6" t="n"/>
      <c r="B60" s="6" t="n"/>
      <c r="C60" s="6" t="n"/>
      <c r="D60" s="6" t="n"/>
      <c r="E60" s="6" t="n"/>
      <c r="F60" s="6" t="n"/>
      <c r="G60" s="6" t="n"/>
      <c r="H60" s="6" t="n"/>
      <c r="I60" s="6" t="n"/>
      <c r="J60" s="6" t="n"/>
      <c r="K60" s="6" t="n"/>
      <c r="L60" s="6" t="n"/>
      <c r="M60" s="6" t="n"/>
      <c r="N60" s="6" t="n"/>
      <c r="O60" s="6" t="n"/>
      <c r="P60" s="6" t="n"/>
      <c r="Q60" s="6" t="n"/>
    </row>
    <row r="61">
      <c r="A61" s="6" t="n"/>
      <c r="B61" s="6" t="n"/>
      <c r="C61" s="6" t="n"/>
      <c r="D61" s="6" t="n"/>
      <c r="E61" s="6" t="n"/>
      <c r="F61" s="6" t="n"/>
      <c r="G61" s="6" t="n"/>
      <c r="H61" s="6" t="n"/>
      <c r="I61" s="6" t="n"/>
      <c r="J61" s="6" t="n"/>
      <c r="K61" s="6" t="n"/>
      <c r="L61" s="6" t="n"/>
      <c r="M61" s="6" t="n"/>
      <c r="N61" s="6" t="n"/>
      <c r="O61" s="6" t="n"/>
      <c r="P61" s="6" t="n"/>
      <c r="Q61" s="6" t="n"/>
    </row>
    <row r="62">
      <c r="A62" s="6" t="n"/>
      <c r="B62" s="6" t="n"/>
      <c r="C62" s="6" t="n"/>
      <c r="D62" s="6" t="n"/>
      <c r="E62" s="6" t="n"/>
      <c r="F62" s="6" t="n"/>
      <c r="G62" s="6" t="n"/>
      <c r="H62" s="6" t="n"/>
      <c r="I62" s="6" t="n"/>
      <c r="J62" s="6" t="n"/>
      <c r="K62" s="6" t="n"/>
      <c r="L62" s="6" t="n"/>
      <c r="M62" s="6" t="n"/>
      <c r="N62" s="6" t="n"/>
      <c r="O62" s="6" t="n"/>
      <c r="P62" s="6" t="n"/>
      <c r="Q62" s="6" t="n"/>
    </row>
    <row r="63">
      <c r="A63" s="6" t="n"/>
      <c r="B63" s="6" t="n"/>
      <c r="C63" s="6" t="n"/>
      <c r="D63" s="6" t="n"/>
      <c r="E63" s="6" t="n"/>
      <c r="F63" s="6" t="n"/>
      <c r="G63" s="6" t="n"/>
      <c r="H63" s="6" t="n"/>
      <c r="I63" s="6" t="n"/>
      <c r="J63" s="6" t="n"/>
      <c r="K63" s="6" t="n"/>
      <c r="L63" s="6" t="n"/>
      <c r="M63" s="6" t="n"/>
      <c r="N63" s="6" t="n"/>
      <c r="O63" s="6" t="n"/>
      <c r="P63" s="6" t="n"/>
      <c r="Q63" s="6" t="n"/>
    </row>
    <row r="64">
      <c r="A64" s="6" t="n"/>
      <c r="B64" s="6" t="n"/>
      <c r="C64" s="6" t="n"/>
      <c r="D64" s="6" t="n"/>
      <c r="E64" s="6" t="n"/>
      <c r="F64" s="6" t="n"/>
      <c r="G64" s="6" t="n"/>
      <c r="H64" s="6" t="n"/>
      <c r="I64" s="6" t="n"/>
      <c r="J64" s="6" t="n"/>
      <c r="K64" s="6" t="n"/>
      <c r="L64" s="6" t="n"/>
      <c r="M64" s="6" t="n"/>
      <c r="N64" s="6" t="n"/>
      <c r="O64" s="6" t="n"/>
      <c r="P64" s="6" t="n"/>
      <c r="Q64" s="6" t="n"/>
    </row>
    <row r="65">
      <c r="A65" s="6" t="n"/>
      <c r="B65" s="6" t="n"/>
      <c r="C65" s="6" t="n"/>
      <c r="D65" s="6" t="n"/>
      <c r="E65" s="6" t="n"/>
      <c r="F65" s="6" t="n"/>
      <c r="G65" s="6" t="n"/>
      <c r="H65" s="6" t="n"/>
      <c r="I65" s="6" t="n"/>
      <c r="J65" s="6" t="n"/>
      <c r="K65" s="6" t="n"/>
      <c r="L65" s="6" t="n"/>
      <c r="M65" s="6" t="n"/>
      <c r="N65" s="6" t="n"/>
      <c r="O65" s="6" t="n"/>
      <c r="P65" s="6" t="n"/>
      <c r="Q65" s="6" t="n"/>
    </row>
    <row r="66">
      <c r="A66" s="6" t="n"/>
      <c r="B66" s="6" t="n"/>
      <c r="C66" s="6" t="n"/>
      <c r="D66" s="6" t="n"/>
      <c r="E66" s="6" t="n"/>
      <c r="F66" s="6" t="n"/>
      <c r="G66" s="6" t="n"/>
      <c r="H66" s="6" t="n"/>
      <c r="I66" s="6" t="n"/>
      <c r="J66" s="6" t="n"/>
      <c r="K66" s="6" t="n"/>
      <c r="L66" s="6" t="n"/>
      <c r="M66" s="6" t="n"/>
      <c r="N66" s="6" t="n"/>
      <c r="O66" s="6" t="n"/>
      <c r="P66" s="6" t="n"/>
      <c r="Q66" s="6" t="n"/>
    </row>
    <row r="67">
      <c r="A67" s="6" t="n"/>
      <c r="B67" s="6" t="n"/>
      <c r="C67" s="6" t="n"/>
      <c r="D67" s="6" t="n"/>
      <c r="E67" s="6" t="n"/>
      <c r="F67" s="6" t="n"/>
      <c r="G67" s="6" t="n"/>
      <c r="H67" s="6" t="n"/>
      <c r="I67" s="6" t="n"/>
      <c r="J67" s="6" t="n"/>
      <c r="K67" s="6" t="n"/>
      <c r="L67" s="6" t="n"/>
      <c r="M67" s="6" t="n"/>
      <c r="N67" s="6" t="n"/>
      <c r="O67" s="6" t="n"/>
      <c r="P67" s="6" t="n"/>
      <c r="Q67" s="6" t="n"/>
    </row>
  </sheetData>
  <mergeCells count="16">
    <mergeCell ref="A58:Q58"/>
    <mergeCell ref="B47:D47"/>
    <mergeCell ref="B54:D54"/>
    <mergeCell ref="A3:Q3"/>
    <mergeCell ref="B46:D46"/>
    <mergeCell ref="B49:D49"/>
    <mergeCell ref="B50:D50"/>
    <mergeCell ref="B56:D56"/>
    <mergeCell ref="B52:D52"/>
    <mergeCell ref="B53:D53"/>
    <mergeCell ref="A59:Q67"/>
    <mergeCell ref="A1:Q1"/>
    <mergeCell ref="B55:D55"/>
    <mergeCell ref="B51:D51"/>
    <mergeCell ref="A45:Q45"/>
    <mergeCell ref="B48:D48"/>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 Yes,❌ 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showDropDown="0" showInputMessage="0" showErrorMessage="0" allowBlank="0" type="list">
      <formula1>"✅ Yes,❌ No,N/A"</formula1>
    </dataValidation>
    <dataValidation sqref="B46 B48" showDropDown="0" showInputMessage="0" showErrorMessage="0" allowBlank="0" type="list">
      <formula1>"✅ Yes,❌ 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68"/>
  <sheetViews>
    <sheetView showGridLines="0"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35" customHeight="1">
      <c r="A1" s="11" t="inlineStr">
        <is>
          <t>7. REMOVABLE MEDIA - DATA AT REST ENCRYPTION
Policy Requirement: Removable media storing organisational data MUST be encrypted (Policy Section 2.3.7)</t>
        </is>
      </c>
      <c r="B1" s="6" t="n"/>
      <c r="C1" s="6" t="n"/>
      <c r="D1" s="6" t="n"/>
      <c r="E1" s="6" t="n"/>
      <c r="F1" s="6" t="n"/>
      <c r="G1" s="6" t="n"/>
      <c r="H1" s="6" t="n"/>
      <c r="I1" s="6" t="n"/>
      <c r="J1" s="6" t="n"/>
      <c r="K1" s="6" t="n"/>
      <c r="L1" s="6" t="n"/>
      <c r="M1" s="6" t="n"/>
      <c r="N1" s="6" t="n"/>
      <c r="O1" s="6" t="n"/>
      <c r="P1" s="6" t="n"/>
      <c r="Q1" s="6" t="n"/>
    </row>
    <row r="2">
      <c r="A2" s="12" t="inlineStr">
        <is>
          <t>ISO/IEC 27001:2022 | Control A.8.24: Use of Cryptography</t>
        </is>
      </c>
    </row>
    <row r="3" ht="30" customHeight="1">
      <c r="A3" s="13" t="inlineStr">
        <is>
          <t>Does your organisation use removable media (USB drives, external disks, optical media) to store or transport data?</t>
        </is>
      </c>
      <c r="B3" s="6" t="n"/>
      <c r="C3" s="6" t="n"/>
      <c r="D3" s="6" t="n"/>
      <c r="E3" s="6" t="n"/>
      <c r="F3" s="6" t="n"/>
      <c r="G3" s="6" t="n"/>
      <c r="H3" s="6" t="n"/>
      <c r="I3" s="6" t="n"/>
      <c r="J3" s="6" t="n"/>
      <c r="K3" s="6" t="n"/>
      <c r="L3" s="6" t="n"/>
      <c r="M3" s="6" t="n"/>
      <c r="N3" s="6" t="n"/>
      <c r="O3" s="6" t="n"/>
      <c r="P3" s="6" t="n"/>
      <c r="Q3" s="6" t="n"/>
    </row>
    <row r="4">
      <c r="A4" s="14" t="inlineStr">
        <is>
          <t>Response:</t>
        </is>
      </c>
      <c r="B4" s="15" t="n"/>
    </row>
    <row r="6">
      <c r="A6" s="16" t="inlineStr">
        <is>
          <t>Storage System/Device</t>
        </is>
      </c>
      <c r="B6" s="16" t="inlineStr">
        <is>
          <t>Data Classification</t>
        </is>
      </c>
      <c r="C6" s="16" t="inlineStr">
        <is>
          <t>Encryption Status</t>
        </is>
      </c>
      <c r="D6" s="16" t="inlineStr">
        <is>
          <t>Encryption Type</t>
        </is>
      </c>
      <c r="E6" s="16" t="inlineStr">
        <is>
          <t>Algorithm &amp; Key Size</t>
        </is>
      </c>
      <c r="F6" s="16" t="inlineStr">
        <is>
          <t>Key Management Method</t>
        </is>
      </c>
      <c r="G6" s="16" t="inlineStr">
        <is>
          <t>Key Rotation Enabled</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row>
    <row r="7">
      <c r="A7" s="17" t="inlineStr">
        <is>
          <t>Example: Production SQL Server 2019 - FINDB01</t>
        </is>
      </c>
      <c r="B7" s="17" t="inlineStr">
        <is>
          <t>Restricted</t>
        </is>
      </c>
      <c r="C7" s="17" t="inlineStr">
        <is>
          <t>Encrypted</t>
        </is>
      </c>
      <c r="D7" s="17" t="inlineStr">
        <is>
          <t>Database TDE</t>
        </is>
      </c>
      <c r="E7" s="17" t="inlineStr">
        <is>
          <t>AES-256</t>
        </is>
      </c>
      <c r="F7" s="17" t="inlineStr">
        <is>
          <t>HSM</t>
        </is>
      </c>
      <c r="G7" s="17" t="inlineStr">
        <is>
          <t>✅ Yes</t>
        </is>
      </c>
      <c r="H7" s="17" t="inlineStr">
        <is>
          <t>✅ Compliant</t>
        </is>
      </c>
      <c r="I7" s="17" t="inlineStr">
        <is>
          <t>/evidence/databases/FINDB01-TDE-config.pdf</t>
        </is>
      </c>
      <c r="J7" s="17" t="inlineStr">
        <is>
          <t>None</t>
        </is>
      </c>
      <c r="K7" s="17" t="inlineStr">
        <is>
          <t>❌ No</t>
        </is>
      </c>
      <c r="L7" s="17" t="inlineStr">
        <is>
          <t>N/A</t>
        </is>
      </c>
      <c r="M7" s="17" t="inlineStr">
        <is>
          <t>N/A</t>
        </is>
      </c>
      <c r="N7" s="17" t="inlineStr">
        <is>
          <t>N/A</t>
        </is>
      </c>
      <c r="O7" s="17" t="inlineStr">
        <is>
          <t>N/A</t>
        </is>
      </c>
      <c r="P7" s="17" t="inlineStr">
        <is>
          <t>N/A</t>
        </is>
      </c>
      <c r="Q7" s="17" t="inlineStr">
        <is>
          <t>❌ No</t>
        </is>
      </c>
    </row>
    <row r="8">
      <c r="A8" s="18" t="n"/>
      <c r="B8" s="18" t="n"/>
      <c r="C8" s="18" t="n"/>
      <c r="D8" s="18" t="n"/>
      <c r="E8" s="18" t="n"/>
      <c r="F8" s="18" t="n"/>
      <c r="G8" s="18" t="n"/>
      <c r="H8" s="18" t="n"/>
      <c r="I8" s="18" t="n"/>
      <c r="J8" s="18" t="n"/>
      <c r="K8" s="18" t="n"/>
      <c r="L8" s="18" t="n"/>
      <c r="M8" s="18" t="n"/>
      <c r="N8" s="18" t="n"/>
      <c r="O8" s="18" t="n"/>
      <c r="P8" s="18" t="n"/>
      <c r="Q8" s="18" t="n"/>
    </row>
    <row r="9">
      <c r="A9" s="18" t="n"/>
      <c r="B9" s="18" t="n"/>
      <c r="C9" s="18" t="n"/>
      <c r="D9" s="18" t="n"/>
      <c r="E9" s="18" t="n"/>
      <c r="F9" s="18" t="n"/>
      <c r="G9" s="18" t="n"/>
      <c r="H9" s="18" t="n"/>
      <c r="I9" s="18" t="n"/>
      <c r="J9" s="18" t="n"/>
      <c r="K9" s="18" t="n"/>
      <c r="L9" s="18" t="n"/>
      <c r="M9" s="18" t="n"/>
      <c r="N9" s="18" t="n"/>
      <c r="O9" s="18" t="n"/>
      <c r="P9" s="18" t="n"/>
      <c r="Q9" s="18" t="n"/>
    </row>
    <row r="10">
      <c r="A10" s="18" t="n"/>
      <c r="B10" s="18" t="n"/>
      <c r="C10" s="18" t="n"/>
      <c r="D10" s="18" t="n"/>
      <c r="E10" s="18" t="n"/>
      <c r="F10" s="18" t="n"/>
      <c r="G10" s="18" t="n"/>
      <c r="H10" s="18" t="n"/>
      <c r="I10" s="18" t="n"/>
      <c r="J10" s="18" t="n"/>
      <c r="K10" s="18" t="n"/>
      <c r="L10" s="18" t="n"/>
      <c r="M10" s="18" t="n"/>
      <c r="N10" s="18" t="n"/>
      <c r="O10" s="18" t="n"/>
      <c r="P10" s="18" t="n"/>
      <c r="Q10" s="18" t="n"/>
    </row>
    <row r="11">
      <c r="A11" s="18" t="n"/>
      <c r="B11" s="18" t="n"/>
      <c r="C11" s="18" t="n"/>
      <c r="D11" s="18" t="n"/>
      <c r="E11" s="18" t="n"/>
      <c r="F11" s="18" t="n"/>
      <c r="G11" s="18" t="n"/>
      <c r="H11" s="18" t="n"/>
      <c r="I11" s="18" t="n"/>
      <c r="J11" s="18" t="n"/>
      <c r="K11" s="18" t="n"/>
      <c r="L11" s="18" t="n"/>
      <c r="M11" s="18" t="n"/>
      <c r="N11" s="18" t="n"/>
      <c r="O11" s="18" t="n"/>
      <c r="P11" s="18" t="n"/>
      <c r="Q11" s="18" t="n"/>
    </row>
    <row r="12">
      <c r="A12" s="18" t="n"/>
      <c r="B12" s="18" t="n"/>
      <c r="C12" s="18" t="n"/>
      <c r="D12" s="18" t="n"/>
      <c r="E12" s="18" t="n"/>
      <c r="F12" s="18" t="n"/>
      <c r="G12" s="18" t="n"/>
      <c r="H12" s="18" t="n"/>
      <c r="I12" s="18" t="n"/>
      <c r="J12" s="18" t="n"/>
      <c r="K12" s="18" t="n"/>
      <c r="L12" s="18" t="n"/>
      <c r="M12" s="18" t="n"/>
      <c r="N12" s="18" t="n"/>
      <c r="O12" s="18" t="n"/>
      <c r="P12" s="18" t="n"/>
      <c r="Q12" s="18" t="n"/>
    </row>
    <row r="13">
      <c r="A13" s="18" t="n"/>
      <c r="B13" s="18" t="n"/>
      <c r="C13" s="18" t="n"/>
      <c r="D13" s="18" t="n"/>
      <c r="E13" s="18" t="n"/>
      <c r="F13" s="18" t="n"/>
      <c r="G13" s="18" t="n"/>
      <c r="H13" s="18" t="n"/>
      <c r="I13" s="18" t="n"/>
      <c r="J13" s="18" t="n"/>
      <c r="K13" s="18" t="n"/>
      <c r="L13" s="18" t="n"/>
      <c r="M13" s="18" t="n"/>
      <c r="N13" s="18" t="n"/>
      <c r="O13" s="18" t="n"/>
      <c r="P13" s="18" t="n"/>
      <c r="Q13" s="18" t="n"/>
    </row>
    <row r="14">
      <c r="A14" s="18" t="n"/>
      <c r="B14" s="18" t="n"/>
      <c r="C14" s="18" t="n"/>
      <c r="D14" s="18" t="n"/>
      <c r="E14" s="18" t="n"/>
      <c r="F14" s="18" t="n"/>
      <c r="G14" s="18" t="n"/>
      <c r="H14" s="18" t="n"/>
      <c r="I14" s="18" t="n"/>
      <c r="J14" s="18" t="n"/>
      <c r="K14" s="18" t="n"/>
      <c r="L14" s="18" t="n"/>
      <c r="M14" s="18" t="n"/>
      <c r="N14" s="18" t="n"/>
      <c r="O14" s="18" t="n"/>
      <c r="P14" s="18" t="n"/>
      <c r="Q14" s="18" t="n"/>
    </row>
    <row r="15">
      <c r="A15" s="18" t="n"/>
      <c r="B15" s="18" t="n"/>
      <c r="C15" s="18" t="n"/>
      <c r="D15" s="18" t="n"/>
      <c r="E15" s="18" t="n"/>
      <c r="F15" s="18" t="n"/>
      <c r="G15" s="18" t="n"/>
      <c r="H15" s="18" t="n"/>
      <c r="I15" s="18" t="n"/>
      <c r="J15" s="18" t="n"/>
      <c r="K15" s="18" t="n"/>
      <c r="L15" s="18" t="n"/>
      <c r="M15" s="18" t="n"/>
      <c r="N15" s="18" t="n"/>
      <c r="O15" s="18" t="n"/>
      <c r="P15" s="18" t="n"/>
      <c r="Q15" s="18" t="n"/>
    </row>
    <row r="16">
      <c r="A16" s="18" t="n"/>
      <c r="B16" s="18" t="n"/>
      <c r="C16" s="18" t="n"/>
      <c r="D16" s="18" t="n"/>
      <c r="E16" s="18" t="n"/>
      <c r="F16" s="18" t="n"/>
      <c r="G16" s="18" t="n"/>
      <c r="H16" s="18" t="n"/>
      <c r="I16" s="18" t="n"/>
      <c r="J16" s="18" t="n"/>
      <c r="K16" s="18" t="n"/>
      <c r="L16" s="18" t="n"/>
      <c r="M16" s="18" t="n"/>
      <c r="N16" s="18" t="n"/>
      <c r="O16" s="18" t="n"/>
      <c r="P16" s="18" t="n"/>
      <c r="Q16" s="18" t="n"/>
    </row>
    <row r="17">
      <c r="A17" s="18" t="n"/>
      <c r="B17" s="18" t="n"/>
      <c r="C17" s="18" t="n"/>
      <c r="D17" s="18" t="n"/>
      <c r="E17" s="18" t="n"/>
      <c r="F17" s="18" t="n"/>
      <c r="G17" s="18" t="n"/>
      <c r="H17" s="18" t="n"/>
      <c r="I17" s="18" t="n"/>
      <c r="J17" s="18" t="n"/>
      <c r="K17" s="18" t="n"/>
      <c r="L17" s="18" t="n"/>
      <c r="M17" s="18" t="n"/>
      <c r="N17" s="18" t="n"/>
      <c r="O17" s="18" t="n"/>
      <c r="P17" s="18" t="n"/>
      <c r="Q17" s="18" t="n"/>
    </row>
    <row r="18">
      <c r="A18" s="18" t="n"/>
      <c r="B18" s="18" t="n"/>
      <c r="C18" s="18" t="n"/>
      <c r="D18" s="18" t="n"/>
      <c r="E18" s="18" t="n"/>
      <c r="F18" s="18" t="n"/>
      <c r="G18" s="18" t="n"/>
      <c r="H18" s="18" t="n"/>
      <c r="I18" s="18" t="n"/>
      <c r="J18" s="18" t="n"/>
      <c r="K18" s="18" t="n"/>
      <c r="L18" s="18" t="n"/>
      <c r="M18" s="18" t="n"/>
      <c r="N18" s="18" t="n"/>
      <c r="O18" s="18" t="n"/>
      <c r="P18" s="18" t="n"/>
      <c r="Q18" s="18" t="n"/>
    </row>
    <row r="19">
      <c r="A19" s="18" t="n"/>
      <c r="B19" s="18" t="n"/>
      <c r="C19" s="18" t="n"/>
      <c r="D19" s="18" t="n"/>
      <c r="E19" s="18" t="n"/>
      <c r="F19" s="18" t="n"/>
      <c r="G19" s="18" t="n"/>
      <c r="H19" s="18" t="n"/>
      <c r="I19" s="18" t="n"/>
      <c r="J19" s="18" t="n"/>
      <c r="K19" s="18" t="n"/>
      <c r="L19" s="18" t="n"/>
      <c r="M19" s="18" t="n"/>
      <c r="N19" s="18" t="n"/>
      <c r="O19" s="18" t="n"/>
      <c r="P19" s="18" t="n"/>
      <c r="Q19" s="18" t="n"/>
    </row>
    <row r="20">
      <c r="A20" s="18" t="n"/>
      <c r="B20" s="18" t="n"/>
      <c r="C20" s="18" t="n"/>
      <c r="D20" s="18" t="n"/>
      <c r="E20" s="18" t="n"/>
      <c r="F20" s="18" t="n"/>
      <c r="G20" s="18" t="n"/>
      <c r="H20" s="18" t="n"/>
      <c r="I20" s="18" t="n"/>
      <c r="J20" s="18" t="n"/>
      <c r="K20" s="18" t="n"/>
      <c r="L20" s="18" t="n"/>
      <c r="M20" s="18" t="n"/>
      <c r="N20" s="18" t="n"/>
      <c r="O20" s="18" t="n"/>
      <c r="P20" s="18" t="n"/>
      <c r="Q20" s="18" t="n"/>
    </row>
    <row r="22">
      <c r="A22" s="19" t="inlineStr">
        <is>
          <t>7. REMOVABLE MEDIA ENCRYPTION CHECKLIST</t>
        </is>
      </c>
    </row>
    <row r="23">
      <c r="A23" s="14" t="inlineStr">
        <is>
          <t>☐</t>
        </is>
      </c>
      <c r="B23" s="14" t="inlineStr">
        <is>
          <t>Requirement</t>
        </is>
      </c>
      <c r="C23" s="14" t="inlineStr">
        <is>
          <t>Status</t>
        </is>
      </c>
    </row>
    <row r="24">
      <c r="A24" t="inlineStr">
        <is>
          <t>☐</t>
        </is>
      </c>
      <c r="B24" t="inlineStr">
        <is>
          <t>USB drive encryption mandatory via policy</t>
        </is>
      </c>
      <c r="C24" s="15" t="n"/>
    </row>
    <row r="25">
      <c r="A25" t="inlineStr">
        <is>
          <t>☐</t>
        </is>
      </c>
      <c r="B25" t="inlineStr">
        <is>
          <t>External hard drive encryption enforced</t>
        </is>
      </c>
      <c r="C25" s="15" t="n"/>
    </row>
    <row r="26">
      <c r="A26" t="inlineStr">
        <is>
          <t>☐</t>
        </is>
      </c>
      <c r="B26" t="inlineStr">
        <is>
          <t>BitLocker To Go / FileVault / LUKS configured</t>
        </is>
      </c>
      <c r="C26" s="15" t="n"/>
    </row>
    <row r="27">
      <c r="A27" t="inlineStr">
        <is>
          <t>☐</t>
        </is>
      </c>
      <c r="B27" t="inlineStr">
        <is>
          <t>Hardware-encrypted USB drives procured</t>
        </is>
      </c>
      <c r="C27" s="15" t="n"/>
    </row>
    <row r="28">
      <c r="A28" t="inlineStr">
        <is>
          <t>☐</t>
        </is>
      </c>
      <c r="B28" t="inlineStr">
        <is>
          <t>Unencrypted removable media blocked by endpoint policy</t>
        </is>
      </c>
      <c r="C28" s="15" t="n"/>
    </row>
    <row r="29">
      <c r="A29" t="inlineStr">
        <is>
          <t>☐</t>
        </is>
      </c>
      <c r="B29" t="inlineStr">
        <is>
          <t>Media encryption verified before data transfer</t>
        </is>
      </c>
      <c r="C29" s="15" t="n"/>
    </row>
    <row r="30">
      <c r="A30" t="inlineStr">
        <is>
          <t>☐</t>
        </is>
      </c>
      <c r="B30" t="inlineStr">
        <is>
          <t>Encrypted optical media (DVD/CD) procedures documented</t>
        </is>
      </c>
      <c r="C30" s="15" t="n"/>
    </row>
    <row r="31">
      <c r="A31" t="inlineStr">
        <is>
          <t>☐</t>
        </is>
      </c>
      <c r="B31" t="inlineStr">
        <is>
          <t>Lost removable media incident response includes encryption check</t>
        </is>
      </c>
      <c r="C31" s="15" t="n"/>
    </row>
    <row r="32">
      <c r="A32" t="inlineStr">
        <is>
          <t>☐</t>
        </is>
      </c>
      <c r="B32" t="inlineStr">
        <is>
          <t>Media disposal/destruction procedures enforce encryption verification</t>
        </is>
      </c>
      <c r="C32" s="15" t="n"/>
    </row>
    <row r="33">
      <c r="A33" t="inlineStr">
        <is>
          <t>☐</t>
        </is>
      </c>
      <c r="B33" t="inlineStr">
        <is>
          <t>Approved removable media inventory maintained</t>
        </is>
      </c>
      <c r="C33" s="15" t="n"/>
    </row>
    <row r="34">
      <c r="A34" t="inlineStr">
        <is>
          <t>☐</t>
        </is>
      </c>
      <c r="B34" t="inlineStr">
        <is>
          <t>Encryption exceptions require formal approval</t>
        </is>
      </c>
      <c r="C34" s="15" t="n"/>
    </row>
    <row r="35">
      <c r="A35" t="inlineStr">
        <is>
          <t>☐</t>
        </is>
      </c>
      <c r="B35" t="inlineStr">
        <is>
          <t>Regular compliance audits of removable media usage</t>
        </is>
      </c>
      <c r="C35" s="15" t="n"/>
    </row>
    <row r="36">
      <c r="A36" s="14" t="inlineStr">
        <is>
          <t>Checklist Score:</t>
        </is>
      </c>
      <c r="B36" s="20">
        <f>IFERROR(ROUND(COUNTIF(C24:C35,"✅ Yes")/COUNTA(C24:C35)*100,0)&amp;"%","0%")</f>
        <v/>
      </c>
    </row>
    <row r="38">
      <c r="A38" s="19" t="inlineStr">
        <is>
          <t>Technology-Specific Notes / Examples</t>
        </is>
      </c>
    </row>
    <row r="39">
      <c r="A39" s="14" t="inlineStr">
        <is>
          <t>Windows:</t>
        </is>
      </c>
      <c r="B39" s="24" t="inlineStr">
        <is>
          <t>BitLocker To Go</t>
        </is>
      </c>
    </row>
    <row r="40">
      <c r="A40" s="14" t="inlineStr">
        <is>
          <t>macOS:</t>
        </is>
      </c>
      <c r="B40" s="24" t="inlineStr">
        <is>
          <t>FileVault encrypted volumes</t>
        </is>
      </c>
    </row>
    <row r="41">
      <c r="A41" s="14" t="inlineStr">
        <is>
          <t>Linux:</t>
        </is>
      </c>
      <c r="B41" s="24" t="inlineStr">
        <is>
          <t>LUKS containers</t>
        </is>
      </c>
    </row>
    <row r="42">
      <c r="A42" s="14" t="inlineStr">
        <is>
          <t>Cross-platform:</t>
        </is>
      </c>
      <c r="B42" s="24" t="inlineStr">
        <is>
          <t>VeraCrypt</t>
        </is>
      </c>
    </row>
    <row r="43">
      <c r="A43" s="14" t="inlineStr">
        <is>
          <t>Hardware:</t>
        </is>
      </c>
      <c r="B43" s="24" t="inlineStr">
        <is>
          <t>IronKey, Kingston Encrypted USB</t>
        </is>
      </c>
    </row>
    <row r="44">
      <c r="A44" s="14" t="inlineStr">
        <is>
          <t>Enterprise:</t>
        </is>
      </c>
      <c r="B44" s="24" t="inlineStr">
        <is>
          <t>Symantec Endpoint Encryption</t>
        </is>
      </c>
    </row>
    <row r="46">
      <c r="A46" s="21" t="inlineStr">
        <is>
          <t>EXCEPTION / DEVIATION DOCUMENTATION (Complete if Status = Partial or Non-Compliant)</t>
        </is>
      </c>
      <c r="B46" s="6" t="n"/>
      <c r="C46" s="6" t="n"/>
      <c r="D46" s="6" t="n"/>
      <c r="E46" s="6" t="n"/>
      <c r="F46" s="6" t="n"/>
      <c r="G46" s="6" t="n"/>
      <c r="H46" s="6" t="n"/>
      <c r="I46" s="6" t="n"/>
      <c r="J46" s="6" t="n"/>
      <c r="K46" s="6" t="n"/>
      <c r="L46" s="6" t="n"/>
      <c r="M46" s="6" t="n"/>
      <c r="N46" s="6" t="n"/>
      <c r="O46" s="6" t="n"/>
      <c r="P46" s="6" t="n"/>
      <c r="Q46" s="6" t="n"/>
    </row>
    <row r="47">
      <c r="A47" s="14" t="inlineStr">
        <is>
          <t>Formal exception request submitted:</t>
        </is>
      </c>
      <c r="B47" s="18" t="n"/>
      <c r="C47" s="6" t="n"/>
      <c r="D47" s="6" t="n"/>
    </row>
    <row r="48">
      <c r="A48" s="14" t="inlineStr">
        <is>
          <t>Exception ID:</t>
        </is>
      </c>
      <c r="B48" s="18" t="n"/>
      <c r="C48" s="6" t="n"/>
      <c r="D48" s="6" t="n"/>
    </row>
    <row r="49">
      <c r="A49" s="14" t="inlineStr">
        <is>
          <t>Risk acceptance documented:</t>
        </is>
      </c>
      <c r="B49" s="18" t="n"/>
      <c r="C49" s="6" t="n"/>
      <c r="D49" s="6" t="n"/>
    </row>
    <row r="50">
      <c r="A50" s="14" t="inlineStr">
        <is>
          <t>Risk ID:</t>
        </is>
      </c>
      <c r="B50" s="18" t="n"/>
      <c r="C50" s="6" t="n"/>
      <c r="D50" s="6" t="n"/>
    </row>
    <row r="51">
      <c r="A51" s="14" t="inlineStr">
        <is>
          <t>Compensating Controls (summary):</t>
        </is>
      </c>
      <c r="B51" s="18" t="n"/>
      <c r="C51" s="6" t="n"/>
      <c r="D51" s="6" t="n"/>
    </row>
    <row r="52">
      <c r="A52" s="14" t="inlineStr">
        <is>
          <t>☐ Physical security controls (locked facility, restricted access)</t>
        </is>
      </c>
      <c r="B52" s="18" t="n"/>
      <c r="C52" s="6" t="n"/>
      <c r="D52" s="6" t="n"/>
    </row>
    <row r="53">
      <c r="A53" s="14" t="inlineStr">
        <is>
          <t>☐ Network segmentation / air-gapped systems</t>
        </is>
      </c>
      <c r="B53" s="18" t="n"/>
      <c r="C53" s="6" t="n"/>
      <c r="D53" s="6" t="n"/>
    </row>
    <row r="54">
      <c r="A54" s="14" t="inlineStr">
        <is>
          <t>☐ Enhanced monitoring / DLP controls</t>
        </is>
      </c>
      <c r="B54" s="18" t="n"/>
      <c r="C54" s="6" t="n"/>
      <c r="D54" s="6" t="n"/>
    </row>
    <row r="55">
      <c r="A55" s="14" t="inlineStr">
        <is>
          <t>☐ Restricted user access / privileged access management</t>
        </is>
      </c>
      <c r="B55" s="18" t="n"/>
      <c r="C55" s="6" t="n"/>
      <c r="D55" s="6" t="n"/>
    </row>
    <row r="56">
      <c r="A56" s="14" t="inlineStr">
        <is>
          <t>☐ Data minimisation / reduced storage scope</t>
        </is>
      </c>
      <c r="B56" s="18" t="n"/>
      <c r="C56" s="6" t="n"/>
      <c r="D56" s="6" t="n"/>
    </row>
    <row r="57">
      <c r="A57" s="14" t="inlineStr">
        <is>
          <t>☐ Other (describe):</t>
        </is>
      </c>
      <c r="B57" s="18" t="n"/>
      <c r="C57" s="6" t="n"/>
      <c r="D57" s="6" t="n"/>
    </row>
    <row r="59">
      <c r="A59" s="22" t="inlineStr">
        <is>
          <t>ADDITIONAL NOTES / COMMENTS</t>
        </is>
      </c>
      <c r="B59" s="6" t="n"/>
      <c r="C59" s="6" t="n"/>
      <c r="D59" s="6" t="n"/>
      <c r="E59" s="6" t="n"/>
      <c r="F59" s="6" t="n"/>
      <c r="G59" s="6" t="n"/>
      <c r="H59" s="6" t="n"/>
      <c r="I59" s="6" t="n"/>
      <c r="J59" s="6" t="n"/>
      <c r="K59" s="6" t="n"/>
      <c r="L59" s="6" t="n"/>
      <c r="M59" s="6" t="n"/>
      <c r="N59" s="6" t="n"/>
      <c r="O59" s="6" t="n"/>
      <c r="P59" s="6" t="n"/>
      <c r="Q59" s="6" t="n"/>
    </row>
    <row r="60">
      <c r="A60" s="23" t="n"/>
      <c r="B60" s="6" t="n"/>
      <c r="C60" s="6" t="n"/>
      <c r="D60" s="6" t="n"/>
      <c r="E60" s="6" t="n"/>
      <c r="F60" s="6" t="n"/>
      <c r="G60" s="6" t="n"/>
      <c r="H60" s="6" t="n"/>
      <c r="I60" s="6" t="n"/>
      <c r="J60" s="6" t="n"/>
      <c r="K60" s="6" t="n"/>
      <c r="L60" s="6" t="n"/>
      <c r="M60" s="6" t="n"/>
      <c r="N60" s="6" t="n"/>
      <c r="O60" s="6" t="n"/>
      <c r="P60" s="6" t="n"/>
      <c r="Q60" s="6" t="n"/>
    </row>
    <row r="61">
      <c r="A61" s="6" t="n"/>
      <c r="B61" s="6" t="n"/>
      <c r="C61" s="6" t="n"/>
      <c r="D61" s="6" t="n"/>
      <c r="E61" s="6" t="n"/>
      <c r="F61" s="6" t="n"/>
      <c r="G61" s="6" t="n"/>
      <c r="H61" s="6" t="n"/>
      <c r="I61" s="6" t="n"/>
      <c r="J61" s="6" t="n"/>
      <c r="K61" s="6" t="n"/>
      <c r="L61" s="6" t="n"/>
      <c r="M61" s="6" t="n"/>
      <c r="N61" s="6" t="n"/>
      <c r="O61" s="6" t="n"/>
      <c r="P61" s="6" t="n"/>
      <c r="Q61" s="6" t="n"/>
    </row>
    <row r="62">
      <c r="A62" s="6" t="n"/>
      <c r="B62" s="6" t="n"/>
      <c r="C62" s="6" t="n"/>
      <c r="D62" s="6" t="n"/>
      <c r="E62" s="6" t="n"/>
      <c r="F62" s="6" t="n"/>
      <c r="G62" s="6" t="n"/>
      <c r="H62" s="6" t="n"/>
      <c r="I62" s="6" t="n"/>
      <c r="J62" s="6" t="n"/>
      <c r="K62" s="6" t="n"/>
      <c r="L62" s="6" t="n"/>
      <c r="M62" s="6" t="n"/>
      <c r="N62" s="6" t="n"/>
      <c r="O62" s="6" t="n"/>
      <c r="P62" s="6" t="n"/>
      <c r="Q62" s="6" t="n"/>
    </row>
    <row r="63">
      <c r="A63" s="6" t="n"/>
      <c r="B63" s="6" t="n"/>
      <c r="C63" s="6" t="n"/>
      <c r="D63" s="6" t="n"/>
      <c r="E63" s="6" t="n"/>
      <c r="F63" s="6" t="n"/>
      <c r="G63" s="6" t="n"/>
      <c r="H63" s="6" t="n"/>
      <c r="I63" s="6" t="n"/>
      <c r="J63" s="6" t="n"/>
      <c r="K63" s="6" t="n"/>
      <c r="L63" s="6" t="n"/>
      <c r="M63" s="6" t="n"/>
      <c r="N63" s="6" t="n"/>
      <c r="O63" s="6" t="n"/>
      <c r="P63" s="6" t="n"/>
      <c r="Q63" s="6" t="n"/>
    </row>
    <row r="64">
      <c r="A64" s="6" t="n"/>
      <c r="B64" s="6" t="n"/>
      <c r="C64" s="6" t="n"/>
      <c r="D64" s="6" t="n"/>
      <c r="E64" s="6" t="n"/>
      <c r="F64" s="6" t="n"/>
      <c r="G64" s="6" t="n"/>
      <c r="H64" s="6" t="n"/>
      <c r="I64" s="6" t="n"/>
      <c r="J64" s="6" t="n"/>
      <c r="K64" s="6" t="n"/>
      <c r="L64" s="6" t="n"/>
      <c r="M64" s="6" t="n"/>
      <c r="N64" s="6" t="n"/>
      <c r="O64" s="6" t="n"/>
      <c r="P64" s="6" t="n"/>
      <c r="Q64" s="6" t="n"/>
    </row>
    <row r="65">
      <c r="A65" s="6" t="n"/>
      <c r="B65" s="6" t="n"/>
      <c r="C65" s="6" t="n"/>
      <c r="D65" s="6" t="n"/>
      <c r="E65" s="6" t="n"/>
      <c r="F65" s="6" t="n"/>
      <c r="G65" s="6" t="n"/>
      <c r="H65" s="6" t="n"/>
      <c r="I65" s="6" t="n"/>
      <c r="J65" s="6" t="n"/>
      <c r="K65" s="6" t="n"/>
      <c r="L65" s="6" t="n"/>
      <c r="M65" s="6" t="n"/>
      <c r="N65" s="6" t="n"/>
      <c r="O65" s="6" t="n"/>
      <c r="P65" s="6" t="n"/>
      <c r="Q65" s="6" t="n"/>
    </row>
    <row r="66">
      <c r="A66" s="6" t="n"/>
      <c r="B66" s="6" t="n"/>
      <c r="C66" s="6" t="n"/>
      <c r="D66" s="6" t="n"/>
      <c r="E66" s="6" t="n"/>
      <c r="F66" s="6" t="n"/>
      <c r="G66" s="6" t="n"/>
      <c r="H66" s="6" t="n"/>
      <c r="I66" s="6" t="n"/>
      <c r="J66" s="6" t="n"/>
      <c r="K66" s="6" t="n"/>
      <c r="L66" s="6" t="n"/>
      <c r="M66" s="6" t="n"/>
      <c r="N66" s="6" t="n"/>
      <c r="O66" s="6" t="n"/>
      <c r="P66" s="6" t="n"/>
      <c r="Q66" s="6" t="n"/>
    </row>
    <row r="67">
      <c r="A67" s="6" t="n"/>
      <c r="B67" s="6" t="n"/>
      <c r="C67" s="6" t="n"/>
      <c r="D67" s="6" t="n"/>
      <c r="E67" s="6" t="n"/>
      <c r="F67" s="6" t="n"/>
      <c r="G67" s="6" t="n"/>
      <c r="H67" s="6" t="n"/>
      <c r="I67" s="6" t="n"/>
      <c r="J67" s="6" t="n"/>
      <c r="K67" s="6" t="n"/>
      <c r="L67" s="6" t="n"/>
      <c r="M67" s="6" t="n"/>
      <c r="N67" s="6" t="n"/>
      <c r="O67" s="6" t="n"/>
      <c r="P67" s="6" t="n"/>
      <c r="Q67" s="6" t="n"/>
    </row>
    <row r="68">
      <c r="A68" s="6" t="n"/>
      <c r="B68" s="6" t="n"/>
      <c r="C68" s="6" t="n"/>
      <c r="D68" s="6" t="n"/>
      <c r="E68" s="6" t="n"/>
      <c r="F68" s="6" t="n"/>
      <c r="G68" s="6" t="n"/>
      <c r="H68" s="6" t="n"/>
      <c r="I68" s="6" t="n"/>
      <c r="J68" s="6" t="n"/>
      <c r="K68" s="6" t="n"/>
      <c r="L68" s="6" t="n"/>
      <c r="M68" s="6" t="n"/>
      <c r="N68" s="6" t="n"/>
      <c r="O68" s="6" t="n"/>
      <c r="P68" s="6" t="n"/>
      <c r="Q68" s="6" t="n"/>
    </row>
  </sheetData>
  <mergeCells count="16">
    <mergeCell ref="B54:D54"/>
    <mergeCell ref="A3:Q3"/>
    <mergeCell ref="B57:D57"/>
    <mergeCell ref="B49:D49"/>
    <mergeCell ref="B50:D50"/>
    <mergeCell ref="A59:Q59"/>
    <mergeCell ref="A60:Q68"/>
    <mergeCell ref="B56:D56"/>
    <mergeCell ref="B52:D52"/>
    <mergeCell ref="B53:D53"/>
    <mergeCell ref="A1:Q1"/>
    <mergeCell ref="B55:D55"/>
    <mergeCell ref="B51:D51"/>
    <mergeCell ref="B47:D47"/>
    <mergeCell ref="B48:D48"/>
    <mergeCell ref="A46:Q46"/>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 Yes,❌ 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showDropDown="0" showInputMessage="0" showErrorMessage="0" allowBlank="0" type="list">
      <formula1>"✅ Yes,❌ No,N/A"</formula1>
    </dataValidation>
    <dataValidation sqref="B47 B49" showDropDown="0" showInputMessage="0" showErrorMessage="0" allowBlank="0" type="list">
      <formula1>"✅ Yes,❌ 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5" t="inlineStr">
        <is>
          <t>EVIDENCE REGISTER</t>
        </is>
      </c>
    </row>
    <row r="2">
      <c r="A2" s="26" t="inlineStr">
        <is>
          <t>List all evidence files/documents referenced in this assessment (audit traceability).</t>
        </is>
      </c>
    </row>
    <row r="4">
      <c r="A4" s="27" t="inlineStr">
        <is>
          <t>Evidence ID</t>
        </is>
      </c>
      <c r="B4" s="27" t="inlineStr">
        <is>
          <t>Assessment Area</t>
        </is>
      </c>
      <c r="C4" s="27" t="inlineStr">
        <is>
          <t>Evidence Type</t>
        </is>
      </c>
      <c r="D4" s="27" t="inlineStr">
        <is>
          <t>Description</t>
        </is>
      </c>
      <c r="E4" s="27" t="inlineStr">
        <is>
          <t>Location/Path</t>
        </is>
      </c>
      <c r="F4" s="27" t="inlineStr">
        <is>
          <t>Date Collected</t>
        </is>
      </c>
      <c r="G4" s="27" t="inlineStr">
        <is>
          <t>Collected By</t>
        </is>
      </c>
      <c r="H4" s="27" t="inlineStr">
        <is>
          <t>Verification Status</t>
        </is>
      </c>
    </row>
    <row r="5">
      <c r="A5" s="28" t="inlineStr">
        <is>
          <t>EV-001</t>
        </is>
      </c>
      <c r="B5" s="29" t="inlineStr">
        <is>
          <t>2. Laptops &amp; Workstations</t>
        </is>
      </c>
      <c r="C5" s="29" t="inlineStr">
        <is>
          <t>Configuration file</t>
        </is>
      </c>
      <c r="D5" s="29" t="inlineStr">
        <is>
          <t>TLS/encryption configuration export for audit evidence</t>
        </is>
      </c>
      <c r="E5" s="29" t="inlineStr">
        <is>
          <t>/evidence/a824/config-export-2025.txt</t>
        </is>
      </c>
      <c r="F5" s="29" t="inlineStr">
        <is>
          <t>01.01.2025</t>
        </is>
      </c>
      <c r="G5" s="29" t="inlineStr">
        <is>
          <t>Security Team</t>
        </is>
      </c>
      <c r="H5" s="29" t="inlineStr">
        <is>
          <t>✅ Verified</t>
        </is>
      </c>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row r="87">
      <c r="A87" s="18" t="n"/>
      <c r="B87" s="18" t="n"/>
      <c r="C87" s="18" t="n"/>
      <c r="D87" s="18" t="n"/>
      <c r="E87" s="18" t="n"/>
      <c r="F87" s="18" t="n"/>
      <c r="G87" s="18" t="n"/>
      <c r="H87" s="18" t="n"/>
    </row>
    <row r="88">
      <c r="A88" s="18" t="n"/>
      <c r="B88" s="18" t="n"/>
      <c r="C88" s="18" t="n"/>
      <c r="D88" s="18" t="n"/>
      <c r="E88" s="18" t="n"/>
      <c r="F88" s="18" t="n"/>
      <c r="G88" s="18" t="n"/>
      <c r="H88" s="18" t="n"/>
    </row>
    <row r="89">
      <c r="A89" s="18" t="n"/>
      <c r="B89" s="18" t="n"/>
      <c r="C89" s="18" t="n"/>
      <c r="D89" s="18" t="n"/>
      <c r="E89" s="18" t="n"/>
      <c r="F89" s="18" t="n"/>
      <c r="G89" s="18" t="n"/>
      <c r="H89" s="18" t="n"/>
    </row>
    <row r="90">
      <c r="A90" s="18" t="n"/>
      <c r="B90" s="18" t="n"/>
      <c r="C90" s="18" t="n"/>
      <c r="D90" s="18" t="n"/>
      <c r="E90" s="18" t="n"/>
      <c r="F90" s="18" t="n"/>
      <c r="G90" s="18" t="n"/>
      <c r="H90" s="18" t="n"/>
    </row>
    <row r="91">
      <c r="A91" s="18" t="n"/>
      <c r="B91" s="18" t="n"/>
      <c r="C91" s="18" t="n"/>
      <c r="D91" s="18" t="n"/>
      <c r="E91" s="18" t="n"/>
      <c r="F91" s="18" t="n"/>
      <c r="G91" s="18" t="n"/>
      <c r="H91" s="18" t="n"/>
    </row>
    <row r="92">
      <c r="A92" s="18" t="n"/>
      <c r="B92" s="18" t="n"/>
      <c r="C92" s="18" t="n"/>
      <c r="D92" s="18" t="n"/>
      <c r="E92" s="18" t="n"/>
      <c r="F92" s="18" t="n"/>
      <c r="G92" s="18" t="n"/>
      <c r="H92" s="18" t="n"/>
    </row>
    <row r="93">
      <c r="A93" s="18" t="n"/>
      <c r="B93" s="18" t="n"/>
      <c r="C93" s="18" t="n"/>
      <c r="D93" s="18" t="n"/>
      <c r="E93" s="18" t="n"/>
      <c r="F93" s="18" t="n"/>
      <c r="G93" s="18" t="n"/>
      <c r="H93" s="18" t="n"/>
    </row>
    <row r="94">
      <c r="A94" s="18" t="n"/>
      <c r="B94" s="18" t="n"/>
      <c r="C94" s="18" t="n"/>
      <c r="D94" s="18" t="n"/>
      <c r="E94" s="18" t="n"/>
      <c r="F94" s="18" t="n"/>
      <c r="G94" s="18" t="n"/>
      <c r="H94" s="18" t="n"/>
    </row>
    <row r="95">
      <c r="A95" s="18" t="n"/>
      <c r="B95" s="18" t="n"/>
      <c r="C95" s="18" t="n"/>
      <c r="D95" s="18" t="n"/>
      <c r="E95" s="18" t="n"/>
      <c r="F95" s="18" t="n"/>
      <c r="G95" s="18" t="n"/>
      <c r="H95" s="18" t="n"/>
    </row>
    <row r="96">
      <c r="A96" s="18" t="n"/>
      <c r="B96" s="18" t="n"/>
      <c r="C96" s="18" t="n"/>
      <c r="D96" s="18" t="n"/>
      <c r="E96" s="18" t="n"/>
      <c r="F96" s="18" t="n"/>
      <c r="G96" s="18" t="n"/>
      <c r="H96" s="18" t="n"/>
    </row>
    <row r="97">
      <c r="A97" s="18" t="n"/>
      <c r="B97" s="18" t="n"/>
      <c r="C97" s="18" t="n"/>
      <c r="D97" s="18" t="n"/>
      <c r="E97" s="18" t="n"/>
      <c r="F97" s="18" t="n"/>
      <c r="G97" s="18" t="n"/>
      <c r="H97" s="18" t="n"/>
    </row>
    <row r="98">
      <c r="A98" s="18" t="n"/>
      <c r="B98" s="18" t="n"/>
      <c r="C98" s="18" t="n"/>
      <c r="D98" s="18" t="n"/>
      <c r="E98" s="18" t="n"/>
      <c r="F98" s="18" t="n"/>
      <c r="G98" s="18" t="n"/>
      <c r="H98" s="18" t="n"/>
    </row>
    <row r="99">
      <c r="A99" s="18" t="n"/>
      <c r="B99" s="18" t="n"/>
      <c r="C99" s="18" t="n"/>
      <c r="D99" s="18" t="n"/>
      <c r="E99" s="18" t="n"/>
      <c r="F99" s="18" t="n"/>
      <c r="G99" s="18" t="n"/>
      <c r="H99" s="18" t="n"/>
    </row>
    <row r="100">
      <c r="A100" s="18" t="n"/>
      <c r="B100" s="18" t="n"/>
      <c r="C100" s="18" t="n"/>
      <c r="D100" s="18" t="n"/>
      <c r="E100" s="18" t="n"/>
      <c r="F100" s="18" t="n"/>
      <c r="G100" s="18" t="n"/>
      <c r="H100" s="18" t="n"/>
    </row>
    <row r="101">
      <c r="A101" s="18" t="n"/>
      <c r="B101" s="18" t="n"/>
      <c r="C101" s="18" t="n"/>
      <c r="D101" s="18" t="n"/>
      <c r="E101" s="18" t="n"/>
      <c r="F101" s="18" t="n"/>
      <c r="G101" s="18" t="n"/>
      <c r="H101" s="18" t="n"/>
    </row>
    <row r="102">
      <c r="A102" s="18" t="n"/>
      <c r="B102" s="18" t="n"/>
      <c r="C102" s="18" t="n"/>
      <c r="D102" s="18" t="n"/>
      <c r="E102" s="18" t="n"/>
      <c r="F102" s="18" t="n"/>
      <c r="G102" s="18" t="n"/>
      <c r="H102" s="18" t="n"/>
    </row>
    <row r="103">
      <c r="A103" s="18" t="n"/>
      <c r="B103" s="18" t="n"/>
      <c r="C103" s="18" t="n"/>
      <c r="D103" s="18" t="n"/>
      <c r="E103" s="18" t="n"/>
      <c r="F103" s="18" t="n"/>
      <c r="G103" s="18" t="n"/>
      <c r="H103" s="18" t="n"/>
    </row>
    <row r="104">
      <c r="A104" s="18" t="n"/>
      <c r="B104" s="18" t="n"/>
      <c r="C104" s="18" t="n"/>
      <c r="D104" s="18" t="n"/>
      <c r="E104" s="18" t="n"/>
      <c r="F104" s="18" t="n"/>
      <c r="G104" s="18" t="n"/>
      <c r="H104" s="18" t="n"/>
    </row>
    <row r="105">
      <c r="A105" s="18" t="n"/>
      <c r="B105" s="18" t="n"/>
      <c r="C105" s="18" t="n"/>
      <c r="D105" s="18" t="n"/>
      <c r="E105" s="18" t="n"/>
      <c r="F105" s="18" t="n"/>
      <c r="G105" s="18" t="n"/>
      <c r="H105" s="18"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"Configuration file,Screenshot,Encryption report,MDM report,Audit log,Key management record,Backup verification,Vendor documentation,Compliance certificate,Other"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 Verified,⚠️ Pending,❌ Not Verified,N/A"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9"/>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4" customWidth="1" min="6" max="6"/>
    <col width="15" customWidth="1" min="7" max="7"/>
  </cols>
  <sheetData>
    <row r="1" ht="35" customHeight="1">
      <c r="A1" s="11" t="inlineStr">
        <is>
          <t>DATA STORAGE CRYPTOGRAPHY ASSESSMENT — SUMMARY DASHBOARD</t>
        </is>
      </c>
      <c r="B1" s="6" t="n"/>
      <c r="C1" s="6" t="n"/>
      <c r="D1" s="6" t="n"/>
      <c r="E1" s="6" t="n"/>
      <c r="F1" s="6" t="n"/>
      <c r="G1" s="6" t="n"/>
    </row>
    <row r="2">
      <c r="A2" s="30" t="inlineStr">
        <is>
          <t>ISO/IEC 27001:2022 | Control A.8.24 | Data Storage Cryptography</t>
        </is>
      </c>
      <c r="B2" s="6" t="n"/>
      <c r="C2" s="6" t="n"/>
      <c r="D2" s="6" t="n"/>
      <c r="E2" s="6" t="n"/>
      <c r="F2" s="6" t="n"/>
      <c r="G2" s="6" t="n"/>
    </row>
    <row r="4">
      <c r="A4" s="31" t="inlineStr">
        <is>
          <t>TABLE 1: ASSESSMENT AREA COMPLIANCE OVERVIEW</t>
        </is>
      </c>
      <c r="B4" s="6" t="n"/>
      <c r="C4" s="6" t="n"/>
      <c r="D4" s="6" t="n"/>
      <c r="E4" s="6" t="n"/>
      <c r="F4" s="6" t="n"/>
      <c r="G4" s="6" t="n"/>
    </row>
    <row r="5">
      <c r="A5" s="32" t="inlineStr">
        <is>
          <t>Assessment Area</t>
        </is>
      </c>
      <c r="B5" s="32" t="inlineStr">
        <is>
          <t>Total Items</t>
        </is>
      </c>
      <c r="C5" s="32" t="inlineStr">
        <is>
          <t>Compliant</t>
        </is>
      </c>
      <c r="D5" s="32" t="inlineStr">
        <is>
          <t>Partial</t>
        </is>
      </c>
      <c r="E5" s="32" t="inlineStr">
        <is>
          <t>Non-Compliant</t>
        </is>
      </c>
      <c r="F5" s="32" t="inlineStr">
        <is>
          <t>N/A</t>
        </is>
      </c>
      <c r="G5" s="32" t="inlineStr">
        <is>
          <t>Compliance %</t>
        </is>
      </c>
    </row>
    <row r="6">
      <c r="A6" t="inlineStr">
        <is>
          <t>1. Mobile Devices</t>
        </is>
      </c>
      <c r="B6">
        <f>COUNTA('1. Mobile Devices'!H8:H60)</f>
        <v/>
      </c>
      <c r="C6">
        <f>COUNTIF('1. Mobile Devices'!H8:H60,"*Compliant")</f>
        <v/>
      </c>
      <c r="D6">
        <f>COUNTIF('1. Mobile Devices'!H8:H60,"*Partial")</f>
        <v/>
      </c>
      <c r="E6">
        <f>COUNTIF('1. Mobile Devices'!H8:H60,"*Non-Compliant")</f>
        <v/>
      </c>
      <c r="F6">
        <f>COUNTIF('1. Mobile Devices'!H8:H60,"N/A")</f>
        <v/>
      </c>
      <c r="G6">
        <f>IF((B6-F6)=0,"0%",ROUND(C6/(B6-F6)*100,1)&amp;"%")</f>
        <v/>
      </c>
    </row>
    <row r="7">
      <c r="A7" t="inlineStr">
        <is>
          <t>2. Laptops &amp; Workstations</t>
        </is>
      </c>
      <c r="B7">
        <f>COUNTA('2. Laptops &amp; Workstations'!H8:H60)</f>
        <v/>
      </c>
      <c r="C7">
        <f>COUNTIF('2. Laptops &amp; Workstations'!H8:H60,"*Compliant")</f>
        <v/>
      </c>
      <c r="D7">
        <f>COUNTIF('2. Laptops &amp; Workstations'!H8:H60,"*Partial")</f>
        <v/>
      </c>
      <c r="E7">
        <f>COUNTIF('2. Laptops &amp; Workstations'!H8:H60,"*Non-Compliant")</f>
        <v/>
      </c>
      <c r="F7">
        <f>COUNTIF('2. Laptops &amp; Workstations'!H8:H60,"N/A")</f>
        <v/>
      </c>
      <c r="G7">
        <f>IF((B7-F7)=0,"0%",ROUND(C7/(B7-F7)*100,1)&amp;"%")</f>
        <v/>
      </c>
    </row>
    <row r="8">
      <c r="A8" t="inlineStr">
        <is>
          <t>3. Servers</t>
        </is>
      </c>
      <c r="B8">
        <f>COUNTA('3. Servers'!H8:H60)</f>
        <v/>
      </c>
      <c r="C8">
        <f>COUNTIF('3. Servers'!H8:H60,"*Compliant")</f>
        <v/>
      </c>
      <c r="D8">
        <f>COUNTIF('3. Servers'!H8:H60,"*Partial")</f>
        <v/>
      </c>
      <c r="E8">
        <f>COUNTIF('3. Servers'!H8:H60,"*Non-Compliant")</f>
        <v/>
      </c>
      <c r="F8">
        <f>COUNTIF('3. Servers'!H8:H60,"N/A")</f>
        <v/>
      </c>
      <c r="G8">
        <f>IF((B8-F8)=0,"0%",ROUND(C8/(B8-F8)*100,1)&amp;"%")</f>
        <v/>
      </c>
    </row>
    <row r="9">
      <c r="A9" t="inlineStr">
        <is>
          <t>4. Databases</t>
        </is>
      </c>
      <c r="B9">
        <f>COUNTA('4. Databases'!H8:H60)</f>
        <v/>
      </c>
      <c r="C9">
        <f>COUNTIF('4. Databases'!H8:H60,"*Compliant")</f>
        <v/>
      </c>
      <c r="D9">
        <f>COUNTIF('4. Databases'!H8:H60,"*Partial")</f>
        <v/>
      </c>
      <c r="E9">
        <f>COUNTIF('4. Databases'!H8:H60,"*Non-Compliant")</f>
        <v/>
      </c>
      <c r="F9">
        <f>COUNTIF('4. Databases'!H8:H60,"N/A")</f>
        <v/>
      </c>
      <c r="G9">
        <f>IF((B9-F9)=0,"0%",ROUND(C9/(B9-F9)*100,1)&amp;"%")</f>
        <v/>
      </c>
    </row>
    <row r="10">
      <c r="A10" t="inlineStr">
        <is>
          <t>5. Cloud Storage</t>
        </is>
      </c>
      <c r="B10">
        <f>COUNTA('5. Cloud Storage'!H8:H60)</f>
        <v/>
      </c>
      <c r="C10">
        <f>COUNTIF('5. Cloud Storage'!H8:H60,"*Compliant")</f>
        <v/>
      </c>
      <c r="D10">
        <f>COUNTIF('5. Cloud Storage'!H8:H60,"*Partial")</f>
        <v/>
      </c>
      <c r="E10">
        <f>COUNTIF('5. Cloud Storage'!H8:H60,"*Non-Compliant")</f>
        <v/>
      </c>
      <c r="F10">
        <f>COUNTIF('5. Cloud Storage'!H8:H60,"N/A")</f>
        <v/>
      </c>
      <c r="G10">
        <f>IF((B10-F10)=0,"0%",ROUND(C10/(B10-F10)*100,1)&amp;"%")</f>
        <v/>
      </c>
    </row>
    <row r="11">
      <c r="A11" t="inlineStr">
        <is>
          <t>6. Backups</t>
        </is>
      </c>
      <c r="B11">
        <f>COUNTA('6. Backups'!H8:H60)</f>
        <v/>
      </c>
      <c r="C11">
        <f>COUNTIF('6. Backups'!H8:H60,"*Compliant")</f>
        <v/>
      </c>
      <c r="D11">
        <f>COUNTIF('6. Backups'!H8:H60,"*Partial")</f>
        <v/>
      </c>
      <c r="E11">
        <f>COUNTIF('6. Backups'!H8:H60,"*Non-Compliant")</f>
        <v/>
      </c>
      <c r="F11">
        <f>COUNTIF('6. Backups'!H8:H60,"N/A")</f>
        <v/>
      </c>
      <c r="G11">
        <f>IF((B11-F11)=0,"0%",ROUND(C11/(B11-F11)*100,1)&amp;"%")</f>
        <v/>
      </c>
    </row>
    <row r="12">
      <c r="A12" t="inlineStr">
        <is>
          <t>7. Removable Media</t>
        </is>
      </c>
      <c r="B12">
        <f>COUNTA('7. Removable Media'!H8:H60)</f>
        <v/>
      </c>
      <c r="C12">
        <f>COUNTIF('7. Removable Media'!H8:H60,"*Compliant")</f>
        <v/>
      </c>
      <c r="D12">
        <f>COUNTIF('7. Removable Media'!H8:H60,"*Partial")</f>
        <v/>
      </c>
      <c r="E12">
        <f>COUNTIF('7. Removable Media'!H8:H60,"*Non-Compliant")</f>
        <v/>
      </c>
      <c r="F12">
        <f>COUNTIF('7. Removable Media'!H8:H60,"N/A")</f>
        <v/>
      </c>
      <c r="G12">
        <f>IF((B12-F12)=0,"0%",ROUND(C12/(B12-F12)*100,1)&amp;"%")</f>
        <v/>
      </c>
    </row>
    <row r="13">
      <c r="A13" s="33" t="inlineStr">
        <is>
          <t>TOTAL</t>
        </is>
      </c>
      <c r="B13" s="33">
        <f>SUM(B6:B12)</f>
        <v/>
      </c>
      <c r="C13" s="33">
        <f>SUM(C6:C12)</f>
        <v/>
      </c>
      <c r="D13" s="33">
        <f>SUM(D6:D12)</f>
        <v/>
      </c>
      <c r="E13" s="33">
        <f>SUM(E6:E12)</f>
        <v/>
      </c>
      <c r="F13" s="33">
        <f>SUM(F6:F12)</f>
        <v/>
      </c>
      <c r="G13" s="34">
        <f>IF((B13-F13)=0,"0%",ROUND(C13/(B13-F13)*100,1)&amp;"%")</f>
        <v/>
      </c>
    </row>
    <row r="15">
      <c r="A15" s="31" t="inlineStr">
        <is>
          <t>TABLE 2: KEY METRICS</t>
        </is>
      </c>
      <c r="B15" s="6" t="n"/>
      <c r="C15" s="6" t="n"/>
      <c r="D15" s="6" t="n"/>
      <c r="E15" s="6" t="n"/>
      <c r="F15" s="6" t="n"/>
      <c r="G15" s="6" t="n"/>
    </row>
    <row r="16">
      <c r="A16" s="32" t="inlineStr">
        <is>
          <t>KPI</t>
        </is>
      </c>
      <c r="B16" s="32" t="inlineStr">
        <is>
          <t>Current Value</t>
        </is>
      </c>
      <c r="C16" s="32" t="inlineStr">
        <is>
          <t>Target</t>
        </is>
      </c>
      <c r="D16" s="32" t="inlineStr">
        <is>
          <t>Status</t>
        </is>
      </c>
      <c r="E16" s="32" t="inlineStr">
        <is>
          <t>Last Updated</t>
        </is>
      </c>
      <c r="F16" s="32" t="inlineStr">
        <is>
          <t>Owner</t>
        </is>
      </c>
      <c r="G16" s="32" t="inlineStr">
        <is>
          <t>Notes</t>
        </is>
      </c>
    </row>
    <row r="17">
      <c r="A17" s="35" t="inlineStr">
        <is>
          <t>Metric (Auto-computed)</t>
        </is>
      </c>
      <c r="B17" s="35" t="inlineStr">
        <is>
          <t>Value</t>
        </is>
      </c>
      <c r="C17" s="35" t="inlineStr">
        <is>
          <t>Notes</t>
        </is>
      </c>
      <c r="D17" s="6" t="inlineStr"/>
      <c r="E17" s="6" t="inlineStr"/>
      <c r="F17" s="6" t="inlineStr"/>
      <c r="G17" s="6" t="inlineStr"/>
    </row>
    <row r="18">
      <c r="A18" s="6" t="inlineStr">
        <is>
          <t>Not Encrypted Count (all domains)</t>
        </is>
      </c>
      <c r="B18" s="36">
        <f>SUM(COUNTIF('1. Mobile Devices'!C8:C60,"Not Encrypted"),COUNTIF('2. Laptops &amp; Workstations'!C8:C60,"Not Encrypted"),COUNTIF('3. Servers'!C8:C60,"Not Encrypted"),COUNTIF('4. Databases'!C8:C60,"Not Encrypted"),COUNTIF('5. Cloud Storage'!C8:C60,"Not Encrypted"),COUNTIF('6. Backups'!C8:C60,"Not Encrypted"),COUNTIF('7. Removable Media'!C8:C60,"Not Encrypted"))</f>
        <v/>
      </c>
      <c r="C18" s="6" t="n"/>
      <c r="D18" s="6" t="n"/>
      <c r="E18" s="6" t="n"/>
      <c r="F18" s="6" t="n"/>
      <c r="G18" s="6" t="n"/>
    </row>
    <row r="19">
      <c r="A19" s="6" t="inlineStr">
        <is>
          <t>Partially Encrypted Count (all domains)</t>
        </is>
      </c>
      <c r="B19" s="36">
        <f>SUM(COUNTIF('1. Mobile Devices'!C8:C60,"Partially Encrypted"),COUNTIF('2. Laptops &amp; Workstations'!C8:C60,"Partially Encrypted"),COUNTIF('3. Servers'!C8:C60,"Partially Encrypted"),COUNTIF('4. Databases'!C8:C60,"Partially Encrypted"),COUNTIF('5. Cloud Storage'!C8:C60,"Partially Encrypted"),COUNTIF('6. Backups'!C8:C60,"Partially Encrypted"),COUNTIF('7. Removable Media'!C8:C60,"Partially Encrypted"))</f>
        <v/>
      </c>
      <c r="C19" s="6" t="n"/>
      <c r="D19" s="6" t="n"/>
      <c r="E19" s="6" t="n"/>
      <c r="F19" s="6" t="n"/>
      <c r="G19" s="6" t="n"/>
    </row>
    <row r="20">
      <c r="A20" s="6" t="inlineStr">
        <is>
          <t>Key Rotation Disabled (all domains)</t>
        </is>
      </c>
      <c r="B20" s="36">
        <f>SUM(COUNTIF('1. Mobile Devices'!G8:G60,"❌ No"),COUNTIF('2. Laptops &amp; Workstations'!G8:G60,"❌ No"),COUNTIF('3. Servers'!G8:G60,"❌ No"),COUNTIF('4. Databases'!G8:G60,"❌ No"),COUNTIF('5. Cloud Storage'!G8:G60,"❌ No"),COUNTIF('6. Backups'!G8:G60,"❌ No"),COUNTIF('7. Removable Media'!G8:G60,"❌ No"))</f>
        <v/>
      </c>
      <c r="C20" s="6" t="n"/>
      <c r="D20" s="6" t="n"/>
      <c r="E20" s="6" t="n"/>
      <c r="F20" s="6" t="n"/>
      <c r="G20" s="6" t="n"/>
    </row>
    <row r="21">
      <c r="A21" s="6" t="inlineStr">
        <is>
          <t>HSM in Use (all domains)</t>
        </is>
      </c>
      <c r="B21" s="36">
        <f>SUM(COUNTIF('1. Mobile Devices'!F8:F60,"HSM"),COUNTIF('2. Laptops &amp; Workstations'!F8:F60,"HSM"),COUNTIF('3. Servers'!F8:F60,"HSM"),COUNTIF('4. Databases'!F8:F60,"HSM"),COUNTIF('5. Cloud Storage'!F8:F60,"HSM"),COUNTIF('6. Backups'!F8:F60,"HSM"),COUNTIF('7. Removable Media'!F8:F60,"HSM"))</f>
        <v/>
      </c>
      <c r="C21" s="6" t="n"/>
      <c r="D21" s="6" t="n"/>
      <c r="E21" s="6" t="n"/>
      <c r="F21" s="6" t="n"/>
      <c r="G21" s="6" t="n"/>
    </row>
    <row r="22">
      <c r="A22" s="6" t="inlineStr">
        <is>
          <t>Cloud KMS in Use (all domains)</t>
        </is>
      </c>
      <c r="B22" s="36">
        <f>SUM(COUNTIF('1. Mobile Devices'!F8:F60,"Cloud KMS"),COUNTIF('2. Laptops &amp; Workstations'!F8:F60,"Cloud KMS"),COUNTIF('3. Servers'!F8:F60,"Cloud KMS"),COUNTIF('4. Databases'!F8:F60,"Cloud KMS"),COUNTIF('5. Cloud Storage'!F8:F60,"Cloud KMS"),COUNTIF('6. Backups'!F8:F60,"Cloud KMS"),COUNTIF('7. Removable Media'!F8:F60,"Cloud KMS"))</f>
        <v/>
      </c>
      <c r="C22" s="6" t="n"/>
      <c r="D22" s="6" t="n"/>
      <c r="E22" s="6" t="n"/>
      <c r="F22" s="6" t="n"/>
      <c r="G22" s="6" t="n"/>
    </row>
    <row r="23">
      <c r="A23" s="6" t="inlineStr">
        <is>
          <t>Non-Compliant Items (all domains)</t>
        </is>
      </c>
      <c r="B23" s="36">
        <f>COUNTIF('1. Mobile Devices'!H8:H60,"*Non-Compliant")+COUNTIF('2. Laptops &amp; Workstations'!H8:H60,"*Non-Compliant")+COUNTIF('3. Servers'!H8:H60,"*Non-Compliant")+COUNTIF('4. Databases'!H8:H60,"*Non-Compliant")+COUNTIF('5. Cloud Storage'!H8:H60,"*Non-Compliant")+COUNTIF('6. Backups'!H8:H60,"*Non-Compliant")+COUNTIF('7. Removable Media'!H8:H60,"*Non-Compliant")</f>
        <v/>
      </c>
      <c r="C23" s="6" t="n"/>
      <c r="D23" s="6" t="n"/>
      <c r="E23" s="6" t="n"/>
      <c r="F23" s="6" t="n"/>
      <c r="G23" s="6" t="n"/>
    </row>
    <row r="24">
      <c r="A24" s="6" t="inlineStr">
        <is>
          <t>Total Assessed Items (all domains)</t>
        </is>
      </c>
      <c r="B24" s="36">
        <f>COUNTA('1. Mobile Devices'!H8:H60)+COUNTA('2. Laptops &amp; Workstations'!H8:H60)+COUNTA('3. Servers'!H8:H60)+COUNTA('4. Databases'!H8:H60)+COUNTA('5. Cloud Storage'!H8:H60)+COUNTA('6. Backups'!H8:H60)+COUNTA('7. Removable Media'!H8:H60)</f>
        <v/>
      </c>
      <c r="C24" s="6" t="n"/>
      <c r="D24" s="6" t="n"/>
      <c r="E24" s="6" t="n"/>
      <c r="F24" s="6" t="n"/>
      <c r="G24" s="6" t="n"/>
    </row>
    <row r="27">
      <c r="A27" s="6" t="inlineStr">
        <is>
          <t>Full-Disk Encryption – Laptops / Workstations</t>
        </is>
      </c>
      <c r="B27" s="6" t="n"/>
      <c r="C27" s="6" t="inlineStr">
        <is>
          <t>100%</t>
        </is>
      </c>
      <c r="D27" s="6" t="n"/>
      <c r="E27" s="6" t="n"/>
      <c r="F27" s="6" t="n"/>
      <c r="G27" s="6" t="n"/>
    </row>
    <row r="28">
      <c r="A28" s="6" t="inlineStr">
        <is>
          <t>Mobile Device Encryption</t>
        </is>
      </c>
      <c r="B28" s="6" t="n"/>
      <c r="C28" s="6" t="inlineStr">
        <is>
          <t>100%</t>
        </is>
      </c>
      <c r="D28" s="6" t="n"/>
      <c r="E28" s="6" t="n"/>
      <c r="F28" s="6" t="n"/>
      <c r="G28" s="6" t="n"/>
    </row>
    <row r="29">
      <c r="A29" s="6" t="inlineStr">
        <is>
          <t>Server Data-at-Rest Encryption</t>
        </is>
      </c>
      <c r="B29" s="6" t="n"/>
      <c r="C29" s="6" t="inlineStr">
        <is>
          <t>≥95%</t>
        </is>
      </c>
      <c r="D29" s="6" t="n"/>
      <c r="E29" s="6" t="n"/>
      <c r="F29" s="6" t="n"/>
      <c r="G29" s="6" t="n"/>
    </row>
    <row r="30">
      <c r="A30" s="6" t="inlineStr">
        <is>
          <t>Database Encryption – TDE / Column-Level</t>
        </is>
      </c>
      <c r="B30" s="6" t="n"/>
      <c r="C30" s="6" t="inlineStr">
        <is>
          <t>100%</t>
        </is>
      </c>
      <c r="D30" s="6" t="n"/>
      <c r="E30" s="6" t="n"/>
      <c r="F30" s="6" t="n"/>
      <c r="G30" s="6" t="n"/>
    </row>
    <row r="31">
      <c r="A31" s="6" t="inlineStr">
        <is>
          <t>Cloud Storage Encryption</t>
        </is>
      </c>
      <c r="B31" s="6" t="n"/>
      <c r="C31" s="6" t="inlineStr">
        <is>
          <t>100%</t>
        </is>
      </c>
      <c r="D31" s="6" t="n"/>
      <c r="E31" s="6" t="n"/>
      <c r="F31" s="6" t="n"/>
      <c r="G31" s="6" t="n"/>
    </row>
    <row r="32">
      <c r="A32" s="6" t="inlineStr">
        <is>
          <t>Backup Encryption</t>
        </is>
      </c>
      <c r="B32" s="6" t="n"/>
      <c r="C32" s="6" t="inlineStr">
        <is>
          <t>100%</t>
        </is>
      </c>
      <c r="D32" s="6" t="n"/>
      <c r="E32" s="6" t="n"/>
      <c r="F32" s="6" t="n"/>
      <c r="G32" s="6" t="n"/>
    </row>
    <row r="33">
      <c r="A33" s="6" t="inlineStr">
        <is>
          <t>Removable Media Encryption</t>
        </is>
      </c>
      <c r="B33" s="6" t="n"/>
      <c r="C33" s="6" t="inlineStr">
        <is>
          <t>100%</t>
        </is>
      </c>
      <c r="D33" s="6" t="n"/>
      <c r="E33" s="6" t="n"/>
      <c r="F33" s="6" t="n"/>
      <c r="G33" s="6" t="n"/>
    </row>
    <row r="34">
      <c r="A34" s="6" t="inlineStr">
        <is>
          <t>Encryption Algorithm Compliance – AES-256+</t>
        </is>
      </c>
      <c r="B34" s="6" t="n"/>
      <c r="C34" s="6" t="inlineStr">
        <is>
          <t>100%</t>
        </is>
      </c>
      <c r="D34" s="6" t="n"/>
      <c r="E34" s="6" t="n"/>
      <c r="F34" s="6" t="n"/>
      <c r="G34" s="6" t="n"/>
    </row>
    <row r="35">
      <c r="A35" s="6" t="inlineStr">
        <is>
          <t>Key Rotation Compliance</t>
        </is>
      </c>
      <c r="B35" s="6" t="n"/>
      <c r="C35" s="6" t="inlineStr">
        <is>
          <t>≥90%</t>
        </is>
      </c>
      <c r="D35" s="6" t="n"/>
      <c r="E35" s="6" t="n"/>
      <c r="F35" s="6" t="n"/>
      <c r="G35" s="6" t="n"/>
    </row>
    <row r="36">
      <c r="A36" s="6" t="inlineStr">
        <is>
          <t>Evidence Documentation Rate</t>
        </is>
      </c>
      <c r="B36" s="6" t="n"/>
      <c r="C36" s="6" t="inlineStr">
        <is>
          <t>100%</t>
        </is>
      </c>
      <c r="D36" s="6" t="n"/>
      <c r="E36" s="6" t="n"/>
      <c r="F36" s="6" t="n"/>
      <c r="G36" s="6" t="n"/>
    </row>
    <row r="37">
      <c r="A37" s="6" t="n"/>
      <c r="B37" s="6" t="n"/>
      <c r="C37" s="6" t="n"/>
      <c r="D37" s="6" t="n"/>
      <c r="E37" s="6" t="n"/>
      <c r="F37" s="6" t="n"/>
      <c r="G37" s="6" t="n"/>
    </row>
    <row r="38">
      <c r="A38" s="6" t="n"/>
      <c r="B38" s="6" t="n"/>
      <c r="C38" s="6" t="n"/>
      <c r="D38" s="6" t="n"/>
      <c r="E38" s="6" t="n"/>
      <c r="F38" s="6" t="n"/>
      <c r="G38" s="6" t="n"/>
    </row>
    <row r="40">
      <c r="A40" s="37" t="inlineStr">
        <is>
          <t>TABLE 3: DOMAIN COMPLIANCE SUMMARY</t>
        </is>
      </c>
      <c r="B40" s="6" t="n"/>
      <c r="C40" s="6" t="n"/>
      <c r="D40" s="6" t="n"/>
      <c r="E40" s="6" t="n"/>
      <c r="F40" s="6" t="n"/>
      <c r="G40" s="6" t="n"/>
    </row>
    <row r="41">
      <c r="A41" s="32" t="inlineStr">
        <is>
          <t>Storage Domain</t>
        </is>
      </c>
      <c r="B41" s="32" t="inlineStr">
        <is>
          <t>Not Encrypted</t>
        </is>
      </c>
      <c r="C41" s="32" t="inlineStr">
        <is>
          <t>Key Rotation Off</t>
        </is>
      </c>
      <c r="D41" s="32" t="inlineStr">
        <is>
          <t>HSM in Use</t>
        </is>
      </c>
      <c r="E41" s="32" t="inlineStr">
        <is>
          <t>Non-Compliant</t>
        </is>
      </c>
      <c r="F41" s="32" t="inlineStr">
        <is>
          <t>Total Items</t>
        </is>
      </c>
      <c r="G41" s="32" t="inlineStr">
        <is>
          <t>Compliance %</t>
        </is>
      </c>
    </row>
    <row r="42">
      <c r="A42" s="38" t="inlineStr">
        <is>
          <t>1. Mobile Devices</t>
        </is>
      </c>
      <c r="B42" s="38">
        <f>COUNTIF('1. Mobile Devices'!C8:C60,"Not Encrypted")</f>
        <v/>
      </c>
      <c r="C42" s="38">
        <f>COUNTIF('1. Mobile Devices'!G8:G60,"❌ No")</f>
        <v/>
      </c>
      <c r="D42" s="38">
        <f>COUNTIF('1. Mobile Devices'!F8:F60,"HSM")</f>
        <v/>
      </c>
      <c r="E42" s="38">
        <f>COUNTIF('1. Mobile Devices'!H8:H60,"*Non-Compliant")</f>
        <v/>
      </c>
      <c r="F42" s="38">
        <f>COUNTA('1. Mobile Devices'!H8:H60)</f>
        <v/>
      </c>
      <c r="G42" s="39">
        <f>IF(F42=0,0,(F42-E42)/F42)</f>
        <v/>
      </c>
    </row>
    <row r="43">
      <c r="A43" s="38" t="inlineStr">
        <is>
          <t>2. Laptops &amp; Workstations</t>
        </is>
      </c>
      <c r="B43" s="38">
        <f>COUNTIF('2. Laptops &amp; Workstations'!C8:C60,"Not Encrypted")</f>
        <v/>
      </c>
      <c r="C43" s="38">
        <f>COUNTIF('2. Laptops &amp; Workstations'!G8:G60,"❌ No")</f>
        <v/>
      </c>
      <c r="D43" s="38">
        <f>COUNTIF('2. Laptops &amp; Workstations'!F8:F60,"HSM")</f>
        <v/>
      </c>
      <c r="E43" s="38">
        <f>COUNTIF('2. Laptops &amp; Workstations'!H8:H60,"*Non-Compliant")</f>
        <v/>
      </c>
      <c r="F43" s="38">
        <f>COUNTA('2. Laptops &amp; Workstations'!H8:H60)</f>
        <v/>
      </c>
      <c r="G43" s="39">
        <f>IF(F43=0,0,(F43-E43)/F43)</f>
        <v/>
      </c>
    </row>
    <row r="44">
      <c r="A44" s="38" t="inlineStr">
        <is>
          <t>3. Servers</t>
        </is>
      </c>
      <c r="B44" s="38">
        <f>COUNTIF('3. Servers'!C8:C60,"Not Encrypted")</f>
        <v/>
      </c>
      <c r="C44" s="38">
        <f>COUNTIF('3. Servers'!G8:G60,"❌ No")</f>
        <v/>
      </c>
      <c r="D44" s="38">
        <f>COUNTIF('3. Servers'!F8:F60,"HSM")</f>
        <v/>
      </c>
      <c r="E44" s="38">
        <f>COUNTIF('3. Servers'!H8:H60,"*Non-Compliant")</f>
        <v/>
      </c>
      <c r="F44" s="38">
        <f>COUNTA('3. Servers'!H8:H60)</f>
        <v/>
      </c>
      <c r="G44" s="39">
        <f>IF(F44=0,0,(F44-E44)/F44)</f>
        <v/>
      </c>
    </row>
    <row r="45">
      <c r="A45" s="38" t="inlineStr">
        <is>
          <t>4. Databases</t>
        </is>
      </c>
      <c r="B45" s="38">
        <f>COUNTIF('4. Databases'!C8:C60,"Not Encrypted")</f>
        <v/>
      </c>
      <c r="C45" s="38">
        <f>COUNTIF('4. Databases'!G8:G60,"❌ No")</f>
        <v/>
      </c>
      <c r="D45" s="38">
        <f>COUNTIF('4. Databases'!F8:F60,"HSM")</f>
        <v/>
      </c>
      <c r="E45" s="38">
        <f>COUNTIF('4. Databases'!H8:H60,"*Non-Compliant")</f>
        <v/>
      </c>
      <c r="F45" s="38">
        <f>COUNTA('4. Databases'!H8:H60)</f>
        <v/>
      </c>
      <c r="G45" s="39">
        <f>IF(F45=0,0,(F45-E45)/F45)</f>
        <v/>
      </c>
    </row>
    <row r="46">
      <c r="A46" s="38" t="inlineStr">
        <is>
          <t>5. Cloud Storage</t>
        </is>
      </c>
      <c r="B46" s="38">
        <f>COUNTIF('5. Cloud Storage'!C8:C60,"Not Encrypted")</f>
        <v/>
      </c>
      <c r="C46" s="38">
        <f>COUNTIF('5. Cloud Storage'!G8:G60,"❌ No")</f>
        <v/>
      </c>
      <c r="D46" s="38">
        <f>COUNTIF('5. Cloud Storage'!F8:F60,"HSM")</f>
        <v/>
      </c>
      <c r="E46" s="38">
        <f>COUNTIF('5. Cloud Storage'!H8:H60,"*Non-Compliant")</f>
        <v/>
      </c>
      <c r="F46" s="38">
        <f>COUNTA('5. Cloud Storage'!H8:H60)</f>
        <v/>
      </c>
      <c r="G46" s="39">
        <f>IF(F46=0,0,(F46-E46)/F46)</f>
        <v/>
      </c>
    </row>
    <row r="47">
      <c r="A47" s="38" t="inlineStr">
        <is>
          <t>6. Backups</t>
        </is>
      </c>
      <c r="B47" s="38">
        <f>COUNTIF('6. Backups'!C8:C60,"Not Encrypted")</f>
        <v/>
      </c>
      <c r="C47" s="38">
        <f>COUNTIF('6. Backups'!G8:G60,"❌ No")</f>
        <v/>
      </c>
      <c r="D47" s="38">
        <f>COUNTIF('6. Backups'!F8:F60,"HSM")</f>
        <v/>
      </c>
      <c r="E47" s="38">
        <f>COUNTIF('6. Backups'!H8:H60,"*Non-Compliant")</f>
        <v/>
      </c>
      <c r="F47" s="38">
        <f>COUNTA('6. Backups'!H8:H60)</f>
        <v/>
      </c>
      <c r="G47" s="39">
        <f>IF(F47=0,0,(F47-E47)/F47)</f>
        <v/>
      </c>
    </row>
    <row r="48">
      <c r="A48" s="38" t="inlineStr">
        <is>
          <t>7. Removable Media</t>
        </is>
      </c>
      <c r="B48" s="38">
        <f>COUNTIF('7. Removable Media'!C8:C60,"Not Encrypted")</f>
        <v/>
      </c>
      <c r="C48" s="38">
        <f>COUNTIF('7. Removable Media'!G8:G60,"❌ No")</f>
        <v/>
      </c>
      <c r="D48" s="38">
        <f>COUNTIF('7. Removable Media'!F8:F60,"HSM")</f>
        <v/>
      </c>
      <c r="E48" s="38">
        <f>COUNTIF('7. Removable Media'!H8:H60,"*Non-Compliant")</f>
        <v/>
      </c>
      <c r="F48" s="38">
        <f>COUNTA('7. Removable Media'!H8:H60)</f>
        <v/>
      </c>
      <c r="G48" s="39">
        <f>IF(F48=0,0,(F48-E48)/F48)</f>
        <v/>
      </c>
    </row>
    <row r="49">
      <c r="A49" s="33" t="inlineStr">
        <is>
          <t>TOTAL</t>
        </is>
      </c>
      <c r="B49" s="33">
        <f>SUM(B42:B48)</f>
        <v/>
      </c>
      <c r="C49" s="33">
        <f>SUM(C42:C48)</f>
        <v/>
      </c>
      <c r="D49" s="33">
        <f>SUM(D42:D48)</f>
        <v/>
      </c>
      <c r="E49" s="33">
        <f>SUM(E42:E48)</f>
        <v/>
      </c>
      <c r="F49" s="33">
        <f>SUM(F42:F48)</f>
        <v/>
      </c>
      <c r="G49" s="40">
        <f>IF(F49=0,0,(F49-E49)/F49)</f>
        <v/>
      </c>
    </row>
  </sheetData>
  <mergeCells count="5">
    <mergeCell ref="A1:G1"/>
    <mergeCell ref="A40:G40"/>
    <mergeCell ref="A4:G4"/>
    <mergeCell ref="A2:G2"/>
    <mergeCell ref="A15:G15"/>
  </mergeCells>
  <dataValidations count="1">
    <dataValidation sqref="D27 D28 D29 D30 D31 D32 D33 D34 D35 D36" showDropDown="0" showInputMessage="0" showErrorMessage="0" allowBlank="1" type="list">
      <formula1>"✅ On Target,⚠️ At Risk,❌ Below Target"</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1" t="inlineStr">
        <is>
          <t>ASSESSMENT APPROVAL AND SIGN-OFF</t>
        </is>
      </c>
      <c r="B1" s="6" t="n"/>
      <c r="C1" s="6" t="n"/>
      <c r="D1" s="6" t="n"/>
      <c r="E1" s="6" t="n"/>
    </row>
    <row r="3">
      <c r="A3" s="42" t="inlineStr">
        <is>
          <t>ASSESSMENT SUMMARY</t>
        </is>
      </c>
      <c r="B3" s="6" t="n"/>
      <c r="C3" s="6" t="n"/>
      <c r="D3" s="6" t="n"/>
      <c r="E3" s="6" t="n"/>
    </row>
    <row r="4">
      <c r="A4" s="14" t="inlineStr">
        <is>
          <t>Document:</t>
        </is>
      </c>
      <c r="B4" s="6" t="inlineStr">
        <is>
          <t>ISMS-IMP-A.8.24.2 - Data Storage Assessment</t>
        </is>
      </c>
      <c r="C4" s="6" t="n"/>
      <c r="D4" s="6" t="n"/>
      <c r="E4" s="6" t="n"/>
    </row>
    <row r="5">
      <c r="A5" s="14" t="inlineStr">
        <is>
          <t>Assessment Period:</t>
        </is>
      </c>
      <c r="B5" s="15" t="inlineStr"/>
      <c r="C5" s="6" t="n"/>
      <c r="D5" s="6" t="n"/>
      <c r="E5" s="6" t="n"/>
    </row>
    <row r="6">
      <c r="A6" s="14" t="inlineStr">
        <is>
          <t>Overall Compliance:</t>
        </is>
      </c>
      <c r="B6" s="6">
        <f>'Summary Dashboard'!G13</f>
        <v/>
      </c>
      <c r="C6" s="6" t="n"/>
      <c r="D6" s="6" t="n"/>
      <c r="E6" s="6" t="n"/>
    </row>
    <row r="7">
      <c r="A7" s="14" t="inlineStr">
        <is>
          <t>Assessment Status:</t>
        </is>
      </c>
      <c r="B7" s="15" t="inlineStr"/>
      <c r="C7" s="6" t="n"/>
      <c r="D7" s="6" t="n"/>
      <c r="E7" s="6" t="n"/>
    </row>
    <row r="10">
      <c r="A10" s="42" t="inlineStr">
        <is>
          <t>COMPLETED BY (ASSESSOR)</t>
        </is>
      </c>
      <c r="B10" s="6" t="n"/>
      <c r="C10" s="6" t="n"/>
      <c r="D10" s="6" t="n"/>
      <c r="E10" s="6" t="n"/>
    </row>
    <row r="11">
      <c r="A11" s="14" t="inlineStr">
        <is>
          <t>Name:</t>
        </is>
      </c>
      <c r="B11" s="15" t="n"/>
      <c r="C11" s="6" t="n"/>
      <c r="D11" s="6" t="n"/>
      <c r="E11" s="6" t="n"/>
    </row>
    <row r="12">
      <c r="A12" s="14" t="inlineStr">
        <is>
          <t>Title:</t>
        </is>
      </c>
      <c r="B12" s="15" t="n"/>
      <c r="C12" s="6" t="n"/>
      <c r="D12" s="6" t="n"/>
      <c r="E12" s="6" t="n"/>
    </row>
    <row r="13">
      <c r="A13" s="14" t="inlineStr">
        <is>
          <t>Date:</t>
        </is>
      </c>
      <c r="B13" s="15" t="n"/>
      <c r="C13" s="6" t="n"/>
      <c r="D13" s="6" t="n"/>
      <c r="E13" s="6" t="n"/>
    </row>
    <row r="14">
      <c r="A14" s="14" t="inlineStr">
        <is>
          <t>Signature:</t>
        </is>
      </c>
      <c r="B14" s="15" t="n"/>
      <c r="C14" s="6" t="n"/>
      <c r="D14" s="6" t="n"/>
      <c r="E14" s="6" t="n"/>
    </row>
    <row r="15">
      <c r="A15" s="14" t="inlineStr">
        <is>
          <t>Comments:</t>
        </is>
      </c>
      <c r="B15" s="15" t="n"/>
      <c r="C15" s="6" t="n"/>
      <c r="D15" s="6" t="n"/>
      <c r="E15" s="6" t="n"/>
    </row>
    <row r="17">
      <c r="A17" s="42" t="inlineStr">
        <is>
          <t>REVIEWED BY (INFORMATION SECURITY OFFICER)</t>
        </is>
      </c>
      <c r="B17" s="6" t="n"/>
      <c r="C17" s="6" t="n"/>
      <c r="D17" s="6" t="n"/>
      <c r="E17" s="6" t="n"/>
    </row>
    <row r="18">
      <c r="A18" s="14" t="inlineStr">
        <is>
          <t>Name:</t>
        </is>
      </c>
      <c r="B18" s="15" t="n"/>
      <c r="C18" s="6" t="n"/>
      <c r="D18" s="6" t="n"/>
      <c r="E18" s="6" t="n"/>
    </row>
    <row r="19">
      <c r="A19" s="14" t="inlineStr">
        <is>
          <t>Title:</t>
        </is>
      </c>
      <c r="B19" s="15" t="n"/>
      <c r="C19" s="6" t="n"/>
      <c r="D19" s="6" t="n"/>
      <c r="E19" s="6" t="n"/>
    </row>
    <row r="20">
      <c r="A20" s="14" t="inlineStr">
        <is>
          <t>Date:</t>
        </is>
      </c>
      <c r="B20" s="15" t="n"/>
      <c r="C20" s="6" t="n"/>
      <c r="D20" s="6" t="n"/>
      <c r="E20" s="6" t="n"/>
    </row>
    <row r="21">
      <c r="A21" s="14" t="inlineStr">
        <is>
          <t>Signature:</t>
        </is>
      </c>
      <c r="B21" s="15" t="n"/>
      <c r="C21" s="6" t="n"/>
      <c r="D21" s="6" t="n"/>
      <c r="E21" s="6" t="n"/>
    </row>
    <row r="22">
      <c r="A22" s="14" t="inlineStr">
        <is>
          <t>Comments:</t>
        </is>
      </c>
      <c r="B22" s="15" t="n"/>
      <c r="C22" s="6" t="n"/>
      <c r="D22" s="6" t="n"/>
      <c r="E22" s="6" t="n"/>
    </row>
    <row r="24">
      <c r="A24" s="43" t="inlineStr">
        <is>
          <t>APPROVED BY (CISO)</t>
        </is>
      </c>
      <c r="B24" s="6" t="n"/>
      <c r="C24" s="6" t="n"/>
      <c r="D24" s="6" t="n"/>
      <c r="E24" s="6" t="n"/>
    </row>
    <row r="25">
      <c r="A25" s="14" t="inlineStr">
        <is>
          <t>Name:</t>
        </is>
      </c>
      <c r="B25" s="15" t="n"/>
      <c r="C25" s="6" t="n"/>
      <c r="D25" s="6" t="n"/>
      <c r="E25" s="6" t="n"/>
    </row>
    <row r="26">
      <c r="A26" s="14" t="inlineStr">
        <is>
          <t>Title:</t>
        </is>
      </c>
      <c r="B26" s="15" t="n"/>
      <c r="C26" s="6" t="n"/>
      <c r="D26" s="6" t="n"/>
      <c r="E26" s="6" t="n"/>
    </row>
    <row r="27">
      <c r="A27" s="14" t="inlineStr">
        <is>
          <t>Date:</t>
        </is>
      </c>
      <c r="B27" s="15" t="n"/>
      <c r="C27" s="6" t="n"/>
      <c r="D27" s="6" t="n"/>
      <c r="E27" s="6" t="n"/>
    </row>
    <row r="28">
      <c r="A28" s="14" t="inlineStr">
        <is>
          <t>Signature:</t>
        </is>
      </c>
      <c r="B28" s="15" t="n"/>
      <c r="C28" s="6" t="n"/>
      <c r="D28" s="6" t="n"/>
      <c r="E28" s="6" t="n"/>
    </row>
    <row r="29">
      <c r="A29" s="14" t="inlineStr">
        <is>
          <t>Comments:</t>
        </is>
      </c>
      <c r="B29" s="15" t="n"/>
      <c r="C29" s="6" t="n"/>
      <c r="D29" s="6" t="n"/>
      <c r="E29" s="6" t="n"/>
    </row>
    <row r="31">
      <c r="A31" s="14" t="inlineStr">
        <is>
          <t>FINAL DECISION:</t>
        </is>
      </c>
      <c r="B31" s="15" t="n"/>
      <c r="C31" s="6" t="n"/>
      <c r="D31" s="6" t="n"/>
      <c r="E31" s="6" t="n"/>
    </row>
    <row r="34">
      <c r="A34" s="42" t="inlineStr">
        <is>
          <t>NEXT REVIEW DETAILS</t>
        </is>
      </c>
      <c r="B34" s="6" t="n"/>
      <c r="C34" s="6" t="n"/>
      <c r="D34" s="6" t="n"/>
      <c r="E34" s="6" t="n"/>
    </row>
    <row r="35">
      <c r="A35" s="14" t="inlineStr">
        <is>
          <t>Next Review Date:</t>
        </is>
      </c>
      <c r="B35" s="15" t="n"/>
      <c r="C35" s="6" t="n"/>
      <c r="D35" s="6" t="n"/>
      <c r="E35" s="6" t="n"/>
    </row>
    <row r="36">
      <c r="A36" s="14" t="inlineStr">
        <is>
          <t>Review Responsible:</t>
        </is>
      </c>
      <c r="B36" s="15" t="n"/>
      <c r="C36" s="6" t="n"/>
      <c r="D36" s="6" t="n"/>
      <c r="E36" s="6" t="n"/>
    </row>
    <row r="37">
      <c r="A37" s="14" t="inlineStr">
        <is>
          <t>Special Considerations:</t>
        </is>
      </c>
      <c r="B37" s="15"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ISMS-IMP-A.8.24.2 — Data Storage Cryptography Assessment</dc:title>
  <dc:description xmlns:dc="http://purl.org/dc/elements/1.1/">ISMS Implementation Workbook — ISMS-IMP-A.8.24.2</dc:description>
  <dc:subject xmlns:dc="http://purl.org/dc/elements/1.1/">ISO/IEC 27001:2022 — Control A.8.24: Use of Cryptography</dc:subject>
  <dcterms:created xmlns:dcterms="http://purl.org/dc/terms/" xmlns:xsi="http://www.w3.org/2001/XMLSchema-instance" xsi:type="dcterms:W3CDTF">2026-03-07T11:28:22Z</dcterms:created>
  <dcterms:modified xmlns:dcterms="http://purl.org/dc/terms/" xmlns:xsi="http://www.w3.org/2001/XMLSchema-instance" xsi:type="dcterms:W3CDTF">2026-03-07T11:28:22Z</dcterms:modified>
</cp:coreProperties>
</file>