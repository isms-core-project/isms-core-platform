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Key Generation" sheetId="2" state="visible" r:id="rId2"/>
    <sheet xmlns:r="http://schemas.openxmlformats.org/officeDocument/2006/relationships" name="2. Key Storage" sheetId="3" state="visible" r:id="rId3"/>
    <sheet xmlns:r="http://schemas.openxmlformats.org/officeDocument/2006/relationships" name="3. Key Rotation" sheetId="4" state="visible" r:id="rId4"/>
    <sheet xmlns:r="http://schemas.openxmlformats.org/officeDocument/2006/relationships" name="4. Key Backup &amp; Recovery" sheetId="5" state="visible" r:id="rId5"/>
    <sheet xmlns:r="http://schemas.openxmlformats.org/officeDocument/2006/relationships" name="5. Certificate Management" sheetId="6" state="visible" r:id="rId6"/>
    <sheet xmlns:r="http://schemas.openxmlformats.org/officeDocument/2006/relationships" name="6. Key Destruction"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8" fillId="11" borderId="1" applyAlignment="1" pivotButton="0" quotePrefix="0" xfId="0">
      <alignment horizontal="left" vertical="center"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ISMS-IMP-A.8.24.4  -  Key Management Assessment
ISO/IEC 27001:2022 - Control A.8.24: Use of Cryptography</t>
        </is>
      </c>
    </row>
    <row r="3">
      <c r="A3" s="2" t="inlineStr">
        <is>
          <t>Document Information</t>
        </is>
      </c>
    </row>
    <row r="4">
      <c r="A4" s="3" t="inlineStr">
        <is>
          <t>Document ID</t>
        </is>
      </c>
      <c r="B4" t="inlineStr">
        <is>
          <t>ISMS-IMP-A.8.24.4</t>
        </is>
      </c>
    </row>
    <row r="5">
      <c r="A5" s="3" t="inlineStr">
        <is>
          <t>Workbook Title</t>
        </is>
      </c>
      <c r="B5" t="inlineStr">
        <is>
          <t>Key Management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(1–5) for applicable key management areas.</t>
        </is>
      </c>
    </row>
    <row r="14">
      <c r="A14" t="inlineStr">
        <is>
          <t>2. Use dropdown menus for standardised entries (Status, Key Type, Algorithm, Storage Method, etc.).</t>
        </is>
      </c>
    </row>
    <row r="15">
      <c r="A15" t="inlineStr">
        <is>
          <t>3. Fill in yellow-highlighted cells with your information.</t>
        </is>
      </c>
    </row>
    <row r="16">
      <c r="A16" t="inlineStr">
        <is>
          <t>4. If Status = Partial or Non-Compliant, complete the Exception/Deviation section.</t>
        </is>
      </c>
    </row>
    <row r="17">
      <c r="A17" t="inlineStr">
        <is>
          <t>5. Document key lifecycle details for each cryptographic system.</t>
        </is>
      </c>
    </row>
    <row r="18">
      <c r="A18" t="inlineStr">
        <is>
          <t>6. Provide evidence location/path for each implementation entry.</t>
        </is>
      </c>
    </row>
    <row r="19">
      <c r="A19" t="inlineStr">
        <is>
          <t>7. Summary Dashboard auto-calculates compliance statistics per key management area.</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20" customWidth="1" min="19" max="19"/>
    <col width="16" customWidth="1" min="20" max="20"/>
    <col width="16" customWidth="1" min="21" max="21"/>
    <col width="16" customWidth="1" min="22" max="22"/>
  </cols>
  <sheetData>
    <row r="1" ht="35" customHeight="1">
      <c r="A1" s="11" t="inlineStr">
        <is>
          <t>1. KEY GENERATION - CRYPTOGRAPHIC KEY CREATION
Policy Requirement: Cryptographic keys MUST be generated using approved algorithms with cryptographically secure random number generators (Policy Section 2.4.1)</t>
        </is>
      </c>
      <c r="B1" s="6" t="n"/>
      <c r="C1" s="6" t="n"/>
      <c r="D1" s="6" t="n"/>
      <c r="E1" s="6" t="n"/>
      <c r="F1" s="6" t="n"/>
      <c r="G1" s="6" t="n"/>
      <c r="H1" s="6" t="n"/>
      <c r="I1" s="6" t="n"/>
      <c r="J1" s="6" t="n"/>
      <c r="K1" s="6" t="n"/>
      <c r="L1" s="6" t="n"/>
      <c r="M1" s="6" t="n"/>
      <c r="N1" s="6" t="n"/>
      <c r="O1" s="6" t="n"/>
      <c r="P1" s="6" t="n"/>
      <c r="Q1" s="6" t="n"/>
      <c r="R1" s="6" t="n"/>
      <c r="S1" s="6" t="n"/>
      <c r="T1" s="6" t="n"/>
      <c r="U1" s="6" t="n"/>
      <c r="V1" s="6" t="n"/>
    </row>
    <row r="2">
      <c r="A2" s="12" t="inlineStr">
        <is>
          <t>ISO/IEC 27001:2022 | Control A.8.24: Use of Cryptography</t>
        </is>
      </c>
    </row>
    <row r="3" ht="30" customHeight="1">
      <c r="A3" s="13" t="inlineStr">
        <is>
          <t>Does your organisation generate cryptographic keys for encryption, signing, or authentication purposes?</t>
        </is>
      </c>
      <c r="B3" s="6" t="n"/>
      <c r="C3" s="6" t="n"/>
      <c r="D3" s="6" t="n"/>
      <c r="E3" s="6" t="n"/>
      <c r="F3" s="6" t="n"/>
      <c r="G3" s="6" t="n"/>
      <c r="H3" s="6" t="n"/>
      <c r="I3" s="6" t="n"/>
      <c r="J3" s="6" t="n"/>
      <c r="K3" s="6" t="n"/>
      <c r="L3" s="6" t="n"/>
      <c r="M3" s="6" t="n"/>
      <c r="N3" s="6" t="n"/>
      <c r="O3" s="6" t="n"/>
      <c r="P3" s="6" t="n"/>
      <c r="Q3" s="6" t="n"/>
      <c r="R3" s="6" t="n"/>
      <c r="S3" s="6" t="n"/>
      <c r="T3" s="6" t="n"/>
      <c r="U3" s="6" t="n"/>
      <c r="V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Random Number Generator</t>
        </is>
      </c>
      <c r="S6" s="16" t="inlineStr">
        <is>
          <t>Generation Location</t>
        </is>
      </c>
      <c r="T6" s="16" t="inlineStr">
        <is>
          <t>Key Ceremony Performed</t>
        </is>
      </c>
      <c r="U6" s="16" t="inlineStr">
        <is>
          <t>Entropy Source Verified</t>
        </is>
      </c>
      <c r="V6" s="16" t="inlineStr">
        <is>
          <t>Generation Audit Log</t>
        </is>
      </c>
    </row>
    <row r="7">
      <c r="A7" s="17" t="inlineStr">
        <is>
          <t>Example: Production Database Encryption - FINDB01</t>
        </is>
      </c>
      <c r="B7" s="17" t="inlineStr">
        <is>
          <t>Data Encryption Key</t>
        </is>
      </c>
      <c r="C7" s="17" t="inlineStr">
        <is>
          <t>AES-256</t>
        </is>
      </c>
      <c r="D7" s="17" t="inlineStr">
        <is>
          <t>256</t>
        </is>
      </c>
      <c r="E7" s="17" t="inlineStr">
        <is>
          <t>HSM</t>
        </is>
      </c>
      <c r="F7" s="17" t="inlineStr">
        <is>
          <t>Restricted</t>
        </is>
      </c>
      <c r="G7" s="17" t="inlineStr">
        <is>
          <t>Active</t>
        </is>
      </c>
      <c r="H7" s="17" t="inlineStr">
        <is>
          <t>✅ Compliant</t>
        </is>
      </c>
      <c r="I7" s="17" t="inlineStr">
        <is>
          <t>/evidence/key-mgmt/FINDB01-key-generation-log.pdf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HSM RNG</t>
        </is>
      </c>
      <c r="S7" s="17" t="inlineStr">
        <is>
          <t>HSM</t>
        </is>
      </c>
      <c r="T7" s="17" t="inlineStr">
        <is>
          <t>Yes</t>
        </is>
      </c>
      <c r="U7" s="17" t="inlineStr">
        <is>
          <t>Yes</t>
        </is>
      </c>
      <c r="V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row>
    <row r="22">
      <c r="A22" s="19" t="inlineStr">
        <is>
          <t>1. KEY GENERATION CHECKLIST</t>
        </is>
      </c>
    </row>
    <row r="23">
      <c r="A23" s="14" t="inlineStr">
        <is>
          <t>☐</t>
        </is>
      </c>
      <c r="B23" s="14" t="inlineStr">
        <is>
          <t>Requirement</t>
        </is>
      </c>
      <c r="C23" s="14" t="inlineStr">
        <is>
          <t>Status</t>
        </is>
      </c>
    </row>
    <row r="24">
      <c r="A24" t="inlineStr">
        <is>
          <t>☐</t>
        </is>
      </c>
      <c r="B24" t="inlineStr">
        <is>
          <t>Approved algorithms only (AES-256, RSA ≥3072, Ed25519, ECDSA P-256+)</t>
        </is>
      </c>
      <c r="C24" s="15" t="n"/>
    </row>
    <row r="25">
      <c r="A25" t="inlineStr">
        <is>
          <t>☐</t>
        </is>
      </c>
      <c r="B25" t="inlineStr">
        <is>
          <t>Cryptographically secure random number generator (CSRNG) used</t>
        </is>
      </c>
      <c r="C25" s="15" t="n"/>
    </row>
    <row r="26">
      <c r="A26" t="inlineStr">
        <is>
          <t>☐</t>
        </is>
      </c>
      <c r="B26" t="inlineStr">
        <is>
          <t>FIPS 140-2 Level 2+ validated cryptographic module (production)</t>
        </is>
      </c>
      <c r="C26" s="15" t="n"/>
    </row>
    <row r="27">
      <c r="A27" t="inlineStr">
        <is>
          <t>☐</t>
        </is>
      </c>
      <c r="B27" t="inlineStr">
        <is>
          <t>Key generation performed in secure environment (HSM/KMS/TPM)</t>
        </is>
      </c>
      <c r="C27" s="15" t="n"/>
    </row>
    <row r="28">
      <c r="A28" t="inlineStr">
        <is>
          <t>☐</t>
        </is>
      </c>
      <c r="B28" t="inlineStr">
        <is>
          <t>Weak algorithms prohibited (DES, 3DES, MD5, SHA-1, RSA &lt;2048)</t>
        </is>
      </c>
      <c r="C28" s="15" t="n"/>
    </row>
    <row r="29">
      <c r="A29" t="inlineStr">
        <is>
          <t>☐</t>
        </is>
      </c>
      <c r="B29" t="inlineStr">
        <is>
          <t>Key ceremony documented for master/root keys</t>
        </is>
      </c>
      <c r="C29" s="15" t="n"/>
    </row>
    <row r="30">
      <c r="A30" t="inlineStr">
        <is>
          <t>☐</t>
        </is>
      </c>
      <c r="B30" t="inlineStr">
        <is>
          <t>Dual control/split knowledge for critical key generation</t>
        </is>
      </c>
      <c r="C30" s="15" t="n"/>
    </row>
    <row r="31">
      <c r="A31" t="inlineStr">
        <is>
          <t>☐</t>
        </is>
      </c>
      <c r="B31" t="inlineStr">
        <is>
          <t>Key generation audit logging enabled</t>
        </is>
      </c>
      <c r="C31" s="15" t="n"/>
    </row>
    <row r="32">
      <c r="A32" t="inlineStr">
        <is>
          <t>☐</t>
        </is>
      </c>
      <c r="B32" t="inlineStr">
        <is>
          <t>Generated keys never exposed in plaintext outside secure boundary</t>
        </is>
      </c>
      <c r="C32" s="15" t="n"/>
    </row>
    <row r="33">
      <c r="A33" t="inlineStr">
        <is>
          <t>☐</t>
        </is>
      </c>
      <c r="B33" t="inlineStr">
        <is>
          <t>Entropy source quality verified and tested</t>
        </is>
      </c>
      <c r="C33" s="15" t="n"/>
    </row>
    <row r="34">
      <c r="A34" t="inlineStr">
        <is>
          <t>☐</t>
        </is>
      </c>
      <c r="B34" t="inlineStr">
        <is>
          <t>Key generation procedures documented</t>
        </is>
      </c>
      <c r="C34" s="15" t="n"/>
    </row>
    <row r="35">
      <c r="A35" t="inlineStr">
        <is>
          <t>☐</t>
        </is>
      </c>
      <c r="B35" t="inlineStr">
        <is>
          <t>Key metadata tracked (creation date, purpose, owner, classification)</t>
        </is>
      </c>
      <c r="C35" s="15" t="n"/>
    </row>
    <row r="36">
      <c r="A36" t="inlineStr">
        <is>
          <t>☐</t>
        </is>
      </c>
      <c r="B36" t="inlineStr">
        <is>
          <t>Test/development keys distinct from production keys</t>
        </is>
      </c>
      <c r="C36" s="15" t="n"/>
    </row>
    <row r="37">
      <c r="A37" t="inlineStr">
        <is>
          <t>☐</t>
        </is>
      </c>
      <c r="B37" t="inlineStr">
        <is>
          <t>Default/vendor keys replaced before production use</t>
        </is>
      </c>
      <c r="C37" s="15" t="n"/>
    </row>
    <row r="38">
      <c r="A38" t="inlineStr">
        <is>
          <t>☐</t>
        </is>
      </c>
      <c r="B38" t="inlineStr">
        <is>
          <t>Cryptographic policy document exists and is approved — covers algorithm selection, key lengths, use cases, and roles</t>
        </is>
      </c>
      <c r="C38" s="15" t="n"/>
    </row>
    <row r="39">
      <c r="A39" t="inlineStr">
        <is>
          <t>☐</t>
        </is>
      </c>
      <c r="B39" t="inlineStr">
        <is>
          <t>Approved algorithm list maintained and reviewed annually — deprecated algorithms (MD5, SHA-1, DES, 3DES, RC4) explicitly prohibited</t>
        </is>
      </c>
      <c r="C39" s="15" t="n"/>
    </row>
    <row r="40">
      <c r="A40" t="inlineStr">
        <is>
          <t>☐</t>
        </is>
      </c>
      <c r="B40" t="inlineStr">
        <is>
          <t>Cryptographic roles and responsibilities defined — key custodians, security officers, and approvers identified</t>
        </is>
      </c>
      <c r="C40" s="15" t="n"/>
    </row>
    <row r="41">
      <c r="A41" s="14" t="inlineStr">
        <is>
          <t>Checklist Score:</t>
        </is>
      </c>
      <c r="B41" s="20">
        <f>IFERROR(ROUND(COUNTIF(C24:C40,"✅ Yes")/COUNTA(C24:C40)*100,0)&amp;"%","0%")</f>
        <v/>
      </c>
    </row>
    <row r="43">
      <c r="A43" s="19" t="inlineStr">
        <is>
          <t>APPROVED ALGORITHMS BY USE CASE</t>
        </is>
      </c>
    </row>
    <row r="44">
      <c r="A44" s="16" t="inlineStr">
        <is>
          <t>Use Case</t>
        </is>
      </c>
      <c r="B44" s="16" t="inlineStr">
        <is>
          <t>Minimum Algorithm</t>
        </is>
      </c>
      <c r="C44" s="16" t="inlineStr">
        <is>
          <t>Key Length</t>
        </is>
      </c>
      <c r="D44" s="16" t="inlineStr">
        <is>
          <t>Notes</t>
        </is>
      </c>
    </row>
    <row r="45">
      <c r="A45" s="8" t="inlineStr">
        <is>
          <t>Symmetric Encryption (Data at Rest)</t>
        </is>
      </c>
      <c r="B45" s="8" t="inlineStr">
        <is>
          <t>AES</t>
        </is>
      </c>
      <c r="C45" s="8" t="inlineStr">
        <is>
          <t>256 bits</t>
        </is>
      </c>
      <c r="D45" s="8" t="inlineStr">
        <is>
          <t>AES-256-GCM preferred</t>
        </is>
      </c>
    </row>
    <row r="46">
      <c r="A46" s="8" t="inlineStr">
        <is>
          <t>Symmetric Encryption (Data in Transit)</t>
        </is>
      </c>
      <c r="B46" s="8" t="inlineStr">
        <is>
          <t>AES, ChaCha20</t>
        </is>
      </c>
      <c r="C46" s="8" t="inlineStr">
        <is>
          <t>256 bits</t>
        </is>
      </c>
      <c r="D46" s="8" t="inlineStr">
        <is>
          <t>ChaCha20-Poly1305 for mobile</t>
        </is>
      </c>
    </row>
    <row r="47">
      <c r="A47" s="8" t="inlineStr">
        <is>
          <t>Asymmetric Encryption</t>
        </is>
      </c>
      <c r="B47" s="8" t="inlineStr">
        <is>
          <t>RSA, ECDH</t>
        </is>
      </c>
      <c r="C47" s="8" t="inlineStr">
        <is>
          <t>RSA ≥3072, ECDH P-256+</t>
        </is>
      </c>
      <c r="D47" s="8" t="inlineStr">
        <is>
          <t>RSA-4096 for long-term</t>
        </is>
      </c>
    </row>
    <row r="48">
      <c r="A48" s="8" t="inlineStr">
        <is>
          <t>Digital Signatures</t>
        </is>
      </c>
      <c r="B48" s="8" t="inlineStr">
        <is>
          <t>RSA, Ed25519, ECDSA</t>
        </is>
      </c>
      <c r="C48" s="8" t="inlineStr">
        <is>
          <t>RSA ≥3072, Ed25519, ECDSA P-256+</t>
        </is>
      </c>
      <c r="D48" s="8" t="inlineStr">
        <is>
          <t>Ed25519 preferred for new systems</t>
        </is>
      </c>
    </row>
    <row r="49">
      <c r="A49" s="8" t="inlineStr">
        <is>
          <t>Key Exchange</t>
        </is>
      </c>
      <c r="B49" s="8" t="inlineStr">
        <is>
          <t>ECDH, RSA</t>
        </is>
      </c>
      <c r="C49" s="8" t="inlineStr">
        <is>
          <t>ECDH P-256+, RSA ≥3072</t>
        </is>
      </c>
      <c r="D49" s="8" t="inlineStr">
        <is>
          <t>Use ephemeral keys for PFS</t>
        </is>
      </c>
    </row>
    <row r="50">
      <c r="A50" s="8" t="inlineStr">
        <is>
          <t>Hashing</t>
        </is>
      </c>
      <c r="B50" s="8" t="inlineStr">
        <is>
          <t>SHA-256, SHA-384, SHA-512</t>
        </is>
      </c>
      <c r="C50" s="8" t="inlineStr">
        <is>
          <t>N/A (output size)</t>
        </is>
      </c>
      <c r="D50" s="8" t="inlineStr">
        <is>
          <t>SHA-256 minimum</t>
        </is>
      </c>
    </row>
    <row r="51">
      <c r="A51" s="8" t="inlineStr">
        <is>
          <t>HMAC</t>
        </is>
      </c>
      <c r="B51" s="8" t="inlineStr">
        <is>
          <t>HMAC-SHA256</t>
        </is>
      </c>
      <c r="C51" s="8" t="inlineStr">
        <is>
          <t>≥256 bits</t>
        </is>
      </c>
      <c r="D51" s="8" t="inlineStr">
        <is>
          <t>For message authentication</t>
        </is>
      </c>
    </row>
    <row r="53">
      <c r="A53" s="21" t="inlineStr">
        <is>
          <t>EXCEPTION / DEVIATION DOCUMENTATION (Complete if Status = Partial or Non-Compliant)</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Enhanced monitoring and alerting</t>
        </is>
      </c>
      <c r="B59" s="18" t="n"/>
      <c r="C59" s="6" t="n"/>
      <c r="D59" s="6" t="n"/>
    </row>
    <row r="60">
      <c r="A60" s="14" t="inlineStr">
        <is>
          <t>☐ Restricted network access / air-gapped systems</t>
        </is>
      </c>
      <c r="B60" s="18" t="n"/>
      <c r="C60" s="6" t="n"/>
      <c r="D60" s="6" t="n"/>
    </row>
    <row r="61">
      <c r="A61" s="14" t="inlineStr">
        <is>
          <t>☐ Additional encryption layer</t>
        </is>
      </c>
      <c r="B61" s="18" t="n"/>
      <c r="C61" s="6" t="n"/>
      <c r="D61" s="6" t="n"/>
    </row>
    <row r="62">
      <c r="A62" s="14" t="inlineStr">
        <is>
          <t>☐ Manual key management procedures</t>
        </is>
      </c>
      <c r="B62" s="18" t="n"/>
      <c r="C62" s="6" t="n"/>
      <c r="D62" s="6" t="n"/>
    </row>
    <row r="63">
      <c r="A63" s="14" t="inlineStr">
        <is>
          <t>☐ Increased audit frequency</t>
        </is>
      </c>
      <c r="B63" s="18" t="n"/>
      <c r="C63" s="6" t="n"/>
      <c r="D63" s="6" t="n"/>
    </row>
    <row r="64">
      <c r="A64" s="14" t="inlineStr">
        <is>
          <t>☐ Physical security controls</t>
        </is>
      </c>
      <c r="B64" s="18" t="n"/>
      <c r="C64" s="6" t="n"/>
      <c r="D64" s="6" t="n"/>
    </row>
    <row r="65">
      <c r="A65" s="14" t="inlineStr">
        <is>
          <t>☐ Other (describe):</t>
        </is>
      </c>
      <c r="B65" s="18" t="n"/>
      <c r="C65" s="6" t="n"/>
      <c r="D65" s="6" t="n"/>
    </row>
    <row r="67">
      <c r="A67" s="22" t="inlineStr">
        <is>
          <t>ADDITIONAL NOTES / COMMENTS</t>
        </is>
      </c>
      <c r="B67" s="6" t="n"/>
      <c r="C67" s="6" t="n"/>
      <c r="D67" s="6" t="n"/>
      <c r="E67" s="6" t="n"/>
      <c r="F67" s="6" t="n"/>
      <c r="G67" s="6" t="n"/>
      <c r="H67" s="6" t="n"/>
      <c r="I67" s="6" t="n"/>
      <c r="J67" s="6" t="n"/>
      <c r="K67" s="6" t="n"/>
      <c r="L67" s="6" t="n"/>
      <c r="M67" s="6" t="n"/>
      <c r="N67" s="6" t="n"/>
      <c r="O67" s="6" t="n"/>
      <c r="P67" s="6" t="n"/>
      <c r="Q67" s="6" t="n"/>
      <c r="R67" s="6" t="n"/>
      <c r="S67" s="6" t="n"/>
      <c r="T67" s="6" t="n"/>
      <c r="U67" s="6" t="n"/>
      <c r="V67" s="6" t="n"/>
    </row>
    <row r="68">
      <c r="A68" s="23" t="n"/>
      <c r="B68" s="6" t="n"/>
      <c r="C68" s="6" t="n"/>
      <c r="D68" s="6" t="n"/>
      <c r="E68" s="6" t="n"/>
      <c r="F68" s="6" t="n"/>
      <c r="G68" s="6" t="n"/>
      <c r="H68" s="6" t="n"/>
      <c r="I68" s="6" t="n"/>
      <c r="J68" s="6" t="n"/>
      <c r="K68" s="6" t="n"/>
      <c r="L68" s="6" t="n"/>
      <c r="M68" s="6" t="n"/>
      <c r="N68" s="6" t="n"/>
      <c r="O68" s="6" t="n"/>
      <c r="P68" s="6" t="n"/>
      <c r="Q68" s="6" t="n"/>
      <c r="R68" s="6" t="n"/>
      <c r="S68" s="6" t="n"/>
      <c r="T68" s="6" t="n"/>
      <c r="U68" s="6" t="n"/>
      <c r="V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row>
  </sheetData>
  <mergeCells count="17">
    <mergeCell ref="A68:V76"/>
    <mergeCell ref="B59:D59"/>
    <mergeCell ref="B60:D60"/>
    <mergeCell ref="B63:D63"/>
    <mergeCell ref="B61:D61"/>
    <mergeCell ref="A1:V1"/>
    <mergeCell ref="B57:D57"/>
    <mergeCell ref="B56:D56"/>
    <mergeCell ref="B58:D58"/>
    <mergeCell ref="B65:D65"/>
    <mergeCell ref="B62:D62"/>
    <mergeCell ref="A3:V3"/>
    <mergeCell ref="A67:V67"/>
    <mergeCell ref="A53:V53"/>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showDropDown="0" showInputMessage="0" showErrorMessage="0" allowBlank="0" type="list">
      <formula1>"✅ Yes,❌ No,N/A"</formula1>
    </dataValidation>
    <dataValidation sqref="B54 B56" showDropDown="0" showInputMessage="0" showErrorMessage="0" allowBlank="0" type="list">
      <formula1>"✅ Yes,❌ No"</formula1>
    </dataValidation>
    <dataValidation sqref="R8 R9 R10 R11 R12 R13 R14 R15 R16 R17 R18 R19 R20" showDropDown="0" showInputMessage="0" showErrorMessage="0" allowBlank="0" type="list">
      <formula1>"Hardware RNG,OS Crypto RNG,HSM RNG,TPM RNG,FIPS 140-2 Validated,NIST SP 800-90A,Non-compliant,N/A"</formula1>
    </dataValidation>
    <dataValidation sqref="S8 S9 S10 S11 S12 S13 S14 S15 S16 S17 S18 S19 S20" showDropDown="0" showInputMessage="0" showErrorMessage="0" allowBlank="0" type="list">
      <formula1>"HSM,KMS,TPM,Local System,Cloud Service,Smart Card,N/A"</formula1>
    </dataValidation>
    <dataValidation sqref="T8 T9 T10 T11 T12 T13 T14 T15 T16 T17 T18 T19 T20 U8 U9 U10 U11 U12 U13 U14 U15 U16 U17 U18 U19 U20 V8 V9 V10 V11 V12 V13 V14 V15 V16 V17 V18 V19 V20" showDropDown="0" showInputMessage="0" showErrorMessage="0" allowBlank="0" type="list">
      <formula1>"✅ Yes,❌ 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4"/>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16" customWidth="1" min="19" max="19"/>
    <col width="22" customWidth="1" min="20" max="20"/>
    <col width="16" customWidth="1" min="21" max="21"/>
    <col width="20" customWidth="1" min="22" max="22"/>
    <col width="16" customWidth="1" min="23" max="23"/>
  </cols>
  <sheetData>
    <row r="1" ht="35" customHeight="1">
      <c r="A1" s="11" t="inlineStr">
        <is>
          <t>2. KEY STORAGE - SECURE KEY PROTECTION
Policy Requirement: Cryptographic keys MUST be stored in hardware security modules (HSM), cloud KMS, or TPM for production systems. Software keystores permitted only for non-production with documented risk acceptance (Policy Section 2.4.2)</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store cryptographic keys that require protection?</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HSM/KMS Model</t>
        </is>
      </c>
      <c r="S6" s="16" t="inlineStr">
        <is>
          <t>FIPS 140 Level</t>
        </is>
      </c>
      <c r="T6" s="16" t="inlineStr">
        <is>
          <t>Access Control Method</t>
        </is>
      </c>
      <c r="U6" s="16" t="inlineStr">
        <is>
          <t>Encryption at Rest</t>
        </is>
      </c>
      <c r="V6" s="16" t="inlineStr">
        <is>
          <t>Physical Security</t>
        </is>
      </c>
      <c r="W6" s="16" t="inlineStr">
        <is>
          <t>Key Backup Exists</t>
        </is>
      </c>
    </row>
    <row r="7">
      <c r="A7" s="17" t="inlineStr">
        <is>
          <t>Example: Azure Key Vault - App1 Keys</t>
        </is>
      </c>
      <c r="B7" s="17" t="inlineStr">
        <is>
          <t>Key Encryption Key</t>
        </is>
      </c>
      <c r="C7" s="17" t="inlineStr">
        <is>
          <t>RSA-4096</t>
        </is>
      </c>
      <c r="D7" s="17" t="inlineStr">
        <is>
          <t>4096</t>
        </is>
      </c>
      <c r="E7" s="17" t="inlineStr">
        <is>
          <t>Cloud KMS</t>
        </is>
      </c>
      <c r="F7" s="17" t="inlineStr">
        <is>
          <t>Confidential</t>
        </is>
      </c>
      <c r="G7" s="17" t="inlineStr">
        <is>
          <t>Active</t>
        </is>
      </c>
      <c r="H7" s="17" t="inlineStr">
        <is>
          <t>✅ Compliant</t>
        </is>
      </c>
      <c r="I7" s="17" t="inlineStr">
        <is>
          <t>/evidence/key-mgmt/app1-kv-config.pdf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Azure Key Vault</t>
        </is>
      </c>
      <c r="S7" s="17" t="inlineStr">
        <is>
          <t>Level 2</t>
        </is>
      </c>
      <c r="T7" s="17" t="inlineStr">
        <is>
          <t>MFA Required</t>
        </is>
      </c>
      <c r="U7" s="17" t="inlineStr">
        <is>
          <t>Yes</t>
        </is>
      </c>
      <c r="V7" s="17" t="inlineStr">
        <is>
          <t>Cloud Provider</t>
        </is>
      </c>
      <c r="W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2. KEY STORAGE CHECKLIST</t>
        </is>
      </c>
    </row>
    <row r="23">
      <c r="A23" s="14" t="inlineStr">
        <is>
          <t>☐</t>
        </is>
      </c>
      <c r="B23" s="14" t="inlineStr">
        <is>
          <t>Requirement</t>
        </is>
      </c>
      <c r="C23" s="14" t="inlineStr">
        <is>
          <t>Status</t>
        </is>
      </c>
    </row>
    <row r="24">
      <c r="A24" t="inlineStr">
        <is>
          <t>☐</t>
        </is>
      </c>
      <c r="B24" t="inlineStr">
        <is>
          <t>Production keys stored in HSM, cloud KMS, or TPM</t>
        </is>
      </c>
      <c r="C24" s="15" t="n"/>
    </row>
    <row r="25">
      <c r="A25" t="inlineStr">
        <is>
          <t>☐</t>
        </is>
      </c>
      <c r="B25" t="inlineStr">
        <is>
          <t>FIPS 140-2 Level 2+ (or FIPS 140-3 equivalent) for production</t>
        </is>
      </c>
      <c r="C25" s="15" t="n"/>
    </row>
    <row r="26">
      <c r="A26" t="inlineStr">
        <is>
          <t>☐</t>
        </is>
      </c>
      <c r="B26" t="inlineStr">
        <is>
          <t>Keys encrypted when stored (key encryption keys protected by HSM)</t>
        </is>
      </c>
      <c r="C26" s="15" t="n"/>
    </row>
    <row r="27">
      <c r="A27" t="inlineStr">
        <is>
          <t>☐</t>
        </is>
      </c>
      <c r="B27" t="inlineStr">
        <is>
          <t>Keys never stored in plaintext files or code repositories</t>
        </is>
      </c>
      <c r="C27" s="15" t="n"/>
    </row>
    <row r="28">
      <c r="A28" t="inlineStr">
        <is>
          <t>☐</t>
        </is>
      </c>
      <c r="B28" t="inlineStr">
        <is>
          <t>Keys never stored in application configuration files</t>
        </is>
      </c>
      <c r="C28" s="15" t="n"/>
    </row>
    <row r="29">
      <c r="A29" t="inlineStr">
        <is>
          <t>☐</t>
        </is>
      </c>
      <c r="B29" t="inlineStr">
        <is>
          <t>Keys never stored in environment variables (production)</t>
        </is>
      </c>
      <c r="C29" s="15" t="n"/>
    </row>
    <row r="30">
      <c r="A30" t="inlineStr">
        <is>
          <t>☐</t>
        </is>
      </c>
      <c r="B30" t="inlineStr">
        <is>
          <t>Keys never stored in databases without encryption</t>
        </is>
      </c>
      <c r="C30" s="15" t="n"/>
    </row>
    <row r="31">
      <c r="A31" t="inlineStr">
        <is>
          <t>☐</t>
        </is>
      </c>
      <c r="B31" t="inlineStr">
        <is>
          <t>Access to keys restricted by role-based access control (RBAC)</t>
        </is>
      </c>
      <c r="C31" s="15" t="n"/>
    </row>
    <row r="32">
      <c r="A32" t="inlineStr">
        <is>
          <t>☐</t>
        </is>
      </c>
      <c r="B32" t="inlineStr">
        <is>
          <t>Multi-factor authentication required for key access</t>
        </is>
      </c>
      <c r="C32" s="15" t="n"/>
    </row>
    <row r="33">
      <c r="A33" t="inlineStr">
        <is>
          <t>☐</t>
        </is>
      </c>
      <c r="B33" t="inlineStr">
        <is>
          <t>Dual control/split knowledge for master keys</t>
        </is>
      </c>
      <c r="C33" s="15" t="n"/>
    </row>
    <row r="34">
      <c r="A34" t="inlineStr">
        <is>
          <t>☐</t>
        </is>
      </c>
      <c r="B34" t="inlineStr">
        <is>
          <t>Key access logged and monitored</t>
        </is>
      </c>
      <c r="C34" s="15" t="n"/>
    </row>
    <row r="35">
      <c r="A35" t="inlineStr">
        <is>
          <t>☐</t>
        </is>
      </c>
      <c r="B35" t="inlineStr">
        <is>
          <t>Keys physically secured (locked facilities, tamper-evident HSMs)</t>
        </is>
      </c>
      <c r="C35" s="15" t="n"/>
    </row>
    <row r="36">
      <c r="A36" t="inlineStr">
        <is>
          <t>☐</t>
        </is>
      </c>
      <c r="B36" t="inlineStr">
        <is>
          <t>Key storage location geographically documented</t>
        </is>
      </c>
      <c r="C36" s="15" t="n"/>
    </row>
    <row r="37">
      <c r="A37" t="inlineStr">
        <is>
          <t>☐</t>
        </is>
      </c>
      <c r="B37" t="inlineStr">
        <is>
          <t>Keys stored separately from encrypted data</t>
        </is>
      </c>
      <c r="C37" s="15" t="n"/>
    </row>
    <row r="38">
      <c r="A38" t="inlineStr">
        <is>
          <t>☐</t>
        </is>
      </c>
      <c r="B38" t="inlineStr">
        <is>
          <t>Backup keys stored with equal or greater security</t>
        </is>
      </c>
      <c r="C38" s="15" t="n"/>
    </row>
    <row r="39">
      <c r="A39" t="inlineStr">
        <is>
          <t>☐</t>
        </is>
      </c>
      <c r="B39" t="inlineStr">
        <is>
          <t>Key export restricted and logged</t>
        </is>
      </c>
      <c r="C39" s="15" t="n"/>
    </row>
    <row r="40">
      <c r="A40" t="inlineStr">
        <is>
          <t>☐</t>
        </is>
      </c>
      <c r="B40" t="inlineStr">
        <is>
          <t>Unused/obsolete keys securely destroyed</t>
        </is>
      </c>
      <c r="C40" s="15" t="n"/>
    </row>
    <row r="41">
      <c r="A41" s="14" t="inlineStr">
        <is>
          <t>Checklist Score:</t>
        </is>
      </c>
      <c r="B41" s="20">
        <f>IFERROR(ROUND(COUNTIF(C24:C40,"✅ Yes")/COUNTA(C24:C40)*100,0)&amp;"%","0%")</f>
        <v/>
      </c>
    </row>
    <row r="43">
      <c r="A43" s="19" t="inlineStr">
        <is>
          <t>APPROVED KEY STORAGE SOLUTIONS</t>
        </is>
      </c>
    </row>
    <row r="44">
      <c r="A44" s="16" t="inlineStr">
        <is>
          <t>Solution Type</t>
        </is>
      </c>
      <c r="B44" s="16" t="inlineStr">
        <is>
          <t>Examples</t>
        </is>
      </c>
      <c r="C44" s="16" t="inlineStr">
        <is>
          <t>FIPS 140-2 Level</t>
        </is>
      </c>
      <c r="D44" s="16" t="inlineStr">
        <is>
          <t>Use Case</t>
        </is>
      </c>
    </row>
    <row r="45">
      <c r="A45" s="8" t="inlineStr">
        <is>
          <t>Hardware HSM</t>
        </is>
      </c>
      <c r="B45" s="8" t="inlineStr">
        <is>
          <t>Thales Luna, Entrust nShield, Utimaco</t>
        </is>
      </c>
      <c r="C45" s="8" t="inlineStr">
        <is>
          <t>Level 3/4</t>
        </is>
      </c>
      <c r="D45" s="8" t="inlineStr">
        <is>
          <t>High-security production</t>
        </is>
      </c>
    </row>
    <row r="46">
      <c r="A46" s="8" t="inlineStr">
        <is>
          <t>Cloud HSM</t>
        </is>
      </c>
      <c r="B46" s="8" t="inlineStr">
        <is>
          <t>AWS CloudHSM, Azure Dedicated HSM</t>
        </is>
      </c>
      <c r="C46" s="8" t="inlineStr">
        <is>
          <t>Level 3</t>
        </is>
      </c>
      <c r="D46" s="8" t="inlineStr">
        <is>
          <t>Cloud-native high-security</t>
        </is>
      </c>
    </row>
    <row r="47">
      <c r="A47" s="8" t="inlineStr">
        <is>
          <t>Cloud KMS</t>
        </is>
      </c>
      <c r="B47" s="8" t="inlineStr">
        <is>
          <t>AWS KMS, Azure Key Vault, GCP Cloud KMS</t>
        </is>
      </c>
      <c r="C47" s="8" t="inlineStr">
        <is>
          <t>Level 2/3</t>
        </is>
      </c>
      <c r="D47" s="8" t="inlineStr">
        <is>
          <t>General cloud workloads</t>
        </is>
      </c>
    </row>
    <row r="48">
      <c r="A48" s="8" t="inlineStr">
        <is>
          <t>TPM</t>
        </is>
      </c>
      <c r="B48" s="8" t="inlineStr">
        <is>
          <t>TPM 2.0 (various vendors)</t>
        </is>
      </c>
      <c r="C48" s="8" t="inlineStr">
        <is>
          <t>Level 2</t>
        </is>
      </c>
      <c r="D48" s="8" t="inlineStr">
        <is>
          <t>Endpoint/device keys</t>
        </is>
      </c>
    </row>
    <row r="49">
      <c r="A49" s="8" t="inlineStr">
        <is>
          <t>Software Vault</t>
        </is>
      </c>
      <c r="B49" s="8" t="inlineStr">
        <is>
          <t>HashiCorp Vault, CyberArk</t>
        </is>
      </c>
      <c r="C49" s="8" t="inlineStr">
        <is>
          <t>Varies</t>
        </is>
      </c>
      <c r="D49" s="8" t="inlineStr">
        <is>
          <t>Non-production acceptable</t>
        </is>
      </c>
    </row>
    <row r="51">
      <c r="A51" s="21" t="inlineStr">
        <is>
          <t>EXCEPTION / DEVIATION DOCUMENTATION (Complete if Status = Partial or Non-Compliant)</t>
        </is>
      </c>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Enhanced monitoring and alerting</t>
        </is>
      </c>
      <c r="B57" s="18" t="n"/>
      <c r="C57" s="6" t="n"/>
      <c r="D57" s="6" t="n"/>
    </row>
    <row r="58">
      <c r="A58" s="14" t="inlineStr">
        <is>
          <t>☐ Restricted network access / air-gapped systems</t>
        </is>
      </c>
      <c r="B58" s="18" t="n"/>
      <c r="C58" s="6" t="n"/>
      <c r="D58" s="6" t="n"/>
    </row>
    <row r="59">
      <c r="A59" s="14" t="inlineStr">
        <is>
          <t>☐ Additional encryption layer</t>
        </is>
      </c>
      <c r="B59" s="18" t="n"/>
      <c r="C59" s="6" t="n"/>
      <c r="D59" s="6" t="n"/>
    </row>
    <row r="60">
      <c r="A60" s="14" t="inlineStr">
        <is>
          <t>☐ Manual key management procedures</t>
        </is>
      </c>
      <c r="B60" s="18" t="n"/>
      <c r="C60" s="6" t="n"/>
      <c r="D60" s="6" t="n"/>
    </row>
    <row r="61">
      <c r="A61" s="14" t="inlineStr">
        <is>
          <t>☐ Increased audit frequency</t>
        </is>
      </c>
      <c r="B61" s="18" t="n"/>
      <c r="C61" s="6" t="n"/>
      <c r="D61" s="6" t="n"/>
    </row>
    <row r="62">
      <c r="A62" s="14" t="inlineStr">
        <is>
          <t>☐ Physical security controls</t>
        </is>
      </c>
      <c r="B62" s="18" t="n"/>
      <c r="C62" s="6" t="n"/>
      <c r="D62" s="6" t="n"/>
    </row>
    <row r="63">
      <c r="A63" s="14" t="inlineStr">
        <is>
          <t>☐ Other (describe):</t>
        </is>
      </c>
      <c r="B63" s="18" t="n"/>
      <c r="C63" s="6" t="n"/>
      <c r="D63" s="6" t="n"/>
    </row>
    <row r="65">
      <c r="A65" s="22" t="inlineStr">
        <is>
          <t>ADDITIONAL NOTES / COMMENTS</t>
        </is>
      </c>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row>
    <row r="66">
      <c r="A66" s="23"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sheetData>
  <mergeCells count="17">
    <mergeCell ref="B55:D55"/>
    <mergeCell ref="B59:D59"/>
    <mergeCell ref="A1:W1"/>
    <mergeCell ref="B60:D60"/>
    <mergeCell ref="B63:D63"/>
    <mergeCell ref="B61:D61"/>
    <mergeCell ref="A66:W74"/>
    <mergeCell ref="B57:D57"/>
    <mergeCell ref="A3:W3"/>
    <mergeCell ref="B56:D56"/>
    <mergeCell ref="B58:D58"/>
    <mergeCell ref="B52:D52"/>
    <mergeCell ref="B53:D53"/>
    <mergeCell ref="B62:D62"/>
    <mergeCell ref="A65:W65"/>
    <mergeCell ref="A51:W51"/>
    <mergeCell ref="B54:D54"/>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showDropDown="0" showInputMessage="0" showErrorMessage="0" allowBlank="0" type="list">
      <formula1>"✅ Yes,❌ No,N/A"</formula1>
    </dataValidation>
    <dataValidation sqref="B52 B54" showDropDown="0" showInputMessage="0" showErrorMessage="0" allowBlank="0" type="list">
      <formula1>"✅ Yes,❌ No"</formula1>
    </dataValidation>
    <dataValidation sqref="S8 S9 S10 S11 S12 S13 S14 S15 S16 S17 S18 S19 S20" showDropDown="0" showInputMessage="0" showErrorMessage="0" allowBlank="0" type="list">
      <formula1>"Level 1,Level 2,Level 3,Level 4,Not Validated,N/A"</formula1>
    </dataValidation>
    <dataValidation sqref="T8 T9 T10 T11 T12 T13 T14 T15 T16 T17 T18 T19 T20" showDropDown="0" showInputMessage="0" showErrorMessage="0" allowBlank="0" type="list">
      <formula1>"Role-based,Certificate-based,MFA Required,PIN/Password,Smart Card,Dual Control,N/A"</formula1>
    </dataValidation>
    <dataValidation sqref="V8 V9 V10 V11 V12 V13 V14 V15 V16 V17 V18 V19 V20" showDropDown="0" showInputMessage="0" showErrorMessage="0" allowBlank="0" type="list">
      <formula1>"Locked Data Center,Secure Room,Tamper-evident,Cloud Provider,Inadequate,N/A"</formula1>
    </dataValidation>
    <dataValidation sqref="U8 U9 U10 U11 U12 U13 U14 U15 U16 U17 U18 U19 U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7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16" customWidth="1" min="19" max="19"/>
    <col width="16" customWidth="1" min="20" max="20"/>
    <col width="16" customWidth="1" min="21" max="21"/>
    <col width="16" customWidth="1" min="22" max="22"/>
    <col width="18" customWidth="1" min="23" max="23"/>
  </cols>
  <sheetData>
    <row r="1" ht="35" customHeight="1">
      <c r="A1" s="11" t="inlineStr">
        <is>
          <t>3. KEY ROTATION - CRYPTOGRAPHIC KEY LIFECYCLE MANAGEMENT
Policy Requirement: Cryptographic keys MUST be rotated according to defined schedules: Encryption keys annually, signing keys biennially, session keys hourly/daily (Policy Section 2.4.3)</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have a key rotation policy and implementation for cryptographic keys?</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Rotation Schedule</t>
        </is>
      </c>
      <c r="S6" s="16" t="inlineStr">
        <is>
          <t>Last Rotation Date</t>
        </is>
      </c>
      <c r="T6" s="16" t="inlineStr">
        <is>
          <t>Next Rotation Due</t>
        </is>
      </c>
      <c r="U6" s="16" t="inlineStr">
        <is>
          <t>Automated Rotation</t>
        </is>
      </c>
      <c r="V6" s="16" t="inlineStr">
        <is>
          <t>Rotation Tested</t>
        </is>
      </c>
      <c r="W6" s="16" t="inlineStr">
        <is>
          <t>Re-encryption Required</t>
        </is>
      </c>
    </row>
    <row r="7">
      <c r="A7" s="17" t="inlineStr">
        <is>
          <t>Example: API Signing Keys</t>
        </is>
      </c>
      <c r="B7" s="17" t="inlineStr">
        <is>
          <t>Signing Key</t>
        </is>
      </c>
      <c r="C7" s="17" t="inlineStr">
        <is>
          <t>RSA-3072</t>
        </is>
      </c>
      <c r="D7" s="17" t="inlineStr">
        <is>
          <t>3072</t>
        </is>
      </c>
      <c r="E7" s="17" t="inlineStr">
        <is>
          <t>Cloud KMS</t>
        </is>
      </c>
      <c r="F7" s="17" t="inlineStr">
        <is>
          <t>Confidential</t>
        </is>
      </c>
      <c r="G7" s="17" t="inlineStr">
        <is>
          <t>Active</t>
        </is>
      </c>
      <c r="H7" s="17" t="inlineStr">
        <is>
          <t>✅ Compliant</t>
        </is>
      </c>
      <c r="I7" s="17" t="inlineStr">
        <is>
          <t>/evidence/key-mgmt/api-key-rotation.pdf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Quarterly</t>
        </is>
      </c>
      <c r="S7" s="17" t="inlineStr">
        <is>
          <t>2024-10-01</t>
        </is>
      </c>
      <c r="T7" s="17" t="inlineStr">
        <is>
          <t>2025-01-01</t>
        </is>
      </c>
      <c r="U7" s="17" t="inlineStr">
        <is>
          <t>Yes</t>
        </is>
      </c>
      <c r="V7" s="17" t="inlineStr">
        <is>
          <t>Yes</t>
        </is>
      </c>
      <c r="W7" s="17" t="inlineStr">
        <is>
          <t>No</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3. KEY ROTATION CHECKLIST</t>
        </is>
      </c>
    </row>
    <row r="23">
      <c r="A23" s="14" t="inlineStr">
        <is>
          <t>☐</t>
        </is>
      </c>
      <c r="B23" s="14" t="inlineStr">
        <is>
          <t>Requirement</t>
        </is>
      </c>
      <c r="C23" s="14" t="inlineStr">
        <is>
          <t>Status</t>
        </is>
      </c>
    </row>
    <row r="24">
      <c r="A24" t="inlineStr">
        <is>
          <t>☐</t>
        </is>
      </c>
      <c r="B24" t="inlineStr">
        <is>
          <t>Key rotation policy documented and approved</t>
        </is>
      </c>
      <c r="C24" s="15" t="n"/>
    </row>
    <row r="25">
      <c r="A25" t="inlineStr">
        <is>
          <t>☐</t>
        </is>
      </c>
      <c r="B25" t="inlineStr">
        <is>
          <t>Encryption keys (data at rest) rotated annually minimum</t>
        </is>
      </c>
      <c r="C25" s="15" t="n"/>
    </row>
    <row r="26">
      <c r="A26" t="inlineStr">
        <is>
          <t>☐</t>
        </is>
      </c>
      <c r="B26" t="inlineStr">
        <is>
          <t>Signing keys rotated biennially minimum</t>
        </is>
      </c>
      <c r="C26" s="15" t="n"/>
    </row>
    <row r="27">
      <c r="A27" t="inlineStr">
        <is>
          <t>☐</t>
        </is>
      </c>
      <c r="B27" t="inlineStr">
        <is>
          <t>Session keys rotated hourly/daily</t>
        </is>
      </c>
      <c r="C27" s="15" t="n"/>
    </row>
    <row r="28">
      <c r="A28" t="inlineStr">
        <is>
          <t>☐</t>
        </is>
      </c>
      <c r="B28" t="inlineStr">
        <is>
          <t>Master keys rotated every 1-3 years</t>
        </is>
      </c>
      <c r="C28" s="15" t="n"/>
    </row>
    <row r="29">
      <c r="A29" t="inlineStr">
        <is>
          <t>☐</t>
        </is>
      </c>
      <c r="B29" t="inlineStr">
        <is>
          <t>Key rotation automated where possible</t>
        </is>
      </c>
      <c r="C29" s="15" t="n"/>
    </row>
    <row r="30">
      <c r="A30" t="inlineStr">
        <is>
          <t>☐</t>
        </is>
      </c>
      <c r="B30" t="inlineStr">
        <is>
          <t>Key rotation triggers defined (time, usage, compromise)</t>
        </is>
      </c>
      <c r="C30" s="15" t="n"/>
    </row>
    <row r="31">
      <c r="A31" t="inlineStr">
        <is>
          <t>☐</t>
        </is>
      </c>
      <c r="B31" t="inlineStr">
        <is>
          <t>Data re-encryption performed after key rotation</t>
        </is>
      </c>
      <c r="C31" s="15" t="n"/>
    </row>
    <row r="32">
      <c r="A32" t="inlineStr">
        <is>
          <t>☐</t>
        </is>
      </c>
      <c r="B32" t="inlineStr">
        <is>
          <t>Old keys retained for decryption (with restricted access)</t>
        </is>
      </c>
      <c r="C32" s="15" t="n"/>
    </row>
    <row r="33">
      <c r="A33" t="inlineStr">
        <is>
          <t>☐</t>
        </is>
      </c>
      <c r="B33" t="inlineStr">
        <is>
          <t>Key version tracking implemented</t>
        </is>
      </c>
      <c r="C33" s="15" t="n"/>
    </row>
    <row r="34">
      <c r="A34" t="inlineStr">
        <is>
          <t>☐</t>
        </is>
      </c>
      <c r="B34" t="inlineStr">
        <is>
          <t>Rotation procedures tested in non-production</t>
        </is>
      </c>
      <c r="C34" s="15" t="n"/>
    </row>
    <row r="35">
      <c r="A35" t="inlineStr">
        <is>
          <t>☐</t>
        </is>
      </c>
      <c r="B35" t="inlineStr">
        <is>
          <t>Rotation audit logs maintained</t>
        </is>
      </c>
      <c r="C35" s="15" t="n"/>
    </row>
    <row r="36">
      <c r="A36" t="inlineStr">
        <is>
          <t>☐</t>
        </is>
      </c>
      <c r="B36" t="inlineStr">
        <is>
          <t>Emergency rotation procedure documented</t>
        </is>
      </c>
      <c r="C36" s="15" t="n"/>
    </row>
    <row r="37">
      <c r="A37" t="inlineStr">
        <is>
          <t>☐</t>
        </is>
      </c>
      <c r="B37" t="inlineStr">
        <is>
          <t>Rotation scheduling prevents service disruption</t>
        </is>
      </c>
      <c r="C37" s="15" t="n"/>
    </row>
    <row r="38">
      <c r="A38" t="inlineStr">
        <is>
          <t>☐</t>
        </is>
      </c>
      <c r="B38" t="inlineStr">
        <is>
          <t>Key rotation monitored and alerts configured</t>
        </is>
      </c>
      <c r="C38" s="15" t="n"/>
    </row>
    <row r="39">
      <c r="A39" t="inlineStr">
        <is>
          <t>☐</t>
        </is>
      </c>
      <c r="B39" t="inlineStr">
        <is>
          <t>Cryptoperiod limits enforced (max key usage duration)</t>
        </is>
      </c>
      <c r="C39" s="15" t="n"/>
    </row>
    <row r="40">
      <c r="A40" s="14" t="inlineStr">
        <is>
          <t>Checklist Score:</t>
        </is>
      </c>
      <c r="B40" s="20">
        <f>IFERROR(ROUND(COUNTIF(C24:C39,"✅ Yes")/COUNTA(C24:C39)*100,0)&amp;"%","0%")</f>
        <v/>
      </c>
    </row>
    <row r="42">
      <c r="A42" s="19" t="inlineStr">
        <is>
          <t>ROTATION SCHEDULE BY KEY TYPE</t>
        </is>
      </c>
    </row>
    <row r="43">
      <c r="A43" s="16" t="inlineStr">
        <is>
          <t>Key Type</t>
        </is>
      </c>
      <c r="B43" s="16" t="inlineStr">
        <is>
          <t>Minimum Rotation Frequency</t>
        </is>
      </c>
      <c r="C43" s="16" t="inlineStr">
        <is>
          <t>Recommended Frequency</t>
        </is>
      </c>
      <c r="D43" s="16" t="inlineStr">
        <is>
          <t>Trigger Events</t>
        </is>
      </c>
    </row>
    <row r="44">
      <c r="A44" s="8" t="inlineStr">
        <is>
          <t>Master Encryption Key</t>
        </is>
      </c>
      <c r="B44" s="8" t="inlineStr">
        <is>
          <t>1 year</t>
        </is>
      </c>
      <c r="C44" s="8" t="inlineStr">
        <is>
          <t>1 year</t>
        </is>
      </c>
      <c r="D44" s="8" t="inlineStr">
        <is>
          <t>Compromise, personnel change</t>
        </is>
      </c>
    </row>
    <row r="45">
      <c r="A45" s="8" t="inlineStr">
        <is>
          <t>Data Encryption Key</t>
        </is>
      </c>
      <c r="B45" s="8" t="inlineStr">
        <is>
          <t>1 year</t>
        </is>
      </c>
      <c r="C45" s="8" t="inlineStr">
        <is>
          <t>90 days</t>
        </is>
      </c>
      <c r="D45" s="8" t="inlineStr">
        <is>
          <t>High volume usage, compromise</t>
        </is>
      </c>
    </row>
    <row r="46">
      <c r="A46" s="8" t="inlineStr">
        <is>
          <t>Key Encryption Key</t>
        </is>
      </c>
      <c r="B46" s="8" t="inlineStr">
        <is>
          <t>1 year</t>
        </is>
      </c>
      <c r="C46" s="8" t="inlineStr">
        <is>
          <t>1 year</t>
        </is>
      </c>
      <c r="D46" s="8" t="inlineStr">
        <is>
          <t>Master key rotation, compromise</t>
        </is>
      </c>
    </row>
    <row r="47">
      <c r="A47" s="8" t="inlineStr">
        <is>
          <t>Signing Key</t>
        </is>
      </c>
      <c r="B47" s="8" t="inlineStr">
        <is>
          <t>2 years</t>
        </is>
      </c>
      <c r="C47" s="8" t="inlineStr">
        <is>
          <t>1 year</t>
        </is>
      </c>
      <c r="D47" s="8" t="inlineStr">
        <is>
          <t>Certificate expiry, compromise</t>
        </is>
      </c>
    </row>
    <row r="48">
      <c r="A48" s="8" t="inlineStr">
        <is>
          <t>Session Key</t>
        </is>
      </c>
      <c r="B48" s="8" t="inlineStr">
        <is>
          <t>24 hours</t>
        </is>
      </c>
      <c r="C48" s="8" t="inlineStr">
        <is>
          <t>1 hour</t>
        </is>
      </c>
      <c r="D48" s="8" t="inlineStr">
        <is>
          <t>Session end, compromise</t>
        </is>
      </c>
    </row>
    <row r="49">
      <c r="A49" s="8" t="inlineStr">
        <is>
          <t>API Key</t>
        </is>
      </c>
      <c r="B49" s="8" t="inlineStr">
        <is>
          <t>90 days</t>
        </is>
      </c>
      <c r="C49" s="8" t="inlineStr">
        <is>
          <t>30-90 days</t>
        </is>
      </c>
      <c r="D49" s="8" t="inlineStr">
        <is>
          <t>Personnel change, compromise</t>
        </is>
      </c>
    </row>
    <row r="50">
      <c r="A50" s="8" t="inlineStr">
        <is>
          <t>TLS/SSL Certificate Private Key</t>
        </is>
      </c>
      <c r="B50" s="8" t="inlineStr">
        <is>
          <t>Certificate validity</t>
        </is>
      </c>
      <c r="C50" s="8" t="inlineStr">
        <is>
          <t>Annual</t>
        </is>
      </c>
      <c r="D50" s="8" t="inlineStr">
        <is>
          <t>Certificate renewal, compromise</t>
        </is>
      </c>
    </row>
    <row r="51">
      <c r="A51" s="8" t="inlineStr">
        <is>
          <t>SSH Key</t>
        </is>
      </c>
      <c r="B51" s="8" t="inlineStr">
        <is>
          <t>1 year</t>
        </is>
      </c>
      <c r="C51" s="8" t="inlineStr">
        <is>
          <t>90 days</t>
        </is>
      </c>
      <c r="D51" s="8" t="inlineStr">
        <is>
          <t>Personnel change, compromise</t>
        </is>
      </c>
    </row>
    <row r="52">
      <c r="A52" s="8" t="inlineStr">
        <is>
          <t>Database TDE Key</t>
        </is>
      </c>
      <c r="B52" s="8" t="inlineStr">
        <is>
          <t>1 year</t>
        </is>
      </c>
      <c r="C52" s="8" t="inlineStr">
        <is>
          <t>1 year</t>
        </is>
      </c>
      <c r="D52" s="8" t="inlineStr">
        <is>
          <t>Compliance requirement, compromise</t>
        </is>
      </c>
    </row>
    <row r="54">
      <c r="A54" s="21" t="inlineStr">
        <is>
          <t>EXCEPTION / DEVIATION DOCUMENTATION (Complete if Status = Partial or Non-Compliant)</t>
        </is>
      </c>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c r="A55" s="14" t="inlineStr">
        <is>
          <t>Formal exception request submitted:</t>
        </is>
      </c>
      <c r="B55" s="18" t="n"/>
      <c r="C55" s="6" t="n"/>
      <c r="D55" s="6" t="n"/>
    </row>
    <row r="56">
      <c r="A56" s="14" t="inlineStr">
        <is>
          <t>Exception ID:</t>
        </is>
      </c>
      <c r="B56" s="18" t="n"/>
      <c r="C56" s="6" t="n"/>
      <c r="D56" s="6" t="n"/>
    </row>
    <row r="57">
      <c r="A57" s="14" t="inlineStr">
        <is>
          <t>Risk acceptance documented:</t>
        </is>
      </c>
      <c r="B57" s="18" t="n"/>
      <c r="C57" s="6" t="n"/>
      <c r="D57" s="6" t="n"/>
    </row>
    <row r="58">
      <c r="A58" s="14" t="inlineStr">
        <is>
          <t>Risk ID:</t>
        </is>
      </c>
      <c r="B58" s="18" t="n"/>
      <c r="C58" s="6" t="n"/>
      <c r="D58" s="6" t="n"/>
    </row>
    <row r="59">
      <c r="A59" s="14" t="inlineStr">
        <is>
          <t>Compensating Controls (summary):</t>
        </is>
      </c>
      <c r="B59" s="18" t="n"/>
      <c r="C59" s="6" t="n"/>
      <c r="D59" s="6" t="n"/>
    </row>
    <row r="60">
      <c r="A60" s="14" t="inlineStr">
        <is>
          <t>☐ Enhanced monitoring and alerting</t>
        </is>
      </c>
      <c r="B60" s="18" t="n"/>
      <c r="C60" s="6" t="n"/>
      <c r="D60" s="6" t="n"/>
    </row>
    <row r="61">
      <c r="A61" s="14" t="inlineStr">
        <is>
          <t>☐ Restricted network access / air-gapped systems</t>
        </is>
      </c>
      <c r="B61" s="18" t="n"/>
      <c r="C61" s="6" t="n"/>
      <c r="D61" s="6" t="n"/>
    </row>
    <row r="62">
      <c r="A62" s="14" t="inlineStr">
        <is>
          <t>☐ Additional encryption layer</t>
        </is>
      </c>
      <c r="B62" s="18" t="n"/>
      <c r="C62" s="6" t="n"/>
      <c r="D62" s="6" t="n"/>
    </row>
    <row r="63">
      <c r="A63" s="14" t="inlineStr">
        <is>
          <t>☐ Manual key management procedures</t>
        </is>
      </c>
      <c r="B63" s="18" t="n"/>
      <c r="C63" s="6" t="n"/>
      <c r="D63" s="6" t="n"/>
    </row>
    <row r="64">
      <c r="A64" s="14" t="inlineStr">
        <is>
          <t>☐ Increased audit frequency</t>
        </is>
      </c>
      <c r="B64" s="18" t="n"/>
      <c r="C64" s="6" t="n"/>
      <c r="D64" s="6" t="n"/>
    </row>
    <row r="65">
      <c r="A65" s="14" t="inlineStr">
        <is>
          <t>☐ Physical security controls</t>
        </is>
      </c>
      <c r="B65" s="18" t="n"/>
      <c r="C65" s="6" t="n"/>
      <c r="D65" s="6" t="n"/>
    </row>
    <row r="66">
      <c r="A66" s="14" t="inlineStr">
        <is>
          <t>☐ Other (describe):</t>
        </is>
      </c>
      <c r="B66" s="18" t="n"/>
      <c r="C66" s="6" t="n"/>
      <c r="D66" s="6" t="n"/>
    </row>
    <row r="68">
      <c r="A68" s="22" t="inlineStr">
        <is>
          <t>ADDITIONAL NOTES / COMMENTS</t>
        </is>
      </c>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c r="A69" s="23"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row>
  </sheetData>
  <mergeCells count="17">
    <mergeCell ref="A68:W68"/>
    <mergeCell ref="B59:D59"/>
    <mergeCell ref="A1:W1"/>
    <mergeCell ref="B60:D60"/>
    <mergeCell ref="B66:D66"/>
    <mergeCell ref="B63:D63"/>
    <mergeCell ref="B61:D61"/>
    <mergeCell ref="B57:D57"/>
    <mergeCell ref="A3:W3"/>
    <mergeCell ref="B56:D56"/>
    <mergeCell ref="A54:W54"/>
    <mergeCell ref="B58:D58"/>
    <mergeCell ref="A69:W77"/>
    <mergeCell ref="B65:D65"/>
    <mergeCell ref="B62:D62"/>
    <mergeCell ref="B55:D55"/>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showDropDown="0" showInputMessage="0" showErrorMessage="0" allowBlank="0" type="list">
      <formula1>"✅ Yes,❌ No,N/A"</formula1>
    </dataValidation>
    <dataValidation sqref="B55 B57" showDropDown="0" showInputMessage="0" showErrorMessage="0" allowBlank="0" type="list">
      <formula1>"✅ Yes,❌ No"</formula1>
    </dataValidation>
    <dataValidation sqref="R8 R9 R10 R11 R12 R13 R14 R15 R16 R17 R18 R19 R20" showDropDown="0" showInputMessage="0" showErrorMessage="0" allowBlank="0" type="list">
      <formula1>"Hourly,Daily,Weekly,Monthly,Quarterly,Annually,Biennially,On Compromise,Never,N/A"</formula1>
    </dataValidation>
    <dataValidation sqref="U8 U9 U10 U11 U12 U13 U14 U15 U16 U17 U18 U19 U20 V8 V9 V10 V11 V12 V13 V14 V15 V16 V17 V18 V19 V20" showDropDown="0" showInputMessage="0" showErrorMessage="0" allowBlank="0" type="list">
      <formula1>"✅ Yes,❌ No,N/A"</formula1>
    </dataValidation>
    <dataValidation sqref="W8 W9 W10 W11 W12 W13 W14 W15 W16 W17 W18 W19 W20" showDropDown="0" showInputMessage="0" showErrorMessage="0" allowBlank="0" type="list">
      <formula1>"✅ Yes,❌ No,⏳ In 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6" customWidth="1" min="19" max="19"/>
    <col width="22" customWidth="1" min="20" max="20"/>
    <col width="16" customWidth="1" min="21" max="21"/>
    <col width="16" customWidth="1" min="22" max="22"/>
    <col width="18" customWidth="1" min="23" max="23"/>
    <col width="16" customWidth="1" min="24" max="24"/>
  </cols>
  <sheetData>
    <row r="1" ht="35" customHeight="1">
      <c r="A1" s="11" t="inlineStr">
        <is>
          <t>4. KEY BACKUP &amp; RECOVERY - BUSINESS CONTINUITY
Policy Requirement: Cryptographic keys MUST have documented backup and recovery procedures. Backup keys stored with equal or greater security than production keys (Policy Section 2.4.4)</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maintain backup and recovery procedures for cryptographic keys?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Backup Method</t>
        </is>
      </c>
      <c r="S6" s="16" t="inlineStr">
        <is>
          <t>Backup Encryption</t>
        </is>
      </c>
      <c r="T6" s="16" t="inlineStr">
        <is>
          <t>Backup Location</t>
        </is>
      </c>
      <c r="U6" s="16" t="inlineStr">
        <is>
          <t>Recovery Tested</t>
        </is>
      </c>
      <c r="V6" s="16" t="inlineStr">
        <is>
          <t>Last Recovery Test</t>
        </is>
      </c>
      <c r="W6" s="16" t="inlineStr">
        <is>
          <t>RTO (Recovery Time)</t>
        </is>
      </c>
      <c r="X6" s="16" t="inlineStr">
        <is>
          <t>Escrow Agreement</t>
        </is>
      </c>
    </row>
    <row r="7">
      <c r="A7" s="17" t="inlineStr">
        <is>
          <t>Example: Master Encryption Key Backup</t>
        </is>
      </c>
      <c r="B7" s="17" t="inlineStr">
        <is>
          <t>Master Key</t>
        </is>
      </c>
      <c r="C7" s="17" t="inlineStr">
        <is>
          <t>AES-256</t>
        </is>
      </c>
      <c r="D7" s="17" t="inlineStr">
        <is>
          <t>256</t>
        </is>
      </c>
      <c r="E7" s="17" t="inlineStr">
        <is>
          <t>HSM</t>
        </is>
      </c>
      <c r="F7" s="17" t="inlineStr">
        <is>
          <t>Restricted</t>
        </is>
      </c>
      <c r="G7" s="17" t="inlineStr">
        <is>
          <t>Active</t>
        </is>
      </c>
      <c r="H7" s="17" t="inlineStr">
        <is>
          <t>✅ Compliant</t>
        </is>
      </c>
      <c r="I7" s="17" t="inlineStr">
        <is>
          <t>/evidence/key-mgmt/master-key-backup.pdf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HSM Backup</t>
        </is>
      </c>
      <c r="S7" s="17" t="inlineStr">
        <is>
          <t>Yes</t>
        </is>
      </c>
      <c r="T7" s="17" t="inlineStr">
        <is>
          <t>Offsite Secure Vault</t>
        </is>
      </c>
      <c r="U7" s="17" t="inlineStr">
        <is>
          <t>Yes</t>
        </is>
      </c>
      <c r="V7" s="17" t="inlineStr">
        <is>
          <t>2024-06-15</t>
        </is>
      </c>
      <c r="W7" s="17" t="inlineStr">
        <is>
          <t>&lt;1 hour</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4. KEY BACKUP &amp; RECOVERY CHECKLIST</t>
        </is>
      </c>
    </row>
    <row r="23">
      <c r="A23" s="14" t="inlineStr">
        <is>
          <t>☐</t>
        </is>
      </c>
      <c r="B23" s="14" t="inlineStr">
        <is>
          <t>Requirement</t>
        </is>
      </c>
      <c r="C23" s="14" t="inlineStr">
        <is>
          <t>Status</t>
        </is>
      </c>
    </row>
    <row r="24">
      <c r="A24" t="inlineStr">
        <is>
          <t>☐</t>
        </is>
      </c>
      <c r="B24" t="inlineStr">
        <is>
          <t>Key backup and recovery procedures documented</t>
        </is>
      </c>
      <c r="C24" s="15" t="n"/>
    </row>
    <row r="25">
      <c r="A25" t="inlineStr">
        <is>
          <t>☐</t>
        </is>
      </c>
      <c r="B25" t="inlineStr">
        <is>
          <t>All critical keys have backup copies</t>
        </is>
      </c>
      <c r="C25" s="15" t="n"/>
    </row>
    <row r="26">
      <c r="A26" t="inlineStr">
        <is>
          <t>☐</t>
        </is>
      </c>
      <c r="B26" t="inlineStr">
        <is>
          <t>Backup keys encrypted with equal or stronger encryption</t>
        </is>
      </c>
      <c r="C26" s="15" t="n"/>
    </row>
    <row r="27">
      <c r="A27" t="inlineStr">
        <is>
          <t>☐</t>
        </is>
      </c>
      <c r="B27" t="inlineStr">
        <is>
          <t>Backup keys stored separately from production keys</t>
        </is>
      </c>
      <c r="C27" s="15" t="n"/>
    </row>
    <row r="28">
      <c r="A28" t="inlineStr">
        <is>
          <t>☐</t>
        </is>
      </c>
      <c r="B28" t="inlineStr">
        <is>
          <t>Geographic separation of backup keys (offsite/different region)</t>
        </is>
      </c>
      <c r="C28" s="15" t="n"/>
    </row>
    <row r="29">
      <c r="A29" t="inlineStr">
        <is>
          <t>☐</t>
        </is>
      </c>
      <c r="B29" t="inlineStr">
        <is>
          <t>Backup key access restricted (dual control/escrow)</t>
        </is>
      </c>
      <c r="C29" s="15" t="n"/>
    </row>
    <row r="30">
      <c r="A30" t="inlineStr">
        <is>
          <t>☐</t>
        </is>
      </c>
      <c r="B30" t="inlineStr">
        <is>
          <t>Key recovery procedures tested quarterly</t>
        </is>
      </c>
      <c r="C30" s="15" t="n"/>
    </row>
    <row r="31">
      <c r="A31" t="inlineStr">
        <is>
          <t>☐</t>
        </is>
      </c>
      <c r="B31" t="inlineStr">
        <is>
          <t>Recovery time objective (RTO) defined and documented</t>
        </is>
      </c>
      <c r="C31" s="15" t="n"/>
    </row>
    <row r="32">
      <c r="A32" t="inlineStr">
        <is>
          <t>☐</t>
        </is>
      </c>
      <c r="B32" t="inlineStr">
        <is>
          <t>Recovery point objective (RPO) defined and documented</t>
        </is>
      </c>
      <c r="C32" s="15" t="n"/>
    </row>
    <row r="33">
      <c r="A33" t="inlineStr">
        <is>
          <t>☐</t>
        </is>
      </c>
      <c r="B33" t="inlineStr">
        <is>
          <t>Key escrow agreements in place (where required)</t>
        </is>
      </c>
      <c r="C33" s="15" t="n"/>
    </row>
    <row r="34">
      <c r="A34" t="inlineStr">
        <is>
          <t>☐</t>
        </is>
      </c>
      <c r="B34" t="inlineStr">
        <is>
          <t>Split knowledge/dual control for backup key recovery</t>
        </is>
      </c>
      <c r="C34" s="15" t="n"/>
    </row>
    <row r="35">
      <c r="A35" t="inlineStr">
        <is>
          <t>☐</t>
        </is>
      </c>
      <c r="B35" t="inlineStr">
        <is>
          <t>Backup key inventory maintained and audited</t>
        </is>
      </c>
      <c r="C35" s="15" t="n"/>
    </row>
    <row r="36">
      <c r="A36" t="inlineStr">
        <is>
          <t>☐</t>
        </is>
      </c>
      <c r="B36" t="inlineStr">
        <is>
          <t>Backup keys versioned and synchronized with production</t>
        </is>
      </c>
      <c r="C36" s="15" t="n"/>
    </row>
    <row r="37">
      <c r="A37" t="inlineStr">
        <is>
          <t>☐</t>
        </is>
      </c>
      <c r="B37" t="inlineStr">
        <is>
          <t>Emergency recovery procedures documented</t>
        </is>
      </c>
      <c r="C37" s="15" t="n"/>
    </row>
    <row r="38">
      <c r="A38" t="inlineStr">
        <is>
          <t>☐</t>
        </is>
      </c>
      <c r="B38" t="inlineStr">
        <is>
          <t>Key recovery audit logging enabled</t>
        </is>
      </c>
      <c r="C38" s="15" t="n"/>
    </row>
    <row r="39">
      <c r="A39" t="inlineStr">
        <is>
          <t>☐</t>
        </is>
      </c>
      <c r="B39" t="inlineStr">
        <is>
          <t>Backup keys updated when production keys rotate</t>
        </is>
      </c>
      <c r="C39" s="15" t="n"/>
    </row>
    <row r="40">
      <c r="A40" t="inlineStr">
        <is>
          <t>☐</t>
        </is>
      </c>
      <c r="B40" t="inlineStr">
        <is>
          <t>Cloud KMS backup to different region/account</t>
        </is>
      </c>
      <c r="C40" s="15" t="n"/>
    </row>
    <row r="41">
      <c r="A41" t="inlineStr">
        <is>
          <t>☐</t>
        </is>
      </c>
      <c r="B41" t="inlineStr">
        <is>
          <t>HSM backup cards stored in secure facility</t>
        </is>
      </c>
      <c r="C41" s="15" t="n"/>
    </row>
    <row r="42">
      <c r="A42" s="14" t="inlineStr">
        <is>
          <t>Checklist Score:</t>
        </is>
      </c>
      <c r="B42" s="20">
        <f>IFERROR(ROUND(COUNTIF(C24:C41,"✅ Yes")/COUNTA(C24:C41)*100,0)&amp;"%","0%")</f>
        <v/>
      </c>
    </row>
    <row r="44">
      <c r="A44" s="19" t="inlineStr">
        <is>
          <t>BACKUP STRATEGIES BY KEY TYPE</t>
        </is>
      </c>
    </row>
    <row r="45">
      <c r="A45" s="16" t="inlineStr">
        <is>
          <t>Key Type</t>
        </is>
      </c>
      <c r="B45" s="16" t="inlineStr">
        <is>
          <t>Recommended Backup Method</t>
        </is>
      </c>
      <c r="C45" s="16" t="inlineStr">
        <is>
          <t>Storage Location</t>
        </is>
      </c>
      <c r="D45" s="16" t="inlineStr">
        <is>
          <t>Recovery Testing Frequency</t>
        </is>
      </c>
    </row>
    <row r="46">
      <c r="A46" s="8" t="inlineStr">
        <is>
          <t>Master Keys</t>
        </is>
      </c>
      <c r="B46" s="8" t="inlineStr">
        <is>
          <t>HSM backup card + escrow</t>
        </is>
      </c>
      <c r="C46" s="8" t="inlineStr">
        <is>
          <t>Offsite secure vault</t>
        </is>
      </c>
      <c r="D46" s="8" t="inlineStr">
        <is>
          <t>Annually</t>
        </is>
      </c>
    </row>
    <row r="47">
      <c r="A47" s="8" t="inlineStr">
        <is>
          <t>Encryption Keys</t>
        </is>
      </c>
      <c r="B47" s="8" t="inlineStr">
        <is>
          <t>KMS automated backup</t>
        </is>
      </c>
      <c r="C47" s="8" t="inlineStr">
        <is>
          <t>Different region/account</t>
        </is>
      </c>
      <c r="D47" s="8" t="inlineStr">
        <is>
          <t>Quarterly</t>
        </is>
      </c>
    </row>
    <row r="48">
      <c r="A48" s="8" t="inlineStr">
        <is>
          <t>Certificate Private Keys</t>
        </is>
      </c>
      <c r="B48" s="8" t="inlineStr">
        <is>
          <t>Encrypted file backup</t>
        </is>
      </c>
      <c r="C48" s="8" t="inlineStr">
        <is>
          <t>Secure file storage</t>
        </is>
      </c>
      <c r="D48" s="8" t="inlineStr">
        <is>
          <t>Semi-annually</t>
        </is>
      </c>
    </row>
    <row r="49">
      <c r="A49" s="8" t="inlineStr">
        <is>
          <t>SSH Keys</t>
        </is>
      </c>
      <c r="B49" s="8" t="inlineStr">
        <is>
          <t>Encrypted backup + key management system</t>
        </is>
      </c>
      <c r="C49" s="8" t="inlineStr">
        <is>
          <t>Secrets vault</t>
        </is>
      </c>
      <c r="D49" s="8" t="inlineStr">
        <is>
          <t>Annually</t>
        </is>
      </c>
    </row>
    <row r="50">
      <c r="A50" s="8" t="inlineStr">
        <is>
          <t>API Keys</t>
        </is>
      </c>
      <c r="B50" s="8" t="inlineStr">
        <is>
          <t>Secrets management system</t>
        </is>
      </c>
      <c r="C50" s="8" t="inlineStr">
        <is>
          <t>Multi-region vault</t>
        </is>
      </c>
      <c r="D50" s="8" t="inlineStr">
        <is>
          <t>Quarterly</t>
        </is>
      </c>
    </row>
    <row r="51">
      <c r="A51" s="8" t="inlineStr">
        <is>
          <t>Database TDE Keys</t>
        </is>
      </c>
      <c r="B51" s="8" t="inlineStr">
        <is>
          <t>Native database backup + KMS</t>
        </is>
      </c>
      <c r="C51" s="8" t="inlineStr">
        <is>
          <t>Encrypted backup storage</t>
        </is>
      </c>
      <c r="D51" s="8" t="inlineStr">
        <is>
          <t>Quarterly</t>
        </is>
      </c>
    </row>
    <row r="53">
      <c r="A53" s="21" t="inlineStr">
        <is>
          <t>EXCEPTION / DEVIATION DOCUMENTATION (Complete if Status = Partial or Non-Compliant)</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Enhanced monitoring and alerting</t>
        </is>
      </c>
      <c r="B59" s="18" t="n"/>
      <c r="C59" s="6" t="n"/>
      <c r="D59" s="6" t="n"/>
    </row>
    <row r="60">
      <c r="A60" s="14" t="inlineStr">
        <is>
          <t>☐ Restricted network access / air-gapped systems</t>
        </is>
      </c>
      <c r="B60" s="18" t="n"/>
      <c r="C60" s="6" t="n"/>
      <c r="D60" s="6" t="n"/>
    </row>
    <row r="61">
      <c r="A61" s="14" t="inlineStr">
        <is>
          <t>☐ Additional encryption layer</t>
        </is>
      </c>
      <c r="B61" s="18" t="n"/>
      <c r="C61" s="6" t="n"/>
      <c r="D61" s="6" t="n"/>
    </row>
    <row r="62">
      <c r="A62" s="14" t="inlineStr">
        <is>
          <t>☐ Manual key management procedures</t>
        </is>
      </c>
      <c r="B62" s="18" t="n"/>
      <c r="C62" s="6" t="n"/>
      <c r="D62" s="6" t="n"/>
    </row>
    <row r="63">
      <c r="A63" s="14" t="inlineStr">
        <is>
          <t>☐ Increased audit frequency</t>
        </is>
      </c>
      <c r="B63" s="18" t="n"/>
      <c r="C63" s="6" t="n"/>
      <c r="D63" s="6" t="n"/>
    </row>
    <row r="64">
      <c r="A64" s="14" t="inlineStr">
        <is>
          <t>☐ Physical security controls</t>
        </is>
      </c>
      <c r="B64" s="18" t="n"/>
      <c r="C64" s="6" t="n"/>
      <c r="D64" s="6" t="n"/>
    </row>
    <row r="65">
      <c r="A65" s="14" t="inlineStr">
        <is>
          <t>☐ Other (describe):</t>
        </is>
      </c>
      <c r="B65" s="18" t="n"/>
      <c r="C65" s="6" t="n"/>
      <c r="D65" s="6" t="n"/>
    </row>
    <row r="67">
      <c r="A67" s="22" t="inlineStr">
        <is>
          <t>ADDITIONAL NOTES / COMMENTS</t>
        </is>
      </c>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row>
    <row r="68">
      <c r="A68" s="23"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sheetData>
  <mergeCells count="17">
    <mergeCell ref="A67:X67"/>
    <mergeCell ref="A3:X3"/>
    <mergeCell ref="B59:D59"/>
    <mergeCell ref="A53:X53"/>
    <mergeCell ref="B60:D60"/>
    <mergeCell ref="B63:D63"/>
    <mergeCell ref="B61:D61"/>
    <mergeCell ref="B57:D57"/>
    <mergeCell ref="A68:X76"/>
    <mergeCell ref="B56:D56"/>
    <mergeCell ref="B58:D58"/>
    <mergeCell ref="B65:D65"/>
    <mergeCell ref="A1:X1"/>
    <mergeCell ref="B62:D62"/>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showDropDown="0" showInputMessage="0" showErrorMessage="0" allowBlank="0" type="list">
      <formula1>"✅ Yes,❌ No,N/A"</formula1>
    </dataValidation>
    <dataValidation sqref="B54 B56" showDropDown="0" showInputMessage="0" showErrorMessage="0" allowBlank="0" type="list">
      <formula1>"✅ Yes,❌ No"</formula1>
    </dataValidation>
    <dataValidation sqref="R8 R9 R10 R11 R12 R13 R14 R15 R16 R17 R18 R19 R20" showDropDown="0" showInputMessage="0" showErrorMessage="0" allowBlank="0" type="list">
      <formula1>"HSM Backup,KMS Backup,Encrypted File,Key Escrow,Split Knowledge,Cloud Backup,No Backup,N/A"</formula1>
    </dataValidation>
    <dataValidation sqref="U8 U9 U10 U11 U12 U13 U14 U15 U16 U17 U18 U19 U20" showDropDown="0" showInputMessage="0" showErrorMessage="0" allowBlank="0" type="list">
      <formula1>"✅ Yes,❌ No,⏳ Scheduled,N/A"</formula1>
    </dataValidation>
    <dataValidation sqref="S8 S9 S10 S11 S12 S13 S14 S15 S16 S17 S18 S19 S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1"/>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6" customWidth="1" min="20" max="20"/>
    <col width="16" customWidth="1" min="21" max="21"/>
    <col width="16" customWidth="1" min="22" max="22"/>
    <col width="20" customWidth="1" min="23" max="23"/>
    <col width="16" customWidth="1" min="24" max="24"/>
  </cols>
  <sheetData>
    <row r="1" ht="35" customHeight="1">
      <c r="A1" s="11" t="inlineStr">
        <is>
          <t>5. CERTIFICATE MANAGEMENT - DIGITAL CERTIFICATE LIFECYCLE
Policy Requirement: Digital certificates MUST be issued from trusted Certificate Authorities. Certificate lifecycle management includes issuance, renewal, revocation, and expiration monitoring (Policy Section 2.4.5)</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digital certificates for TLS/SSL, code signing, email signing, or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Certificate Type</t>
        </is>
      </c>
      <c r="S6" s="16" t="inlineStr">
        <is>
          <t>Issuing CA</t>
        </is>
      </c>
      <c r="T6" s="16" t="inlineStr">
        <is>
          <t>Certificate Validity</t>
        </is>
      </c>
      <c r="U6" s="16" t="inlineStr">
        <is>
          <t>Expiration Date</t>
        </is>
      </c>
      <c r="V6" s="16" t="inlineStr">
        <is>
          <t>Auto-Renewal</t>
        </is>
      </c>
      <c r="W6" s="16" t="inlineStr">
        <is>
          <t>Revocation Method</t>
        </is>
      </c>
      <c r="X6" s="16" t="inlineStr">
        <is>
          <t>Monitoring Enabled</t>
        </is>
      </c>
    </row>
    <row r="7">
      <c r="A7" s="17" t="inlineStr">
        <is>
          <t>Example: Production Web Server TLS</t>
        </is>
      </c>
      <c r="B7" s="17" t="inlineStr">
        <is>
          <t>Certificate</t>
        </is>
      </c>
      <c r="C7" s="17" t="inlineStr">
        <is>
          <t>RSA-2048</t>
        </is>
      </c>
      <c r="D7" s="17" t="inlineStr">
        <is>
          <t>2048</t>
        </is>
      </c>
      <c r="E7" s="17" t="inlineStr">
        <is>
          <t>TPM</t>
        </is>
      </c>
      <c r="F7" s="17" t="inlineStr">
        <is>
          <t>Public</t>
        </is>
      </c>
      <c r="G7" s="17" t="inlineStr">
        <is>
          <t>Active</t>
        </is>
      </c>
      <c r="H7" s="17" t="inlineStr">
        <is>
          <t>✅ Compliant</t>
        </is>
      </c>
      <c r="I7" s="17" t="inlineStr">
        <is>
          <t>/evidence/key-mgmt/web-tls-cert.pdf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TLS/SSL Server</t>
        </is>
      </c>
      <c r="S7" s="17" t="inlineStr">
        <is>
          <t>Let's Encrypt</t>
        </is>
      </c>
      <c r="T7" s="17" t="inlineStr">
        <is>
          <t>≤90 days</t>
        </is>
      </c>
      <c r="U7" s="17" t="inlineStr">
        <is>
          <t>2025-03-15</t>
        </is>
      </c>
      <c r="V7" s="17" t="inlineStr">
        <is>
          <t>Yes</t>
        </is>
      </c>
      <c r="W7" s="17" t="inlineStr">
        <is>
          <t>OCSP</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5. CERTIFICATE MANAGEMENT CHECKLIST</t>
        </is>
      </c>
    </row>
    <row r="23">
      <c r="A23" s="14" t="inlineStr">
        <is>
          <t>☐</t>
        </is>
      </c>
      <c r="B23" s="14" t="inlineStr">
        <is>
          <t>Requirement</t>
        </is>
      </c>
      <c r="C23" s="14" t="inlineStr">
        <is>
          <t>Status</t>
        </is>
      </c>
    </row>
    <row r="24">
      <c r="A24" t="inlineStr">
        <is>
          <t>☐</t>
        </is>
      </c>
      <c r="B24" t="inlineStr">
        <is>
          <t>Certificates issued from trusted public CA (for external services)</t>
        </is>
      </c>
      <c r="C24" s="15" t="n"/>
    </row>
    <row r="25">
      <c r="A25" t="inlineStr">
        <is>
          <t>☐</t>
        </is>
      </c>
      <c r="B25" t="inlineStr">
        <is>
          <t>Internal CA infrastructure properly secured (for internal services)</t>
        </is>
      </c>
      <c r="C25" s="15" t="n"/>
    </row>
    <row r="26">
      <c r="A26" t="inlineStr">
        <is>
          <t>☐</t>
        </is>
      </c>
      <c r="B26" t="inlineStr">
        <is>
          <t>Certificate validity ≤397 days (public TLS certificates)</t>
        </is>
      </c>
      <c r="C26" s="15" t="n"/>
    </row>
    <row r="27">
      <c r="A27" t="inlineStr">
        <is>
          <t>☐</t>
        </is>
      </c>
      <c r="B27" t="inlineStr">
        <is>
          <t>Certificate validity ≤90 days preferred (automated renewal)</t>
        </is>
      </c>
      <c r="C27" s="15" t="n"/>
    </row>
    <row r="28">
      <c r="A28" t="inlineStr">
        <is>
          <t>☐</t>
        </is>
      </c>
      <c r="B28" t="inlineStr">
        <is>
          <t>Self-signed certificates NOT used in production</t>
        </is>
      </c>
      <c r="C28" s="15" t="n"/>
    </row>
    <row r="29">
      <c r="A29" t="inlineStr">
        <is>
          <t>☐</t>
        </is>
      </c>
      <c r="B29" t="inlineStr">
        <is>
          <t>Certificate inventory maintained and up to date</t>
        </is>
      </c>
      <c r="C29" s="15" t="n"/>
    </row>
    <row r="30">
      <c r="A30" t="inlineStr">
        <is>
          <t>☐</t>
        </is>
      </c>
      <c r="B30" t="inlineStr">
        <is>
          <t>Certificate expiration monitoring implemented</t>
        </is>
      </c>
      <c r="C30" s="15" t="n"/>
    </row>
    <row r="31">
      <c r="A31" t="inlineStr">
        <is>
          <t>☐</t>
        </is>
      </c>
      <c r="B31" t="inlineStr">
        <is>
          <t>Alerts configured for 30/60/90 days before expiration</t>
        </is>
      </c>
      <c r="C31" s="15" t="n"/>
    </row>
    <row r="32">
      <c r="A32" t="inlineStr">
        <is>
          <t>☐</t>
        </is>
      </c>
      <c r="B32" t="inlineStr">
        <is>
          <t>Automated certificate renewal configured</t>
        </is>
      </c>
      <c r="C32" s="15" t="n"/>
    </row>
    <row r="33">
      <c r="A33" t="inlineStr">
        <is>
          <t>☐</t>
        </is>
      </c>
      <c r="B33" t="inlineStr">
        <is>
          <t>Certificate renewal tested in non-production</t>
        </is>
      </c>
      <c r="C33" s="15" t="n"/>
    </row>
    <row r="34">
      <c r="A34" t="inlineStr">
        <is>
          <t>☐</t>
        </is>
      </c>
      <c r="B34" t="inlineStr">
        <is>
          <t>Certificate revocation procedures documented</t>
        </is>
      </c>
      <c r="C34" s="15" t="n"/>
    </row>
    <row r="35">
      <c r="A35" t="inlineStr">
        <is>
          <t>☐</t>
        </is>
      </c>
      <c r="B35" t="inlineStr">
        <is>
          <t>CRL or OCSP configured for revocation checking</t>
        </is>
      </c>
      <c r="C35" s="15" t="n"/>
    </row>
    <row r="36">
      <c r="A36" t="inlineStr">
        <is>
          <t>☐</t>
        </is>
      </c>
      <c r="B36" t="inlineStr">
        <is>
          <t>Compromised certificate revocation within 24 hours</t>
        </is>
      </c>
      <c r="C36" s="15" t="n"/>
    </row>
    <row r="37">
      <c r="A37" t="inlineStr">
        <is>
          <t>☐</t>
        </is>
      </c>
      <c r="B37" t="inlineStr">
        <is>
          <t>Certificate private keys stored securely (HSM/KMS preferred)</t>
        </is>
      </c>
      <c r="C37" s="15" t="n"/>
    </row>
    <row r="38">
      <c r="A38" t="inlineStr">
        <is>
          <t>☐</t>
        </is>
      </c>
      <c r="B38" t="inlineStr">
        <is>
          <t>Certificate private keys never shared across systems</t>
        </is>
      </c>
      <c r="C38" s="15" t="n"/>
    </row>
    <row r="39">
      <c r="A39" t="inlineStr">
        <is>
          <t>☐</t>
        </is>
      </c>
      <c r="B39" t="inlineStr">
        <is>
          <t>Wildcard certificates use documented and restricted</t>
        </is>
      </c>
      <c r="C39" s="15" t="n"/>
    </row>
    <row r="40">
      <c r="A40" t="inlineStr">
        <is>
          <t>☐</t>
        </is>
      </c>
      <c r="B40" t="inlineStr">
        <is>
          <t>Certificate signing requests (CSR) process documented</t>
        </is>
      </c>
      <c r="C40" s="15" t="n"/>
    </row>
    <row r="41">
      <c r="A41" t="inlineStr">
        <is>
          <t>☐</t>
        </is>
      </c>
      <c r="B41" t="inlineStr">
        <is>
          <t>Certificate audit logs maintained</t>
        </is>
      </c>
      <c r="C41" s="15" t="n"/>
    </row>
    <row r="42">
      <c r="A42" t="inlineStr">
        <is>
          <t>☐</t>
        </is>
      </c>
      <c r="B42" t="inlineStr">
        <is>
          <t>Code signing certificates protected with hardware tokens</t>
        </is>
      </c>
      <c r="C42" s="15" t="n"/>
    </row>
    <row r="43">
      <c r="A43" t="inlineStr">
        <is>
          <t>☐</t>
        </is>
      </c>
      <c r="B43" t="inlineStr">
        <is>
          <t>Email certificates (S/MIME) issued per user</t>
        </is>
      </c>
      <c r="C43" s="15" t="n"/>
    </row>
    <row r="44">
      <c r="A44" t="inlineStr">
        <is>
          <t>☐</t>
        </is>
      </c>
      <c r="B44" t="inlineStr">
        <is>
          <t>Cryptographic import/export compliance — applicable national regulations on cryptographic products assessed (e.g. US EAR, French ANSSI, Swiss regulations)</t>
        </is>
      </c>
      <c r="C44" s="15" t="n"/>
    </row>
    <row r="45">
      <c r="A45" t="inlineStr">
        <is>
          <t>☐</t>
        </is>
      </c>
      <c r="B45" t="inlineStr">
        <is>
          <t>Jurisdictional restrictions identified — use of cryptographic products compliant with laws of all countries where data is processed or stored</t>
        </is>
      </c>
      <c r="C45" s="15" t="n"/>
    </row>
    <row r="46">
      <c r="A46" s="14" t="inlineStr">
        <is>
          <t>Checklist Score:</t>
        </is>
      </c>
      <c r="B46" s="20">
        <f>IFERROR(ROUND(COUNTIF(C24:C45,"✅ Yes")/COUNTA(C24:C45)*100,0)&amp;"%","0%")</f>
        <v/>
      </c>
    </row>
    <row r="48">
      <c r="A48" s="19" t="inlineStr">
        <is>
          <t>CERTIFICATE VALIDITY STANDARDS</t>
        </is>
      </c>
    </row>
    <row r="49">
      <c r="A49" s="16" t="inlineStr">
        <is>
          <t>Certificate Type</t>
        </is>
      </c>
      <c r="B49" s="16" t="inlineStr">
        <is>
          <t>Maximum Validity</t>
        </is>
      </c>
      <c r="C49" s="16" t="inlineStr">
        <is>
          <t>Recommended Validity</t>
        </is>
      </c>
      <c r="D49" s="16" t="inlineStr">
        <is>
          <t>Renewal Process</t>
        </is>
      </c>
    </row>
    <row r="50">
      <c r="A50" s="8" t="inlineStr">
        <is>
          <t>Public TLS/SSL</t>
        </is>
      </c>
      <c r="B50" s="8" t="inlineStr">
        <is>
          <t>397 days (13 months)</t>
        </is>
      </c>
      <c r="C50" s="8" t="inlineStr">
        <is>
          <t>90 days</t>
        </is>
      </c>
      <c r="D50" s="8" t="inlineStr">
        <is>
          <t>ACME/Let's Encrypt automated</t>
        </is>
      </c>
    </row>
    <row r="51">
      <c r="A51" s="8" t="inlineStr">
        <is>
          <t>Internal TLS/SSL</t>
        </is>
      </c>
      <c r="B51" s="8" t="inlineStr">
        <is>
          <t>2 years</t>
        </is>
      </c>
      <c r="C51" s="8" t="inlineStr">
        <is>
          <t>1 year</t>
        </is>
      </c>
      <c r="D51" s="8" t="inlineStr">
        <is>
          <t>Internal CA automated</t>
        </is>
      </c>
    </row>
    <row r="52">
      <c r="A52" s="8" t="inlineStr">
        <is>
          <t>Code Signing</t>
        </is>
      </c>
      <c r="B52" s="8" t="inlineStr">
        <is>
          <t>3 years</t>
        </is>
      </c>
      <c r="C52" s="8" t="inlineStr">
        <is>
          <t>1 year</t>
        </is>
      </c>
      <c r="D52" s="8" t="inlineStr">
        <is>
          <t>Manual with hardware token</t>
        </is>
      </c>
    </row>
    <row r="53">
      <c r="A53" s="8" t="inlineStr">
        <is>
          <t>Email (S/MIME)</t>
        </is>
      </c>
      <c r="B53" s="8" t="inlineStr">
        <is>
          <t>2 years</t>
        </is>
      </c>
      <c r="C53" s="8" t="inlineStr">
        <is>
          <t>1 year</t>
        </is>
      </c>
      <c r="D53" s="8" t="inlineStr">
        <is>
          <t>PKI automated or manual</t>
        </is>
      </c>
    </row>
    <row r="54">
      <c r="A54" s="8" t="inlineStr">
        <is>
          <t>Client Authentication</t>
        </is>
      </c>
      <c r="B54" s="8" t="inlineStr">
        <is>
          <t>2 years</t>
        </is>
      </c>
      <c r="C54" s="8" t="inlineStr">
        <is>
          <t>1 year</t>
        </is>
      </c>
      <c r="D54" s="8" t="inlineStr">
        <is>
          <t>PKI automated</t>
        </is>
      </c>
    </row>
    <row r="55">
      <c r="A55" s="8" t="inlineStr">
        <is>
          <t>Root CA</t>
        </is>
      </c>
      <c r="B55" s="8" t="inlineStr">
        <is>
          <t>20 years</t>
        </is>
      </c>
      <c r="C55" s="8" t="inlineStr">
        <is>
          <t>10 years</t>
        </is>
      </c>
      <c r="D55" s="8" t="inlineStr">
        <is>
          <t>Manual with ceremony</t>
        </is>
      </c>
    </row>
    <row r="56">
      <c r="A56" s="8" t="inlineStr">
        <is>
          <t>Intermediate CA</t>
        </is>
      </c>
      <c r="B56" s="8" t="inlineStr">
        <is>
          <t>10 years</t>
        </is>
      </c>
      <c r="C56" s="8" t="inlineStr">
        <is>
          <t>5 years</t>
        </is>
      </c>
      <c r="D56" s="8" t="inlineStr">
        <is>
          <t>Manual with ceremony</t>
        </is>
      </c>
    </row>
    <row r="58">
      <c r="A58" s="19" t="inlineStr">
        <is>
          <t>CERTIFICATE LIFECYCLE STAGES</t>
        </is>
      </c>
    </row>
    <row r="59">
      <c r="A59" s="16" t="inlineStr">
        <is>
          <t>Stage</t>
        </is>
      </c>
      <c r="B59" s="16" t="inlineStr">
        <is>
          <t>Actions</t>
        </is>
      </c>
      <c r="C59" s="16" t="inlineStr">
        <is>
          <t>Responsible Role</t>
        </is>
      </c>
      <c r="D59" s="16" t="inlineStr">
        <is>
          <t>Documentation Required</t>
        </is>
      </c>
    </row>
    <row r="60">
      <c r="A60" s="8" t="inlineStr">
        <is>
          <t>Request</t>
        </is>
      </c>
      <c r="B60" s="8" t="inlineStr">
        <is>
          <t>Generate CSR, validate domain/identity</t>
        </is>
      </c>
      <c r="C60" s="8" t="inlineStr">
        <is>
          <t>System Owner</t>
        </is>
      </c>
      <c r="D60" s="8" t="inlineStr">
        <is>
          <t>CSR details, approval</t>
        </is>
      </c>
    </row>
    <row r="61">
      <c r="A61" s="8" t="inlineStr">
        <is>
          <t>Issuance</t>
        </is>
      </c>
      <c r="B61" s="8" t="inlineStr">
        <is>
          <t>CA validation, certificate generation</t>
        </is>
      </c>
      <c r="C61" s="8" t="inlineStr">
        <is>
          <t>CA Admin</t>
        </is>
      </c>
      <c r="D61" s="8" t="inlineStr">
        <is>
          <t>Issuance record, validation log</t>
        </is>
      </c>
    </row>
    <row r="62">
      <c r="A62" s="8" t="inlineStr">
        <is>
          <t>Installation</t>
        </is>
      </c>
      <c r="B62" s="8" t="inlineStr">
        <is>
          <t>Deploy certificate to service</t>
        </is>
      </c>
      <c r="C62" s="8" t="inlineStr">
        <is>
          <t>System Admin</t>
        </is>
      </c>
      <c r="D62" s="8" t="inlineStr">
        <is>
          <t>Deployment log, verification</t>
        </is>
      </c>
    </row>
    <row r="63">
      <c r="A63" s="8" t="inlineStr">
        <is>
          <t>Monitoring</t>
        </is>
      </c>
      <c r="B63" s="8" t="inlineStr">
        <is>
          <t>Track expiration, validate configuration</t>
        </is>
      </c>
      <c r="C63" s="8" t="inlineStr">
        <is>
          <t>Security Team</t>
        </is>
      </c>
      <c r="D63" s="8" t="inlineStr">
        <is>
          <t>Monitoring dashboard</t>
        </is>
      </c>
    </row>
    <row r="64">
      <c r="A64" s="8" t="inlineStr">
        <is>
          <t>Renewal</t>
        </is>
      </c>
      <c r="B64" s="8" t="inlineStr">
        <is>
          <t>Generate new CSR, request renewal</t>
        </is>
      </c>
      <c r="C64" s="8" t="inlineStr">
        <is>
          <t>System Owner</t>
        </is>
      </c>
      <c r="D64" s="8" t="inlineStr">
        <is>
          <t>Renewal approval, testing</t>
        </is>
      </c>
    </row>
    <row r="65">
      <c r="A65" s="8" t="inlineStr">
        <is>
          <t>Revocation</t>
        </is>
      </c>
      <c r="B65" s="8" t="inlineStr">
        <is>
          <t>Revoke compromised/obsolete certificate</t>
        </is>
      </c>
      <c r="C65" s="8" t="inlineStr">
        <is>
          <t>CA Admin</t>
        </is>
      </c>
      <c r="D65" s="8" t="inlineStr">
        <is>
          <t>Incident record, revocation log</t>
        </is>
      </c>
    </row>
    <row r="66">
      <c r="A66" s="8" t="inlineStr">
        <is>
          <t>Archival</t>
        </is>
      </c>
      <c r="B66" s="8" t="inlineStr">
        <is>
          <t>Archive expired certificates</t>
        </is>
      </c>
      <c r="C66" s="8" t="inlineStr">
        <is>
          <t>Security Team</t>
        </is>
      </c>
      <c r="D66" s="8" t="inlineStr">
        <is>
          <t>Archive log, retention period</t>
        </is>
      </c>
    </row>
    <row r="68">
      <c r="A68" s="21" t="inlineStr">
        <is>
          <t>EXCEPTION / DEVIATION DOCUMENTATION (Complete if Status = Partial or Non-Compliant)</t>
        </is>
      </c>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14" t="inlineStr">
        <is>
          <t>Formal exception request submitted:</t>
        </is>
      </c>
      <c r="B69" s="18" t="n"/>
      <c r="C69" s="6" t="n"/>
      <c r="D69" s="6" t="n"/>
    </row>
    <row r="70">
      <c r="A70" s="14" t="inlineStr">
        <is>
          <t>Exception ID:</t>
        </is>
      </c>
      <c r="B70" s="18" t="n"/>
      <c r="C70" s="6" t="n"/>
      <c r="D70" s="6" t="n"/>
    </row>
    <row r="71">
      <c r="A71" s="14" t="inlineStr">
        <is>
          <t>Risk acceptance documented:</t>
        </is>
      </c>
      <c r="B71" s="18" t="n"/>
      <c r="C71" s="6" t="n"/>
      <c r="D71" s="6" t="n"/>
    </row>
    <row r="72">
      <c r="A72" s="14" t="inlineStr">
        <is>
          <t>Risk ID:</t>
        </is>
      </c>
      <c r="B72" s="18" t="n"/>
      <c r="C72" s="6" t="n"/>
      <c r="D72" s="6" t="n"/>
    </row>
    <row r="73">
      <c r="A73" s="14" t="inlineStr">
        <is>
          <t>Compensating Controls (summary):</t>
        </is>
      </c>
      <c r="B73" s="18" t="n"/>
      <c r="C73" s="6" t="n"/>
      <c r="D73" s="6" t="n"/>
    </row>
    <row r="74">
      <c r="A74" s="14" t="inlineStr">
        <is>
          <t>☐ Enhanced monitoring and alerting</t>
        </is>
      </c>
      <c r="B74" s="18" t="n"/>
      <c r="C74" s="6" t="n"/>
      <c r="D74" s="6" t="n"/>
    </row>
    <row r="75">
      <c r="A75" s="14" t="inlineStr">
        <is>
          <t>☐ Restricted network access / air-gapped systems</t>
        </is>
      </c>
      <c r="B75" s="18" t="n"/>
      <c r="C75" s="6" t="n"/>
      <c r="D75" s="6" t="n"/>
    </row>
    <row r="76">
      <c r="A76" s="14" t="inlineStr">
        <is>
          <t>☐ Additional encryption layer</t>
        </is>
      </c>
      <c r="B76" s="18" t="n"/>
      <c r="C76" s="6" t="n"/>
      <c r="D76" s="6" t="n"/>
    </row>
    <row r="77">
      <c r="A77" s="14" t="inlineStr">
        <is>
          <t>☐ Manual key management procedures</t>
        </is>
      </c>
      <c r="B77" s="18" t="n"/>
      <c r="C77" s="6" t="n"/>
      <c r="D77" s="6" t="n"/>
    </row>
    <row r="78">
      <c r="A78" s="14" t="inlineStr">
        <is>
          <t>☐ Increased audit frequency</t>
        </is>
      </c>
      <c r="B78" s="18" t="n"/>
      <c r="C78" s="6" t="n"/>
      <c r="D78" s="6" t="n"/>
    </row>
    <row r="79">
      <c r="A79" s="14" t="inlineStr">
        <is>
          <t>☐ Physical security controls</t>
        </is>
      </c>
      <c r="B79" s="18" t="n"/>
      <c r="C79" s="6" t="n"/>
      <c r="D79" s="6" t="n"/>
    </row>
    <row r="80">
      <c r="A80" s="14" t="inlineStr">
        <is>
          <t>☐ Other (describe):</t>
        </is>
      </c>
      <c r="B80" s="18" t="n"/>
      <c r="C80" s="6" t="n"/>
      <c r="D80" s="6" t="n"/>
    </row>
    <row r="82">
      <c r="A82" s="22" t="inlineStr">
        <is>
          <t>ADDITIONAL NOTES / COMMENTS</t>
        </is>
      </c>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23"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sheetData>
  <mergeCells count="17">
    <mergeCell ref="B72:D72"/>
    <mergeCell ref="A3:X3"/>
    <mergeCell ref="B80:D80"/>
    <mergeCell ref="B76:D76"/>
    <mergeCell ref="B79:D79"/>
    <mergeCell ref="B71:D71"/>
    <mergeCell ref="A83:X91"/>
    <mergeCell ref="A82:X82"/>
    <mergeCell ref="B73:D73"/>
    <mergeCell ref="A68:X68"/>
    <mergeCell ref="B74:D74"/>
    <mergeCell ref="B70:D70"/>
    <mergeCell ref="A1:X1"/>
    <mergeCell ref="B75:D75"/>
    <mergeCell ref="B77:D77"/>
    <mergeCell ref="B69:D69"/>
    <mergeCell ref="B78:D78"/>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C44 C45" showDropDown="0" showInputMessage="0" showErrorMessage="0" allowBlank="0" type="list">
      <formula1>"✅ Yes,❌ No,N/A"</formula1>
    </dataValidation>
    <dataValidation sqref="B69 B71" showDropDown="0" showInputMessage="0" showErrorMessage="0" allowBlank="0" type="list">
      <formula1>"✅ Yes,❌ No"</formula1>
    </dataValidation>
    <dataValidation sqref="R8 R9 R10 R11 R12 R13 R14 R15 R16 R17 R18 R19 R20" showDropDown="0" showInputMessage="0" showErrorMessage="0" allowBlank="0" type="list">
      <formula1>"TLS/SSL Server,TLS/SSL Client,Code Signing,Email (S/MIME),User Authentication,CA Certificate,Wildcard,SAN,Self-signed,N/A"</formula1>
    </dataValidation>
    <dataValidation sqref="T8 T9 T10 T11 T12 T13 T14 T15 T16 T17 T18 T19 T20" showDropDown="0" showInputMessage="0" showErrorMessage="0" allowBlank="0" type="list">
      <formula1>"≤90 days,91-180 days,181-365 days,366-397 days,&gt;397 days (non-compliant),Expired,N/A"</formula1>
    </dataValidation>
    <dataValidation sqref="W8 W9 W10 W11 W12 W13 W14 W15 W16 W17 W18 W19 W20" showDropDown="0" showInputMessage="0" showErrorMessage="0" allowBlank="0" type="list">
      <formula1>"CRL,OCSP,OCSP Stapling,Not Configured,N/A"</formula1>
    </dataValidation>
    <dataValidation sqref="V8 V9 V10 V11 V12 V13 V14 V15 V16 V17 V18 V19 V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6"/>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18" customWidth="1" min="3" max="3"/>
    <col width="16" customWidth="1" min="4" max="4"/>
    <col width="24" customWidth="1" min="5" max="5"/>
    <col width="28" customWidth="1" min="6" max="6"/>
    <col width="24" customWidth="1" min="7" max="7"/>
    <col width="28" customWidth="1" min="8" max="8"/>
    <col width="22" customWidth="1" min="9" max="9"/>
    <col width="18" customWidth="1" min="10" max="10"/>
  </cols>
  <sheetData>
    <row r="1" ht="35" customHeight="1">
      <c r="A1" s="11" t="inlineStr">
        <is>
          <t>6. KEY DESTRUCTION - CRYPTOGRAPHIC KEY DISPOSAL
Policy Requirement: Cryptographic keys that have reached end-of-life MUST be securely destroyed and destruction documented (Policy Section 2.4.6)</t>
        </is>
      </c>
      <c r="B1" s="6" t="n"/>
      <c r="C1" s="6" t="n"/>
      <c r="D1" s="6" t="n"/>
      <c r="E1" s="6" t="n"/>
      <c r="F1" s="6" t="n"/>
      <c r="G1" s="6" t="n"/>
      <c r="H1" s="6" t="n"/>
      <c r="I1" s="6" t="n"/>
      <c r="J1" s="6" t="n"/>
    </row>
    <row r="2">
      <c r="A2" s="12" t="inlineStr">
        <is>
          <t>ISO/IEC 27001:2022 | Control A.8.24: Use of Cryptography</t>
        </is>
      </c>
    </row>
    <row r="3" ht="30" customHeight="1">
      <c r="A3" s="13" t="inlineStr">
        <is>
          <t>Does your organisation have documented procedures for secure cryptographic key destruction and disposal?</t>
        </is>
      </c>
      <c r="B3" s="6" t="n"/>
      <c r="C3" s="6" t="n"/>
      <c r="D3" s="6" t="n"/>
      <c r="E3" s="6" t="n"/>
      <c r="F3" s="6" t="n"/>
      <c r="G3" s="6" t="n"/>
      <c r="H3" s="6" t="n"/>
      <c r="I3" s="6" t="n"/>
      <c r="J3" s="6" t="n"/>
    </row>
    <row r="4">
      <c r="A4" s="14" t="inlineStr">
        <is>
          <t>Response:</t>
        </is>
      </c>
      <c r="B4" s="15" t="n"/>
    </row>
    <row r="6">
      <c r="A6" s="16" t="inlineStr">
        <is>
          <t>Key ID</t>
        </is>
      </c>
      <c r="B6" s="16" t="inlineStr">
        <is>
          <t>Key Type</t>
        </is>
      </c>
      <c r="C6" s="16" t="inlineStr">
        <is>
          <t>Algorithm</t>
        </is>
      </c>
      <c r="D6" s="16" t="inlineStr">
        <is>
          <t>Creation Date</t>
        </is>
      </c>
      <c r="E6" s="16" t="inlineStr">
        <is>
          <t>Scheduled Destruction Date</t>
        </is>
      </c>
      <c r="F6" s="16" t="inlineStr">
        <is>
          <t>Destruction Method</t>
        </is>
      </c>
      <c r="G6" s="16" t="inlineStr">
        <is>
          <t>Actual Destruction Date</t>
        </is>
      </c>
      <c r="H6" s="16" t="inlineStr">
        <is>
          <t>Verification Method</t>
        </is>
      </c>
      <c r="I6" s="16" t="inlineStr">
        <is>
          <t>Authorised By</t>
        </is>
      </c>
      <c r="J6" s="16" t="inlineStr">
        <is>
          <t>Status</t>
        </is>
      </c>
    </row>
    <row r="7">
      <c r="A7" s="24" t="inlineStr">
        <is>
          <t>KEY-001</t>
        </is>
      </c>
      <c r="B7" s="24" t="inlineStr">
        <is>
          <t>Data Encryption Key</t>
        </is>
      </c>
      <c r="C7" s="24" t="inlineStr">
        <is>
          <t>AES-256</t>
        </is>
      </c>
      <c r="D7" s="24" t="inlineStr">
        <is>
          <t>01.01.2023</t>
        </is>
      </c>
      <c r="E7" s="24" t="inlineStr">
        <is>
          <t>01.01.2025</t>
        </is>
      </c>
      <c r="F7" s="24" t="inlineStr">
        <is>
          <t>Crypto-erasure</t>
        </is>
      </c>
      <c r="G7" s="24" t="inlineStr">
        <is>
          <t>15.12.2024</t>
        </is>
      </c>
      <c r="H7" s="24" t="inlineStr">
        <is>
          <t>Third-party audit + log</t>
        </is>
      </c>
      <c r="I7" s="24" t="inlineStr">
        <is>
          <t>CISO</t>
        </is>
      </c>
      <c r="J7" s="24" t="inlineStr">
        <is>
          <t>✅ Destroyed</t>
        </is>
      </c>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9">
      <c r="A59" s="19" t="inlineStr">
        <is>
          <t>KEY DESTRUCTION CHECKLIST</t>
        </is>
      </c>
    </row>
    <row r="60">
      <c r="A60" s="14" t="inlineStr">
        <is>
          <t>☐</t>
        </is>
      </c>
      <c r="B60" s="14" t="inlineStr">
        <is>
          <t>Requirement</t>
        </is>
      </c>
      <c r="C60" s="14" t="inlineStr">
        <is>
          <t>Status</t>
        </is>
      </c>
    </row>
    <row r="61">
      <c r="A61" t="inlineStr">
        <is>
          <t>☐</t>
        </is>
      </c>
      <c r="B61" t="inlineStr">
        <is>
          <t>Key destruction policy documented and approved</t>
        </is>
      </c>
      <c r="C61" s="15" t="n"/>
    </row>
    <row r="62">
      <c r="A62" t="inlineStr">
        <is>
          <t>☐</t>
        </is>
      </c>
      <c r="B62" t="inlineStr">
        <is>
          <t>Destruction procedures defined for each key type (HSM, software, cloud)</t>
        </is>
      </c>
      <c r="C62" s="15" t="n"/>
    </row>
    <row r="63">
      <c r="A63" t="inlineStr">
        <is>
          <t>☐</t>
        </is>
      </c>
      <c r="B63" t="inlineStr">
        <is>
          <t>Cryptographic erasure used where physical destruction not possible</t>
        </is>
      </c>
      <c r="C63" s="15" t="n"/>
    </row>
    <row r="64">
      <c r="A64" t="inlineStr">
        <is>
          <t>☐</t>
        </is>
      </c>
      <c r="B64" t="inlineStr">
        <is>
          <t>Destruction authority (authorisation) defined and enforced</t>
        </is>
      </c>
      <c r="C64" s="15" t="n"/>
    </row>
    <row r="65">
      <c r="A65" t="inlineStr">
        <is>
          <t>☐</t>
        </is>
      </c>
      <c r="B65" t="inlineStr">
        <is>
          <t>Dual-person authorisation required for master/critical key destruction</t>
        </is>
      </c>
      <c r="C65" s="15" t="n"/>
    </row>
    <row r="66">
      <c r="A66" t="inlineStr">
        <is>
          <t>☐</t>
        </is>
      </c>
      <c r="B66" t="inlineStr">
        <is>
          <t>Destruction records maintained (what, when, who, how)</t>
        </is>
      </c>
      <c r="C66" s="15" t="n"/>
    </row>
    <row r="67">
      <c r="A67" t="inlineStr">
        <is>
          <t>☐</t>
        </is>
      </c>
      <c r="B67" t="inlineStr">
        <is>
          <t>Third-party verification for high-sensitivity key destruction</t>
        </is>
      </c>
      <c r="C67" s="15" t="n"/>
    </row>
    <row r="68">
      <c r="A68" t="inlineStr">
        <is>
          <t>☐</t>
        </is>
      </c>
      <c r="B68" t="inlineStr">
        <is>
          <t>Hardware-based keys: HSM/token physically destroyed or cryptographically zeroed</t>
        </is>
      </c>
      <c r="C68" s="15" t="n"/>
    </row>
    <row r="69">
      <c r="A69" t="inlineStr">
        <is>
          <t>☐</t>
        </is>
      </c>
      <c r="B69" t="inlineStr">
        <is>
          <t>Cloud KMS keys: provider deletion confirmation obtained</t>
        </is>
      </c>
      <c r="C69" s="15" t="n"/>
    </row>
    <row r="70">
      <c r="A70" t="inlineStr">
        <is>
          <t>☐</t>
        </is>
      </c>
      <c r="B70" t="inlineStr">
        <is>
          <t>Destruction audit trail retained for minimum 7 years</t>
        </is>
      </c>
      <c r="C70" s="15" t="n"/>
    </row>
    <row r="71">
      <c r="A71" t="inlineStr">
        <is>
          <t>☐</t>
        </is>
      </c>
      <c r="B71" t="inlineStr">
        <is>
          <t>All copies of key (backup, escrow) destroyed simultaneously</t>
        </is>
      </c>
      <c r="C71" s="15" t="n"/>
    </row>
    <row r="72">
      <c r="A72" t="inlineStr">
        <is>
          <t>☐</t>
        </is>
      </c>
      <c r="B72" t="inlineStr">
        <is>
          <t>Destruction tested and verified in non-production</t>
        </is>
      </c>
      <c r="C72" s="15" t="n"/>
    </row>
    <row r="73">
      <c r="A73" t="inlineStr">
        <is>
          <t>☐</t>
        </is>
      </c>
      <c r="B73" t="inlineStr">
        <is>
          <t>Key destruction triggers defined (expiry, compromise, personnel change)</t>
        </is>
      </c>
      <c r="C73" s="15" t="n"/>
    </row>
    <row r="74">
      <c r="A74" t="inlineStr">
        <is>
          <t>☐</t>
        </is>
      </c>
      <c r="B74" t="inlineStr">
        <is>
          <t>Emergency destruction procedure documented</t>
        </is>
      </c>
      <c r="C74" s="15" t="n"/>
    </row>
    <row r="75">
      <c r="A75" t="inlineStr">
        <is>
          <t>☐</t>
        </is>
      </c>
      <c r="B75" t="inlineStr">
        <is>
          <t>Post-destruction verification procedure in place</t>
        </is>
      </c>
      <c r="C75" s="15" t="n"/>
    </row>
    <row r="76">
      <c r="A76" s="14" t="inlineStr">
        <is>
          <t>Checklist Score:</t>
        </is>
      </c>
      <c r="B76" s="20">
        <f>IFERROR(ROUND(COUNTIF(C61:C75,"✅ Yes")/COUNTA(C61:C75)*100,0)&amp;"%","0%")</f>
        <v/>
      </c>
    </row>
  </sheetData>
  <mergeCells count="2">
    <mergeCell ref="A1:J1"/>
    <mergeCell ref="A3:J3"/>
  </mergeCells>
  <dataValidations count="6">
    <dataValidation sqref="B4" showDropDown="0" showInputMessage="0" showErrorMessage="0" allowBlank="1" type="list">
      <formula1>"Yes,No,Partially,N/A"</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1" type="list">
      <formula1>"Encryption Key,Signing Key,Authentication Key,Certificate,Master Key,Data Encryption Key,Key Encryption Key,Session Key,N/A"</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1" type="list">
      <formula1>"AES-256,AES-128,RSA-4096,RSA-3072,RSA-2048,Ed25519,ECDSA P-256,ECDSA P-384,ChaCha20,Other,N/A"</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1" type="list">
      <formula1>"Hardware Shredding,Crypto-erasure,Physical Destruction,Vendor-managed,Degaussing,Overwrite (multi-pass),N/A"</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1" type="list">
      <formula1>"✅ Destroyed,⏳ Pending,❌ Overdue,N/A"</formula1>
    </dataValidation>
    <dataValidation sqref="C61 C62 C63 C64 C65 C66 C67 C68 C69 C70 C71 C72 C73 C74 C75" showDropDown="0" showInputMessage="0" showErrorMessage="0" allowBlank="1" type="list">
      <formula1>"✅ Yes,❌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1. Key Generation</t>
        </is>
      </c>
      <c r="C5" s="29" t="inlineStr">
        <is>
          <t>Configuration file</t>
        </is>
      </c>
      <c r="D5" s="29" t="inlineStr">
        <is>
          <t>TLS/encryption configuration export for audit evidence</t>
        </is>
      </c>
      <c r="E5" s="29" t="inlineStr">
        <is>
          <t>/evidence/a824/config-export-2025.txt</t>
        </is>
      </c>
      <c r="F5" s="29" t="inlineStr">
        <is>
          <t>01.01.2025</t>
        </is>
      </c>
      <c r="G5" s="29" t="inlineStr">
        <is>
          <t>Security Team</t>
        </is>
      </c>
      <c r="H5" s="29"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KEY MANAGEMENT ASSESSMENT — SUMMARY DASHBOARD</t>
        </is>
      </c>
      <c r="B1" s="6" t="n"/>
      <c r="C1" s="6" t="n"/>
      <c r="D1" s="6" t="n"/>
      <c r="E1" s="6" t="n"/>
      <c r="F1" s="6" t="n"/>
      <c r="G1" s="6" t="n"/>
    </row>
    <row r="2">
      <c r="A2" s="30" t="inlineStr">
        <is>
          <t>ISO/IEC 27001:2022 | Control A.8.24 | Cryptographic Key Management</t>
        </is>
      </c>
      <c r="B2" s="6" t="n"/>
      <c r="C2" s="6" t="n"/>
      <c r="D2" s="6" t="n"/>
      <c r="E2" s="6" t="n"/>
      <c r="F2" s="6" t="n"/>
      <c r="G2" s="6" t="n"/>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t="inlineStr">
        <is>
          <t>1. Key Generation</t>
        </is>
      </c>
      <c r="B6">
        <f>COUNTA('1. Key Generation'!H8:H90)</f>
        <v/>
      </c>
      <c r="C6">
        <f>COUNTIF('1. Key Generation'!H8:H90,"✅*")</f>
        <v/>
      </c>
      <c r="D6">
        <f>COUNTIF('1. Key Generation'!H8:H90,"⚠️*")</f>
        <v/>
      </c>
      <c r="E6">
        <f>COUNTIF('1. Key Generation'!H8:H90,"❌*")</f>
        <v/>
      </c>
      <c r="F6">
        <f>COUNTIF('1. Key Generation'!H8:H90,"N/A")</f>
        <v/>
      </c>
      <c r="G6">
        <f>IF((B6-F6)=0,"0%",ROUND(C6/(B6-F6)*100,1)&amp;"%")</f>
        <v/>
      </c>
    </row>
    <row r="7">
      <c r="A7" t="inlineStr">
        <is>
          <t>2. Key Storage</t>
        </is>
      </c>
      <c r="B7">
        <f>COUNTA('2. Key Storage'!H8:H90)</f>
        <v/>
      </c>
      <c r="C7">
        <f>COUNTIF('2. Key Storage'!H8:H90,"✅*")</f>
        <v/>
      </c>
      <c r="D7">
        <f>COUNTIF('2. Key Storage'!H8:H90,"⚠️*")</f>
        <v/>
      </c>
      <c r="E7">
        <f>COUNTIF('2. Key Storage'!H8:H90,"❌*")</f>
        <v/>
      </c>
      <c r="F7">
        <f>COUNTIF('2. Key Storage'!H8:H90,"N/A")</f>
        <v/>
      </c>
      <c r="G7">
        <f>IF((B7-F7)=0,"0%",ROUND(C7/(B7-F7)*100,1)&amp;"%")</f>
        <v/>
      </c>
    </row>
    <row r="8">
      <c r="A8" t="inlineStr">
        <is>
          <t>3. Key Rotation</t>
        </is>
      </c>
      <c r="B8">
        <f>COUNTA('3. Key Rotation'!H8:H90)</f>
        <v/>
      </c>
      <c r="C8">
        <f>COUNTIF('3. Key Rotation'!H8:H90,"✅*")</f>
        <v/>
      </c>
      <c r="D8">
        <f>COUNTIF('3. Key Rotation'!H8:H90,"⚠️*")</f>
        <v/>
      </c>
      <c r="E8">
        <f>COUNTIF('3. Key Rotation'!H8:H90,"❌*")</f>
        <v/>
      </c>
      <c r="F8">
        <f>COUNTIF('3. Key Rotation'!H8:H90,"N/A")</f>
        <v/>
      </c>
      <c r="G8">
        <f>IF((B8-F8)=0,"0%",ROUND(C8/(B8-F8)*100,1)&amp;"%")</f>
        <v/>
      </c>
    </row>
    <row r="9">
      <c r="A9" t="inlineStr">
        <is>
          <t>4. Key Backup &amp; Recovery</t>
        </is>
      </c>
      <c r="B9">
        <f>COUNTA('4. Key Backup &amp; Recovery'!H8:H90)</f>
        <v/>
      </c>
      <c r="C9">
        <f>COUNTIF('4. Key Backup &amp; Recovery'!H8:H90,"✅*")</f>
        <v/>
      </c>
      <c r="D9">
        <f>COUNTIF('4. Key Backup &amp; Recovery'!H8:H90,"⚠️*")</f>
        <v/>
      </c>
      <c r="E9">
        <f>COUNTIF('4. Key Backup &amp; Recovery'!H8:H90,"❌*")</f>
        <v/>
      </c>
      <c r="F9">
        <f>COUNTIF('4. Key Backup &amp; Recovery'!H8:H90,"N/A")</f>
        <v/>
      </c>
      <c r="G9">
        <f>IF((B9-F9)=0,"0%",ROUND(C9/(B9-F9)*100,1)&amp;"%")</f>
        <v/>
      </c>
    </row>
    <row r="10">
      <c r="A10" t="inlineStr">
        <is>
          <t>5. Certificate Management</t>
        </is>
      </c>
      <c r="B10">
        <f>COUNTA('5. Certificate Management'!H8:H90)</f>
        <v/>
      </c>
      <c r="C10">
        <f>COUNTIF('5. Certificate Management'!H8:H90,"✅*")</f>
        <v/>
      </c>
      <c r="D10">
        <f>COUNTIF('5. Certificate Management'!H8:H90,"⚠️*")</f>
        <v/>
      </c>
      <c r="E10">
        <f>COUNTIF('5. Certificate Management'!H8:H90,"❌*")</f>
        <v/>
      </c>
      <c r="F10">
        <f>COUNTIF('5. Certificate Management'!H8:H90,"N/A")</f>
        <v/>
      </c>
      <c r="G10">
        <f>IF((B10-F10)=0,"0%",ROUND(C10/(B10-F10)*100,1)&amp;"%")</f>
        <v/>
      </c>
    </row>
    <row r="11">
      <c r="A11" t="inlineStr">
        <is>
          <t>6. Key Destruction</t>
        </is>
      </c>
      <c r="B11">
        <f>COUNTA('6. Key Destruction'!H8:H90)</f>
        <v/>
      </c>
      <c r="C11">
        <f>COUNTIF('6. Key Destruction'!H8:H90,"✅*")</f>
        <v/>
      </c>
      <c r="D11">
        <f>COUNTIF('6. Key Destruction'!H8:H90,"⚠️*")</f>
        <v/>
      </c>
      <c r="E11">
        <f>COUNTIF('6. Key Destruction'!H8:H90,"❌*")</f>
        <v/>
      </c>
      <c r="F11">
        <f>COUNTIF('6. Key Destruction'!H8:H90,"N/A")</f>
        <v/>
      </c>
      <c r="G11">
        <f>IF((B11-F11)=0,"0%",ROUND(C11/(B11-F11)*100,1)&amp;"%")</f>
        <v/>
      </c>
    </row>
    <row r="12">
      <c r="A12" s="33" t="inlineStr">
        <is>
          <t>TOTAL</t>
        </is>
      </c>
      <c r="B12" s="33">
        <f>SUM(B6:B11)</f>
        <v/>
      </c>
      <c r="C12" s="33">
        <f>SUM(C6:C11)</f>
        <v/>
      </c>
      <c r="D12" s="33">
        <f>SUM(D6:D11)</f>
        <v/>
      </c>
      <c r="E12" s="33">
        <f>SUM(E6:E11)</f>
        <v/>
      </c>
      <c r="F12" s="33">
        <f>SUM(F6:F11)</f>
        <v/>
      </c>
      <c r="G12" s="34">
        <f>IF((B12-F12)=0,"0%",ROUND(C12/(B12-F12)*100,1)&amp;"%")</f>
        <v/>
      </c>
    </row>
    <row r="14">
      <c r="A14" s="31" t="inlineStr">
        <is>
          <t>TABLE 2: KEY METRICS</t>
        </is>
      </c>
      <c r="B14" s="6" t="n"/>
      <c r="C14" s="6" t="n"/>
      <c r="D14" s="6" t="n"/>
      <c r="E14" s="6" t="n"/>
      <c r="F14" s="6" t="n"/>
      <c r="G14" s="6" t="n"/>
    </row>
    <row r="15">
      <c r="A15" s="32" t="inlineStr">
        <is>
          <t>KPI</t>
        </is>
      </c>
      <c r="B15" s="32" t="inlineStr">
        <is>
          <t>Current Value</t>
        </is>
      </c>
      <c r="C15" s="32" t="inlineStr">
        <is>
          <t>Target</t>
        </is>
      </c>
      <c r="D15" s="32" t="inlineStr">
        <is>
          <t>Status</t>
        </is>
      </c>
      <c r="E15" s="32" t="inlineStr">
        <is>
          <t>Last Updated</t>
        </is>
      </c>
      <c r="F15" s="32" t="inlineStr">
        <is>
          <t>Owner</t>
        </is>
      </c>
      <c r="G15" s="32" t="inlineStr">
        <is>
          <t>Notes</t>
        </is>
      </c>
    </row>
    <row r="16">
      <c r="A16" s="35" t="inlineStr">
        <is>
          <t>Metric (Auto-computed)</t>
        </is>
      </c>
      <c r="B16" s="35" t="inlineStr">
        <is>
          <t>Value</t>
        </is>
      </c>
      <c r="C16" s="35" t="inlineStr">
        <is>
          <t>Notes</t>
        </is>
      </c>
      <c r="D16" s="6" t="inlineStr"/>
      <c r="E16" s="6" t="inlineStr"/>
      <c r="F16" s="6" t="inlineStr"/>
      <c r="G16" s="6" t="inlineStr"/>
    </row>
    <row r="17">
      <c r="A17" s="6" t="inlineStr">
        <is>
          <t>Non-Compliant Items (all domains)</t>
        </is>
      </c>
      <c r="B17" s="36">
        <f>COUNTIF('1. Key Generation'!H8:H90,"❌*")+COUNTIF('2. Key Storage'!H8:H90,"❌*")+COUNTIF('3. Key Rotation'!H8:H90,"❌*")+COUNTIF('4. Key Backup &amp; Recovery'!H8:H90,"❌*")+COUNTIF('5. Certificate Management'!H8:H90,"❌*")+COUNTIF('6. Key Destruction'!H8:H90,"❌*")</f>
        <v/>
      </c>
      <c r="C17" s="6" t="n"/>
      <c r="D17" s="6" t="n"/>
      <c r="E17" s="6" t="n"/>
      <c r="F17" s="6" t="n"/>
      <c r="G17" s="6" t="n"/>
    </row>
    <row r="18">
      <c r="A18" s="6" t="inlineStr">
        <is>
          <t>Partial Items (all domains)</t>
        </is>
      </c>
      <c r="B18" s="36">
        <f>COUNTIF('1. Key Generation'!H8:H90,"⚠️*")+COUNTIF('2. Key Storage'!H8:H90,"⚠️*")+COUNTIF('3. Key Rotation'!H8:H90,"⚠️*")+COUNTIF('4. Key Backup &amp; Recovery'!H8:H90,"⚠️*")+COUNTIF('5. Certificate Management'!H8:H90,"⚠️*")+COUNTIF('6. Key Destruction'!H8:H90,"⚠️*")</f>
        <v/>
      </c>
      <c r="C18" s="6" t="n"/>
      <c r="D18" s="6" t="n"/>
      <c r="E18" s="6" t="n"/>
      <c r="F18" s="6" t="n"/>
      <c r="G18" s="6" t="n"/>
    </row>
    <row r="19">
      <c r="A19" s="6" t="inlineStr">
        <is>
          <t>Compliant Items (all domains)</t>
        </is>
      </c>
      <c r="B19" s="36">
        <f>COUNTIF('1. Key Generation'!H8:H90,"✅*")+COUNTIF('2. Key Storage'!H8:H90,"✅*")+COUNTIF('3. Key Rotation'!H8:H90,"✅*")+COUNTIF('4. Key Backup &amp; Recovery'!H8:H90,"✅*")+COUNTIF('5. Certificate Management'!H8:H90,"✅*")+COUNTIF('6. Key Destruction'!H8:H90,"✅*")</f>
        <v/>
      </c>
      <c r="C19" s="6" t="n"/>
      <c r="D19" s="6" t="n"/>
      <c r="E19" s="6" t="n"/>
      <c r="F19" s="6" t="n"/>
      <c r="G19" s="6" t="n"/>
    </row>
    <row r="20">
      <c r="A20" s="6" t="inlineStr">
        <is>
          <t>Total Assessed Items (all domains)</t>
        </is>
      </c>
      <c r="B20" s="36">
        <f>COUNTA('1. Key Generation'!H8:H90)+COUNTA('2. Key Storage'!H8:H90)+COUNTA('3. Key Rotation'!H8:H90)+COUNTA('4. Key Backup &amp; Recovery'!H8:H90)+COUNTA('5. Certificate Management'!H8:H90)+COUNTA('6. Key Destruction'!H8:H90)</f>
        <v/>
      </c>
      <c r="C20" s="6" t="n"/>
      <c r="D20" s="6" t="n"/>
      <c r="E20" s="6" t="n"/>
      <c r="F20" s="6" t="n"/>
      <c r="G20" s="6" t="n"/>
    </row>
    <row r="21">
      <c r="A21" s="6" t="inlineStr">
        <is>
          <t>AES-256 Keys (count)</t>
        </is>
      </c>
      <c r="B21" s="36">
        <f>SUM(COUNTIF('1. Key Generation'!C8:C90,"AES-256"),COUNTIF('2. Key Storage'!C8:C90,"AES-256"),COUNTIF('3. Key Rotation'!C8:C90,"AES-256"),COUNTIF('4. Key Backup &amp; Recovery'!C8:C90,"AES-256"),COUNTIF('5. Certificate Management'!C8:C90,"AES-256"),COUNTIF('6. Key Destruction'!C8:C90,"AES-256"))</f>
        <v/>
      </c>
      <c r="C21" s="6" t="n"/>
      <c r="D21" s="6" t="n"/>
      <c r="E21" s="6" t="n"/>
      <c r="F21" s="6" t="n"/>
      <c r="G21" s="6" t="n"/>
    </row>
    <row r="22">
      <c r="A22" s="6" t="inlineStr">
        <is>
          <t>RSA-4096 Keys (count)</t>
        </is>
      </c>
      <c r="B22" s="36">
        <f>SUM(COUNTIF('1. Key Generation'!C8:C90,"RSA-4096"),COUNTIF('2. Key Storage'!C8:C90,"RSA-4096"),COUNTIF('3. Key Rotation'!C8:C90,"RSA-4096"),COUNTIF('4. Key Backup &amp; Recovery'!C8:C90,"RSA-4096"),COUNTIF('5. Certificate Management'!C8:C90,"RSA-4096"),COUNTIF('6. Key Destruction'!C8:C90,"RSA-4096"))</f>
        <v/>
      </c>
      <c r="C22" s="6" t="n"/>
      <c r="D22" s="6" t="n"/>
      <c r="E22" s="6" t="n"/>
      <c r="F22" s="6" t="n"/>
      <c r="G22" s="6" t="n"/>
    </row>
    <row r="23">
      <c r="A23" s="6" t="inlineStr">
        <is>
          <t>RSA-3072 Keys (count)</t>
        </is>
      </c>
      <c r="B23" s="36">
        <f>SUM(COUNTIF('1. Key Generation'!C8:C90,"RSA-3072"),COUNTIF('2. Key Storage'!C8:C90,"RSA-3072"),COUNTIF('3. Key Rotation'!C8:C90,"RSA-3072"),COUNTIF('4. Key Backup &amp; Recovery'!C8:C90,"RSA-3072"),COUNTIF('5. Certificate Management'!C8:C90,"RSA-3072"),COUNTIF('6. Key Destruction'!C8:C90,"RSA-3072"))</f>
        <v/>
      </c>
      <c r="C23" s="6" t="n"/>
      <c r="D23" s="6" t="n"/>
      <c r="E23" s="6" t="n"/>
      <c r="F23" s="6" t="n"/>
      <c r="G23" s="6" t="n"/>
    </row>
    <row r="24">
      <c r="A24" s="6" t="inlineStr">
        <is>
          <t>Non-Approved Algorithms (count)</t>
        </is>
      </c>
      <c r="B24" s="36">
        <f>SUM(COUNTIF('1. Key Generation'!C8:C90,"Other"),COUNTIF('2. Key Storage'!C8:C90,"Other"),COUNTIF('3. Key Rotation'!C8:C90,"Other"),COUNTIF('4. Key Backup &amp; Recovery'!C8:C90,"Other"),COUNTIF('5. Certificate Management'!C8:C90,"Other"),COUNTIF('6. Key Destruction'!C8:C90,"Other"))</f>
        <v/>
      </c>
      <c r="C24" s="6" t="n"/>
      <c r="D24" s="6" t="n"/>
      <c r="E24" s="6" t="n"/>
      <c r="F24" s="6" t="n"/>
      <c r="G24" s="6" t="n"/>
    </row>
    <row r="25">
      <c r="A25" s="6" t="inlineStr">
        <is>
          <t>Active Keys (Lifecycle: Active)</t>
        </is>
      </c>
      <c r="B25" s="36">
        <f>SUM(COUNTIF('1. Key Generation'!G8:G90,"Active"),COUNTIF('2. Key Storage'!G8:G90,"Active"),COUNTIF('3. Key Rotation'!G8:G90,"Active"),COUNTIF('4. Key Backup &amp; Recovery'!G8:G90,"Active"),COUNTIF('5. Certificate Management'!G8:G90,"Active"),COUNTIF('6. Key Destruction'!G8:G90,"Active"))</f>
        <v/>
      </c>
      <c r="C25" s="6" t="n"/>
      <c r="D25" s="6" t="n"/>
      <c r="E25" s="6" t="n"/>
      <c r="F25" s="6" t="n"/>
      <c r="G25" s="6" t="n"/>
    </row>
    <row r="26">
      <c r="A26" s="6" t="inlineStr">
        <is>
          <t>Archived Keys (Lifecycle: Archived)</t>
        </is>
      </c>
      <c r="B26" s="36">
        <f>SUM(COUNTIF('1. Key Generation'!G8:G90,"Archived"),COUNTIF('2. Key Storage'!G8:G90,"Archived"),COUNTIF('3. Key Rotation'!G8:G90,"Archived"),COUNTIF('4. Key Backup &amp; Recovery'!G8:G90,"Archived"),COUNTIF('5. Certificate Management'!G8:G90,"Archived"),COUNTIF('6. Key Destruction'!G8:G90,"Archived"))</f>
        <v/>
      </c>
      <c r="C26" s="6" t="n"/>
      <c r="D26" s="6" t="n"/>
      <c r="E26" s="6" t="n"/>
      <c r="F26" s="6" t="n"/>
      <c r="G26" s="6" t="n"/>
    </row>
    <row r="27">
      <c r="A27" s="6" t="inlineStr">
        <is>
          <t>Destroyed Keys (Lifecycle: Destroyed)</t>
        </is>
      </c>
      <c r="B27" s="36">
        <f>SUM(COUNTIF('1. Key Generation'!G8:G90,"Destroyed"),COUNTIF('2. Key Storage'!G8:G90,"Destroyed"),COUNTIF('3. Key Rotation'!G8:G90,"Destroyed"),COUNTIF('4. Key Backup &amp; Recovery'!G8:G90,"Destroyed"),COUNTIF('5. Certificate Management'!G8:G90,"Destroyed"),COUNTIF('6. Key Destruction'!G8:G90,"Destroyed"))</f>
        <v/>
      </c>
      <c r="C27" s="6" t="n"/>
      <c r="D27" s="6" t="n"/>
      <c r="E27" s="6" t="n"/>
      <c r="F27" s="6" t="n"/>
      <c r="G27" s="6" t="n"/>
    </row>
    <row r="28">
      <c r="A28" s="6" t="inlineStr">
        <is>
          <t>Keys Pending Rotation</t>
        </is>
      </c>
      <c r="B28" s="36">
        <f>SUM(COUNTIF('1. Key Generation'!G8:G90,"Pending Rotation"),COUNTIF('2. Key Storage'!G8:G90,"Pending Rotation"),COUNTIF('3. Key Rotation'!G8:G90,"Pending Rotation"),COUNTIF('4. Key Backup &amp; Recovery'!G8:G90,"Pending Rotation"),COUNTIF('5. Certificate Management'!G8:G90,"Pending Rotation"),COUNTIF('6. Key Destruction'!G8:G90,"Pending Rotation"))</f>
        <v/>
      </c>
      <c r="C28" s="6" t="n"/>
      <c r="D28" s="6" t="n"/>
      <c r="E28" s="6" t="n"/>
      <c r="F28" s="6" t="n"/>
      <c r="G28" s="6" t="n"/>
    </row>
    <row r="31">
      <c r="A31" s="6" t="inlineStr">
        <is>
          <t>Total Cryptographic Keys Managed (count)</t>
        </is>
      </c>
      <c r="B31" s="6" t="n"/>
      <c r="C31" s="6" t="inlineStr">
        <is>
          <t>Count</t>
        </is>
      </c>
      <c r="D31" s="6" t="n"/>
      <c r="E31" s="6" t="n"/>
      <c r="F31" s="6" t="n"/>
      <c r="G31" s="6" t="n"/>
    </row>
    <row r="32">
      <c r="A32" s="6" t="inlineStr">
        <is>
          <t>Keys in HSM / TPM / Cloud KMS</t>
        </is>
      </c>
      <c r="B32" s="6" t="n"/>
      <c r="C32" s="6" t="inlineStr">
        <is>
          <t>≥90%</t>
        </is>
      </c>
      <c r="D32" s="6" t="n"/>
      <c r="E32" s="6" t="n"/>
      <c r="F32" s="6" t="n"/>
      <c r="G32" s="6" t="n"/>
    </row>
    <row r="33">
      <c r="A33" s="6" t="inlineStr">
        <is>
          <t>Approved Algorithm Compliance – AES-256 / RSA-3072+</t>
        </is>
      </c>
      <c r="B33" s="6" t="n"/>
      <c r="C33" s="6" t="inlineStr">
        <is>
          <t>100%</t>
        </is>
      </c>
      <c r="D33" s="6" t="n"/>
      <c r="E33" s="6" t="n"/>
      <c r="F33" s="6" t="n"/>
      <c r="G33" s="6" t="n"/>
    </row>
    <row r="34">
      <c r="A34" s="6" t="inlineStr">
        <is>
          <t>Automated Key Rotation Coverage</t>
        </is>
      </c>
      <c r="B34" s="6" t="n"/>
      <c r="C34" s="6" t="inlineStr">
        <is>
          <t>≥80%</t>
        </is>
      </c>
      <c r="D34" s="6" t="n"/>
      <c r="E34" s="6" t="n"/>
      <c r="F34" s="6" t="n"/>
      <c r="G34" s="6" t="n"/>
    </row>
    <row r="35">
      <c r="A35" s="6" t="inlineStr">
        <is>
          <t>Certificates Expiring &lt; 30 Days (count)</t>
        </is>
      </c>
      <c r="B35" s="6" t="n"/>
      <c r="C35" s="6" t="inlineStr">
        <is>
          <t>0</t>
        </is>
      </c>
      <c r="D35" s="6" t="n"/>
      <c r="E35" s="6" t="n"/>
      <c r="F35" s="6" t="n"/>
      <c r="G35" s="6" t="n"/>
    </row>
    <row r="36">
      <c r="A36" s="6" t="inlineStr">
        <is>
          <t>Expired / Non-Compliant Certificates (count)</t>
        </is>
      </c>
      <c r="B36" s="6" t="n"/>
      <c r="C36" s="6" t="inlineStr">
        <is>
          <t>0</t>
        </is>
      </c>
      <c r="D36" s="6" t="n"/>
      <c r="E36" s="6" t="n"/>
      <c r="F36" s="6" t="n"/>
      <c r="G36" s="6" t="n"/>
    </row>
    <row r="37">
      <c r="A37" s="6" t="inlineStr">
        <is>
          <t>FIPS 140-2 Level 2+ Validated Modules</t>
        </is>
      </c>
      <c r="B37" s="6" t="n"/>
      <c r="C37" s="6" t="inlineStr">
        <is>
          <t>100%</t>
        </is>
      </c>
      <c r="D37" s="6" t="n"/>
      <c r="E37" s="6" t="n"/>
      <c r="F37" s="6" t="n"/>
      <c r="G37" s="6" t="n"/>
    </row>
    <row r="38">
      <c r="A38" s="6" t="inlineStr">
        <is>
          <t>Key Backup &amp; Recovery Tested</t>
        </is>
      </c>
      <c r="B38" s="6" t="n"/>
      <c r="C38" s="6" t="inlineStr">
        <is>
          <t>100%</t>
        </is>
      </c>
      <c r="D38" s="6" t="n"/>
      <c r="E38" s="6" t="n"/>
      <c r="F38" s="6" t="n"/>
      <c r="G38" s="6" t="n"/>
    </row>
    <row r="39">
      <c r="A39" s="6" t="inlineStr">
        <is>
          <t>Certificate Auto-Renewal Enabled</t>
        </is>
      </c>
      <c r="B39" s="6" t="n"/>
      <c r="C39" s="6" t="inlineStr">
        <is>
          <t>≥90%</t>
        </is>
      </c>
      <c r="D39" s="6" t="n"/>
      <c r="E39" s="6" t="n"/>
      <c r="F39" s="6" t="n"/>
      <c r="G39" s="6" t="n"/>
    </row>
    <row r="40">
      <c r="A40" s="6" t="inlineStr">
        <is>
          <t>Evidence Documentation Rate</t>
        </is>
      </c>
      <c r="B40" s="6" t="n"/>
      <c r="C40" s="6" t="inlineStr">
        <is>
          <t>100%</t>
        </is>
      </c>
      <c r="D40" s="6" t="n"/>
      <c r="E40" s="6" t="n"/>
      <c r="F40" s="6" t="n"/>
      <c r="G40" s="6" t="n"/>
    </row>
    <row r="41">
      <c r="A41" s="6" t="n"/>
      <c r="B41" s="6" t="n"/>
      <c r="C41" s="6" t="n"/>
      <c r="D41" s="6" t="n"/>
      <c r="E41" s="6" t="n"/>
      <c r="F41" s="6" t="n"/>
      <c r="G41" s="6" t="n"/>
    </row>
    <row r="42">
      <c r="A42" s="6" t="n"/>
      <c r="B42" s="6" t="n"/>
      <c r="C42" s="6" t="n"/>
      <c r="D42" s="6" t="n"/>
      <c r="E42" s="6" t="n"/>
      <c r="F42" s="6" t="n"/>
      <c r="G42" s="6" t="n"/>
    </row>
    <row r="44">
      <c r="A44" s="37" t="inlineStr">
        <is>
          <t>TABLE 3: DOMAIN COMPLIANCE SUMMARY</t>
        </is>
      </c>
      <c r="B44" s="6" t="n"/>
      <c r="C44" s="6" t="n"/>
      <c r="D44" s="6" t="n"/>
      <c r="E44" s="6" t="n"/>
      <c r="F44" s="6" t="n"/>
      <c r="G44" s="6" t="n"/>
    </row>
    <row r="45">
      <c r="A45" s="32" t="inlineStr">
        <is>
          <t>Key Management Domain</t>
        </is>
      </c>
      <c r="B45" s="32" t="inlineStr">
        <is>
          <t>Non-Compliant</t>
        </is>
      </c>
      <c r="C45" s="32" t="inlineStr">
        <is>
          <t>Partial</t>
        </is>
      </c>
      <c r="D45" s="32" t="inlineStr">
        <is>
          <t>Compliant</t>
        </is>
      </c>
      <c r="E45" s="32" t="inlineStr">
        <is>
          <t>N/A</t>
        </is>
      </c>
      <c r="F45" s="32" t="inlineStr">
        <is>
          <t>Total Items</t>
        </is>
      </c>
      <c r="G45" s="32" t="inlineStr">
        <is>
          <t>Compliance %</t>
        </is>
      </c>
    </row>
    <row r="46">
      <c r="A46" s="38" t="inlineStr">
        <is>
          <t>1. Key Generation</t>
        </is>
      </c>
      <c r="B46" s="38">
        <f>COUNTIF('1. Key Generation'!H8:H90,"❌*")</f>
        <v/>
      </c>
      <c r="C46" s="38">
        <f>COUNTIF('1. Key Generation'!H8:H90,"⚠️*")</f>
        <v/>
      </c>
      <c r="D46" s="38">
        <f>COUNTIF('1. Key Generation'!H8:H90,"✅*")</f>
        <v/>
      </c>
      <c r="E46" s="38">
        <f>COUNTIF('1. Key Generation'!H8:H90,"N/A")</f>
        <v/>
      </c>
      <c r="F46" s="38">
        <f>COUNTA('1. Key Generation'!H8:H90)</f>
        <v/>
      </c>
      <c r="G46" s="39">
        <f>IF((F46-E46)=0,0,D46/(F46-E46))</f>
        <v/>
      </c>
    </row>
    <row r="47">
      <c r="A47" s="38" t="inlineStr">
        <is>
          <t>2. Key Storage</t>
        </is>
      </c>
      <c r="B47" s="38">
        <f>COUNTIF('2. Key Storage'!H8:H90,"❌*")</f>
        <v/>
      </c>
      <c r="C47" s="38">
        <f>COUNTIF('2. Key Storage'!H8:H90,"⚠️*")</f>
        <v/>
      </c>
      <c r="D47" s="38">
        <f>COUNTIF('2. Key Storage'!H8:H90,"✅*")</f>
        <v/>
      </c>
      <c r="E47" s="38">
        <f>COUNTIF('2. Key Storage'!H8:H90,"N/A")</f>
        <v/>
      </c>
      <c r="F47" s="38">
        <f>COUNTA('2. Key Storage'!H8:H90)</f>
        <v/>
      </c>
      <c r="G47" s="39">
        <f>IF((F47-E47)=0,0,D47/(F47-E47))</f>
        <v/>
      </c>
    </row>
    <row r="48">
      <c r="A48" s="38" t="inlineStr">
        <is>
          <t>3. Key Rotation</t>
        </is>
      </c>
      <c r="B48" s="38">
        <f>COUNTIF('3. Key Rotation'!H8:H90,"❌*")</f>
        <v/>
      </c>
      <c r="C48" s="38">
        <f>COUNTIF('3. Key Rotation'!H8:H90,"⚠️*")</f>
        <v/>
      </c>
      <c r="D48" s="38">
        <f>COUNTIF('3. Key Rotation'!H8:H90,"✅*")</f>
        <v/>
      </c>
      <c r="E48" s="38">
        <f>COUNTIF('3. Key Rotation'!H8:H90,"N/A")</f>
        <v/>
      </c>
      <c r="F48" s="38">
        <f>COUNTA('3. Key Rotation'!H8:H90)</f>
        <v/>
      </c>
      <c r="G48" s="39">
        <f>IF((F48-E48)=0,0,D48/(F48-E48))</f>
        <v/>
      </c>
    </row>
    <row r="49">
      <c r="A49" s="38" t="inlineStr">
        <is>
          <t>4. Key Backup &amp; Recovery</t>
        </is>
      </c>
      <c r="B49" s="38">
        <f>COUNTIF('4. Key Backup &amp; Recovery'!H8:H90,"❌*")</f>
        <v/>
      </c>
      <c r="C49" s="38">
        <f>COUNTIF('4. Key Backup &amp; Recovery'!H8:H90,"⚠️*")</f>
        <v/>
      </c>
      <c r="D49" s="38">
        <f>COUNTIF('4. Key Backup &amp; Recovery'!H8:H90,"✅*")</f>
        <v/>
      </c>
      <c r="E49" s="38">
        <f>COUNTIF('4. Key Backup &amp; Recovery'!H8:H90,"N/A")</f>
        <v/>
      </c>
      <c r="F49" s="38">
        <f>COUNTA('4. Key Backup &amp; Recovery'!H8:H90)</f>
        <v/>
      </c>
      <c r="G49" s="39">
        <f>IF((F49-E49)=0,0,D49/(F49-E49))</f>
        <v/>
      </c>
    </row>
    <row r="50">
      <c r="A50" s="38" t="inlineStr">
        <is>
          <t>5. Certificate Management</t>
        </is>
      </c>
      <c r="B50" s="38">
        <f>COUNTIF('5. Certificate Management'!H8:H90,"❌*")</f>
        <v/>
      </c>
      <c r="C50" s="38">
        <f>COUNTIF('5. Certificate Management'!H8:H90,"⚠️*")</f>
        <v/>
      </c>
      <c r="D50" s="38">
        <f>COUNTIF('5. Certificate Management'!H8:H90,"✅*")</f>
        <v/>
      </c>
      <c r="E50" s="38">
        <f>COUNTIF('5. Certificate Management'!H8:H90,"N/A")</f>
        <v/>
      </c>
      <c r="F50" s="38">
        <f>COUNTA('5. Certificate Management'!H8:H90)</f>
        <v/>
      </c>
      <c r="G50" s="39">
        <f>IF((F50-E50)=0,0,D50/(F50-E50))</f>
        <v/>
      </c>
    </row>
    <row r="51">
      <c r="A51" s="38" t="inlineStr">
        <is>
          <t>6. Key Destruction</t>
        </is>
      </c>
      <c r="B51" s="38">
        <f>COUNTIF('6. Key Destruction'!H8:H90,"❌*")</f>
        <v/>
      </c>
      <c r="C51" s="38">
        <f>COUNTIF('6. Key Destruction'!H8:H90,"⚠️*")</f>
        <v/>
      </c>
      <c r="D51" s="38">
        <f>COUNTIF('6. Key Destruction'!H8:H90,"✅*")</f>
        <v/>
      </c>
      <c r="E51" s="38">
        <f>COUNTIF('6. Key Destruction'!H8:H90,"N/A")</f>
        <v/>
      </c>
      <c r="F51" s="38">
        <f>COUNTA('6. Key Destruction'!H8:H90)</f>
        <v/>
      </c>
      <c r="G51" s="39">
        <f>IF((F51-E51)=0,0,D51/(F51-E51))</f>
        <v/>
      </c>
    </row>
    <row r="52">
      <c r="A52" s="33" t="inlineStr">
        <is>
          <t>TOTAL</t>
        </is>
      </c>
      <c r="B52" s="33">
        <f>SUM(B46:B51)</f>
        <v/>
      </c>
      <c r="C52" s="33">
        <f>SUM(C46:C51)</f>
        <v/>
      </c>
      <c r="D52" s="33">
        <f>SUM(D46:D51)</f>
        <v/>
      </c>
      <c r="E52" s="33">
        <f>SUM(E46:E51)</f>
        <v/>
      </c>
      <c r="F52" s="33">
        <f>SUM(F46:F51)</f>
        <v/>
      </c>
      <c r="G52" s="40">
        <f>IF((F52-E52)=0,0,D52/(F52-E52))</f>
        <v/>
      </c>
    </row>
  </sheetData>
  <mergeCells count="5">
    <mergeCell ref="A14:G14"/>
    <mergeCell ref="A44:G44"/>
    <mergeCell ref="A1:G1"/>
    <mergeCell ref="A4:G4"/>
    <mergeCell ref="A2:G2"/>
  </mergeCells>
  <dataValidations count="1">
    <dataValidation sqref="D31 D32 D33 D34 D35 D36 D37 D38 D39 D40" showDropDown="0" showInputMessage="0" showErrorMessage="0" allowBlank="1" type="list">
      <formula1>"✅ On Target,⚠️ At Risk,❌ Below Target"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3">
      <c r="A3" s="42" t="inlineStr">
        <is>
          <t>ASSESSMENT SUMMARY</t>
        </is>
      </c>
      <c r="B3" s="6" t="n"/>
      <c r="C3" s="6" t="n"/>
      <c r="D3" s="6" t="n"/>
      <c r="E3" s="6" t="n"/>
    </row>
    <row r="4">
      <c r="A4" s="14" t="inlineStr">
        <is>
          <t>Document:</t>
        </is>
      </c>
      <c r="B4" s="6" t="inlineStr">
        <is>
          <t>ISMS-IMP-A.8.24.4 - Key Management Assessment</t>
        </is>
      </c>
      <c r="C4" s="6" t="n"/>
      <c r="D4" s="6" t="n"/>
      <c r="E4" s="6" t="n"/>
    </row>
    <row r="5">
      <c r="A5" s="14" t="inlineStr">
        <is>
          <t>Assessment Period:</t>
        </is>
      </c>
      <c r="B5" s="15" t="inlineStr"/>
      <c r="C5" s="6" t="n"/>
      <c r="D5" s="6" t="n"/>
      <c r="E5" s="6" t="n"/>
    </row>
    <row r="6">
      <c r="A6" s="14" t="inlineStr">
        <is>
          <t>Overall Compliance:</t>
        </is>
      </c>
      <c r="B6" s="6">
        <f>'Summary Dashboard'!G11</f>
        <v/>
      </c>
      <c r="C6" s="6" t="n"/>
      <c r="D6" s="6" t="n"/>
      <c r="E6" s="6" t="n"/>
    </row>
    <row r="7">
      <c r="A7" s="14" t="inlineStr">
        <is>
          <t>Assessment Status:</t>
        </is>
      </c>
      <c r="B7" s="15" t="inlineStr"/>
      <c r="C7" s="6" t="n"/>
      <c r="D7" s="6" t="n"/>
      <c r="E7" s="6" t="n"/>
    </row>
    <row r="10">
      <c r="A10" s="42"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2"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3"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2"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ISMS-IMP-A.8.24.4 — Key Management Assessment</dc:title>
  <dc:description xmlns:dc="http://purl.org/dc/elements/1.1/">ISMS Implementation Workbook — ISMS-IMP-A.8.24.4</dc:description>
  <dc:subject xmlns:dc="http://purl.org/dc/elements/1.1/">ISO/IEC 27001:2022 — Control A.8.24: Use of Cryptography</dc:subject>
  <dcterms:created xmlns:dcterms="http://purl.org/dc/terms/" xmlns:xsi="http://www.w3.org/2001/XMLSchema-instance" xsi:type="dcterms:W3CDTF">2026-03-01T10:19:57Z</dcterms:created>
  <dcterms:modified xmlns:dcterms="http://purl.org/dc/terms/" xmlns:xsi="http://www.w3.org/2001/XMLSchema-instance" xsi:type="dcterms:W3CDTF">2026-03-01T10:19:58Z</dcterms:modified>
</cp:coreProperties>
</file>