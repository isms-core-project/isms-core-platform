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Summary Dashboard" sheetId="9" state="visible" r:id="rId9"/>
    <sheet xmlns:r="http://schemas.openxmlformats.org/officeDocument/2006/relationships" name="Evidence Register"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0" fillId="0" borderId="0" applyAlignment="1" pivotButton="0" quotePrefix="0" xfId="0">
      <alignment horizontal="left" vertical="center"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13" fillId="9" borderId="0" pivotButton="0" quotePrefix="0" xfId="0"/>
    <xf numFmtId="0" fontId="1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Assessment
ISO/IEC 27001:2022 - Control A.8.24: Use of Cryptography</t>
        </is>
      </c>
    </row>
    <row r="3">
      <c r="A3" s="2" t="inlineStr">
        <is>
          <t>Document Information</t>
        </is>
      </c>
    </row>
    <row r="4">
      <c r="A4" s="3" t="inlineStr">
        <is>
          <t>Document ID</t>
        </is>
      </c>
      <c r="B4" t="inlineStr">
        <is>
          <t>ISMS-IMP-A.8.24.2</t>
        </is>
      </c>
    </row>
    <row r="5">
      <c r="A5" s="3" t="inlineStr">
        <is>
          <t>Assessment Area</t>
        </is>
      </c>
      <c r="B5" t="inlineStr">
        <is>
          <t>Data Storage Cryptographic Controls</t>
        </is>
      </c>
    </row>
    <row r="6">
      <c r="A6" s="3" t="inlineStr">
        <is>
          <t>Related Policy</t>
        </is>
      </c>
      <c r="B6" t="inlineStr">
        <is>
          <t>ISMS-POL-A.8.24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Complete each worksheet tab (1–7) for applicable storage systems</t>
        </is>
      </c>
    </row>
    <row r="15">
      <c r="A15" t="inlineStr">
        <is>
          <t>2. Use dropdown menus for standardised entries (Status, Encryption Type, Algorithm, etc.)</t>
        </is>
      </c>
    </row>
    <row r="16">
      <c r="A16" t="inlineStr">
        <is>
          <t>3. Fill in yellow-highlighted cells with your information</t>
        </is>
      </c>
    </row>
    <row r="17">
      <c r="A17" t="inlineStr">
        <is>
          <t>4. If Status = Partial or Non-Compliant, complete the Exception/Deviation section</t>
        </is>
      </c>
    </row>
    <row r="18">
      <c r="A18" t="inlineStr">
        <is>
          <t>5. Document key management details for each encrypted storage system</t>
        </is>
      </c>
    </row>
    <row r="19">
      <c r="A19" t="inlineStr">
        <is>
          <t>6. Provide evidence location/path for each implementation entry</t>
        </is>
      </c>
    </row>
    <row r="20">
      <c r="A20" t="inlineStr">
        <is>
          <t>7. Summary Dashboard auto-calculates compliance statistics per storage type</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Encryption configuration screenshots</t>
        </is>
      </c>
    </row>
    <row r="34">
      <c r="A34" t="inlineStr">
        <is>
          <t>✓ BitLocker/FileVault/LUKS status reports</t>
        </is>
      </c>
    </row>
    <row r="35">
      <c r="A35" t="inlineStr">
        <is>
          <t>✓ Database TDE (Transparent Data Encryption) configuration</t>
        </is>
      </c>
    </row>
    <row r="36">
      <c r="A36" t="inlineStr">
        <is>
          <t>✓ Cloud encryption settings documentation</t>
        </is>
      </c>
    </row>
    <row r="37">
      <c r="A37" t="inlineStr">
        <is>
          <t>✓ Key management system inventory</t>
        </is>
      </c>
    </row>
    <row r="38">
      <c r="A38" t="inlineStr">
        <is>
          <t>✓ Backup encryption verification reports</t>
        </is>
      </c>
    </row>
    <row r="39">
      <c r="A39" t="inlineStr">
        <is>
          <t>✓ Mobile device management (MDM) compliance reports</t>
        </is>
      </c>
    </row>
    <row r="40">
      <c r="A40" t="inlineStr">
        <is>
          <t>✓ Storage vendor encryption specifications</t>
        </is>
      </c>
    </row>
    <row r="41">
      <c r="A41" t="inlineStr">
        <is>
          <t>✓ Disk encryption audit logs</t>
        </is>
      </c>
    </row>
    <row r="42">
      <c r="A42" t="inlineStr">
        <is>
          <t>✓ Certificate/key rotation logs</t>
        </is>
      </c>
    </row>
    <row r="43">
      <c r="A43" t="inlineStr">
        <is>
          <t>✓ Hardware Security Module (HSM) integration docs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1. MOBILE DEVICES - DATA AT REST ENCRYPTION
Policy Requirement: Mobile devices storing organizational data MUST use full device encryption (Policy Section 2.3.1)</t>
        </is>
      </c>
    </row>
    <row r="3" ht="30" customHeight="1">
      <c r="A3" s="11" t="inlineStr">
        <is>
          <t>Does your organisation issue or allow mobile devices (smartphones, tablets) that store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1. MOBILE DEVICES ENCRYPTION CHECKLIST</t>
        </is>
      </c>
    </row>
    <row r="23">
      <c r="A23" s="3" t="inlineStr">
        <is>
          <t>☐</t>
        </is>
      </c>
      <c r="B23" s="3" t="inlineStr">
        <is>
          <t>Requirement</t>
        </is>
      </c>
      <c r="C23" s="3" t="inlineStr">
        <is>
          <t>Status</t>
        </is>
      </c>
    </row>
    <row r="24">
      <c r="A24" t="inlineStr">
        <is>
          <t>☐</t>
        </is>
      </c>
      <c r="B24" t="inlineStr">
        <is>
          <t>iOS devices: FileVault/built-in encryption enabled</t>
        </is>
      </c>
      <c r="C24" s="4" t="n"/>
    </row>
    <row r="25">
      <c r="A25" t="inlineStr">
        <is>
          <t>☐</t>
        </is>
      </c>
      <c r="B25" t="inlineStr">
        <is>
          <t>Android devices: Full device encryption enabled</t>
        </is>
      </c>
      <c r="C25" s="4" t="n"/>
    </row>
    <row r="26">
      <c r="A26" t="inlineStr">
        <is>
          <t>☐</t>
        </is>
      </c>
      <c r="B26" t="inlineStr">
        <is>
          <t>MDM policy enforces encryption</t>
        </is>
      </c>
      <c r="C26" s="4" t="n"/>
    </row>
    <row r="27">
      <c r="A27" t="inlineStr">
        <is>
          <t>☐</t>
        </is>
      </c>
      <c r="B27" t="inlineStr">
        <is>
          <t>Encryption status verified via MDM reporting</t>
        </is>
      </c>
      <c r="C27" s="4" t="n"/>
    </row>
    <row r="28">
      <c r="A28" t="inlineStr">
        <is>
          <t>☐</t>
        </is>
      </c>
      <c r="B28" t="inlineStr">
        <is>
          <t>PIN/password/biometric required for device unlock</t>
        </is>
      </c>
      <c r="C28" s="4" t="n"/>
    </row>
    <row r="29">
      <c r="A29" t="inlineStr">
        <is>
          <t>☐</t>
        </is>
      </c>
      <c r="B29" t="inlineStr">
        <is>
          <t>Remote wipe capability configured</t>
        </is>
      </c>
      <c r="C29" s="4" t="n"/>
    </row>
    <row r="30">
      <c r="A30" t="inlineStr">
        <is>
          <t>☐</t>
        </is>
      </c>
      <c r="B30" t="inlineStr">
        <is>
          <t>Encryption cannot be disabled by user</t>
        </is>
      </c>
      <c r="C30" s="4" t="n"/>
    </row>
    <row r="31">
      <c r="A31" t="inlineStr">
        <is>
          <t>☐</t>
        </is>
      </c>
      <c r="B31" t="inlineStr">
        <is>
          <t>BYOD devices meet encryption requirements</t>
        </is>
      </c>
      <c r="C31" s="4" t="n"/>
    </row>
    <row r="32">
      <c r="A32" t="inlineStr">
        <is>
          <t>☐</t>
        </is>
      </c>
      <c r="B32" t="inlineStr">
        <is>
          <t>Lost/stolen device procedure includes encryption verification</t>
        </is>
      </c>
      <c r="C32" s="4" t="n"/>
    </row>
    <row r="33">
      <c r="A33" t="inlineStr">
        <is>
          <t>☐</t>
        </is>
      </c>
      <c r="B33" t="inlineStr">
        <is>
          <t>Regular compliance audits performed (quarterly minimum)</t>
        </is>
      </c>
      <c r="C33" s="4" t="n"/>
    </row>
    <row r="34">
      <c r="A34" s="3" t="inlineStr">
        <is>
          <t>Checklist Score:</t>
        </is>
      </c>
      <c r="B34" s="15">
        <f>COUNTIF(C24:C33,"Yes")/COUNTA(C24:C33)*100&amp;"%"</f>
        <v/>
      </c>
    </row>
    <row r="36">
      <c r="A36" s="16" t="inlineStr">
        <is>
          <t>EXCEPTION / DEVIATION DOCUMENTATION (Complete if Status = Partial or Non-Compliant)</t>
        </is>
      </c>
    </row>
    <row r="37">
      <c r="A37" s="3" t="inlineStr">
        <is>
          <t>Formal exception request submitted:</t>
        </is>
      </c>
      <c r="B37" s="13" t="n"/>
    </row>
    <row r="38">
      <c r="A38" s="3" t="inlineStr">
        <is>
          <t>Exception ID:</t>
        </is>
      </c>
      <c r="B38" s="13" t="n"/>
    </row>
    <row r="39">
      <c r="A39" s="3" t="inlineStr">
        <is>
          <t>Risk acceptance documented:</t>
        </is>
      </c>
      <c r="B39" s="13" t="n"/>
    </row>
    <row r="40">
      <c r="A40" s="3" t="inlineStr">
        <is>
          <t>Risk ID:</t>
        </is>
      </c>
      <c r="B40" s="13" t="n"/>
    </row>
    <row r="41">
      <c r="A41" s="3" t="inlineStr">
        <is>
          <t>Compensating Controls (summary):</t>
        </is>
      </c>
      <c r="B41" s="13" t="n"/>
    </row>
    <row r="42">
      <c r="A42" s="3" t="inlineStr">
        <is>
          <t>☐ Physical security controls (locked facility, restricted access)</t>
        </is>
      </c>
      <c r="B42" s="13" t="n"/>
    </row>
    <row r="43">
      <c r="A43" s="3" t="inlineStr">
        <is>
          <t>☐ Network segmentation / air-gapped systems</t>
        </is>
      </c>
      <c r="B43" s="13" t="n"/>
    </row>
    <row r="44">
      <c r="A44" s="3" t="inlineStr">
        <is>
          <t>☐ Enhanced monitoring / DLP controls</t>
        </is>
      </c>
      <c r="B44" s="13" t="n"/>
    </row>
    <row r="45">
      <c r="A45" s="3" t="inlineStr">
        <is>
          <t>☐ Restricted user access / privileged access management</t>
        </is>
      </c>
      <c r="B45" s="13" t="n"/>
    </row>
    <row r="46">
      <c r="A46" s="3" t="inlineStr">
        <is>
          <t>☐ Data minimization / reduced storage scope</t>
        </is>
      </c>
      <c r="B46" s="13" t="n"/>
    </row>
    <row r="47">
      <c r="A47" s="3" t="inlineStr">
        <is>
          <t>☐ Other (describe):</t>
        </is>
      </c>
      <c r="B47" s="13" t="n"/>
    </row>
    <row r="49">
      <c r="A49" s="14" t="inlineStr">
        <is>
          <t>ADDITIONAL NOTES / COMMENTS</t>
        </is>
      </c>
    </row>
    <row r="50">
      <c r="A50" s="17" t="n"/>
    </row>
    <row r="51"/>
    <row r="52"/>
    <row r="53"/>
    <row r="54"/>
    <row r="55"/>
    <row r="56"/>
    <row r="57"/>
    <row r="58"/>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showDropDown="0" showInputMessage="0" showErrorMessage="0" allowBlank="0" type="list">
      <formula1>"Yes,No,N/A"</formula1>
    </dataValidation>
    <dataValidation sqref="B37 B3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2. LAPTOPS &amp; WORKSTATIONS - DATA AT REST ENCRYPTION
Policy Requirement: Laptops and workstations storing sensitive data MUST use full disk encryption (Policy Section 2.3.2)</t>
        </is>
      </c>
    </row>
    <row r="3" ht="30" customHeight="1">
      <c r="A3" s="11" t="inlineStr">
        <is>
          <t>Does your organisation have laptops or workstations that store organizational data locally?</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2. LAPTOPS &amp; WORKSTATIONS ENCRYPTION CHECKLIST</t>
        </is>
      </c>
    </row>
    <row r="23">
      <c r="A23" s="3" t="inlineStr">
        <is>
          <t>☐</t>
        </is>
      </c>
      <c r="B23" s="3" t="inlineStr">
        <is>
          <t>Requirement</t>
        </is>
      </c>
      <c r="C23" s="3" t="inlineStr">
        <is>
          <t>Status</t>
        </is>
      </c>
    </row>
    <row r="24">
      <c r="A24" t="inlineStr">
        <is>
          <t>☐</t>
        </is>
      </c>
      <c r="B24" t="inlineStr">
        <is>
          <t>Windows: BitLocker enabled and configured</t>
        </is>
      </c>
      <c r="C24" s="4" t="n"/>
    </row>
    <row r="25">
      <c r="A25" t="inlineStr">
        <is>
          <t>☐</t>
        </is>
      </c>
      <c r="B25" t="inlineStr">
        <is>
          <t>macOS: FileVault 2 enabled</t>
        </is>
      </c>
      <c r="C25" s="4" t="n"/>
    </row>
    <row r="26">
      <c r="A26" t="inlineStr">
        <is>
          <t>☐</t>
        </is>
      </c>
      <c r="B26" t="inlineStr">
        <is>
          <t>Linux: LUKS/dm-crypt configured</t>
        </is>
      </c>
      <c r="C26" s="4" t="n"/>
    </row>
    <row r="27">
      <c r="A27" t="inlineStr">
        <is>
          <t>☐</t>
        </is>
      </c>
      <c r="B27" t="inlineStr">
        <is>
          <t>TPM 2.0 utilised for key storage (where available)</t>
        </is>
      </c>
      <c r="C27" s="4" t="n"/>
    </row>
    <row r="28">
      <c r="A28" t="inlineStr">
        <is>
          <t>☐</t>
        </is>
      </c>
      <c r="B28" t="inlineStr">
        <is>
          <t>Pre-boot authentication required</t>
        </is>
      </c>
      <c r="C28" s="4" t="n"/>
    </row>
    <row r="29">
      <c r="A29" t="inlineStr">
        <is>
          <t>☐</t>
        </is>
      </c>
      <c r="B29" t="inlineStr">
        <is>
          <t>Recovery keys securely escrowed</t>
        </is>
      </c>
      <c r="C29" s="4" t="n"/>
    </row>
    <row r="30">
      <c r="A30" t="inlineStr">
        <is>
          <t>☐</t>
        </is>
      </c>
      <c r="B30" t="inlineStr">
        <is>
          <t>Encryption status monitored centrally</t>
        </is>
      </c>
      <c r="C30" s="4" t="n"/>
    </row>
    <row r="31">
      <c r="A31" t="inlineStr">
        <is>
          <t>☐</t>
        </is>
      </c>
      <c r="B31" t="inlineStr">
        <is>
          <t>Users cannot disable encryption</t>
        </is>
      </c>
      <c r="C31" s="4" t="n"/>
    </row>
    <row r="32">
      <c r="A32" t="inlineStr">
        <is>
          <t>☐</t>
        </is>
      </c>
      <c r="B32" t="inlineStr">
        <is>
          <t>Encryption applied before device deployment</t>
        </is>
      </c>
      <c r="C32" s="4" t="n"/>
    </row>
    <row r="33">
      <c r="A33" t="inlineStr">
        <is>
          <t>☐</t>
        </is>
      </c>
      <c r="B33" t="inlineStr">
        <is>
          <t>Hibernate/sleep mode protected</t>
        </is>
      </c>
      <c r="C33" s="4" t="n"/>
    </row>
    <row r="34">
      <c r="A34" t="inlineStr">
        <is>
          <t>☐</t>
        </is>
      </c>
      <c r="B34" t="inlineStr">
        <is>
          <t>External storage auto-encryption policy enforced</t>
        </is>
      </c>
      <c r="C34" s="4" t="n"/>
    </row>
    <row r="35">
      <c r="A35" s="3" t="inlineStr">
        <is>
          <t>Checklist Score:</t>
        </is>
      </c>
      <c r="B35" s="15">
        <f>COUNTIF(C24:C34,"Yes")/COUNTA(C24:C34)*100&amp;"%"</f>
        <v/>
      </c>
    </row>
    <row r="37">
      <c r="A37" s="16" t="inlineStr">
        <is>
          <t>EXCEPTION / DEVIATION DOCUMENTATION (Complete if Status = Partial or Non-Compliant)</t>
        </is>
      </c>
    </row>
    <row r="38">
      <c r="A38" s="3" t="inlineStr">
        <is>
          <t>Formal exception request submitted:</t>
        </is>
      </c>
      <c r="B38" s="13" t="n"/>
    </row>
    <row r="39">
      <c r="A39" s="3" t="inlineStr">
        <is>
          <t>Exception ID:</t>
        </is>
      </c>
      <c r="B39" s="13" t="n"/>
    </row>
    <row r="40">
      <c r="A40" s="3" t="inlineStr">
        <is>
          <t>Risk acceptance documented:</t>
        </is>
      </c>
      <c r="B40" s="13" t="n"/>
    </row>
    <row r="41">
      <c r="A41" s="3" t="inlineStr">
        <is>
          <t>Risk ID:</t>
        </is>
      </c>
      <c r="B41" s="13" t="n"/>
    </row>
    <row r="42">
      <c r="A42" s="3" t="inlineStr">
        <is>
          <t>Compensating Controls (summary):</t>
        </is>
      </c>
      <c r="B42" s="13" t="n"/>
    </row>
    <row r="43">
      <c r="A43" s="3" t="inlineStr">
        <is>
          <t>☐ Physical security controls (locked facility, restricted access)</t>
        </is>
      </c>
      <c r="B43" s="13" t="n"/>
    </row>
    <row r="44">
      <c r="A44" s="3" t="inlineStr">
        <is>
          <t>☐ Network segmentation / air-gapped systems</t>
        </is>
      </c>
      <c r="B44" s="13" t="n"/>
    </row>
    <row r="45">
      <c r="A45" s="3" t="inlineStr">
        <is>
          <t>☐ Enhanced monitoring / DLP controls</t>
        </is>
      </c>
      <c r="B45" s="13" t="n"/>
    </row>
    <row r="46">
      <c r="A46" s="3" t="inlineStr">
        <is>
          <t>☐ Restricted user access / privileged access management</t>
        </is>
      </c>
      <c r="B46" s="13" t="n"/>
    </row>
    <row r="47">
      <c r="A47" s="3" t="inlineStr">
        <is>
          <t>☐ Data minimization / reduced storage scope</t>
        </is>
      </c>
      <c r="B47" s="13" t="n"/>
    </row>
    <row r="48">
      <c r="A48" s="3" t="inlineStr">
        <is>
          <t>☐ Other (describe):</t>
        </is>
      </c>
      <c r="B48" s="13" t="n"/>
    </row>
    <row r="50">
      <c r="A50" s="14" t="inlineStr">
        <is>
          <t>ADDITIONAL NOTES / COMMENTS</t>
        </is>
      </c>
    </row>
    <row r="51">
      <c r="A51" s="17" t="n"/>
    </row>
    <row r="52"/>
    <row r="53"/>
    <row r="54"/>
    <row r="55"/>
    <row r="56"/>
    <row r="57"/>
    <row r="58"/>
    <row r="59"/>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showDropDown="0" showInputMessage="0" showErrorMessage="0" allowBlank="0" type="list">
      <formula1>"Yes,No,N/A"</formula1>
    </dataValidation>
    <dataValidation sqref="B38 B40"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3. SERVERS - DATA AT REST ENCRYPTION
Policy Requirement: Servers storing sensitive data MUST implement appropriate encryption at rest (Policy Section 2.3.3)</t>
        </is>
      </c>
    </row>
    <row r="3" ht="30" customHeight="1">
      <c r="A3" s="11" t="inlineStr">
        <is>
          <t>Does your organisation operate servers (physical or virtual) that store sensitive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3. SERVERS ENCRYPTION CHECKLIST</t>
        </is>
      </c>
    </row>
    <row r="23">
      <c r="A23" s="3" t="inlineStr">
        <is>
          <t>☐</t>
        </is>
      </c>
      <c r="B23" s="3" t="inlineStr">
        <is>
          <t>Requirement</t>
        </is>
      </c>
      <c r="C23" s="3" t="inlineStr">
        <is>
          <t>Status</t>
        </is>
      </c>
    </row>
    <row r="24">
      <c r="A24" t="inlineStr">
        <is>
          <t>☐</t>
        </is>
      </c>
      <c r="B24" t="inlineStr">
        <is>
          <t>OS-level encryption enabled (LUKS, BitLocker, etc.)</t>
        </is>
      </c>
      <c r="C24" s="4" t="n"/>
    </row>
    <row r="25">
      <c r="A25" t="inlineStr">
        <is>
          <t>☐</t>
        </is>
      </c>
      <c r="B25" t="inlineStr">
        <is>
          <t>Storage volume/LUN encryption configured</t>
        </is>
      </c>
      <c r="C25" s="4" t="n"/>
    </row>
    <row r="26">
      <c r="A26" t="inlineStr">
        <is>
          <t>☐</t>
        </is>
      </c>
      <c r="B26" t="inlineStr">
        <is>
          <t>Virtual machine disk encryption enabled</t>
        </is>
      </c>
      <c r="C26" s="4" t="n"/>
    </row>
    <row r="27">
      <c r="A27" t="inlineStr">
        <is>
          <t>☐</t>
        </is>
      </c>
      <c r="B27" t="inlineStr">
        <is>
          <t>Key management solution integrated</t>
        </is>
      </c>
      <c r="C27" s="4" t="n"/>
    </row>
    <row r="28">
      <c r="A28" t="inlineStr">
        <is>
          <t>☐</t>
        </is>
      </c>
      <c r="B28" t="inlineStr">
        <is>
          <t>Encryption keys stored separately from encrypted data</t>
        </is>
      </c>
      <c r="C28" s="4" t="n"/>
    </row>
    <row r="29">
      <c r="A29" t="inlineStr">
        <is>
          <t>☐</t>
        </is>
      </c>
      <c r="B29" t="inlineStr">
        <is>
          <t>SAN/NAS encryption enabled (if applicable)</t>
        </is>
      </c>
      <c r="C29" s="4" t="n"/>
    </row>
    <row r="30">
      <c r="A30" t="inlineStr">
        <is>
          <t>☐</t>
        </is>
      </c>
      <c r="B30" t="inlineStr">
        <is>
          <t>Self-encrypting drives (SED) utilised where appropriate</t>
        </is>
      </c>
      <c r="C30" s="4" t="n"/>
    </row>
    <row r="31">
      <c r="A31" t="inlineStr">
        <is>
          <t>☐</t>
        </is>
      </c>
      <c r="B31" t="inlineStr">
        <is>
          <t>Boot volumes encrypted</t>
        </is>
      </c>
      <c r="C31" s="4" t="n"/>
    </row>
    <row r="32">
      <c r="A32" t="inlineStr">
        <is>
          <t>☐</t>
        </is>
      </c>
      <c r="B32" t="inlineStr">
        <is>
          <t>Temporary/swap space encrypted</t>
        </is>
      </c>
      <c r="C32" s="4" t="n"/>
    </row>
    <row r="33">
      <c r="A33" t="inlineStr">
        <is>
          <t>☐</t>
        </is>
      </c>
      <c r="B33" t="inlineStr">
        <is>
          <t>Encryption status monitoring automated</t>
        </is>
      </c>
      <c r="C33" s="4" t="n"/>
    </row>
    <row r="34">
      <c r="A34" t="inlineStr">
        <is>
          <t>☐</t>
        </is>
      </c>
      <c r="B34" t="inlineStr">
        <is>
          <t>Key rotation procedures documented and implemented</t>
        </is>
      </c>
      <c r="C34" s="4" t="n"/>
    </row>
    <row r="35">
      <c r="A35" t="inlineStr">
        <is>
          <t>☐</t>
        </is>
      </c>
      <c r="B35" t="inlineStr">
        <is>
          <t>HSM integration for key protection (production systems)</t>
        </is>
      </c>
      <c r="C35" s="4" t="n"/>
    </row>
    <row r="36">
      <c r="A36" s="3" t="inlineStr">
        <is>
          <t>Checklist Score:</t>
        </is>
      </c>
      <c r="B36" s="15">
        <f>COUNTIF(C24:C35,"Yes")/COUNTA(C24:C35)*100&amp;"%"</f>
        <v/>
      </c>
    </row>
    <row r="38">
      <c r="A38" s="16" t="inlineStr">
        <is>
          <t>EXCEPTION / DEVIATION DOCUMENTATION (Complete if Status = Partial or Non-Compliant)</t>
        </is>
      </c>
    </row>
    <row r="39">
      <c r="A39" s="3" t="inlineStr">
        <is>
          <t>Formal exception request submitted:</t>
        </is>
      </c>
      <c r="B39" s="13" t="n"/>
    </row>
    <row r="40">
      <c r="A40" s="3" t="inlineStr">
        <is>
          <t>Exception ID:</t>
        </is>
      </c>
      <c r="B40" s="13" t="n"/>
    </row>
    <row r="41">
      <c r="A41" s="3" t="inlineStr">
        <is>
          <t>Risk acceptance documented:</t>
        </is>
      </c>
      <c r="B41" s="13" t="n"/>
    </row>
    <row r="42">
      <c r="A42" s="3" t="inlineStr">
        <is>
          <t>Risk ID:</t>
        </is>
      </c>
      <c r="B42" s="13" t="n"/>
    </row>
    <row r="43">
      <c r="A43" s="3" t="inlineStr">
        <is>
          <t>Compensating Controls (summary):</t>
        </is>
      </c>
      <c r="B43" s="13" t="n"/>
    </row>
    <row r="44">
      <c r="A44" s="3" t="inlineStr">
        <is>
          <t>☐ Physical security controls (locked facility, restricted access)</t>
        </is>
      </c>
      <c r="B44" s="13" t="n"/>
    </row>
    <row r="45">
      <c r="A45" s="3" t="inlineStr">
        <is>
          <t>☐ Network segmentation / air-gapped systems</t>
        </is>
      </c>
      <c r="B45" s="13" t="n"/>
    </row>
    <row r="46">
      <c r="A46" s="3" t="inlineStr">
        <is>
          <t>☐ Enhanced monitoring / DLP controls</t>
        </is>
      </c>
      <c r="B46" s="13" t="n"/>
    </row>
    <row r="47">
      <c r="A47" s="3" t="inlineStr">
        <is>
          <t>☐ Restricted user access / privileged access management</t>
        </is>
      </c>
      <c r="B47" s="13" t="n"/>
    </row>
    <row r="48">
      <c r="A48" s="3" t="inlineStr">
        <is>
          <t>☐ Data minimization / reduced storage scope</t>
        </is>
      </c>
      <c r="B48" s="13" t="n"/>
    </row>
    <row r="49">
      <c r="A49" s="3" t="inlineStr">
        <is>
          <t>☐ Other (describe):</t>
        </is>
      </c>
      <c r="B49" s="13" t="n"/>
    </row>
    <row r="51">
      <c r="A51" s="14" t="inlineStr">
        <is>
          <t>ADDITIONAL NOTES / COMMENTS</t>
        </is>
      </c>
    </row>
    <row r="52">
      <c r="A52" s="17" t="n"/>
    </row>
    <row r="53"/>
    <row r="54"/>
    <row r="55"/>
    <row r="56"/>
    <row r="57"/>
    <row r="58"/>
    <row r="59"/>
    <row r="60"/>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39 B41"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4. DATABASES - DATA AT REST ENCRYPTION
Policy Requirement: Databases containing sensitive data MUST implement Transparent Data Encryption or equivalent (Policy Section 2.3.4)</t>
        </is>
      </c>
    </row>
    <row r="3" ht="30" customHeight="1">
      <c r="A3" s="11" t="inlineStr">
        <is>
          <t>Does your organisation operate databases that store sensitive or regulated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4. DATABASES ENCRYPTION CHECKLIST</t>
        </is>
      </c>
    </row>
    <row r="23">
      <c r="A23" s="3" t="inlineStr">
        <is>
          <t>☐</t>
        </is>
      </c>
      <c r="B23" s="3" t="inlineStr">
        <is>
          <t>Requirement</t>
        </is>
      </c>
      <c r="C23" s="3" t="inlineStr">
        <is>
          <t>Status</t>
        </is>
      </c>
    </row>
    <row r="24">
      <c r="A24" t="inlineStr">
        <is>
          <t>☐</t>
        </is>
      </c>
      <c r="B24" t="inlineStr">
        <is>
          <t>TDE (Transparent Data Encryption) enabled</t>
        </is>
      </c>
      <c r="C24" s="4" t="n"/>
    </row>
    <row r="25">
      <c r="A25" t="inlineStr">
        <is>
          <t>☐</t>
        </is>
      </c>
      <c r="B25" t="inlineStr">
        <is>
          <t>Encryption at column level for sensitive fields (if applicable)</t>
        </is>
      </c>
      <c r="C25" s="4" t="n"/>
    </row>
    <row r="26">
      <c r="A26" t="inlineStr">
        <is>
          <t>☐</t>
        </is>
      </c>
      <c r="B26" t="inlineStr">
        <is>
          <t>Encryption at tablespace level configured</t>
        </is>
      </c>
      <c r="C26" s="4" t="n"/>
    </row>
    <row r="27">
      <c r="A27" t="inlineStr">
        <is>
          <t>☐</t>
        </is>
      </c>
      <c r="B27" t="inlineStr">
        <is>
          <t>Database backup files encrypted</t>
        </is>
      </c>
      <c r="C27" s="4" t="n"/>
    </row>
    <row r="28">
      <c r="A28" t="inlineStr">
        <is>
          <t>☐</t>
        </is>
      </c>
      <c r="B28" t="inlineStr">
        <is>
          <t>Transaction logs encrypted</t>
        </is>
      </c>
      <c r="C28" s="4" t="n"/>
    </row>
    <row r="29">
      <c r="A29" t="inlineStr">
        <is>
          <t>☐</t>
        </is>
      </c>
      <c r="B29" t="inlineStr">
        <is>
          <t>Encryption keys managed via KMS/HSM</t>
        </is>
      </c>
      <c r="C29" s="4" t="n"/>
    </row>
    <row r="30">
      <c r="A30" t="inlineStr">
        <is>
          <t>☐</t>
        </is>
      </c>
      <c r="B30" t="inlineStr">
        <is>
          <t>Master encryption key rotated per policy</t>
        </is>
      </c>
      <c r="C30" s="4" t="n"/>
    </row>
    <row r="31">
      <c r="A31" t="inlineStr">
        <is>
          <t>☐</t>
        </is>
      </c>
      <c r="B31" t="inlineStr">
        <is>
          <t>Encryption does not significantly impact performance</t>
        </is>
      </c>
      <c r="C31" s="4" t="n"/>
    </row>
    <row r="32">
      <c r="A32" t="inlineStr">
        <is>
          <t>☐</t>
        </is>
      </c>
      <c r="B32" t="inlineStr">
        <is>
          <t>Application-layer encryption for PII/PHI (if TDE unavailable)</t>
        </is>
      </c>
      <c r="C32" s="4" t="n"/>
    </row>
    <row r="33">
      <c r="A33" t="inlineStr">
        <is>
          <t>☐</t>
        </is>
      </c>
      <c r="B33" t="inlineStr">
        <is>
          <t>Encryption status verified in database audit logs</t>
        </is>
      </c>
      <c r="C33" s="4" t="n"/>
    </row>
    <row r="34">
      <c r="A34" t="inlineStr">
        <is>
          <t>☐</t>
        </is>
      </c>
      <c r="B34" t="inlineStr">
        <is>
          <t>Development/test databases use encryption for prod data</t>
        </is>
      </c>
      <c r="C34" s="4" t="n"/>
    </row>
    <row r="35">
      <c r="A35" t="inlineStr">
        <is>
          <t>☐</t>
        </is>
      </c>
      <c r="B35" t="inlineStr">
        <is>
          <t>Database snapshots/clones encrypted</t>
        </is>
      </c>
      <c r="C35" s="4" t="n"/>
    </row>
    <row r="36">
      <c r="A36" s="3" t="inlineStr">
        <is>
          <t>Checklist Score:</t>
        </is>
      </c>
      <c r="B36" s="15">
        <f>COUNTIF(C24:C35,"Yes")/COUNTA(C24:C35)*100&amp;"%"</f>
        <v/>
      </c>
    </row>
    <row r="38">
      <c r="A38" s="14" t="inlineStr">
        <is>
          <t>Technology-Specific Notes / Examples</t>
        </is>
      </c>
    </row>
    <row r="39">
      <c r="A39" s="3" t="inlineStr">
        <is>
          <t>SQL Server:</t>
        </is>
      </c>
      <c r="B39" s="18" t="inlineStr">
        <is>
          <t>TDE, Always Encrypted</t>
        </is>
      </c>
    </row>
    <row r="40">
      <c r="A40" s="3" t="inlineStr">
        <is>
          <t>Oracle:</t>
        </is>
      </c>
      <c r="B40" s="18" t="inlineStr">
        <is>
          <t>TDE, DBMS_CRYPTO</t>
        </is>
      </c>
    </row>
    <row r="41">
      <c r="A41" s="3" t="inlineStr">
        <is>
          <t>PostgreSQL:</t>
        </is>
      </c>
      <c r="B41" s="18" t="inlineStr">
        <is>
          <t>pgcrypto, LUKS volume encryption</t>
        </is>
      </c>
    </row>
    <row r="42">
      <c r="A42" s="3" t="inlineStr">
        <is>
          <t>MySQL:</t>
        </is>
      </c>
      <c r="B42" s="18" t="inlineStr">
        <is>
          <t>InnoDB encryption, file-level encryption</t>
        </is>
      </c>
    </row>
    <row r="43">
      <c r="A43" s="3" t="inlineStr">
        <is>
          <t>MongoDB:</t>
        </is>
      </c>
      <c r="B43" s="18" t="inlineStr">
        <is>
          <t>Encrypted Storage Engine</t>
        </is>
      </c>
    </row>
    <row r="44">
      <c r="A44" s="3" t="inlineStr">
        <is>
          <t>Cassandra:</t>
        </is>
      </c>
      <c r="B44" s="18" t="inlineStr">
        <is>
          <t>Transparent data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5. CLOUD STORAGE - DATA AT REST ENCRYPTION
Policy Requirement: Cloud storage MUST use provider encryption with customer-managed keys where available (Policy Section 2.3.5)</t>
        </is>
      </c>
    </row>
    <row r="3" ht="30" customHeight="1">
      <c r="A3" s="11" t="inlineStr">
        <is>
          <t>Does your organisation store data in cloud storage services (object storage, block storage, file storage)?</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5. CLOUD STORAGE ENCRYPTION CHECKLIST</t>
        </is>
      </c>
    </row>
    <row r="23">
      <c r="A23" s="3" t="inlineStr">
        <is>
          <t>☐</t>
        </is>
      </c>
      <c r="B23" s="3" t="inlineStr">
        <is>
          <t>Requirement</t>
        </is>
      </c>
      <c r="C23" s="3" t="inlineStr">
        <is>
          <t>Status</t>
        </is>
      </c>
    </row>
    <row r="24">
      <c r="A24" t="inlineStr">
        <is>
          <t>☐</t>
        </is>
      </c>
      <c r="B24" t="inlineStr">
        <is>
          <t>Server-side encryption (SSE) enabled by default</t>
        </is>
      </c>
      <c r="C24" s="4" t="n"/>
    </row>
    <row r="25">
      <c r="A25" t="inlineStr">
        <is>
          <t>☐</t>
        </is>
      </c>
      <c r="B25" t="inlineStr">
        <is>
          <t>Customer-managed keys (CMK) configured</t>
        </is>
      </c>
      <c r="C25" s="4" t="n"/>
    </row>
    <row r="26">
      <c r="A26" t="inlineStr">
        <is>
          <t>☐</t>
        </is>
      </c>
      <c r="B26" t="inlineStr">
        <is>
          <t>Client-side encryption implemented for highly sensitive data</t>
        </is>
      </c>
      <c r="C26" s="4" t="n"/>
    </row>
    <row r="27">
      <c r="A27" t="inlineStr">
        <is>
          <t>☐</t>
        </is>
      </c>
      <c r="B27" t="inlineStr">
        <is>
          <t>Encryption key location documented (region/jurisdiction)</t>
        </is>
      </c>
      <c r="C27" s="4" t="n"/>
    </row>
    <row r="28">
      <c r="A28" t="inlineStr">
        <is>
          <t>☐</t>
        </is>
      </c>
      <c r="B28" t="inlineStr">
        <is>
          <t>Cloud KMS integrated (AWS KMS, Azure Key Vault, GCP KMS)</t>
        </is>
      </c>
      <c r="C28" s="4" t="n"/>
    </row>
    <row r="29">
      <c r="A29" t="inlineStr">
        <is>
          <t>☐</t>
        </is>
      </c>
      <c r="B29" t="inlineStr">
        <is>
          <t>Automatic key rotation enabled</t>
        </is>
      </c>
      <c r="C29" s="4" t="n"/>
    </row>
    <row r="30">
      <c r="A30" t="inlineStr">
        <is>
          <t>☐</t>
        </is>
      </c>
      <c r="B30" t="inlineStr">
        <is>
          <t>Encryption validated via cloud audit logs</t>
        </is>
      </c>
      <c r="C30" s="4" t="n"/>
    </row>
    <row r="31">
      <c r="A31" t="inlineStr">
        <is>
          <t>☐</t>
        </is>
      </c>
      <c r="B31" t="inlineStr">
        <is>
          <t>Data encrypted before upload (for maximum sensitivity)</t>
        </is>
      </c>
      <c r="C31" s="4" t="n"/>
    </row>
    <row r="32">
      <c r="A32" t="inlineStr">
        <is>
          <t>☐</t>
        </is>
      </c>
      <c r="B32" t="inlineStr">
        <is>
          <t>Bucket/container policies enforce encryption</t>
        </is>
      </c>
      <c r="C32" s="4" t="n"/>
    </row>
    <row r="33">
      <c r="A33" t="inlineStr">
        <is>
          <t>☐</t>
        </is>
      </c>
      <c r="B33" t="inlineStr">
        <is>
          <t>Cross-region replication maintains encryption</t>
        </is>
      </c>
      <c r="C33" s="4" t="n"/>
    </row>
    <row r="34">
      <c r="A34" t="inlineStr">
        <is>
          <t>☐</t>
        </is>
      </c>
      <c r="B34" t="inlineStr">
        <is>
          <t>Cloud backup snapshots encrypted</t>
        </is>
      </c>
      <c r="C34" s="4" t="n"/>
    </row>
    <row r="35">
      <c r="A35" t="inlineStr">
        <is>
          <t>☐</t>
        </is>
      </c>
      <c r="B35" t="inlineStr">
        <is>
          <t>Compliance certifications verified (SOC 2, ISO 27001)</t>
        </is>
      </c>
      <c r="C35" s="4" t="n"/>
    </row>
    <row r="36">
      <c r="A36" s="3" t="inlineStr">
        <is>
          <t>Checklist Score:</t>
        </is>
      </c>
      <c r="B36" s="15">
        <f>COUNTIF(C24:C35,"Yes")/COUNTA(C24:C35)*100&amp;"%"</f>
        <v/>
      </c>
    </row>
    <row r="38">
      <c r="A38" s="14" t="inlineStr">
        <is>
          <t>Technology-Specific Notes / Examples</t>
        </is>
      </c>
    </row>
    <row r="39">
      <c r="A39" s="3" t="inlineStr">
        <is>
          <t>AWS:</t>
        </is>
      </c>
      <c r="B39" s="18" t="inlineStr">
        <is>
          <t>S3 SSE-KMS, EBS encryption, RDS encryption</t>
        </is>
      </c>
    </row>
    <row r="40">
      <c r="A40" s="3" t="inlineStr">
        <is>
          <t>Azure:</t>
        </is>
      </c>
      <c r="B40" s="18" t="inlineStr">
        <is>
          <t>Storage Service Encryption, Azure Disk Encryption</t>
        </is>
      </c>
    </row>
    <row r="41">
      <c r="A41" s="3" t="inlineStr">
        <is>
          <t>GCP:</t>
        </is>
      </c>
      <c r="B41" s="18" t="inlineStr">
        <is>
          <t>Default encryption at rest, CMEK</t>
        </is>
      </c>
    </row>
    <row r="42">
      <c r="A42" s="3" t="inlineStr">
        <is>
          <t>Others:</t>
        </is>
      </c>
      <c r="B42" s="18" t="inlineStr">
        <is>
          <t>Document specific provider controls</t>
        </is>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Physical security controls (locked facility, restricted access)</t>
        </is>
      </c>
      <c r="B50" s="13" t="n"/>
    </row>
    <row r="51">
      <c r="A51" s="3" t="inlineStr">
        <is>
          <t>☐ Network segmentation / air-gapped systems</t>
        </is>
      </c>
      <c r="B51" s="13" t="n"/>
    </row>
    <row r="52">
      <c r="A52" s="3" t="inlineStr">
        <is>
          <t>☐ Enhanced monitoring / DLP controls</t>
        </is>
      </c>
      <c r="B52" s="13" t="n"/>
    </row>
    <row r="53">
      <c r="A53" s="3" t="inlineStr">
        <is>
          <t>☐ Restricted user access / privileged access management</t>
        </is>
      </c>
      <c r="B53" s="13" t="n"/>
    </row>
    <row r="54">
      <c r="A54" s="3" t="inlineStr">
        <is>
          <t>☐ Data minimization / reduced storage scope</t>
        </is>
      </c>
      <c r="B54" s="13" t="n"/>
    </row>
    <row r="55">
      <c r="A55" s="3" t="inlineStr">
        <is>
          <t>☐ Other (describe):</t>
        </is>
      </c>
      <c r="B55" s="13" t="n"/>
    </row>
    <row r="57">
      <c r="A57" s="14" t="inlineStr">
        <is>
          <t>ADDITIONAL NOTES / COMMENTS</t>
        </is>
      </c>
    </row>
    <row r="58">
      <c r="A58" s="17" t="n"/>
    </row>
    <row r="59"/>
    <row r="60"/>
    <row r="61"/>
    <row r="62"/>
    <row r="63"/>
    <row r="64"/>
    <row r="65"/>
    <row r="66"/>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5 B47"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6. BACKUPS - DATA AT REST ENCRYPTION
Policy Requirement: Backup media and backup data MUST be encrypted with strong cryptography (Policy Section 2.3.6)</t>
        </is>
      </c>
    </row>
    <row r="3" ht="30" customHeight="1">
      <c r="A3" s="11" t="inlineStr">
        <is>
          <t>Does your organisation perform backups of systems, databases, or files?</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6. BACKUPS ENCRYPTION CHECKLIST</t>
        </is>
      </c>
    </row>
    <row r="23">
      <c r="A23" s="3" t="inlineStr">
        <is>
          <t>☐</t>
        </is>
      </c>
      <c r="B23" s="3" t="inlineStr">
        <is>
          <t>Requirement</t>
        </is>
      </c>
      <c r="C23" s="3" t="inlineStr">
        <is>
          <t>Status</t>
        </is>
      </c>
    </row>
    <row r="24">
      <c r="A24" t="inlineStr">
        <is>
          <t>☐</t>
        </is>
      </c>
      <c r="B24" t="inlineStr">
        <is>
          <t>Full backup encryption enabled</t>
        </is>
      </c>
      <c r="C24" s="4" t="n"/>
    </row>
    <row r="25">
      <c r="A25" t="inlineStr">
        <is>
          <t>☐</t>
        </is>
      </c>
      <c r="B25" t="inlineStr">
        <is>
          <t>Incremental/differential backups encrypted</t>
        </is>
      </c>
      <c r="C25" s="4" t="n"/>
    </row>
    <row r="26">
      <c r="A26" t="inlineStr">
        <is>
          <t>☐</t>
        </is>
      </c>
      <c r="B26" t="inlineStr">
        <is>
          <t>Backup encryption configured before first backup</t>
        </is>
      </c>
      <c r="C26" s="4" t="n"/>
    </row>
    <row r="27">
      <c r="A27" t="inlineStr">
        <is>
          <t>☐</t>
        </is>
      </c>
      <c r="B27" t="inlineStr">
        <is>
          <t>Backup encryption keys managed separately from backup data</t>
        </is>
      </c>
      <c r="C27" s="4" t="n"/>
    </row>
    <row r="28">
      <c r="A28" t="inlineStr">
        <is>
          <t>☐</t>
        </is>
      </c>
      <c r="B28" t="inlineStr">
        <is>
          <t>Offsite/cloud backup storage encrypted in transit AND at rest</t>
        </is>
      </c>
      <c r="C28" s="4" t="n"/>
    </row>
    <row r="29">
      <c r="A29" t="inlineStr">
        <is>
          <t>☐</t>
        </is>
      </c>
      <c r="B29" t="inlineStr">
        <is>
          <t>Tape backups encrypted (if applicable)</t>
        </is>
      </c>
      <c r="C29" s="4" t="n"/>
    </row>
    <row r="30">
      <c r="A30" t="inlineStr">
        <is>
          <t>☐</t>
        </is>
      </c>
      <c r="B30" t="inlineStr">
        <is>
          <t>Virtual machine backups encrypted</t>
        </is>
      </c>
      <c r="C30" s="4" t="n"/>
    </row>
    <row r="31">
      <c r="A31" t="inlineStr">
        <is>
          <t>☐</t>
        </is>
      </c>
      <c r="B31" t="inlineStr">
        <is>
          <t>Database backup encryption independent of TDE</t>
        </is>
      </c>
      <c r="C31" s="4" t="n"/>
    </row>
    <row r="32">
      <c r="A32" t="inlineStr">
        <is>
          <t>☐</t>
        </is>
      </c>
      <c r="B32" t="inlineStr">
        <is>
          <t>Backup restoration tested with encryption</t>
        </is>
      </c>
      <c r="C32" s="4" t="n"/>
    </row>
    <row r="33">
      <c r="A33" t="inlineStr">
        <is>
          <t>☐</t>
        </is>
      </c>
      <c r="B33" t="inlineStr">
        <is>
          <t>Backup encryption key recovery procedure documented</t>
        </is>
      </c>
      <c r="C33" s="4" t="n"/>
    </row>
    <row r="34">
      <c r="A34" t="inlineStr">
        <is>
          <t>☐</t>
        </is>
      </c>
      <c r="B34" t="inlineStr">
        <is>
          <t>Long-term archive backups maintain encryption</t>
        </is>
      </c>
      <c r="C34" s="4" t="n"/>
    </row>
    <row r="35">
      <c r="A35" t="inlineStr">
        <is>
          <t>☐</t>
        </is>
      </c>
      <c r="B35" t="inlineStr">
        <is>
          <t>Backup logs do not expose sensitive data in plaintext</t>
        </is>
      </c>
      <c r="C35" s="4" t="n"/>
    </row>
    <row r="36">
      <c r="A36" s="3" t="inlineStr">
        <is>
          <t>Checklist Score:</t>
        </is>
      </c>
      <c r="B36" s="15">
        <f>COUNTIF(C24:C35,"Yes")/COUNTA(C24:C35)*100&amp;"%"</f>
        <v/>
      </c>
    </row>
    <row r="38">
      <c r="A38" s="14" t="inlineStr">
        <is>
          <t>Technology-Specific Notes / Examples</t>
        </is>
      </c>
    </row>
    <row r="39">
      <c r="A39" s="3" t="inlineStr">
        <is>
          <t>Agent-based:</t>
        </is>
      </c>
      <c r="B39" s="18" t="inlineStr">
        <is>
          <t>Veeam, Commvault, Veritas</t>
        </is>
      </c>
    </row>
    <row r="40">
      <c r="A40" s="3" t="inlineStr">
        <is>
          <t>Cloud-native:</t>
        </is>
      </c>
      <c r="B40" s="18" t="inlineStr">
        <is>
          <t>AWS Backup, Azure Backup</t>
        </is>
      </c>
    </row>
    <row r="41">
      <c r="A41" s="3" t="inlineStr">
        <is>
          <t>Database-native:</t>
        </is>
      </c>
      <c r="B41" s="18" t="inlineStr">
        <is>
          <t>RMAN (Oracle), SQL Server Backup</t>
        </is>
      </c>
    </row>
    <row r="42">
      <c r="A42" s="3" t="inlineStr">
        <is>
          <t>File-level:</t>
        </is>
      </c>
      <c r="B42" s="18" t="inlineStr">
        <is>
          <t>rsync + GPG, Duplicati</t>
        </is>
      </c>
    </row>
    <row r="43">
      <c r="A43" s="3" t="inlineStr">
        <is>
          <t>Container:</t>
        </is>
      </c>
      <c r="B43" s="18" t="inlineStr">
        <is>
          <t>Velero with encryption</t>
        </is>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Physical security controls (locked facility, restricted access)</t>
        </is>
      </c>
      <c r="B51" s="13" t="n"/>
    </row>
    <row r="52">
      <c r="A52" s="3" t="inlineStr">
        <is>
          <t>☐ Network segmentation / air-gapped systems</t>
        </is>
      </c>
      <c r="B52" s="13" t="n"/>
    </row>
    <row r="53">
      <c r="A53" s="3" t="inlineStr">
        <is>
          <t>☐ Enhanced monitoring / DLP controls</t>
        </is>
      </c>
      <c r="B53" s="13" t="n"/>
    </row>
    <row r="54">
      <c r="A54" s="3" t="inlineStr">
        <is>
          <t>☐ Restricted user access / privileged access management</t>
        </is>
      </c>
      <c r="B54" s="13" t="n"/>
    </row>
    <row r="55">
      <c r="A55" s="3" t="inlineStr">
        <is>
          <t>☐ Data minimization / reduced storage scope</t>
        </is>
      </c>
      <c r="B55" s="13" t="n"/>
    </row>
    <row r="56">
      <c r="A56" s="3" t="inlineStr">
        <is>
          <t>☐ Other (describe):</t>
        </is>
      </c>
      <c r="B56" s="13" t="n"/>
    </row>
    <row r="58">
      <c r="A58" s="14" t="inlineStr">
        <is>
          <t>ADDITIONAL NOTES / COMMENTS</t>
        </is>
      </c>
    </row>
    <row r="59">
      <c r="A59" s="17" t="n"/>
    </row>
    <row r="60"/>
    <row r="61"/>
    <row r="62"/>
    <row r="63"/>
    <row r="64"/>
    <row r="65"/>
    <row r="66"/>
    <row r="67"/>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6 B4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7. REMOVABLE MEDIA - DATA AT REST ENCRYPTION
Policy Requirement: Removable media storing organizational data MUST be encrypted (Policy Section 2.3.7)</t>
        </is>
      </c>
    </row>
    <row r="3" ht="30" customHeight="1">
      <c r="A3" s="11" t="inlineStr">
        <is>
          <t>Does your organisation use removable media (USB drives, external disks, optical media) to store or transport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7. REMOVABLE MEDIA ENCRYPTION CHECKLIST</t>
        </is>
      </c>
    </row>
    <row r="23">
      <c r="A23" s="3" t="inlineStr">
        <is>
          <t>☐</t>
        </is>
      </c>
      <c r="B23" s="3" t="inlineStr">
        <is>
          <t>Requirement</t>
        </is>
      </c>
      <c r="C23" s="3" t="inlineStr">
        <is>
          <t>Status</t>
        </is>
      </c>
    </row>
    <row r="24">
      <c r="A24" t="inlineStr">
        <is>
          <t>☐</t>
        </is>
      </c>
      <c r="B24" t="inlineStr">
        <is>
          <t>USB drive encryption mandatory via policy</t>
        </is>
      </c>
      <c r="C24" s="4" t="n"/>
    </row>
    <row r="25">
      <c r="A25" t="inlineStr">
        <is>
          <t>☐</t>
        </is>
      </c>
      <c r="B25" t="inlineStr">
        <is>
          <t>External hard drive encryption enforced</t>
        </is>
      </c>
      <c r="C25" s="4" t="n"/>
    </row>
    <row r="26">
      <c r="A26" t="inlineStr">
        <is>
          <t>☐</t>
        </is>
      </c>
      <c r="B26" t="inlineStr">
        <is>
          <t>BitLocker To Go / FileVault / LUKS configured</t>
        </is>
      </c>
      <c r="C26" s="4" t="n"/>
    </row>
    <row r="27">
      <c r="A27" t="inlineStr">
        <is>
          <t>☐</t>
        </is>
      </c>
      <c r="B27" t="inlineStr">
        <is>
          <t>Hardware-encrypted USB drives procured</t>
        </is>
      </c>
      <c r="C27" s="4" t="n"/>
    </row>
    <row r="28">
      <c r="A28" t="inlineStr">
        <is>
          <t>☐</t>
        </is>
      </c>
      <c r="B28" t="inlineStr">
        <is>
          <t>Unencrypted removable media blocked by endpoint policy</t>
        </is>
      </c>
      <c r="C28" s="4" t="n"/>
    </row>
    <row r="29">
      <c r="A29" t="inlineStr">
        <is>
          <t>☐</t>
        </is>
      </c>
      <c r="B29" t="inlineStr">
        <is>
          <t>Media encryption verified before data transfer</t>
        </is>
      </c>
      <c r="C29" s="4" t="n"/>
    </row>
    <row r="30">
      <c r="A30" t="inlineStr">
        <is>
          <t>☐</t>
        </is>
      </c>
      <c r="B30" t="inlineStr">
        <is>
          <t>Encrypted optical media (DVD/CD) procedures documented</t>
        </is>
      </c>
      <c r="C30" s="4" t="n"/>
    </row>
    <row r="31">
      <c r="A31" t="inlineStr">
        <is>
          <t>☐</t>
        </is>
      </c>
      <c r="B31" t="inlineStr">
        <is>
          <t>Lost removable media incident response includes encryption check</t>
        </is>
      </c>
      <c r="C31" s="4" t="n"/>
    </row>
    <row r="32">
      <c r="A32" t="inlineStr">
        <is>
          <t>☐</t>
        </is>
      </c>
      <c r="B32" t="inlineStr">
        <is>
          <t>Media disposal/destruction procedures enforce encryption verification</t>
        </is>
      </c>
      <c r="C32" s="4" t="n"/>
    </row>
    <row r="33">
      <c r="A33" t="inlineStr">
        <is>
          <t>☐</t>
        </is>
      </c>
      <c r="B33" t="inlineStr">
        <is>
          <t>Approved removable media inventory maintained</t>
        </is>
      </c>
      <c r="C33" s="4" t="n"/>
    </row>
    <row r="34">
      <c r="A34" t="inlineStr">
        <is>
          <t>☐</t>
        </is>
      </c>
      <c r="B34" t="inlineStr">
        <is>
          <t>Encryption exceptions require formal approval</t>
        </is>
      </c>
      <c r="C34" s="4" t="n"/>
    </row>
    <row r="35">
      <c r="A35" t="inlineStr">
        <is>
          <t>☐</t>
        </is>
      </c>
      <c r="B35" t="inlineStr">
        <is>
          <t>Regular compliance audits of removable media usage</t>
        </is>
      </c>
      <c r="C35" s="4" t="n"/>
    </row>
    <row r="36">
      <c r="A36" s="3" t="inlineStr">
        <is>
          <t>Checklist Score:</t>
        </is>
      </c>
      <c r="B36" s="15">
        <f>COUNTIF(C24:C35,"Yes")/COUNTA(C24:C35)*100&amp;"%"</f>
        <v/>
      </c>
    </row>
    <row r="38">
      <c r="A38" s="14" t="inlineStr">
        <is>
          <t>Technology-Specific Notes / Examples</t>
        </is>
      </c>
    </row>
    <row r="39">
      <c r="A39" s="3" t="inlineStr">
        <is>
          <t>Windows:</t>
        </is>
      </c>
      <c r="B39" s="18" t="inlineStr">
        <is>
          <t>BitLocker To Go</t>
        </is>
      </c>
    </row>
    <row r="40">
      <c r="A40" s="3" t="inlineStr">
        <is>
          <t>macOS:</t>
        </is>
      </c>
      <c r="B40" s="18" t="inlineStr">
        <is>
          <t>FileVault encrypted volumes</t>
        </is>
      </c>
    </row>
    <row r="41">
      <c r="A41" s="3" t="inlineStr">
        <is>
          <t>Linux:</t>
        </is>
      </c>
      <c r="B41" s="18" t="inlineStr">
        <is>
          <t>LUKS containers</t>
        </is>
      </c>
    </row>
    <row r="42">
      <c r="A42" s="3" t="inlineStr">
        <is>
          <t>Cross-platform:</t>
        </is>
      </c>
      <c r="B42" s="18" t="inlineStr">
        <is>
          <t>VeraCrypt</t>
        </is>
      </c>
    </row>
    <row r="43">
      <c r="A43" s="3" t="inlineStr">
        <is>
          <t>Hardware:</t>
        </is>
      </c>
      <c r="B43" s="18" t="inlineStr">
        <is>
          <t>IronKey, Kingston Encrypted USB</t>
        </is>
      </c>
    </row>
    <row r="44">
      <c r="A44" s="3" t="inlineStr">
        <is>
          <t>Enterprise:</t>
        </is>
      </c>
      <c r="B44" s="18" t="inlineStr">
        <is>
          <t>Symantec Endpoint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DATA STORAGE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Mobile Devices</t>
        </is>
      </c>
      <c r="B4">
        <f>COUNTA('1. Mobile Devices'!H8:H20)</f>
        <v/>
      </c>
      <c r="C4">
        <f>COUNTIF('1. Mobile Devices'!H8:H20,"✅*")</f>
        <v/>
      </c>
      <c r="D4">
        <f>COUNTIF('1. Mobile Devices'!H8:H20,"⚠️*")</f>
        <v/>
      </c>
      <c r="E4">
        <f>COUNTIF('1. Mobile Devices'!H8:H20,"❌*")</f>
        <v/>
      </c>
      <c r="F4">
        <f>COUNTIF('1. Mobile Devices'!H8:H20,"N/A")</f>
        <v/>
      </c>
      <c r="G4">
        <f>IF((B4-F4)=0,"0%",ROUND(C4/(B4-F4)*100,1)&amp;"%")</f>
        <v/>
      </c>
    </row>
    <row r="5">
      <c r="A5" t="inlineStr">
        <is>
          <t>2. Laptops &amp; Workstations</t>
        </is>
      </c>
      <c r="B5">
        <f>COUNTA('2. Laptops &amp; Workstations'!H8:H20)</f>
        <v/>
      </c>
      <c r="C5">
        <f>COUNTIF('2. Laptops &amp; Workstations'!H8:H20,"✅*")</f>
        <v/>
      </c>
      <c r="D5">
        <f>COUNTIF('2. Laptops &amp; Workstations'!H8:H20,"⚠️*")</f>
        <v/>
      </c>
      <c r="E5">
        <f>COUNTIF('2. Laptops &amp; Workstations'!H8:H20,"❌*")</f>
        <v/>
      </c>
      <c r="F5">
        <f>COUNTIF('2. Laptops &amp; Workstations'!H8:H20,"N/A")</f>
        <v/>
      </c>
      <c r="G5">
        <f>IF((B5-F5)=0,"0%",ROUND(C5/(B5-F5)*100,1)&amp;"%")</f>
        <v/>
      </c>
    </row>
    <row r="6">
      <c r="A6" t="inlineStr">
        <is>
          <t>3. Servers</t>
        </is>
      </c>
      <c r="B6">
        <f>COUNTA('3. Servers'!H8:H20)</f>
        <v/>
      </c>
      <c r="C6">
        <f>COUNTIF('3. Servers'!H8:H20,"✅*")</f>
        <v/>
      </c>
      <c r="D6">
        <f>COUNTIF('3. Servers'!H8:H20,"⚠️*")</f>
        <v/>
      </c>
      <c r="E6">
        <f>COUNTIF('3. Servers'!H8:H20,"❌*")</f>
        <v/>
      </c>
      <c r="F6">
        <f>COUNTIF('3. Servers'!H8:H20,"N/A")</f>
        <v/>
      </c>
      <c r="G6">
        <f>IF((B6-F6)=0,"0%",ROUND(C6/(B6-F6)*100,1)&amp;"%")</f>
        <v/>
      </c>
    </row>
    <row r="7">
      <c r="A7" t="inlineStr">
        <is>
          <t>4. Databases</t>
        </is>
      </c>
      <c r="B7">
        <f>COUNTA('4. Databases'!H8:H20)</f>
        <v/>
      </c>
      <c r="C7">
        <f>COUNTIF('4. Databases'!H8:H20,"✅*")</f>
        <v/>
      </c>
      <c r="D7">
        <f>COUNTIF('4. Databases'!H8:H20,"⚠️*")</f>
        <v/>
      </c>
      <c r="E7">
        <f>COUNTIF('4. Databases'!H8:H20,"❌*")</f>
        <v/>
      </c>
      <c r="F7">
        <f>COUNTIF('4. Databases'!H8:H20,"N/A")</f>
        <v/>
      </c>
      <c r="G7">
        <f>IF((B7-F7)=0,"0%",ROUND(C7/(B7-F7)*100,1)&amp;"%")</f>
        <v/>
      </c>
    </row>
    <row r="8">
      <c r="A8" t="inlineStr">
        <is>
          <t>5. Cloud Storage</t>
        </is>
      </c>
      <c r="B8">
        <f>COUNTA('5. Cloud Storage'!H8:H20)</f>
        <v/>
      </c>
      <c r="C8">
        <f>COUNTIF('5. Cloud Storage'!H8:H20,"✅*")</f>
        <v/>
      </c>
      <c r="D8">
        <f>COUNTIF('5. Cloud Storage'!H8:H20,"⚠️*")</f>
        <v/>
      </c>
      <c r="E8">
        <f>COUNTIF('5. Cloud Storage'!H8:H20,"❌*")</f>
        <v/>
      </c>
      <c r="F8">
        <f>COUNTIF('5. Cloud Storage'!H8:H20,"N/A")</f>
        <v/>
      </c>
      <c r="G8">
        <f>IF((B8-F8)=0,"0%",ROUND(C8/(B8-F8)*100,1)&amp;"%")</f>
        <v/>
      </c>
    </row>
    <row r="9">
      <c r="A9" t="inlineStr">
        <is>
          <t>6. Backups</t>
        </is>
      </c>
      <c r="B9">
        <f>COUNTA('6. Backups'!H8:H20)</f>
        <v/>
      </c>
      <c r="C9">
        <f>COUNTIF('6. Backups'!H8:H20,"✅*")</f>
        <v/>
      </c>
      <c r="D9">
        <f>COUNTIF('6. Backups'!H8:H20,"⚠️*")</f>
        <v/>
      </c>
      <c r="E9">
        <f>COUNTIF('6. Backups'!H8:H20,"❌*")</f>
        <v/>
      </c>
      <c r="F9">
        <f>COUNTIF('6. Backups'!H8:H20,"N/A")</f>
        <v/>
      </c>
      <c r="G9">
        <f>IF((B9-F9)=0,"0%",ROUND(C9/(B9-F9)*100,1)&amp;"%")</f>
        <v/>
      </c>
    </row>
    <row r="10">
      <c r="A10" t="inlineStr">
        <is>
          <t>7. Removable Media</t>
        </is>
      </c>
      <c r="B10">
        <f>COUNTA('7. Removable Media'!H8:H20)</f>
        <v/>
      </c>
      <c r="C10">
        <f>COUNTIF('7. Removable Media'!H8:H20,"✅*")</f>
        <v/>
      </c>
      <c r="D10">
        <f>COUNTIF('7. Removable Media'!H8:H20,"⚠️*")</f>
        <v/>
      </c>
      <c r="E10">
        <f>COUNTIF('7. Removable Media'!H8:H20,"❌*")</f>
        <v/>
      </c>
      <c r="F10">
        <f>COUNTIF('7. Removable Media'!H8:H20,"N/A")</f>
        <v/>
      </c>
      <c r="G10">
        <f>IF((B10-F10)=0,"0%",ROUND(C10/(B10-F10)*100,1)&amp;"%")</f>
        <v/>
      </c>
    </row>
    <row r="11">
      <c r="A11" s="3" t="inlineStr">
        <is>
          <t>TOTAL</t>
        </is>
      </c>
      <c r="B11" s="3">
        <f>SUM(B4:B10)</f>
        <v/>
      </c>
      <c r="C11" s="3">
        <f>SUM(C4:C10)</f>
        <v/>
      </c>
      <c r="D11" s="3">
        <f>SUM(D4:D10)</f>
        <v/>
      </c>
      <c r="E11" s="3">
        <f>SUM(E4:E10)</f>
        <v/>
      </c>
      <c r="F11" s="3">
        <f>SUM(F4:F10)</f>
        <v/>
      </c>
      <c r="G11" s="19">
        <f>IF((B11-F11)=0,"0%",ROUND(C11/(B11-F11)*100,1)&amp;"%")</f>
        <v/>
      </c>
    </row>
    <row r="14">
      <c r="A14" s="20" t="inlineStr">
        <is>
          <t>ENCRYPTION COVERAGE BY DATA CLASSIFICATION</t>
        </is>
      </c>
    </row>
    <row r="15">
      <c r="A15" s="5" t="inlineStr">
        <is>
          <t>Data Classification</t>
        </is>
      </c>
      <c r="B15" s="5" t="inlineStr">
        <is>
          <t>Systems Assessed</t>
        </is>
      </c>
      <c r="C15" s="5" t="inlineStr">
        <is>
          <t>Encrypted</t>
        </is>
      </c>
      <c r="D15" s="5" t="inlineStr">
        <is>
          <t>Unencrypted</t>
        </is>
      </c>
      <c r="E15" s="5" t="inlineStr">
        <is>
          <t>Coverage %</t>
        </is>
      </c>
    </row>
    <row r="16">
      <c r="A16" s="21" t="inlineStr">
        <is>
          <t>Restricted</t>
        </is>
      </c>
      <c r="B16" s="13" t="n"/>
      <c r="C16" s="13" t="n"/>
      <c r="D16" s="13" t="n"/>
      <c r="E16" s="13" t="n"/>
    </row>
    <row r="17">
      <c r="A17" s="21" t="inlineStr">
        <is>
          <t>Confidential</t>
        </is>
      </c>
      <c r="B17" s="13" t="n"/>
      <c r="C17" s="13" t="n"/>
      <c r="D17" s="13" t="n"/>
      <c r="E17" s="13" t="n"/>
    </row>
    <row r="18">
      <c r="A18" s="21" t="inlineStr">
        <is>
          <t>Internal</t>
        </is>
      </c>
      <c r="B18" s="13" t="n"/>
      <c r="C18" s="13" t="n"/>
      <c r="D18" s="13" t="n"/>
      <c r="E18" s="13" t="n"/>
    </row>
    <row r="19">
      <c r="A19" s="21" t="inlineStr">
        <is>
          <t>Public</t>
        </is>
      </c>
      <c r="B19" s="13" t="n"/>
      <c r="C19" s="13" t="n"/>
      <c r="D19" s="13" t="n"/>
      <c r="E19" s="13" t="n"/>
    </row>
    <row r="22">
      <c r="A22" s="20" t="inlineStr">
        <is>
          <t>KEY MANAGEMENT SUMMARY</t>
        </is>
      </c>
    </row>
    <row r="23">
      <c r="A23" s="5" t="inlineStr">
        <is>
          <t>Key Management Method</t>
        </is>
      </c>
      <c r="B23" s="5" t="inlineStr">
        <is>
          <t>Count</t>
        </is>
      </c>
      <c r="C23" s="5" t="inlineStr">
        <is>
          <t>Percentage</t>
        </is>
      </c>
    </row>
    <row r="24">
      <c r="A24" t="inlineStr">
        <is>
          <t>HSM</t>
        </is>
      </c>
      <c r="B24">
        <f>COUNTIF('1. Mobile Devices'!F8:F20,"HSM")+COUNTIF('2. Laptops &amp; Workstations'!F8:F20,"HSM")+COUNTIF('3. Servers'!F8:F20,"HSM")+COUNTIF('4. Databases'!F8:F20,"HSM")+COUNTIF('5. Cloud Storage'!F8:F20,"HSM")+COUNTIF('6. Backups'!F8:F20,"HSM")+COUNTIF('7. Removable Media'!F8:F20,"HSM")</f>
        <v/>
      </c>
      <c r="C24">
        <f>IF(SUM(B24:B24)=0,"0%",ROUND(B24/SUM(B$24:B$24)*100,1)&amp;"%")</f>
        <v/>
      </c>
    </row>
    <row r="25">
      <c r="A25" t="inlineStr">
        <is>
          <t>Cloud KMS</t>
        </is>
      </c>
      <c r="B25">
        <f>COUNTIF('1. Mobile Devices'!F8:F20,"Cloud KMS")+COUNTIF('2. Laptops &amp; Workstations'!F8:F20,"Cloud KMS")+COUNTIF('3. Servers'!F8:F20,"Cloud KMS")+COUNTIF('4. Databases'!F8:F20,"Cloud KMS")+COUNTIF('5. Cloud Storage'!F8:F20,"Cloud KMS")+COUNTIF('6. Backups'!F8:F20,"Cloud KMS")+COUNTIF('7. Removable Media'!F8:F20,"Cloud KMS")</f>
        <v/>
      </c>
      <c r="C25">
        <f>IF(SUM(B24:B25)=0,"0%",ROUND(B25/SUM(B$24:B$25)*100,1)&amp;"%")</f>
        <v/>
      </c>
    </row>
    <row r="26">
      <c r="A26" t="inlineStr">
        <is>
          <t>TPM</t>
        </is>
      </c>
      <c r="B26">
        <f>COUNTIF('1. Mobile Devices'!F8:F20,"TPM")+COUNTIF('2. Laptops &amp; Workstations'!F8:F20,"TPM")+COUNTIF('3. Servers'!F8:F20,"TPM")+COUNTIF('4. Databases'!F8:F20,"TPM")+COUNTIF('5. Cloud Storage'!F8:F20,"TPM")+COUNTIF('6. Backups'!F8:F20,"TPM")+COUNTIF('7. Removable Media'!F8:F20,"TPM")</f>
        <v/>
      </c>
      <c r="C26">
        <f>IF(SUM(B24:B26)=0,"0%",ROUND(B26/SUM(B$24:B$26)*100,1)&amp;"%")</f>
        <v/>
      </c>
    </row>
    <row r="27">
      <c r="A27" t="inlineStr">
        <is>
          <t>Software-based</t>
        </is>
      </c>
      <c r="B27">
        <f>COUNTIF('1. Mobile Devices'!F8:F20,"Software-based")+COUNTIF('2. Laptops &amp; Workstations'!F8:F20,"Software-based")+COUNTIF('3. Servers'!F8:F20,"Software-based")+COUNTIF('4. Databases'!F8:F20,"Software-based")+COUNTIF('5. Cloud Storage'!F8:F20,"Software-based")+COUNTIF('6. Backups'!F8:F20,"Software-based")+COUNTIF('7. Removable Media'!F8:F20,"Software-based")</f>
        <v/>
      </c>
      <c r="C27">
        <f>IF(SUM(B24:B27)=0,"0%",ROUND(B27/SUM(B$24:B$27)*100,1)&amp;"%")</f>
        <v/>
      </c>
    </row>
    <row r="28">
      <c r="A28" t="inlineStr">
        <is>
          <t>Manual</t>
        </is>
      </c>
      <c r="B28">
        <f>COUNTIF('1. Mobile Devices'!F8:F20,"Manual")+COUNTIF('2. Laptops &amp; Workstations'!F8:F20,"Manual")+COUNTIF('3. Servers'!F8:F20,"Manual")+COUNTIF('4. Databases'!F8:F20,"Manual")+COUNTIF('5. Cloud Storage'!F8:F20,"Manual")+COUNTIF('6. Backups'!F8:F20,"Manual")+COUNTIF('7. Removable Media'!F8:F20,"Manual")</f>
        <v/>
      </c>
      <c r="C28">
        <f>IF(SUM(B24:B28)=0,"0%",ROUND(B28/SUM(B$24:B$28)*100,1)&amp;"%")</f>
        <v/>
      </c>
    </row>
    <row r="29">
      <c r="A29" t="inlineStr">
        <is>
          <t>Vendor-managed</t>
        </is>
      </c>
      <c r="B29">
        <f>COUNTIF('1. Mobile Devices'!F8:F20,"Vendor-managed")+COUNTIF('2. Laptops &amp; Workstations'!F8:F20,"Vendor-managed")+COUNTIF('3. Servers'!F8:F20,"Vendor-managed")+COUNTIF('4. Databases'!F8:F20,"Vendor-managed")+COUNTIF('5. Cloud Storage'!F8:F20,"Vendor-managed")+COUNTIF('6. Backups'!F8:F20,"Vendor-managed")+COUNTIF('7. Removable Media'!F8:F20,"Vendor-managed")</f>
        <v/>
      </c>
      <c r="C29">
        <f>IF(SUM(B24:B29)=0,"0%",ROUND(B29/SUM(B$24:B$29)*100,1)&amp;"%")</f>
        <v/>
      </c>
    </row>
    <row r="32">
      <c r="A32" s="22" t="inlineStr">
        <is>
          <t>CRITICAL GAPS REQUIRING IMMEDIATE ATTENTION</t>
        </is>
      </c>
    </row>
    <row r="33">
      <c r="A33" s="5" t="inlineStr">
        <is>
          <t>Priority</t>
        </is>
      </c>
      <c r="B33" s="5" t="inlineStr">
        <is>
          <t>Assessment Area</t>
        </is>
      </c>
      <c r="C33" s="5" t="inlineStr">
        <is>
          <t>Gap Description</t>
        </is>
      </c>
      <c r="D33" s="5" t="inlineStr">
        <is>
          <t>Responsible Person</t>
        </is>
      </c>
      <c r="E33" s="5" t="inlineStr">
        <is>
          <t>Target Date</t>
        </is>
      </c>
      <c r="F33" s="5" t="inlineStr">
        <is>
          <t>Status</t>
        </is>
      </c>
    </row>
    <row r="34">
      <c r="A34" s="4" t="n"/>
      <c r="B34" s="13" t="n"/>
      <c r="C34" s="13" t="n"/>
      <c r="D34" s="13" t="n"/>
      <c r="E34" s="13" t="n"/>
      <c r="F34" s="13" t="n"/>
    </row>
    <row r="35">
      <c r="A35" s="4" t="n"/>
      <c r="B35" s="13" t="n"/>
      <c r="C35" s="13" t="n"/>
      <c r="D35" s="13" t="n"/>
      <c r="E35" s="13" t="n"/>
      <c r="F35" s="13" t="n"/>
    </row>
    <row r="36">
      <c r="A36" s="4" t="n"/>
      <c r="B36" s="13" t="n"/>
      <c r="C36" s="13" t="n"/>
      <c r="D36" s="13" t="n"/>
      <c r="E36" s="13" t="n"/>
      <c r="F36" s="13" t="n"/>
    </row>
    <row r="37">
      <c r="A37" s="4" t="n"/>
      <c r="B37" s="13" t="n"/>
      <c r="C37" s="13" t="n"/>
      <c r="D37" s="13" t="n"/>
      <c r="E37" s="13" t="n"/>
      <c r="F37" s="13" t="n"/>
    </row>
    <row r="38">
      <c r="A38" s="4" t="n"/>
      <c r="B38" s="13" t="n"/>
      <c r="C38" s="13" t="n"/>
      <c r="D38" s="13" t="n"/>
      <c r="E38" s="13" t="n"/>
      <c r="F38" s="13" t="n"/>
    </row>
  </sheetData>
  <mergeCells count="4">
    <mergeCell ref="A32:F32"/>
    <mergeCell ref="A1:G1"/>
    <mergeCell ref="A22:C22"/>
    <mergeCell ref="A14:E14"/>
  </mergeCells>
  <dataValidations count="2">
    <dataValidation sqref="A34 A35 A36 A37 A38" showDropDown="0" showInputMessage="0" showErrorMessage="0" allowBlank="0" type="list">
      <formula1>"High,Medium,Low"</formula1>
    </dataValidation>
    <dataValidation sqref="F34 F35 F36 F37 F38" showDropDown="0" showInputMessage="0" showErrorMessage="0" allowBlank="0" type="list">
      <formula1>"Not started,In progress,Completed,Blocked"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row>
    <row r="3">
      <c r="A3" s="25" t="inlineStr">
        <is>
          <t>ASSESSMENT SUMMARY</t>
        </is>
      </c>
    </row>
    <row r="4">
      <c r="A4" s="3" t="inlineStr">
        <is>
          <t>Document:</t>
        </is>
      </c>
      <c r="B4" t="inlineStr">
        <is>
          <t>ISMS-IMP-A.8.24.2 - Data Storage Assessment</t>
        </is>
      </c>
    </row>
    <row r="5">
      <c r="A5" s="3" t="inlineStr">
        <is>
          <t>Assessment Period:</t>
        </is>
      </c>
      <c r="B5" s="21" t="inlineStr"/>
    </row>
    <row r="6">
      <c r="A6" s="3" t="inlineStr">
        <is>
          <t>Overall Compliance:</t>
        </is>
      </c>
      <c r="B6">
        <f>'Summary Dashboard'!G11</f>
        <v/>
      </c>
    </row>
    <row r="7">
      <c r="A7" s="3" t="inlineStr">
        <is>
          <t>Assessment Status:</t>
        </is>
      </c>
      <c r="B7" s="21" t="inlineStr"/>
    </row>
    <row r="10">
      <c r="A10" s="25" t="inlineStr">
        <is>
          <t>COMPLETED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5" t="inlineStr">
        <is>
          <t>REVIEWED BY (INFORMATION SECURITY OFFICER)</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6"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DECISION:</t>
        </is>
      </c>
      <c r="B31" s="4" t="n"/>
    </row>
    <row r="34">
      <c r="A34" s="25"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2026-02-10T19:40:57Z</dcterms:created>
  <dcterms:modified xmlns:dcterms="http://purl.org/dc/terms/" xmlns:xsi="http://www.w3.org/2001/XMLSchema-instance" xsi:type="dcterms:W3CDTF">2026-02-10T19:40:57Z</dcterms:modified>
</cp:coreProperties>
</file>