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1. Key Generation" sheetId="2" state="visible" r:id="rId2"/>
    <sheet xmlns:r="http://schemas.openxmlformats.org/officeDocument/2006/relationships" name="2. Key Storage" sheetId="3" state="visible" r:id="rId3"/>
    <sheet xmlns:r="http://schemas.openxmlformats.org/officeDocument/2006/relationships" name="3. Key Rotation" sheetId="4" state="visible" r:id="rId4"/>
    <sheet xmlns:r="http://schemas.openxmlformats.org/officeDocument/2006/relationships" name="4. Key Backup &amp; Recovery" sheetId="5" state="visible" r:id="rId5"/>
    <sheet xmlns:r="http://schemas.openxmlformats.org/officeDocument/2006/relationships" name="5. Certificate Management" sheetId="6" state="visible" r:id="rId6"/>
    <sheet xmlns:r="http://schemas.openxmlformats.org/officeDocument/2006/relationships" name="6. Key Destruction" sheetId="7" state="visible" r:id="rId7"/>
    <sheet xmlns:r="http://schemas.openxmlformats.org/officeDocument/2006/relationships" name="Evidence Register" sheetId="8" state="visible" r:id="rId8"/>
    <sheet xmlns:r="http://schemas.openxmlformats.org/officeDocument/2006/relationships" name="Summary Dashboard" sheetId="9" state="visible" r:id="rId9"/>
    <sheet xmlns:r="http://schemas.openxmlformats.org/officeDocument/2006/relationships" name="Approval Sign-Off" sheetId="10" state="visible" r:id="rId10"/>
  </sheets>
  <definedNames/>
  <calcPr calcId="124519" fullCalcOnLoad="1"/>
</workbook>
</file>

<file path=xl/styles.xml><?xml version="1.0" encoding="utf-8"?>
<styleSheet xmlns="http://schemas.openxmlformats.org/spreadsheetml/2006/main">
  <numFmts count="1">
    <numFmt numFmtId="164" formatCode="0.0%"/>
  </numFmts>
  <fonts count="20">
    <font>
      <name val="Calibri"/>
      <family val="2"/>
      <color theme="1"/>
      <sz val="11"/>
      <scheme val="minor"/>
    </font>
    <font>
      <name val="Calibri"/>
      <b val="1"/>
      <color rgb="00FFFFFF"/>
      <sz val="14"/>
    </font>
    <font>
      <name val="Calibri"/>
      <b val="1"/>
      <sz val="12"/>
    </font>
    <font>
      <name val="Calibri"/>
      <b val="1"/>
    </font>
    <font>
      <name val="Calibri"/>
      <b val="1"/>
      <sz val="10"/>
    </font>
    <font>
      <i val="1"/>
      <color rgb="00003366"/>
      <sz val="10"/>
    </font>
    <font>
      <b val="1"/>
      <sz val="11"/>
    </font>
    <font>
      <b val="1"/>
    </font>
    <font>
      <i val="1"/>
      <color rgb="00808080"/>
    </font>
    <font>
      <b val="1"/>
      <color rgb="000000FF"/>
    </font>
    <font>
      <name val="Calibri"/>
      <b val="1"/>
      <color rgb="00FFFFFF"/>
      <sz val="11"/>
    </font>
    <font>
      <name val="Calibri"/>
      <i val="1"/>
      <color rgb="00003366"/>
      <sz val="10"/>
    </font>
    <font>
      <name val="Calibri"/>
      <b val="1"/>
      <color rgb="00000000"/>
      <sz val="10"/>
    </font>
    <font>
      <name val="Calibri"/>
      <b val="1"/>
      <color rgb="00000000"/>
      <sz val="12"/>
    </font>
    <font>
      <name val="Calibri"/>
      <color rgb="00000000"/>
      <sz val="10"/>
    </font>
    <font>
      <b val="1"/>
      <color rgb="00FFFFFF"/>
      <sz val="14"/>
    </font>
    <font>
      <i val="1"/>
    </font>
    <font>
      <b val="1"/>
      <color rgb="00FFFFFF"/>
      <sz val="10"/>
    </font>
    <font>
      <i val="1"/>
      <color rgb="00555555"/>
    </font>
    <font>
      <b val="1"/>
      <color rgb="00FFFFFF"/>
      <sz val="11"/>
    </font>
  </fonts>
  <fills count="15">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FFFFCC"/>
        <bgColor rgb="00FFFFCC"/>
      </patternFill>
    </fill>
    <fill>
      <patternFill patternType="solid">
        <fgColor rgb="00D9D9D9"/>
        <bgColor rgb="00D9D9D9"/>
      </patternFill>
    </fill>
    <fill>
      <patternFill patternType="solid">
        <fgColor rgb="00F2F2F2"/>
        <bgColor rgb="00F2F2F2"/>
      </patternFill>
    </fill>
    <fill>
      <patternFill patternType="solid">
        <fgColor rgb="00C00000"/>
        <bgColor rgb="00C00000"/>
      </patternFill>
    </fill>
    <fill>
      <patternFill patternType="solid">
        <fgColor rgb="00C00000"/>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4">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1" applyAlignment="1" pivotButton="0" quotePrefix="0" xfId="0">
      <alignment horizontal="center" vertical="center" wrapText="1"/>
    </xf>
    <xf numFmtId="0" fontId="5" fillId="0" borderId="0" applyAlignment="1" pivotButton="0" quotePrefix="0" xfId="0">
      <alignment horizontal="left" vertical="center"/>
    </xf>
    <xf numFmtId="0" fontId="6" fillId="0" borderId="1" applyAlignment="1" pivotButton="0" quotePrefix="0" xfId="0">
      <alignment horizontal="left" vertical="center" wrapText="1"/>
    </xf>
    <xf numFmtId="0" fontId="7" fillId="0" borderId="0" pivotButton="0" quotePrefix="0" xfId="0"/>
    <xf numFmtId="0" fontId="0" fillId="9" borderId="1" pivotButton="0" quotePrefix="0" xfId="0"/>
    <xf numFmtId="0" fontId="4" fillId="10" borderId="1" applyAlignment="1" pivotButton="0" quotePrefix="0" xfId="0">
      <alignment horizontal="center" vertical="center" wrapText="1"/>
    </xf>
    <xf numFmtId="0" fontId="8" fillId="11" borderId="0" applyAlignment="1" pivotButton="0" quotePrefix="0" xfId="0">
      <alignment horizontal="left" vertical="center" wrapText="1"/>
    </xf>
    <xf numFmtId="0" fontId="0" fillId="9" borderId="1" applyAlignment="1" pivotButton="0" quotePrefix="0" xfId="0">
      <alignment horizontal="left" vertical="center" wrapText="1"/>
    </xf>
    <xf numFmtId="0" fontId="6" fillId="0" borderId="0" pivotButton="0" quotePrefix="0" xfId="0"/>
    <xf numFmtId="0" fontId="9" fillId="0" borderId="0" pivotButton="0" quotePrefix="0" xfId="0"/>
    <xf numFmtId="0" fontId="10" fillId="12" borderId="1" applyAlignment="1" pivotButton="0" quotePrefix="0" xfId="0">
      <alignment horizontal="center" vertical="center"/>
    </xf>
    <xf numFmtId="0" fontId="6" fillId="0" borderId="1" pivotButton="0" quotePrefix="0" xfId="0"/>
    <xf numFmtId="0" fontId="0" fillId="9" borderId="1" applyAlignment="1" pivotButton="0" quotePrefix="0" xfId="0">
      <alignment horizontal="left" vertical="top" wrapText="1"/>
    </xf>
    <xf numFmtId="0" fontId="8" fillId="11" borderId="1" applyAlignment="1" pivotButton="0" quotePrefix="0" xfId="0">
      <alignment horizontal="left" vertical="center" wrapText="1"/>
    </xf>
    <xf numFmtId="0" fontId="15" fillId="8" borderId="0" applyAlignment="1" pivotButton="0" quotePrefix="0" xfId="0">
      <alignment horizontal="center" vertical="center" wrapText="1"/>
    </xf>
    <xf numFmtId="0" fontId="16" fillId="0" borderId="0" applyAlignment="1" pivotButton="0" quotePrefix="0" xfId="0">
      <alignment horizontal="left" vertical="center"/>
    </xf>
    <xf numFmtId="0" fontId="17" fillId="8" borderId="1" applyAlignment="1" pivotButton="0" quotePrefix="0" xfId="0">
      <alignment horizontal="center" vertical="center" wrapText="1"/>
    </xf>
    <xf numFmtId="0" fontId="18" fillId="11" borderId="1" applyAlignment="1" pivotButton="0" quotePrefix="0" xfId="0">
      <alignment horizontal="left" vertical="center" wrapText="1"/>
    </xf>
    <xf numFmtId="0" fontId="0" fillId="11" borderId="1" applyAlignment="1" pivotButton="0" quotePrefix="0" xfId="0">
      <alignment horizontal="left" vertical="center" wrapText="1"/>
    </xf>
    <xf numFmtId="0" fontId="11" fillId="0" borderId="1" applyAlignment="1" pivotButton="0" quotePrefix="0" xfId="0">
      <alignment horizontal="left" vertical="center"/>
    </xf>
    <xf numFmtId="0" fontId="10" fillId="2" borderId="1" pivotButton="0" quotePrefix="0" xfId="0"/>
    <xf numFmtId="0" fontId="12" fillId="4" borderId="1" applyAlignment="1" pivotButton="0" quotePrefix="0" xfId="0">
      <alignment horizontal="center" vertical="center" wrapText="1"/>
    </xf>
    <xf numFmtId="0" fontId="4" fillId="4" borderId="1" pivotButton="0" quotePrefix="0" xfId="0"/>
    <xf numFmtId="0" fontId="13" fillId="4" borderId="1" pivotButton="0" quotePrefix="0" xfId="0"/>
    <xf numFmtId="0" fontId="12" fillId="4" borderId="1" pivotButton="0" quotePrefix="0" xfId="0"/>
    <xf numFmtId="0" fontId="14" fillId="0" borderId="1" pivotButton="0" quotePrefix="0" xfId="0"/>
    <xf numFmtId="0" fontId="10" fillId="13" borderId="1" pivotButton="0" quotePrefix="0" xfId="0"/>
    <xf numFmtId="0" fontId="14" fillId="3" borderId="1" pivotButton="0" quotePrefix="0" xfId="0"/>
    <xf numFmtId="164" fontId="14" fillId="3" borderId="1" pivotButton="0" quotePrefix="0" xfId="0"/>
    <xf numFmtId="164" fontId="12" fillId="4" borderId="1" pivotButton="0" quotePrefix="0" xfId="0"/>
    <xf numFmtId="0" fontId="15" fillId="8" borderId="1" applyAlignment="1" pivotButton="0" quotePrefix="0" xfId="0">
      <alignment horizontal="center" vertical="center" wrapText="1"/>
    </xf>
    <xf numFmtId="0" fontId="19" fillId="14" borderId="1" pivotButton="0" quotePrefix="0" xfId="0"/>
    <xf numFmtId="0" fontId="19"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ISMS-IMP-A.8.24.4  -  Key Management Assessment
ISO/IEC 27001:2022 - Control A.8.24: Use of Cryptography</t>
        </is>
      </c>
    </row>
    <row r="3">
      <c r="A3" s="2" t="inlineStr">
        <is>
          <t>Document Information</t>
        </is>
      </c>
    </row>
    <row r="4">
      <c r="A4" s="3" t="inlineStr">
        <is>
          <t>Document ID</t>
        </is>
      </c>
      <c r="B4" t="inlineStr">
        <is>
          <t>ISMS-IMP-A.8.24.4</t>
        </is>
      </c>
    </row>
    <row r="5">
      <c r="A5" s="3" t="inlineStr">
        <is>
          <t>Workbook Title</t>
        </is>
      </c>
      <c r="B5" t="inlineStr">
        <is>
          <t>Key Management Assessment</t>
        </is>
      </c>
    </row>
    <row r="6">
      <c r="A6" s="3" t="inlineStr">
        <is>
          <t>Control Reference</t>
        </is>
      </c>
      <c r="B6" t="inlineStr">
        <is>
          <t>ISO/IEC 27001:2022 - Control A.8.24: Use of Cryptography</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each worksheet tab (1–5) for applicable key management areas.</t>
        </is>
      </c>
    </row>
    <row r="14">
      <c r="A14" t="inlineStr">
        <is>
          <t>2. Use dropdown menus for standardised entries (Status, Key Type, Algorithm, Storage Method, etc.).</t>
        </is>
      </c>
    </row>
    <row r="15">
      <c r="A15" t="inlineStr">
        <is>
          <t>3. Fill in yellow-highlighted cells with your information.</t>
        </is>
      </c>
    </row>
    <row r="16">
      <c r="A16" t="inlineStr">
        <is>
          <t>4. If Status = Partial or Non-Compliant, complete the Exception/Deviation section.</t>
        </is>
      </c>
    </row>
    <row r="17">
      <c r="A17" t="inlineStr">
        <is>
          <t>5. Document key lifecycle details for each cryptographic system.</t>
        </is>
      </c>
    </row>
    <row r="18">
      <c r="A18" t="inlineStr">
        <is>
          <t>6. Provide evidence location/path for each implementation entry.</t>
        </is>
      </c>
    </row>
    <row r="19">
      <c r="A19" t="inlineStr">
        <is>
          <t>7. Summary Dashboard auto-calculates compliance statistics per key management area.</t>
        </is>
      </c>
    </row>
    <row r="20">
      <c r="A20" t="inlineStr">
        <is>
          <t>8. Maintain the Evidence Register for audit traceability.</t>
        </is>
      </c>
    </row>
    <row r="21">
      <c r="A21" t="inlineStr">
        <is>
          <t>9. Obtain final approval and sign-off in the Approval Sign-Off sheet.</t>
        </is>
      </c>
    </row>
    <row r="23">
      <c r="A23" s="2" t="inlineStr">
        <is>
          <t>Status Legend</t>
        </is>
      </c>
    </row>
    <row r="24">
      <c r="A24" s="5" t="inlineStr">
        <is>
          <t>Symbol</t>
        </is>
      </c>
      <c r="B24" s="5" t="inlineStr">
        <is>
          <t>Status</t>
        </is>
      </c>
      <c r="C24" s="5" t="inlineStr">
        <is>
          <t>Description</t>
        </is>
      </c>
    </row>
    <row r="25">
      <c r="A25" s="6" t="inlineStr">
        <is>
          <t>✓</t>
        </is>
      </c>
      <c r="B25" s="7" t="inlineStr">
        <is>
          <t>Compliant / Complete</t>
        </is>
      </c>
      <c r="C25" s="8" t="inlineStr">
        <is>
          <t>Requirement fully met</t>
        </is>
      </c>
    </row>
    <row r="26">
      <c r="A26" s="6" t="inlineStr">
        <is>
          <t>⚠</t>
        </is>
      </c>
      <c r="B26" s="9" t="inlineStr">
        <is>
          <t>Partial / In Progress</t>
        </is>
      </c>
      <c r="C26" s="8" t="inlineStr">
        <is>
          <t>Partially met or in progress</t>
        </is>
      </c>
    </row>
    <row r="27">
      <c r="A27" s="6" t="inlineStr">
        <is>
          <t>✗</t>
        </is>
      </c>
      <c r="B27" s="10" t="inlineStr">
        <is>
          <t>Non-Compliant / Not Started</t>
        </is>
      </c>
      <c r="C27" s="8" t="inlineStr">
        <is>
          <t>Requirement not met</t>
        </is>
      </c>
    </row>
    <row r="28">
      <c r="A28" s="6" t="inlineStr">
        <is>
          <t>—</t>
        </is>
      </c>
      <c r="B28" s="8" t="inlineStr">
        <is>
          <t>Not Applicable</t>
        </is>
      </c>
      <c r="C28"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76"/>
  <sheetViews>
    <sheetView showGridLines="0" workbookViewId="0">
      <pane ySplit="6" topLeftCell="A7" activePane="bottomLeft" state="frozen"/>
      <selection pane="bottomLeft" activeCell="A1" sqref="A1"/>
    </sheetView>
  </sheetViews>
  <sheetFormatPr baseColWidth="8" defaultRowHeight="15"/>
  <cols>
    <col width="30" customWidth="1" min="1" max="1"/>
    <col width="70" customWidth="1" min="2" max="2"/>
    <col width="20" customWidth="1" min="3" max="3"/>
    <col width="16" customWidth="1" min="4" max="4"/>
    <col width="22" customWidth="1" min="5" max="5"/>
    <col width="18" customWidth="1" min="6" max="6"/>
    <col width="18" customWidth="1" min="7" max="7"/>
    <col width="15" customWidth="1" min="8" max="8"/>
    <col width="28" customWidth="1" min="9" max="9"/>
    <col width="30" customWidth="1" min="10" max="10"/>
    <col width="14" customWidth="1" min="11" max="11"/>
    <col width="14" customWidth="1" min="12" max="12"/>
    <col width="14" customWidth="1" min="13" max="13"/>
    <col width="30" customWidth="1" min="14" max="14"/>
    <col width="20" customWidth="1" min="15" max="15"/>
    <col width="14" customWidth="1" min="16" max="16"/>
    <col width="15" customWidth="1" min="17" max="17"/>
    <col width="25" customWidth="1" min="18" max="18"/>
    <col width="20" customWidth="1" min="19" max="19"/>
    <col width="16" customWidth="1" min="20" max="20"/>
    <col width="16" customWidth="1" min="21" max="21"/>
    <col width="16" customWidth="1" min="22" max="22"/>
  </cols>
  <sheetData>
    <row r="1" ht="35" customHeight="1">
      <c r="A1" s="11" t="inlineStr">
        <is>
          <t>1. KEY GENERATION - CRYPTOGRAPHIC KEY CREATION
Policy Requirement: Cryptographic keys MUST be generated using approved algorithms with cryptographically secure random number generators (Policy Section 2.4.1)</t>
        </is>
      </c>
      <c r="B1" s="6" t="n"/>
      <c r="C1" s="6" t="n"/>
      <c r="D1" s="6" t="n"/>
      <c r="E1" s="6" t="n"/>
      <c r="F1" s="6" t="n"/>
      <c r="G1" s="6" t="n"/>
      <c r="H1" s="6" t="n"/>
      <c r="I1" s="6" t="n"/>
      <c r="J1" s="6" t="n"/>
      <c r="K1" s="6" t="n"/>
      <c r="L1" s="6" t="n"/>
      <c r="M1" s="6" t="n"/>
      <c r="N1" s="6" t="n"/>
      <c r="O1" s="6" t="n"/>
      <c r="P1" s="6" t="n"/>
      <c r="Q1" s="6" t="n"/>
      <c r="R1" s="6" t="n"/>
      <c r="S1" s="6" t="n"/>
      <c r="T1" s="6" t="n"/>
      <c r="U1" s="6" t="n"/>
      <c r="V1" s="6" t="n"/>
    </row>
    <row r="2">
      <c r="A2" s="12" t="inlineStr">
        <is>
          <t>ISO/IEC 27001:2022 | Control A.8.24: Use of Cryptography</t>
        </is>
      </c>
    </row>
    <row r="3" ht="30" customHeight="1">
      <c r="A3" s="13" t="inlineStr">
        <is>
          <t>Does your organisation generate cryptographic keys for encryption, signing, or authentication purposes?</t>
        </is>
      </c>
      <c r="B3" s="6" t="n"/>
      <c r="C3" s="6" t="n"/>
      <c r="D3" s="6" t="n"/>
      <c r="E3" s="6" t="n"/>
      <c r="F3" s="6" t="n"/>
      <c r="G3" s="6" t="n"/>
      <c r="H3" s="6" t="n"/>
      <c r="I3" s="6" t="n"/>
      <c r="J3" s="6" t="n"/>
      <c r="K3" s="6" t="n"/>
      <c r="L3" s="6" t="n"/>
      <c r="M3" s="6" t="n"/>
      <c r="N3" s="6" t="n"/>
      <c r="O3" s="6" t="n"/>
      <c r="P3" s="6" t="n"/>
      <c r="Q3" s="6" t="n"/>
      <c r="R3" s="6" t="n"/>
      <c r="S3" s="6" t="n"/>
      <c r="T3" s="6" t="n"/>
      <c r="U3" s="6" t="n"/>
      <c r="V3" s="6" t="n"/>
    </row>
    <row r="4">
      <c r="A4" s="14" t="inlineStr">
        <is>
          <t>Response:</t>
        </is>
      </c>
      <c r="B4" s="15" t="n"/>
    </row>
    <row r="6">
      <c r="A6" s="16" t="inlineStr">
        <is>
          <t>System/Service</t>
        </is>
      </c>
      <c r="B6" s="16" t="inlineStr">
        <is>
          <t>Key Type</t>
        </is>
      </c>
      <c r="C6" s="16" t="inlineStr">
        <is>
          <t>Algorithm</t>
        </is>
      </c>
      <c r="D6" s="16" t="inlineStr">
        <is>
          <t>Key Length (bits)</t>
        </is>
      </c>
      <c r="E6" s="16" t="inlineStr">
        <is>
          <t>Storage Method</t>
        </is>
      </c>
      <c r="F6" s="16" t="inlineStr">
        <is>
          <t>Data Classification</t>
        </is>
      </c>
      <c r="G6" s="16" t="inlineStr">
        <is>
          <t>Lifecycle Stage</t>
        </is>
      </c>
      <c r="H6" s="16" t="inlineStr">
        <is>
          <t>Status</t>
        </is>
      </c>
      <c r="I6" s="16" t="inlineStr">
        <is>
          <t>Evidence Location</t>
        </is>
      </c>
      <c r="J6" s="16" t="inlineStr">
        <is>
          <t>Gap Description</t>
        </is>
      </c>
      <c r="K6" s="16" t="inlineStr">
        <is>
          <t>Remediation Needed</t>
        </is>
      </c>
      <c r="L6" s="16" t="inlineStr">
        <is>
          <t>Exception ID</t>
        </is>
      </c>
      <c r="M6" s="16" t="inlineStr">
        <is>
          <t>Risk ID</t>
        </is>
      </c>
      <c r="N6" s="16" t="inlineStr">
        <is>
          <t>Compensating Controls</t>
        </is>
      </c>
      <c r="O6" s="16" t="inlineStr">
        <is>
          <t>Responsible Person</t>
        </is>
      </c>
      <c r="P6" s="16" t="inlineStr">
        <is>
          <t>Target Date</t>
        </is>
      </c>
      <c r="Q6" s="16" t="inlineStr">
        <is>
          <t>Budget Required</t>
        </is>
      </c>
      <c r="R6" s="16" t="inlineStr">
        <is>
          <t>Random Number Generator</t>
        </is>
      </c>
      <c r="S6" s="16" t="inlineStr">
        <is>
          <t>Generation Location</t>
        </is>
      </c>
      <c r="T6" s="16" t="inlineStr">
        <is>
          <t>Key Ceremony Performed</t>
        </is>
      </c>
      <c r="U6" s="16" t="inlineStr">
        <is>
          <t>Entropy Source Verified</t>
        </is>
      </c>
      <c r="V6" s="16" t="inlineStr">
        <is>
          <t>Generation Audit Log</t>
        </is>
      </c>
    </row>
    <row r="7">
      <c r="A7" s="17" t="inlineStr">
        <is>
          <t>Example: Production Database Encryption - FINDB01</t>
        </is>
      </c>
      <c r="B7" s="17" t="inlineStr">
        <is>
          <t>Data Encryption Key</t>
        </is>
      </c>
      <c r="C7" s="17" t="inlineStr">
        <is>
          <t>AES-256</t>
        </is>
      </c>
      <c r="D7" s="17" t="inlineStr">
        <is>
          <t>256</t>
        </is>
      </c>
      <c r="E7" s="17" t="inlineStr">
        <is>
          <t>HSM</t>
        </is>
      </c>
      <c r="F7" s="17" t="inlineStr">
        <is>
          <t>Restricted</t>
        </is>
      </c>
      <c r="G7" s="17" t="inlineStr">
        <is>
          <t>Active</t>
        </is>
      </c>
      <c r="H7" s="17" t="inlineStr">
        <is>
          <t>✅ Compliant</t>
        </is>
      </c>
      <c r="I7" s="17" t="inlineStr">
        <is>
          <t>/evidence/key-mgmt/FINDB01-key-generation-log.pdf</t>
        </is>
      </c>
      <c r="J7" s="17" t="inlineStr">
        <is>
          <t>None</t>
        </is>
      </c>
      <c r="K7" s="17" t="inlineStr">
        <is>
          <t>No</t>
        </is>
      </c>
      <c r="L7" s="17" t="inlineStr">
        <is>
          <t>N/A</t>
        </is>
      </c>
      <c r="M7" s="17" t="inlineStr">
        <is>
          <t>N/A</t>
        </is>
      </c>
      <c r="N7" s="17" t="inlineStr">
        <is>
          <t>N/A</t>
        </is>
      </c>
      <c r="O7" s="17" t="inlineStr">
        <is>
          <t>N/A</t>
        </is>
      </c>
      <c r="P7" s="17" t="inlineStr">
        <is>
          <t>N/A</t>
        </is>
      </c>
      <c r="Q7" s="17" t="inlineStr">
        <is>
          <t>No</t>
        </is>
      </c>
      <c r="R7" s="17" t="inlineStr">
        <is>
          <t>HSM RNG</t>
        </is>
      </c>
      <c r="S7" s="17" t="inlineStr">
        <is>
          <t>HSM</t>
        </is>
      </c>
      <c r="T7" s="17" t="inlineStr">
        <is>
          <t>Yes</t>
        </is>
      </c>
      <c r="U7" s="17" t="inlineStr">
        <is>
          <t>Yes</t>
        </is>
      </c>
      <c r="V7" s="17" t="inlineStr">
        <is>
          <t>Yes</t>
        </is>
      </c>
    </row>
    <row r="8">
      <c r="A8" s="18" t="n"/>
      <c r="B8" s="18" t="n"/>
      <c r="C8" s="18" t="n"/>
      <c r="D8" s="18" t="n"/>
      <c r="E8" s="18" t="n"/>
      <c r="F8" s="18" t="n"/>
      <c r="G8" s="18" t="n"/>
      <c r="H8" s="18" t="n"/>
      <c r="I8" s="18" t="n"/>
      <c r="J8" s="18" t="n"/>
      <c r="K8" s="18" t="n"/>
      <c r="L8" s="18" t="n"/>
      <c r="M8" s="18" t="n"/>
      <c r="N8" s="18" t="n"/>
      <c r="O8" s="18" t="n"/>
      <c r="P8" s="18" t="n"/>
      <c r="Q8" s="18" t="n"/>
      <c r="R8" s="18" t="n"/>
      <c r="S8" s="18" t="n"/>
      <c r="T8" s="18" t="n"/>
      <c r="U8" s="18" t="n"/>
      <c r="V8" s="18" t="n"/>
    </row>
    <row r="9">
      <c r="A9" s="18" t="n"/>
      <c r="B9" s="18" t="n"/>
      <c r="C9" s="18" t="n"/>
      <c r="D9" s="18" t="n"/>
      <c r="E9" s="18" t="n"/>
      <c r="F9" s="18" t="n"/>
      <c r="G9" s="18" t="n"/>
      <c r="H9" s="18" t="n"/>
      <c r="I9" s="18" t="n"/>
      <c r="J9" s="18" t="n"/>
      <c r="K9" s="18" t="n"/>
      <c r="L9" s="18" t="n"/>
      <c r="M9" s="18" t="n"/>
      <c r="N9" s="18" t="n"/>
      <c r="O9" s="18" t="n"/>
      <c r="P9" s="18" t="n"/>
      <c r="Q9" s="18" t="n"/>
      <c r="R9" s="18" t="n"/>
      <c r="S9" s="18" t="n"/>
      <c r="T9" s="18" t="n"/>
      <c r="U9" s="18" t="n"/>
      <c r="V9" s="18" t="n"/>
    </row>
    <row r="10">
      <c r="A10" s="18" t="n"/>
      <c r="B10" s="18" t="n"/>
      <c r="C10" s="18" t="n"/>
      <c r="D10" s="18" t="n"/>
      <c r="E10" s="18" t="n"/>
      <c r="F10" s="18" t="n"/>
      <c r="G10" s="18" t="n"/>
      <c r="H10" s="18" t="n"/>
      <c r="I10" s="18" t="n"/>
      <c r="J10" s="18" t="n"/>
      <c r="K10" s="18" t="n"/>
      <c r="L10" s="18" t="n"/>
      <c r="M10" s="18" t="n"/>
      <c r="N10" s="18" t="n"/>
      <c r="O10" s="18" t="n"/>
      <c r="P10" s="18" t="n"/>
      <c r="Q10" s="18" t="n"/>
      <c r="R10" s="18" t="n"/>
      <c r="S10" s="18" t="n"/>
      <c r="T10" s="18" t="n"/>
      <c r="U10" s="18" t="n"/>
      <c r="V10" s="18" t="n"/>
    </row>
    <row r="11">
      <c r="A11" s="18" t="n"/>
      <c r="B11" s="18" t="n"/>
      <c r="C11" s="18" t="n"/>
      <c r="D11" s="18" t="n"/>
      <c r="E11" s="18" t="n"/>
      <c r="F11" s="18" t="n"/>
      <c r="G11" s="18" t="n"/>
      <c r="H11" s="18" t="n"/>
      <c r="I11" s="18" t="n"/>
      <c r="J11" s="18" t="n"/>
      <c r="K11" s="18" t="n"/>
      <c r="L11" s="18" t="n"/>
      <c r="M11" s="18" t="n"/>
      <c r="N11" s="18" t="n"/>
      <c r="O11" s="18" t="n"/>
      <c r="P11" s="18" t="n"/>
      <c r="Q11" s="18" t="n"/>
      <c r="R11" s="18" t="n"/>
      <c r="S11" s="18" t="n"/>
      <c r="T11" s="18" t="n"/>
      <c r="U11" s="18" t="n"/>
      <c r="V11" s="18" t="n"/>
    </row>
    <row r="12">
      <c r="A12" s="18" t="n"/>
      <c r="B12" s="18" t="n"/>
      <c r="C12" s="18" t="n"/>
      <c r="D12" s="18" t="n"/>
      <c r="E12" s="18" t="n"/>
      <c r="F12" s="18" t="n"/>
      <c r="G12" s="18" t="n"/>
      <c r="H12" s="18" t="n"/>
      <c r="I12" s="18" t="n"/>
      <c r="J12" s="18" t="n"/>
      <c r="K12" s="18" t="n"/>
      <c r="L12" s="18" t="n"/>
      <c r="M12" s="18" t="n"/>
      <c r="N12" s="18" t="n"/>
      <c r="O12" s="18" t="n"/>
      <c r="P12" s="18" t="n"/>
      <c r="Q12" s="18" t="n"/>
      <c r="R12" s="18" t="n"/>
      <c r="S12" s="18" t="n"/>
      <c r="T12" s="18" t="n"/>
      <c r="U12" s="18" t="n"/>
      <c r="V12" s="18" t="n"/>
    </row>
    <row r="13">
      <c r="A13" s="18" t="n"/>
      <c r="B13" s="18" t="n"/>
      <c r="C13" s="18" t="n"/>
      <c r="D13" s="18" t="n"/>
      <c r="E13" s="18" t="n"/>
      <c r="F13" s="18" t="n"/>
      <c r="G13" s="18" t="n"/>
      <c r="H13" s="18" t="n"/>
      <c r="I13" s="18" t="n"/>
      <c r="J13" s="18" t="n"/>
      <c r="K13" s="18" t="n"/>
      <c r="L13" s="18" t="n"/>
      <c r="M13" s="18" t="n"/>
      <c r="N13" s="18" t="n"/>
      <c r="O13" s="18" t="n"/>
      <c r="P13" s="18" t="n"/>
      <c r="Q13" s="18" t="n"/>
      <c r="R13" s="18" t="n"/>
      <c r="S13" s="18" t="n"/>
      <c r="T13" s="18" t="n"/>
      <c r="U13" s="18" t="n"/>
      <c r="V13" s="18" t="n"/>
    </row>
    <row r="14">
      <c r="A14" s="18" t="n"/>
      <c r="B14" s="18" t="n"/>
      <c r="C14" s="18" t="n"/>
      <c r="D14" s="18" t="n"/>
      <c r="E14" s="18" t="n"/>
      <c r="F14" s="18" t="n"/>
      <c r="G14" s="18" t="n"/>
      <c r="H14" s="18" t="n"/>
      <c r="I14" s="18" t="n"/>
      <c r="J14" s="18" t="n"/>
      <c r="K14" s="18" t="n"/>
      <c r="L14" s="18" t="n"/>
      <c r="M14" s="18" t="n"/>
      <c r="N14" s="18" t="n"/>
      <c r="O14" s="18" t="n"/>
      <c r="P14" s="18" t="n"/>
      <c r="Q14" s="18" t="n"/>
      <c r="R14" s="18" t="n"/>
      <c r="S14" s="18" t="n"/>
      <c r="T14" s="18" t="n"/>
      <c r="U14" s="18" t="n"/>
      <c r="V14" s="18" t="n"/>
    </row>
    <row r="15">
      <c r="A15" s="18" t="n"/>
      <c r="B15" s="18" t="n"/>
      <c r="C15" s="18" t="n"/>
      <c r="D15" s="18" t="n"/>
      <c r="E15" s="18" t="n"/>
      <c r="F15" s="18" t="n"/>
      <c r="G15" s="18" t="n"/>
      <c r="H15" s="18" t="n"/>
      <c r="I15" s="18" t="n"/>
      <c r="J15" s="18" t="n"/>
      <c r="K15" s="18" t="n"/>
      <c r="L15" s="18" t="n"/>
      <c r="M15" s="18" t="n"/>
      <c r="N15" s="18" t="n"/>
      <c r="O15" s="18" t="n"/>
      <c r="P15" s="18" t="n"/>
      <c r="Q15" s="18" t="n"/>
      <c r="R15" s="18" t="n"/>
      <c r="S15" s="18" t="n"/>
      <c r="T15" s="18" t="n"/>
      <c r="U15" s="18" t="n"/>
      <c r="V15" s="18" t="n"/>
    </row>
    <row r="16">
      <c r="A16" s="18" t="n"/>
      <c r="B16" s="18" t="n"/>
      <c r="C16" s="18" t="n"/>
      <c r="D16" s="18" t="n"/>
      <c r="E16" s="18" t="n"/>
      <c r="F16" s="18" t="n"/>
      <c r="G16" s="18" t="n"/>
      <c r="H16" s="18" t="n"/>
      <c r="I16" s="18" t="n"/>
      <c r="J16" s="18" t="n"/>
      <c r="K16" s="18" t="n"/>
      <c r="L16" s="18" t="n"/>
      <c r="M16" s="18" t="n"/>
      <c r="N16" s="18" t="n"/>
      <c r="O16" s="18" t="n"/>
      <c r="P16" s="18" t="n"/>
      <c r="Q16" s="18" t="n"/>
      <c r="R16" s="18" t="n"/>
      <c r="S16" s="18" t="n"/>
      <c r="T16" s="18" t="n"/>
      <c r="U16" s="18" t="n"/>
      <c r="V16" s="18" t="n"/>
    </row>
    <row r="17">
      <c r="A17" s="18" t="n"/>
      <c r="B17" s="18" t="n"/>
      <c r="C17" s="18" t="n"/>
      <c r="D17" s="18" t="n"/>
      <c r="E17" s="18" t="n"/>
      <c r="F17" s="18" t="n"/>
      <c r="G17" s="18" t="n"/>
      <c r="H17" s="18" t="n"/>
      <c r="I17" s="18" t="n"/>
      <c r="J17" s="18" t="n"/>
      <c r="K17" s="18" t="n"/>
      <c r="L17" s="18" t="n"/>
      <c r="M17" s="18" t="n"/>
      <c r="N17" s="18" t="n"/>
      <c r="O17" s="18" t="n"/>
      <c r="P17" s="18" t="n"/>
      <c r="Q17" s="18" t="n"/>
      <c r="R17" s="18" t="n"/>
      <c r="S17" s="18" t="n"/>
      <c r="T17" s="18" t="n"/>
      <c r="U17" s="18" t="n"/>
      <c r="V17" s="18" t="n"/>
    </row>
    <row r="18">
      <c r="A18" s="18" t="n"/>
      <c r="B18" s="18" t="n"/>
      <c r="C18" s="18" t="n"/>
      <c r="D18" s="18" t="n"/>
      <c r="E18" s="18" t="n"/>
      <c r="F18" s="18" t="n"/>
      <c r="G18" s="18" t="n"/>
      <c r="H18" s="18" t="n"/>
      <c r="I18" s="18" t="n"/>
      <c r="J18" s="18" t="n"/>
      <c r="K18" s="18" t="n"/>
      <c r="L18" s="18" t="n"/>
      <c r="M18" s="18" t="n"/>
      <c r="N18" s="18" t="n"/>
      <c r="O18" s="18" t="n"/>
      <c r="P18" s="18" t="n"/>
      <c r="Q18" s="18" t="n"/>
      <c r="R18" s="18" t="n"/>
      <c r="S18" s="18" t="n"/>
      <c r="T18" s="18" t="n"/>
      <c r="U18" s="18" t="n"/>
      <c r="V18" s="18" t="n"/>
    </row>
    <row r="19">
      <c r="A19" s="18" t="n"/>
      <c r="B19" s="18" t="n"/>
      <c r="C19" s="18" t="n"/>
      <c r="D19" s="18" t="n"/>
      <c r="E19" s="18" t="n"/>
      <c r="F19" s="18" t="n"/>
      <c r="G19" s="18" t="n"/>
      <c r="H19" s="18" t="n"/>
      <c r="I19" s="18" t="n"/>
      <c r="J19" s="18" t="n"/>
      <c r="K19" s="18" t="n"/>
      <c r="L19" s="18" t="n"/>
      <c r="M19" s="18" t="n"/>
      <c r="N19" s="18" t="n"/>
      <c r="O19" s="18" t="n"/>
      <c r="P19" s="18" t="n"/>
      <c r="Q19" s="18" t="n"/>
      <c r="R19" s="18" t="n"/>
      <c r="S19" s="18" t="n"/>
      <c r="T19" s="18" t="n"/>
      <c r="U19" s="18" t="n"/>
      <c r="V19" s="18" t="n"/>
    </row>
    <row r="20">
      <c r="A20" s="18" t="n"/>
      <c r="B20" s="18" t="n"/>
      <c r="C20" s="18" t="n"/>
      <c r="D20" s="18" t="n"/>
      <c r="E20" s="18" t="n"/>
      <c r="F20" s="18" t="n"/>
      <c r="G20" s="18" t="n"/>
      <c r="H20" s="18" t="n"/>
      <c r="I20" s="18" t="n"/>
      <c r="J20" s="18" t="n"/>
      <c r="K20" s="18" t="n"/>
      <c r="L20" s="18" t="n"/>
      <c r="M20" s="18" t="n"/>
      <c r="N20" s="18" t="n"/>
      <c r="O20" s="18" t="n"/>
      <c r="P20" s="18" t="n"/>
      <c r="Q20" s="18" t="n"/>
      <c r="R20" s="18" t="n"/>
      <c r="S20" s="18" t="n"/>
      <c r="T20" s="18" t="n"/>
      <c r="U20" s="18" t="n"/>
      <c r="V20" s="18" t="n"/>
    </row>
    <row r="22">
      <c r="A22" s="19" t="inlineStr">
        <is>
          <t>1. KEY GENERATION CHECKLIST</t>
        </is>
      </c>
    </row>
    <row r="23">
      <c r="A23" s="14" t="inlineStr">
        <is>
          <t>☐</t>
        </is>
      </c>
      <c r="B23" s="14" t="inlineStr">
        <is>
          <t>Requirement</t>
        </is>
      </c>
      <c r="C23" s="14" t="inlineStr">
        <is>
          <t>Status</t>
        </is>
      </c>
    </row>
    <row r="24">
      <c r="A24" t="inlineStr">
        <is>
          <t>☐</t>
        </is>
      </c>
      <c r="B24" t="inlineStr">
        <is>
          <t>Approved algorithms only (AES-256, RSA ≥3072, Ed25519, ECDSA P-256+)</t>
        </is>
      </c>
      <c r="C24" s="15" t="n"/>
    </row>
    <row r="25">
      <c r="A25" t="inlineStr">
        <is>
          <t>☐</t>
        </is>
      </c>
      <c r="B25" t="inlineStr">
        <is>
          <t>Cryptographically secure random number generator (CSRNG) used</t>
        </is>
      </c>
      <c r="C25" s="15" t="n"/>
    </row>
    <row r="26">
      <c r="A26" t="inlineStr">
        <is>
          <t>☐</t>
        </is>
      </c>
      <c r="B26" t="inlineStr">
        <is>
          <t>FIPS 140-2 Level 2+ validated cryptographic module (production)</t>
        </is>
      </c>
      <c r="C26" s="15" t="n"/>
    </row>
    <row r="27">
      <c r="A27" t="inlineStr">
        <is>
          <t>☐</t>
        </is>
      </c>
      <c r="B27" t="inlineStr">
        <is>
          <t>Key generation performed in secure environment (HSM/KMS/TPM)</t>
        </is>
      </c>
      <c r="C27" s="15" t="n"/>
    </row>
    <row r="28">
      <c r="A28" t="inlineStr">
        <is>
          <t>☐</t>
        </is>
      </c>
      <c r="B28" t="inlineStr">
        <is>
          <t>Weak algorithms prohibited (DES, 3DES, MD5, SHA-1, RSA &lt;2048)</t>
        </is>
      </c>
      <c r="C28" s="15" t="n"/>
    </row>
    <row r="29">
      <c r="A29" t="inlineStr">
        <is>
          <t>☐</t>
        </is>
      </c>
      <c r="B29" t="inlineStr">
        <is>
          <t>Key ceremony documented for master/root keys</t>
        </is>
      </c>
      <c r="C29" s="15" t="n"/>
    </row>
    <row r="30">
      <c r="A30" t="inlineStr">
        <is>
          <t>☐</t>
        </is>
      </c>
      <c r="B30" t="inlineStr">
        <is>
          <t>Dual control/split knowledge for critical key generation</t>
        </is>
      </c>
      <c r="C30" s="15" t="n"/>
    </row>
    <row r="31">
      <c r="A31" t="inlineStr">
        <is>
          <t>☐</t>
        </is>
      </c>
      <c r="B31" t="inlineStr">
        <is>
          <t>Key generation audit logging enabled</t>
        </is>
      </c>
      <c r="C31" s="15" t="n"/>
    </row>
    <row r="32">
      <c r="A32" t="inlineStr">
        <is>
          <t>☐</t>
        </is>
      </c>
      <c r="B32" t="inlineStr">
        <is>
          <t>Generated keys never exposed in plaintext outside secure boundary</t>
        </is>
      </c>
      <c r="C32" s="15" t="n"/>
    </row>
    <row r="33">
      <c r="A33" t="inlineStr">
        <is>
          <t>☐</t>
        </is>
      </c>
      <c r="B33" t="inlineStr">
        <is>
          <t>Entropy source quality verified and tested</t>
        </is>
      </c>
      <c r="C33" s="15" t="n"/>
    </row>
    <row r="34">
      <c r="A34" t="inlineStr">
        <is>
          <t>☐</t>
        </is>
      </c>
      <c r="B34" t="inlineStr">
        <is>
          <t>Key generation procedures documented</t>
        </is>
      </c>
      <c r="C34" s="15" t="n"/>
    </row>
    <row r="35">
      <c r="A35" t="inlineStr">
        <is>
          <t>☐</t>
        </is>
      </c>
      <c r="B35" t="inlineStr">
        <is>
          <t>Key metadata tracked (creation date, purpose, owner, classification)</t>
        </is>
      </c>
      <c r="C35" s="15" t="n"/>
    </row>
    <row r="36">
      <c r="A36" t="inlineStr">
        <is>
          <t>☐</t>
        </is>
      </c>
      <c r="B36" t="inlineStr">
        <is>
          <t>Test/development keys distinct from production keys</t>
        </is>
      </c>
      <c r="C36" s="15" t="n"/>
    </row>
    <row r="37">
      <c r="A37" t="inlineStr">
        <is>
          <t>☐</t>
        </is>
      </c>
      <c r="B37" t="inlineStr">
        <is>
          <t>Default/vendor keys replaced before production use</t>
        </is>
      </c>
      <c r="C37" s="15" t="n"/>
    </row>
    <row r="38">
      <c r="A38" t="inlineStr">
        <is>
          <t>☐</t>
        </is>
      </c>
      <c r="B38" t="inlineStr">
        <is>
          <t>Cryptographic policy document exists and is approved — covers algorithm selection, key lengths, use cases, and roles</t>
        </is>
      </c>
      <c r="C38" s="15" t="n"/>
    </row>
    <row r="39">
      <c r="A39" t="inlineStr">
        <is>
          <t>☐</t>
        </is>
      </c>
      <c r="B39" t="inlineStr">
        <is>
          <t>Approved algorithm list maintained and reviewed annually — deprecated algorithms (MD5, SHA-1, DES, 3DES, RC4) explicitly prohibited</t>
        </is>
      </c>
      <c r="C39" s="15" t="n"/>
    </row>
    <row r="40">
      <c r="A40" t="inlineStr">
        <is>
          <t>☐</t>
        </is>
      </c>
      <c r="B40" t="inlineStr">
        <is>
          <t>Cryptographic roles and responsibilities defined — key custodians, security officers, and approvers identified</t>
        </is>
      </c>
      <c r="C40" s="15" t="n"/>
    </row>
    <row r="41">
      <c r="A41" s="14" t="inlineStr">
        <is>
          <t>Checklist Score:</t>
        </is>
      </c>
      <c r="B41" s="20">
        <f>IFERROR(ROUND(COUNTIF(C24:C40,"✅ Yes")/COUNTA(C24:C40)*100,0)&amp;"%","0%")</f>
        <v/>
      </c>
    </row>
    <row r="43">
      <c r="A43" s="19" t="inlineStr">
        <is>
          <t>APPROVED ALGORITHMS BY USE CASE</t>
        </is>
      </c>
    </row>
    <row r="44">
      <c r="A44" s="16" t="inlineStr">
        <is>
          <t>Use Case</t>
        </is>
      </c>
      <c r="B44" s="16" t="inlineStr">
        <is>
          <t>Minimum Algorithm</t>
        </is>
      </c>
      <c r="C44" s="16" t="inlineStr">
        <is>
          <t>Key Length</t>
        </is>
      </c>
      <c r="D44" s="16" t="inlineStr">
        <is>
          <t>Notes</t>
        </is>
      </c>
    </row>
    <row r="45">
      <c r="A45" s="8" t="inlineStr">
        <is>
          <t>Symmetric Encryption (Data at Rest)</t>
        </is>
      </c>
      <c r="B45" s="8" t="inlineStr">
        <is>
          <t>AES</t>
        </is>
      </c>
      <c r="C45" s="8" t="inlineStr">
        <is>
          <t>256 bits</t>
        </is>
      </c>
      <c r="D45" s="8" t="inlineStr">
        <is>
          <t>AES-256-GCM preferred</t>
        </is>
      </c>
    </row>
    <row r="46">
      <c r="A46" s="8" t="inlineStr">
        <is>
          <t>Symmetric Encryption (Data in Transit)</t>
        </is>
      </c>
      <c r="B46" s="8" t="inlineStr">
        <is>
          <t>AES, ChaCha20</t>
        </is>
      </c>
      <c r="C46" s="8" t="inlineStr">
        <is>
          <t>256 bits</t>
        </is>
      </c>
      <c r="D46" s="8" t="inlineStr">
        <is>
          <t>ChaCha20-Poly1305 for mobile</t>
        </is>
      </c>
    </row>
    <row r="47">
      <c r="A47" s="8" t="inlineStr">
        <is>
          <t>Asymmetric Encryption</t>
        </is>
      </c>
      <c r="B47" s="8" t="inlineStr">
        <is>
          <t>RSA, ECDH</t>
        </is>
      </c>
      <c r="C47" s="8" t="inlineStr">
        <is>
          <t>RSA ≥3072, ECDH P-256+</t>
        </is>
      </c>
      <c r="D47" s="8" t="inlineStr">
        <is>
          <t>RSA-4096 for long-term</t>
        </is>
      </c>
    </row>
    <row r="48">
      <c r="A48" s="8" t="inlineStr">
        <is>
          <t>Digital Signatures</t>
        </is>
      </c>
      <c r="B48" s="8" t="inlineStr">
        <is>
          <t>RSA, Ed25519, ECDSA</t>
        </is>
      </c>
      <c r="C48" s="8" t="inlineStr">
        <is>
          <t>RSA ≥3072, Ed25519, ECDSA P-256+</t>
        </is>
      </c>
      <c r="D48" s="8" t="inlineStr">
        <is>
          <t>Ed25519 preferred for new systems</t>
        </is>
      </c>
    </row>
    <row r="49">
      <c r="A49" s="8" t="inlineStr">
        <is>
          <t>Key Exchange</t>
        </is>
      </c>
      <c r="B49" s="8" t="inlineStr">
        <is>
          <t>ECDH, RSA</t>
        </is>
      </c>
      <c r="C49" s="8" t="inlineStr">
        <is>
          <t>ECDH P-256+, RSA ≥3072</t>
        </is>
      </c>
      <c r="D49" s="8" t="inlineStr">
        <is>
          <t>Use ephemeral keys for PFS</t>
        </is>
      </c>
    </row>
    <row r="50">
      <c r="A50" s="8" t="inlineStr">
        <is>
          <t>Hashing</t>
        </is>
      </c>
      <c r="B50" s="8" t="inlineStr">
        <is>
          <t>SHA-256, SHA-384, SHA-512</t>
        </is>
      </c>
      <c r="C50" s="8" t="inlineStr">
        <is>
          <t>N/A (output size)</t>
        </is>
      </c>
      <c r="D50" s="8" t="inlineStr">
        <is>
          <t>SHA-256 minimum</t>
        </is>
      </c>
    </row>
    <row r="51">
      <c r="A51" s="8" t="inlineStr">
        <is>
          <t>HMAC</t>
        </is>
      </c>
      <c r="B51" s="8" t="inlineStr">
        <is>
          <t>HMAC-SHA256</t>
        </is>
      </c>
      <c r="C51" s="8" t="inlineStr">
        <is>
          <t>≥256 bits</t>
        </is>
      </c>
      <c r="D51" s="8" t="inlineStr">
        <is>
          <t>For message authentication</t>
        </is>
      </c>
    </row>
    <row r="53">
      <c r="A53" s="21" t="inlineStr">
        <is>
          <t>EXCEPTION / DEVIATION DOCUMENTATION (Complete if Status = Partial or Non-Compliant)</t>
        </is>
      </c>
      <c r="B53" s="6" t="n"/>
      <c r="C53" s="6" t="n"/>
      <c r="D53" s="6" t="n"/>
      <c r="E53" s="6" t="n"/>
      <c r="F53" s="6" t="n"/>
      <c r="G53" s="6" t="n"/>
      <c r="H53" s="6" t="n"/>
      <c r="I53" s="6" t="n"/>
      <c r="J53" s="6" t="n"/>
      <c r="K53" s="6" t="n"/>
      <c r="L53" s="6" t="n"/>
      <c r="M53" s="6" t="n"/>
      <c r="N53" s="6" t="n"/>
      <c r="O53" s="6" t="n"/>
      <c r="P53" s="6" t="n"/>
      <c r="Q53" s="6" t="n"/>
      <c r="R53" s="6" t="n"/>
      <c r="S53" s="6" t="n"/>
      <c r="T53" s="6" t="n"/>
      <c r="U53" s="6" t="n"/>
      <c r="V53" s="6" t="n"/>
    </row>
    <row r="54">
      <c r="A54" s="14" t="inlineStr">
        <is>
          <t>Formal exception request submitted:</t>
        </is>
      </c>
      <c r="B54" s="18" t="n"/>
      <c r="C54" s="6" t="n"/>
      <c r="D54" s="6" t="n"/>
    </row>
    <row r="55">
      <c r="A55" s="14" t="inlineStr">
        <is>
          <t>Exception ID:</t>
        </is>
      </c>
      <c r="B55" s="18" t="n"/>
      <c r="C55" s="6" t="n"/>
      <c r="D55" s="6" t="n"/>
    </row>
    <row r="56">
      <c r="A56" s="14" t="inlineStr">
        <is>
          <t>Risk acceptance documented:</t>
        </is>
      </c>
      <c r="B56" s="18" t="n"/>
      <c r="C56" s="6" t="n"/>
      <c r="D56" s="6" t="n"/>
    </row>
    <row r="57">
      <c r="A57" s="14" t="inlineStr">
        <is>
          <t>Risk ID:</t>
        </is>
      </c>
      <c r="B57" s="18" t="n"/>
      <c r="C57" s="6" t="n"/>
      <c r="D57" s="6" t="n"/>
    </row>
    <row r="58">
      <c r="A58" s="14" t="inlineStr">
        <is>
          <t>Compensating Controls (summary):</t>
        </is>
      </c>
      <c r="B58" s="18" t="n"/>
      <c r="C58" s="6" t="n"/>
      <c r="D58" s="6" t="n"/>
    </row>
    <row r="59">
      <c r="A59" s="14" t="inlineStr">
        <is>
          <t>☐ Enhanced monitoring and alerting</t>
        </is>
      </c>
      <c r="B59" s="18" t="n"/>
      <c r="C59" s="6" t="n"/>
      <c r="D59" s="6" t="n"/>
    </row>
    <row r="60">
      <c r="A60" s="14" t="inlineStr">
        <is>
          <t>☐ Restricted network access / air-gapped systems</t>
        </is>
      </c>
      <c r="B60" s="18" t="n"/>
      <c r="C60" s="6" t="n"/>
      <c r="D60" s="6" t="n"/>
    </row>
    <row r="61">
      <c r="A61" s="14" t="inlineStr">
        <is>
          <t>☐ Additional encryption layer</t>
        </is>
      </c>
      <c r="B61" s="18" t="n"/>
      <c r="C61" s="6" t="n"/>
      <c r="D61" s="6" t="n"/>
    </row>
    <row r="62">
      <c r="A62" s="14" t="inlineStr">
        <is>
          <t>☐ Manual key management procedures</t>
        </is>
      </c>
      <c r="B62" s="18" t="n"/>
      <c r="C62" s="6" t="n"/>
      <c r="D62" s="6" t="n"/>
    </row>
    <row r="63">
      <c r="A63" s="14" t="inlineStr">
        <is>
          <t>☐ Increased audit frequency</t>
        </is>
      </c>
      <c r="B63" s="18" t="n"/>
      <c r="C63" s="6" t="n"/>
      <c r="D63" s="6" t="n"/>
    </row>
    <row r="64">
      <c r="A64" s="14" t="inlineStr">
        <is>
          <t>☐ Physical security controls</t>
        </is>
      </c>
      <c r="B64" s="18" t="n"/>
      <c r="C64" s="6" t="n"/>
      <c r="D64" s="6" t="n"/>
    </row>
    <row r="65">
      <c r="A65" s="14" t="inlineStr">
        <is>
          <t>☐ Other (describe):</t>
        </is>
      </c>
      <c r="B65" s="18" t="n"/>
      <c r="C65" s="6" t="n"/>
      <c r="D65" s="6" t="n"/>
    </row>
    <row r="67">
      <c r="A67" s="22" t="inlineStr">
        <is>
          <t>ADDITIONAL NOTES / COMMENTS</t>
        </is>
      </c>
      <c r="B67" s="6" t="n"/>
      <c r="C67" s="6" t="n"/>
      <c r="D67" s="6" t="n"/>
      <c r="E67" s="6" t="n"/>
      <c r="F67" s="6" t="n"/>
      <c r="G67" s="6" t="n"/>
      <c r="H67" s="6" t="n"/>
      <c r="I67" s="6" t="n"/>
      <c r="J67" s="6" t="n"/>
      <c r="K67" s="6" t="n"/>
      <c r="L67" s="6" t="n"/>
      <c r="M67" s="6" t="n"/>
      <c r="N67" s="6" t="n"/>
      <c r="O67" s="6" t="n"/>
      <c r="P67" s="6" t="n"/>
      <c r="Q67" s="6" t="n"/>
      <c r="R67" s="6" t="n"/>
      <c r="S67" s="6" t="n"/>
      <c r="T67" s="6" t="n"/>
      <c r="U67" s="6" t="n"/>
      <c r="V67" s="6" t="n"/>
    </row>
    <row r="68">
      <c r="A68" s="23" t="n"/>
      <c r="B68" s="6" t="n"/>
      <c r="C68" s="6" t="n"/>
      <c r="D68" s="6" t="n"/>
      <c r="E68" s="6" t="n"/>
      <c r="F68" s="6" t="n"/>
      <c r="G68" s="6" t="n"/>
      <c r="H68" s="6" t="n"/>
      <c r="I68" s="6" t="n"/>
      <c r="J68" s="6" t="n"/>
      <c r="K68" s="6" t="n"/>
      <c r="L68" s="6" t="n"/>
      <c r="M68" s="6" t="n"/>
      <c r="N68" s="6" t="n"/>
      <c r="O68" s="6" t="n"/>
      <c r="P68" s="6" t="n"/>
      <c r="Q68" s="6" t="n"/>
      <c r="R68" s="6" t="n"/>
      <c r="S68" s="6" t="n"/>
      <c r="T68" s="6" t="n"/>
      <c r="U68" s="6" t="n"/>
      <c r="V68" s="6" t="n"/>
    </row>
    <row r="69">
      <c r="A69" s="6" t="n"/>
      <c r="B69" s="6" t="n"/>
      <c r="C69" s="6" t="n"/>
      <c r="D69" s="6" t="n"/>
      <c r="E69" s="6" t="n"/>
      <c r="F69" s="6" t="n"/>
      <c r="G69" s="6" t="n"/>
      <c r="H69" s="6" t="n"/>
      <c r="I69" s="6" t="n"/>
      <c r="J69" s="6" t="n"/>
      <c r="K69" s="6" t="n"/>
      <c r="L69" s="6" t="n"/>
      <c r="M69" s="6" t="n"/>
      <c r="N69" s="6" t="n"/>
      <c r="O69" s="6" t="n"/>
      <c r="P69" s="6" t="n"/>
      <c r="Q69" s="6" t="n"/>
      <c r="R69" s="6" t="n"/>
      <c r="S69" s="6" t="n"/>
      <c r="T69" s="6" t="n"/>
      <c r="U69" s="6" t="n"/>
      <c r="V69" s="6" t="n"/>
    </row>
    <row r="70">
      <c r="A70" s="6" t="n"/>
      <c r="B70" s="6" t="n"/>
      <c r="C70" s="6" t="n"/>
      <c r="D70" s="6" t="n"/>
      <c r="E70" s="6" t="n"/>
      <c r="F70" s="6" t="n"/>
      <c r="G70" s="6" t="n"/>
      <c r="H70" s="6" t="n"/>
      <c r="I70" s="6" t="n"/>
      <c r="J70" s="6" t="n"/>
      <c r="K70" s="6" t="n"/>
      <c r="L70" s="6" t="n"/>
      <c r="M70" s="6" t="n"/>
      <c r="N70" s="6" t="n"/>
      <c r="O70" s="6" t="n"/>
      <c r="P70" s="6" t="n"/>
      <c r="Q70" s="6" t="n"/>
      <c r="R70" s="6" t="n"/>
      <c r="S70" s="6" t="n"/>
      <c r="T70" s="6" t="n"/>
      <c r="U70" s="6" t="n"/>
      <c r="V70" s="6" t="n"/>
    </row>
    <row r="71">
      <c r="A71" s="6" t="n"/>
      <c r="B71" s="6" t="n"/>
      <c r="C71" s="6" t="n"/>
      <c r="D71" s="6" t="n"/>
      <c r="E71" s="6" t="n"/>
      <c r="F71" s="6" t="n"/>
      <c r="G71" s="6" t="n"/>
      <c r="H71" s="6" t="n"/>
      <c r="I71" s="6" t="n"/>
      <c r="J71" s="6" t="n"/>
      <c r="K71" s="6" t="n"/>
      <c r="L71" s="6" t="n"/>
      <c r="M71" s="6" t="n"/>
      <c r="N71" s="6" t="n"/>
      <c r="O71" s="6" t="n"/>
      <c r="P71" s="6" t="n"/>
      <c r="Q71" s="6" t="n"/>
      <c r="R71" s="6" t="n"/>
      <c r="S71" s="6" t="n"/>
      <c r="T71" s="6" t="n"/>
      <c r="U71" s="6" t="n"/>
      <c r="V71" s="6" t="n"/>
    </row>
    <row r="72">
      <c r="A72" s="6" t="n"/>
      <c r="B72" s="6" t="n"/>
      <c r="C72" s="6" t="n"/>
      <c r="D72" s="6" t="n"/>
      <c r="E72" s="6" t="n"/>
      <c r="F72" s="6" t="n"/>
      <c r="G72" s="6" t="n"/>
      <c r="H72" s="6" t="n"/>
      <c r="I72" s="6" t="n"/>
      <c r="J72" s="6" t="n"/>
      <c r="K72" s="6" t="n"/>
      <c r="L72" s="6" t="n"/>
      <c r="M72" s="6" t="n"/>
      <c r="N72" s="6" t="n"/>
      <c r="O72" s="6" t="n"/>
      <c r="P72" s="6" t="n"/>
      <c r="Q72" s="6" t="n"/>
      <c r="R72" s="6" t="n"/>
      <c r="S72" s="6" t="n"/>
      <c r="T72" s="6" t="n"/>
      <c r="U72" s="6" t="n"/>
      <c r="V72" s="6" t="n"/>
    </row>
    <row r="73">
      <c r="A73" s="6" t="n"/>
      <c r="B73" s="6" t="n"/>
      <c r="C73" s="6" t="n"/>
      <c r="D73" s="6" t="n"/>
      <c r="E73" s="6" t="n"/>
      <c r="F73" s="6" t="n"/>
      <c r="G73" s="6" t="n"/>
      <c r="H73" s="6" t="n"/>
      <c r="I73" s="6" t="n"/>
      <c r="J73" s="6" t="n"/>
      <c r="K73" s="6" t="n"/>
      <c r="L73" s="6" t="n"/>
      <c r="M73" s="6" t="n"/>
      <c r="N73" s="6" t="n"/>
      <c r="O73" s="6" t="n"/>
      <c r="P73" s="6" t="n"/>
      <c r="Q73" s="6" t="n"/>
      <c r="R73" s="6" t="n"/>
      <c r="S73" s="6" t="n"/>
      <c r="T73" s="6" t="n"/>
      <c r="U73" s="6" t="n"/>
      <c r="V73" s="6" t="n"/>
    </row>
    <row r="74">
      <c r="A74" s="6" t="n"/>
      <c r="B74" s="6" t="n"/>
      <c r="C74" s="6" t="n"/>
      <c r="D74" s="6" t="n"/>
      <c r="E74" s="6" t="n"/>
      <c r="F74" s="6" t="n"/>
      <c r="G74" s="6" t="n"/>
      <c r="H74" s="6" t="n"/>
      <c r="I74" s="6" t="n"/>
      <c r="J74" s="6" t="n"/>
      <c r="K74" s="6" t="n"/>
      <c r="L74" s="6" t="n"/>
      <c r="M74" s="6" t="n"/>
      <c r="N74" s="6" t="n"/>
      <c r="O74" s="6" t="n"/>
      <c r="P74" s="6" t="n"/>
      <c r="Q74" s="6" t="n"/>
      <c r="R74" s="6" t="n"/>
      <c r="S74" s="6" t="n"/>
      <c r="T74" s="6" t="n"/>
      <c r="U74" s="6" t="n"/>
      <c r="V74" s="6" t="n"/>
    </row>
    <row r="75">
      <c r="A75" s="6" t="n"/>
      <c r="B75" s="6" t="n"/>
      <c r="C75" s="6" t="n"/>
      <c r="D75" s="6" t="n"/>
      <c r="E75" s="6" t="n"/>
      <c r="F75" s="6" t="n"/>
      <c r="G75" s="6" t="n"/>
      <c r="H75" s="6" t="n"/>
      <c r="I75" s="6" t="n"/>
      <c r="J75" s="6" t="n"/>
      <c r="K75" s="6" t="n"/>
      <c r="L75" s="6" t="n"/>
      <c r="M75" s="6" t="n"/>
      <c r="N75" s="6" t="n"/>
      <c r="O75" s="6" t="n"/>
      <c r="P75" s="6" t="n"/>
      <c r="Q75" s="6" t="n"/>
      <c r="R75" s="6" t="n"/>
      <c r="S75" s="6" t="n"/>
      <c r="T75" s="6" t="n"/>
      <c r="U75" s="6" t="n"/>
      <c r="V75" s="6" t="n"/>
    </row>
    <row r="76">
      <c r="A76" s="6" t="n"/>
      <c r="B76" s="6" t="n"/>
      <c r="C76" s="6" t="n"/>
      <c r="D76" s="6" t="n"/>
      <c r="E76" s="6" t="n"/>
      <c r="F76" s="6" t="n"/>
      <c r="G76" s="6" t="n"/>
      <c r="H76" s="6" t="n"/>
      <c r="I76" s="6" t="n"/>
      <c r="J76" s="6" t="n"/>
      <c r="K76" s="6" t="n"/>
      <c r="L76" s="6" t="n"/>
      <c r="M76" s="6" t="n"/>
      <c r="N76" s="6" t="n"/>
      <c r="O76" s="6" t="n"/>
      <c r="P76" s="6" t="n"/>
      <c r="Q76" s="6" t="n"/>
      <c r="R76" s="6" t="n"/>
      <c r="S76" s="6" t="n"/>
      <c r="T76" s="6" t="n"/>
      <c r="U76" s="6" t="n"/>
      <c r="V76" s="6" t="n"/>
    </row>
  </sheetData>
  <mergeCells count="17">
    <mergeCell ref="A68:V76"/>
    <mergeCell ref="B59:D59"/>
    <mergeCell ref="B60:D60"/>
    <mergeCell ref="B63:D63"/>
    <mergeCell ref="B61:D61"/>
    <mergeCell ref="A1:V1"/>
    <mergeCell ref="B57:D57"/>
    <mergeCell ref="B56:D56"/>
    <mergeCell ref="B58:D58"/>
    <mergeCell ref="B65:D65"/>
    <mergeCell ref="B62:D62"/>
    <mergeCell ref="A3:V3"/>
    <mergeCell ref="A67:V67"/>
    <mergeCell ref="A53:V53"/>
    <mergeCell ref="B55:D55"/>
    <mergeCell ref="B54:D54"/>
    <mergeCell ref="B64:D64"/>
  </mergeCells>
  <dataValidations count="15">
    <dataValidation sqref="B8 B9 B10 B11 B12 B13 B14 B15 B16 B17 B18 B19 B20" showDropDown="0" showInputMessage="0" showErrorMessage="0" allowBlank="0" type="list">
      <formula1>"Encryption Key,Signing Key,Authentication Key,Certificate,Master Key,Data Encryption Key,Key Encryption Key,Session Key,N/A"</formula1>
    </dataValidation>
    <dataValidation sqref="C8 C9 C10 C11 C12 C13 C14 C15 C16 C17 C18 C19 C20" showDropDown="0" showInputMessage="0" showErrorMessage="0" allowBlank="0" type="list">
      <formula1>"AES-256,AES-128,RSA-4096,RSA-3072,RSA-2048,Ed25519,ECDSA P-256,ECDSA P-384,ChaCha20,Other,N/A"</formula1>
    </dataValidation>
    <dataValidation sqref="D8 D9 D10 D11 D12 D13 D14 D15 D16 D17 D18 D19 D20" showDropDown="0" showInputMessage="0" showErrorMessage="0" allowBlank="0" type="list">
      <formula1>"256,384,512,2048,3072,4096,8192,N/A"</formula1>
    </dataValidation>
    <dataValidation sqref="E8 E9 E10 E11 E12 E13 E14 E15 E16 E17 E18 E19 E20" showDropDown="0" showInputMessage="0" showErrorMessage="0" allowBlank="0" type="list">
      <formula1>"HSM,Cloud KMS,TPM,Software Keystore,File-based,Database,Smart Card,Vault,N/A"</formula1>
    </dataValidation>
    <dataValidation sqref="F8 F9 F10 F11 F12 F13 F14 F15 F16 F17 F18 F19 F20" showDropDown="0" showInputMessage="0" showErrorMessage="0" allowBlank="0" type="list">
      <formula1>"Public,Internal,Confidential,Restricted,N/A"</formula1>
    </dataValidation>
    <dataValidation sqref="G8 G9 G10 G11 G12 G13 G14 G15 G16 G17 G18 G19 G20" showDropDown="0" showInputMessage="0" showErrorMessage="0" allowBlank="0" type="list">
      <formula1>"Active,Suspended,Archived,Destroyed,Pending Rotation,N/A"</formula1>
    </dataValidation>
    <dataValidation sqref="H8 H9 H10 H11 H12 H13 H14 H15 H16 H17 H18 H19 H20" showDropDown="0" showInputMessage="0" showErrorMessage="0" allowBlank="0" type="list">
      <formula1>"✅ Compliant,⚠️ Partial,❌ Non-Compliant,N/A"</formula1>
    </dataValidation>
    <dataValidation sqref="K8 K9 K10 K11 K12 K13 K14 K15 K16 K17 K18 K19 K20" showDropDown="0" showInputMessage="0" showErrorMessage="0" allowBlank="0" type="list">
      <formula1>"✅ Yes,❌ No"</formula1>
    </dataValidation>
    <dataValidation sqref="Q8 Q9 Q10 Q11 Q12 Q13 Q14 Q15 Q16 Q17 Q18 Q19 Q20" showDropDown="0" showInputMessage="0" showErrorMessage="0" allowBlank="0" type="list">
      <formula1>"✅ Yes,❌ No,⚠️ Unknown"</formula1>
    </dataValidation>
    <dataValidation sqref="B4" showDropDown="0" showInputMessage="0" showErrorMessage="0" allowBlank="0" type="list">
      <formula1>"✅ Yes,❌ No,⚠️ Not Applicable"</formula1>
    </dataValidation>
    <dataValidation sqref="C24 C25 C26 C27 C28 C29 C30 C31 C32 C33 C34 C35 C36 C37 C38 C39 C40" showDropDown="0" showInputMessage="0" showErrorMessage="0" allowBlank="0" type="list">
      <formula1>"✅ Yes,❌ No,N/A"</formula1>
    </dataValidation>
    <dataValidation sqref="B54 B56" showDropDown="0" showInputMessage="0" showErrorMessage="0" allowBlank="0" type="list">
      <formula1>"✅ Yes,❌ No"</formula1>
    </dataValidation>
    <dataValidation sqref="R8 R9 R10 R11 R12 R13 R14 R15 R16 R17 R18 R19 R20" showDropDown="0" showInputMessage="0" showErrorMessage="0" allowBlank="0" type="list">
      <formula1>"Hardware RNG,OS Crypto RNG,HSM RNG,TPM RNG,FIPS 140-2 Validated,NIST SP 800-90A,Non-compliant,N/A"</formula1>
    </dataValidation>
    <dataValidation sqref="S8 S9 S10 S11 S12 S13 S14 S15 S16 S17 S18 S19 S20" showDropDown="0" showInputMessage="0" showErrorMessage="0" allowBlank="0" type="list">
      <formula1>"HSM,KMS,TPM,Local System,Cloud Service,Smart Card,N/A"</formula1>
    </dataValidation>
    <dataValidation sqref="T8 T9 T10 T11 T12 T13 T14 T15 T16 T17 T18 T19 T20 U8 U9 U10 U11 U12 U13 U14 U15 U16 U17 U18 U19 U20 V8 V9 V10 V11 V12 V13 V14 V15 V16 V17 V18 V19 V20" showDropDown="0" showInputMessage="0" showErrorMessage="0" allowBlank="0" type="list">
      <formula1>"✅ Yes,❌ No,N/A"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74"/>
  <sheetViews>
    <sheetView showGridLines="0" workbookViewId="0">
      <pane ySplit="6" topLeftCell="A7" activePane="bottomLeft" state="frozen"/>
      <selection pane="bottomLeft" activeCell="A1" sqref="A1"/>
    </sheetView>
  </sheetViews>
  <sheetFormatPr baseColWidth="8" defaultRowHeight="15"/>
  <cols>
    <col width="30" customWidth="1" min="1" max="1"/>
    <col width="70" customWidth="1" min="2" max="2"/>
    <col width="20" customWidth="1" min="3" max="3"/>
    <col width="16" customWidth="1" min="4" max="4"/>
    <col width="22" customWidth="1" min="5" max="5"/>
    <col width="18" customWidth="1" min="6" max="6"/>
    <col width="18" customWidth="1" min="7" max="7"/>
    <col width="15" customWidth="1" min="8" max="8"/>
    <col width="28" customWidth="1" min="9" max="9"/>
    <col width="30" customWidth="1" min="10" max="10"/>
    <col width="14" customWidth="1" min="11" max="11"/>
    <col width="14" customWidth="1" min="12" max="12"/>
    <col width="14" customWidth="1" min="13" max="13"/>
    <col width="30" customWidth="1" min="14" max="14"/>
    <col width="20" customWidth="1" min="15" max="15"/>
    <col width="14" customWidth="1" min="16" max="16"/>
    <col width="15" customWidth="1" min="17" max="17"/>
    <col width="25" customWidth="1" min="18" max="18"/>
    <col width="16" customWidth="1" min="19" max="19"/>
    <col width="22" customWidth="1" min="20" max="20"/>
    <col width="16" customWidth="1" min="21" max="21"/>
    <col width="20" customWidth="1" min="22" max="22"/>
    <col width="16" customWidth="1" min="23" max="23"/>
  </cols>
  <sheetData>
    <row r="1" ht="35" customHeight="1">
      <c r="A1" s="11" t="inlineStr">
        <is>
          <t>2. KEY STORAGE - SECURE KEY PROTECTION
Policy Requirement: Cryptographic keys MUST be stored in hardware security modules (HSM), cloud KMS, or TPM for production systems. Software keystores permitted only for non-production with documented risk acceptance (Policy Section 2.4.2)</t>
        </is>
      </c>
      <c r="B1" s="6" t="n"/>
      <c r="C1" s="6" t="n"/>
      <c r="D1" s="6" t="n"/>
      <c r="E1" s="6" t="n"/>
      <c r="F1" s="6" t="n"/>
      <c r="G1" s="6" t="n"/>
      <c r="H1" s="6" t="n"/>
      <c r="I1" s="6" t="n"/>
      <c r="J1" s="6" t="n"/>
      <c r="K1" s="6" t="n"/>
      <c r="L1" s="6" t="n"/>
      <c r="M1" s="6" t="n"/>
      <c r="N1" s="6" t="n"/>
      <c r="O1" s="6" t="n"/>
      <c r="P1" s="6" t="n"/>
      <c r="Q1" s="6" t="n"/>
      <c r="R1" s="6" t="n"/>
      <c r="S1" s="6" t="n"/>
      <c r="T1" s="6" t="n"/>
      <c r="U1" s="6" t="n"/>
      <c r="V1" s="6" t="n"/>
      <c r="W1" s="6" t="n"/>
    </row>
    <row r="2">
      <c r="A2" s="12" t="inlineStr">
        <is>
          <t>ISO/IEC 27001:2022 | Control A.8.24: Use of Cryptography</t>
        </is>
      </c>
    </row>
    <row r="3" ht="30" customHeight="1">
      <c r="A3" s="13" t="inlineStr">
        <is>
          <t>Does your organisation store cryptographic keys that require protection?</t>
        </is>
      </c>
      <c r="B3" s="6" t="n"/>
      <c r="C3" s="6" t="n"/>
      <c r="D3" s="6" t="n"/>
      <c r="E3" s="6" t="n"/>
      <c r="F3" s="6" t="n"/>
      <c r="G3" s="6" t="n"/>
      <c r="H3" s="6" t="n"/>
      <c r="I3" s="6" t="n"/>
      <c r="J3" s="6" t="n"/>
      <c r="K3" s="6" t="n"/>
      <c r="L3" s="6" t="n"/>
      <c r="M3" s="6" t="n"/>
      <c r="N3" s="6" t="n"/>
      <c r="O3" s="6" t="n"/>
      <c r="P3" s="6" t="n"/>
      <c r="Q3" s="6" t="n"/>
      <c r="R3" s="6" t="n"/>
      <c r="S3" s="6" t="n"/>
      <c r="T3" s="6" t="n"/>
      <c r="U3" s="6" t="n"/>
      <c r="V3" s="6" t="n"/>
      <c r="W3" s="6" t="n"/>
    </row>
    <row r="4">
      <c r="A4" s="14" t="inlineStr">
        <is>
          <t>Response:</t>
        </is>
      </c>
      <c r="B4" s="15" t="n"/>
    </row>
    <row r="6">
      <c r="A6" s="16" t="inlineStr">
        <is>
          <t>System/Service</t>
        </is>
      </c>
      <c r="B6" s="16" t="inlineStr">
        <is>
          <t>Key Type</t>
        </is>
      </c>
      <c r="C6" s="16" t="inlineStr">
        <is>
          <t>Algorithm</t>
        </is>
      </c>
      <c r="D6" s="16" t="inlineStr">
        <is>
          <t>Key Length (bits)</t>
        </is>
      </c>
      <c r="E6" s="16" t="inlineStr">
        <is>
          <t>Storage Method</t>
        </is>
      </c>
      <c r="F6" s="16" t="inlineStr">
        <is>
          <t>Data Classification</t>
        </is>
      </c>
      <c r="G6" s="16" t="inlineStr">
        <is>
          <t>Lifecycle Stage</t>
        </is>
      </c>
      <c r="H6" s="16" t="inlineStr">
        <is>
          <t>Status</t>
        </is>
      </c>
      <c r="I6" s="16" t="inlineStr">
        <is>
          <t>Evidence Location</t>
        </is>
      </c>
      <c r="J6" s="16" t="inlineStr">
        <is>
          <t>Gap Description</t>
        </is>
      </c>
      <c r="K6" s="16" t="inlineStr">
        <is>
          <t>Remediation Needed</t>
        </is>
      </c>
      <c r="L6" s="16" t="inlineStr">
        <is>
          <t>Exception ID</t>
        </is>
      </c>
      <c r="M6" s="16" t="inlineStr">
        <is>
          <t>Risk ID</t>
        </is>
      </c>
      <c r="N6" s="16" t="inlineStr">
        <is>
          <t>Compensating Controls</t>
        </is>
      </c>
      <c r="O6" s="16" t="inlineStr">
        <is>
          <t>Responsible Person</t>
        </is>
      </c>
      <c r="P6" s="16" t="inlineStr">
        <is>
          <t>Target Date</t>
        </is>
      </c>
      <c r="Q6" s="16" t="inlineStr">
        <is>
          <t>Budget Required</t>
        </is>
      </c>
      <c r="R6" s="16" t="inlineStr">
        <is>
          <t>HSM/KMS Model</t>
        </is>
      </c>
      <c r="S6" s="16" t="inlineStr">
        <is>
          <t>FIPS 140 Level</t>
        </is>
      </c>
      <c r="T6" s="16" t="inlineStr">
        <is>
          <t>Access Control Method</t>
        </is>
      </c>
      <c r="U6" s="16" t="inlineStr">
        <is>
          <t>Encryption at Rest</t>
        </is>
      </c>
      <c r="V6" s="16" t="inlineStr">
        <is>
          <t>Physical Security</t>
        </is>
      </c>
      <c r="W6" s="16" t="inlineStr">
        <is>
          <t>Key Backup Exists</t>
        </is>
      </c>
    </row>
    <row r="7">
      <c r="A7" s="17" t="inlineStr">
        <is>
          <t>Example: Azure Key Vault - App1 Keys</t>
        </is>
      </c>
      <c r="B7" s="17" t="inlineStr">
        <is>
          <t>Key Encryption Key</t>
        </is>
      </c>
      <c r="C7" s="17" t="inlineStr">
        <is>
          <t>RSA-4096</t>
        </is>
      </c>
      <c r="D7" s="17" t="inlineStr">
        <is>
          <t>4096</t>
        </is>
      </c>
      <c r="E7" s="17" t="inlineStr">
        <is>
          <t>Cloud KMS</t>
        </is>
      </c>
      <c r="F7" s="17" t="inlineStr">
        <is>
          <t>Confidential</t>
        </is>
      </c>
      <c r="G7" s="17" t="inlineStr">
        <is>
          <t>Active</t>
        </is>
      </c>
      <c r="H7" s="17" t="inlineStr">
        <is>
          <t>✅ Compliant</t>
        </is>
      </c>
      <c r="I7" s="17" t="inlineStr">
        <is>
          <t>/evidence/key-mgmt/app1-kv-config.pdf</t>
        </is>
      </c>
      <c r="J7" s="17" t="inlineStr">
        <is>
          <t>None</t>
        </is>
      </c>
      <c r="K7" s="17" t="inlineStr">
        <is>
          <t>No</t>
        </is>
      </c>
      <c r="L7" s="17" t="inlineStr">
        <is>
          <t>N/A</t>
        </is>
      </c>
      <c r="M7" s="17" t="inlineStr">
        <is>
          <t>N/A</t>
        </is>
      </c>
      <c r="N7" s="17" t="inlineStr">
        <is>
          <t>N/A</t>
        </is>
      </c>
      <c r="O7" s="17" t="inlineStr">
        <is>
          <t>N/A</t>
        </is>
      </c>
      <c r="P7" s="17" t="inlineStr">
        <is>
          <t>N/A</t>
        </is>
      </c>
      <c r="Q7" s="17" t="inlineStr">
        <is>
          <t>No</t>
        </is>
      </c>
      <c r="R7" s="17" t="inlineStr">
        <is>
          <t>Azure Key Vault</t>
        </is>
      </c>
      <c r="S7" s="17" t="inlineStr">
        <is>
          <t>Level 2</t>
        </is>
      </c>
      <c r="T7" s="17" t="inlineStr">
        <is>
          <t>MFA Required</t>
        </is>
      </c>
      <c r="U7" s="17" t="inlineStr">
        <is>
          <t>Yes</t>
        </is>
      </c>
      <c r="V7" s="17" t="inlineStr">
        <is>
          <t>Cloud Provider</t>
        </is>
      </c>
      <c r="W7" s="17" t="inlineStr">
        <is>
          <t>Yes</t>
        </is>
      </c>
    </row>
    <row r="8">
      <c r="A8" s="18" t="n"/>
      <c r="B8" s="18" t="n"/>
      <c r="C8" s="18" t="n"/>
      <c r="D8" s="18" t="n"/>
      <c r="E8" s="18" t="n"/>
      <c r="F8" s="18" t="n"/>
      <c r="G8" s="18" t="n"/>
      <c r="H8" s="18" t="n"/>
      <c r="I8" s="18" t="n"/>
      <c r="J8" s="18" t="n"/>
      <c r="K8" s="18" t="n"/>
      <c r="L8" s="18" t="n"/>
      <c r="M8" s="18" t="n"/>
      <c r="N8" s="18" t="n"/>
      <c r="O8" s="18" t="n"/>
      <c r="P8" s="18" t="n"/>
      <c r="Q8" s="18" t="n"/>
      <c r="R8" s="18" t="n"/>
      <c r="S8" s="18" t="n"/>
      <c r="T8" s="18" t="n"/>
      <c r="U8" s="18" t="n"/>
      <c r="V8" s="18" t="n"/>
      <c r="W8" s="18" t="n"/>
    </row>
    <row r="9">
      <c r="A9" s="18" t="n"/>
      <c r="B9" s="18" t="n"/>
      <c r="C9" s="18" t="n"/>
      <c r="D9" s="18" t="n"/>
      <c r="E9" s="18" t="n"/>
      <c r="F9" s="18" t="n"/>
      <c r="G9" s="18" t="n"/>
      <c r="H9" s="18" t="n"/>
      <c r="I9" s="18" t="n"/>
      <c r="J9" s="18" t="n"/>
      <c r="K9" s="18" t="n"/>
      <c r="L9" s="18" t="n"/>
      <c r="M9" s="18" t="n"/>
      <c r="N9" s="18" t="n"/>
      <c r="O9" s="18" t="n"/>
      <c r="P9" s="18" t="n"/>
      <c r="Q9" s="18" t="n"/>
      <c r="R9" s="18" t="n"/>
      <c r="S9" s="18" t="n"/>
      <c r="T9" s="18" t="n"/>
      <c r="U9" s="18" t="n"/>
      <c r="V9" s="18" t="n"/>
      <c r="W9" s="18" t="n"/>
    </row>
    <row r="10">
      <c r="A10" s="18" t="n"/>
      <c r="B10" s="18" t="n"/>
      <c r="C10" s="18" t="n"/>
      <c r="D10" s="18" t="n"/>
      <c r="E10" s="18" t="n"/>
      <c r="F10" s="18" t="n"/>
      <c r="G10" s="18" t="n"/>
      <c r="H10" s="18" t="n"/>
      <c r="I10" s="18" t="n"/>
      <c r="J10" s="18" t="n"/>
      <c r="K10" s="18" t="n"/>
      <c r="L10" s="18" t="n"/>
      <c r="M10" s="18" t="n"/>
      <c r="N10" s="18" t="n"/>
      <c r="O10" s="18" t="n"/>
      <c r="P10" s="18" t="n"/>
      <c r="Q10" s="18" t="n"/>
      <c r="R10" s="18" t="n"/>
      <c r="S10" s="18" t="n"/>
      <c r="T10" s="18" t="n"/>
      <c r="U10" s="18" t="n"/>
      <c r="V10" s="18" t="n"/>
      <c r="W10" s="18" t="n"/>
    </row>
    <row r="11">
      <c r="A11" s="18" t="n"/>
      <c r="B11" s="18" t="n"/>
      <c r="C11" s="18" t="n"/>
      <c r="D11" s="18" t="n"/>
      <c r="E11" s="18" t="n"/>
      <c r="F11" s="18" t="n"/>
      <c r="G11" s="18" t="n"/>
      <c r="H11" s="18" t="n"/>
      <c r="I11" s="18" t="n"/>
      <c r="J11" s="18" t="n"/>
      <c r="K11" s="18" t="n"/>
      <c r="L11" s="18" t="n"/>
      <c r="M11" s="18" t="n"/>
      <c r="N11" s="18" t="n"/>
      <c r="O11" s="18" t="n"/>
      <c r="P11" s="18" t="n"/>
      <c r="Q11" s="18" t="n"/>
      <c r="R11" s="18" t="n"/>
      <c r="S11" s="18" t="n"/>
      <c r="T11" s="18" t="n"/>
      <c r="U11" s="18" t="n"/>
      <c r="V11" s="18" t="n"/>
      <c r="W11" s="18" t="n"/>
    </row>
    <row r="12">
      <c r="A12" s="18" t="n"/>
      <c r="B12" s="18" t="n"/>
      <c r="C12" s="18" t="n"/>
      <c r="D12" s="18" t="n"/>
      <c r="E12" s="18" t="n"/>
      <c r="F12" s="18" t="n"/>
      <c r="G12" s="18" t="n"/>
      <c r="H12" s="18" t="n"/>
      <c r="I12" s="18" t="n"/>
      <c r="J12" s="18" t="n"/>
      <c r="K12" s="18" t="n"/>
      <c r="L12" s="18" t="n"/>
      <c r="M12" s="18" t="n"/>
      <c r="N12" s="18" t="n"/>
      <c r="O12" s="18" t="n"/>
      <c r="P12" s="18" t="n"/>
      <c r="Q12" s="18" t="n"/>
      <c r="R12" s="18" t="n"/>
      <c r="S12" s="18" t="n"/>
      <c r="T12" s="18" t="n"/>
      <c r="U12" s="18" t="n"/>
      <c r="V12" s="18" t="n"/>
      <c r="W12" s="18" t="n"/>
    </row>
    <row r="13">
      <c r="A13" s="18" t="n"/>
      <c r="B13" s="18" t="n"/>
      <c r="C13" s="18" t="n"/>
      <c r="D13" s="18" t="n"/>
      <c r="E13" s="18" t="n"/>
      <c r="F13" s="18" t="n"/>
      <c r="G13" s="18" t="n"/>
      <c r="H13" s="18" t="n"/>
      <c r="I13" s="18" t="n"/>
      <c r="J13" s="18" t="n"/>
      <c r="K13" s="18" t="n"/>
      <c r="L13" s="18" t="n"/>
      <c r="M13" s="18" t="n"/>
      <c r="N13" s="18" t="n"/>
      <c r="O13" s="18" t="n"/>
      <c r="P13" s="18" t="n"/>
      <c r="Q13" s="18" t="n"/>
      <c r="R13" s="18" t="n"/>
      <c r="S13" s="18" t="n"/>
      <c r="T13" s="18" t="n"/>
      <c r="U13" s="18" t="n"/>
      <c r="V13" s="18" t="n"/>
      <c r="W13" s="18" t="n"/>
    </row>
    <row r="14">
      <c r="A14" s="18" t="n"/>
      <c r="B14" s="18" t="n"/>
      <c r="C14" s="18" t="n"/>
      <c r="D14" s="18" t="n"/>
      <c r="E14" s="18" t="n"/>
      <c r="F14" s="18" t="n"/>
      <c r="G14" s="18" t="n"/>
      <c r="H14" s="18" t="n"/>
      <c r="I14" s="18" t="n"/>
      <c r="J14" s="18" t="n"/>
      <c r="K14" s="18" t="n"/>
      <c r="L14" s="18" t="n"/>
      <c r="M14" s="18" t="n"/>
      <c r="N14" s="18" t="n"/>
      <c r="O14" s="18" t="n"/>
      <c r="P14" s="18" t="n"/>
      <c r="Q14" s="18" t="n"/>
      <c r="R14" s="18" t="n"/>
      <c r="S14" s="18" t="n"/>
      <c r="T14" s="18" t="n"/>
      <c r="U14" s="18" t="n"/>
      <c r="V14" s="18" t="n"/>
      <c r="W14" s="18" t="n"/>
    </row>
    <row r="15">
      <c r="A15" s="18" t="n"/>
      <c r="B15" s="18" t="n"/>
      <c r="C15" s="18" t="n"/>
      <c r="D15" s="18" t="n"/>
      <c r="E15" s="18" t="n"/>
      <c r="F15" s="18" t="n"/>
      <c r="G15" s="18" t="n"/>
      <c r="H15" s="18" t="n"/>
      <c r="I15" s="18" t="n"/>
      <c r="J15" s="18" t="n"/>
      <c r="K15" s="18" t="n"/>
      <c r="L15" s="18" t="n"/>
      <c r="M15" s="18" t="n"/>
      <c r="N15" s="18" t="n"/>
      <c r="O15" s="18" t="n"/>
      <c r="P15" s="18" t="n"/>
      <c r="Q15" s="18" t="n"/>
      <c r="R15" s="18" t="n"/>
      <c r="S15" s="18" t="n"/>
      <c r="T15" s="18" t="n"/>
      <c r="U15" s="18" t="n"/>
      <c r="V15" s="18" t="n"/>
      <c r="W15" s="18" t="n"/>
    </row>
    <row r="16">
      <c r="A16" s="18" t="n"/>
      <c r="B16" s="18" t="n"/>
      <c r="C16" s="18" t="n"/>
      <c r="D16" s="18" t="n"/>
      <c r="E16" s="18" t="n"/>
      <c r="F16" s="18" t="n"/>
      <c r="G16" s="18" t="n"/>
      <c r="H16" s="18" t="n"/>
      <c r="I16" s="18" t="n"/>
      <c r="J16" s="18" t="n"/>
      <c r="K16" s="18" t="n"/>
      <c r="L16" s="18" t="n"/>
      <c r="M16" s="18" t="n"/>
      <c r="N16" s="18" t="n"/>
      <c r="O16" s="18" t="n"/>
      <c r="P16" s="18" t="n"/>
      <c r="Q16" s="18" t="n"/>
      <c r="R16" s="18" t="n"/>
      <c r="S16" s="18" t="n"/>
      <c r="T16" s="18" t="n"/>
      <c r="U16" s="18" t="n"/>
      <c r="V16" s="18" t="n"/>
      <c r="W16" s="18" t="n"/>
    </row>
    <row r="17">
      <c r="A17" s="18" t="n"/>
      <c r="B17" s="18" t="n"/>
      <c r="C17" s="18" t="n"/>
      <c r="D17" s="18" t="n"/>
      <c r="E17" s="18" t="n"/>
      <c r="F17" s="18" t="n"/>
      <c r="G17" s="18" t="n"/>
      <c r="H17" s="18" t="n"/>
      <c r="I17" s="18" t="n"/>
      <c r="J17" s="18" t="n"/>
      <c r="K17" s="18" t="n"/>
      <c r="L17" s="18" t="n"/>
      <c r="M17" s="18" t="n"/>
      <c r="N17" s="18" t="n"/>
      <c r="O17" s="18" t="n"/>
      <c r="P17" s="18" t="n"/>
      <c r="Q17" s="18" t="n"/>
      <c r="R17" s="18" t="n"/>
      <c r="S17" s="18" t="n"/>
      <c r="T17" s="18" t="n"/>
      <c r="U17" s="18" t="n"/>
      <c r="V17" s="18" t="n"/>
      <c r="W17" s="18" t="n"/>
    </row>
    <row r="18">
      <c r="A18" s="18" t="n"/>
      <c r="B18" s="18" t="n"/>
      <c r="C18" s="18" t="n"/>
      <c r="D18" s="18" t="n"/>
      <c r="E18" s="18" t="n"/>
      <c r="F18" s="18" t="n"/>
      <c r="G18" s="18" t="n"/>
      <c r="H18" s="18" t="n"/>
      <c r="I18" s="18" t="n"/>
      <c r="J18" s="18" t="n"/>
      <c r="K18" s="18" t="n"/>
      <c r="L18" s="18" t="n"/>
      <c r="M18" s="18" t="n"/>
      <c r="N18" s="18" t="n"/>
      <c r="O18" s="18" t="n"/>
      <c r="P18" s="18" t="n"/>
      <c r="Q18" s="18" t="n"/>
      <c r="R18" s="18" t="n"/>
      <c r="S18" s="18" t="n"/>
      <c r="T18" s="18" t="n"/>
      <c r="U18" s="18" t="n"/>
      <c r="V18" s="18" t="n"/>
      <c r="W18" s="18" t="n"/>
    </row>
    <row r="19">
      <c r="A19" s="18" t="n"/>
      <c r="B19" s="18" t="n"/>
      <c r="C19" s="18" t="n"/>
      <c r="D19" s="18" t="n"/>
      <c r="E19" s="18" t="n"/>
      <c r="F19" s="18" t="n"/>
      <c r="G19" s="18" t="n"/>
      <c r="H19" s="18" t="n"/>
      <c r="I19" s="18" t="n"/>
      <c r="J19" s="18" t="n"/>
      <c r="K19" s="18" t="n"/>
      <c r="L19" s="18" t="n"/>
      <c r="M19" s="18" t="n"/>
      <c r="N19" s="18" t="n"/>
      <c r="O19" s="18" t="n"/>
      <c r="P19" s="18" t="n"/>
      <c r="Q19" s="18" t="n"/>
      <c r="R19" s="18" t="n"/>
      <c r="S19" s="18" t="n"/>
      <c r="T19" s="18" t="n"/>
      <c r="U19" s="18" t="n"/>
      <c r="V19" s="18" t="n"/>
      <c r="W19" s="18" t="n"/>
    </row>
    <row r="20">
      <c r="A20" s="18" t="n"/>
      <c r="B20" s="18" t="n"/>
      <c r="C20" s="18" t="n"/>
      <c r="D20" s="18" t="n"/>
      <c r="E20" s="18" t="n"/>
      <c r="F20" s="18" t="n"/>
      <c r="G20" s="18" t="n"/>
      <c r="H20" s="18" t="n"/>
      <c r="I20" s="18" t="n"/>
      <c r="J20" s="18" t="n"/>
      <c r="K20" s="18" t="n"/>
      <c r="L20" s="18" t="n"/>
      <c r="M20" s="18" t="n"/>
      <c r="N20" s="18" t="n"/>
      <c r="O20" s="18" t="n"/>
      <c r="P20" s="18" t="n"/>
      <c r="Q20" s="18" t="n"/>
      <c r="R20" s="18" t="n"/>
      <c r="S20" s="18" t="n"/>
      <c r="T20" s="18" t="n"/>
      <c r="U20" s="18" t="n"/>
      <c r="V20" s="18" t="n"/>
      <c r="W20" s="18" t="n"/>
    </row>
    <row r="22">
      <c r="A22" s="19" t="inlineStr">
        <is>
          <t>2. KEY STORAGE CHECKLIST</t>
        </is>
      </c>
    </row>
    <row r="23">
      <c r="A23" s="14" t="inlineStr">
        <is>
          <t>☐</t>
        </is>
      </c>
      <c r="B23" s="14" t="inlineStr">
        <is>
          <t>Requirement</t>
        </is>
      </c>
      <c r="C23" s="14" t="inlineStr">
        <is>
          <t>Status</t>
        </is>
      </c>
    </row>
    <row r="24">
      <c r="A24" t="inlineStr">
        <is>
          <t>☐</t>
        </is>
      </c>
      <c r="B24" t="inlineStr">
        <is>
          <t>Production keys stored in HSM, cloud KMS, or TPM</t>
        </is>
      </c>
      <c r="C24" s="15" t="n"/>
    </row>
    <row r="25">
      <c r="A25" t="inlineStr">
        <is>
          <t>☐</t>
        </is>
      </c>
      <c r="B25" t="inlineStr">
        <is>
          <t>FIPS 140-2 Level 2+ (or FIPS 140-3 equivalent) for production</t>
        </is>
      </c>
      <c r="C25" s="15" t="n"/>
    </row>
    <row r="26">
      <c r="A26" t="inlineStr">
        <is>
          <t>☐</t>
        </is>
      </c>
      <c r="B26" t="inlineStr">
        <is>
          <t>Keys encrypted when stored (key encryption keys protected by HSM)</t>
        </is>
      </c>
      <c r="C26" s="15" t="n"/>
    </row>
    <row r="27">
      <c r="A27" t="inlineStr">
        <is>
          <t>☐</t>
        </is>
      </c>
      <c r="B27" t="inlineStr">
        <is>
          <t>Keys never stored in plaintext files or code repositories</t>
        </is>
      </c>
      <c r="C27" s="15" t="n"/>
    </row>
    <row r="28">
      <c r="A28" t="inlineStr">
        <is>
          <t>☐</t>
        </is>
      </c>
      <c r="B28" t="inlineStr">
        <is>
          <t>Keys never stored in application configuration files</t>
        </is>
      </c>
      <c r="C28" s="15" t="n"/>
    </row>
    <row r="29">
      <c r="A29" t="inlineStr">
        <is>
          <t>☐</t>
        </is>
      </c>
      <c r="B29" t="inlineStr">
        <is>
          <t>Keys never stored in environment variables (production)</t>
        </is>
      </c>
      <c r="C29" s="15" t="n"/>
    </row>
    <row r="30">
      <c r="A30" t="inlineStr">
        <is>
          <t>☐</t>
        </is>
      </c>
      <c r="B30" t="inlineStr">
        <is>
          <t>Keys never stored in databases without encryption</t>
        </is>
      </c>
      <c r="C30" s="15" t="n"/>
    </row>
    <row r="31">
      <c r="A31" t="inlineStr">
        <is>
          <t>☐</t>
        </is>
      </c>
      <c r="B31" t="inlineStr">
        <is>
          <t>Access to keys restricted by role-based access control (RBAC)</t>
        </is>
      </c>
      <c r="C31" s="15" t="n"/>
    </row>
    <row r="32">
      <c r="A32" t="inlineStr">
        <is>
          <t>☐</t>
        </is>
      </c>
      <c r="B32" t="inlineStr">
        <is>
          <t>Multi-factor authentication required for key access</t>
        </is>
      </c>
      <c r="C32" s="15" t="n"/>
    </row>
    <row r="33">
      <c r="A33" t="inlineStr">
        <is>
          <t>☐</t>
        </is>
      </c>
      <c r="B33" t="inlineStr">
        <is>
          <t>Dual control/split knowledge for master keys</t>
        </is>
      </c>
      <c r="C33" s="15" t="n"/>
    </row>
    <row r="34">
      <c r="A34" t="inlineStr">
        <is>
          <t>☐</t>
        </is>
      </c>
      <c r="B34" t="inlineStr">
        <is>
          <t>Key access logged and monitored</t>
        </is>
      </c>
      <c r="C34" s="15" t="n"/>
    </row>
    <row r="35">
      <c r="A35" t="inlineStr">
        <is>
          <t>☐</t>
        </is>
      </c>
      <c r="B35" t="inlineStr">
        <is>
          <t>Keys physically secured (locked facilities, tamper-evident HSMs)</t>
        </is>
      </c>
      <c r="C35" s="15" t="n"/>
    </row>
    <row r="36">
      <c r="A36" t="inlineStr">
        <is>
          <t>☐</t>
        </is>
      </c>
      <c r="B36" t="inlineStr">
        <is>
          <t>Key storage location geographically documented</t>
        </is>
      </c>
      <c r="C36" s="15" t="n"/>
    </row>
    <row r="37">
      <c r="A37" t="inlineStr">
        <is>
          <t>☐</t>
        </is>
      </c>
      <c r="B37" t="inlineStr">
        <is>
          <t>Keys stored separately from encrypted data</t>
        </is>
      </c>
      <c r="C37" s="15" t="n"/>
    </row>
    <row r="38">
      <c r="A38" t="inlineStr">
        <is>
          <t>☐</t>
        </is>
      </c>
      <c r="B38" t="inlineStr">
        <is>
          <t>Backup keys stored with equal or greater security</t>
        </is>
      </c>
      <c r="C38" s="15" t="n"/>
    </row>
    <row r="39">
      <c r="A39" t="inlineStr">
        <is>
          <t>☐</t>
        </is>
      </c>
      <c r="B39" t="inlineStr">
        <is>
          <t>Key export restricted and logged</t>
        </is>
      </c>
      <c r="C39" s="15" t="n"/>
    </row>
    <row r="40">
      <c r="A40" t="inlineStr">
        <is>
          <t>☐</t>
        </is>
      </c>
      <c r="B40" t="inlineStr">
        <is>
          <t>Unused/obsolete keys securely destroyed</t>
        </is>
      </c>
      <c r="C40" s="15" t="n"/>
    </row>
    <row r="41">
      <c r="A41" s="14" t="inlineStr">
        <is>
          <t>Checklist Score:</t>
        </is>
      </c>
      <c r="B41" s="20">
        <f>IFERROR(ROUND(COUNTIF(C24:C40,"✅ Yes")/COUNTA(C24:C40)*100,0)&amp;"%","0%")</f>
        <v/>
      </c>
    </row>
    <row r="43">
      <c r="A43" s="19" t="inlineStr">
        <is>
          <t>APPROVED KEY STORAGE SOLUTIONS</t>
        </is>
      </c>
    </row>
    <row r="44">
      <c r="A44" s="16" t="inlineStr">
        <is>
          <t>Solution Type</t>
        </is>
      </c>
      <c r="B44" s="16" t="inlineStr">
        <is>
          <t>Examples</t>
        </is>
      </c>
      <c r="C44" s="16" t="inlineStr">
        <is>
          <t>FIPS 140-2 Level</t>
        </is>
      </c>
      <c r="D44" s="16" t="inlineStr">
        <is>
          <t>Use Case</t>
        </is>
      </c>
    </row>
    <row r="45">
      <c r="A45" s="8" t="inlineStr">
        <is>
          <t>Hardware HSM</t>
        </is>
      </c>
      <c r="B45" s="8" t="inlineStr">
        <is>
          <t>Thales Luna, Entrust nShield, Utimaco</t>
        </is>
      </c>
      <c r="C45" s="8" t="inlineStr">
        <is>
          <t>Level 3/4</t>
        </is>
      </c>
      <c r="D45" s="8" t="inlineStr">
        <is>
          <t>High-security production</t>
        </is>
      </c>
    </row>
    <row r="46">
      <c r="A46" s="8" t="inlineStr">
        <is>
          <t>Cloud HSM</t>
        </is>
      </c>
      <c r="B46" s="8" t="inlineStr">
        <is>
          <t>AWS CloudHSM, Azure Dedicated HSM</t>
        </is>
      </c>
      <c r="C46" s="8" t="inlineStr">
        <is>
          <t>Level 3</t>
        </is>
      </c>
      <c r="D46" s="8" t="inlineStr">
        <is>
          <t>Cloud-native high-security</t>
        </is>
      </c>
    </row>
    <row r="47">
      <c r="A47" s="8" t="inlineStr">
        <is>
          <t>Cloud KMS</t>
        </is>
      </c>
      <c r="B47" s="8" t="inlineStr">
        <is>
          <t>AWS KMS, Azure Key Vault, GCP Cloud KMS</t>
        </is>
      </c>
      <c r="C47" s="8" t="inlineStr">
        <is>
          <t>Level 2/3</t>
        </is>
      </c>
      <c r="D47" s="8" t="inlineStr">
        <is>
          <t>General cloud workloads</t>
        </is>
      </c>
    </row>
    <row r="48">
      <c r="A48" s="8" t="inlineStr">
        <is>
          <t>TPM</t>
        </is>
      </c>
      <c r="B48" s="8" t="inlineStr">
        <is>
          <t>TPM 2.0 (various vendors)</t>
        </is>
      </c>
      <c r="C48" s="8" t="inlineStr">
        <is>
          <t>Level 2</t>
        </is>
      </c>
      <c r="D48" s="8" t="inlineStr">
        <is>
          <t>Endpoint/device keys</t>
        </is>
      </c>
    </row>
    <row r="49">
      <c r="A49" s="8" t="inlineStr">
        <is>
          <t>Software Vault</t>
        </is>
      </c>
      <c r="B49" s="8" t="inlineStr">
        <is>
          <t>HashiCorp Vault, CyberArk</t>
        </is>
      </c>
      <c r="C49" s="8" t="inlineStr">
        <is>
          <t>Varies</t>
        </is>
      </c>
      <c r="D49" s="8" t="inlineStr">
        <is>
          <t>Non-production acceptable</t>
        </is>
      </c>
    </row>
    <row r="51">
      <c r="A51" s="21" t="inlineStr">
        <is>
          <t>EXCEPTION / DEVIATION DOCUMENTATION (Complete if Status = Partial or Non-Compliant)</t>
        </is>
      </c>
      <c r="B51" s="6" t="n"/>
      <c r="C51" s="6" t="n"/>
      <c r="D51" s="6" t="n"/>
      <c r="E51" s="6" t="n"/>
      <c r="F51" s="6" t="n"/>
      <c r="G51" s="6" t="n"/>
      <c r="H51" s="6" t="n"/>
      <c r="I51" s="6" t="n"/>
      <c r="J51" s="6" t="n"/>
      <c r="K51" s="6" t="n"/>
      <c r="L51" s="6" t="n"/>
      <c r="M51" s="6" t="n"/>
      <c r="N51" s="6" t="n"/>
      <c r="O51" s="6" t="n"/>
      <c r="P51" s="6" t="n"/>
      <c r="Q51" s="6" t="n"/>
      <c r="R51" s="6" t="n"/>
      <c r="S51" s="6" t="n"/>
      <c r="T51" s="6" t="n"/>
      <c r="U51" s="6" t="n"/>
      <c r="V51" s="6" t="n"/>
      <c r="W51" s="6" t="n"/>
    </row>
    <row r="52">
      <c r="A52" s="14" t="inlineStr">
        <is>
          <t>Formal exception request submitted:</t>
        </is>
      </c>
      <c r="B52" s="18" t="n"/>
      <c r="C52" s="6" t="n"/>
      <c r="D52" s="6" t="n"/>
    </row>
    <row r="53">
      <c r="A53" s="14" t="inlineStr">
        <is>
          <t>Exception ID:</t>
        </is>
      </c>
      <c r="B53" s="18" t="n"/>
      <c r="C53" s="6" t="n"/>
      <c r="D53" s="6" t="n"/>
    </row>
    <row r="54">
      <c r="A54" s="14" t="inlineStr">
        <is>
          <t>Risk acceptance documented:</t>
        </is>
      </c>
      <c r="B54" s="18" t="n"/>
      <c r="C54" s="6" t="n"/>
      <c r="D54" s="6" t="n"/>
    </row>
    <row r="55">
      <c r="A55" s="14" t="inlineStr">
        <is>
          <t>Risk ID:</t>
        </is>
      </c>
      <c r="B55" s="18" t="n"/>
      <c r="C55" s="6" t="n"/>
      <c r="D55" s="6" t="n"/>
    </row>
    <row r="56">
      <c r="A56" s="14" t="inlineStr">
        <is>
          <t>Compensating Controls (summary):</t>
        </is>
      </c>
      <c r="B56" s="18" t="n"/>
      <c r="C56" s="6" t="n"/>
      <c r="D56" s="6" t="n"/>
    </row>
    <row r="57">
      <c r="A57" s="14" t="inlineStr">
        <is>
          <t>☐ Enhanced monitoring and alerting</t>
        </is>
      </c>
      <c r="B57" s="18" t="n"/>
      <c r="C57" s="6" t="n"/>
      <c r="D57" s="6" t="n"/>
    </row>
    <row r="58">
      <c r="A58" s="14" t="inlineStr">
        <is>
          <t>☐ Restricted network access / air-gapped systems</t>
        </is>
      </c>
      <c r="B58" s="18" t="n"/>
      <c r="C58" s="6" t="n"/>
      <c r="D58" s="6" t="n"/>
    </row>
    <row r="59">
      <c r="A59" s="14" t="inlineStr">
        <is>
          <t>☐ Additional encryption layer</t>
        </is>
      </c>
      <c r="B59" s="18" t="n"/>
      <c r="C59" s="6" t="n"/>
      <c r="D59" s="6" t="n"/>
    </row>
    <row r="60">
      <c r="A60" s="14" t="inlineStr">
        <is>
          <t>☐ Manual key management procedures</t>
        </is>
      </c>
      <c r="B60" s="18" t="n"/>
      <c r="C60" s="6" t="n"/>
      <c r="D60" s="6" t="n"/>
    </row>
    <row r="61">
      <c r="A61" s="14" t="inlineStr">
        <is>
          <t>☐ Increased audit frequency</t>
        </is>
      </c>
      <c r="B61" s="18" t="n"/>
      <c r="C61" s="6" t="n"/>
      <c r="D61" s="6" t="n"/>
    </row>
    <row r="62">
      <c r="A62" s="14" t="inlineStr">
        <is>
          <t>☐ Physical security controls</t>
        </is>
      </c>
      <c r="B62" s="18" t="n"/>
      <c r="C62" s="6" t="n"/>
      <c r="D62" s="6" t="n"/>
    </row>
    <row r="63">
      <c r="A63" s="14" t="inlineStr">
        <is>
          <t>☐ Other (describe):</t>
        </is>
      </c>
      <c r="B63" s="18" t="n"/>
      <c r="C63" s="6" t="n"/>
      <c r="D63" s="6" t="n"/>
    </row>
    <row r="65">
      <c r="A65" s="22" t="inlineStr">
        <is>
          <t>ADDITIONAL NOTES / COMMENTS</t>
        </is>
      </c>
      <c r="B65" s="6" t="n"/>
      <c r="C65" s="6" t="n"/>
      <c r="D65" s="6" t="n"/>
      <c r="E65" s="6" t="n"/>
      <c r="F65" s="6" t="n"/>
      <c r="G65" s="6" t="n"/>
      <c r="H65" s="6" t="n"/>
      <c r="I65" s="6" t="n"/>
      <c r="J65" s="6" t="n"/>
      <c r="K65" s="6" t="n"/>
      <c r="L65" s="6" t="n"/>
      <c r="M65" s="6" t="n"/>
      <c r="N65" s="6" t="n"/>
      <c r="O65" s="6" t="n"/>
      <c r="P65" s="6" t="n"/>
      <c r="Q65" s="6" t="n"/>
      <c r="R65" s="6" t="n"/>
      <c r="S65" s="6" t="n"/>
      <c r="T65" s="6" t="n"/>
      <c r="U65" s="6" t="n"/>
      <c r="V65" s="6" t="n"/>
      <c r="W65" s="6" t="n"/>
    </row>
    <row r="66">
      <c r="A66" s="23" t="n"/>
      <c r="B66" s="6" t="n"/>
      <c r="C66" s="6" t="n"/>
      <c r="D66" s="6" t="n"/>
      <c r="E66" s="6" t="n"/>
      <c r="F66" s="6" t="n"/>
      <c r="G66" s="6" t="n"/>
      <c r="H66" s="6" t="n"/>
      <c r="I66" s="6" t="n"/>
      <c r="J66" s="6" t="n"/>
      <c r="K66" s="6" t="n"/>
      <c r="L66" s="6" t="n"/>
      <c r="M66" s="6" t="n"/>
      <c r="N66" s="6" t="n"/>
      <c r="O66" s="6" t="n"/>
      <c r="P66" s="6" t="n"/>
      <c r="Q66" s="6" t="n"/>
      <c r="R66" s="6" t="n"/>
      <c r="S66" s="6" t="n"/>
      <c r="T66" s="6" t="n"/>
      <c r="U66" s="6" t="n"/>
      <c r="V66" s="6" t="n"/>
      <c r="W66" s="6" t="n"/>
    </row>
    <row r="67">
      <c r="A67" s="6" t="n"/>
      <c r="B67" s="6" t="n"/>
      <c r="C67" s="6" t="n"/>
      <c r="D67" s="6" t="n"/>
      <c r="E67" s="6" t="n"/>
      <c r="F67" s="6" t="n"/>
      <c r="G67" s="6" t="n"/>
      <c r="H67" s="6" t="n"/>
      <c r="I67" s="6" t="n"/>
      <c r="J67" s="6" t="n"/>
      <c r="K67" s="6" t="n"/>
      <c r="L67" s="6" t="n"/>
      <c r="M67" s="6" t="n"/>
      <c r="N67" s="6" t="n"/>
      <c r="O67" s="6" t="n"/>
      <c r="P67" s="6" t="n"/>
      <c r="Q67" s="6" t="n"/>
      <c r="R67" s="6" t="n"/>
      <c r="S67" s="6" t="n"/>
      <c r="T67" s="6" t="n"/>
      <c r="U67" s="6" t="n"/>
      <c r="V67" s="6" t="n"/>
      <c r="W67" s="6" t="n"/>
    </row>
    <row r="68">
      <c r="A68" s="6" t="n"/>
      <c r="B68" s="6" t="n"/>
      <c r="C68" s="6" t="n"/>
      <c r="D68" s="6" t="n"/>
      <c r="E68" s="6" t="n"/>
      <c r="F68" s="6" t="n"/>
      <c r="G68" s="6" t="n"/>
      <c r="H68" s="6" t="n"/>
      <c r="I68" s="6" t="n"/>
      <c r="J68" s="6" t="n"/>
      <c r="K68" s="6" t="n"/>
      <c r="L68" s="6" t="n"/>
      <c r="M68" s="6" t="n"/>
      <c r="N68" s="6" t="n"/>
      <c r="O68" s="6" t="n"/>
      <c r="P68" s="6" t="n"/>
      <c r="Q68" s="6" t="n"/>
      <c r="R68" s="6" t="n"/>
      <c r="S68" s="6" t="n"/>
      <c r="T68" s="6" t="n"/>
      <c r="U68" s="6" t="n"/>
      <c r="V68" s="6" t="n"/>
      <c r="W68" s="6" t="n"/>
    </row>
    <row r="69">
      <c r="A69" s="6" t="n"/>
      <c r="B69" s="6" t="n"/>
      <c r="C69" s="6" t="n"/>
      <c r="D69" s="6" t="n"/>
      <c r="E69" s="6" t="n"/>
      <c r="F69" s="6" t="n"/>
      <c r="G69" s="6" t="n"/>
      <c r="H69" s="6" t="n"/>
      <c r="I69" s="6" t="n"/>
      <c r="J69" s="6" t="n"/>
      <c r="K69" s="6" t="n"/>
      <c r="L69" s="6" t="n"/>
      <c r="M69" s="6" t="n"/>
      <c r="N69" s="6" t="n"/>
      <c r="O69" s="6" t="n"/>
      <c r="P69" s="6" t="n"/>
      <c r="Q69" s="6" t="n"/>
      <c r="R69" s="6" t="n"/>
      <c r="S69" s="6" t="n"/>
      <c r="T69" s="6" t="n"/>
      <c r="U69" s="6" t="n"/>
      <c r="V69" s="6" t="n"/>
      <c r="W69" s="6" t="n"/>
    </row>
    <row r="70">
      <c r="A70" s="6" t="n"/>
      <c r="B70" s="6" t="n"/>
      <c r="C70" s="6" t="n"/>
      <c r="D70" s="6" t="n"/>
      <c r="E70" s="6" t="n"/>
      <c r="F70" s="6" t="n"/>
      <c r="G70" s="6" t="n"/>
      <c r="H70" s="6" t="n"/>
      <c r="I70" s="6" t="n"/>
      <c r="J70" s="6" t="n"/>
      <c r="K70" s="6" t="n"/>
      <c r="L70" s="6" t="n"/>
      <c r="M70" s="6" t="n"/>
      <c r="N70" s="6" t="n"/>
      <c r="O70" s="6" t="n"/>
      <c r="P70" s="6" t="n"/>
      <c r="Q70" s="6" t="n"/>
      <c r="R70" s="6" t="n"/>
      <c r="S70" s="6" t="n"/>
      <c r="T70" s="6" t="n"/>
      <c r="U70" s="6" t="n"/>
      <c r="V70" s="6" t="n"/>
      <c r="W70" s="6" t="n"/>
    </row>
    <row r="71">
      <c r="A71" s="6" t="n"/>
      <c r="B71" s="6" t="n"/>
      <c r="C71" s="6" t="n"/>
      <c r="D71" s="6" t="n"/>
      <c r="E71" s="6" t="n"/>
      <c r="F71" s="6" t="n"/>
      <c r="G71" s="6" t="n"/>
      <c r="H71" s="6" t="n"/>
      <c r="I71" s="6" t="n"/>
      <c r="J71" s="6" t="n"/>
      <c r="K71" s="6" t="n"/>
      <c r="L71" s="6" t="n"/>
      <c r="M71" s="6" t="n"/>
      <c r="N71" s="6" t="n"/>
      <c r="O71" s="6" t="n"/>
      <c r="P71" s="6" t="n"/>
      <c r="Q71" s="6" t="n"/>
      <c r="R71" s="6" t="n"/>
      <c r="S71" s="6" t="n"/>
      <c r="T71" s="6" t="n"/>
      <c r="U71" s="6" t="n"/>
      <c r="V71" s="6" t="n"/>
      <c r="W71" s="6" t="n"/>
    </row>
    <row r="72">
      <c r="A72" s="6" t="n"/>
      <c r="B72" s="6" t="n"/>
      <c r="C72" s="6" t="n"/>
      <c r="D72" s="6" t="n"/>
      <c r="E72" s="6" t="n"/>
      <c r="F72" s="6" t="n"/>
      <c r="G72" s="6" t="n"/>
      <c r="H72" s="6" t="n"/>
      <c r="I72" s="6" t="n"/>
      <c r="J72" s="6" t="n"/>
      <c r="K72" s="6" t="n"/>
      <c r="L72" s="6" t="n"/>
      <c r="M72" s="6" t="n"/>
      <c r="N72" s="6" t="n"/>
      <c r="O72" s="6" t="n"/>
      <c r="P72" s="6" t="n"/>
      <c r="Q72" s="6" t="n"/>
      <c r="R72" s="6" t="n"/>
      <c r="S72" s="6" t="n"/>
      <c r="T72" s="6" t="n"/>
      <c r="U72" s="6" t="n"/>
      <c r="V72" s="6" t="n"/>
      <c r="W72" s="6" t="n"/>
    </row>
    <row r="73">
      <c r="A73" s="6" t="n"/>
      <c r="B73" s="6" t="n"/>
      <c r="C73" s="6" t="n"/>
      <c r="D73" s="6" t="n"/>
      <c r="E73" s="6" t="n"/>
      <c r="F73" s="6" t="n"/>
      <c r="G73" s="6" t="n"/>
      <c r="H73" s="6" t="n"/>
      <c r="I73" s="6" t="n"/>
      <c r="J73" s="6" t="n"/>
      <c r="K73" s="6" t="n"/>
      <c r="L73" s="6" t="n"/>
      <c r="M73" s="6" t="n"/>
      <c r="N73" s="6" t="n"/>
      <c r="O73" s="6" t="n"/>
      <c r="P73" s="6" t="n"/>
      <c r="Q73" s="6" t="n"/>
      <c r="R73" s="6" t="n"/>
      <c r="S73" s="6" t="n"/>
      <c r="T73" s="6" t="n"/>
      <c r="U73" s="6" t="n"/>
      <c r="V73" s="6" t="n"/>
      <c r="W73" s="6" t="n"/>
    </row>
    <row r="74">
      <c r="A74" s="6" t="n"/>
      <c r="B74" s="6" t="n"/>
      <c r="C74" s="6" t="n"/>
      <c r="D74" s="6" t="n"/>
      <c r="E74" s="6" t="n"/>
      <c r="F74" s="6" t="n"/>
      <c r="G74" s="6" t="n"/>
      <c r="H74" s="6" t="n"/>
      <c r="I74" s="6" t="n"/>
      <c r="J74" s="6" t="n"/>
      <c r="K74" s="6" t="n"/>
      <c r="L74" s="6" t="n"/>
      <c r="M74" s="6" t="n"/>
      <c r="N74" s="6" t="n"/>
      <c r="O74" s="6" t="n"/>
      <c r="P74" s="6" t="n"/>
      <c r="Q74" s="6" t="n"/>
      <c r="R74" s="6" t="n"/>
      <c r="S74" s="6" t="n"/>
      <c r="T74" s="6" t="n"/>
      <c r="U74" s="6" t="n"/>
      <c r="V74" s="6" t="n"/>
      <c r="W74" s="6" t="n"/>
    </row>
  </sheetData>
  <mergeCells count="17">
    <mergeCell ref="B55:D55"/>
    <mergeCell ref="B59:D59"/>
    <mergeCell ref="A1:W1"/>
    <mergeCell ref="B60:D60"/>
    <mergeCell ref="B63:D63"/>
    <mergeCell ref="B61:D61"/>
    <mergeCell ref="A66:W74"/>
    <mergeCell ref="B57:D57"/>
    <mergeCell ref="A3:W3"/>
    <mergeCell ref="B56:D56"/>
    <mergeCell ref="B58:D58"/>
    <mergeCell ref="B52:D52"/>
    <mergeCell ref="B53:D53"/>
    <mergeCell ref="B62:D62"/>
    <mergeCell ref="A65:W65"/>
    <mergeCell ref="A51:W51"/>
    <mergeCell ref="B54:D54"/>
  </mergeCells>
  <dataValidations count="16">
    <dataValidation sqref="B8 B9 B10 B11 B12 B13 B14 B15 B16 B17 B18 B19 B20" showDropDown="0" showInputMessage="0" showErrorMessage="0" allowBlank="0" type="list">
      <formula1>"Encryption Key,Signing Key,Authentication Key,Certificate,Master Key,Data Encryption Key,Key Encryption Key,Session Key,N/A"</formula1>
    </dataValidation>
    <dataValidation sqref="C8 C9 C10 C11 C12 C13 C14 C15 C16 C17 C18 C19 C20" showDropDown="0" showInputMessage="0" showErrorMessage="0" allowBlank="0" type="list">
      <formula1>"AES-256,AES-128,RSA-4096,RSA-3072,RSA-2048,Ed25519,ECDSA P-256,ECDSA P-384,ChaCha20,Other,N/A"</formula1>
    </dataValidation>
    <dataValidation sqref="D8 D9 D10 D11 D12 D13 D14 D15 D16 D17 D18 D19 D20" showDropDown="0" showInputMessage="0" showErrorMessage="0" allowBlank="0" type="list">
      <formula1>"256,384,512,2048,3072,4096,8192,N/A"</formula1>
    </dataValidation>
    <dataValidation sqref="E8 E9 E10 E11 E12 E13 E14 E15 E16 E17 E18 E19 E20" showDropDown="0" showInputMessage="0" showErrorMessage="0" allowBlank="0" type="list">
      <formula1>"HSM,Cloud KMS,TPM,Software Keystore,File-based,Database,Smart Card,Vault,N/A"</formula1>
    </dataValidation>
    <dataValidation sqref="F8 F9 F10 F11 F12 F13 F14 F15 F16 F17 F18 F19 F20" showDropDown="0" showInputMessage="0" showErrorMessage="0" allowBlank="0" type="list">
      <formula1>"Public,Internal,Confidential,Restricted,N/A"</formula1>
    </dataValidation>
    <dataValidation sqref="G8 G9 G10 G11 G12 G13 G14 G15 G16 G17 G18 G19 G20" showDropDown="0" showInputMessage="0" showErrorMessage="0" allowBlank="0" type="list">
      <formula1>"Active,Suspended,Archived,Destroyed,Pending Rotation,N/A"</formula1>
    </dataValidation>
    <dataValidation sqref="H8 H9 H10 H11 H12 H13 H14 H15 H16 H17 H18 H19 H20" showDropDown="0" showInputMessage="0" showErrorMessage="0" allowBlank="0" type="list">
      <formula1>"✅ Compliant,⚠️ Partial,❌ Non-Compliant,N/A"</formula1>
    </dataValidation>
    <dataValidation sqref="K8 K9 K10 K11 K12 K13 K14 K15 K16 K17 K18 K19 K20" showDropDown="0" showInputMessage="0" showErrorMessage="0" allowBlank="0" type="list">
      <formula1>"✅ Yes,❌ No"</formula1>
    </dataValidation>
    <dataValidation sqref="Q8 Q9 Q10 Q11 Q12 Q13 Q14 Q15 Q16 Q17 Q18 Q19 Q20" showDropDown="0" showInputMessage="0" showErrorMessage="0" allowBlank="0" type="list">
      <formula1>"✅ Yes,❌ No,⚠️ Unknown"</formula1>
    </dataValidation>
    <dataValidation sqref="B4" showDropDown="0" showInputMessage="0" showErrorMessage="0" allowBlank="0" type="list">
      <formula1>"✅ Yes,❌ No,⚠️ Not Applicable"</formula1>
    </dataValidation>
    <dataValidation sqref="C24 C25 C26 C27 C28 C29 C30 C31 C32 C33 C34 C35 C36 C37 C38 C39 C40" showDropDown="0" showInputMessage="0" showErrorMessage="0" allowBlank="0" type="list">
      <formula1>"✅ Yes,❌ No,N/A"</formula1>
    </dataValidation>
    <dataValidation sqref="B52 B54" showDropDown="0" showInputMessage="0" showErrorMessage="0" allowBlank="0" type="list">
      <formula1>"✅ Yes,❌ No"</formula1>
    </dataValidation>
    <dataValidation sqref="S8 S9 S10 S11 S12 S13 S14 S15 S16 S17 S18 S19 S20" showDropDown="0" showInputMessage="0" showErrorMessage="0" allowBlank="0" type="list">
      <formula1>"Level 1,Level 2,Level 3,Level 4,Not Validated,N/A"</formula1>
    </dataValidation>
    <dataValidation sqref="T8 T9 T10 T11 T12 T13 T14 T15 T16 T17 T18 T19 T20" showDropDown="0" showInputMessage="0" showErrorMessage="0" allowBlank="0" type="list">
      <formula1>"Role-based,Certificate-based,MFA Required,PIN/Password,Smart Card,Dual Control,N/A"</formula1>
    </dataValidation>
    <dataValidation sqref="V8 V9 V10 V11 V12 V13 V14 V15 V16 V17 V18 V19 V20" showDropDown="0" showInputMessage="0" showErrorMessage="0" allowBlank="0" type="list">
      <formula1>"Locked Data Center,Secure Room,Tamper-evident,Cloud Provider,Inadequate,N/A"</formula1>
    </dataValidation>
    <dataValidation sqref="U8 U9 U10 U11 U12 U13 U14 U15 U16 U17 U18 U19 U20 W8 W9 W10 W11 W12 W13 W14 W15 W16 W17 W18 W19 W20" showDropDown="0" showInputMessage="0" showErrorMessage="0" allowBlank="0" type="list">
      <formula1>"✅ Yes,❌ No,N/A"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77"/>
  <sheetViews>
    <sheetView showGridLines="0" workbookViewId="0">
      <pane ySplit="6" topLeftCell="A7" activePane="bottomLeft" state="frozen"/>
      <selection pane="bottomLeft" activeCell="A1" sqref="A1"/>
    </sheetView>
  </sheetViews>
  <sheetFormatPr baseColWidth="8" defaultRowHeight="15"/>
  <cols>
    <col width="30" customWidth="1" min="1" max="1"/>
    <col width="70" customWidth="1" min="2" max="2"/>
    <col width="20" customWidth="1" min="3" max="3"/>
    <col width="16" customWidth="1" min="4" max="4"/>
    <col width="22" customWidth="1" min="5" max="5"/>
    <col width="18" customWidth="1" min="6" max="6"/>
    <col width="18" customWidth="1" min="7" max="7"/>
    <col width="15" customWidth="1" min="8" max="8"/>
    <col width="28" customWidth="1" min="9" max="9"/>
    <col width="30" customWidth="1" min="10" max="10"/>
    <col width="14" customWidth="1" min="11" max="11"/>
    <col width="14" customWidth="1" min="12" max="12"/>
    <col width="14" customWidth="1" min="13" max="13"/>
    <col width="30" customWidth="1" min="14" max="14"/>
    <col width="20" customWidth="1" min="15" max="15"/>
    <col width="14" customWidth="1" min="16" max="16"/>
    <col width="15" customWidth="1" min="17" max="17"/>
    <col width="20" customWidth="1" min="18" max="18"/>
    <col width="16" customWidth="1" min="19" max="19"/>
    <col width="16" customWidth="1" min="20" max="20"/>
    <col width="16" customWidth="1" min="21" max="21"/>
    <col width="16" customWidth="1" min="22" max="22"/>
    <col width="18" customWidth="1" min="23" max="23"/>
  </cols>
  <sheetData>
    <row r="1" ht="35" customHeight="1">
      <c r="A1" s="11" t="inlineStr">
        <is>
          <t>3. KEY ROTATION - CRYPTOGRAPHIC KEY LIFECYCLE MANAGEMENT
Policy Requirement: Cryptographic keys MUST be rotated according to defined schedules: Encryption keys annually, signing keys biennially, session keys hourly/daily (Policy Section 2.4.3)</t>
        </is>
      </c>
      <c r="B1" s="6" t="n"/>
      <c r="C1" s="6" t="n"/>
      <c r="D1" s="6" t="n"/>
      <c r="E1" s="6" t="n"/>
      <c r="F1" s="6" t="n"/>
      <c r="G1" s="6" t="n"/>
      <c r="H1" s="6" t="n"/>
      <c r="I1" s="6" t="n"/>
      <c r="J1" s="6" t="n"/>
      <c r="K1" s="6" t="n"/>
      <c r="L1" s="6" t="n"/>
      <c r="M1" s="6" t="n"/>
      <c r="N1" s="6" t="n"/>
      <c r="O1" s="6" t="n"/>
      <c r="P1" s="6" t="n"/>
      <c r="Q1" s="6" t="n"/>
      <c r="R1" s="6" t="n"/>
      <c r="S1" s="6" t="n"/>
      <c r="T1" s="6" t="n"/>
      <c r="U1" s="6" t="n"/>
      <c r="V1" s="6" t="n"/>
      <c r="W1" s="6" t="n"/>
    </row>
    <row r="2">
      <c r="A2" s="12" t="inlineStr">
        <is>
          <t>ISO/IEC 27001:2022 | Control A.8.24: Use of Cryptography</t>
        </is>
      </c>
    </row>
    <row r="3" ht="30" customHeight="1">
      <c r="A3" s="13" t="inlineStr">
        <is>
          <t>Does your organisation have a key rotation policy and implementation for cryptographic keys?</t>
        </is>
      </c>
      <c r="B3" s="6" t="n"/>
      <c r="C3" s="6" t="n"/>
      <c r="D3" s="6" t="n"/>
      <c r="E3" s="6" t="n"/>
      <c r="F3" s="6" t="n"/>
      <c r="G3" s="6" t="n"/>
      <c r="H3" s="6" t="n"/>
      <c r="I3" s="6" t="n"/>
      <c r="J3" s="6" t="n"/>
      <c r="K3" s="6" t="n"/>
      <c r="L3" s="6" t="n"/>
      <c r="M3" s="6" t="n"/>
      <c r="N3" s="6" t="n"/>
      <c r="O3" s="6" t="n"/>
      <c r="P3" s="6" t="n"/>
      <c r="Q3" s="6" t="n"/>
      <c r="R3" s="6" t="n"/>
      <c r="S3" s="6" t="n"/>
      <c r="T3" s="6" t="n"/>
      <c r="U3" s="6" t="n"/>
      <c r="V3" s="6" t="n"/>
      <c r="W3" s="6" t="n"/>
    </row>
    <row r="4">
      <c r="A4" s="14" t="inlineStr">
        <is>
          <t>Response:</t>
        </is>
      </c>
      <c r="B4" s="15" t="n"/>
    </row>
    <row r="6">
      <c r="A6" s="16" t="inlineStr">
        <is>
          <t>System/Service</t>
        </is>
      </c>
      <c r="B6" s="16" t="inlineStr">
        <is>
          <t>Key Type</t>
        </is>
      </c>
      <c r="C6" s="16" t="inlineStr">
        <is>
          <t>Algorithm</t>
        </is>
      </c>
      <c r="D6" s="16" t="inlineStr">
        <is>
          <t>Key Length (bits)</t>
        </is>
      </c>
      <c r="E6" s="16" t="inlineStr">
        <is>
          <t>Storage Method</t>
        </is>
      </c>
      <c r="F6" s="16" t="inlineStr">
        <is>
          <t>Data Classification</t>
        </is>
      </c>
      <c r="G6" s="16" t="inlineStr">
        <is>
          <t>Lifecycle Stage</t>
        </is>
      </c>
      <c r="H6" s="16" t="inlineStr">
        <is>
          <t>Status</t>
        </is>
      </c>
      <c r="I6" s="16" t="inlineStr">
        <is>
          <t>Evidence Location</t>
        </is>
      </c>
      <c r="J6" s="16" t="inlineStr">
        <is>
          <t>Gap Description</t>
        </is>
      </c>
      <c r="K6" s="16" t="inlineStr">
        <is>
          <t>Remediation Needed</t>
        </is>
      </c>
      <c r="L6" s="16" t="inlineStr">
        <is>
          <t>Exception ID</t>
        </is>
      </c>
      <c r="M6" s="16" t="inlineStr">
        <is>
          <t>Risk ID</t>
        </is>
      </c>
      <c r="N6" s="16" t="inlineStr">
        <is>
          <t>Compensating Controls</t>
        </is>
      </c>
      <c r="O6" s="16" t="inlineStr">
        <is>
          <t>Responsible Person</t>
        </is>
      </c>
      <c r="P6" s="16" t="inlineStr">
        <is>
          <t>Target Date</t>
        </is>
      </c>
      <c r="Q6" s="16" t="inlineStr">
        <is>
          <t>Budget Required</t>
        </is>
      </c>
      <c r="R6" s="16" t="inlineStr">
        <is>
          <t>Rotation Schedule</t>
        </is>
      </c>
      <c r="S6" s="16" t="inlineStr">
        <is>
          <t>Last Rotation Date</t>
        </is>
      </c>
      <c r="T6" s="16" t="inlineStr">
        <is>
          <t>Next Rotation Due</t>
        </is>
      </c>
      <c r="U6" s="16" t="inlineStr">
        <is>
          <t>Automated Rotation</t>
        </is>
      </c>
      <c r="V6" s="16" t="inlineStr">
        <is>
          <t>Rotation Tested</t>
        </is>
      </c>
      <c r="W6" s="16" t="inlineStr">
        <is>
          <t>Re-encryption Required</t>
        </is>
      </c>
    </row>
    <row r="7">
      <c r="A7" s="17" t="inlineStr">
        <is>
          <t>Example: API Signing Keys</t>
        </is>
      </c>
      <c r="B7" s="17" t="inlineStr">
        <is>
          <t>Signing Key</t>
        </is>
      </c>
      <c r="C7" s="17" t="inlineStr">
        <is>
          <t>RSA-3072</t>
        </is>
      </c>
      <c r="D7" s="17" t="inlineStr">
        <is>
          <t>3072</t>
        </is>
      </c>
      <c r="E7" s="17" t="inlineStr">
        <is>
          <t>Cloud KMS</t>
        </is>
      </c>
      <c r="F7" s="17" t="inlineStr">
        <is>
          <t>Confidential</t>
        </is>
      </c>
      <c r="G7" s="17" t="inlineStr">
        <is>
          <t>Active</t>
        </is>
      </c>
      <c r="H7" s="17" t="inlineStr">
        <is>
          <t>✅ Compliant</t>
        </is>
      </c>
      <c r="I7" s="17" t="inlineStr">
        <is>
          <t>/evidence/key-mgmt/api-key-rotation.pdf</t>
        </is>
      </c>
      <c r="J7" s="17" t="inlineStr">
        <is>
          <t>None</t>
        </is>
      </c>
      <c r="K7" s="17" t="inlineStr">
        <is>
          <t>No</t>
        </is>
      </c>
      <c r="L7" s="17" t="inlineStr">
        <is>
          <t>N/A</t>
        </is>
      </c>
      <c r="M7" s="17" t="inlineStr">
        <is>
          <t>N/A</t>
        </is>
      </c>
      <c r="N7" s="17" t="inlineStr">
        <is>
          <t>N/A</t>
        </is>
      </c>
      <c r="O7" s="17" t="inlineStr">
        <is>
          <t>N/A</t>
        </is>
      </c>
      <c r="P7" s="17" t="inlineStr">
        <is>
          <t>N/A</t>
        </is>
      </c>
      <c r="Q7" s="17" t="inlineStr">
        <is>
          <t>No</t>
        </is>
      </c>
      <c r="R7" s="17" t="inlineStr">
        <is>
          <t>Quarterly</t>
        </is>
      </c>
      <c r="S7" s="17" t="inlineStr">
        <is>
          <t>2024-10-01</t>
        </is>
      </c>
      <c r="T7" s="17" t="inlineStr">
        <is>
          <t>2025-01-01</t>
        </is>
      </c>
      <c r="U7" s="17" t="inlineStr">
        <is>
          <t>Yes</t>
        </is>
      </c>
      <c r="V7" s="17" t="inlineStr">
        <is>
          <t>Yes</t>
        </is>
      </c>
      <c r="W7" s="17" t="inlineStr">
        <is>
          <t>No</t>
        </is>
      </c>
    </row>
    <row r="8">
      <c r="A8" s="18" t="n"/>
      <c r="B8" s="18" t="n"/>
      <c r="C8" s="18" t="n"/>
      <c r="D8" s="18" t="n"/>
      <c r="E8" s="18" t="n"/>
      <c r="F8" s="18" t="n"/>
      <c r="G8" s="18" t="n"/>
      <c r="H8" s="18" t="n"/>
      <c r="I8" s="18" t="n"/>
      <c r="J8" s="18" t="n"/>
      <c r="K8" s="18" t="n"/>
      <c r="L8" s="18" t="n"/>
      <c r="M8" s="18" t="n"/>
      <c r="N8" s="18" t="n"/>
      <c r="O8" s="18" t="n"/>
      <c r="P8" s="18" t="n"/>
      <c r="Q8" s="18" t="n"/>
      <c r="R8" s="18" t="n"/>
      <c r="S8" s="18" t="n"/>
      <c r="T8" s="18" t="n"/>
      <c r="U8" s="18" t="n"/>
      <c r="V8" s="18" t="n"/>
      <c r="W8" s="18" t="n"/>
    </row>
    <row r="9">
      <c r="A9" s="18" t="n"/>
      <c r="B9" s="18" t="n"/>
      <c r="C9" s="18" t="n"/>
      <c r="D9" s="18" t="n"/>
      <c r="E9" s="18" t="n"/>
      <c r="F9" s="18" t="n"/>
      <c r="G9" s="18" t="n"/>
      <c r="H9" s="18" t="n"/>
      <c r="I9" s="18" t="n"/>
      <c r="J9" s="18" t="n"/>
      <c r="K9" s="18" t="n"/>
      <c r="L9" s="18" t="n"/>
      <c r="M9" s="18" t="n"/>
      <c r="N9" s="18" t="n"/>
      <c r="O9" s="18" t="n"/>
      <c r="P9" s="18" t="n"/>
      <c r="Q9" s="18" t="n"/>
      <c r="R9" s="18" t="n"/>
      <c r="S9" s="18" t="n"/>
      <c r="T9" s="18" t="n"/>
      <c r="U9" s="18" t="n"/>
      <c r="V9" s="18" t="n"/>
      <c r="W9" s="18" t="n"/>
    </row>
    <row r="10">
      <c r="A10" s="18" t="n"/>
      <c r="B10" s="18" t="n"/>
      <c r="C10" s="18" t="n"/>
      <c r="D10" s="18" t="n"/>
      <c r="E10" s="18" t="n"/>
      <c r="F10" s="18" t="n"/>
      <c r="G10" s="18" t="n"/>
      <c r="H10" s="18" t="n"/>
      <c r="I10" s="18" t="n"/>
      <c r="J10" s="18" t="n"/>
      <c r="K10" s="18" t="n"/>
      <c r="L10" s="18" t="n"/>
      <c r="M10" s="18" t="n"/>
      <c r="N10" s="18" t="n"/>
      <c r="O10" s="18" t="n"/>
      <c r="P10" s="18" t="n"/>
      <c r="Q10" s="18" t="n"/>
      <c r="R10" s="18" t="n"/>
      <c r="S10" s="18" t="n"/>
      <c r="T10" s="18" t="n"/>
      <c r="U10" s="18" t="n"/>
      <c r="V10" s="18" t="n"/>
      <c r="W10" s="18" t="n"/>
    </row>
    <row r="11">
      <c r="A11" s="18" t="n"/>
      <c r="B11" s="18" t="n"/>
      <c r="C11" s="18" t="n"/>
      <c r="D11" s="18" t="n"/>
      <c r="E11" s="18" t="n"/>
      <c r="F11" s="18" t="n"/>
      <c r="G11" s="18" t="n"/>
      <c r="H11" s="18" t="n"/>
      <c r="I11" s="18" t="n"/>
      <c r="J11" s="18" t="n"/>
      <c r="K11" s="18" t="n"/>
      <c r="L11" s="18" t="n"/>
      <c r="M11" s="18" t="n"/>
      <c r="N11" s="18" t="n"/>
      <c r="O11" s="18" t="n"/>
      <c r="P11" s="18" t="n"/>
      <c r="Q11" s="18" t="n"/>
      <c r="R11" s="18" t="n"/>
      <c r="S11" s="18" t="n"/>
      <c r="T11" s="18" t="n"/>
      <c r="U11" s="18" t="n"/>
      <c r="V11" s="18" t="n"/>
      <c r="W11" s="18" t="n"/>
    </row>
    <row r="12">
      <c r="A12" s="18" t="n"/>
      <c r="B12" s="18" t="n"/>
      <c r="C12" s="18" t="n"/>
      <c r="D12" s="18" t="n"/>
      <c r="E12" s="18" t="n"/>
      <c r="F12" s="18" t="n"/>
      <c r="G12" s="18" t="n"/>
      <c r="H12" s="18" t="n"/>
      <c r="I12" s="18" t="n"/>
      <c r="J12" s="18" t="n"/>
      <c r="K12" s="18" t="n"/>
      <c r="L12" s="18" t="n"/>
      <c r="M12" s="18" t="n"/>
      <c r="N12" s="18" t="n"/>
      <c r="O12" s="18" t="n"/>
      <c r="P12" s="18" t="n"/>
      <c r="Q12" s="18" t="n"/>
      <c r="R12" s="18" t="n"/>
      <c r="S12" s="18" t="n"/>
      <c r="T12" s="18" t="n"/>
      <c r="U12" s="18" t="n"/>
      <c r="V12" s="18" t="n"/>
      <c r="W12" s="18" t="n"/>
    </row>
    <row r="13">
      <c r="A13" s="18" t="n"/>
      <c r="B13" s="18" t="n"/>
      <c r="C13" s="18" t="n"/>
      <c r="D13" s="18" t="n"/>
      <c r="E13" s="18" t="n"/>
      <c r="F13" s="18" t="n"/>
      <c r="G13" s="18" t="n"/>
      <c r="H13" s="18" t="n"/>
      <c r="I13" s="18" t="n"/>
      <c r="J13" s="18" t="n"/>
      <c r="K13" s="18" t="n"/>
      <c r="L13" s="18" t="n"/>
      <c r="M13" s="18" t="n"/>
      <c r="N13" s="18" t="n"/>
      <c r="O13" s="18" t="n"/>
      <c r="P13" s="18" t="n"/>
      <c r="Q13" s="18" t="n"/>
      <c r="R13" s="18" t="n"/>
      <c r="S13" s="18" t="n"/>
      <c r="T13" s="18" t="n"/>
      <c r="U13" s="18" t="n"/>
      <c r="V13" s="18" t="n"/>
      <c r="W13" s="18" t="n"/>
    </row>
    <row r="14">
      <c r="A14" s="18" t="n"/>
      <c r="B14" s="18" t="n"/>
      <c r="C14" s="18" t="n"/>
      <c r="D14" s="18" t="n"/>
      <c r="E14" s="18" t="n"/>
      <c r="F14" s="18" t="n"/>
      <c r="G14" s="18" t="n"/>
      <c r="H14" s="18" t="n"/>
      <c r="I14" s="18" t="n"/>
      <c r="J14" s="18" t="n"/>
      <c r="K14" s="18" t="n"/>
      <c r="L14" s="18" t="n"/>
      <c r="M14" s="18" t="n"/>
      <c r="N14" s="18" t="n"/>
      <c r="O14" s="18" t="n"/>
      <c r="P14" s="18" t="n"/>
      <c r="Q14" s="18" t="n"/>
      <c r="R14" s="18" t="n"/>
      <c r="S14" s="18" t="n"/>
      <c r="T14" s="18" t="n"/>
      <c r="U14" s="18" t="n"/>
      <c r="V14" s="18" t="n"/>
      <c r="W14" s="18" t="n"/>
    </row>
    <row r="15">
      <c r="A15" s="18" t="n"/>
      <c r="B15" s="18" t="n"/>
      <c r="C15" s="18" t="n"/>
      <c r="D15" s="18" t="n"/>
      <c r="E15" s="18" t="n"/>
      <c r="F15" s="18" t="n"/>
      <c r="G15" s="18" t="n"/>
      <c r="H15" s="18" t="n"/>
      <c r="I15" s="18" t="n"/>
      <c r="J15" s="18" t="n"/>
      <c r="K15" s="18" t="n"/>
      <c r="L15" s="18" t="n"/>
      <c r="M15" s="18" t="n"/>
      <c r="N15" s="18" t="n"/>
      <c r="O15" s="18" t="n"/>
      <c r="P15" s="18" t="n"/>
      <c r="Q15" s="18" t="n"/>
      <c r="R15" s="18" t="n"/>
      <c r="S15" s="18" t="n"/>
      <c r="T15" s="18" t="n"/>
      <c r="U15" s="18" t="n"/>
      <c r="V15" s="18" t="n"/>
      <c r="W15" s="18" t="n"/>
    </row>
    <row r="16">
      <c r="A16" s="18" t="n"/>
      <c r="B16" s="18" t="n"/>
      <c r="C16" s="18" t="n"/>
      <c r="D16" s="18" t="n"/>
      <c r="E16" s="18" t="n"/>
      <c r="F16" s="18" t="n"/>
      <c r="G16" s="18" t="n"/>
      <c r="H16" s="18" t="n"/>
      <c r="I16" s="18" t="n"/>
      <c r="J16" s="18" t="n"/>
      <c r="K16" s="18" t="n"/>
      <c r="L16" s="18" t="n"/>
      <c r="M16" s="18" t="n"/>
      <c r="N16" s="18" t="n"/>
      <c r="O16" s="18" t="n"/>
      <c r="P16" s="18" t="n"/>
      <c r="Q16" s="18" t="n"/>
      <c r="R16" s="18" t="n"/>
      <c r="S16" s="18" t="n"/>
      <c r="T16" s="18" t="n"/>
      <c r="U16" s="18" t="n"/>
      <c r="V16" s="18" t="n"/>
      <c r="W16" s="18" t="n"/>
    </row>
    <row r="17">
      <c r="A17" s="18" t="n"/>
      <c r="B17" s="18" t="n"/>
      <c r="C17" s="18" t="n"/>
      <c r="D17" s="18" t="n"/>
      <c r="E17" s="18" t="n"/>
      <c r="F17" s="18" t="n"/>
      <c r="G17" s="18" t="n"/>
      <c r="H17" s="18" t="n"/>
      <c r="I17" s="18" t="n"/>
      <c r="J17" s="18" t="n"/>
      <c r="K17" s="18" t="n"/>
      <c r="L17" s="18" t="n"/>
      <c r="M17" s="18" t="n"/>
      <c r="N17" s="18" t="n"/>
      <c r="O17" s="18" t="n"/>
      <c r="P17" s="18" t="n"/>
      <c r="Q17" s="18" t="n"/>
      <c r="R17" s="18" t="n"/>
      <c r="S17" s="18" t="n"/>
      <c r="T17" s="18" t="n"/>
      <c r="U17" s="18" t="n"/>
      <c r="V17" s="18" t="n"/>
      <c r="W17" s="18" t="n"/>
    </row>
    <row r="18">
      <c r="A18" s="18" t="n"/>
      <c r="B18" s="18" t="n"/>
      <c r="C18" s="18" t="n"/>
      <c r="D18" s="18" t="n"/>
      <c r="E18" s="18" t="n"/>
      <c r="F18" s="18" t="n"/>
      <c r="G18" s="18" t="n"/>
      <c r="H18" s="18" t="n"/>
      <c r="I18" s="18" t="n"/>
      <c r="J18" s="18" t="n"/>
      <c r="K18" s="18" t="n"/>
      <c r="L18" s="18" t="n"/>
      <c r="M18" s="18" t="n"/>
      <c r="N18" s="18" t="n"/>
      <c r="O18" s="18" t="n"/>
      <c r="P18" s="18" t="n"/>
      <c r="Q18" s="18" t="n"/>
      <c r="R18" s="18" t="n"/>
      <c r="S18" s="18" t="n"/>
      <c r="T18" s="18" t="n"/>
      <c r="U18" s="18" t="n"/>
      <c r="V18" s="18" t="n"/>
      <c r="W18" s="18" t="n"/>
    </row>
    <row r="19">
      <c r="A19" s="18" t="n"/>
      <c r="B19" s="18" t="n"/>
      <c r="C19" s="18" t="n"/>
      <c r="D19" s="18" t="n"/>
      <c r="E19" s="18" t="n"/>
      <c r="F19" s="18" t="n"/>
      <c r="G19" s="18" t="n"/>
      <c r="H19" s="18" t="n"/>
      <c r="I19" s="18" t="n"/>
      <c r="J19" s="18" t="n"/>
      <c r="K19" s="18" t="n"/>
      <c r="L19" s="18" t="n"/>
      <c r="M19" s="18" t="n"/>
      <c r="N19" s="18" t="n"/>
      <c r="O19" s="18" t="n"/>
      <c r="P19" s="18" t="n"/>
      <c r="Q19" s="18" t="n"/>
      <c r="R19" s="18" t="n"/>
      <c r="S19" s="18" t="n"/>
      <c r="T19" s="18" t="n"/>
      <c r="U19" s="18" t="n"/>
      <c r="V19" s="18" t="n"/>
      <c r="W19" s="18" t="n"/>
    </row>
    <row r="20">
      <c r="A20" s="18" t="n"/>
      <c r="B20" s="18" t="n"/>
      <c r="C20" s="18" t="n"/>
      <c r="D20" s="18" t="n"/>
      <c r="E20" s="18" t="n"/>
      <c r="F20" s="18" t="n"/>
      <c r="G20" s="18" t="n"/>
      <c r="H20" s="18" t="n"/>
      <c r="I20" s="18" t="n"/>
      <c r="J20" s="18" t="n"/>
      <c r="K20" s="18" t="n"/>
      <c r="L20" s="18" t="n"/>
      <c r="M20" s="18" t="n"/>
      <c r="N20" s="18" t="n"/>
      <c r="O20" s="18" t="n"/>
      <c r="P20" s="18" t="n"/>
      <c r="Q20" s="18" t="n"/>
      <c r="R20" s="18" t="n"/>
      <c r="S20" s="18" t="n"/>
      <c r="T20" s="18" t="n"/>
      <c r="U20" s="18" t="n"/>
      <c r="V20" s="18" t="n"/>
      <c r="W20" s="18" t="n"/>
    </row>
    <row r="22">
      <c r="A22" s="19" t="inlineStr">
        <is>
          <t>3. KEY ROTATION CHECKLIST</t>
        </is>
      </c>
    </row>
    <row r="23">
      <c r="A23" s="14" t="inlineStr">
        <is>
          <t>☐</t>
        </is>
      </c>
      <c r="B23" s="14" t="inlineStr">
        <is>
          <t>Requirement</t>
        </is>
      </c>
      <c r="C23" s="14" t="inlineStr">
        <is>
          <t>Status</t>
        </is>
      </c>
    </row>
    <row r="24">
      <c r="A24" t="inlineStr">
        <is>
          <t>☐</t>
        </is>
      </c>
      <c r="B24" t="inlineStr">
        <is>
          <t>Key rotation policy documented and approved</t>
        </is>
      </c>
      <c r="C24" s="15" t="n"/>
    </row>
    <row r="25">
      <c r="A25" t="inlineStr">
        <is>
          <t>☐</t>
        </is>
      </c>
      <c r="B25" t="inlineStr">
        <is>
          <t>Encryption keys (data at rest) rotated annually minimum</t>
        </is>
      </c>
      <c r="C25" s="15" t="n"/>
    </row>
    <row r="26">
      <c r="A26" t="inlineStr">
        <is>
          <t>☐</t>
        </is>
      </c>
      <c r="B26" t="inlineStr">
        <is>
          <t>Signing keys rotated biennially minimum</t>
        </is>
      </c>
      <c r="C26" s="15" t="n"/>
    </row>
    <row r="27">
      <c r="A27" t="inlineStr">
        <is>
          <t>☐</t>
        </is>
      </c>
      <c r="B27" t="inlineStr">
        <is>
          <t>Session keys rotated hourly/daily</t>
        </is>
      </c>
      <c r="C27" s="15" t="n"/>
    </row>
    <row r="28">
      <c r="A28" t="inlineStr">
        <is>
          <t>☐</t>
        </is>
      </c>
      <c r="B28" t="inlineStr">
        <is>
          <t>Master keys rotated every 1-3 years</t>
        </is>
      </c>
      <c r="C28" s="15" t="n"/>
    </row>
    <row r="29">
      <c r="A29" t="inlineStr">
        <is>
          <t>☐</t>
        </is>
      </c>
      <c r="B29" t="inlineStr">
        <is>
          <t>Key rotation automated where possible</t>
        </is>
      </c>
      <c r="C29" s="15" t="n"/>
    </row>
    <row r="30">
      <c r="A30" t="inlineStr">
        <is>
          <t>☐</t>
        </is>
      </c>
      <c r="B30" t="inlineStr">
        <is>
          <t>Key rotation triggers defined (time, usage, compromise)</t>
        </is>
      </c>
      <c r="C30" s="15" t="n"/>
    </row>
    <row r="31">
      <c r="A31" t="inlineStr">
        <is>
          <t>☐</t>
        </is>
      </c>
      <c r="B31" t="inlineStr">
        <is>
          <t>Data re-encryption performed after key rotation</t>
        </is>
      </c>
      <c r="C31" s="15" t="n"/>
    </row>
    <row r="32">
      <c r="A32" t="inlineStr">
        <is>
          <t>☐</t>
        </is>
      </c>
      <c r="B32" t="inlineStr">
        <is>
          <t>Old keys retained for decryption (with restricted access)</t>
        </is>
      </c>
      <c r="C32" s="15" t="n"/>
    </row>
    <row r="33">
      <c r="A33" t="inlineStr">
        <is>
          <t>☐</t>
        </is>
      </c>
      <c r="B33" t="inlineStr">
        <is>
          <t>Key version tracking implemented</t>
        </is>
      </c>
      <c r="C33" s="15" t="n"/>
    </row>
    <row r="34">
      <c r="A34" t="inlineStr">
        <is>
          <t>☐</t>
        </is>
      </c>
      <c r="B34" t="inlineStr">
        <is>
          <t>Rotation procedures tested in non-production</t>
        </is>
      </c>
      <c r="C34" s="15" t="n"/>
    </row>
    <row r="35">
      <c r="A35" t="inlineStr">
        <is>
          <t>☐</t>
        </is>
      </c>
      <c r="B35" t="inlineStr">
        <is>
          <t>Rotation audit logs maintained</t>
        </is>
      </c>
      <c r="C35" s="15" t="n"/>
    </row>
    <row r="36">
      <c r="A36" t="inlineStr">
        <is>
          <t>☐</t>
        </is>
      </c>
      <c r="B36" t="inlineStr">
        <is>
          <t>Emergency rotation procedure documented</t>
        </is>
      </c>
      <c r="C36" s="15" t="n"/>
    </row>
    <row r="37">
      <c r="A37" t="inlineStr">
        <is>
          <t>☐</t>
        </is>
      </c>
      <c r="B37" t="inlineStr">
        <is>
          <t>Rotation scheduling prevents service disruption</t>
        </is>
      </c>
      <c r="C37" s="15" t="n"/>
    </row>
    <row r="38">
      <c r="A38" t="inlineStr">
        <is>
          <t>☐</t>
        </is>
      </c>
      <c r="B38" t="inlineStr">
        <is>
          <t>Key rotation monitored and alerts configured</t>
        </is>
      </c>
      <c r="C38" s="15" t="n"/>
    </row>
    <row r="39">
      <c r="A39" t="inlineStr">
        <is>
          <t>☐</t>
        </is>
      </c>
      <c r="B39" t="inlineStr">
        <is>
          <t>Cryptoperiod limits enforced (max key usage duration)</t>
        </is>
      </c>
      <c r="C39" s="15" t="n"/>
    </row>
    <row r="40">
      <c r="A40" s="14" t="inlineStr">
        <is>
          <t>Checklist Score:</t>
        </is>
      </c>
      <c r="B40" s="20">
        <f>IFERROR(ROUND(COUNTIF(C24:C39,"✅ Yes")/COUNTA(C24:C39)*100,0)&amp;"%","0%")</f>
        <v/>
      </c>
    </row>
    <row r="42">
      <c r="A42" s="19" t="inlineStr">
        <is>
          <t>ROTATION SCHEDULE BY KEY TYPE</t>
        </is>
      </c>
    </row>
    <row r="43">
      <c r="A43" s="16" t="inlineStr">
        <is>
          <t>Key Type</t>
        </is>
      </c>
      <c r="B43" s="16" t="inlineStr">
        <is>
          <t>Minimum Rotation Frequency</t>
        </is>
      </c>
      <c r="C43" s="16" t="inlineStr">
        <is>
          <t>Recommended Frequency</t>
        </is>
      </c>
      <c r="D43" s="16" t="inlineStr">
        <is>
          <t>Trigger Events</t>
        </is>
      </c>
    </row>
    <row r="44">
      <c r="A44" s="8" t="inlineStr">
        <is>
          <t>Master Encryption Key</t>
        </is>
      </c>
      <c r="B44" s="8" t="inlineStr">
        <is>
          <t>1 year</t>
        </is>
      </c>
      <c r="C44" s="8" t="inlineStr">
        <is>
          <t>1 year</t>
        </is>
      </c>
      <c r="D44" s="8" t="inlineStr">
        <is>
          <t>Compromise, personnel change</t>
        </is>
      </c>
    </row>
    <row r="45">
      <c r="A45" s="8" t="inlineStr">
        <is>
          <t>Data Encryption Key</t>
        </is>
      </c>
      <c r="B45" s="8" t="inlineStr">
        <is>
          <t>1 year</t>
        </is>
      </c>
      <c r="C45" s="8" t="inlineStr">
        <is>
          <t>90 days</t>
        </is>
      </c>
      <c r="D45" s="8" t="inlineStr">
        <is>
          <t>High volume usage, compromise</t>
        </is>
      </c>
    </row>
    <row r="46">
      <c r="A46" s="8" t="inlineStr">
        <is>
          <t>Key Encryption Key</t>
        </is>
      </c>
      <c r="B46" s="8" t="inlineStr">
        <is>
          <t>1 year</t>
        </is>
      </c>
      <c r="C46" s="8" t="inlineStr">
        <is>
          <t>1 year</t>
        </is>
      </c>
      <c r="D46" s="8" t="inlineStr">
        <is>
          <t>Master key rotation, compromise</t>
        </is>
      </c>
    </row>
    <row r="47">
      <c r="A47" s="8" t="inlineStr">
        <is>
          <t>Signing Key</t>
        </is>
      </c>
      <c r="B47" s="8" t="inlineStr">
        <is>
          <t>2 years</t>
        </is>
      </c>
      <c r="C47" s="8" t="inlineStr">
        <is>
          <t>1 year</t>
        </is>
      </c>
      <c r="D47" s="8" t="inlineStr">
        <is>
          <t>Certificate expiry, compromise</t>
        </is>
      </c>
    </row>
    <row r="48">
      <c r="A48" s="8" t="inlineStr">
        <is>
          <t>Session Key</t>
        </is>
      </c>
      <c r="B48" s="8" t="inlineStr">
        <is>
          <t>24 hours</t>
        </is>
      </c>
      <c r="C48" s="8" t="inlineStr">
        <is>
          <t>1 hour</t>
        </is>
      </c>
      <c r="D48" s="8" t="inlineStr">
        <is>
          <t>Session end, compromise</t>
        </is>
      </c>
    </row>
    <row r="49">
      <c r="A49" s="8" t="inlineStr">
        <is>
          <t>API Key</t>
        </is>
      </c>
      <c r="B49" s="8" t="inlineStr">
        <is>
          <t>90 days</t>
        </is>
      </c>
      <c r="C49" s="8" t="inlineStr">
        <is>
          <t>30-90 days</t>
        </is>
      </c>
      <c r="D49" s="8" t="inlineStr">
        <is>
          <t>Personnel change, compromise</t>
        </is>
      </c>
    </row>
    <row r="50">
      <c r="A50" s="8" t="inlineStr">
        <is>
          <t>TLS/SSL Certificate Private Key</t>
        </is>
      </c>
      <c r="B50" s="8" t="inlineStr">
        <is>
          <t>Certificate validity</t>
        </is>
      </c>
      <c r="C50" s="8" t="inlineStr">
        <is>
          <t>Annual</t>
        </is>
      </c>
      <c r="D50" s="8" t="inlineStr">
        <is>
          <t>Certificate renewal, compromise</t>
        </is>
      </c>
    </row>
    <row r="51">
      <c r="A51" s="8" t="inlineStr">
        <is>
          <t>SSH Key</t>
        </is>
      </c>
      <c r="B51" s="8" t="inlineStr">
        <is>
          <t>1 year</t>
        </is>
      </c>
      <c r="C51" s="8" t="inlineStr">
        <is>
          <t>90 days</t>
        </is>
      </c>
      <c r="D51" s="8" t="inlineStr">
        <is>
          <t>Personnel change, compromise</t>
        </is>
      </c>
    </row>
    <row r="52">
      <c r="A52" s="8" t="inlineStr">
        <is>
          <t>Database TDE Key</t>
        </is>
      </c>
      <c r="B52" s="8" t="inlineStr">
        <is>
          <t>1 year</t>
        </is>
      </c>
      <c r="C52" s="8" t="inlineStr">
        <is>
          <t>1 year</t>
        </is>
      </c>
      <c r="D52" s="8" t="inlineStr">
        <is>
          <t>Compliance requirement, compromise</t>
        </is>
      </c>
    </row>
    <row r="54">
      <c r="A54" s="21" t="inlineStr">
        <is>
          <t>EXCEPTION / DEVIATION DOCUMENTATION (Complete if Status = Partial or Non-Compliant)</t>
        </is>
      </c>
      <c r="B54" s="6" t="n"/>
      <c r="C54" s="6" t="n"/>
      <c r="D54" s="6" t="n"/>
      <c r="E54" s="6" t="n"/>
      <c r="F54" s="6" t="n"/>
      <c r="G54" s="6" t="n"/>
      <c r="H54" s="6" t="n"/>
      <c r="I54" s="6" t="n"/>
      <c r="J54" s="6" t="n"/>
      <c r="K54" s="6" t="n"/>
      <c r="L54" s="6" t="n"/>
      <c r="M54" s="6" t="n"/>
      <c r="N54" s="6" t="n"/>
      <c r="O54" s="6" t="n"/>
      <c r="P54" s="6" t="n"/>
      <c r="Q54" s="6" t="n"/>
      <c r="R54" s="6" t="n"/>
      <c r="S54" s="6" t="n"/>
      <c r="T54" s="6" t="n"/>
      <c r="U54" s="6" t="n"/>
      <c r="V54" s="6" t="n"/>
      <c r="W54" s="6" t="n"/>
    </row>
    <row r="55">
      <c r="A55" s="14" t="inlineStr">
        <is>
          <t>Formal exception request submitted:</t>
        </is>
      </c>
      <c r="B55" s="18" t="n"/>
      <c r="C55" s="6" t="n"/>
      <c r="D55" s="6" t="n"/>
    </row>
    <row r="56">
      <c r="A56" s="14" t="inlineStr">
        <is>
          <t>Exception ID:</t>
        </is>
      </c>
      <c r="B56" s="18" t="n"/>
      <c r="C56" s="6" t="n"/>
      <c r="D56" s="6" t="n"/>
    </row>
    <row r="57">
      <c r="A57" s="14" t="inlineStr">
        <is>
          <t>Risk acceptance documented:</t>
        </is>
      </c>
      <c r="B57" s="18" t="n"/>
      <c r="C57" s="6" t="n"/>
      <c r="D57" s="6" t="n"/>
    </row>
    <row r="58">
      <c r="A58" s="14" t="inlineStr">
        <is>
          <t>Risk ID:</t>
        </is>
      </c>
      <c r="B58" s="18" t="n"/>
      <c r="C58" s="6" t="n"/>
      <c r="D58" s="6" t="n"/>
    </row>
    <row r="59">
      <c r="A59" s="14" t="inlineStr">
        <is>
          <t>Compensating Controls (summary):</t>
        </is>
      </c>
      <c r="B59" s="18" t="n"/>
      <c r="C59" s="6" t="n"/>
      <c r="D59" s="6" t="n"/>
    </row>
    <row r="60">
      <c r="A60" s="14" t="inlineStr">
        <is>
          <t>☐ Enhanced monitoring and alerting</t>
        </is>
      </c>
      <c r="B60" s="18" t="n"/>
      <c r="C60" s="6" t="n"/>
      <c r="D60" s="6" t="n"/>
    </row>
    <row r="61">
      <c r="A61" s="14" t="inlineStr">
        <is>
          <t>☐ Restricted network access / air-gapped systems</t>
        </is>
      </c>
      <c r="B61" s="18" t="n"/>
      <c r="C61" s="6" t="n"/>
      <c r="D61" s="6" t="n"/>
    </row>
    <row r="62">
      <c r="A62" s="14" t="inlineStr">
        <is>
          <t>☐ Additional encryption layer</t>
        </is>
      </c>
      <c r="B62" s="18" t="n"/>
      <c r="C62" s="6" t="n"/>
      <c r="D62" s="6" t="n"/>
    </row>
    <row r="63">
      <c r="A63" s="14" t="inlineStr">
        <is>
          <t>☐ Manual key management procedures</t>
        </is>
      </c>
      <c r="B63" s="18" t="n"/>
      <c r="C63" s="6" t="n"/>
      <c r="D63" s="6" t="n"/>
    </row>
    <row r="64">
      <c r="A64" s="14" t="inlineStr">
        <is>
          <t>☐ Increased audit frequency</t>
        </is>
      </c>
      <c r="B64" s="18" t="n"/>
      <c r="C64" s="6" t="n"/>
      <c r="D64" s="6" t="n"/>
    </row>
    <row r="65">
      <c r="A65" s="14" t="inlineStr">
        <is>
          <t>☐ Physical security controls</t>
        </is>
      </c>
      <c r="B65" s="18" t="n"/>
      <c r="C65" s="6" t="n"/>
      <c r="D65" s="6" t="n"/>
    </row>
    <row r="66">
      <c r="A66" s="14" t="inlineStr">
        <is>
          <t>☐ Other (describe):</t>
        </is>
      </c>
      <c r="B66" s="18" t="n"/>
      <c r="C66" s="6" t="n"/>
      <c r="D66" s="6" t="n"/>
    </row>
    <row r="68">
      <c r="A68" s="22" t="inlineStr">
        <is>
          <t>ADDITIONAL NOTES / COMMENTS</t>
        </is>
      </c>
      <c r="B68" s="6" t="n"/>
      <c r="C68" s="6" t="n"/>
      <c r="D68" s="6" t="n"/>
      <c r="E68" s="6" t="n"/>
      <c r="F68" s="6" t="n"/>
      <c r="G68" s="6" t="n"/>
      <c r="H68" s="6" t="n"/>
      <c r="I68" s="6" t="n"/>
      <c r="J68" s="6" t="n"/>
      <c r="K68" s="6" t="n"/>
      <c r="L68" s="6" t="n"/>
      <c r="M68" s="6" t="n"/>
      <c r="N68" s="6" t="n"/>
      <c r="O68" s="6" t="n"/>
      <c r="P68" s="6" t="n"/>
      <c r="Q68" s="6" t="n"/>
      <c r="R68" s="6" t="n"/>
      <c r="S68" s="6" t="n"/>
      <c r="T68" s="6" t="n"/>
      <c r="U68" s="6" t="n"/>
      <c r="V68" s="6" t="n"/>
      <c r="W68" s="6" t="n"/>
    </row>
    <row r="69">
      <c r="A69" s="23" t="n"/>
      <c r="B69" s="6" t="n"/>
      <c r="C69" s="6" t="n"/>
      <c r="D69" s="6" t="n"/>
      <c r="E69" s="6" t="n"/>
      <c r="F69" s="6" t="n"/>
      <c r="G69" s="6" t="n"/>
      <c r="H69" s="6" t="n"/>
      <c r="I69" s="6" t="n"/>
      <c r="J69" s="6" t="n"/>
      <c r="K69" s="6" t="n"/>
      <c r="L69" s="6" t="n"/>
      <c r="M69" s="6" t="n"/>
      <c r="N69" s="6" t="n"/>
      <c r="O69" s="6" t="n"/>
      <c r="P69" s="6" t="n"/>
      <c r="Q69" s="6" t="n"/>
      <c r="R69" s="6" t="n"/>
      <c r="S69" s="6" t="n"/>
      <c r="T69" s="6" t="n"/>
      <c r="U69" s="6" t="n"/>
      <c r="V69" s="6" t="n"/>
      <c r="W69" s="6" t="n"/>
    </row>
    <row r="70">
      <c r="A70" s="6" t="n"/>
      <c r="B70" s="6" t="n"/>
      <c r="C70" s="6" t="n"/>
      <c r="D70" s="6" t="n"/>
      <c r="E70" s="6" t="n"/>
      <c r="F70" s="6" t="n"/>
      <c r="G70" s="6" t="n"/>
      <c r="H70" s="6" t="n"/>
      <c r="I70" s="6" t="n"/>
      <c r="J70" s="6" t="n"/>
      <c r="K70" s="6" t="n"/>
      <c r="L70" s="6" t="n"/>
      <c r="M70" s="6" t="n"/>
      <c r="N70" s="6" t="n"/>
      <c r="O70" s="6" t="n"/>
      <c r="P70" s="6" t="n"/>
      <c r="Q70" s="6" t="n"/>
      <c r="R70" s="6" t="n"/>
      <c r="S70" s="6" t="n"/>
      <c r="T70" s="6" t="n"/>
      <c r="U70" s="6" t="n"/>
      <c r="V70" s="6" t="n"/>
      <c r="W70" s="6" t="n"/>
    </row>
    <row r="71">
      <c r="A71" s="6" t="n"/>
      <c r="B71" s="6" t="n"/>
      <c r="C71" s="6" t="n"/>
      <c r="D71" s="6" t="n"/>
      <c r="E71" s="6" t="n"/>
      <c r="F71" s="6" t="n"/>
      <c r="G71" s="6" t="n"/>
      <c r="H71" s="6" t="n"/>
      <c r="I71" s="6" t="n"/>
      <c r="J71" s="6" t="n"/>
      <c r="K71" s="6" t="n"/>
      <c r="L71" s="6" t="n"/>
      <c r="M71" s="6" t="n"/>
      <c r="N71" s="6" t="n"/>
      <c r="O71" s="6" t="n"/>
      <c r="P71" s="6" t="n"/>
      <c r="Q71" s="6" t="n"/>
      <c r="R71" s="6" t="n"/>
      <c r="S71" s="6" t="n"/>
      <c r="T71" s="6" t="n"/>
      <c r="U71" s="6" t="n"/>
      <c r="V71" s="6" t="n"/>
      <c r="W71" s="6" t="n"/>
    </row>
    <row r="72">
      <c r="A72" s="6" t="n"/>
      <c r="B72" s="6" t="n"/>
      <c r="C72" s="6" t="n"/>
      <c r="D72" s="6" t="n"/>
      <c r="E72" s="6" t="n"/>
      <c r="F72" s="6" t="n"/>
      <c r="G72" s="6" t="n"/>
      <c r="H72" s="6" t="n"/>
      <c r="I72" s="6" t="n"/>
      <c r="J72" s="6" t="n"/>
      <c r="K72" s="6" t="n"/>
      <c r="L72" s="6" t="n"/>
      <c r="M72" s="6" t="n"/>
      <c r="N72" s="6" t="n"/>
      <c r="O72" s="6" t="n"/>
      <c r="P72" s="6" t="n"/>
      <c r="Q72" s="6" t="n"/>
      <c r="R72" s="6" t="n"/>
      <c r="S72" s="6" t="n"/>
      <c r="T72" s="6" t="n"/>
      <c r="U72" s="6" t="n"/>
      <c r="V72" s="6" t="n"/>
      <c r="W72" s="6" t="n"/>
    </row>
    <row r="73">
      <c r="A73" s="6" t="n"/>
      <c r="B73" s="6" t="n"/>
      <c r="C73" s="6" t="n"/>
      <c r="D73" s="6" t="n"/>
      <c r="E73" s="6" t="n"/>
      <c r="F73" s="6" t="n"/>
      <c r="G73" s="6" t="n"/>
      <c r="H73" s="6" t="n"/>
      <c r="I73" s="6" t="n"/>
      <c r="J73" s="6" t="n"/>
      <c r="K73" s="6" t="n"/>
      <c r="L73" s="6" t="n"/>
      <c r="M73" s="6" t="n"/>
      <c r="N73" s="6" t="n"/>
      <c r="O73" s="6" t="n"/>
      <c r="P73" s="6" t="n"/>
      <c r="Q73" s="6" t="n"/>
      <c r="R73" s="6" t="n"/>
      <c r="S73" s="6" t="n"/>
      <c r="T73" s="6" t="n"/>
      <c r="U73" s="6" t="n"/>
      <c r="V73" s="6" t="n"/>
      <c r="W73" s="6" t="n"/>
    </row>
    <row r="74">
      <c r="A74" s="6" t="n"/>
      <c r="B74" s="6" t="n"/>
      <c r="C74" s="6" t="n"/>
      <c r="D74" s="6" t="n"/>
      <c r="E74" s="6" t="n"/>
      <c r="F74" s="6" t="n"/>
      <c r="G74" s="6" t="n"/>
      <c r="H74" s="6" t="n"/>
      <c r="I74" s="6" t="n"/>
      <c r="J74" s="6" t="n"/>
      <c r="K74" s="6" t="n"/>
      <c r="L74" s="6" t="n"/>
      <c r="M74" s="6" t="n"/>
      <c r="N74" s="6" t="n"/>
      <c r="O74" s="6" t="n"/>
      <c r="P74" s="6" t="n"/>
      <c r="Q74" s="6" t="n"/>
      <c r="R74" s="6" t="n"/>
      <c r="S74" s="6" t="n"/>
      <c r="T74" s="6" t="n"/>
      <c r="U74" s="6" t="n"/>
      <c r="V74" s="6" t="n"/>
      <c r="W74" s="6" t="n"/>
    </row>
    <row r="75">
      <c r="A75" s="6" t="n"/>
      <c r="B75" s="6" t="n"/>
      <c r="C75" s="6" t="n"/>
      <c r="D75" s="6" t="n"/>
      <c r="E75" s="6" t="n"/>
      <c r="F75" s="6" t="n"/>
      <c r="G75" s="6" t="n"/>
      <c r="H75" s="6" t="n"/>
      <c r="I75" s="6" t="n"/>
      <c r="J75" s="6" t="n"/>
      <c r="K75" s="6" t="n"/>
      <c r="L75" s="6" t="n"/>
      <c r="M75" s="6" t="n"/>
      <c r="N75" s="6" t="n"/>
      <c r="O75" s="6" t="n"/>
      <c r="P75" s="6" t="n"/>
      <c r="Q75" s="6" t="n"/>
      <c r="R75" s="6" t="n"/>
      <c r="S75" s="6" t="n"/>
      <c r="T75" s="6" t="n"/>
      <c r="U75" s="6" t="n"/>
      <c r="V75" s="6" t="n"/>
      <c r="W75" s="6" t="n"/>
    </row>
    <row r="76">
      <c r="A76" s="6" t="n"/>
      <c r="B76" s="6" t="n"/>
      <c r="C76" s="6" t="n"/>
      <c r="D76" s="6" t="n"/>
      <c r="E76" s="6" t="n"/>
      <c r="F76" s="6" t="n"/>
      <c r="G76" s="6" t="n"/>
      <c r="H76" s="6" t="n"/>
      <c r="I76" s="6" t="n"/>
      <c r="J76" s="6" t="n"/>
      <c r="K76" s="6" t="n"/>
      <c r="L76" s="6" t="n"/>
      <c r="M76" s="6" t="n"/>
      <c r="N76" s="6" t="n"/>
      <c r="O76" s="6" t="n"/>
      <c r="P76" s="6" t="n"/>
      <c r="Q76" s="6" t="n"/>
      <c r="R76" s="6" t="n"/>
      <c r="S76" s="6" t="n"/>
      <c r="T76" s="6" t="n"/>
      <c r="U76" s="6" t="n"/>
      <c r="V76" s="6" t="n"/>
      <c r="W76" s="6" t="n"/>
    </row>
    <row r="77">
      <c r="A77" s="6" t="n"/>
      <c r="B77" s="6" t="n"/>
      <c r="C77" s="6" t="n"/>
      <c r="D77" s="6" t="n"/>
      <c r="E77" s="6" t="n"/>
      <c r="F77" s="6" t="n"/>
      <c r="G77" s="6" t="n"/>
      <c r="H77" s="6" t="n"/>
      <c r="I77" s="6" t="n"/>
      <c r="J77" s="6" t="n"/>
      <c r="K77" s="6" t="n"/>
      <c r="L77" s="6" t="n"/>
      <c r="M77" s="6" t="n"/>
      <c r="N77" s="6" t="n"/>
      <c r="O77" s="6" t="n"/>
      <c r="P77" s="6" t="n"/>
      <c r="Q77" s="6" t="n"/>
      <c r="R77" s="6" t="n"/>
      <c r="S77" s="6" t="n"/>
      <c r="T77" s="6" t="n"/>
      <c r="U77" s="6" t="n"/>
      <c r="V77" s="6" t="n"/>
      <c r="W77" s="6" t="n"/>
    </row>
  </sheetData>
  <mergeCells count="17">
    <mergeCell ref="A68:W68"/>
    <mergeCell ref="B59:D59"/>
    <mergeCell ref="A1:W1"/>
    <mergeCell ref="B60:D60"/>
    <mergeCell ref="B66:D66"/>
    <mergeCell ref="B63:D63"/>
    <mergeCell ref="B61:D61"/>
    <mergeCell ref="B57:D57"/>
    <mergeCell ref="A3:W3"/>
    <mergeCell ref="B56:D56"/>
    <mergeCell ref="A54:W54"/>
    <mergeCell ref="B58:D58"/>
    <mergeCell ref="A69:W77"/>
    <mergeCell ref="B65:D65"/>
    <mergeCell ref="B62:D62"/>
    <mergeCell ref="B55:D55"/>
    <mergeCell ref="B64:D64"/>
  </mergeCells>
  <dataValidations count="15">
    <dataValidation sqref="B8 B9 B10 B11 B12 B13 B14 B15 B16 B17 B18 B19 B20" showDropDown="0" showInputMessage="0" showErrorMessage="0" allowBlank="0" type="list">
      <formula1>"Encryption Key,Signing Key,Authentication Key,Certificate,Master Key,Data Encryption Key,Key Encryption Key,Session Key,N/A"</formula1>
    </dataValidation>
    <dataValidation sqref="C8 C9 C10 C11 C12 C13 C14 C15 C16 C17 C18 C19 C20" showDropDown="0" showInputMessage="0" showErrorMessage="0" allowBlank="0" type="list">
      <formula1>"AES-256,AES-128,RSA-4096,RSA-3072,RSA-2048,Ed25519,ECDSA P-256,ECDSA P-384,ChaCha20,Other,N/A"</formula1>
    </dataValidation>
    <dataValidation sqref="D8 D9 D10 D11 D12 D13 D14 D15 D16 D17 D18 D19 D20" showDropDown="0" showInputMessage="0" showErrorMessage="0" allowBlank="0" type="list">
      <formula1>"256,384,512,2048,3072,4096,8192,N/A"</formula1>
    </dataValidation>
    <dataValidation sqref="E8 E9 E10 E11 E12 E13 E14 E15 E16 E17 E18 E19 E20" showDropDown="0" showInputMessage="0" showErrorMessage="0" allowBlank="0" type="list">
      <formula1>"HSM,Cloud KMS,TPM,Software Keystore,File-based,Database,Smart Card,Vault,N/A"</formula1>
    </dataValidation>
    <dataValidation sqref="F8 F9 F10 F11 F12 F13 F14 F15 F16 F17 F18 F19 F20" showDropDown="0" showInputMessage="0" showErrorMessage="0" allowBlank="0" type="list">
      <formula1>"Public,Internal,Confidential,Restricted,N/A"</formula1>
    </dataValidation>
    <dataValidation sqref="G8 G9 G10 G11 G12 G13 G14 G15 G16 G17 G18 G19 G20" showDropDown="0" showInputMessage="0" showErrorMessage="0" allowBlank="0" type="list">
      <formula1>"Active,Suspended,Archived,Destroyed,Pending Rotation,N/A"</formula1>
    </dataValidation>
    <dataValidation sqref="H8 H9 H10 H11 H12 H13 H14 H15 H16 H17 H18 H19 H20" showDropDown="0" showInputMessage="0" showErrorMessage="0" allowBlank="0" type="list">
      <formula1>"✅ Compliant,⚠️ Partial,❌ Non-Compliant,N/A"</formula1>
    </dataValidation>
    <dataValidation sqref="K8 K9 K10 K11 K12 K13 K14 K15 K16 K17 K18 K19 K20" showDropDown="0" showInputMessage="0" showErrorMessage="0" allowBlank="0" type="list">
      <formula1>"✅ Yes,❌ No"</formula1>
    </dataValidation>
    <dataValidation sqref="Q8 Q9 Q10 Q11 Q12 Q13 Q14 Q15 Q16 Q17 Q18 Q19 Q20" showDropDown="0" showInputMessage="0" showErrorMessage="0" allowBlank="0" type="list">
      <formula1>"✅ Yes,❌ No,⚠️ Unknown"</formula1>
    </dataValidation>
    <dataValidation sqref="B4" showDropDown="0" showInputMessage="0" showErrorMessage="0" allowBlank="0" type="list">
      <formula1>"✅ Yes,❌ No,⚠️ Not Applicable"</formula1>
    </dataValidation>
    <dataValidation sqref="C24 C25 C26 C27 C28 C29 C30 C31 C32 C33 C34 C35 C36 C37 C38 C39" showDropDown="0" showInputMessage="0" showErrorMessage="0" allowBlank="0" type="list">
      <formula1>"✅ Yes,❌ No,N/A"</formula1>
    </dataValidation>
    <dataValidation sqref="B55 B57" showDropDown="0" showInputMessage="0" showErrorMessage="0" allowBlank="0" type="list">
      <formula1>"✅ Yes,❌ No"</formula1>
    </dataValidation>
    <dataValidation sqref="R8 R9 R10 R11 R12 R13 R14 R15 R16 R17 R18 R19 R20" showDropDown="0" showInputMessage="0" showErrorMessage="0" allowBlank="0" type="list">
      <formula1>"Hourly,Daily,Weekly,Monthly,Quarterly,Annually,Biennially,On Compromise,Never,N/A"</formula1>
    </dataValidation>
    <dataValidation sqref="U8 U9 U10 U11 U12 U13 U14 U15 U16 U17 U18 U19 U20 V8 V9 V10 V11 V12 V13 V14 V15 V16 V17 V18 V19 V20" showDropDown="0" showInputMessage="0" showErrorMessage="0" allowBlank="0" type="list">
      <formula1>"✅ Yes,❌ No,N/A"</formula1>
    </dataValidation>
    <dataValidation sqref="W8 W9 W10 W11 W12 W13 W14 W15 W16 W17 W18 W19 W20" showDropDown="0" showInputMessage="0" showErrorMessage="0" allowBlank="0" type="list">
      <formula1>"✅ Yes,❌ No,⏳ In Progress,N/A"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76"/>
  <sheetViews>
    <sheetView showGridLines="0" workbookViewId="0">
      <pane ySplit="6" topLeftCell="A7" activePane="bottomLeft" state="frozen"/>
      <selection pane="bottomLeft" activeCell="A1" sqref="A1"/>
    </sheetView>
  </sheetViews>
  <sheetFormatPr baseColWidth="8" defaultRowHeight="15"/>
  <cols>
    <col width="30" customWidth="1" min="1" max="1"/>
    <col width="70" customWidth="1" min="2" max="2"/>
    <col width="20" customWidth="1" min="3" max="3"/>
    <col width="16" customWidth="1" min="4" max="4"/>
    <col width="22" customWidth="1" min="5" max="5"/>
    <col width="18" customWidth="1" min="6" max="6"/>
    <col width="18" customWidth="1" min="7" max="7"/>
    <col width="15" customWidth="1" min="8" max="8"/>
    <col width="28" customWidth="1" min="9" max="9"/>
    <col width="30" customWidth="1" min="10" max="10"/>
    <col width="14" customWidth="1" min="11" max="11"/>
    <col width="14" customWidth="1" min="12" max="12"/>
    <col width="14" customWidth="1" min="13" max="13"/>
    <col width="30" customWidth="1" min="14" max="14"/>
    <col width="20" customWidth="1" min="15" max="15"/>
    <col width="14" customWidth="1" min="16" max="16"/>
    <col width="15" customWidth="1" min="17" max="17"/>
    <col width="22" customWidth="1" min="18" max="18"/>
    <col width="16" customWidth="1" min="19" max="19"/>
    <col width="22" customWidth="1" min="20" max="20"/>
    <col width="16" customWidth="1" min="21" max="21"/>
    <col width="16" customWidth="1" min="22" max="22"/>
    <col width="18" customWidth="1" min="23" max="23"/>
    <col width="16" customWidth="1" min="24" max="24"/>
  </cols>
  <sheetData>
    <row r="1" ht="35" customHeight="1">
      <c r="A1" s="11" t="inlineStr">
        <is>
          <t>4. KEY BACKUP &amp; RECOVERY - BUSINESS CONTINUITY
Policy Requirement: Cryptographic keys MUST have documented backup and recovery procedures. Backup keys stored with equal or greater security than production keys (Policy Section 2.4.4)</t>
        </is>
      </c>
      <c r="B1" s="6" t="n"/>
      <c r="C1" s="6" t="n"/>
      <c r="D1" s="6" t="n"/>
      <c r="E1" s="6" t="n"/>
      <c r="F1" s="6" t="n"/>
      <c r="G1" s="6" t="n"/>
      <c r="H1" s="6" t="n"/>
      <c r="I1" s="6" t="n"/>
      <c r="J1" s="6" t="n"/>
      <c r="K1" s="6" t="n"/>
      <c r="L1" s="6" t="n"/>
      <c r="M1" s="6" t="n"/>
      <c r="N1" s="6" t="n"/>
      <c r="O1" s="6" t="n"/>
      <c r="P1" s="6" t="n"/>
      <c r="Q1" s="6" t="n"/>
      <c r="R1" s="6" t="n"/>
      <c r="S1" s="6" t="n"/>
      <c r="T1" s="6" t="n"/>
      <c r="U1" s="6" t="n"/>
      <c r="V1" s="6" t="n"/>
      <c r="W1" s="6" t="n"/>
      <c r="X1" s="6" t="n"/>
    </row>
    <row r="2">
      <c r="A2" s="12" t="inlineStr">
        <is>
          <t>ISO/IEC 27001:2022 | Control A.8.24: Use of Cryptography</t>
        </is>
      </c>
    </row>
    <row r="3" ht="30" customHeight="1">
      <c r="A3" s="13" t="inlineStr">
        <is>
          <t>Does your organisation maintain backup and recovery procedures for cryptographic keys?</t>
        </is>
      </c>
      <c r="B3" s="6" t="n"/>
      <c r="C3" s="6" t="n"/>
      <c r="D3" s="6" t="n"/>
      <c r="E3" s="6" t="n"/>
      <c r="F3" s="6" t="n"/>
      <c r="G3" s="6" t="n"/>
      <c r="H3" s="6" t="n"/>
      <c r="I3" s="6" t="n"/>
      <c r="J3" s="6" t="n"/>
      <c r="K3" s="6" t="n"/>
      <c r="L3" s="6" t="n"/>
      <c r="M3" s="6" t="n"/>
      <c r="N3" s="6" t="n"/>
      <c r="O3" s="6" t="n"/>
      <c r="P3" s="6" t="n"/>
      <c r="Q3" s="6" t="n"/>
      <c r="R3" s="6" t="n"/>
      <c r="S3" s="6" t="n"/>
      <c r="T3" s="6" t="n"/>
      <c r="U3" s="6" t="n"/>
      <c r="V3" s="6" t="n"/>
      <c r="W3" s="6" t="n"/>
      <c r="X3" s="6" t="n"/>
    </row>
    <row r="4">
      <c r="A4" s="14" t="inlineStr">
        <is>
          <t>Response:</t>
        </is>
      </c>
      <c r="B4" s="15" t="n"/>
    </row>
    <row r="6">
      <c r="A6" s="16" t="inlineStr">
        <is>
          <t>System/Service</t>
        </is>
      </c>
      <c r="B6" s="16" t="inlineStr">
        <is>
          <t>Key Type</t>
        </is>
      </c>
      <c r="C6" s="16" t="inlineStr">
        <is>
          <t>Algorithm</t>
        </is>
      </c>
      <c r="D6" s="16" t="inlineStr">
        <is>
          <t>Key Length (bits)</t>
        </is>
      </c>
      <c r="E6" s="16" t="inlineStr">
        <is>
          <t>Storage Method</t>
        </is>
      </c>
      <c r="F6" s="16" t="inlineStr">
        <is>
          <t>Data Classification</t>
        </is>
      </c>
      <c r="G6" s="16" t="inlineStr">
        <is>
          <t>Lifecycle Stage</t>
        </is>
      </c>
      <c r="H6" s="16" t="inlineStr">
        <is>
          <t>Status</t>
        </is>
      </c>
      <c r="I6" s="16" t="inlineStr">
        <is>
          <t>Evidence Location</t>
        </is>
      </c>
      <c r="J6" s="16" t="inlineStr">
        <is>
          <t>Gap Description</t>
        </is>
      </c>
      <c r="K6" s="16" t="inlineStr">
        <is>
          <t>Remediation Needed</t>
        </is>
      </c>
      <c r="L6" s="16" t="inlineStr">
        <is>
          <t>Exception ID</t>
        </is>
      </c>
      <c r="M6" s="16" t="inlineStr">
        <is>
          <t>Risk ID</t>
        </is>
      </c>
      <c r="N6" s="16" t="inlineStr">
        <is>
          <t>Compensating Controls</t>
        </is>
      </c>
      <c r="O6" s="16" t="inlineStr">
        <is>
          <t>Responsible Person</t>
        </is>
      </c>
      <c r="P6" s="16" t="inlineStr">
        <is>
          <t>Target Date</t>
        </is>
      </c>
      <c r="Q6" s="16" t="inlineStr">
        <is>
          <t>Budget Required</t>
        </is>
      </c>
      <c r="R6" s="16" t="inlineStr">
        <is>
          <t>Backup Method</t>
        </is>
      </c>
      <c r="S6" s="16" t="inlineStr">
        <is>
          <t>Backup Encryption</t>
        </is>
      </c>
      <c r="T6" s="16" t="inlineStr">
        <is>
          <t>Backup Location</t>
        </is>
      </c>
      <c r="U6" s="16" t="inlineStr">
        <is>
          <t>Recovery Tested</t>
        </is>
      </c>
      <c r="V6" s="16" t="inlineStr">
        <is>
          <t>Last Recovery Test</t>
        </is>
      </c>
      <c r="W6" s="16" t="inlineStr">
        <is>
          <t>RTO (Recovery Time)</t>
        </is>
      </c>
      <c r="X6" s="16" t="inlineStr">
        <is>
          <t>Escrow Agreement</t>
        </is>
      </c>
    </row>
    <row r="7">
      <c r="A7" s="17" t="inlineStr">
        <is>
          <t>Example: Master Encryption Key Backup</t>
        </is>
      </c>
      <c r="B7" s="17" t="inlineStr">
        <is>
          <t>Master Key</t>
        </is>
      </c>
      <c r="C7" s="17" t="inlineStr">
        <is>
          <t>AES-256</t>
        </is>
      </c>
      <c r="D7" s="17" t="inlineStr">
        <is>
          <t>256</t>
        </is>
      </c>
      <c r="E7" s="17" t="inlineStr">
        <is>
          <t>HSM</t>
        </is>
      </c>
      <c r="F7" s="17" t="inlineStr">
        <is>
          <t>Restricted</t>
        </is>
      </c>
      <c r="G7" s="17" t="inlineStr">
        <is>
          <t>Active</t>
        </is>
      </c>
      <c r="H7" s="17" t="inlineStr">
        <is>
          <t>✅ Compliant</t>
        </is>
      </c>
      <c r="I7" s="17" t="inlineStr">
        <is>
          <t>/evidence/key-mgmt/master-key-backup.pdf</t>
        </is>
      </c>
      <c r="J7" s="17" t="inlineStr">
        <is>
          <t>None</t>
        </is>
      </c>
      <c r="K7" s="17" t="inlineStr">
        <is>
          <t>No</t>
        </is>
      </c>
      <c r="L7" s="17" t="inlineStr">
        <is>
          <t>N/A</t>
        </is>
      </c>
      <c r="M7" s="17" t="inlineStr">
        <is>
          <t>N/A</t>
        </is>
      </c>
      <c r="N7" s="17" t="inlineStr">
        <is>
          <t>N/A</t>
        </is>
      </c>
      <c r="O7" s="17" t="inlineStr">
        <is>
          <t>N/A</t>
        </is>
      </c>
      <c r="P7" s="17" t="inlineStr">
        <is>
          <t>N/A</t>
        </is>
      </c>
      <c r="Q7" s="17" t="inlineStr">
        <is>
          <t>No</t>
        </is>
      </c>
      <c r="R7" s="17" t="inlineStr">
        <is>
          <t>HSM Backup</t>
        </is>
      </c>
      <c r="S7" s="17" t="inlineStr">
        <is>
          <t>Yes</t>
        </is>
      </c>
      <c r="T7" s="17" t="inlineStr">
        <is>
          <t>Offsite Secure Vault</t>
        </is>
      </c>
      <c r="U7" s="17" t="inlineStr">
        <is>
          <t>Yes</t>
        </is>
      </c>
      <c r="V7" s="17" t="inlineStr">
        <is>
          <t>2024-06-15</t>
        </is>
      </c>
      <c r="W7" s="17" t="inlineStr">
        <is>
          <t>&lt;1 hour</t>
        </is>
      </c>
      <c r="X7" s="17" t="inlineStr">
        <is>
          <t>Yes</t>
        </is>
      </c>
    </row>
    <row r="8">
      <c r="A8" s="18" t="n"/>
      <c r="B8" s="18" t="n"/>
      <c r="C8" s="18" t="n"/>
      <c r="D8" s="18" t="n"/>
      <c r="E8" s="18" t="n"/>
      <c r="F8" s="18" t="n"/>
      <c r="G8" s="18" t="n"/>
      <c r="H8" s="18" t="n"/>
      <c r="I8" s="18" t="n"/>
      <c r="J8" s="18" t="n"/>
      <c r="K8" s="18" t="n"/>
      <c r="L8" s="18" t="n"/>
      <c r="M8" s="18" t="n"/>
      <c r="N8" s="18" t="n"/>
      <c r="O8" s="18" t="n"/>
      <c r="P8" s="18" t="n"/>
      <c r="Q8" s="18" t="n"/>
      <c r="R8" s="18" t="n"/>
      <c r="S8" s="18" t="n"/>
      <c r="T8" s="18" t="n"/>
      <c r="U8" s="18" t="n"/>
      <c r="V8" s="18" t="n"/>
      <c r="W8" s="18" t="n"/>
      <c r="X8" s="18" t="n"/>
    </row>
    <row r="9">
      <c r="A9" s="18" t="n"/>
      <c r="B9" s="18" t="n"/>
      <c r="C9" s="18" t="n"/>
      <c r="D9" s="18" t="n"/>
      <c r="E9" s="18" t="n"/>
      <c r="F9" s="18" t="n"/>
      <c r="G9" s="18" t="n"/>
      <c r="H9" s="18" t="n"/>
      <c r="I9" s="18" t="n"/>
      <c r="J9" s="18" t="n"/>
      <c r="K9" s="18" t="n"/>
      <c r="L9" s="18" t="n"/>
      <c r="M9" s="18" t="n"/>
      <c r="N9" s="18" t="n"/>
      <c r="O9" s="18" t="n"/>
      <c r="P9" s="18" t="n"/>
      <c r="Q9" s="18" t="n"/>
      <c r="R9" s="18" t="n"/>
      <c r="S9" s="18" t="n"/>
      <c r="T9" s="18" t="n"/>
      <c r="U9" s="18" t="n"/>
      <c r="V9" s="18" t="n"/>
      <c r="W9" s="18" t="n"/>
      <c r="X9" s="18" t="n"/>
    </row>
    <row r="10">
      <c r="A10" s="18" t="n"/>
      <c r="B10" s="18" t="n"/>
      <c r="C10" s="18" t="n"/>
      <c r="D10" s="18" t="n"/>
      <c r="E10" s="18" t="n"/>
      <c r="F10" s="18" t="n"/>
      <c r="G10" s="18" t="n"/>
      <c r="H10" s="18" t="n"/>
      <c r="I10" s="18" t="n"/>
      <c r="J10" s="18" t="n"/>
      <c r="K10" s="18" t="n"/>
      <c r="L10" s="18" t="n"/>
      <c r="M10" s="18" t="n"/>
      <c r="N10" s="18" t="n"/>
      <c r="O10" s="18" t="n"/>
      <c r="P10" s="18" t="n"/>
      <c r="Q10" s="18" t="n"/>
      <c r="R10" s="18" t="n"/>
      <c r="S10" s="18" t="n"/>
      <c r="T10" s="18" t="n"/>
      <c r="U10" s="18" t="n"/>
      <c r="V10" s="18" t="n"/>
      <c r="W10" s="18" t="n"/>
      <c r="X10" s="18" t="n"/>
    </row>
    <row r="11">
      <c r="A11" s="18" t="n"/>
      <c r="B11" s="18" t="n"/>
      <c r="C11" s="18" t="n"/>
      <c r="D11" s="18" t="n"/>
      <c r="E11" s="18" t="n"/>
      <c r="F11" s="18" t="n"/>
      <c r="G11" s="18" t="n"/>
      <c r="H11" s="18" t="n"/>
      <c r="I11" s="18" t="n"/>
      <c r="J11" s="18" t="n"/>
      <c r="K11" s="18" t="n"/>
      <c r="L11" s="18" t="n"/>
      <c r="M11" s="18" t="n"/>
      <c r="N11" s="18" t="n"/>
      <c r="O11" s="18" t="n"/>
      <c r="P11" s="18" t="n"/>
      <c r="Q11" s="18" t="n"/>
      <c r="R11" s="18" t="n"/>
      <c r="S11" s="18" t="n"/>
      <c r="T11" s="18" t="n"/>
      <c r="U11" s="18" t="n"/>
      <c r="V11" s="18" t="n"/>
      <c r="W11" s="18" t="n"/>
      <c r="X11" s="18" t="n"/>
    </row>
    <row r="12">
      <c r="A12" s="18" t="n"/>
      <c r="B12" s="18" t="n"/>
      <c r="C12" s="18" t="n"/>
      <c r="D12" s="18" t="n"/>
      <c r="E12" s="18" t="n"/>
      <c r="F12" s="18" t="n"/>
      <c r="G12" s="18" t="n"/>
      <c r="H12" s="18" t="n"/>
      <c r="I12" s="18" t="n"/>
      <c r="J12" s="18" t="n"/>
      <c r="K12" s="18" t="n"/>
      <c r="L12" s="18" t="n"/>
      <c r="M12" s="18" t="n"/>
      <c r="N12" s="18" t="n"/>
      <c r="O12" s="18" t="n"/>
      <c r="P12" s="18" t="n"/>
      <c r="Q12" s="18" t="n"/>
      <c r="R12" s="18" t="n"/>
      <c r="S12" s="18" t="n"/>
      <c r="T12" s="18" t="n"/>
      <c r="U12" s="18" t="n"/>
      <c r="V12" s="18" t="n"/>
      <c r="W12" s="18" t="n"/>
      <c r="X12" s="18" t="n"/>
    </row>
    <row r="13">
      <c r="A13" s="18" t="n"/>
      <c r="B13" s="18" t="n"/>
      <c r="C13" s="18" t="n"/>
      <c r="D13" s="18" t="n"/>
      <c r="E13" s="18" t="n"/>
      <c r="F13" s="18" t="n"/>
      <c r="G13" s="18" t="n"/>
      <c r="H13" s="18" t="n"/>
      <c r="I13" s="18" t="n"/>
      <c r="J13" s="18" t="n"/>
      <c r="K13" s="18" t="n"/>
      <c r="L13" s="18" t="n"/>
      <c r="M13" s="18" t="n"/>
      <c r="N13" s="18" t="n"/>
      <c r="O13" s="18" t="n"/>
      <c r="P13" s="18" t="n"/>
      <c r="Q13" s="18" t="n"/>
      <c r="R13" s="18" t="n"/>
      <c r="S13" s="18" t="n"/>
      <c r="T13" s="18" t="n"/>
      <c r="U13" s="18" t="n"/>
      <c r="V13" s="18" t="n"/>
      <c r="W13" s="18" t="n"/>
      <c r="X13" s="18" t="n"/>
    </row>
    <row r="14">
      <c r="A14" s="18" t="n"/>
      <c r="B14" s="18" t="n"/>
      <c r="C14" s="18" t="n"/>
      <c r="D14" s="18" t="n"/>
      <c r="E14" s="18" t="n"/>
      <c r="F14" s="18" t="n"/>
      <c r="G14" s="18" t="n"/>
      <c r="H14" s="18" t="n"/>
      <c r="I14" s="18" t="n"/>
      <c r="J14" s="18" t="n"/>
      <c r="K14" s="18" t="n"/>
      <c r="L14" s="18" t="n"/>
      <c r="M14" s="18" t="n"/>
      <c r="N14" s="18" t="n"/>
      <c r="O14" s="18" t="n"/>
      <c r="P14" s="18" t="n"/>
      <c r="Q14" s="18" t="n"/>
      <c r="R14" s="18" t="n"/>
      <c r="S14" s="18" t="n"/>
      <c r="T14" s="18" t="n"/>
      <c r="U14" s="18" t="n"/>
      <c r="V14" s="18" t="n"/>
      <c r="W14" s="18" t="n"/>
      <c r="X14" s="18" t="n"/>
    </row>
    <row r="15">
      <c r="A15" s="18" t="n"/>
      <c r="B15" s="18" t="n"/>
      <c r="C15" s="18" t="n"/>
      <c r="D15" s="18" t="n"/>
      <c r="E15" s="18" t="n"/>
      <c r="F15" s="18" t="n"/>
      <c r="G15" s="18" t="n"/>
      <c r="H15" s="18" t="n"/>
      <c r="I15" s="18" t="n"/>
      <c r="J15" s="18" t="n"/>
      <c r="K15" s="18" t="n"/>
      <c r="L15" s="18" t="n"/>
      <c r="M15" s="18" t="n"/>
      <c r="N15" s="18" t="n"/>
      <c r="O15" s="18" t="n"/>
      <c r="P15" s="18" t="n"/>
      <c r="Q15" s="18" t="n"/>
      <c r="R15" s="18" t="n"/>
      <c r="S15" s="18" t="n"/>
      <c r="T15" s="18" t="n"/>
      <c r="U15" s="18" t="n"/>
      <c r="V15" s="18" t="n"/>
      <c r="W15" s="18" t="n"/>
      <c r="X15" s="18" t="n"/>
    </row>
    <row r="16">
      <c r="A16" s="18" t="n"/>
      <c r="B16" s="18" t="n"/>
      <c r="C16" s="18" t="n"/>
      <c r="D16" s="18" t="n"/>
      <c r="E16" s="18" t="n"/>
      <c r="F16" s="18" t="n"/>
      <c r="G16" s="18" t="n"/>
      <c r="H16" s="18" t="n"/>
      <c r="I16" s="18" t="n"/>
      <c r="J16" s="18" t="n"/>
      <c r="K16" s="18" t="n"/>
      <c r="L16" s="18" t="n"/>
      <c r="M16" s="18" t="n"/>
      <c r="N16" s="18" t="n"/>
      <c r="O16" s="18" t="n"/>
      <c r="P16" s="18" t="n"/>
      <c r="Q16" s="18" t="n"/>
      <c r="R16" s="18" t="n"/>
      <c r="S16" s="18" t="n"/>
      <c r="T16" s="18" t="n"/>
      <c r="U16" s="18" t="n"/>
      <c r="V16" s="18" t="n"/>
      <c r="W16" s="18" t="n"/>
      <c r="X16" s="18" t="n"/>
    </row>
    <row r="17">
      <c r="A17" s="18" t="n"/>
      <c r="B17" s="18" t="n"/>
      <c r="C17" s="18" t="n"/>
      <c r="D17" s="18" t="n"/>
      <c r="E17" s="18" t="n"/>
      <c r="F17" s="18" t="n"/>
      <c r="G17" s="18" t="n"/>
      <c r="H17" s="18" t="n"/>
      <c r="I17" s="18" t="n"/>
      <c r="J17" s="18" t="n"/>
      <c r="K17" s="18" t="n"/>
      <c r="L17" s="18" t="n"/>
      <c r="M17" s="18" t="n"/>
      <c r="N17" s="18" t="n"/>
      <c r="O17" s="18" t="n"/>
      <c r="P17" s="18" t="n"/>
      <c r="Q17" s="18" t="n"/>
      <c r="R17" s="18" t="n"/>
      <c r="S17" s="18" t="n"/>
      <c r="T17" s="18" t="n"/>
      <c r="U17" s="18" t="n"/>
      <c r="V17" s="18" t="n"/>
      <c r="W17" s="18" t="n"/>
      <c r="X17" s="18" t="n"/>
    </row>
    <row r="18">
      <c r="A18" s="18" t="n"/>
      <c r="B18" s="18" t="n"/>
      <c r="C18" s="18" t="n"/>
      <c r="D18" s="18" t="n"/>
      <c r="E18" s="18" t="n"/>
      <c r="F18" s="18" t="n"/>
      <c r="G18" s="18" t="n"/>
      <c r="H18" s="18" t="n"/>
      <c r="I18" s="18" t="n"/>
      <c r="J18" s="18" t="n"/>
      <c r="K18" s="18" t="n"/>
      <c r="L18" s="18" t="n"/>
      <c r="M18" s="18" t="n"/>
      <c r="N18" s="18" t="n"/>
      <c r="O18" s="18" t="n"/>
      <c r="P18" s="18" t="n"/>
      <c r="Q18" s="18" t="n"/>
      <c r="R18" s="18" t="n"/>
      <c r="S18" s="18" t="n"/>
      <c r="T18" s="18" t="n"/>
      <c r="U18" s="18" t="n"/>
      <c r="V18" s="18" t="n"/>
      <c r="W18" s="18" t="n"/>
      <c r="X18" s="18" t="n"/>
    </row>
    <row r="19">
      <c r="A19" s="18" t="n"/>
      <c r="B19" s="18" t="n"/>
      <c r="C19" s="18" t="n"/>
      <c r="D19" s="18" t="n"/>
      <c r="E19" s="18" t="n"/>
      <c r="F19" s="18" t="n"/>
      <c r="G19" s="18" t="n"/>
      <c r="H19" s="18" t="n"/>
      <c r="I19" s="18" t="n"/>
      <c r="J19" s="18" t="n"/>
      <c r="K19" s="18" t="n"/>
      <c r="L19" s="18" t="n"/>
      <c r="M19" s="18" t="n"/>
      <c r="N19" s="18" t="n"/>
      <c r="O19" s="18" t="n"/>
      <c r="P19" s="18" t="n"/>
      <c r="Q19" s="18" t="n"/>
      <c r="R19" s="18" t="n"/>
      <c r="S19" s="18" t="n"/>
      <c r="T19" s="18" t="n"/>
      <c r="U19" s="18" t="n"/>
      <c r="V19" s="18" t="n"/>
      <c r="W19" s="18" t="n"/>
      <c r="X19" s="18" t="n"/>
    </row>
    <row r="20">
      <c r="A20" s="18" t="n"/>
      <c r="B20" s="18" t="n"/>
      <c r="C20" s="18" t="n"/>
      <c r="D20" s="18" t="n"/>
      <c r="E20" s="18" t="n"/>
      <c r="F20" s="18" t="n"/>
      <c r="G20" s="18" t="n"/>
      <c r="H20" s="18" t="n"/>
      <c r="I20" s="18" t="n"/>
      <c r="J20" s="18" t="n"/>
      <c r="K20" s="18" t="n"/>
      <c r="L20" s="18" t="n"/>
      <c r="M20" s="18" t="n"/>
      <c r="N20" s="18" t="n"/>
      <c r="O20" s="18" t="n"/>
      <c r="P20" s="18" t="n"/>
      <c r="Q20" s="18" t="n"/>
      <c r="R20" s="18" t="n"/>
      <c r="S20" s="18" t="n"/>
      <c r="T20" s="18" t="n"/>
      <c r="U20" s="18" t="n"/>
      <c r="V20" s="18" t="n"/>
      <c r="W20" s="18" t="n"/>
      <c r="X20" s="18" t="n"/>
    </row>
    <row r="22">
      <c r="A22" s="19" t="inlineStr">
        <is>
          <t>4. KEY BACKUP &amp; RECOVERY CHECKLIST</t>
        </is>
      </c>
    </row>
    <row r="23">
      <c r="A23" s="14" t="inlineStr">
        <is>
          <t>☐</t>
        </is>
      </c>
      <c r="B23" s="14" t="inlineStr">
        <is>
          <t>Requirement</t>
        </is>
      </c>
      <c r="C23" s="14" t="inlineStr">
        <is>
          <t>Status</t>
        </is>
      </c>
    </row>
    <row r="24">
      <c r="A24" t="inlineStr">
        <is>
          <t>☐</t>
        </is>
      </c>
      <c r="B24" t="inlineStr">
        <is>
          <t>Key backup and recovery procedures documented</t>
        </is>
      </c>
      <c r="C24" s="15" t="n"/>
    </row>
    <row r="25">
      <c r="A25" t="inlineStr">
        <is>
          <t>☐</t>
        </is>
      </c>
      <c r="B25" t="inlineStr">
        <is>
          <t>All critical keys have backup copies</t>
        </is>
      </c>
      <c r="C25" s="15" t="n"/>
    </row>
    <row r="26">
      <c r="A26" t="inlineStr">
        <is>
          <t>☐</t>
        </is>
      </c>
      <c r="B26" t="inlineStr">
        <is>
          <t>Backup keys encrypted with equal or stronger encryption</t>
        </is>
      </c>
      <c r="C26" s="15" t="n"/>
    </row>
    <row r="27">
      <c r="A27" t="inlineStr">
        <is>
          <t>☐</t>
        </is>
      </c>
      <c r="B27" t="inlineStr">
        <is>
          <t>Backup keys stored separately from production keys</t>
        </is>
      </c>
      <c r="C27" s="15" t="n"/>
    </row>
    <row r="28">
      <c r="A28" t="inlineStr">
        <is>
          <t>☐</t>
        </is>
      </c>
      <c r="B28" t="inlineStr">
        <is>
          <t>Geographic separation of backup keys (offsite/different region)</t>
        </is>
      </c>
      <c r="C28" s="15" t="n"/>
    </row>
    <row r="29">
      <c r="A29" t="inlineStr">
        <is>
          <t>☐</t>
        </is>
      </c>
      <c r="B29" t="inlineStr">
        <is>
          <t>Backup key access restricted (dual control/escrow)</t>
        </is>
      </c>
      <c r="C29" s="15" t="n"/>
    </row>
    <row r="30">
      <c r="A30" t="inlineStr">
        <is>
          <t>☐</t>
        </is>
      </c>
      <c r="B30" t="inlineStr">
        <is>
          <t>Key recovery procedures tested quarterly</t>
        </is>
      </c>
      <c r="C30" s="15" t="n"/>
    </row>
    <row r="31">
      <c r="A31" t="inlineStr">
        <is>
          <t>☐</t>
        </is>
      </c>
      <c r="B31" t="inlineStr">
        <is>
          <t>Recovery time objective (RTO) defined and documented</t>
        </is>
      </c>
      <c r="C31" s="15" t="n"/>
    </row>
    <row r="32">
      <c r="A32" t="inlineStr">
        <is>
          <t>☐</t>
        </is>
      </c>
      <c r="B32" t="inlineStr">
        <is>
          <t>Recovery point objective (RPO) defined and documented</t>
        </is>
      </c>
      <c r="C32" s="15" t="n"/>
    </row>
    <row r="33">
      <c r="A33" t="inlineStr">
        <is>
          <t>☐</t>
        </is>
      </c>
      <c r="B33" t="inlineStr">
        <is>
          <t>Key escrow agreements in place (where required)</t>
        </is>
      </c>
      <c r="C33" s="15" t="n"/>
    </row>
    <row r="34">
      <c r="A34" t="inlineStr">
        <is>
          <t>☐</t>
        </is>
      </c>
      <c r="B34" t="inlineStr">
        <is>
          <t>Split knowledge/dual control for backup key recovery</t>
        </is>
      </c>
      <c r="C34" s="15" t="n"/>
    </row>
    <row r="35">
      <c r="A35" t="inlineStr">
        <is>
          <t>☐</t>
        </is>
      </c>
      <c r="B35" t="inlineStr">
        <is>
          <t>Backup key inventory maintained and audited</t>
        </is>
      </c>
      <c r="C35" s="15" t="n"/>
    </row>
    <row r="36">
      <c r="A36" t="inlineStr">
        <is>
          <t>☐</t>
        </is>
      </c>
      <c r="B36" t="inlineStr">
        <is>
          <t>Backup keys versioned and synchronized with production</t>
        </is>
      </c>
      <c r="C36" s="15" t="n"/>
    </row>
    <row r="37">
      <c r="A37" t="inlineStr">
        <is>
          <t>☐</t>
        </is>
      </c>
      <c r="B37" t="inlineStr">
        <is>
          <t>Emergency recovery procedures documented</t>
        </is>
      </c>
      <c r="C37" s="15" t="n"/>
    </row>
    <row r="38">
      <c r="A38" t="inlineStr">
        <is>
          <t>☐</t>
        </is>
      </c>
      <c r="B38" t="inlineStr">
        <is>
          <t>Key recovery audit logging enabled</t>
        </is>
      </c>
      <c r="C38" s="15" t="n"/>
    </row>
    <row r="39">
      <c r="A39" t="inlineStr">
        <is>
          <t>☐</t>
        </is>
      </c>
      <c r="B39" t="inlineStr">
        <is>
          <t>Backup keys updated when production keys rotate</t>
        </is>
      </c>
      <c r="C39" s="15" t="n"/>
    </row>
    <row r="40">
      <c r="A40" t="inlineStr">
        <is>
          <t>☐</t>
        </is>
      </c>
      <c r="B40" t="inlineStr">
        <is>
          <t>Cloud KMS backup to different region/account</t>
        </is>
      </c>
      <c r="C40" s="15" t="n"/>
    </row>
    <row r="41">
      <c r="A41" t="inlineStr">
        <is>
          <t>☐</t>
        </is>
      </c>
      <c r="B41" t="inlineStr">
        <is>
          <t>HSM backup cards stored in secure facility</t>
        </is>
      </c>
      <c r="C41" s="15" t="n"/>
    </row>
    <row r="42">
      <c r="A42" s="14" t="inlineStr">
        <is>
          <t>Checklist Score:</t>
        </is>
      </c>
      <c r="B42" s="20">
        <f>IFERROR(ROUND(COUNTIF(C24:C41,"✅ Yes")/COUNTA(C24:C41)*100,0)&amp;"%","0%")</f>
        <v/>
      </c>
    </row>
    <row r="44">
      <c r="A44" s="19" t="inlineStr">
        <is>
          <t>BACKUP STRATEGIES BY KEY TYPE</t>
        </is>
      </c>
    </row>
    <row r="45">
      <c r="A45" s="16" t="inlineStr">
        <is>
          <t>Key Type</t>
        </is>
      </c>
      <c r="B45" s="16" t="inlineStr">
        <is>
          <t>Recommended Backup Method</t>
        </is>
      </c>
      <c r="C45" s="16" t="inlineStr">
        <is>
          <t>Storage Location</t>
        </is>
      </c>
      <c r="D45" s="16" t="inlineStr">
        <is>
          <t>Recovery Testing Frequency</t>
        </is>
      </c>
    </row>
    <row r="46">
      <c r="A46" s="8" t="inlineStr">
        <is>
          <t>Master Keys</t>
        </is>
      </c>
      <c r="B46" s="8" t="inlineStr">
        <is>
          <t>HSM backup card + escrow</t>
        </is>
      </c>
      <c r="C46" s="8" t="inlineStr">
        <is>
          <t>Offsite secure vault</t>
        </is>
      </c>
      <c r="D46" s="8" t="inlineStr">
        <is>
          <t>Annually</t>
        </is>
      </c>
    </row>
    <row r="47">
      <c r="A47" s="8" t="inlineStr">
        <is>
          <t>Encryption Keys</t>
        </is>
      </c>
      <c r="B47" s="8" t="inlineStr">
        <is>
          <t>KMS automated backup</t>
        </is>
      </c>
      <c r="C47" s="8" t="inlineStr">
        <is>
          <t>Different region/account</t>
        </is>
      </c>
      <c r="D47" s="8" t="inlineStr">
        <is>
          <t>Quarterly</t>
        </is>
      </c>
    </row>
    <row r="48">
      <c r="A48" s="8" t="inlineStr">
        <is>
          <t>Certificate Private Keys</t>
        </is>
      </c>
      <c r="B48" s="8" t="inlineStr">
        <is>
          <t>Encrypted file backup</t>
        </is>
      </c>
      <c r="C48" s="8" t="inlineStr">
        <is>
          <t>Secure file storage</t>
        </is>
      </c>
      <c r="D48" s="8" t="inlineStr">
        <is>
          <t>Semi-annually</t>
        </is>
      </c>
    </row>
    <row r="49">
      <c r="A49" s="8" t="inlineStr">
        <is>
          <t>SSH Keys</t>
        </is>
      </c>
      <c r="B49" s="8" t="inlineStr">
        <is>
          <t>Encrypted backup + key management system</t>
        </is>
      </c>
      <c r="C49" s="8" t="inlineStr">
        <is>
          <t>Secrets vault</t>
        </is>
      </c>
      <c r="D49" s="8" t="inlineStr">
        <is>
          <t>Annually</t>
        </is>
      </c>
    </row>
    <row r="50">
      <c r="A50" s="8" t="inlineStr">
        <is>
          <t>API Keys</t>
        </is>
      </c>
      <c r="B50" s="8" t="inlineStr">
        <is>
          <t>Secrets management system</t>
        </is>
      </c>
      <c r="C50" s="8" t="inlineStr">
        <is>
          <t>Multi-region vault</t>
        </is>
      </c>
      <c r="D50" s="8" t="inlineStr">
        <is>
          <t>Quarterly</t>
        </is>
      </c>
    </row>
    <row r="51">
      <c r="A51" s="8" t="inlineStr">
        <is>
          <t>Database TDE Keys</t>
        </is>
      </c>
      <c r="B51" s="8" t="inlineStr">
        <is>
          <t>Native database backup + KMS</t>
        </is>
      </c>
      <c r="C51" s="8" t="inlineStr">
        <is>
          <t>Encrypted backup storage</t>
        </is>
      </c>
      <c r="D51" s="8" t="inlineStr">
        <is>
          <t>Quarterly</t>
        </is>
      </c>
    </row>
    <row r="53">
      <c r="A53" s="21" t="inlineStr">
        <is>
          <t>EXCEPTION / DEVIATION DOCUMENTATION (Complete if Status = Partial or Non-Compliant)</t>
        </is>
      </c>
      <c r="B53" s="6" t="n"/>
      <c r="C53" s="6" t="n"/>
      <c r="D53" s="6" t="n"/>
      <c r="E53" s="6" t="n"/>
      <c r="F53" s="6" t="n"/>
      <c r="G53" s="6" t="n"/>
      <c r="H53" s="6" t="n"/>
      <c r="I53" s="6" t="n"/>
      <c r="J53" s="6" t="n"/>
      <c r="K53" s="6" t="n"/>
      <c r="L53" s="6" t="n"/>
      <c r="M53" s="6" t="n"/>
      <c r="N53" s="6" t="n"/>
      <c r="O53" s="6" t="n"/>
      <c r="P53" s="6" t="n"/>
      <c r="Q53" s="6" t="n"/>
      <c r="R53" s="6" t="n"/>
      <c r="S53" s="6" t="n"/>
      <c r="T53" s="6" t="n"/>
      <c r="U53" s="6" t="n"/>
      <c r="V53" s="6" t="n"/>
      <c r="W53" s="6" t="n"/>
      <c r="X53" s="6" t="n"/>
    </row>
    <row r="54">
      <c r="A54" s="14" t="inlineStr">
        <is>
          <t>Formal exception request submitted:</t>
        </is>
      </c>
      <c r="B54" s="18" t="n"/>
      <c r="C54" s="6" t="n"/>
      <c r="D54" s="6" t="n"/>
    </row>
    <row r="55">
      <c r="A55" s="14" t="inlineStr">
        <is>
          <t>Exception ID:</t>
        </is>
      </c>
      <c r="B55" s="18" t="n"/>
      <c r="C55" s="6" t="n"/>
      <c r="D55" s="6" t="n"/>
    </row>
    <row r="56">
      <c r="A56" s="14" t="inlineStr">
        <is>
          <t>Risk acceptance documented:</t>
        </is>
      </c>
      <c r="B56" s="18" t="n"/>
      <c r="C56" s="6" t="n"/>
      <c r="D56" s="6" t="n"/>
    </row>
    <row r="57">
      <c r="A57" s="14" t="inlineStr">
        <is>
          <t>Risk ID:</t>
        </is>
      </c>
      <c r="B57" s="18" t="n"/>
      <c r="C57" s="6" t="n"/>
      <c r="D57" s="6" t="n"/>
    </row>
    <row r="58">
      <c r="A58" s="14" t="inlineStr">
        <is>
          <t>Compensating Controls (summary):</t>
        </is>
      </c>
      <c r="B58" s="18" t="n"/>
      <c r="C58" s="6" t="n"/>
      <c r="D58" s="6" t="n"/>
    </row>
    <row r="59">
      <c r="A59" s="14" t="inlineStr">
        <is>
          <t>☐ Enhanced monitoring and alerting</t>
        </is>
      </c>
      <c r="B59" s="18" t="n"/>
      <c r="C59" s="6" t="n"/>
      <c r="D59" s="6" t="n"/>
    </row>
    <row r="60">
      <c r="A60" s="14" t="inlineStr">
        <is>
          <t>☐ Restricted network access / air-gapped systems</t>
        </is>
      </c>
      <c r="B60" s="18" t="n"/>
      <c r="C60" s="6" t="n"/>
      <c r="D60" s="6" t="n"/>
    </row>
    <row r="61">
      <c r="A61" s="14" t="inlineStr">
        <is>
          <t>☐ Additional encryption layer</t>
        </is>
      </c>
      <c r="B61" s="18" t="n"/>
      <c r="C61" s="6" t="n"/>
      <c r="D61" s="6" t="n"/>
    </row>
    <row r="62">
      <c r="A62" s="14" t="inlineStr">
        <is>
          <t>☐ Manual key management procedures</t>
        </is>
      </c>
      <c r="B62" s="18" t="n"/>
      <c r="C62" s="6" t="n"/>
      <c r="D62" s="6" t="n"/>
    </row>
    <row r="63">
      <c r="A63" s="14" t="inlineStr">
        <is>
          <t>☐ Increased audit frequency</t>
        </is>
      </c>
      <c r="B63" s="18" t="n"/>
      <c r="C63" s="6" t="n"/>
      <c r="D63" s="6" t="n"/>
    </row>
    <row r="64">
      <c r="A64" s="14" t="inlineStr">
        <is>
          <t>☐ Physical security controls</t>
        </is>
      </c>
      <c r="B64" s="18" t="n"/>
      <c r="C64" s="6" t="n"/>
      <c r="D64" s="6" t="n"/>
    </row>
    <row r="65">
      <c r="A65" s="14" t="inlineStr">
        <is>
          <t>☐ Other (describe):</t>
        </is>
      </c>
      <c r="B65" s="18" t="n"/>
      <c r="C65" s="6" t="n"/>
      <c r="D65" s="6" t="n"/>
    </row>
    <row r="67">
      <c r="A67" s="22" t="inlineStr">
        <is>
          <t>ADDITIONAL NOTES / COMMENTS</t>
        </is>
      </c>
      <c r="B67" s="6" t="n"/>
      <c r="C67" s="6" t="n"/>
      <c r="D67" s="6" t="n"/>
      <c r="E67" s="6" t="n"/>
      <c r="F67" s="6" t="n"/>
      <c r="G67" s="6" t="n"/>
      <c r="H67" s="6" t="n"/>
      <c r="I67" s="6" t="n"/>
      <c r="J67" s="6" t="n"/>
      <c r="K67" s="6" t="n"/>
      <c r="L67" s="6" t="n"/>
      <c r="M67" s="6" t="n"/>
      <c r="N67" s="6" t="n"/>
      <c r="O67" s="6" t="n"/>
      <c r="P67" s="6" t="n"/>
      <c r="Q67" s="6" t="n"/>
      <c r="R67" s="6" t="n"/>
      <c r="S67" s="6" t="n"/>
      <c r="T67" s="6" t="n"/>
      <c r="U67" s="6" t="n"/>
      <c r="V67" s="6" t="n"/>
      <c r="W67" s="6" t="n"/>
      <c r="X67" s="6" t="n"/>
    </row>
    <row r="68">
      <c r="A68" s="23" t="n"/>
      <c r="B68" s="6" t="n"/>
      <c r="C68" s="6" t="n"/>
      <c r="D68" s="6" t="n"/>
      <c r="E68" s="6" t="n"/>
      <c r="F68" s="6" t="n"/>
      <c r="G68" s="6" t="n"/>
      <c r="H68" s="6" t="n"/>
      <c r="I68" s="6" t="n"/>
      <c r="J68" s="6" t="n"/>
      <c r="K68" s="6" t="n"/>
      <c r="L68" s="6" t="n"/>
      <c r="M68" s="6" t="n"/>
      <c r="N68" s="6" t="n"/>
      <c r="O68" s="6" t="n"/>
      <c r="P68" s="6" t="n"/>
      <c r="Q68" s="6" t="n"/>
      <c r="R68" s="6" t="n"/>
      <c r="S68" s="6" t="n"/>
      <c r="T68" s="6" t="n"/>
      <c r="U68" s="6" t="n"/>
      <c r="V68" s="6" t="n"/>
      <c r="W68" s="6" t="n"/>
      <c r="X68" s="6" t="n"/>
    </row>
    <row r="69">
      <c r="A69" s="6" t="n"/>
      <c r="B69" s="6" t="n"/>
      <c r="C69" s="6" t="n"/>
      <c r="D69" s="6" t="n"/>
      <c r="E69" s="6" t="n"/>
      <c r="F69" s="6" t="n"/>
      <c r="G69" s="6" t="n"/>
      <c r="H69" s="6" t="n"/>
      <c r="I69" s="6" t="n"/>
      <c r="J69" s="6" t="n"/>
      <c r="K69" s="6" t="n"/>
      <c r="L69" s="6" t="n"/>
      <c r="M69" s="6" t="n"/>
      <c r="N69" s="6" t="n"/>
      <c r="O69" s="6" t="n"/>
      <c r="P69" s="6" t="n"/>
      <c r="Q69" s="6" t="n"/>
      <c r="R69" s="6" t="n"/>
      <c r="S69" s="6" t="n"/>
      <c r="T69" s="6" t="n"/>
      <c r="U69" s="6" t="n"/>
      <c r="V69" s="6" t="n"/>
      <c r="W69" s="6" t="n"/>
      <c r="X69" s="6" t="n"/>
    </row>
    <row r="70">
      <c r="A70" s="6" t="n"/>
      <c r="B70" s="6" t="n"/>
      <c r="C70" s="6" t="n"/>
      <c r="D70" s="6" t="n"/>
      <c r="E70" s="6" t="n"/>
      <c r="F70" s="6" t="n"/>
      <c r="G70" s="6" t="n"/>
      <c r="H70" s="6" t="n"/>
      <c r="I70" s="6" t="n"/>
      <c r="J70" s="6" t="n"/>
      <c r="K70" s="6" t="n"/>
      <c r="L70" s="6" t="n"/>
      <c r="M70" s="6" t="n"/>
      <c r="N70" s="6" t="n"/>
      <c r="O70" s="6" t="n"/>
      <c r="P70" s="6" t="n"/>
      <c r="Q70" s="6" t="n"/>
      <c r="R70" s="6" t="n"/>
      <c r="S70" s="6" t="n"/>
      <c r="T70" s="6" t="n"/>
      <c r="U70" s="6" t="n"/>
      <c r="V70" s="6" t="n"/>
      <c r="W70" s="6" t="n"/>
      <c r="X70" s="6" t="n"/>
    </row>
    <row r="71">
      <c r="A71" s="6" t="n"/>
      <c r="B71" s="6" t="n"/>
      <c r="C71" s="6" t="n"/>
      <c r="D71" s="6" t="n"/>
      <c r="E71" s="6" t="n"/>
      <c r="F71" s="6" t="n"/>
      <c r="G71" s="6" t="n"/>
      <c r="H71" s="6" t="n"/>
      <c r="I71" s="6" t="n"/>
      <c r="J71" s="6" t="n"/>
      <c r="K71" s="6" t="n"/>
      <c r="L71" s="6" t="n"/>
      <c r="M71" s="6" t="n"/>
      <c r="N71" s="6" t="n"/>
      <c r="O71" s="6" t="n"/>
      <c r="P71" s="6" t="n"/>
      <c r="Q71" s="6" t="n"/>
      <c r="R71" s="6" t="n"/>
      <c r="S71" s="6" t="n"/>
      <c r="T71" s="6" t="n"/>
      <c r="U71" s="6" t="n"/>
      <c r="V71" s="6" t="n"/>
      <c r="W71" s="6" t="n"/>
      <c r="X71" s="6" t="n"/>
    </row>
    <row r="72">
      <c r="A72" s="6" t="n"/>
      <c r="B72" s="6" t="n"/>
      <c r="C72" s="6" t="n"/>
      <c r="D72" s="6" t="n"/>
      <c r="E72" s="6" t="n"/>
      <c r="F72" s="6" t="n"/>
      <c r="G72" s="6" t="n"/>
      <c r="H72" s="6" t="n"/>
      <c r="I72" s="6" t="n"/>
      <c r="J72" s="6" t="n"/>
      <c r="K72" s="6" t="n"/>
      <c r="L72" s="6" t="n"/>
      <c r="M72" s="6" t="n"/>
      <c r="N72" s="6" t="n"/>
      <c r="O72" s="6" t="n"/>
      <c r="P72" s="6" t="n"/>
      <c r="Q72" s="6" t="n"/>
      <c r="R72" s="6" t="n"/>
      <c r="S72" s="6" t="n"/>
      <c r="T72" s="6" t="n"/>
      <c r="U72" s="6" t="n"/>
      <c r="V72" s="6" t="n"/>
      <c r="W72" s="6" t="n"/>
      <c r="X72" s="6" t="n"/>
    </row>
    <row r="73">
      <c r="A73" s="6" t="n"/>
      <c r="B73" s="6" t="n"/>
      <c r="C73" s="6" t="n"/>
      <c r="D73" s="6" t="n"/>
      <c r="E73" s="6" t="n"/>
      <c r="F73" s="6" t="n"/>
      <c r="G73" s="6" t="n"/>
      <c r="H73" s="6" t="n"/>
      <c r="I73" s="6" t="n"/>
      <c r="J73" s="6" t="n"/>
      <c r="K73" s="6" t="n"/>
      <c r="L73" s="6" t="n"/>
      <c r="M73" s="6" t="n"/>
      <c r="N73" s="6" t="n"/>
      <c r="O73" s="6" t="n"/>
      <c r="P73" s="6" t="n"/>
      <c r="Q73" s="6" t="n"/>
      <c r="R73" s="6" t="n"/>
      <c r="S73" s="6" t="n"/>
      <c r="T73" s="6" t="n"/>
      <c r="U73" s="6" t="n"/>
      <c r="V73" s="6" t="n"/>
      <c r="W73" s="6" t="n"/>
      <c r="X73" s="6" t="n"/>
    </row>
    <row r="74">
      <c r="A74" s="6" t="n"/>
      <c r="B74" s="6" t="n"/>
      <c r="C74" s="6" t="n"/>
      <c r="D74" s="6" t="n"/>
      <c r="E74" s="6" t="n"/>
      <c r="F74" s="6" t="n"/>
      <c r="G74" s="6" t="n"/>
      <c r="H74" s="6" t="n"/>
      <c r="I74" s="6" t="n"/>
      <c r="J74" s="6" t="n"/>
      <c r="K74" s="6" t="n"/>
      <c r="L74" s="6" t="n"/>
      <c r="M74" s="6" t="n"/>
      <c r="N74" s="6" t="n"/>
      <c r="O74" s="6" t="n"/>
      <c r="P74" s="6" t="n"/>
      <c r="Q74" s="6" t="n"/>
      <c r="R74" s="6" t="n"/>
      <c r="S74" s="6" t="n"/>
      <c r="T74" s="6" t="n"/>
      <c r="U74" s="6" t="n"/>
      <c r="V74" s="6" t="n"/>
      <c r="W74" s="6" t="n"/>
      <c r="X74" s="6" t="n"/>
    </row>
    <row r="75">
      <c r="A75" s="6" t="n"/>
      <c r="B75" s="6" t="n"/>
      <c r="C75" s="6" t="n"/>
      <c r="D75" s="6" t="n"/>
      <c r="E75" s="6" t="n"/>
      <c r="F75" s="6" t="n"/>
      <c r="G75" s="6" t="n"/>
      <c r="H75" s="6" t="n"/>
      <c r="I75" s="6" t="n"/>
      <c r="J75" s="6" t="n"/>
      <c r="K75" s="6" t="n"/>
      <c r="L75" s="6" t="n"/>
      <c r="M75" s="6" t="n"/>
      <c r="N75" s="6" t="n"/>
      <c r="O75" s="6" t="n"/>
      <c r="P75" s="6" t="n"/>
      <c r="Q75" s="6" t="n"/>
      <c r="R75" s="6" t="n"/>
      <c r="S75" s="6" t="n"/>
      <c r="T75" s="6" t="n"/>
      <c r="U75" s="6" t="n"/>
      <c r="V75" s="6" t="n"/>
      <c r="W75" s="6" t="n"/>
      <c r="X75" s="6" t="n"/>
    </row>
    <row r="76">
      <c r="A76" s="6" t="n"/>
      <c r="B76" s="6" t="n"/>
      <c r="C76" s="6" t="n"/>
      <c r="D76" s="6" t="n"/>
      <c r="E76" s="6" t="n"/>
      <c r="F76" s="6" t="n"/>
      <c r="G76" s="6" t="n"/>
      <c r="H76" s="6" t="n"/>
      <c r="I76" s="6" t="n"/>
      <c r="J76" s="6" t="n"/>
      <c r="K76" s="6" t="n"/>
      <c r="L76" s="6" t="n"/>
      <c r="M76" s="6" t="n"/>
      <c r="N76" s="6" t="n"/>
      <c r="O76" s="6" t="n"/>
      <c r="P76" s="6" t="n"/>
      <c r="Q76" s="6" t="n"/>
      <c r="R76" s="6" t="n"/>
      <c r="S76" s="6" t="n"/>
      <c r="T76" s="6" t="n"/>
      <c r="U76" s="6" t="n"/>
      <c r="V76" s="6" t="n"/>
      <c r="W76" s="6" t="n"/>
      <c r="X76" s="6" t="n"/>
    </row>
  </sheetData>
  <mergeCells count="17">
    <mergeCell ref="A67:X67"/>
    <mergeCell ref="A3:X3"/>
    <mergeCell ref="B59:D59"/>
    <mergeCell ref="A53:X53"/>
    <mergeCell ref="B60:D60"/>
    <mergeCell ref="B63:D63"/>
    <mergeCell ref="B61:D61"/>
    <mergeCell ref="B57:D57"/>
    <mergeCell ref="A68:X76"/>
    <mergeCell ref="B56:D56"/>
    <mergeCell ref="B58:D58"/>
    <mergeCell ref="B65:D65"/>
    <mergeCell ref="A1:X1"/>
    <mergeCell ref="B62:D62"/>
    <mergeCell ref="B55:D55"/>
    <mergeCell ref="B54:D54"/>
    <mergeCell ref="B64:D64"/>
  </mergeCells>
  <dataValidations count="15">
    <dataValidation sqref="B8 B9 B10 B11 B12 B13 B14 B15 B16 B17 B18 B19 B20" showDropDown="0" showInputMessage="0" showErrorMessage="0" allowBlank="0" type="list">
      <formula1>"Encryption Key,Signing Key,Authentication Key,Certificate,Master Key,Data Encryption Key,Key Encryption Key,Session Key,N/A"</formula1>
    </dataValidation>
    <dataValidation sqref="C8 C9 C10 C11 C12 C13 C14 C15 C16 C17 C18 C19 C20" showDropDown="0" showInputMessage="0" showErrorMessage="0" allowBlank="0" type="list">
      <formula1>"AES-256,AES-128,RSA-4096,RSA-3072,RSA-2048,Ed25519,ECDSA P-256,ECDSA P-384,ChaCha20,Other,N/A"</formula1>
    </dataValidation>
    <dataValidation sqref="D8 D9 D10 D11 D12 D13 D14 D15 D16 D17 D18 D19 D20" showDropDown="0" showInputMessage="0" showErrorMessage="0" allowBlank="0" type="list">
      <formula1>"256,384,512,2048,3072,4096,8192,N/A"</formula1>
    </dataValidation>
    <dataValidation sqref="E8 E9 E10 E11 E12 E13 E14 E15 E16 E17 E18 E19 E20" showDropDown="0" showInputMessage="0" showErrorMessage="0" allowBlank="0" type="list">
      <formula1>"HSM,Cloud KMS,TPM,Software Keystore,File-based,Database,Smart Card,Vault,N/A"</formula1>
    </dataValidation>
    <dataValidation sqref="F8 F9 F10 F11 F12 F13 F14 F15 F16 F17 F18 F19 F20" showDropDown="0" showInputMessage="0" showErrorMessage="0" allowBlank="0" type="list">
      <formula1>"Public,Internal,Confidential,Restricted,N/A"</formula1>
    </dataValidation>
    <dataValidation sqref="G8 G9 G10 G11 G12 G13 G14 G15 G16 G17 G18 G19 G20" showDropDown="0" showInputMessage="0" showErrorMessage="0" allowBlank="0" type="list">
      <formula1>"Active,Suspended,Archived,Destroyed,Pending Rotation,N/A"</formula1>
    </dataValidation>
    <dataValidation sqref="H8 H9 H10 H11 H12 H13 H14 H15 H16 H17 H18 H19 H20" showDropDown="0" showInputMessage="0" showErrorMessage="0" allowBlank="0" type="list">
      <formula1>"✅ Compliant,⚠️ Partial,❌ Non-Compliant,N/A"</formula1>
    </dataValidation>
    <dataValidation sqref="K8 K9 K10 K11 K12 K13 K14 K15 K16 K17 K18 K19 K20" showDropDown="0" showInputMessage="0" showErrorMessage="0" allowBlank="0" type="list">
      <formula1>"✅ Yes,❌ No"</formula1>
    </dataValidation>
    <dataValidation sqref="Q8 Q9 Q10 Q11 Q12 Q13 Q14 Q15 Q16 Q17 Q18 Q19 Q20" showDropDown="0" showInputMessage="0" showErrorMessage="0" allowBlank="0" type="list">
      <formula1>"✅ Yes,❌ No,⚠️ Unknown"</formula1>
    </dataValidation>
    <dataValidation sqref="B4" showDropDown="0" showInputMessage="0" showErrorMessage="0" allowBlank="0" type="list">
      <formula1>"✅ Yes,❌ No,⚠️ Not Applicable"</formula1>
    </dataValidation>
    <dataValidation sqref="C24 C25 C26 C27 C28 C29 C30 C31 C32 C33 C34 C35 C36 C37 C38 C39 C40 C41" showDropDown="0" showInputMessage="0" showErrorMessage="0" allowBlank="0" type="list">
      <formula1>"✅ Yes,❌ No,N/A"</formula1>
    </dataValidation>
    <dataValidation sqref="B54 B56" showDropDown="0" showInputMessage="0" showErrorMessage="0" allowBlank="0" type="list">
      <formula1>"✅ Yes,❌ No"</formula1>
    </dataValidation>
    <dataValidation sqref="R8 R9 R10 R11 R12 R13 R14 R15 R16 R17 R18 R19 R20" showDropDown="0" showInputMessage="0" showErrorMessage="0" allowBlank="0" type="list">
      <formula1>"HSM Backup,KMS Backup,Encrypted File,Key Escrow,Split Knowledge,Cloud Backup,No Backup,N/A"</formula1>
    </dataValidation>
    <dataValidation sqref="U8 U9 U10 U11 U12 U13 U14 U15 U16 U17 U18 U19 U20" showDropDown="0" showInputMessage="0" showErrorMessage="0" allowBlank="0" type="list">
      <formula1>"✅ Yes,❌ No,⏳ Scheduled,N/A"</formula1>
    </dataValidation>
    <dataValidation sqref="S8 S9 S10 S11 S12 S13 S14 S15 S16 S17 S18 S19 S20 X8 X9 X10 X11 X12 X13 X14 X15 X16 X17 X18 X19 X20" showDropDown="0" showInputMessage="0" showErrorMessage="0" allowBlank="0" type="list">
      <formula1>"✅ Yes,❌ No,N/A"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X91"/>
  <sheetViews>
    <sheetView showGridLines="0" workbookViewId="0">
      <pane ySplit="6" topLeftCell="A7" activePane="bottomLeft" state="frozen"/>
      <selection pane="bottomLeft" activeCell="A1" sqref="A1"/>
    </sheetView>
  </sheetViews>
  <sheetFormatPr baseColWidth="8" defaultRowHeight="15"/>
  <cols>
    <col width="30" customWidth="1" min="1" max="1"/>
    <col width="70" customWidth="1" min="2" max="2"/>
    <col width="20" customWidth="1" min="3" max="3"/>
    <col width="16" customWidth="1" min="4" max="4"/>
    <col width="22" customWidth="1" min="5" max="5"/>
    <col width="18" customWidth="1" min="6" max="6"/>
    <col width="18" customWidth="1" min="7" max="7"/>
    <col width="15" customWidth="1" min="8" max="8"/>
    <col width="28" customWidth="1" min="9" max="9"/>
    <col width="30" customWidth="1" min="10" max="10"/>
    <col width="14" customWidth="1" min="11" max="11"/>
    <col width="14" customWidth="1" min="12" max="12"/>
    <col width="14" customWidth="1" min="13" max="13"/>
    <col width="30" customWidth="1" min="14" max="14"/>
    <col width="20" customWidth="1" min="15" max="15"/>
    <col width="14" customWidth="1" min="16" max="16"/>
    <col width="15" customWidth="1" min="17" max="17"/>
    <col width="22" customWidth="1" min="18" max="18"/>
    <col width="25" customWidth="1" min="19" max="19"/>
    <col width="16" customWidth="1" min="20" max="20"/>
    <col width="16" customWidth="1" min="21" max="21"/>
    <col width="16" customWidth="1" min="22" max="22"/>
    <col width="20" customWidth="1" min="23" max="23"/>
    <col width="16" customWidth="1" min="24" max="24"/>
  </cols>
  <sheetData>
    <row r="1" ht="35" customHeight="1">
      <c r="A1" s="11" t="inlineStr">
        <is>
          <t>5. CERTIFICATE MANAGEMENT - DIGITAL CERTIFICATE LIFECYCLE
Policy Requirement: Digital certificates MUST be issued from trusted Certificate Authorities. Certificate lifecycle management includes issuance, renewal, revocation, and expiration monitoring (Policy Section 2.4.5)</t>
        </is>
      </c>
      <c r="B1" s="6" t="n"/>
      <c r="C1" s="6" t="n"/>
      <c r="D1" s="6" t="n"/>
      <c r="E1" s="6" t="n"/>
      <c r="F1" s="6" t="n"/>
      <c r="G1" s="6" t="n"/>
      <c r="H1" s="6" t="n"/>
      <c r="I1" s="6" t="n"/>
      <c r="J1" s="6" t="n"/>
      <c r="K1" s="6" t="n"/>
      <c r="L1" s="6" t="n"/>
      <c r="M1" s="6" t="n"/>
      <c r="N1" s="6" t="n"/>
      <c r="O1" s="6" t="n"/>
      <c r="P1" s="6" t="n"/>
      <c r="Q1" s="6" t="n"/>
      <c r="R1" s="6" t="n"/>
      <c r="S1" s="6" t="n"/>
      <c r="T1" s="6" t="n"/>
      <c r="U1" s="6" t="n"/>
      <c r="V1" s="6" t="n"/>
      <c r="W1" s="6" t="n"/>
      <c r="X1" s="6" t="n"/>
    </row>
    <row r="2">
      <c r="A2" s="12" t="inlineStr">
        <is>
          <t>ISO/IEC 27001:2022 | Control A.8.24: Use of Cryptography</t>
        </is>
      </c>
    </row>
    <row r="3" ht="30" customHeight="1">
      <c r="A3" s="13" t="inlineStr">
        <is>
          <t>Does your organisation use digital certificates for TLS/SSL, code signing, email signing, or authentication?</t>
        </is>
      </c>
      <c r="B3" s="6" t="n"/>
      <c r="C3" s="6" t="n"/>
      <c r="D3" s="6" t="n"/>
      <c r="E3" s="6" t="n"/>
      <c r="F3" s="6" t="n"/>
      <c r="G3" s="6" t="n"/>
      <c r="H3" s="6" t="n"/>
      <c r="I3" s="6" t="n"/>
      <c r="J3" s="6" t="n"/>
      <c r="K3" s="6" t="n"/>
      <c r="L3" s="6" t="n"/>
      <c r="M3" s="6" t="n"/>
      <c r="N3" s="6" t="n"/>
      <c r="O3" s="6" t="n"/>
      <c r="P3" s="6" t="n"/>
      <c r="Q3" s="6" t="n"/>
      <c r="R3" s="6" t="n"/>
      <c r="S3" s="6" t="n"/>
      <c r="T3" s="6" t="n"/>
      <c r="U3" s="6" t="n"/>
      <c r="V3" s="6" t="n"/>
      <c r="W3" s="6" t="n"/>
      <c r="X3" s="6" t="n"/>
    </row>
    <row r="4">
      <c r="A4" s="14" t="inlineStr">
        <is>
          <t>Response:</t>
        </is>
      </c>
      <c r="B4" s="15" t="n"/>
    </row>
    <row r="6">
      <c r="A6" s="16" t="inlineStr">
        <is>
          <t>System/Service</t>
        </is>
      </c>
      <c r="B6" s="16" t="inlineStr">
        <is>
          <t>Key Type</t>
        </is>
      </c>
      <c r="C6" s="16" t="inlineStr">
        <is>
          <t>Algorithm</t>
        </is>
      </c>
      <c r="D6" s="16" t="inlineStr">
        <is>
          <t>Key Length (bits)</t>
        </is>
      </c>
      <c r="E6" s="16" t="inlineStr">
        <is>
          <t>Storage Method</t>
        </is>
      </c>
      <c r="F6" s="16" t="inlineStr">
        <is>
          <t>Data Classification</t>
        </is>
      </c>
      <c r="G6" s="16" t="inlineStr">
        <is>
          <t>Lifecycle Stage</t>
        </is>
      </c>
      <c r="H6" s="16" t="inlineStr">
        <is>
          <t>Status</t>
        </is>
      </c>
      <c r="I6" s="16" t="inlineStr">
        <is>
          <t>Evidence Location</t>
        </is>
      </c>
      <c r="J6" s="16" t="inlineStr">
        <is>
          <t>Gap Description</t>
        </is>
      </c>
      <c r="K6" s="16" t="inlineStr">
        <is>
          <t>Remediation Needed</t>
        </is>
      </c>
      <c r="L6" s="16" t="inlineStr">
        <is>
          <t>Exception ID</t>
        </is>
      </c>
      <c r="M6" s="16" t="inlineStr">
        <is>
          <t>Risk ID</t>
        </is>
      </c>
      <c r="N6" s="16" t="inlineStr">
        <is>
          <t>Compensating Controls</t>
        </is>
      </c>
      <c r="O6" s="16" t="inlineStr">
        <is>
          <t>Responsible Person</t>
        </is>
      </c>
      <c r="P6" s="16" t="inlineStr">
        <is>
          <t>Target Date</t>
        </is>
      </c>
      <c r="Q6" s="16" t="inlineStr">
        <is>
          <t>Budget Required</t>
        </is>
      </c>
      <c r="R6" s="16" t="inlineStr">
        <is>
          <t>Certificate Type</t>
        </is>
      </c>
      <c r="S6" s="16" t="inlineStr">
        <is>
          <t>Issuing CA</t>
        </is>
      </c>
      <c r="T6" s="16" t="inlineStr">
        <is>
          <t>Certificate Validity</t>
        </is>
      </c>
      <c r="U6" s="16" t="inlineStr">
        <is>
          <t>Expiration Date</t>
        </is>
      </c>
      <c r="V6" s="16" t="inlineStr">
        <is>
          <t>Auto-Renewal</t>
        </is>
      </c>
      <c r="W6" s="16" t="inlineStr">
        <is>
          <t>Revocation Method</t>
        </is>
      </c>
      <c r="X6" s="16" t="inlineStr">
        <is>
          <t>Monitoring Enabled</t>
        </is>
      </c>
    </row>
    <row r="7">
      <c r="A7" s="17" t="inlineStr">
        <is>
          <t>Example: Production Web Server TLS</t>
        </is>
      </c>
      <c r="B7" s="17" t="inlineStr">
        <is>
          <t>Certificate</t>
        </is>
      </c>
      <c r="C7" s="17" t="inlineStr">
        <is>
          <t>RSA-2048</t>
        </is>
      </c>
      <c r="D7" s="17" t="inlineStr">
        <is>
          <t>2048</t>
        </is>
      </c>
      <c r="E7" s="17" t="inlineStr">
        <is>
          <t>TPM</t>
        </is>
      </c>
      <c r="F7" s="17" t="inlineStr">
        <is>
          <t>Public</t>
        </is>
      </c>
      <c r="G7" s="17" t="inlineStr">
        <is>
          <t>Active</t>
        </is>
      </c>
      <c r="H7" s="17" t="inlineStr">
        <is>
          <t>✅ Compliant</t>
        </is>
      </c>
      <c r="I7" s="17" t="inlineStr">
        <is>
          <t>/evidence/key-mgmt/web-tls-cert.pdf</t>
        </is>
      </c>
      <c r="J7" s="17" t="inlineStr">
        <is>
          <t>None</t>
        </is>
      </c>
      <c r="K7" s="17" t="inlineStr">
        <is>
          <t>No</t>
        </is>
      </c>
      <c r="L7" s="17" t="inlineStr">
        <is>
          <t>N/A</t>
        </is>
      </c>
      <c r="M7" s="17" t="inlineStr">
        <is>
          <t>N/A</t>
        </is>
      </c>
      <c r="N7" s="17" t="inlineStr">
        <is>
          <t>N/A</t>
        </is>
      </c>
      <c r="O7" s="17" t="inlineStr">
        <is>
          <t>N/A</t>
        </is>
      </c>
      <c r="P7" s="17" t="inlineStr">
        <is>
          <t>N/A</t>
        </is>
      </c>
      <c r="Q7" s="17" t="inlineStr">
        <is>
          <t>No</t>
        </is>
      </c>
      <c r="R7" s="17" t="inlineStr">
        <is>
          <t>TLS/SSL Server</t>
        </is>
      </c>
      <c r="S7" s="17" t="inlineStr">
        <is>
          <t>Let's Encrypt</t>
        </is>
      </c>
      <c r="T7" s="17" t="inlineStr">
        <is>
          <t>≤90 days</t>
        </is>
      </c>
      <c r="U7" s="17" t="inlineStr">
        <is>
          <t>2025-03-15</t>
        </is>
      </c>
      <c r="V7" s="17" t="inlineStr">
        <is>
          <t>Yes</t>
        </is>
      </c>
      <c r="W7" s="17" t="inlineStr">
        <is>
          <t>OCSP</t>
        </is>
      </c>
      <c r="X7" s="17" t="inlineStr">
        <is>
          <t>Yes</t>
        </is>
      </c>
    </row>
    <row r="8">
      <c r="A8" s="18" t="n"/>
      <c r="B8" s="18" t="n"/>
      <c r="C8" s="18" t="n"/>
      <c r="D8" s="18" t="n"/>
      <c r="E8" s="18" t="n"/>
      <c r="F8" s="18" t="n"/>
      <c r="G8" s="18" t="n"/>
      <c r="H8" s="18" t="n"/>
      <c r="I8" s="18" t="n"/>
      <c r="J8" s="18" t="n"/>
      <c r="K8" s="18" t="n"/>
      <c r="L8" s="18" t="n"/>
      <c r="M8" s="18" t="n"/>
      <c r="N8" s="18" t="n"/>
      <c r="O8" s="18" t="n"/>
      <c r="P8" s="18" t="n"/>
      <c r="Q8" s="18" t="n"/>
      <c r="R8" s="18" t="n"/>
      <c r="S8" s="18" t="n"/>
      <c r="T8" s="18" t="n"/>
      <c r="U8" s="18" t="n"/>
      <c r="V8" s="18" t="n"/>
      <c r="W8" s="18" t="n"/>
      <c r="X8" s="18" t="n"/>
    </row>
    <row r="9">
      <c r="A9" s="18" t="n"/>
      <c r="B9" s="18" t="n"/>
      <c r="C9" s="18" t="n"/>
      <c r="D9" s="18" t="n"/>
      <c r="E9" s="18" t="n"/>
      <c r="F9" s="18" t="n"/>
      <c r="G9" s="18" t="n"/>
      <c r="H9" s="18" t="n"/>
      <c r="I9" s="18" t="n"/>
      <c r="J9" s="18" t="n"/>
      <c r="K9" s="18" t="n"/>
      <c r="L9" s="18" t="n"/>
      <c r="M9" s="18" t="n"/>
      <c r="N9" s="18" t="n"/>
      <c r="O9" s="18" t="n"/>
      <c r="P9" s="18" t="n"/>
      <c r="Q9" s="18" t="n"/>
      <c r="R9" s="18" t="n"/>
      <c r="S9" s="18" t="n"/>
      <c r="T9" s="18" t="n"/>
      <c r="U9" s="18" t="n"/>
      <c r="V9" s="18" t="n"/>
      <c r="W9" s="18" t="n"/>
      <c r="X9" s="18" t="n"/>
    </row>
    <row r="10">
      <c r="A10" s="18" t="n"/>
      <c r="B10" s="18" t="n"/>
      <c r="C10" s="18" t="n"/>
      <c r="D10" s="18" t="n"/>
      <c r="E10" s="18" t="n"/>
      <c r="F10" s="18" t="n"/>
      <c r="G10" s="18" t="n"/>
      <c r="H10" s="18" t="n"/>
      <c r="I10" s="18" t="n"/>
      <c r="J10" s="18" t="n"/>
      <c r="K10" s="18" t="n"/>
      <c r="L10" s="18" t="n"/>
      <c r="M10" s="18" t="n"/>
      <c r="N10" s="18" t="n"/>
      <c r="O10" s="18" t="n"/>
      <c r="P10" s="18" t="n"/>
      <c r="Q10" s="18" t="n"/>
      <c r="R10" s="18" t="n"/>
      <c r="S10" s="18" t="n"/>
      <c r="T10" s="18" t="n"/>
      <c r="U10" s="18" t="n"/>
      <c r="V10" s="18" t="n"/>
      <c r="W10" s="18" t="n"/>
      <c r="X10" s="18" t="n"/>
    </row>
    <row r="11">
      <c r="A11" s="18" t="n"/>
      <c r="B11" s="18" t="n"/>
      <c r="C11" s="18" t="n"/>
      <c r="D11" s="18" t="n"/>
      <c r="E11" s="18" t="n"/>
      <c r="F11" s="18" t="n"/>
      <c r="G11" s="18" t="n"/>
      <c r="H11" s="18" t="n"/>
      <c r="I11" s="18" t="n"/>
      <c r="J11" s="18" t="n"/>
      <c r="K11" s="18" t="n"/>
      <c r="L11" s="18" t="n"/>
      <c r="M11" s="18" t="n"/>
      <c r="N11" s="18" t="n"/>
      <c r="O11" s="18" t="n"/>
      <c r="P11" s="18" t="n"/>
      <c r="Q11" s="18" t="n"/>
      <c r="R11" s="18" t="n"/>
      <c r="S11" s="18" t="n"/>
      <c r="T11" s="18" t="n"/>
      <c r="U11" s="18" t="n"/>
      <c r="V11" s="18" t="n"/>
      <c r="W11" s="18" t="n"/>
      <c r="X11" s="18" t="n"/>
    </row>
    <row r="12">
      <c r="A12" s="18" t="n"/>
      <c r="B12" s="18" t="n"/>
      <c r="C12" s="18" t="n"/>
      <c r="D12" s="18" t="n"/>
      <c r="E12" s="18" t="n"/>
      <c r="F12" s="18" t="n"/>
      <c r="G12" s="18" t="n"/>
      <c r="H12" s="18" t="n"/>
      <c r="I12" s="18" t="n"/>
      <c r="J12" s="18" t="n"/>
      <c r="K12" s="18" t="n"/>
      <c r="L12" s="18" t="n"/>
      <c r="M12" s="18" t="n"/>
      <c r="N12" s="18" t="n"/>
      <c r="O12" s="18" t="n"/>
      <c r="P12" s="18" t="n"/>
      <c r="Q12" s="18" t="n"/>
      <c r="R12" s="18" t="n"/>
      <c r="S12" s="18" t="n"/>
      <c r="T12" s="18" t="n"/>
      <c r="U12" s="18" t="n"/>
      <c r="V12" s="18" t="n"/>
      <c r="W12" s="18" t="n"/>
      <c r="X12" s="18" t="n"/>
    </row>
    <row r="13">
      <c r="A13" s="18" t="n"/>
      <c r="B13" s="18" t="n"/>
      <c r="C13" s="18" t="n"/>
      <c r="D13" s="18" t="n"/>
      <c r="E13" s="18" t="n"/>
      <c r="F13" s="18" t="n"/>
      <c r="G13" s="18" t="n"/>
      <c r="H13" s="18" t="n"/>
      <c r="I13" s="18" t="n"/>
      <c r="J13" s="18" t="n"/>
      <c r="K13" s="18" t="n"/>
      <c r="L13" s="18" t="n"/>
      <c r="M13" s="18" t="n"/>
      <c r="N13" s="18" t="n"/>
      <c r="O13" s="18" t="n"/>
      <c r="P13" s="18" t="n"/>
      <c r="Q13" s="18" t="n"/>
      <c r="R13" s="18" t="n"/>
      <c r="S13" s="18" t="n"/>
      <c r="T13" s="18" t="n"/>
      <c r="U13" s="18" t="n"/>
      <c r="V13" s="18" t="n"/>
      <c r="W13" s="18" t="n"/>
      <c r="X13" s="18" t="n"/>
    </row>
    <row r="14">
      <c r="A14" s="18" t="n"/>
      <c r="B14" s="18" t="n"/>
      <c r="C14" s="18" t="n"/>
      <c r="D14" s="18" t="n"/>
      <c r="E14" s="18" t="n"/>
      <c r="F14" s="18" t="n"/>
      <c r="G14" s="18" t="n"/>
      <c r="H14" s="18" t="n"/>
      <c r="I14" s="18" t="n"/>
      <c r="J14" s="18" t="n"/>
      <c r="K14" s="18" t="n"/>
      <c r="L14" s="18" t="n"/>
      <c r="M14" s="18" t="n"/>
      <c r="N14" s="18" t="n"/>
      <c r="O14" s="18" t="n"/>
      <c r="P14" s="18" t="n"/>
      <c r="Q14" s="18" t="n"/>
      <c r="R14" s="18" t="n"/>
      <c r="S14" s="18" t="n"/>
      <c r="T14" s="18" t="n"/>
      <c r="U14" s="18" t="n"/>
      <c r="V14" s="18" t="n"/>
      <c r="W14" s="18" t="n"/>
      <c r="X14" s="18" t="n"/>
    </row>
    <row r="15">
      <c r="A15" s="18" t="n"/>
      <c r="B15" s="18" t="n"/>
      <c r="C15" s="18" t="n"/>
      <c r="D15" s="18" t="n"/>
      <c r="E15" s="18" t="n"/>
      <c r="F15" s="18" t="n"/>
      <c r="G15" s="18" t="n"/>
      <c r="H15" s="18" t="n"/>
      <c r="I15" s="18" t="n"/>
      <c r="J15" s="18" t="n"/>
      <c r="K15" s="18" t="n"/>
      <c r="L15" s="18" t="n"/>
      <c r="M15" s="18" t="n"/>
      <c r="N15" s="18" t="n"/>
      <c r="O15" s="18" t="n"/>
      <c r="P15" s="18" t="n"/>
      <c r="Q15" s="18" t="n"/>
      <c r="R15" s="18" t="n"/>
      <c r="S15" s="18" t="n"/>
      <c r="T15" s="18" t="n"/>
      <c r="U15" s="18" t="n"/>
      <c r="V15" s="18" t="n"/>
      <c r="W15" s="18" t="n"/>
      <c r="X15" s="18" t="n"/>
    </row>
    <row r="16">
      <c r="A16" s="18" t="n"/>
      <c r="B16" s="18" t="n"/>
      <c r="C16" s="18" t="n"/>
      <c r="D16" s="18" t="n"/>
      <c r="E16" s="18" t="n"/>
      <c r="F16" s="18" t="n"/>
      <c r="G16" s="18" t="n"/>
      <c r="H16" s="18" t="n"/>
      <c r="I16" s="18" t="n"/>
      <c r="J16" s="18" t="n"/>
      <c r="K16" s="18" t="n"/>
      <c r="L16" s="18" t="n"/>
      <c r="M16" s="18" t="n"/>
      <c r="N16" s="18" t="n"/>
      <c r="O16" s="18" t="n"/>
      <c r="P16" s="18" t="n"/>
      <c r="Q16" s="18" t="n"/>
      <c r="R16" s="18" t="n"/>
      <c r="S16" s="18" t="n"/>
      <c r="T16" s="18" t="n"/>
      <c r="U16" s="18" t="n"/>
      <c r="V16" s="18" t="n"/>
      <c r="W16" s="18" t="n"/>
      <c r="X16" s="18" t="n"/>
    </row>
    <row r="17">
      <c r="A17" s="18" t="n"/>
      <c r="B17" s="18" t="n"/>
      <c r="C17" s="18" t="n"/>
      <c r="D17" s="18" t="n"/>
      <c r="E17" s="18" t="n"/>
      <c r="F17" s="18" t="n"/>
      <c r="G17" s="18" t="n"/>
      <c r="H17" s="18" t="n"/>
      <c r="I17" s="18" t="n"/>
      <c r="J17" s="18" t="n"/>
      <c r="K17" s="18" t="n"/>
      <c r="L17" s="18" t="n"/>
      <c r="M17" s="18" t="n"/>
      <c r="N17" s="18" t="n"/>
      <c r="O17" s="18" t="n"/>
      <c r="P17" s="18" t="n"/>
      <c r="Q17" s="18" t="n"/>
      <c r="R17" s="18" t="n"/>
      <c r="S17" s="18" t="n"/>
      <c r="T17" s="18" t="n"/>
      <c r="U17" s="18" t="n"/>
      <c r="V17" s="18" t="n"/>
      <c r="W17" s="18" t="n"/>
      <c r="X17" s="18" t="n"/>
    </row>
    <row r="18">
      <c r="A18" s="18" t="n"/>
      <c r="B18" s="18" t="n"/>
      <c r="C18" s="18" t="n"/>
      <c r="D18" s="18" t="n"/>
      <c r="E18" s="18" t="n"/>
      <c r="F18" s="18" t="n"/>
      <c r="G18" s="18" t="n"/>
      <c r="H18" s="18" t="n"/>
      <c r="I18" s="18" t="n"/>
      <c r="J18" s="18" t="n"/>
      <c r="K18" s="18" t="n"/>
      <c r="L18" s="18" t="n"/>
      <c r="M18" s="18" t="n"/>
      <c r="N18" s="18" t="n"/>
      <c r="O18" s="18" t="n"/>
      <c r="P18" s="18" t="n"/>
      <c r="Q18" s="18" t="n"/>
      <c r="R18" s="18" t="n"/>
      <c r="S18" s="18" t="n"/>
      <c r="T18" s="18" t="n"/>
      <c r="U18" s="18" t="n"/>
      <c r="V18" s="18" t="n"/>
      <c r="W18" s="18" t="n"/>
      <c r="X18" s="18" t="n"/>
    </row>
    <row r="19">
      <c r="A19" s="18" t="n"/>
      <c r="B19" s="18" t="n"/>
      <c r="C19" s="18" t="n"/>
      <c r="D19" s="18" t="n"/>
      <c r="E19" s="18" t="n"/>
      <c r="F19" s="18" t="n"/>
      <c r="G19" s="18" t="n"/>
      <c r="H19" s="18" t="n"/>
      <c r="I19" s="18" t="n"/>
      <c r="J19" s="18" t="n"/>
      <c r="K19" s="18" t="n"/>
      <c r="L19" s="18" t="n"/>
      <c r="M19" s="18" t="n"/>
      <c r="N19" s="18" t="n"/>
      <c r="O19" s="18" t="n"/>
      <c r="P19" s="18" t="n"/>
      <c r="Q19" s="18" t="n"/>
      <c r="R19" s="18" t="n"/>
      <c r="S19" s="18" t="n"/>
      <c r="T19" s="18" t="n"/>
      <c r="U19" s="18" t="n"/>
      <c r="V19" s="18" t="n"/>
      <c r="W19" s="18" t="n"/>
      <c r="X19" s="18" t="n"/>
    </row>
    <row r="20">
      <c r="A20" s="18" t="n"/>
      <c r="B20" s="18" t="n"/>
      <c r="C20" s="18" t="n"/>
      <c r="D20" s="18" t="n"/>
      <c r="E20" s="18" t="n"/>
      <c r="F20" s="18" t="n"/>
      <c r="G20" s="18" t="n"/>
      <c r="H20" s="18" t="n"/>
      <c r="I20" s="18" t="n"/>
      <c r="J20" s="18" t="n"/>
      <c r="K20" s="18" t="n"/>
      <c r="L20" s="18" t="n"/>
      <c r="M20" s="18" t="n"/>
      <c r="N20" s="18" t="n"/>
      <c r="O20" s="18" t="n"/>
      <c r="P20" s="18" t="n"/>
      <c r="Q20" s="18" t="n"/>
      <c r="R20" s="18" t="n"/>
      <c r="S20" s="18" t="n"/>
      <c r="T20" s="18" t="n"/>
      <c r="U20" s="18" t="n"/>
      <c r="V20" s="18" t="n"/>
      <c r="W20" s="18" t="n"/>
      <c r="X20" s="18" t="n"/>
    </row>
    <row r="22">
      <c r="A22" s="19" t="inlineStr">
        <is>
          <t>5. CERTIFICATE MANAGEMENT CHECKLIST</t>
        </is>
      </c>
    </row>
    <row r="23">
      <c r="A23" s="14" t="inlineStr">
        <is>
          <t>☐</t>
        </is>
      </c>
      <c r="B23" s="14" t="inlineStr">
        <is>
          <t>Requirement</t>
        </is>
      </c>
      <c r="C23" s="14" t="inlineStr">
        <is>
          <t>Status</t>
        </is>
      </c>
    </row>
    <row r="24">
      <c r="A24" t="inlineStr">
        <is>
          <t>☐</t>
        </is>
      </c>
      <c r="B24" t="inlineStr">
        <is>
          <t>Certificates issued from trusted public CA (for external services)</t>
        </is>
      </c>
      <c r="C24" s="15" t="n"/>
    </row>
    <row r="25">
      <c r="A25" t="inlineStr">
        <is>
          <t>☐</t>
        </is>
      </c>
      <c r="B25" t="inlineStr">
        <is>
          <t>Internal CA infrastructure properly secured (for internal services)</t>
        </is>
      </c>
      <c r="C25" s="15" t="n"/>
    </row>
    <row r="26">
      <c r="A26" t="inlineStr">
        <is>
          <t>☐</t>
        </is>
      </c>
      <c r="B26" t="inlineStr">
        <is>
          <t>Certificate validity ≤397 days (public TLS certificates)</t>
        </is>
      </c>
      <c r="C26" s="15" t="n"/>
    </row>
    <row r="27">
      <c r="A27" t="inlineStr">
        <is>
          <t>☐</t>
        </is>
      </c>
      <c r="B27" t="inlineStr">
        <is>
          <t>Certificate validity ≤90 days preferred (automated renewal)</t>
        </is>
      </c>
      <c r="C27" s="15" t="n"/>
    </row>
    <row r="28">
      <c r="A28" t="inlineStr">
        <is>
          <t>☐</t>
        </is>
      </c>
      <c r="B28" t="inlineStr">
        <is>
          <t>Self-signed certificates NOT used in production</t>
        </is>
      </c>
      <c r="C28" s="15" t="n"/>
    </row>
    <row r="29">
      <c r="A29" t="inlineStr">
        <is>
          <t>☐</t>
        </is>
      </c>
      <c r="B29" t="inlineStr">
        <is>
          <t>Certificate inventory maintained and up to date</t>
        </is>
      </c>
      <c r="C29" s="15" t="n"/>
    </row>
    <row r="30">
      <c r="A30" t="inlineStr">
        <is>
          <t>☐</t>
        </is>
      </c>
      <c r="B30" t="inlineStr">
        <is>
          <t>Certificate expiration monitoring implemented</t>
        </is>
      </c>
      <c r="C30" s="15" t="n"/>
    </row>
    <row r="31">
      <c r="A31" t="inlineStr">
        <is>
          <t>☐</t>
        </is>
      </c>
      <c r="B31" t="inlineStr">
        <is>
          <t>Alerts configured for 30/60/90 days before expiration</t>
        </is>
      </c>
      <c r="C31" s="15" t="n"/>
    </row>
    <row r="32">
      <c r="A32" t="inlineStr">
        <is>
          <t>☐</t>
        </is>
      </c>
      <c r="B32" t="inlineStr">
        <is>
          <t>Automated certificate renewal configured</t>
        </is>
      </c>
      <c r="C32" s="15" t="n"/>
    </row>
    <row r="33">
      <c r="A33" t="inlineStr">
        <is>
          <t>☐</t>
        </is>
      </c>
      <c r="B33" t="inlineStr">
        <is>
          <t>Certificate renewal tested in non-production</t>
        </is>
      </c>
      <c r="C33" s="15" t="n"/>
    </row>
    <row r="34">
      <c r="A34" t="inlineStr">
        <is>
          <t>☐</t>
        </is>
      </c>
      <c r="B34" t="inlineStr">
        <is>
          <t>Certificate revocation procedures documented</t>
        </is>
      </c>
      <c r="C34" s="15" t="n"/>
    </row>
    <row r="35">
      <c r="A35" t="inlineStr">
        <is>
          <t>☐</t>
        </is>
      </c>
      <c r="B35" t="inlineStr">
        <is>
          <t>CRL or OCSP configured for revocation checking</t>
        </is>
      </c>
      <c r="C35" s="15" t="n"/>
    </row>
    <row r="36">
      <c r="A36" t="inlineStr">
        <is>
          <t>☐</t>
        </is>
      </c>
      <c r="B36" t="inlineStr">
        <is>
          <t>Compromised certificate revocation within 24 hours</t>
        </is>
      </c>
      <c r="C36" s="15" t="n"/>
    </row>
    <row r="37">
      <c r="A37" t="inlineStr">
        <is>
          <t>☐</t>
        </is>
      </c>
      <c r="B37" t="inlineStr">
        <is>
          <t>Certificate private keys stored securely (HSM/KMS preferred)</t>
        </is>
      </c>
      <c r="C37" s="15" t="n"/>
    </row>
    <row r="38">
      <c r="A38" t="inlineStr">
        <is>
          <t>☐</t>
        </is>
      </c>
      <c r="B38" t="inlineStr">
        <is>
          <t>Certificate private keys never shared across systems</t>
        </is>
      </c>
      <c r="C38" s="15" t="n"/>
    </row>
    <row r="39">
      <c r="A39" t="inlineStr">
        <is>
          <t>☐</t>
        </is>
      </c>
      <c r="B39" t="inlineStr">
        <is>
          <t>Wildcard certificates use documented and restricted</t>
        </is>
      </c>
      <c r="C39" s="15" t="n"/>
    </row>
    <row r="40">
      <c r="A40" t="inlineStr">
        <is>
          <t>☐</t>
        </is>
      </c>
      <c r="B40" t="inlineStr">
        <is>
          <t>Certificate signing requests (CSR) process documented</t>
        </is>
      </c>
      <c r="C40" s="15" t="n"/>
    </row>
    <row r="41">
      <c r="A41" t="inlineStr">
        <is>
          <t>☐</t>
        </is>
      </c>
      <c r="B41" t="inlineStr">
        <is>
          <t>Certificate audit logs maintained</t>
        </is>
      </c>
      <c r="C41" s="15" t="n"/>
    </row>
    <row r="42">
      <c r="A42" t="inlineStr">
        <is>
          <t>☐</t>
        </is>
      </c>
      <c r="B42" t="inlineStr">
        <is>
          <t>Code signing certificates protected with hardware tokens</t>
        </is>
      </c>
      <c r="C42" s="15" t="n"/>
    </row>
    <row r="43">
      <c r="A43" t="inlineStr">
        <is>
          <t>☐</t>
        </is>
      </c>
      <c r="B43" t="inlineStr">
        <is>
          <t>Email certificates (S/MIME) issued per user</t>
        </is>
      </c>
      <c r="C43" s="15" t="n"/>
    </row>
    <row r="44">
      <c r="A44" t="inlineStr">
        <is>
          <t>☐</t>
        </is>
      </c>
      <c r="B44" t="inlineStr">
        <is>
          <t>Cryptographic import/export compliance — applicable national regulations on cryptographic products assessed (e.g. US EAR, French ANSSI, Swiss regulations)</t>
        </is>
      </c>
      <c r="C44" s="15" t="n"/>
    </row>
    <row r="45">
      <c r="A45" t="inlineStr">
        <is>
          <t>☐</t>
        </is>
      </c>
      <c r="B45" t="inlineStr">
        <is>
          <t>Jurisdictional restrictions identified — use of cryptographic products compliant with laws of all countries where data is processed or stored</t>
        </is>
      </c>
      <c r="C45" s="15" t="n"/>
    </row>
    <row r="46">
      <c r="A46" s="14" t="inlineStr">
        <is>
          <t>Checklist Score:</t>
        </is>
      </c>
      <c r="B46" s="20">
        <f>IFERROR(ROUND(COUNTIF(C24:C45,"✅ Yes")/COUNTA(C24:C45)*100,0)&amp;"%","0%")</f>
        <v/>
      </c>
    </row>
    <row r="48">
      <c r="A48" s="19" t="inlineStr">
        <is>
          <t>CERTIFICATE VALIDITY STANDARDS</t>
        </is>
      </c>
    </row>
    <row r="49">
      <c r="A49" s="16" t="inlineStr">
        <is>
          <t>Certificate Type</t>
        </is>
      </c>
      <c r="B49" s="16" t="inlineStr">
        <is>
          <t>Maximum Validity</t>
        </is>
      </c>
      <c r="C49" s="16" t="inlineStr">
        <is>
          <t>Recommended Validity</t>
        </is>
      </c>
      <c r="D49" s="16" t="inlineStr">
        <is>
          <t>Renewal Process</t>
        </is>
      </c>
    </row>
    <row r="50">
      <c r="A50" s="8" t="inlineStr">
        <is>
          <t>Public TLS/SSL</t>
        </is>
      </c>
      <c r="B50" s="8" t="inlineStr">
        <is>
          <t>397 days (13 months)</t>
        </is>
      </c>
      <c r="C50" s="8" t="inlineStr">
        <is>
          <t>90 days</t>
        </is>
      </c>
      <c r="D50" s="8" t="inlineStr">
        <is>
          <t>ACME/Let's Encrypt automated</t>
        </is>
      </c>
    </row>
    <row r="51">
      <c r="A51" s="8" t="inlineStr">
        <is>
          <t>Internal TLS/SSL</t>
        </is>
      </c>
      <c r="B51" s="8" t="inlineStr">
        <is>
          <t>2 years</t>
        </is>
      </c>
      <c r="C51" s="8" t="inlineStr">
        <is>
          <t>1 year</t>
        </is>
      </c>
      <c r="D51" s="8" t="inlineStr">
        <is>
          <t>Internal CA automated</t>
        </is>
      </c>
    </row>
    <row r="52">
      <c r="A52" s="8" t="inlineStr">
        <is>
          <t>Code Signing</t>
        </is>
      </c>
      <c r="B52" s="8" t="inlineStr">
        <is>
          <t>3 years</t>
        </is>
      </c>
      <c r="C52" s="8" t="inlineStr">
        <is>
          <t>1 year</t>
        </is>
      </c>
      <c r="D52" s="8" t="inlineStr">
        <is>
          <t>Manual with hardware token</t>
        </is>
      </c>
    </row>
    <row r="53">
      <c r="A53" s="8" t="inlineStr">
        <is>
          <t>Email (S/MIME)</t>
        </is>
      </c>
      <c r="B53" s="8" t="inlineStr">
        <is>
          <t>2 years</t>
        </is>
      </c>
      <c r="C53" s="8" t="inlineStr">
        <is>
          <t>1 year</t>
        </is>
      </c>
      <c r="D53" s="8" t="inlineStr">
        <is>
          <t>PKI automated or manual</t>
        </is>
      </c>
    </row>
    <row r="54">
      <c r="A54" s="8" t="inlineStr">
        <is>
          <t>Client Authentication</t>
        </is>
      </c>
      <c r="B54" s="8" t="inlineStr">
        <is>
          <t>2 years</t>
        </is>
      </c>
      <c r="C54" s="8" t="inlineStr">
        <is>
          <t>1 year</t>
        </is>
      </c>
      <c r="D54" s="8" t="inlineStr">
        <is>
          <t>PKI automated</t>
        </is>
      </c>
    </row>
    <row r="55">
      <c r="A55" s="8" t="inlineStr">
        <is>
          <t>Root CA</t>
        </is>
      </c>
      <c r="B55" s="8" t="inlineStr">
        <is>
          <t>20 years</t>
        </is>
      </c>
      <c r="C55" s="8" t="inlineStr">
        <is>
          <t>10 years</t>
        </is>
      </c>
      <c r="D55" s="8" t="inlineStr">
        <is>
          <t>Manual with ceremony</t>
        </is>
      </c>
    </row>
    <row r="56">
      <c r="A56" s="8" t="inlineStr">
        <is>
          <t>Intermediate CA</t>
        </is>
      </c>
      <c r="B56" s="8" t="inlineStr">
        <is>
          <t>10 years</t>
        </is>
      </c>
      <c r="C56" s="8" t="inlineStr">
        <is>
          <t>5 years</t>
        </is>
      </c>
      <c r="D56" s="8" t="inlineStr">
        <is>
          <t>Manual with ceremony</t>
        </is>
      </c>
    </row>
    <row r="58">
      <c r="A58" s="19" t="inlineStr">
        <is>
          <t>CERTIFICATE LIFECYCLE STAGES</t>
        </is>
      </c>
    </row>
    <row r="59">
      <c r="A59" s="16" t="inlineStr">
        <is>
          <t>Stage</t>
        </is>
      </c>
      <c r="B59" s="16" t="inlineStr">
        <is>
          <t>Actions</t>
        </is>
      </c>
      <c r="C59" s="16" t="inlineStr">
        <is>
          <t>Responsible Role</t>
        </is>
      </c>
      <c r="D59" s="16" t="inlineStr">
        <is>
          <t>Documentation Required</t>
        </is>
      </c>
    </row>
    <row r="60">
      <c r="A60" s="8" t="inlineStr">
        <is>
          <t>Request</t>
        </is>
      </c>
      <c r="B60" s="8" t="inlineStr">
        <is>
          <t>Generate CSR, validate domain/identity</t>
        </is>
      </c>
      <c r="C60" s="8" t="inlineStr">
        <is>
          <t>System Owner</t>
        </is>
      </c>
      <c r="D60" s="8" t="inlineStr">
        <is>
          <t>CSR details, approval</t>
        </is>
      </c>
    </row>
    <row r="61">
      <c r="A61" s="8" t="inlineStr">
        <is>
          <t>Issuance</t>
        </is>
      </c>
      <c r="B61" s="8" t="inlineStr">
        <is>
          <t>CA validation, certificate generation</t>
        </is>
      </c>
      <c r="C61" s="8" t="inlineStr">
        <is>
          <t>CA Admin</t>
        </is>
      </c>
      <c r="D61" s="8" t="inlineStr">
        <is>
          <t>Issuance record, validation log</t>
        </is>
      </c>
    </row>
    <row r="62">
      <c r="A62" s="8" t="inlineStr">
        <is>
          <t>Installation</t>
        </is>
      </c>
      <c r="B62" s="8" t="inlineStr">
        <is>
          <t>Deploy certificate to service</t>
        </is>
      </c>
      <c r="C62" s="8" t="inlineStr">
        <is>
          <t>System Admin</t>
        </is>
      </c>
      <c r="D62" s="8" t="inlineStr">
        <is>
          <t>Deployment log, verification</t>
        </is>
      </c>
    </row>
    <row r="63">
      <c r="A63" s="8" t="inlineStr">
        <is>
          <t>Monitoring</t>
        </is>
      </c>
      <c r="B63" s="8" t="inlineStr">
        <is>
          <t>Track expiration, validate configuration</t>
        </is>
      </c>
      <c r="C63" s="8" t="inlineStr">
        <is>
          <t>Security Team</t>
        </is>
      </c>
      <c r="D63" s="8" t="inlineStr">
        <is>
          <t>Monitoring dashboard</t>
        </is>
      </c>
    </row>
    <row r="64">
      <c r="A64" s="8" t="inlineStr">
        <is>
          <t>Renewal</t>
        </is>
      </c>
      <c r="B64" s="8" t="inlineStr">
        <is>
          <t>Generate new CSR, request renewal</t>
        </is>
      </c>
      <c r="C64" s="8" t="inlineStr">
        <is>
          <t>System Owner</t>
        </is>
      </c>
      <c r="D64" s="8" t="inlineStr">
        <is>
          <t>Renewal approval, testing</t>
        </is>
      </c>
    </row>
    <row r="65">
      <c r="A65" s="8" t="inlineStr">
        <is>
          <t>Revocation</t>
        </is>
      </c>
      <c r="B65" s="8" t="inlineStr">
        <is>
          <t>Revoke compromised/obsolete certificate</t>
        </is>
      </c>
      <c r="C65" s="8" t="inlineStr">
        <is>
          <t>CA Admin</t>
        </is>
      </c>
      <c r="D65" s="8" t="inlineStr">
        <is>
          <t>Incident record, revocation log</t>
        </is>
      </c>
    </row>
    <row r="66">
      <c r="A66" s="8" t="inlineStr">
        <is>
          <t>Archival</t>
        </is>
      </c>
      <c r="B66" s="8" t="inlineStr">
        <is>
          <t>Archive expired certificates</t>
        </is>
      </c>
      <c r="C66" s="8" t="inlineStr">
        <is>
          <t>Security Team</t>
        </is>
      </c>
      <c r="D66" s="8" t="inlineStr">
        <is>
          <t>Archive log, retention period</t>
        </is>
      </c>
    </row>
    <row r="68">
      <c r="A68" s="21" t="inlineStr">
        <is>
          <t>EXCEPTION / DEVIATION DOCUMENTATION (Complete if Status = Partial or Non-Compliant)</t>
        </is>
      </c>
      <c r="B68" s="6" t="n"/>
      <c r="C68" s="6" t="n"/>
      <c r="D68" s="6" t="n"/>
      <c r="E68" s="6" t="n"/>
      <c r="F68" s="6" t="n"/>
      <c r="G68" s="6" t="n"/>
      <c r="H68" s="6" t="n"/>
      <c r="I68" s="6" t="n"/>
      <c r="J68" s="6" t="n"/>
      <c r="K68" s="6" t="n"/>
      <c r="L68" s="6" t="n"/>
      <c r="M68" s="6" t="n"/>
      <c r="N68" s="6" t="n"/>
      <c r="O68" s="6" t="n"/>
      <c r="P68" s="6" t="n"/>
      <c r="Q68" s="6" t="n"/>
      <c r="R68" s="6" t="n"/>
      <c r="S68" s="6" t="n"/>
      <c r="T68" s="6" t="n"/>
      <c r="U68" s="6" t="n"/>
      <c r="V68" s="6" t="n"/>
      <c r="W68" s="6" t="n"/>
      <c r="X68" s="6" t="n"/>
    </row>
    <row r="69">
      <c r="A69" s="14" t="inlineStr">
        <is>
          <t>Formal exception request submitted:</t>
        </is>
      </c>
      <c r="B69" s="18" t="n"/>
      <c r="C69" s="6" t="n"/>
      <c r="D69" s="6" t="n"/>
    </row>
    <row r="70">
      <c r="A70" s="14" t="inlineStr">
        <is>
          <t>Exception ID:</t>
        </is>
      </c>
      <c r="B70" s="18" t="n"/>
      <c r="C70" s="6" t="n"/>
      <c r="D70" s="6" t="n"/>
    </row>
    <row r="71">
      <c r="A71" s="14" t="inlineStr">
        <is>
          <t>Risk acceptance documented:</t>
        </is>
      </c>
      <c r="B71" s="18" t="n"/>
      <c r="C71" s="6" t="n"/>
      <c r="D71" s="6" t="n"/>
    </row>
    <row r="72">
      <c r="A72" s="14" t="inlineStr">
        <is>
          <t>Risk ID:</t>
        </is>
      </c>
      <c r="B72" s="18" t="n"/>
      <c r="C72" s="6" t="n"/>
      <c r="D72" s="6" t="n"/>
    </row>
    <row r="73">
      <c r="A73" s="14" t="inlineStr">
        <is>
          <t>Compensating Controls (summary):</t>
        </is>
      </c>
      <c r="B73" s="18" t="n"/>
      <c r="C73" s="6" t="n"/>
      <c r="D73" s="6" t="n"/>
    </row>
    <row r="74">
      <c r="A74" s="14" t="inlineStr">
        <is>
          <t>☐ Enhanced monitoring and alerting</t>
        </is>
      </c>
      <c r="B74" s="18" t="n"/>
      <c r="C74" s="6" t="n"/>
      <c r="D74" s="6" t="n"/>
    </row>
    <row r="75">
      <c r="A75" s="14" t="inlineStr">
        <is>
          <t>☐ Restricted network access / air-gapped systems</t>
        </is>
      </c>
      <c r="B75" s="18" t="n"/>
      <c r="C75" s="6" t="n"/>
      <c r="D75" s="6" t="n"/>
    </row>
    <row r="76">
      <c r="A76" s="14" t="inlineStr">
        <is>
          <t>☐ Additional encryption layer</t>
        </is>
      </c>
      <c r="B76" s="18" t="n"/>
      <c r="C76" s="6" t="n"/>
      <c r="D76" s="6" t="n"/>
    </row>
    <row r="77">
      <c r="A77" s="14" t="inlineStr">
        <is>
          <t>☐ Manual key management procedures</t>
        </is>
      </c>
      <c r="B77" s="18" t="n"/>
      <c r="C77" s="6" t="n"/>
      <c r="D77" s="6" t="n"/>
    </row>
    <row r="78">
      <c r="A78" s="14" t="inlineStr">
        <is>
          <t>☐ Increased audit frequency</t>
        </is>
      </c>
      <c r="B78" s="18" t="n"/>
      <c r="C78" s="6" t="n"/>
      <c r="D78" s="6" t="n"/>
    </row>
    <row r="79">
      <c r="A79" s="14" t="inlineStr">
        <is>
          <t>☐ Physical security controls</t>
        </is>
      </c>
      <c r="B79" s="18" t="n"/>
      <c r="C79" s="6" t="n"/>
      <c r="D79" s="6" t="n"/>
    </row>
    <row r="80">
      <c r="A80" s="14" t="inlineStr">
        <is>
          <t>☐ Other (describe):</t>
        </is>
      </c>
      <c r="B80" s="18" t="n"/>
      <c r="C80" s="6" t="n"/>
      <c r="D80" s="6" t="n"/>
    </row>
    <row r="82">
      <c r="A82" s="22" t="inlineStr">
        <is>
          <t>ADDITIONAL NOTES / COMMENTS</t>
        </is>
      </c>
      <c r="B82" s="6" t="n"/>
      <c r="C82" s="6" t="n"/>
      <c r="D82" s="6" t="n"/>
      <c r="E82" s="6" t="n"/>
      <c r="F82" s="6" t="n"/>
      <c r="G82" s="6" t="n"/>
      <c r="H82" s="6" t="n"/>
      <c r="I82" s="6" t="n"/>
      <c r="J82" s="6" t="n"/>
      <c r="K82" s="6" t="n"/>
      <c r="L82" s="6" t="n"/>
      <c r="M82" s="6" t="n"/>
      <c r="N82" s="6" t="n"/>
      <c r="O82" s="6" t="n"/>
      <c r="P82" s="6" t="n"/>
      <c r="Q82" s="6" t="n"/>
      <c r="R82" s="6" t="n"/>
      <c r="S82" s="6" t="n"/>
      <c r="T82" s="6" t="n"/>
      <c r="U82" s="6" t="n"/>
      <c r="V82" s="6" t="n"/>
      <c r="W82" s="6" t="n"/>
      <c r="X82" s="6" t="n"/>
    </row>
    <row r="83">
      <c r="A83" s="23" t="n"/>
      <c r="B83" s="6" t="n"/>
      <c r="C83" s="6" t="n"/>
      <c r="D83" s="6" t="n"/>
      <c r="E83" s="6" t="n"/>
      <c r="F83" s="6" t="n"/>
      <c r="G83" s="6" t="n"/>
      <c r="H83" s="6" t="n"/>
      <c r="I83" s="6" t="n"/>
      <c r="J83" s="6" t="n"/>
      <c r="K83" s="6" t="n"/>
      <c r="L83" s="6" t="n"/>
      <c r="M83" s="6" t="n"/>
      <c r="N83" s="6" t="n"/>
      <c r="O83" s="6" t="n"/>
      <c r="P83" s="6" t="n"/>
      <c r="Q83" s="6" t="n"/>
      <c r="R83" s="6" t="n"/>
      <c r="S83" s="6" t="n"/>
      <c r="T83" s="6" t="n"/>
      <c r="U83" s="6" t="n"/>
      <c r="V83" s="6" t="n"/>
      <c r="W83" s="6" t="n"/>
      <c r="X83" s="6" t="n"/>
    </row>
    <row r="84">
      <c r="A84" s="6" t="n"/>
      <c r="B84" s="6" t="n"/>
      <c r="C84" s="6" t="n"/>
      <c r="D84" s="6" t="n"/>
      <c r="E84" s="6" t="n"/>
      <c r="F84" s="6" t="n"/>
      <c r="G84" s="6" t="n"/>
      <c r="H84" s="6" t="n"/>
      <c r="I84" s="6" t="n"/>
      <c r="J84" s="6" t="n"/>
      <c r="K84" s="6" t="n"/>
      <c r="L84" s="6" t="n"/>
      <c r="M84" s="6" t="n"/>
      <c r="N84" s="6" t="n"/>
      <c r="O84" s="6" t="n"/>
      <c r="P84" s="6" t="n"/>
      <c r="Q84" s="6" t="n"/>
      <c r="R84" s="6" t="n"/>
      <c r="S84" s="6" t="n"/>
      <c r="T84" s="6" t="n"/>
      <c r="U84" s="6" t="n"/>
      <c r="V84" s="6" t="n"/>
      <c r="W84" s="6" t="n"/>
      <c r="X84" s="6" t="n"/>
    </row>
    <row r="85">
      <c r="A85" s="6" t="n"/>
      <c r="B85" s="6" t="n"/>
      <c r="C85" s="6" t="n"/>
      <c r="D85" s="6" t="n"/>
      <c r="E85" s="6" t="n"/>
      <c r="F85" s="6" t="n"/>
      <c r="G85" s="6" t="n"/>
      <c r="H85" s="6" t="n"/>
      <c r="I85" s="6" t="n"/>
      <c r="J85" s="6" t="n"/>
      <c r="K85" s="6" t="n"/>
      <c r="L85" s="6" t="n"/>
      <c r="M85" s="6" t="n"/>
      <c r="N85" s="6" t="n"/>
      <c r="O85" s="6" t="n"/>
      <c r="P85" s="6" t="n"/>
      <c r="Q85" s="6" t="n"/>
      <c r="R85" s="6" t="n"/>
      <c r="S85" s="6" t="n"/>
      <c r="T85" s="6" t="n"/>
      <c r="U85" s="6" t="n"/>
      <c r="V85" s="6" t="n"/>
      <c r="W85" s="6" t="n"/>
      <c r="X85" s="6" t="n"/>
    </row>
    <row r="86">
      <c r="A86" s="6" t="n"/>
      <c r="B86" s="6" t="n"/>
      <c r="C86" s="6" t="n"/>
      <c r="D86" s="6" t="n"/>
      <c r="E86" s="6" t="n"/>
      <c r="F86" s="6" t="n"/>
      <c r="G86" s="6" t="n"/>
      <c r="H86" s="6" t="n"/>
      <c r="I86" s="6" t="n"/>
      <c r="J86" s="6" t="n"/>
      <c r="K86" s="6" t="n"/>
      <c r="L86" s="6" t="n"/>
      <c r="M86" s="6" t="n"/>
      <c r="N86" s="6" t="n"/>
      <c r="O86" s="6" t="n"/>
      <c r="P86" s="6" t="n"/>
      <c r="Q86" s="6" t="n"/>
      <c r="R86" s="6" t="n"/>
      <c r="S86" s="6" t="n"/>
      <c r="T86" s="6" t="n"/>
      <c r="U86" s="6" t="n"/>
      <c r="V86" s="6" t="n"/>
      <c r="W86" s="6" t="n"/>
      <c r="X86" s="6" t="n"/>
    </row>
    <row r="87">
      <c r="A87" s="6" t="n"/>
      <c r="B87" s="6" t="n"/>
      <c r="C87" s="6" t="n"/>
      <c r="D87" s="6" t="n"/>
      <c r="E87" s="6" t="n"/>
      <c r="F87" s="6" t="n"/>
      <c r="G87" s="6" t="n"/>
      <c r="H87" s="6" t="n"/>
      <c r="I87" s="6" t="n"/>
      <c r="J87" s="6" t="n"/>
      <c r="K87" s="6" t="n"/>
      <c r="L87" s="6" t="n"/>
      <c r="M87" s="6" t="n"/>
      <c r="N87" s="6" t="n"/>
      <c r="O87" s="6" t="n"/>
      <c r="P87" s="6" t="n"/>
      <c r="Q87" s="6" t="n"/>
      <c r="R87" s="6" t="n"/>
      <c r="S87" s="6" t="n"/>
      <c r="T87" s="6" t="n"/>
      <c r="U87" s="6" t="n"/>
      <c r="V87" s="6" t="n"/>
      <c r="W87" s="6" t="n"/>
      <c r="X87" s="6" t="n"/>
    </row>
    <row r="88">
      <c r="A88" s="6" t="n"/>
      <c r="B88" s="6" t="n"/>
      <c r="C88" s="6" t="n"/>
      <c r="D88" s="6" t="n"/>
      <c r="E88" s="6" t="n"/>
      <c r="F88" s="6" t="n"/>
      <c r="G88" s="6" t="n"/>
      <c r="H88" s="6" t="n"/>
      <c r="I88" s="6" t="n"/>
      <c r="J88" s="6" t="n"/>
      <c r="K88" s="6" t="n"/>
      <c r="L88" s="6" t="n"/>
      <c r="M88" s="6" t="n"/>
      <c r="N88" s="6" t="n"/>
      <c r="O88" s="6" t="n"/>
      <c r="P88" s="6" t="n"/>
      <c r="Q88" s="6" t="n"/>
      <c r="R88" s="6" t="n"/>
      <c r="S88" s="6" t="n"/>
      <c r="T88" s="6" t="n"/>
      <c r="U88" s="6" t="n"/>
      <c r="V88" s="6" t="n"/>
      <c r="W88" s="6" t="n"/>
      <c r="X88" s="6" t="n"/>
    </row>
    <row r="89">
      <c r="A89" s="6" t="n"/>
      <c r="B89" s="6" t="n"/>
      <c r="C89" s="6" t="n"/>
      <c r="D89" s="6" t="n"/>
      <c r="E89" s="6" t="n"/>
      <c r="F89" s="6" t="n"/>
      <c r="G89" s="6" t="n"/>
      <c r="H89" s="6" t="n"/>
      <c r="I89" s="6" t="n"/>
      <c r="J89" s="6" t="n"/>
      <c r="K89" s="6" t="n"/>
      <c r="L89" s="6" t="n"/>
      <c r="M89" s="6" t="n"/>
      <c r="N89" s="6" t="n"/>
      <c r="O89" s="6" t="n"/>
      <c r="P89" s="6" t="n"/>
      <c r="Q89" s="6" t="n"/>
      <c r="R89" s="6" t="n"/>
      <c r="S89" s="6" t="n"/>
      <c r="T89" s="6" t="n"/>
      <c r="U89" s="6" t="n"/>
      <c r="V89" s="6" t="n"/>
      <c r="W89" s="6" t="n"/>
      <c r="X89" s="6" t="n"/>
    </row>
    <row r="90">
      <c r="A90" s="6" t="n"/>
      <c r="B90" s="6" t="n"/>
      <c r="C90" s="6" t="n"/>
      <c r="D90" s="6" t="n"/>
      <c r="E90" s="6" t="n"/>
      <c r="F90" s="6" t="n"/>
      <c r="G90" s="6" t="n"/>
      <c r="H90" s="6" t="n"/>
      <c r="I90" s="6" t="n"/>
      <c r="J90" s="6" t="n"/>
      <c r="K90" s="6" t="n"/>
      <c r="L90" s="6" t="n"/>
      <c r="M90" s="6" t="n"/>
      <c r="N90" s="6" t="n"/>
      <c r="O90" s="6" t="n"/>
      <c r="P90" s="6" t="n"/>
      <c r="Q90" s="6" t="n"/>
      <c r="R90" s="6" t="n"/>
      <c r="S90" s="6" t="n"/>
      <c r="T90" s="6" t="n"/>
      <c r="U90" s="6" t="n"/>
      <c r="V90" s="6" t="n"/>
      <c r="W90" s="6" t="n"/>
      <c r="X90" s="6" t="n"/>
    </row>
    <row r="91">
      <c r="A91" s="6" t="n"/>
      <c r="B91" s="6" t="n"/>
      <c r="C91" s="6" t="n"/>
      <c r="D91" s="6" t="n"/>
      <c r="E91" s="6" t="n"/>
      <c r="F91" s="6" t="n"/>
      <c r="G91" s="6" t="n"/>
      <c r="H91" s="6" t="n"/>
      <c r="I91" s="6" t="n"/>
      <c r="J91" s="6" t="n"/>
      <c r="K91" s="6" t="n"/>
      <c r="L91" s="6" t="n"/>
      <c r="M91" s="6" t="n"/>
      <c r="N91" s="6" t="n"/>
      <c r="O91" s="6" t="n"/>
      <c r="P91" s="6" t="n"/>
      <c r="Q91" s="6" t="n"/>
      <c r="R91" s="6" t="n"/>
      <c r="S91" s="6" t="n"/>
      <c r="T91" s="6" t="n"/>
      <c r="U91" s="6" t="n"/>
      <c r="V91" s="6" t="n"/>
      <c r="W91" s="6" t="n"/>
      <c r="X91" s="6" t="n"/>
    </row>
  </sheetData>
  <mergeCells count="17">
    <mergeCell ref="B72:D72"/>
    <mergeCell ref="A3:X3"/>
    <mergeCell ref="B80:D80"/>
    <mergeCell ref="B76:D76"/>
    <mergeCell ref="B79:D79"/>
    <mergeCell ref="B71:D71"/>
    <mergeCell ref="A83:X91"/>
    <mergeCell ref="A82:X82"/>
    <mergeCell ref="B73:D73"/>
    <mergeCell ref="A68:X68"/>
    <mergeCell ref="B74:D74"/>
    <mergeCell ref="B70:D70"/>
    <mergeCell ref="A1:X1"/>
    <mergeCell ref="B75:D75"/>
    <mergeCell ref="B77:D77"/>
    <mergeCell ref="B69:D69"/>
    <mergeCell ref="B78:D78"/>
  </mergeCells>
  <dataValidations count="16">
    <dataValidation sqref="B8 B9 B10 B11 B12 B13 B14 B15 B16 B17 B18 B19 B20" showDropDown="0" showInputMessage="0" showErrorMessage="0" allowBlank="0" type="list">
      <formula1>"Encryption Key,Signing Key,Authentication Key,Certificate,Master Key,Data Encryption Key,Key Encryption Key,Session Key,N/A"</formula1>
    </dataValidation>
    <dataValidation sqref="C8 C9 C10 C11 C12 C13 C14 C15 C16 C17 C18 C19 C20" showDropDown="0" showInputMessage="0" showErrorMessage="0" allowBlank="0" type="list">
      <formula1>"AES-256,AES-128,RSA-4096,RSA-3072,RSA-2048,Ed25519,ECDSA P-256,ECDSA P-384,ChaCha20,Other,N/A"</formula1>
    </dataValidation>
    <dataValidation sqref="D8 D9 D10 D11 D12 D13 D14 D15 D16 D17 D18 D19 D20" showDropDown="0" showInputMessage="0" showErrorMessage="0" allowBlank="0" type="list">
      <formula1>"256,384,512,2048,3072,4096,8192,N/A"</formula1>
    </dataValidation>
    <dataValidation sqref="E8 E9 E10 E11 E12 E13 E14 E15 E16 E17 E18 E19 E20" showDropDown="0" showInputMessage="0" showErrorMessage="0" allowBlank="0" type="list">
      <formula1>"HSM,Cloud KMS,TPM,Software Keystore,File-based,Database,Smart Card,Vault,N/A"</formula1>
    </dataValidation>
    <dataValidation sqref="F8 F9 F10 F11 F12 F13 F14 F15 F16 F17 F18 F19 F20" showDropDown="0" showInputMessage="0" showErrorMessage="0" allowBlank="0" type="list">
      <formula1>"Public,Internal,Confidential,Restricted,N/A"</formula1>
    </dataValidation>
    <dataValidation sqref="G8 G9 G10 G11 G12 G13 G14 G15 G16 G17 G18 G19 G20" showDropDown="0" showInputMessage="0" showErrorMessage="0" allowBlank="0" type="list">
      <formula1>"Active,Suspended,Archived,Destroyed,Pending Rotation,N/A"</formula1>
    </dataValidation>
    <dataValidation sqref="H8 H9 H10 H11 H12 H13 H14 H15 H16 H17 H18 H19 H20" showDropDown="0" showInputMessage="0" showErrorMessage="0" allowBlank="0" type="list">
      <formula1>"✅ Compliant,⚠️ Partial,❌ Non-Compliant,N/A"</formula1>
    </dataValidation>
    <dataValidation sqref="K8 K9 K10 K11 K12 K13 K14 K15 K16 K17 K18 K19 K20" showDropDown="0" showInputMessage="0" showErrorMessage="0" allowBlank="0" type="list">
      <formula1>"✅ Yes,❌ No"</formula1>
    </dataValidation>
    <dataValidation sqref="Q8 Q9 Q10 Q11 Q12 Q13 Q14 Q15 Q16 Q17 Q18 Q19 Q20" showDropDown="0" showInputMessage="0" showErrorMessage="0" allowBlank="0" type="list">
      <formula1>"✅ Yes,❌ No,⚠️ Unknown"</formula1>
    </dataValidation>
    <dataValidation sqref="B4" showDropDown="0" showInputMessage="0" showErrorMessage="0" allowBlank="0" type="list">
      <formula1>"✅ Yes,❌ No,⚠️ Not Applicable"</formula1>
    </dataValidation>
    <dataValidation sqref="C24 C25 C26 C27 C28 C29 C30 C31 C32 C33 C34 C35 C36 C37 C38 C39 C40 C41 C42 C43 C44 C45" showDropDown="0" showInputMessage="0" showErrorMessage="0" allowBlank="0" type="list">
      <formula1>"✅ Yes,❌ No,N/A"</formula1>
    </dataValidation>
    <dataValidation sqref="B69 B71" showDropDown="0" showInputMessage="0" showErrorMessage="0" allowBlank="0" type="list">
      <formula1>"✅ Yes,❌ No"</formula1>
    </dataValidation>
    <dataValidation sqref="R8 R9 R10 R11 R12 R13 R14 R15 R16 R17 R18 R19 R20" showDropDown="0" showInputMessage="0" showErrorMessage="0" allowBlank="0" type="list">
      <formula1>"TLS/SSL Server,TLS/SSL Client,Code Signing,Email (S/MIME),User Authentication,CA Certificate,Wildcard,SAN,Self-signed,N/A"</formula1>
    </dataValidation>
    <dataValidation sqref="T8 T9 T10 T11 T12 T13 T14 T15 T16 T17 T18 T19 T20" showDropDown="0" showInputMessage="0" showErrorMessage="0" allowBlank="0" type="list">
      <formula1>"≤90 days,91-180 days,181-365 days,366-397 days,&gt;397 days (non-compliant),Expired,N/A"</formula1>
    </dataValidation>
    <dataValidation sqref="W8 W9 W10 W11 W12 W13 W14 W15 W16 W17 W18 W19 W20" showDropDown="0" showInputMessage="0" showErrorMessage="0" allowBlank="0" type="list">
      <formula1>"CRL,OCSP,OCSP Stapling,Not Configured,N/A"</formula1>
    </dataValidation>
    <dataValidation sqref="V8 V9 V10 V11 V12 V13 V14 V15 V16 V17 V18 V19 V20 X8 X9 X10 X11 X12 X13 X14 X15 X16 X17 X18 X19 X20" showDropDown="0" showInputMessage="0" showErrorMessage="0" allowBlank="0" type="list">
      <formula1>"✅ Yes,❌ No,N/A"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76"/>
  <sheetViews>
    <sheetView showGridLines="0" workbookViewId="0">
      <pane ySplit="6" topLeftCell="A7" activePane="bottomLeft" state="frozen"/>
      <selection pane="bottomLeft" activeCell="A1" sqref="A1"/>
    </sheetView>
  </sheetViews>
  <sheetFormatPr baseColWidth="8" defaultRowHeight="15"/>
  <cols>
    <col width="16" customWidth="1" min="1" max="1"/>
    <col width="20" customWidth="1" min="2" max="2"/>
    <col width="18" customWidth="1" min="3" max="3"/>
    <col width="16" customWidth="1" min="4" max="4"/>
    <col width="24" customWidth="1" min="5" max="5"/>
    <col width="28" customWidth="1" min="6" max="6"/>
    <col width="24" customWidth="1" min="7" max="7"/>
    <col width="28" customWidth="1" min="8" max="8"/>
    <col width="22" customWidth="1" min="9" max="9"/>
    <col width="18" customWidth="1" min="10" max="10"/>
  </cols>
  <sheetData>
    <row r="1" ht="35" customHeight="1">
      <c r="A1" s="11" t="inlineStr">
        <is>
          <t>6. KEY DESTRUCTION - CRYPTOGRAPHIC KEY DISPOSAL
Policy Requirement: Cryptographic keys that have reached end-of-life MUST be securely destroyed and destruction documented (Policy Section 2.4.6)</t>
        </is>
      </c>
      <c r="B1" s="6" t="n"/>
      <c r="C1" s="6" t="n"/>
      <c r="D1" s="6" t="n"/>
      <c r="E1" s="6" t="n"/>
      <c r="F1" s="6" t="n"/>
      <c r="G1" s="6" t="n"/>
      <c r="H1" s="6" t="n"/>
      <c r="I1" s="6" t="n"/>
      <c r="J1" s="6" t="n"/>
    </row>
    <row r="2">
      <c r="A2" s="12" t="inlineStr">
        <is>
          <t>ISO/IEC 27001:2022 | Control A.8.24: Use of Cryptography</t>
        </is>
      </c>
    </row>
    <row r="3" ht="30" customHeight="1">
      <c r="A3" s="13" t="inlineStr">
        <is>
          <t>Does your organisation have documented procedures for secure cryptographic key destruction and disposal?</t>
        </is>
      </c>
      <c r="B3" s="6" t="n"/>
      <c r="C3" s="6" t="n"/>
      <c r="D3" s="6" t="n"/>
      <c r="E3" s="6" t="n"/>
      <c r="F3" s="6" t="n"/>
      <c r="G3" s="6" t="n"/>
      <c r="H3" s="6" t="n"/>
      <c r="I3" s="6" t="n"/>
      <c r="J3" s="6" t="n"/>
    </row>
    <row r="4">
      <c r="A4" s="14" t="inlineStr">
        <is>
          <t>Response:</t>
        </is>
      </c>
      <c r="B4" s="15" t="n"/>
    </row>
    <row r="6">
      <c r="A6" s="16" t="inlineStr">
        <is>
          <t>Key ID</t>
        </is>
      </c>
      <c r="B6" s="16" t="inlineStr">
        <is>
          <t>Key Type</t>
        </is>
      </c>
      <c r="C6" s="16" t="inlineStr">
        <is>
          <t>Algorithm</t>
        </is>
      </c>
      <c r="D6" s="16" t="inlineStr">
        <is>
          <t>Creation Date</t>
        </is>
      </c>
      <c r="E6" s="16" t="inlineStr">
        <is>
          <t>Scheduled Destruction Date</t>
        </is>
      </c>
      <c r="F6" s="16" t="inlineStr">
        <is>
          <t>Destruction Method</t>
        </is>
      </c>
      <c r="G6" s="16" t="inlineStr">
        <is>
          <t>Actual Destruction Date</t>
        </is>
      </c>
      <c r="H6" s="16" t="inlineStr">
        <is>
          <t>Verification Method</t>
        </is>
      </c>
      <c r="I6" s="16" t="inlineStr">
        <is>
          <t>Authorised By</t>
        </is>
      </c>
      <c r="J6" s="16" t="inlineStr">
        <is>
          <t>Status</t>
        </is>
      </c>
    </row>
    <row r="7">
      <c r="A7" s="24" t="inlineStr">
        <is>
          <t>KEY-001</t>
        </is>
      </c>
      <c r="B7" s="24" t="inlineStr">
        <is>
          <t>Data Encryption Key</t>
        </is>
      </c>
      <c r="C7" s="24" t="inlineStr">
        <is>
          <t>AES-256</t>
        </is>
      </c>
      <c r="D7" s="24" t="inlineStr">
        <is>
          <t>01.01.2023</t>
        </is>
      </c>
      <c r="E7" s="24" t="inlineStr">
        <is>
          <t>01.01.2025</t>
        </is>
      </c>
      <c r="F7" s="24" t="inlineStr">
        <is>
          <t>Crypto-erasure</t>
        </is>
      </c>
      <c r="G7" s="24" t="inlineStr">
        <is>
          <t>15.12.2024</t>
        </is>
      </c>
      <c r="H7" s="24" t="inlineStr">
        <is>
          <t>Third-party audit + log</t>
        </is>
      </c>
      <c r="I7" s="24" t="inlineStr">
        <is>
          <t>CISO</t>
        </is>
      </c>
      <c r="J7" s="24" t="inlineStr">
        <is>
          <t>✅ Destroyed</t>
        </is>
      </c>
    </row>
    <row r="8">
      <c r="A8" s="18" t="n"/>
      <c r="B8" s="18" t="n"/>
      <c r="C8" s="18" t="n"/>
      <c r="D8" s="18" t="n"/>
      <c r="E8" s="18" t="n"/>
      <c r="F8" s="18" t="n"/>
      <c r="G8" s="18" t="n"/>
      <c r="H8" s="18" t="n"/>
      <c r="I8" s="18" t="n"/>
      <c r="J8" s="18" t="n"/>
    </row>
    <row r="9">
      <c r="A9" s="18" t="n"/>
      <c r="B9" s="18" t="n"/>
      <c r="C9" s="18" t="n"/>
      <c r="D9" s="18" t="n"/>
      <c r="E9" s="18" t="n"/>
      <c r="F9" s="18" t="n"/>
      <c r="G9" s="18" t="n"/>
      <c r="H9" s="18" t="n"/>
      <c r="I9" s="18" t="n"/>
      <c r="J9" s="18" t="n"/>
    </row>
    <row r="10">
      <c r="A10" s="18" t="n"/>
      <c r="B10" s="18" t="n"/>
      <c r="C10" s="18" t="n"/>
      <c r="D10" s="18" t="n"/>
      <c r="E10" s="18" t="n"/>
      <c r="F10" s="18" t="n"/>
      <c r="G10" s="18" t="n"/>
      <c r="H10" s="18" t="n"/>
      <c r="I10" s="18" t="n"/>
      <c r="J10" s="18" t="n"/>
    </row>
    <row r="11">
      <c r="A11" s="18" t="n"/>
      <c r="B11" s="18" t="n"/>
      <c r="C11" s="18" t="n"/>
      <c r="D11" s="18" t="n"/>
      <c r="E11" s="18" t="n"/>
      <c r="F11" s="18" t="n"/>
      <c r="G11" s="18" t="n"/>
      <c r="H11" s="18" t="n"/>
      <c r="I11" s="18" t="n"/>
      <c r="J11" s="18" t="n"/>
    </row>
    <row r="12">
      <c r="A12" s="18" t="n"/>
      <c r="B12" s="18" t="n"/>
      <c r="C12" s="18" t="n"/>
      <c r="D12" s="18" t="n"/>
      <c r="E12" s="18" t="n"/>
      <c r="F12" s="18" t="n"/>
      <c r="G12" s="18" t="n"/>
      <c r="H12" s="18" t="n"/>
      <c r="I12" s="18" t="n"/>
      <c r="J12" s="18" t="n"/>
    </row>
    <row r="13">
      <c r="A13" s="18" t="n"/>
      <c r="B13" s="18" t="n"/>
      <c r="C13" s="18" t="n"/>
      <c r="D13" s="18" t="n"/>
      <c r="E13" s="18" t="n"/>
      <c r="F13" s="18" t="n"/>
      <c r="G13" s="18" t="n"/>
      <c r="H13" s="18" t="n"/>
      <c r="I13" s="18" t="n"/>
      <c r="J13" s="18" t="n"/>
    </row>
    <row r="14">
      <c r="A14" s="18" t="n"/>
      <c r="B14" s="18" t="n"/>
      <c r="C14" s="18" t="n"/>
      <c r="D14" s="18" t="n"/>
      <c r="E14" s="18" t="n"/>
      <c r="F14" s="18" t="n"/>
      <c r="G14" s="18" t="n"/>
      <c r="H14" s="18" t="n"/>
      <c r="I14" s="18" t="n"/>
      <c r="J14" s="18" t="n"/>
    </row>
    <row r="15">
      <c r="A15" s="18" t="n"/>
      <c r="B15" s="18" t="n"/>
      <c r="C15" s="18" t="n"/>
      <c r="D15" s="18" t="n"/>
      <c r="E15" s="18" t="n"/>
      <c r="F15" s="18" t="n"/>
      <c r="G15" s="18" t="n"/>
      <c r="H15" s="18" t="n"/>
      <c r="I15" s="18" t="n"/>
      <c r="J15" s="18" t="n"/>
    </row>
    <row r="16">
      <c r="A16" s="18" t="n"/>
      <c r="B16" s="18" t="n"/>
      <c r="C16" s="18" t="n"/>
      <c r="D16" s="18" t="n"/>
      <c r="E16" s="18" t="n"/>
      <c r="F16" s="18" t="n"/>
      <c r="G16" s="18" t="n"/>
      <c r="H16" s="18" t="n"/>
      <c r="I16" s="18" t="n"/>
      <c r="J16" s="18" t="n"/>
    </row>
    <row r="17">
      <c r="A17" s="18" t="n"/>
      <c r="B17" s="18" t="n"/>
      <c r="C17" s="18" t="n"/>
      <c r="D17" s="18" t="n"/>
      <c r="E17" s="18" t="n"/>
      <c r="F17" s="18" t="n"/>
      <c r="G17" s="18" t="n"/>
      <c r="H17" s="18" t="n"/>
      <c r="I17" s="18" t="n"/>
      <c r="J17" s="18" t="n"/>
    </row>
    <row r="18">
      <c r="A18" s="18" t="n"/>
      <c r="B18" s="18" t="n"/>
      <c r="C18" s="18" t="n"/>
      <c r="D18" s="18" t="n"/>
      <c r="E18" s="18" t="n"/>
      <c r="F18" s="18" t="n"/>
      <c r="G18" s="18" t="n"/>
      <c r="H18" s="18" t="n"/>
      <c r="I18" s="18" t="n"/>
      <c r="J18" s="18" t="n"/>
    </row>
    <row r="19">
      <c r="A19" s="18" t="n"/>
      <c r="B19" s="18" t="n"/>
      <c r="C19" s="18" t="n"/>
      <c r="D19" s="18" t="n"/>
      <c r="E19" s="18" t="n"/>
      <c r="F19" s="18" t="n"/>
      <c r="G19" s="18" t="n"/>
      <c r="H19" s="18" t="n"/>
      <c r="I19" s="18" t="n"/>
      <c r="J19" s="18" t="n"/>
    </row>
    <row r="20">
      <c r="A20" s="18" t="n"/>
      <c r="B20" s="18" t="n"/>
      <c r="C20" s="18" t="n"/>
      <c r="D20" s="18" t="n"/>
      <c r="E20" s="18" t="n"/>
      <c r="F20" s="18" t="n"/>
      <c r="G20" s="18" t="n"/>
      <c r="H20" s="18" t="n"/>
      <c r="I20" s="18" t="n"/>
      <c r="J20" s="18" t="n"/>
    </row>
    <row r="21">
      <c r="A21" s="18" t="n"/>
      <c r="B21" s="18" t="n"/>
      <c r="C21" s="18" t="n"/>
      <c r="D21" s="18" t="n"/>
      <c r="E21" s="18" t="n"/>
      <c r="F21" s="18" t="n"/>
      <c r="G21" s="18" t="n"/>
      <c r="H21" s="18" t="n"/>
      <c r="I21" s="18" t="n"/>
      <c r="J21" s="18" t="n"/>
    </row>
    <row r="22">
      <c r="A22" s="18" t="n"/>
      <c r="B22" s="18" t="n"/>
      <c r="C22" s="18" t="n"/>
      <c r="D22" s="18" t="n"/>
      <c r="E22" s="18" t="n"/>
      <c r="F22" s="18" t="n"/>
      <c r="G22" s="18" t="n"/>
      <c r="H22" s="18" t="n"/>
      <c r="I22" s="18" t="n"/>
      <c r="J22" s="18" t="n"/>
    </row>
    <row r="23">
      <c r="A23" s="18" t="n"/>
      <c r="B23" s="18" t="n"/>
      <c r="C23" s="18" t="n"/>
      <c r="D23" s="18" t="n"/>
      <c r="E23" s="18" t="n"/>
      <c r="F23" s="18" t="n"/>
      <c r="G23" s="18" t="n"/>
      <c r="H23" s="18" t="n"/>
      <c r="I23" s="18" t="n"/>
      <c r="J23" s="18" t="n"/>
    </row>
    <row r="24">
      <c r="A24" s="18" t="n"/>
      <c r="B24" s="18" t="n"/>
      <c r="C24" s="18" t="n"/>
      <c r="D24" s="18" t="n"/>
      <c r="E24" s="18" t="n"/>
      <c r="F24" s="18" t="n"/>
      <c r="G24" s="18" t="n"/>
      <c r="H24" s="18" t="n"/>
      <c r="I24" s="18" t="n"/>
      <c r="J24" s="18" t="n"/>
    </row>
    <row r="25">
      <c r="A25" s="18" t="n"/>
      <c r="B25" s="18" t="n"/>
      <c r="C25" s="18" t="n"/>
      <c r="D25" s="18" t="n"/>
      <c r="E25" s="18" t="n"/>
      <c r="F25" s="18" t="n"/>
      <c r="G25" s="18" t="n"/>
      <c r="H25" s="18" t="n"/>
      <c r="I25" s="18" t="n"/>
      <c r="J25" s="18" t="n"/>
    </row>
    <row r="26">
      <c r="A26" s="18" t="n"/>
      <c r="B26" s="18" t="n"/>
      <c r="C26" s="18" t="n"/>
      <c r="D26" s="18" t="n"/>
      <c r="E26" s="18" t="n"/>
      <c r="F26" s="18" t="n"/>
      <c r="G26" s="18" t="n"/>
      <c r="H26" s="18" t="n"/>
      <c r="I26" s="18" t="n"/>
      <c r="J26" s="18" t="n"/>
    </row>
    <row r="27">
      <c r="A27" s="18" t="n"/>
      <c r="B27" s="18" t="n"/>
      <c r="C27" s="18" t="n"/>
      <c r="D27" s="18" t="n"/>
      <c r="E27" s="18" t="n"/>
      <c r="F27" s="18" t="n"/>
      <c r="G27" s="18" t="n"/>
      <c r="H27" s="18" t="n"/>
      <c r="I27" s="18" t="n"/>
      <c r="J27" s="18" t="n"/>
    </row>
    <row r="28">
      <c r="A28" s="18" t="n"/>
      <c r="B28" s="18" t="n"/>
      <c r="C28" s="18" t="n"/>
      <c r="D28" s="18" t="n"/>
      <c r="E28" s="18" t="n"/>
      <c r="F28" s="18" t="n"/>
      <c r="G28" s="18" t="n"/>
      <c r="H28" s="18" t="n"/>
      <c r="I28" s="18" t="n"/>
      <c r="J28" s="18" t="n"/>
    </row>
    <row r="29">
      <c r="A29" s="18" t="n"/>
      <c r="B29" s="18" t="n"/>
      <c r="C29" s="18" t="n"/>
      <c r="D29" s="18" t="n"/>
      <c r="E29" s="18" t="n"/>
      <c r="F29" s="18" t="n"/>
      <c r="G29" s="18" t="n"/>
      <c r="H29" s="18" t="n"/>
      <c r="I29" s="18" t="n"/>
      <c r="J29" s="18" t="n"/>
    </row>
    <row r="30">
      <c r="A30" s="18" t="n"/>
      <c r="B30" s="18" t="n"/>
      <c r="C30" s="18" t="n"/>
      <c r="D30" s="18" t="n"/>
      <c r="E30" s="18" t="n"/>
      <c r="F30" s="18" t="n"/>
      <c r="G30" s="18" t="n"/>
      <c r="H30" s="18" t="n"/>
      <c r="I30" s="18" t="n"/>
      <c r="J30" s="18" t="n"/>
    </row>
    <row r="31">
      <c r="A31" s="18" t="n"/>
      <c r="B31" s="18" t="n"/>
      <c r="C31" s="18" t="n"/>
      <c r="D31" s="18" t="n"/>
      <c r="E31" s="18" t="n"/>
      <c r="F31" s="18" t="n"/>
      <c r="G31" s="18" t="n"/>
      <c r="H31" s="18" t="n"/>
      <c r="I31" s="18" t="n"/>
      <c r="J31" s="18" t="n"/>
    </row>
    <row r="32">
      <c r="A32" s="18" t="n"/>
      <c r="B32" s="18" t="n"/>
      <c r="C32" s="18" t="n"/>
      <c r="D32" s="18" t="n"/>
      <c r="E32" s="18" t="n"/>
      <c r="F32" s="18" t="n"/>
      <c r="G32" s="18" t="n"/>
      <c r="H32" s="18" t="n"/>
      <c r="I32" s="18" t="n"/>
      <c r="J32" s="18" t="n"/>
    </row>
    <row r="33">
      <c r="A33" s="18" t="n"/>
      <c r="B33" s="18" t="n"/>
      <c r="C33" s="18" t="n"/>
      <c r="D33" s="18" t="n"/>
      <c r="E33" s="18" t="n"/>
      <c r="F33" s="18" t="n"/>
      <c r="G33" s="18" t="n"/>
      <c r="H33" s="18" t="n"/>
      <c r="I33" s="18" t="n"/>
      <c r="J33" s="18" t="n"/>
    </row>
    <row r="34">
      <c r="A34" s="18" t="n"/>
      <c r="B34" s="18" t="n"/>
      <c r="C34" s="18" t="n"/>
      <c r="D34" s="18" t="n"/>
      <c r="E34" s="18" t="n"/>
      <c r="F34" s="18" t="n"/>
      <c r="G34" s="18" t="n"/>
      <c r="H34" s="18" t="n"/>
      <c r="I34" s="18" t="n"/>
      <c r="J34" s="18" t="n"/>
    </row>
    <row r="35">
      <c r="A35" s="18" t="n"/>
      <c r="B35" s="18" t="n"/>
      <c r="C35" s="18" t="n"/>
      <c r="D35" s="18" t="n"/>
      <c r="E35" s="18" t="n"/>
      <c r="F35" s="18" t="n"/>
      <c r="G35" s="18" t="n"/>
      <c r="H35" s="18" t="n"/>
      <c r="I35" s="18" t="n"/>
      <c r="J35" s="18" t="n"/>
    </row>
    <row r="36">
      <c r="A36" s="18" t="n"/>
      <c r="B36" s="18" t="n"/>
      <c r="C36" s="18" t="n"/>
      <c r="D36" s="18" t="n"/>
      <c r="E36" s="18" t="n"/>
      <c r="F36" s="18" t="n"/>
      <c r="G36" s="18" t="n"/>
      <c r="H36" s="18" t="n"/>
      <c r="I36" s="18" t="n"/>
      <c r="J36" s="18" t="n"/>
    </row>
    <row r="37">
      <c r="A37" s="18" t="n"/>
      <c r="B37" s="18" t="n"/>
      <c r="C37" s="18" t="n"/>
      <c r="D37" s="18" t="n"/>
      <c r="E37" s="18" t="n"/>
      <c r="F37" s="18" t="n"/>
      <c r="G37" s="18" t="n"/>
      <c r="H37" s="18" t="n"/>
      <c r="I37" s="18" t="n"/>
      <c r="J37" s="18" t="n"/>
    </row>
    <row r="38">
      <c r="A38" s="18" t="n"/>
      <c r="B38" s="18" t="n"/>
      <c r="C38" s="18" t="n"/>
      <c r="D38" s="18" t="n"/>
      <c r="E38" s="18" t="n"/>
      <c r="F38" s="18" t="n"/>
      <c r="G38" s="18" t="n"/>
      <c r="H38" s="18" t="n"/>
      <c r="I38" s="18" t="n"/>
      <c r="J38" s="18" t="n"/>
    </row>
    <row r="39">
      <c r="A39" s="18" t="n"/>
      <c r="B39" s="18" t="n"/>
      <c r="C39" s="18" t="n"/>
      <c r="D39" s="18" t="n"/>
      <c r="E39" s="18" t="n"/>
      <c r="F39" s="18" t="n"/>
      <c r="G39" s="18" t="n"/>
      <c r="H39" s="18" t="n"/>
      <c r="I39" s="18" t="n"/>
      <c r="J39" s="18" t="n"/>
    </row>
    <row r="40">
      <c r="A40" s="18" t="n"/>
      <c r="B40" s="18" t="n"/>
      <c r="C40" s="18" t="n"/>
      <c r="D40" s="18" t="n"/>
      <c r="E40" s="18" t="n"/>
      <c r="F40" s="18" t="n"/>
      <c r="G40" s="18" t="n"/>
      <c r="H40" s="18" t="n"/>
      <c r="I40" s="18" t="n"/>
      <c r="J40" s="18" t="n"/>
    </row>
    <row r="41">
      <c r="A41" s="18" t="n"/>
      <c r="B41" s="18" t="n"/>
      <c r="C41" s="18" t="n"/>
      <c r="D41" s="18" t="n"/>
      <c r="E41" s="18" t="n"/>
      <c r="F41" s="18" t="n"/>
      <c r="G41" s="18" t="n"/>
      <c r="H41" s="18" t="n"/>
      <c r="I41" s="18" t="n"/>
      <c r="J41" s="18" t="n"/>
    </row>
    <row r="42">
      <c r="A42" s="18" t="n"/>
      <c r="B42" s="18" t="n"/>
      <c r="C42" s="18" t="n"/>
      <c r="D42" s="18" t="n"/>
      <c r="E42" s="18" t="n"/>
      <c r="F42" s="18" t="n"/>
      <c r="G42" s="18" t="n"/>
      <c r="H42" s="18" t="n"/>
      <c r="I42" s="18" t="n"/>
      <c r="J42" s="18" t="n"/>
    </row>
    <row r="43">
      <c r="A43" s="18" t="n"/>
      <c r="B43" s="18" t="n"/>
      <c r="C43" s="18" t="n"/>
      <c r="D43" s="18" t="n"/>
      <c r="E43" s="18" t="n"/>
      <c r="F43" s="18" t="n"/>
      <c r="G43" s="18" t="n"/>
      <c r="H43" s="18" t="n"/>
      <c r="I43" s="18" t="n"/>
      <c r="J43" s="18" t="n"/>
    </row>
    <row r="44">
      <c r="A44" s="18" t="n"/>
      <c r="B44" s="18" t="n"/>
      <c r="C44" s="18" t="n"/>
      <c r="D44" s="18" t="n"/>
      <c r="E44" s="18" t="n"/>
      <c r="F44" s="18" t="n"/>
      <c r="G44" s="18" t="n"/>
      <c r="H44" s="18" t="n"/>
      <c r="I44" s="18" t="n"/>
      <c r="J44" s="18" t="n"/>
    </row>
    <row r="45">
      <c r="A45" s="18" t="n"/>
      <c r="B45" s="18" t="n"/>
      <c r="C45" s="18" t="n"/>
      <c r="D45" s="18" t="n"/>
      <c r="E45" s="18" t="n"/>
      <c r="F45" s="18" t="n"/>
      <c r="G45" s="18" t="n"/>
      <c r="H45" s="18" t="n"/>
      <c r="I45" s="18" t="n"/>
      <c r="J45" s="18" t="n"/>
    </row>
    <row r="46">
      <c r="A46" s="18" t="n"/>
      <c r="B46" s="18" t="n"/>
      <c r="C46" s="18" t="n"/>
      <c r="D46" s="18" t="n"/>
      <c r="E46" s="18" t="n"/>
      <c r="F46" s="18" t="n"/>
      <c r="G46" s="18" t="n"/>
      <c r="H46" s="18" t="n"/>
      <c r="I46" s="18" t="n"/>
      <c r="J46" s="18" t="n"/>
    </row>
    <row r="47">
      <c r="A47" s="18" t="n"/>
      <c r="B47" s="18" t="n"/>
      <c r="C47" s="18" t="n"/>
      <c r="D47" s="18" t="n"/>
      <c r="E47" s="18" t="n"/>
      <c r="F47" s="18" t="n"/>
      <c r="G47" s="18" t="n"/>
      <c r="H47" s="18" t="n"/>
      <c r="I47" s="18" t="n"/>
      <c r="J47" s="18" t="n"/>
    </row>
    <row r="48">
      <c r="A48" s="18" t="n"/>
      <c r="B48" s="18" t="n"/>
      <c r="C48" s="18" t="n"/>
      <c r="D48" s="18" t="n"/>
      <c r="E48" s="18" t="n"/>
      <c r="F48" s="18" t="n"/>
      <c r="G48" s="18" t="n"/>
      <c r="H48" s="18" t="n"/>
      <c r="I48" s="18" t="n"/>
      <c r="J48" s="18" t="n"/>
    </row>
    <row r="49">
      <c r="A49" s="18" t="n"/>
      <c r="B49" s="18" t="n"/>
      <c r="C49" s="18" t="n"/>
      <c r="D49" s="18" t="n"/>
      <c r="E49" s="18" t="n"/>
      <c r="F49" s="18" t="n"/>
      <c r="G49" s="18" t="n"/>
      <c r="H49" s="18" t="n"/>
      <c r="I49" s="18" t="n"/>
      <c r="J49" s="18" t="n"/>
    </row>
    <row r="50">
      <c r="A50" s="18" t="n"/>
      <c r="B50" s="18" t="n"/>
      <c r="C50" s="18" t="n"/>
      <c r="D50" s="18" t="n"/>
      <c r="E50" s="18" t="n"/>
      <c r="F50" s="18" t="n"/>
      <c r="G50" s="18" t="n"/>
      <c r="H50" s="18" t="n"/>
      <c r="I50" s="18" t="n"/>
      <c r="J50" s="18" t="n"/>
    </row>
    <row r="51">
      <c r="A51" s="18" t="n"/>
      <c r="B51" s="18" t="n"/>
      <c r="C51" s="18" t="n"/>
      <c r="D51" s="18" t="n"/>
      <c r="E51" s="18" t="n"/>
      <c r="F51" s="18" t="n"/>
      <c r="G51" s="18" t="n"/>
      <c r="H51" s="18" t="n"/>
      <c r="I51" s="18" t="n"/>
      <c r="J51" s="18" t="n"/>
    </row>
    <row r="52">
      <c r="A52" s="18" t="n"/>
      <c r="B52" s="18" t="n"/>
      <c r="C52" s="18" t="n"/>
      <c r="D52" s="18" t="n"/>
      <c r="E52" s="18" t="n"/>
      <c r="F52" s="18" t="n"/>
      <c r="G52" s="18" t="n"/>
      <c r="H52" s="18" t="n"/>
      <c r="I52" s="18" t="n"/>
      <c r="J52" s="18" t="n"/>
    </row>
    <row r="53">
      <c r="A53" s="18" t="n"/>
      <c r="B53" s="18" t="n"/>
      <c r="C53" s="18" t="n"/>
      <c r="D53" s="18" t="n"/>
      <c r="E53" s="18" t="n"/>
      <c r="F53" s="18" t="n"/>
      <c r="G53" s="18" t="n"/>
      <c r="H53" s="18" t="n"/>
      <c r="I53" s="18" t="n"/>
      <c r="J53" s="18" t="n"/>
    </row>
    <row r="54">
      <c r="A54" s="18" t="n"/>
      <c r="B54" s="18" t="n"/>
      <c r="C54" s="18" t="n"/>
      <c r="D54" s="18" t="n"/>
      <c r="E54" s="18" t="n"/>
      <c r="F54" s="18" t="n"/>
      <c r="G54" s="18" t="n"/>
      <c r="H54" s="18" t="n"/>
      <c r="I54" s="18" t="n"/>
      <c r="J54" s="18" t="n"/>
    </row>
    <row r="55">
      <c r="A55" s="18" t="n"/>
      <c r="B55" s="18" t="n"/>
      <c r="C55" s="18" t="n"/>
      <c r="D55" s="18" t="n"/>
      <c r="E55" s="18" t="n"/>
      <c r="F55" s="18" t="n"/>
      <c r="G55" s="18" t="n"/>
      <c r="H55" s="18" t="n"/>
      <c r="I55" s="18" t="n"/>
      <c r="J55" s="18" t="n"/>
    </row>
    <row r="56">
      <c r="A56" s="18" t="n"/>
      <c r="B56" s="18" t="n"/>
      <c r="C56" s="18" t="n"/>
      <c r="D56" s="18" t="n"/>
      <c r="E56" s="18" t="n"/>
      <c r="F56" s="18" t="n"/>
      <c r="G56" s="18" t="n"/>
      <c r="H56" s="18" t="n"/>
      <c r="I56" s="18" t="n"/>
      <c r="J56" s="18" t="n"/>
    </row>
    <row r="57">
      <c r="A57" s="18" t="n"/>
      <c r="B57" s="18" t="n"/>
      <c r="C57" s="18" t="n"/>
      <c r="D57" s="18" t="n"/>
      <c r="E57" s="18" t="n"/>
      <c r="F57" s="18" t="n"/>
      <c r="G57" s="18" t="n"/>
      <c r="H57" s="18" t="n"/>
      <c r="I57" s="18" t="n"/>
      <c r="J57" s="18" t="n"/>
    </row>
    <row r="59">
      <c r="A59" s="19" t="inlineStr">
        <is>
          <t>KEY DESTRUCTION CHECKLIST</t>
        </is>
      </c>
    </row>
    <row r="60">
      <c r="A60" s="14" t="inlineStr">
        <is>
          <t>☐</t>
        </is>
      </c>
      <c r="B60" s="14" t="inlineStr">
        <is>
          <t>Requirement</t>
        </is>
      </c>
      <c r="C60" s="14" t="inlineStr">
        <is>
          <t>Status</t>
        </is>
      </c>
    </row>
    <row r="61">
      <c r="A61" t="inlineStr">
        <is>
          <t>☐</t>
        </is>
      </c>
      <c r="B61" t="inlineStr">
        <is>
          <t>Key destruction policy documented and approved</t>
        </is>
      </c>
      <c r="C61" s="15" t="n"/>
    </row>
    <row r="62">
      <c r="A62" t="inlineStr">
        <is>
          <t>☐</t>
        </is>
      </c>
      <c r="B62" t="inlineStr">
        <is>
          <t>Destruction procedures defined for each key type (HSM, software, cloud)</t>
        </is>
      </c>
      <c r="C62" s="15" t="n"/>
    </row>
    <row r="63">
      <c r="A63" t="inlineStr">
        <is>
          <t>☐</t>
        </is>
      </c>
      <c r="B63" t="inlineStr">
        <is>
          <t>Cryptographic erasure used where physical destruction not possible</t>
        </is>
      </c>
      <c r="C63" s="15" t="n"/>
    </row>
    <row r="64">
      <c r="A64" t="inlineStr">
        <is>
          <t>☐</t>
        </is>
      </c>
      <c r="B64" t="inlineStr">
        <is>
          <t>Destruction authority (authorisation) defined and enforced</t>
        </is>
      </c>
      <c r="C64" s="15" t="n"/>
    </row>
    <row r="65">
      <c r="A65" t="inlineStr">
        <is>
          <t>☐</t>
        </is>
      </c>
      <c r="B65" t="inlineStr">
        <is>
          <t>Dual-person authorisation required for master/critical key destruction</t>
        </is>
      </c>
      <c r="C65" s="15" t="n"/>
    </row>
    <row r="66">
      <c r="A66" t="inlineStr">
        <is>
          <t>☐</t>
        </is>
      </c>
      <c r="B66" t="inlineStr">
        <is>
          <t>Destruction records maintained (what, when, who, how)</t>
        </is>
      </c>
      <c r="C66" s="15" t="n"/>
    </row>
    <row r="67">
      <c r="A67" t="inlineStr">
        <is>
          <t>☐</t>
        </is>
      </c>
      <c r="B67" t="inlineStr">
        <is>
          <t>Third-party verification for high-sensitivity key destruction</t>
        </is>
      </c>
      <c r="C67" s="15" t="n"/>
    </row>
    <row r="68">
      <c r="A68" t="inlineStr">
        <is>
          <t>☐</t>
        </is>
      </c>
      <c r="B68" t="inlineStr">
        <is>
          <t>Hardware-based keys: HSM/token physically destroyed or cryptographically zeroed</t>
        </is>
      </c>
      <c r="C68" s="15" t="n"/>
    </row>
    <row r="69">
      <c r="A69" t="inlineStr">
        <is>
          <t>☐</t>
        </is>
      </c>
      <c r="B69" t="inlineStr">
        <is>
          <t>Cloud KMS keys: provider deletion confirmation obtained</t>
        </is>
      </c>
      <c r="C69" s="15" t="n"/>
    </row>
    <row r="70">
      <c r="A70" t="inlineStr">
        <is>
          <t>☐</t>
        </is>
      </c>
      <c r="B70" t="inlineStr">
        <is>
          <t>Destruction audit trail retained for minimum 7 years</t>
        </is>
      </c>
      <c r="C70" s="15" t="n"/>
    </row>
    <row r="71">
      <c r="A71" t="inlineStr">
        <is>
          <t>☐</t>
        </is>
      </c>
      <c r="B71" t="inlineStr">
        <is>
          <t>All copies of key (backup, escrow) destroyed simultaneously</t>
        </is>
      </c>
      <c r="C71" s="15" t="n"/>
    </row>
    <row r="72">
      <c r="A72" t="inlineStr">
        <is>
          <t>☐</t>
        </is>
      </c>
      <c r="B72" t="inlineStr">
        <is>
          <t>Destruction tested and verified in non-production</t>
        </is>
      </c>
      <c r="C72" s="15" t="n"/>
    </row>
    <row r="73">
      <c r="A73" t="inlineStr">
        <is>
          <t>☐</t>
        </is>
      </c>
      <c r="B73" t="inlineStr">
        <is>
          <t>Key destruction triggers defined (expiry, compromise, personnel change)</t>
        </is>
      </c>
      <c r="C73" s="15" t="n"/>
    </row>
    <row r="74">
      <c r="A74" t="inlineStr">
        <is>
          <t>☐</t>
        </is>
      </c>
      <c r="B74" t="inlineStr">
        <is>
          <t>Emergency destruction procedure documented</t>
        </is>
      </c>
      <c r="C74" s="15" t="n"/>
    </row>
    <row r="75">
      <c r="A75" t="inlineStr">
        <is>
          <t>☐</t>
        </is>
      </c>
      <c r="B75" t="inlineStr">
        <is>
          <t>Post-destruction verification procedure in place</t>
        </is>
      </c>
      <c r="C75" s="15" t="n"/>
    </row>
    <row r="76">
      <c r="A76" s="14" t="inlineStr">
        <is>
          <t>Checklist Score:</t>
        </is>
      </c>
      <c r="B76" s="20">
        <f>IFERROR(ROUND(COUNTIF(C61:C75,"✅ Yes")/COUNTA(C61:C75)*100,0)&amp;"%","0%")</f>
        <v/>
      </c>
    </row>
  </sheetData>
  <mergeCells count="2">
    <mergeCell ref="A1:J1"/>
    <mergeCell ref="A3:J3"/>
  </mergeCells>
  <dataValidations count="6">
    <dataValidation sqref="B4" showDropDown="0" showInputMessage="0" showErrorMessage="0" allowBlank="1" type="list">
      <formula1>"Yes,No,Partially,N/A"</formula1>
    </dataValidation>
    <dataValidation sqref="B8 B9 B10 B11 B12 B13 B14 B15 B16 B17 B18 B19 B20 B21 B22 B23 B24 B25 B26 B27 B28 B29 B30 B31 B32 B33 B34 B35 B36 B37 B38 B39 B40 B41 B42 B43 B44 B45 B46 B47 B48 B49 B50 B51 B52 B53 B54 B55 B56 B57" showDropDown="0" showInputMessage="0" showErrorMessage="0" allowBlank="1" type="list">
      <formula1>"Encryption Key,Signing Key,Authentication Key,Certificate,Master Key,Data Encryption Key,Key Encryption Key,Session Key,N/A"</formula1>
    </dataValidation>
    <dataValidation sqref="C8 C9 C10 C11 C12 C13 C14 C15 C16 C17 C18 C19 C20 C21 C22 C23 C24 C25 C26 C27 C28 C29 C30 C31 C32 C33 C34 C35 C36 C37 C38 C39 C40 C41 C42 C43 C44 C45 C46 C47 C48 C49 C50 C51 C52 C53 C54 C55 C56 C57" showDropDown="0" showInputMessage="0" showErrorMessage="0" allowBlank="1" type="list">
      <formula1>"AES-256,AES-128,RSA-4096,RSA-3072,RSA-2048,Ed25519,ECDSA P-256,ECDSA P-384,ChaCha20,Other,N/A"</formula1>
    </dataValidation>
    <dataValidation sqref="F8 F9 F10 F11 F12 F13 F14 F15 F16 F17 F18 F19 F20 F21 F22 F23 F24 F25 F26 F27 F28 F29 F30 F31 F32 F33 F34 F35 F36 F37 F38 F39 F40 F41 F42 F43 F44 F45 F46 F47 F48 F49 F50 F51 F52 F53 F54 F55 F56 F57" showDropDown="0" showInputMessage="0" showErrorMessage="0" allowBlank="1" type="list">
      <formula1>"Hardware Shredding,Crypto-erasure,Physical Destruction,Vendor-managed,Degaussing,Overwrite (multi-pass),N/A"</formula1>
    </dataValidation>
    <dataValidation sqref="J8 J9 J10 J11 J12 J13 J14 J15 J16 J17 J18 J19 J20 J21 J22 J23 J24 J25 J26 J27 J28 J29 J30 J31 J32 J33 J34 J35 J36 J37 J38 J39 J40 J41 J42 J43 J44 J45 J46 J47 J48 J49 J50 J51 J52 J53 J54 J55 J56 J57" showDropDown="0" showInputMessage="0" showErrorMessage="0" allowBlank="1" type="list">
      <formula1>"✅ Destroyed,⏳ Pending,❌ Overdue,N/A"</formula1>
    </dataValidation>
    <dataValidation sqref="C61 C62 C63 C64 C65 C66 C67 C68 C69 C70 C71 C72 C73 C74 C75" showDropDown="0" showInputMessage="0" showErrorMessage="0" allowBlank="1" type="list">
      <formula1>"✅ Yes,❌ No,N/A"</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25" t="inlineStr">
        <is>
          <t>EVIDENCE REGISTER</t>
        </is>
      </c>
    </row>
    <row r="2">
      <c r="A2" s="26" t="inlineStr">
        <is>
          <t>List all evidence files/documents referenced in this assessment (audit traceability).</t>
        </is>
      </c>
    </row>
    <row r="4">
      <c r="A4" s="27" t="inlineStr">
        <is>
          <t>Evidence ID</t>
        </is>
      </c>
      <c r="B4" s="27" t="inlineStr">
        <is>
          <t>Assessment Area</t>
        </is>
      </c>
      <c r="C4" s="27" t="inlineStr">
        <is>
          <t>Evidence Type</t>
        </is>
      </c>
      <c r="D4" s="27" t="inlineStr">
        <is>
          <t>Description</t>
        </is>
      </c>
      <c r="E4" s="27" t="inlineStr">
        <is>
          <t>Location/Path</t>
        </is>
      </c>
      <c r="F4" s="27" t="inlineStr">
        <is>
          <t>Date Collected</t>
        </is>
      </c>
      <c r="G4" s="27" t="inlineStr">
        <is>
          <t>Collected By</t>
        </is>
      </c>
      <c r="H4" s="27" t="inlineStr">
        <is>
          <t>Verification Status</t>
        </is>
      </c>
    </row>
    <row r="5">
      <c r="A5" s="28" t="inlineStr">
        <is>
          <t>EV-001</t>
        </is>
      </c>
      <c r="B5" s="29" t="inlineStr">
        <is>
          <t>1. Key Generation</t>
        </is>
      </c>
      <c r="C5" s="29" t="inlineStr">
        <is>
          <t>Configuration file</t>
        </is>
      </c>
      <c r="D5" s="29" t="inlineStr">
        <is>
          <t>TLS/encryption configuration export for audit evidence</t>
        </is>
      </c>
      <c r="E5" s="29" t="inlineStr">
        <is>
          <t>/evidence/a824/config-export-2025.txt</t>
        </is>
      </c>
      <c r="F5" s="29" t="inlineStr">
        <is>
          <t>01.01.2025</t>
        </is>
      </c>
      <c r="G5" s="29" t="inlineStr">
        <is>
          <t>Security Team</t>
        </is>
      </c>
      <c r="H5" s="29" t="inlineStr">
        <is>
          <t>✅ Verified</t>
        </is>
      </c>
    </row>
    <row r="6">
      <c r="A6" s="18" t="n"/>
      <c r="B6" s="18" t="n"/>
      <c r="C6" s="18" t="n"/>
      <c r="D6" s="18" t="n"/>
      <c r="E6" s="18" t="n"/>
      <c r="F6" s="18" t="n"/>
      <c r="G6" s="18" t="n"/>
      <c r="H6" s="18" t="n"/>
    </row>
    <row r="7">
      <c r="A7" s="18" t="n"/>
      <c r="B7" s="18" t="n"/>
      <c r="C7" s="18" t="n"/>
      <c r="D7" s="18" t="n"/>
      <c r="E7" s="18" t="n"/>
      <c r="F7" s="18" t="n"/>
      <c r="G7" s="18" t="n"/>
      <c r="H7" s="18" t="n"/>
    </row>
    <row r="8">
      <c r="A8" s="18" t="n"/>
      <c r="B8" s="18" t="n"/>
      <c r="C8" s="18" t="n"/>
      <c r="D8" s="18" t="n"/>
      <c r="E8" s="18" t="n"/>
      <c r="F8" s="18" t="n"/>
      <c r="G8" s="18" t="n"/>
      <c r="H8" s="18" t="n"/>
    </row>
    <row r="9">
      <c r="A9" s="18" t="n"/>
      <c r="B9" s="18" t="n"/>
      <c r="C9" s="18" t="n"/>
      <c r="D9" s="18" t="n"/>
      <c r="E9" s="18" t="n"/>
      <c r="F9" s="18" t="n"/>
      <c r="G9" s="18" t="n"/>
      <c r="H9" s="18" t="n"/>
    </row>
    <row r="10">
      <c r="A10" s="18" t="n"/>
      <c r="B10" s="18" t="n"/>
      <c r="C10" s="18" t="n"/>
      <c r="D10" s="18" t="n"/>
      <c r="E10" s="18" t="n"/>
      <c r="F10" s="18" t="n"/>
      <c r="G10" s="18" t="n"/>
      <c r="H10" s="18" t="n"/>
    </row>
    <row r="11">
      <c r="A11" s="18" t="n"/>
      <c r="B11" s="18" t="n"/>
      <c r="C11" s="18" t="n"/>
      <c r="D11" s="18" t="n"/>
      <c r="E11" s="18" t="n"/>
      <c r="F11" s="18" t="n"/>
      <c r="G11" s="18" t="n"/>
      <c r="H11" s="18" t="n"/>
    </row>
    <row r="12">
      <c r="A12" s="18" t="n"/>
      <c r="B12" s="18" t="n"/>
      <c r="C12" s="18" t="n"/>
      <c r="D12" s="18" t="n"/>
      <c r="E12" s="18" t="n"/>
      <c r="F12" s="18" t="n"/>
      <c r="G12" s="18" t="n"/>
      <c r="H12" s="18" t="n"/>
    </row>
    <row r="13">
      <c r="A13" s="18" t="n"/>
      <c r="B13" s="18" t="n"/>
      <c r="C13" s="18" t="n"/>
      <c r="D13" s="18" t="n"/>
      <c r="E13" s="18" t="n"/>
      <c r="F13" s="18" t="n"/>
      <c r="G13" s="18" t="n"/>
      <c r="H13" s="18" t="n"/>
    </row>
    <row r="14">
      <c r="A14" s="18" t="n"/>
      <c r="B14" s="18" t="n"/>
      <c r="C14" s="18" t="n"/>
      <c r="D14" s="18" t="n"/>
      <c r="E14" s="18" t="n"/>
      <c r="F14" s="18" t="n"/>
      <c r="G14" s="18" t="n"/>
      <c r="H14" s="18" t="n"/>
    </row>
    <row r="15">
      <c r="A15" s="18" t="n"/>
      <c r="B15" s="18" t="n"/>
      <c r="C15" s="18" t="n"/>
      <c r="D15" s="18" t="n"/>
      <c r="E15" s="18" t="n"/>
      <c r="F15" s="18" t="n"/>
      <c r="G15" s="18" t="n"/>
      <c r="H15" s="18" t="n"/>
    </row>
    <row r="16">
      <c r="A16" s="18" t="n"/>
      <c r="B16" s="18" t="n"/>
      <c r="C16" s="18" t="n"/>
      <c r="D16" s="18" t="n"/>
      <c r="E16" s="18" t="n"/>
      <c r="F16" s="18" t="n"/>
      <c r="G16" s="18" t="n"/>
      <c r="H16" s="18" t="n"/>
    </row>
    <row r="17">
      <c r="A17" s="18" t="n"/>
      <c r="B17" s="18" t="n"/>
      <c r="C17" s="18" t="n"/>
      <c r="D17" s="18" t="n"/>
      <c r="E17" s="18" t="n"/>
      <c r="F17" s="18" t="n"/>
      <c r="G17" s="18" t="n"/>
      <c r="H17" s="18" t="n"/>
    </row>
    <row r="18">
      <c r="A18" s="18" t="n"/>
      <c r="B18" s="18" t="n"/>
      <c r="C18" s="18" t="n"/>
      <c r="D18" s="18" t="n"/>
      <c r="E18" s="18" t="n"/>
      <c r="F18" s="18" t="n"/>
      <c r="G18" s="18" t="n"/>
      <c r="H18" s="18" t="n"/>
    </row>
    <row r="19">
      <c r="A19" s="18" t="n"/>
      <c r="B19" s="18" t="n"/>
      <c r="C19" s="18" t="n"/>
      <c r="D19" s="18" t="n"/>
      <c r="E19" s="18" t="n"/>
      <c r="F19" s="18" t="n"/>
      <c r="G19" s="18" t="n"/>
      <c r="H19" s="18" t="n"/>
    </row>
    <row r="20">
      <c r="A20" s="18" t="n"/>
      <c r="B20" s="18" t="n"/>
      <c r="C20" s="18" t="n"/>
      <c r="D20" s="18" t="n"/>
      <c r="E20" s="18" t="n"/>
      <c r="F20" s="18" t="n"/>
      <c r="G20" s="18" t="n"/>
      <c r="H20" s="18" t="n"/>
    </row>
    <row r="21">
      <c r="A21" s="18" t="n"/>
      <c r="B21" s="18" t="n"/>
      <c r="C21" s="18" t="n"/>
      <c r="D21" s="18" t="n"/>
      <c r="E21" s="18" t="n"/>
      <c r="F21" s="18" t="n"/>
      <c r="G21" s="18" t="n"/>
      <c r="H21" s="18" t="n"/>
    </row>
    <row r="22">
      <c r="A22" s="18" t="n"/>
      <c r="B22" s="18" t="n"/>
      <c r="C22" s="18" t="n"/>
      <c r="D22" s="18" t="n"/>
      <c r="E22" s="18" t="n"/>
      <c r="F22" s="18" t="n"/>
      <c r="G22" s="18" t="n"/>
      <c r="H22" s="18" t="n"/>
    </row>
    <row r="23">
      <c r="A23" s="18" t="n"/>
      <c r="B23" s="18" t="n"/>
      <c r="C23" s="18" t="n"/>
      <c r="D23" s="18" t="n"/>
      <c r="E23" s="18" t="n"/>
      <c r="F23" s="18" t="n"/>
      <c r="G23" s="18" t="n"/>
      <c r="H23" s="18" t="n"/>
    </row>
    <row r="24">
      <c r="A24" s="18" t="n"/>
      <c r="B24" s="18" t="n"/>
      <c r="C24" s="18" t="n"/>
      <c r="D24" s="18" t="n"/>
      <c r="E24" s="18" t="n"/>
      <c r="F24" s="18" t="n"/>
      <c r="G24" s="18" t="n"/>
      <c r="H24" s="18" t="n"/>
    </row>
    <row r="25">
      <c r="A25" s="18" t="n"/>
      <c r="B25" s="18" t="n"/>
      <c r="C25" s="18" t="n"/>
      <c r="D25" s="18" t="n"/>
      <c r="E25" s="18" t="n"/>
      <c r="F25" s="18" t="n"/>
      <c r="G25" s="18" t="n"/>
      <c r="H25" s="18" t="n"/>
    </row>
    <row r="26">
      <c r="A26" s="18" t="n"/>
      <c r="B26" s="18" t="n"/>
      <c r="C26" s="18" t="n"/>
      <c r="D26" s="18" t="n"/>
      <c r="E26" s="18" t="n"/>
      <c r="F26" s="18" t="n"/>
      <c r="G26" s="18" t="n"/>
      <c r="H26" s="18" t="n"/>
    </row>
    <row r="27">
      <c r="A27" s="18" t="n"/>
      <c r="B27" s="18" t="n"/>
      <c r="C27" s="18" t="n"/>
      <c r="D27" s="18" t="n"/>
      <c r="E27" s="18" t="n"/>
      <c r="F27" s="18" t="n"/>
      <c r="G27" s="18" t="n"/>
      <c r="H27" s="18" t="n"/>
    </row>
    <row r="28">
      <c r="A28" s="18" t="n"/>
      <c r="B28" s="18" t="n"/>
      <c r="C28" s="18" t="n"/>
      <c r="D28" s="18" t="n"/>
      <c r="E28" s="18" t="n"/>
      <c r="F28" s="18" t="n"/>
      <c r="G28" s="18" t="n"/>
      <c r="H28" s="18" t="n"/>
    </row>
    <row r="29">
      <c r="A29" s="18" t="n"/>
      <c r="B29" s="18" t="n"/>
      <c r="C29" s="18" t="n"/>
      <c r="D29" s="18" t="n"/>
      <c r="E29" s="18" t="n"/>
      <c r="F29" s="18" t="n"/>
      <c r="G29" s="18" t="n"/>
      <c r="H29" s="18" t="n"/>
    </row>
    <row r="30">
      <c r="A30" s="18" t="n"/>
      <c r="B30" s="18" t="n"/>
      <c r="C30" s="18" t="n"/>
      <c r="D30" s="18" t="n"/>
      <c r="E30" s="18" t="n"/>
      <c r="F30" s="18" t="n"/>
      <c r="G30" s="18" t="n"/>
      <c r="H30" s="18" t="n"/>
    </row>
    <row r="31">
      <c r="A31" s="18" t="n"/>
      <c r="B31" s="18" t="n"/>
      <c r="C31" s="18" t="n"/>
      <c r="D31" s="18" t="n"/>
      <c r="E31" s="18" t="n"/>
      <c r="F31" s="18" t="n"/>
      <c r="G31" s="18" t="n"/>
      <c r="H31" s="18" t="n"/>
    </row>
    <row r="32">
      <c r="A32" s="18" t="n"/>
      <c r="B32" s="18" t="n"/>
      <c r="C32" s="18" t="n"/>
      <c r="D32" s="18" t="n"/>
      <c r="E32" s="18" t="n"/>
      <c r="F32" s="18" t="n"/>
      <c r="G32" s="18" t="n"/>
      <c r="H32" s="18" t="n"/>
    </row>
    <row r="33">
      <c r="A33" s="18" t="n"/>
      <c r="B33" s="18" t="n"/>
      <c r="C33" s="18" t="n"/>
      <c r="D33" s="18" t="n"/>
      <c r="E33" s="18" t="n"/>
      <c r="F33" s="18" t="n"/>
      <c r="G33" s="18" t="n"/>
      <c r="H33" s="18" t="n"/>
    </row>
    <row r="34">
      <c r="A34" s="18" t="n"/>
      <c r="B34" s="18" t="n"/>
      <c r="C34" s="18" t="n"/>
      <c r="D34" s="18" t="n"/>
      <c r="E34" s="18" t="n"/>
      <c r="F34" s="18" t="n"/>
      <c r="G34" s="18" t="n"/>
      <c r="H34" s="18" t="n"/>
    </row>
    <row r="35">
      <c r="A35" s="18" t="n"/>
      <c r="B35" s="18" t="n"/>
      <c r="C35" s="18" t="n"/>
      <c r="D35" s="18" t="n"/>
      <c r="E35" s="18" t="n"/>
      <c r="F35" s="18" t="n"/>
      <c r="G35" s="18" t="n"/>
      <c r="H35" s="18" t="n"/>
    </row>
    <row r="36">
      <c r="A36" s="18" t="n"/>
      <c r="B36" s="18" t="n"/>
      <c r="C36" s="18" t="n"/>
      <c r="D36" s="18" t="n"/>
      <c r="E36" s="18" t="n"/>
      <c r="F36" s="18" t="n"/>
      <c r="G36" s="18" t="n"/>
      <c r="H36" s="18" t="n"/>
    </row>
    <row r="37">
      <c r="A37" s="18" t="n"/>
      <c r="B37" s="18" t="n"/>
      <c r="C37" s="18" t="n"/>
      <c r="D37" s="18" t="n"/>
      <c r="E37" s="18" t="n"/>
      <c r="F37" s="18" t="n"/>
      <c r="G37" s="18" t="n"/>
      <c r="H37" s="18" t="n"/>
    </row>
    <row r="38">
      <c r="A38" s="18" t="n"/>
      <c r="B38" s="18" t="n"/>
      <c r="C38" s="18" t="n"/>
      <c r="D38" s="18" t="n"/>
      <c r="E38" s="18" t="n"/>
      <c r="F38" s="18" t="n"/>
      <c r="G38" s="18" t="n"/>
      <c r="H38" s="18" t="n"/>
    </row>
    <row r="39">
      <c r="A39" s="18" t="n"/>
      <c r="B39" s="18" t="n"/>
      <c r="C39" s="18" t="n"/>
      <c r="D39" s="18" t="n"/>
      <c r="E39" s="18" t="n"/>
      <c r="F39" s="18" t="n"/>
      <c r="G39" s="18" t="n"/>
      <c r="H39" s="18" t="n"/>
    </row>
    <row r="40">
      <c r="A40" s="18" t="n"/>
      <c r="B40" s="18" t="n"/>
      <c r="C40" s="18" t="n"/>
      <c r="D40" s="18" t="n"/>
      <c r="E40" s="18" t="n"/>
      <c r="F40" s="18" t="n"/>
      <c r="G40" s="18" t="n"/>
      <c r="H40" s="18" t="n"/>
    </row>
    <row r="41">
      <c r="A41" s="18" t="n"/>
      <c r="B41" s="18" t="n"/>
      <c r="C41" s="18" t="n"/>
      <c r="D41" s="18" t="n"/>
      <c r="E41" s="18" t="n"/>
      <c r="F41" s="18" t="n"/>
      <c r="G41" s="18" t="n"/>
      <c r="H41" s="18" t="n"/>
    </row>
    <row r="42">
      <c r="A42" s="18" t="n"/>
      <c r="B42" s="18" t="n"/>
      <c r="C42" s="18" t="n"/>
      <c r="D42" s="18" t="n"/>
      <c r="E42" s="18" t="n"/>
      <c r="F42" s="18" t="n"/>
      <c r="G42" s="18" t="n"/>
      <c r="H42" s="18" t="n"/>
    </row>
    <row r="43">
      <c r="A43" s="18" t="n"/>
      <c r="B43" s="18" t="n"/>
      <c r="C43" s="18" t="n"/>
      <c r="D43" s="18" t="n"/>
      <c r="E43" s="18" t="n"/>
      <c r="F43" s="18" t="n"/>
      <c r="G43" s="18" t="n"/>
      <c r="H43" s="18" t="n"/>
    </row>
    <row r="44">
      <c r="A44" s="18" t="n"/>
      <c r="B44" s="18" t="n"/>
      <c r="C44" s="18" t="n"/>
      <c r="D44" s="18" t="n"/>
      <c r="E44" s="18" t="n"/>
      <c r="F44" s="18" t="n"/>
      <c r="G44" s="18" t="n"/>
      <c r="H44" s="18" t="n"/>
    </row>
    <row r="45">
      <c r="A45" s="18" t="n"/>
      <c r="B45" s="18" t="n"/>
      <c r="C45" s="18" t="n"/>
      <c r="D45" s="18" t="n"/>
      <c r="E45" s="18" t="n"/>
      <c r="F45" s="18" t="n"/>
      <c r="G45" s="18" t="n"/>
      <c r="H45" s="18" t="n"/>
    </row>
    <row r="46">
      <c r="A46" s="18" t="n"/>
      <c r="B46" s="18" t="n"/>
      <c r="C46" s="18" t="n"/>
      <c r="D46" s="18" t="n"/>
      <c r="E46" s="18" t="n"/>
      <c r="F46" s="18" t="n"/>
      <c r="G46" s="18" t="n"/>
      <c r="H46" s="18" t="n"/>
    </row>
    <row r="47">
      <c r="A47" s="18" t="n"/>
      <c r="B47" s="18" t="n"/>
      <c r="C47" s="18" t="n"/>
      <c r="D47" s="18" t="n"/>
      <c r="E47" s="18" t="n"/>
      <c r="F47" s="18" t="n"/>
      <c r="G47" s="18" t="n"/>
      <c r="H47" s="18" t="n"/>
    </row>
    <row r="48">
      <c r="A48" s="18" t="n"/>
      <c r="B48" s="18" t="n"/>
      <c r="C48" s="18" t="n"/>
      <c r="D48" s="18" t="n"/>
      <c r="E48" s="18" t="n"/>
      <c r="F48" s="18" t="n"/>
      <c r="G48" s="18" t="n"/>
      <c r="H48" s="18" t="n"/>
    </row>
    <row r="49">
      <c r="A49" s="18" t="n"/>
      <c r="B49" s="18" t="n"/>
      <c r="C49" s="18" t="n"/>
      <c r="D49" s="18" t="n"/>
      <c r="E49" s="18" t="n"/>
      <c r="F49" s="18" t="n"/>
      <c r="G49" s="18" t="n"/>
      <c r="H49" s="18" t="n"/>
    </row>
    <row r="50">
      <c r="A50" s="18" t="n"/>
      <c r="B50" s="18" t="n"/>
      <c r="C50" s="18" t="n"/>
      <c r="D50" s="18" t="n"/>
      <c r="E50" s="18" t="n"/>
      <c r="F50" s="18" t="n"/>
      <c r="G50" s="18" t="n"/>
      <c r="H50" s="18" t="n"/>
    </row>
    <row r="51">
      <c r="A51" s="18" t="n"/>
      <c r="B51" s="18" t="n"/>
      <c r="C51" s="18" t="n"/>
      <c r="D51" s="18" t="n"/>
      <c r="E51" s="18" t="n"/>
      <c r="F51" s="18" t="n"/>
      <c r="G51" s="18" t="n"/>
      <c r="H51" s="18" t="n"/>
    </row>
    <row r="52">
      <c r="A52" s="18" t="n"/>
      <c r="B52" s="18" t="n"/>
      <c r="C52" s="18" t="n"/>
      <c r="D52" s="18" t="n"/>
      <c r="E52" s="18" t="n"/>
      <c r="F52" s="18" t="n"/>
      <c r="G52" s="18" t="n"/>
      <c r="H52" s="18" t="n"/>
    </row>
    <row r="53">
      <c r="A53" s="18" t="n"/>
      <c r="B53" s="18" t="n"/>
      <c r="C53" s="18" t="n"/>
      <c r="D53" s="18" t="n"/>
      <c r="E53" s="18" t="n"/>
      <c r="F53" s="18" t="n"/>
      <c r="G53" s="18" t="n"/>
      <c r="H53" s="18" t="n"/>
    </row>
    <row r="54">
      <c r="A54" s="18" t="n"/>
      <c r="B54" s="18" t="n"/>
      <c r="C54" s="18" t="n"/>
      <c r="D54" s="18" t="n"/>
      <c r="E54" s="18" t="n"/>
      <c r="F54" s="18" t="n"/>
      <c r="G54" s="18" t="n"/>
      <c r="H54" s="18" t="n"/>
    </row>
    <row r="55">
      <c r="A55" s="18" t="n"/>
      <c r="B55" s="18" t="n"/>
      <c r="C55" s="18" t="n"/>
      <c r="D55" s="18" t="n"/>
      <c r="E55" s="18" t="n"/>
      <c r="F55" s="18" t="n"/>
      <c r="G55" s="18" t="n"/>
      <c r="H55" s="18" t="n"/>
    </row>
    <row r="56">
      <c r="A56" s="18" t="n"/>
      <c r="B56" s="18" t="n"/>
      <c r="C56" s="18" t="n"/>
      <c r="D56" s="18" t="n"/>
      <c r="E56" s="18" t="n"/>
      <c r="F56" s="18" t="n"/>
      <c r="G56" s="18" t="n"/>
      <c r="H56" s="18" t="n"/>
    </row>
    <row r="57">
      <c r="A57" s="18" t="n"/>
      <c r="B57" s="18" t="n"/>
      <c r="C57" s="18" t="n"/>
      <c r="D57" s="18" t="n"/>
      <c r="E57" s="18" t="n"/>
      <c r="F57" s="18" t="n"/>
      <c r="G57" s="18" t="n"/>
      <c r="H57" s="18" t="n"/>
    </row>
    <row r="58">
      <c r="A58" s="18" t="n"/>
      <c r="B58" s="18" t="n"/>
      <c r="C58" s="18" t="n"/>
      <c r="D58" s="18" t="n"/>
      <c r="E58" s="18" t="n"/>
      <c r="F58" s="18" t="n"/>
      <c r="G58" s="18" t="n"/>
      <c r="H58" s="18" t="n"/>
    </row>
    <row r="59">
      <c r="A59" s="18" t="n"/>
      <c r="B59" s="18" t="n"/>
      <c r="C59" s="18" t="n"/>
      <c r="D59" s="18" t="n"/>
      <c r="E59" s="18" t="n"/>
      <c r="F59" s="18" t="n"/>
      <c r="G59" s="18" t="n"/>
      <c r="H59" s="18" t="n"/>
    </row>
    <row r="60">
      <c r="A60" s="18" t="n"/>
      <c r="B60" s="18" t="n"/>
      <c r="C60" s="18" t="n"/>
      <c r="D60" s="18" t="n"/>
      <c r="E60" s="18" t="n"/>
      <c r="F60" s="18" t="n"/>
      <c r="G60" s="18" t="n"/>
      <c r="H60" s="18" t="n"/>
    </row>
    <row r="61">
      <c r="A61" s="18" t="n"/>
      <c r="B61" s="18" t="n"/>
      <c r="C61" s="18" t="n"/>
      <c r="D61" s="18" t="n"/>
      <c r="E61" s="18" t="n"/>
      <c r="F61" s="18" t="n"/>
      <c r="G61" s="18" t="n"/>
      <c r="H61" s="18" t="n"/>
    </row>
    <row r="62">
      <c r="A62" s="18" t="n"/>
      <c r="B62" s="18" t="n"/>
      <c r="C62" s="18" t="n"/>
      <c r="D62" s="18" t="n"/>
      <c r="E62" s="18" t="n"/>
      <c r="F62" s="18" t="n"/>
      <c r="G62" s="18" t="n"/>
      <c r="H62" s="18" t="n"/>
    </row>
    <row r="63">
      <c r="A63" s="18" t="n"/>
      <c r="B63" s="18" t="n"/>
      <c r="C63" s="18" t="n"/>
      <c r="D63" s="18" t="n"/>
      <c r="E63" s="18" t="n"/>
      <c r="F63" s="18" t="n"/>
      <c r="G63" s="18" t="n"/>
      <c r="H63" s="18" t="n"/>
    </row>
    <row r="64">
      <c r="A64" s="18" t="n"/>
      <c r="B64" s="18" t="n"/>
      <c r="C64" s="18" t="n"/>
      <c r="D64" s="18" t="n"/>
      <c r="E64" s="18" t="n"/>
      <c r="F64" s="18" t="n"/>
      <c r="G64" s="18" t="n"/>
      <c r="H64" s="18" t="n"/>
    </row>
    <row r="65">
      <c r="A65" s="18" t="n"/>
      <c r="B65" s="18" t="n"/>
      <c r="C65" s="18" t="n"/>
      <c r="D65" s="18" t="n"/>
      <c r="E65" s="18" t="n"/>
      <c r="F65" s="18" t="n"/>
      <c r="G65" s="18" t="n"/>
      <c r="H65" s="18" t="n"/>
    </row>
    <row r="66">
      <c r="A66" s="18" t="n"/>
      <c r="B66" s="18" t="n"/>
      <c r="C66" s="18" t="n"/>
      <c r="D66" s="18" t="n"/>
      <c r="E66" s="18" t="n"/>
      <c r="F66" s="18" t="n"/>
      <c r="G66" s="18" t="n"/>
      <c r="H66" s="18" t="n"/>
    </row>
    <row r="67">
      <c r="A67" s="18" t="n"/>
      <c r="B67" s="18" t="n"/>
      <c r="C67" s="18" t="n"/>
      <c r="D67" s="18" t="n"/>
      <c r="E67" s="18" t="n"/>
      <c r="F67" s="18" t="n"/>
      <c r="G67" s="18" t="n"/>
      <c r="H67" s="18" t="n"/>
    </row>
    <row r="68">
      <c r="A68" s="18" t="n"/>
      <c r="B68" s="18" t="n"/>
      <c r="C68" s="18" t="n"/>
      <c r="D68" s="18" t="n"/>
      <c r="E68" s="18" t="n"/>
      <c r="F68" s="18" t="n"/>
      <c r="G68" s="18" t="n"/>
      <c r="H68" s="18" t="n"/>
    </row>
    <row r="69">
      <c r="A69" s="18" t="n"/>
      <c r="B69" s="18" t="n"/>
      <c r="C69" s="18" t="n"/>
      <c r="D69" s="18" t="n"/>
      <c r="E69" s="18" t="n"/>
      <c r="F69" s="18" t="n"/>
      <c r="G69" s="18" t="n"/>
      <c r="H69" s="18" t="n"/>
    </row>
    <row r="70">
      <c r="A70" s="18" t="n"/>
      <c r="B70" s="18" t="n"/>
      <c r="C70" s="18" t="n"/>
      <c r="D70" s="18" t="n"/>
      <c r="E70" s="18" t="n"/>
      <c r="F70" s="18" t="n"/>
      <c r="G70" s="18" t="n"/>
      <c r="H70" s="18" t="n"/>
    </row>
    <row r="71">
      <c r="A71" s="18" t="n"/>
      <c r="B71" s="18" t="n"/>
      <c r="C71" s="18" t="n"/>
      <c r="D71" s="18" t="n"/>
      <c r="E71" s="18" t="n"/>
      <c r="F71" s="18" t="n"/>
      <c r="G71" s="18" t="n"/>
      <c r="H71" s="18" t="n"/>
    </row>
    <row r="72">
      <c r="A72" s="18" t="n"/>
      <c r="B72" s="18" t="n"/>
      <c r="C72" s="18" t="n"/>
      <c r="D72" s="18" t="n"/>
      <c r="E72" s="18" t="n"/>
      <c r="F72" s="18" t="n"/>
      <c r="G72" s="18" t="n"/>
      <c r="H72" s="18" t="n"/>
    </row>
    <row r="73">
      <c r="A73" s="18" t="n"/>
      <c r="B73" s="18" t="n"/>
      <c r="C73" s="18" t="n"/>
      <c r="D73" s="18" t="n"/>
      <c r="E73" s="18" t="n"/>
      <c r="F73" s="18" t="n"/>
      <c r="G73" s="18" t="n"/>
      <c r="H73" s="18" t="n"/>
    </row>
    <row r="74">
      <c r="A74" s="18" t="n"/>
      <c r="B74" s="18" t="n"/>
      <c r="C74" s="18" t="n"/>
      <c r="D74" s="18" t="n"/>
      <c r="E74" s="18" t="n"/>
      <c r="F74" s="18" t="n"/>
      <c r="G74" s="18" t="n"/>
      <c r="H74" s="18" t="n"/>
    </row>
    <row r="75">
      <c r="A75" s="18" t="n"/>
      <c r="B75" s="18" t="n"/>
      <c r="C75" s="18" t="n"/>
      <c r="D75" s="18" t="n"/>
      <c r="E75" s="18" t="n"/>
      <c r="F75" s="18" t="n"/>
      <c r="G75" s="18" t="n"/>
      <c r="H75" s="18" t="n"/>
    </row>
    <row r="76">
      <c r="A76" s="18" t="n"/>
      <c r="B76" s="18" t="n"/>
      <c r="C76" s="18" t="n"/>
      <c r="D76" s="18" t="n"/>
      <c r="E76" s="18" t="n"/>
      <c r="F76" s="18" t="n"/>
      <c r="G76" s="18" t="n"/>
      <c r="H76" s="18" t="n"/>
    </row>
    <row r="77">
      <c r="A77" s="18" t="n"/>
      <c r="B77" s="18" t="n"/>
      <c r="C77" s="18" t="n"/>
      <c r="D77" s="18" t="n"/>
      <c r="E77" s="18" t="n"/>
      <c r="F77" s="18" t="n"/>
      <c r="G77" s="18" t="n"/>
      <c r="H77" s="18" t="n"/>
    </row>
    <row r="78">
      <c r="A78" s="18" t="n"/>
      <c r="B78" s="18" t="n"/>
      <c r="C78" s="18" t="n"/>
      <c r="D78" s="18" t="n"/>
      <c r="E78" s="18" t="n"/>
      <c r="F78" s="18" t="n"/>
      <c r="G78" s="18" t="n"/>
      <c r="H78" s="18" t="n"/>
    </row>
    <row r="79">
      <c r="A79" s="18" t="n"/>
      <c r="B79" s="18" t="n"/>
      <c r="C79" s="18" t="n"/>
      <c r="D79" s="18" t="n"/>
      <c r="E79" s="18" t="n"/>
      <c r="F79" s="18" t="n"/>
      <c r="G79" s="18" t="n"/>
      <c r="H79" s="18" t="n"/>
    </row>
    <row r="80">
      <c r="A80" s="18" t="n"/>
      <c r="B80" s="18" t="n"/>
      <c r="C80" s="18" t="n"/>
      <c r="D80" s="18" t="n"/>
      <c r="E80" s="18" t="n"/>
      <c r="F80" s="18" t="n"/>
      <c r="G80" s="18" t="n"/>
      <c r="H80" s="18" t="n"/>
    </row>
    <row r="81">
      <c r="A81" s="18" t="n"/>
      <c r="B81" s="18" t="n"/>
      <c r="C81" s="18" t="n"/>
      <c r="D81" s="18" t="n"/>
      <c r="E81" s="18" t="n"/>
      <c r="F81" s="18" t="n"/>
      <c r="G81" s="18" t="n"/>
      <c r="H81" s="18" t="n"/>
    </row>
    <row r="82">
      <c r="A82" s="18" t="n"/>
      <c r="B82" s="18" t="n"/>
      <c r="C82" s="18" t="n"/>
      <c r="D82" s="18" t="n"/>
      <c r="E82" s="18" t="n"/>
      <c r="F82" s="18" t="n"/>
      <c r="G82" s="18" t="n"/>
      <c r="H82" s="18" t="n"/>
    </row>
    <row r="83">
      <c r="A83" s="18" t="n"/>
      <c r="B83" s="18" t="n"/>
      <c r="C83" s="18" t="n"/>
      <c r="D83" s="18" t="n"/>
      <c r="E83" s="18" t="n"/>
      <c r="F83" s="18" t="n"/>
      <c r="G83" s="18" t="n"/>
      <c r="H83" s="18" t="n"/>
    </row>
    <row r="84">
      <c r="A84" s="18" t="n"/>
      <c r="B84" s="18" t="n"/>
      <c r="C84" s="18" t="n"/>
      <c r="D84" s="18" t="n"/>
      <c r="E84" s="18" t="n"/>
      <c r="F84" s="18" t="n"/>
      <c r="G84" s="18" t="n"/>
      <c r="H84" s="18" t="n"/>
    </row>
    <row r="85">
      <c r="A85" s="18" t="n"/>
      <c r="B85" s="18" t="n"/>
      <c r="C85" s="18" t="n"/>
      <c r="D85" s="18" t="n"/>
      <c r="E85" s="18" t="n"/>
      <c r="F85" s="18" t="n"/>
      <c r="G85" s="18" t="n"/>
      <c r="H85" s="18" t="n"/>
    </row>
    <row r="86">
      <c r="A86" s="18" t="n"/>
      <c r="B86" s="18" t="n"/>
      <c r="C86" s="18" t="n"/>
      <c r="D86" s="18" t="n"/>
      <c r="E86" s="18" t="n"/>
      <c r="F86" s="18" t="n"/>
      <c r="G86" s="18" t="n"/>
      <c r="H86" s="18" t="n"/>
    </row>
    <row r="87">
      <c r="A87" s="18" t="n"/>
      <c r="B87" s="18" t="n"/>
      <c r="C87" s="18" t="n"/>
      <c r="D87" s="18" t="n"/>
      <c r="E87" s="18" t="n"/>
      <c r="F87" s="18" t="n"/>
      <c r="G87" s="18" t="n"/>
      <c r="H87" s="18" t="n"/>
    </row>
    <row r="88">
      <c r="A88" s="18" t="n"/>
      <c r="B88" s="18" t="n"/>
      <c r="C88" s="18" t="n"/>
      <c r="D88" s="18" t="n"/>
      <c r="E88" s="18" t="n"/>
      <c r="F88" s="18" t="n"/>
      <c r="G88" s="18" t="n"/>
      <c r="H88" s="18" t="n"/>
    </row>
    <row r="89">
      <c r="A89" s="18" t="n"/>
      <c r="B89" s="18" t="n"/>
      <c r="C89" s="18" t="n"/>
      <c r="D89" s="18" t="n"/>
      <c r="E89" s="18" t="n"/>
      <c r="F89" s="18" t="n"/>
      <c r="G89" s="18" t="n"/>
      <c r="H89" s="18" t="n"/>
    </row>
    <row r="90">
      <c r="A90" s="18" t="n"/>
      <c r="B90" s="18" t="n"/>
      <c r="C90" s="18" t="n"/>
      <c r="D90" s="18" t="n"/>
      <c r="E90" s="18" t="n"/>
      <c r="F90" s="18" t="n"/>
      <c r="G90" s="18" t="n"/>
      <c r="H90" s="18" t="n"/>
    </row>
    <row r="91">
      <c r="A91" s="18" t="n"/>
      <c r="B91" s="18" t="n"/>
      <c r="C91" s="18" t="n"/>
      <c r="D91" s="18" t="n"/>
      <c r="E91" s="18" t="n"/>
      <c r="F91" s="18" t="n"/>
      <c r="G91" s="18" t="n"/>
      <c r="H91" s="18" t="n"/>
    </row>
    <row r="92">
      <c r="A92" s="18" t="n"/>
      <c r="B92" s="18" t="n"/>
      <c r="C92" s="18" t="n"/>
      <c r="D92" s="18" t="n"/>
      <c r="E92" s="18" t="n"/>
      <c r="F92" s="18" t="n"/>
      <c r="G92" s="18" t="n"/>
      <c r="H92" s="18" t="n"/>
    </row>
    <row r="93">
      <c r="A93" s="18" t="n"/>
      <c r="B93" s="18" t="n"/>
      <c r="C93" s="18" t="n"/>
      <c r="D93" s="18" t="n"/>
      <c r="E93" s="18" t="n"/>
      <c r="F93" s="18" t="n"/>
      <c r="G93" s="18" t="n"/>
      <c r="H93" s="18" t="n"/>
    </row>
    <row r="94">
      <c r="A94" s="18" t="n"/>
      <c r="B94" s="18" t="n"/>
      <c r="C94" s="18" t="n"/>
      <c r="D94" s="18" t="n"/>
      <c r="E94" s="18" t="n"/>
      <c r="F94" s="18" t="n"/>
      <c r="G94" s="18" t="n"/>
      <c r="H94" s="18" t="n"/>
    </row>
    <row r="95">
      <c r="A95" s="18" t="n"/>
      <c r="B95" s="18" t="n"/>
      <c r="C95" s="18" t="n"/>
      <c r="D95" s="18" t="n"/>
      <c r="E95" s="18" t="n"/>
      <c r="F95" s="18" t="n"/>
      <c r="G95" s="18" t="n"/>
      <c r="H95" s="18" t="n"/>
    </row>
    <row r="96">
      <c r="A96" s="18" t="n"/>
      <c r="B96" s="18" t="n"/>
      <c r="C96" s="18" t="n"/>
      <c r="D96" s="18" t="n"/>
      <c r="E96" s="18" t="n"/>
      <c r="F96" s="18" t="n"/>
      <c r="G96" s="18" t="n"/>
      <c r="H96" s="18" t="n"/>
    </row>
    <row r="97">
      <c r="A97" s="18" t="n"/>
      <c r="B97" s="18" t="n"/>
      <c r="C97" s="18" t="n"/>
      <c r="D97" s="18" t="n"/>
      <c r="E97" s="18" t="n"/>
      <c r="F97" s="18" t="n"/>
      <c r="G97" s="18" t="n"/>
      <c r="H97" s="18" t="n"/>
    </row>
    <row r="98">
      <c r="A98" s="18" t="n"/>
      <c r="B98" s="18" t="n"/>
      <c r="C98" s="18" t="n"/>
      <c r="D98" s="18" t="n"/>
      <c r="E98" s="18" t="n"/>
      <c r="F98" s="18" t="n"/>
      <c r="G98" s="18" t="n"/>
      <c r="H98" s="18" t="n"/>
    </row>
    <row r="99">
      <c r="A99" s="18" t="n"/>
      <c r="B99" s="18" t="n"/>
      <c r="C99" s="18" t="n"/>
      <c r="D99" s="18" t="n"/>
      <c r="E99" s="18" t="n"/>
      <c r="F99" s="18" t="n"/>
      <c r="G99" s="18" t="n"/>
      <c r="H99" s="18" t="n"/>
    </row>
    <row r="100">
      <c r="A100" s="18" t="n"/>
      <c r="B100" s="18" t="n"/>
      <c r="C100" s="18" t="n"/>
      <c r="D100" s="18" t="n"/>
      <c r="E100" s="18" t="n"/>
      <c r="F100" s="18" t="n"/>
      <c r="G100" s="18" t="n"/>
      <c r="H100" s="18" t="n"/>
    </row>
    <row r="101">
      <c r="A101" s="18" t="n"/>
      <c r="B101" s="18" t="n"/>
      <c r="C101" s="18" t="n"/>
      <c r="D101" s="18" t="n"/>
      <c r="E101" s="18" t="n"/>
      <c r="F101" s="18" t="n"/>
      <c r="G101" s="18" t="n"/>
      <c r="H101" s="18" t="n"/>
    </row>
    <row r="102">
      <c r="A102" s="18" t="n"/>
      <c r="B102" s="18" t="n"/>
      <c r="C102" s="18" t="n"/>
      <c r="D102" s="18" t="n"/>
      <c r="E102" s="18" t="n"/>
      <c r="F102" s="18" t="n"/>
      <c r="G102" s="18" t="n"/>
      <c r="H102" s="18" t="n"/>
    </row>
    <row r="103">
      <c r="A103" s="18" t="n"/>
      <c r="B103" s="18" t="n"/>
      <c r="C103" s="18" t="n"/>
      <c r="D103" s="18" t="n"/>
      <c r="E103" s="18" t="n"/>
      <c r="F103" s="18" t="n"/>
      <c r="G103" s="18" t="n"/>
      <c r="H103" s="18" t="n"/>
    </row>
    <row r="104">
      <c r="A104" s="18" t="n"/>
      <c r="B104" s="18" t="n"/>
      <c r="C104" s="18" t="n"/>
      <c r="D104" s="18" t="n"/>
      <c r="E104" s="18" t="n"/>
      <c r="F104" s="18" t="n"/>
      <c r="G104" s="18" t="n"/>
      <c r="H104" s="18" t="n"/>
    </row>
    <row r="105">
      <c r="A105" s="18" t="n"/>
      <c r="B105" s="18" t="n"/>
      <c r="C105" s="18" t="n"/>
      <c r="D105" s="18" t="n"/>
      <c r="E105" s="18" t="n"/>
      <c r="F105" s="18" t="n"/>
      <c r="G105" s="18" t="n"/>
      <c r="H105" s="18"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0" type="list">
      <formula1>"Key generation log,HSM configuration,KMS architecture,Rotation log,Backup procedure,Recovery test,Certificate inventory,CA audit report,FIPS certificate,Key ceremony record,Access log,Destruction record,Algorithm verification,Third-party audit,Other"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0" type="list">
      <formula1>"✅ Verified,⚠️ Pending,❌ Not Verified,N/A"</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52"/>
  <sheetViews>
    <sheetView showGridLines="0" workbookViewId="0">
      <pane ySplit="3" topLeftCell="A4" activePane="bottomLeft" state="frozen"/>
      <selection pane="bottomLeft" activeCell="A1" sqref="A1"/>
    </sheetView>
  </sheetViews>
  <sheetFormatPr baseColWidth="8" defaultRowHeight="15"/>
  <cols>
    <col width="40" customWidth="1" min="1" max="1"/>
    <col width="16" customWidth="1" min="2" max="2"/>
    <col width="16" customWidth="1" min="3" max="3"/>
    <col width="18" customWidth="1" min="4" max="4"/>
    <col width="18" customWidth="1" min="5" max="5"/>
    <col width="14" customWidth="1" min="6" max="6"/>
    <col width="15" customWidth="1" min="7" max="7"/>
  </cols>
  <sheetData>
    <row r="1" ht="35" customHeight="1">
      <c r="A1" s="11" t="inlineStr">
        <is>
          <t>KEY MANAGEMENT ASSESSMENT — SUMMARY DASHBOARD</t>
        </is>
      </c>
      <c r="B1" s="6" t="n"/>
      <c r="C1" s="6" t="n"/>
      <c r="D1" s="6" t="n"/>
      <c r="E1" s="6" t="n"/>
      <c r="F1" s="6" t="n"/>
      <c r="G1" s="6" t="n"/>
    </row>
    <row r="2">
      <c r="A2" s="30" t="inlineStr">
        <is>
          <t>ISO/IEC 27001:2022 | Control A.8.24 | Cryptographic Key Management</t>
        </is>
      </c>
      <c r="B2" s="6" t="n"/>
      <c r="C2" s="6" t="n"/>
      <c r="D2" s="6" t="n"/>
      <c r="E2" s="6" t="n"/>
      <c r="F2" s="6" t="n"/>
      <c r="G2" s="6" t="n"/>
    </row>
    <row r="4">
      <c r="A4" s="31" t="inlineStr">
        <is>
          <t>TABLE 1: ASSESSMENT AREA COMPLIANCE OVERVIEW</t>
        </is>
      </c>
      <c r="B4" s="6" t="n"/>
      <c r="C4" s="6" t="n"/>
      <c r="D4" s="6" t="n"/>
      <c r="E4" s="6" t="n"/>
      <c r="F4" s="6" t="n"/>
      <c r="G4" s="6" t="n"/>
    </row>
    <row r="5">
      <c r="A5" s="32" t="inlineStr">
        <is>
          <t>Assessment Area</t>
        </is>
      </c>
      <c r="B5" s="32" t="inlineStr">
        <is>
          <t>Total Items</t>
        </is>
      </c>
      <c r="C5" s="32" t="inlineStr">
        <is>
          <t>Compliant</t>
        </is>
      </c>
      <c r="D5" s="32" t="inlineStr">
        <is>
          <t>Partial</t>
        </is>
      </c>
      <c r="E5" s="32" t="inlineStr">
        <is>
          <t>Non-Compliant</t>
        </is>
      </c>
      <c r="F5" s="32" t="inlineStr">
        <is>
          <t>N/A</t>
        </is>
      </c>
      <c r="G5" s="32" t="inlineStr">
        <is>
          <t>Compliance %</t>
        </is>
      </c>
    </row>
    <row r="6">
      <c r="A6" t="inlineStr">
        <is>
          <t>1. Key Generation</t>
        </is>
      </c>
      <c r="B6">
        <f>COUNTA('1. Key Generation'!H8:H90)</f>
        <v/>
      </c>
      <c r="C6">
        <f>COUNTIF('1. Key Generation'!H8:H90,"✅*")</f>
        <v/>
      </c>
      <c r="D6">
        <f>COUNTIF('1. Key Generation'!H8:H90,"⚠️*")</f>
        <v/>
      </c>
      <c r="E6">
        <f>COUNTIF('1. Key Generation'!H8:H90,"❌*")</f>
        <v/>
      </c>
      <c r="F6">
        <f>COUNTIF('1. Key Generation'!H8:H90,"N/A")</f>
        <v/>
      </c>
      <c r="G6">
        <f>IF((B6-F6)=0,"0%",ROUND(C6/(B6-F6)*100,1)&amp;"%")</f>
        <v/>
      </c>
    </row>
    <row r="7">
      <c r="A7" t="inlineStr">
        <is>
          <t>2. Key Storage</t>
        </is>
      </c>
      <c r="B7">
        <f>COUNTA('2. Key Storage'!H8:H90)</f>
        <v/>
      </c>
      <c r="C7">
        <f>COUNTIF('2. Key Storage'!H8:H90,"✅*")</f>
        <v/>
      </c>
      <c r="D7">
        <f>COUNTIF('2. Key Storage'!H8:H90,"⚠️*")</f>
        <v/>
      </c>
      <c r="E7">
        <f>COUNTIF('2. Key Storage'!H8:H90,"❌*")</f>
        <v/>
      </c>
      <c r="F7">
        <f>COUNTIF('2. Key Storage'!H8:H90,"N/A")</f>
        <v/>
      </c>
      <c r="G7">
        <f>IF((B7-F7)=0,"0%",ROUND(C7/(B7-F7)*100,1)&amp;"%")</f>
        <v/>
      </c>
    </row>
    <row r="8">
      <c r="A8" t="inlineStr">
        <is>
          <t>3. Key Rotation</t>
        </is>
      </c>
      <c r="B8">
        <f>COUNTA('3. Key Rotation'!H8:H90)</f>
        <v/>
      </c>
      <c r="C8">
        <f>COUNTIF('3. Key Rotation'!H8:H90,"✅*")</f>
        <v/>
      </c>
      <c r="D8">
        <f>COUNTIF('3. Key Rotation'!H8:H90,"⚠️*")</f>
        <v/>
      </c>
      <c r="E8">
        <f>COUNTIF('3. Key Rotation'!H8:H90,"❌*")</f>
        <v/>
      </c>
      <c r="F8">
        <f>COUNTIF('3. Key Rotation'!H8:H90,"N/A")</f>
        <v/>
      </c>
      <c r="G8">
        <f>IF((B8-F8)=0,"0%",ROUND(C8/(B8-F8)*100,1)&amp;"%")</f>
        <v/>
      </c>
    </row>
    <row r="9">
      <c r="A9" t="inlineStr">
        <is>
          <t>4. Key Backup &amp; Recovery</t>
        </is>
      </c>
      <c r="B9">
        <f>COUNTA('4. Key Backup &amp; Recovery'!H8:H90)</f>
        <v/>
      </c>
      <c r="C9">
        <f>COUNTIF('4. Key Backup &amp; Recovery'!H8:H90,"✅*")</f>
        <v/>
      </c>
      <c r="D9">
        <f>COUNTIF('4. Key Backup &amp; Recovery'!H8:H90,"⚠️*")</f>
        <v/>
      </c>
      <c r="E9">
        <f>COUNTIF('4. Key Backup &amp; Recovery'!H8:H90,"❌*")</f>
        <v/>
      </c>
      <c r="F9">
        <f>COUNTIF('4. Key Backup &amp; Recovery'!H8:H90,"N/A")</f>
        <v/>
      </c>
      <c r="G9">
        <f>IF((B9-F9)=0,"0%",ROUND(C9/(B9-F9)*100,1)&amp;"%")</f>
        <v/>
      </c>
    </row>
    <row r="10">
      <c r="A10" t="inlineStr">
        <is>
          <t>5. Certificate Management</t>
        </is>
      </c>
      <c r="B10">
        <f>COUNTA('5. Certificate Management'!H8:H90)</f>
        <v/>
      </c>
      <c r="C10">
        <f>COUNTIF('5. Certificate Management'!H8:H90,"✅*")</f>
        <v/>
      </c>
      <c r="D10">
        <f>COUNTIF('5. Certificate Management'!H8:H90,"⚠️*")</f>
        <v/>
      </c>
      <c r="E10">
        <f>COUNTIF('5. Certificate Management'!H8:H90,"❌*")</f>
        <v/>
      </c>
      <c r="F10">
        <f>COUNTIF('5. Certificate Management'!H8:H90,"N/A")</f>
        <v/>
      </c>
      <c r="G10">
        <f>IF((B10-F10)=0,"0%",ROUND(C10/(B10-F10)*100,1)&amp;"%")</f>
        <v/>
      </c>
    </row>
    <row r="11">
      <c r="A11" t="inlineStr">
        <is>
          <t>6. Key Destruction</t>
        </is>
      </c>
      <c r="B11">
        <f>COUNTA('6. Key Destruction'!H8:H90)</f>
        <v/>
      </c>
      <c r="C11">
        <f>COUNTIF('6. Key Destruction'!H8:H90,"✅*")</f>
        <v/>
      </c>
      <c r="D11">
        <f>COUNTIF('6. Key Destruction'!H8:H90,"⚠️*")</f>
        <v/>
      </c>
      <c r="E11">
        <f>COUNTIF('6. Key Destruction'!H8:H90,"❌*")</f>
        <v/>
      </c>
      <c r="F11">
        <f>COUNTIF('6. Key Destruction'!H8:H90,"N/A")</f>
        <v/>
      </c>
      <c r="G11">
        <f>IF((B11-F11)=0,"0%",ROUND(C11/(B11-F11)*100,1)&amp;"%")</f>
        <v/>
      </c>
    </row>
    <row r="12">
      <c r="A12" s="33" t="inlineStr">
        <is>
          <t>TOTAL</t>
        </is>
      </c>
      <c r="B12" s="33">
        <f>SUM(B6:B11)</f>
        <v/>
      </c>
      <c r="C12" s="33">
        <f>SUM(C6:C11)</f>
        <v/>
      </c>
      <c r="D12" s="33">
        <f>SUM(D6:D11)</f>
        <v/>
      </c>
      <c r="E12" s="33">
        <f>SUM(E6:E11)</f>
        <v/>
      </c>
      <c r="F12" s="33">
        <f>SUM(F6:F11)</f>
        <v/>
      </c>
      <c r="G12" s="34">
        <f>IF((B12-F12)=0,"0%",ROUND(C12/(B12-F12)*100,1)&amp;"%")</f>
        <v/>
      </c>
    </row>
    <row r="14">
      <c r="A14" s="31" t="inlineStr">
        <is>
          <t>TABLE 2: KEY METRICS</t>
        </is>
      </c>
      <c r="B14" s="6" t="n"/>
      <c r="C14" s="6" t="n"/>
      <c r="D14" s="6" t="n"/>
      <c r="E14" s="6" t="n"/>
      <c r="F14" s="6" t="n"/>
      <c r="G14" s="6" t="n"/>
    </row>
    <row r="15">
      <c r="A15" s="32" t="inlineStr">
        <is>
          <t>KPI</t>
        </is>
      </c>
      <c r="B15" s="32" t="inlineStr">
        <is>
          <t>Current Value</t>
        </is>
      </c>
      <c r="C15" s="32" t="inlineStr">
        <is>
          <t>Target</t>
        </is>
      </c>
      <c r="D15" s="32" t="inlineStr">
        <is>
          <t>Status</t>
        </is>
      </c>
      <c r="E15" s="32" t="inlineStr">
        <is>
          <t>Last Updated</t>
        </is>
      </c>
      <c r="F15" s="32" t="inlineStr">
        <is>
          <t>Owner</t>
        </is>
      </c>
      <c r="G15" s="32" t="inlineStr">
        <is>
          <t>Notes</t>
        </is>
      </c>
    </row>
    <row r="16">
      <c r="A16" s="35" t="inlineStr">
        <is>
          <t>Metric (Auto-computed)</t>
        </is>
      </c>
      <c r="B16" s="35" t="inlineStr">
        <is>
          <t>Value</t>
        </is>
      </c>
      <c r="C16" s="35" t="inlineStr">
        <is>
          <t>Notes</t>
        </is>
      </c>
      <c r="D16" s="6" t="inlineStr"/>
      <c r="E16" s="6" t="inlineStr"/>
      <c r="F16" s="6" t="inlineStr"/>
      <c r="G16" s="6" t="inlineStr"/>
    </row>
    <row r="17">
      <c r="A17" s="6" t="inlineStr">
        <is>
          <t>Non-Compliant Items (all domains)</t>
        </is>
      </c>
      <c r="B17" s="36">
        <f>COUNTIF('1. Key Generation'!H8:H90,"❌*")+COUNTIF('2. Key Storage'!H8:H90,"❌*")+COUNTIF('3. Key Rotation'!H8:H90,"❌*")+COUNTIF('4. Key Backup &amp; Recovery'!H8:H90,"❌*")+COUNTIF('5. Certificate Management'!H8:H90,"❌*")+COUNTIF('6. Key Destruction'!H8:H90,"❌*")</f>
        <v/>
      </c>
      <c r="C17" s="6" t="n"/>
      <c r="D17" s="6" t="n"/>
      <c r="E17" s="6" t="n"/>
      <c r="F17" s="6" t="n"/>
      <c r="G17" s="6" t="n"/>
    </row>
    <row r="18">
      <c r="A18" s="6" t="inlineStr">
        <is>
          <t>Partial Items (all domains)</t>
        </is>
      </c>
      <c r="B18" s="36">
        <f>COUNTIF('1. Key Generation'!H8:H90,"⚠️*")+COUNTIF('2. Key Storage'!H8:H90,"⚠️*")+COUNTIF('3. Key Rotation'!H8:H90,"⚠️*")+COUNTIF('4. Key Backup &amp; Recovery'!H8:H90,"⚠️*")+COUNTIF('5. Certificate Management'!H8:H90,"⚠️*")+COUNTIF('6. Key Destruction'!H8:H90,"⚠️*")</f>
        <v/>
      </c>
      <c r="C18" s="6" t="n"/>
      <c r="D18" s="6" t="n"/>
      <c r="E18" s="6" t="n"/>
      <c r="F18" s="6" t="n"/>
      <c r="G18" s="6" t="n"/>
    </row>
    <row r="19">
      <c r="A19" s="6" t="inlineStr">
        <is>
          <t>Compliant Items (all domains)</t>
        </is>
      </c>
      <c r="B19" s="36">
        <f>COUNTIF('1. Key Generation'!H8:H90,"✅*")+COUNTIF('2. Key Storage'!H8:H90,"✅*")+COUNTIF('3. Key Rotation'!H8:H90,"✅*")+COUNTIF('4. Key Backup &amp; Recovery'!H8:H90,"✅*")+COUNTIF('5. Certificate Management'!H8:H90,"✅*")+COUNTIF('6. Key Destruction'!H8:H90,"✅*")</f>
        <v/>
      </c>
      <c r="C19" s="6" t="n"/>
      <c r="D19" s="6" t="n"/>
      <c r="E19" s="6" t="n"/>
      <c r="F19" s="6" t="n"/>
      <c r="G19" s="6" t="n"/>
    </row>
    <row r="20">
      <c r="A20" s="6" t="inlineStr">
        <is>
          <t>Total Assessed Items (all domains)</t>
        </is>
      </c>
      <c r="B20" s="36">
        <f>COUNTA('1. Key Generation'!H8:H90)+COUNTA('2. Key Storage'!H8:H90)+COUNTA('3. Key Rotation'!H8:H90)+COUNTA('4. Key Backup &amp; Recovery'!H8:H90)+COUNTA('5. Certificate Management'!H8:H90)+COUNTA('6. Key Destruction'!H8:H90)</f>
        <v/>
      </c>
      <c r="C20" s="6" t="n"/>
      <c r="D20" s="6" t="n"/>
      <c r="E20" s="6" t="n"/>
      <c r="F20" s="6" t="n"/>
      <c r="G20" s="6" t="n"/>
    </row>
    <row r="21">
      <c r="A21" s="6" t="inlineStr">
        <is>
          <t>AES-256 Keys (count)</t>
        </is>
      </c>
      <c r="B21" s="36">
        <f>SUM(COUNTIF('1. Key Generation'!C8:C90,"AES-256"),COUNTIF('2. Key Storage'!C8:C90,"AES-256"),COUNTIF('3. Key Rotation'!C8:C90,"AES-256"),COUNTIF('4. Key Backup &amp; Recovery'!C8:C90,"AES-256"),COUNTIF('5. Certificate Management'!C8:C90,"AES-256"),COUNTIF('6. Key Destruction'!C8:C90,"AES-256"))</f>
        <v/>
      </c>
      <c r="C21" s="6" t="n"/>
      <c r="D21" s="6" t="n"/>
      <c r="E21" s="6" t="n"/>
      <c r="F21" s="6" t="n"/>
      <c r="G21" s="6" t="n"/>
    </row>
    <row r="22">
      <c r="A22" s="6" t="inlineStr">
        <is>
          <t>RSA-4096 Keys (count)</t>
        </is>
      </c>
      <c r="B22" s="36">
        <f>SUM(COUNTIF('1. Key Generation'!C8:C90,"RSA-4096"),COUNTIF('2. Key Storage'!C8:C90,"RSA-4096"),COUNTIF('3. Key Rotation'!C8:C90,"RSA-4096"),COUNTIF('4. Key Backup &amp; Recovery'!C8:C90,"RSA-4096"),COUNTIF('5. Certificate Management'!C8:C90,"RSA-4096"),COUNTIF('6. Key Destruction'!C8:C90,"RSA-4096"))</f>
        <v/>
      </c>
      <c r="C22" s="6" t="n"/>
      <c r="D22" s="6" t="n"/>
      <c r="E22" s="6" t="n"/>
      <c r="F22" s="6" t="n"/>
      <c r="G22" s="6" t="n"/>
    </row>
    <row r="23">
      <c r="A23" s="6" t="inlineStr">
        <is>
          <t>RSA-3072 Keys (count)</t>
        </is>
      </c>
      <c r="B23" s="36">
        <f>SUM(COUNTIF('1. Key Generation'!C8:C90,"RSA-3072"),COUNTIF('2. Key Storage'!C8:C90,"RSA-3072"),COUNTIF('3. Key Rotation'!C8:C90,"RSA-3072"),COUNTIF('4. Key Backup &amp; Recovery'!C8:C90,"RSA-3072"),COUNTIF('5. Certificate Management'!C8:C90,"RSA-3072"),COUNTIF('6. Key Destruction'!C8:C90,"RSA-3072"))</f>
        <v/>
      </c>
      <c r="C23" s="6" t="n"/>
      <c r="D23" s="6" t="n"/>
      <c r="E23" s="6" t="n"/>
      <c r="F23" s="6" t="n"/>
      <c r="G23" s="6" t="n"/>
    </row>
    <row r="24">
      <c r="A24" s="6" t="inlineStr">
        <is>
          <t>Non-Approved Algorithms (count)</t>
        </is>
      </c>
      <c r="B24" s="36">
        <f>SUM(COUNTIF('1. Key Generation'!C8:C90,"Other"),COUNTIF('2. Key Storage'!C8:C90,"Other"),COUNTIF('3. Key Rotation'!C8:C90,"Other"),COUNTIF('4. Key Backup &amp; Recovery'!C8:C90,"Other"),COUNTIF('5. Certificate Management'!C8:C90,"Other"),COUNTIF('6. Key Destruction'!C8:C90,"Other"))</f>
        <v/>
      </c>
      <c r="C24" s="6" t="n"/>
      <c r="D24" s="6" t="n"/>
      <c r="E24" s="6" t="n"/>
      <c r="F24" s="6" t="n"/>
      <c r="G24" s="6" t="n"/>
    </row>
    <row r="25">
      <c r="A25" s="6" t="inlineStr">
        <is>
          <t>Active Keys (Lifecycle: Active)</t>
        </is>
      </c>
      <c r="B25" s="36">
        <f>SUM(COUNTIF('1. Key Generation'!G8:G90,"Active"),COUNTIF('2. Key Storage'!G8:G90,"Active"),COUNTIF('3. Key Rotation'!G8:G90,"Active"),COUNTIF('4. Key Backup &amp; Recovery'!G8:G90,"Active"),COUNTIF('5. Certificate Management'!G8:G90,"Active"),COUNTIF('6. Key Destruction'!G8:G90,"Active"))</f>
        <v/>
      </c>
      <c r="C25" s="6" t="n"/>
      <c r="D25" s="6" t="n"/>
      <c r="E25" s="6" t="n"/>
      <c r="F25" s="6" t="n"/>
      <c r="G25" s="6" t="n"/>
    </row>
    <row r="26">
      <c r="A26" s="6" t="inlineStr">
        <is>
          <t>Archived Keys (Lifecycle: Archived)</t>
        </is>
      </c>
      <c r="B26" s="36">
        <f>SUM(COUNTIF('1. Key Generation'!G8:G90,"Archived"),COUNTIF('2. Key Storage'!G8:G90,"Archived"),COUNTIF('3. Key Rotation'!G8:G90,"Archived"),COUNTIF('4. Key Backup &amp; Recovery'!G8:G90,"Archived"),COUNTIF('5. Certificate Management'!G8:G90,"Archived"),COUNTIF('6. Key Destruction'!G8:G90,"Archived"))</f>
        <v/>
      </c>
      <c r="C26" s="6" t="n"/>
      <c r="D26" s="6" t="n"/>
      <c r="E26" s="6" t="n"/>
      <c r="F26" s="6" t="n"/>
      <c r="G26" s="6" t="n"/>
    </row>
    <row r="27">
      <c r="A27" s="6" t="inlineStr">
        <is>
          <t>Destroyed Keys (Lifecycle: Destroyed)</t>
        </is>
      </c>
      <c r="B27" s="36">
        <f>SUM(COUNTIF('1. Key Generation'!G8:G90,"Destroyed"),COUNTIF('2. Key Storage'!G8:G90,"Destroyed"),COUNTIF('3. Key Rotation'!G8:G90,"Destroyed"),COUNTIF('4. Key Backup &amp; Recovery'!G8:G90,"Destroyed"),COUNTIF('5. Certificate Management'!G8:G90,"Destroyed"),COUNTIF('6. Key Destruction'!G8:G90,"Destroyed"))</f>
        <v/>
      </c>
      <c r="C27" s="6" t="n"/>
      <c r="D27" s="6" t="n"/>
      <c r="E27" s="6" t="n"/>
      <c r="F27" s="6" t="n"/>
      <c r="G27" s="6" t="n"/>
    </row>
    <row r="28">
      <c r="A28" s="6" t="inlineStr">
        <is>
          <t>Keys Pending Rotation</t>
        </is>
      </c>
      <c r="B28" s="36">
        <f>SUM(COUNTIF('1. Key Generation'!G8:G90,"Pending Rotation"),COUNTIF('2. Key Storage'!G8:G90,"Pending Rotation"),COUNTIF('3. Key Rotation'!G8:G90,"Pending Rotation"),COUNTIF('4. Key Backup &amp; Recovery'!G8:G90,"Pending Rotation"),COUNTIF('5. Certificate Management'!G8:G90,"Pending Rotation"),COUNTIF('6. Key Destruction'!G8:G90,"Pending Rotation"))</f>
        <v/>
      </c>
      <c r="C28" s="6" t="n"/>
      <c r="D28" s="6" t="n"/>
      <c r="E28" s="6" t="n"/>
      <c r="F28" s="6" t="n"/>
      <c r="G28" s="6" t="n"/>
    </row>
    <row r="31">
      <c r="A31" s="6" t="inlineStr">
        <is>
          <t>Total Cryptographic Keys Managed (count)</t>
        </is>
      </c>
      <c r="B31" s="6" t="n"/>
      <c r="C31" s="6" t="inlineStr">
        <is>
          <t>Count</t>
        </is>
      </c>
      <c r="D31" s="6" t="n"/>
      <c r="E31" s="6" t="n"/>
      <c r="F31" s="6" t="n"/>
      <c r="G31" s="6" t="n"/>
    </row>
    <row r="32">
      <c r="A32" s="6" t="inlineStr">
        <is>
          <t>Keys in HSM / TPM / Cloud KMS</t>
        </is>
      </c>
      <c r="B32" s="6" t="n"/>
      <c r="C32" s="6" t="inlineStr">
        <is>
          <t>≥90%</t>
        </is>
      </c>
      <c r="D32" s="6" t="n"/>
      <c r="E32" s="6" t="n"/>
      <c r="F32" s="6" t="n"/>
      <c r="G32" s="6" t="n"/>
    </row>
    <row r="33">
      <c r="A33" s="6" t="inlineStr">
        <is>
          <t>Approved Algorithm Compliance – AES-256 / RSA-3072+</t>
        </is>
      </c>
      <c r="B33" s="6" t="n"/>
      <c r="C33" s="6" t="inlineStr">
        <is>
          <t>100%</t>
        </is>
      </c>
      <c r="D33" s="6" t="n"/>
      <c r="E33" s="6" t="n"/>
      <c r="F33" s="6" t="n"/>
      <c r="G33" s="6" t="n"/>
    </row>
    <row r="34">
      <c r="A34" s="6" t="inlineStr">
        <is>
          <t>Automated Key Rotation Coverage</t>
        </is>
      </c>
      <c r="B34" s="6" t="n"/>
      <c r="C34" s="6" t="inlineStr">
        <is>
          <t>≥80%</t>
        </is>
      </c>
      <c r="D34" s="6" t="n"/>
      <c r="E34" s="6" t="n"/>
      <c r="F34" s="6" t="n"/>
      <c r="G34" s="6" t="n"/>
    </row>
    <row r="35">
      <c r="A35" s="6" t="inlineStr">
        <is>
          <t>Certificates Expiring &lt; 30 Days (count)</t>
        </is>
      </c>
      <c r="B35" s="6" t="n"/>
      <c r="C35" s="6" t="inlineStr">
        <is>
          <t>0</t>
        </is>
      </c>
      <c r="D35" s="6" t="n"/>
      <c r="E35" s="6" t="n"/>
      <c r="F35" s="6" t="n"/>
      <c r="G35" s="6" t="n"/>
    </row>
    <row r="36">
      <c r="A36" s="6" t="inlineStr">
        <is>
          <t>Expired / Non-Compliant Certificates (count)</t>
        </is>
      </c>
      <c r="B36" s="6" t="n"/>
      <c r="C36" s="6" t="inlineStr">
        <is>
          <t>0</t>
        </is>
      </c>
      <c r="D36" s="6" t="n"/>
      <c r="E36" s="6" t="n"/>
      <c r="F36" s="6" t="n"/>
      <c r="G36" s="6" t="n"/>
    </row>
    <row r="37">
      <c r="A37" s="6" t="inlineStr">
        <is>
          <t>FIPS 140-2 Level 2+ Validated Modules</t>
        </is>
      </c>
      <c r="B37" s="6" t="n"/>
      <c r="C37" s="6" t="inlineStr">
        <is>
          <t>100%</t>
        </is>
      </c>
      <c r="D37" s="6" t="n"/>
      <c r="E37" s="6" t="n"/>
      <c r="F37" s="6" t="n"/>
      <c r="G37" s="6" t="n"/>
    </row>
    <row r="38">
      <c r="A38" s="6" t="inlineStr">
        <is>
          <t>Key Backup &amp; Recovery Tested</t>
        </is>
      </c>
      <c r="B38" s="6" t="n"/>
      <c r="C38" s="6" t="inlineStr">
        <is>
          <t>100%</t>
        </is>
      </c>
      <c r="D38" s="6" t="n"/>
      <c r="E38" s="6" t="n"/>
      <c r="F38" s="6" t="n"/>
      <c r="G38" s="6" t="n"/>
    </row>
    <row r="39">
      <c r="A39" s="6" t="inlineStr">
        <is>
          <t>Certificate Auto-Renewal Enabled</t>
        </is>
      </c>
      <c r="B39" s="6" t="n"/>
      <c r="C39" s="6" t="inlineStr">
        <is>
          <t>≥90%</t>
        </is>
      </c>
      <c r="D39" s="6" t="n"/>
      <c r="E39" s="6" t="n"/>
      <c r="F39" s="6" t="n"/>
      <c r="G39" s="6" t="n"/>
    </row>
    <row r="40">
      <c r="A40" s="6" t="inlineStr">
        <is>
          <t>Evidence Documentation Rate</t>
        </is>
      </c>
      <c r="B40" s="6" t="n"/>
      <c r="C40" s="6" t="inlineStr">
        <is>
          <t>100%</t>
        </is>
      </c>
      <c r="D40" s="6" t="n"/>
      <c r="E40" s="6" t="n"/>
      <c r="F40" s="6" t="n"/>
      <c r="G40" s="6" t="n"/>
    </row>
    <row r="41">
      <c r="A41" s="6" t="n"/>
      <c r="B41" s="6" t="n"/>
      <c r="C41" s="6" t="n"/>
      <c r="D41" s="6" t="n"/>
      <c r="E41" s="6" t="n"/>
      <c r="F41" s="6" t="n"/>
      <c r="G41" s="6" t="n"/>
    </row>
    <row r="42">
      <c r="A42" s="6" t="n"/>
      <c r="B42" s="6" t="n"/>
      <c r="C42" s="6" t="n"/>
      <c r="D42" s="6" t="n"/>
      <c r="E42" s="6" t="n"/>
      <c r="F42" s="6" t="n"/>
      <c r="G42" s="6" t="n"/>
    </row>
    <row r="44">
      <c r="A44" s="37" t="inlineStr">
        <is>
          <t>TABLE 3: DOMAIN COMPLIANCE SUMMARY</t>
        </is>
      </c>
      <c r="B44" s="6" t="n"/>
      <c r="C44" s="6" t="n"/>
      <c r="D44" s="6" t="n"/>
      <c r="E44" s="6" t="n"/>
      <c r="F44" s="6" t="n"/>
      <c r="G44" s="6" t="n"/>
    </row>
    <row r="45">
      <c r="A45" s="32" t="inlineStr">
        <is>
          <t>Key Management Domain</t>
        </is>
      </c>
      <c r="B45" s="32" t="inlineStr">
        <is>
          <t>Non-Compliant</t>
        </is>
      </c>
      <c r="C45" s="32" t="inlineStr">
        <is>
          <t>Partial</t>
        </is>
      </c>
      <c r="D45" s="32" t="inlineStr">
        <is>
          <t>Compliant</t>
        </is>
      </c>
      <c r="E45" s="32" t="inlineStr">
        <is>
          <t>N/A</t>
        </is>
      </c>
      <c r="F45" s="32" t="inlineStr">
        <is>
          <t>Total Items</t>
        </is>
      </c>
      <c r="G45" s="32" t="inlineStr">
        <is>
          <t>Compliance %</t>
        </is>
      </c>
    </row>
    <row r="46">
      <c r="A46" s="38" t="inlineStr">
        <is>
          <t>1. Key Generation</t>
        </is>
      </c>
      <c r="B46" s="38">
        <f>COUNTIF('1. Key Generation'!H8:H90,"❌*")</f>
        <v/>
      </c>
      <c r="C46" s="38">
        <f>COUNTIF('1. Key Generation'!H8:H90,"⚠️*")</f>
        <v/>
      </c>
      <c r="D46" s="38">
        <f>COUNTIF('1. Key Generation'!H8:H90,"✅*")</f>
        <v/>
      </c>
      <c r="E46" s="38">
        <f>COUNTIF('1. Key Generation'!H8:H90,"N/A")</f>
        <v/>
      </c>
      <c r="F46" s="38">
        <f>COUNTA('1. Key Generation'!H8:H90)</f>
        <v/>
      </c>
      <c r="G46" s="39">
        <f>IF((F46-E46)=0,0,D46/(F46-E46))</f>
        <v/>
      </c>
    </row>
    <row r="47">
      <c r="A47" s="38" t="inlineStr">
        <is>
          <t>2. Key Storage</t>
        </is>
      </c>
      <c r="B47" s="38">
        <f>COUNTIF('2. Key Storage'!H8:H90,"❌*")</f>
        <v/>
      </c>
      <c r="C47" s="38">
        <f>COUNTIF('2. Key Storage'!H8:H90,"⚠️*")</f>
        <v/>
      </c>
      <c r="D47" s="38">
        <f>COUNTIF('2. Key Storage'!H8:H90,"✅*")</f>
        <v/>
      </c>
      <c r="E47" s="38">
        <f>COUNTIF('2. Key Storage'!H8:H90,"N/A")</f>
        <v/>
      </c>
      <c r="F47" s="38">
        <f>COUNTA('2. Key Storage'!H8:H90)</f>
        <v/>
      </c>
      <c r="G47" s="39">
        <f>IF((F47-E47)=0,0,D47/(F47-E47))</f>
        <v/>
      </c>
    </row>
    <row r="48">
      <c r="A48" s="38" t="inlineStr">
        <is>
          <t>3. Key Rotation</t>
        </is>
      </c>
      <c r="B48" s="38">
        <f>COUNTIF('3. Key Rotation'!H8:H90,"❌*")</f>
        <v/>
      </c>
      <c r="C48" s="38">
        <f>COUNTIF('3. Key Rotation'!H8:H90,"⚠️*")</f>
        <v/>
      </c>
      <c r="D48" s="38">
        <f>COUNTIF('3. Key Rotation'!H8:H90,"✅*")</f>
        <v/>
      </c>
      <c r="E48" s="38">
        <f>COUNTIF('3. Key Rotation'!H8:H90,"N/A")</f>
        <v/>
      </c>
      <c r="F48" s="38">
        <f>COUNTA('3. Key Rotation'!H8:H90)</f>
        <v/>
      </c>
      <c r="G48" s="39">
        <f>IF((F48-E48)=0,0,D48/(F48-E48))</f>
        <v/>
      </c>
    </row>
    <row r="49">
      <c r="A49" s="38" t="inlineStr">
        <is>
          <t>4. Key Backup &amp; Recovery</t>
        </is>
      </c>
      <c r="B49" s="38">
        <f>COUNTIF('4. Key Backup &amp; Recovery'!H8:H90,"❌*")</f>
        <v/>
      </c>
      <c r="C49" s="38">
        <f>COUNTIF('4. Key Backup &amp; Recovery'!H8:H90,"⚠️*")</f>
        <v/>
      </c>
      <c r="D49" s="38">
        <f>COUNTIF('4. Key Backup &amp; Recovery'!H8:H90,"✅*")</f>
        <v/>
      </c>
      <c r="E49" s="38">
        <f>COUNTIF('4. Key Backup &amp; Recovery'!H8:H90,"N/A")</f>
        <v/>
      </c>
      <c r="F49" s="38">
        <f>COUNTA('4. Key Backup &amp; Recovery'!H8:H90)</f>
        <v/>
      </c>
      <c r="G49" s="39">
        <f>IF((F49-E49)=0,0,D49/(F49-E49))</f>
        <v/>
      </c>
    </row>
    <row r="50">
      <c r="A50" s="38" t="inlineStr">
        <is>
          <t>5. Certificate Management</t>
        </is>
      </c>
      <c r="B50" s="38">
        <f>COUNTIF('5. Certificate Management'!H8:H90,"❌*")</f>
        <v/>
      </c>
      <c r="C50" s="38">
        <f>COUNTIF('5. Certificate Management'!H8:H90,"⚠️*")</f>
        <v/>
      </c>
      <c r="D50" s="38">
        <f>COUNTIF('5. Certificate Management'!H8:H90,"✅*")</f>
        <v/>
      </c>
      <c r="E50" s="38">
        <f>COUNTIF('5. Certificate Management'!H8:H90,"N/A")</f>
        <v/>
      </c>
      <c r="F50" s="38">
        <f>COUNTA('5. Certificate Management'!H8:H90)</f>
        <v/>
      </c>
      <c r="G50" s="39">
        <f>IF((F50-E50)=0,0,D50/(F50-E50))</f>
        <v/>
      </c>
    </row>
    <row r="51">
      <c r="A51" s="38" t="inlineStr">
        <is>
          <t>6. Key Destruction</t>
        </is>
      </c>
      <c r="B51" s="38">
        <f>COUNTIF('6. Key Destruction'!H8:H90,"❌*")</f>
        <v/>
      </c>
      <c r="C51" s="38">
        <f>COUNTIF('6. Key Destruction'!H8:H90,"⚠️*")</f>
        <v/>
      </c>
      <c r="D51" s="38">
        <f>COUNTIF('6. Key Destruction'!H8:H90,"✅*")</f>
        <v/>
      </c>
      <c r="E51" s="38">
        <f>COUNTIF('6. Key Destruction'!H8:H90,"N/A")</f>
        <v/>
      </c>
      <c r="F51" s="38">
        <f>COUNTA('6. Key Destruction'!H8:H90)</f>
        <v/>
      </c>
      <c r="G51" s="39">
        <f>IF((F51-E51)=0,0,D51/(F51-E51))</f>
        <v/>
      </c>
    </row>
    <row r="52">
      <c r="A52" s="33" t="inlineStr">
        <is>
          <t>TOTAL</t>
        </is>
      </c>
      <c r="B52" s="33">
        <f>SUM(B46:B51)</f>
        <v/>
      </c>
      <c r="C52" s="33">
        <f>SUM(C46:C51)</f>
        <v/>
      </c>
      <c r="D52" s="33">
        <f>SUM(D46:D51)</f>
        <v/>
      </c>
      <c r="E52" s="33">
        <f>SUM(E46:E51)</f>
        <v/>
      </c>
      <c r="F52" s="33">
        <f>SUM(F46:F51)</f>
        <v/>
      </c>
      <c r="G52" s="40">
        <f>IF((F52-E52)=0,0,D52/(F52-E52))</f>
        <v/>
      </c>
    </row>
  </sheetData>
  <mergeCells count="5">
    <mergeCell ref="A14:G14"/>
    <mergeCell ref="A44:G44"/>
    <mergeCell ref="A1:G1"/>
    <mergeCell ref="A4:G4"/>
    <mergeCell ref="A2:G2"/>
  </mergeCells>
  <dataValidations count="1">
    <dataValidation sqref="D31 D32 D33 D34 D35 D36 D37 D38 D39 D40" showDropDown="0" showInputMessage="0" showErrorMessage="0" allowBlank="1" type="list">
      <formula1>"✅ On Target,⚠️ At Risk,❌ Below Target"</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37"/>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41" t="inlineStr">
        <is>
          <t>ASSESSMENT APPROVAL AND SIGN-OFF</t>
        </is>
      </c>
      <c r="B1" s="6" t="n"/>
      <c r="C1" s="6" t="n"/>
      <c r="D1" s="6" t="n"/>
      <c r="E1" s="6" t="n"/>
    </row>
    <row r="3">
      <c r="A3" s="42" t="inlineStr">
        <is>
          <t>ASSESSMENT SUMMARY</t>
        </is>
      </c>
      <c r="B3" s="6" t="n"/>
      <c r="C3" s="6" t="n"/>
      <c r="D3" s="6" t="n"/>
      <c r="E3" s="6" t="n"/>
    </row>
    <row r="4">
      <c r="A4" s="14" t="inlineStr">
        <is>
          <t>Document:</t>
        </is>
      </c>
      <c r="B4" s="6" t="inlineStr">
        <is>
          <t>ISMS-IMP-A.8.24.4 - Key Management Assessment</t>
        </is>
      </c>
      <c r="C4" s="6" t="n"/>
      <c r="D4" s="6" t="n"/>
      <c r="E4" s="6" t="n"/>
    </row>
    <row r="5">
      <c r="A5" s="14" t="inlineStr">
        <is>
          <t>Assessment Period:</t>
        </is>
      </c>
      <c r="B5" s="15" t="inlineStr"/>
      <c r="C5" s="6" t="n"/>
      <c r="D5" s="6" t="n"/>
      <c r="E5" s="6" t="n"/>
    </row>
    <row r="6">
      <c r="A6" s="14" t="inlineStr">
        <is>
          <t>Overall Compliance:</t>
        </is>
      </c>
      <c r="B6" s="6">
        <f>'Summary Dashboard'!G11</f>
        <v/>
      </c>
      <c r="C6" s="6" t="n"/>
      <c r="D6" s="6" t="n"/>
      <c r="E6" s="6" t="n"/>
    </row>
    <row r="7">
      <c r="A7" s="14" t="inlineStr">
        <is>
          <t>Assessment Status:</t>
        </is>
      </c>
      <c r="B7" s="15" t="inlineStr"/>
      <c r="C7" s="6" t="n"/>
      <c r="D7" s="6" t="n"/>
      <c r="E7" s="6" t="n"/>
    </row>
    <row r="10">
      <c r="A10" s="42" t="inlineStr">
        <is>
          <t>COMPLETED BY (ASSESSOR)</t>
        </is>
      </c>
      <c r="B10" s="6" t="n"/>
      <c r="C10" s="6" t="n"/>
      <c r="D10" s="6" t="n"/>
      <c r="E10" s="6" t="n"/>
    </row>
    <row r="11">
      <c r="A11" s="14" t="inlineStr">
        <is>
          <t>Name:</t>
        </is>
      </c>
      <c r="B11" s="15" t="n"/>
      <c r="C11" s="6" t="n"/>
      <c r="D11" s="6" t="n"/>
      <c r="E11" s="6" t="n"/>
    </row>
    <row r="12">
      <c r="A12" s="14" t="inlineStr">
        <is>
          <t>Title:</t>
        </is>
      </c>
      <c r="B12" s="15" t="n"/>
      <c r="C12" s="6" t="n"/>
      <c r="D12" s="6" t="n"/>
      <c r="E12" s="6" t="n"/>
    </row>
    <row r="13">
      <c r="A13" s="14" t="inlineStr">
        <is>
          <t>Date:</t>
        </is>
      </c>
      <c r="B13" s="15" t="n"/>
      <c r="C13" s="6" t="n"/>
      <c r="D13" s="6" t="n"/>
      <c r="E13" s="6" t="n"/>
    </row>
    <row r="14">
      <c r="A14" s="14" t="inlineStr">
        <is>
          <t>Signature:</t>
        </is>
      </c>
      <c r="B14" s="15" t="n"/>
      <c r="C14" s="6" t="n"/>
      <c r="D14" s="6" t="n"/>
      <c r="E14" s="6" t="n"/>
    </row>
    <row r="15">
      <c r="A15" s="14" t="inlineStr">
        <is>
          <t>Comments:</t>
        </is>
      </c>
      <c r="B15" s="15" t="n"/>
      <c r="C15" s="6" t="n"/>
      <c r="D15" s="6" t="n"/>
      <c r="E15" s="6" t="n"/>
    </row>
    <row r="17">
      <c r="A17" s="42" t="inlineStr">
        <is>
          <t>REVIEWED BY (INFORMATION SECURITY OFFICER)</t>
        </is>
      </c>
      <c r="B17" s="6" t="n"/>
      <c r="C17" s="6" t="n"/>
      <c r="D17" s="6" t="n"/>
      <c r="E17" s="6" t="n"/>
    </row>
    <row r="18">
      <c r="A18" s="14" t="inlineStr">
        <is>
          <t>Name:</t>
        </is>
      </c>
      <c r="B18" s="15" t="n"/>
      <c r="C18" s="6" t="n"/>
      <c r="D18" s="6" t="n"/>
      <c r="E18" s="6" t="n"/>
    </row>
    <row r="19">
      <c r="A19" s="14" t="inlineStr">
        <is>
          <t>Title:</t>
        </is>
      </c>
      <c r="B19" s="15" t="n"/>
      <c r="C19" s="6" t="n"/>
      <c r="D19" s="6" t="n"/>
      <c r="E19" s="6" t="n"/>
    </row>
    <row r="20">
      <c r="A20" s="14" t="inlineStr">
        <is>
          <t>Date:</t>
        </is>
      </c>
      <c r="B20" s="15" t="n"/>
      <c r="C20" s="6" t="n"/>
      <c r="D20" s="6" t="n"/>
      <c r="E20" s="6" t="n"/>
    </row>
    <row r="21">
      <c r="A21" s="14" t="inlineStr">
        <is>
          <t>Signature:</t>
        </is>
      </c>
      <c r="B21" s="15" t="n"/>
      <c r="C21" s="6" t="n"/>
      <c r="D21" s="6" t="n"/>
      <c r="E21" s="6" t="n"/>
    </row>
    <row r="22">
      <c r="A22" s="14" t="inlineStr">
        <is>
          <t>Comments:</t>
        </is>
      </c>
      <c r="B22" s="15" t="n"/>
      <c r="C22" s="6" t="n"/>
      <c r="D22" s="6" t="n"/>
      <c r="E22" s="6" t="n"/>
    </row>
    <row r="24">
      <c r="A24" s="43" t="inlineStr">
        <is>
          <t>APPROVED BY (CISO)</t>
        </is>
      </c>
      <c r="B24" s="6" t="n"/>
      <c r="C24" s="6" t="n"/>
      <c r="D24" s="6" t="n"/>
      <c r="E24" s="6" t="n"/>
    </row>
    <row r="25">
      <c r="A25" s="14" t="inlineStr">
        <is>
          <t>Name:</t>
        </is>
      </c>
      <c r="B25" s="15" t="n"/>
      <c r="C25" s="6" t="n"/>
      <c r="D25" s="6" t="n"/>
      <c r="E25" s="6" t="n"/>
    </row>
    <row r="26">
      <c r="A26" s="14" t="inlineStr">
        <is>
          <t>Title:</t>
        </is>
      </c>
      <c r="B26" s="15" t="n"/>
      <c r="C26" s="6" t="n"/>
      <c r="D26" s="6" t="n"/>
      <c r="E26" s="6" t="n"/>
    </row>
    <row r="27">
      <c r="A27" s="14" t="inlineStr">
        <is>
          <t>Date:</t>
        </is>
      </c>
      <c r="B27" s="15" t="n"/>
      <c r="C27" s="6" t="n"/>
      <c r="D27" s="6" t="n"/>
      <c r="E27" s="6" t="n"/>
    </row>
    <row r="28">
      <c r="A28" s="14" t="inlineStr">
        <is>
          <t>Signature:</t>
        </is>
      </c>
      <c r="B28" s="15" t="n"/>
      <c r="C28" s="6" t="n"/>
      <c r="D28" s="6" t="n"/>
      <c r="E28" s="6" t="n"/>
    </row>
    <row r="29">
      <c r="A29" s="14" t="inlineStr">
        <is>
          <t>Comments:</t>
        </is>
      </c>
      <c r="B29" s="15" t="n"/>
      <c r="C29" s="6" t="n"/>
      <c r="D29" s="6" t="n"/>
      <c r="E29" s="6" t="n"/>
    </row>
    <row r="31">
      <c r="A31" s="14" t="inlineStr">
        <is>
          <t>FINAL DECISION:</t>
        </is>
      </c>
      <c r="B31" s="15" t="n"/>
      <c r="C31" s="6" t="n"/>
      <c r="D31" s="6" t="n"/>
      <c r="E31" s="6" t="n"/>
    </row>
    <row r="34">
      <c r="A34" s="42" t="inlineStr">
        <is>
          <t>NEXT REVIEW DETAILS</t>
        </is>
      </c>
      <c r="B34" s="6" t="n"/>
      <c r="C34" s="6" t="n"/>
      <c r="D34" s="6" t="n"/>
      <c r="E34" s="6" t="n"/>
    </row>
    <row r="35">
      <c r="A35" s="14" t="inlineStr">
        <is>
          <t>Next Review Date:</t>
        </is>
      </c>
      <c r="B35" s="15" t="n"/>
      <c r="C35" s="6" t="n"/>
      <c r="D35" s="6" t="n"/>
      <c r="E35" s="6" t="n"/>
    </row>
    <row r="36">
      <c r="A36" s="14" t="inlineStr">
        <is>
          <t>Review Responsible:</t>
        </is>
      </c>
      <c r="B36" s="15" t="n"/>
      <c r="C36" s="6" t="n"/>
      <c r="D36" s="6" t="n"/>
      <c r="E36" s="6" t="n"/>
    </row>
    <row r="37">
      <c r="A37" s="14" t="inlineStr">
        <is>
          <t>Special Considerations:</t>
        </is>
      </c>
      <c r="B37" s="15" t="n"/>
      <c r="C37" s="6" t="n"/>
      <c r="D37" s="6" t="n"/>
      <c r="E37" s="6" t="n"/>
    </row>
  </sheetData>
  <mergeCells count="29">
    <mergeCell ref="A34:E34"/>
    <mergeCell ref="A24:E24"/>
    <mergeCell ref="B6:E6"/>
    <mergeCell ref="B15:E15"/>
    <mergeCell ref="A1:E1"/>
    <mergeCell ref="B5:E5"/>
    <mergeCell ref="B20:E20"/>
    <mergeCell ref="B36:E36"/>
    <mergeCell ref="B26:E26"/>
    <mergeCell ref="B35:E35"/>
    <mergeCell ref="B4:E4"/>
    <mergeCell ref="B7:E7"/>
    <mergeCell ref="B25:E25"/>
    <mergeCell ref="B22:E22"/>
    <mergeCell ref="A3:E3"/>
    <mergeCell ref="B31:E31"/>
    <mergeCell ref="B18:E18"/>
    <mergeCell ref="B27:E27"/>
    <mergeCell ref="B12:E12"/>
    <mergeCell ref="B21:E21"/>
    <mergeCell ref="B11:E11"/>
    <mergeCell ref="A17:E17"/>
    <mergeCell ref="B14:E14"/>
    <mergeCell ref="A10:E10"/>
    <mergeCell ref="B13:E13"/>
    <mergeCell ref="B29:E29"/>
    <mergeCell ref="B19:E19"/>
    <mergeCell ref="B37:E37"/>
    <mergeCell ref="B28:E28"/>
  </mergeCells>
  <dataValidations count="2">
    <dataValidation sqref="B7" showDropDown="0" showInputMessage="0" showErrorMessage="0" allowBlank="0" type="list">
      <formula1>"Draft,Final,Requires remediation,Re-assessment required"</formula1>
    </dataValidation>
    <dataValidation sqref="B31"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ISMS-IMP-A.8.24.4 — Key Management Assessment</dc:title>
  <dc:description xmlns:dc="http://purl.org/dc/elements/1.1/">ISMS Implementation Workbook — ISMS-IMP-A.8.24.4</dc:description>
  <dc:subject xmlns:dc="http://purl.org/dc/elements/1.1/">ISO/IEC 27001:2022 — Control A.8.24: Use of Cryptography</dc:subject>
  <dcterms:created xmlns:dcterms="http://purl.org/dc/terms/" xmlns:xsi="http://www.w3.org/2001/XMLSchema-instance" xsi:type="dcterms:W3CDTF">2026-03-07T11:28:22Z</dcterms:created>
  <dcterms:modified xmlns:dcterms="http://purl.org/dc/terms/" xmlns:xsi="http://www.w3.org/2001/XMLSchema-instance" xsi:type="dcterms:W3CDTF">2026-03-07T11:28:23Z</dcterms:modified>
</cp:coreProperties>
</file>