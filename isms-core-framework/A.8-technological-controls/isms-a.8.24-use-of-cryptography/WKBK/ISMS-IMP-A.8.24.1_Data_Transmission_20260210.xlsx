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1 External HTTPS-TLS" sheetId="2" state="visible" r:id="rId2"/>
    <sheet xmlns:r="http://schemas.openxmlformats.org/officeDocument/2006/relationships" name="1.2 Internal HTTPS-TLS" sheetId="3" state="visible" r:id="rId3"/>
    <sheet xmlns:r="http://schemas.openxmlformats.org/officeDocument/2006/relationships" name="2.1 Email Encryption" sheetId="4" state="visible" r:id="rId4"/>
    <sheet xmlns:r="http://schemas.openxmlformats.org/officeDocument/2006/relationships" name="2.2 Digital Signatures" sheetId="5" state="visible" r:id="rId5"/>
    <sheet xmlns:r="http://schemas.openxmlformats.org/officeDocument/2006/relationships" name="3.1 File Transfer Protocols" sheetId="6" state="visible" r:id="rId6"/>
    <sheet xmlns:r="http://schemas.openxmlformats.org/officeDocument/2006/relationships" name="4.1 VPN" sheetId="7" state="visible" r:id="rId7"/>
    <sheet xmlns:r="http://schemas.openxmlformats.org/officeDocument/2006/relationships" name="4.2 SSH" sheetId="8" state="visible" r:id="rId8"/>
    <sheet xmlns:r="http://schemas.openxmlformats.org/officeDocument/2006/relationships" name="4.3 RDP" sheetId="9" state="visible" r:id="rId9"/>
    <sheet xmlns:r="http://schemas.openxmlformats.org/officeDocument/2006/relationships" name="5.1 API Security" sheetId="10" state="visible" r:id="rId10"/>
    <sheet xmlns:r="http://schemas.openxmlformats.org/officeDocument/2006/relationships" name="6.1 Database Connections" sheetId="11" state="visible" r:id="rId11"/>
    <sheet xmlns:r="http://schemas.openxmlformats.org/officeDocument/2006/relationships" name="6.2 Wireless Networks" sheetId="12" state="visible" r:id="rId12"/>
    <sheet xmlns:r="http://schemas.openxmlformats.org/officeDocument/2006/relationships" name="7.1 Cloud Transmission" sheetId="13" state="visible" r:id="rId13"/>
    <sheet xmlns:r="http://schemas.openxmlformats.org/officeDocument/2006/relationships" name="Summary Dashboard" sheetId="14" state="visible" r:id="rId14"/>
    <sheet xmlns:r="http://schemas.openxmlformats.org/officeDocument/2006/relationships" name="Evidence Register" sheetId="15" state="visible" r:id="rId15"/>
    <sheet xmlns:r="http://schemas.openxmlformats.org/officeDocument/2006/relationships" name="Approval Sign-Off" sheetId="16" state="visible" r:id="rId1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b val="1"/>
      <color rgb="00FFFFFF"/>
      <sz val="11"/>
    </font>
    <font>
      <b val="1"/>
      <color rgb="000000FF"/>
      <sz val="12"/>
    </font>
    <font>
      <b val="1"/>
      <color rgb="00FFFFFF"/>
      <sz val="12"/>
    </font>
    <font>
      <i val="1"/>
    </font>
    <font>
      <color rgb="00808080"/>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pivotButton="0" quotePrefix="0" xfId="0"/>
    <xf numFmtId="0" fontId="0" fillId="3" borderId="0" pivotButton="0" quotePrefix="0" xfId="0"/>
    <xf numFmtId="0" fontId="8"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ISMS-IMP-A.8.24.1  -  Data Transmission Assessment
ISO/IEC 27001:2022 - Control A.8.24: Use of Cryptography</t>
        </is>
      </c>
    </row>
    <row r="3">
      <c r="A3" s="2" t="inlineStr">
        <is>
          <t>Document Information</t>
        </is>
      </c>
    </row>
    <row r="4">
      <c r="A4" s="3" t="inlineStr">
        <is>
          <t>Document ID</t>
        </is>
      </c>
      <c r="B4" t="inlineStr">
        <is>
          <t>ISMS-IMP-A.8.24.1</t>
        </is>
      </c>
    </row>
    <row r="5">
      <c r="A5" s="3" t="inlineStr">
        <is>
          <t>Assessment Area</t>
        </is>
      </c>
      <c r="B5" t="inlineStr">
        <is>
          <t>Data Transmission Cryptographic Controls</t>
        </is>
      </c>
    </row>
    <row r="6">
      <c r="A6" s="3" t="inlineStr">
        <is>
          <t>Related Policy</t>
        </is>
      </c>
      <c r="B6" t="inlineStr">
        <is>
          <t>ISMS-POL-A.8.24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HOW TO USE THIS WORKBOOK</t>
        </is>
      </c>
    </row>
    <row r="14">
      <c r="A14" t="inlineStr">
        <is>
          <t>1. Complete each worksheet tab for applicable systems/services.</t>
        </is>
      </c>
    </row>
    <row r="15">
      <c r="A15" t="inlineStr">
        <is>
          <t>2. Use dropdown menus for standardised entries (Status, Remediation, etc.).</t>
        </is>
      </c>
    </row>
    <row r="16">
      <c r="A16" t="inlineStr">
        <is>
          <t>3. Fill in yellow-highlighted cells with your information.</t>
        </is>
      </c>
    </row>
    <row r="17">
      <c r="A17" t="inlineStr">
        <is>
          <t>4. If Status = Partial or Non-Compliant, complete the Exception/Deviation section.</t>
        </is>
      </c>
    </row>
    <row r="18">
      <c r="A18" t="inlineStr">
        <is>
          <t>5. Check all applicable items in the Compliance Checklist for each section.</t>
        </is>
      </c>
    </row>
    <row r="19">
      <c r="A19" t="inlineStr">
        <is>
          <t>6. Provide evidence location/path for each implementation entry.</t>
        </is>
      </c>
    </row>
    <row r="20">
      <c r="A20" t="inlineStr">
        <is>
          <t>7. Summary Dashboard auto-calculates compliance statistics.</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Configuration files or screenshots</t>
        </is>
      </c>
    </row>
    <row r="34">
      <c r="A34" t="inlineStr">
        <is>
          <t>✓ Network scan results (e.g., SSL Labs, nmap, testssl.sh)</t>
        </is>
      </c>
    </row>
    <row r="35">
      <c r="A35" t="inlineStr">
        <is>
          <t>✓ System documentation / architecture diagrams</t>
        </is>
      </c>
    </row>
    <row r="36">
      <c r="A36" t="inlineStr">
        <is>
          <t>✓ Vendor specifications / encryption statements</t>
        </is>
      </c>
    </row>
    <row r="37">
      <c r="A37" t="inlineStr">
        <is>
          <t>✓ Certificate inventory / key management records</t>
        </is>
      </c>
    </row>
    <row r="38">
      <c r="A38" t="inlineStr">
        <is>
          <t>✓ Audit logs / SIEM evidence</t>
        </is>
      </c>
    </row>
    <row r="39">
      <c r="A39" t="inlineStr">
        <is>
          <t>✓ Compliance reports / exception approvals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workbookViewId="0">
      <pane ySplit="6" topLeftCell="A7" activePane="bottomLeft" state="frozen"/>
      <selection pane="bottomLeft" activeCell="A1" sqref="A1"/>
    </sheetView>
  </sheetViews>
  <sheetFormatPr baseColWidth="8" defaultRowHeight="15"/>
  <cols>
    <col width="35" customWidth="1" min="1" max="1"/>
    <col width="18" customWidth="1" min="2" max="2"/>
    <col width="22" customWidth="1" min="3" max="3"/>
    <col width="16" customWidth="1" min="4" max="4"/>
    <col width="15" customWidth="1" min="5" max="5"/>
    <col width="30" customWidth="1" min="6" max="6"/>
    <col width="30" customWidth="1" min="7" max="7"/>
    <col width="16" customWidth="1" min="8" max="8"/>
  </cols>
  <sheetData>
    <row r="1" ht="40" customHeight="1">
      <c r="A1" s="1" t="inlineStr">
        <is>
          <t>1.1 HTTPS/TLS - External Web Services
Policy Requirement: All externally accessible web services MUST use TLS encryption with valid certificates from trusted CAs (Policy Section 2.2.1)</t>
        </is>
      </c>
    </row>
    <row r="3" ht="30" customHeight="1">
      <c r="A3" s="11" t="inlineStr">
        <is>
          <t>Does your organisation have external-facing web services or websites?</t>
        </is>
      </c>
    </row>
    <row r="4">
      <c r="A4" s="3" t="inlineStr">
        <is>
          <t>Response:</t>
        </is>
      </c>
      <c r="B4" s="4" t="n"/>
    </row>
    <row r="6">
      <c r="A6" s="5" t="inlineStr">
        <is>
          <t>Service Description</t>
        </is>
      </c>
      <c r="B6" s="5" t="inlineStr">
        <is>
          <t>Current TLS Version</t>
        </is>
      </c>
      <c r="C6" s="5" t="inlineStr">
        <is>
          <t>Certificate Source (CA)</t>
        </is>
      </c>
      <c r="D6" s="5" t="inlineStr">
        <is>
          <t>Certificate Validity</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Number of external web services:</t>
        </is>
      </c>
      <c r="B33" s="13" t="n"/>
    </row>
    <row r="34">
      <c r="A34" s="3" t="inlineStr">
        <is>
          <t>Certificate expiration monitoring configured:</t>
        </is>
      </c>
      <c r="B34" s="13" t="n"/>
    </row>
    <row r="35">
      <c r="A35" s="3" t="inlineStr">
        <is>
          <t>Automated certificate renewal (REQUIRED for public CAs by Mar 2026):</t>
        </is>
      </c>
      <c r="B35" s="13" t="n"/>
    </row>
    <row r="36">
      <c r="A36" s="3" t="inlineStr">
        <is>
          <t>Certificate inventory maintained:</t>
        </is>
      </c>
      <c r="B36" s="13" t="n"/>
    </row>
    <row r="38">
      <c r="A38" s="14" t="inlineStr">
        <is>
          <t>COMPLIANCE CHECKLIST</t>
        </is>
      </c>
    </row>
    <row r="39">
      <c r="A39" s="3" t="inlineStr">
        <is>
          <t>☐</t>
        </is>
      </c>
      <c r="B39" s="3" t="inlineStr">
        <is>
          <t>Requirement</t>
        </is>
      </c>
      <c r="C39" s="3" t="inlineStr">
        <is>
          <t>Status</t>
        </is>
      </c>
    </row>
    <row r="40">
      <c r="A40" t="inlineStr">
        <is>
          <t>☐</t>
        </is>
      </c>
      <c r="B40" t="inlineStr">
        <is>
          <t>TLS 1.3 preferred OR TLS 1.2 minimum</t>
        </is>
      </c>
      <c r="C40" s="4" t="n"/>
    </row>
    <row r="41">
      <c r="A41" t="inlineStr">
        <is>
          <t>☐</t>
        </is>
      </c>
      <c r="B41" t="inlineStr">
        <is>
          <t>Valid certificates from trusted public CA</t>
        </is>
      </c>
      <c r="C41" s="4" t="n"/>
    </row>
    <row r="42">
      <c r="A42" t="inlineStr">
        <is>
          <t>☐</t>
        </is>
      </c>
      <c r="B42" t="inlineStr">
        <is>
          <t>Certificate validity: ≤398d (until Mar 2026), ≤200d (Mar 2026+), ≤100d (Mar 2027+), ≤47d (Mar 2029+)</t>
        </is>
      </c>
      <c r="C42" s="4" t="n"/>
    </row>
    <row r="43">
      <c r="A43" t="inlineStr">
        <is>
          <t>☐</t>
        </is>
      </c>
      <c r="B43" t="inlineStr">
        <is>
          <t>Self-signed certificates NOT used in production</t>
        </is>
      </c>
      <c r="C43" s="4" t="n"/>
    </row>
    <row r="44">
      <c r="A44" t="inlineStr">
        <is>
          <t>☐</t>
        </is>
      </c>
      <c r="B44" t="inlineStr">
        <is>
          <t>HTTP automatically redirects to HTTPS</t>
        </is>
      </c>
      <c r="C44" s="4" t="n"/>
    </row>
    <row r="45">
      <c r="A45" t="inlineStr">
        <is>
          <t>☐</t>
        </is>
      </c>
      <c r="B45" t="inlineStr">
        <is>
          <t>HSTS header configured</t>
        </is>
      </c>
      <c r="C45" s="4" t="n"/>
    </row>
    <row r="46">
      <c r="A46" t="inlineStr">
        <is>
          <t>☐</t>
        </is>
      </c>
      <c r="B46" t="inlineStr">
        <is>
          <t>Strong cipher suites configured</t>
        </is>
      </c>
      <c r="C46" s="4" t="n"/>
    </row>
    <row r="47">
      <c r="A47" t="inlineStr">
        <is>
          <t>☐</t>
        </is>
      </c>
      <c r="B47" t="inlineStr">
        <is>
          <t>Weak protocols disabled (TLS 1.1, 1.0, SSL)</t>
        </is>
      </c>
      <c r="C47" s="4" t="n"/>
    </row>
    <row r="48">
      <c r="A48" t="inlineStr">
        <is>
          <t>☐</t>
        </is>
      </c>
      <c r="B48" t="inlineStr">
        <is>
          <t>Perfect Forward Secrecy (PFS) enabled</t>
        </is>
      </c>
      <c r="C48" s="4" t="n"/>
    </row>
    <row r="49">
      <c r="A49" t="inlineStr">
        <is>
          <t>☐</t>
        </is>
      </c>
      <c r="B49" t="inlineStr">
        <is>
          <t>Certificate expiration alerts (≥ 30 days)</t>
        </is>
      </c>
      <c r="C49" s="4" t="n"/>
    </row>
    <row r="50">
      <c r="A50" t="inlineStr">
        <is>
          <t>☐</t>
        </is>
      </c>
      <c r="B50" t="inlineStr">
        <is>
          <t>Automation infrastructure ready for 47-day certificate lifecycle (by Mar 2029)</t>
        </is>
      </c>
      <c r="C50" s="4" t="n"/>
    </row>
    <row r="51">
      <c r="A51" s="3" t="inlineStr">
        <is>
          <t>Checklist Score:</t>
        </is>
      </c>
      <c r="B51" s="15">
        <f>COUNTIF(C40:C50,"Yes")/COUNTA(C40:C50)*100&amp;"%"</f>
        <v/>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Network segmentation / firewall restrictions</t>
        </is>
      </c>
      <c r="B59" s="13" t="n"/>
    </row>
    <row r="60">
      <c r="A60" s="3" t="inlineStr">
        <is>
          <t>☐ Enhanced monitoring / alerting</t>
        </is>
      </c>
      <c r="B60" s="13" t="n"/>
    </row>
    <row r="61">
      <c r="A61" s="3" t="inlineStr">
        <is>
          <t>☐ IP allowlisting / access restrictions</t>
        </is>
      </c>
      <c r="B61" s="13" t="n"/>
    </row>
    <row r="62">
      <c r="A62" s="3" t="inlineStr">
        <is>
          <t>☐ Other (describe):</t>
        </is>
      </c>
      <c r="B62" s="13" t="n"/>
    </row>
    <row r="63">
      <c r="A63" s="3" t="inlineStr">
        <is>
          <t>Remediation actions required:</t>
        </is>
      </c>
      <c r="B63" s="13" t="n"/>
    </row>
    <row r="64">
      <c r="A64" s="3" t="inlineStr">
        <is>
          <t>Responsible person:</t>
        </is>
      </c>
      <c r="B64" s="13" t="n"/>
    </row>
    <row r="65">
      <c r="A65" s="3" t="inlineStr">
        <is>
          <t>Target completion date:</t>
        </is>
      </c>
      <c r="B65" s="13" t="n"/>
    </row>
    <row r="66">
      <c r="A66" s="3" t="inlineStr">
        <is>
          <t>Budget required:</t>
        </is>
      </c>
      <c r="B66" s="13" t="n"/>
    </row>
    <row r="68">
      <c r="A68" s="14" t="inlineStr">
        <is>
          <t>ADDITIONAL NOTES / COMMENTS</t>
        </is>
      </c>
    </row>
    <row r="69">
      <c r="A69" s="17" t="n"/>
    </row>
    <row r="70"/>
    <row r="71"/>
    <row r="72"/>
    <row r="73"/>
    <row r="74"/>
  </sheetData>
  <mergeCells count="22">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4" showDropDown="0" showInputMessage="0" showErrorMessage="0" allowBlank="0" type="list">
      <formula1>"Yes,No"</formula1>
    </dataValidation>
    <dataValidation sqref="B35" showDropDown="0" showInputMessage="0" showErrorMessage="0" allowBlank="0" type="list">
      <formula1>"Yes,No,Planned"</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C49" showDropDown="0" showInputMessage="0" showErrorMessage="0" allowBlank="0" type="list">
      <formula1>"Yes,No,N/A"</formula1>
    </dataValidation>
    <dataValidation sqref="C50" showDropDown="0" showInputMessage="0" showErrorMessage="0" allowBlank="0" type="list">
      <formula1>"Yes,No,N/A"</formula1>
    </dataValidation>
    <dataValidation sqref="B54" showDropDown="0" showInputMessage="0" showErrorMessage="0" allowBlank="0" type="list">
      <formula1>"Yes,No"</formula1>
    </dataValidation>
    <dataValidation sqref="B56" showDropDown="0" showInputMessage="0" showErrorMessage="0" allowBlank="0" type="list">
      <formula1>"Yes,No"</formula1>
    </dataValidation>
    <dataValidation sqref="B66" showDropDown="0" showInputMessage="0" showErrorMessage="0" allowBlank="0" type="list">
      <formula1>"Yes,No,Unknown"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35" customWidth="1" min="1" max="1"/>
    <col width="18" customWidth="1" min="2" max="2"/>
    <col width="18" customWidth="1" min="3" max="3"/>
    <col width="20" customWidth="1" min="4" max="4"/>
    <col width="15" customWidth="1" min="5" max="5"/>
    <col width="30" customWidth="1" min="6" max="6"/>
    <col width="30" customWidth="1" min="7" max="7"/>
    <col width="16" customWidth="1" min="8" max="8"/>
  </cols>
  <sheetData>
    <row r="1" ht="40" customHeight="1">
      <c r="A1" s="1" t="inlineStr">
        <is>
          <t>1.2 HTTPS/TLS - Internal Web Services
Policy Requirement: Internal web services containing sensitive data (Confidential or Restricted classification) MUST use TLS (Policy Section 2.2.1)</t>
        </is>
      </c>
    </row>
    <row r="3" ht="30" customHeight="1">
      <c r="A3" s="11" t="inlineStr">
        <is>
          <t>Does your organisation have internal web services (intranet, internal portals, internal APIs)?</t>
        </is>
      </c>
    </row>
    <row r="4">
      <c r="A4" s="3" t="inlineStr">
        <is>
          <t>Response:</t>
        </is>
      </c>
      <c r="B4" s="4" t="n"/>
    </row>
    <row r="6">
      <c r="A6" s="5" t="inlineStr">
        <is>
          <t>Service Description</t>
        </is>
      </c>
      <c r="B6" s="5" t="inlineStr">
        <is>
          <t>Data Classification</t>
        </is>
      </c>
      <c r="C6" s="5" t="inlineStr">
        <is>
          <t>Current TLS Version</t>
        </is>
      </c>
      <c r="D6" s="5" t="inlineStr">
        <is>
          <t>Certificate Type</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Number of internal web services:</t>
        </is>
      </c>
      <c r="B33" s="13" t="n"/>
    </row>
    <row r="34">
      <c r="A34" s="3" t="inlineStr">
        <is>
          <t>Data classification(s) handled:</t>
        </is>
      </c>
      <c r="B34" s="13" t="n"/>
    </row>
    <row r="35">
      <c r="A35" s="3" t="inlineStr">
        <is>
          <t>Internal CA in use:</t>
        </is>
      </c>
      <c r="B35" s="13" t="n"/>
    </row>
    <row r="36">
      <c r="A36" s="3" t="inlineStr">
        <is>
          <t>Certificate management process documented:</t>
        </is>
      </c>
      <c r="B36" s="13" t="n"/>
    </row>
    <row r="38">
      <c r="A38" s="14" t="inlineStr">
        <is>
          <t>COMPLIANCE CHECKLIST</t>
        </is>
      </c>
    </row>
    <row r="39">
      <c r="A39" s="3" t="inlineStr">
        <is>
          <t>☐</t>
        </is>
      </c>
      <c r="B39" s="3" t="inlineStr">
        <is>
          <t>Requirement</t>
        </is>
      </c>
      <c r="C39" s="3" t="inlineStr">
        <is>
          <t>Status</t>
        </is>
      </c>
    </row>
    <row r="40">
      <c r="A40" t="inlineStr">
        <is>
          <t>☐</t>
        </is>
      </c>
      <c r="B40" t="inlineStr">
        <is>
          <t>TLS 1.2+ for services with Confidential/Restricted data</t>
        </is>
      </c>
      <c r="C40" s="4" t="n"/>
    </row>
    <row r="41">
      <c r="A41" t="inlineStr">
        <is>
          <t>☐</t>
        </is>
      </c>
      <c r="B41" t="inlineStr">
        <is>
          <t>Valid certificates (internal CA acceptable)</t>
        </is>
      </c>
      <c r="C41" s="4" t="n"/>
    </row>
    <row r="42">
      <c r="A42" t="inlineStr">
        <is>
          <t>☐</t>
        </is>
      </c>
      <c r="B42" t="inlineStr">
        <is>
          <t>Services with non-sensitive data: Risk assessed and documented</t>
        </is>
      </c>
      <c r="C42" s="4" t="n"/>
    </row>
    <row r="43">
      <c r="A43" t="inlineStr">
        <is>
          <t>☐</t>
        </is>
      </c>
      <c r="B43" t="inlineStr">
        <is>
          <t>Certificate inventory maintained</t>
        </is>
      </c>
      <c r="C43" s="4" t="n"/>
    </row>
    <row r="44">
      <c r="A44" t="inlineStr">
        <is>
          <t>☐</t>
        </is>
      </c>
      <c r="B44" t="inlineStr">
        <is>
          <t>Certificate expiration monitoring configured</t>
        </is>
      </c>
      <c r="C44" s="4" t="n"/>
    </row>
    <row r="45">
      <c r="A45" s="3" t="inlineStr">
        <is>
          <t>Checklist Score:</t>
        </is>
      </c>
      <c r="B45" s="15">
        <f>COUNTIF(C40:C44,"Yes")/COUNTA(C40:C44)*100&amp;"%"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4">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"Yes,No"</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6" customWidth="1" min="4" max="4"/>
    <col width="15" customWidth="1" min="5" max="5"/>
    <col width="30" customWidth="1" min="6" max="6"/>
    <col width="30" customWidth="1" min="7" max="7"/>
    <col width="16" customWidth="1" min="8" max="8"/>
  </cols>
  <sheetData>
    <row r="1" ht="40" customHeight="1">
      <c r="A1" s="1" t="inlineStr">
        <is>
          <t>2.1 Email Encryption
Policy Requirement: Emails containing classified information (Confidential or Restricted) MUST be encrypted when sent externally (Policy Section 2.2.2)</t>
        </is>
      </c>
    </row>
    <row r="3" ht="30" customHeight="1">
      <c r="A3" s="11" t="inlineStr">
        <is>
          <t>Does your organisation send emails containing classified information to external parties?</t>
        </is>
      </c>
    </row>
    <row r="4">
      <c r="A4" s="3" t="inlineStr">
        <is>
          <t>Response:</t>
        </is>
      </c>
      <c r="B4" s="4" t="n"/>
    </row>
    <row r="6">
      <c r="A6" s="5" t="inlineStr">
        <is>
          <t>Email System</t>
        </is>
      </c>
      <c r="B6" s="5" t="inlineStr">
        <is>
          <t>Encryption Solution</t>
        </is>
      </c>
      <c r="C6" s="5" t="inlineStr">
        <is>
          <t>Encryption Method</t>
        </is>
      </c>
      <c r="D6" s="5" t="inlineStr">
        <is>
          <t>User Adoption Rate</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Encryption solution in use:</t>
        </is>
      </c>
      <c r="B33" s="13" t="n"/>
    </row>
    <row r="34">
      <c r="A34" s="3" t="inlineStr">
        <is>
          <t>PKI infrastructure for email:</t>
        </is>
      </c>
      <c r="B34" s="13" t="n"/>
    </row>
    <row r="35">
      <c r="A35" s="3" t="inlineStr">
        <is>
          <t>User training provided:</t>
        </is>
      </c>
      <c r="B35" s="13" t="n"/>
    </row>
    <row r="36">
      <c r="A36" s="3" t="inlineStr">
        <is>
          <t>Encryption enforced via policy/DLP:</t>
        </is>
      </c>
      <c r="B36" s="13" t="n"/>
    </row>
    <row r="38">
      <c r="A38" s="14" t="inlineStr">
        <is>
          <t>COMPLIANCE CHECKLIST</t>
        </is>
      </c>
    </row>
    <row r="39">
      <c r="A39" s="3" t="inlineStr">
        <is>
          <t>☐</t>
        </is>
      </c>
      <c r="B39" s="3" t="inlineStr">
        <is>
          <t>Requirement</t>
        </is>
      </c>
      <c r="C39" s="3" t="inlineStr">
        <is>
          <t>Status</t>
        </is>
      </c>
    </row>
    <row r="40">
      <c r="A40" t="inlineStr">
        <is>
          <t>☐</t>
        </is>
      </c>
      <c r="B40" t="inlineStr">
        <is>
          <t>S/MIME or PGP/GPG encryption available</t>
        </is>
      </c>
      <c r="C40" s="4" t="n"/>
    </row>
    <row r="41">
      <c r="A41" t="inlineStr">
        <is>
          <t>☐</t>
        </is>
      </c>
      <c r="B41" t="inlineStr">
        <is>
          <t>Users trained on when/how to encrypt sensitive emails</t>
        </is>
      </c>
      <c r="C41" s="4" t="n"/>
    </row>
    <row r="42">
      <c r="A42" t="inlineStr">
        <is>
          <t>☐</t>
        </is>
      </c>
      <c r="B42" t="inlineStr">
        <is>
          <t>PKI infrastructure in place for S/MIME</t>
        </is>
      </c>
      <c r="C42" s="4" t="n"/>
    </row>
    <row r="43">
      <c r="A43" t="inlineStr">
        <is>
          <t>☐</t>
        </is>
      </c>
      <c r="B43" t="inlineStr">
        <is>
          <t>Opportunistic TLS enabled for mail server connections</t>
        </is>
      </c>
      <c r="C43" s="4" t="n"/>
    </row>
    <row r="44">
      <c r="A44" t="inlineStr">
        <is>
          <t>☐</t>
        </is>
      </c>
      <c r="B44" t="inlineStr">
        <is>
          <t>STARTTLS enabled for SMTP</t>
        </is>
      </c>
      <c r="C44" s="4" t="n"/>
    </row>
    <row r="45">
      <c r="A45" s="3" t="inlineStr">
        <is>
          <t>Checklist Score:</t>
        </is>
      </c>
      <c r="B45" s="15">
        <f>COUNTIF(C40:C44,"Yes")/COUNTA(C40:C44)*100&amp;"%"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"S/MIME,PGP/GPG,TLS-only,Other"</formula1>
    </dataValidation>
    <dataValidation sqref="B34" showDropDown="0" showInputMessage="0" showErrorMessage="0" allowBlank="0" type="list">
      <formula1>"Implemented,Planned,Not implemented"</formula1>
    </dataValidation>
    <dataValidation sqref="B35" showDropDown="0" showInputMessage="0" showErrorMessage="0" allowBlank="0" type="list">
      <formula1>"Yes,No"</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5"/>
  <sheetViews>
    <sheetView workbookViewId="0">
      <pane ySplit="6" topLeftCell="A7" activePane="bottomLeft" state="frozen"/>
      <selection pane="bottomLeft" activeCell="A1" sqref="A1"/>
    </sheetView>
  </sheetViews>
  <sheetFormatPr baseColWidth="8" defaultRowHeight="15"/>
  <cols>
    <col width="30" customWidth="1" min="1" max="1"/>
    <col width="20" customWidth="1" min="2" max="2"/>
    <col width="22" customWidth="1" min="3" max="3"/>
    <col width="15" customWidth="1" min="4" max="4"/>
    <col width="30" customWidth="1" min="5" max="5"/>
    <col width="30" customWidth="1" min="6" max="6"/>
    <col width="16" customWidth="1" min="7" max="7"/>
  </cols>
  <sheetData>
    <row r="1" ht="40" customHeight="1">
      <c r="A1" s="1" t="inlineStr">
        <is>
          <t>2.2 Digital Signatures
Policy Requirement: Digital signatures RECOMMENDED for all external emails, REQUIRED for legal/financial/official communications (Policy Section 2.2.2)</t>
        </is>
      </c>
    </row>
    <row r="3" ht="30" customHeight="1">
      <c r="A3" s="11" t="inlineStr">
        <is>
          <t>Does your organisation use digital signatures for email?</t>
        </is>
      </c>
    </row>
    <row r="4">
      <c r="A4" s="3" t="inlineStr">
        <is>
          <t>Response:</t>
        </is>
      </c>
      <c r="B4" s="4" t="n"/>
    </row>
    <row r="6">
      <c r="A6" s="5" t="inlineStr">
        <is>
          <t>Use Case</t>
        </is>
      </c>
      <c r="B6" s="5" t="inlineStr">
        <is>
          <t>Signature Method</t>
        </is>
      </c>
      <c r="C6" s="5" t="inlineStr">
        <is>
          <t>Certificate Source</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Digital signatures used for:</t>
        </is>
      </c>
      <c r="B33" s="13" t="n"/>
    </row>
    <row r="34">
      <c r="A34" s="3" t="inlineStr">
        <is>
          <t>Certificate source:</t>
        </is>
      </c>
      <c r="B34" s="13" t="n"/>
    </row>
    <row r="36">
      <c r="A36" s="14" t="inlineStr">
        <is>
          <t>COMPLIANCE CHECKLIST</t>
        </is>
      </c>
    </row>
    <row r="37">
      <c r="A37" s="3" t="inlineStr">
        <is>
          <t>☐</t>
        </is>
      </c>
      <c r="B37" s="3" t="inlineStr">
        <is>
          <t>Requirement</t>
        </is>
      </c>
      <c r="C37" s="3" t="inlineStr">
        <is>
          <t>Status</t>
        </is>
      </c>
    </row>
    <row r="38">
      <c r="A38" t="inlineStr">
        <is>
          <t>☐</t>
        </is>
      </c>
      <c r="B38" t="inlineStr">
        <is>
          <t>Digital signatures available for required use cases</t>
        </is>
      </c>
      <c r="C38" s="4" t="n"/>
    </row>
    <row r="39">
      <c r="A39" t="inlineStr">
        <is>
          <t>☐</t>
        </is>
      </c>
      <c r="B39" t="inlineStr">
        <is>
          <t>Email certificates issued from trusted CA or internal PKI</t>
        </is>
      </c>
      <c r="C39" s="4" t="n"/>
    </row>
    <row r="40">
      <c r="A40" t="inlineStr">
        <is>
          <t>☐</t>
        </is>
      </c>
      <c r="B40" t="inlineStr">
        <is>
          <t>Certificate validity ≤ 1 year</t>
        </is>
      </c>
      <c r="C40" s="4" t="n"/>
    </row>
    <row r="41">
      <c r="A41" t="inlineStr">
        <is>
          <t>☐</t>
        </is>
      </c>
      <c r="B41" t="inlineStr">
        <is>
          <t>Users trained on digital signature usage</t>
        </is>
      </c>
      <c r="C41" s="4" t="n"/>
    </row>
    <row r="42">
      <c r="A42" s="3" t="inlineStr">
        <is>
          <t>Checklist Score:</t>
        </is>
      </c>
      <c r="B42" s="15">
        <f>COUNTIF(C38:C41,"Yes")/COUNTA(C38:C41)*100&amp;"%"</f>
        <v/>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Network segmentation / firewall restrictions</t>
        </is>
      </c>
      <c r="B50" s="13" t="n"/>
    </row>
    <row r="51">
      <c r="A51" s="3" t="inlineStr">
        <is>
          <t>☐ Enhanced monitoring / alerting</t>
        </is>
      </c>
      <c r="B51" s="13" t="n"/>
    </row>
    <row r="52">
      <c r="A52" s="3" t="inlineStr">
        <is>
          <t>☐ IP allowlisting / access restrictions</t>
        </is>
      </c>
      <c r="B52" s="13" t="n"/>
    </row>
    <row r="53">
      <c r="A53" s="3" t="inlineStr">
        <is>
          <t>☐ Other (describe):</t>
        </is>
      </c>
      <c r="B53" s="13" t="n"/>
    </row>
    <row r="54">
      <c r="A54" s="3" t="inlineStr">
        <is>
          <t>Remediation actions required:</t>
        </is>
      </c>
      <c r="B54" s="13" t="n"/>
    </row>
    <row r="55">
      <c r="A55" s="3" t="inlineStr">
        <is>
          <t>Responsible person:</t>
        </is>
      </c>
      <c r="B55" s="13" t="n"/>
    </row>
    <row r="56">
      <c r="A56" s="3" t="inlineStr">
        <is>
          <t>Target completion date:</t>
        </is>
      </c>
      <c r="B56" s="13" t="n"/>
    </row>
    <row r="57">
      <c r="A57" s="3" t="inlineStr">
        <is>
          <t>Budget required:</t>
        </is>
      </c>
      <c r="B57" s="13" t="n"/>
    </row>
    <row r="59">
      <c r="A59" s="14" t="inlineStr">
        <is>
          <t>ADDITIONAL NOTES / COMMENTS</t>
        </is>
      </c>
    </row>
    <row r="60">
      <c r="A60" s="17" t="n"/>
    </row>
    <row r="61"/>
    <row r="62"/>
    <row r="63"/>
    <row r="64"/>
    <row r="65"/>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"All emails,Legal docs only,Executives only,Not used"</formula1>
    </dataValidation>
    <dataValidation sqref="B34" showDropDown="0" showInputMessage="0" showErrorMessage="0" allowBlank="0" type="list">
      <formula1>"Public CA,Internal PKI,Both"</formula1>
    </dataValidation>
    <dataValidation sqref="C38" showDropDown="0" showInputMessage="0" showErrorMessage="0" allowBlank="0" type="list">
      <formula1>"Yes,No,N/A"</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B45" showDropDown="0" showInputMessage="0" showErrorMessage="0" allowBlank="0" type="list">
      <formula1>"Yes,No"</formula1>
    </dataValidation>
    <dataValidation sqref="B47" showDropDown="0" showInputMessage="0" showErrorMessage="0" allowBlank="0" type="list">
      <formula1>"Yes,No"</formula1>
    </dataValidation>
    <dataValidation sqref="B57" showDropDown="0" showInputMessage="0" showErrorMessage="0" allowBlank="0" type="list">
      <formula1>"Yes,No,Unknown"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2" customWidth="1" min="3" max="3"/>
    <col width="18" customWidth="1" min="4" max="4"/>
    <col width="15" customWidth="1" min="5" max="5"/>
    <col width="30" customWidth="1" min="6" max="6"/>
    <col width="30" customWidth="1" min="7" max="7"/>
    <col width="16" customWidth="1" min="8" max="8"/>
  </cols>
  <sheetData>
    <row r="1" ht="40" customHeight="1">
      <c r="A1" s="1" t="inlineStr">
        <is>
          <t>3.1 Secure File Transfer
Policy Requirement: File transfers containing sensitive data MUST use encrypted protocols (SFTP, FTPS, HTTPS). Unencrypted FTP is PROHIBITED (Policy Section 2.2.3)</t>
        </is>
      </c>
    </row>
    <row r="3" ht="30" customHeight="1">
      <c r="A3" s="11" t="inlineStr">
        <is>
          <t>Does your organisation transfer files containing sensitive data to/from external parties or between systems?</t>
        </is>
      </c>
    </row>
    <row r="4">
      <c r="A4" s="3" t="inlineStr">
        <is>
          <t>Response:</t>
        </is>
      </c>
      <c r="B4" s="4" t="n"/>
    </row>
    <row r="6">
      <c r="A6" s="5" t="inlineStr">
        <is>
          <t>Transfer Method/System</t>
        </is>
      </c>
      <c r="B6" s="5" t="inlineStr">
        <is>
          <t>Protocol Used</t>
        </is>
      </c>
      <c r="C6" s="5" t="inlineStr">
        <is>
          <t>Authentication Method</t>
        </is>
      </c>
      <c r="D6" s="5" t="inlineStr">
        <is>
          <t>Data Classification</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Approved protocols in use:</t>
        </is>
      </c>
      <c r="B33" s="13" t="n"/>
    </row>
    <row r="34">
      <c r="A34" s="3" t="inlineStr">
        <is>
          <t>Prohibited protocols detected:</t>
        </is>
      </c>
      <c r="B34" s="13" t="n"/>
    </row>
    <row r="35">
      <c r="A35" s="3" t="inlineStr">
        <is>
          <t>Authentication:</t>
        </is>
      </c>
      <c r="B35" s="13" t="n"/>
    </row>
    <row r="37">
      <c r="A37" s="14" t="inlineStr">
        <is>
          <t>COMPLIANCE CHECKLIST</t>
        </is>
      </c>
    </row>
    <row r="38">
      <c r="A38" s="3" t="inlineStr">
        <is>
          <t>☐</t>
        </is>
      </c>
      <c r="B38" s="3" t="inlineStr">
        <is>
          <t>Requirement</t>
        </is>
      </c>
      <c r="C38" s="3" t="inlineStr">
        <is>
          <t>Status</t>
        </is>
      </c>
    </row>
    <row r="39">
      <c r="A39" t="inlineStr">
        <is>
          <t>☐</t>
        </is>
      </c>
      <c r="B39" t="inlineStr">
        <is>
          <t>SFTP, FTPS, or HTTPS used for sensitive file transfers</t>
        </is>
      </c>
      <c r="C39" s="4" t="n"/>
    </row>
    <row r="40">
      <c r="A40" t="inlineStr">
        <is>
          <t>☐</t>
        </is>
      </c>
      <c r="B40" t="inlineStr">
        <is>
          <t>Plain FTP NOT used for sensitive data</t>
        </is>
      </c>
      <c r="C40" s="4" t="n"/>
    </row>
    <row r="41">
      <c r="A41" t="inlineStr">
        <is>
          <t>☐</t>
        </is>
      </c>
      <c r="B41" t="inlineStr">
        <is>
          <t>Strong authentication configured (key-based preferred)</t>
        </is>
      </c>
      <c r="C41" s="4" t="n"/>
    </row>
    <row r="42">
      <c r="A42" t="inlineStr">
        <is>
          <t>☐</t>
        </is>
      </c>
      <c r="B42" t="inlineStr">
        <is>
          <t>MFA required for external file transfer</t>
        </is>
      </c>
      <c r="C42" s="4" t="n"/>
    </row>
    <row r="43">
      <c r="A43" t="inlineStr">
        <is>
          <t>☐</t>
        </is>
      </c>
      <c r="B43" t="inlineStr">
        <is>
          <t>File transfer logging enabled</t>
        </is>
      </c>
      <c r="C43" s="4" t="n"/>
    </row>
    <row r="44">
      <c r="A44" t="inlineStr">
        <is>
          <t>☐</t>
        </is>
      </c>
      <c r="B44" t="inlineStr">
        <is>
          <t>SSH keys rotated annually (if SFTP used)</t>
        </is>
      </c>
      <c r="C44" s="4" t="n"/>
    </row>
    <row r="45">
      <c r="A45" s="3" t="inlineStr">
        <is>
          <t>Checklist Score:</t>
        </is>
      </c>
      <c r="B45" s="15">
        <f>COUNTIF(C39:C44,"Yes")/COUNTA(C39:C44)*100&amp;"%"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1">
    <mergeCell ref="B60:D60"/>
    <mergeCell ref="B57:D57"/>
    <mergeCell ref="B53:D53"/>
    <mergeCell ref="A1:H1"/>
    <mergeCell ref="B34:D34"/>
    <mergeCell ref="B49:D49"/>
    <mergeCell ref="B55:D55"/>
    <mergeCell ref="B51:D51"/>
    <mergeCell ref="B33:D33"/>
    <mergeCell ref="A3:H3"/>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"SFTP,FTPS,HTTPS,SCP,Other"</formula1>
    </dataValidation>
    <dataValidation sqref="B34" showDropDown="0" showInputMessage="0" showErrorMessage="0" allowBlank="0" type="list">
      <formula1>"FTP,TFTP,None"</formula1>
    </dataValidation>
    <dataValidation sqref="B35" showDropDown="0" showInputMessage="0" showErrorMessage="0" allowBlank="0" type="list">
      <formula1>"Password,Key-based,MFA,Certificate"</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
  <sheetViews>
    <sheetView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4" customWidth="1" min="4" max="4"/>
    <col width="15" customWidth="1" min="5" max="5"/>
    <col width="30" customWidth="1" min="6" max="6"/>
    <col width="30" customWidth="1" min="7" max="7"/>
    <col width="16" customWidth="1" min="8" max="8"/>
  </cols>
  <sheetData>
    <row r="1" ht="40" customHeight="1">
      <c r="A1" s="1" t="inlineStr">
        <is>
          <t>4.1 VPN (Virtual Private Network)
Policy Requirement: All remote access to organizational networks MUST use encrypted VPN with approved protocols (IPsec, WireGuard, OpenVPN). MFA REQUIRED (Policy Section 2.2.4)</t>
        </is>
      </c>
    </row>
    <row r="3" ht="30" customHeight="1">
      <c r="A3" s="11" t="inlineStr">
        <is>
          <t>Does your organisation provide remote access via VPN?</t>
        </is>
      </c>
    </row>
    <row r="4">
      <c r="A4" s="3" t="inlineStr">
        <is>
          <t>Response:</t>
        </is>
      </c>
      <c r="B4" s="4" t="n"/>
    </row>
    <row r="6">
      <c r="A6" s="5" t="inlineStr">
        <is>
          <t>VPN Solution</t>
        </is>
      </c>
      <c r="B6" s="5" t="inlineStr">
        <is>
          <t>Protocol</t>
        </is>
      </c>
      <c r="C6" s="5" t="inlineStr">
        <is>
          <t>Encryption Algorithm</t>
        </is>
      </c>
      <c r="D6" s="5" t="inlineStr">
        <is>
          <t>MFA Enabled</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VPN protocol in use:</t>
        </is>
      </c>
      <c r="B33" s="13" t="n"/>
    </row>
    <row r="34">
      <c r="A34" s="3" t="inlineStr">
        <is>
          <t>Encryption algorithm:</t>
        </is>
      </c>
      <c r="B34" s="13" t="n"/>
    </row>
    <row r="35">
      <c r="A35" s="3" t="inlineStr">
        <is>
          <t>Number of VPN users:</t>
        </is>
      </c>
      <c r="B35" s="13" t="n"/>
    </row>
    <row r="36">
      <c r="A36" s="3" t="inlineStr">
        <is>
          <t>MFA solution:</t>
        </is>
      </c>
      <c r="B36" s="13" t="n"/>
    </row>
    <row r="37">
      <c r="A37" s="3" t="inlineStr">
        <is>
          <t>Split-tunneling:</t>
        </is>
      </c>
      <c r="B37" s="13" t="n"/>
    </row>
    <row r="39">
      <c r="A39" s="14" t="inlineStr">
        <is>
          <t>COMPLIANCE CHECKLIST</t>
        </is>
      </c>
    </row>
    <row r="40">
      <c r="A40" s="3" t="inlineStr">
        <is>
          <t>☐</t>
        </is>
      </c>
      <c r="B40" s="3" t="inlineStr">
        <is>
          <t>Requirement</t>
        </is>
      </c>
      <c r="C40" s="3" t="inlineStr">
        <is>
          <t>Status</t>
        </is>
      </c>
    </row>
    <row r="41">
      <c r="A41" t="inlineStr">
        <is>
          <t>☐</t>
        </is>
      </c>
      <c r="B41" t="inlineStr">
        <is>
          <t>Approved VPN protocol (IPsec/IKEv2, WireGuard, OpenVPN with TLS 1.2+)</t>
        </is>
      </c>
      <c r="C41" s="4" t="n"/>
    </row>
    <row r="42">
      <c r="A42" t="inlineStr">
        <is>
          <t>☐</t>
        </is>
      </c>
      <c r="B42" t="inlineStr">
        <is>
          <t>AES-256 or ChaCha20 encryption</t>
        </is>
      </c>
      <c r="C42" s="4" t="n"/>
    </row>
    <row r="43">
      <c r="A43" t="inlineStr">
        <is>
          <t>☐</t>
        </is>
      </c>
      <c r="B43" t="inlineStr">
        <is>
          <t>Perfect Forward Secrecy (PFS) enabled</t>
        </is>
      </c>
      <c r="C43" s="4" t="n"/>
    </row>
    <row r="44">
      <c r="A44" t="inlineStr">
        <is>
          <t>☐</t>
        </is>
      </c>
      <c r="B44" t="inlineStr">
        <is>
          <t>MFA required for all VPN connections</t>
        </is>
      </c>
      <c r="C44" s="4" t="n"/>
    </row>
    <row r="45">
      <c r="A45" t="inlineStr">
        <is>
          <t>☐</t>
        </is>
      </c>
      <c r="B45" t="inlineStr">
        <is>
          <t>Certificate-based authentication (preferred) OR strong pre-shared key</t>
        </is>
      </c>
      <c r="C45" s="4" t="n"/>
    </row>
    <row r="46">
      <c r="A46" t="inlineStr">
        <is>
          <t>☐</t>
        </is>
      </c>
      <c r="B46" t="inlineStr">
        <is>
          <t>VPN session timeout configured (≤30 minutes idle)</t>
        </is>
      </c>
      <c r="C46" s="4" t="n"/>
    </row>
    <row r="47">
      <c r="A47" t="inlineStr">
        <is>
          <t>☐</t>
        </is>
      </c>
      <c r="B47" t="inlineStr">
        <is>
          <t>Split-tunneling disabled (or documented exception)</t>
        </is>
      </c>
      <c r="C47" s="4" t="n"/>
    </row>
    <row r="48">
      <c r="A48" t="inlineStr">
        <is>
          <t>☐</t>
        </is>
      </c>
      <c r="B48" t="inlineStr">
        <is>
          <t>VPN access logs retained and reviewed</t>
        </is>
      </c>
      <c r="C48" s="4" t="n"/>
    </row>
    <row r="49">
      <c r="A49" s="3" t="inlineStr">
        <is>
          <t>Checklist Score:</t>
        </is>
      </c>
      <c r="B49" s="15">
        <f>COUNTIF(C41:C48,"Yes")/COUNTA(C41:C48)*100&amp;"%"</f>
        <v/>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Network segmentation / firewall restrictions</t>
        </is>
      </c>
      <c r="B57" s="13" t="n"/>
    </row>
    <row r="58">
      <c r="A58" s="3" t="inlineStr">
        <is>
          <t>☐ Enhanced monitoring / alerting</t>
        </is>
      </c>
      <c r="B58" s="13" t="n"/>
    </row>
    <row r="59">
      <c r="A59" s="3" t="inlineStr">
        <is>
          <t>☐ IP allowlisting / access restrictions</t>
        </is>
      </c>
      <c r="B59" s="13" t="n"/>
    </row>
    <row r="60">
      <c r="A60" s="3" t="inlineStr">
        <is>
          <t>☐ Other (describe):</t>
        </is>
      </c>
      <c r="B60" s="13" t="n"/>
    </row>
    <row r="61">
      <c r="A61" s="3" t="inlineStr">
        <is>
          <t>Remediation actions required:</t>
        </is>
      </c>
      <c r="B61" s="13" t="n"/>
    </row>
    <row r="62">
      <c r="A62" s="3" t="inlineStr">
        <is>
          <t>Responsible person:</t>
        </is>
      </c>
      <c r="B62" s="13" t="n"/>
    </row>
    <row r="63">
      <c r="A63" s="3" t="inlineStr">
        <is>
          <t>Target completion date:</t>
        </is>
      </c>
      <c r="B63" s="13" t="n"/>
    </row>
    <row r="64">
      <c r="A64" s="3" t="inlineStr">
        <is>
          <t>Budget required:</t>
        </is>
      </c>
      <c r="B64" s="13" t="n"/>
    </row>
    <row r="66">
      <c r="A66" s="14" t="inlineStr">
        <is>
          <t>ADDITIONAL NOTES / COMMENTS</t>
        </is>
      </c>
    </row>
    <row r="67">
      <c r="A67" s="17" t="n"/>
    </row>
    <row r="68"/>
    <row r="69"/>
    <row r="70"/>
    <row r="71"/>
    <row r="72"/>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7">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"IPsec/IKEv2,WireGuard,OpenVPN,Other"</formula1>
    </dataValidation>
    <dataValidation sqref="B36" showDropDown="0" showInputMessage="0" showErrorMessage="0" allowBlank="0" type="list">
      <formula1>"TOTP,Push notification,SMS,Hardware token,None"</formula1>
    </dataValidation>
    <dataValidation sqref="B37" showDropDown="0" showInputMessage="0" showErrorMessage="0" allowBlank="0" type="list">
      <formula1>"Disabled,Enabled (with justification)"</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B52" showDropDown="0" showInputMessage="0" showErrorMessage="0" allowBlank="0" type="list">
      <formula1>"Yes,No"</formula1>
    </dataValidation>
    <dataValidation sqref="B54" showDropDown="0" showInputMessage="0" showErrorMessage="0" allowBlank="0" type="list">
      <formula1>"Yes,No"</formula1>
    </dataValidation>
    <dataValidation sqref="B64" showDropDown="0" showInputMessage="0" showErrorMessage="0" allowBlank="0" type="list">
      <formula1>"Yes,No,Unknown"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6" topLeftCell="A7" activePane="bottomLeft" state="frozen"/>
      <selection pane="bottomLeft" activeCell="A1" sqref="A1"/>
    </sheetView>
  </sheetViews>
  <sheetFormatPr baseColWidth="8" defaultRowHeight="15"/>
  <cols>
    <col width="30" customWidth="1" min="1" max="1"/>
    <col width="14" customWidth="1" min="2" max="2"/>
    <col width="22" customWidth="1" min="3" max="3"/>
    <col width="18" customWidth="1" min="4" max="4"/>
    <col width="15" customWidth="1" min="5" max="5"/>
    <col width="30" customWidth="1" min="6" max="6"/>
    <col width="30" customWidth="1" min="7" max="7"/>
    <col width="16" customWidth="1" min="8" max="8"/>
  </cols>
  <sheetData>
    <row r="1" ht="40" customHeight="1">
      <c r="A1" s="1" t="inlineStr">
        <is>
          <t>4.2 SSH (Secure Shell)
Policy Requirement: SSH REQUIRED for all administrative and remote terminal access. SSH protocol version 2 REQUIRED, password authentication SHOULD be disabled (Policy Section 2.2.4)</t>
        </is>
      </c>
    </row>
    <row r="3" ht="30" customHeight="1">
      <c r="A3" s="11" t="inlineStr">
        <is>
          <t>Does your organisation use SSH for remote system administration?</t>
        </is>
      </c>
    </row>
    <row r="4">
      <c r="A4" s="3" t="inlineStr">
        <is>
          <t>Response:</t>
        </is>
      </c>
      <c r="B4" s="4" t="n"/>
    </row>
    <row r="6">
      <c r="A6" s="5" t="inlineStr">
        <is>
          <t>System/Service</t>
        </is>
      </c>
      <c r="B6" s="5" t="inlineStr">
        <is>
          <t>SSH Version</t>
        </is>
      </c>
      <c r="C6" s="5" t="inlineStr">
        <is>
          <t>Authentication Method</t>
        </is>
      </c>
      <c r="D6" s="5" t="inlineStr">
        <is>
          <t>Key Algorithm</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SSH protocol version:</t>
        </is>
      </c>
      <c r="B33" s="13" t="n"/>
    </row>
    <row r="34">
      <c r="A34" s="3" t="inlineStr">
        <is>
          <t>Authentication method:</t>
        </is>
      </c>
      <c r="B34" s="13" t="n"/>
    </row>
    <row r="35">
      <c r="A35" s="3" t="inlineStr">
        <is>
          <t>SSH key types in use:</t>
        </is>
      </c>
      <c r="B35" s="13" t="n"/>
    </row>
    <row r="36">
      <c r="A36" s="3" t="inlineStr">
        <is>
          <t>Root login via SSH:</t>
        </is>
      </c>
      <c r="B36" s="13" t="n"/>
    </row>
    <row r="37">
      <c r="A37" s="3" t="inlineStr">
        <is>
          <t>SSH key rotation schedule:</t>
        </is>
      </c>
      <c r="B37" s="13" t="n"/>
    </row>
    <row r="39">
      <c r="A39" s="14" t="inlineStr">
        <is>
          <t>COMPLIANCE CHECKLIST</t>
        </is>
      </c>
    </row>
    <row r="40">
      <c r="A40" s="3" t="inlineStr">
        <is>
          <t>☐</t>
        </is>
      </c>
      <c r="B40" s="3" t="inlineStr">
        <is>
          <t>Requirement</t>
        </is>
      </c>
      <c r="C40" s="3" t="inlineStr">
        <is>
          <t>Status</t>
        </is>
      </c>
    </row>
    <row r="41">
      <c r="A41" t="inlineStr">
        <is>
          <t>☐</t>
        </is>
      </c>
      <c r="B41" t="inlineStr">
        <is>
          <t>SSH protocol version 2 only (SSHv1 disabled)</t>
        </is>
      </c>
      <c r="C41" s="4" t="n"/>
    </row>
    <row r="42">
      <c r="A42" t="inlineStr">
        <is>
          <t>☐</t>
        </is>
      </c>
      <c r="B42" t="inlineStr">
        <is>
          <t>Key-based authentication (password auth disabled preferred)</t>
        </is>
      </c>
      <c r="C42" s="4" t="n"/>
    </row>
    <row r="43">
      <c r="A43" t="inlineStr">
        <is>
          <t>☐</t>
        </is>
      </c>
      <c r="B43" t="inlineStr">
        <is>
          <t>Minimum key length: RSA 2048-bit or Ed25519</t>
        </is>
      </c>
      <c r="C43" s="4" t="n"/>
    </row>
    <row r="44">
      <c r="A44" t="inlineStr">
        <is>
          <t>☐</t>
        </is>
      </c>
      <c r="B44" t="inlineStr">
        <is>
          <t>Root login disabled</t>
        </is>
      </c>
      <c r="C44" s="4" t="n"/>
    </row>
    <row r="45">
      <c r="A45" t="inlineStr">
        <is>
          <t>☐</t>
        </is>
      </c>
      <c r="B45" t="inlineStr">
        <is>
          <t>SSH keys rotated annually</t>
        </is>
      </c>
      <c r="C45" s="4" t="n"/>
    </row>
    <row r="46">
      <c r="A46" t="inlineStr">
        <is>
          <t>☐</t>
        </is>
      </c>
      <c r="B46" t="inlineStr">
        <is>
          <t>Unused SSH keys removed</t>
        </is>
      </c>
      <c r="C46" s="4" t="n"/>
    </row>
    <row r="47">
      <c r="A47" t="inlineStr">
        <is>
          <t>☐</t>
        </is>
      </c>
      <c r="B47" t="inlineStr">
        <is>
          <t>Strong algorithms configured (per Policy Appendix A)</t>
        </is>
      </c>
      <c r="C47" s="4" t="n"/>
    </row>
    <row r="48">
      <c r="A48" t="inlineStr">
        <is>
          <t>☐</t>
        </is>
      </c>
      <c r="B48" t="inlineStr">
        <is>
          <t>Weak algorithms disabled (DSA, MD5, SHA-1)</t>
        </is>
      </c>
      <c r="C48" s="4" t="n"/>
    </row>
    <row r="49">
      <c r="A49" s="3" t="inlineStr">
        <is>
          <t>Checklist Score:</t>
        </is>
      </c>
      <c r="B49" s="15">
        <f>COUNTIF(C41:C48,"Yes")/COUNTA(C41:C48)*100&amp;"%"</f>
        <v/>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Network segmentation / firewall restrictions</t>
        </is>
      </c>
      <c r="B57" s="13" t="n"/>
    </row>
    <row r="58">
      <c r="A58" s="3" t="inlineStr">
        <is>
          <t>☐ Enhanced monitoring / alerting</t>
        </is>
      </c>
      <c r="B58" s="13" t="n"/>
    </row>
    <row r="59">
      <c r="A59" s="3" t="inlineStr">
        <is>
          <t>☐ IP allowlisting / access restrictions</t>
        </is>
      </c>
      <c r="B59" s="13" t="n"/>
    </row>
    <row r="60">
      <c r="A60" s="3" t="inlineStr">
        <is>
          <t>☐ Other (describe):</t>
        </is>
      </c>
      <c r="B60" s="13" t="n"/>
    </row>
    <row r="61">
      <c r="A61" s="3" t="inlineStr">
        <is>
          <t>Remediation actions required:</t>
        </is>
      </c>
      <c r="B61" s="13" t="n"/>
    </row>
    <row r="62">
      <c r="A62" s="3" t="inlineStr">
        <is>
          <t>Responsible person:</t>
        </is>
      </c>
      <c r="B62" s="13" t="n"/>
    </row>
    <row r="63">
      <c r="A63" s="3" t="inlineStr">
        <is>
          <t>Target completion date:</t>
        </is>
      </c>
      <c r="B63" s="13" t="n"/>
    </row>
    <row r="64">
      <c r="A64" s="3" t="inlineStr">
        <is>
          <t>Budget required:</t>
        </is>
      </c>
      <c r="B64" s="13" t="n"/>
    </row>
    <row r="66">
      <c r="A66" s="14" t="inlineStr">
        <is>
          <t>ADDITIONAL NOTES / COMMENTS</t>
        </is>
      </c>
    </row>
    <row r="67">
      <c r="A67" s="17" t="n"/>
    </row>
    <row r="68"/>
    <row r="69"/>
    <row r="70"/>
    <row r="71"/>
    <row r="72"/>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9">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"SSHv2 only,SSHv1 (legacy - prohibited)"</formula1>
    </dataValidation>
    <dataValidation sqref="B34" showDropDown="0" showInputMessage="0" showErrorMessage="0" allowBlank="0" type="list">
      <formula1>"Key-based only,Password allowed,Both"</formula1>
    </dataValidation>
    <dataValidation sqref="B35" showDropDown="0" showInputMessage="0" showErrorMessage="0" allowBlank="0" type="list">
      <formula1>"Ed25519,RSA 3072+,RSA 2048,ECDSA,Other"</formula1>
    </dataValidation>
    <dataValidation sqref="B36" showDropDown="0" showInputMessage="0" showErrorMessage="0" allowBlank="0" type="list">
      <formula1>"Disabled,Enabled"</formula1>
    </dataValidation>
    <dataValidation sqref="B37" showDropDown="0" showInputMessage="0" showErrorMessage="0" allowBlank="0" type="list">
      <formula1>"Annual,On personnel change,No rotation"</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B52" showDropDown="0" showInputMessage="0" showErrorMessage="0" allowBlank="0" type="list">
      <formula1>"Yes,No"</formula1>
    </dataValidation>
    <dataValidation sqref="B54" showDropDown="0" showInputMessage="0" showErrorMessage="0" allowBlank="0" type="list">
      <formula1>"Yes,No"</formula1>
    </dataValidation>
    <dataValidation sqref="B64" showDropDown="0" showInputMessage="0" showErrorMessage="0" allowBlank="0"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9"/>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6" customWidth="1" min="3" max="3"/>
    <col width="14" customWidth="1" min="4" max="4"/>
    <col width="15" customWidth="1" min="5" max="5"/>
    <col width="30" customWidth="1" min="6" max="6"/>
    <col width="30" customWidth="1" min="7" max="7"/>
    <col width="16" customWidth="1" min="8" max="8"/>
  </cols>
  <sheetData>
    <row r="1" ht="40" customHeight="1">
      <c r="A1" s="1" t="inlineStr">
        <is>
          <t>4.3 RDP (Remote Desktop Protocol)
Policy Requirement: RDP connections MUST be encrypted using TLS. RDP MUST NOT be directly exposed to the Internet (Policy Section 2.2.4)</t>
        </is>
      </c>
    </row>
    <row r="3" ht="30" customHeight="1">
      <c r="A3" s="11" t="inlineStr">
        <is>
          <t>Does your organisation use RDP for remote access?</t>
        </is>
      </c>
    </row>
    <row r="4">
      <c r="A4" s="3" t="inlineStr">
        <is>
          <t>Response:</t>
        </is>
      </c>
      <c r="B4" s="4" t="n"/>
    </row>
    <row r="6">
      <c r="A6" s="5" t="inlineStr">
        <is>
          <t>System/Environment</t>
        </is>
      </c>
      <c r="B6" s="5" t="inlineStr">
        <is>
          <t>RDP Access Method</t>
        </is>
      </c>
      <c r="C6" s="5" t="inlineStr">
        <is>
          <t>TLS Encryption</t>
        </is>
      </c>
      <c r="D6" s="5" t="inlineStr">
        <is>
          <t>NLA Enabled</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RDP access method:</t>
        </is>
      </c>
      <c r="B33" s="13" t="n"/>
    </row>
    <row r="34">
      <c r="A34" s="3" t="inlineStr">
        <is>
          <t>Network Level Authentication (NLA):</t>
        </is>
      </c>
      <c r="B34" s="13" t="n"/>
    </row>
    <row r="35">
      <c r="A35" s="3" t="inlineStr">
        <is>
          <t>MFA for RDP:</t>
        </is>
      </c>
      <c r="B35" s="13" t="n"/>
    </row>
    <row r="36">
      <c r="A36" s="3" t="inlineStr">
        <is>
          <t>RDP encryption level:</t>
        </is>
      </c>
      <c r="B36" s="13" t="n"/>
    </row>
    <row r="38">
      <c r="A38" s="14" t="inlineStr">
        <is>
          <t>COMPLIANCE CHECKLIST</t>
        </is>
      </c>
    </row>
    <row r="39">
      <c r="A39" s="3" t="inlineStr">
        <is>
          <t>☐</t>
        </is>
      </c>
      <c r="B39" s="3" t="inlineStr">
        <is>
          <t>Requirement</t>
        </is>
      </c>
      <c r="C39" s="3" t="inlineStr">
        <is>
          <t>Status</t>
        </is>
      </c>
    </row>
    <row r="40">
      <c r="A40" t="inlineStr">
        <is>
          <t>☐</t>
        </is>
      </c>
      <c r="B40" t="inlineStr">
        <is>
          <t>RDP accessed through VPN or jump host (NOT directly exposed)</t>
        </is>
      </c>
      <c r="C40" s="4" t="n"/>
    </row>
    <row r="41">
      <c r="A41" t="inlineStr">
        <is>
          <t>☐</t>
        </is>
      </c>
      <c r="B41" t="inlineStr">
        <is>
          <t>TLS encryption configured</t>
        </is>
      </c>
      <c r="C41" s="4" t="n"/>
    </row>
    <row r="42">
      <c r="A42" t="inlineStr">
        <is>
          <t>☐</t>
        </is>
      </c>
      <c r="B42" t="inlineStr">
        <is>
          <t>Network Level Authentication (NLA) enabled</t>
        </is>
      </c>
      <c r="C42" s="4" t="n"/>
    </row>
    <row r="43">
      <c r="A43" t="inlineStr">
        <is>
          <t>☐</t>
        </is>
      </c>
      <c r="B43" t="inlineStr">
        <is>
          <t>RDP encryption level set to 'High'</t>
        </is>
      </c>
      <c r="C43" s="4" t="n"/>
    </row>
    <row r="44">
      <c r="A44" t="inlineStr">
        <is>
          <t>☐</t>
        </is>
      </c>
      <c r="B44" t="inlineStr">
        <is>
          <t>MFA required for production system access</t>
        </is>
      </c>
      <c r="C44" s="4" t="n"/>
    </row>
    <row r="45">
      <c r="A45" t="inlineStr">
        <is>
          <t>☐</t>
        </is>
      </c>
      <c r="B45" t="inlineStr">
        <is>
          <t>RDP session recording (recommended for privileged access)</t>
        </is>
      </c>
      <c r="C45" s="4" t="n"/>
    </row>
    <row r="46">
      <c r="A46" s="3" t="inlineStr">
        <is>
          <t>Checklist Score:</t>
        </is>
      </c>
      <c r="B46" s="15">
        <f>COUNTIF(C40:C45,"Yes")/COUNTA(C40:C45)*100&amp;"%"</f>
        <v/>
      </c>
    </row>
    <row r="48">
      <c r="A48" s="16" t="inlineStr">
        <is>
          <t>EXCEPTION / DEVIATION DOCUMENTATION (Complete if Status = Partial or Non-Compliant)</t>
        </is>
      </c>
    </row>
    <row r="49">
      <c r="A49" s="3" t="inlineStr">
        <is>
          <t>Formal exception request submitted:</t>
        </is>
      </c>
      <c r="B49" s="13" t="n"/>
    </row>
    <row r="50">
      <c r="A50" s="3" t="inlineStr">
        <is>
          <t>Exception ID:</t>
        </is>
      </c>
      <c r="B50" s="13" t="n"/>
    </row>
    <row r="51">
      <c r="A51" s="3" t="inlineStr">
        <is>
          <t>Risk acceptance documented:</t>
        </is>
      </c>
      <c r="B51" s="13" t="n"/>
    </row>
    <row r="52">
      <c r="A52" s="3" t="inlineStr">
        <is>
          <t>Risk ID:</t>
        </is>
      </c>
      <c r="B52" s="13" t="n"/>
    </row>
    <row r="53">
      <c r="A53" s="3" t="inlineStr">
        <is>
          <t>Compensating Controls (summary):</t>
        </is>
      </c>
      <c r="B53" s="13" t="n"/>
    </row>
    <row r="54">
      <c r="A54" s="3" t="inlineStr">
        <is>
          <t>☐ Network segmentation / firewall restrictions</t>
        </is>
      </c>
      <c r="B54" s="13" t="n"/>
    </row>
    <row r="55">
      <c r="A55" s="3" t="inlineStr">
        <is>
          <t>☐ Enhanced monitoring / alerting</t>
        </is>
      </c>
      <c r="B55" s="13" t="n"/>
    </row>
    <row r="56">
      <c r="A56" s="3" t="inlineStr">
        <is>
          <t>☐ IP allowlisting / access restrictions</t>
        </is>
      </c>
      <c r="B56" s="13" t="n"/>
    </row>
    <row r="57">
      <c r="A57" s="3" t="inlineStr">
        <is>
          <t>☐ Other (describe):</t>
        </is>
      </c>
      <c r="B57" s="13" t="n"/>
    </row>
    <row r="58">
      <c r="A58" s="3" t="inlineStr">
        <is>
          <t>Remediation actions required:</t>
        </is>
      </c>
      <c r="B58" s="13" t="n"/>
    </row>
    <row r="59">
      <c r="A59" s="3" t="inlineStr">
        <is>
          <t>Responsible person:</t>
        </is>
      </c>
      <c r="B59" s="13" t="n"/>
    </row>
    <row r="60">
      <c r="A60" s="3" t="inlineStr">
        <is>
          <t>Target completion date:</t>
        </is>
      </c>
      <c r="B60" s="13" t="n"/>
    </row>
    <row r="61">
      <c r="A61" s="3" t="inlineStr">
        <is>
          <t>Budget required:</t>
        </is>
      </c>
      <c r="B61" s="13" t="n"/>
    </row>
    <row r="63">
      <c r="A63" s="14" t="inlineStr">
        <is>
          <t>ADDITIONAL NOTES / COMMENTS</t>
        </is>
      </c>
    </row>
    <row r="64">
      <c r="A64" s="17" t="n"/>
    </row>
    <row r="65"/>
    <row r="66"/>
    <row r="67"/>
    <row r="68"/>
    <row r="69"/>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"VPN required,Jump host/bastion,Direct (prohibited),Zero-trust gateway"</formula1>
    </dataValidation>
    <dataValidation sqref="B34" showDropDown="0" showInputMessage="0" showErrorMessage="0" allowBlank="0" type="list">
      <formula1>"Enabled,Disabled"</formula1>
    </dataValidation>
    <dataValidation sqref="B35" showDropDown="0" showInputMessage="0" showErrorMessage="0" allowBlank="0" type="list">
      <formula1>"Required,Optional,Not implemented"</formula1>
    </dataValidation>
    <dataValidation sqref="B36" showDropDown="0" showInputMessage="0" showErrorMessage="0" allowBlank="0" type="list">
      <formula1>"High,Medium,Low"</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B49" showDropDown="0" showInputMessage="0" showErrorMessage="0" allowBlank="0" type="list">
      <formula1>"Yes,No"</formula1>
    </dataValidation>
    <dataValidation sqref="B51" showDropDown="0" showInputMessage="0" showErrorMessage="0" allowBlank="0" type="list">
      <formula1>"Yes,No"</formula1>
    </dataValidation>
    <dataValidation sqref="B61" showDropDown="0" showInputMessage="0" showErrorMessage="0" allowBlank="0" type="list">
      <formula1>"Yes,No,Unknown"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4"/>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4" customWidth="1" min="3" max="3"/>
    <col width="22" customWidth="1" min="4" max="4"/>
    <col width="16" customWidth="1" min="5" max="5"/>
    <col width="15" customWidth="1" min="6" max="6"/>
    <col width="30" customWidth="1" min="7" max="7"/>
    <col width="30" customWidth="1" min="8" max="8"/>
    <col width="16" customWidth="1" min="9" max="9"/>
  </cols>
  <sheetData>
    <row r="1" ht="40" customHeight="1">
      <c r="A1" s="1" t="inlineStr">
        <is>
          <t>5.1 API Security
Policy Requirement: API endpoints MUST use HTTPS with TLS 1.2+. API authentication MUST use OAuth 2.0, API keys (256-bit entropy), or mutual TLS (Policy Section 2.2.5)</t>
        </is>
      </c>
    </row>
    <row r="3" ht="30" customHeight="1">
      <c r="A3" s="11" t="inlineStr">
        <is>
          <t>Does your organisation expose APIs (REST, SOAP, GraphQL, etc.)?</t>
        </is>
      </c>
    </row>
    <row r="4">
      <c r="A4" s="3" t="inlineStr">
        <is>
          <t>Response:</t>
        </is>
      </c>
      <c r="B4" s="4" t="n"/>
    </row>
    <row r="6">
      <c r="A6" s="5" t="inlineStr">
        <is>
          <t>API Name/Service</t>
        </is>
      </c>
      <c r="B6" s="5" t="inlineStr">
        <is>
          <t>Authentication Method</t>
        </is>
      </c>
      <c r="C6" s="5" t="inlineStr">
        <is>
          <t>TLS Version</t>
        </is>
      </c>
      <c r="D6" s="5" t="inlineStr">
        <is>
          <t>API Key Management</t>
        </is>
      </c>
      <c r="E6" s="5" t="inlineStr">
        <is>
          <t>Token Expiry</t>
        </is>
      </c>
      <c r="F6" s="5" t="inlineStr">
        <is>
          <t>Status</t>
        </is>
      </c>
      <c r="G6" s="5" t="inlineStr">
        <is>
          <t>Evidence Location</t>
        </is>
      </c>
      <c r="H6" s="5" t="inlineStr">
        <is>
          <t>Gap Description</t>
        </is>
      </c>
      <c r="I6" s="5" t="inlineStr">
        <is>
          <t>Remediation Needed</t>
        </is>
      </c>
    </row>
    <row r="7">
      <c r="A7" s="12" t="inlineStr">
        <is>
          <t>Example entry (see markdown spec)</t>
        </is>
      </c>
      <c r="B7" s="12" t="inlineStr"/>
      <c r="C7" s="12" t="inlineStr"/>
      <c r="D7" s="12" t="inlineStr"/>
      <c r="E7" s="12" t="inlineStr"/>
      <c r="F7" s="12" t="inlineStr"/>
      <c r="G7" s="12" t="inlineStr"/>
      <c r="H7" s="12" t="inlineStr"/>
      <c r="I7" s="12" t="inlineStr"/>
    </row>
    <row r="8">
      <c r="A8" s="13" t="n"/>
      <c r="B8" s="13" t="n"/>
      <c r="C8" s="13" t="n"/>
      <c r="D8" s="13" t="n"/>
      <c r="E8" s="13" t="n"/>
      <c r="F8" s="13" t="n"/>
      <c r="G8" s="13" t="n"/>
      <c r="H8" s="13" t="n"/>
      <c r="I8" s="13" t="n"/>
    </row>
    <row r="9">
      <c r="A9" s="13" t="n"/>
      <c r="B9" s="13" t="n"/>
      <c r="C9" s="13" t="n"/>
      <c r="D9" s="13" t="n"/>
      <c r="E9" s="13" t="n"/>
      <c r="F9" s="13" t="n"/>
      <c r="G9" s="13" t="n"/>
      <c r="H9" s="13" t="n"/>
      <c r="I9" s="13" t="n"/>
    </row>
    <row r="10">
      <c r="A10" s="13" t="n"/>
      <c r="B10" s="13" t="n"/>
      <c r="C10" s="13" t="n"/>
      <c r="D10" s="13" t="n"/>
      <c r="E10" s="13" t="n"/>
      <c r="F10" s="13" t="n"/>
      <c r="G10" s="13" t="n"/>
      <c r="H10" s="13" t="n"/>
      <c r="I10" s="13" t="n"/>
    </row>
    <row r="11">
      <c r="A11" s="13" t="n"/>
      <c r="B11" s="13" t="n"/>
      <c r="C11" s="13" t="n"/>
      <c r="D11" s="13" t="n"/>
      <c r="E11" s="13" t="n"/>
      <c r="F11" s="13" t="n"/>
      <c r="G11" s="13" t="n"/>
      <c r="H11" s="13" t="n"/>
      <c r="I11" s="13" t="n"/>
    </row>
    <row r="12">
      <c r="A12" s="13" t="n"/>
      <c r="B12" s="13" t="n"/>
      <c r="C12" s="13" t="n"/>
      <c r="D12" s="13" t="n"/>
      <c r="E12" s="13" t="n"/>
      <c r="F12" s="13" t="n"/>
      <c r="G12" s="13" t="n"/>
      <c r="H12" s="13" t="n"/>
      <c r="I12" s="13" t="n"/>
    </row>
    <row r="13">
      <c r="A13" s="13" t="n"/>
      <c r="B13" s="13" t="n"/>
      <c r="C13" s="13" t="n"/>
      <c r="D13" s="13" t="n"/>
      <c r="E13" s="13" t="n"/>
      <c r="F13" s="13" t="n"/>
      <c r="G13" s="13" t="n"/>
      <c r="H13" s="13" t="n"/>
      <c r="I13" s="13" t="n"/>
    </row>
    <row r="14">
      <c r="A14" s="13" t="n"/>
      <c r="B14" s="13" t="n"/>
      <c r="C14" s="13" t="n"/>
      <c r="D14" s="13" t="n"/>
      <c r="E14" s="13" t="n"/>
      <c r="F14" s="13" t="n"/>
      <c r="G14" s="13" t="n"/>
      <c r="H14" s="13" t="n"/>
      <c r="I14" s="13" t="n"/>
    </row>
    <row r="15">
      <c r="A15" s="13" t="n"/>
      <c r="B15" s="13" t="n"/>
      <c r="C15" s="13" t="n"/>
      <c r="D15" s="13" t="n"/>
      <c r="E15" s="13" t="n"/>
      <c r="F15" s="13" t="n"/>
      <c r="G15" s="13" t="n"/>
      <c r="H15" s="13" t="n"/>
      <c r="I15" s="13" t="n"/>
    </row>
    <row r="16">
      <c r="A16" s="13" t="n"/>
      <c r="B16" s="13" t="n"/>
      <c r="C16" s="13" t="n"/>
      <c r="D16" s="13" t="n"/>
      <c r="E16" s="13" t="n"/>
      <c r="F16" s="13" t="n"/>
      <c r="G16" s="13" t="n"/>
      <c r="H16" s="13" t="n"/>
      <c r="I16" s="13" t="n"/>
    </row>
    <row r="17">
      <c r="A17" s="13" t="n"/>
      <c r="B17" s="13" t="n"/>
      <c r="C17" s="13" t="n"/>
      <c r="D17" s="13" t="n"/>
      <c r="E17" s="13" t="n"/>
      <c r="F17" s="13" t="n"/>
      <c r="G17" s="13" t="n"/>
      <c r="H17" s="13" t="n"/>
      <c r="I17" s="13" t="n"/>
    </row>
    <row r="18">
      <c r="A18" s="13" t="n"/>
      <c r="B18" s="13" t="n"/>
      <c r="C18" s="13" t="n"/>
      <c r="D18" s="13" t="n"/>
      <c r="E18" s="13" t="n"/>
      <c r="F18" s="13" t="n"/>
      <c r="G18" s="13" t="n"/>
      <c r="H18" s="13" t="n"/>
      <c r="I18" s="13" t="n"/>
    </row>
    <row r="19">
      <c r="A19" s="13" t="n"/>
      <c r="B19" s="13" t="n"/>
      <c r="C19" s="13" t="n"/>
      <c r="D19" s="13" t="n"/>
      <c r="E19" s="13" t="n"/>
      <c r="F19" s="13" t="n"/>
      <c r="G19" s="13" t="n"/>
      <c r="H19" s="13" t="n"/>
      <c r="I19" s="13" t="n"/>
    </row>
    <row r="20">
      <c r="A20" s="13" t="n"/>
      <c r="B20" s="13" t="n"/>
      <c r="C20" s="13" t="n"/>
      <c r="D20" s="13" t="n"/>
      <c r="E20" s="13" t="n"/>
      <c r="F20" s="13" t="n"/>
      <c r="G20" s="13" t="n"/>
      <c r="H20" s="13" t="n"/>
      <c r="I20" s="13" t="n"/>
    </row>
    <row r="21">
      <c r="A21" s="13" t="n"/>
      <c r="B21" s="13" t="n"/>
      <c r="C21" s="13" t="n"/>
      <c r="D21" s="13" t="n"/>
      <c r="E21" s="13" t="n"/>
      <c r="F21" s="13" t="n"/>
      <c r="G21" s="13" t="n"/>
      <c r="H21" s="13" t="n"/>
      <c r="I21" s="13" t="n"/>
    </row>
    <row r="22">
      <c r="A22" s="13" t="n"/>
      <c r="B22" s="13" t="n"/>
      <c r="C22" s="13" t="n"/>
      <c r="D22" s="13" t="n"/>
      <c r="E22" s="13" t="n"/>
      <c r="F22" s="13" t="n"/>
      <c r="G22" s="13" t="n"/>
      <c r="H22" s="13" t="n"/>
      <c r="I22" s="13" t="n"/>
    </row>
    <row r="23">
      <c r="A23" s="13" t="n"/>
      <c r="B23" s="13" t="n"/>
      <c r="C23" s="13" t="n"/>
      <c r="D23" s="13" t="n"/>
      <c r="E23" s="13" t="n"/>
      <c r="F23" s="13" t="n"/>
      <c r="G23" s="13" t="n"/>
      <c r="H23" s="13" t="n"/>
      <c r="I23" s="13" t="n"/>
    </row>
    <row r="24">
      <c r="A24" s="13" t="n"/>
      <c r="B24" s="13" t="n"/>
      <c r="C24" s="13" t="n"/>
      <c r="D24" s="13" t="n"/>
      <c r="E24" s="13" t="n"/>
      <c r="F24" s="13" t="n"/>
      <c r="G24" s="13" t="n"/>
      <c r="H24" s="13" t="n"/>
      <c r="I24" s="13" t="n"/>
    </row>
    <row r="25">
      <c r="A25" s="13" t="n"/>
      <c r="B25" s="13" t="n"/>
      <c r="C25" s="13" t="n"/>
      <c r="D25" s="13" t="n"/>
      <c r="E25" s="13" t="n"/>
      <c r="F25" s="13" t="n"/>
      <c r="G25" s="13" t="n"/>
      <c r="H25" s="13" t="n"/>
      <c r="I25" s="13" t="n"/>
    </row>
    <row r="26">
      <c r="A26" s="13" t="n"/>
      <c r="B26" s="13" t="n"/>
      <c r="C26" s="13" t="n"/>
      <c r="D26" s="13" t="n"/>
      <c r="E26" s="13" t="n"/>
      <c r="F26" s="13" t="n"/>
      <c r="G26" s="13" t="n"/>
      <c r="H26" s="13" t="n"/>
      <c r="I26" s="13" t="n"/>
    </row>
    <row r="27">
      <c r="A27" s="13" t="n"/>
      <c r="B27" s="13" t="n"/>
      <c r="C27" s="13" t="n"/>
      <c r="D27" s="13" t="n"/>
      <c r="E27" s="13" t="n"/>
      <c r="F27" s="13" t="n"/>
      <c r="G27" s="13" t="n"/>
      <c r="H27" s="13" t="n"/>
      <c r="I27" s="13" t="n"/>
    </row>
    <row r="28">
      <c r="A28" s="13" t="n"/>
      <c r="B28" s="13" t="n"/>
      <c r="C28" s="13" t="n"/>
      <c r="D28" s="13" t="n"/>
      <c r="E28" s="13" t="n"/>
      <c r="F28" s="13" t="n"/>
      <c r="G28" s="13" t="n"/>
      <c r="H28" s="13" t="n"/>
      <c r="I28" s="13" t="n"/>
    </row>
    <row r="29">
      <c r="A29" s="13" t="n"/>
      <c r="B29" s="13" t="n"/>
      <c r="C29" s="13" t="n"/>
      <c r="D29" s="13" t="n"/>
      <c r="E29" s="13" t="n"/>
      <c r="F29" s="13" t="n"/>
      <c r="G29" s="13" t="n"/>
      <c r="H29" s="13" t="n"/>
      <c r="I29" s="13" t="n"/>
    </row>
    <row r="30">
      <c r="A30" s="13" t="n"/>
      <c r="B30" s="13" t="n"/>
      <c r="C30" s="13" t="n"/>
      <c r="D30" s="13" t="n"/>
      <c r="E30" s="13" t="n"/>
      <c r="F30" s="13" t="n"/>
      <c r="G30" s="13" t="n"/>
      <c r="H30" s="13" t="n"/>
      <c r="I30" s="13" t="n"/>
    </row>
    <row r="32">
      <c r="A32" s="14" t="inlineStr">
        <is>
          <t>Additional Details</t>
        </is>
      </c>
    </row>
    <row r="33">
      <c r="A33" s="3" t="inlineStr">
        <is>
          <t>Number of APIs:</t>
        </is>
      </c>
      <c r="B33" s="13" t="n"/>
    </row>
    <row r="34">
      <c r="A34" s="3" t="inlineStr">
        <is>
          <t>API authentication:</t>
        </is>
      </c>
      <c r="B34" s="13" t="n"/>
    </row>
    <row r="35">
      <c r="A35" s="3" t="inlineStr">
        <is>
          <t>API key entropy:</t>
        </is>
      </c>
      <c r="B35" s="13" t="n"/>
    </row>
    <row r="36">
      <c r="A36" s="3" t="inlineStr">
        <is>
          <t>API key rotation:</t>
        </is>
      </c>
      <c r="B36" s="13" t="n"/>
    </row>
    <row r="37">
      <c r="A37" s="3" t="inlineStr">
        <is>
          <t>API keys stored in:</t>
        </is>
      </c>
      <c r="B37" s="13" t="n"/>
    </row>
    <row r="39">
      <c r="A39" s="14" t="inlineStr">
        <is>
          <t>COMPLIANCE CHECKLIST</t>
        </is>
      </c>
    </row>
    <row r="40">
      <c r="A40" s="3" t="inlineStr">
        <is>
          <t>☐</t>
        </is>
      </c>
      <c r="B40" s="3" t="inlineStr">
        <is>
          <t>Requirement</t>
        </is>
      </c>
      <c r="C40" s="3" t="inlineStr">
        <is>
          <t>Status</t>
        </is>
      </c>
    </row>
    <row r="41">
      <c r="A41" t="inlineStr">
        <is>
          <t>☐</t>
        </is>
      </c>
      <c r="B41" t="inlineStr">
        <is>
          <t>All API endpoints use HTTPS (TLS 1.2+)</t>
        </is>
      </c>
      <c r="C41" s="4" t="n"/>
    </row>
    <row r="42">
      <c r="A42" t="inlineStr">
        <is>
          <t>☐</t>
        </is>
      </c>
      <c r="B42" t="inlineStr">
        <is>
          <t>HTTP endpoints disabled or blocked</t>
        </is>
      </c>
      <c r="C42" s="4" t="n"/>
    </row>
    <row r="43">
      <c r="A43" t="inlineStr">
        <is>
          <t>☐</t>
        </is>
      </c>
      <c r="B43" t="inlineStr">
        <is>
          <t>OAuth 2.0 with PKCE (for user-facing APIs)</t>
        </is>
      </c>
      <c r="C43" s="4" t="n"/>
    </row>
    <row r="44">
      <c r="A44" t="inlineStr">
        <is>
          <t>☐</t>
        </is>
      </c>
      <c r="B44" t="inlineStr">
        <is>
          <t>API keys have ≥256-bit entropy</t>
        </is>
      </c>
      <c r="C44" s="4" t="n"/>
    </row>
    <row r="45">
      <c r="A45" t="inlineStr">
        <is>
          <t>☐</t>
        </is>
      </c>
      <c r="B45" t="inlineStr">
        <is>
          <t>API keys rotate every 90 days</t>
        </is>
      </c>
      <c r="C45" s="4" t="n"/>
    </row>
    <row r="46">
      <c r="A46" t="inlineStr">
        <is>
          <t>☐</t>
        </is>
      </c>
      <c r="B46" t="inlineStr">
        <is>
          <t>API keys stored in secrets manager (NOT in code/config)</t>
        </is>
      </c>
      <c r="C46" s="4" t="n"/>
    </row>
    <row r="47">
      <c r="A47" t="inlineStr">
        <is>
          <t>☐</t>
        </is>
      </c>
      <c r="B47" t="inlineStr">
        <is>
          <t>Access tokens expire within 1 hour</t>
        </is>
      </c>
      <c r="C47" s="4" t="n"/>
    </row>
    <row r="48">
      <c r="A48" t="inlineStr">
        <is>
          <t>☐</t>
        </is>
      </c>
      <c r="B48" t="inlineStr">
        <is>
          <t>Refresh tokens expire within 24 hours</t>
        </is>
      </c>
      <c r="C48" s="4" t="n"/>
    </row>
    <row r="49">
      <c r="A49" t="inlineStr">
        <is>
          <t>☐</t>
        </is>
      </c>
      <c r="B49" t="inlineStr">
        <is>
          <t>Rate limiting implemented per API key</t>
        </is>
      </c>
      <c r="C49" s="4" t="n"/>
    </row>
    <row r="50">
      <c r="A50" t="inlineStr">
        <is>
          <t>☐</t>
        </is>
      </c>
      <c r="B50" t="inlineStr">
        <is>
          <t>API keys NOT passed in URL query parameters</t>
        </is>
      </c>
      <c r="C50" s="4" t="n"/>
    </row>
    <row r="51">
      <c r="A51" s="3" t="inlineStr">
        <is>
          <t>Checklist Score:</t>
        </is>
      </c>
      <c r="B51" s="15">
        <f>COUNTIF(C41:C50,"Yes")/COUNTA(C41:C50)*100&amp;"%"</f>
        <v/>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Network segmentation / firewall restrictions</t>
        </is>
      </c>
      <c r="B59" s="13" t="n"/>
    </row>
    <row r="60">
      <c r="A60" s="3" t="inlineStr">
        <is>
          <t>☐ Enhanced monitoring / alerting</t>
        </is>
      </c>
      <c r="B60" s="13" t="n"/>
    </row>
    <row r="61">
      <c r="A61" s="3" t="inlineStr">
        <is>
          <t>☐ IP allowlisting / access restrictions</t>
        </is>
      </c>
      <c r="B61" s="13" t="n"/>
    </row>
    <row r="62">
      <c r="A62" s="3" t="inlineStr">
        <is>
          <t>☐ Other (describe):</t>
        </is>
      </c>
      <c r="B62" s="13" t="n"/>
    </row>
    <row r="63">
      <c r="A63" s="3" t="inlineStr">
        <is>
          <t>Remediation actions required:</t>
        </is>
      </c>
      <c r="B63" s="13" t="n"/>
    </row>
    <row r="64">
      <c r="A64" s="3" t="inlineStr">
        <is>
          <t>Responsible person:</t>
        </is>
      </c>
      <c r="B64" s="13" t="n"/>
    </row>
    <row r="65">
      <c r="A65" s="3" t="inlineStr">
        <is>
          <t>Target completion date:</t>
        </is>
      </c>
      <c r="B65" s="13" t="n"/>
    </row>
    <row r="66">
      <c r="A66" s="3" t="inlineStr">
        <is>
          <t>Budget required:</t>
        </is>
      </c>
      <c r="B66" s="13" t="n"/>
    </row>
    <row r="68">
      <c r="A68" s="14" t="inlineStr">
        <is>
          <t>ADDITIONAL NOTES / COMMENTS</t>
        </is>
      </c>
    </row>
    <row r="69">
      <c r="A69" s="17" t="n"/>
    </row>
    <row r="70"/>
    <row r="71"/>
    <row r="72"/>
    <row r="73"/>
    <row r="74"/>
  </sheetData>
  <mergeCells count="23">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"Yes,No,Not Applicable"</formula1>
    </dataValidation>
    <dataValidation sqref="F8 F9 F10 F11 F12 F13 F14 F15 F16 F17 F18 F19 F20 F21 F22 F23 F24 F25 F26 F27 F28 F29 F30" showDropDown="0" showInputMessage="0" showErrorMessage="0" allowBlank="0" type="list">
      <formula1>"✅ Compliant,⚠️ Partial,❌ Non-Compliant,N/A"</formula1>
    </dataValidation>
    <dataValidation sqref="I8 I9 I10 I11 I12 I13 I14 I15 I16 I17 I18 I19 I20 I21 I22 I23 I24 I25 I26 I27 I28 I29 I30" showDropDown="0" showInputMessage="0" showErrorMessage="0" allowBlank="0" type="list">
      <formula1>"Yes,No"</formula1>
    </dataValidation>
    <dataValidation sqref="B34" showDropDown="0" showInputMessage="0" showErrorMessage="0" allowBlank="0" type="list">
      <formula1>"OAuth 2.0,API keys,Mutual TLS,JWT,Basic auth,None"</formula1>
    </dataValidation>
    <dataValidation sqref="B35" showDropDown="0" showInputMessage="0" showErrorMessage="0" allowBlank="0" type="list">
      <formula1>"≥256 bits,&lt;256 bits,Unknown"</formula1>
    </dataValidation>
    <dataValidation sqref="B36" showDropDown="0" showInputMessage="0" showErrorMessage="0" allowBlank="0" type="list">
      <formula1>"Automated (90 days),Manual,No rotation"</formula1>
    </dataValidation>
    <dataValidation sqref="B37" showDropDown="0" showInputMessage="0" showErrorMessage="0" allowBlank="0" type="list">
      <formula1>"Secrets manager,Environment variables,Code (prohibited),Config files"</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C49" showDropDown="0" showInputMessage="0" showErrorMessage="0" allowBlank="0" type="list">
      <formula1>"Yes,No,N/A"</formula1>
    </dataValidation>
    <dataValidation sqref="C50" showDropDown="0" showInputMessage="0" showErrorMessage="0" allowBlank="0" type="list">
      <formula1>"Yes,No,N/A"</formula1>
    </dataValidation>
    <dataValidation sqref="B54" showDropDown="0" showInputMessage="0" showErrorMessage="0" allowBlank="0" type="list">
      <formula1>"Yes,No"</formula1>
    </dataValidation>
    <dataValidation sqref="B56" showDropDown="0" showInputMessage="0" showErrorMessage="0" allowBlank="0" type="list">
      <formula1>"Yes,No"</formula1>
    </dataValidation>
    <dataValidation sqref="B66" showDropDown="0" showInputMessage="0" showErrorMessage="0" allowBlank="0" type="list">
      <formula1>"Yes,No,Unknown"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5"/>
  <sheetViews>
    <sheetView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30" customWidth="1" min="5" max="5"/>
    <col width="30" customWidth="1" min="6" max="6"/>
    <col width="16" customWidth="1" min="7" max="7"/>
  </cols>
  <sheetData>
    <row r="1" ht="40" customHeight="1">
      <c r="A1" s="1" t="inlineStr">
        <is>
          <t>6.1 Database Connections
Policy Requirement: Database connections MUST use encrypted protocols (TLS for PostgreSQL/MySQL, encrypted connections for MSSQL) (Policy Section 2.2.6)</t>
        </is>
      </c>
    </row>
    <row r="3" ht="30" customHeight="1">
      <c r="A3" s="11" t="inlineStr">
        <is>
          <t>Does your organisation have applications connecting to databases?</t>
        </is>
      </c>
    </row>
    <row r="4">
      <c r="A4" s="3" t="inlineStr">
        <is>
          <t>Response:</t>
        </is>
      </c>
      <c r="B4" s="4" t="n"/>
    </row>
    <row r="6">
      <c r="A6" s="5" t="inlineStr">
        <is>
          <t>Database System</t>
        </is>
      </c>
      <c r="B6" s="5" t="inlineStr">
        <is>
          <t>Connection Encryption</t>
        </is>
      </c>
      <c r="C6" s="5" t="inlineStr">
        <is>
          <t>Certificate Validation</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Database systems in use:</t>
        </is>
      </c>
      <c r="B33" s="13" t="n"/>
    </row>
    <row r="34">
      <c r="A34" s="3" t="inlineStr">
        <is>
          <t>Connection encryption enforced:</t>
        </is>
      </c>
      <c r="B34" s="13" t="n"/>
    </row>
    <row r="36">
      <c r="A36" s="14" t="inlineStr">
        <is>
          <t>COMPLIANCE CHECKLIST</t>
        </is>
      </c>
    </row>
    <row r="37">
      <c r="A37" s="3" t="inlineStr">
        <is>
          <t>☐</t>
        </is>
      </c>
      <c r="B37" s="3" t="inlineStr">
        <is>
          <t>Requirement</t>
        </is>
      </c>
      <c r="C37" s="3" t="inlineStr">
        <is>
          <t>Status</t>
        </is>
      </c>
    </row>
    <row r="38">
      <c r="A38" t="inlineStr">
        <is>
          <t>☐</t>
        </is>
      </c>
      <c r="B38" t="inlineStr">
        <is>
          <t>Database connections encrypted (TLS/SSL)</t>
        </is>
      </c>
      <c r="C38" s="4" t="n"/>
    </row>
    <row r="39">
      <c r="A39" t="inlineStr">
        <is>
          <t>☐</t>
        </is>
      </c>
      <c r="B39" t="inlineStr">
        <is>
          <t>Certificate validation enabled (not 'trust any certificate')</t>
        </is>
      </c>
      <c r="C39" s="4" t="n"/>
    </row>
    <row r="40">
      <c r="A40" t="inlineStr">
        <is>
          <t>☐</t>
        </is>
      </c>
      <c r="B40" t="inlineStr">
        <is>
          <t>Self-signed certificates only for internal databases (with proper CA)</t>
        </is>
      </c>
      <c r="C40" s="4" t="n"/>
    </row>
    <row r="41">
      <c r="A41" t="inlineStr">
        <is>
          <t>☐</t>
        </is>
      </c>
      <c r="B41" t="inlineStr">
        <is>
          <t>Unencrypted connections disabled or documented exception</t>
        </is>
      </c>
      <c r="C41" s="4" t="n"/>
    </row>
    <row r="42">
      <c r="A42" s="3" t="inlineStr">
        <is>
          <t>Checklist Score:</t>
        </is>
      </c>
      <c r="B42" s="15">
        <f>COUNTIF(C38:C41,"Yes")/COUNTA(C38:C41)*100&amp;"%"</f>
        <v/>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Network segmentation / firewall restrictions</t>
        </is>
      </c>
      <c r="B50" s="13" t="n"/>
    </row>
    <row r="51">
      <c r="A51" s="3" t="inlineStr">
        <is>
          <t>☐ Enhanced monitoring / alerting</t>
        </is>
      </c>
      <c r="B51" s="13" t="n"/>
    </row>
    <row r="52">
      <c r="A52" s="3" t="inlineStr">
        <is>
          <t>☐ IP allowlisting / access restrictions</t>
        </is>
      </c>
      <c r="B52" s="13" t="n"/>
    </row>
    <row r="53">
      <c r="A53" s="3" t="inlineStr">
        <is>
          <t>☐ Other (describe):</t>
        </is>
      </c>
      <c r="B53" s="13" t="n"/>
    </row>
    <row r="54">
      <c r="A54" s="3" t="inlineStr">
        <is>
          <t>Remediation actions required:</t>
        </is>
      </c>
      <c r="B54" s="13" t="n"/>
    </row>
    <row r="55">
      <c r="A55" s="3" t="inlineStr">
        <is>
          <t>Responsible person:</t>
        </is>
      </c>
      <c r="B55" s="13" t="n"/>
    </row>
    <row r="56">
      <c r="A56" s="3" t="inlineStr">
        <is>
          <t>Target completion date:</t>
        </is>
      </c>
      <c r="B56" s="13" t="n"/>
    </row>
    <row r="57">
      <c r="A57" s="3" t="inlineStr">
        <is>
          <t>Budget required:</t>
        </is>
      </c>
      <c r="B57" s="13" t="n"/>
    </row>
    <row r="59">
      <c r="A59" s="14" t="inlineStr">
        <is>
          <t>ADDITIONAL NOTES / COMMENTS</t>
        </is>
      </c>
    </row>
    <row r="60">
      <c r="A60" s="17" t="n"/>
    </row>
    <row r="61"/>
    <row r="62"/>
    <row r="63"/>
    <row r="64"/>
    <row r="65"/>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"PostgreSQL,MySQL,MSSQL,Oracle,MongoDB,Other"</formula1>
    </dataValidation>
    <dataValidation sqref="B34" showDropDown="0" showInputMessage="0" showErrorMessage="0" allowBlank="0" type="list">
      <formula1>"Yes,No,Mixed"</formula1>
    </dataValidation>
    <dataValidation sqref="C38" showDropDown="0" showInputMessage="0" showErrorMessage="0" allowBlank="0" type="list">
      <formula1>"Yes,No,N/A"</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B45" showDropDown="0" showInputMessage="0" showErrorMessage="0" allowBlank="0" type="list">
      <formula1>"Yes,No"</formula1>
    </dataValidation>
    <dataValidation sqref="B47" showDropDown="0" showInputMessage="0" showErrorMessage="0" allowBlank="0" type="list">
      <formula1>"Yes,No"</formula1>
    </dataValidation>
    <dataValidation sqref="B57" showDropDown="0" showInputMessage="0" showErrorMessage="0" allowBlank="0" type="list">
      <formula1>"Yes,No,Unknown"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9"/>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22" customWidth="1" min="3" max="3"/>
    <col width="15" customWidth="1" min="4" max="4"/>
    <col width="30" customWidth="1" min="5" max="5"/>
    <col width="30" customWidth="1" min="6" max="6"/>
    <col width="16" customWidth="1" min="7" max="7"/>
  </cols>
  <sheetData>
    <row r="1" ht="40" customHeight="1">
      <c r="A1" s="1" t="inlineStr">
        <is>
          <t>6.2 Wireless Networks
Policy Requirement: Wireless networks MUST use WPA3-Enterprise or WPA2-Enterprise minimum. WEP and WPA (original) PROHIBITED (Policy Section 2.2.6)</t>
        </is>
      </c>
    </row>
    <row r="3" ht="30" customHeight="1">
      <c r="A3" s="11" t="inlineStr">
        <is>
          <t>Does your organisation have wireless networks?</t>
        </is>
      </c>
    </row>
    <row r="4">
      <c r="A4" s="3" t="inlineStr">
        <is>
          <t>Response:</t>
        </is>
      </c>
      <c r="B4" s="4" t="n"/>
    </row>
    <row r="6">
      <c r="A6" s="5" t="inlineStr">
        <is>
          <t>Network SSID</t>
        </is>
      </c>
      <c r="B6" s="5" t="inlineStr">
        <is>
          <t>Encryption Standard</t>
        </is>
      </c>
      <c r="C6" s="5" t="inlineStr">
        <is>
          <t>Authentication Method</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Corporate WiFi encryption:</t>
        </is>
      </c>
      <c r="B33" s="13" t="n"/>
    </row>
    <row r="34">
      <c r="A34" s="3" t="inlineStr">
        <is>
          <t>Guest WiFi:</t>
        </is>
      </c>
      <c r="B34" s="13" t="n"/>
    </row>
    <row r="35">
      <c r="A35" s="3" t="inlineStr">
        <is>
          <t>802.1X authentication:</t>
        </is>
      </c>
      <c r="B35" s="13" t="n"/>
    </row>
    <row r="36">
      <c r="A36" s="3" t="inlineStr">
        <is>
          <t>WiFi password strength:</t>
        </is>
      </c>
      <c r="B36" s="13" t="n"/>
    </row>
    <row r="38">
      <c r="A38" s="14" t="inlineStr">
        <is>
          <t>COMPLIANCE CHECKLIST</t>
        </is>
      </c>
    </row>
    <row r="39">
      <c r="A39" s="3" t="inlineStr">
        <is>
          <t>☐</t>
        </is>
      </c>
      <c r="B39" s="3" t="inlineStr">
        <is>
          <t>Requirement</t>
        </is>
      </c>
      <c r="C39" s="3" t="inlineStr">
        <is>
          <t>Status</t>
        </is>
      </c>
    </row>
    <row r="40">
      <c r="A40" t="inlineStr">
        <is>
          <t>☐</t>
        </is>
      </c>
      <c r="B40" t="inlineStr">
        <is>
          <t>WPA3-Enterprise or WPA2-Enterprise for corporate networks</t>
        </is>
      </c>
      <c r="C40" s="4" t="n"/>
    </row>
    <row r="41">
      <c r="A41" t="inlineStr">
        <is>
          <t>☐</t>
        </is>
      </c>
      <c r="B41" t="inlineStr">
        <is>
          <t>802.1X with EAP-TLS (certificate-based) preferred</t>
        </is>
      </c>
      <c r="C41" s="4" t="n"/>
    </row>
    <row r="42">
      <c r="A42" t="inlineStr">
        <is>
          <t>☐</t>
        </is>
      </c>
      <c r="B42" t="inlineStr">
        <is>
          <t>WPA2-Personal only with strong passphrase (≥20 characters)</t>
        </is>
      </c>
      <c r="C42" s="4" t="n"/>
    </row>
    <row r="43">
      <c r="A43" t="inlineStr">
        <is>
          <t>☐</t>
        </is>
      </c>
      <c r="B43" t="inlineStr">
        <is>
          <t>WEP and WPA (original) NOT used</t>
        </is>
      </c>
      <c r="C43" s="4" t="n"/>
    </row>
    <row r="44">
      <c r="A44" t="inlineStr">
        <is>
          <t>☐</t>
        </is>
      </c>
      <c r="B44" t="inlineStr">
        <is>
          <t>Guest wireless isolated from corporate network</t>
        </is>
      </c>
      <c r="C44" s="4" t="n"/>
    </row>
    <row r="45">
      <c r="A45" t="inlineStr">
        <is>
          <t>☐</t>
        </is>
      </c>
      <c r="B45" t="inlineStr">
        <is>
          <t>WiFi passwords rotated quarterly (for PSK networks)</t>
        </is>
      </c>
      <c r="C45" s="4" t="n"/>
    </row>
    <row r="46">
      <c r="A46" s="3" t="inlineStr">
        <is>
          <t>Checklist Score:</t>
        </is>
      </c>
      <c r="B46" s="15">
        <f>COUNTIF(C40:C45,"Yes")/COUNTA(C40:C45)*100&amp;"%"</f>
        <v/>
      </c>
    </row>
    <row r="48">
      <c r="A48" s="16" t="inlineStr">
        <is>
          <t>EXCEPTION / DEVIATION DOCUMENTATION (Complete if Status = Partial or Non-Compliant)</t>
        </is>
      </c>
    </row>
    <row r="49">
      <c r="A49" s="3" t="inlineStr">
        <is>
          <t>Formal exception request submitted:</t>
        </is>
      </c>
      <c r="B49" s="13" t="n"/>
    </row>
    <row r="50">
      <c r="A50" s="3" t="inlineStr">
        <is>
          <t>Exception ID:</t>
        </is>
      </c>
      <c r="B50" s="13" t="n"/>
    </row>
    <row r="51">
      <c r="A51" s="3" t="inlineStr">
        <is>
          <t>Risk acceptance documented:</t>
        </is>
      </c>
      <c r="B51" s="13" t="n"/>
    </row>
    <row r="52">
      <c r="A52" s="3" t="inlineStr">
        <is>
          <t>Risk ID:</t>
        </is>
      </c>
      <c r="B52" s="13" t="n"/>
    </row>
    <row r="53">
      <c r="A53" s="3" t="inlineStr">
        <is>
          <t>Compensating Controls (summary):</t>
        </is>
      </c>
      <c r="B53" s="13" t="n"/>
    </row>
    <row r="54">
      <c r="A54" s="3" t="inlineStr">
        <is>
          <t>☐ Network segmentation / firewall restrictions</t>
        </is>
      </c>
      <c r="B54" s="13" t="n"/>
    </row>
    <row r="55">
      <c r="A55" s="3" t="inlineStr">
        <is>
          <t>☐ Enhanced monitoring / alerting</t>
        </is>
      </c>
      <c r="B55" s="13" t="n"/>
    </row>
    <row r="56">
      <c r="A56" s="3" t="inlineStr">
        <is>
          <t>☐ IP allowlisting / access restrictions</t>
        </is>
      </c>
      <c r="B56" s="13" t="n"/>
    </row>
    <row r="57">
      <c r="A57" s="3" t="inlineStr">
        <is>
          <t>☐ Other (describe):</t>
        </is>
      </c>
      <c r="B57" s="13" t="n"/>
    </row>
    <row r="58">
      <c r="A58" s="3" t="inlineStr">
        <is>
          <t>Remediation actions required:</t>
        </is>
      </c>
      <c r="B58" s="13" t="n"/>
    </row>
    <row r="59">
      <c r="A59" s="3" t="inlineStr">
        <is>
          <t>Responsible person:</t>
        </is>
      </c>
      <c r="B59" s="13" t="n"/>
    </row>
    <row r="60">
      <c r="A60" s="3" t="inlineStr">
        <is>
          <t>Target completion date:</t>
        </is>
      </c>
      <c r="B60" s="13" t="n"/>
    </row>
    <row r="61">
      <c r="A61" s="3" t="inlineStr">
        <is>
          <t>Budget required:</t>
        </is>
      </c>
      <c r="B61" s="13" t="n"/>
    </row>
    <row r="63">
      <c r="A63" s="14" t="inlineStr">
        <is>
          <t>ADDITIONAL NOTES / COMMENTS</t>
        </is>
      </c>
    </row>
    <row r="64">
      <c r="A64" s="17" t="n"/>
    </row>
    <row r="65"/>
    <row r="66"/>
    <row r="67"/>
    <row r="68"/>
    <row r="69"/>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"WPA3-Enterprise,WPA2-Enterprise,WPA2-Personal,Other"</formula1>
    </dataValidation>
    <dataValidation sqref="B34" showDropDown="0" showInputMessage="0" showErrorMessage="0" allowBlank="0" type="list">
      <formula1>"Isolated network,Captive portal,Open (no encryption)"</formula1>
    </dataValidation>
    <dataValidation sqref="B35" showDropDown="0" showInputMessage="0" showErrorMessage="0" allowBlank="0" type="list">
      <formula1>"Implemented,Planned,Not implemented"</formula1>
    </dataValidation>
    <dataValidation sqref="B36" showDropDown="0" showInputMessage="0" showErrorMessage="0" allowBlank="0" type="list">
      <formula1>"≥20 characters,&lt;20 characters"</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B49" showDropDown="0" showInputMessage="0" showErrorMessage="0" allowBlank="0" type="list">
      <formula1>"Yes,No"</formula1>
    </dataValidation>
    <dataValidation sqref="B51" showDropDown="0" showInputMessage="0" showErrorMessage="0" allowBlank="0" type="list">
      <formula1>"Yes,No"</formula1>
    </dataValidation>
    <dataValidation sqref="B61" showDropDown="0" showInputMessage="0" showErrorMessage="0" allowBlank="0" type="list">
      <formula1>"Yes,No,Unknown"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8" customWidth="1" min="3" max="3"/>
    <col width="15" customWidth="1" min="4" max="4"/>
    <col width="30" customWidth="1" min="5" max="5"/>
    <col width="30" customWidth="1" min="6" max="6"/>
    <col width="16" customWidth="1" min="7" max="7"/>
  </cols>
  <sheetData>
    <row r="1" ht="40" customHeight="1">
      <c r="A1" s="1" t="inlineStr">
        <is>
          <t>7.1 Cloud Data Transmission
Policy Requirement: Connections to cloud provider APIs MUST use TLS 1.2+. Private connectivity options (PrivateLink, Private Link, Private Service Connect) RECOMMENDED for high-volume or sensitive data (Policy Section 2.2.7)</t>
        </is>
      </c>
    </row>
    <row r="3" ht="30" customHeight="1">
      <c r="A3" s="11" t="inlineStr">
        <is>
          <t>Does your organisation use cloud services (AWS, Azure, GCP, SaaS)?</t>
        </is>
      </c>
    </row>
    <row r="4">
      <c r="A4" s="3" t="inlineStr">
        <is>
          <t>Response:</t>
        </is>
      </c>
      <c r="B4" s="4" t="n"/>
    </row>
    <row r="6">
      <c r="A6" s="5" t="inlineStr">
        <is>
          <t>Cloud Provider/Service</t>
        </is>
      </c>
      <c r="B6" s="5" t="inlineStr">
        <is>
          <t>Connection Method</t>
        </is>
      </c>
      <c r="C6" s="5" t="inlineStr">
        <is>
          <t>Encryption</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Connection type:</t>
        </is>
      </c>
      <c r="B33" s="13" t="n"/>
    </row>
    <row r="34">
      <c r="A34" s="3" t="inlineStr">
        <is>
          <t>Data classification transmitted:</t>
        </is>
      </c>
      <c r="B34" s="13" t="n"/>
    </row>
    <row r="35">
      <c r="A35" s="3" t="inlineStr">
        <is>
          <t>Cloud providers used:</t>
        </is>
      </c>
      <c r="B35" s="13" t="n"/>
    </row>
    <row r="37">
      <c r="A37" s="14" t="inlineStr">
        <is>
          <t>COMPLIANCE CHECKLIST</t>
        </is>
      </c>
    </row>
    <row r="38">
      <c r="A38" s="3" t="inlineStr">
        <is>
          <t>☐</t>
        </is>
      </c>
      <c r="B38" s="3" t="inlineStr">
        <is>
          <t>Requirement</t>
        </is>
      </c>
      <c r="C38" s="3" t="inlineStr">
        <is>
          <t>Status</t>
        </is>
      </c>
    </row>
    <row r="39">
      <c r="A39" t="inlineStr">
        <is>
          <t>☐</t>
        </is>
      </c>
      <c r="B39" t="inlineStr">
        <is>
          <t>TLS 1.2+ for all cloud API connections</t>
        </is>
      </c>
      <c r="C39" s="4" t="n"/>
    </row>
    <row r="40">
      <c r="A40" t="inlineStr">
        <is>
          <t>☐</t>
        </is>
      </c>
      <c r="B40" t="inlineStr">
        <is>
          <t>Private connectivity for Confidential/Restricted data (preferred)</t>
        </is>
      </c>
      <c r="C40" s="4" t="n"/>
    </row>
    <row r="41">
      <c r="A41" t="inlineStr">
        <is>
          <t>☐</t>
        </is>
      </c>
      <c r="B41" t="inlineStr">
        <is>
          <t>Cloud provider native encryption enabled</t>
        </is>
      </c>
      <c r="C41" s="4" t="n"/>
    </row>
    <row r="42">
      <c r="A42" t="inlineStr">
        <is>
          <t>☐</t>
        </is>
      </c>
      <c r="B42" t="inlineStr">
        <is>
          <t>Data encrypted in transit to/from cloud</t>
        </is>
      </c>
      <c r="C42" s="4" t="n"/>
    </row>
    <row r="43">
      <c r="A43" s="3" t="inlineStr">
        <is>
          <t>Checklist Score:</t>
        </is>
      </c>
      <c r="B43" s="15">
        <f>COUNTIF(C39:C42,"Yes")/COUNTA(C39:C42)*100&amp;"%"</f>
        <v/>
      </c>
    </row>
    <row r="45">
      <c r="A45" s="16" t="inlineStr">
        <is>
          <t>EXCEPTION / DEVIATION DOCUMENTATION (Complete if Status = Partial or Non-Compliant)</t>
        </is>
      </c>
    </row>
    <row r="46">
      <c r="A46" s="3" t="inlineStr">
        <is>
          <t>Formal exception request submitted:</t>
        </is>
      </c>
      <c r="B46" s="13" t="n"/>
    </row>
    <row r="47">
      <c r="A47" s="3" t="inlineStr">
        <is>
          <t>Exception ID:</t>
        </is>
      </c>
      <c r="B47" s="13" t="n"/>
    </row>
    <row r="48">
      <c r="A48" s="3" t="inlineStr">
        <is>
          <t>Risk acceptance documented:</t>
        </is>
      </c>
      <c r="B48" s="13" t="n"/>
    </row>
    <row r="49">
      <c r="A49" s="3" t="inlineStr">
        <is>
          <t>Risk ID:</t>
        </is>
      </c>
      <c r="B49" s="13" t="n"/>
    </row>
    <row r="50">
      <c r="A50" s="3" t="inlineStr">
        <is>
          <t>Compensating Controls (summary):</t>
        </is>
      </c>
      <c r="B50" s="13" t="n"/>
    </row>
    <row r="51">
      <c r="A51" s="3" t="inlineStr">
        <is>
          <t>☐ Network segmentation / firewall restrictions</t>
        </is>
      </c>
      <c r="B51" s="13" t="n"/>
    </row>
    <row r="52">
      <c r="A52" s="3" t="inlineStr">
        <is>
          <t>☐ Enhanced monitoring / alerting</t>
        </is>
      </c>
      <c r="B52" s="13" t="n"/>
    </row>
    <row r="53">
      <c r="A53" s="3" t="inlineStr">
        <is>
          <t>☐ IP allowlisting / access restrictions</t>
        </is>
      </c>
      <c r="B53" s="13" t="n"/>
    </row>
    <row r="54">
      <c r="A54" s="3" t="inlineStr">
        <is>
          <t>☐ Other (describe):</t>
        </is>
      </c>
      <c r="B54" s="13" t="n"/>
    </row>
    <row r="55">
      <c r="A55" s="3" t="inlineStr">
        <is>
          <t>Remediation actions required:</t>
        </is>
      </c>
      <c r="B55" s="13" t="n"/>
    </row>
    <row r="56">
      <c r="A56" s="3" t="inlineStr">
        <is>
          <t>Responsible person:</t>
        </is>
      </c>
      <c r="B56" s="13" t="n"/>
    </row>
    <row r="57">
      <c r="A57" s="3" t="inlineStr">
        <is>
          <t>Target completion date:</t>
        </is>
      </c>
      <c r="B57" s="13" t="n"/>
    </row>
    <row r="58">
      <c r="A58" s="3" t="inlineStr">
        <is>
          <t>Budget required:</t>
        </is>
      </c>
      <c r="B58" s="13" t="n"/>
    </row>
    <row r="60">
      <c r="A60" s="14" t="inlineStr">
        <is>
          <t>ADDITIONAL NOTES / COMMENTS</t>
        </is>
      </c>
    </row>
    <row r="61">
      <c r="A61" s="17" t="n"/>
    </row>
    <row r="62"/>
    <row r="63"/>
    <row r="64"/>
    <row r="65"/>
    <row r="66"/>
  </sheetData>
  <mergeCells count="21">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 ref="B56:D56"/>
    <mergeCell ref="B58:D58"/>
    <mergeCell ref="B52:D52"/>
    <mergeCell ref="A61:H66"/>
    <mergeCell ref="B48:D48"/>
  </mergeCells>
  <dataValidations count="13">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"Public internet (TLS),VPN,Private Link/PrivateLink,Direct Connect/ExpressRoute"</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"AWS,Azure,GCP,Office 365,Salesforce,Other"</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B46" showDropDown="0" showInputMessage="0" showErrorMessage="0" allowBlank="0" type="list">
      <formula1>"Yes,No"</formula1>
    </dataValidation>
    <dataValidation sqref="B48" showDropDown="0" showInputMessage="0" showErrorMessage="0" allowBlank="0" type="list">
      <formula1>"Yes,No"</formula1>
    </dataValidation>
    <dataValidation sqref="B58" showDropDown="0" showInputMessage="0" showErrorMessage="0" allowBlank="0" type="list">
      <formula1>"Yes,No,Unknown"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0"/>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 t="inlineStr">
        <is>
          <t>DATA TRANSMISSION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1.1 External HTTPS/TLS</t>
        </is>
      </c>
      <c r="B4">
        <f>COUNTA('1.1 External HTTPS-TLS'!E8:E30)</f>
        <v/>
      </c>
      <c r="C4">
        <f>COUNTIF('1.1 External HTTPS-TLS'!E8:E30,"✅*")</f>
        <v/>
      </c>
      <c r="D4">
        <f>COUNTIF('1.1 External HTTPS-TLS'!E8:E30,"⚠️*")</f>
        <v/>
      </c>
      <c r="E4">
        <f>COUNTIF('1.1 External HTTPS-TLS'!E8:E30,"❌*")</f>
        <v/>
      </c>
      <c r="F4">
        <f>COUNTIF('1.1 External HTTPS-TLS'!E8:E30,"N/A")</f>
        <v/>
      </c>
      <c r="G4">
        <f>IF((B4-F4)=0,"0%",ROUND(C4/(B4-F4)*100,1)&amp;"%")</f>
        <v/>
      </c>
    </row>
    <row r="5">
      <c r="A5" t="inlineStr">
        <is>
          <t>1.2 Internal HTTPS/TLS</t>
        </is>
      </c>
      <c r="B5">
        <f>COUNTA('1.2 Internal HTTPS-TLS'!E8:E30)</f>
        <v/>
      </c>
      <c r="C5">
        <f>COUNTIF('1.2 Internal HTTPS-TLS'!E8:E30,"✅*")</f>
        <v/>
      </c>
      <c r="D5">
        <f>COUNTIF('1.2 Internal HTTPS-TLS'!E8:E30,"⚠️*")</f>
        <v/>
      </c>
      <c r="E5">
        <f>COUNTIF('1.2 Internal HTTPS-TLS'!E8:E30,"❌*")</f>
        <v/>
      </c>
      <c r="F5">
        <f>COUNTIF('1.2 Internal HTTPS-TLS'!E8:E30,"N/A")</f>
        <v/>
      </c>
      <c r="G5">
        <f>IF((B5-F5)=0,"0%",ROUND(C5/(B5-F5)*100,1)&amp;"%")</f>
        <v/>
      </c>
    </row>
    <row r="6">
      <c r="A6" t="inlineStr">
        <is>
          <t>2.1 Email Encryption</t>
        </is>
      </c>
      <c r="B6">
        <f>COUNTA('2.1 Email Encryption'!E8:E30)</f>
        <v/>
      </c>
      <c r="C6">
        <f>COUNTIF('2.1 Email Encryption'!E8:E30,"✅*")</f>
        <v/>
      </c>
      <c r="D6">
        <f>COUNTIF('2.1 Email Encryption'!E8:E30,"⚠️*")</f>
        <v/>
      </c>
      <c r="E6">
        <f>COUNTIF('2.1 Email Encryption'!E8:E30,"❌*")</f>
        <v/>
      </c>
      <c r="F6">
        <f>COUNTIF('2.1 Email Encryption'!E8:E30,"N/A")</f>
        <v/>
      </c>
      <c r="G6">
        <f>IF((B6-F6)=0,"0%",ROUND(C6/(B6-F6)*100,1)&amp;"%")</f>
        <v/>
      </c>
    </row>
    <row r="7">
      <c r="A7" t="inlineStr">
        <is>
          <t>2.2 Digital Signatures</t>
        </is>
      </c>
      <c r="B7">
        <f>COUNTA('2.2 Digital Signatures'!D8:D30)</f>
        <v/>
      </c>
      <c r="C7">
        <f>COUNTIF('2.2 Digital Signatures'!D8:D30,"✅*")</f>
        <v/>
      </c>
      <c r="D7">
        <f>COUNTIF('2.2 Digital Signatures'!D8:D30,"⚠️*")</f>
        <v/>
      </c>
      <c r="E7">
        <f>COUNTIF('2.2 Digital Signatures'!D8:D30,"❌*")</f>
        <v/>
      </c>
      <c r="F7">
        <f>COUNTIF('2.2 Digital Signatures'!D8:D30,"N/A")</f>
        <v/>
      </c>
      <c r="G7">
        <f>IF((B7-F7)=0,"0%",ROUND(C7/(B7-F7)*100,1)&amp;"%")</f>
        <v/>
      </c>
    </row>
    <row r="8">
      <c r="A8" t="inlineStr">
        <is>
          <t>3.1 File Transfer</t>
        </is>
      </c>
      <c r="B8">
        <f>COUNTA('3.1 File Transfer Protocols'!E8:E30)</f>
        <v/>
      </c>
      <c r="C8">
        <f>COUNTIF('3.1 File Transfer Protocols'!E8:E30,"✅*")</f>
        <v/>
      </c>
      <c r="D8">
        <f>COUNTIF('3.1 File Transfer Protocols'!E8:E30,"⚠️*")</f>
        <v/>
      </c>
      <c r="E8">
        <f>COUNTIF('3.1 File Transfer Protocols'!E8:E30,"❌*")</f>
        <v/>
      </c>
      <c r="F8">
        <f>COUNTIF('3.1 File Transfer Protocols'!E8:E30,"N/A")</f>
        <v/>
      </c>
      <c r="G8">
        <f>IF((B8-F8)=0,"0%",ROUND(C8/(B8-F8)*100,1)&amp;"%")</f>
        <v/>
      </c>
    </row>
    <row r="9">
      <c r="A9" t="inlineStr">
        <is>
          <t>4.1 VPN</t>
        </is>
      </c>
      <c r="B9">
        <f>COUNTA('4.1 VPN'!E8:E30)</f>
        <v/>
      </c>
      <c r="C9">
        <f>COUNTIF('4.1 VPN'!E8:E30,"✅*")</f>
        <v/>
      </c>
      <c r="D9">
        <f>COUNTIF('4.1 VPN'!E8:E30,"⚠️*")</f>
        <v/>
      </c>
      <c r="E9">
        <f>COUNTIF('4.1 VPN'!E8:E30,"❌*")</f>
        <v/>
      </c>
      <c r="F9">
        <f>COUNTIF('4.1 VPN'!E8:E30,"N/A")</f>
        <v/>
      </c>
      <c r="G9">
        <f>IF((B9-F9)=0,"0%",ROUND(C9/(B9-F9)*100,1)&amp;"%")</f>
        <v/>
      </c>
    </row>
    <row r="10">
      <c r="A10" t="inlineStr">
        <is>
          <t>4.2 SSH</t>
        </is>
      </c>
      <c r="B10">
        <f>COUNTA('4.2 SSH'!E8:E30)</f>
        <v/>
      </c>
      <c r="C10">
        <f>COUNTIF('4.2 SSH'!E8:E30,"✅*")</f>
        <v/>
      </c>
      <c r="D10">
        <f>COUNTIF('4.2 SSH'!E8:E30,"⚠️*")</f>
        <v/>
      </c>
      <c r="E10">
        <f>COUNTIF('4.2 SSH'!E8:E30,"❌*")</f>
        <v/>
      </c>
      <c r="F10">
        <f>COUNTIF('4.2 SSH'!E8:E30,"N/A")</f>
        <v/>
      </c>
      <c r="G10">
        <f>IF((B10-F10)=0,"0%",ROUND(C10/(B10-F10)*100,1)&amp;"%")</f>
        <v/>
      </c>
    </row>
    <row r="11">
      <c r="A11" t="inlineStr">
        <is>
          <t>4.3 RDP</t>
        </is>
      </c>
      <c r="B11">
        <f>COUNTA('4.3 RDP'!E8:E30)</f>
        <v/>
      </c>
      <c r="C11">
        <f>COUNTIF('4.3 RDP'!E8:E30,"✅*")</f>
        <v/>
      </c>
      <c r="D11">
        <f>COUNTIF('4.3 RDP'!E8:E30,"⚠️*")</f>
        <v/>
      </c>
      <c r="E11">
        <f>COUNTIF('4.3 RDP'!E8:E30,"❌*")</f>
        <v/>
      </c>
      <c r="F11">
        <f>COUNTIF('4.3 RDP'!E8:E30,"N/A")</f>
        <v/>
      </c>
      <c r="G11">
        <f>IF((B11-F11)=0,"0%",ROUND(C11/(B11-F11)*100,1)&amp;"%")</f>
        <v/>
      </c>
    </row>
    <row r="12">
      <c r="A12" t="inlineStr">
        <is>
          <t>5.1 API Security</t>
        </is>
      </c>
      <c r="B12">
        <f>COUNTA('5.1 API Security'!F8:F30)</f>
        <v/>
      </c>
      <c r="C12">
        <f>COUNTIF('5.1 API Security'!F8:F30,"✅*")</f>
        <v/>
      </c>
      <c r="D12">
        <f>COUNTIF('5.1 API Security'!F8:F30,"⚠️*")</f>
        <v/>
      </c>
      <c r="E12">
        <f>COUNTIF('5.1 API Security'!F8:F30,"❌*")</f>
        <v/>
      </c>
      <c r="F12">
        <f>COUNTIF('5.1 API Security'!F8:F30,"N/A")</f>
        <v/>
      </c>
      <c r="G12">
        <f>IF((B12-F12)=0,"0%",ROUND(C12/(B12-F12)*100,1)&amp;"%")</f>
        <v/>
      </c>
    </row>
    <row r="13">
      <c r="A13" t="inlineStr">
        <is>
          <t>6.1 Database Connections</t>
        </is>
      </c>
      <c r="B13">
        <f>COUNTA('6.1 Database Connections'!D8:D30)</f>
        <v/>
      </c>
      <c r="C13">
        <f>COUNTIF('6.1 Database Connections'!D8:D30,"✅*")</f>
        <v/>
      </c>
      <c r="D13">
        <f>COUNTIF('6.1 Database Connections'!D8:D30,"⚠️*")</f>
        <v/>
      </c>
      <c r="E13">
        <f>COUNTIF('6.1 Database Connections'!D8:D30,"❌*")</f>
        <v/>
      </c>
      <c r="F13">
        <f>COUNTIF('6.1 Database Connections'!D8:D30,"N/A")</f>
        <v/>
      </c>
      <c r="G13">
        <f>IF((B13-F13)=0,"0%",ROUND(C13/(B13-F13)*100,1)&amp;"%")</f>
        <v/>
      </c>
    </row>
    <row r="14">
      <c r="A14" t="inlineStr">
        <is>
          <t>6.2 Wireless Networks</t>
        </is>
      </c>
      <c r="B14">
        <f>COUNTA('6.2 Wireless Networks'!D8:D30)</f>
        <v/>
      </c>
      <c r="C14">
        <f>COUNTIF('6.2 Wireless Networks'!D8:D30,"✅*")</f>
        <v/>
      </c>
      <c r="D14">
        <f>COUNTIF('6.2 Wireless Networks'!D8:D30,"⚠️*")</f>
        <v/>
      </c>
      <c r="E14">
        <f>COUNTIF('6.2 Wireless Networks'!D8:D30,"❌*")</f>
        <v/>
      </c>
      <c r="F14">
        <f>COUNTIF('6.2 Wireless Networks'!D8:D30,"N/A")</f>
        <v/>
      </c>
      <c r="G14">
        <f>IF((B14-F14)=0,"0%",ROUND(C14/(B14-F14)*100,1)&amp;"%")</f>
        <v/>
      </c>
    </row>
    <row r="15">
      <c r="A15" t="inlineStr">
        <is>
          <t>7.1 Cloud Transmission</t>
        </is>
      </c>
      <c r="B15">
        <f>COUNTA('7.1 Cloud Transmission'!D8:D30)</f>
        <v/>
      </c>
      <c r="C15">
        <f>COUNTIF('7.1 Cloud Transmission'!D8:D30,"✅*")</f>
        <v/>
      </c>
      <c r="D15">
        <f>COUNTIF('7.1 Cloud Transmission'!D8:D30,"⚠️*")</f>
        <v/>
      </c>
      <c r="E15">
        <f>COUNTIF('7.1 Cloud Transmission'!D8:D30,"❌*")</f>
        <v/>
      </c>
      <c r="F15">
        <f>COUNTIF('7.1 Cloud Transmission'!D8:D30,"N/A")</f>
        <v/>
      </c>
      <c r="G15">
        <f>IF((B15-F15)=0,"0%",ROUND(C15/(B15-F15)*100,1)&amp;"%")</f>
        <v/>
      </c>
    </row>
    <row r="16">
      <c r="A16" s="3" t="inlineStr">
        <is>
          <t>TOTAL</t>
        </is>
      </c>
      <c r="B16" s="3">
        <f>SUM(B4:B15)</f>
        <v/>
      </c>
      <c r="C16" s="3">
        <f>SUM(C4:C15)</f>
        <v/>
      </c>
      <c r="D16" s="3">
        <f>SUM(D4:D15)</f>
        <v/>
      </c>
      <c r="E16" s="3">
        <f>SUM(E4:E15)</f>
        <v/>
      </c>
      <c r="F16" s="3">
        <f>SUM(F4:F15)</f>
        <v/>
      </c>
      <c r="G16" s="18">
        <f>IF((B16-F16)=0,"0%",ROUND(C16/(B16-F16)*100,1)&amp;"%")</f>
        <v/>
      </c>
    </row>
    <row r="19">
      <c r="A19" s="19" t="inlineStr">
        <is>
          <t>CRITICAL GAPS REQUIRING IMMEDIATE ATTENTION</t>
        </is>
      </c>
    </row>
    <row r="20">
      <c r="A20" s="5" t="inlineStr">
        <is>
          <t>Priority</t>
        </is>
      </c>
      <c r="B20" s="5" t="inlineStr">
        <is>
          <t>Assessment Area</t>
        </is>
      </c>
      <c r="C20" s="5" t="inlineStr">
        <is>
          <t>Gap Description</t>
        </is>
      </c>
      <c r="D20" s="5" t="inlineStr">
        <is>
          <t>Responsible Person</t>
        </is>
      </c>
      <c r="E20" s="5" t="inlineStr">
        <is>
          <t>Target Date</t>
        </is>
      </c>
      <c r="F20" s="5" t="inlineStr">
        <is>
          <t>Status</t>
        </is>
      </c>
    </row>
    <row r="21">
      <c r="A21" s="4" t="n"/>
      <c r="B21" s="13" t="n"/>
      <c r="C21" s="13" t="n"/>
      <c r="D21" s="13" t="n"/>
      <c r="E21" s="13" t="n"/>
      <c r="F21" s="13" t="n"/>
    </row>
    <row r="22">
      <c r="A22" s="4" t="n"/>
      <c r="B22" s="13" t="n"/>
      <c r="C22" s="13" t="n"/>
      <c r="D22" s="13" t="n"/>
      <c r="E22" s="13" t="n"/>
      <c r="F22" s="13" t="n"/>
    </row>
    <row r="23">
      <c r="A23" s="4" t="n"/>
      <c r="B23" s="13" t="n"/>
      <c r="C23" s="13" t="n"/>
      <c r="D23" s="13" t="n"/>
      <c r="E23" s="13" t="n"/>
      <c r="F23" s="13" t="n"/>
    </row>
    <row r="24">
      <c r="A24" s="4" t="n"/>
      <c r="B24" s="13" t="n"/>
      <c r="C24" s="13" t="n"/>
      <c r="D24" s="13" t="n"/>
      <c r="E24" s="13" t="n"/>
      <c r="F24" s="13" t="n"/>
    </row>
    <row r="25">
      <c r="A25" s="4" t="n"/>
      <c r="B25" s="13" t="n"/>
      <c r="C25" s="13" t="n"/>
      <c r="D25" s="13" t="n"/>
      <c r="E25" s="13" t="n"/>
      <c r="F25" s="13" t="n"/>
    </row>
    <row r="26">
      <c r="A26" s="4" t="n"/>
      <c r="B26" s="13" t="n"/>
      <c r="C26" s="13" t="n"/>
      <c r="D26" s="13" t="n"/>
      <c r="E26" s="13" t="n"/>
      <c r="F26" s="13" t="n"/>
    </row>
    <row r="27">
      <c r="A27" s="4" t="n"/>
      <c r="B27" s="13" t="n"/>
      <c r="C27" s="13" t="n"/>
      <c r="D27" s="13" t="n"/>
      <c r="E27" s="13" t="n"/>
      <c r="F27" s="13" t="n"/>
    </row>
    <row r="28">
      <c r="A28" s="4" t="n"/>
      <c r="B28" s="13" t="n"/>
      <c r="C28" s="13" t="n"/>
      <c r="D28" s="13" t="n"/>
      <c r="E28" s="13" t="n"/>
      <c r="F28" s="13" t="n"/>
    </row>
    <row r="29">
      <c r="A29" s="4" t="n"/>
      <c r="B29" s="13" t="n"/>
      <c r="C29" s="13" t="n"/>
      <c r="D29" s="13" t="n"/>
      <c r="E29" s="13" t="n"/>
      <c r="F29" s="13" t="n"/>
    </row>
    <row r="30">
      <c r="A30" s="4" t="n"/>
      <c r="B30" s="13" t="n"/>
      <c r="C30" s="13" t="n"/>
      <c r="D30" s="13" t="n"/>
      <c r="E30" s="13" t="n"/>
      <c r="F30" s="13" t="n"/>
    </row>
  </sheetData>
  <mergeCells count="2">
    <mergeCell ref="A19:G19"/>
    <mergeCell ref="A1:G1"/>
  </mergeCells>
  <dataValidations count="2">
    <dataValidation sqref="A21 A22 A23 A24 A25 A26 A27 A28 A29 A30" showDropDown="0" showInputMessage="0" showErrorMessage="0" allowBlank="0" type="list">
      <formula1>"High,Medium,Low"</formula1>
    </dataValidation>
    <dataValidation sqref="F21 F22 F23 F24 F25 F26 F27 F28 F29 F30" showDropDown="0" showInputMessage="0" showErrorMessage="0" allowBlank="0" type="list">
      <formula1>"Not started,In progress,Completed,Blocked"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 t="inlineStr">
        <is>
          <t>EVIDENCE REGISTER</t>
        </is>
      </c>
    </row>
    <row r="2">
      <c r="A2" s="20"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1" t="inlineStr">
        <is>
          <t>EV-001</t>
        </is>
      </c>
      <c r="B5" s="13" t="n"/>
      <c r="C5" s="13" t="n"/>
      <c r="D5" s="13" t="n"/>
      <c r="E5" s="13" t="n"/>
      <c r="F5" s="13" t="n"/>
      <c r="G5" s="13" t="n"/>
      <c r="H5" s="13" t="n"/>
    </row>
    <row r="6">
      <c r="A6" s="21" t="inlineStr">
        <is>
          <t>EV-002</t>
        </is>
      </c>
      <c r="B6" s="13" t="n"/>
      <c r="C6" s="13" t="n"/>
      <c r="D6" s="13" t="n"/>
      <c r="E6" s="13" t="n"/>
      <c r="F6" s="13" t="n"/>
      <c r="G6" s="13" t="n"/>
      <c r="H6" s="13" t="n"/>
    </row>
    <row r="7">
      <c r="A7" s="21" t="inlineStr">
        <is>
          <t>EV-003</t>
        </is>
      </c>
      <c r="B7" s="13" t="n"/>
      <c r="C7" s="13" t="n"/>
      <c r="D7" s="13" t="n"/>
      <c r="E7" s="13" t="n"/>
      <c r="F7" s="13" t="n"/>
      <c r="G7" s="13" t="n"/>
      <c r="H7" s="13" t="n"/>
    </row>
    <row r="8">
      <c r="A8" s="21" t="inlineStr">
        <is>
          <t>EV-004</t>
        </is>
      </c>
      <c r="B8" s="13" t="n"/>
      <c r="C8" s="13" t="n"/>
      <c r="D8" s="13" t="n"/>
      <c r="E8" s="13" t="n"/>
      <c r="F8" s="13" t="n"/>
      <c r="G8" s="13" t="n"/>
      <c r="H8" s="13" t="n"/>
    </row>
    <row r="9">
      <c r="A9" s="21" t="inlineStr">
        <is>
          <t>EV-005</t>
        </is>
      </c>
      <c r="B9" s="13" t="n"/>
      <c r="C9" s="13" t="n"/>
      <c r="D9" s="13" t="n"/>
      <c r="E9" s="13" t="n"/>
      <c r="F9" s="13" t="n"/>
      <c r="G9" s="13" t="n"/>
      <c r="H9" s="13" t="n"/>
    </row>
    <row r="10">
      <c r="A10" s="21" t="inlineStr">
        <is>
          <t>EV-006</t>
        </is>
      </c>
      <c r="B10" s="13" t="n"/>
      <c r="C10" s="13" t="n"/>
      <c r="D10" s="13" t="n"/>
      <c r="E10" s="13" t="n"/>
      <c r="F10" s="13" t="n"/>
      <c r="G10" s="13" t="n"/>
      <c r="H10" s="13" t="n"/>
    </row>
    <row r="11">
      <c r="A11" s="21" t="inlineStr">
        <is>
          <t>EV-007</t>
        </is>
      </c>
      <c r="B11" s="13" t="n"/>
      <c r="C11" s="13" t="n"/>
      <c r="D11" s="13" t="n"/>
      <c r="E11" s="13" t="n"/>
      <c r="F11" s="13" t="n"/>
      <c r="G11" s="13" t="n"/>
      <c r="H11" s="13" t="n"/>
    </row>
    <row r="12">
      <c r="A12" s="21" t="inlineStr">
        <is>
          <t>EV-008</t>
        </is>
      </c>
      <c r="B12" s="13" t="n"/>
      <c r="C12" s="13" t="n"/>
      <c r="D12" s="13" t="n"/>
      <c r="E12" s="13" t="n"/>
      <c r="F12" s="13" t="n"/>
      <c r="G12" s="13" t="n"/>
      <c r="H12" s="13" t="n"/>
    </row>
    <row r="13">
      <c r="A13" s="21" t="inlineStr">
        <is>
          <t>EV-009</t>
        </is>
      </c>
      <c r="B13" s="13" t="n"/>
      <c r="C13" s="13" t="n"/>
      <c r="D13" s="13" t="n"/>
      <c r="E13" s="13" t="n"/>
      <c r="F13" s="13" t="n"/>
      <c r="G13" s="13" t="n"/>
      <c r="H13" s="13" t="n"/>
    </row>
    <row r="14">
      <c r="A14" s="21" t="inlineStr">
        <is>
          <t>EV-010</t>
        </is>
      </c>
      <c r="B14" s="13" t="n"/>
      <c r="C14" s="13" t="n"/>
      <c r="D14" s="13" t="n"/>
      <c r="E14" s="13" t="n"/>
      <c r="F14" s="13" t="n"/>
      <c r="G14" s="13" t="n"/>
      <c r="H14" s="13" t="n"/>
    </row>
    <row r="15">
      <c r="A15" s="21" t="inlineStr">
        <is>
          <t>EV-011</t>
        </is>
      </c>
      <c r="B15" s="13" t="n"/>
      <c r="C15" s="13" t="n"/>
      <c r="D15" s="13" t="n"/>
      <c r="E15" s="13" t="n"/>
      <c r="F15" s="13" t="n"/>
      <c r="G15" s="13" t="n"/>
      <c r="H15" s="13" t="n"/>
    </row>
    <row r="16">
      <c r="A16" s="21" t="inlineStr">
        <is>
          <t>EV-012</t>
        </is>
      </c>
      <c r="B16" s="13" t="n"/>
      <c r="C16" s="13" t="n"/>
      <c r="D16" s="13" t="n"/>
      <c r="E16" s="13" t="n"/>
      <c r="F16" s="13" t="n"/>
      <c r="G16" s="13" t="n"/>
      <c r="H16" s="13" t="n"/>
    </row>
    <row r="17">
      <c r="A17" s="21" t="inlineStr">
        <is>
          <t>EV-013</t>
        </is>
      </c>
      <c r="B17" s="13" t="n"/>
      <c r="C17" s="13" t="n"/>
      <c r="D17" s="13" t="n"/>
      <c r="E17" s="13" t="n"/>
      <c r="F17" s="13" t="n"/>
      <c r="G17" s="13" t="n"/>
      <c r="H17" s="13" t="n"/>
    </row>
    <row r="18">
      <c r="A18" s="21" t="inlineStr">
        <is>
          <t>EV-014</t>
        </is>
      </c>
      <c r="B18" s="13" t="n"/>
      <c r="C18" s="13" t="n"/>
      <c r="D18" s="13" t="n"/>
      <c r="E18" s="13" t="n"/>
      <c r="F18" s="13" t="n"/>
      <c r="G18" s="13" t="n"/>
      <c r="H18" s="13" t="n"/>
    </row>
    <row r="19">
      <c r="A19" s="21" t="inlineStr">
        <is>
          <t>EV-015</t>
        </is>
      </c>
      <c r="B19" s="13" t="n"/>
      <c r="C19" s="13" t="n"/>
      <c r="D19" s="13" t="n"/>
      <c r="E19" s="13" t="n"/>
      <c r="F19" s="13" t="n"/>
      <c r="G19" s="13" t="n"/>
      <c r="H19" s="13" t="n"/>
    </row>
    <row r="20">
      <c r="A20" s="21" t="inlineStr">
        <is>
          <t>EV-016</t>
        </is>
      </c>
      <c r="B20" s="13" t="n"/>
      <c r="C20" s="13" t="n"/>
      <c r="D20" s="13" t="n"/>
      <c r="E20" s="13" t="n"/>
      <c r="F20" s="13" t="n"/>
      <c r="G20" s="13" t="n"/>
      <c r="H20" s="13" t="n"/>
    </row>
    <row r="21">
      <c r="A21" s="21" t="inlineStr">
        <is>
          <t>EV-017</t>
        </is>
      </c>
      <c r="B21" s="13" t="n"/>
      <c r="C21" s="13" t="n"/>
      <c r="D21" s="13" t="n"/>
      <c r="E21" s="13" t="n"/>
      <c r="F21" s="13" t="n"/>
      <c r="G21" s="13" t="n"/>
      <c r="H21" s="13" t="n"/>
    </row>
    <row r="22">
      <c r="A22" s="21" t="inlineStr">
        <is>
          <t>EV-018</t>
        </is>
      </c>
      <c r="B22" s="13" t="n"/>
      <c r="C22" s="13" t="n"/>
      <c r="D22" s="13" t="n"/>
      <c r="E22" s="13" t="n"/>
      <c r="F22" s="13" t="n"/>
      <c r="G22" s="13" t="n"/>
      <c r="H22" s="13" t="n"/>
    </row>
    <row r="23">
      <c r="A23" s="21" t="inlineStr">
        <is>
          <t>EV-019</t>
        </is>
      </c>
      <c r="B23" s="13" t="n"/>
      <c r="C23" s="13" t="n"/>
      <c r="D23" s="13" t="n"/>
      <c r="E23" s="13" t="n"/>
      <c r="F23" s="13" t="n"/>
      <c r="G23" s="13" t="n"/>
      <c r="H23" s="13" t="n"/>
    </row>
    <row r="24">
      <c r="A24" s="21" t="inlineStr">
        <is>
          <t>EV-020</t>
        </is>
      </c>
      <c r="B24" s="13" t="n"/>
      <c r="C24" s="13" t="n"/>
      <c r="D24" s="13" t="n"/>
      <c r="E24" s="13" t="n"/>
      <c r="F24" s="13" t="n"/>
      <c r="G24" s="13" t="n"/>
      <c r="H24" s="13" t="n"/>
    </row>
    <row r="25">
      <c r="A25" s="21" t="inlineStr">
        <is>
          <t>EV-021</t>
        </is>
      </c>
      <c r="B25" s="13" t="n"/>
      <c r="C25" s="13" t="n"/>
      <c r="D25" s="13" t="n"/>
      <c r="E25" s="13" t="n"/>
      <c r="F25" s="13" t="n"/>
      <c r="G25" s="13" t="n"/>
      <c r="H25" s="13" t="n"/>
    </row>
    <row r="26">
      <c r="A26" s="21" t="inlineStr">
        <is>
          <t>EV-022</t>
        </is>
      </c>
      <c r="B26" s="13" t="n"/>
      <c r="C26" s="13" t="n"/>
      <c r="D26" s="13" t="n"/>
      <c r="E26" s="13" t="n"/>
      <c r="F26" s="13" t="n"/>
      <c r="G26" s="13" t="n"/>
      <c r="H26" s="13" t="n"/>
    </row>
    <row r="27">
      <c r="A27" s="21" t="inlineStr">
        <is>
          <t>EV-023</t>
        </is>
      </c>
      <c r="B27" s="13" t="n"/>
      <c r="C27" s="13" t="n"/>
      <c r="D27" s="13" t="n"/>
      <c r="E27" s="13" t="n"/>
      <c r="F27" s="13" t="n"/>
      <c r="G27" s="13" t="n"/>
      <c r="H27" s="13" t="n"/>
    </row>
    <row r="28">
      <c r="A28" s="21" t="inlineStr">
        <is>
          <t>EV-024</t>
        </is>
      </c>
      <c r="B28" s="13" t="n"/>
      <c r="C28" s="13" t="n"/>
      <c r="D28" s="13" t="n"/>
      <c r="E28" s="13" t="n"/>
      <c r="F28" s="13" t="n"/>
      <c r="G28" s="13" t="n"/>
      <c r="H28" s="13" t="n"/>
    </row>
    <row r="29">
      <c r="A29" s="21" t="inlineStr">
        <is>
          <t>EV-025</t>
        </is>
      </c>
      <c r="B29" s="13" t="n"/>
      <c r="C29" s="13" t="n"/>
      <c r="D29" s="13" t="n"/>
      <c r="E29" s="13" t="n"/>
      <c r="F29" s="13" t="n"/>
      <c r="G29" s="13" t="n"/>
      <c r="H29" s="13" t="n"/>
    </row>
    <row r="30">
      <c r="A30" s="21" t="inlineStr">
        <is>
          <t>EV-026</t>
        </is>
      </c>
      <c r="B30" s="13" t="n"/>
      <c r="C30" s="13" t="n"/>
      <c r="D30" s="13" t="n"/>
      <c r="E30" s="13" t="n"/>
      <c r="F30" s="13" t="n"/>
      <c r="G30" s="13" t="n"/>
      <c r="H30" s="13" t="n"/>
    </row>
    <row r="31">
      <c r="A31" s="21" t="inlineStr">
        <is>
          <t>EV-027</t>
        </is>
      </c>
      <c r="B31" s="13" t="n"/>
      <c r="C31" s="13" t="n"/>
      <c r="D31" s="13" t="n"/>
      <c r="E31" s="13" t="n"/>
      <c r="F31" s="13" t="n"/>
      <c r="G31" s="13" t="n"/>
      <c r="H31" s="13" t="n"/>
    </row>
    <row r="32">
      <c r="A32" s="21" t="inlineStr">
        <is>
          <t>EV-028</t>
        </is>
      </c>
      <c r="B32" s="13" t="n"/>
      <c r="C32" s="13" t="n"/>
      <c r="D32" s="13" t="n"/>
      <c r="E32" s="13" t="n"/>
      <c r="F32" s="13" t="n"/>
      <c r="G32" s="13" t="n"/>
      <c r="H32" s="13" t="n"/>
    </row>
    <row r="33">
      <c r="A33" s="21" t="inlineStr">
        <is>
          <t>EV-029</t>
        </is>
      </c>
      <c r="B33" s="13" t="n"/>
      <c r="C33" s="13" t="n"/>
      <c r="D33" s="13" t="n"/>
      <c r="E33" s="13" t="n"/>
      <c r="F33" s="13" t="n"/>
      <c r="G33" s="13" t="n"/>
      <c r="H33" s="13" t="n"/>
    </row>
    <row r="34">
      <c r="A34" s="21" t="inlineStr">
        <is>
          <t>EV-030</t>
        </is>
      </c>
      <c r="B34" s="13" t="n"/>
      <c r="C34" s="13" t="n"/>
      <c r="D34" s="13" t="n"/>
      <c r="E34" s="13" t="n"/>
      <c r="F34" s="13" t="n"/>
      <c r="G34" s="13" t="n"/>
      <c r="H34" s="13" t="n"/>
    </row>
    <row r="35">
      <c r="A35" s="21" t="inlineStr">
        <is>
          <t>EV-031</t>
        </is>
      </c>
      <c r="B35" s="13" t="n"/>
      <c r="C35" s="13" t="n"/>
      <c r="D35" s="13" t="n"/>
      <c r="E35" s="13" t="n"/>
      <c r="F35" s="13" t="n"/>
      <c r="G35" s="13" t="n"/>
      <c r="H35" s="13" t="n"/>
    </row>
    <row r="36">
      <c r="A36" s="21" t="inlineStr">
        <is>
          <t>EV-032</t>
        </is>
      </c>
      <c r="B36" s="13" t="n"/>
      <c r="C36" s="13" t="n"/>
      <c r="D36" s="13" t="n"/>
      <c r="E36" s="13" t="n"/>
      <c r="F36" s="13" t="n"/>
      <c r="G36" s="13" t="n"/>
      <c r="H36" s="13" t="n"/>
    </row>
    <row r="37">
      <c r="A37" s="21" t="inlineStr">
        <is>
          <t>EV-033</t>
        </is>
      </c>
      <c r="B37" s="13" t="n"/>
      <c r="C37" s="13" t="n"/>
      <c r="D37" s="13" t="n"/>
      <c r="E37" s="13" t="n"/>
      <c r="F37" s="13" t="n"/>
      <c r="G37" s="13" t="n"/>
      <c r="H37" s="13" t="n"/>
    </row>
    <row r="38">
      <c r="A38" s="21" t="inlineStr">
        <is>
          <t>EV-034</t>
        </is>
      </c>
      <c r="B38" s="13" t="n"/>
      <c r="C38" s="13" t="n"/>
      <c r="D38" s="13" t="n"/>
      <c r="E38" s="13" t="n"/>
      <c r="F38" s="13" t="n"/>
      <c r="G38" s="13" t="n"/>
      <c r="H38" s="13" t="n"/>
    </row>
    <row r="39">
      <c r="A39" s="21" t="inlineStr">
        <is>
          <t>EV-035</t>
        </is>
      </c>
      <c r="B39" s="13" t="n"/>
      <c r="C39" s="13" t="n"/>
      <c r="D39" s="13" t="n"/>
      <c r="E39" s="13" t="n"/>
      <c r="F39" s="13" t="n"/>
      <c r="G39" s="13" t="n"/>
      <c r="H39" s="13" t="n"/>
    </row>
    <row r="40">
      <c r="A40" s="21" t="inlineStr">
        <is>
          <t>EV-036</t>
        </is>
      </c>
      <c r="B40" s="13" t="n"/>
      <c r="C40" s="13" t="n"/>
      <c r="D40" s="13" t="n"/>
      <c r="E40" s="13" t="n"/>
      <c r="F40" s="13" t="n"/>
      <c r="G40" s="13" t="n"/>
      <c r="H40" s="13" t="n"/>
    </row>
    <row r="41">
      <c r="A41" s="21" t="inlineStr">
        <is>
          <t>EV-037</t>
        </is>
      </c>
      <c r="B41" s="13" t="n"/>
      <c r="C41" s="13" t="n"/>
      <c r="D41" s="13" t="n"/>
      <c r="E41" s="13" t="n"/>
      <c r="F41" s="13" t="n"/>
      <c r="G41" s="13" t="n"/>
      <c r="H41" s="13" t="n"/>
    </row>
    <row r="42">
      <c r="A42" s="21" t="inlineStr">
        <is>
          <t>EV-038</t>
        </is>
      </c>
      <c r="B42" s="13" t="n"/>
      <c r="C42" s="13" t="n"/>
      <c r="D42" s="13" t="n"/>
      <c r="E42" s="13" t="n"/>
      <c r="F42" s="13" t="n"/>
      <c r="G42" s="13" t="n"/>
      <c r="H42" s="13" t="n"/>
    </row>
    <row r="43">
      <c r="A43" s="21" t="inlineStr">
        <is>
          <t>EV-039</t>
        </is>
      </c>
      <c r="B43" s="13" t="n"/>
      <c r="C43" s="13" t="n"/>
      <c r="D43" s="13" t="n"/>
      <c r="E43" s="13" t="n"/>
      <c r="F43" s="13" t="n"/>
      <c r="G43" s="13" t="n"/>
      <c r="H43" s="13" t="n"/>
    </row>
    <row r="44">
      <c r="A44" s="21" t="inlineStr">
        <is>
          <t>EV-040</t>
        </is>
      </c>
      <c r="B44" s="13" t="n"/>
      <c r="C44" s="13" t="n"/>
      <c r="D44" s="13" t="n"/>
      <c r="E44" s="13" t="n"/>
      <c r="F44" s="13" t="n"/>
      <c r="G44" s="13" t="n"/>
      <c r="H44" s="13" t="n"/>
    </row>
    <row r="45">
      <c r="A45" s="21" t="inlineStr">
        <is>
          <t>EV-041</t>
        </is>
      </c>
      <c r="B45" s="13" t="n"/>
      <c r="C45" s="13" t="n"/>
      <c r="D45" s="13" t="n"/>
      <c r="E45" s="13" t="n"/>
      <c r="F45" s="13" t="n"/>
      <c r="G45" s="13" t="n"/>
      <c r="H45" s="13" t="n"/>
    </row>
    <row r="46">
      <c r="A46" s="21" t="inlineStr">
        <is>
          <t>EV-042</t>
        </is>
      </c>
      <c r="B46" s="13" t="n"/>
      <c r="C46" s="13" t="n"/>
      <c r="D46" s="13" t="n"/>
      <c r="E46" s="13" t="n"/>
      <c r="F46" s="13" t="n"/>
      <c r="G46" s="13" t="n"/>
      <c r="H46" s="13" t="n"/>
    </row>
    <row r="47">
      <c r="A47" s="21" t="inlineStr">
        <is>
          <t>EV-043</t>
        </is>
      </c>
      <c r="B47" s="13" t="n"/>
      <c r="C47" s="13" t="n"/>
      <c r="D47" s="13" t="n"/>
      <c r="E47" s="13" t="n"/>
      <c r="F47" s="13" t="n"/>
      <c r="G47" s="13" t="n"/>
      <c r="H47" s="13" t="n"/>
    </row>
    <row r="48">
      <c r="A48" s="21" t="inlineStr">
        <is>
          <t>EV-044</t>
        </is>
      </c>
      <c r="B48" s="13" t="n"/>
      <c r="C48" s="13" t="n"/>
      <c r="D48" s="13" t="n"/>
      <c r="E48" s="13" t="n"/>
      <c r="F48" s="13" t="n"/>
      <c r="G48" s="13" t="n"/>
      <c r="H48" s="13" t="n"/>
    </row>
    <row r="49">
      <c r="A49" s="21" t="inlineStr">
        <is>
          <t>EV-045</t>
        </is>
      </c>
      <c r="B49" s="13" t="n"/>
      <c r="C49" s="13" t="n"/>
      <c r="D49" s="13" t="n"/>
      <c r="E49" s="13" t="n"/>
      <c r="F49" s="13" t="n"/>
      <c r="G49" s="13" t="n"/>
      <c r="H49" s="13" t="n"/>
    </row>
    <row r="50">
      <c r="A50" s="21" t="inlineStr">
        <is>
          <t>EV-046</t>
        </is>
      </c>
      <c r="B50" s="13" t="n"/>
      <c r="C50" s="13" t="n"/>
      <c r="D50" s="13" t="n"/>
      <c r="E50" s="13" t="n"/>
      <c r="F50" s="13" t="n"/>
      <c r="G50" s="13" t="n"/>
      <c r="H50" s="13" t="n"/>
    </row>
    <row r="51">
      <c r="A51" s="21" t="inlineStr">
        <is>
          <t>EV-047</t>
        </is>
      </c>
      <c r="B51" s="13" t="n"/>
      <c r="C51" s="13" t="n"/>
      <c r="D51" s="13" t="n"/>
      <c r="E51" s="13" t="n"/>
      <c r="F51" s="13" t="n"/>
      <c r="G51" s="13" t="n"/>
      <c r="H51" s="13" t="n"/>
    </row>
    <row r="52">
      <c r="A52" s="21" t="inlineStr">
        <is>
          <t>EV-048</t>
        </is>
      </c>
      <c r="B52" s="13" t="n"/>
      <c r="C52" s="13" t="n"/>
      <c r="D52" s="13" t="n"/>
      <c r="E52" s="13" t="n"/>
      <c r="F52" s="13" t="n"/>
      <c r="G52" s="13" t="n"/>
      <c r="H52" s="13" t="n"/>
    </row>
    <row r="53">
      <c r="A53" s="21" t="inlineStr">
        <is>
          <t>EV-049</t>
        </is>
      </c>
      <c r="B53" s="13" t="n"/>
      <c r="C53" s="13" t="n"/>
      <c r="D53" s="13" t="n"/>
      <c r="E53" s="13" t="n"/>
      <c r="F53" s="13" t="n"/>
      <c r="G53" s="13" t="n"/>
      <c r="H53" s="13" t="n"/>
    </row>
    <row r="54">
      <c r="A54" s="21" t="inlineStr">
        <is>
          <t>EV-050</t>
        </is>
      </c>
      <c r="B54" s="13" t="n"/>
      <c r="C54" s="13" t="n"/>
      <c r="D54" s="13" t="n"/>
      <c r="E54" s="13" t="n"/>
      <c r="F54" s="13" t="n"/>
      <c r="G54" s="13" t="n"/>
      <c r="H54" s="13" t="n"/>
    </row>
    <row r="55">
      <c r="A55" s="21" t="inlineStr">
        <is>
          <t>EV-051</t>
        </is>
      </c>
      <c r="B55" s="13" t="n"/>
      <c r="C55" s="13" t="n"/>
      <c r="D55" s="13" t="n"/>
      <c r="E55" s="13" t="n"/>
      <c r="F55" s="13" t="n"/>
      <c r="G55" s="13" t="n"/>
      <c r="H55" s="13" t="n"/>
    </row>
    <row r="56">
      <c r="A56" s="21" t="inlineStr">
        <is>
          <t>EV-052</t>
        </is>
      </c>
      <c r="B56" s="13" t="n"/>
      <c r="C56" s="13" t="n"/>
      <c r="D56" s="13" t="n"/>
      <c r="E56" s="13" t="n"/>
      <c r="F56" s="13" t="n"/>
      <c r="G56" s="13" t="n"/>
      <c r="H56" s="13" t="n"/>
    </row>
    <row r="57">
      <c r="A57" s="21" t="inlineStr">
        <is>
          <t>EV-053</t>
        </is>
      </c>
      <c r="B57" s="13" t="n"/>
      <c r="C57" s="13" t="n"/>
      <c r="D57" s="13" t="n"/>
      <c r="E57" s="13" t="n"/>
      <c r="F57" s="13" t="n"/>
      <c r="G57" s="13" t="n"/>
      <c r="H57" s="13" t="n"/>
    </row>
    <row r="58">
      <c r="A58" s="21" t="inlineStr">
        <is>
          <t>EV-054</t>
        </is>
      </c>
      <c r="B58" s="13" t="n"/>
      <c r="C58" s="13" t="n"/>
      <c r="D58" s="13" t="n"/>
      <c r="E58" s="13" t="n"/>
      <c r="F58" s="13" t="n"/>
      <c r="G58" s="13" t="n"/>
      <c r="H58" s="13" t="n"/>
    </row>
    <row r="59">
      <c r="A59" s="21" t="inlineStr">
        <is>
          <t>EV-055</t>
        </is>
      </c>
      <c r="B59" s="13" t="n"/>
      <c r="C59" s="13" t="n"/>
      <c r="D59" s="13" t="n"/>
      <c r="E59" s="13" t="n"/>
      <c r="F59" s="13" t="n"/>
      <c r="G59" s="13" t="n"/>
      <c r="H59" s="13" t="n"/>
    </row>
    <row r="60">
      <c r="A60" s="21" t="inlineStr">
        <is>
          <t>EV-056</t>
        </is>
      </c>
      <c r="B60" s="13" t="n"/>
      <c r="C60" s="13" t="n"/>
      <c r="D60" s="13" t="n"/>
      <c r="E60" s="13" t="n"/>
      <c r="F60" s="13" t="n"/>
      <c r="G60" s="13" t="n"/>
      <c r="H60" s="13" t="n"/>
    </row>
    <row r="61">
      <c r="A61" s="21" t="inlineStr">
        <is>
          <t>EV-057</t>
        </is>
      </c>
      <c r="B61" s="13" t="n"/>
      <c r="C61" s="13" t="n"/>
      <c r="D61" s="13" t="n"/>
      <c r="E61" s="13" t="n"/>
      <c r="F61" s="13" t="n"/>
      <c r="G61" s="13" t="n"/>
      <c r="H61" s="13" t="n"/>
    </row>
    <row r="62">
      <c r="A62" s="21" t="inlineStr">
        <is>
          <t>EV-058</t>
        </is>
      </c>
      <c r="B62" s="13" t="n"/>
      <c r="C62" s="13" t="n"/>
      <c r="D62" s="13" t="n"/>
      <c r="E62" s="13" t="n"/>
      <c r="F62" s="13" t="n"/>
      <c r="G62" s="13" t="n"/>
      <c r="H62" s="13" t="n"/>
    </row>
    <row r="63">
      <c r="A63" s="21" t="inlineStr">
        <is>
          <t>EV-059</t>
        </is>
      </c>
      <c r="B63" s="13" t="n"/>
      <c r="C63" s="13" t="n"/>
      <c r="D63" s="13" t="n"/>
      <c r="E63" s="13" t="n"/>
      <c r="F63" s="13" t="n"/>
      <c r="G63" s="13" t="n"/>
      <c r="H63" s="13" t="n"/>
    </row>
    <row r="64">
      <c r="A64" s="21" t="inlineStr">
        <is>
          <t>EV-060</t>
        </is>
      </c>
      <c r="B64" s="13" t="n"/>
      <c r="C64" s="13" t="n"/>
      <c r="D64" s="13" t="n"/>
      <c r="E64" s="13" t="n"/>
      <c r="F64" s="13" t="n"/>
      <c r="G64" s="13" t="n"/>
      <c r="H64" s="13" t="n"/>
    </row>
    <row r="65">
      <c r="A65" s="21" t="inlineStr">
        <is>
          <t>EV-061</t>
        </is>
      </c>
      <c r="B65" s="13" t="n"/>
      <c r="C65" s="13" t="n"/>
      <c r="D65" s="13" t="n"/>
      <c r="E65" s="13" t="n"/>
      <c r="F65" s="13" t="n"/>
      <c r="G65" s="13" t="n"/>
      <c r="H65" s="13" t="n"/>
    </row>
    <row r="66">
      <c r="A66" s="21" t="inlineStr">
        <is>
          <t>EV-062</t>
        </is>
      </c>
      <c r="B66" s="13" t="n"/>
      <c r="C66" s="13" t="n"/>
      <c r="D66" s="13" t="n"/>
      <c r="E66" s="13" t="n"/>
      <c r="F66" s="13" t="n"/>
      <c r="G66" s="13" t="n"/>
      <c r="H66" s="13" t="n"/>
    </row>
    <row r="67">
      <c r="A67" s="21" t="inlineStr">
        <is>
          <t>EV-063</t>
        </is>
      </c>
      <c r="B67" s="13" t="n"/>
      <c r="C67" s="13" t="n"/>
      <c r="D67" s="13" t="n"/>
      <c r="E67" s="13" t="n"/>
      <c r="F67" s="13" t="n"/>
      <c r="G67" s="13" t="n"/>
      <c r="H67" s="13" t="n"/>
    </row>
    <row r="68">
      <c r="A68" s="21" t="inlineStr">
        <is>
          <t>EV-064</t>
        </is>
      </c>
      <c r="B68" s="13" t="n"/>
      <c r="C68" s="13" t="n"/>
      <c r="D68" s="13" t="n"/>
      <c r="E68" s="13" t="n"/>
      <c r="F68" s="13" t="n"/>
      <c r="G68" s="13" t="n"/>
      <c r="H68" s="13" t="n"/>
    </row>
    <row r="69">
      <c r="A69" s="21" t="inlineStr">
        <is>
          <t>EV-065</t>
        </is>
      </c>
      <c r="B69" s="13" t="n"/>
      <c r="C69" s="13" t="n"/>
      <c r="D69" s="13" t="n"/>
      <c r="E69" s="13" t="n"/>
      <c r="F69" s="13" t="n"/>
      <c r="G69" s="13" t="n"/>
      <c r="H69" s="13" t="n"/>
    </row>
    <row r="70">
      <c r="A70" s="21" t="inlineStr">
        <is>
          <t>EV-066</t>
        </is>
      </c>
      <c r="B70" s="13" t="n"/>
      <c r="C70" s="13" t="n"/>
      <c r="D70" s="13" t="n"/>
      <c r="E70" s="13" t="n"/>
      <c r="F70" s="13" t="n"/>
      <c r="G70" s="13" t="n"/>
      <c r="H70" s="13" t="n"/>
    </row>
    <row r="71">
      <c r="A71" s="21" t="inlineStr">
        <is>
          <t>EV-067</t>
        </is>
      </c>
      <c r="B71" s="13" t="n"/>
      <c r="C71" s="13" t="n"/>
      <c r="D71" s="13" t="n"/>
      <c r="E71" s="13" t="n"/>
      <c r="F71" s="13" t="n"/>
      <c r="G71" s="13" t="n"/>
      <c r="H71" s="13" t="n"/>
    </row>
    <row r="72">
      <c r="A72" s="21" t="inlineStr">
        <is>
          <t>EV-068</t>
        </is>
      </c>
      <c r="B72" s="13" t="n"/>
      <c r="C72" s="13" t="n"/>
      <c r="D72" s="13" t="n"/>
      <c r="E72" s="13" t="n"/>
      <c r="F72" s="13" t="n"/>
      <c r="G72" s="13" t="n"/>
      <c r="H72" s="13" t="n"/>
    </row>
    <row r="73">
      <c r="A73" s="21" t="inlineStr">
        <is>
          <t>EV-069</t>
        </is>
      </c>
      <c r="B73" s="13" t="n"/>
      <c r="C73" s="13" t="n"/>
      <c r="D73" s="13" t="n"/>
      <c r="E73" s="13" t="n"/>
      <c r="F73" s="13" t="n"/>
      <c r="G73" s="13" t="n"/>
      <c r="H73" s="13" t="n"/>
    </row>
    <row r="74">
      <c r="A74" s="21" t="inlineStr">
        <is>
          <t>EV-070</t>
        </is>
      </c>
      <c r="B74" s="13" t="n"/>
      <c r="C74" s="13" t="n"/>
      <c r="D74" s="13" t="n"/>
      <c r="E74" s="13" t="n"/>
      <c r="F74" s="13" t="n"/>
      <c r="G74" s="13" t="n"/>
      <c r="H74" s="13" t="n"/>
    </row>
    <row r="75">
      <c r="A75" s="21" t="inlineStr">
        <is>
          <t>EV-071</t>
        </is>
      </c>
      <c r="B75" s="13" t="n"/>
      <c r="C75" s="13" t="n"/>
      <c r="D75" s="13" t="n"/>
      <c r="E75" s="13" t="n"/>
      <c r="F75" s="13" t="n"/>
      <c r="G75" s="13" t="n"/>
      <c r="H75" s="13" t="n"/>
    </row>
    <row r="76">
      <c r="A76" s="21" t="inlineStr">
        <is>
          <t>EV-072</t>
        </is>
      </c>
      <c r="B76" s="13" t="n"/>
      <c r="C76" s="13" t="n"/>
      <c r="D76" s="13" t="n"/>
      <c r="E76" s="13" t="n"/>
      <c r="F76" s="13" t="n"/>
      <c r="G76" s="13" t="n"/>
      <c r="H76" s="13" t="n"/>
    </row>
    <row r="77">
      <c r="A77" s="21" t="inlineStr">
        <is>
          <t>EV-073</t>
        </is>
      </c>
      <c r="B77" s="13" t="n"/>
      <c r="C77" s="13" t="n"/>
      <c r="D77" s="13" t="n"/>
      <c r="E77" s="13" t="n"/>
      <c r="F77" s="13" t="n"/>
      <c r="G77" s="13" t="n"/>
      <c r="H77" s="13" t="n"/>
    </row>
    <row r="78">
      <c r="A78" s="21" t="inlineStr">
        <is>
          <t>EV-074</t>
        </is>
      </c>
      <c r="B78" s="13" t="n"/>
      <c r="C78" s="13" t="n"/>
      <c r="D78" s="13" t="n"/>
      <c r="E78" s="13" t="n"/>
      <c r="F78" s="13" t="n"/>
      <c r="G78" s="13" t="n"/>
      <c r="H78" s="13" t="n"/>
    </row>
    <row r="79">
      <c r="A79" s="21" t="inlineStr">
        <is>
          <t>EV-075</t>
        </is>
      </c>
      <c r="B79" s="13" t="n"/>
      <c r="C79" s="13" t="n"/>
      <c r="D79" s="13" t="n"/>
      <c r="E79" s="13" t="n"/>
      <c r="F79" s="13" t="n"/>
      <c r="G79" s="13" t="n"/>
      <c r="H79" s="13" t="n"/>
    </row>
    <row r="80">
      <c r="A80" s="21" t="inlineStr">
        <is>
          <t>EV-076</t>
        </is>
      </c>
      <c r="B80" s="13" t="n"/>
      <c r="C80" s="13" t="n"/>
      <c r="D80" s="13" t="n"/>
      <c r="E80" s="13" t="n"/>
      <c r="F80" s="13" t="n"/>
      <c r="G80" s="13" t="n"/>
      <c r="H80" s="13" t="n"/>
    </row>
    <row r="81">
      <c r="A81" s="21" t="inlineStr">
        <is>
          <t>EV-077</t>
        </is>
      </c>
      <c r="B81" s="13" t="n"/>
      <c r="C81" s="13" t="n"/>
      <c r="D81" s="13" t="n"/>
      <c r="E81" s="13" t="n"/>
      <c r="F81" s="13" t="n"/>
      <c r="G81" s="13" t="n"/>
      <c r="H81" s="13" t="n"/>
    </row>
    <row r="82">
      <c r="A82" s="21" t="inlineStr">
        <is>
          <t>EV-078</t>
        </is>
      </c>
      <c r="B82" s="13" t="n"/>
      <c r="C82" s="13" t="n"/>
      <c r="D82" s="13" t="n"/>
      <c r="E82" s="13" t="n"/>
      <c r="F82" s="13" t="n"/>
      <c r="G82" s="13" t="n"/>
      <c r="H82" s="13" t="n"/>
    </row>
    <row r="83">
      <c r="A83" s="21" t="inlineStr">
        <is>
          <t>EV-079</t>
        </is>
      </c>
      <c r="B83" s="13" t="n"/>
      <c r="C83" s="13" t="n"/>
      <c r="D83" s="13" t="n"/>
      <c r="E83" s="13" t="n"/>
      <c r="F83" s="13" t="n"/>
      <c r="G83" s="13" t="n"/>
      <c r="H83" s="13" t="n"/>
    </row>
    <row r="84">
      <c r="A84" s="21" t="inlineStr">
        <is>
          <t>EV-080</t>
        </is>
      </c>
      <c r="B84" s="13" t="n"/>
      <c r="C84" s="13" t="n"/>
      <c r="D84" s="13" t="n"/>
      <c r="E84" s="13" t="n"/>
      <c r="F84" s="13" t="n"/>
      <c r="G84" s="13" t="n"/>
      <c r="H84" s="13" t="n"/>
    </row>
    <row r="85">
      <c r="A85" s="21" t="inlineStr">
        <is>
          <t>EV-081</t>
        </is>
      </c>
      <c r="B85" s="13" t="n"/>
      <c r="C85" s="13" t="n"/>
      <c r="D85" s="13" t="n"/>
      <c r="E85" s="13" t="n"/>
      <c r="F85" s="13" t="n"/>
      <c r="G85" s="13" t="n"/>
      <c r="H85" s="13" t="n"/>
    </row>
    <row r="86">
      <c r="A86" s="21" t="inlineStr">
        <is>
          <t>EV-082</t>
        </is>
      </c>
      <c r="B86" s="13" t="n"/>
      <c r="C86" s="13" t="n"/>
      <c r="D86" s="13" t="n"/>
      <c r="E86" s="13" t="n"/>
      <c r="F86" s="13" t="n"/>
      <c r="G86" s="13" t="n"/>
      <c r="H86" s="13" t="n"/>
    </row>
    <row r="87">
      <c r="A87" s="21" t="inlineStr">
        <is>
          <t>EV-083</t>
        </is>
      </c>
      <c r="B87" s="13" t="n"/>
      <c r="C87" s="13" t="n"/>
      <c r="D87" s="13" t="n"/>
      <c r="E87" s="13" t="n"/>
      <c r="F87" s="13" t="n"/>
      <c r="G87" s="13" t="n"/>
      <c r="H87" s="13" t="n"/>
    </row>
    <row r="88">
      <c r="A88" s="21" t="inlineStr">
        <is>
          <t>EV-084</t>
        </is>
      </c>
      <c r="B88" s="13" t="n"/>
      <c r="C88" s="13" t="n"/>
      <c r="D88" s="13" t="n"/>
      <c r="E88" s="13" t="n"/>
      <c r="F88" s="13" t="n"/>
      <c r="G88" s="13" t="n"/>
      <c r="H88" s="13" t="n"/>
    </row>
    <row r="89">
      <c r="A89" s="21" t="inlineStr">
        <is>
          <t>EV-085</t>
        </is>
      </c>
      <c r="B89" s="13" t="n"/>
      <c r="C89" s="13" t="n"/>
      <c r="D89" s="13" t="n"/>
      <c r="E89" s="13" t="n"/>
      <c r="F89" s="13" t="n"/>
      <c r="G89" s="13" t="n"/>
      <c r="H89" s="13" t="n"/>
    </row>
    <row r="90">
      <c r="A90" s="21" t="inlineStr">
        <is>
          <t>EV-086</t>
        </is>
      </c>
      <c r="B90" s="13" t="n"/>
      <c r="C90" s="13" t="n"/>
      <c r="D90" s="13" t="n"/>
      <c r="E90" s="13" t="n"/>
      <c r="F90" s="13" t="n"/>
      <c r="G90" s="13" t="n"/>
      <c r="H90" s="13" t="n"/>
    </row>
    <row r="91">
      <c r="A91" s="21" t="inlineStr">
        <is>
          <t>EV-087</t>
        </is>
      </c>
      <c r="B91" s="13" t="n"/>
      <c r="C91" s="13" t="n"/>
      <c r="D91" s="13" t="n"/>
      <c r="E91" s="13" t="n"/>
      <c r="F91" s="13" t="n"/>
      <c r="G91" s="13" t="n"/>
      <c r="H91" s="13" t="n"/>
    </row>
    <row r="92">
      <c r="A92" s="21" t="inlineStr">
        <is>
          <t>EV-088</t>
        </is>
      </c>
      <c r="B92" s="13" t="n"/>
      <c r="C92" s="13" t="n"/>
      <c r="D92" s="13" t="n"/>
      <c r="E92" s="13" t="n"/>
      <c r="F92" s="13" t="n"/>
      <c r="G92" s="13" t="n"/>
      <c r="H92" s="13" t="n"/>
    </row>
    <row r="93">
      <c r="A93" s="21" t="inlineStr">
        <is>
          <t>EV-089</t>
        </is>
      </c>
      <c r="B93" s="13" t="n"/>
      <c r="C93" s="13" t="n"/>
      <c r="D93" s="13" t="n"/>
      <c r="E93" s="13" t="n"/>
      <c r="F93" s="13" t="n"/>
      <c r="G93" s="13" t="n"/>
      <c r="H93" s="13" t="n"/>
    </row>
    <row r="94">
      <c r="A94" s="21" t="inlineStr">
        <is>
          <t>EV-090</t>
        </is>
      </c>
      <c r="B94" s="13" t="n"/>
      <c r="C94" s="13" t="n"/>
      <c r="D94" s="13" t="n"/>
      <c r="E94" s="13" t="n"/>
      <c r="F94" s="13" t="n"/>
      <c r="G94" s="13" t="n"/>
      <c r="H94" s="13" t="n"/>
    </row>
    <row r="95">
      <c r="A95" s="21" t="inlineStr">
        <is>
          <t>EV-091</t>
        </is>
      </c>
      <c r="B95" s="13" t="n"/>
      <c r="C95" s="13" t="n"/>
      <c r="D95" s="13" t="n"/>
      <c r="E95" s="13" t="n"/>
      <c r="F95" s="13" t="n"/>
      <c r="G95" s="13" t="n"/>
      <c r="H95" s="13" t="n"/>
    </row>
    <row r="96">
      <c r="A96" s="21" t="inlineStr">
        <is>
          <t>EV-092</t>
        </is>
      </c>
      <c r="B96" s="13" t="n"/>
      <c r="C96" s="13" t="n"/>
      <c r="D96" s="13" t="n"/>
      <c r="E96" s="13" t="n"/>
      <c r="F96" s="13" t="n"/>
      <c r="G96" s="13" t="n"/>
      <c r="H96" s="13" t="n"/>
    </row>
    <row r="97">
      <c r="A97" s="21" t="inlineStr">
        <is>
          <t>EV-093</t>
        </is>
      </c>
      <c r="B97" s="13" t="n"/>
      <c r="C97" s="13" t="n"/>
      <c r="D97" s="13" t="n"/>
      <c r="E97" s="13" t="n"/>
      <c r="F97" s="13" t="n"/>
      <c r="G97" s="13" t="n"/>
      <c r="H97" s="13" t="n"/>
    </row>
    <row r="98">
      <c r="A98" s="21" t="inlineStr">
        <is>
          <t>EV-094</t>
        </is>
      </c>
      <c r="B98" s="13" t="n"/>
      <c r="C98" s="13" t="n"/>
      <c r="D98" s="13" t="n"/>
      <c r="E98" s="13" t="n"/>
      <c r="F98" s="13" t="n"/>
      <c r="G98" s="13" t="n"/>
      <c r="H98" s="13" t="n"/>
    </row>
    <row r="99">
      <c r="A99" s="21" t="inlineStr">
        <is>
          <t>EV-095</t>
        </is>
      </c>
      <c r="B99" s="13" t="n"/>
      <c r="C99" s="13" t="n"/>
      <c r="D99" s="13" t="n"/>
      <c r="E99" s="13" t="n"/>
      <c r="F99" s="13" t="n"/>
      <c r="G99" s="13" t="n"/>
      <c r="H99" s="13" t="n"/>
    </row>
    <row r="100">
      <c r="A100" s="21" t="inlineStr">
        <is>
          <t>EV-096</t>
        </is>
      </c>
      <c r="B100" s="13" t="n"/>
      <c r="C100" s="13" t="n"/>
      <c r="D100" s="13" t="n"/>
      <c r="E100" s="13" t="n"/>
      <c r="F100" s="13" t="n"/>
      <c r="G100" s="13" t="n"/>
      <c r="H100" s="13" t="n"/>
    </row>
    <row r="101">
      <c r="A101" s="21" t="inlineStr">
        <is>
          <t>EV-097</t>
        </is>
      </c>
      <c r="B101" s="13" t="n"/>
      <c r="C101" s="13" t="n"/>
      <c r="D101" s="13" t="n"/>
      <c r="E101" s="13" t="n"/>
      <c r="F101" s="13" t="n"/>
      <c r="G101" s="13" t="n"/>
      <c r="H101" s="13" t="n"/>
    </row>
    <row r="102">
      <c r="A102" s="21" t="inlineStr">
        <is>
          <t>EV-098</t>
        </is>
      </c>
      <c r="B102" s="13" t="n"/>
      <c r="C102" s="13" t="n"/>
      <c r="D102" s="13" t="n"/>
      <c r="E102" s="13" t="n"/>
      <c r="F102" s="13" t="n"/>
      <c r="G102" s="13" t="n"/>
      <c r="H102" s="13" t="n"/>
    </row>
    <row r="103">
      <c r="A103" s="21" t="inlineStr">
        <is>
          <t>EV-099</t>
        </is>
      </c>
      <c r="B103" s="13" t="n"/>
      <c r="C103" s="13" t="n"/>
      <c r="D103" s="13" t="n"/>
      <c r="E103" s="13" t="n"/>
      <c r="F103" s="13" t="n"/>
      <c r="G103" s="13" t="n"/>
      <c r="H103" s="13" t="n"/>
    </row>
    <row r="104">
      <c r="A104" s="21"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ASSESSMENT APPROVAL AND SIGN-OFF</t>
        </is>
      </c>
    </row>
    <row r="3">
      <c r="A3" s="22" t="inlineStr">
        <is>
          <t>ASSESSMENT SUMMARY</t>
        </is>
      </c>
    </row>
    <row r="4">
      <c r="A4" s="3" t="inlineStr">
        <is>
          <t>Document:</t>
        </is>
      </c>
      <c r="B4" t="inlineStr">
        <is>
          <t>ISMS-IMP-A.8.24.1 - Data Transmission Assessment</t>
        </is>
      </c>
    </row>
    <row r="5">
      <c r="A5" s="3" t="inlineStr">
        <is>
          <t>Assessment Period:</t>
        </is>
      </c>
      <c r="B5" s="23" t="inlineStr"/>
    </row>
    <row r="6">
      <c r="A6" s="3" t="inlineStr">
        <is>
          <t>Overall Compliance:</t>
        </is>
      </c>
      <c r="B6">
        <f>'Summary Dashboard'!G16</f>
        <v/>
      </c>
    </row>
    <row r="7">
      <c r="A7" s="3" t="inlineStr">
        <is>
          <t>Assessment Status:</t>
        </is>
      </c>
      <c r="B7" s="23" t="inlineStr"/>
    </row>
    <row r="10">
      <c r="A10" s="22" t="inlineStr">
        <is>
          <t>COMPLETED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2" t="inlineStr">
        <is>
          <t>REVIEWED BY (INFORMATION SECURITY OFFICER)</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4"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DECISION:</t>
        </is>
      </c>
      <c r="B31" s="4" t="n"/>
    </row>
    <row r="34">
      <c r="A34" s="22"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2026-02-10T19:40:56Z</dcterms:created>
  <dcterms:modified xmlns:dcterms="http://purl.org/dc/terms/" xmlns:xsi="http://www.w3.org/2001/XMLSchema-instance" xsi:type="dcterms:W3CDTF">2026-02-10T19:40:56Z</dcterms:modified>
</cp:coreProperties>
</file>