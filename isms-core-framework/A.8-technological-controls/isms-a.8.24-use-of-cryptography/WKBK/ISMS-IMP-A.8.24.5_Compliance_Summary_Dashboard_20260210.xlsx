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CHF&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6" borderId="1" applyAlignment="1" pivotButton="0" quotePrefix="0" xfId="0">
      <alignment horizontal="left" vertical="center" wrapText="1"/>
    </xf>
    <xf numFmtId="164" fontId="0" fillId="3" borderId="1" applyAlignment="1" pivotButton="0" quotePrefix="0" xfId="0">
      <alignment horizontal="left" vertical="center" wrapText="1"/>
    </xf>
    <xf numFmtId="0" fontId="14" fillId="7" borderId="0" pivotButton="0" quotePrefix="0" xfId="0"/>
    <xf numFmtId="0" fontId="0" fillId="3" borderId="0" pivotButton="0" quotePrefix="0" xfId="0"/>
    <xf numFmtId="0" fontId="1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ISMS-IMP-A.8.24.5 – Cryptography Compliance Summary Dashboard
ISO/IEC 27001:2022 - Control A.8.24: Use of Cryptography - Executive Overview</t>
        </is>
      </c>
    </row>
    <row r="3">
      <c r="A3" s="2" t="inlineStr">
        <is>
          <t>Document Information</t>
        </is>
      </c>
    </row>
    <row r="4">
      <c r="A4" s="3" t="inlineStr">
        <is>
          <t>Document ID</t>
        </is>
      </c>
      <c r="B4" t="inlineStr">
        <is>
          <t>ISMS-IMP-A.8.24.5</t>
        </is>
      </c>
    </row>
    <row r="5">
      <c r="A5" s="3" t="inlineStr">
        <is>
          <t>Report Type</t>
        </is>
      </c>
      <c r="B5" t="inlineStr">
        <is>
          <t>Compliance Summary Dashboard</t>
        </is>
      </c>
    </row>
    <row r="6">
      <c r="A6" s="3" t="inlineStr">
        <is>
          <t>Related Policy</t>
        </is>
      </c>
      <c r="B6" t="inlineStr">
        <is>
          <t>ISMS-POL-A.8.24</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Organisation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SUMPRODUCT(VALUE(SUBSTITUTE(C26:C29,"%","")))/COUNTA(C26:C29)&amp;"%"</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Register'!N21:N120,"&gt;=15",'Risk Register'!Q21:Q120,"&lt;&gt;Closed")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Data Transmission</t>
        </is>
      </c>
      <c r="B26" s="8" t="inlineStr">
        <is>
          <t>ISMS-IMP-A.8.24.1.xlsx</t>
        </is>
      </c>
      <c r="C26" s="8">
        <f>'[ISMS-IMP-A.8.24.1.xlsx]Summary Dashboard'!G16</f>
        <v/>
      </c>
      <c r="D26" s="8">
        <f>'[ISMS-IMP-A.8.24.1.xlsx]Summary Dashboard'!B16</f>
        <v/>
      </c>
      <c r="E26" s="8">
        <f>'[ISMS-IMP-A.8.24.1.xlsx]Summary Dashboard'!C16</f>
        <v/>
      </c>
      <c r="F26" s="8">
        <f>'[ISMS-IMP-A.8.24.1.xlsx]Summary Dashboard'!D16</f>
        <v/>
      </c>
      <c r="G26" s="8">
        <f>'[ISMS-IMP-A.8.24.1.xlsx]Summary Dashboard'!E16</f>
        <v/>
      </c>
      <c r="H26" s="4" t="n"/>
    </row>
    <row r="27">
      <c r="A27" s="8" t="inlineStr">
        <is>
          <t>Data Storage</t>
        </is>
      </c>
      <c r="B27" s="8" t="inlineStr">
        <is>
          <t>ISMS-IMP-A.8.24.2.xlsx</t>
        </is>
      </c>
      <c r="C27" s="8">
        <f>'[ISMS-IMP-A.8.24.2.xlsx]Summary Dashboard'!G11</f>
        <v/>
      </c>
      <c r="D27" s="8">
        <f>'[ISMS-IMP-A.8.24.2.xlsx]Summary Dashboard'!B11</f>
        <v/>
      </c>
      <c r="E27" s="8">
        <f>'[ISMS-IMP-A.8.24.2.xlsx]Summary Dashboard'!C11</f>
        <v/>
      </c>
      <c r="F27" s="8">
        <f>'[ISMS-IMP-A.8.24.2.xlsx]Summary Dashboard'!D11</f>
        <v/>
      </c>
      <c r="G27" s="8">
        <f>'[ISMS-IMP-A.8.24.2.xlsx]Summary Dashboard'!E11</f>
        <v/>
      </c>
      <c r="H27" s="4" t="n"/>
    </row>
    <row r="28">
      <c r="A28" s="8" t="inlineStr">
        <is>
          <t>Authentication</t>
        </is>
      </c>
      <c r="B28" s="8" t="inlineStr">
        <is>
          <t>ISMS-IMP-A.8.24.3.xlsx</t>
        </is>
      </c>
      <c r="C28" s="8">
        <f>'[ISMS-IMP-A.8.24.3.xlsx]Summary Dashboard'!G9</f>
        <v/>
      </c>
      <c r="D28" s="8">
        <f>'[ISMS-IMP-A.8.24.3.xlsx]Summary Dashboard'!B9</f>
        <v/>
      </c>
      <c r="E28" s="8">
        <f>'[ISMS-IMP-A.8.24.3.xlsx]Summary Dashboard'!C9</f>
        <v/>
      </c>
      <c r="F28" s="8">
        <f>'[ISMS-IMP-A.8.24.3.xlsx]Summary Dashboard'!D9</f>
        <v/>
      </c>
      <c r="G28" s="8">
        <f>'[ISMS-IMP-A.8.24.3.xlsx]Summary Dashboard'!E9</f>
        <v/>
      </c>
      <c r="H28" s="4" t="n"/>
    </row>
    <row r="29">
      <c r="A29" s="8" t="inlineStr">
        <is>
          <t>Key Management</t>
        </is>
      </c>
      <c r="B29" s="8" t="inlineStr">
        <is>
          <t>ISMS-IMP-A.8.24.4.xlsx</t>
        </is>
      </c>
      <c r="C29" s="8">
        <f>'[ISMS-IMP-A.8.24.4.xlsx]Summary Dashboard'!G9</f>
        <v/>
      </c>
      <c r="D29" s="8">
        <f>'[ISMS-IMP-A.8.24.4.xlsx]Summary Dashboard'!B9</f>
        <v/>
      </c>
      <c r="E29" s="8">
        <f>'[ISMS-IMP-A.8.24.4.xlsx]Summary Dashboard'!C9</f>
        <v/>
      </c>
      <c r="F29" s="8">
        <f>'[ISMS-IMP-A.8.24.4.xlsx]Summary Dashboard'!D9</f>
        <v/>
      </c>
      <c r="G29" s="8">
        <f>'[ISMS-IMP-A.8.24.4.xlsx]Summary Dashboard'!E9</f>
        <v/>
      </c>
      <c r="H29" s="4" t="n"/>
    </row>
    <row r="30">
      <c r="A30" s="11" t="inlineStr">
        <is>
          <t>TOTAL</t>
        </is>
      </c>
      <c r="B30" s="12" t="inlineStr">
        <is>
          <t>(Aggregated)</t>
        </is>
      </c>
      <c r="C30" s="13">
        <f>SUMPRODUCT(VALUE(SUBSTITUTE(C26:C29,"%","")))/COUNTA(C26:C29)&amp;"%"</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IF(VALUE(SUBSTITUTE(C21,"%",""))/100&gt;=0.95,"Excellent",IF(VALUE(SUBSTITUTE(C21,"%",""))/100&gt;=0.90,"Good",IF(VALUE(SUBSTITUTE(C21,"%",""))/100&gt;=0.80,"Adequate",IF(VALUE(SUBSTITUTE(C21,"%",""))/100&gt;=0.70,"Needs Improvement","Critical"))))</f>
        <v/>
      </c>
    </row>
    <row r="59">
      <c r="A59" s="3" t="inlineStr">
        <is>
          <t>Security Posture:</t>
        </is>
      </c>
      <c r="B59" s="9">
        <f>IF(VALUE(SUBSTITUTE(C21,"%",""))/100&gt;=0.90,"Strong",IF(VALUE(SUBSTITUTE(C21,"%",""))/100&gt;=0.75,"Adequate","Weak"))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n"/>
    </row>
    <row r="83">
      <c r="A83" s="3" t="inlineStr">
        <is>
          <t>Budget Gap:</t>
        </is>
      </c>
      <c r="B83" s="18">
        <f>B82-B81</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"ISMS-IMP-A.8.24.1,ISMS-IMP-A.8.24.2,ISMS-IMP-A.8.24.3,ISMS-IMP-A.8.24.4"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Utilised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Cryptography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Cryptography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35"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"ISMS-IMP-A.8.24.1,ISMS-IMP-A.8.24.2,ISMS-IMP-A.8.24.3,ISMS-IMP-A.8.24.4"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Centralised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row>
    <row r="3">
      <c r="A3" s="27" t="inlineStr">
        <is>
          <t>ASSESSMENT SUMMARY</t>
        </is>
      </c>
    </row>
    <row r="4">
      <c r="A4" s="3" t="inlineStr">
        <is>
          <t>Document:</t>
        </is>
      </c>
      <c r="B4" t="inlineStr">
        <is>
          <t>ISMS-IMP-A.8.24.5 - Compliance Summary Dashboard</t>
        </is>
      </c>
    </row>
    <row r="5">
      <c r="A5" s="3" t="inlineStr">
        <is>
          <t>Assessment Period:</t>
        </is>
      </c>
      <c r="B5" s="28" t="inlineStr"/>
    </row>
    <row r="6">
      <c r="A6" s="3" t="inlineStr">
        <is>
          <t>Portfolio Compliance:</t>
        </is>
      </c>
      <c r="B6">
        <f>'Executive Dashboard'!C29</f>
        <v/>
      </c>
    </row>
    <row r="7">
      <c r="A7" s="3" t="inlineStr">
        <is>
          <t>Dashboard Status:</t>
        </is>
      </c>
      <c r="B7" s="28" t="inlineStr"/>
    </row>
    <row r="10">
      <c r="A10" s="27" t="inlineStr">
        <is>
          <t>COMPLETED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7" t="inlineStr">
        <is>
          <t>REVIEWED BY (INFORMATION SECURITY OFFICER)</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9"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DECISION:</t>
        </is>
      </c>
      <c r="B31" s="4" t="n"/>
    </row>
    <row r="34">
      <c r="A34" s="27"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2026-02-10T19:41:00Z</dcterms:created>
  <dcterms:modified xmlns:dcterms="http://purl.org/dc/terms/" xmlns:xsi="http://www.w3.org/2001/XMLSchema-instance" xsi:type="dcterms:W3CDTF">2026-02-10T19:41:01Z</dcterms:modified>
</cp:coreProperties>
</file>