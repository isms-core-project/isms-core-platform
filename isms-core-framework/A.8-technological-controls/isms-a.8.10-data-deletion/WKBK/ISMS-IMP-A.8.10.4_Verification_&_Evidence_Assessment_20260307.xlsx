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Deletion Logging Assessment" sheetId="2" state="visible" r:id="rId2"/>
    <sheet xmlns:r="http://schemas.openxmlformats.org/officeDocument/2006/relationships" name="Verification Testing Program" sheetId="3" state="visible" r:id="rId3"/>
    <sheet xmlns:r="http://schemas.openxmlformats.org/officeDocument/2006/relationships" name="Evidence Repository Assessment" sheetId="4" state="visible" r:id="rId4"/>
    <sheet xmlns:r="http://schemas.openxmlformats.org/officeDocument/2006/relationships" name="Certificate Management" sheetId="5" state="visible" r:id="rId5"/>
    <sheet xmlns:r="http://schemas.openxmlformats.org/officeDocument/2006/relationships" name="Audit Trail Completeness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name val="Calibri"/>
      <b val="1"/>
    </font>
    <font>
      <b val="1"/>
      <color rgb="00C00000"/>
      <sz val="12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b val="1"/>
      <color rgb="00003366"/>
      <sz val="11"/>
    </font>
    <font>
      <name val="Calibri"/>
      <i val="1"/>
      <color rgb="00003366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i val="1"/>
      <sz val="10"/>
    </font>
    <font>
      <name val="Calibri"/>
      <color rgb="00808080"/>
      <sz val="9"/>
    </font>
    <font>
      <name val="Calibri"/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4" borderId="0" pivotButton="0" quotePrefix="0" xfId="0"/>
    <xf numFmtId="0" fontId="7" fillId="5" borderId="1" pivotButton="0" quotePrefix="0" xfId="0"/>
    <xf numFmtId="0" fontId="0" fillId="2" borderId="1" pivotButton="0" quotePrefix="0" xfId="0"/>
    <xf numFmtId="0" fontId="0" fillId="0" borderId="1" applyAlignment="1" pivotButton="0" quotePrefix="0" xfId="0">
      <alignment horizontal="left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wrapText="1"/>
    </xf>
    <xf numFmtId="0" fontId="8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5" fillId="3" borderId="1" pivotButton="0" quotePrefix="0" xfId="0"/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/>
    </xf>
    <xf numFmtId="164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/>
    </xf>
    <xf numFmtId="0" fontId="8" fillId="10" borderId="1" pivotButton="0" quotePrefix="0" xfId="0"/>
    <xf numFmtId="164" fontId="0" fillId="0" borderId="1" pivotButton="0" quotePrefix="0" xfId="0"/>
    <xf numFmtId="0" fontId="8" fillId="10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2" borderId="1" applyAlignment="1" pivotButton="0" quotePrefix="0" xfId="0">
      <alignment horizontal="left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 ht="40" customHeight="1">
      <c r="A1" s="1" t="inlineStr">
        <is>
          <t>ISMS-IMP-A.8.10.4  -  Verification &amp; Evidence Assessment
ISO/IEC 27001:2022 - Control A.8.10: Information Deletion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ISMS-IMP-A.8.10.4</t>
        </is>
      </c>
    </row>
    <row r="5">
      <c r="A5" s="3" t="inlineStr">
        <is>
          <t>Assessment Area</t>
        </is>
      </c>
      <c r="B5" t="inlineStr">
        <is>
          <t>Verification &amp; Evidence Assessment</t>
        </is>
      </c>
    </row>
    <row r="6">
      <c r="A6" s="3" t="inlineStr">
        <is>
          <t>Related Policy</t>
        </is>
      </c>
      <c r="B6" t="inlineStr">
        <is>
          <t>ISMS-POL-A.8.10-S2.3 (Verification &amp; Evidence Requirements)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Review Cycle</t>
        </is>
      </c>
      <c r="B11" t="inlineStr">
        <is>
          <t>Annual</t>
        </is>
      </c>
    </row>
    <row r="14">
      <c r="A14" s="2" t="inlineStr">
        <is>
          <t>PURPOSE</t>
        </is>
      </c>
    </row>
    <row r="15">
      <c r="A15" s="5" t="inlineStr">
        <is>
          <t>This workbook assesses an organisation's deletion verification and evidence management capabilities. It addresses the critical challenge of proving information has been deleted while respecting data minimisation principles.</t>
        </is>
      </c>
    </row>
    <row r="16"/>
    <row r="17"/>
    <row r="19">
      <c r="A19" s="6" t="inlineStr">
        <is>
          <t>THE VERIFICATION PARADOX</t>
        </is>
      </c>
    </row>
    <row r="20">
      <c r="A20" s="5" t="inlineStr">
        <is>
          <t>Organisations must prove deletion occurred without retaining the deleted data itself. This assessment addresses this through:
• Metadata Over Data: Retention of deletion logs, certificates, and test results (not actual deleted content)
• Method Testing Over Data Testing: Forensic testing validates deletion methods using test datasets, not production data
• Time-Bound Evidence: Evidence retention aligned with legal/regulatory requirements, then evidence itself is deleted</t>
        </is>
      </c>
    </row>
    <row r="21"/>
    <row r="22"/>
    <row r="23"/>
    <row r="24"/>
    <row r="25"/>
    <row r="27">
      <c r="A27" s="2" t="inlineStr">
        <is>
          <t>ASSESSMENT STRUCTURE</t>
        </is>
      </c>
    </row>
    <row r="28">
      <c r="A28" s="7" t="inlineStr">
        <is>
          <t>Sheet</t>
        </is>
      </c>
      <c r="B28" s="7" t="inlineStr">
        <is>
          <t>Purpose</t>
        </is>
      </c>
    </row>
    <row r="29">
      <c r="A29" s="8" t="inlineStr">
        <is>
          <t>Deletion Logging Assessment</t>
        </is>
      </c>
      <c r="B29" s="8" t="inlineStr">
        <is>
          <t>Evaluate centralised logging infrastructure and completeness</t>
        </is>
      </c>
    </row>
    <row r="30">
      <c r="A30" s="8" t="inlineStr">
        <is>
          <t>Verification Testing Program</t>
        </is>
      </c>
      <c r="B30" s="8" t="inlineStr">
        <is>
          <t>Assess forensic testing capability and effectiveness</t>
        </is>
      </c>
    </row>
    <row r="31">
      <c r="A31" s="9" t="inlineStr">
        <is>
          <t>Instructions</t>
        </is>
      </c>
      <c r="B31" s="8" t="inlineStr">
        <is>
          <t>Review storage, retention, and access control of evidence</t>
        </is>
      </c>
    </row>
    <row r="32">
      <c r="A32" s="10" t="inlineStr">
        <is>
          <t>1. Review ISMS-POL-A.8.10-S2.3 (Verification &amp; Evidence Requirements) before starting
2. Complete Sheets 2-6 (assessment sheets) - yellow cells require data entry
3. Use dropdown menus where provided - consistent assessment criteria
4. Complete Sheet 7 (Summary Dashboard) for summary and gap analysis
5. Document all evidence in Sheet 8 (Evidence Register)
6. Obtain three-level approval in Sheet 9
7. Track remediation of identified gaps through to closure</t>
        </is>
      </c>
      <c r="B32" s="11" t="n"/>
      <c r="C32" s="11" t="n"/>
      <c r="D32" s="11" t="n"/>
      <c r="E32" s="11" t="n"/>
      <c r="F32" s="11" t="n"/>
      <c r="G32" s="12" t="n"/>
    </row>
    <row r="33">
      <c r="A33" s="13" t="n"/>
      <c r="G33" s="14" t="n"/>
    </row>
    <row r="34">
      <c r="A34" s="13" t="n"/>
      <c r="G34" s="14" t="n"/>
    </row>
    <row r="35">
      <c r="A35" s="13" t="n"/>
      <c r="G35" s="14" t="n"/>
    </row>
    <row r="36">
      <c r="A36" s="13" t="n"/>
      <c r="G36" s="14" t="n"/>
    </row>
    <row r="37">
      <c r="A37" s="13" t="n"/>
      <c r="G37" s="14" t="n"/>
    </row>
    <row r="38">
      <c r="A38" s="15" t="n"/>
      <c r="B38" s="16" t="n"/>
      <c r="C38" s="16" t="n"/>
      <c r="D38" s="16" t="n"/>
      <c r="E38" s="16" t="n"/>
      <c r="F38" s="16" t="n"/>
      <c r="G38" s="17" t="n"/>
    </row>
    <row r="40">
      <c r="A40" s="6" t="inlineStr">
        <is>
          <t>KEY REMINDERS</t>
        </is>
      </c>
    </row>
    <row r="41">
      <c r="A41" s="5" t="inlineStr">
        <is>
          <t>• NO CARGO CULT CERTIFICATES: Don't accept vendor certificates without validation!
• NO EVIDENCE HOARDING: Retention must balance legal requirements with data minimisation
• NO PRODUCTION DATA TESTING: Test deletion methods with test datasets, not actual sensitive data
• COMPLETE AUDIT TRAILS: Gaps in chain of custody undermine entire verification program
• LOGS NEED STORAGE: Insufficient log capacity = lost evidence = compliance failure</t>
        </is>
      </c>
    </row>
    <row r="42"/>
    <row r="43"/>
    <row r="44"/>
    <row r="45"/>
    <row r="46"/>
    <row r="47"/>
    <row r="49">
      <c r="A49" s="18" t="inlineStr">
        <is>
          <t>Status Legend</t>
        </is>
      </c>
    </row>
    <row r="50">
      <c r="A50" s="19" t="inlineStr">
        <is>
          <t>Symbol</t>
        </is>
      </c>
      <c r="B50" s="19" t="inlineStr">
        <is>
          <t>Status</t>
        </is>
      </c>
      <c r="C50" s="19" t="inlineStr">
        <is>
          <t>Description</t>
        </is>
      </c>
    </row>
    <row r="51">
      <c r="A51" s="20" t="inlineStr"/>
      <c r="B51" s="20" t="inlineStr">
        <is>
          <t>Column Header</t>
        </is>
      </c>
      <c r="C51" s="21" t="inlineStr">
        <is>
          <t>Do not edit</t>
        </is>
      </c>
    </row>
    <row r="52">
      <c r="A52" s="4" t="inlineStr"/>
      <c r="B52" s="4" t="inlineStr">
        <is>
          <t>Data Entry</t>
        </is>
      </c>
      <c r="C52" s="21" t="inlineStr">
        <is>
          <t>Complete these fields</t>
        </is>
      </c>
    </row>
    <row r="53">
      <c r="A53" s="22" t="inlineStr"/>
      <c r="B53" s="22" t="inlineStr">
        <is>
          <t>Compliant</t>
        </is>
      </c>
      <c r="C53" s="21" t="inlineStr">
        <is>
          <t>Meets requirements</t>
        </is>
      </c>
    </row>
    <row r="54">
      <c r="A54" s="23" t="inlineStr"/>
      <c r="B54" s="23" t="inlineStr">
        <is>
          <t>Partial</t>
        </is>
      </c>
      <c r="C54" s="21" t="inlineStr">
        <is>
          <t>Needs attention</t>
        </is>
      </c>
    </row>
    <row r="55">
      <c r="A55" s="24" t="inlineStr"/>
      <c r="B55" s="24" t="inlineStr">
        <is>
          <t>Non-Compliant</t>
        </is>
      </c>
      <c r="C55" s="21" t="inlineStr">
        <is>
          <t>Critical gap</t>
        </is>
      </c>
    </row>
    <row r="56">
      <c r="A56" s="25" t="inlineStr"/>
      <c r="B56" s="25" t="inlineStr">
        <is>
          <t>Reference</t>
        </is>
      </c>
      <c r="C56" s="21" t="inlineStr">
        <is>
          <t>Read-only information</t>
        </is>
      </c>
    </row>
    <row r="57">
      <c r="A57" s="26" t="inlineStr">
        <is>
          <t>—</t>
        </is>
      </c>
      <c r="B57" s="26" t="inlineStr">
        <is>
          <t>N/A</t>
        </is>
      </c>
      <c r="C57" s="21" t="inlineStr">
        <is>
          <t>Not applicable</t>
        </is>
      </c>
    </row>
  </sheetData>
  <mergeCells count="6">
    <mergeCell ref="A32:G38"/>
    <mergeCell ref="A1:G1"/>
    <mergeCell ref="A41:G47"/>
    <mergeCell ref="A20:G25"/>
    <mergeCell ref="A15:G17"/>
    <mergeCell ref="A49:G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27" t="inlineStr">
        <is>
          <t>DELETION LOGGING ASSESSMENT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9" t="n"/>
    </row>
    <row r="2">
      <c r="A2" s="30" t="inlineStr">
        <is>
          <t>Instructions: Complete yellow-highlighted cells. Use dropdown menus where provided. Refer to checklist and reference tables below.</t>
        </is>
      </c>
    </row>
    <row r="4">
      <c r="A4" s="31" t="inlineStr">
        <is>
          <t>Verification Area</t>
        </is>
      </c>
      <c r="B4" s="31" t="inlineStr">
        <is>
          <t>Current State</t>
        </is>
      </c>
      <c r="C4" s="31" t="inlineStr">
        <is>
          <t>Target State</t>
        </is>
      </c>
      <c r="D4" s="31" t="inlineStr">
        <is>
          <t>Gap Severity</t>
        </is>
      </c>
      <c r="E4" s="31" t="inlineStr">
        <is>
          <t>Control Effectiveness</t>
        </is>
      </c>
      <c r="F4" s="31" t="inlineStr">
        <is>
          <t>Evidence Quality</t>
        </is>
      </c>
      <c r="G4" s="31" t="inlineStr">
        <is>
          <t>Compliance Status</t>
        </is>
      </c>
      <c r="H4" s="31" t="inlineStr">
        <is>
          <t>Risk Level</t>
        </is>
      </c>
      <c r="I4" s="31" t="inlineStr">
        <is>
          <t>Responsible Party</t>
        </is>
      </c>
      <c r="J4" s="31" t="inlineStr">
        <is>
          <t>Review Frequency</t>
        </is>
      </c>
      <c r="K4" s="31" t="inlineStr">
        <is>
          <t>Last Review Date</t>
        </is>
      </c>
      <c r="L4" s="31" t="inlineStr">
        <is>
          <t>Next Review Due</t>
        </is>
      </c>
      <c r="M4" s="31" t="inlineStr">
        <is>
          <t>Remediation Priority</t>
        </is>
      </c>
      <c r="N4" s="31" t="inlineStr">
        <is>
          <t>Estimated Effort</t>
        </is>
      </c>
      <c r="O4" s="31" t="inlineStr">
        <is>
          <t>Target Completion</t>
        </is>
      </c>
      <c r="P4" s="31" t="inlineStr">
        <is>
          <t>Current Status</t>
        </is>
      </c>
      <c r="Q4" s="31" t="inlineStr">
        <is>
          <t>Assessor Notes</t>
        </is>
      </c>
      <c r="R4" s="31" t="inlineStr">
        <is>
          <t>Log Completeness Score (%)</t>
        </is>
      </c>
      <c r="S4" s="31" t="inlineStr">
        <is>
          <t>Log Retention Period</t>
        </is>
      </c>
      <c r="T4" s="31" t="inlineStr">
        <is>
          <t>Centralised System</t>
        </is>
      </c>
      <c r="U4" s="31" t="inlineStr">
        <is>
          <t>Tamper Protection</t>
        </is>
      </c>
    </row>
    <row r="5">
      <c r="A5" s="32" t="inlineStr">
        <is>
          <t>[Sample] Example verification area entry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</row>
    <row r="58">
      <c r="A58" s="2" t="inlineStr">
        <is>
          <t>ASSESSMENT CHECKLIST</t>
        </is>
      </c>
    </row>
    <row r="59">
      <c r="A59" s="34" t="inlineStr">
        <is>
          <t>#</t>
        </is>
      </c>
      <c r="B59" s="34" t="inlineStr">
        <is>
          <t>Checklist Item</t>
        </is>
      </c>
      <c r="C59" s="34" t="inlineStr">
        <is>
          <t>Met?</t>
        </is>
      </c>
      <c r="D59" s="34" t="inlineStr">
        <is>
          <t>Evidence/Notes</t>
        </is>
      </c>
    </row>
    <row r="60">
      <c r="A60" s="8" t="n">
        <v>1</v>
      </c>
      <c r="B60" s="8" t="inlineStr">
        <is>
          <t>Centralised log aggregation system implemented for all deletion operations</t>
        </is>
      </c>
      <c r="C60" s="8" t="n"/>
      <c r="D60" s="8" t="n"/>
    </row>
    <row r="61">
      <c r="A61" s="8" t="n">
        <v>2</v>
      </c>
      <c r="B61" s="8" t="inlineStr">
        <is>
          <t>Log retention periods align with legal/regulatory requirements (ISMS-POL-A.8.10-S2.3)</t>
        </is>
      </c>
      <c r="C61" s="8" t="n"/>
      <c r="D61" s="8" t="n"/>
    </row>
    <row r="62">
      <c r="A62" s="8" t="n">
        <v>3</v>
      </c>
      <c r="B62" s="8" t="inlineStr">
        <is>
          <t>Tamper-evident logging mechanisms protect log integrity</t>
        </is>
      </c>
      <c r="C62" s="8" t="n"/>
      <c r="D62" s="8" t="n"/>
    </row>
    <row r="63">
      <c r="A63" s="8" t="n">
        <v>4</v>
      </c>
      <c r="B63" s="8" t="inlineStr">
        <is>
          <t>Log storage capacity planning accounts for retention requirements</t>
        </is>
      </c>
      <c r="C63" s="8" t="n"/>
      <c r="D63" s="8" t="n"/>
    </row>
    <row r="64">
      <c r="A64" s="8" t="n">
        <v>5</v>
      </c>
      <c r="B64" s="8" t="inlineStr">
        <is>
          <t>Backup and disaster recovery procedures exist for log systems</t>
        </is>
      </c>
      <c r="C64" s="8" t="n"/>
      <c r="D64" s="8" t="n"/>
    </row>
    <row r="65">
      <c r="A65" s="8" t="n">
        <v>6</v>
      </c>
      <c r="B65" s="8" t="inlineStr">
        <is>
          <t>Logs capture: Who deleted (user/system identity)</t>
        </is>
      </c>
      <c r="C65" s="8" t="n"/>
      <c r="D65" s="8" t="n"/>
    </row>
    <row r="66">
      <c r="A66" s="8" t="n">
        <v>7</v>
      </c>
      <c r="B66" s="8" t="inlineStr">
        <is>
          <t>Logs capture: What was deleted (data classification, record identifiers - NOT actual data)</t>
        </is>
      </c>
      <c r="C66" s="8" t="n"/>
      <c r="D66" s="8" t="n"/>
    </row>
    <row r="67">
      <c r="A67" s="8" t="n">
        <v>8</v>
      </c>
      <c r="B67" s="8" t="inlineStr">
        <is>
          <t>Logs capture: When deletion occurred (timestamp with timezone)</t>
        </is>
      </c>
      <c r="C67" s="8" t="n"/>
      <c r="D67" s="8" t="n"/>
    </row>
    <row r="68">
      <c r="A68" s="8" t="n">
        <v>9</v>
      </c>
      <c r="B68" s="8" t="inlineStr">
        <is>
          <t>Logs capture: Where deletion occurred (system/location/media ID)</t>
        </is>
      </c>
      <c r="C68" s="8" t="n"/>
      <c r="D68" s="8" t="n"/>
    </row>
    <row r="69">
      <c r="A69" s="8" t="n">
        <v>10</v>
      </c>
      <c r="B69" s="8" t="inlineStr">
        <is>
          <t>Logs capture: How deletion was performed (method reference per NIST SP 800-88 Rev. 2)</t>
        </is>
      </c>
      <c r="C69" s="8" t="n"/>
      <c r="D69" s="8" t="n"/>
    </row>
    <row r="70">
      <c r="A70" s="8" t="n">
        <v>11</v>
      </c>
      <c r="B70" s="8" t="inlineStr">
        <is>
          <t>Log entries are machine-readable and parseable for audit analysis</t>
        </is>
      </c>
      <c r="C70" s="8" t="n"/>
      <c r="D70" s="8" t="n"/>
    </row>
    <row r="71">
      <c r="A71" s="8" t="n">
        <v>12</v>
      </c>
      <c r="B71" s="8" t="inlineStr">
        <is>
          <t>Log correlation capability exists across multiple systems/platforms</t>
        </is>
      </c>
      <c r="C71" s="8" t="n"/>
      <c r="D71" s="8" t="n"/>
    </row>
    <row r="72">
      <c r="A72" s="8" t="n">
        <v>13</v>
      </c>
      <c r="B72" s="8" t="inlineStr">
        <is>
          <t>Log completeness monitoring alerts on missing/failed log entries</t>
        </is>
      </c>
      <c r="C72" s="8" t="n"/>
      <c r="D72" s="8" t="n"/>
    </row>
    <row r="73">
      <c r="A73" s="8" t="n">
        <v>14</v>
      </c>
      <c r="B73" s="8" t="inlineStr">
        <is>
          <t>Automated log analysis identifies anomalies or failures</t>
        </is>
      </c>
      <c r="C73" s="8" t="n"/>
      <c r="D73" s="8" t="n"/>
    </row>
    <row r="74">
      <c r="A74" s="8" t="n">
        <v>15</v>
      </c>
      <c r="B74" s="8" t="inlineStr">
        <is>
          <t>Log access is restricted and audited (who views deletion logs)</t>
        </is>
      </c>
      <c r="C74" s="8" t="n"/>
      <c r="D74" s="8" t="n"/>
    </row>
    <row r="75">
      <c r="A75" s="8" t="n">
        <v>16</v>
      </c>
      <c r="B75" s="8" t="inlineStr">
        <is>
          <t>Log format supports GDPR Article 30 record-keeping requirements</t>
        </is>
      </c>
      <c r="C75" s="8" t="n"/>
      <c r="D75" s="8" t="n"/>
    </row>
    <row r="76">
      <c r="A76" s="8" t="n">
        <v>17</v>
      </c>
      <c r="B76" s="8" t="inlineStr">
        <is>
          <t>Logs provide evidence for FADP Article 6 accountability obligations</t>
        </is>
      </c>
      <c r="C76" s="8" t="n"/>
      <c r="D76" s="8" t="n"/>
    </row>
    <row r="77">
      <c r="A77" s="8" t="n">
        <v>18</v>
      </c>
      <c r="B77" s="8" t="inlineStr">
        <is>
          <t>Log retention balances evidence needs with data minimisation</t>
        </is>
      </c>
      <c r="C77" s="8" t="n"/>
      <c r="D77" s="8" t="n"/>
    </row>
    <row r="78">
      <c r="A78" s="8" t="n">
        <v>19</v>
      </c>
      <c r="B78" s="8" t="inlineStr">
        <is>
          <t>Logs support internal audit and external compliance assessments</t>
        </is>
      </c>
      <c r="C78" s="8" t="n"/>
      <c r="D78" s="8" t="n"/>
    </row>
    <row r="79">
      <c r="A79" s="8" t="n">
        <v>20</v>
      </c>
      <c r="B79" s="8" t="inlineStr">
        <is>
          <t>Log export capability exists for regulator/auditor requests</t>
        </is>
      </c>
      <c r="C79" s="8" t="n"/>
      <c r="D79" s="8" t="n"/>
    </row>
    <row r="82">
      <c r="A82" s="35" t="inlineStr">
        <is>
          <t>Table 1: Required Log Fields (NIST SP 800-88 Rev. 2 R1 Alignment)</t>
        </is>
      </c>
    </row>
    <row r="83">
      <c r="A83" s="7" t="inlineStr">
        <is>
          <t>Log Field</t>
        </is>
      </c>
      <c r="B83" s="7" t="inlineStr">
        <is>
          <t>Required?</t>
        </is>
      </c>
      <c r="C83" s="7" t="inlineStr">
        <is>
          <t>Example Value</t>
        </is>
      </c>
      <c r="D83" s="7" t="inlineStr">
        <is>
          <t>Purpose</t>
        </is>
      </c>
    </row>
    <row r="84">
      <c r="A84" s="8" t="inlineStr">
        <is>
          <t>Deletion Request ID</t>
        </is>
      </c>
      <c r="B84" s="8" t="inlineStr">
        <is>
          <t>Mandatory</t>
        </is>
      </c>
      <c r="C84" s="8" t="inlineStr">
        <is>
          <t>DEL-2025-001234</t>
        </is>
      </c>
      <c r="D84" s="8" t="inlineStr">
        <is>
          <t>Unique tracking identifier</t>
        </is>
      </c>
    </row>
    <row r="85">
      <c r="A85" s="8" t="inlineStr">
        <is>
          <t>Requestor Identity</t>
        </is>
      </c>
      <c r="B85" s="8" t="inlineStr">
        <is>
          <t>Mandatory</t>
        </is>
      </c>
      <c r="C85" s="8" t="inlineStr">
        <is>
          <t>jdoe@company.ch</t>
        </is>
      </c>
      <c r="D85" s="8" t="inlineStr">
        <is>
          <t>Accountability</t>
        </is>
      </c>
    </row>
    <row r="86">
      <c r="A86" s="8" t="inlineStr">
        <is>
          <t>Deletion Timestamp</t>
        </is>
      </c>
      <c r="B86" s="8" t="inlineStr">
        <is>
          <t>Mandatory</t>
        </is>
      </c>
      <c r="C86" s="8" t="inlineStr">
        <is>
          <t>2025-01-05T14:32:17Z</t>
        </is>
      </c>
      <c r="D86" s="8" t="inlineStr">
        <is>
          <t>Temporal evidence</t>
        </is>
      </c>
    </row>
    <row r="87">
      <c r="A87" s="8" t="inlineStr">
        <is>
          <t>Data Classification</t>
        </is>
      </c>
      <c r="B87" s="8" t="inlineStr">
        <is>
          <t>Mandatory</t>
        </is>
      </c>
      <c r="C87" s="8" t="inlineStr">
        <is>
          <t>Confidential-PII</t>
        </is>
      </c>
      <c r="D87" s="8" t="inlineStr">
        <is>
          <t>Risk context</t>
        </is>
      </c>
    </row>
    <row r="88">
      <c r="A88" s="8" t="inlineStr">
        <is>
          <t>Media Type</t>
        </is>
      </c>
      <c r="B88" s="8" t="inlineStr">
        <is>
          <t>Mandatory</t>
        </is>
      </c>
      <c r="C88" s="8" t="inlineStr">
        <is>
          <t>SSD / Cloud Storage</t>
        </is>
      </c>
      <c r="D88" s="8" t="inlineStr">
        <is>
          <t>Method validation</t>
        </is>
      </c>
    </row>
    <row r="89">
      <c r="A89" s="8" t="inlineStr">
        <is>
          <t>Deletion Method</t>
        </is>
      </c>
      <c r="B89" s="8" t="inlineStr">
        <is>
          <t>Mandatory</t>
        </is>
      </c>
      <c r="C89" s="8" t="inlineStr">
        <is>
          <t>ATA Secure Erase</t>
        </is>
      </c>
      <c r="D89" s="8" t="inlineStr">
        <is>
          <t>NIST SP 800-88 Rev. 2 reference</t>
        </is>
      </c>
    </row>
    <row r="90">
      <c r="A90" s="8" t="inlineStr">
        <is>
          <t>Verification Method</t>
        </is>
      </c>
      <c r="B90" s="8" t="inlineStr">
        <is>
          <t>Recommended</t>
        </is>
      </c>
      <c r="C90" s="8" t="inlineStr">
        <is>
          <t>Forensic Sampling</t>
        </is>
      </c>
      <c r="D90" s="8" t="inlineStr">
        <is>
          <t>Assurance level</t>
        </is>
      </c>
    </row>
    <row r="91">
      <c r="A91" s="8" t="inlineStr">
        <is>
          <t>Certificate ID</t>
        </is>
      </c>
      <c r="B91" s="8" t="inlineStr">
        <is>
          <t>Recommended</t>
        </is>
      </c>
      <c r="C91" s="8" t="inlineStr">
        <is>
          <t>CERT-20250105-789</t>
        </is>
      </c>
      <c r="D91" s="8" t="inlineStr">
        <is>
          <t>Third-party evidence</t>
        </is>
      </c>
    </row>
    <row r="92">
      <c r="A92" s="8" t="inlineStr">
        <is>
          <t>Completion Status</t>
        </is>
      </c>
      <c r="B92" s="8" t="inlineStr">
        <is>
          <t>Mandatory</t>
        </is>
      </c>
      <c r="C92" s="8" t="inlineStr">
        <is>
          <t>Success / Failed</t>
        </is>
      </c>
      <c r="D92" s="8" t="inlineStr">
        <is>
          <t>Outcome tracking</t>
        </is>
      </c>
    </row>
    <row r="95">
      <c r="A95" s="35" t="inlineStr">
        <is>
          <t>Table 2: Log Completeness Scoring Matrix</t>
        </is>
      </c>
    </row>
    <row r="96">
      <c r="A96" s="7" t="inlineStr">
        <is>
          <t>Completeness Score</t>
        </is>
      </c>
      <c r="B96" s="7" t="inlineStr">
        <is>
          <t>Description</t>
        </is>
      </c>
      <c r="C96" s="7" t="inlineStr">
        <is>
          <t>Required Fields Captured</t>
        </is>
      </c>
    </row>
    <row r="97">
      <c r="A97" s="8" t="inlineStr">
        <is>
          <t>90-100%</t>
        </is>
      </c>
      <c r="B97" s="8" t="inlineStr">
        <is>
          <t>Excellent</t>
        </is>
      </c>
      <c r="C97" s="8" t="inlineStr">
        <is>
          <t>All mandatory + all recommended fields</t>
        </is>
      </c>
    </row>
    <row r="98">
      <c r="A98" s="8" t="inlineStr">
        <is>
          <t>75-89%</t>
        </is>
      </c>
      <c r="B98" s="8" t="inlineStr">
        <is>
          <t>Good</t>
        </is>
      </c>
      <c r="C98" s="8" t="inlineStr">
        <is>
          <t>All mandatory + most recommended fields</t>
        </is>
      </c>
    </row>
    <row r="99">
      <c r="A99" s="8" t="inlineStr">
        <is>
          <t>60-74%</t>
        </is>
      </c>
      <c r="B99" s="8" t="inlineStr">
        <is>
          <t>Fair</t>
        </is>
      </c>
      <c r="C99" s="8" t="inlineStr">
        <is>
          <t>All mandatory fields, some recommended</t>
        </is>
      </c>
    </row>
    <row r="100">
      <c r="A100" s="8" t="inlineStr">
        <is>
          <t>40-59%</t>
        </is>
      </c>
      <c r="B100" s="8" t="inlineStr">
        <is>
          <t>Poor</t>
        </is>
      </c>
      <c r="C100" s="8" t="inlineStr">
        <is>
          <t>Most mandatory, few recommended</t>
        </is>
      </c>
    </row>
    <row r="101">
      <c r="A101" s="8" t="inlineStr">
        <is>
          <t>0-39%</t>
        </is>
      </c>
      <c r="B101" s="8" t="inlineStr">
        <is>
          <t>Critical Gap</t>
        </is>
      </c>
      <c r="C101" s="8" t="inlineStr">
        <is>
          <t>Missing mandatory fields</t>
        </is>
      </c>
    </row>
  </sheetData>
  <mergeCells count="5">
    <mergeCell ref="A82:F82"/>
    <mergeCell ref="A58:D58"/>
    <mergeCell ref="A2:U2"/>
    <mergeCell ref="A1:U1"/>
    <mergeCell ref="A95:F95"/>
  </mergeCells>
  <dataValidations count="14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T5:T17" showDropDown="0" showInputMessage="0" showErrorMessage="0" allowBlank="1" errorTitle="Invalid Entry" error="Please select from dropdown" type="list">
      <formula1>"Yes,No,Partial"</formula1>
    </dataValidation>
    <dataValidation sqref="U5:U17" showDropDown="0" showInputMessage="0" showErrorMessage="0" allowBlank="1" errorTitle="Invalid Entry" error="Please select from dropdown" type="list">
      <formula1>"None (Logs can be modified),Basic (File permissions only),Advanced (Cryptographic signing),Immutable (WORM/blockchain),N/A"</formula1>
    </dataValidation>
    <dataValidation sqref="C23:C42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27" t="inlineStr">
        <is>
          <t>VERIFICATION TESTING PROGRAM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9" t="n"/>
    </row>
    <row r="2">
      <c r="A2" s="30" t="inlineStr">
        <is>
          <t>Instructions: Complete yellow-highlighted cells. Use dropdown menus where provided. Refer to checklist and reference tables below.</t>
        </is>
      </c>
    </row>
    <row r="4">
      <c r="A4" s="31" t="inlineStr">
        <is>
          <t>Verification Area</t>
        </is>
      </c>
      <c r="B4" s="31" t="inlineStr">
        <is>
          <t>Current State</t>
        </is>
      </c>
      <c r="C4" s="31" t="inlineStr">
        <is>
          <t>Target State</t>
        </is>
      </c>
      <c r="D4" s="31" t="inlineStr">
        <is>
          <t>Gap Severity</t>
        </is>
      </c>
      <c r="E4" s="31" t="inlineStr">
        <is>
          <t>Control Effectiveness</t>
        </is>
      </c>
      <c r="F4" s="31" t="inlineStr">
        <is>
          <t>Evidence Quality</t>
        </is>
      </c>
      <c r="G4" s="31" t="inlineStr">
        <is>
          <t>Compliance Status</t>
        </is>
      </c>
      <c r="H4" s="31" t="inlineStr">
        <is>
          <t>Risk Level</t>
        </is>
      </c>
      <c r="I4" s="31" t="inlineStr">
        <is>
          <t>Responsible Party</t>
        </is>
      </c>
      <c r="J4" s="31" t="inlineStr">
        <is>
          <t>Review Frequency</t>
        </is>
      </c>
      <c r="K4" s="31" t="inlineStr">
        <is>
          <t>Last Review Date</t>
        </is>
      </c>
      <c r="L4" s="31" t="inlineStr">
        <is>
          <t>Next Review Due</t>
        </is>
      </c>
      <c r="M4" s="31" t="inlineStr">
        <is>
          <t>Remediation Priority</t>
        </is>
      </c>
      <c r="N4" s="31" t="inlineStr">
        <is>
          <t>Estimated Effort</t>
        </is>
      </c>
      <c r="O4" s="31" t="inlineStr">
        <is>
          <t>Target Completion</t>
        </is>
      </c>
      <c r="P4" s="31" t="inlineStr">
        <is>
          <t>Current Status</t>
        </is>
      </c>
      <c r="Q4" s="31" t="inlineStr">
        <is>
          <t>Assessor Notes</t>
        </is>
      </c>
      <c r="R4" s="31" t="inlineStr">
        <is>
          <t>Test Frequency</t>
        </is>
      </c>
      <c r="S4" s="31" t="inlineStr">
        <is>
          <t>Sample Size (%)</t>
        </is>
      </c>
      <c r="T4" s="31" t="inlineStr">
        <is>
          <t>Last Test Date</t>
        </is>
      </c>
      <c r="U4" s="31" t="inlineStr">
        <is>
          <t>Test Pass Rate (%)</t>
        </is>
      </c>
    </row>
    <row r="5">
      <c r="A5" s="32" t="inlineStr">
        <is>
          <t>[Sample] Example verification area entry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</row>
    <row r="58">
      <c r="A58" s="2" t="inlineStr">
        <is>
          <t>ASSESSMENT CHECKLIST</t>
        </is>
      </c>
    </row>
    <row r="59">
      <c r="A59" s="34" t="inlineStr">
        <is>
          <t>#</t>
        </is>
      </c>
      <c r="B59" s="34" t="inlineStr">
        <is>
          <t>Checklist Item</t>
        </is>
      </c>
      <c r="C59" s="34" t="inlineStr">
        <is>
          <t>Met?</t>
        </is>
      </c>
      <c r="D59" s="34" t="inlineStr">
        <is>
          <t>Evidence/Notes</t>
        </is>
      </c>
    </row>
    <row r="60">
      <c r="A60" s="8" t="n">
        <v>1</v>
      </c>
      <c r="B60" s="8" t="inlineStr">
        <is>
          <t>Documented verification testing program with defined scope and frequency</t>
        </is>
      </c>
      <c r="C60" s="8" t="n"/>
      <c r="D60" s="8" t="n"/>
    </row>
    <row r="61">
      <c r="A61" s="8" t="n">
        <v>2</v>
      </c>
      <c r="B61" s="8" t="inlineStr">
        <is>
          <t>Testing methodology aligns with NIST SP 800-88 Rev. 2 R1 verification guidance</t>
        </is>
      </c>
      <c r="C61" s="8" t="n"/>
      <c r="D61" s="8" t="n"/>
    </row>
    <row r="62">
      <c r="A62" s="8" t="n">
        <v>3</v>
      </c>
      <c r="B62" s="8" t="inlineStr">
        <is>
          <t>Test sample selection methodology is risk-based (prioritize high-risk deletions)</t>
        </is>
      </c>
      <c r="C62" s="8" t="n"/>
      <c r="D62" s="8" t="n"/>
    </row>
    <row r="63">
      <c r="A63" s="8" t="n">
        <v>4</v>
      </c>
      <c r="B63" s="8" t="inlineStr">
        <is>
          <t>Testing uses dedicated test datasets, NOT production data</t>
        </is>
      </c>
      <c r="C63" s="8" t="n"/>
      <c r="D63" s="8" t="n"/>
    </row>
    <row r="64">
      <c r="A64" s="8" t="n">
        <v>5</v>
      </c>
      <c r="B64" s="8" t="inlineStr">
        <is>
          <t>Test results are documented and retained per evidence retention policy</t>
        </is>
      </c>
      <c r="C64" s="8" t="n"/>
      <c r="D64" s="8" t="n"/>
    </row>
    <row r="65">
      <c r="A65" s="8" t="n">
        <v>6</v>
      </c>
      <c r="B65" s="8" t="inlineStr">
        <is>
          <t>Forensic tools/methods appropriate for media types (HDD, SSD, cloud, etc.)</t>
        </is>
      </c>
      <c r="C65" s="8" t="n"/>
      <c r="D65" s="8" t="n"/>
    </row>
    <row r="66">
      <c r="A66" s="8" t="n">
        <v>7</v>
      </c>
      <c r="B66" s="8" t="inlineStr">
        <is>
          <t>Testing validates deletion methods, not just process completion</t>
        </is>
      </c>
      <c r="C66" s="8" t="n"/>
      <c r="D66" s="8" t="n"/>
    </row>
    <row r="67">
      <c r="A67" s="8" t="n">
        <v>8</v>
      </c>
      <c r="B67" s="8" t="inlineStr">
        <is>
          <t>Cryptographic erasure validation confirms key destruction</t>
        </is>
      </c>
      <c r="C67" s="8" t="n"/>
      <c r="D67" s="8" t="n"/>
    </row>
    <row r="68">
      <c r="A68" s="8" t="n">
        <v>9</v>
      </c>
      <c r="B68" s="8" t="inlineStr">
        <is>
          <t>Cloud deletion testing includes API verification and metadata inspection</t>
        </is>
      </c>
      <c r="C68" s="8" t="n"/>
      <c r="D68" s="8" t="n"/>
    </row>
    <row r="69">
      <c r="A69" s="8" t="n">
        <v>10</v>
      </c>
      <c r="B69" s="8" t="inlineStr">
        <is>
          <t>Testing capability exists for ALL deletion methods in use</t>
        </is>
      </c>
      <c r="C69" s="8" t="n"/>
      <c r="D69" s="8" t="n"/>
    </row>
    <row r="70">
      <c r="A70" s="8" t="n">
        <v>11</v>
      </c>
      <c r="B70" s="8" t="inlineStr">
        <is>
          <t>Risk-based sampling strategy defined (higher risk = higher sample rate)</t>
        </is>
      </c>
      <c r="C70" s="8" t="n"/>
      <c r="D70" s="8" t="n"/>
    </row>
    <row r="71">
      <c r="A71" s="8" t="n">
        <v>12</v>
      </c>
      <c r="B71" s="8" t="inlineStr">
        <is>
          <t>Critical data deletions (PII, trade secrets) have higher verification rates</t>
        </is>
      </c>
      <c r="C71" s="8" t="n"/>
      <c r="D71" s="8" t="n"/>
    </row>
    <row r="72">
      <c r="A72" s="8" t="n">
        <v>13</v>
      </c>
      <c r="B72" s="8" t="inlineStr">
        <is>
          <t>Third-party/vendor deletions are tested (not just trusted on certificate)</t>
        </is>
      </c>
      <c r="C72" s="8" t="n"/>
      <c r="D72" s="8" t="n"/>
    </row>
    <row r="73">
      <c r="A73" s="8" t="n">
        <v>14</v>
      </c>
      <c r="B73" s="8" t="inlineStr">
        <is>
          <t>Testing covers edge cases (failed deletions, partial deletions, interruptions)</t>
        </is>
      </c>
      <c r="C73" s="8" t="n"/>
      <c r="D73" s="8" t="n"/>
    </row>
    <row r="74">
      <c r="A74" s="8" t="n">
        <v>15</v>
      </c>
      <c r="B74" s="8" t="inlineStr">
        <is>
          <t>Test failures trigger investigation and root cause analysis</t>
        </is>
      </c>
      <c r="C74" s="8" t="n"/>
      <c r="D74" s="8" t="n"/>
    </row>
    <row r="75">
      <c r="A75" s="8" t="n">
        <v>16</v>
      </c>
      <c r="B75" s="8" t="inlineStr">
        <is>
          <t>Failure trends are analysed to identify systemic issues</t>
        </is>
      </c>
      <c r="C75" s="8" t="n"/>
      <c r="D75" s="8" t="n"/>
    </row>
    <row r="76">
      <c r="A76" s="8" t="n">
        <v>17</v>
      </c>
      <c r="B76" s="8" t="inlineStr">
        <is>
          <t>Testing results feed into deletion method refinement</t>
        </is>
      </c>
      <c r="C76" s="8" t="n"/>
      <c r="D76" s="8" t="n"/>
    </row>
    <row r="77">
      <c r="A77" s="8" t="n">
        <v>18</v>
      </c>
      <c r="B77" s="8" t="inlineStr">
        <is>
          <t>Verification testing program is itself reviewed and improved annually</t>
        </is>
      </c>
      <c r="C77" s="8" t="n"/>
      <c r="D77" s="8" t="n"/>
    </row>
    <row r="80">
      <c r="A80" s="35" t="inlineStr">
        <is>
          <t>Table 1: Verification Testing Methods by Media Type</t>
        </is>
      </c>
    </row>
    <row r="81">
      <c r="A81" s="7" t="inlineStr">
        <is>
          <t>Media Type</t>
        </is>
      </c>
      <c r="B81" s="7" t="inlineStr">
        <is>
          <t>Primary Verification Method</t>
        </is>
      </c>
      <c r="C81" s="7" t="inlineStr">
        <is>
          <t>Tool Examples</t>
        </is>
      </c>
      <c r="D81" s="7" t="inlineStr">
        <is>
          <t>Pass Criteria</t>
        </is>
      </c>
    </row>
    <row r="82">
      <c r="A82" s="8" t="inlineStr">
        <is>
          <t>HDD (Magnetic)</t>
        </is>
      </c>
      <c r="B82" s="8" t="inlineStr">
        <is>
          <t>Forensic imaging &amp; analysis</t>
        </is>
      </c>
      <c r="C82" s="8" t="inlineStr">
        <is>
          <t>EnCase, FTK, dd + hexdump</t>
        </is>
      </c>
      <c r="D82" s="8" t="inlineStr">
        <is>
          <t>No recoverable data patterns</t>
        </is>
      </c>
    </row>
    <row r="83">
      <c r="A83" s="8" t="inlineStr">
        <is>
          <t>SSD (Flash)</t>
        </is>
      </c>
      <c r="B83" s="8" t="inlineStr">
        <is>
          <t>Controller-based validation</t>
        </is>
      </c>
      <c r="C83" s="8" t="inlineStr">
        <is>
          <t>Manufacturer tools, TRIM verification</t>
        </is>
      </c>
      <c r="D83" s="8" t="inlineStr">
        <is>
          <t>Confirmed erasure completion</t>
        </is>
      </c>
    </row>
    <row r="84">
      <c r="A84" s="8" t="inlineStr">
        <is>
          <t>Cloud Storage</t>
        </is>
      </c>
      <c r="B84" s="8" t="inlineStr">
        <is>
          <t>API query + metadata check</t>
        </is>
      </c>
      <c r="C84" s="8" t="inlineStr">
        <is>
          <t>AWS S3 verify, Azure Blob API</t>
        </is>
      </c>
      <c r="D84" s="8" t="inlineStr">
        <is>
          <t>Object not found + no versions</t>
        </is>
      </c>
    </row>
    <row r="85">
      <c r="A85" s="8" t="inlineStr">
        <is>
          <t>Backup Tapes</t>
        </is>
      </c>
      <c r="B85" s="8" t="inlineStr">
        <is>
          <t>Degaussing verification</t>
        </is>
      </c>
      <c r="C85" s="8" t="inlineStr">
        <is>
          <t>Gaussmeter, NIST test procedures</t>
        </is>
      </c>
      <c r="D85" s="8" t="inlineStr">
        <is>
          <t>Magnetic field below threshold</t>
        </is>
      </c>
    </row>
    <row r="86">
      <c r="A86" s="8" t="inlineStr">
        <is>
          <t>Mobile Devices</t>
        </is>
      </c>
      <c r="B86" s="8" t="inlineStr">
        <is>
          <t>Factory reset validation</t>
        </is>
      </c>
      <c r="C86" s="8" t="inlineStr">
        <is>
          <t>Cellebrite verification mode</t>
        </is>
      </c>
      <c r="D86" s="8" t="inlineStr">
        <is>
          <t>No user data recoverable</t>
        </is>
      </c>
    </row>
    <row r="89">
      <c r="A89" s="35" t="inlineStr">
        <is>
          <t>Table 2: Risk-Based Sample Rate Guidelines</t>
        </is>
      </c>
    </row>
    <row r="90">
      <c r="A90" s="7" t="inlineStr">
        <is>
          <t>Risk Level</t>
        </is>
      </c>
      <c r="B90" s="7" t="inlineStr">
        <is>
          <t>Data Classification</t>
        </is>
      </c>
      <c r="C90" s="7" t="inlineStr">
        <is>
          <t>Minimum Sample Rate</t>
        </is>
      </c>
      <c r="D90" s="7" t="inlineStr">
        <is>
          <t>Rationale</t>
        </is>
      </c>
    </row>
    <row r="91">
      <c r="A91" s="8" t="inlineStr">
        <is>
          <t>Critical</t>
        </is>
      </c>
      <c r="B91" s="8" t="inlineStr">
        <is>
          <t>PII + Financial</t>
        </is>
      </c>
      <c r="C91" s="8" t="inlineStr">
        <is>
          <t>25-50%</t>
        </is>
      </c>
      <c r="D91" s="8" t="inlineStr">
        <is>
          <t>High regulatory exposure</t>
        </is>
      </c>
    </row>
    <row r="92">
      <c r="A92" s="8" t="inlineStr">
        <is>
          <t>High</t>
        </is>
      </c>
      <c r="B92" s="8" t="inlineStr">
        <is>
          <t>PII or Confidential</t>
        </is>
      </c>
      <c r="C92" s="8" t="inlineStr">
        <is>
          <t>10-25%</t>
        </is>
      </c>
      <c r="D92" s="8" t="inlineStr">
        <is>
          <t>Significant impact if breach</t>
        </is>
      </c>
    </row>
    <row r="93">
      <c r="A93" s="8" t="inlineStr">
        <is>
          <t>Medium</t>
        </is>
      </c>
      <c r="B93" s="8" t="inlineStr">
        <is>
          <t>Internal Use Only</t>
        </is>
      </c>
      <c r="C93" s="8" t="inlineStr">
        <is>
          <t>5-10%</t>
        </is>
      </c>
      <c r="D93" s="8" t="inlineStr">
        <is>
          <t>Moderate sensitivity</t>
        </is>
      </c>
    </row>
    <row r="94">
      <c r="A94" s="8" t="inlineStr">
        <is>
          <t>Low</t>
        </is>
      </c>
      <c r="B94" s="8" t="inlineStr">
        <is>
          <t>Public</t>
        </is>
      </c>
      <c r="C94" s="8" t="inlineStr">
        <is>
          <t>1-5%</t>
        </is>
      </c>
      <c r="D94" s="8" t="inlineStr">
        <is>
          <t>Minimal impact</t>
        </is>
      </c>
    </row>
    <row r="95">
      <c r="A95" s="8" t="inlineStr">
        <is>
          <t>Continuous</t>
        </is>
      </c>
      <c r="B95" s="8" t="inlineStr">
        <is>
          <t>All Third-Party</t>
        </is>
      </c>
      <c r="C95" s="8" t="inlineStr">
        <is>
          <t>100% (via certificates)</t>
        </is>
      </c>
      <c r="D95" s="8" t="inlineStr">
        <is>
          <t>Trust but verify vendors</t>
        </is>
      </c>
    </row>
  </sheetData>
  <mergeCells count="5">
    <mergeCell ref="A58:D58"/>
    <mergeCell ref="A2:U2"/>
    <mergeCell ref="A80:F80"/>
    <mergeCell ref="A89:F89"/>
    <mergeCell ref="A1:U1"/>
  </mergeCells>
  <dataValidations count="13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R5:R17" showDropDown="0" showInputMessage="0" showErrorMessage="0" allowBlank="1" errorTitle="Invalid Entry" error="Please select from dropdown" type="list">
      <formula1>"Continuous (Automated per deletion),Weekly (Sample-based),Monthly (Sample-based),Quarterly (Sample-based),Annually (Sample-based),Never (No testing - CRITICAL GAP)"</formula1>
    </dataValidation>
    <dataValidation sqref="C23:C40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27" t="inlineStr">
        <is>
          <t>EVIDENCE REPOSITORY ASSESSMENT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9" t="n"/>
    </row>
    <row r="2">
      <c r="A2" s="30" t="inlineStr">
        <is>
          <t>Instructions: Complete yellow-highlighted cells. Use dropdown menus where provided. Refer to checklist and reference tables below.</t>
        </is>
      </c>
    </row>
    <row r="4">
      <c r="A4" s="31" t="inlineStr">
        <is>
          <t>Verification Area</t>
        </is>
      </c>
      <c r="B4" s="31" t="inlineStr">
        <is>
          <t>Current State</t>
        </is>
      </c>
      <c r="C4" s="31" t="inlineStr">
        <is>
          <t>Target State</t>
        </is>
      </c>
      <c r="D4" s="31" t="inlineStr">
        <is>
          <t>Gap Severity</t>
        </is>
      </c>
      <c r="E4" s="31" t="inlineStr">
        <is>
          <t>Control Effectiveness</t>
        </is>
      </c>
      <c r="F4" s="31" t="inlineStr">
        <is>
          <t>Evidence Quality</t>
        </is>
      </c>
      <c r="G4" s="31" t="inlineStr">
        <is>
          <t>Compliance Status</t>
        </is>
      </c>
      <c r="H4" s="31" t="inlineStr">
        <is>
          <t>Risk Level</t>
        </is>
      </c>
      <c r="I4" s="31" t="inlineStr">
        <is>
          <t>Responsible Party</t>
        </is>
      </c>
      <c r="J4" s="31" t="inlineStr">
        <is>
          <t>Review Frequency</t>
        </is>
      </c>
      <c r="K4" s="31" t="inlineStr">
        <is>
          <t>Last Review Date</t>
        </is>
      </c>
      <c r="L4" s="31" t="inlineStr">
        <is>
          <t>Next Review Due</t>
        </is>
      </c>
      <c r="M4" s="31" t="inlineStr">
        <is>
          <t>Remediation Priority</t>
        </is>
      </c>
      <c r="N4" s="31" t="inlineStr">
        <is>
          <t>Estimated Effort</t>
        </is>
      </c>
      <c r="O4" s="31" t="inlineStr">
        <is>
          <t>Target Completion</t>
        </is>
      </c>
      <c r="P4" s="31" t="inlineStr">
        <is>
          <t>Current Status</t>
        </is>
      </c>
      <c r="Q4" s="31" t="inlineStr">
        <is>
          <t>Assessor Notes</t>
        </is>
      </c>
      <c r="R4" s="31" t="inlineStr">
        <is>
          <t>Storage Location</t>
        </is>
      </c>
      <c r="S4" s="31" t="inlineStr">
        <is>
          <t>Access Controls</t>
        </is>
      </c>
      <c r="T4" s="31" t="inlineStr">
        <is>
          <t>Backup Status</t>
        </is>
      </c>
      <c r="U4" s="31" t="inlineStr">
        <is>
          <t>Retention Compliance</t>
        </is>
      </c>
    </row>
    <row r="5">
      <c r="A5" s="32" t="inlineStr">
        <is>
          <t>[Sample] Example verification area entry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</row>
    <row r="58">
      <c r="A58" s="2" t="inlineStr">
        <is>
          <t>ASSESSMENT CHECKLIST</t>
        </is>
      </c>
    </row>
    <row r="59">
      <c r="A59" s="34" t="inlineStr">
        <is>
          <t>#</t>
        </is>
      </c>
      <c r="B59" s="34" t="inlineStr">
        <is>
          <t>Checklist Item</t>
        </is>
      </c>
      <c r="C59" s="34" t="inlineStr">
        <is>
          <t>Met?</t>
        </is>
      </c>
      <c r="D59" s="34" t="inlineStr">
        <is>
          <t>Evidence/Notes</t>
        </is>
      </c>
    </row>
    <row r="60">
      <c r="A60" s="8" t="n">
        <v>1</v>
      </c>
      <c r="B60" s="8" t="inlineStr">
        <is>
          <t>Dedicated evidence repository exists (not scattered across file shares/emails)</t>
        </is>
      </c>
      <c r="C60" s="8" t="n"/>
      <c r="D60" s="8" t="n"/>
    </row>
    <row r="61">
      <c r="A61" s="8" t="n">
        <v>2</v>
      </c>
      <c r="B61" s="8" t="inlineStr">
        <is>
          <t>Repository access controls restrict evidence to authorised personnel</t>
        </is>
      </c>
      <c r="C61" s="8" t="n"/>
      <c r="D61" s="8" t="n"/>
    </row>
    <row r="62">
      <c r="A62" s="8" t="n">
        <v>3</v>
      </c>
      <c r="B62" s="8" t="inlineStr">
        <is>
          <t>Repository is backed up and included in disaster recovery procedures</t>
        </is>
      </c>
      <c r="C62" s="8" t="n"/>
      <c r="D62" s="8" t="n"/>
    </row>
    <row r="63">
      <c r="A63" s="8" t="n">
        <v>4</v>
      </c>
      <c r="B63" s="8" t="inlineStr">
        <is>
          <t>Repository capacity planning accounts for evidence accumulation</t>
        </is>
      </c>
      <c r="C63" s="8" t="n"/>
      <c r="D63" s="8" t="n"/>
    </row>
    <row r="64">
      <c r="A64" s="8" t="n">
        <v>5</v>
      </c>
      <c r="B64" s="8" t="inlineStr">
        <is>
          <t>Evidence is indexed/cataloged for efficient retrieval</t>
        </is>
      </c>
      <c r="C64" s="8" t="n"/>
      <c r="D64" s="8" t="n"/>
    </row>
    <row r="65">
      <c r="A65" s="8" t="n">
        <v>6</v>
      </c>
      <c r="B65" s="8" t="inlineStr">
        <is>
          <t>Evidence naming conventions facilitate cross-referencing with deletion logs</t>
        </is>
      </c>
      <c r="C65" s="8" t="n"/>
      <c r="D65" s="8" t="n"/>
    </row>
    <row r="66">
      <c r="A66" s="8" t="n">
        <v>7</v>
      </c>
      <c r="B66" s="8" t="inlineStr">
        <is>
          <t>Evidence metadata includes: deletion date, data classification, verification method</t>
        </is>
      </c>
      <c r="C66" s="8" t="n"/>
      <c r="D66" s="8" t="n"/>
    </row>
    <row r="67">
      <c r="A67" s="8" t="n">
        <v>8</v>
      </c>
      <c r="B67" s="8" t="inlineStr">
        <is>
          <t>Evidence search capability exists for audit/legal discovery requests</t>
        </is>
      </c>
      <c r="C67" s="8" t="n"/>
      <c r="D67" s="8" t="n"/>
    </row>
    <row r="68">
      <c r="A68" s="8" t="n">
        <v>9</v>
      </c>
      <c r="B68" s="8" t="inlineStr">
        <is>
          <t>Evidence repository contains deletion logs (per Sheet 2 assessment)</t>
        </is>
      </c>
      <c r="C68" s="8" t="n"/>
      <c r="D68" s="8" t="n"/>
    </row>
    <row r="69">
      <c r="A69" s="8" t="n">
        <v>10</v>
      </c>
      <c r="B69" s="8" t="inlineStr">
        <is>
          <t>Evidence repository contains verification test results (per Sheet 3 assessment)</t>
        </is>
      </c>
      <c r="C69" s="8" t="n"/>
      <c r="D69" s="8" t="n"/>
    </row>
    <row r="70">
      <c r="A70" s="8" t="n">
        <v>11</v>
      </c>
      <c r="B70" s="8" t="inlineStr">
        <is>
          <t>Evidence repository contains vendor certificates (per Sheet 5 assessment)</t>
        </is>
      </c>
      <c r="C70" s="8" t="n"/>
      <c r="D70" s="8" t="n"/>
    </row>
    <row r="71">
      <c r="A71" s="8" t="n">
        <v>12</v>
      </c>
      <c r="B71" s="8" t="inlineStr">
        <is>
          <t>Evidence repository does NOT contain actual deleted data (metadata only)</t>
        </is>
      </c>
      <c r="C71" s="8" t="n"/>
      <c r="D71" s="8" t="n"/>
    </row>
    <row r="72">
      <c r="A72" s="8" t="n">
        <v>13</v>
      </c>
      <c r="B72" s="8" t="inlineStr">
        <is>
          <t>Evidence retention periods documented and enforced (automated where possible)</t>
        </is>
      </c>
      <c r="C72" s="8" t="n"/>
      <c r="D72" s="8" t="n"/>
    </row>
    <row r="73">
      <c r="A73" s="8" t="n">
        <v>14</v>
      </c>
      <c r="B73" s="8" t="inlineStr">
        <is>
          <t>Evidence approaching retention expiration is flagged for review</t>
        </is>
      </c>
      <c r="C73" s="8" t="n"/>
      <c r="D73" s="8" t="n"/>
    </row>
    <row r="74">
      <c r="A74" s="8" t="n">
        <v>15</v>
      </c>
      <c r="B74" s="8" t="inlineStr">
        <is>
          <t>Evidence past retention period is itself deleted (data minimisation)</t>
        </is>
      </c>
      <c r="C74" s="8" t="n"/>
      <c r="D74" s="8" t="n"/>
    </row>
    <row r="75">
      <c r="A75" s="8" t="n">
        <v>16</v>
      </c>
      <c r="B75" s="8" t="inlineStr">
        <is>
          <t>Deletion of evidence is logged (meta-evidence of evidence deletion!)</t>
        </is>
      </c>
      <c r="C75" s="8" t="n"/>
      <c r="D75" s="8" t="n"/>
    </row>
    <row r="76">
      <c r="A76" s="8" t="n">
        <v>17</v>
      </c>
      <c r="B76" s="8" t="inlineStr">
        <is>
          <t>Evidence retention balances legal/regulatory requirements with data minimisation</t>
        </is>
      </c>
      <c r="C76" s="8" t="n"/>
      <c r="D76" s="8" t="n"/>
    </row>
    <row r="79">
      <c r="A79" s="35" t="inlineStr">
        <is>
          <t>Table 1: Evidence Types and Retention</t>
        </is>
      </c>
    </row>
    <row r="80">
      <c r="A80" s="7" t="inlineStr">
        <is>
          <t>Evidence Type</t>
        </is>
      </c>
      <c r="B80" s="7" t="inlineStr">
        <is>
          <t>Typical Retention Period</t>
        </is>
      </c>
      <c r="C80" s="7" t="inlineStr">
        <is>
          <t>Deletion Trigger</t>
        </is>
      </c>
      <c r="D80" s="7" t="inlineStr">
        <is>
          <t>Storage Format</t>
        </is>
      </c>
    </row>
    <row r="81">
      <c r="A81" s="8" t="inlineStr">
        <is>
          <t>Deletion Logs</t>
        </is>
      </c>
      <c r="B81" s="8" t="inlineStr">
        <is>
          <t>1-7 years (per jurisdiction)</t>
        </is>
      </c>
      <c r="C81" s="8" t="inlineStr">
        <is>
          <t>Retention expiration + no legal hold</t>
        </is>
      </c>
      <c r="D81" s="8" t="inlineStr">
        <is>
          <t>Structured logs (JSON/Syslog)</t>
        </is>
      </c>
    </row>
    <row r="82">
      <c r="A82" s="8" t="inlineStr">
        <is>
          <t>Verification Test Results</t>
        </is>
      </c>
      <c r="B82" s="8" t="inlineStr">
        <is>
          <t>3-7 years</t>
        </is>
      </c>
      <c r="C82" s="8" t="inlineStr">
        <is>
          <t>Retention expiration</t>
        </is>
      </c>
      <c r="D82" s="8" t="inlineStr">
        <is>
          <t>PDF reports + raw data</t>
        </is>
      </c>
    </row>
    <row r="83">
      <c r="A83" s="8" t="inlineStr">
        <is>
          <t>Vendor Certificates</t>
        </is>
      </c>
      <c r="B83" s="8" t="inlineStr">
        <is>
          <t>3-7 years</t>
        </is>
      </c>
      <c r="C83" s="8" t="inlineStr">
        <is>
          <t>Retention expiration</t>
        </is>
      </c>
      <c r="D83" s="8" t="inlineStr">
        <is>
          <t>PDF (digitally signed preferred)</t>
        </is>
      </c>
    </row>
    <row r="84">
      <c r="A84" s="8" t="inlineStr">
        <is>
          <t>Audit Reports</t>
        </is>
      </c>
      <c r="B84" s="8" t="inlineStr">
        <is>
          <t>7-10 years</t>
        </is>
      </c>
      <c r="C84" s="8" t="inlineStr">
        <is>
          <t>Retention expiration</t>
        </is>
      </c>
      <c r="D84" s="8" t="inlineStr">
        <is>
          <t>PDF</t>
        </is>
      </c>
    </row>
    <row r="85">
      <c r="A85" s="8" t="inlineStr">
        <is>
          <t>Legal Hold Evidence</t>
        </is>
      </c>
      <c r="B85" s="8" t="inlineStr">
        <is>
          <t>Indefinite</t>
        </is>
      </c>
      <c r="C85" s="8" t="inlineStr">
        <is>
          <t>Court order release / settlement</t>
        </is>
      </c>
      <c r="D85" s="8" t="inlineStr">
        <is>
          <t>Various (immutable)</t>
        </is>
      </c>
    </row>
    <row r="88">
      <c r="A88" s="35" t="inlineStr">
        <is>
          <t>Table 2: Access Control Matrix</t>
        </is>
      </c>
    </row>
    <row r="89">
      <c r="A89" s="7" t="inlineStr">
        <is>
          <t>Role</t>
        </is>
      </c>
      <c r="B89" s="7" t="inlineStr">
        <is>
          <t>Deletion Logs</t>
        </is>
      </c>
      <c r="C89" s="7" t="inlineStr">
        <is>
          <t>Test Results</t>
        </is>
      </c>
      <c r="D89" s="7" t="inlineStr">
        <is>
          <t>Certificates</t>
        </is>
      </c>
    </row>
    <row r="90">
      <c r="A90" s="8" t="inlineStr">
        <is>
          <t>Security Team</t>
        </is>
      </c>
      <c r="B90" s="8" t="inlineStr">
        <is>
          <t>Read/Write</t>
        </is>
      </c>
      <c r="C90" s="8" t="inlineStr">
        <is>
          <t>Read/Write</t>
        </is>
      </c>
      <c r="D90" s="8" t="inlineStr">
        <is>
          <t>Read/Write</t>
        </is>
      </c>
    </row>
    <row r="91">
      <c r="A91" s="8" t="inlineStr">
        <is>
          <t>Compliance Team</t>
        </is>
      </c>
      <c r="B91" s="8" t="inlineStr">
        <is>
          <t>Read</t>
        </is>
      </c>
      <c r="C91" s="8" t="inlineStr">
        <is>
          <t>Read</t>
        </is>
      </c>
      <c r="D91" s="8" t="inlineStr">
        <is>
          <t>Read</t>
        </is>
      </c>
    </row>
    <row r="92">
      <c r="A92" s="8" t="inlineStr">
        <is>
          <t>IT Operations</t>
        </is>
      </c>
      <c r="B92" s="8" t="inlineStr">
        <is>
          <t>Read (own systems only)</t>
        </is>
      </c>
      <c r="C92" s="8" t="inlineStr">
        <is>
          <t>No Access</t>
        </is>
      </c>
      <c r="D92" s="8" t="inlineStr">
        <is>
          <t>No Access</t>
        </is>
      </c>
    </row>
    <row r="93">
      <c r="A93" s="8" t="inlineStr">
        <is>
          <t>External Auditors</t>
        </is>
      </c>
      <c r="B93" s="8" t="inlineStr">
        <is>
          <t>Read (time-limited)</t>
        </is>
      </c>
      <c r="C93" s="8" t="inlineStr">
        <is>
          <t>Read (time-limited)</t>
        </is>
      </c>
      <c r="D93" s="8" t="inlineStr">
        <is>
          <t>Read (time-limited)</t>
        </is>
      </c>
    </row>
    <row r="94">
      <c r="A94" s="8" t="inlineStr">
        <is>
          <t>General Employees</t>
        </is>
      </c>
      <c r="B94" s="8" t="inlineStr">
        <is>
          <t>No Access</t>
        </is>
      </c>
      <c r="C94" s="8" t="inlineStr">
        <is>
          <t>No Access</t>
        </is>
      </c>
      <c r="D94" s="8" t="inlineStr">
        <is>
          <t>No Access</t>
        </is>
      </c>
    </row>
  </sheetData>
  <mergeCells count="5">
    <mergeCell ref="A58:D58"/>
    <mergeCell ref="A2:U2"/>
    <mergeCell ref="A79:F79"/>
    <mergeCell ref="A88:F88"/>
    <mergeCell ref="A1:U1"/>
  </mergeCells>
  <dataValidations count="15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S5:S17" showDropDown="0" showInputMessage="0" showErrorMessage="0" allowBlank="1" errorTitle="Invalid Entry" error="Please select from dropdown" type="list">
      <formula1>"Public (No restrictions - CRITICAL GAP),Internal (All employees),Restricted (Specific roles only),Highly Restricted (Security/Compliance only),Auditor Access (Read-only for auditors)"</formula1>
    </dataValidation>
    <dataValidation sqref="T5:T17" showDropDown="0" showInputMessage="0" showErrorMessage="0" allowBlank="1" errorTitle="Invalid Entry" error="Please select from dropdown" type="list">
      <formula1>"Yes,No,Partial"</formula1>
    </dataValidation>
    <dataValidation sqref="U5:U17" showDropDown="0" showInputMessage="0" showErrorMessage="0" allowBlank="1" errorTitle="Invalid Entry" error="Please select from dropdown" type="list">
      <formula1>"Compliant (Aligned with ISMS-POL-A.8.10-S2.3),Over-Retention (Exceeds legal requirements),Under-Retention (Below legal requirements),No Policy (Undefined retention - CRITICAL GAP)"</formula1>
    </dataValidation>
    <dataValidation sqref="C23:C39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27" t="inlineStr">
        <is>
          <t>CERTIFICATE MANAGEMENT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9" t="n"/>
    </row>
    <row r="2">
      <c r="A2" s="30" t="inlineStr">
        <is>
          <t>Instructions: Complete yellow-highlighted cells. Use dropdown menus where provided. Refer to checklist and reference tables below.</t>
        </is>
      </c>
    </row>
    <row r="4">
      <c r="A4" s="31" t="inlineStr">
        <is>
          <t>Verification Area</t>
        </is>
      </c>
      <c r="B4" s="31" t="inlineStr">
        <is>
          <t>Current State</t>
        </is>
      </c>
      <c r="C4" s="31" t="inlineStr">
        <is>
          <t>Target State</t>
        </is>
      </c>
      <c r="D4" s="31" t="inlineStr">
        <is>
          <t>Gap Severity</t>
        </is>
      </c>
      <c r="E4" s="31" t="inlineStr">
        <is>
          <t>Control Effectiveness</t>
        </is>
      </c>
      <c r="F4" s="31" t="inlineStr">
        <is>
          <t>Evidence Quality</t>
        </is>
      </c>
      <c r="G4" s="31" t="inlineStr">
        <is>
          <t>Compliance Status</t>
        </is>
      </c>
      <c r="H4" s="31" t="inlineStr">
        <is>
          <t>Risk Level</t>
        </is>
      </c>
      <c r="I4" s="31" t="inlineStr">
        <is>
          <t>Responsible Party</t>
        </is>
      </c>
      <c r="J4" s="31" t="inlineStr">
        <is>
          <t>Review Frequency</t>
        </is>
      </c>
      <c r="K4" s="31" t="inlineStr">
        <is>
          <t>Last Review Date</t>
        </is>
      </c>
      <c r="L4" s="31" t="inlineStr">
        <is>
          <t>Next Review Due</t>
        </is>
      </c>
      <c r="M4" s="31" t="inlineStr">
        <is>
          <t>Remediation Priority</t>
        </is>
      </c>
      <c r="N4" s="31" t="inlineStr">
        <is>
          <t>Estimated Effort</t>
        </is>
      </c>
      <c r="O4" s="31" t="inlineStr">
        <is>
          <t>Target Completion</t>
        </is>
      </c>
      <c r="P4" s="31" t="inlineStr">
        <is>
          <t>Current Status</t>
        </is>
      </c>
      <c r="Q4" s="31" t="inlineStr">
        <is>
          <t>Assessor Notes</t>
        </is>
      </c>
      <c r="R4" s="31" t="inlineStr">
        <is>
          <t>Certificate Quality Score (%)</t>
        </is>
      </c>
      <c r="S4" s="31" t="inlineStr">
        <is>
          <t>Vendor Compliance Rate (%)</t>
        </is>
      </c>
      <c r="T4" s="31" t="inlineStr">
        <is>
          <t>Validation Method</t>
        </is>
      </c>
      <c r="U4" s="31" t="inlineStr">
        <is>
          <t>Certificate Storage Period</t>
        </is>
      </c>
    </row>
    <row r="5">
      <c r="A5" s="32" t="inlineStr">
        <is>
          <t>[Sample] Example verification area entry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</row>
    <row r="58">
      <c r="A58" s="2" t="inlineStr">
        <is>
          <t>ASSESSMENT CHECKLIST</t>
        </is>
      </c>
    </row>
    <row r="59">
      <c r="A59" s="34" t="inlineStr">
        <is>
          <t>#</t>
        </is>
      </c>
      <c r="B59" s="34" t="inlineStr">
        <is>
          <t>Checklist Item</t>
        </is>
      </c>
      <c r="C59" s="34" t="inlineStr">
        <is>
          <t>Met?</t>
        </is>
      </c>
      <c r="D59" s="34" t="inlineStr">
        <is>
          <t>Evidence/Notes</t>
        </is>
      </c>
    </row>
    <row r="60">
      <c r="A60" s="8" t="n">
        <v>1</v>
      </c>
      <c r="B60" s="8" t="inlineStr">
        <is>
          <t>Vendor contracts require provision of deletion certificates per ISMS-POL-A.8.10-S2.4</t>
        </is>
      </c>
      <c r="C60" s="8" t="n"/>
      <c r="D60" s="8" t="n"/>
    </row>
    <row r="61">
      <c r="A61" s="8" t="n">
        <v>2</v>
      </c>
      <c r="B61" s="8" t="inlineStr">
        <is>
          <t>Certificate content requirements documented (minimum required fields)</t>
        </is>
      </c>
      <c r="C61" s="8" t="n"/>
      <c r="D61" s="8" t="n"/>
    </row>
    <row r="62">
      <c r="A62" s="8" t="n">
        <v>3</v>
      </c>
      <c r="B62" s="8" t="inlineStr">
        <is>
          <t>Certificate format standards defined (digitally signed PDF preferred)</t>
        </is>
      </c>
      <c r="C62" s="8" t="n"/>
      <c r="D62" s="8" t="n"/>
    </row>
    <row r="63">
      <c r="A63" s="8" t="n">
        <v>4</v>
      </c>
      <c r="B63" s="8" t="inlineStr">
        <is>
          <t>Certificate delivery timeline requirements in vendor SLAs (e.g., within 30 days)</t>
        </is>
      </c>
      <c r="C63" s="8" t="n"/>
      <c r="D63" s="8" t="n"/>
    </row>
    <row r="64">
      <c r="A64" s="8" t="n">
        <v>5</v>
      </c>
      <c r="B64" s="8" t="inlineStr">
        <is>
          <t>Non-compliance consequences defined in vendor contracts</t>
        </is>
      </c>
      <c r="C64" s="8" t="n"/>
      <c r="D64" s="8" t="n"/>
    </row>
    <row r="65">
      <c r="A65" s="8" t="n">
        <v>6</v>
      </c>
      <c r="B65" s="8" t="inlineStr">
        <is>
          <t>Certificate digital signatures are verified (not just accepted as-is)</t>
        </is>
      </c>
      <c r="C65" s="8" t="n"/>
      <c r="D65" s="8" t="n"/>
    </row>
    <row r="66">
      <c r="A66" s="8" t="n">
        <v>7</v>
      </c>
      <c r="B66" s="8" t="inlineStr">
        <is>
          <t>Certificate content is reviewed for completeness (all required fields present)</t>
        </is>
      </c>
      <c r="C66" s="8" t="n"/>
      <c r="D66" s="8" t="n"/>
    </row>
    <row r="67">
      <c r="A67" s="8" t="n">
        <v>8</v>
      </c>
      <c r="B67" s="8" t="inlineStr">
        <is>
          <t>Certificate issuer authority is validated (authorised vendor personnel)</t>
        </is>
      </c>
      <c r="C67" s="8" t="n"/>
      <c r="D67" s="8" t="n"/>
    </row>
    <row r="68">
      <c r="A68" s="8" t="n">
        <v>9</v>
      </c>
      <c r="B68" s="8" t="inlineStr">
        <is>
          <t>Certificate timestamps align with deletion request timelines</t>
        </is>
      </c>
      <c r="C68" s="8" t="n"/>
      <c r="D68" s="8" t="n"/>
    </row>
    <row r="69">
      <c r="A69" s="8" t="n">
        <v>10</v>
      </c>
      <c r="B69" s="8" t="inlineStr">
        <is>
          <t>Certificates are cross-referenced with deletion logs for consistency</t>
        </is>
      </c>
      <c r="C69" s="8" t="n"/>
      <c r="D69" s="8" t="n"/>
    </row>
    <row r="70">
      <c r="A70" s="8" t="n">
        <v>11</v>
      </c>
      <c r="B70" s="8" t="inlineStr">
        <is>
          <t>Generic/template certificates are flagged for additional verification</t>
        </is>
      </c>
      <c r="C70" s="8" t="n"/>
      <c r="D70" s="8" t="n"/>
    </row>
    <row r="71">
      <c r="A71" s="8" t="n">
        <v>12</v>
      </c>
      <c r="B71" s="8" t="inlineStr">
        <is>
          <t>Certificates include specific deletion details (not generic statements)</t>
        </is>
      </c>
      <c r="C71" s="8" t="n"/>
      <c r="D71" s="8" t="n"/>
    </row>
    <row r="72">
      <c r="A72" s="8" t="n">
        <v>13</v>
      </c>
      <c r="B72" s="8" t="inlineStr">
        <is>
          <t>Certificates reference deletion method/standard (e.g., NIST SP 800-88 Rev. 2)</t>
        </is>
      </c>
      <c r="C72" s="8" t="n"/>
      <c r="D72" s="8" t="n"/>
    </row>
    <row r="73">
      <c r="A73" s="8" t="n">
        <v>14</v>
      </c>
      <c r="B73" s="8" t="inlineStr">
        <is>
          <t>Certificates include unique identifiers (deletion job ID, media serial numbers)</t>
        </is>
      </c>
      <c r="C73" s="8" t="n"/>
      <c r="D73" s="8" t="n"/>
    </row>
    <row r="74">
      <c r="A74" s="8" t="n">
        <v>15</v>
      </c>
      <c r="B74" s="8" t="inlineStr">
        <is>
          <t>Certificates include attestation of subcontractor deletion</t>
        </is>
      </c>
      <c r="C74" s="8" t="n"/>
      <c r="D74" s="8" t="n"/>
    </row>
    <row r="75">
      <c r="A75" s="8" t="n">
        <v>16</v>
      </c>
      <c r="B75" s="8" t="inlineStr">
        <is>
          <t>Certificates stored in evidence repository with access controls</t>
        </is>
      </c>
      <c r="C75" s="8" t="n"/>
      <c r="D75" s="8" t="n"/>
    </row>
    <row r="76">
      <c r="A76" s="8" t="n">
        <v>17</v>
      </c>
      <c r="B76" s="8" t="inlineStr">
        <is>
          <t>Certificate inventory maintained (all vendors, all deletion events)</t>
        </is>
      </c>
      <c r="C76" s="8" t="n"/>
      <c r="D76" s="8" t="n"/>
    </row>
    <row r="77">
      <c r="A77" s="8" t="n">
        <v>18</v>
      </c>
      <c r="B77" s="8" t="inlineStr">
        <is>
          <t>Missing certificates are tracked and escalated (vendor non-compliance)</t>
        </is>
      </c>
      <c r="C77" s="8" t="n"/>
      <c r="D77" s="8" t="n"/>
    </row>
    <row r="78">
      <c r="A78" s="8" t="n">
        <v>19</v>
      </c>
      <c r="B78" s="8" t="inlineStr">
        <is>
          <t>Certificate retention aligns with overall evidence retention policy</t>
        </is>
      </c>
      <c r="C78" s="8" t="n"/>
      <c r="D78" s="8" t="n"/>
    </row>
    <row r="81">
      <c r="A81" s="35" t="inlineStr">
        <is>
          <t>Table 1: Certificate Quality Scoring Rubric (0-100 Points)</t>
        </is>
      </c>
    </row>
    <row r="82">
      <c r="A82" s="7" t="inlineStr">
        <is>
          <t>Component</t>
        </is>
      </c>
      <c r="B82" s="7" t="inlineStr">
        <is>
          <t>Points</t>
        </is>
      </c>
      <c r="C82" s="7" t="inlineStr">
        <is>
          <t>Criteria for Full Points</t>
        </is>
      </c>
    </row>
    <row r="83">
      <c r="A83" s="8" t="inlineStr">
        <is>
          <t>Digital Signature</t>
        </is>
      </c>
      <c r="B83" s="8" t="inlineStr">
        <is>
          <t>20</t>
        </is>
      </c>
      <c r="C83" s="8" t="inlineStr">
        <is>
          <t>Valid signature from authorised vendor representative</t>
        </is>
      </c>
    </row>
    <row r="84">
      <c r="A84" s="8" t="inlineStr">
        <is>
          <t>Specific Data References</t>
        </is>
      </c>
      <c r="B84" s="8" t="inlineStr">
        <is>
          <t>20</t>
        </is>
      </c>
      <c r="C84" s="8" t="inlineStr">
        <is>
          <t>Includes media IDs, deletion job IDs, or unique identifiers</t>
        </is>
      </c>
    </row>
    <row r="85">
      <c r="A85" s="8" t="inlineStr">
        <is>
          <t>Deletion Method</t>
        </is>
      </c>
      <c r="B85" s="8" t="inlineStr">
        <is>
          <t>15</t>
        </is>
      </c>
      <c r="C85" s="8" t="inlineStr">
        <is>
          <t>References recognised standard (NIST SP 800-88 Rev. 2, GDPR method)</t>
        </is>
      </c>
    </row>
    <row r="86">
      <c r="A86" s="8" t="inlineStr">
        <is>
          <t>Timestamp Accuracy</t>
        </is>
      </c>
      <c r="B86" s="8" t="inlineStr">
        <is>
          <t>10</t>
        </is>
      </c>
      <c r="C86" s="8" t="inlineStr">
        <is>
          <t>Deletion date/time aligns with request timeline</t>
        </is>
      </c>
    </row>
    <row r="87">
      <c r="A87" s="8" t="inlineStr">
        <is>
          <t>Completeness</t>
        </is>
      </c>
      <c r="B87" s="8" t="inlineStr">
        <is>
          <t>15</t>
        </is>
      </c>
      <c r="C87" s="8" t="inlineStr">
        <is>
          <t>All required fields present</t>
        </is>
      </c>
    </row>
    <row r="88">
      <c r="A88" s="8" t="inlineStr">
        <is>
          <t>Third-Party Audit</t>
        </is>
      </c>
      <c r="B88" s="8" t="inlineStr">
        <is>
          <t>10</t>
        </is>
      </c>
      <c r="C88" s="8" t="inlineStr">
        <is>
          <t>References independent audit report (SOC 2, ISO 27001)</t>
        </is>
      </c>
    </row>
    <row r="89">
      <c r="A89" s="8" t="inlineStr">
        <is>
          <t>Subcontractor Coverage</t>
        </is>
      </c>
      <c r="B89" s="8" t="inlineStr">
        <is>
          <t>10</t>
        </is>
      </c>
      <c r="C89" s="8" t="inlineStr">
        <is>
          <t>Confirms deletion by any subcontractors used</t>
        </is>
      </c>
    </row>
    <row r="92">
      <c r="A92" s="35" t="inlineStr">
        <is>
          <t>Table 2: Certificate Validation Red Flags</t>
        </is>
      </c>
    </row>
    <row r="93">
      <c r="A93" s="7" t="inlineStr">
        <is>
          <t>Red Flag</t>
        </is>
      </c>
      <c r="B93" s="7" t="inlineStr">
        <is>
          <t>Risk Level</t>
        </is>
      </c>
      <c r="C93" s="7" t="inlineStr">
        <is>
          <t>Action Required</t>
        </is>
      </c>
    </row>
    <row r="94">
      <c r="A94" s="8" t="inlineStr">
        <is>
          <t>No digital signature</t>
        </is>
      </c>
      <c r="B94" s="8" t="inlineStr">
        <is>
          <t>High</t>
        </is>
      </c>
      <c r="C94" s="8" t="inlineStr">
        <is>
          <t>Request signed certificate or reject</t>
        </is>
      </c>
    </row>
    <row r="95">
      <c r="A95" s="8" t="inlineStr">
        <is>
          <t>Generic template language</t>
        </is>
      </c>
      <c r="B95" s="8" t="inlineStr">
        <is>
          <t>Medium</t>
        </is>
      </c>
      <c r="C95" s="8" t="inlineStr">
        <is>
          <t>Request specific details or supplemental evidence</t>
        </is>
      </c>
    </row>
    <row r="96">
      <c r="A96" s="8" t="inlineStr">
        <is>
          <t>Timestamp predates deletion request</t>
        </is>
      </c>
      <c r="B96" s="8" t="inlineStr">
        <is>
          <t>High</t>
        </is>
      </c>
      <c r="C96" s="8" t="inlineStr">
        <is>
          <t>Investigate (possible fraudulent certificate)</t>
        </is>
      </c>
    </row>
    <row r="97">
      <c r="A97" s="8" t="inlineStr">
        <is>
          <t>Timestamp &gt;90 days after request</t>
        </is>
      </c>
      <c r="B97" s="8" t="inlineStr">
        <is>
          <t>Medium</t>
        </is>
      </c>
      <c r="C97" s="8" t="inlineStr">
        <is>
          <t>Investigate delay, verify deletion occurred</t>
        </is>
      </c>
    </row>
    <row r="98">
      <c r="A98" s="8" t="inlineStr">
        <is>
          <t>Signatory not in vendor contact list</t>
        </is>
      </c>
      <c r="B98" s="8" t="inlineStr">
        <is>
          <t>High</t>
        </is>
      </c>
      <c r="C98" s="8" t="inlineStr">
        <is>
          <t>Verify signatory authority with vendor</t>
        </is>
      </c>
    </row>
    <row r="99">
      <c r="A99" s="8" t="inlineStr">
        <is>
          <t>No deletion method specified</t>
        </is>
      </c>
      <c r="B99" s="8" t="inlineStr">
        <is>
          <t>Medium</t>
        </is>
      </c>
      <c r="C99" s="8" t="inlineStr">
        <is>
          <t>Request method details or perform verification testing</t>
        </is>
      </c>
    </row>
  </sheetData>
  <mergeCells count="5">
    <mergeCell ref="A58:D58"/>
    <mergeCell ref="A2:U2"/>
    <mergeCell ref="A92:F92"/>
    <mergeCell ref="A1:U1"/>
    <mergeCell ref="A81:F81"/>
  </mergeCells>
  <dataValidations count="13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T5:T17" showDropDown="0" showInputMessage="0" showErrorMessage="0" allowBlank="1" errorTitle="Invalid Entry" error="Please select from dropdown" type="list">
      <formula1>"None (Certificate accepted without validation),Basic (Visual inspection only),Standard (Signature verification + content review),Enhanced (Third-party audit + signature verification),Continuous (API-based real-time verification)"</formula1>
    </dataValidation>
    <dataValidation sqref="C23:C41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27" t="inlineStr">
        <is>
          <t>AUDIT TRAIL COMPLETENESS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9" t="n"/>
    </row>
    <row r="2">
      <c r="A2" s="30" t="inlineStr">
        <is>
          <t>Instructions: Complete yellow-highlighted cells. Use dropdown menus where provided. Refer to checklist and reference tables below.</t>
        </is>
      </c>
    </row>
    <row r="4">
      <c r="A4" s="31" t="inlineStr">
        <is>
          <t>Verification Area</t>
        </is>
      </c>
      <c r="B4" s="31" t="inlineStr">
        <is>
          <t>Current State</t>
        </is>
      </c>
      <c r="C4" s="31" t="inlineStr">
        <is>
          <t>Target State</t>
        </is>
      </c>
      <c r="D4" s="31" t="inlineStr">
        <is>
          <t>Gap Severity</t>
        </is>
      </c>
      <c r="E4" s="31" t="inlineStr">
        <is>
          <t>Control Effectiveness</t>
        </is>
      </c>
      <c r="F4" s="31" t="inlineStr">
        <is>
          <t>Evidence Quality</t>
        </is>
      </c>
      <c r="G4" s="31" t="inlineStr">
        <is>
          <t>Compliance Status</t>
        </is>
      </c>
      <c r="H4" s="31" t="inlineStr">
        <is>
          <t>Risk Level</t>
        </is>
      </c>
      <c r="I4" s="31" t="inlineStr">
        <is>
          <t>Responsible Party</t>
        </is>
      </c>
      <c r="J4" s="31" t="inlineStr">
        <is>
          <t>Review Frequency</t>
        </is>
      </c>
      <c r="K4" s="31" t="inlineStr">
        <is>
          <t>Last Review Date</t>
        </is>
      </c>
      <c r="L4" s="31" t="inlineStr">
        <is>
          <t>Next Review Due</t>
        </is>
      </c>
      <c r="M4" s="31" t="inlineStr">
        <is>
          <t>Remediation Priority</t>
        </is>
      </c>
      <c r="N4" s="31" t="inlineStr">
        <is>
          <t>Estimated Effort</t>
        </is>
      </c>
      <c r="O4" s="31" t="inlineStr">
        <is>
          <t>Target Completion</t>
        </is>
      </c>
      <c r="P4" s="31" t="inlineStr">
        <is>
          <t>Current Status</t>
        </is>
      </c>
      <c r="Q4" s="31" t="inlineStr">
        <is>
          <t>Assessor Notes</t>
        </is>
      </c>
      <c r="R4" s="31" t="inlineStr">
        <is>
          <t>Reconstruction Tested</t>
        </is>
      </c>
      <c r="S4" s="31" t="inlineStr">
        <is>
          <t>Chain of Custody</t>
        </is>
      </c>
      <c r="T4" s="31" t="inlineStr">
        <is>
          <t>Completeness Score (%)</t>
        </is>
      </c>
      <c r="U4" s="31" t="inlineStr">
        <is>
          <t>Audit Readiness</t>
        </is>
      </c>
    </row>
    <row r="5">
      <c r="A5" s="32" t="inlineStr">
        <is>
          <t>[Sample] Example verification area entry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</row>
    <row r="58">
      <c r="A58" s="2" t="inlineStr">
        <is>
          <t>ASSESSMENT CHECKLIST</t>
        </is>
      </c>
    </row>
    <row r="59">
      <c r="A59" s="34" t="inlineStr">
        <is>
          <t>#</t>
        </is>
      </c>
      <c r="B59" s="34" t="inlineStr">
        <is>
          <t>Checklist Item</t>
        </is>
      </c>
      <c r="C59" s="34" t="inlineStr">
        <is>
          <t>Met?</t>
        </is>
      </c>
      <c r="D59" s="34" t="inlineStr">
        <is>
          <t>Evidence/Notes</t>
        </is>
      </c>
    </row>
    <row r="60">
      <c r="A60" s="8" t="n">
        <v>1</v>
      </c>
      <c r="B60" s="8" t="inlineStr">
        <is>
          <t>Audit trail links deletion request → approval → execution → verification → evidence</t>
        </is>
      </c>
      <c r="C60" s="8" t="n"/>
      <c r="D60" s="8" t="n"/>
    </row>
    <row r="61">
      <c r="A61" s="8" t="n">
        <v>2</v>
      </c>
      <c r="B61" s="8" t="inlineStr">
        <is>
          <t>Audit trail includes timestamps for each stage (demonstrating timeline)</t>
        </is>
      </c>
      <c r="C61" s="8" t="n"/>
      <c r="D61" s="8" t="n"/>
    </row>
    <row r="62">
      <c r="A62" s="8" t="n">
        <v>3</v>
      </c>
      <c r="B62" s="8" t="inlineStr">
        <is>
          <t>Audit trail identifies actors at each stage (accountability)</t>
        </is>
      </c>
      <c r="C62" s="8" t="n"/>
      <c r="D62" s="8" t="n"/>
    </row>
    <row r="63">
      <c r="A63" s="8" t="n">
        <v>4</v>
      </c>
      <c r="B63" s="8" t="inlineStr">
        <is>
          <t>Audit trail is tamper-evident (immutable logs or cryptographic protection)</t>
        </is>
      </c>
      <c r="C63" s="8" t="n"/>
      <c r="D63" s="8" t="n"/>
    </row>
    <row r="64">
      <c r="A64" s="8" t="n">
        <v>5</v>
      </c>
      <c r="B64" s="8" t="inlineStr">
        <is>
          <t>Audit trail reconstruction tested at least annually</t>
        </is>
      </c>
      <c r="C64" s="8" t="n"/>
      <c r="D64" s="8" t="n"/>
    </row>
    <row r="65">
      <c r="A65" s="8" t="n">
        <v>6</v>
      </c>
      <c r="B65" s="8" t="inlineStr">
        <is>
          <t>Reconstruction tests use real deletion events (not hypothetical scenarios)</t>
        </is>
      </c>
      <c r="C65" s="8" t="n"/>
      <c r="D65" s="8" t="n"/>
    </row>
    <row r="66">
      <c r="A66" s="8" t="n">
        <v>7</v>
      </c>
      <c r="B66" s="8" t="inlineStr">
        <is>
          <t>Reconstruction demonstrates compliance with retention schedule requirements</t>
        </is>
      </c>
      <c r="C66" s="8" t="n"/>
      <c r="D66" s="8" t="n"/>
    </row>
    <row r="67">
      <c r="A67" s="8" t="n">
        <v>8</v>
      </c>
      <c r="B67" s="8" t="inlineStr">
        <is>
          <t>Reconstruction demonstrates compliance with GDPR DSR timelines (if applicable)</t>
        </is>
      </c>
      <c r="C67" s="8" t="n"/>
      <c r="D67" s="8" t="n"/>
    </row>
    <row r="68">
      <c r="A68" s="8" t="n">
        <v>9</v>
      </c>
      <c r="B68" s="8" t="inlineStr">
        <is>
          <t>100% of deletion events have corresponding audit trail entries</t>
        </is>
      </c>
      <c r="C68" s="8" t="n"/>
      <c r="D68" s="8" t="n"/>
    </row>
    <row r="69">
      <c r="A69" s="8" t="n">
        <v>10</v>
      </c>
      <c r="B69" s="8" t="inlineStr">
        <is>
          <t>Audit trail captures successful AND failed deletion attempts</t>
        </is>
      </c>
      <c r="C69" s="8" t="n"/>
      <c r="D69" s="8" t="n"/>
    </row>
    <row r="70">
      <c r="A70" s="8" t="n">
        <v>11</v>
      </c>
      <c r="B70" s="8" t="inlineStr">
        <is>
          <t>Audit trail captures exceptions and workarounds (with approval documentation)</t>
        </is>
      </c>
      <c r="C70" s="8" t="n"/>
      <c r="D70" s="8" t="n"/>
    </row>
    <row r="71">
      <c r="A71" s="8" t="n">
        <v>12</v>
      </c>
      <c r="B71" s="8" t="inlineStr">
        <is>
          <t>Audit trail captures evidence of supervisory review (where required)</t>
        </is>
      </c>
      <c r="C71" s="8" t="n"/>
      <c r="D71" s="8" t="n"/>
    </row>
    <row r="72">
      <c r="A72" s="8" t="n">
        <v>13</v>
      </c>
      <c r="B72" s="8" t="inlineStr">
        <is>
          <t>Audit trail can be exported in auditor-friendly format (PDF, CSV, etc.)</t>
        </is>
      </c>
      <c r="C72" s="8" t="n"/>
      <c r="D72" s="8" t="n"/>
    </row>
    <row r="73">
      <c r="A73" s="8" t="n">
        <v>14</v>
      </c>
      <c r="B73" s="8" t="inlineStr">
        <is>
          <t>Audit trail terminology aligns with ISO 27001:2022 Annex A.8.10 language</t>
        </is>
      </c>
      <c r="C73" s="8" t="n"/>
      <c r="D73" s="8" t="n"/>
    </row>
    <row r="74">
      <c r="A74" s="8" t="n">
        <v>15</v>
      </c>
      <c r="B74" s="8" t="inlineStr">
        <is>
          <t>Audit trail demonstrates compliance with FADP/GDPR accountability</t>
        </is>
      </c>
      <c r="C74" s="8" t="n"/>
      <c r="D74" s="8" t="n"/>
    </row>
    <row r="75">
      <c r="A75" s="8" t="n">
        <v>16</v>
      </c>
      <c r="B75" s="8" t="inlineStr">
        <is>
          <t>Mock audits or self-assessments validate audit trail adequacy</t>
        </is>
      </c>
      <c r="C75" s="8" t="n"/>
      <c r="D75" s="8" t="n"/>
    </row>
    <row r="78">
      <c r="A78" s="35" t="inlineStr">
        <is>
          <t>Table 1: Chain of Custody Stages</t>
        </is>
      </c>
    </row>
    <row r="79">
      <c r="A79" s="7" t="inlineStr">
        <is>
          <t>Stage</t>
        </is>
      </c>
      <c r="B79" s="7" t="inlineStr">
        <is>
          <t>Key Evidence</t>
        </is>
      </c>
      <c r="C79" s="7" t="inlineStr">
        <is>
          <t>Responsible Party</t>
        </is>
      </c>
      <c r="D79" s="7" t="inlineStr">
        <is>
          <t>Timeframe</t>
        </is>
      </c>
    </row>
    <row r="80">
      <c r="A80" s="8" t="inlineStr">
        <is>
          <t>1. Request</t>
        </is>
      </c>
      <c r="B80" s="8" t="inlineStr">
        <is>
          <t>Deletion request ticket</t>
        </is>
      </c>
      <c r="C80" s="8" t="inlineStr">
        <is>
          <t>Data Owner / DPO</t>
        </is>
      </c>
      <c r="D80" s="8" t="inlineStr">
        <is>
          <t>T+0</t>
        </is>
      </c>
    </row>
    <row r="81">
      <c r="A81" s="8" t="inlineStr">
        <is>
          <t>2. Approval</t>
        </is>
      </c>
      <c r="B81" s="8" t="inlineStr">
        <is>
          <t>Approval record (if required)</t>
        </is>
      </c>
      <c r="C81" s="8" t="inlineStr">
        <is>
          <t>Manager / DPO</t>
        </is>
      </c>
      <c r="D81" s="8" t="inlineStr">
        <is>
          <t>T+1 to T+3 days</t>
        </is>
      </c>
    </row>
    <row r="82">
      <c r="A82" s="8" t="inlineStr">
        <is>
          <t>3. Scheduling</t>
        </is>
      </c>
      <c r="B82" s="8" t="inlineStr">
        <is>
          <t>Work order / scheduled task</t>
        </is>
      </c>
      <c r="C82" s="8" t="inlineStr">
        <is>
          <t>IT Operations</t>
        </is>
      </c>
      <c r="D82" s="8" t="inlineStr">
        <is>
          <t>T+3 to T+7 days</t>
        </is>
      </c>
    </row>
    <row r="83">
      <c r="A83" s="8" t="inlineStr">
        <is>
          <t>4. Execution</t>
        </is>
      </c>
      <c r="B83" s="8" t="inlineStr">
        <is>
          <t>Deletion log entry</t>
        </is>
      </c>
      <c r="C83" s="8" t="inlineStr">
        <is>
          <t>System / Operator</t>
        </is>
      </c>
      <c r="D83" s="8" t="inlineStr">
        <is>
          <t>T+7 to T+30 days</t>
        </is>
      </c>
    </row>
    <row r="84">
      <c r="A84" s="8" t="inlineStr">
        <is>
          <t>5. Verification</t>
        </is>
      </c>
      <c r="B84" s="8" t="inlineStr">
        <is>
          <t>Test result / Certificate</t>
        </is>
      </c>
      <c r="C84" s="8" t="inlineStr">
        <is>
          <t>Security / Vendor</t>
        </is>
      </c>
      <c r="D84" s="8" t="inlineStr">
        <is>
          <t>T+30 to T+60 days</t>
        </is>
      </c>
    </row>
    <row r="85">
      <c r="A85" s="8" t="inlineStr">
        <is>
          <t>6. Evidence Archival</t>
        </is>
      </c>
      <c r="B85" s="8" t="inlineStr">
        <is>
          <t>Repository entry</t>
        </is>
      </c>
      <c r="C85" s="8" t="inlineStr">
        <is>
          <t>Compliance Team</t>
        </is>
      </c>
      <c r="D85" s="8" t="inlineStr">
        <is>
          <t>T+60 to T+90 days</t>
        </is>
      </c>
    </row>
    <row r="86">
      <c r="A86" s="8" t="inlineStr">
        <is>
          <t>7. Retention Expiry</t>
        </is>
      </c>
      <c r="B86" s="8" t="inlineStr">
        <is>
          <t>Evidence deletion log</t>
        </is>
      </c>
      <c r="C86" s="8" t="inlineStr">
        <is>
          <t>Records Management</t>
        </is>
      </c>
      <c r="D86" s="8" t="inlineStr">
        <is>
          <t>T+Retention Period</t>
        </is>
      </c>
    </row>
    <row r="89">
      <c r="A89" s="35" t="inlineStr">
        <is>
          <t>Table 2: Reconstruction Test Procedure</t>
        </is>
      </c>
    </row>
    <row r="90">
      <c r="A90" s="7" t="inlineStr">
        <is>
          <t>Test Step</t>
        </is>
      </c>
      <c r="B90" s="7" t="inlineStr">
        <is>
          <t>Procedure</t>
        </is>
      </c>
      <c r="C90" s="7" t="inlineStr">
        <is>
          <t>Expected Result</t>
        </is>
      </c>
      <c r="D90" s="7" t="inlineStr">
        <is>
          <t>Fail Criteria</t>
        </is>
      </c>
    </row>
    <row r="91">
      <c r="A91" s="8" t="inlineStr">
        <is>
          <t>1. Select Sample</t>
        </is>
      </c>
      <c r="B91" s="8" t="inlineStr">
        <is>
          <t>Choose 5-10 deletion events (various types)</t>
        </is>
      </c>
      <c r="C91" s="8" t="inlineStr">
        <is>
          <t>Representative sample</t>
        </is>
      </c>
      <c r="D91" s="8" t="inlineStr">
        <is>
          <t>&lt;5 events or non-representative</t>
        </is>
      </c>
    </row>
    <row r="92">
      <c r="A92" s="8" t="inlineStr">
        <is>
          <t>2. Gather Evidence</t>
        </is>
      </c>
      <c r="B92" s="8" t="inlineStr">
        <is>
          <t>Collect all audit trail components</t>
        </is>
      </c>
      <c r="C92" s="8" t="inlineStr">
        <is>
          <t>All components found</t>
        </is>
      </c>
      <c r="D92" s="8" t="inlineStr">
        <is>
          <t>Missing any component</t>
        </is>
      </c>
    </row>
    <row r="93">
      <c r="A93" s="8" t="inlineStr">
        <is>
          <t>3. Verify Chronology</t>
        </is>
      </c>
      <c r="B93" s="8" t="inlineStr">
        <is>
          <t>Confirm timestamps logical sequence</t>
        </is>
      </c>
      <c r="C93" s="8" t="inlineStr">
        <is>
          <t>No gaps, logical flow</t>
        </is>
      </c>
      <c r="D93" s="8" t="inlineStr">
        <is>
          <t>Timestamps out of order</t>
        </is>
      </c>
    </row>
    <row r="94">
      <c r="A94" s="8" t="inlineStr">
        <is>
          <t>4. Validate Actors</t>
        </is>
      </c>
      <c r="B94" s="8" t="inlineStr">
        <is>
          <t>Confirm authorised personnel at each stage</t>
        </is>
      </c>
      <c r="C94" s="8" t="inlineStr">
        <is>
          <t>All actors authorised</t>
        </is>
      </c>
      <c r="D94" s="8" t="inlineStr">
        <is>
          <t>Unauthorised actor found</t>
        </is>
      </c>
    </row>
    <row r="95">
      <c r="A95" s="8" t="inlineStr">
        <is>
          <t>5. Check Completeness</t>
        </is>
      </c>
      <c r="B95" s="8" t="inlineStr">
        <is>
          <t>Verify all required fields present</t>
        </is>
      </c>
      <c r="C95" s="8" t="inlineStr">
        <is>
          <t>100% completeness</t>
        </is>
      </c>
      <c r="D95" s="8" t="inlineStr">
        <is>
          <t>Any required field missing</t>
        </is>
      </c>
    </row>
    <row r="96">
      <c r="A96" s="8" t="inlineStr">
        <is>
          <t>6. Cross-Reference</t>
        </is>
      </c>
      <c r="B96" s="8" t="inlineStr">
        <is>
          <t>Logs match certificates match test results</t>
        </is>
      </c>
      <c r="C96" s="8" t="inlineStr">
        <is>
          <t>All sources consistent</t>
        </is>
      </c>
      <c r="D96" s="8" t="inlineStr">
        <is>
          <t>Discrepancies found</t>
        </is>
      </c>
    </row>
    <row r="97">
      <c r="A97" s="8" t="inlineStr">
        <is>
          <t>7. Demonstrate Compliance</t>
        </is>
      </c>
      <c r="B97" s="8" t="inlineStr">
        <is>
          <t>Show adherence to policy/regulation</t>
        </is>
      </c>
      <c r="C97" s="8" t="inlineStr">
        <is>
          <t>Policy requirements met</t>
        </is>
      </c>
      <c r="D97" s="8" t="inlineStr">
        <is>
          <t>Non-compliance identified</t>
        </is>
      </c>
    </row>
  </sheetData>
  <mergeCells count="5">
    <mergeCell ref="A58:D58"/>
    <mergeCell ref="A2:U2"/>
    <mergeCell ref="A89:F89"/>
    <mergeCell ref="A78:F78"/>
    <mergeCell ref="A1:U1"/>
  </mergeCells>
  <dataValidations count="15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R5:R17" showDropDown="0" showInputMessage="0" showErrorMessage="0" allowBlank="1" errorTitle="Invalid Entry" error="Please select from dropdown" type="list">
      <formula1>"Yes,No,Partial"</formula1>
    </dataValidation>
    <dataValidation sqref="S5:S17" showDropDown="0" showInputMessage="0" showErrorMessage="0" allowBlank="1" errorTitle="Invalid Entry" error="Please select from dropdown" type="list">
      <formula1>"Complete (Full chain from request to verification),Mostly Complete (Minor gaps, non-critical),Partial (Significant gaps exist),Incomplete (Cannot establish chain)"</formula1>
    </dataValidation>
    <dataValidation sqref="U5:U17" showDropDown="0" showInputMessage="0" showErrorMessage="0" allowBlank="1" errorTitle="Invalid Entry" error="Please select from dropdown" type="list">
      <formula1>"Fully Ready (Comprehensive audit trail, tested),Mostly Ready (Minor documentation gaps),Partially Ready (Significant preparation needed),Not Ready (Major gaps, would fail audit)"</formula1>
    </dataValidation>
    <dataValidation sqref="C23:C38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5" customWidth="1" min="4" max="4"/>
    <col width="15" customWidth="1" min="5" max="5"/>
    <col width="20" customWidth="1" min="6" max="6"/>
    <col width="15" customWidth="1" min="7" max="7"/>
    <col width="30" customWidth="1" min="8" max="8"/>
  </cols>
  <sheetData>
    <row r="1" ht="35" customHeight="1">
      <c r="A1" s="36" t="inlineStr">
        <is>
          <t>EVIDENCE REGISTER</t>
        </is>
      </c>
    </row>
    <row r="2">
      <c r="A2" s="37" t="inlineStr">
        <is>
          <t>Comprehensive evidence tracking for A.8.10 Data Deletion compliance assessment</t>
        </is>
      </c>
    </row>
    <row r="4">
      <c r="A4" s="38" t="inlineStr">
        <is>
          <t>Evidence ID</t>
        </is>
      </c>
      <c r="B4" s="38" t="inlineStr">
        <is>
          <t>Category</t>
        </is>
      </c>
      <c r="C4" s="38" t="inlineStr">
        <is>
          <t>Description</t>
        </is>
      </c>
      <c r="D4" s="38" t="inlineStr">
        <is>
          <t>Source Document</t>
        </is>
      </c>
      <c r="E4" s="38" t="inlineStr">
        <is>
          <t>Date Collected</t>
        </is>
      </c>
      <c r="F4" s="38" t="inlineStr">
        <is>
          <t>Collected By</t>
        </is>
      </c>
      <c r="G4" s="38" t="inlineStr">
        <is>
          <t>Status</t>
        </is>
      </c>
      <c r="H4" s="38" t="inlineStr">
        <is>
          <t>Notes</t>
        </is>
      </c>
    </row>
    <row r="5">
      <c r="A5" s="39" t="inlineStr">
        <is>
          <t>EV-001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39" t="inlineStr">
        <is>
          <t>EV-002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39" t="inlineStr">
        <is>
          <t>EV-003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39" t="inlineStr">
        <is>
          <t>EV-004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39" t="inlineStr">
        <is>
          <t>EV-005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39" t="inlineStr">
        <is>
          <t>EV-006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39" t="inlineStr">
        <is>
          <t>EV-007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39" t="inlineStr">
        <is>
          <t>EV-008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39" t="inlineStr">
        <is>
          <t>EV-009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39" t="inlineStr">
        <is>
          <t>EV-010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39" t="inlineStr">
        <is>
          <t>EV-011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39" t="inlineStr">
        <is>
          <t>EV-012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39" t="inlineStr">
        <is>
          <t>EV-013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39" t="inlineStr">
        <is>
          <t>EV-014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39" t="inlineStr">
        <is>
          <t>EV-015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39" t="inlineStr">
        <is>
          <t>EV-016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39" t="inlineStr">
        <is>
          <t>EV-017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39" t="inlineStr">
        <is>
          <t>EV-018</t>
        </is>
      </c>
      <c r="B22" s="4" t="n"/>
      <c r="C22" s="4" t="n"/>
      <c r="D22" s="4" t="n"/>
      <c r="E22" s="4" t="n"/>
      <c r="F22" s="4" t="n"/>
      <c r="G22" s="4" t="n"/>
      <c r="H22" s="4" t="n"/>
    </row>
    <row r="23">
      <c r="A23" s="39" t="inlineStr">
        <is>
          <t>EV-019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39" t="inlineStr">
        <is>
          <t>EV-020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39" t="inlineStr">
        <is>
          <t>EV-021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39" t="inlineStr">
        <is>
          <t>EV-022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39" t="inlineStr">
        <is>
          <t>EV-023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39" t="inlineStr">
        <is>
          <t>EV-024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39" t="inlineStr">
        <is>
          <t>EV-025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39" t="inlineStr">
        <is>
          <t>EV-026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39" t="inlineStr">
        <is>
          <t>EV-027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39" t="inlineStr">
        <is>
          <t>EV-028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39" t="inlineStr">
        <is>
          <t>EV-029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39" t="inlineStr">
        <is>
          <t>EV-030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39" t="inlineStr">
        <is>
          <t>EV-031</t>
        </is>
      </c>
      <c r="B35" s="4" t="n"/>
      <c r="C35" s="4" t="n"/>
      <c r="D35" s="4" t="n"/>
      <c r="E35" s="4" t="n"/>
      <c r="F35" s="4" t="n"/>
      <c r="G35" s="4" t="n"/>
      <c r="H35" s="4" t="n"/>
    </row>
    <row r="36">
      <c r="A36" s="39" t="inlineStr">
        <is>
          <t>EV-032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39" t="inlineStr">
        <is>
          <t>EV-033</t>
        </is>
      </c>
      <c r="B37" s="4" t="n"/>
      <c r="C37" s="4" t="n"/>
      <c r="D37" s="4" t="n"/>
      <c r="E37" s="4" t="n"/>
      <c r="F37" s="4" t="n"/>
      <c r="G37" s="4" t="n"/>
      <c r="H37" s="4" t="n"/>
    </row>
    <row r="38">
      <c r="A38" s="39" t="inlineStr">
        <is>
          <t>EV-034</t>
        </is>
      </c>
      <c r="B38" s="4" t="n"/>
      <c r="C38" s="4" t="n"/>
      <c r="D38" s="4" t="n"/>
      <c r="E38" s="4" t="n"/>
      <c r="F38" s="4" t="n"/>
      <c r="G38" s="4" t="n"/>
      <c r="H38" s="4" t="n"/>
    </row>
    <row r="39">
      <c r="A39" s="39" t="inlineStr">
        <is>
          <t>EV-035</t>
        </is>
      </c>
      <c r="B39" s="4" t="n"/>
      <c r="C39" s="4" t="n"/>
      <c r="D39" s="4" t="n"/>
      <c r="E39" s="4" t="n"/>
      <c r="F39" s="4" t="n"/>
      <c r="G39" s="4" t="n"/>
      <c r="H39" s="4" t="n"/>
    </row>
    <row r="40">
      <c r="A40" s="39" t="inlineStr">
        <is>
          <t>EV-036</t>
        </is>
      </c>
      <c r="B40" s="4" t="n"/>
      <c r="C40" s="4" t="n"/>
      <c r="D40" s="4" t="n"/>
      <c r="E40" s="4" t="n"/>
      <c r="F40" s="4" t="n"/>
      <c r="G40" s="4" t="n"/>
      <c r="H40" s="4" t="n"/>
    </row>
    <row r="41">
      <c r="A41" s="39" t="inlineStr">
        <is>
          <t>EV-037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39" t="inlineStr">
        <is>
          <t>EV-038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39" t="inlineStr">
        <is>
          <t>EV-039</t>
        </is>
      </c>
      <c r="B43" s="4" t="n"/>
      <c r="C43" s="4" t="n"/>
      <c r="D43" s="4" t="n"/>
      <c r="E43" s="4" t="n"/>
      <c r="F43" s="4" t="n"/>
      <c r="G43" s="4" t="n"/>
      <c r="H43" s="4" t="n"/>
    </row>
    <row r="44">
      <c r="A44" s="39" t="inlineStr">
        <is>
          <t>EV-040</t>
        </is>
      </c>
      <c r="B44" s="4" t="n"/>
      <c r="C44" s="4" t="n"/>
      <c r="D44" s="4" t="n"/>
      <c r="E44" s="4" t="n"/>
      <c r="F44" s="4" t="n"/>
      <c r="G44" s="4" t="n"/>
      <c r="H44" s="4" t="n"/>
    </row>
    <row r="45">
      <c r="A45" s="39" t="inlineStr">
        <is>
          <t>EV-041</t>
        </is>
      </c>
      <c r="B45" s="4" t="n"/>
      <c r="C45" s="4" t="n"/>
      <c r="D45" s="4" t="n"/>
      <c r="E45" s="4" t="n"/>
      <c r="F45" s="4" t="n"/>
      <c r="G45" s="4" t="n"/>
      <c r="H45" s="4" t="n"/>
    </row>
    <row r="46">
      <c r="A46" s="39" t="inlineStr">
        <is>
          <t>EV-042</t>
        </is>
      </c>
      <c r="B46" s="4" t="n"/>
      <c r="C46" s="4" t="n"/>
      <c r="D46" s="4" t="n"/>
      <c r="E46" s="4" t="n"/>
      <c r="F46" s="4" t="n"/>
      <c r="G46" s="4" t="n"/>
      <c r="H46" s="4" t="n"/>
    </row>
    <row r="47">
      <c r="A47" s="39" t="inlineStr">
        <is>
          <t>EV-043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39" t="inlineStr">
        <is>
          <t>EV-044</t>
        </is>
      </c>
      <c r="B48" s="4" t="n"/>
      <c r="C48" s="4" t="n"/>
      <c r="D48" s="4" t="n"/>
      <c r="E48" s="4" t="n"/>
      <c r="F48" s="4" t="n"/>
      <c r="G48" s="4" t="n"/>
      <c r="H48" s="4" t="n"/>
    </row>
    <row r="49">
      <c r="A49" s="39" t="inlineStr">
        <is>
          <t>EV-045</t>
        </is>
      </c>
      <c r="B49" s="4" t="n"/>
      <c r="C49" s="4" t="n"/>
      <c r="D49" s="4" t="n"/>
      <c r="E49" s="4" t="n"/>
      <c r="F49" s="4" t="n"/>
      <c r="G49" s="4" t="n"/>
      <c r="H49" s="4" t="n"/>
    </row>
    <row r="50">
      <c r="A50" s="39" t="inlineStr">
        <is>
          <t>EV-046</t>
        </is>
      </c>
      <c r="B50" s="4" t="n"/>
      <c r="C50" s="4" t="n"/>
      <c r="D50" s="4" t="n"/>
      <c r="E50" s="4" t="n"/>
      <c r="F50" s="4" t="n"/>
      <c r="G50" s="4" t="n"/>
      <c r="H50" s="4" t="n"/>
    </row>
    <row r="51">
      <c r="A51" s="39" t="inlineStr">
        <is>
          <t>EV-047</t>
        </is>
      </c>
      <c r="B51" s="4" t="n"/>
      <c r="C51" s="4" t="n"/>
      <c r="D51" s="4" t="n"/>
      <c r="E51" s="4" t="n"/>
      <c r="F51" s="4" t="n"/>
      <c r="G51" s="4" t="n"/>
      <c r="H51" s="4" t="n"/>
    </row>
    <row r="52">
      <c r="A52" s="39" t="inlineStr">
        <is>
          <t>EV-048</t>
        </is>
      </c>
      <c r="B52" s="4" t="n"/>
      <c r="C52" s="4" t="n"/>
      <c r="D52" s="4" t="n"/>
      <c r="E52" s="4" t="n"/>
      <c r="F52" s="4" t="n"/>
      <c r="G52" s="4" t="n"/>
      <c r="H52" s="4" t="n"/>
    </row>
    <row r="53">
      <c r="A53" s="39" t="inlineStr">
        <is>
          <t>EV-049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39" t="inlineStr">
        <is>
          <t>EV-050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39" t="inlineStr">
        <is>
          <t>EV-051</t>
        </is>
      </c>
      <c r="B55" s="4" t="n"/>
      <c r="C55" s="4" t="n"/>
      <c r="D55" s="4" t="n"/>
      <c r="E55" s="4" t="n"/>
      <c r="F55" s="4" t="n"/>
      <c r="G55" s="4" t="n"/>
      <c r="H55" s="4" t="n"/>
    </row>
    <row r="56">
      <c r="A56" s="39" t="inlineStr">
        <is>
          <t>EV-052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39" t="inlineStr">
        <is>
          <t>EV-053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39" t="inlineStr">
        <is>
          <t>EV-054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39" t="inlineStr">
        <is>
          <t>EV-055</t>
        </is>
      </c>
      <c r="B59" s="4" t="n"/>
      <c r="C59" s="4" t="n"/>
      <c r="D59" s="4" t="n"/>
      <c r="E59" s="4" t="n"/>
      <c r="F59" s="4" t="n"/>
      <c r="G59" s="4" t="n"/>
      <c r="H59" s="4" t="n"/>
    </row>
    <row r="60">
      <c r="A60" s="39" t="inlineStr">
        <is>
          <t>EV-056</t>
        </is>
      </c>
      <c r="B60" s="4" t="n"/>
      <c r="C60" s="4" t="n"/>
      <c r="D60" s="4" t="n"/>
      <c r="E60" s="4" t="n"/>
      <c r="F60" s="4" t="n"/>
      <c r="G60" s="4" t="n"/>
      <c r="H60" s="4" t="n"/>
    </row>
    <row r="61">
      <c r="A61" s="39" t="inlineStr">
        <is>
          <t>EV-057</t>
        </is>
      </c>
      <c r="B61" s="4" t="n"/>
      <c r="C61" s="4" t="n"/>
      <c r="D61" s="4" t="n"/>
      <c r="E61" s="4" t="n"/>
      <c r="F61" s="4" t="n"/>
      <c r="G61" s="4" t="n"/>
      <c r="H61" s="4" t="n"/>
    </row>
    <row r="62">
      <c r="A62" s="39" t="inlineStr">
        <is>
          <t>EV-058</t>
        </is>
      </c>
      <c r="B62" s="4" t="n"/>
      <c r="C62" s="4" t="n"/>
      <c r="D62" s="4" t="n"/>
      <c r="E62" s="4" t="n"/>
      <c r="F62" s="4" t="n"/>
      <c r="G62" s="4" t="n"/>
      <c r="H62" s="4" t="n"/>
    </row>
    <row r="63">
      <c r="A63" s="39" t="inlineStr">
        <is>
          <t>EV-059</t>
        </is>
      </c>
      <c r="B63" s="4" t="n"/>
      <c r="C63" s="4" t="n"/>
      <c r="D63" s="4" t="n"/>
      <c r="E63" s="4" t="n"/>
      <c r="F63" s="4" t="n"/>
      <c r="G63" s="4" t="n"/>
      <c r="H63" s="4" t="n"/>
    </row>
    <row r="64">
      <c r="A64" s="39" t="inlineStr">
        <is>
          <t>EV-060</t>
        </is>
      </c>
      <c r="B64" s="4" t="n"/>
      <c r="C64" s="4" t="n"/>
      <c r="D64" s="4" t="n"/>
      <c r="E64" s="4" t="n"/>
      <c r="F64" s="4" t="n"/>
      <c r="G64" s="4" t="n"/>
      <c r="H64" s="4" t="n"/>
    </row>
    <row r="65">
      <c r="A65" s="39" t="inlineStr">
        <is>
          <t>EV-061</t>
        </is>
      </c>
      <c r="B65" s="4" t="n"/>
      <c r="C65" s="4" t="n"/>
      <c r="D65" s="4" t="n"/>
      <c r="E65" s="4" t="n"/>
      <c r="F65" s="4" t="n"/>
      <c r="G65" s="4" t="n"/>
      <c r="H65" s="4" t="n"/>
    </row>
    <row r="66">
      <c r="A66" s="39" t="inlineStr">
        <is>
          <t>EV-062</t>
        </is>
      </c>
      <c r="B66" s="4" t="n"/>
      <c r="C66" s="4" t="n"/>
      <c r="D66" s="4" t="n"/>
      <c r="E66" s="4" t="n"/>
      <c r="F66" s="4" t="n"/>
      <c r="G66" s="4" t="n"/>
      <c r="H66" s="4" t="n"/>
    </row>
    <row r="67">
      <c r="A67" s="39" t="inlineStr">
        <is>
          <t>EV-063</t>
        </is>
      </c>
      <c r="B67" s="4" t="n"/>
      <c r="C67" s="4" t="n"/>
      <c r="D67" s="4" t="n"/>
      <c r="E67" s="4" t="n"/>
      <c r="F67" s="4" t="n"/>
      <c r="G67" s="4" t="n"/>
      <c r="H67" s="4" t="n"/>
    </row>
    <row r="68">
      <c r="A68" s="39" t="inlineStr">
        <is>
          <t>EV-064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39" t="inlineStr">
        <is>
          <t>EV-065</t>
        </is>
      </c>
      <c r="B69" s="4" t="n"/>
      <c r="C69" s="4" t="n"/>
      <c r="D69" s="4" t="n"/>
      <c r="E69" s="4" t="n"/>
      <c r="F69" s="4" t="n"/>
      <c r="G69" s="4" t="n"/>
      <c r="H69" s="4" t="n"/>
    </row>
    <row r="70">
      <c r="A70" s="39" t="inlineStr">
        <is>
          <t>EV-066</t>
        </is>
      </c>
      <c r="B70" s="4" t="n"/>
      <c r="C70" s="4" t="n"/>
      <c r="D70" s="4" t="n"/>
      <c r="E70" s="4" t="n"/>
      <c r="F70" s="4" t="n"/>
      <c r="G70" s="4" t="n"/>
      <c r="H70" s="4" t="n"/>
    </row>
    <row r="71">
      <c r="A71" s="39" t="inlineStr">
        <is>
          <t>EV-067</t>
        </is>
      </c>
      <c r="B71" s="4" t="n"/>
      <c r="C71" s="4" t="n"/>
      <c r="D71" s="4" t="n"/>
      <c r="E71" s="4" t="n"/>
      <c r="F71" s="4" t="n"/>
      <c r="G71" s="4" t="n"/>
      <c r="H71" s="4" t="n"/>
    </row>
    <row r="72">
      <c r="A72" s="39" t="inlineStr">
        <is>
          <t>EV-068</t>
        </is>
      </c>
      <c r="B72" s="4" t="n"/>
      <c r="C72" s="4" t="n"/>
      <c r="D72" s="4" t="n"/>
      <c r="E72" s="4" t="n"/>
      <c r="F72" s="4" t="n"/>
      <c r="G72" s="4" t="n"/>
      <c r="H72" s="4" t="n"/>
    </row>
    <row r="73">
      <c r="A73" s="39" t="inlineStr">
        <is>
          <t>EV-069</t>
        </is>
      </c>
      <c r="B73" s="4" t="n"/>
      <c r="C73" s="4" t="n"/>
      <c r="D73" s="4" t="n"/>
      <c r="E73" s="4" t="n"/>
      <c r="F73" s="4" t="n"/>
      <c r="G73" s="4" t="n"/>
      <c r="H73" s="4" t="n"/>
    </row>
    <row r="74">
      <c r="A74" s="39" t="inlineStr">
        <is>
          <t>EV-070</t>
        </is>
      </c>
      <c r="B74" s="4" t="n"/>
      <c r="C74" s="4" t="n"/>
      <c r="D74" s="4" t="n"/>
      <c r="E74" s="4" t="n"/>
      <c r="F74" s="4" t="n"/>
      <c r="G74" s="4" t="n"/>
      <c r="H74" s="4" t="n"/>
    </row>
    <row r="75">
      <c r="A75" s="39" t="inlineStr">
        <is>
          <t>EV-071</t>
        </is>
      </c>
      <c r="B75" s="4" t="n"/>
      <c r="C75" s="4" t="n"/>
      <c r="D75" s="4" t="n"/>
      <c r="E75" s="4" t="n"/>
      <c r="F75" s="4" t="n"/>
      <c r="G75" s="4" t="n"/>
      <c r="H75" s="4" t="n"/>
    </row>
    <row r="76">
      <c r="A76" s="39" t="inlineStr">
        <is>
          <t>EV-072</t>
        </is>
      </c>
      <c r="B76" s="4" t="n"/>
      <c r="C76" s="4" t="n"/>
      <c r="D76" s="4" t="n"/>
      <c r="E76" s="4" t="n"/>
      <c r="F76" s="4" t="n"/>
      <c r="G76" s="4" t="n"/>
      <c r="H76" s="4" t="n"/>
    </row>
    <row r="77">
      <c r="A77" s="39" t="inlineStr">
        <is>
          <t>EV-073</t>
        </is>
      </c>
      <c r="B77" s="4" t="n"/>
      <c r="C77" s="4" t="n"/>
      <c r="D77" s="4" t="n"/>
      <c r="E77" s="4" t="n"/>
      <c r="F77" s="4" t="n"/>
      <c r="G77" s="4" t="n"/>
      <c r="H77" s="4" t="n"/>
    </row>
    <row r="78">
      <c r="A78" s="39" t="inlineStr">
        <is>
          <t>EV-074</t>
        </is>
      </c>
      <c r="B78" s="4" t="n"/>
      <c r="C78" s="4" t="n"/>
      <c r="D78" s="4" t="n"/>
      <c r="E78" s="4" t="n"/>
      <c r="F78" s="4" t="n"/>
      <c r="G78" s="4" t="n"/>
      <c r="H78" s="4" t="n"/>
    </row>
    <row r="79">
      <c r="A79" s="39" t="inlineStr">
        <is>
          <t>EV-075</t>
        </is>
      </c>
      <c r="B79" s="4" t="n"/>
      <c r="C79" s="4" t="n"/>
      <c r="D79" s="4" t="n"/>
      <c r="E79" s="4" t="n"/>
      <c r="F79" s="4" t="n"/>
      <c r="G79" s="4" t="n"/>
      <c r="H79" s="4" t="n"/>
    </row>
    <row r="80">
      <c r="A80" s="39" t="inlineStr">
        <is>
          <t>EV-076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39" t="inlineStr">
        <is>
          <t>EV-077</t>
        </is>
      </c>
      <c r="B81" s="4" t="n"/>
      <c r="C81" s="4" t="n"/>
      <c r="D81" s="4" t="n"/>
      <c r="E81" s="4" t="n"/>
      <c r="F81" s="4" t="n"/>
      <c r="G81" s="4" t="n"/>
      <c r="H81" s="4" t="n"/>
    </row>
    <row r="82">
      <c r="A82" s="39" t="inlineStr">
        <is>
          <t>EV-078</t>
        </is>
      </c>
      <c r="B82" s="4" t="n"/>
      <c r="C82" s="4" t="n"/>
      <c r="D82" s="4" t="n"/>
      <c r="E82" s="4" t="n"/>
      <c r="F82" s="4" t="n"/>
      <c r="G82" s="4" t="n"/>
      <c r="H82" s="4" t="n"/>
    </row>
    <row r="83">
      <c r="A83" s="39" t="inlineStr">
        <is>
          <t>EV-079</t>
        </is>
      </c>
      <c r="B83" s="4" t="n"/>
      <c r="C83" s="4" t="n"/>
      <c r="D83" s="4" t="n"/>
      <c r="E83" s="4" t="n"/>
      <c r="F83" s="4" t="n"/>
      <c r="G83" s="4" t="n"/>
      <c r="H83" s="4" t="n"/>
    </row>
    <row r="84">
      <c r="A84" s="39" t="inlineStr">
        <is>
          <t>EV-080</t>
        </is>
      </c>
      <c r="B84" s="4" t="n"/>
      <c r="C84" s="4" t="n"/>
      <c r="D84" s="4" t="n"/>
      <c r="E84" s="4" t="n"/>
      <c r="F84" s="4" t="n"/>
      <c r="G84" s="4" t="n"/>
      <c r="H84" s="4" t="n"/>
    </row>
    <row r="85">
      <c r="A85" s="39" t="inlineStr">
        <is>
          <t>EV-081</t>
        </is>
      </c>
      <c r="B85" s="4" t="n"/>
      <c r="C85" s="4" t="n"/>
      <c r="D85" s="4" t="n"/>
      <c r="E85" s="4" t="n"/>
      <c r="F85" s="4" t="n"/>
      <c r="G85" s="4" t="n"/>
      <c r="H85" s="4" t="n"/>
    </row>
    <row r="86">
      <c r="A86" s="39" t="inlineStr">
        <is>
          <t>EV-082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39" t="inlineStr">
        <is>
          <t>EV-083</t>
        </is>
      </c>
      <c r="B87" s="4" t="n"/>
      <c r="C87" s="4" t="n"/>
      <c r="D87" s="4" t="n"/>
      <c r="E87" s="4" t="n"/>
      <c r="F87" s="4" t="n"/>
      <c r="G87" s="4" t="n"/>
      <c r="H87" s="4" t="n"/>
    </row>
    <row r="88">
      <c r="A88" s="39" t="inlineStr">
        <is>
          <t>EV-084</t>
        </is>
      </c>
      <c r="B88" s="4" t="n"/>
      <c r="C88" s="4" t="n"/>
      <c r="D88" s="4" t="n"/>
      <c r="E88" s="4" t="n"/>
      <c r="F88" s="4" t="n"/>
      <c r="G88" s="4" t="n"/>
      <c r="H88" s="4" t="n"/>
    </row>
    <row r="89">
      <c r="A89" s="39" t="inlineStr">
        <is>
          <t>EV-085</t>
        </is>
      </c>
      <c r="B89" s="4" t="n"/>
      <c r="C89" s="4" t="n"/>
      <c r="D89" s="4" t="n"/>
      <c r="E89" s="4" t="n"/>
      <c r="F89" s="4" t="n"/>
      <c r="G89" s="4" t="n"/>
      <c r="H89" s="4" t="n"/>
    </row>
    <row r="90">
      <c r="A90" s="39" t="inlineStr">
        <is>
          <t>EV-086</t>
        </is>
      </c>
      <c r="B90" s="4" t="n"/>
      <c r="C90" s="4" t="n"/>
      <c r="D90" s="4" t="n"/>
      <c r="E90" s="4" t="n"/>
      <c r="F90" s="4" t="n"/>
      <c r="G90" s="4" t="n"/>
      <c r="H90" s="4" t="n"/>
    </row>
    <row r="91">
      <c r="A91" s="39" t="inlineStr">
        <is>
          <t>EV-087</t>
        </is>
      </c>
      <c r="B91" s="4" t="n"/>
      <c r="C91" s="4" t="n"/>
      <c r="D91" s="4" t="n"/>
      <c r="E91" s="4" t="n"/>
      <c r="F91" s="4" t="n"/>
      <c r="G91" s="4" t="n"/>
      <c r="H91" s="4" t="n"/>
    </row>
    <row r="92">
      <c r="A92" s="39" t="inlineStr">
        <is>
          <t>EV-088</t>
        </is>
      </c>
      <c r="B92" s="4" t="n"/>
      <c r="C92" s="4" t="n"/>
      <c r="D92" s="4" t="n"/>
      <c r="E92" s="4" t="n"/>
      <c r="F92" s="4" t="n"/>
      <c r="G92" s="4" t="n"/>
      <c r="H92" s="4" t="n"/>
    </row>
    <row r="93">
      <c r="A93" s="39" t="inlineStr">
        <is>
          <t>EV-089</t>
        </is>
      </c>
      <c r="B93" s="4" t="n"/>
      <c r="C93" s="4" t="n"/>
      <c r="D93" s="4" t="n"/>
      <c r="E93" s="4" t="n"/>
      <c r="F93" s="4" t="n"/>
      <c r="G93" s="4" t="n"/>
      <c r="H93" s="4" t="n"/>
    </row>
    <row r="94">
      <c r="A94" s="39" t="inlineStr">
        <is>
          <t>EV-090</t>
        </is>
      </c>
      <c r="B94" s="4" t="n"/>
      <c r="C94" s="4" t="n"/>
      <c r="D94" s="4" t="n"/>
      <c r="E94" s="4" t="n"/>
      <c r="F94" s="4" t="n"/>
      <c r="G94" s="4" t="n"/>
      <c r="H94" s="4" t="n"/>
    </row>
    <row r="95">
      <c r="A95" s="39" t="inlineStr">
        <is>
          <t>EV-091</t>
        </is>
      </c>
      <c r="B95" s="4" t="n"/>
      <c r="C95" s="4" t="n"/>
      <c r="D95" s="4" t="n"/>
      <c r="E95" s="4" t="n"/>
      <c r="F95" s="4" t="n"/>
      <c r="G95" s="4" t="n"/>
      <c r="H95" s="4" t="n"/>
    </row>
    <row r="96">
      <c r="A96" s="39" t="inlineStr">
        <is>
          <t>EV-092</t>
        </is>
      </c>
      <c r="B96" s="4" t="n"/>
      <c r="C96" s="4" t="n"/>
      <c r="D96" s="4" t="n"/>
      <c r="E96" s="4" t="n"/>
      <c r="F96" s="4" t="n"/>
      <c r="G96" s="4" t="n"/>
      <c r="H96" s="4" t="n"/>
    </row>
    <row r="97">
      <c r="A97" s="39" t="inlineStr">
        <is>
          <t>EV-093</t>
        </is>
      </c>
      <c r="B97" s="4" t="n"/>
      <c r="C97" s="4" t="n"/>
      <c r="D97" s="4" t="n"/>
      <c r="E97" s="4" t="n"/>
      <c r="F97" s="4" t="n"/>
      <c r="G97" s="4" t="n"/>
      <c r="H97" s="4" t="n"/>
    </row>
    <row r="98">
      <c r="A98" s="39" t="inlineStr">
        <is>
          <t>EV-094</t>
        </is>
      </c>
      <c r="B98" s="4" t="n"/>
      <c r="C98" s="4" t="n"/>
      <c r="D98" s="4" t="n"/>
      <c r="E98" s="4" t="n"/>
      <c r="F98" s="4" t="n"/>
      <c r="G98" s="4" t="n"/>
      <c r="H98" s="4" t="n"/>
    </row>
    <row r="99">
      <c r="A99" s="39" t="inlineStr">
        <is>
          <t>EV-095</t>
        </is>
      </c>
      <c r="B99" s="4" t="n"/>
      <c r="C99" s="4" t="n"/>
      <c r="D99" s="4" t="n"/>
      <c r="E99" s="4" t="n"/>
      <c r="F99" s="4" t="n"/>
      <c r="G99" s="4" t="n"/>
      <c r="H99" s="4" t="n"/>
    </row>
    <row r="100">
      <c r="A100" s="39" t="inlineStr">
        <is>
          <t>EV-096</t>
        </is>
      </c>
      <c r="B100" s="4" t="n"/>
      <c r="C100" s="4" t="n"/>
      <c r="D100" s="4" t="n"/>
      <c r="E100" s="4" t="n"/>
      <c r="F100" s="4" t="n"/>
      <c r="G100" s="4" t="n"/>
      <c r="H100" s="4" t="n"/>
    </row>
    <row r="101">
      <c r="A101" s="39" t="inlineStr">
        <is>
          <t>EV-097</t>
        </is>
      </c>
      <c r="B101" s="4" t="n"/>
      <c r="C101" s="4" t="n"/>
      <c r="D101" s="4" t="n"/>
      <c r="E101" s="4" t="n"/>
      <c r="F101" s="4" t="n"/>
      <c r="G101" s="4" t="n"/>
      <c r="H101" s="4" t="n"/>
    </row>
    <row r="102">
      <c r="A102" s="39" t="inlineStr">
        <is>
          <t>EV-098</t>
        </is>
      </c>
      <c r="B102" s="4" t="n"/>
      <c r="C102" s="4" t="n"/>
      <c r="D102" s="4" t="n"/>
      <c r="E102" s="4" t="n"/>
      <c r="F102" s="4" t="n"/>
      <c r="G102" s="4" t="n"/>
      <c r="H102" s="4" t="n"/>
    </row>
    <row r="103">
      <c r="A103" s="39" t="inlineStr">
        <is>
          <t>EV-099</t>
        </is>
      </c>
      <c r="B103" s="4" t="n"/>
      <c r="C103" s="4" t="n"/>
      <c r="D103" s="4" t="n"/>
      <c r="E103" s="4" t="n"/>
      <c r="F103" s="4" t="n"/>
      <c r="G103" s="4" t="n"/>
      <c r="H103" s="4" t="n"/>
    </row>
    <row r="104">
      <c r="A104" s="39" t="inlineStr">
        <is>
          <t>EV-100</t>
        </is>
      </c>
      <c r="B104" s="4" t="n"/>
      <c r="C104" s="4" t="n"/>
      <c r="D104" s="4" t="n"/>
      <c r="E104" s="4" t="n"/>
      <c r="F104" s="4" t="n"/>
      <c r="G104" s="4" t="n"/>
      <c r="H104" s="4" t="n"/>
    </row>
  </sheetData>
  <mergeCells count="2">
    <mergeCell ref="A2:H2"/>
    <mergeCell ref="A1:H1"/>
  </mergeCells>
  <dataValidations count="1">
    <dataValidation sqref="G5:G104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1" t="inlineStr">
        <is>
          <t>Verification &amp; Evidence Assessment — SUMMARY DASHBOARD</t>
        </is>
      </c>
    </row>
    <row r="2">
      <c r="A2" s="40" t="inlineStr">
        <is>
          <t>Summary Dashboard  |  Verification &amp; Evidence Assessment  |  Generated: 20260307</t>
        </is>
      </c>
    </row>
    <row r="4">
      <c r="A4" s="41" t="inlineStr">
        <is>
          <t>TABLE 1 – COMPLIANCE ASSESSMENT SUMMARY</t>
        </is>
      </c>
    </row>
    <row r="5">
      <c r="A5" s="42" t="inlineStr">
        <is>
          <t>Assessment Area</t>
        </is>
      </c>
      <c r="B5" s="42" t="inlineStr">
        <is>
          <t>Total Items</t>
        </is>
      </c>
      <c r="C5" s="42" t="inlineStr">
        <is>
          <t>Compliant</t>
        </is>
      </c>
      <c r="D5" s="42" t="inlineStr">
        <is>
          <t>Partial</t>
        </is>
      </c>
      <c r="E5" s="42" t="inlineStr">
        <is>
          <t>Non-Compliant</t>
        </is>
      </c>
      <c r="F5" s="42" t="inlineStr">
        <is>
          <t>N/A</t>
        </is>
      </c>
      <c r="G5" s="42" t="inlineStr">
        <is>
          <t>Compliance %</t>
        </is>
      </c>
    </row>
    <row r="6">
      <c r="A6" s="43" t="inlineStr">
        <is>
          <t>Deletion Logging Assessment</t>
        </is>
      </c>
      <c r="B6" s="44">
        <f>C6+D6+E6+F6</f>
        <v/>
      </c>
      <c r="C6" s="44">
        <f>COUNTIF('Deletion Logging Assessment'!G6:G55,"Fully Compliant")</f>
        <v/>
      </c>
      <c r="D6" s="44">
        <f>COUNTIF('Deletion Logging Assessment'!G6:G55,"Partially Compliant")+COUNTIF('Deletion Logging Assessment'!G6:G55,"Substantially Compliant")</f>
        <v/>
      </c>
      <c r="E6" s="44">
        <f>COUNTIF('Deletion Logging Assessment'!G6:G55,"Non-Compliant")</f>
        <v/>
      </c>
      <c r="F6" s="44">
        <f>COUNTIF('Deletion Logging Assessment'!G6:G55,"N/A (Not applicable to regulations)")</f>
        <v/>
      </c>
      <c r="G6" s="45">
        <f>IF((B6-F6)=0,0,C6/(B6-F6))</f>
        <v/>
      </c>
    </row>
    <row r="7">
      <c r="A7" s="43" t="inlineStr">
        <is>
          <t>Verification Testing Program</t>
        </is>
      </c>
      <c r="B7" s="44">
        <f>C7+D7+E7+F7</f>
        <v/>
      </c>
      <c r="C7" s="44">
        <f>COUNTIF('Verification Testing Program'!G6:G55,"Fully Compliant")</f>
        <v/>
      </c>
      <c r="D7" s="44">
        <f>COUNTIF('Verification Testing Program'!G6:G55,"Partially Compliant")+COUNTIF('Verification Testing Program'!G6:G55,"Substantially Compliant")</f>
        <v/>
      </c>
      <c r="E7" s="44">
        <f>COUNTIF('Verification Testing Program'!G6:G55,"Non-Compliant")</f>
        <v/>
      </c>
      <c r="F7" s="44">
        <f>COUNTIF('Verification Testing Program'!G6:G55,"N/A (Not applicable to regulations)")</f>
        <v/>
      </c>
      <c r="G7" s="45">
        <f>IF((B7-F7)=0,0,C7/(B7-F7))</f>
        <v/>
      </c>
    </row>
    <row r="8">
      <c r="A8" s="43" t="inlineStr">
        <is>
          <t>Evidence Repository Assessment</t>
        </is>
      </c>
      <c r="B8" s="44">
        <f>C8+D8+E8+F8</f>
        <v/>
      </c>
      <c r="C8" s="44">
        <f>COUNTIF('Evidence Repository Assessment'!G6:G55,"Fully Compliant")</f>
        <v/>
      </c>
      <c r="D8" s="44">
        <f>COUNTIF('Evidence Repository Assessment'!G6:G55,"Partially Compliant")+COUNTIF('Evidence Repository Assessment'!G6:G55,"Substantially Compliant")</f>
        <v/>
      </c>
      <c r="E8" s="44">
        <f>COUNTIF('Evidence Repository Assessment'!G6:G55,"Non-Compliant")</f>
        <v/>
      </c>
      <c r="F8" s="44">
        <f>COUNTIF('Evidence Repository Assessment'!G6:G55,"N/A (Not applicable to regulations)")</f>
        <v/>
      </c>
      <c r="G8" s="45">
        <f>IF((B8-F8)=0,0,C8/(B8-F8))</f>
        <v/>
      </c>
    </row>
    <row r="9">
      <c r="A9" s="43" t="inlineStr">
        <is>
          <t>Certificate Management</t>
        </is>
      </c>
      <c r="B9" s="44">
        <f>C9+D9+E9+F9</f>
        <v/>
      </c>
      <c r="C9" s="44">
        <f>COUNTIF('Certificate Management'!G6:G55,"Fully Compliant")</f>
        <v/>
      </c>
      <c r="D9" s="44">
        <f>COUNTIF('Certificate Management'!G6:G55,"Partially Compliant")+COUNTIF('Certificate Management'!G6:G55,"Substantially Compliant")</f>
        <v/>
      </c>
      <c r="E9" s="44">
        <f>COUNTIF('Certificate Management'!G6:G55,"Non-Compliant")</f>
        <v/>
      </c>
      <c r="F9" s="44">
        <f>COUNTIF('Certificate Management'!G6:G55,"N/A (Not applicable to regulations)")</f>
        <v/>
      </c>
      <c r="G9" s="45">
        <f>IF((B9-F9)=0,0,C9/(B9-F9))</f>
        <v/>
      </c>
    </row>
    <row r="10">
      <c r="A10" s="43" t="inlineStr">
        <is>
          <t>Audit Trail Completeness</t>
        </is>
      </c>
      <c r="B10" s="44">
        <f>C10+D10+E10+F10</f>
        <v/>
      </c>
      <c r="C10" s="44">
        <f>COUNTIF('Audit Trail Completeness'!G6:G55,"Fully Compliant")</f>
        <v/>
      </c>
      <c r="D10" s="44">
        <f>COUNTIF('Audit Trail Completeness'!G6:G55,"Partially Compliant")+COUNTIF('Audit Trail Completeness'!G6:G55,"Substantially Compliant")</f>
        <v/>
      </c>
      <c r="E10" s="44">
        <f>COUNTIF('Audit Trail Completeness'!G6:G55,"Non-Compliant")</f>
        <v/>
      </c>
      <c r="F10" s="44">
        <f>COUNTIF('Audit Trail Completeness'!G6:G55,"N/A (Not applicable to regulations)")</f>
        <v/>
      </c>
      <c r="G10" s="45">
        <f>IF((B10-F10)=0,0,C10/(B10-F10))</f>
        <v/>
      </c>
    </row>
    <row r="11">
      <c r="A11" s="42" t="inlineStr">
        <is>
          <t>TOTAL</t>
        </is>
      </c>
      <c r="B11" s="42">
        <f>SUM(B6:B10)</f>
        <v/>
      </c>
      <c r="C11" s="42">
        <f>SUM(C6:C10)</f>
        <v/>
      </c>
      <c r="D11" s="42">
        <f>SUM(D6:D10)</f>
        <v/>
      </c>
      <c r="E11" s="42">
        <f>SUM(E6:E10)</f>
        <v/>
      </c>
      <c r="F11" s="42">
        <f>SUM(F6:F10)</f>
        <v/>
      </c>
      <c r="G11" s="46">
        <f>IF((B11-F11)=0,0,C11/(B11-F11))</f>
        <v/>
      </c>
    </row>
    <row r="13">
      <c r="A13" s="41" t="inlineStr">
        <is>
          <t>TABLE 2 – KEY METRICS</t>
        </is>
      </c>
    </row>
    <row r="14">
      <c r="A14" s="42" t="inlineStr">
        <is>
          <t>Metric</t>
        </is>
      </c>
      <c r="B14" s="42" t="inlineStr">
        <is>
          <t>Value</t>
        </is>
      </c>
      <c r="C14" s="42" t="inlineStr">
        <is>
          <t>Target</t>
        </is>
      </c>
    </row>
    <row r="15">
      <c r="A15" s="47" t="inlineStr">
        <is>
          <t>Overall Compliance Rate</t>
        </is>
      </c>
      <c r="B15" s="48">
        <f>IFERROR(G11,"N/A")</f>
        <v/>
      </c>
      <c r="C15" s="49" t="inlineStr">
        <is>
          <t>≥ 80%</t>
        </is>
      </c>
    </row>
    <row r="16">
      <c r="A16" s="47" t="inlineStr">
        <is>
          <t>Deletion Logging Controls Fully Compliant</t>
        </is>
      </c>
      <c r="B16" s="48">
        <f>IFERROR(COUNTIF('Deletion Logging Assessment'!G6:G55,"Fully Compliant"),0)</f>
        <v/>
      </c>
      <c r="C16" s="49" t="inlineStr">
        <is>
          <t>100%</t>
        </is>
      </c>
    </row>
    <row r="17">
      <c r="A17" s="47" t="inlineStr">
        <is>
          <t>Verification Testing Controls Fully Compliant</t>
        </is>
      </c>
      <c r="B17" s="48">
        <f>IFERROR(COUNTIF('Verification Testing Program'!G6:G55,"Fully Compliant"),0)</f>
        <v/>
      </c>
      <c r="C17" s="49" t="inlineStr">
        <is>
          <t>100%</t>
        </is>
      </c>
    </row>
    <row r="18">
      <c r="A18" s="47" t="inlineStr">
        <is>
          <t>Evidence Repository Controls Fully Compliant</t>
        </is>
      </c>
      <c r="B18" s="48">
        <f>IFERROR(COUNTIF('Evidence Repository Assessment'!G6:G55,"Fully Compliant"),0)</f>
        <v/>
      </c>
      <c r="C18" s="49" t="inlineStr">
        <is>
          <t>100%</t>
        </is>
      </c>
    </row>
    <row r="19">
      <c r="A19" s="47" t="inlineStr">
        <is>
          <t>Certificate Management Controls Fully Compliant</t>
        </is>
      </c>
      <c r="B19" s="48">
        <f>IFERROR(COUNTIF('Certificate Management'!G6:G55,"Fully Compliant"),0)</f>
        <v/>
      </c>
      <c r="C19" s="49" t="inlineStr">
        <is>
          <t>100%</t>
        </is>
      </c>
    </row>
    <row r="20">
      <c r="A20" s="47" t="inlineStr">
        <is>
          <t>Non-Compliant Items Requiring Remediation</t>
        </is>
      </c>
      <c r="B20" s="48">
        <f>IFERROR(SUM(E6:E10),0)</f>
        <v/>
      </c>
      <c r="C20" s="49" t="inlineStr">
        <is>
          <t>0</t>
        </is>
      </c>
    </row>
    <row r="22">
      <c r="A22" s="50" t="inlineStr">
        <is>
          <t>TABLE 3 – KEY FINDINGS &amp; RECOMMENDATIONS</t>
        </is>
      </c>
    </row>
    <row r="23">
      <c r="A23" s="42" t="inlineStr">
        <is>
          <t>#</t>
        </is>
      </c>
      <c r="B23" s="42" t="inlineStr">
        <is>
          <t>Finding</t>
        </is>
      </c>
      <c r="C23" s="42" t="inlineStr">
        <is>
          <t>Impact</t>
        </is>
      </c>
      <c r="D23" s="42" t="inlineStr">
        <is>
          <t>Recommendation</t>
        </is>
      </c>
      <c r="E23" s="42" t="inlineStr">
        <is>
          <t>Priority</t>
        </is>
      </c>
      <c r="F23" s="42" t="inlineStr">
        <is>
          <t>Status</t>
        </is>
      </c>
      <c r="G23" s="42" t="inlineStr">
        <is>
          <t>Notes</t>
        </is>
      </c>
    </row>
    <row r="24">
      <c r="A24" s="49" t="inlineStr">
        <is>
          <t>1</t>
        </is>
      </c>
      <c r="B24" s="47" t="inlineStr">
        <is>
          <t>Deletion logs may lack tamper protection, reducing evidential value</t>
        </is>
      </c>
      <c r="C24" s="47" t="inlineStr">
        <is>
          <t>High</t>
        </is>
      </c>
      <c r="D24" s="47" t="inlineStr">
        <is>
          <t>Implement cryptographic signing or WORM storage for all deletion logs</t>
        </is>
      </c>
      <c r="E24" s="49" t="inlineStr">
        <is>
          <t>P1</t>
        </is>
      </c>
      <c r="F24" s="49" t="inlineStr">
        <is>
          <t>Open</t>
        </is>
      </c>
      <c r="G24" s="47" t="inlineStr"/>
    </row>
    <row r="25">
      <c r="A25" s="49" t="inlineStr">
        <is>
          <t>2</t>
        </is>
      </c>
      <c r="B25" s="47" t="inlineStr">
        <is>
          <t>Forensic verification testing may be infrequent or cover limited media types</t>
        </is>
      </c>
      <c r="C25" s="47" t="inlineStr">
        <is>
          <t>High</t>
        </is>
      </c>
      <c r="D25" s="47" t="inlineStr">
        <is>
          <t>Establish quarterly forensic testing schedule for high-risk data categories</t>
        </is>
      </c>
      <c r="E25" s="49" t="inlineStr">
        <is>
          <t>P1</t>
        </is>
      </c>
      <c r="F25" s="49" t="inlineStr">
        <is>
          <t>Open</t>
        </is>
      </c>
      <c r="G25" s="47" t="inlineStr"/>
    </row>
    <row r="26">
      <c r="A26" s="49" t="inlineStr">
        <is>
          <t>3</t>
        </is>
      </c>
      <c r="B26" s="47" t="inlineStr">
        <is>
          <t>Evidence repository access controls may be insufficient for audit scenarios</t>
        </is>
      </c>
      <c r="C26" s="47" t="inlineStr">
        <is>
          <t>Medium</t>
        </is>
      </c>
      <c r="D26" s="47" t="inlineStr">
        <is>
          <t>Restrict evidence repository access to Security/Compliance roles only</t>
        </is>
      </c>
      <c r="E26" s="49" t="inlineStr">
        <is>
          <t>P2</t>
        </is>
      </c>
      <c r="F26" s="49" t="inlineStr">
        <is>
          <t>Open</t>
        </is>
      </c>
      <c r="G26" s="47" t="inlineStr"/>
    </row>
    <row r="27">
      <c r="A27" s="49" t="inlineStr">
        <is>
          <t>4</t>
        </is>
      </c>
      <c r="B27" s="47" t="inlineStr">
        <is>
          <t>Deletion certificates from vendors may not be validated before acceptance</t>
        </is>
      </c>
      <c r="C27" s="47" t="inlineStr">
        <is>
          <t>Medium</t>
        </is>
      </c>
      <c r="D27" s="47" t="inlineStr">
        <is>
          <t>Implement standard validation procedure (signature check + content review)</t>
        </is>
      </c>
      <c r="E27" s="49" t="inlineStr">
        <is>
          <t>P2</t>
        </is>
      </c>
      <c r="F27" s="49" t="inlineStr">
        <is>
          <t>Open</t>
        </is>
      </c>
      <c r="G27" s="47" t="inlineStr"/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 ht="35" customHeight="1">
      <c r="A1" s="51" t="inlineStr">
        <is>
          <t>ASSESSMENT APPROVAL AND SIGN-OFF</t>
        </is>
      </c>
    </row>
    <row r="2">
      <c r="A2" s="52" t="inlineStr">
        <is>
          <t>ISMS-IMP-A.8.10.4 - Verification &amp; Evidence Assessment</t>
        </is>
      </c>
    </row>
    <row r="3">
      <c r="A3" s="53" t="inlineStr">
        <is>
          <t>ASSESSMENT SUMMARY</t>
        </is>
      </c>
    </row>
    <row r="4">
      <c r="A4" s="3" t="inlineStr">
        <is>
          <t>Document:</t>
        </is>
      </c>
      <c r="B4" s="26" t="inlineStr">
        <is>
          <t>ISMS-IMP-A.8.10.4 - Verification &amp; Evidence Assessment</t>
        </is>
      </c>
    </row>
    <row r="5">
      <c r="A5" s="3" t="inlineStr">
        <is>
          <t>Assessment Period:</t>
        </is>
      </c>
      <c r="B5" s="4" t="inlineStr"/>
    </row>
    <row r="6">
      <c r="A6" s="3" t="inlineStr">
        <is>
          <t>Overall Compliance:</t>
        </is>
      </c>
      <c r="B6" s="54">
        <f>IFERROR(AVERAGE('Summary Dashboard'!G6:G10),"")</f>
        <v/>
      </c>
    </row>
    <row r="7">
      <c r="A7" s="3" t="inlineStr">
        <is>
          <t>Assessment Status:</t>
        </is>
      </c>
      <c r="B7" s="4" t="inlineStr"/>
    </row>
    <row r="9">
      <c r="A9" s="55" t="inlineStr">
        <is>
          <t>COMPLETED BY (DATA PROTECTION)</t>
        </is>
      </c>
    </row>
    <row r="10">
      <c r="A10" s="56" t="inlineStr">
        <is>
          <t>Name:</t>
        </is>
      </c>
      <c r="B10" s="4" t="n"/>
    </row>
    <row r="11">
      <c r="A11" s="56" t="inlineStr">
        <is>
          <t>Title:</t>
        </is>
      </c>
      <c r="B11" s="4" t="n"/>
    </row>
    <row r="12">
      <c r="A12" s="56" t="inlineStr">
        <is>
          <t>Date:</t>
        </is>
      </c>
      <c r="B12" s="4" t="n"/>
    </row>
    <row r="13">
      <c r="A13" s="56" t="inlineStr">
        <is>
          <t>Signature:</t>
        </is>
      </c>
      <c r="B13" s="4" t="n"/>
    </row>
    <row r="14">
      <c r="A14" s="56" t="inlineStr">
        <is>
          <t>Comments:</t>
        </is>
      </c>
      <c r="B14" s="4" t="n"/>
    </row>
    <row r="16">
      <c r="A16" s="55" t="inlineStr">
        <is>
          <t>REVIEWED BY (COMPLIANCE)</t>
        </is>
      </c>
    </row>
    <row r="17">
      <c r="A17" s="56" t="inlineStr">
        <is>
          <t>Name:</t>
        </is>
      </c>
      <c r="B17" s="4" t="n"/>
    </row>
    <row r="18">
      <c r="A18" s="56" t="inlineStr">
        <is>
          <t>Title:</t>
        </is>
      </c>
      <c r="B18" s="4" t="n"/>
    </row>
    <row r="19">
      <c r="A19" s="56" t="inlineStr">
        <is>
          <t>Date:</t>
        </is>
      </c>
      <c r="B19" s="4" t="n"/>
    </row>
    <row r="20">
      <c r="A20" s="56" t="inlineStr">
        <is>
          <t>Signature:</t>
        </is>
      </c>
      <c r="B20" s="4" t="n"/>
    </row>
    <row r="21">
      <c r="A21" s="56" t="inlineStr">
        <is>
          <t>Comments:</t>
        </is>
      </c>
      <c r="B21" s="4" t="n"/>
    </row>
    <row r="23">
      <c r="A23" s="57" t="inlineStr">
        <is>
          <t>APPROVED BY (CISO)</t>
        </is>
      </c>
    </row>
    <row r="24">
      <c r="A24" s="56" t="inlineStr">
        <is>
          <t>Name:</t>
        </is>
      </c>
      <c r="B24" s="4" t="n"/>
    </row>
    <row r="25">
      <c r="A25" s="56" t="inlineStr">
        <is>
          <t>Title:</t>
        </is>
      </c>
      <c r="B25" s="4" t="n"/>
    </row>
    <row r="26">
      <c r="A26" s="56" t="inlineStr">
        <is>
          <t>Date:</t>
        </is>
      </c>
      <c r="B26" s="4" t="n"/>
    </row>
    <row r="27">
      <c r="A27" s="56" t="inlineStr">
        <is>
          <t>Signature:</t>
        </is>
      </c>
      <c r="B27" s="4" t="n"/>
    </row>
    <row r="28">
      <c r="A28" s="56" t="inlineStr">
        <is>
          <t>Comments:</t>
        </is>
      </c>
      <c r="B28" s="4" t="n"/>
    </row>
    <row r="30">
      <c r="A30" s="58" t="inlineStr">
        <is>
          <t>FINAL DECISION:</t>
        </is>
      </c>
    </row>
    <row r="31">
      <c r="A31" s="3" t="inlineStr">
        <is>
          <t>Decision:</t>
        </is>
      </c>
      <c r="B31" s="4" t="n"/>
    </row>
    <row r="33">
      <c r="A33" s="53" t="inlineStr">
        <is>
          <t>NEXT REVIEW DETAILS</t>
        </is>
      </c>
    </row>
    <row r="34">
      <c r="A34" s="3" t="inlineStr">
        <is>
          <t>Next Review Date:</t>
        </is>
      </c>
      <c r="B34" s="4" t="n"/>
    </row>
    <row r="35">
      <c r="A35" s="3" t="inlineStr">
        <is>
          <t>Review Responsible:</t>
        </is>
      </c>
      <c r="B35" s="4" t="n"/>
    </row>
    <row r="36">
      <c r="A36" s="3" t="inlineStr">
        <is>
          <t>Special Considerations:</t>
        </is>
      </c>
      <c r="B36" s="4" t="n"/>
    </row>
  </sheetData>
  <mergeCells count="30">
    <mergeCell ref="B6:E6"/>
    <mergeCell ref="A1:E1"/>
    <mergeCell ref="B24:E24"/>
    <mergeCell ref="B5:E5"/>
    <mergeCell ref="B20:E20"/>
    <mergeCell ref="B36:E36"/>
    <mergeCell ref="B26:E26"/>
    <mergeCell ref="B35:E35"/>
    <mergeCell ref="B4:E4"/>
    <mergeCell ref="A16:E16"/>
    <mergeCell ref="B7:E7"/>
    <mergeCell ref="B25:E25"/>
    <mergeCell ref="A3:E3"/>
    <mergeCell ref="B31:E31"/>
    <mergeCell ref="B18:E18"/>
    <mergeCell ref="B27:E27"/>
    <mergeCell ref="A2:E2"/>
    <mergeCell ref="B12:E12"/>
    <mergeCell ref="B21:E21"/>
    <mergeCell ref="A33:E33"/>
    <mergeCell ref="B11:E11"/>
    <mergeCell ref="A23:E23"/>
    <mergeCell ref="B14:E14"/>
    <mergeCell ref="B17:E17"/>
    <mergeCell ref="B13:E13"/>
    <mergeCell ref="B19:E19"/>
    <mergeCell ref="B34:E34"/>
    <mergeCell ref="B10:E10"/>
    <mergeCell ref="B28:E28"/>
    <mergeCell ref="A9:E9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ISMS-IMP-A.8.10.4 — Verification &amp; Evidence Assessment</dc:title>
  <dc:description xmlns:dc="http://purl.org/dc/elements/1.1/">ISMS Implementation Workbook — ISMS-IMP-A.8.10.4</dc:description>
  <dc:subject xmlns:dc="http://purl.org/dc/elements/1.1/">ISO/IEC 27001:2022 — Control A.8.10: Information Deletion</dc:subject>
  <dcterms:created xmlns:dcterms="http://purl.org/dc/terms/" xmlns:xsi="http://www.w3.org/2001/XMLSchema-instance" xsi:type="dcterms:W3CDTF">2026-03-07T11:28:02Z</dcterms:created>
  <dcterms:modified xmlns:dcterms="http://purl.org/dc/terms/" xmlns:xsi="http://www.w3.org/2001/XMLSchema-instance" xsi:type="dcterms:W3CDTF">2026-03-07T11:28:03Z</dcterms:modified>
</cp:coreProperties>
</file>