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Overall A.8.10 Compliance" sheetId="2" state="visible" r:id="rId2"/>
    <sheet xmlns:r="http://schemas.openxmlformats.org/officeDocument/2006/relationships" name="Retention Schedule Health" sheetId="3" state="visible" r:id="rId3"/>
    <sheet xmlns:r="http://schemas.openxmlformats.org/officeDocument/2006/relationships" name="Deletion Method Effectiveness" sheetId="4" state="visible" r:id="rId4"/>
    <sheet xmlns:r="http://schemas.openxmlformats.org/officeDocument/2006/relationships" name="Third-Party Deletion Performance" sheetId="5" state="visible" r:id="rId5"/>
    <sheet xmlns:r="http://schemas.openxmlformats.org/officeDocument/2006/relationships" name="Verification &amp; Evidence Quality" sheetId="6" state="visible" r:id="rId6"/>
    <sheet xmlns:r="http://schemas.openxmlformats.org/officeDocument/2006/relationships" name="Critical Gaps Dashboard" sheetId="7" state="visible" r:id="rId7"/>
    <sheet xmlns:r="http://schemas.openxmlformats.org/officeDocument/2006/relationships" name="Trend Analysis" sheetId="8" state="visible" r:id="rId8"/>
    <sheet xmlns:r="http://schemas.openxmlformats.org/officeDocument/2006/relationships" name="Executiv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b val="1"/>
      <sz val="11"/>
    </font>
    <font>
      <b val="1"/>
    </font>
    <font>
      <color rgb="000000FF"/>
    </font>
    <font>
      <name val="Calibri"/>
      <b val="1"/>
      <color rgb="00003366"/>
      <sz val="12"/>
    </font>
    <font>
      <name val="Calibri"/>
      <sz val="10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b val="1"/>
      <sz val="10"/>
    </font>
    <font>
      <i val="1"/>
      <sz val="9"/>
    </font>
    <font>
      <i val="1"/>
    </font>
    <font>
      <b val="1"/>
      <sz val="10"/>
    </font>
    <font>
      <name val="Calibri"/>
      <b val="1"/>
      <color rgb="00FFFFFF"/>
      <sz val="10"/>
    </font>
    <font>
      <name val="Calibri"/>
      <sz val="9"/>
    </font>
    <font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ISMS-IMP-A.8.10.5 - Compliance Dashboard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ISMS-IMP-A.8.10.5</t>
        </is>
      </c>
    </row>
    <row r="5">
      <c r="A5" s="3" t="inlineStr">
        <is>
          <t>Title:</t>
        </is>
      </c>
      <c r="B5" t="inlineStr">
        <is>
          <t>Information Deletion - Compliance Dashboard</t>
        </is>
      </c>
    </row>
    <row r="6">
      <c r="A6" s="3" t="inlineStr">
        <is>
          <t>Version:</t>
        </is>
      </c>
      <c r="B6" t="inlineStr">
        <is>
          <t>2.1</t>
        </is>
      </c>
    </row>
    <row r="7">
      <c r="A7" s="3" t="inlineStr">
        <is>
          <t>Related Policy:</t>
        </is>
      </c>
      <c r="B7" t="inlineStr">
        <is>
          <t>ISMS-POL-A.8.10 (Master), ISMS-POL-A.8.10-S4 (Governance)</t>
        </is>
      </c>
    </row>
    <row r="8">
      <c r="A8" s="3" t="inlineStr">
        <is>
          <t>ISO 27001:2022:</t>
        </is>
      </c>
      <c r="B8" t="inlineStr">
        <is>
          <t>Control A.8.10 (Information Deletion)</t>
        </is>
      </c>
    </row>
    <row r="9">
      <c r="A9" s="3" t="inlineStr">
        <is>
          <t>Report Type:</t>
        </is>
      </c>
      <c r="B9" t="inlineStr">
        <is>
          <t>Executive Dashboard with External Links</t>
        </is>
      </c>
    </row>
    <row r="10">
      <c r="A10" s="3" t="inlineStr">
        <is>
          <t>Last Updated:</t>
        </is>
      </c>
      <c r="B10" s="4">
        <f>TODAY()</f>
        <v/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PURPOSE</t>
        </is>
      </c>
    </row>
    <row r="15">
      <c r="A15" s="6" t="inlineStr">
        <is>
          <t>This dashboard consolidates deletion compliance metrics from the four A.8.10 assessment workbooks using EXTERNAL WORKBOOK LINKS. Unlike manual entry, this approach enables automatic data population and updates.
Key Benefits:
- Auto-populates metrics from source assessments (no manual re-entry)
- Updates automatically when source files change (click "Update Links")
- Eliminates transcription errors and data staleness
- Provides real-time compliance overview for executives
- Follows proven A.8.24 System Engineering pattern
IMPORTANT: This version uses VERIFIED cell references from actual assessment scripts.</t>
        </is>
      </c>
    </row>
    <row r="16"/>
    <row r="17"/>
    <row r="18"/>
    <row r="19"/>
    <row r="20"/>
    <row r="21"/>
    <row r="22"/>
    <row r="24">
      <c r="A24" s="5" t="inlineStr">
        <is>
          <t>⚙️ SETUP INSTRUCTIONS (MUST COMPLETE BEFORE USE)</t>
        </is>
      </c>
    </row>
    <row r="25">
      <c r="A25" s="6" t="inlineStr">
        <is>
          <t>CRITICAL: This dashboard requires normalized source files to function.
Step 1: Complete All Assessments
   • ISMS-IMP-A.8.10.1 (Retention &amp; Deletion Triggers)
   • ISMS-IMP-A.8.10.2 (Deletion Methods)
   • ISMS-IMP-A.8.10.3 (Third-Party &amp; Cloud Deletion)
   • ISMS-IMP-A.8.10.4 (Verification &amp; Evidence)
Step 2: Normalize Assessment Files
   Run the normalization script:
   python3 normalize_assessment_files_a810.py
   This script:
   • Validates assessment Document IDs
   • Copies files to standardized names (removes dates/versions)
   • Creates normalized files in Dashboard_Sources folder
   • Generates audit manifest for traceability
Step 3: Place Dashboard in Correct Location
   Move THIS file (the dashboard) into the same directory as the normalized files:
   Dashboard_Sources/
   ├── ISMS-IMP-A.8.10.1.xlsx  (normalized)
   ├── ISMS-IMP-A.8.10.2.xlsx  (normalized)
   ├── ISMS-IMP-A.8.10.3.xlsx  (normalized)
   ├── ISMS-IMP-A.8.10.4.xlsx  (normalized)
   └── ISMS-IMP-A.8.10.5_Compliance_Dashboard_YYYYMMDD.xlsx  (THIS FILE)
Step 4: Enable External Links
   When you open this dashboard, Excel will prompt:
   "This workbook contains links to other data sources"
   Click "Update" to enable automatic data population.
   ⚠️ If you click "Don't Update", formulas will show #REF! errors.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7">
      <c r="A57" s="5" t="inlineStr">
        <is>
          <t>🔗 HOW EXTERNAL LINKS WORK</t>
        </is>
      </c>
    </row>
    <row r="58">
      <c r="A58" s="6" t="inlineStr">
        <is>
          <t>The dashboard uses Excel external workbook links (formulas that reference other files).
Example Formulas (VERIFIED from actual scripts):
='[ISMS-IMP-A.8.10.1.xlsx]Summary Dashboard'!G10     (A.8.10.1 Compliance %)
='[ISMS-IMP-A.8.10.2.xlsx]Summary Dashboard'!G10     (A.8.10.2 Compliance %)
='[ISMS-IMP-A.8.10.3.xlsx]Summary Dashboard'!G10     (A.8.10.3 Compliance %)
='[ISMS-IMP-A.8.10.4.xlsx]Verification Dashboard'!B9 (A.8.10.4 Compliance %)
IMPORTANT NOTE: A.8.10.4 uses a DIFFERENT sheet name ("Verification Dashboard" 
instead of "Summary Dashboard"). This is intentional per the original script design.
This reads:
- Open file: ISMS-IMP-A.8.10.X.xlsx
- Go to sheet: Summary Dashboard (or Verification Dashboard for A.8.10.4)
- Get value from: Cell G10 (or B9 for A.8.10.4)
Cell Color Coding:
- Grey cells with blue text = External link formulas (auto-populated)
- Yellow cells = Manual entry (narrative sections only)
- White cells = Calculated from other cells
Data Flow:
A.8.10.1 Assessment ──┐
A.8.10.2 Assessment ──┼──&gt; Normalization ──&gt; Normalized Files ──&gt; Dashboard ──&gt; Auto-Populated!
A.8.10.3 Assessment ──┤    (Script)          (Standardized)       (Ext Links)
A.8.10.4 Assessment ──┘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9">
      <c r="A79" s="5" t="inlineStr">
        <is>
          <t>📍 VERIFIED CELL REFERENCE MAPPING</t>
        </is>
      </c>
    </row>
    <row r="80">
      <c r="A80" s="6" t="inlineStr">
        <is>
          <t>This dashboard uses VERIFIED cell references from actual assessment generator scripts.
A.8.10.1 (Retention &amp; Deletion Triggers):
  Sheet: "Summary Dashboard"
  Cell G10: Overall Compliance %
  Cell E10: Non-Compliant Count
  Cell B10: Total Items
A.8.10.2 (Deletion Methods):
  Sheet: "Summary Dashboard"
  Cell G10: Overall Compliance %
  Cell E10: Non-Compliant Count
  Cell B10: Total Items
A.8.10.3 (Third-Party &amp; Cloud):
  Sheet: "Summary Dashboard"
  Cell G10: Overall Compliance %
  Cell E10: Non-Compliant Count
  Cell B10: Total Items
A.8.10.4 (Verification &amp; Evidence):
  Sheet: "Verification Dashboard" ← DIFFERENT NAME!
  Cell B9: Compliance Status %
  Cell B8: Critical Gaps Count
  Cell B6: Average Control Effectiveness
If formulas show #REF! errors, verify these cell locations in your source assessments.</t>
        </is>
      </c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6">
      <c r="A106" s="5" t="inlineStr">
        <is>
          <t>🔄 QUARTERLY UPDATE WORKFLOW</t>
        </is>
      </c>
    </row>
    <row r="107">
      <c r="A107" s="6" t="inlineStr">
        <is>
          <t>To update the dashboard with new assessment data:
1. Update source assessment files (A.8.10.1-4) with current data
2. Re-run normalization script to refresh normalized copies:
   python3 normalize_assessment_files_a810.py
3. Open this dashboard
4. Excel prompts "Update Links" → Click "Update"
5. Dashboard automatically reflects current compliance status
That's it! No manual data re-entry required.
Pro Tip: Set calendar reminder for quarterly normalization + link refresh.</t>
        </is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2">
      <c r="A122" s="5" t="inlineStr">
        <is>
          <t>🔧 TROUBLESHOOTING</t>
        </is>
      </c>
    </row>
    <row r="123">
      <c r="A123" s="6" t="inlineStr">
        <is>
          <t>Problem: Formulas show #REF! errors
Solution: Files not in same directory. Move dashboard to Dashboard_Sources folder.
Problem: Excel doesn't prompt to update links
Solution: Go to Data → Edit Links → Update Values
Problem: Dashboard shows old data
Solution: Re-run normalization script, then click "Update Links" in Excel
Problem: "Source file not found" error
Solution: Verify normalized files exist and match expected names:
   • ISMS-IMP-A.8.10.1.xlsx
   • ISMS-IMP-A.8.10.2.xlsx
   • ISMS-IMP-A.8.10.3.xlsx
   • ISMS-IMP-A.8.10.4.xlsx
Problem: A.8.10.4 formulas show #REF! but others work
Solution: A.8.10.4 uses "Verification Dashboard" sheet name (not "Summary Dashboard").
          Verify sheet exists in ISMS-IMP-A.8.10.4.xlsx file.
Problem: Cell references seem wrong
Solution: This version uses VERIFIED references from actual scripts. Check the 
          "VERIFIED CELL REFERENCE MAPPING" section above for exact locations.</t>
        </is>
      </c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</sheetData>
  <mergeCells count="13">
    <mergeCell ref="A15:F22"/>
    <mergeCell ref="A24:F24"/>
    <mergeCell ref="A122:F122"/>
    <mergeCell ref="A14:F14"/>
    <mergeCell ref="A1:F1"/>
    <mergeCell ref="A79:F79"/>
    <mergeCell ref="A106:F106"/>
    <mergeCell ref="A80:F104"/>
    <mergeCell ref="A123:F143"/>
    <mergeCell ref="A25:F55"/>
    <mergeCell ref="A58:F77"/>
    <mergeCell ref="A107:F120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OVERALL A.8.10 INFORMATION DELETION COMPLIANCE STATUS</t>
        </is>
      </c>
    </row>
    <row r="3">
      <c r="A3" s="3" t="inlineStr">
        <is>
          <t>Report Date:</t>
        </is>
      </c>
      <c r="B3" s="4">
        <f>TODAY()</f>
        <v/>
      </c>
    </row>
    <row r="4">
      <c r="A4" s="3" t="inlineStr">
        <is>
          <t>Reporting Period:</t>
        </is>
      </c>
      <c r="B4" s="7" t="n"/>
    </row>
    <row r="6">
      <c r="A6" s="5" t="inlineStr">
        <is>
          <t>SECTION 1: KEY COMPLIANCE METRICS (AUTO-POPULATED FROM SOURCE ASSESSMENTS)</t>
        </is>
      </c>
    </row>
    <row r="7">
      <c r="A7" s="8" t="inlineStr">
        <is>
          <t>Assessment Component</t>
        </is>
      </c>
      <c r="B7" s="8" t="inlineStr">
        <is>
          <t>Compliance Score (%)</t>
        </is>
      </c>
      <c r="C7" s="8" t="inlineStr">
        <is>
          <t>Non-Compliant Items</t>
        </is>
      </c>
      <c r="D7" s="8" t="inlineStr">
        <is>
          <t>Total Items</t>
        </is>
      </c>
      <c r="E7" s="8" t="inlineStr">
        <is>
          <t>Status</t>
        </is>
      </c>
    </row>
    <row r="8">
      <c r="A8" t="inlineStr">
        <is>
          <t>A.8.10.1: Retention &amp; Deletion Triggers</t>
        </is>
      </c>
      <c r="B8" s="9">
        <f>'[ISMS-IMP-A.8.10.1.xlsx]Summary Dashboard'!G10</f>
        <v/>
      </c>
      <c r="C8" s="9">
        <f>'[ISMS-IMP-A.8.10.1.xlsx]Summary Dashboard'!E10</f>
        <v/>
      </c>
      <c r="D8" s="9">
        <f>'[ISMS-IMP-A.8.10.1.xlsx]Summary Dashboard'!B10</f>
        <v/>
      </c>
      <c r="E8" s="7" t="inlineStr"/>
    </row>
    <row r="9">
      <c r="A9" t="inlineStr">
        <is>
          <t>A.8.10.2: Deletion Methods</t>
        </is>
      </c>
      <c r="B9" s="9">
        <f>'[ISMS-IMP-A.8.10.2.xlsx]Summary Dashboard'!G10</f>
        <v/>
      </c>
      <c r="C9" s="9">
        <f>'[ISMS-IMP-A.8.10.2.xlsx]Summary Dashboard'!E10</f>
        <v/>
      </c>
      <c r="D9" s="9">
        <f>'[ISMS-IMP-A.8.10.2.xlsx]Summary Dashboard'!B10</f>
        <v/>
      </c>
      <c r="E9" s="7" t="inlineStr"/>
    </row>
    <row r="10">
      <c r="A10" t="inlineStr">
        <is>
          <t>A.8.10.3: Third-Party &amp; Cloud Deletion</t>
        </is>
      </c>
      <c r="B10" s="9">
        <f>'[ISMS-IMP-A.8.10.3.xlsx]Summary Dashboard'!G10</f>
        <v/>
      </c>
      <c r="C10" s="9">
        <f>'[ISMS-IMP-A.8.10.3.xlsx]Summary Dashboard'!E10</f>
        <v/>
      </c>
      <c r="D10" s="9">
        <f>'[ISMS-IMP-A.8.10.3.xlsx]Summary Dashboard'!B10</f>
        <v/>
      </c>
      <c r="E10" s="7" t="inlineStr"/>
    </row>
    <row r="11">
      <c r="A11" t="inlineStr">
        <is>
          <t>A.8.10.4: Verification &amp; Evidence</t>
        </is>
      </c>
      <c r="B11" s="9">
        <f>'[ISMS-IMP-A.8.10.4.xlsx]Verification Dashboard'!B9</f>
        <v/>
      </c>
      <c r="C11" s="9">
        <f>'[ISMS-IMP-A.8.10.4.xlsx]Verification Dashboard'!B8</f>
        <v/>
      </c>
      <c r="D11" s="7" t="inlineStr"/>
      <c r="E11" s="7" t="inlineStr"/>
    </row>
    <row r="12">
      <c r="A12" s="10" t="inlineStr">
        <is>
          <t>OVERALL A.8.10 COMPLIANCE</t>
        </is>
      </c>
      <c r="B12" s="9">
        <f>IFERROR(AVERAGE(B8:B11),0)</f>
        <v/>
      </c>
      <c r="C12" s="9">
        <f>IFERROR(SUM(C8:C10)+C11,0)</f>
        <v/>
      </c>
      <c r="D12" s="9">
        <f>IFERROR(SUM(D8:D10),0)</f>
        <v/>
      </c>
      <c r="E12" s="9">
        <f>IF(B12&gt;=95,"Fully Compliant",IF(B12&gt;=80,"Substantially Compliant",IF(B12&gt;=60,"Partially Compliant",IF(B12&gt;0,"Non-Compliant","Not Assessed"))))</f>
        <v/>
      </c>
    </row>
    <row r="14">
      <c r="A14" s="5" t="inlineStr">
        <is>
          <t>SECTION 2: COMPONENT STATUS DETAILS</t>
        </is>
      </c>
    </row>
    <row r="15">
      <c r="A15" s="8" t="inlineStr">
        <is>
          <t>Component</t>
        </is>
      </c>
      <c r="B15" s="8" t="inlineStr">
        <is>
          <t>Key Strength</t>
        </is>
      </c>
      <c r="C15" s="8" t="inlineStr">
        <is>
          <t>Primary Gap</t>
        </is>
      </c>
      <c r="D15" s="8" t="inlineStr">
        <is>
          <t>Priority Action</t>
        </is>
      </c>
    </row>
    <row r="16">
      <c r="A16" t="inlineStr">
        <is>
          <t>A.8.10.1: Retention Schedules</t>
        </is>
      </c>
      <c r="B16" s="7" t="n"/>
      <c r="C16" s="7" t="n"/>
      <c r="D16" s="7" t="n"/>
    </row>
    <row r="17">
      <c r="A17" t="inlineStr">
        <is>
          <t>A.8.10.2: Deletion Methods</t>
        </is>
      </c>
      <c r="B17" s="7" t="n"/>
      <c r="C17" s="7" t="n"/>
      <c r="D17" s="7" t="n"/>
    </row>
    <row r="18">
      <c r="A18" t="inlineStr">
        <is>
          <t>A.8.10.3: Third-Party Deletion</t>
        </is>
      </c>
      <c r="B18" s="7" t="n"/>
      <c r="C18" s="7" t="n"/>
      <c r="D18" s="7" t="n"/>
    </row>
    <row r="19">
      <c r="A19" t="inlineStr">
        <is>
          <t>A.8.10.4: Verification &amp; Evidence</t>
        </is>
      </c>
      <c r="B19" s="7" t="n"/>
      <c r="C19" s="7" t="n"/>
      <c r="D19" s="7" t="n"/>
    </row>
    <row r="21">
      <c r="A21" s="5" t="inlineStr">
        <is>
          <t>SECTION 3: CRITICAL FINDINGS REQUIRING IMMEDIATE ATTENTION</t>
        </is>
      </c>
    </row>
    <row r="22">
      <c r="A22" s="8" t="inlineStr">
        <is>
          <t>Finding</t>
        </is>
      </c>
      <c r="B22" s="8" t="inlineStr">
        <is>
          <t>Source Assessment</t>
        </is>
      </c>
      <c r="C22" s="8" t="inlineStr">
        <is>
          <t>Severity</t>
        </is>
      </c>
      <c r="D22" s="8" t="inlineStr">
        <is>
          <t>Impact</t>
        </is>
      </c>
      <c r="E22" s="8" t="inlineStr">
        <is>
          <t>Owner</t>
        </is>
      </c>
      <c r="F22" s="8" t="inlineStr">
        <is>
          <t>Due Date</t>
        </is>
      </c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4">
      <c r="A34" s="5" t="inlineStr">
        <is>
          <t>SECTION 4: COMPLIANCE TREND (vs. Previous Quarter)</t>
        </is>
      </c>
    </row>
    <row r="35">
      <c r="A35" s="8" t="inlineStr">
        <is>
          <t>Metric</t>
        </is>
      </c>
      <c r="B35" s="8" t="inlineStr">
        <is>
          <t>Current</t>
        </is>
      </c>
      <c r="C35" s="8" t="inlineStr">
        <is>
          <t>Previous</t>
        </is>
      </c>
      <c r="D35" s="8" t="inlineStr">
        <is>
          <t>Trend</t>
        </is>
      </c>
    </row>
    <row r="36">
      <c r="A36" t="inlineStr">
        <is>
          <t>Overall Compliance %</t>
        </is>
      </c>
      <c r="B36" s="9">
        <f>B12</f>
        <v/>
      </c>
      <c r="C36" s="7" t="n"/>
      <c r="D36" s="7" t="n"/>
    </row>
    <row r="37">
      <c r="A37" t="inlineStr">
        <is>
          <t>Total Non-Compliant Items</t>
        </is>
      </c>
      <c r="B37" s="9">
        <f>C12</f>
        <v/>
      </c>
      <c r="C37" s="7" t="n"/>
      <c r="D37" s="7" t="n"/>
    </row>
    <row r="38">
      <c r="A38" t="inlineStr">
        <is>
          <t>Critical Gaps</t>
        </is>
      </c>
      <c r="B38" s="9">
        <f>C11</f>
        <v/>
      </c>
      <c r="C38" s="7" t="n"/>
      <c r="D38" s="7" t="n"/>
    </row>
    <row r="39">
      <c r="A39" t="inlineStr">
        <is>
          <t>A.8.10.1 Compliance %</t>
        </is>
      </c>
      <c r="B39" s="9">
        <f>B8</f>
        <v/>
      </c>
      <c r="C39" s="7" t="n"/>
      <c r="D39" s="7" t="n"/>
    </row>
    <row r="40">
      <c r="A40" t="inlineStr">
        <is>
          <t>A.8.10.2 Compliance %</t>
        </is>
      </c>
      <c r="B40" s="9">
        <f>B9</f>
        <v/>
      </c>
      <c r="C40" s="7" t="n"/>
      <c r="D40" s="7" t="n"/>
    </row>
    <row r="41">
      <c r="A41" t="inlineStr">
        <is>
          <t>A.8.10.3 Compliance %</t>
        </is>
      </c>
      <c r="B41" s="9">
        <f>B10</f>
        <v/>
      </c>
      <c r="C41" s="7" t="n"/>
      <c r="D41" s="7" t="n"/>
    </row>
    <row r="42">
      <c r="A42" t="inlineStr">
        <is>
          <t>A.8.10.4 Compliance %</t>
        </is>
      </c>
      <c r="B42" s="9">
        <f>B11</f>
        <v/>
      </c>
      <c r="C42" s="7" t="n"/>
      <c r="D42" s="7" t="n"/>
    </row>
    <row r="44">
      <c r="A44" s="3" t="inlineStr">
        <is>
          <t>NOTES:</t>
        </is>
      </c>
    </row>
    <row r="45">
      <c r="A45" s="11" t="n"/>
    </row>
    <row r="46"/>
    <row r="47"/>
    <row r="48"/>
  </sheetData>
  <mergeCells count="6">
    <mergeCell ref="A45:F48"/>
    <mergeCell ref="A34:D34"/>
    <mergeCell ref="A1:H1"/>
    <mergeCell ref="A6:E6"/>
    <mergeCell ref="A21:F21"/>
    <mergeCell ref="A14:D14"/>
  </mergeCells>
  <dataValidations count="2">
    <dataValidation sqref="C23:C32" showDropDown="0" showInputMessage="0" showErrorMessage="0" allowBlank="1" type="list">
      <formula1>"Critical,High,Medium,Low"</formula1>
    </dataValidation>
    <dataValidation sqref="D36:D42" showDropDown="0" showInputMessage="0" showErrorMessage="0" allowBlank="1" type="list">
      <formula1>"↑ Improved,→ Stable,↓ Declined,N/A"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RETENTION SCHEDULE HEALTH (A.8.10.1 METRICS)</t>
        </is>
      </c>
    </row>
    <row r="3">
      <c r="A3" s="5" t="inlineStr">
        <is>
          <t>KEY RETENTION METRICS (AUTO-POPULATED FROM A.8.10.1)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A.8.10.1 Compliance %</t>
        </is>
      </c>
      <c r="B5" s="9">
        <f>'[ISMS-IMP-A.8.10.1.xlsx]Summary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'[ISMS-IMP-A.8.10.1.xlsx]Summary Dashboard'!E10</f>
        <v/>
      </c>
      <c r="C6" t="inlineStr">
        <is>
          <t>0</t>
        </is>
      </c>
      <c r="D6" s="7" t="n"/>
    </row>
    <row r="7">
      <c r="A7" t="inlineStr">
        <is>
          <t>Total Items Assessed</t>
        </is>
      </c>
      <c r="B7" s="9">
        <f>'[ISMS-IMP-A.8.10.1.xlsx]Summary Dashboard'!B10</f>
        <v/>
      </c>
      <c r="C7" t="inlineStr">
        <is>
          <t>All Categories</t>
        </is>
      </c>
      <c r="D7" s="7" t="n"/>
    </row>
    <row r="9">
      <c r="A9" s="5" t="inlineStr">
        <is>
          <t>DETAILED RETENTION SCHEDULE METRICS (MANUAL ENTRY)</t>
        </is>
      </c>
    </row>
    <row r="10">
      <c r="A10" s="12" t="inlineStr">
        <is>
          <t>Note: These metrics have dynamic row locations in source assessment.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Total Data Categories Identified</t>
        </is>
      </c>
      <c r="B12" s="7" t="n"/>
      <c r="C12" s="7" t="n"/>
      <c r="D12" s="7" t="n"/>
    </row>
    <row r="13">
      <c r="A13" t="inlineStr">
        <is>
          <t>Data Categories with Defined Retention</t>
        </is>
      </c>
      <c r="B13" s="7" t="n"/>
      <c r="C13" s="7" t="n"/>
      <c r="D13" s="7" t="n"/>
    </row>
    <row r="14">
      <c r="A14" t="inlineStr">
        <is>
          <t>Data Categories with Legal Basis</t>
        </is>
      </c>
      <c r="B14" s="7" t="n"/>
      <c r="C14" s="7" t="n"/>
      <c r="D14" s="7" t="n"/>
    </row>
    <row r="15">
      <c r="A15" t="inlineStr">
        <is>
          <t>Event-Based Retention Categories</t>
        </is>
      </c>
      <c r="B15" s="7" t="n"/>
      <c r="C15" s="7" t="n"/>
      <c r="D15" s="7" t="n"/>
    </row>
    <row r="16">
      <c r="A16" t="inlineStr">
        <is>
          <t>Categories with PII/SPI</t>
        </is>
      </c>
      <c r="B16" s="7" t="n"/>
      <c r="C16" s="7" t="n"/>
      <c r="D16" s="7" t="n"/>
    </row>
    <row r="17">
      <c r="A17" t="inlineStr">
        <is>
          <t>Categories Pending Review</t>
        </is>
      </c>
      <c r="B17" s="7" t="n"/>
      <c r="C17" s="7" t="n"/>
      <c r="D17" s="7" t="n"/>
    </row>
    <row r="18">
      <c r="A18" t="inlineStr">
        <is>
          <t>Categories with Automated Triggers</t>
        </is>
      </c>
      <c r="B18" s="7" t="n"/>
      <c r="C18" s="7" t="n"/>
      <c r="D18" s="7" t="n"/>
    </row>
    <row r="19">
      <c r="A19" t="inlineStr">
        <is>
          <t>Categories with Manual Triggers Only</t>
        </is>
      </c>
      <c r="B19" s="7" t="n"/>
      <c r="C19" s="7" t="n"/>
      <c r="D19" s="7" t="n"/>
    </row>
    <row r="20">
      <c r="A20" t="inlineStr">
        <is>
          <t>Legal Hold Breaches (Last 12 Months)</t>
        </is>
      </c>
      <c r="B20" s="7" t="n"/>
      <c r="C20" s="7" t="n"/>
      <c r="D20" s="7" t="n"/>
    </row>
    <row r="21">
      <c r="A21" t="inlineStr">
        <is>
          <t>Average Data Subject Request Response Time (Days)</t>
        </is>
      </c>
      <c r="B21" s="7" t="n"/>
      <c r="C21" s="7" t="n"/>
      <c r="D21" s="7" t="n"/>
    </row>
    <row r="23">
      <c r="A23" s="5" t="inlineStr">
        <is>
          <t>RETENTION SCHEDULE GAPS</t>
        </is>
      </c>
    </row>
    <row r="24">
      <c r="A24" s="8" t="inlineStr">
        <is>
          <t>Data Category</t>
        </is>
      </c>
      <c r="B24" s="8" t="inlineStr">
        <is>
          <t>Current Gap</t>
        </is>
      </c>
      <c r="C24" s="8" t="inlineStr">
        <is>
          <t>Risk Level</t>
        </is>
      </c>
      <c r="D24" s="8" t="inlineStr">
        <is>
          <t>Remediation Plan</t>
        </is>
      </c>
      <c r="E24" s="8" t="inlineStr">
        <is>
          <t>Target Date</t>
        </is>
      </c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5">
    <mergeCell ref="A9:D9"/>
    <mergeCell ref="A1:F1"/>
    <mergeCell ref="A3:D3"/>
    <mergeCell ref="A23:E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DELETION METHOD EFFECTIVENESS (A.8.10.2 METRICS)</t>
        </is>
      </c>
    </row>
    <row r="3">
      <c r="A3" s="5" t="inlineStr">
        <is>
          <t>DELETION METHOD COMPLIANCE (AUTO-POPULATED FROM A.8.10.2)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A.8.10.2 Compliance %</t>
        </is>
      </c>
      <c r="B5" s="9">
        <f>'[ISMS-IMP-A.8.10.2.xlsx]Summary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'[ISMS-IMP-A.8.10.2.xlsx]Summary Dashboard'!E10</f>
        <v/>
      </c>
      <c r="C6" t="inlineStr">
        <is>
          <t>0</t>
        </is>
      </c>
      <c r="D6" s="7" t="n"/>
    </row>
    <row r="7">
      <c r="A7" t="inlineStr">
        <is>
          <t>Total Media Types Assessed</t>
        </is>
      </c>
      <c r="B7" s="9">
        <f>'[ISMS-IMP-A.8.10.2.xlsx]Summary Dashboard'!B10</f>
        <v/>
      </c>
      <c r="C7" t="inlineStr">
        <is>
          <t>All Media Types</t>
        </is>
      </c>
      <c r="D7" s="7" t="n"/>
    </row>
    <row r="9">
      <c r="A9" s="5" t="inlineStr">
        <is>
          <t>DELETION METHOD METRICS BY MEDIA TYPE (MANUAL ENTRY)</t>
        </is>
      </c>
    </row>
    <row r="10">
      <c r="A10" s="12" t="inlineStr">
        <is>
          <t>Note: Extract these from A.8.10.2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NIST SP 800-88 Compliant Methods (%)</t>
        </is>
      </c>
      <c r="B12" s="7" t="n"/>
      <c r="C12" s="7" t="n"/>
      <c r="D12" s="7" t="n"/>
    </row>
    <row r="13">
      <c r="A13" t="inlineStr">
        <is>
          <t>SSD Secure Erase Available</t>
        </is>
      </c>
      <c r="B13" s="7" t="n"/>
      <c r="C13" s="7" t="n"/>
      <c r="D13" s="7" t="n"/>
    </row>
    <row r="14">
      <c r="A14" t="inlineStr">
        <is>
          <t>HDD Degaussing Capability</t>
        </is>
      </c>
      <c r="B14" s="7" t="n"/>
      <c r="C14" s="7" t="n"/>
      <c r="D14" s="7" t="n"/>
    </row>
    <row r="15">
      <c r="A15" t="inlineStr">
        <is>
          <t>Cloud Storage Deletion SLA Documented</t>
        </is>
      </c>
      <c r="B15" s="7" t="n"/>
      <c r="C15" s="7" t="n"/>
      <c r="D15" s="7" t="n"/>
    </row>
    <row r="16">
      <c r="A16" t="inlineStr">
        <is>
          <t>Database Deletion Methods Tested</t>
        </is>
      </c>
      <c r="B16" s="7" t="n"/>
      <c r="C16" s="7" t="n"/>
      <c r="D16" s="7" t="n"/>
    </row>
    <row r="17">
      <c r="A17" t="inlineStr">
        <is>
          <t>Mobile Device Secure Wipe Available</t>
        </is>
      </c>
      <c r="B17" s="7" t="n"/>
      <c r="C17" s="7" t="n"/>
      <c r="D17" s="7" t="n"/>
    </row>
    <row r="18">
      <c r="A18" t="inlineStr">
        <is>
          <t>Deletion Methods Verified (Testing %)</t>
        </is>
      </c>
      <c r="B18" s="7" t="n"/>
      <c r="C18" s="7" t="n"/>
      <c r="D18" s="7" t="n"/>
    </row>
    <row r="19">
      <c r="A19" t="inlineStr">
        <is>
          <t>Physical Media Destruction Process</t>
        </is>
      </c>
      <c r="B19" s="7" t="n"/>
      <c r="C19" s="7" t="n"/>
      <c r="D19" s="7" t="n"/>
    </row>
    <row r="20">
      <c r="A20" t="inlineStr">
        <is>
          <t>Backup Deletion Coordination</t>
        </is>
      </c>
      <c r="B20" s="7" t="n"/>
      <c r="C20" s="7" t="n"/>
      <c r="D20" s="7" t="n"/>
    </row>
    <row r="21">
      <c r="A21" t="inlineStr">
        <is>
          <t>SSD Overwrite Detection Implemented</t>
        </is>
      </c>
      <c r="B21" s="7" t="n"/>
      <c r="C21" s="7" t="n"/>
      <c r="D21" s="7" t="n"/>
    </row>
    <row r="23">
      <c r="A23" s="5" t="inlineStr">
        <is>
          <t>DELETION METHOD GAPS BY MEDIA TYPE</t>
        </is>
      </c>
    </row>
    <row r="24">
      <c r="A24" s="8" t="inlineStr">
        <is>
          <t>Media Type</t>
        </is>
      </c>
      <c r="B24" s="8" t="inlineStr">
        <is>
          <t>Current Method</t>
        </is>
      </c>
      <c r="C24" s="8" t="inlineStr">
        <is>
          <t>Compliance Gap</t>
        </is>
      </c>
      <c r="D24" s="8" t="inlineStr">
        <is>
          <t>Recommended Method</t>
        </is>
      </c>
      <c r="E24" s="8" t="inlineStr">
        <is>
          <t>Implementation Status</t>
        </is>
      </c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5">
    <mergeCell ref="A9:D9"/>
    <mergeCell ref="A1:F1"/>
    <mergeCell ref="A3:D3"/>
    <mergeCell ref="A23:E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15" customWidth="1" min="4" max="4"/>
    <col width="15" customWidth="1" min="5" max="5"/>
    <col width="30" customWidth="1" min="6" max="6"/>
    <col width="20" customWidth="1" min="7" max="7"/>
  </cols>
  <sheetData>
    <row r="1">
      <c r="A1" s="1" t="inlineStr">
        <is>
          <t>THIRD-PARTY &amp; CLOUD DELETION PERFORMANCE (A.8.10.3 METRICS)</t>
        </is>
      </c>
    </row>
    <row r="3">
      <c r="A3" s="5" t="inlineStr">
        <is>
          <t>THIRD-PARTY DELETION METRICS (AUTO-POPULATED FROM A.8.10.3)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A.8.10.3 Compliance %</t>
        </is>
      </c>
      <c r="B5" s="9">
        <f>'[ISMS-IMP-A.8.10.3.xlsx]Summary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'[ISMS-IMP-A.8.10.3.xlsx]Summary Dashboard'!E10</f>
        <v/>
      </c>
      <c r="C6" t="inlineStr">
        <is>
          <t>0</t>
        </is>
      </c>
      <c r="D6" s="7" t="n"/>
    </row>
    <row r="7">
      <c r="A7" t="inlineStr">
        <is>
          <t>Total Providers Assessed</t>
        </is>
      </c>
      <c r="B7" s="9">
        <f>'[ISMS-IMP-A.8.10.3.xlsx]Summary Dashboard'!B10</f>
        <v/>
      </c>
      <c r="C7" t="inlineStr">
        <is>
          <t>All Providers</t>
        </is>
      </c>
      <c r="D7" s="7" t="n"/>
    </row>
    <row r="9">
      <c r="A9" s="5" t="inlineStr">
        <is>
          <t>DETAILED THIRD-PARTY METRICS (MANUAL ENTRY)</t>
        </is>
      </c>
    </row>
    <row r="10">
      <c r="A10" s="12" t="inlineStr">
        <is>
          <t>Note: Extract these from A.8.10.3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Deletion Clauses in Contracts (%)</t>
        </is>
      </c>
      <c r="B12" s="7" t="n"/>
      <c r="C12" s="7" t="n"/>
      <c r="D12" s="7" t="n"/>
    </row>
    <row r="13">
      <c r="A13" t="inlineStr">
        <is>
          <t>Deletion Certificates Received (%)</t>
        </is>
      </c>
      <c r="B13" s="7" t="n"/>
      <c r="C13" s="7" t="n"/>
      <c r="D13" s="7" t="n"/>
    </row>
    <row r="14">
      <c r="A14" t="inlineStr">
        <is>
          <t>Average Certificate Quality Score (0-10)</t>
        </is>
      </c>
      <c r="B14" s="7" t="n"/>
      <c r="C14" s="7" t="n"/>
      <c r="D14" s="7" t="n"/>
    </row>
    <row r="15">
      <c r="A15" t="inlineStr">
        <is>
          <t>SLA Compliance Rate (%)</t>
        </is>
      </c>
      <c r="B15" s="7" t="n"/>
      <c r="C15" s="7" t="n"/>
      <c r="D15" s="7" t="n"/>
    </row>
    <row r="16">
      <c r="A16" t="inlineStr">
        <is>
          <t>GDPR Article 28 Compliance (%)</t>
        </is>
      </c>
      <c r="B16" s="7" t="n"/>
      <c r="C16" s="7" t="n"/>
      <c r="D16" s="7" t="n"/>
    </row>
    <row r="17">
      <c r="A17" t="inlineStr">
        <is>
          <t>Subprocessors Mapped (%)</t>
        </is>
      </c>
      <c r="B17" s="7" t="n"/>
      <c r="C17" s="7" t="n"/>
      <c r="D17" s="7" t="n"/>
    </row>
    <row r="18">
      <c r="A18" t="inlineStr">
        <is>
          <t>Shadow IT Systems Detected</t>
        </is>
      </c>
      <c r="B18" s="7" t="n"/>
      <c r="C18" s="7" t="n"/>
      <c r="D18" s="7" t="n"/>
    </row>
    <row r="19">
      <c r="A19" t="inlineStr">
        <is>
          <t>Cloud Provider API Deletion Tested</t>
        </is>
      </c>
      <c r="B19" s="7" t="n"/>
      <c r="C19" s="7" t="n"/>
      <c r="D19" s="7" t="n"/>
    </row>
    <row r="20">
      <c r="A20" t="inlineStr">
        <is>
          <t>Vendor Audit Rights Documented</t>
        </is>
      </c>
      <c r="B20" s="7" t="n"/>
      <c r="C20" s="7" t="n"/>
      <c r="D20" s="7" t="n"/>
    </row>
    <row r="21">
      <c r="A21" t="inlineStr">
        <is>
          <t>Data Residency Requirements Met</t>
        </is>
      </c>
      <c r="B21" s="7" t="n"/>
      <c r="C21" s="7" t="n"/>
      <c r="D21" s="7" t="n"/>
    </row>
    <row r="23">
      <c r="A23" s="5" t="inlineStr">
        <is>
          <t>HIGH-RISK THIRD-PARTY PROVIDERS</t>
        </is>
      </c>
    </row>
    <row r="24">
      <c r="A24" s="8" t="inlineStr">
        <is>
          <t>Provider Name</t>
        </is>
      </c>
      <c r="B24" s="8" t="inlineStr">
        <is>
          <t>Service Type</t>
        </is>
      </c>
      <c r="C24" s="8" t="inlineStr">
        <is>
          <t>Risk Issue</t>
        </is>
      </c>
      <c r="D24" s="8" t="inlineStr">
        <is>
          <t>Certificate Quality</t>
        </is>
      </c>
      <c r="E24" s="8" t="inlineStr">
        <is>
          <t>SLA Status</t>
        </is>
      </c>
      <c r="F24" s="8" t="inlineStr">
        <is>
          <t>Action Required</t>
        </is>
      </c>
      <c r="G24" s="8" t="inlineStr">
        <is>
          <t>Owner</t>
        </is>
      </c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mergeCells count="5">
    <mergeCell ref="A9:D9"/>
    <mergeCell ref="A1:G1"/>
    <mergeCell ref="A3:D3"/>
    <mergeCell ref="A10:D10"/>
    <mergeCell ref="A23:G23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VERIFICATION &amp; EVIDENCE QUALITY (A.8.10.4 METRICS)</t>
        </is>
      </c>
    </row>
    <row r="3">
      <c r="A3" s="5" t="inlineStr">
        <is>
          <t>VERIFICATION &amp; EVIDENCE METRICS (AUTO-POPULATED FROM A.8.10.4)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A.8.10.4 Compliance %</t>
        </is>
      </c>
      <c r="B5" s="9">
        <f>'[ISMS-IMP-A.8.10.4.xlsx]Verification Dashboard'!B9</f>
        <v/>
      </c>
      <c r="C5" t="inlineStr">
        <is>
          <t>≥95%</t>
        </is>
      </c>
      <c r="D5" s="7" t="n"/>
    </row>
    <row r="6">
      <c r="A6" t="inlineStr">
        <is>
          <t>Critical Gaps Count</t>
        </is>
      </c>
      <c r="B6" s="9">
        <f>'[ISMS-IMP-A.8.10.4.xlsx]Verification Dashboard'!B8</f>
        <v/>
      </c>
      <c r="C6" t="inlineStr">
        <is>
          <t>0</t>
        </is>
      </c>
      <c r="D6" s="7" t="n"/>
    </row>
    <row r="7">
      <c r="A7" t="inlineStr">
        <is>
          <t>Average Control Effectiveness</t>
        </is>
      </c>
      <c r="B7" s="9">
        <f>'[ISMS-IMP-A.8.10.4.xlsx]Verification Dashboard'!B6</f>
        <v/>
      </c>
      <c r="C7" t="inlineStr">
        <is>
          <t>Effective or Higher</t>
        </is>
      </c>
      <c r="D7" s="7" t="n"/>
    </row>
    <row r="9">
      <c r="A9" s="5" t="inlineStr">
        <is>
          <t>DETAILED VERIFICATION METRICS (MANUAL ENTRY)</t>
        </is>
      </c>
    </row>
    <row r="10">
      <c r="A10" s="12" t="inlineStr">
        <is>
          <t>Note: Extract these from A.8.10.4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Deletion Events with Evidence (%)</t>
        </is>
      </c>
      <c r="B12" s="7" t="n"/>
      <c r="C12" s="7" t="n"/>
      <c r="D12" s="7" t="n"/>
    </row>
    <row r="13">
      <c r="A13" t="inlineStr">
        <is>
          <t>Log Retention Compliance (%)</t>
        </is>
      </c>
      <c r="B13" s="7" t="n"/>
      <c r="C13" s="7" t="n"/>
      <c r="D13" s="7" t="n"/>
    </row>
    <row r="14">
      <c r="A14" t="inlineStr">
        <is>
          <t>Audit Trail Completeness (%)</t>
        </is>
      </c>
      <c r="B14" s="7" t="n"/>
      <c r="C14" s="7" t="n"/>
      <c r="D14" s="7" t="n"/>
    </row>
    <row r="15">
      <c r="A15" t="inlineStr">
        <is>
          <t>Average Evidence Quality Score (0-10)</t>
        </is>
      </c>
      <c r="B15" s="7" t="n"/>
      <c r="C15" s="7" t="n"/>
      <c r="D15" s="7" t="n"/>
    </row>
    <row r="16">
      <c r="A16" t="inlineStr">
        <is>
          <t>Re-verification Test Pass Rate (%)</t>
        </is>
      </c>
      <c r="B16" s="7" t="n"/>
      <c r="C16" s="7" t="n"/>
      <c r="D16" s="7" t="n"/>
    </row>
    <row r="17">
      <c r="A17" t="inlineStr">
        <is>
          <t>Evidence Accessibility (24hrs) (%)</t>
        </is>
      </c>
      <c r="B17" s="7" t="n"/>
      <c r="C17" s="7" t="n"/>
      <c r="D17" s="7" t="n"/>
    </row>
    <row r="18">
      <c r="A18" t="inlineStr">
        <is>
          <t>Certificate Management Process</t>
        </is>
      </c>
      <c r="B18" s="7" t="n"/>
      <c r="C18" s="7" t="n"/>
      <c r="D18" s="7" t="n"/>
    </row>
    <row r="19">
      <c r="A19" t="inlineStr">
        <is>
          <t>Deletion Logging Coverage (%)</t>
        </is>
      </c>
      <c r="B19" s="7" t="n"/>
      <c r="C19" s="7" t="n"/>
      <c r="D19" s="7" t="n"/>
    </row>
    <row r="20">
      <c r="A20" t="inlineStr">
        <is>
          <t>Evidence Repository Capacity</t>
        </is>
      </c>
      <c r="B20" s="7" t="n"/>
      <c r="C20" s="7" t="n"/>
      <c r="D20" s="7" t="n"/>
    </row>
    <row r="21">
      <c r="A21" t="inlineStr">
        <is>
          <t>Verification Testing Frequency</t>
        </is>
      </c>
      <c r="B21" s="7" t="n"/>
      <c r="C21" s="7" t="n"/>
      <c r="D21" s="7" t="n"/>
    </row>
    <row r="23">
      <c r="A23" s="5" t="inlineStr">
        <is>
          <t>EVIDENCE QUALITY GAPS</t>
        </is>
      </c>
    </row>
    <row r="24">
      <c r="A24" s="8" t="inlineStr">
        <is>
          <t>Evidence Type</t>
        </is>
      </c>
      <c r="B24" s="8" t="inlineStr">
        <is>
          <t>Current Gap</t>
        </is>
      </c>
      <c r="C24" s="8" t="inlineStr">
        <is>
          <t>Risk Level</t>
        </is>
      </c>
      <c r="D24" s="8" t="inlineStr">
        <is>
          <t>Quality Score</t>
        </is>
      </c>
      <c r="E24" s="8" t="inlineStr">
        <is>
          <t>Remediation Plan</t>
        </is>
      </c>
      <c r="F24" s="8" t="inlineStr">
        <is>
          <t>Owner</t>
        </is>
      </c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</sheetData>
  <mergeCells count="5">
    <mergeCell ref="A9:D9"/>
    <mergeCell ref="A1:F1"/>
    <mergeCell ref="A3:D3"/>
    <mergeCell ref="A23:F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5" customWidth="1" min="4" max="4"/>
    <col width="30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CRITICAL GAPS DASHBOARD - TOP 20 PRIORITIES</t>
        </is>
      </c>
    </row>
    <row r="3">
      <c r="A3" s="13" t="inlineStr">
        <is>
          <t>Instructions: List the top 20 critical gaps across all A.8.10 assessments</t>
        </is>
      </c>
    </row>
    <row r="4">
      <c r="A4" s="12" t="inlineStr">
        <is>
          <t>Source: Extract from each assessment's gap analysis sections</t>
        </is>
      </c>
    </row>
    <row r="5">
      <c r="A5" s="8" t="inlineStr">
        <is>
          <t>#</t>
        </is>
      </c>
      <c r="B5" s="8" t="inlineStr">
        <is>
          <t>Gap Description</t>
        </is>
      </c>
      <c r="C5" s="8" t="inlineStr">
        <is>
          <t>Source</t>
        </is>
      </c>
      <c r="D5" s="8" t="inlineStr">
        <is>
          <t>Severity</t>
        </is>
      </c>
      <c r="E5" s="8" t="inlineStr">
        <is>
          <t>Impact</t>
        </is>
      </c>
      <c r="F5" s="8" t="inlineStr">
        <is>
          <t>Owner</t>
        </is>
      </c>
      <c r="G5" s="8" t="inlineStr">
        <is>
          <t>Due Date</t>
        </is>
      </c>
      <c r="H5" s="8" t="inlineStr">
        <is>
          <t>Status</t>
        </is>
      </c>
    </row>
    <row r="6">
      <c r="A6" t="n">
        <v>1</v>
      </c>
      <c r="B6" s="7" t="n"/>
      <c r="C6" s="7" t="n"/>
      <c r="D6" s="7" t="n"/>
      <c r="E6" s="7" t="n"/>
      <c r="F6" s="7" t="n"/>
      <c r="G6" s="7" t="n"/>
      <c r="H6" s="7" t="n"/>
    </row>
    <row r="7">
      <c r="A7" t="n">
        <v>2</v>
      </c>
      <c r="B7" s="7" t="n"/>
      <c r="C7" s="7" t="n"/>
      <c r="D7" s="7" t="n"/>
      <c r="E7" s="7" t="n"/>
      <c r="F7" s="7" t="n"/>
      <c r="G7" s="7" t="n"/>
      <c r="H7" s="7" t="n"/>
    </row>
    <row r="8">
      <c r="A8" t="n">
        <v>3</v>
      </c>
      <c r="B8" s="7" t="n"/>
      <c r="C8" s="7" t="n"/>
      <c r="D8" s="7" t="n"/>
      <c r="E8" s="7" t="n"/>
      <c r="F8" s="7" t="n"/>
      <c r="G8" s="7" t="n"/>
      <c r="H8" s="7" t="n"/>
    </row>
    <row r="9">
      <c r="A9" t="n">
        <v>4</v>
      </c>
      <c r="B9" s="7" t="n"/>
      <c r="C9" s="7" t="n"/>
      <c r="D9" s="7" t="n"/>
      <c r="E9" s="7" t="n"/>
      <c r="F9" s="7" t="n"/>
      <c r="G9" s="7" t="n"/>
      <c r="H9" s="7" t="n"/>
    </row>
    <row r="10">
      <c r="A10" t="n">
        <v>5</v>
      </c>
      <c r="B10" s="7" t="n"/>
      <c r="C10" s="7" t="n"/>
      <c r="D10" s="7" t="n"/>
      <c r="E10" s="7" t="n"/>
      <c r="F10" s="7" t="n"/>
      <c r="G10" s="7" t="n"/>
      <c r="H10" s="7" t="n"/>
    </row>
    <row r="11">
      <c r="A11" t="n">
        <v>6</v>
      </c>
      <c r="B11" s="7" t="n"/>
      <c r="C11" s="7" t="n"/>
      <c r="D11" s="7" t="n"/>
      <c r="E11" s="7" t="n"/>
      <c r="F11" s="7" t="n"/>
      <c r="G11" s="7" t="n"/>
      <c r="H11" s="7" t="n"/>
    </row>
    <row r="12">
      <c r="A12" t="n">
        <v>7</v>
      </c>
      <c r="B12" s="7" t="n"/>
      <c r="C12" s="7" t="n"/>
      <c r="D12" s="7" t="n"/>
      <c r="E12" s="7" t="n"/>
      <c r="F12" s="7" t="n"/>
      <c r="G12" s="7" t="n"/>
      <c r="H12" s="7" t="n"/>
    </row>
    <row r="13">
      <c r="A13" t="n">
        <v>8</v>
      </c>
      <c r="B13" s="7" t="n"/>
      <c r="C13" s="7" t="n"/>
      <c r="D13" s="7" t="n"/>
      <c r="E13" s="7" t="n"/>
      <c r="F13" s="7" t="n"/>
      <c r="G13" s="7" t="n"/>
      <c r="H13" s="7" t="n"/>
    </row>
    <row r="14">
      <c r="A14" t="n">
        <v>9</v>
      </c>
      <c r="B14" s="7" t="n"/>
      <c r="C14" s="7" t="n"/>
      <c r="D14" s="7" t="n"/>
      <c r="E14" s="7" t="n"/>
      <c r="F14" s="7" t="n"/>
      <c r="G14" s="7" t="n"/>
      <c r="H14" s="7" t="n"/>
    </row>
    <row r="15">
      <c r="A15" t="n">
        <v>10</v>
      </c>
      <c r="B15" s="7" t="n"/>
      <c r="C15" s="7" t="n"/>
      <c r="D15" s="7" t="n"/>
      <c r="E15" s="7" t="n"/>
      <c r="F15" s="7" t="n"/>
      <c r="G15" s="7" t="n"/>
      <c r="H15" s="7" t="n"/>
    </row>
    <row r="16">
      <c r="A16" t="n">
        <v>11</v>
      </c>
      <c r="B16" s="7" t="n"/>
      <c r="C16" s="7" t="n"/>
      <c r="D16" s="7" t="n"/>
      <c r="E16" s="7" t="n"/>
      <c r="F16" s="7" t="n"/>
      <c r="G16" s="7" t="n"/>
      <c r="H16" s="7" t="n"/>
    </row>
    <row r="17">
      <c r="A17" t="n">
        <v>12</v>
      </c>
      <c r="B17" s="7" t="n"/>
      <c r="C17" s="7" t="n"/>
      <c r="D17" s="7" t="n"/>
      <c r="E17" s="7" t="n"/>
      <c r="F17" s="7" t="n"/>
      <c r="G17" s="7" t="n"/>
      <c r="H17" s="7" t="n"/>
    </row>
    <row r="18">
      <c r="A18" t="n">
        <v>13</v>
      </c>
      <c r="B18" s="7" t="n"/>
      <c r="C18" s="7" t="n"/>
      <c r="D18" s="7" t="n"/>
      <c r="E18" s="7" t="n"/>
      <c r="F18" s="7" t="n"/>
      <c r="G18" s="7" t="n"/>
      <c r="H18" s="7" t="n"/>
    </row>
    <row r="19">
      <c r="A19" t="n">
        <v>14</v>
      </c>
      <c r="B19" s="7" t="n"/>
      <c r="C19" s="7" t="n"/>
      <c r="D19" s="7" t="n"/>
      <c r="E19" s="7" t="n"/>
      <c r="F19" s="7" t="n"/>
      <c r="G19" s="7" t="n"/>
      <c r="H19" s="7" t="n"/>
    </row>
    <row r="20">
      <c r="A20" t="n">
        <v>15</v>
      </c>
      <c r="B20" s="7" t="n"/>
      <c r="C20" s="7" t="n"/>
      <c r="D20" s="7" t="n"/>
      <c r="E20" s="7" t="n"/>
      <c r="F20" s="7" t="n"/>
      <c r="G20" s="7" t="n"/>
      <c r="H20" s="7" t="n"/>
    </row>
    <row r="21">
      <c r="A21" t="n">
        <v>16</v>
      </c>
      <c r="B21" s="7" t="n"/>
      <c r="C21" s="7" t="n"/>
      <c r="D21" s="7" t="n"/>
      <c r="E21" s="7" t="n"/>
      <c r="F21" s="7" t="n"/>
      <c r="G21" s="7" t="n"/>
      <c r="H21" s="7" t="n"/>
    </row>
    <row r="22">
      <c r="A22" t="n">
        <v>17</v>
      </c>
      <c r="B22" s="7" t="n"/>
      <c r="C22" s="7" t="n"/>
      <c r="D22" s="7" t="n"/>
      <c r="E22" s="7" t="n"/>
      <c r="F22" s="7" t="n"/>
      <c r="G22" s="7" t="n"/>
      <c r="H22" s="7" t="n"/>
    </row>
    <row r="23">
      <c r="A23" t="n">
        <v>18</v>
      </c>
      <c r="B23" s="7" t="n"/>
      <c r="C23" s="7" t="n"/>
      <c r="D23" s="7" t="n"/>
      <c r="E23" s="7" t="n"/>
      <c r="F23" s="7" t="n"/>
      <c r="G23" s="7" t="n"/>
      <c r="H23" s="7" t="n"/>
    </row>
    <row r="24">
      <c r="A24" t="n">
        <v>19</v>
      </c>
      <c r="B24" s="7" t="n"/>
      <c r="C24" s="7" t="n"/>
      <c r="D24" s="7" t="n"/>
      <c r="E24" s="7" t="n"/>
      <c r="F24" s="7" t="n"/>
      <c r="G24" s="7" t="n"/>
      <c r="H24" s="7" t="n"/>
    </row>
    <row r="25">
      <c r="A25" t="n">
        <v>20</v>
      </c>
      <c r="B25" s="7" t="n"/>
      <c r="C25" s="7" t="n"/>
      <c r="D25" s="7" t="n"/>
      <c r="E25" s="7" t="n"/>
      <c r="F25" s="7" t="n"/>
      <c r="G25" s="7" t="n"/>
      <c r="H25" s="7" t="n"/>
    </row>
    <row r="27">
      <c r="A27" s="5" t="inlineStr">
        <is>
          <t>GAP SUMMARY</t>
        </is>
      </c>
      <c r="D27" s="5" t="inlineStr">
        <is>
          <t>BY SOURCE ASSESSMENT</t>
        </is>
      </c>
    </row>
    <row r="28">
      <c r="A28" s="3" t="inlineStr">
        <is>
          <t>Critical Gaps:</t>
        </is>
      </c>
      <c r="B28" s="9">
        <f>COUNTIF(D6:D25,"Critical")</f>
        <v/>
      </c>
      <c r="D28" s="3" t="inlineStr">
        <is>
          <t>A.8.10.1 Gaps:</t>
        </is>
      </c>
      <c r="E28" s="9">
        <f>COUNTIF(C6:C25,"*8.10.1*")</f>
        <v/>
      </c>
    </row>
    <row r="29">
      <c r="A29" s="3" t="inlineStr">
        <is>
          <t>High Priority Gaps:</t>
        </is>
      </c>
      <c r="B29" s="9">
        <f>COUNTIF(D6:D25,"High")</f>
        <v/>
      </c>
      <c r="D29" s="3" t="inlineStr">
        <is>
          <t>A.8.10.2 Gaps:</t>
        </is>
      </c>
      <c r="E29" s="9">
        <f>COUNTIF(C6:C25,"*8.10.2*")</f>
        <v/>
      </c>
    </row>
    <row r="30">
      <c r="A30" s="3" t="inlineStr">
        <is>
          <t>Medium Priority Gaps:</t>
        </is>
      </c>
      <c r="B30" s="9">
        <f>COUNTIF(D6:D25,"Medium")</f>
        <v/>
      </c>
      <c r="D30" s="3" t="inlineStr">
        <is>
          <t>A.8.10.3 Gaps:</t>
        </is>
      </c>
      <c r="E30" s="9">
        <f>COUNTIF(C6:C25,"*8.10.3*")</f>
        <v/>
      </c>
    </row>
    <row r="31">
      <c r="A31" s="3" t="inlineStr">
        <is>
          <t>Low Priority Gaps:</t>
        </is>
      </c>
      <c r="B31" s="9">
        <f>COUNTIF(D6:D25,"Low")</f>
        <v/>
      </c>
      <c r="D31" s="3" t="inlineStr">
        <is>
          <t>A.8.10.4 Gaps:</t>
        </is>
      </c>
      <c r="E31" s="9">
        <f>COUNTIF(C6:C25,"*8.10.4*")</f>
        <v/>
      </c>
    </row>
    <row r="33">
      <c r="A33" s="3" t="inlineStr">
        <is>
          <t>Completed:</t>
        </is>
      </c>
      <c r="B33" s="9">
        <f>COUNTIF(H6:H25,"Completed")</f>
        <v/>
      </c>
    </row>
    <row r="34">
      <c r="A34" s="3" t="inlineStr">
        <is>
          <t>In Progress:</t>
        </is>
      </c>
      <c r="B34" s="9">
        <f>COUNTIF(H6:H25,"In Progress")</f>
        <v/>
      </c>
    </row>
    <row r="35">
      <c r="A35" s="3" t="inlineStr">
        <is>
          <t>Not Started:</t>
        </is>
      </c>
      <c r="B35" s="9">
        <f>COUNTIF(H6:H25,"Not Started")</f>
        <v/>
      </c>
    </row>
    <row r="37">
      <c r="A37" s="3" t="inlineStr">
        <is>
          <t>Overall Completion Rate:</t>
        </is>
      </c>
      <c r="B37" s="9">
        <f>IFERROR(B33/COUNTA(H6:H25)*100&amp;"%",0)</f>
        <v/>
      </c>
    </row>
  </sheetData>
  <mergeCells count="5">
    <mergeCell ref="A4:H4"/>
    <mergeCell ref="A3:H3"/>
    <mergeCell ref="D27:E27"/>
    <mergeCell ref="A27:C27"/>
    <mergeCell ref="A1:H1"/>
  </mergeCells>
  <dataValidations count="2">
    <dataValidation sqref="D6:D25" showDropDown="0" showInputMessage="0" showErrorMessage="0" allowBlank="1" type="list">
      <formula1>"Critical,High,Medium,Low"</formula1>
    </dataValidation>
    <dataValidation sqref="H6:H25" showDropDown="0" showInputMessage="0" showErrorMessage="0" allowBlank="1" type="list">
      <formula1>"Not Started,Planning,In Progress,Testing,Completed,On Hold"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TREND ANALYSIS - QUARTERLY COMPLIANCE SNAPSHOTS</t>
        </is>
      </c>
    </row>
    <row r="3">
      <c r="A3" s="13" t="inlineStr">
        <is>
          <t>Instructions: Capture quarterly snapshot metrics to track improvement trends</t>
        </is>
      </c>
    </row>
    <row r="4">
      <c r="A4" s="12" t="inlineStr">
        <is>
          <t>Note: First quarter auto-populates from current data. Subsequent quarters are manual entry.</t>
        </is>
      </c>
    </row>
    <row r="5">
      <c r="A5" s="8" t="inlineStr">
        <is>
          <t>Metric</t>
        </is>
      </c>
      <c r="B5" s="8" t="inlineStr">
        <is>
          <t>Q1 2025</t>
        </is>
      </c>
      <c r="C5" s="8" t="inlineStr">
        <is>
          <t>Q2 2025</t>
        </is>
      </c>
      <c r="D5" s="8" t="inlineStr">
        <is>
          <t>Q3 2025</t>
        </is>
      </c>
      <c r="E5" s="8" t="inlineStr">
        <is>
          <t>Q4 2025</t>
        </is>
      </c>
      <c r="F5" s="8" t="inlineStr">
        <is>
          <t>Q1 2026</t>
        </is>
      </c>
      <c r="G5" s="8" t="inlineStr">
        <is>
          <t>Q2 2026</t>
        </is>
      </c>
      <c r="H5" s="8" t="inlineStr">
        <is>
          <t>Trend</t>
        </is>
      </c>
    </row>
    <row r="6">
      <c r="A6" t="inlineStr">
        <is>
          <t>Overall Compliance Score (%)</t>
        </is>
      </c>
      <c r="B6" s="9">
        <f>'Overall A.8.10 Compliance'!B12</f>
        <v/>
      </c>
      <c r="C6" s="7" t="n"/>
      <c r="D6" s="7" t="n"/>
      <c r="E6" s="7" t="n"/>
      <c r="F6" s="7" t="n"/>
      <c r="G6" s="7" t="n"/>
      <c r="H6" s="7" t="n"/>
    </row>
    <row r="7">
      <c r="A7" t="inlineStr">
        <is>
          <t>Critical Gaps (Count)</t>
        </is>
      </c>
      <c r="B7" s="9">
        <f>'Critical Gaps Dashboard'!B28</f>
        <v/>
      </c>
      <c r="C7" s="7" t="n"/>
      <c r="D7" s="7" t="n"/>
      <c r="E7" s="7" t="n"/>
      <c r="F7" s="7" t="n"/>
      <c r="G7" s="7" t="n"/>
      <c r="H7" s="7" t="n"/>
    </row>
    <row r="8">
      <c r="A8" t="inlineStr">
        <is>
          <t>Total Non-Compliant Items</t>
        </is>
      </c>
      <c r="B8" s="9">
        <f>'Overall A.8.10 Compliance'!C12</f>
        <v/>
      </c>
      <c r="C8" s="7" t="n"/>
      <c r="D8" s="7" t="n"/>
      <c r="E8" s="7" t="n"/>
      <c r="F8" s="7" t="n"/>
      <c r="G8" s="7" t="n"/>
      <c r="H8" s="7" t="n"/>
    </row>
    <row r="9">
      <c r="A9" t="inlineStr">
        <is>
          <t>A.8.10.1 Compliance %</t>
        </is>
      </c>
      <c r="B9" s="9">
        <f>'Overall A.8.10 Compliance'!B8</f>
        <v/>
      </c>
      <c r="C9" s="7" t="n"/>
      <c r="D9" s="7" t="n"/>
      <c r="E9" s="7" t="n"/>
      <c r="F9" s="7" t="n"/>
      <c r="G9" s="7" t="n"/>
      <c r="H9" s="7" t="n"/>
    </row>
    <row r="10">
      <c r="A10" t="inlineStr">
        <is>
          <t>A.8.10.2 Compliance %</t>
        </is>
      </c>
      <c r="B10" s="9">
        <f>'Overall A.8.10 Compliance'!B9</f>
        <v/>
      </c>
      <c r="C10" s="7" t="n"/>
      <c r="D10" s="7" t="n"/>
      <c r="E10" s="7" t="n"/>
      <c r="F10" s="7" t="n"/>
      <c r="G10" s="7" t="n"/>
      <c r="H10" s="7" t="n"/>
    </row>
    <row r="11">
      <c r="A11" t="inlineStr">
        <is>
          <t>A.8.10.3 Compliance %</t>
        </is>
      </c>
      <c r="B11" s="9">
        <f>'Overall A.8.10 Compliance'!B10</f>
        <v/>
      </c>
      <c r="C11" s="7" t="n"/>
      <c r="D11" s="7" t="n"/>
      <c r="E11" s="7" t="n"/>
      <c r="F11" s="7" t="n"/>
      <c r="G11" s="7" t="n"/>
      <c r="H11" s="7" t="n"/>
    </row>
    <row r="12">
      <c r="A12" t="inlineStr">
        <is>
          <t>A.8.10.4 Compliance %</t>
        </is>
      </c>
      <c r="B12" s="9">
        <f>'Overall A.8.10 Compliance'!B11</f>
        <v/>
      </c>
      <c r="C12" s="7" t="n"/>
      <c r="D12" s="7" t="n"/>
      <c r="E12" s="7" t="n"/>
      <c r="F12" s="7" t="n"/>
      <c r="G12" s="7" t="n"/>
      <c r="H12" s="7" t="n"/>
    </row>
    <row r="13">
      <c r="A13" t="inlineStr">
        <is>
          <t>Retention Schedule Coverage (%)</t>
        </is>
      </c>
      <c r="B13" s="7" t="inlineStr"/>
      <c r="C13" s="7" t="n"/>
      <c r="D13" s="7" t="n"/>
      <c r="E13" s="7" t="n"/>
      <c r="F13" s="7" t="n"/>
      <c r="G13" s="7" t="n"/>
      <c r="H13" s="7" t="n"/>
    </row>
    <row r="14">
      <c r="A14" t="inlineStr">
        <is>
          <t>Deletion Method NIST Compliance (%)</t>
        </is>
      </c>
      <c r="B14" s="7" t="inlineStr"/>
      <c r="C14" s="7" t="n"/>
      <c r="D14" s="7" t="n"/>
      <c r="E14" s="7" t="n"/>
      <c r="F14" s="7" t="n"/>
      <c r="G14" s="7" t="n"/>
      <c r="H14" s="7" t="n"/>
    </row>
    <row r="15">
      <c r="A15" t="inlineStr">
        <is>
          <t>Third-Party Certificate Quality (Avg)</t>
        </is>
      </c>
      <c r="B15" s="7" t="inlineStr"/>
      <c r="C15" s="7" t="n"/>
      <c r="D15" s="7" t="n"/>
      <c r="E15" s="7" t="n"/>
      <c r="F15" s="7" t="n"/>
      <c r="G15" s="7" t="n"/>
      <c r="H15" s="7" t="n"/>
    </row>
    <row r="16">
      <c r="A16" t="inlineStr">
        <is>
          <t>Evidence Quality Score (Avg)</t>
        </is>
      </c>
      <c r="B16" s="7" t="inlineStr"/>
      <c r="C16" s="7" t="n"/>
      <c r="D16" s="7" t="n"/>
      <c r="E16" s="7" t="n"/>
      <c r="F16" s="7" t="n"/>
      <c r="G16" s="7" t="n"/>
      <c r="H16" s="7" t="n"/>
    </row>
    <row r="17">
      <c r="A17" t="inlineStr">
        <is>
          <t>GDPR Article 17 Readiness (%)</t>
        </is>
      </c>
      <c r="B17" s="7" t="inlineStr"/>
      <c r="C17" s="7" t="n"/>
      <c r="D17" s="7" t="n"/>
      <c r="E17" s="7" t="n"/>
      <c r="F17" s="7" t="n"/>
      <c r="G17" s="7" t="n"/>
      <c r="H17" s="7" t="n"/>
    </row>
    <row r="18">
      <c r="A18" t="inlineStr">
        <is>
          <t>Automated Deletion Rate (%)</t>
        </is>
      </c>
      <c r="B18" s="7" t="inlineStr"/>
      <c r="C18" s="7" t="n"/>
      <c r="D18" s="7" t="n"/>
      <c r="E18" s="7" t="n"/>
      <c r="F18" s="7" t="n"/>
      <c r="G18" s="7" t="n"/>
      <c r="H18" s="7" t="n"/>
    </row>
    <row r="19">
      <c r="A19" t="inlineStr">
        <is>
          <t>Audit Readiness Score (%)</t>
        </is>
      </c>
      <c r="B19" s="7" t="inlineStr"/>
      <c r="C19" s="7" t="n"/>
      <c r="D19" s="7" t="n"/>
      <c r="E19" s="7" t="n"/>
      <c r="F19" s="7" t="n"/>
      <c r="G19" s="7" t="n"/>
      <c r="H19" s="7" t="n"/>
    </row>
    <row r="21">
      <c r="A21" s="5" t="inlineStr">
        <is>
          <t>QUARTERLY NOTES &amp; OBSERVATIONS</t>
        </is>
      </c>
    </row>
    <row r="22" ht="40" customHeight="1">
      <c r="A22" s="3" t="inlineStr">
        <is>
          <t>Q1 2025 Notes:</t>
        </is>
      </c>
      <c r="B22" s="11" t="n"/>
    </row>
    <row r="23" ht="40" customHeight="1">
      <c r="A23" s="3" t="inlineStr">
        <is>
          <t>Q2 2025 Notes:</t>
        </is>
      </c>
      <c r="B23" s="11" t="n"/>
    </row>
    <row r="24" ht="40" customHeight="1">
      <c r="A24" s="3" t="inlineStr">
        <is>
          <t>Q3 2025 Notes:</t>
        </is>
      </c>
      <c r="B24" s="11" t="n"/>
    </row>
    <row r="25" ht="40" customHeight="1">
      <c r="A25" s="3" t="inlineStr">
        <is>
          <t>Q4 2025 Notes:</t>
        </is>
      </c>
      <c r="B25" s="11" t="n"/>
    </row>
    <row r="26" ht="40" customHeight="1">
      <c r="A26" s="3" t="inlineStr">
        <is>
          <t>Q1 2026 Notes:</t>
        </is>
      </c>
      <c r="B26" s="11" t="n"/>
    </row>
    <row r="27" ht="40" customHeight="1">
      <c r="A27" s="3" t="inlineStr">
        <is>
          <t>Q2 2026 Notes:</t>
        </is>
      </c>
      <c r="B27" s="11" t="n"/>
    </row>
    <row r="29">
      <c r="A29" s="5" t="inlineStr">
        <is>
          <t>KEY MILESTONES &amp; EVENTS</t>
        </is>
      </c>
    </row>
    <row r="30">
      <c r="A30" s="8" t="inlineStr">
        <is>
          <t>Date</t>
        </is>
      </c>
      <c r="B30" s="8" t="inlineStr">
        <is>
          <t>Milestone/Event</t>
        </is>
      </c>
      <c r="C30" s="8" t="inlineStr">
        <is>
          <t>Impact on Compliance</t>
        </is>
      </c>
      <c r="D30" s="8" t="inlineStr">
        <is>
          <t>Related Quarter</t>
        </is>
      </c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</sheetData>
  <mergeCells count="11">
    <mergeCell ref="A4:H4"/>
    <mergeCell ref="B22:H22"/>
    <mergeCell ref="A3:H3"/>
    <mergeCell ref="A21:H21"/>
    <mergeCell ref="B26:H26"/>
    <mergeCell ref="B27:H27"/>
    <mergeCell ref="A29:H29"/>
    <mergeCell ref="B24:H24"/>
    <mergeCell ref="B25:H25"/>
    <mergeCell ref="A1:H1"/>
    <mergeCell ref="B23:H23"/>
  </mergeCells>
  <dataValidations count="1">
    <dataValidation sqref="H6:H19" showDropDown="0" showInputMessage="0" showErrorMessage="0" allowBlank="1" type="list">
      <formula1>"↑ Improved,→ Stable,↓ Declined,N/A"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</cols>
  <sheetData>
    <row r="1" ht="30" customHeight="1">
      <c r="A1" s="1" t="inlineStr">
        <is>
          <t>EXECUTIVE SUMMARY - A.8.10 INFORMATION DELETION PROGRAM</t>
        </is>
      </c>
    </row>
    <row r="3">
      <c r="A3" s="5" t="inlineStr">
        <is>
          <t>OVERALL DELETION PROGRAM STATUS</t>
        </is>
      </c>
    </row>
    <row r="4">
      <c r="A4" s="8" t="inlineStr">
        <is>
          <t>Category</t>
        </is>
      </c>
      <c r="B4" s="8" t="inlineStr">
        <is>
          <t>Score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 Compliance</t>
        </is>
      </c>
      <c r="B5" s="9">
        <f>'Overall A.8.10 Compliance'!B12</f>
        <v/>
      </c>
      <c r="C5" t="inlineStr">
        <is>
          <t>≥95%</t>
        </is>
      </c>
      <c r="D5" s="9">
        <f>'Overall A.8.10 Compliance'!E12</f>
        <v/>
      </c>
    </row>
    <row r="6">
      <c r="A6" t="inlineStr">
        <is>
          <t>Critical Gaps</t>
        </is>
      </c>
      <c r="B6" s="9">
        <f>'Critical Gaps Dashboard'!B28</f>
        <v/>
      </c>
      <c r="C6" t="inlineStr">
        <is>
          <t>0</t>
        </is>
      </c>
      <c r="D6" s="7" t="inlineStr"/>
    </row>
    <row r="7">
      <c r="A7" t="inlineStr">
        <is>
          <t>Total Non-Compliant Items</t>
        </is>
      </c>
      <c r="B7" s="9">
        <f>'Overall A.8.10 Compliance'!C12</f>
        <v/>
      </c>
      <c r="C7" t="inlineStr">
        <is>
          <t>≤5</t>
        </is>
      </c>
      <c r="D7" s="7" t="inlineStr"/>
    </row>
    <row r="8">
      <c r="A8" t="inlineStr">
        <is>
          <t>Audit Readiness</t>
        </is>
      </c>
      <c r="B8" s="7" t="inlineStr"/>
      <c r="C8" t="inlineStr">
        <is>
          <t>Fully Ready</t>
        </is>
      </c>
      <c r="D8" s="7" t="inlineStr"/>
    </row>
    <row r="11">
      <c r="A11" s="14" t="inlineStr">
        <is>
          <t>EXECUTIVE SUMMARY TEXT:</t>
        </is>
      </c>
    </row>
    <row r="12">
      <c r="A12" s="12" t="inlineStr">
        <is>
          <t>Provide a brief narrative summary for executive leadership (max 500 words).</t>
        </is>
      </c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30">
      <c r="A30" s="5" t="inlineStr">
        <is>
          <t>SECTION 2: OVERALL DELETION PROGRAM MATURITY SCORING</t>
        </is>
      </c>
    </row>
    <row r="31">
      <c r="A31" s="8" t="inlineStr">
        <is>
          <t>Component</t>
        </is>
      </c>
      <c r="B31" s="8" t="inlineStr">
        <is>
          <t>Weight</t>
        </is>
      </c>
      <c r="C31" s="8" t="inlineStr">
        <is>
          <t>Score (0-100)</t>
        </is>
      </c>
      <c r="D31" s="8" t="inlineStr">
        <is>
          <t>Weighted Score</t>
        </is>
      </c>
    </row>
    <row r="32">
      <c r="A32" t="inlineStr">
        <is>
          <t>Retention Schedule Management (A.8.10.1)</t>
        </is>
      </c>
      <c r="B32" t="inlineStr">
        <is>
          <t>25%</t>
        </is>
      </c>
      <c r="C32" s="9">
        <f>'Retention Schedule Health'!B5</f>
        <v/>
      </c>
      <c r="D32" s="9">
        <f>IF(ISNUMBER(C32),C32*0.25,0)</f>
        <v/>
      </c>
    </row>
    <row r="33">
      <c r="A33" t="inlineStr">
        <is>
          <t>Deletion Method Compliance (A.8.10.2)</t>
        </is>
      </c>
      <c r="B33" t="inlineStr">
        <is>
          <t>30%</t>
        </is>
      </c>
      <c r="C33" s="9">
        <f>'Deletion Method Effectiveness'!B5</f>
        <v/>
      </c>
      <c r="D33" s="9">
        <f>IF(ISNUMBER(C33),C33*0.30,0)</f>
        <v/>
      </c>
    </row>
    <row r="34">
      <c r="A34" t="inlineStr">
        <is>
          <t>Third-Party Coordination (A.8.10.3)</t>
        </is>
      </c>
      <c r="B34" t="inlineStr">
        <is>
          <t>25%</t>
        </is>
      </c>
      <c r="C34" s="9">
        <f>'Third-Party Deletion Performance'!B5</f>
        <v/>
      </c>
      <c r="D34" s="9">
        <f>IF(ISNUMBER(C34),C34*0.25,0)</f>
        <v/>
      </c>
    </row>
    <row r="35">
      <c r="A35" t="inlineStr">
        <is>
          <t>Verification &amp; Evidence (A.8.10.4)</t>
        </is>
      </c>
      <c r="B35" t="inlineStr">
        <is>
          <t>20%</t>
        </is>
      </c>
      <c r="C35" s="9">
        <f>'Verification &amp; Evidence Quality'!B5</f>
        <v/>
      </c>
      <c r="D35" s="9">
        <f>IF(ISNUMBER(C35),C35*0.20,0)</f>
        <v/>
      </c>
    </row>
    <row r="36">
      <c r="A36" s="10" t="inlineStr">
        <is>
          <t>OVERALL A.8.10 MATURITY SCORE</t>
        </is>
      </c>
      <c r="B36" s="10" t="inlineStr">
        <is>
          <t>100%</t>
        </is>
      </c>
      <c r="C36" s="9">
        <f>IFERROR(AVERAGE(C32:C35),0)</f>
        <v/>
      </c>
      <c r="D36" s="9">
        <f>IFERROR(SUM(D32:D35),0)</f>
        <v/>
      </c>
    </row>
    <row r="38">
      <c r="A38" s="14" t="inlineStr">
        <is>
          <t>MATURITY LEVEL INTERPRETATION</t>
        </is>
      </c>
    </row>
    <row r="39">
      <c r="A39" s="15" t="inlineStr">
        <is>
          <t>Score Range</t>
        </is>
      </c>
      <c r="B39" s="15" t="inlineStr">
        <is>
          <t>Maturity Level</t>
        </is>
      </c>
      <c r="C39" s="15" t="inlineStr">
        <is>
          <t>Description</t>
        </is>
      </c>
    </row>
    <row r="40">
      <c r="A40" s="16" t="inlineStr">
        <is>
          <t>90-100</t>
        </is>
      </c>
      <c r="B40" s="16" t="inlineStr">
        <is>
          <t>Optimized</t>
        </is>
      </c>
      <c r="C40" s="16" t="inlineStr">
        <is>
          <t>Continuous improvement, industry leading</t>
        </is>
      </c>
    </row>
    <row r="41">
      <c r="A41" s="16" t="inlineStr">
        <is>
          <t>80-89</t>
        </is>
      </c>
      <c r="B41" s="16" t="inlineStr">
        <is>
          <t>Managed</t>
        </is>
      </c>
      <c r="C41" s="16" t="inlineStr">
        <is>
          <t>Effective controls, minor improvements needed</t>
        </is>
      </c>
    </row>
    <row r="42">
      <c r="A42" s="16" t="inlineStr">
        <is>
          <t>70-79</t>
        </is>
      </c>
      <c r="B42" s="16" t="inlineStr">
        <is>
          <t>Defined</t>
        </is>
      </c>
      <c r="C42" s="16" t="inlineStr">
        <is>
          <t>Basic compliance, significant gaps remain</t>
        </is>
      </c>
    </row>
    <row r="43">
      <c r="A43" s="16" t="inlineStr">
        <is>
          <t>60-69</t>
        </is>
      </c>
      <c r="B43" s="16" t="inlineStr">
        <is>
          <t>Developing</t>
        </is>
      </c>
      <c r="C43" s="16" t="inlineStr">
        <is>
          <t>Major gaps, regulatory risk exposure</t>
        </is>
      </c>
    </row>
    <row r="44">
      <c r="A44" s="16" t="inlineStr">
        <is>
          <t>0-59</t>
        </is>
      </c>
      <c r="B44" s="16" t="inlineStr">
        <is>
          <t>Initial/Ad-Hoc</t>
        </is>
      </c>
      <c r="C44" s="16" t="inlineStr">
        <is>
          <t>Critical gaps, immediate action required</t>
        </is>
      </c>
    </row>
    <row r="46">
      <c r="A46" s="2" t="inlineStr">
        <is>
          <t>Current Maturity Level:</t>
        </is>
      </c>
      <c r="B46" s="17">
        <f>IF(D36&gt;=90,"Optimized (90-100)",IF(D36&gt;=80,"Managed (80-89)",IF(D36&gt;=70,"Defined (70-79)",IF(D36&gt;=60,"Developing (60-69)",IF(D36&gt;0,"Initial/Ad-Hoc (0-59)","Not Assessed")))))</f>
        <v/>
      </c>
    </row>
    <row r="48">
      <c r="A48" s="5" t="inlineStr">
        <is>
          <t>SECTION 3: RECOMMENDATIONS &amp; ACTION PLAN</t>
        </is>
      </c>
    </row>
    <row r="49">
      <c r="A49" s="8" t="inlineStr">
        <is>
          <t>Recommendation</t>
        </is>
      </c>
      <c r="B49" s="8" t="inlineStr">
        <is>
          <t>Priority</t>
        </is>
      </c>
      <c r="C49" s="8" t="inlineStr">
        <is>
          <t>Owner</t>
        </is>
      </c>
      <c r="D49" s="8" t="inlineStr">
        <is>
          <t>Target Date</t>
        </is>
      </c>
      <c r="E49" s="8" t="inlineStr">
        <is>
          <t>Budget/Resources</t>
        </is>
      </c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7">
      <c r="A57" s="5" t="inlineStr">
        <is>
          <t>SECTION 4: EXECUTIVE APPROVAL</t>
        </is>
      </c>
    </row>
    <row r="58">
      <c r="A58" s="8" t="inlineStr">
        <is>
          <t>Role</t>
        </is>
      </c>
      <c r="B58" s="8" t="inlineStr">
        <is>
          <t>Name</t>
        </is>
      </c>
      <c r="C58" s="8" t="inlineStr">
        <is>
          <t>Signature</t>
        </is>
      </c>
      <c r="D58" s="8" t="inlineStr">
        <is>
          <t>Date</t>
        </is>
      </c>
    </row>
    <row r="59">
      <c r="A59" t="inlineStr">
        <is>
          <t>Assessor</t>
        </is>
      </c>
      <c r="B59" s="7" t="n"/>
      <c r="C59" s="7" t="n"/>
      <c r="D59" s="7" t="n"/>
    </row>
    <row r="60">
      <c r="A60" t="inlineStr">
        <is>
          <t>Compliance Manager</t>
        </is>
      </c>
      <c r="B60" s="7" t="n"/>
      <c r="C60" s="7" t="n"/>
      <c r="D60" s="7" t="n"/>
    </row>
    <row r="61">
      <c r="A61" t="inlineStr">
        <is>
          <t>CISO</t>
        </is>
      </c>
      <c r="B61" s="7" t="n"/>
      <c r="C61" s="7" t="n"/>
      <c r="D61" s="7" t="n"/>
    </row>
    <row r="62">
      <c r="A62" t="inlineStr">
        <is>
          <t>DPO</t>
        </is>
      </c>
      <c r="B62" s="7" t="n"/>
      <c r="C62" s="7" t="n"/>
      <c r="D62" s="7" t="n"/>
    </row>
  </sheetData>
  <mergeCells count="20">
    <mergeCell ref="A16:F16"/>
    <mergeCell ref="A48:E48"/>
    <mergeCell ref="A27:F27"/>
    <mergeCell ref="A18:F18"/>
    <mergeCell ref="A26:F26"/>
    <mergeCell ref="A21:F21"/>
    <mergeCell ref="A14:F14"/>
    <mergeCell ref="A23:F23"/>
    <mergeCell ref="A30:D30"/>
    <mergeCell ref="A22:F22"/>
    <mergeCell ref="A17:F17"/>
    <mergeCell ref="A20:F20"/>
    <mergeCell ref="A13:F13"/>
    <mergeCell ref="A19:F19"/>
    <mergeCell ref="A15:F15"/>
    <mergeCell ref="A24:F24"/>
    <mergeCell ref="A1:F1"/>
    <mergeCell ref="A3:D3"/>
    <mergeCell ref="A57:D57"/>
    <mergeCell ref="A25:F25"/>
  </mergeCells>
  <dataValidations count="2">
    <dataValidation sqref="D8" showDropDown="0" showInputMessage="0" showErrorMessage="0" allowBlank="1" type="list">
      <formula1>"Fully Ready,Mostly Ready,Partially Ready,Not Ready"</formula1>
    </dataValidation>
    <dataValidation sqref="B50:B54" showDropDown="0" showInputMessage="0" showErrorMessage="0" allowBlank="1" type="list">
      <formula1>"P1 - Critical,P2 - High,P3 - Medium,P4 - 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2026-02-08T10:49:37Z</dcterms:created>
  <dcterms:modified xmlns:dcterms="http://purl.org/dc/terms/" xmlns:xsi="http://www.w3.org/2001/XMLSchema-instance" xsi:type="dcterms:W3CDTF">2026-02-08T10:49:37Z</dcterms:modified>
</cp:coreProperties>
</file>