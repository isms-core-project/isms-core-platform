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Physical Storage Media" sheetId="2" state="visible" r:id="rId2"/>
    <sheet xmlns:r="http://schemas.openxmlformats.org/officeDocument/2006/relationships" name="3. Database Systems" sheetId="3" state="visible" r:id="rId3"/>
    <sheet xmlns:r="http://schemas.openxmlformats.org/officeDocument/2006/relationships" name="4. Cloud Storage" sheetId="4" state="visible" r:id="rId4"/>
    <sheet xmlns:r="http://schemas.openxmlformats.org/officeDocument/2006/relationships" name="5. File Systems &amp; Backup Media" sheetId="5" state="visible" r:id="rId5"/>
    <sheet xmlns:r="http://schemas.openxmlformats.org/officeDocument/2006/relationships" name="6. Deletion Verification Tes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b val="1"/>
      <color rgb="00FFFFFF"/>
      <sz val="14"/>
    </font>
    <font>
      <i val="1"/>
    </font>
    <font>
      <b val="1"/>
      <color rgb="00FFFFFF"/>
    </font>
    <font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3" fillId="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 wrapText="1"/>
    </xf>
    <xf numFmtId="0" fontId="16" fillId="10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16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20" fillId="14" borderId="1" pivotButton="0" quotePrefix="0" xfId="0"/>
    <xf numFmtId="0" fontId="21" fillId="0" borderId="0" pivotButton="0" quotePrefix="0" xfId="0"/>
    <xf numFmtId="164" fontId="0" fillId="0" borderId="1" pivotButton="0" quotePrefix="0" xfId="0"/>
    <xf numFmtId="0" fontId="2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ISMS-IMP-A.8.10.2  -  Deletion Methods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ISMS-IMP-A.8.10.2</t>
        </is>
      </c>
    </row>
    <row r="5">
      <c r="A5" s="3" t="inlineStr">
        <is>
          <t>Workbook Title</t>
        </is>
      </c>
      <c r="B5" t="inlineStr">
        <is>
          <t>Deletion Methods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Review the Summary Dashboard for overall compliance status.</t>
        </is>
      </c>
    </row>
    <row r="17">
      <c r="A17" t="inlineStr">
        <is>
          <t>5. Obtain approval using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0" customWidth="1" min="20" max="20"/>
    <col width="18" customWidth="1" min="21" max="21"/>
  </cols>
  <sheetData>
    <row r="1" ht="35" customHeight="1">
      <c r="A1" s="11" t="inlineStr">
        <is>
          <t>SHEET 2: PHYSICAL STORAGE MEDIA</t>
        </is>
      </c>
    </row>
    <row r="2">
      <c r="A2" s="12" t="inlineStr">
        <is>
          <t>Policy Reference: ISMS-POL-A.8.10-S2.2, Section 2.2.1</t>
        </is>
      </c>
    </row>
    <row r="4">
      <c r="A4" s="13" t="inlineStr">
        <is>
          <t>ASSESSMENT QUESTION:
Do we have effective deletion methods for all types of physical media, validated through testing, and aligned with NIST SP 800-88 Rev. 2 guidance?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NIST SP 800-88 Rev. 2 Method</t>
        </is>
      </c>
      <c r="S9" s="15" t="inlineStr">
        <is>
          <t>Verification Method</t>
        </is>
      </c>
      <c r="T9" s="15" t="inlineStr">
        <is>
          <t>Last Forensic Test Result</t>
        </is>
      </c>
      <c r="U9" s="15" t="inlineStr">
        <is>
          <t>Media Disposal Method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physical media types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methods are assigned per media type (not one-size-fits-all)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HDD deletion uses overwrite (≥3 pass) OR degaussing OR destruction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SSD deletion uses Secure Erase OR crypto-erasure OR destruction (NOT simple overwrite)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Magnetic tape deletion uses degaussing OR overwrite OR destruction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Removable media (USB, SD) deletion methods documented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Paper document destruction uses cross-cut shredding (minimum)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NIST SP 800-88 Rev. 2 method classification assigned (Clear/Purge/Destroy)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Deletion tools are approved and maintained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Media disposal procedures documented (reuse, recycle, destroy)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Certificate of Destruction obtained for outsourced destruction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Forensic testing conducted at least annually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Failed forensic tests trigger immediate remediation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Data classification influences deletion method choice (Restricted → Destroy)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End-of-life media destruction procedures exist</t>
        </is>
      </c>
      <c r="T40" s="20" t="inlineStr"/>
      <c r="U40" s="21" t="inlineStr"/>
    </row>
    <row r="42">
      <c r="A42" s="17" t="inlineStr">
        <is>
          <t>HDD vs SSD Deletion Differences</t>
        </is>
      </c>
    </row>
    <row r="43">
      <c r="A43" s="15" t="inlineStr">
        <is>
          <t>Aspect</t>
        </is>
      </c>
      <c r="B43" s="15" t="inlineStr">
        <is>
          <t>HDD (Spinning Disk)</t>
        </is>
      </c>
      <c r="C43" s="15" t="inlineStr">
        <is>
          <t>SSD (NAND Flash)</t>
        </is>
      </c>
    </row>
    <row r="44">
      <c r="A44" s="22" t="inlineStr">
        <is>
          <t>Overwrite Effectiveness</t>
        </is>
      </c>
      <c r="B44" s="22" t="inlineStr">
        <is>
          <t>✅ Effective (7-pass DoD)</t>
        </is>
      </c>
      <c r="C44" s="22" t="inlineStr">
        <is>
          <t>❌ Ineffective (wear leveling)</t>
        </is>
      </c>
    </row>
    <row r="45">
      <c r="A45" s="22" t="inlineStr">
        <is>
          <t>Secure Erase Command</t>
        </is>
      </c>
      <c r="B45" s="22" t="inlineStr">
        <is>
          <t>✅ Effective (ATA)</t>
        </is>
      </c>
      <c r="C45" s="22" t="inlineStr">
        <is>
          <t>✅ Effective (ATA/NVMe)</t>
        </is>
      </c>
    </row>
    <row r="46">
      <c r="A46" s="22" t="inlineStr">
        <is>
          <t>Degaussing</t>
        </is>
      </c>
      <c r="B46" s="22" t="inlineStr">
        <is>
          <t>✅ Effective</t>
        </is>
      </c>
      <c r="C46" s="22" t="inlineStr">
        <is>
          <t>❌ Ineffective (not magnetic)</t>
        </is>
      </c>
    </row>
    <row r="47">
      <c r="A47" s="22" t="inlineStr">
        <is>
          <t>Cryptographic Erasure</t>
        </is>
      </c>
      <c r="B47" s="22" t="inlineStr">
        <is>
          <t>⚠ Requires FDE</t>
        </is>
      </c>
      <c r="C47" s="22" t="inlineStr">
        <is>
          <t>✅ Highly Effective</t>
        </is>
      </c>
    </row>
    <row r="48">
      <c r="A48" s="22" t="inlineStr">
        <is>
          <t>Physical Destruction</t>
        </is>
      </c>
      <c r="B48" s="22" t="inlineStr">
        <is>
          <t>✅ Shred, crush</t>
        </is>
      </c>
      <c r="C48" s="22" t="inlineStr">
        <is>
          <t>✅ Shred (flash chips destroyed)</t>
        </is>
      </c>
    </row>
    <row r="49">
      <c r="A49" s="22" t="inlineStr">
        <is>
          <t>NIST Recommendation</t>
        </is>
      </c>
      <c r="B49" s="22" t="inlineStr">
        <is>
          <t>Purge: Overwrite or Degauss</t>
        </is>
      </c>
      <c r="C49" s="22" t="inlineStr">
        <is>
          <t>Purge: Secure Erase or Crypto-Erase</t>
        </is>
      </c>
    </row>
    <row r="51">
      <c r="A51" s="17" t="inlineStr">
        <is>
          <t>Physical Destruction Methods</t>
        </is>
      </c>
    </row>
    <row r="52">
      <c r="A52" s="15" t="inlineStr">
        <is>
          <t>Method</t>
        </is>
      </c>
      <c r="B52" s="15" t="inlineStr">
        <is>
          <t>Media Types</t>
        </is>
      </c>
      <c r="C52" s="15" t="inlineStr">
        <is>
          <t>Effectiveness</t>
        </is>
      </c>
      <c r="D52" s="15" t="inlineStr">
        <is>
          <t>Cost</t>
        </is>
      </c>
    </row>
    <row r="53">
      <c r="A53" s="22" t="inlineStr">
        <is>
          <t>Cross-Cut Shredding</t>
        </is>
      </c>
      <c r="B53" s="22" t="inlineStr">
        <is>
          <t>Paper, Optical, Cards</t>
        </is>
      </c>
      <c r="C53" s="22" t="inlineStr">
        <is>
          <t>High</t>
        </is>
      </c>
      <c r="D53" s="22" t="inlineStr">
        <is>
          <t>Low-Medium</t>
        </is>
      </c>
    </row>
    <row r="54">
      <c r="A54" s="22" t="inlineStr">
        <is>
          <t>Disintegration</t>
        </is>
      </c>
      <c r="B54" s="22" t="inlineStr">
        <is>
          <t>HDD, SSD, Tape</t>
        </is>
      </c>
      <c r="C54" s="22" t="inlineStr">
        <is>
          <t>Very High</t>
        </is>
      </c>
      <c r="D54" s="22" t="inlineStr">
        <is>
          <t>Medium-High</t>
        </is>
      </c>
    </row>
    <row r="55">
      <c r="A55" s="22" t="inlineStr">
        <is>
          <t>Degaussing</t>
        </is>
      </c>
      <c r="B55" s="22" t="inlineStr">
        <is>
          <t>HDD, Tape (magnetic)</t>
        </is>
      </c>
      <c r="C55" s="22" t="inlineStr">
        <is>
          <t>High</t>
        </is>
      </c>
      <c r="D55" s="22" t="inlineStr">
        <is>
          <t>Medium</t>
        </is>
      </c>
    </row>
    <row r="56">
      <c r="A56" s="22" t="inlineStr">
        <is>
          <t>Incineration</t>
        </is>
      </c>
      <c r="B56" s="22" t="inlineStr">
        <is>
          <t>All media types</t>
        </is>
      </c>
      <c r="C56" s="22" t="inlineStr">
        <is>
          <t>Absolute</t>
        </is>
      </c>
      <c r="D56" s="22" t="inlineStr">
        <is>
          <t>High</t>
        </is>
      </c>
    </row>
    <row r="57">
      <c r="A57" s="22" t="inlineStr">
        <is>
          <t>Crushing/Bending</t>
        </is>
      </c>
      <c r="B57" s="22" t="inlineStr">
        <is>
          <t>HDD, Optical</t>
        </is>
      </c>
      <c r="C57" s="22" t="inlineStr">
        <is>
          <t>Medium-High</t>
        </is>
      </c>
      <c r="D57" s="22" t="inlineStr">
        <is>
          <t>Low-Medium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A42:C42"/>
    <mergeCell ref="B38:S38"/>
    <mergeCell ref="B29:S29"/>
    <mergeCell ref="A2:U2"/>
    <mergeCell ref="B34:S34"/>
    <mergeCell ref="B28:S28"/>
    <mergeCell ref="B37:S37"/>
    <mergeCell ref="B40:S40"/>
    <mergeCell ref="A51:D51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"Overwrite (1-pass),Overwrite (3-pass),Overwrite (7-pass DoD 5220.22-M),Secure Erase (ATA/NVMe),Cryptographic Erasure,Degaussing,Physical Destruction (Shred),Physical Destruction (Incinerate),Physical Destruction (Crush/Pulverize),Other (specify in notes)"</formula1>
    </dataValidation>
    <dataValidation sqref="R10:R100" showDropDown="0" showInputMessage="0" showErrorMessage="0" allowBlank="1" type="list">
      <formula1>"Clear,Purge,Destroy,N/A"</formula1>
    </dataValidation>
    <dataValidation sqref="S10:S100" showDropDown="0" showInputMessage="0" showErrorMessage="0" allowBlank="1" type="list">
      <formula1>"Software Verification,Visual Inspection,Certificate of Destruction,Forensic Test,None"</formula1>
    </dataValidation>
    <dataValidation sqref="T10:T100" showDropDown="0" showInputMessage="0" showErrorMessage="0" allowBlank="1" type="list">
      <formula1>"Pass (No Recovery),Fail (Partial Recovery),Fail (Full Recovery),Not Tested"</formula1>
    </dataValidation>
    <dataValidation sqref="U10:U100" showDropDown="0" showInputMessage="0" showErrorMessage="0" allowBlank="1" type="list">
      <formula1>"Reuse,Recycle,Shred,Incinerate,Degauss,Other"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5" customWidth="1" min="19" max="19"/>
    <col width="18" customWidth="1" min="20" max="20"/>
    <col width="25" customWidth="1" min="21" max="21"/>
  </cols>
  <sheetData>
    <row r="1" ht="35" customHeight="1">
      <c r="A1" s="11" t="inlineStr">
        <is>
          <t>SHEET 3: DATABASE SYSTEMS</t>
        </is>
      </c>
    </row>
    <row r="2">
      <c r="A2" s="12" t="inlineStr">
        <is>
          <t>Policy Reference: ISMS-POL-A.8.10-S2.2, Section 2.2.3</t>
        </is>
      </c>
    </row>
    <row r="4">
      <c r="A4" s="13" t="inlineStr">
        <is>
          <t>ASSESSMENT QUESTION:
Are database and application deletion methods effective, and do they address referential integrity, backups, and crypto-shredding?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Type</t>
        </is>
      </c>
      <c r="S9" s="15" t="inlineStr">
        <is>
          <t>Referential Integrity Handled</t>
        </is>
      </c>
      <c r="T9" s="15" t="inlineStr">
        <is>
          <t>Backup Purging</t>
        </is>
      </c>
      <c r="U9" s="15" t="inlineStr">
        <is>
          <t>Crypto-Erasure Key Management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databases and applications processing sensitive data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method documented per system (logical delete, hard delete, purge)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Referential integrity constraints addressed (cascading deletes or manual)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Soft delete (logical delete) systems have purge procedures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Hard delete operations tested and verified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Database backup purging procedures exist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Archive-then-delete workflows documented (if used)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Crypto-shredding evaluated for encrypted databases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Application-layer deletion triggers database deletion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Deletion operations are logged and auditable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Batch deletion procedures exist for large datasets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performance tested (large table truncation)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Database vacuuming/purging reclaims storage space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Third-party SaaS application deletion verified (see A.8.10.3)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Deletion operations do not impact system availability</t>
        </is>
      </c>
      <c r="T40" s="20" t="inlineStr"/>
      <c r="U40" s="21" t="inlineStr"/>
    </row>
    <row r="42">
      <c r="A42" s="17" t="inlineStr">
        <is>
          <t>Database Deletion Methods</t>
        </is>
      </c>
    </row>
    <row r="43">
      <c r="A43" s="15" t="inlineStr">
        <is>
          <t>Method</t>
        </is>
      </c>
      <c r="B43" s="15" t="inlineStr">
        <is>
          <t>SQL Example</t>
        </is>
      </c>
      <c r="C43" s="15" t="inlineStr">
        <is>
          <t>Effect</t>
        </is>
      </c>
      <c r="D43" s="15" t="inlineStr">
        <is>
          <t>Storage Reclaimed</t>
        </is>
      </c>
    </row>
    <row r="44">
      <c r="A44" s="22" t="inlineStr">
        <is>
          <t>Logical DELETE</t>
        </is>
      </c>
      <c r="B44" s="22" t="inlineStr">
        <is>
          <t>UPDATE SET deleted=1</t>
        </is>
      </c>
      <c r="C44" s="22" t="inlineStr">
        <is>
          <t>Marks as deleted</t>
        </is>
      </c>
      <c r="D44" s="22" t="inlineStr">
        <is>
          <t>❌ No (until purged)</t>
        </is>
      </c>
    </row>
    <row r="45">
      <c r="A45" s="22" t="inlineStr">
        <is>
          <t>Hard DELETE</t>
        </is>
      </c>
      <c r="B45" s="22" t="inlineStr">
        <is>
          <t>DELETE FROM table</t>
        </is>
      </c>
      <c r="C45" s="22" t="inlineStr">
        <is>
          <t>Removes immediately</t>
        </is>
      </c>
      <c r="D45" s="22" t="inlineStr">
        <is>
          <t>⚠ After VACUUM</t>
        </is>
      </c>
    </row>
    <row r="46">
      <c r="A46" s="22" t="inlineStr">
        <is>
          <t>TRUNCATE</t>
        </is>
      </c>
      <c r="B46" s="22" t="inlineStr">
        <is>
          <t>TRUNCATE TABLE</t>
        </is>
      </c>
      <c r="C46" s="22" t="inlineStr">
        <is>
          <t>Removes all rows</t>
        </is>
      </c>
      <c r="D46" s="22" t="inlineStr">
        <is>
          <t>✅ Immediate</t>
        </is>
      </c>
    </row>
    <row r="47">
      <c r="A47" s="22" t="inlineStr">
        <is>
          <t>DROP TABLE</t>
        </is>
      </c>
      <c r="B47" s="22" t="inlineStr">
        <is>
          <t>DROP TABLE name</t>
        </is>
      </c>
      <c r="C47" s="22" t="inlineStr">
        <is>
          <t>Removes table</t>
        </is>
      </c>
      <c r="D47" s="22" t="inlineStr">
        <is>
          <t>✅ Immediate</t>
        </is>
      </c>
    </row>
    <row r="48">
      <c r="A48" s="22" t="inlineStr">
        <is>
          <t>Purge/Vacuum</t>
        </is>
      </c>
      <c r="B48" s="22" t="inlineStr">
        <is>
          <t>VACUUM (PostgreSQL)</t>
        </is>
      </c>
      <c r="C48" s="22" t="inlineStr">
        <is>
          <t>Reclaims space</t>
        </is>
      </c>
      <c r="D48" s="22" t="inlineStr">
        <is>
          <t>✅ Yes</t>
        </is>
      </c>
    </row>
    <row r="49">
      <c r="A49" s="22" t="inlineStr">
        <is>
          <t>Crypto-Shred</t>
        </is>
      </c>
      <c r="B49" s="22" t="inlineStr">
        <is>
          <t>DROP ENCRYPTION KEY</t>
        </is>
      </c>
      <c r="C49" s="22" t="inlineStr">
        <is>
          <t>Data unreadable</t>
        </is>
      </c>
      <c r="D49" s="22" t="inlineStr">
        <is>
          <t>✅ Immediate (crypto)</t>
        </is>
      </c>
    </row>
    <row r="51">
      <c r="A51" s="17" t="inlineStr">
        <is>
          <t>Referential Integrity Handling</t>
        </is>
      </c>
    </row>
    <row r="52">
      <c r="A52" s="15" t="inlineStr">
        <is>
          <t>Approach</t>
        </is>
      </c>
      <c r="B52" s="15" t="inlineStr">
        <is>
          <t>Implementation</t>
        </is>
      </c>
      <c r="C52" s="15" t="inlineStr">
        <is>
          <t>Pros</t>
        </is>
      </c>
      <c r="D52" s="15" t="inlineStr">
        <is>
          <t>Cons</t>
        </is>
      </c>
    </row>
    <row r="53">
      <c r="A53" s="22" t="inlineStr">
        <is>
          <t>CASCADE DELETE</t>
        </is>
      </c>
      <c r="B53" s="22" t="inlineStr">
        <is>
          <t>ON DELETE CASCADE</t>
        </is>
      </c>
      <c r="C53" s="22" t="inlineStr">
        <is>
          <t>Automatic, consistent</t>
        </is>
      </c>
      <c r="D53" s="22" t="inlineStr">
        <is>
          <t>Risk of unintended deletion</t>
        </is>
      </c>
    </row>
    <row r="54">
      <c r="A54" s="22" t="inlineStr">
        <is>
          <t>SET NULL</t>
        </is>
      </c>
      <c r="B54" s="22" t="inlineStr">
        <is>
          <t>ON DELETE SET NULL</t>
        </is>
      </c>
      <c r="C54" s="22" t="inlineStr">
        <is>
          <t>Preserves child records</t>
        </is>
      </c>
      <c r="D54" s="22" t="inlineStr">
        <is>
          <t>Orphaned records</t>
        </is>
      </c>
    </row>
    <row r="55">
      <c r="A55" s="22" t="inlineStr">
        <is>
          <t>RESTRICT</t>
        </is>
      </c>
      <c r="B55" s="22" t="inlineStr">
        <is>
          <t>ON DELETE RESTRICT</t>
        </is>
      </c>
      <c r="C55" s="22" t="inlineStr">
        <is>
          <t>Prevents accidental deletion</t>
        </is>
      </c>
      <c r="D55" s="22" t="inlineStr">
        <is>
          <t>Manual cleanup required</t>
        </is>
      </c>
    </row>
    <row r="56">
      <c r="A56" s="22" t="inlineStr">
        <is>
          <t>Manual Deletion</t>
        </is>
      </c>
      <c r="B56" s="22" t="inlineStr">
        <is>
          <t>Application handles order</t>
        </is>
      </c>
      <c r="C56" s="22" t="inlineStr">
        <is>
          <t>Full control</t>
        </is>
      </c>
      <c r="D56" s="22" t="inlineStr">
        <is>
          <t>Error-prone, complex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A51:D51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"Logical DELETE (soft delete),Hard DELETE (permanent),TRUNCATE TABLE,DROP TABLE/DATABASE,Purge/Vacuum,Crypto-Shred,Archive then Delete,Other (specify in notes)"</formula1>
    </dataValidation>
    <dataValidation sqref="R10:R100" showDropDown="0" showInputMessage="0" showErrorMessage="0" allowBlank="1" type="list">
      <formula1>"Logical Delete,Hard Delete,Purge,Truncate,Crypto-Shred,Archive then Delete"</formula1>
    </dataValidation>
    <dataValidation sqref="S10:S100" showDropDown="0" showInputMessage="0" showErrorMessage="0" allowBlank="1" type="list">
      <formula1>"Yes - Cascading,Yes - Manual,No,N/A"</formula1>
    </dataValidation>
    <dataValidation sqref="T10:T100" showDropDown="0" showInputMessage="0" showErrorMessage="0" allowBlank="1" type="list">
      <formula1>"Automatic,Manual,Not Implemented,N/A"</formula1>
    </dataValidation>
    <dataValidation sqref="U10:U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2" customWidth="1" min="18" max="18"/>
    <col width="20" customWidth="1" min="19" max="19"/>
    <col width="22" customWidth="1" min="20" max="20"/>
    <col width="25" customWidth="1" min="21" max="21"/>
  </cols>
  <sheetData>
    <row r="1" ht="35" customHeight="1">
      <c r="A1" s="11" t="inlineStr">
        <is>
          <t>SHEET 4: CLOUD STORAGE</t>
        </is>
      </c>
    </row>
    <row r="2">
      <c r="A2" s="12" t="inlineStr">
        <is>
          <t>Policy Reference: ISMS-POL-A.8.10-S2.2, Section 2.2.2</t>
        </is>
      </c>
    </row>
    <row r="4">
      <c r="A4" s="13" t="inlineStr">
        <is>
          <t>ASSESSMENT QUESTION:
Can we effectively delete data from cloud storage providers, including all snapshots, backups, and multi-region copies?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Provider Tier</t>
        </is>
      </c>
      <c r="S9" s="15" t="inlineStr">
        <is>
          <t>Deletion API Available</t>
        </is>
      </c>
      <c r="T9" s="15" t="inlineStr">
        <is>
          <t>Snapshot/Backup Deletion</t>
        </is>
      </c>
      <c r="U9" s="15" t="inlineStr">
        <is>
          <t>Multi-Region Deletion Verified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cloud storage providers in use are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Provider tier classification assigned (Tier 1-10 per ISMS-REF-A.5.23)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Deletion method documented per provider (API, console, support ticket)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API-based deletion implemented for Tier 1-3 providers (critical)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Snapshot deletion procedures documented and tested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Backup deletion timeline documented (may differ from active data)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Multi-region/multi-zone deletion verified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Object versioning deletion addressed (S3, GCS, Azure Blob)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Soft-delete/recycle bin behaviour documented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Deletion confirmation/verification method exists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Provider deletion SLA documented (see ISMS-IMP-A.8.10.3)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Cryptographic erasure option evaluated (customer-managed keys)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Account closure deletion behaviour documented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Cross-provider data deletion coordinated (if data replicated)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Cloud deletion events logged and monitored</t>
        </is>
      </c>
      <c r="T40" s="20" t="inlineStr"/>
      <c r="U40" s="21" t="inlineStr"/>
    </row>
    <row r="42">
      <c r="A42" s="17" t="inlineStr">
        <is>
          <t>Major Cloud Provider Deletion Methods</t>
        </is>
      </c>
    </row>
    <row r="43">
      <c r="A43" s="15" t="inlineStr">
        <is>
          <t>Provider</t>
        </is>
      </c>
      <c r="B43" s="15" t="inlineStr">
        <is>
          <t>Service</t>
        </is>
      </c>
      <c r="C43" s="15" t="inlineStr">
        <is>
          <t>Deletion Method</t>
        </is>
      </c>
      <c r="D43" s="15" t="inlineStr">
        <is>
          <t>Multi-Region</t>
        </is>
      </c>
    </row>
    <row r="44">
      <c r="A44" s="22" t="inlineStr">
        <is>
          <t>AWS</t>
        </is>
      </c>
      <c r="B44" s="22" t="inlineStr">
        <is>
          <t>S3</t>
        </is>
      </c>
      <c r="C44" s="22" t="inlineStr">
        <is>
          <t>DELETE API, Lifecycle Policy</t>
        </is>
      </c>
      <c r="D44" s="22" t="inlineStr">
        <is>
          <t>✅ Per region</t>
        </is>
      </c>
    </row>
    <row r="45">
      <c r="A45" s="22" t="inlineStr">
        <is>
          <t>AWS</t>
        </is>
      </c>
      <c r="B45" s="22" t="inlineStr">
        <is>
          <t>EBS</t>
        </is>
      </c>
      <c r="C45" s="22" t="inlineStr">
        <is>
          <t>DeleteVolume API</t>
        </is>
      </c>
      <c r="D45" s="22" t="inlineStr">
        <is>
          <t>✅ Per region</t>
        </is>
      </c>
    </row>
    <row r="46">
      <c r="A46" s="22" t="inlineStr">
        <is>
          <t>Azure</t>
        </is>
      </c>
      <c r="B46" s="22" t="inlineStr">
        <is>
          <t>Blob Storage</t>
        </is>
      </c>
      <c r="C46" s="22" t="inlineStr">
        <is>
          <t>Delete API, Lifecycle</t>
        </is>
      </c>
      <c r="D46" s="22" t="inlineStr">
        <is>
          <t>✅ Per region</t>
        </is>
      </c>
    </row>
    <row r="47">
      <c r="A47" s="22" t="inlineStr">
        <is>
          <t>Azure</t>
        </is>
      </c>
      <c r="B47" s="22" t="inlineStr">
        <is>
          <t>Managed Disk</t>
        </is>
      </c>
      <c r="C47" s="22" t="inlineStr">
        <is>
          <t>Delete API</t>
        </is>
      </c>
      <c r="D47" s="22" t="inlineStr">
        <is>
          <t>✅ Per region</t>
        </is>
      </c>
    </row>
    <row r="48">
      <c r="A48" s="22" t="inlineStr">
        <is>
          <t>GCP</t>
        </is>
      </c>
      <c r="B48" s="22" t="inlineStr">
        <is>
          <t>Cloud Storage</t>
        </is>
      </c>
      <c r="C48" s="22" t="inlineStr">
        <is>
          <t>DELETE API, Lifecycle</t>
        </is>
      </c>
      <c r="D48" s="22" t="inlineStr">
        <is>
          <t>✅ Per region</t>
        </is>
      </c>
    </row>
    <row r="49">
      <c r="A49" s="22" t="inlineStr">
        <is>
          <t>GCP</t>
        </is>
      </c>
      <c r="B49" s="22" t="inlineStr">
        <is>
          <t>Persistent Disk</t>
        </is>
      </c>
      <c r="C49" s="22" t="inlineStr">
        <is>
          <t>Delete API</t>
        </is>
      </c>
      <c r="D49" s="22" t="inlineStr">
        <is>
          <t>✅ Per region</t>
        </is>
      </c>
    </row>
    <row r="51">
      <c r="A51" s="17" t="inlineStr">
        <is>
          <t>Cloud Deletion Challenges</t>
        </is>
      </c>
    </row>
    <row r="52">
      <c r="A52" s="15" t="inlineStr">
        <is>
          <t>Challenge</t>
        </is>
      </c>
      <c r="B52" s="15" t="inlineStr">
        <is>
          <t>Description</t>
        </is>
      </c>
      <c r="C52" s="15" t="inlineStr">
        <is>
          <t>Mitigation</t>
        </is>
      </c>
    </row>
    <row r="53">
      <c r="A53" s="22" t="inlineStr">
        <is>
          <t>Soft Delete / Recycle Bin</t>
        </is>
      </c>
      <c r="B53" s="22" t="inlineStr">
        <is>
          <t>Data retained 30-90 days</t>
        </is>
      </c>
      <c r="C53" s="22" t="inlineStr">
        <is>
          <t>Purge recycle bin explicitly</t>
        </is>
      </c>
    </row>
    <row r="54">
      <c r="A54" s="22" t="inlineStr">
        <is>
          <t>Object Versioning</t>
        </is>
      </c>
      <c r="B54" s="22" t="inlineStr">
        <is>
          <t>Previous versions retained</t>
        </is>
      </c>
      <c r="C54" s="22" t="inlineStr">
        <is>
          <t>Delete all versions</t>
        </is>
      </c>
    </row>
    <row r="55">
      <c r="A55" s="22" t="inlineStr">
        <is>
          <t>Snapshots / Backups</t>
        </is>
      </c>
      <c r="B55" s="22" t="inlineStr">
        <is>
          <t>Persist after source deletion</t>
        </is>
      </c>
      <c r="C55" s="22" t="inlineStr">
        <is>
          <t>Lifecycle policy or manual</t>
        </is>
      </c>
    </row>
    <row r="56">
      <c r="A56" s="22" t="inlineStr">
        <is>
          <t>Multi-Region Replication</t>
        </is>
      </c>
      <c r="B56" s="22" t="inlineStr">
        <is>
          <t>Data in multiple regions</t>
        </is>
      </c>
      <c r="C56" s="22" t="inlineStr">
        <is>
          <t>Region-by-region deletion</t>
        </is>
      </c>
    </row>
    <row r="57">
      <c r="A57" s="22" t="inlineStr">
        <is>
          <t>Delayed Deletion</t>
        </is>
      </c>
      <c r="B57" s="22" t="inlineStr">
        <is>
          <t>Provider may not delete immediately</t>
        </is>
      </c>
      <c r="C57" s="22" t="inlineStr">
        <is>
          <t>Document SLA, confirm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"Cloud Provider API Delete,Cloud Lifecycle Policy,Manual Console Delete,Crypto-Shred (Key Deletion),Account Closure,Other (specify in notes)"</formula1>
    </dataValidation>
    <dataValidation sqref="R10:R100" showDropDown="0" showInputMessage="0" showErrorMessage="0" allowBlank="1" type="list">
      <formula1>"Tier 1,Tier 2,Tier 3,Tier 4,Tier 5,Tier 6,Tier 7,Tier 8,Tier 9,Tier 10"</formula1>
    </dataValidation>
    <dataValidation sqref="S10:S100" showDropDown="0" showInputMessage="0" showErrorMessage="0" allowBlank="1" type="list">
      <formula1>"Yes - Automated,Yes - Manual,No,Unknown"</formula1>
    </dataValidation>
    <dataValidation sqref="T10:T100" showDropDown="0" showInputMessage="0" showErrorMessage="0" allowBlank="1" type="list">
      <formula1>"Automatic,Manual,Unknown,N/A"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11" t="inlineStr">
        <is>
          <t>SHEET 5: FILE SYSTEMS &amp; BACKUP MEDIA</t>
        </is>
      </c>
    </row>
    <row r="2">
      <c r="A2" s="12" t="inlineStr">
        <is>
          <t>Policy Reference: ISMS-POL-A.8.10-S2.2, Section 2.2.4</t>
        </is>
      </c>
    </row>
    <row r="4">
      <c r="A4" s="13" t="inlineStr">
        <is>
          <t>ASSESSMENT QUESTION:
Can we securely delete data from file systems, network storage, and backup media?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Device Type</t>
        </is>
      </c>
      <c r="S9" s="15" t="inlineStr">
        <is>
          <t>MDM Solution Used</t>
        </is>
      </c>
      <c r="T9" s="15" t="inlineStr">
        <is>
          <t>Remote Wipe Capability</t>
        </is>
      </c>
      <c r="U9" s="15" t="inlineStr">
        <is>
          <t>Full Disk Encryption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endpoint device types documented (laptops, desktops, mobiles, tablets)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Corporate vs BYOD devices identified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Mobile Device Management (MDM) solution deployed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Remote wipe capability tested and functional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Full disk encryption (FDE) enabled on all corporate devices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Factory reset procedures documented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BYOD partial wipe capability (corporate data only)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Device encryption keys managed (BitLocker, FileVault, etc.)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Lost/stolen device wipe procedures exist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Employee offboarding triggers device wipe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BYOD app containerization supports selective wipe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Physical device destruction procedures (end-of-life)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Deletion verification for returned devices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MDM logs capture wipe commands and confirmations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Crypto-erasure supported (FDE key deletion)</t>
        </is>
      </c>
      <c r="T40" s="20" t="inlineStr"/>
      <c r="U40" s="21" t="inlineStr"/>
    </row>
    <row r="42">
      <c r="A42" s="17" t="inlineStr">
        <is>
          <t>Device Deletion Methods</t>
        </is>
      </c>
    </row>
    <row r="43">
      <c r="A43" s="15" t="inlineStr">
        <is>
          <t>Device Type</t>
        </is>
      </c>
      <c r="B43" s="15" t="inlineStr">
        <is>
          <t>Deletion Method</t>
        </is>
      </c>
      <c r="C43" s="15" t="inlineStr">
        <is>
          <t>Effectiveness</t>
        </is>
      </c>
      <c r="D43" s="15" t="inlineStr">
        <is>
          <t>Requirements</t>
        </is>
      </c>
    </row>
    <row r="44">
      <c r="A44" s="22" t="inlineStr">
        <is>
          <t>Corporate Laptop (Windows)</t>
        </is>
      </c>
      <c r="B44" s="22" t="inlineStr">
        <is>
          <t>BitLocker + Format</t>
        </is>
      </c>
      <c r="C44" s="22" t="inlineStr">
        <is>
          <t>High</t>
        </is>
      </c>
      <c r="D44" s="22" t="inlineStr">
        <is>
          <t>BitLocker enabled</t>
        </is>
      </c>
    </row>
    <row r="45">
      <c r="A45" s="22" t="inlineStr">
        <is>
          <t>Corporate Laptop (macOS)</t>
        </is>
      </c>
      <c r="B45" s="22" t="inlineStr">
        <is>
          <t>FileVault + Erase</t>
        </is>
      </c>
      <c r="C45" s="22" t="inlineStr">
        <is>
          <t>High</t>
        </is>
      </c>
      <c r="D45" s="22" t="inlineStr">
        <is>
          <t>FileVault enabled</t>
        </is>
      </c>
    </row>
    <row r="46">
      <c r="A46" s="22" t="inlineStr">
        <is>
          <t>Corporate Mobile (iOS)</t>
        </is>
      </c>
      <c r="B46" s="22" t="inlineStr">
        <is>
          <t>MDM Remote Wipe</t>
        </is>
      </c>
      <c r="C46" s="22" t="inlineStr">
        <is>
          <t>Very High</t>
        </is>
      </c>
      <c r="D46" s="22" t="inlineStr">
        <is>
          <t>MDM enrollment</t>
        </is>
      </c>
    </row>
    <row r="47">
      <c r="A47" s="22" t="inlineStr">
        <is>
          <t>Corporate Mobile (Android)</t>
        </is>
      </c>
      <c r="B47" s="22" t="inlineStr">
        <is>
          <t>MDM Remote Wipe</t>
        </is>
      </c>
      <c r="C47" s="22" t="inlineStr">
        <is>
          <t>High</t>
        </is>
      </c>
      <c r="D47" s="22" t="inlineStr">
        <is>
          <t>MDM + FDE</t>
        </is>
      </c>
    </row>
    <row r="48">
      <c r="A48" s="22" t="inlineStr">
        <is>
          <t>BYOD Mobile</t>
        </is>
      </c>
      <c r="B48" s="22" t="inlineStr">
        <is>
          <t>MDM Selective Wipe</t>
        </is>
      </c>
      <c r="C48" s="22" t="inlineStr">
        <is>
          <t>Medium</t>
        </is>
      </c>
      <c r="D48" s="22" t="inlineStr">
        <is>
          <t>MDM + containerization</t>
        </is>
      </c>
    </row>
    <row r="49">
      <c r="A49" s="22" t="inlineStr">
        <is>
          <t>Desktop Workstation</t>
        </is>
      </c>
      <c r="B49" s="22" t="inlineStr">
        <is>
          <t>Overwrite or Destroy</t>
        </is>
      </c>
      <c r="C49" s="22" t="inlineStr">
        <is>
          <t>High</t>
        </is>
      </c>
      <c r="D49" s="22" t="inlineStr">
        <is>
          <t>Depends on storage type</t>
        </is>
      </c>
    </row>
    <row r="51">
      <c r="A51" s="17" t="inlineStr">
        <is>
          <t>Full Disk Encryption (FDE) Support</t>
        </is>
      </c>
    </row>
    <row r="52">
      <c r="A52" s="15" t="inlineStr">
        <is>
          <t>Operating System</t>
        </is>
      </c>
      <c r="B52" s="15" t="inlineStr">
        <is>
          <t>FDE Solution</t>
        </is>
      </c>
      <c r="C52" s="15" t="inlineStr">
        <is>
          <t>Crypto-Erase Method</t>
        </is>
      </c>
    </row>
    <row r="53">
      <c r="A53" s="22" t="inlineStr">
        <is>
          <t>Windows 10/11</t>
        </is>
      </c>
      <c r="B53" s="22" t="inlineStr">
        <is>
          <t>BitLocker</t>
        </is>
      </c>
      <c r="C53" s="22" t="inlineStr">
        <is>
          <t>Delete recovery key</t>
        </is>
      </c>
    </row>
    <row r="54">
      <c r="A54" s="22" t="inlineStr">
        <is>
          <t>macOS</t>
        </is>
      </c>
      <c r="B54" s="22" t="inlineStr">
        <is>
          <t>FileVault 2</t>
        </is>
      </c>
      <c r="C54" s="22" t="inlineStr">
        <is>
          <t>Delete recovery key</t>
        </is>
      </c>
    </row>
    <row r="55">
      <c r="A55" s="22" t="inlineStr">
        <is>
          <t>Linux</t>
        </is>
      </c>
      <c r="B55" s="22" t="inlineStr">
        <is>
          <t>LUKS (dm-crypt)</t>
        </is>
      </c>
      <c r="C55" s="22" t="inlineStr">
        <is>
          <t>Delete LUKS header</t>
        </is>
      </c>
    </row>
    <row r="56">
      <c r="A56" s="22" t="inlineStr">
        <is>
          <t>iOS</t>
        </is>
      </c>
      <c r="B56" s="22" t="inlineStr">
        <is>
          <t>Built-in (always on)</t>
        </is>
      </c>
      <c r="C56" s="22" t="inlineStr">
        <is>
          <t>Factory reset (key deleted)</t>
        </is>
      </c>
    </row>
    <row r="57">
      <c r="A57" s="22" t="inlineStr">
        <is>
          <t>Android</t>
        </is>
      </c>
      <c r="B57" s="22" t="inlineStr">
        <is>
          <t>File-Based Encryption</t>
        </is>
      </c>
      <c r="C57" s="22" t="inlineStr">
        <is>
          <t>Factory reset (key deleted)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59:U59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"Factory Reset,MDM Remote Wipe,Full Disk Encryption + Format,Secure Erase,Physical Destruction,Other (specify in notes)"</formula1>
    </dataValidation>
    <dataValidation sqref="R10:R100" showDropDown="0" showInputMessage="0" showErrorMessage="0" allowBlank="1" type="list">
      <formula1>"Corporate Laptop,Corporate Mobile,BYOD Laptop,BYOD Mobile,Tablet,Other"</formula1>
    </dataValidation>
    <dataValidation sqref="T10:T100" showDropDown="0" showInputMessage="0" showErrorMessage="0" allowBlank="1" type="list">
      <formula1>"Yes - Tested,Yes - Untested,No,N/A"</formula1>
    </dataValidation>
    <dataValidation sqref="U10:U100" showDropDown="0" showInputMessage="0" showErrorMessage="0" allowBlank="1" type="list">
      <formula1>"Yes - BitLocker,Yes - FileVault,Yes - LUKS,Yes - Other,No"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6: DELETION VERIFICATION TESTING</t>
        </is>
      </c>
    </row>
    <row r="2">
      <c r="A2" s="12" t="inlineStr">
        <is>
          <t>Policy Reference: ISMS-POL-A.8.10-S2.2, Section 2.2.5</t>
        </is>
      </c>
    </row>
    <row r="4">
      <c r="A4" s="13" t="inlineStr">
        <is>
          <t>ASSESSMENT QUESTION:
Do we regularly test our deletion methods using forensic tools to verify effectiveness, and do we remediate failed tests?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Test Frequency</t>
        </is>
      </c>
      <c r="S9" s="15" t="inlineStr">
        <is>
          <t>Forensic Tool Used</t>
        </is>
      </c>
      <c r="T9" s="15" t="inlineStr">
        <is>
          <t>Pass Rate (Last 12 Months)</t>
        </is>
      </c>
      <c r="U9" s="15" t="inlineStr">
        <is>
          <t>Independent Testing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Annual forensic testing of deletion methods is scheduled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Representative sample of media types tested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Forensic recovery tools used (EnCase, FTK, Autopsy, etc.)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Pass/fail criteria defined (no data recovery = pass)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Failed tests trigger immediate investigation and remediation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Testing covers all NIST method types (Clear, Purge, Destroy)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Cloud deletion verification performed (where possible)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Database deletion verification performed (backup restoration test)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Mobile device wipe verification performed (MDM logs + device inspection)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Independent testing considered (external forensic firm)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Test results documented and linked to Evidence Register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tool vendors provide effectiveness documentation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New deletion methods tested before production use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Testing includes encrypted media (crypto-erasure validation)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Testing results reported to management and DPO</t>
        </is>
      </c>
      <c r="T40" s="20" t="inlineStr"/>
      <c r="U40" s="21" t="inlineStr"/>
    </row>
    <row r="42">
      <c r="A42" s="17" t="inlineStr">
        <is>
          <t>Forensic Testing Approach</t>
        </is>
      </c>
    </row>
    <row r="43">
      <c r="A43" s="15" t="inlineStr">
        <is>
          <t>Media Type</t>
        </is>
      </c>
      <c r="B43" s="15" t="inlineStr">
        <is>
          <t>Test Method</t>
        </is>
      </c>
      <c r="C43" s="15" t="inlineStr">
        <is>
          <t>Pass Criteria</t>
        </is>
      </c>
    </row>
    <row r="44">
      <c r="A44" s="22" t="inlineStr">
        <is>
          <t>HDD (overwritten)</t>
        </is>
      </c>
      <c r="B44" s="22" t="inlineStr">
        <is>
          <t>File recovery attempt</t>
        </is>
      </c>
      <c r="C44" s="22" t="inlineStr">
        <is>
          <t>Zero files recovered</t>
        </is>
      </c>
    </row>
    <row r="45">
      <c r="A45" s="22" t="inlineStr">
        <is>
          <t>SSD (secure erased)</t>
        </is>
      </c>
      <c r="B45" s="22" t="inlineStr">
        <is>
          <t>File recovery attempt</t>
        </is>
      </c>
      <c r="C45" s="22" t="inlineStr">
        <is>
          <t>Zero files recovered</t>
        </is>
      </c>
    </row>
    <row r="46">
      <c r="A46" s="22" t="inlineStr">
        <is>
          <t>Cloud Storage (deleted)</t>
        </is>
      </c>
      <c r="B46" s="22" t="inlineStr">
        <is>
          <t>API verification</t>
        </is>
      </c>
      <c r="C46" s="22" t="inlineStr">
        <is>
          <t>No objects found</t>
        </is>
      </c>
    </row>
    <row r="47">
      <c r="A47" s="22" t="inlineStr">
        <is>
          <t>Database (hard deleted)</t>
        </is>
      </c>
      <c r="B47" s="22" t="inlineStr">
        <is>
          <t>Backup restoration + query</t>
        </is>
      </c>
      <c r="C47" s="22" t="inlineStr">
        <is>
          <t>Zero records recovered</t>
        </is>
      </c>
    </row>
    <row r="48">
      <c r="A48" s="22" t="inlineStr">
        <is>
          <t>Mobile Device (wiped)</t>
        </is>
      </c>
      <c r="B48" s="22" t="inlineStr">
        <is>
          <t>Physical inspection + recovery</t>
        </is>
      </c>
      <c r="C48" s="22" t="inlineStr">
        <is>
          <t>Zero corporate data found</t>
        </is>
      </c>
    </row>
    <row r="49">
      <c r="A49" s="22" t="inlineStr">
        <is>
          <t>Crypto-Erased Media</t>
        </is>
      </c>
      <c r="B49" s="22" t="inlineStr">
        <is>
          <t>Key verification, mount attempt</t>
        </is>
      </c>
      <c r="C49" s="22" t="inlineStr">
        <is>
          <t>Data unreadable</t>
        </is>
      </c>
    </row>
    <row r="51">
      <c r="A51" s="17" t="inlineStr">
        <is>
          <t>Testing Frequency Recommendations</t>
        </is>
      </c>
    </row>
    <row r="52">
      <c r="A52" s="15" t="inlineStr">
        <is>
          <t>Media Type</t>
        </is>
      </c>
      <c r="B52" s="15" t="inlineStr">
        <is>
          <t>Recommended Frequency</t>
        </is>
      </c>
      <c r="C52" s="15" t="inlineStr">
        <is>
          <t>Rationale</t>
        </is>
      </c>
    </row>
    <row r="53">
      <c r="A53" s="22" t="inlineStr">
        <is>
          <t>Physical Media (HDD/SSD)</t>
        </is>
      </c>
      <c r="B53" s="22" t="inlineStr">
        <is>
          <t>Annual</t>
        </is>
      </c>
      <c r="C53" s="22" t="inlineStr">
        <is>
          <t>Technology stable</t>
        </is>
      </c>
    </row>
    <row r="54">
      <c r="A54" s="22" t="inlineStr">
        <is>
          <t>Cloud Storage</t>
        </is>
      </c>
      <c r="B54" s="22" t="inlineStr">
        <is>
          <t>Semi-Annual</t>
        </is>
      </c>
      <c r="C54" s="22" t="inlineStr">
        <is>
          <t>Provider changes, API updates</t>
        </is>
      </c>
    </row>
    <row r="55">
      <c r="A55" s="22" t="inlineStr">
        <is>
          <t>Database Deletion</t>
        </is>
      </c>
      <c r="B55" s="22" t="inlineStr">
        <is>
          <t>Annual</t>
        </is>
      </c>
      <c r="C55" s="22" t="inlineStr">
        <is>
          <t>Logic stable</t>
        </is>
      </c>
    </row>
    <row r="56">
      <c r="A56" s="22" t="inlineStr">
        <is>
          <t>Mobile Devices</t>
        </is>
      </c>
      <c r="B56" s="22" t="inlineStr">
        <is>
          <t>Quarterly</t>
        </is>
      </c>
      <c r="C56" s="22" t="inlineStr">
        <is>
          <t>Frequent OS updates</t>
        </is>
      </c>
    </row>
    <row r="57">
      <c r="A57" s="22" t="inlineStr">
        <is>
          <t>New Deletion Tools</t>
        </is>
      </c>
      <c r="B57" s="22" t="inlineStr">
        <is>
          <t>Before Production</t>
        </is>
      </c>
      <c r="C57" s="22" t="inlineStr">
        <is>
          <t>Validate before use</t>
        </is>
      </c>
    </row>
    <row r="58">
      <c r="A58" s="22" t="inlineStr">
        <is>
          <t>After Failed Test</t>
        </is>
      </c>
      <c r="B58" s="22" t="inlineStr">
        <is>
          <t>Immediate Retest</t>
        </is>
      </c>
      <c r="C58" s="22" t="inlineStr">
        <is>
          <t>Verify remediation</t>
        </is>
      </c>
    </row>
    <row r="60">
      <c r="A60" s="17" t="inlineStr">
        <is>
          <t>EXCEPTIONS / DEVIATIONS</t>
        </is>
      </c>
    </row>
    <row r="61">
      <c r="A61" s="23" t="inlineStr">
        <is>
          <t>Document any exceptions or deviations from requirements here:</t>
        </is>
      </c>
    </row>
    <row r="62"/>
    <row r="63"/>
  </sheetData>
  <mergeCells count="24">
    <mergeCell ref="B39:S39"/>
    <mergeCell ref="A7:U7"/>
    <mergeCell ref="A25:U25"/>
    <mergeCell ref="A61:U63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60:U60"/>
    <mergeCell ref="B31:S31"/>
    <mergeCell ref="B27:S27"/>
    <mergeCell ref="A1:U1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"Forensic Recovery Test,Software Verification,Certificate Review,Visual Inspection,Other (specify in notes)"</formula1>
    </dataValidation>
    <dataValidation sqref="R10:R100" showDropDown="0" showInputMessage="0" showErrorMessage="0" allowBlank="1" type="list">
      <formula1>"Monthly,Quarterly,Semi-Annual,Annual,Ad-hoc,Never"</formula1>
    </dataValidation>
    <dataValidation sqref="U10:U100" showDropDown="0" showInputMessage="0" showErrorMessage="0" allowBlank="1" type="list">
      <formula1>"Yes - External,Yes - Internal,No,Planned"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B5:B104" showDropDown="0" showInputMessage="0" showErrorMessage="0" allowBlank="1" type="list">
      <formula1>"Configuration file,Screenshot,Deletion log,Documentation,Vendor spec,Certificate of destruction,Audit log,Compliance report,Forensic test report,Other"</formula1>
    </dataValidation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8" t="inlineStr">
        <is>
          <t>Deletion Methods Assessment — SUMMARY DASHBOARD</t>
        </is>
      </c>
    </row>
    <row r="2">
      <c r="A2" s="29" t="inlineStr">
        <is>
          <t>Summary Dashboard  |  Deletion Methods Assessment  |  Generated: 20260307</t>
        </is>
      </c>
    </row>
    <row r="4">
      <c r="A4" s="30" t="inlineStr">
        <is>
          <t>TABLE 1 – COMPLIANCE ASSESSMENT SUMMARY</t>
        </is>
      </c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Physical Storage Media</t>
        </is>
      </c>
      <c r="B6" s="33">
        <f>C6+D6+E6+F6</f>
        <v/>
      </c>
      <c r="C6" s="33">
        <f>COUNTIF('2. Physical Storage Media'!F10:F100,"✅ Compliant")</f>
        <v/>
      </c>
      <c r="D6" s="33">
        <f>COUNTIF('2. Physical Storage Media'!F10:F100,"⚠️ Partial")</f>
        <v/>
      </c>
      <c r="E6" s="33">
        <f>COUNTIF('2. Physical Storage Media'!F10:F100,"❌ Non-Compliant")</f>
        <v/>
      </c>
      <c r="F6" s="33">
        <f>COUNTIF('2. Physical Storage Media'!F10:F100,"N/A")</f>
        <v/>
      </c>
      <c r="G6" s="34">
        <f>IF((B6-F6)=0,0,C6/(B6-F6))</f>
        <v/>
      </c>
    </row>
    <row r="7">
      <c r="A7" s="32" t="inlineStr">
        <is>
          <t>Database Systems</t>
        </is>
      </c>
      <c r="B7" s="33">
        <f>C7+D7+E7+F7</f>
        <v/>
      </c>
      <c r="C7" s="33">
        <f>COUNTIF('3. Database Systems'!F10:F100,"✅ Compliant")</f>
        <v/>
      </c>
      <c r="D7" s="33">
        <f>COUNTIF('3. Database Systems'!F10:F100,"⚠️ Partial")</f>
        <v/>
      </c>
      <c r="E7" s="33">
        <f>COUNTIF('3. Database Systems'!F10:F100,"❌ Non-Compliant")</f>
        <v/>
      </c>
      <c r="F7" s="33">
        <f>COUNTIF('3. Database Systems'!F10:F100,"N/A")</f>
        <v/>
      </c>
      <c r="G7" s="34">
        <f>IF((B7-F7)=0,0,C7/(B7-F7))</f>
        <v/>
      </c>
    </row>
    <row r="8">
      <c r="A8" s="32" t="inlineStr">
        <is>
          <t>Cloud Storage</t>
        </is>
      </c>
      <c r="B8" s="33">
        <f>C8+D8+E8+F8</f>
        <v/>
      </c>
      <c r="C8" s="33">
        <f>COUNTIF('4. Cloud Storage'!F10:F100,"✅ Compliant")</f>
        <v/>
      </c>
      <c r="D8" s="33">
        <f>COUNTIF('4. Cloud Storage'!F10:F100,"⚠️ Partial")</f>
        <v/>
      </c>
      <c r="E8" s="33">
        <f>COUNTIF('4. Cloud Storage'!F10:F100,"❌ Non-Compliant")</f>
        <v/>
      </c>
      <c r="F8" s="33">
        <f>COUNTIF('4. Cloud Storage'!F10:F100,"N/A")</f>
        <v/>
      </c>
      <c r="G8" s="34">
        <f>IF((B8-F8)=0,0,C8/(B8-F8))</f>
        <v/>
      </c>
    </row>
    <row r="9">
      <c r="A9" s="32" t="inlineStr">
        <is>
          <t>File Systems &amp; Backup Media</t>
        </is>
      </c>
      <c r="B9" s="33">
        <f>C9+D9+E9+F9</f>
        <v/>
      </c>
      <c r="C9" s="33">
        <f>COUNTIF('5. File Systems &amp; Backup Media'!F10:F100,"✅ Compliant")</f>
        <v/>
      </c>
      <c r="D9" s="33">
        <f>COUNTIF('5. File Systems &amp; Backup Media'!F10:F100,"⚠️ Partial")</f>
        <v/>
      </c>
      <c r="E9" s="33">
        <f>COUNTIF('5. File Systems &amp; Backup Media'!F10:F100,"❌ Non-Compliant")</f>
        <v/>
      </c>
      <c r="F9" s="33">
        <f>COUNTIF('5. File Systems &amp; Backup Media'!F10:F100,"N/A")</f>
        <v/>
      </c>
      <c r="G9" s="34">
        <f>IF((B9-F9)=0,0,C9/(B9-F9))</f>
        <v/>
      </c>
    </row>
    <row r="10">
      <c r="A10" s="32" t="inlineStr">
        <is>
          <t>Deletion Verification Testing</t>
        </is>
      </c>
      <c r="B10" s="33">
        <f>C10+D10+E10+F10</f>
        <v/>
      </c>
      <c r="C10" s="33">
        <f>COUNTIF('6. Deletion Verification Test'!F10:F100,"✅ Compliant")</f>
        <v/>
      </c>
      <c r="D10" s="33">
        <f>COUNTIF('6. Deletion Verification Test'!F10:F100,"⚠️ Partial")</f>
        <v/>
      </c>
      <c r="E10" s="33">
        <f>COUNTIF('6. Deletion Verification Test'!F10:F100,"❌ Non-Compliant")</f>
        <v/>
      </c>
      <c r="F10" s="33">
        <f>COUNTIF('6. Deletion Verification Test'!F10:F100,"N/A")</f>
        <v/>
      </c>
      <c r="G10" s="34">
        <f>IF((B10-F10)=0,0,C10/(B10-F10))</f>
        <v/>
      </c>
    </row>
    <row r="11">
      <c r="A11" s="31" t="inlineStr">
        <is>
          <t>TOTAL</t>
        </is>
      </c>
      <c r="B11" s="31">
        <f>SUM(B6:B10)</f>
        <v/>
      </c>
      <c r="C11" s="31">
        <f>SUM(C6:C10)</f>
        <v/>
      </c>
      <c r="D11" s="31">
        <f>SUM(D6:D10)</f>
        <v/>
      </c>
      <c r="E11" s="31">
        <f>SUM(E6:E10)</f>
        <v/>
      </c>
      <c r="F11" s="31">
        <f>SUM(F6:F10)</f>
        <v/>
      </c>
      <c r="G11" s="35">
        <f>IF((B11-F11)=0,0,C11/(B11-F11))</f>
        <v/>
      </c>
    </row>
    <row r="13">
      <c r="A13" s="30" t="inlineStr">
        <is>
          <t>TABLE 2 – KEY METRICS</t>
        </is>
      </c>
    </row>
    <row r="14">
      <c r="A14" s="31" t="inlineStr">
        <is>
          <t>Metric</t>
        </is>
      </c>
      <c r="B14" s="31" t="inlineStr">
        <is>
          <t>Value</t>
        </is>
      </c>
      <c r="C14" s="31" t="inlineStr">
        <is>
          <t>Target</t>
        </is>
      </c>
    </row>
    <row r="15">
      <c r="A15" s="36" t="inlineStr">
        <is>
          <t>Overall Compliance Rate</t>
        </is>
      </c>
      <c r="B15" s="37">
        <f>IFERROR(G11,"N/A")</f>
        <v/>
      </c>
      <c r="C15" s="38" t="inlineStr">
        <is>
          <t>≥ 80%</t>
        </is>
      </c>
    </row>
    <row r="16">
      <c r="A16" s="36" t="inlineStr">
        <is>
          <t>Physical Media Deletion Methods Compliant</t>
        </is>
      </c>
      <c r="B16" s="37">
        <f>IFERROR(COUNTIF('2. Physical Storage Media'!F10:F100,"✅ Compliant"),0)</f>
        <v/>
      </c>
      <c r="C16" s="38" t="inlineStr">
        <is>
          <t>100%</t>
        </is>
      </c>
    </row>
    <row r="17">
      <c r="A17" s="36" t="inlineStr">
        <is>
          <t>Database Deletion Methods Compliant</t>
        </is>
      </c>
      <c r="B17" s="37">
        <f>IFERROR(COUNTIF('3. Database Systems'!F10:F100,"✅ Compliant"),0)</f>
        <v/>
      </c>
      <c r="C17" s="38" t="inlineStr">
        <is>
          <t>100%</t>
        </is>
      </c>
    </row>
    <row r="18">
      <c r="A18" s="36" t="inlineStr">
        <is>
          <t>Cloud Deletion Configurations Compliant</t>
        </is>
      </c>
      <c r="B18" s="37">
        <f>IFERROR(COUNTIF('4. Cloud Storage'!F10:F100,"✅ Compliant"),0)</f>
        <v/>
      </c>
      <c r="C18" s="38" t="inlineStr">
        <is>
          <t>100%</t>
        </is>
      </c>
    </row>
    <row r="19">
      <c r="A19" s="36" t="inlineStr">
        <is>
          <t>Deletion Verification Tests Passed</t>
        </is>
      </c>
      <c r="B19" s="37">
        <f>IFERROR(COUNTIF('6. Deletion Verification Test'!F10:F100,"✅ Compliant"),0)</f>
        <v/>
      </c>
      <c r="C19" s="38" t="inlineStr">
        <is>
          <t>100%</t>
        </is>
      </c>
    </row>
    <row r="20">
      <c r="A20" s="36" t="inlineStr">
        <is>
          <t>Non-Compliant Items Requiring Remediation</t>
        </is>
      </c>
      <c r="B20" s="37">
        <f>IFERROR(SUM(E6:E10),0)</f>
        <v/>
      </c>
      <c r="C20" s="38" t="inlineStr">
        <is>
          <t>0</t>
        </is>
      </c>
    </row>
    <row r="22">
      <c r="A22" s="39" t="inlineStr">
        <is>
          <t>TABLE 3 – KEY FINDINGS &amp; RECOMMENDATIONS</t>
        </is>
      </c>
    </row>
    <row r="23">
      <c r="A23" s="31" t="inlineStr">
        <is>
          <t>#</t>
        </is>
      </c>
      <c r="B23" s="31" t="inlineStr">
        <is>
          <t>Finding</t>
        </is>
      </c>
      <c r="C23" s="31" t="inlineStr">
        <is>
          <t>Impact</t>
        </is>
      </c>
      <c r="D23" s="31" t="inlineStr">
        <is>
          <t>Recommendation</t>
        </is>
      </c>
      <c r="E23" s="31" t="inlineStr">
        <is>
          <t>Priority</t>
        </is>
      </c>
      <c r="F23" s="31" t="inlineStr">
        <is>
          <t>Status</t>
        </is>
      </c>
      <c r="G23" s="31" t="inlineStr">
        <is>
          <t>Notes</t>
        </is>
      </c>
    </row>
    <row r="24">
      <c r="A24" s="38" t="inlineStr">
        <is>
          <t>1</t>
        </is>
      </c>
      <c r="B24" s="36" t="inlineStr">
        <is>
          <t>SSD overwrite methods may be ineffective due to wear levelling</t>
        </is>
      </c>
      <c r="C24" s="36" t="inlineStr">
        <is>
          <t>High</t>
        </is>
      </c>
      <c r="D24" s="36" t="inlineStr">
        <is>
          <t>Replace SSD overwrite with Secure Erase, crypto-erasure, or physical destruction</t>
        </is>
      </c>
      <c r="E24" s="38" t="inlineStr">
        <is>
          <t>P1</t>
        </is>
      </c>
      <c r="F24" s="38" t="inlineStr">
        <is>
          <t>Open</t>
        </is>
      </c>
      <c r="G24" s="36" t="inlineStr">
        <is>
          <t>NIST SP 800-88 Rev.2</t>
        </is>
      </c>
    </row>
    <row r="25">
      <c r="A25" s="38" t="inlineStr">
        <is>
          <t>2</t>
        </is>
      </c>
      <c r="B25" s="36" t="inlineStr">
        <is>
          <t>Cloud deletion may not include snapshots, backups, and versioned objects</t>
        </is>
      </c>
      <c r="C25" s="36" t="inlineStr">
        <is>
          <t>High</t>
        </is>
      </c>
      <c r="D25" s="36" t="inlineStr">
        <is>
          <t>Audit cloud lifecycle policies to ensure all object versions and snapshots are deleted</t>
        </is>
      </c>
      <c r="E25" s="38" t="inlineStr">
        <is>
          <t>P1</t>
        </is>
      </c>
      <c r="F25" s="38" t="inlineStr">
        <is>
          <t>Open</t>
        </is>
      </c>
      <c r="G25" s="36" t="inlineStr"/>
    </row>
    <row r="26">
      <c r="A26" s="38" t="inlineStr">
        <is>
          <t>3</t>
        </is>
      </c>
      <c r="B26" s="36" t="inlineStr">
        <is>
          <t>Logical deletes in databases may leave data recoverable</t>
        </is>
      </c>
      <c r="C26" s="36" t="inlineStr">
        <is>
          <t>Medium</t>
        </is>
      </c>
      <c r="D26" s="36" t="inlineStr">
        <is>
          <t>Implement scheduled purge jobs for soft-deleted records in all databases</t>
        </is>
      </c>
      <c r="E26" s="38" t="inlineStr">
        <is>
          <t>P2</t>
        </is>
      </c>
      <c r="F26" s="38" t="inlineStr">
        <is>
          <t>Open</t>
        </is>
      </c>
      <c r="G26" s="36" t="inlineStr"/>
    </row>
    <row r="27">
      <c r="A27" s="38" t="inlineStr">
        <is>
          <t>4</t>
        </is>
      </c>
      <c r="B27" s="36" t="inlineStr">
        <is>
          <t>Deletion verification testing frequency may be insufficient</t>
        </is>
      </c>
      <c r="C27" s="36" t="inlineStr">
        <is>
          <t>Medium</t>
        </is>
      </c>
      <c r="D27" s="36" t="inlineStr">
        <is>
          <t>Establish annual forensic testing schedule across all media types</t>
        </is>
      </c>
      <c r="E27" s="38" t="inlineStr">
        <is>
          <t>P2</t>
        </is>
      </c>
      <c r="F27" s="38" t="inlineStr">
        <is>
          <t>Open</t>
        </is>
      </c>
      <c r="G27" s="36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</row>
    <row r="3">
      <c r="A3" s="41" t="inlineStr">
        <is>
          <t>ASSESSMENT SUMMARY</t>
        </is>
      </c>
    </row>
    <row r="4">
      <c r="A4" s="42" t="inlineStr">
        <is>
          <t>Document:</t>
        </is>
      </c>
      <c r="B4" s="6" t="inlineStr">
        <is>
          <t>ISMS-IMP-A.8.10.2 - Deletion Methods Assessment</t>
        </is>
      </c>
    </row>
    <row r="5">
      <c r="A5" s="42" t="inlineStr">
        <is>
          <t>Assessment Period:</t>
        </is>
      </c>
      <c r="B5" s="20" t="inlineStr"/>
    </row>
    <row r="6">
      <c r="A6" s="42" t="inlineStr">
        <is>
          <t>Overall Compliance:</t>
        </is>
      </c>
      <c r="B6" s="43">
        <f>IFERROR(AVERAGE('Summary Dashboard'!G6:G10),"")</f>
        <v/>
      </c>
    </row>
    <row r="7">
      <c r="A7" s="42" t="inlineStr">
        <is>
          <t>Assessment Status:</t>
        </is>
      </c>
      <c r="B7" s="20" t="inlineStr"/>
    </row>
    <row r="10">
      <c r="A10" s="41" t="inlineStr">
        <is>
          <t>COMPLETED BY (ASSESSOR)</t>
        </is>
      </c>
    </row>
    <row r="11">
      <c r="A11" s="42" t="inlineStr">
        <is>
          <t>Name:</t>
        </is>
      </c>
      <c r="B11" s="20" t="n"/>
    </row>
    <row r="12">
      <c r="A12" s="42" t="inlineStr">
        <is>
          <t>Title:</t>
        </is>
      </c>
      <c r="B12" s="20" t="n"/>
    </row>
    <row r="13">
      <c r="A13" s="42" t="inlineStr">
        <is>
          <t>Date:</t>
        </is>
      </c>
      <c r="B13" s="20" t="n"/>
    </row>
    <row r="14">
      <c r="A14" s="42" t="inlineStr">
        <is>
          <t>Signature:</t>
        </is>
      </c>
      <c r="B14" s="20" t="n"/>
    </row>
    <row r="15">
      <c r="A15" s="42" t="inlineStr">
        <is>
          <t>Comments:</t>
        </is>
      </c>
      <c r="B15" s="20" t="n"/>
    </row>
    <row r="17">
      <c r="A17" s="41" t="inlineStr">
        <is>
          <t>REVIEWED BY (INFORMATION SECURITY OFFICER)</t>
        </is>
      </c>
    </row>
    <row r="18">
      <c r="A18" s="42" t="inlineStr">
        <is>
          <t>Name:</t>
        </is>
      </c>
      <c r="B18" s="20" t="n"/>
    </row>
    <row r="19">
      <c r="A19" s="42" t="inlineStr">
        <is>
          <t>Title:</t>
        </is>
      </c>
      <c r="B19" s="20" t="n"/>
    </row>
    <row r="20">
      <c r="A20" s="42" t="inlineStr">
        <is>
          <t>Date:</t>
        </is>
      </c>
      <c r="B20" s="20" t="n"/>
    </row>
    <row r="21">
      <c r="A21" s="42" t="inlineStr">
        <is>
          <t>Signature:</t>
        </is>
      </c>
      <c r="B21" s="20" t="n"/>
    </row>
    <row r="22">
      <c r="A22" s="42" t="inlineStr">
        <is>
          <t>Comments:</t>
        </is>
      </c>
      <c r="B22" s="20" t="n"/>
    </row>
    <row r="24">
      <c r="A24" s="44" t="inlineStr">
        <is>
          <t>APPROVED BY (CISO)</t>
        </is>
      </c>
    </row>
    <row r="25">
      <c r="A25" s="42" t="inlineStr">
        <is>
          <t>Name:</t>
        </is>
      </c>
      <c r="B25" s="20" t="n"/>
    </row>
    <row r="26">
      <c r="A26" s="42" t="inlineStr">
        <is>
          <t>Title:</t>
        </is>
      </c>
      <c r="B26" s="20" t="n"/>
    </row>
    <row r="27">
      <c r="A27" s="42" t="inlineStr">
        <is>
          <t>Date:</t>
        </is>
      </c>
      <c r="B27" s="20" t="n"/>
    </row>
    <row r="28">
      <c r="A28" s="42" t="inlineStr">
        <is>
          <t>Signature:</t>
        </is>
      </c>
      <c r="B28" s="20" t="n"/>
    </row>
    <row r="29">
      <c r="A29" s="42" t="inlineStr">
        <is>
          <t>Comments:</t>
        </is>
      </c>
      <c r="B29" s="20" t="n"/>
    </row>
    <row r="31">
      <c r="A31" s="42" t="inlineStr">
        <is>
          <t>FINAL DECISION:</t>
        </is>
      </c>
      <c r="B31" s="20" t="n"/>
    </row>
    <row r="34">
      <c r="A34" s="41" t="inlineStr">
        <is>
          <t>NEXT REVIEW DETAILS</t>
        </is>
      </c>
    </row>
    <row r="35">
      <c r="A35" s="42" t="inlineStr">
        <is>
          <t>Next Review Date:</t>
        </is>
      </c>
      <c r="B35" s="20" t="n"/>
    </row>
    <row r="36">
      <c r="A36" s="42" t="inlineStr">
        <is>
          <t>Review Responsible:</t>
        </is>
      </c>
      <c r="B36" s="20" t="n"/>
    </row>
    <row r="37">
      <c r="A37" s="42" t="inlineStr">
        <is>
          <t>Special Considerations:</t>
        </is>
      </c>
      <c r="B37" s="20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ISMS-IMP-A.8.10.2 — Deletion Methods Assessment</dc:title>
  <dc:description xmlns:dc="http://purl.org/dc/elements/1.1/">ISMS Implementation Workbook — ISMS-IMP-A.8.10.2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2026-03-07T11:28:02Z</dcterms:created>
  <dcterms:modified xmlns:dcterms="http://purl.org/dc/terms/" xmlns:xsi="http://www.w3.org/2001/XMLSchema-instance" xsi:type="dcterms:W3CDTF">2026-03-07T11:28:02Z</dcterms:modified>
</cp:coreProperties>
</file>