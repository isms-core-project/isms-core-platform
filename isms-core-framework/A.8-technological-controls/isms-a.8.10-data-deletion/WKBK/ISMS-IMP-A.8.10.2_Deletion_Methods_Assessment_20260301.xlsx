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Physical Storage Media" sheetId="2" state="visible" r:id="rId2"/>
    <sheet xmlns:r="http://schemas.openxmlformats.org/officeDocument/2006/relationships" name="3. Database Systems" sheetId="3" state="visible" r:id="rId3"/>
    <sheet xmlns:r="http://schemas.openxmlformats.org/officeDocument/2006/relationships" name="4. Cloud Storage" sheetId="4" state="visible" r:id="rId4"/>
    <sheet xmlns:r="http://schemas.openxmlformats.org/officeDocument/2006/relationships" name="5. File Systems &amp; Backup Media" sheetId="5" state="visible" r:id="rId5"/>
    <sheet xmlns:r="http://schemas.openxmlformats.org/officeDocument/2006/relationships" name="6. Deletion Verification Test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6"/>
    </font>
    <font>
      <name val="Calibri"/>
      <i val="1"/>
      <sz val="9"/>
    </font>
    <font>
      <name val="Calibri"/>
      <b val="1"/>
      <sz val="11"/>
    </font>
    <font>
      <name val="Calibri"/>
      <i val="1"/>
      <color rgb="004472C4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000000"/>
      <sz val="9"/>
    </font>
    <font>
      <b val="1"/>
      <color rgb="00FFFFFF"/>
      <sz val="14"/>
    </font>
    <font>
      <i val="1"/>
    </font>
    <font>
      <b val="1"/>
      <color rgb="00FFFFFF"/>
    </font>
    <font>
      <color rgb="00808080"/>
    </font>
    <font>
      <name val="Calibri"/>
      <i val="1"/>
      <color rgb="00003366"/>
      <sz val="11"/>
    </font>
    <font>
      <name val="Calibri"/>
      <b val="1"/>
      <color rgb="00FFFFFF"/>
      <sz val="12"/>
    </font>
    <font>
      <name val="Calibri"/>
      <sz val="10"/>
    </font>
    <font>
      <b val="1"/>
      <color rgb="00FFFFFF"/>
      <sz val="11"/>
    </font>
    <font>
      <b val="1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FFFFF"/>
        <bgColor rgb="00FFFFFF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7" fillId="9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wrapText="1"/>
    </xf>
    <xf numFmtId="0" fontId="9" fillId="8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top" wrapText="1"/>
    </xf>
    <xf numFmtId="0" fontId="0" fillId="10" borderId="1" pivotButton="0" quotePrefix="0" xfId="0"/>
    <xf numFmtId="0" fontId="0" fillId="11" borderId="0" pivotButton="0" quotePrefix="0" xfId="0"/>
    <xf numFmtId="0" fontId="12" fillId="9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left" vertical="top" wrapText="1"/>
    </xf>
    <xf numFmtId="0" fontId="13" fillId="8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15" fillId="8" borderId="1" applyAlignment="1" pivotButton="0" quotePrefix="0" xfId="0">
      <alignment horizontal="center" vertical="center" wrapText="1"/>
    </xf>
    <xf numFmtId="0" fontId="16" fillId="10" borderId="1" pivotButton="0" quotePrefix="0" xfId="0"/>
    <xf numFmtId="0" fontId="1" fillId="8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8" fillId="8" borderId="0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64" fontId="4" fillId="12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 vertical="center" wrapText="1"/>
    </xf>
    <xf numFmtId="164" fontId="19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18" fillId="13" borderId="0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 wrapText="1"/>
    </xf>
    <xf numFmtId="0" fontId="20" fillId="14" borderId="1" pivotButton="0" quotePrefix="0" xfId="0"/>
    <xf numFmtId="0" fontId="21" fillId="0" borderId="0" pivotButton="0" quotePrefix="0" xfId="0"/>
    <xf numFmtId="164" fontId="0" fillId="0" borderId="1" pivotButton="0" quotePrefix="0" xfId="0"/>
    <xf numFmtId="0" fontId="2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ISMS-IMP-A.8.10.2  -  Deletion Methods Assessment
ISO/IEC 27001:2022 - Control A.8.10: Information Deletion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ISMS-IMP-A.8.10.2</t>
        </is>
      </c>
    </row>
    <row r="5">
      <c r="A5" s="3" t="inlineStr">
        <is>
          <t>Workbook Title</t>
        </is>
      </c>
      <c r="B5" t="inlineStr">
        <is>
          <t>Deletion Methods Assessment</t>
        </is>
      </c>
    </row>
    <row r="6">
      <c r="A6" s="3" t="inlineStr">
        <is>
          <t>Control Reference</t>
        </is>
      </c>
      <c r="B6" t="inlineStr">
        <is>
          <t>ISO/IEC 27001:2022 - Control A.8.10: Information Deletion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assessment sheets 2–6 in order, filling in all yellow-highlighted cells.</t>
        </is>
      </c>
    </row>
    <row r="14">
      <c r="A14" t="inlineStr">
        <is>
          <t>2. Use dropdown menus where provided for consistency.</t>
        </is>
      </c>
    </row>
    <row r="15">
      <c r="A15" t="inlineStr">
        <is>
          <t>3. Link supporting evidence to the Evidence Register using Column N.</t>
        </is>
      </c>
    </row>
    <row r="16">
      <c r="A16" t="inlineStr">
        <is>
          <t>4. Review the Summary Dashboard for overall compliance status.</t>
        </is>
      </c>
    </row>
    <row r="17">
      <c r="A17" t="inlineStr">
        <is>
          <t>5. Obtain approval using the Approval Sign-Off sheet.</t>
        </is>
      </c>
    </row>
    <row r="19">
      <c r="A19" s="2" t="inlineStr">
        <is>
          <t>Status Legend</t>
        </is>
      </c>
    </row>
    <row r="20">
      <c r="A20" s="5" t="inlineStr">
        <is>
          <t>Symbol</t>
        </is>
      </c>
      <c r="B20" s="5" t="inlineStr">
        <is>
          <t>Status</t>
        </is>
      </c>
      <c r="C20" s="5" t="inlineStr">
        <is>
          <t>Description</t>
        </is>
      </c>
    </row>
    <row r="21">
      <c r="A21" s="6" t="inlineStr">
        <is>
          <t>✓</t>
        </is>
      </c>
      <c r="B21" s="7" t="inlineStr">
        <is>
          <t>Compliant / Complete</t>
        </is>
      </c>
      <c r="C21" s="8" t="inlineStr">
        <is>
          <t>Requirement fully met</t>
        </is>
      </c>
    </row>
    <row r="22">
      <c r="A22" s="6" t="inlineStr">
        <is>
          <t>⚠</t>
        </is>
      </c>
      <c r="B22" s="9" t="inlineStr">
        <is>
          <t>Partial / In Progress</t>
        </is>
      </c>
      <c r="C22" s="8" t="inlineStr">
        <is>
          <t>Partially met or in progress</t>
        </is>
      </c>
    </row>
    <row r="23">
      <c r="A23" s="6" t="inlineStr">
        <is>
          <t>✗</t>
        </is>
      </c>
      <c r="B23" s="10" t="inlineStr">
        <is>
          <t>Non-Compliant / Not Started</t>
        </is>
      </c>
      <c r="C23" s="8" t="inlineStr">
        <is>
          <t>Requirement not met</t>
        </is>
      </c>
    </row>
    <row r="24">
      <c r="A24" s="6" t="inlineStr">
        <is>
          <t>—</t>
        </is>
      </c>
      <c r="B24" s="8" t="inlineStr">
        <is>
          <t>Not Applicable</t>
        </is>
      </c>
      <c r="C24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18" customWidth="1" min="18" max="18"/>
    <col width="22" customWidth="1" min="19" max="19"/>
    <col width="20" customWidth="1" min="20" max="20"/>
    <col width="18" customWidth="1" min="21" max="21"/>
  </cols>
  <sheetData>
    <row r="1" ht="35" customHeight="1">
      <c r="A1" s="11" t="inlineStr">
        <is>
          <t>SHEET 2: PHYSICAL STORAGE MEDIA</t>
        </is>
      </c>
    </row>
    <row r="2">
      <c r="A2" s="12" t="inlineStr">
        <is>
          <t>Policy Reference: ISMS-POL-A.8.10-S2.2, Section 2.2.1</t>
        </is>
      </c>
    </row>
    <row r="4">
      <c r="A4" s="13" t="inlineStr">
        <is>
          <t>ASSESSMENT QUESTION:
Do we have effective deletion methods for all types of physical media, validated through testing, and aligned with NIST SP 800-88 Rev. 2 guidance?</t>
        </is>
      </c>
    </row>
    <row r="5"/>
    <row r="6"/>
    <row r="7">
      <c r="A7" s="14" t="inlineStr">
        <is>
          <t>Complete the yellow-highlighted cells below. Use dropdowns where provided. Link evidence in Column N to Evidence Register sheet.</t>
        </is>
      </c>
    </row>
    <row r="9" ht="35" customHeight="1">
      <c r="A9" s="15" t="inlineStr">
        <is>
          <t>Media Type / System Name</t>
        </is>
      </c>
      <c r="B9" s="15" t="inlineStr">
        <is>
          <t>Data Classification</t>
        </is>
      </c>
      <c r="C9" s="15" t="inlineStr">
        <is>
          <t>Owner / Responsible Party</t>
        </is>
      </c>
      <c r="D9" s="15" t="inlineStr">
        <is>
          <t>Deletion Method Used</t>
        </is>
      </c>
      <c r="E9" s="15" t="inlineStr">
        <is>
          <t>Tool/Vendor Used</t>
        </is>
      </c>
      <c r="F9" s="15" t="inlineStr">
        <is>
          <t>Status</t>
        </is>
      </c>
      <c r="G9" s="15" t="inlineStr">
        <is>
          <t>Implementation Date</t>
        </is>
      </c>
      <c r="H9" s="15" t="inlineStr">
        <is>
          <t>Last Effectiveness Test</t>
        </is>
      </c>
      <c r="I9" s="15" t="inlineStr">
        <is>
          <t>Next Test Date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NIST SP 800-88 Rev. 2 Method</t>
        </is>
      </c>
      <c r="S9" s="15" t="inlineStr">
        <is>
          <t>Verification Method</t>
        </is>
      </c>
      <c r="T9" s="15" t="inlineStr">
        <is>
          <t>Last Forensic Test Result</t>
        </is>
      </c>
      <c r="U9" s="15" t="inlineStr">
        <is>
          <t>Media Disposal Method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</row>
    <row r="25">
      <c r="A25" s="17" t="inlineStr">
        <is>
          <t>COMPLIANCE CHECKLIST - Mark ✅ or {XMARK}</t>
        </is>
      </c>
    </row>
    <row r="26">
      <c r="A26" s="18" t="inlineStr">
        <is>
          <t>1.</t>
        </is>
      </c>
      <c r="B26" s="19" t="inlineStr">
        <is>
          <t>All physical media types in use are identified and documented</t>
        </is>
      </c>
      <c r="T26" s="20" t="inlineStr"/>
      <c r="U26" s="21" t="inlineStr"/>
    </row>
    <row r="27">
      <c r="A27" s="18" t="inlineStr">
        <is>
          <t>2.</t>
        </is>
      </c>
      <c r="B27" s="19" t="inlineStr">
        <is>
          <t>Deletion methods are assigned per media type (not one-size-fits-all)</t>
        </is>
      </c>
      <c r="T27" s="20" t="inlineStr"/>
      <c r="U27" s="21" t="inlineStr"/>
    </row>
    <row r="28">
      <c r="A28" s="18" t="inlineStr">
        <is>
          <t>3.</t>
        </is>
      </c>
      <c r="B28" s="19" t="inlineStr">
        <is>
          <t>HDD deletion uses overwrite (≥3 pass) OR degaussing OR destruction</t>
        </is>
      </c>
      <c r="T28" s="20" t="inlineStr"/>
      <c r="U28" s="21" t="inlineStr"/>
    </row>
    <row r="29">
      <c r="A29" s="18" t="inlineStr">
        <is>
          <t>4.</t>
        </is>
      </c>
      <c r="B29" s="19" t="inlineStr">
        <is>
          <t>SSD deletion uses Secure Erase OR crypto-erasure OR destruction (NOT simple overwrite)</t>
        </is>
      </c>
      <c r="T29" s="20" t="inlineStr"/>
      <c r="U29" s="21" t="inlineStr"/>
    </row>
    <row r="30">
      <c r="A30" s="18" t="inlineStr">
        <is>
          <t>5.</t>
        </is>
      </c>
      <c r="B30" s="19" t="inlineStr">
        <is>
          <t>Magnetic tape deletion uses degaussing OR overwrite OR destruction</t>
        </is>
      </c>
      <c r="T30" s="20" t="inlineStr"/>
      <c r="U30" s="21" t="inlineStr"/>
    </row>
    <row r="31">
      <c r="A31" s="18" t="inlineStr">
        <is>
          <t>6.</t>
        </is>
      </c>
      <c r="B31" s="19" t="inlineStr">
        <is>
          <t>Removable media (USB, SD) deletion methods documented</t>
        </is>
      </c>
      <c r="T31" s="20" t="inlineStr"/>
      <c r="U31" s="21" t="inlineStr"/>
    </row>
    <row r="32">
      <c r="A32" s="18" t="inlineStr">
        <is>
          <t>7.</t>
        </is>
      </c>
      <c r="B32" s="19" t="inlineStr">
        <is>
          <t>Paper document destruction uses cross-cut shredding (minimum)</t>
        </is>
      </c>
      <c r="T32" s="20" t="inlineStr"/>
      <c r="U32" s="21" t="inlineStr"/>
    </row>
    <row r="33">
      <c r="A33" s="18" t="inlineStr">
        <is>
          <t>8.</t>
        </is>
      </c>
      <c r="B33" s="19" t="inlineStr">
        <is>
          <t>NIST SP 800-88 Rev. 2 method classification assigned (Clear/Purge/Destroy)</t>
        </is>
      </c>
      <c r="T33" s="20" t="inlineStr"/>
      <c r="U33" s="21" t="inlineStr"/>
    </row>
    <row r="34">
      <c r="A34" s="18" t="inlineStr">
        <is>
          <t>9.</t>
        </is>
      </c>
      <c r="B34" s="19" t="inlineStr">
        <is>
          <t>Deletion tools are approved and maintained</t>
        </is>
      </c>
      <c r="T34" s="20" t="inlineStr"/>
      <c r="U34" s="21" t="inlineStr"/>
    </row>
    <row r="35">
      <c r="A35" s="18" t="inlineStr">
        <is>
          <t>10.</t>
        </is>
      </c>
      <c r="B35" s="19" t="inlineStr">
        <is>
          <t>Media disposal procedures documented (reuse, recycle, destroy)</t>
        </is>
      </c>
      <c r="T35" s="20" t="inlineStr"/>
      <c r="U35" s="21" t="inlineStr"/>
    </row>
    <row r="36">
      <c r="A36" s="18" t="inlineStr">
        <is>
          <t>11.</t>
        </is>
      </c>
      <c r="B36" s="19" t="inlineStr">
        <is>
          <t>Certificate of Destruction obtained for outsourced destruction</t>
        </is>
      </c>
      <c r="T36" s="20" t="inlineStr"/>
      <c r="U36" s="21" t="inlineStr"/>
    </row>
    <row r="37">
      <c r="A37" s="18" t="inlineStr">
        <is>
          <t>12.</t>
        </is>
      </c>
      <c r="B37" s="19" t="inlineStr">
        <is>
          <t>Forensic testing conducted at least annually</t>
        </is>
      </c>
      <c r="T37" s="20" t="inlineStr"/>
      <c r="U37" s="21" t="inlineStr"/>
    </row>
    <row r="38">
      <c r="A38" s="18" t="inlineStr">
        <is>
          <t>13.</t>
        </is>
      </c>
      <c r="B38" s="19" t="inlineStr">
        <is>
          <t>Failed forensic tests trigger immediate remediation</t>
        </is>
      </c>
      <c r="T38" s="20" t="inlineStr"/>
      <c r="U38" s="21" t="inlineStr"/>
    </row>
    <row r="39">
      <c r="A39" s="18" t="inlineStr">
        <is>
          <t>14.</t>
        </is>
      </c>
      <c r="B39" s="19" t="inlineStr">
        <is>
          <t>Data classification influences deletion method choice (Restricted → Destroy)</t>
        </is>
      </c>
      <c r="T39" s="20" t="inlineStr"/>
      <c r="U39" s="21" t="inlineStr"/>
    </row>
    <row r="40">
      <c r="A40" s="18" t="inlineStr">
        <is>
          <t>15.</t>
        </is>
      </c>
      <c r="B40" s="19" t="inlineStr">
        <is>
          <t>End-of-life media destruction procedures exist</t>
        </is>
      </c>
      <c r="T40" s="20" t="inlineStr"/>
      <c r="U40" s="21" t="inlineStr"/>
    </row>
    <row r="42">
      <c r="A42" s="17" t="inlineStr">
        <is>
          <t>HDD vs SSD Deletion Differences</t>
        </is>
      </c>
    </row>
    <row r="43">
      <c r="A43" s="15" t="inlineStr">
        <is>
          <t>Aspect</t>
        </is>
      </c>
      <c r="B43" s="15" t="inlineStr">
        <is>
          <t>HDD (Spinning Disk)</t>
        </is>
      </c>
      <c r="C43" s="15" t="inlineStr">
        <is>
          <t>SSD (NAND Flash)</t>
        </is>
      </c>
    </row>
    <row r="44">
      <c r="A44" s="22" t="inlineStr">
        <is>
          <t>Overwrite Effectiveness</t>
        </is>
      </c>
      <c r="B44" s="22" t="inlineStr">
        <is>
          <t>✅ Effective (7-pass DoD)</t>
        </is>
      </c>
      <c r="C44" s="22" t="inlineStr">
        <is>
          <t>❌ Ineffective (wear leveling)</t>
        </is>
      </c>
    </row>
    <row r="45">
      <c r="A45" s="22" t="inlineStr">
        <is>
          <t>Secure Erase Command</t>
        </is>
      </c>
      <c r="B45" s="22" t="inlineStr">
        <is>
          <t>✅ Effective (ATA)</t>
        </is>
      </c>
      <c r="C45" s="22" t="inlineStr">
        <is>
          <t>✅ Effective (ATA/NVMe)</t>
        </is>
      </c>
    </row>
    <row r="46">
      <c r="A46" s="22" t="inlineStr">
        <is>
          <t>Degaussing</t>
        </is>
      </c>
      <c r="B46" s="22" t="inlineStr">
        <is>
          <t>✅ Effective</t>
        </is>
      </c>
      <c r="C46" s="22" t="inlineStr">
        <is>
          <t>❌ Ineffective (not magnetic)</t>
        </is>
      </c>
    </row>
    <row r="47">
      <c r="A47" s="22" t="inlineStr">
        <is>
          <t>Cryptographic Erasure</t>
        </is>
      </c>
      <c r="B47" s="22" t="inlineStr">
        <is>
          <t>⚠ Requires FDE</t>
        </is>
      </c>
      <c r="C47" s="22" t="inlineStr">
        <is>
          <t>✅ Highly Effective</t>
        </is>
      </c>
    </row>
    <row r="48">
      <c r="A48" s="22" t="inlineStr">
        <is>
          <t>Physical Destruction</t>
        </is>
      </c>
      <c r="B48" s="22" t="inlineStr">
        <is>
          <t>✅ Shred, crush</t>
        </is>
      </c>
      <c r="C48" s="22" t="inlineStr">
        <is>
          <t>✅ Shred (flash chips destroyed)</t>
        </is>
      </c>
    </row>
    <row r="49">
      <c r="A49" s="22" t="inlineStr">
        <is>
          <t>NIST Recommendation</t>
        </is>
      </c>
      <c r="B49" s="22" t="inlineStr">
        <is>
          <t>Purge: Overwrite or Degauss</t>
        </is>
      </c>
      <c r="C49" s="22" t="inlineStr">
        <is>
          <t>Purge: Secure Erase or Crypto-Erase</t>
        </is>
      </c>
    </row>
    <row r="51">
      <c r="A51" s="17" t="inlineStr">
        <is>
          <t>Physical Destruction Methods</t>
        </is>
      </c>
    </row>
    <row r="52">
      <c r="A52" s="15" t="inlineStr">
        <is>
          <t>Method</t>
        </is>
      </c>
      <c r="B52" s="15" t="inlineStr">
        <is>
          <t>Media Types</t>
        </is>
      </c>
      <c r="C52" s="15" t="inlineStr">
        <is>
          <t>Effectiveness</t>
        </is>
      </c>
      <c r="D52" s="15" t="inlineStr">
        <is>
          <t>Cost</t>
        </is>
      </c>
    </row>
    <row r="53">
      <c r="A53" s="22" t="inlineStr">
        <is>
          <t>Cross-Cut Shredding</t>
        </is>
      </c>
      <c r="B53" s="22" t="inlineStr">
        <is>
          <t>Paper, Optical, Cards</t>
        </is>
      </c>
      <c r="C53" s="22" t="inlineStr">
        <is>
          <t>High</t>
        </is>
      </c>
      <c r="D53" s="22" t="inlineStr">
        <is>
          <t>Low-Medium</t>
        </is>
      </c>
    </row>
    <row r="54">
      <c r="A54" s="22" t="inlineStr">
        <is>
          <t>Disintegration</t>
        </is>
      </c>
      <c r="B54" s="22" t="inlineStr">
        <is>
          <t>HDD, SSD, Tape</t>
        </is>
      </c>
      <c r="C54" s="22" t="inlineStr">
        <is>
          <t>Very High</t>
        </is>
      </c>
      <c r="D54" s="22" t="inlineStr">
        <is>
          <t>Medium-High</t>
        </is>
      </c>
    </row>
    <row r="55">
      <c r="A55" s="22" t="inlineStr">
        <is>
          <t>Degaussing</t>
        </is>
      </c>
      <c r="B55" s="22" t="inlineStr">
        <is>
          <t>HDD, Tape (magnetic)</t>
        </is>
      </c>
      <c r="C55" s="22" t="inlineStr">
        <is>
          <t>High</t>
        </is>
      </c>
      <c r="D55" s="22" t="inlineStr">
        <is>
          <t>Medium</t>
        </is>
      </c>
    </row>
    <row r="56">
      <c r="A56" s="22" t="inlineStr">
        <is>
          <t>Incineration</t>
        </is>
      </c>
      <c r="B56" s="22" t="inlineStr">
        <is>
          <t>All media types</t>
        </is>
      </c>
      <c r="C56" s="22" t="inlineStr">
        <is>
          <t>Absolute</t>
        </is>
      </c>
      <c r="D56" s="22" t="inlineStr">
        <is>
          <t>High</t>
        </is>
      </c>
    </row>
    <row r="57">
      <c r="A57" s="22" t="inlineStr">
        <is>
          <t>Crushing/Bending</t>
        </is>
      </c>
      <c r="B57" s="22" t="inlineStr">
        <is>
          <t>HDD, Optical</t>
        </is>
      </c>
      <c r="C57" s="22" t="inlineStr">
        <is>
          <t>Medium-High</t>
        </is>
      </c>
      <c r="D57" s="22" t="inlineStr">
        <is>
          <t>Low-Medium</t>
        </is>
      </c>
    </row>
    <row r="59">
      <c r="A59" s="17" t="inlineStr">
        <is>
          <t>EXCEPTIONS / DEVIATIONS</t>
        </is>
      </c>
    </row>
    <row r="60">
      <c r="A60" s="23" t="inlineStr">
        <is>
          <t>Document any exceptions or deviations from requirements here:</t>
        </is>
      </c>
    </row>
    <row r="61"/>
    <row r="62"/>
  </sheetData>
  <mergeCells count="24">
    <mergeCell ref="B39:S39"/>
    <mergeCell ref="A7:U7"/>
    <mergeCell ref="A25:U25"/>
    <mergeCell ref="A60:U62"/>
    <mergeCell ref="A42:C42"/>
    <mergeCell ref="B38:S38"/>
    <mergeCell ref="B29:S29"/>
    <mergeCell ref="A2:U2"/>
    <mergeCell ref="B34:S34"/>
    <mergeCell ref="B28:S28"/>
    <mergeCell ref="B37:S37"/>
    <mergeCell ref="B40:S40"/>
    <mergeCell ref="A51:D51"/>
    <mergeCell ref="B30:S30"/>
    <mergeCell ref="B33:S33"/>
    <mergeCell ref="B36:S36"/>
    <mergeCell ref="B32:S32"/>
    <mergeCell ref="B35:S35"/>
    <mergeCell ref="A4:U6"/>
    <mergeCell ref="B26:S26"/>
    <mergeCell ref="A59:U59"/>
    <mergeCell ref="B31:S31"/>
    <mergeCell ref="B27:S27"/>
    <mergeCell ref="A1:U1"/>
  </mergeCells>
  <dataValidations count="9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D10:D100" showDropDown="0" showInputMessage="0" showErrorMessage="0" allowBlank="1" type="list">
      <formula1>"Overwrite (1-pass),Overwrite (3-pass),Overwrite (7-pass DoD 5220.22-M),Secure Erase (ATA/NVMe),Cryptographic Erasure,Degaussing,Physical Destruction (Shred),Physical Destruction (Incinerate),Physical Destruction (Crush/Pulverize),Other (specify in notes)"</formula1>
    </dataValidation>
    <dataValidation sqref="R10:R100" showDropDown="0" showInputMessage="0" showErrorMessage="0" allowBlank="1" type="list">
      <formula1>"Clear,Purge,Destroy,N/A"</formula1>
    </dataValidation>
    <dataValidation sqref="S10:S100" showDropDown="0" showInputMessage="0" showErrorMessage="0" allowBlank="1" type="list">
      <formula1>"Software Verification,Visual Inspection,Certificate of Destruction,Forensic Test,None"</formula1>
    </dataValidation>
    <dataValidation sqref="T10:T100" showDropDown="0" showInputMessage="0" showErrorMessage="0" allowBlank="1" type="list">
      <formula1>"Pass (No Recovery),Fail (Partial Recovery),Fail (Full Recovery),Not Tested"</formula1>
    </dataValidation>
    <dataValidation sqref="U10:U100" showDropDown="0" showInputMessage="0" showErrorMessage="0" allowBlank="1" type="list">
      <formula1>"Reuse,Recycle,Shred,Incinerate,Degauss,Other"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0" customWidth="1" min="18" max="18"/>
    <col width="25" customWidth="1" min="19" max="19"/>
    <col width="18" customWidth="1" min="20" max="20"/>
    <col width="25" customWidth="1" min="21" max="21"/>
  </cols>
  <sheetData>
    <row r="1" ht="35" customHeight="1">
      <c r="A1" s="11" t="inlineStr">
        <is>
          <t>SHEET 3: DATABASE SYSTEMS</t>
        </is>
      </c>
    </row>
    <row r="2">
      <c r="A2" s="12" t="inlineStr">
        <is>
          <t>Policy Reference: ISMS-POL-A.8.10-S2.2, Section 2.2.3</t>
        </is>
      </c>
    </row>
    <row r="4">
      <c r="A4" s="13" t="inlineStr">
        <is>
          <t>ASSESSMENT QUESTION:
Are database and application deletion methods effective, and do they address referential integrity, backups, and crypto-shredding?</t>
        </is>
      </c>
    </row>
    <row r="5"/>
    <row r="6"/>
    <row r="7">
      <c r="A7" s="14" t="inlineStr">
        <is>
          <t>Complete the yellow-highlighted cells below. Use dropdowns where provided. Link evidence in Column N to Evidence Register sheet.</t>
        </is>
      </c>
    </row>
    <row r="9" ht="35" customHeight="1">
      <c r="A9" s="15" t="inlineStr">
        <is>
          <t>Media Type / System Name</t>
        </is>
      </c>
      <c r="B9" s="15" t="inlineStr">
        <is>
          <t>Data Classification</t>
        </is>
      </c>
      <c r="C9" s="15" t="inlineStr">
        <is>
          <t>Owner / Responsible Party</t>
        </is>
      </c>
      <c r="D9" s="15" t="inlineStr">
        <is>
          <t>Deletion Method Used</t>
        </is>
      </c>
      <c r="E9" s="15" t="inlineStr">
        <is>
          <t>Tool/Vendor Used</t>
        </is>
      </c>
      <c r="F9" s="15" t="inlineStr">
        <is>
          <t>Status</t>
        </is>
      </c>
      <c r="G9" s="15" t="inlineStr">
        <is>
          <t>Implementation Date</t>
        </is>
      </c>
      <c r="H9" s="15" t="inlineStr">
        <is>
          <t>Last Effectiveness Test</t>
        </is>
      </c>
      <c r="I9" s="15" t="inlineStr">
        <is>
          <t>Next Test Date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Deletion Type</t>
        </is>
      </c>
      <c r="S9" s="15" t="inlineStr">
        <is>
          <t>Referential Integrity Handled</t>
        </is>
      </c>
      <c r="T9" s="15" t="inlineStr">
        <is>
          <t>Backup Purging</t>
        </is>
      </c>
      <c r="U9" s="15" t="inlineStr">
        <is>
          <t>Crypto-Erasure Key Management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</row>
    <row r="25">
      <c r="A25" s="17" t="inlineStr">
        <is>
          <t>COMPLIANCE CHECKLIST - Mark ✅ or {XMARK}</t>
        </is>
      </c>
    </row>
    <row r="26">
      <c r="A26" s="18" t="inlineStr">
        <is>
          <t>1.</t>
        </is>
      </c>
      <c r="B26" s="19" t="inlineStr">
        <is>
          <t>All databases and applications processing sensitive data identified</t>
        </is>
      </c>
      <c r="T26" s="20" t="inlineStr"/>
      <c r="U26" s="21" t="inlineStr"/>
    </row>
    <row r="27">
      <c r="A27" s="18" t="inlineStr">
        <is>
          <t>2.</t>
        </is>
      </c>
      <c r="B27" s="19" t="inlineStr">
        <is>
          <t>Deletion method documented per system (logical delete, hard delete, purge)</t>
        </is>
      </c>
      <c r="T27" s="20" t="inlineStr"/>
      <c r="U27" s="21" t="inlineStr"/>
    </row>
    <row r="28">
      <c r="A28" s="18" t="inlineStr">
        <is>
          <t>3.</t>
        </is>
      </c>
      <c r="B28" s="19" t="inlineStr">
        <is>
          <t>Referential integrity constraints addressed (cascading deletes or manual)</t>
        </is>
      </c>
      <c r="T28" s="20" t="inlineStr"/>
      <c r="U28" s="21" t="inlineStr"/>
    </row>
    <row r="29">
      <c r="A29" s="18" t="inlineStr">
        <is>
          <t>4.</t>
        </is>
      </c>
      <c r="B29" s="19" t="inlineStr">
        <is>
          <t>Soft delete (logical delete) systems have purge procedures</t>
        </is>
      </c>
      <c r="T29" s="20" t="inlineStr"/>
      <c r="U29" s="21" t="inlineStr"/>
    </row>
    <row r="30">
      <c r="A30" s="18" t="inlineStr">
        <is>
          <t>5.</t>
        </is>
      </c>
      <c r="B30" s="19" t="inlineStr">
        <is>
          <t>Hard delete operations tested and verified</t>
        </is>
      </c>
      <c r="T30" s="20" t="inlineStr"/>
      <c r="U30" s="21" t="inlineStr"/>
    </row>
    <row r="31">
      <c r="A31" s="18" t="inlineStr">
        <is>
          <t>6.</t>
        </is>
      </c>
      <c r="B31" s="19" t="inlineStr">
        <is>
          <t>Database backup purging procedures exist</t>
        </is>
      </c>
      <c r="T31" s="20" t="inlineStr"/>
      <c r="U31" s="21" t="inlineStr"/>
    </row>
    <row r="32">
      <c r="A32" s="18" t="inlineStr">
        <is>
          <t>7.</t>
        </is>
      </c>
      <c r="B32" s="19" t="inlineStr">
        <is>
          <t>Archive-then-delete workflows documented (if used)</t>
        </is>
      </c>
      <c r="T32" s="20" t="inlineStr"/>
      <c r="U32" s="21" t="inlineStr"/>
    </row>
    <row r="33">
      <c r="A33" s="18" t="inlineStr">
        <is>
          <t>8.</t>
        </is>
      </c>
      <c r="B33" s="19" t="inlineStr">
        <is>
          <t>Crypto-shredding evaluated for encrypted databases</t>
        </is>
      </c>
      <c r="T33" s="20" t="inlineStr"/>
      <c r="U33" s="21" t="inlineStr"/>
    </row>
    <row r="34">
      <c r="A34" s="18" t="inlineStr">
        <is>
          <t>9.</t>
        </is>
      </c>
      <c r="B34" s="19" t="inlineStr">
        <is>
          <t>Application-layer deletion triggers database deletion</t>
        </is>
      </c>
      <c r="T34" s="20" t="inlineStr"/>
      <c r="U34" s="21" t="inlineStr"/>
    </row>
    <row r="35">
      <c r="A35" s="18" t="inlineStr">
        <is>
          <t>10.</t>
        </is>
      </c>
      <c r="B35" s="19" t="inlineStr">
        <is>
          <t>Deletion operations are logged and auditable</t>
        </is>
      </c>
      <c r="T35" s="20" t="inlineStr"/>
      <c r="U35" s="21" t="inlineStr"/>
    </row>
    <row r="36">
      <c r="A36" s="18" t="inlineStr">
        <is>
          <t>11.</t>
        </is>
      </c>
      <c r="B36" s="19" t="inlineStr">
        <is>
          <t>Batch deletion procedures exist for large datasets</t>
        </is>
      </c>
      <c r="T36" s="20" t="inlineStr"/>
      <c r="U36" s="21" t="inlineStr"/>
    </row>
    <row r="37">
      <c r="A37" s="18" t="inlineStr">
        <is>
          <t>12.</t>
        </is>
      </c>
      <c r="B37" s="19" t="inlineStr">
        <is>
          <t>Deletion performance tested (large table truncation)</t>
        </is>
      </c>
      <c r="T37" s="20" t="inlineStr"/>
      <c r="U37" s="21" t="inlineStr"/>
    </row>
    <row r="38">
      <c r="A38" s="18" t="inlineStr">
        <is>
          <t>13.</t>
        </is>
      </c>
      <c r="B38" s="19" t="inlineStr">
        <is>
          <t>Database vacuuming/purging reclaims storage space</t>
        </is>
      </c>
      <c r="T38" s="20" t="inlineStr"/>
      <c r="U38" s="21" t="inlineStr"/>
    </row>
    <row r="39">
      <c r="A39" s="18" t="inlineStr">
        <is>
          <t>14.</t>
        </is>
      </c>
      <c r="B39" s="19" t="inlineStr">
        <is>
          <t>Third-party SaaS application deletion verified (see A.8.10.3)</t>
        </is>
      </c>
      <c r="T39" s="20" t="inlineStr"/>
      <c r="U39" s="21" t="inlineStr"/>
    </row>
    <row r="40">
      <c r="A40" s="18" t="inlineStr">
        <is>
          <t>15.</t>
        </is>
      </c>
      <c r="B40" s="19" t="inlineStr">
        <is>
          <t>Deletion operations do not impact system availability</t>
        </is>
      </c>
      <c r="T40" s="20" t="inlineStr"/>
      <c r="U40" s="21" t="inlineStr"/>
    </row>
    <row r="42">
      <c r="A42" s="17" t="inlineStr">
        <is>
          <t>Database Deletion Methods</t>
        </is>
      </c>
    </row>
    <row r="43">
      <c r="A43" s="15" t="inlineStr">
        <is>
          <t>Method</t>
        </is>
      </c>
      <c r="B43" s="15" t="inlineStr">
        <is>
          <t>SQL Example</t>
        </is>
      </c>
      <c r="C43" s="15" t="inlineStr">
        <is>
          <t>Effect</t>
        </is>
      </c>
      <c r="D43" s="15" t="inlineStr">
        <is>
          <t>Storage Reclaimed</t>
        </is>
      </c>
    </row>
    <row r="44">
      <c r="A44" s="22" t="inlineStr">
        <is>
          <t>Logical DELETE</t>
        </is>
      </c>
      <c r="B44" s="22" t="inlineStr">
        <is>
          <t>UPDATE SET deleted=1</t>
        </is>
      </c>
      <c r="C44" s="22" t="inlineStr">
        <is>
          <t>Marks as deleted</t>
        </is>
      </c>
      <c r="D44" s="22" t="inlineStr">
        <is>
          <t>❌ No (until purged)</t>
        </is>
      </c>
    </row>
    <row r="45">
      <c r="A45" s="22" t="inlineStr">
        <is>
          <t>Hard DELETE</t>
        </is>
      </c>
      <c r="B45" s="22" t="inlineStr">
        <is>
          <t>DELETE FROM table</t>
        </is>
      </c>
      <c r="C45" s="22" t="inlineStr">
        <is>
          <t>Removes immediately</t>
        </is>
      </c>
      <c r="D45" s="22" t="inlineStr">
        <is>
          <t>⚠ After VACUUM</t>
        </is>
      </c>
    </row>
    <row r="46">
      <c r="A46" s="22" t="inlineStr">
        <is>
          <t>TRUNCATE</t>
        </is>
      </c>
      <c r="B46" s="22" t="inlineStr">
        <is>
          <t>TRUNCATE TABLE</t>
        </is>
      </c>
      <c r="C46" s="22" t="inlineStr">
        <is>
          <t>Removes all rows</t>
        </is>
      </c>
      <c r="D46" s="22" t="inlineStr">
        <is>
          <t>✅ Immediate</t>
        </is>
      </c>
    </row>
    <row r="47">
      <c r="A47" s="22" t="inlineStr">
        <is>
          <t>DROP TABLE</t>
        </is>
      </c>
      <c r="B47" s="22" t="inlineStr">
        <is>
          <t>DROP TABLE name</t>
        </is>
      </c>
      <c r="C47" s="22" t="inlineStr">
        <is>
          <t>Removes table</t>
        </is>
      </c>
      <c r="D47" s="22" t="inlineStr">
        <is>
          <t>✅ Immediate</t>
        </is>
      </c>
    </row>
    <row r="48">
      <c r="A48" s="22" t="inlineStr">
        <is>
          <t>Purge/Vacuum</t>
        </is>
      </c>
      <c r="B48" s="22" t="inlineStr">
        <is>
          <t>VACUUM (PostgreSQL)</t>
        </is>
      </c>
      <c r="C48" s="22" t="inlineStr">
        <is>
          <t>Reclaims space</t>
        </is>
      </c>
      <c r="D48" s="22" t="inlineStr">
        <is>
          <t>✅ Yes</t>
        </is>
      </c>
    </row>
    <row r="49">
      <c r="A49" s="22" t="inlineStr">
        <is>
          <t>Crypto-Shred</t>
        </is>
      </c>
      <c r="B49" s="22" t="inlineStr">
        <is>
          <t>DROP ENCRYPTION KEY</t>
        </is>
      </c>
      <c r="C49" s="22" t="inlineStr">
        <is>
          <t>Data unreadable</t>
        </is>
      </c>
      <c r="D49" s="22" t="inlineStr">
        <is>
          <t>✅ Immediate (crypto)</t>
        </is>
      </c>
    </row>
    <row r="51">
      <c r="A51" s="17" t="inlineStr">
        <is>
          <t>Referential Integrity Handling</t>
        </is>
      </c>
    </row>
    <row r="52">
      <c r="A52" s="15" t="inlineStr">
        <is>
          <t>Approach</t>
        </is>
      </c>
      <c r="B52" s="15" t="inlineStr">
        <is>
          <t>Implementation</t>
        </is>
      </c>
      <c r="C52" s="15" t="inlineStr">
        <is>
          <t>Pros</t>
        </is>
      </c>
      <c r="D52" s="15" t="inlineStr">
        <is>
          <t>Cons</t>
        </is>
      </c>
    </row>
    <row r="53">
      <c r="A53" s="22" t="inlineStr">
        <is>
          <t>CASCADE DELETE</t>
        </is>
      </c>
      <c r="B53" s="22" t="inlineStr">
        <is>
          <t>ON DELETE CASCADE</t>
        </is>
      </c>
      <c r="C53" s="22" t="inlineStr">
        <is>
          <t>Automatic, consistent</t>
        </is>
      </c>
      <c r="D53" s="22" t="inlineStr">
        <is>
          <t>Risk of unintended deletion</t>
        </is>
      </c>
    </row>
    <row r="54">
      <c r="A54" s="22" t="inlineStr">
        <is>
          <t>SET NULL</t>
        </is>
      </c>
      <c r="B54" s="22" t="inlineStr">
        <is>
          <t>ON DELETE SET NULL</t>
        </is>
      </c>
      <c r="C54" s="22" t="inlineStr">
        <is>
          <t>Preserves child records</t>
        </is>
      </c>
      <c r="D54" s="22" t="inlineStr">
        <is>
          <t>Orphaned records</t>
        </is>
      </c>
    </row>
    <row r="55">
      <c r="A55" s="22" t="inlineStr">
        <is>
          <t>RESTRICT</t>
        </is>
      </c>
      <c r="B55" s="22" t="inlineStr">
        <is>
          <t>ON DELETE RESTRICT</t>
        </is>
      </c>
      <c r="C55" s="22" t="inlineStr">
        <is>
          <t>Prevents accidental deletion</t>
        </is>
      </c>
      <c r="D55" s="22" t="inlineStr">
        <is>
          <t>Manual cleanup required</t>
        </is>
      </c>
    </row>
    <row r="56">
      <c r="A56" s="22" t="inlineStr">
        <is>
          <t>Manual Deletion</t>
        </is>
      </c>
      <c r="B56" s="22" t="inlineStr">
        <is>
          <t>Application handles order</t>
        </is>
      </c>
      <c r="C56" s="22" t="inlineStr">
        <is>
          <t>Full control</t>
        </is>
      </c>
      <c r="D56" s="22" t="inlineStr">
        <is>
          <t>Error-prone, complex</t>
        </is>
      </c>
    </row>
    <row r="58">
      <c r="A58" s="17" t="inlineStr">
        <is>
          <t>EXCEPTIONS / DEVIATIONS</t>
        </is>
      </c>
    </row>
    <row r="59">
      <c r="A59" s="23" t="inlineStr">
        <is>
          <t>Document any exceptions or deviations from requirements here:</t>
        </is>
      </c>
    </row>
    <row r="60"/>
    <row r="61"/>
  </sheetData>
  <mergeCells count="24">
    <mergeCell ref="B39:S39"/>
    <mergeCell ref="A7:U7"/>
    <mergeCell ref="A25:U25"/>
    <mergeCell ref="B38:S38"/>
    <mergeCell ref="B29:S29"/>
    <mergeCell ref="A2:U2"/>
    <mergeCell ref="B34:S34"/>
    <mergeCell ref="B28:S28"/>
    <mergeCell ref="B37:S37"/>
    <mergeCell ref="B40:S40"/>
    <mergeCell ref="A51:D51"/>
    <mergeCell ref="B30:S30"/>
    <mergeCell ref="B33:S33"/>
    <mergeCell ref="B36:S36"/>
    <mergeCell ref="B32:S32"/>
    <mergeCell ref="A59:U61"/>
    <mergeCell ref="A58:U58"/>
    <mergeCell ref="B35:S35"/>
    <mergeCell ref="A4:U6"/>
    <mergeCell ref="B26:S26"/>
    <mergeCell ref="B31:S31"/>
    <mergeCell ref="B27:S27"/>
    <mergeCell ref="A1:U1"/>
    <mergeCell ref="A42:D42"/>
  </mergeCells>
  <dataValidations count="9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D10:D100" showDropDown="0" showInputMessage="0" showErrorMessage="0" allowBlank="1" type="list">
      <formula1>"Logical DELETE (soft delete),Hard DELETE (permanent),TRUNCATE TABLE,DROP TABLE/DATABASE,Purge/Vacuum,Crypto-Shred,Archive then Delete,Other (specify in notes)"</formula1>
    </dataValidation>
    <dataValidation sqref="R10:R100" showDropDown="0" showInputMessage="0" showErrorMessage="0" allowBlank="1" type="list">
      <formula1>"Logical Delete,Hard Delete,Purge,Truncate,Crypto-Shred,Archive then Delete"</formula1>
    </dataValidation>
    <dataValidation sqref="S10:S100" showDropDown="0" showInputMessage="0" showErrorMessage="0" allowBlank="1" type="list">
      <formula1>"Yes - Cascading,Yes - Manual,No,N/A"</formula1>
    </dataValidation>
    <dataValidation sqref="T10:T100" showDropDown="0" showInputMessage="0" showErrorMessage="0" allowBlank="1" type="list">
      <formula1>"Automatic,Manual,Not Implemented,N/A"</formula1>
    </dataValidation>
    <dataValidation sqref="U10:U100" showDropDown="0" showInputMessage="0" showErrorMessage="0" allowBlank="1" type="list">
      <formula1>"Yes - Automated,Yes - Manual,No,N/A"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12" customWidth="1" min="18" max="18"/>
    <col width="20" customWidth="1" min="19" max="19"/>
    <col width="22" customWidth="1" min="20" max="20"/>
    <col width="25" customWidth="1" min="21" max="21"/>
  </cols>
  <sheetData>
    <row r="1" ht="35" customHeight="1">
      <c r="A1" s="11" t="inlineStr">
        <is>
          <t>SHEET 4: CLOUD STORAGE</t>
        </is>
      </c>
    </row>
    <row r="2">
      <c r="A2" s="12" t="inlineStr">
        <is>
          <t>Policy Reference: ISMS-POL-A.8.10-S2.2, Section 2.2.2</t>
        </is>
      </c>
    </row>
    <row r="4">
      <c r="A4" s="13" t="inlineStr">
        <is>
          <t>ASSESSMENT QUESTION:
Can we effectively delete data from cloud storage providers, including all snapshots, backups, and multi-region copies?</t>
        </is>
      </c>
    </row>
    <row r="5"/>
    <row r="6"/>
    <row r="7">
      <c r="A7" s="14" t="inlineStr">
        <is>
          <t>Complete the yellow-highlighted cells below. Use dropdowns where provided. Link evidence in Column N to Evidence Register sheet.</t>
        </is>
      </c>
    </row>
    <row r="9" ht="35" customHeight="1">
      <c r="A9" s="15" t="inlineStr">
        <is>
          <t>Media Type / System Name</t>
        </is>
      </c>
      <c r="B9" s="15" t="inlineStr">
        <is>
          <t>Data Classification</t>
        </is>
      </c>
      <c r="C9" s="15" t="inlineStr">
        <is>
          <t>Owner / Responsible Party</t>
        </is>
      </c>
      <c r="D9" s="15" t="inlineStr">
        <is>
          <t>Deletion Method Used</t>
        </is>
      </c>
      <c r="E9" s="15" t="inlineStr">
        <is>
          <t>Tool/Vendor Used</t>
        </is>
      </c>
      <c r="F9" s="15" t="inlineStr">
        <is>
          <t>Status</t>
        </is>
      </c>
      <c r="G9" s="15" t="inlineStr">
        <is>
          <t>Implementation Date</t>
        </is>
      </c>
      <c r="H9" s="15" t="inlineStr">
        <is>
          <t>Last Effectiveness Test</t>
        </is>
      </c>
      <c r="I9" s="15" t="inlineStr">
        <is>
          <t>Next Test Date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Provider Tier</t>
        </is>
      </c>
      <c r="S9" s="15" t="inlineStr">
        <is>
          <t>Deletion API Available</t>
        </is>
      </c>
      <c r="T9" s="15" t="inlineStr">
        <is>
          <t>Snapshot/Backup Deletion</t>
        </is>
      </c>
      <c r="U9" s="15" t="inlineStr">
        <is>
          <t>Multi-Region Deletion Verified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</row>
    <row r="25">
      <c r="A25" s="17" t="inlineStr">
        <is>
          <t>COMPLIANCE CHECKLIST - Mark ✅ or {XMARK}</t>
        </is>
      </c>
    </row>
    <row r="26">
      <c r="A26" s="18" t="inlineStr">
        <is>
          <t>1.</t>
        </is>
      </c>
      <c r="B26" s="19" t="inlineStr">
        <is>
          <t>All cloud storage providers in use are identified</t>
        </is>
      </c>
      <c r="T26" s="20" t="inlineStr"/>
      <c r="U26" s="21" t="inlineStr"/>
    </row>
    <row r="27">
      <c r="A27" s="18" t="inlineStr">
        <is>
          <t>2.</t>
        </is>
      </c>
      <c r="B27" s="19" t="inlineStr">
        <is>
          <t>Provider tier classification assigned (Tier 1-10 per ISMS-REF-A.5.23)</t>
        </is>
      </c>
      <c r="T27" s="20" t="inlineStr"/>
      <c r="U27" s="21" t="inlineStr"/>
    </row>
    <row r="28">
      <c r="A28" s="18" t="inlineStr">
        <is>
          <t>3.</t>
        </is>
      </c>
      <c r="B28" s="19" t="inlineStr">
        <is>
          <t>Deletion method documented per provider (API, console, support ticket)</t>
        </is>
      </c>
      <c r="T28" s="20" t="inlineStr"/>
      <c r="U28" s="21" t="inlineStr"/>
    </row>
    <row r="29">
      <c r="A29" s="18" t="inlineStr">
        <is>
          <t>4.</t>
        </is>
      </c>
      <c r="B29" s="19" t="inlineStr">
        <is>
          <t>API-based deletion implemented for Tier 1-3 providers (critical)</t>
        </is>
      </c>
      <c r="T29" s="20" t="inlineStr"/>
      <c r="U29" s="21" t="inlineStr"/>
    </row>
    <row r="30">
      <c r="A30" s="18" t="inlineStr">
        <is>
          <t>5.</t>
        </is>
      </c>
      <c r="B30" s="19" t="inlineStr">
        <is>
          <t>Snapshot deletion procedures documented and tested</t>
        </is>
      </c>
      <c r="T30" s="20" t="inlineStr"/>
      <c r="U30" s="21" t="inlineStr"/>
    </row>
    <row r="31">
      <c r="A31" s="18" t="inlineStr">
        <is>
          <t>6.</t>
        </is>
      </c>
      <c r="B31" s="19" t="inlineStr">
        <is>
          <t>Backup deletion timeline documented (may differ from active data)</t>
        </is>
      </c>
      <c r="T31" s="20" t="inlineStr"/>
      <c r="U31" s="21" t="inlineStr"/>
    </row>
    <row r="32">
      <c r="A32" s="18" t="inlineStr">
        <is>
          <t>7.</t>
        </is>
      </c>
      <c r="B32" s="19" t="inlineStr">
        <is>
          <t>Multi-region/multi-zone deletion verified</t>
        </is>
      </c>
      <c r="T32" s="20" t="inlineStr"/>
      <c r="U32" s="21" t="inlineStr"/>
    </row>
    <row r="33">
      <c r="A33" s="18" t="inlineStr">
        <is>
          <t>8.</t>
        </is>
      </c>
      <c r="B33" s="19" t="inlineStr">
        <is>
          <t>Object versioning deletion addressed (S3, GCS, Azure Blob)</t>
        </is>
      </c>
      <c r="T33" s="20" t="inlineStr"/>
      <c r="U33" s="21" t="inlineStr"/>
    </row>
    <row r="34">
      <c r="A34" s="18" t="inlineStr">
        <is>
          <t>9.</t>
        </is>
      </c>
      <c r="B34" s="19" t="inlineStr">
        <is>
          <t>Soft-delete/recycle bin behaviour documented</t>
        </is>
      </c>
      <c r="T34" s="20" t="inlineStr"/>
      <c r="U34" s="21" t="inlineStr"/>
    </row>
    <row r="35">
      <c r="A35" s="18" t="inlineStr">
        <is>
          <t>10.</t>
        </is>
      </c>
      <c r="B35" s="19" t="inlineStr">
        <is>
          <t>Deletion confirmation/verification method exists</t>
        </is>
      </c>
      <c r="T35" s="20" t="inlineStr"/>
      <c r="U35" s="21" t="inlineStr"/>
    </row>
    <row r="36">
      <c r="A36" s="18" t="inlineStr">
        <is>
          <t>11.</t>
        </is>
      </c>
      <c r="B36" s="19" t="inlineStr">
        <is>
          <t>Provider deletion SLA documented (see ISMS-IMP-A.8.10.3)</t>
        </is>
      </c>
      <c r="T36" s="20" t="inlineStr"/>
      <c r="U36" s="21" t="inlineStr"/>
    </row>
    <row r="37">
      <c r="A37" s="18" t="inlineStr">
        <is>
          <t>12.</t>
        </is>
      </c>
      <c r="B37" s="19" t="inlineStr">
        <is>
          <t>Cryptographic erasure option evaluated (customer-managed keys)</t>
        </is>
      </c>
      <c r="T37" s="20" t="inlineStr"/>
      <c r="U37" s="21" t="inlineStr"/>
    </row>
    <row r="38">
      <c r="A38" s="18" t="inlineStr">
        <is>
          <t>13.</t>
        </is>
      </c>
      <c r="B38" s="19" t="inlineStr">
        <is>
          <t>Account closure deletion behaviour documented</t>
        </is>
      </c>
      <c r="T38" s="20" t="inlineStr"/>
      <c r="U38" s="21" t="inlineStr"/>
    </row>
    <row r="39">
      <c r="A39" s="18" t="inlineStr">
        <is>
          <t>14.</t>
        </is>
      </c>
      <c r="B39" s="19" t="inlineStr">
        <is>
          <t>Cross-provider data deletion coordinated (if data replicated)</t>
        </is>
      </c>
      <c r="T39" s="20" t="inlineStr"/>
      <c r="U39" s="21" t="inlineStr"/>
    </row>
    <row r="40">
      <c r="A40" s="18" t="inlineStr">
        <is>
          <t>15.</t>
        </is>
      </c>
      <c r="B40" s="19" t="inlineStr">
        <is>
          <t>Cloud deletion events logged and monitored</t>
        </is>
      </c>
      <c r="T40" s="20" t="inlineStr"/>
      <c r="U40" s="21" t="inlineStr"/>
    </row>
    <row r="42">
      <c r="A42" s="17" t="inlineStr">
        <is>
          <t>Major Cloud Provider Deletion Methods</t>
        </is>
      </c>
    </row>
    <row r="43">
      <c r="A43" s="15" t="inlineStr">
        <is>
          <t>Provider</t>
        </is>
      </c>
      <c r="B43" s="15" t="inlineStr">
        <is>
          <t>Service</t>
        </is>
      </c>
      <c r="C43" s="15" t="inlineStr">
        <is>
          <t>Deletion Method</t>
        </is>
      </c>
      <c r="D43" s="15" t="inlineStr">
        <is>
          <t>Multi-Region</t>
        </is>
      </c>
    </row>
    <row r="44">
      <c r="A44" s="22" t="inlineStr">
        <is>
          <t>AWS</t>
        </is>
      </c>
      <c r="B44" s="22" t="inlineStr">
        <is>
          <t>S3</t>
        </is>
      </c>
      <c r="C44" s="22" t="inlineStr">
        <is>
          <t>DELETE API, Lifecycle Policy</t>
        </is>
      </c>
      <c r="D44" s="22" t="inlineStr">
        <is>
          <t>✅ Per region</t>
        </is>
      </c>
    </row>
    <row r="45">
      <c r="A45" s="22" t="inlineStr">
        <is>
          <t>AWS</t>
        </is>
      </c>
      <c r="B45" s="22" t="inlineStr">
        <is>
          <t>EBS</t>
        </is>
      </c>
      <c r="C45" s="22" t="inlineStr">
        <is>
          <t>DeleteVolume API</t>
        </is>
      </c>
      <c r="D45" s="22" t="inlineStr">
        <is>
          <t>✅ Per region</t>
        </is>
      </c>
    </row>
    <row r="46">
      <c r="A46" s="22" t="inlineStr">
        <is>
          <t>Azure</t>
        </is>
      </c>
      <c r="B46" s="22" t="inlineStr">
        <is>
          <t>Blob Storage</t>
        </is>
      </c>
      <c r="C46" s="22" t="inlineStr">
        <is>
          <t>Delete API, Lifecycle</t>
        </is>
      </c>
      <c r="D46" s="22" t="inlineStr">
        <is>
          <t>✅ Per region</t>
        </is>
      </c>
    </row>
    <row r="47">
      <c r="A47" s="22" t="inlineStr">
        <is>
          <t>Azure</t>
        </is>
      </c>
      <c r="B47" s="22" t="inlineStr">
        <is>
          <t>Managed Disk</t>
        </is>
      </c>
      <c r="C47" s="22" t="inlineStr">
        <is>
          <t>Delete API</t>
        </is>
      </c>
      <c r="D47" s="22" t="inlineStr">
        <is>
          <t>✅ Per region</t>
        </is>
      </c>
    </row>
    <row r="48">
      <c r="A48" s="22" t="inlineStr">
        <is>
          <t>GCP</t>
        </is>
      </c>
      <c r="B48" s="22" t="inlineStr">
        <is>
          <t>Cloud Storage</t>
        </is>
      </c>
      <c r="C48" s="22" t="inlineStr">
        <is>
          <t>DELETE API, Lifecycle</t>
        </is>
      </c>
      <c r="D48" s="22" t="inlineStr">
        <is>
          <t>✅ Per region</t>
        </is>
      </c>
    </row>
    <row r="49">
      <c r="A49" s="22" t="inlineStr">
        <is>
          <t>GCP</t>
        </is>
      </c>
      <c r="B49" s="22" t="inlineStr">
        <is>
          <t>Persistent Disk</t>
        </is>
      </c>
      <c r="C49" s="22" t="inlineStr">
        <is>
          <t>Delete API</t>
        </is>
      </c>
      <c r="D49" s="22" t="inlineStr">
        <is>
          <t>✅ Per region</t>
        </is>
      </c>
    </row>
    <row r="51">
      <c r="A51" s="17" t="inlineStr">
        <is>
          <t>Cloud Deletion Challenges</t>
        </is>
      </c>
    </row>
    <row r="52">
      <c r="A52" s="15" t="inlineStr">
        <is>
          <t>Challenge</t>
        </is>
      </c>
      <c r="B52" s="15" t="inlineStr">
        <is>
          <t>Description</t>
        </is>
      </c>
      <c r="C52" s="15" t="inlineStr">
        <is>
          <t>Mitigation</t>
        </is>
      </c>
    </row>
    <row r="53">
      <c r="A53" s="22" t="inlineStr">
        <is>
          <t>Soft Delete / Recycle Bin</t>
        </is>
      </c>
      <c r="B53" s="22" t="inlineStr">
        <is>
          <t>Data retained 30-90 days</t>
        </is>
      </c>
      <c r="C53" s="22" t="inlineStr">
        <is>
          <t>Purge recycle bin explicitly</t>
        </is>
      </c>
    </row>
    <row r="54">
      <c r="A54" s="22" t="inlineStr">
        <is>
          <t>Object Versioning</t>
        </is>
      </c>
      <c r="B54" s="22" t="inlineStr">
        <is>
          <t>Previous versions retained</t>
        </is>
      </c>
      <c r="C54" s="22" t="inlineStr">
        <is>
          <t>Delete all versions</t>
        </is>
      </c>
    </row>
    <row r="55">
      <c r="A55" s="22" t="inlineStr">
        <is>
          <t>Snapshots / Backups</t>
        </is>
      </c>
      <c r="B55" s="22" t="inlineStr">
        <is>
          <t>Persist after source deletion</t>
        </is>
      </c>
      <c r="C55" s="22" t="inlineStr">
        <is>
          <t>Lifecycle policy or manual</t>
        </is>
      </c>
    </row>
    <row r="56">
      <c r="A56" s="22" t="inlineStr">
        <is>
          <t>Multi-Region Replication</t>
        </is>
      </c>
      <c r="B56" s="22" t="inlineStr">
        <is>
          <t>Data in multiple regions</t>
        </is>
      </c>
      <c r="C56" s="22" t="inlineStr">
        <is>
          <t>Region-by-region deletion</t>
        </is>
      </c>
    </row>
    <row r="57">
      <c r="A57" s="22" t="inlineStr">
        <is>
          <t>Delayed Deletion</t>
        </is>
      </c>
      <c r="B57" s="22" t="inlineStr">
        <is>
          <t>Provider may not delete immediately</t>
        </is>
      </c>
      <c r="C57" s="22" t="inlineStr">
        <is>
          <t>Document SLA, confirm</t>
        </is>
      </c>
    </row>
    <row r="59">
      <c r="A59" s="17" t="inlineStr">
        <is>
          <t>EXCEPTIONS / DEVIATIONS</t>
        </is>
      </c>
    </row>
    <row r="60">
      <c r="A60" s="23" t="inlineStr">
        <is>
          <t>Document any exceptions or deviations from requirements here:</t>
        </is>
      </c>
    </row>
    <row r="61"/>
    <row r="62"/>
  </sheetData>
  <mergeCells count="24">
    <mergeCell ref="B39:S39"/>
    <mergeCell ref="A7:U7"/>
    <mergeCell ref="A25:U25"/>
    <mergeCell ref="A60:U62"/>
    <mergeCell ref="B38:S38"/>
    <mergeCell ref="B29:S29"/>
    <mergeCell ref="A2:U2"/>
    <mergeCell ref="B34:S34"/>
    <mergeCell ref="B28:S28"/>
    <mergeCell ref="B37:S37"/>
    <mergeCell ref="B40:S40"/>
    <mergeCell ref="B30:S30"/>
    <mergeCell ref="B33:S33"/>
    <mergeCell ref="B36:S36"/>
    <mergeCell ref="B32:S32"/>
    <mergeCell ref="B35:S35"/>
    <mergeCell ref="A4:U6"/>
    <mergeCell ref="B26:S26"/>
    <mergeCell ref="A51:C51"/>
    <mergeCell ref="A59:U59"/>
    <mergeCell ref="B31:S31"/>
    <mergeCell ref="B27:S27"/>
    <mergeCell ref="A1:U1"/>
    <mergeCell ref="A42:D42"/>
  </mergeCells>
  <dataValidations count="9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D10:D100" showDropDown="0" showInputMessage="0" showErrorMessage="0" allowBlank="1" type="list">
      <formula1>"Cloud Provider API Delete,Cloud Lifecycle Policy,Manual Console Delete,Crypto-Shred (Key Deletion),Account Closure,Other (specify in notes)"</formula1>
    </dataValidation>
    <dataValidation sqref="R10:R100" showDropDown="0" showInputMessage="0" showErrorMessage="0" allowBlank="1" type="list">
      <formula1>"Tier 1,Tier 2,Tier 3,Tier 4,Tier 5,Tier 6,Tier 7,Tier 8,Tier 9,Tier 10"</formula1>
    </dataValidation>
    <dataValidation sqref="S10:S100" showDropDown="0" showInputMessage="0" showErrorMessage="0" allowBlank="1" type="list">
      <formula1>"Yes - Automated,Yes - Manual,No,Unknown"</formula1>
    </dataValidation>
    <dataValidation sqref="T10:T100" showDropDown="0" showInputMessage="0" showErrorMessage="0" allowBlank="1" type="list">
      <formula1>"Automatic,Manual,Unknown,N/A"</formula1>
    </dataValidation>
    <dataValidation sqref="U10:U100" showDropDown="0" showInputMessage="0" showErrorMessage="0" allowBlank="1" type="list">
      <formula1>"Yes,No,N/A,Unknown"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 ht="35" customHeight="1">
      <c r="A1" s="11" t="inlineStr">
        <is>
          <t>SHEET 5: FILE SYSTEMS &amp; BACKUP MEDIA</t>
        </is>
      </c>
    </row>
    <row r="2">
      <c r="A2" s="12" t="inlineStr">
        <is>
          <t>Policy Reference: ISMS-POL-A.8.10-S2.2, Section 2.2.4</t>
        </is>
      </c>
    </row>
    <row r="4">
      <c r="A4" s="13" t="inlineStr">
        <is>
          <t>ASSESSMENT QUESTION:
Can we securely delete data from file systems, network storage, and backup media?</t>
        </is>
      </c>
    </row>
    <row r="5"/>
    <row r="6"/>
    <row r="7">
      <c r="A7" s="14" t="inlineStr">
        <is>
          <t>Complete the yellow-highlighted cells below. Use dropdowns where provided. Link evidence in Column N to Evidence Register sheet.</t>
        </is>
      </c>
    </row>
    <row r="9" ht="35" customHeight="1">
      <c r="A9" s="15" t="inlineStr">
        <is>
          <t>Media Type / System Name</t>
        </is>
      </c>
      <c r="B9" s="15" t="inlineStr">
        <is>
          <t>Data Classification</t>
        </is>
      </c>
      <c r="C9" s="15" t="inlineStr">
        <is>
          <t>Owner / Responsible Party</t>
        </is>
      </c>
      <c r="D9" s="15" t="inlineStr">
        <is>
          <t>Deletion Method Used</t>
        </is>
      </c>
      <c r="E9" s="15" t="inlineStr">
        <is>
          <t>Tool/Vendor Used</t>
        </is>
      </c>
      <c r="F9" s="15" t="inlineStr">
        <is>
          <t>Status</t>
        </is>
      </c>
      <c r="G9" s="15" t="inlineStr">
        <is>
          <t>Implementation Date</t>
        </is>
      </c>
      <c r="H9" s="15" t="inlineStr">
        <is>
          <t>Last Effectiveness Test</t>
        </is>
      </c>
      <c r="I9" s="15" t="inlineStr">
        <is>
          <t>Next Test Date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Device Type</t>
        </is>
      </c>
      <c r="S9" s="15" t="inlineStr">
        <is>
          <t>MDM Solution Used</t>
        </is>
      </c>
      <c r="T9" s="15" t="inlineStr">
        <is>
          <t>Remote Wipe Capability</t>
        </is>
      </c>
      <c r="U9" s="15" t="inlineStr">
        <is>
          <t>Full Disk Encryption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</row>
    <row r="25">
      <c r="A25" s="17" t="inlineStr">
        <is>
          <t>COMPLIANCE CHECKLIST - Mark ✅ or {XMARK}</t>
        </is>
      </c>
    </row>
    <row r="26">
      <c r="A26" s="18" t="inlineStr">
        <is>
          <t>1.</t>
        </is>
      </c>
      <c r="B26" s="19" t="inlineStr">
        <is>
          <t>All endpoint device types documented (laptops, desktops, mobiles, tablets)</t>
        </is>
      </c>
      <c r="T26" s="20" t="inlineStr"/>
      <c r="U26" s="21" t="inlineStr"/>
    </row>
    <row r="27">
      <c r="A27" s="18" t="inlineStr">
        <is>
          <t>2.</t>
        </is>
      </c>
      <c r="B27" s="19" t="inlineStr">
        <is>
          <t>Corporate vs BYOD devices identified</t>
        </is>
      </c>
      <c r="T27" s="20" t="inlineStr"/>
      <c r="U27" s="21" t="inlineStr"/>
    </row>
    <row r="28">
      <c r="A28" s="18" t="inlineStr">
        <is>
          <t>3.</t>
        </is>
      </c>
      <c r="B28" s="19" t="inlineStr">
        <is>
          <t>Mobile Device Management (MDM) solution deployed</t>
        </is>
      </c>
      <c r="T28" s="20" t="inlineStr"/>
      <c r="U28" s="21" t="inlineStr"/>
    </row>
    <row r="29">
      <c r="A29" s="18" t="inlineStr">
        <is>
          <t>4.</t>
        </is>
      </c>
      <c r="B29" s="19" t="inlineStr">
        <is>
          <t>Remote wipe capability tested and functional</t>
        </is>
      </c>
      <c r="T29" s="20" t="inlineStr"/>
      <c r="U29" s="21" t="inlineStr"/>
    </row>
    <row r="30">
      <c r="A30" s="18" t="inlineStr">
        <is>
          <t>5.</t>
        </is>
      </c>
      <c r="B30" s="19" t="inlineStr">
        <is>
          <t>Full disk encryption (FDE) enabled on all corporate devices</t>
        </is>
      </c>
      <c r="T30" s="20" t="inlineStr"/>
      <c r="U30" s="21" t="inlineStr"/>
    </row>
    <row r="31">
      <c r="A31" s="18" t="inlineStr">
        <is>
          <t>6.</t>
        </is>
      </c>
      <c r="B31" s="19" t="inlineStr">
        <is>
          <t>Factory reset procedures documented</t>
        </is>
      </c>
      <c r="T31" s="20" t="inlineStr"/>
      <c r="U31" s="21" t="inlineStr"/>
    </row>
    <row r="32">
      <c r="A32" s="18" t="inlineStr">
        <is>
          <t>7.</t>
        </is>
      </c>
      <c r="B32" s="19" t="inlineStr">
        <is>
          <t>BYOD partial wipe capability (corporate data only)</t>
        </is>
      </c>
      <c r="T32" s="20" t="inlineStr"/>
      <c r="U32" s="21" t="inlineStr"/>
    </row>
    <row r="33">
      <c r="A33" s="18" t="inlineStr">
        <is>
          <t>8.</t>
        </is>
      </c>
      <c r="B33" s="19" t="inlineStr">
        <is>
          <t>Device encryption keys managed (BitLocker, FileVault, etc.)</t>
        </is>
      </c>
      <c r="T33" s="20" t="inlineStr"/>
      <c r="U33" s="21" t="inlineStr"/>
    </row>
    <row r="34">
      <c r="A34" s="18" t="inlineStr">
        <is>
          <t>9.</t>
        </is>
      </c>
      <c r="B34" s="19" t="inlineStr">
        <is>
          <t>Lost/stolen device wipe procedures exist</t>
        </is>
      </c>
      <c r="T34" s="20" t="inlineStr"/>
      <c r="U34" s="21" t="inlineStr"/>
    </row>
    <row r="35">
      <c r="A35" s="18" t="inlineStr">
        <is>
          <t>10.</t>
        </is>
      </c>
      <c r="B35" s="19" t="inlineStr">
        <is>
          <t>Employee offboarding triggers device wipe</t>
        </is>
      </c>
      <c r="T35" s="20" t="inlineStr"/>
      <c r="U35" s="21" t="inlineStr"/>
    </row>
    <row r="36">
      <c r="A36" s="18" t="inlineStr">
        <is>
          <t>11.</t>
        </is>
      </c>
      <c r="B36" s="19" t="inlineStr">
        <is>
          <t>BYOD app containerization supports selective wipe</t>
        </is>
      </c>
      <c r="T36" s="20" t="inlineStr"/>
      <c r="U36" s="21" t="inlineStr"/>
    </row>
    <row r="37">
      <c r="A37" s="18" t="inlineStr">
        <is>
          <t>12.</t>
        </is>
      </c>
      <c r="B37" s="19" t="inlineStr">
        <is>
          <t>Physical device destruction procedures (end-of-life)</t>
        </is>
      </c>
      <c r="T37" s="20" t="inlineStr"/>
      <c r="U37" s="21" t="inlineStr"/>
    </row>
    <row r="38">
      <c r="A38" s="18" t="inlineStr">
        <is>
          <t>13.</t>
        </is>
      </c>
      <c r="B38" s="19" t="inlineStr">
        <is>
          <t>Deletion verification for returned devices</t>
        </is>
      </c>
      <c r="T38" s="20" t="inlineStr"/>
      <c r="U38" s="21" t="inlineStr"/>
    </row>
    <row r="39">
      <c r="A39" s="18" t="inlineStr">
        <is>
          <t>14.</t>
        </is>
      </c>
      <c r="B39" s="19" t="inlineStr">
        <is>
          <t>MDM logs capture wipe commands and confirmations</t>
        </is>
      </c>
      <c r="T39" s="20" t="inlineStr"/>
      <c r="U39" s="21" t="inlineStr"/>
    </row>
    <row r="40">
      <c r="A40" s="18" t="inlineStr">
        <is>
          <t>15.</t>
        </is>
      </c>
      <c r="B40" s="19" t="inlineStr">
        <is>
          <t>Crypto-erasure supported (FDE key deletion)</t>
        </is>
      </c>
      <c r="T40" s="20" t="inlineStr"/>
      <c r="U40" s="21" t="inlineStr"/>
    </row>
    <row r="42">
      <c r="A42" s="17" t="inlineStr">
        <is>
          <t>Device Deletion Methods</t>
        </is>
      </c>
    </row>
    <row r="43">
      <c r="A43" s="15" t="inlineStr">
        <is>
          <t>Device Type</t>
        </is>
      </c>
      <c r="B43" s="15" t="inlineStr">
        <is>
          <t>Deletion Method</t>
        </is>
      </c>
      <c r="C43" s="15" t="inlineStr">
        <is>
          <t>Effectiveness</t>
        </is>
      </c>
      <c r="D43" s="15" t="inlineStr">
        <is>
          <t>Requirements</t>
        </is>
      </c>
    </row>
    <row r="44">
      <c r="A44" s="22" t="inlineStr">
        <is>
          <t>Corporate Laptop (Windows)</t>
        </is>
      </c>
      <c r="B44" s="22" t="inlineStr">
        <is>
          <t>BitLocker + Format</t>
        </is>
      </c>
      <c r="C44" s="22" t="inlineStr">
        <is>
          <t>High</t>
        </is>
      </c>
      <c r="D44" s="22" t="inlineStr">
        <is>
          <t>BitLocker enabled</t>
        </is>
      </c>
    </row>
    <row r="45">
      <c r="A45" s="22" t="inlineStr">
        <is>
          <t>Corporate Laptop (macOS)</t>
        </is>
      </c>
      <c r="B45" s="22" t="inlineStr">
        <is>
          <t>FileVault + Erase</t>
        </is>
      </c>
      <c r="C45" s="22" t="inlineStr">
        <is>
          <t>High</t>
        </is>
      </c>
      <c r="D45" s="22" t="inlineStr">
        <is>
          <t>FileVault enabled</t>
        </is>
      </c>
    </row>
    <row r="46">
      <c r="A46" s="22" t="inlineStr">
        <is>
          <t>Corporate Mobile (iOS)</t>
        </is>
      </c>
      <c r="B46" s="22" t="inlineStr">
        <is>
          <t>MDM Remote Wipe</t>
        </is>
      </c>
      <c r="C46" s="22" t="inlineStr">
        <is>
          <t>Very High</t>
        </is>
      </c>
      <c r="D46" s="22" t="inlineStr">
        <is>
          <t>MDM enrollment</t>
        </is>
      </c>
    </row>
    <row r="47">
      <c r="A47" s="22" t="inlineStr">
        <is>
          <t>Corporate Mobile (Android)</t>
        </is>
      </c>
      <c r="B47" s="22" t="inlineStr">
        <is>
          <t>MDM Remote Wipe</t>
        </is>
      </c>
      <c r="C47" s="22" t="inlineStr">
        <is>
          <t>High</t>
        </is>
      </c>
      <c r="D47" s="22" t="inlineStr">
        <is>
          <t>MDM + FDE</t>
        </is>
      </c>
    </row>
    <row r="48">
      <c r="A48" s="22" t="inlineStr">
        <is>
          <t>BYOD Mobile</t>
        </is>
      </c>
      <c r="B48" s="22" t="inlineStr">
        <is>
          <t>MDM Selective Wipe</t>
        </is>
      </c>
      <c r="C48" s="22" t="inlineStr">
        <is>
          <t>Medium</t>
        </is>
      </c>
      <c r="D48" s="22" t="inlineStr">
        <is>
          <t>MDM + containerization</t>
        </is>
      </c>
    </row>
    <row r="49">
      <c r="A49" s="22" t="inlineStr">
        <is>
          <t>Desktop Workstation</t>
        </is>
      </c>
      <c r="B49" s="22" t="inlineStr">
        <is>
          <t>Overwrite or Destroy</t>
        </is>
      </c>
      <c r="C49" s="22" t="inlineStr">
        <is>
          <t>High</t>
        </is>
      </c>
      <c r="D49" s="22" t="inlineStr">
        <is>
          <t>Depends on storage type</t>
        </is>
      </c>
    </row>
    <row r="51">
      <c r="A51" s="17" t="inlineStr">
        <is>
          <t>Full Disk Encryption (FDE) Support</t>
        </is>
      </c>
    </row>
    <row r="52">
      <c r="A52" s="15" t="inlineStr">
        <is>
          <t>Operating System</t>
        </is>
      </c>
      <c r="B52" s="15" t="inlineStr">
        <is>
          <t>FDE Solution</t>
        </is>
      </c>
      <c r="C52" s="15" t="inlineStr">
        <is>
          <t>Crypto-Erase Method</t>
        </is>
      </c>
    </row>
    <row r="53">
      <c r="A53" s="22" t="inlineStr">
        <is>
          <t>Windows 10/11</t>
        </is>
      </c>
      <c r="B53" s="22" t="inlineStr">
        <is>
          <t>BitLocker</t>
        </is>
      </c>
      <c r="C53" s="22" t="inlineStr">
        <is>
          <t>Delete recovery key</t>
        </is>
      </c>
    </row>
    <row r="54">
      <c r="A54" s="22" t="inlineStr">
        <is>
          <t>macOS</t>
        </is>
      </c>
      <c r="B54" s="22" t="inlineStr">
        <is>
          <t>FileVault 2</t>
        </is>
      </c>
      <c r="C54" s="22" t="inlineStr">
        <is>
          <t>Delete recovery key</t>
        </is>
      </c>
    </row>
    <row r="55">
      <c r="A55" s="22" t="inlineStr">
        <is>
          <t>Linux</t>
        </is>
      </c>
      <c r="B55" s="22" t="inlineStr">
        <is>
          <t>LUKS (dm-crypt)</t>
        </is>
      </c>
      <c r="C55" s="22" t="inlineStr">
        <is>
          <t>Delete LUKS header</t>
        </is>
      </c>
    </row>
    <row r="56">
      <c r="A56" s="22" t="inlineStr">
        <is>
          <t>iOS</t>
        </is>
      </c>
      <c r="B56" s="22" t="inlineStr">
        <is>
          <t>Built-in (always on)</t>
        </is>
      </c>
      <c r="C56" s="22" t="inlineStr">
        <is>
          <t>Factory reset (key deleted)</t>
        </is>
      </c>
    </row>
    <row r="57">
      <c r="A57" s="22" t="inlineStr">
        <is>
          <t>Android</t>
        </is>
      </c>
      <c r="B57" s="22" t="inlineStr">
        <is>
          <t>File-Based Encryption</t>
        </is>
      </c>
      <c r="C57" s="22" t="inlineStr">
        <is>
          <t>Factory reset (key deleted)</t>
        </is>
      </c>
    </row>
    <row r="59">
      <c r="A59" s="17" t="inlineStr">
        <is>
          <t>EXCEPTIONS / DEVIATIONS</t>
        </is>
      </c>
    </row>
    <row r="60">
      <c r="A60" s="23" t="inlineStr">
        <is>
          <t>Document any exceptions or deviations from requirements here:</t>
        </is>
      </c>
    </row>
    <row r="61"/>
    <row r="62"/>
  </sheetData>
  <mergeCells count="24">
    <mergeCell ref="B39:S39"/>
    <mergeCell ref="A7:U7"/>
    <mergeCell ref="A25:U25"/>
    <mergeCell ref="A60:U62"/>
    <mergeCell ref="B38:S38"/>
    <mergeCell ref="B29:S29"/>
    <mergeCell ref="A2:U2"/>
    <mergeCell ref="B34:S34"/>
    <mergeCell ref="B28:S28"/>
    <mergeCell ref="B37:S37"/>
    <mergeCell ref="B40:S40"/>
    <mergeCell ref="B30:S30"/>
    <mergeCell ref="B33:S33"/>
    <mergeCell ref="B36:S36"/>
    <mergeCell ref="B32:S32"/>
    <mergeCell ref="B35:S35"/>
    <mergeCell ref="A4:U6"/>
    <mergeCell ref="B26:S26"/>
    <mergeCell ref="A51:C51"/>
    <mergeCell ref="A59:U59"/>
    <mergeCell ref="B31:S31"/>
    <mergeCell ref="B27:S27"/>
    <mergeCell ref="A1:U1"/>
    <mergeCell ref="A42:D42"/>
  </mergeCells>
  <dataValidations count="8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D10:D100" showDropDown="0" showInputMessage="0" showErrorMessage="0" allowBlank="1" type="list">
      <formula1>"Factory Reset,MDM Remote Wipe,Full Disk Encryption + Format,Secure Erase,Physical Destruction,Other (specify in notes)"</formula1>
    </dataValidation>
    <dataValidation sqref="R10:R100" showDropDown="0" showInputMessage="0" showErrorMessage="0" allowBlank="1" type="list">
      <formula1>"Corporate Laptop,Corporate Mobile,BYOD Laptop,BYOD Mobile,Tablet,Other"</formula1>
    </dataValidation>
    <dataValidation sqref="T10:T100" showDropDown="0" showInputMessage="0" showErrorMessage="0" allowBlank="1" type="list">
      <formula1>"Yes - Tested,Yes - Untested,No,N/A"</formula1>
    </dataValidation>
    <dataValidation sqref="U10:U100" showDropDown="0" showInputMessage="0" showErrorMessage="0" allowBlank="1" type="list">
      <formula1>"Yes - BitLocker,Yes - FileVault,Yes - LUKS,Yes - Other,No"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5" customWidth="1" min="4" max="4"/>
    <col width="20" customWidth="1" min="5" max="5"/>
    <col width="18" customWidth="1" min="6" max="6"/>
    <col width="12" customWidth="1" min="7" max="7"/>
    <col width="12" customWidth="1" min="8" max="8"/>
    <col width="12" customWidth="1" min="9" max="9"/>
    <col width="25" customWidth="1" min="10" max="10"/>
    <col width="25" customWidth="1" min="11" max="11"/>
    <col width="12" customWidth="1" min="12" max="12"/>
    <col width="12" customWidth="1" min="13" max="13"/>
    <col width="20" customWidth="1" min="14" max="14"/>
    <col width="25" customWidth="1" min="15" max="15"/>
    <col width="18" customWidth="1" min="16" max="16"/>
    <col width="15" customWidth="1" min="17" max="17"/>
    <col width="18" customWidth="1" min="18" max="18"/>
    <col width="22" customWidth="1" min="19" max="19"/>
    <col width="22" customWidth="1" min="20" max="20"/>
    <col width="18" customWidth="1" min="21" max="21"/>
  </cols>
  <sheetData>
    <row r="1" ht="35" customHeight="1">
      <c r="A1" s="11" t="inlineStr">
        <is>
          <t>SHEET 6: DELETION VERIFICATION TESTING</t>
        </is>
      </c>
    </row>
    <row r="2">
      <c r="A2" s="12" t="inlineStr">
        <is>
          <t>Policy Reference: ISMS-POL-A.8.10-S2.2, Section 2.2.5</t>
        </is>
      </c>
    </row>
    <row r="4">
      <c r="A4" s="13" t="inlineStr">
        <is>
          <t>ASSESSMENT QUESTION:
Do we regularly test our deletion methods using forensic tools to verify effectiveness, and do we remediate failed tests?</t>
        </is>
      </c>
    </row>
    <row r="5"/>
    <row r="6"/>
    <row r="7">
      <c r="A7" s="14" t="inlineStr">
        <is>
          <t>Complete the yellow-highlighted cells below. Use dropdowns where provided. Link evidence in Column N to Evidence Register sheet.</t>
        </is>
      </c>
    </row>
    <row r="9" ht="35" customHeight="1">
      <c r="A9" s="15" t="inlineStr">
        <is>
          <t>Media Type / System Name</t>
        </is>
      </c>
      <c r="B9" s="15" t="inlineStr">
        <is>
          <t>Data Classification</t>
        </is>
      </c>
      <c r="C9" s="15" t="inlineStr">
        <is>
          <t>Owner / Responsible Party</t>
        </is>
      </c>
      <c r="D9" s="15" t="inlineStr">
        <is>
          <t>Deletion Method Used</t>
        </is>
      </c>
      <c r="E9" s="15" t="inlineStr">
        <is>
          <t>Tool/Vendor Used</t>
        </is>
      </c>
      <c r="F9" s="15" t="inlineStr">
        <is>
          <t>Status</t>
        </is>
      </c>
      <c r="G9" s="15" t="inlineStr">
        <is>
          <t>Implementation Date</t>
        </is>
      </c>
      <c r="H9" s="15" t="inlineStr">
        <is>
          <t>Last Effectiveness Test</t>
        </is>
      </c>
      <c r="I9" s="15" t="inlineStr">
        <is>
          <t>Next Test Date</t>
        </is>
      </c>
      <c r="J9" s="15" t="inlineStr">
        <is>
          <t>Gap Identified</t>
        </is>
      </c>
      <c r="K9" s="15" t="inlineStr">
        <is>
          <t>Remediation Plan</t>
        </is>
      </c>
      <c r="L9" s="15" t="inlineStr">
        <is>
          <t>Target Completion</t>
        </is>
      </c>
      <c r="M9" s="15" t="inlineStr">
        <is>
          <t>Risk Level</t>
        </is>
      </c>
      <c r="N9" s="15" t="inlineStr">
        <is>
          <t>Evidence Reference</t>
        </is>
      </c>
      <c r="O9" s="15" t="inlineStr">
        <is>
          <t>Notes / Comments</t>
        </is>
      </c>
      <c r="P9" s="15" t="inlineStr">
        <is>
          <t>Remediation Owner</t>
        </is>
      </c>
      <c r="Q9" s="15" t="inlineStr">
        <is>
          <t>Budget Required</t>
        </is>
      </c>
      <c r="R9" s="15" t="inlineStr">
        <is>
          <t>Test Frequency</t>
        </is>
      </c>
      <c r="S9" s="15" t="inlineStr">
        <is>
          <t>Forensic Tool Used</t>
        </is>
      </c>
      <c r="T9" s="15" t="inlineStr">
        <is>
          <t>Pass Rate (Last 12 Months)</t>
        </is>
      </c>
      <c r="U9" s="15" t="inlineStr">
        <is>
          <t>Independent Testing</t>
        </is>
      </c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</row>
    <row r="25">
      <c r="A25" s="17" t="inlineStr">
        <is>
          <t>COMPLIANCE CHECKLIST - Mark ✅ or {XMARK}</t>
        </is>
      </c>
    </row>
    <row r="26">
      <c r="A26" s="18" t="inlineStr">
        <is>
          <t>1.</t>
        </is>
      </c>
      <c r="B26" s="19" t="inlineStr">
        <is>
          <t>Annual forensic testing of deletion methods is scheduled</t>
        </is>
      </c>
      <c r="T26" s="20" t="inlineStr"/>
      <c r="U26" s="21" t="inlineStr"/>
    </row>
    <row r="27">
      <c r="A27" s="18" t="inlineStr">
        <is>
          <t>2.</t>
        </is>
      </c>
      <c r="B27" s="19" t="inlineStr">
        <is>
          <t>Representative sample of media types tested</t>
        </is>
      </c>
      <c r="T27" s="20" t="inlineStr"/>
      <c r="U27" s="21" t="inlineStr"/>
    </row>
    <row r="28">
      <c r="A28" s="18" t="inlineStr">
        <is>
          <t>3.</t>
        </is>
      </c>
      <c r="B28" s="19" t="inlineStr">
        <is>
          <t>Forensic recovery tools used (EnCase, FTK, Autopsy, etc.)</t>
        </is>
      </c>
      <c r="T28" s="20" t="inlineStr"/>
      <c r="U28" s="21" t="inlineStr"/>
    </row>
    <row r="29">
      <c r="A29" s="18" t="inlineStr">
        <is>
          <t>4.</t>
        </is>
      </c>
      <c r="B29" s="19" t="inlineStr">
        <is>
          <t>Pass/fail criteria defined (no data recovery = pass)</t>
        </is>
      </c>
      <c r="T29" s="20" t="inlineStr"/>
      <c r="U29" s="21" t="inlineStr"/>
    </row>
    <row r="30">
      <c r="A30" s="18" t="inlineStr">
        <is>
          <t>5.</t>
        </is>
      </c>
      <c r="B30" s="19" t="inlineStr">
        <is>
          <t>Failed tests trigger immediate investigation and remediation</t>
        </is>
      </c>
      <c r="T30" s="20" t="inlineStr"/>
      <c r="U30" s="21" t="inlineStr"/>
    </row>
    <row r="31">
      <c r="A31" s="18" t="inlineStr">
        <is>
          <t>6.</t>
        </is>
      </c>
      <c r="B31" s="19" t="inlineStr">
        <is>
          <t>Testing covers all NIST method types (Clear, Purge, Destroy)</t>
        </is>
      </c>
      <c r="T31" s="20" t="inlineStr"/>
      <c r="U31" s="21" t="inlineStr"/>
    </row>
    <row r="32">
      <c r="A32" s="18" t="inlineStr">
        <is>
          <t>7.</t>
        </is>
      </c>
      <c r="B32" s="19" t="inlineStr">
        <is>
          <t>Cloud deletion verification performed (where possible)</t>
        </is>
      </c>
      <c r="T32" s="20" t="inlineStr"/>
      <c r="U32" s="21" t="inlineStr"/>
    </row>
    <row r="33">
      <c r="A33" s="18" t="inlineStr">
        <is>
          <t>8.</t>
        </is>
      </c>
      <c r="B33" s="19" t="inlineStr">
        <is>
          <t>Database deletion verification performed (backup restoration test)</t>
        </is>
      </c>
      <c r="T33" s="20" t="inlineStr"/>
      <c r="U33" s="21" t="inlineStr"/>
    </row>
    <row r="34">
      <c r="A34" s="18" t="inlineStr">
        <is>
          <t>9.</t>
        </is>
      </c>
      <c r="B34" s="19" t="inlineStr">
        <is>
          <t>Mobile device wipe verification performed (MDM logs + device inspection)</t>
        </is>
      </c>
      <c r="T34" s="20" t="inlineStr"/>
      <c r="U34" s="21" t="inlineStr"/>
    </row>
    <row r="35">
      <c r="A35" s="18" t="inlineStr">
        <is>
          <t>10.</t>
        </is>
      </c>
      <c r="B35" s="19" t="inlineStr">
        <is>
          <t>Independent testing considered (external forensic firm)</t>
        </is>
      </c>
      <c r="T35" s="20" t="inlineStr"/>
      <c r="U35" s="21" t="inlineStr"/>
    </row>
    <row r="36">
      <c r="A36" s="18" t="inlineStr">
        <is>
          <t>11.</t>
        </is>
      </c>
      <c r="B36" s="19" t="inlineStr">
        <is>
          <t>Test results documented and linked to Evidence Register</t>
        </is>
      </c>
      <c r="T36" s="20" t="inlineStr"/>
      <c r="U36" s="21" t="inlineStr"/>
    </row>
    <row r="37">
      <c r="A37" s="18" t="inlineStr">
        <is>
          <t>12.</t>
        </is>
      </c>
      <c r="B37" s="19" t="inlineStr">
        <is>
          <t>Deletion tool vendors provide effectiveness documentation</t>
        </is>
      </c>
      <c r="T37" s="20" t="inlineStr"/>
      <c r="U37" s="21" t="inlineStr"/>
    </row>
    <row r="38">
      <c r="A38" s="18" t="inlineStr">
        <is>
          <t>13.</t>
        </is>
      </c>
      <c r="B38" s="19" t="inlineStr">
        <is>
          <t>New deletion methods tested before production use</t>
        </is>
      </c>
      <c r="T38" s="20" t="inlineStr"/>
      <c r="U38" s="21" t="inlineStr"/>
    </row>
    <row r="39">
      <c r="A39" s="18" t="inlineStr">
        <is>
          <t>14.</t>
        </is>
      </c>
      <c r="B39" s="19" t="inlineStr">
        <is>
          <t>Testing includes encrypted media (crypto-erasure validation)</t>
        </is>
      </c>
      <c r="T39" s="20" t="inlineStr"/>
      <c r="U39" s="21" t="inlineStr"/>
    </row>
    <row r="40">
      <c r="A40" s="18" t="inlineStr">
        <is>
          <t>15.</t>
        </is>
      </c>
      <c r="B40" s="19" t="inlineStr">
        <is>
          <t>Testing results reported to management and DPO</t>
        </is>
      </c>
      <c r="T40" s="20" t="inlineStr"/>
      <c r="U40" s="21" t="inlineStr"/>
    </row>
    <row r="42">
      <c r="A42" s="17" t="inlineStr">
        <is>
          <t>Forensic Testing Approach</t>
        </is>
      </c>
    </row>
    <row r="43">
      <c r="A43" s="15" t="inlineStr">
        <is>
          <t>Media Type</t>
        </is>
      </c>
      <c r="B43" s="15" t="inlineStr">
        <is>
          <t>Test Method</t>
        </is>
      </c>
      <c r="C43" s="15" t="inlineStr">
        <is>
          <t>Pass Criteria</t>
        </is>
      </c>
    </row>
    <row r="44">
      <c r="A44" s="22" t="inlineStr">
        <is>
          <t>HDD (overwritten)</t>
        </is>
      </c>
      <c r="B44" s="22" t="inlineStr">
        <is>
          <t>File recovery attempt</t>
        </is>
      </c>
      <c r="C44" s="22" t="inlineStr">
        <is>
          <t>Zero files recovered</t>
        </is>
      </c>
    </row>
    <row r="45">
      <c r="A45" s="22" t="inlineStr">
        <is>
          <t>SSD (secure erased)</t>
        </is>
      </c>
      <c r="B45" s="22" t="inlineStr">
        <is>
          <t>File recovery attempt</t>
        </is>
      </c>
      <c r="C45" s="22" t="inlineStr">
        <is>
          <t>Zero files recovered</t>
        </is>
      </c>
    </row>
    <row r="46">
      <c r="A46" s="22" t="inlineStr">
        <is>
          <t>Cloud Storage (deleted)</t>
        </is>
      </c>
      <c r="B46" s="22" t="inlineStr">
        <is>
          <t>API verification</t>
        </is>
      </c>
      <c r="C46" s="22" t="inlineStr">
        <is>
          <t>No objects found</t>
        </is>
      </c>
    </row>
    <row r="47">
      <c r="A47" s="22" t="inlineStr">
        <is>
          <t>Database (hard deleted)</t>
        </is>
      </c>
      <c r="B47" s="22" t="inlineStr">
        <is>
          <t>Backup restoration + query</t>
        </is>
      </c>
      <c r="C47" s="22" t="inlineStr">
        <is>
          <t>Zero records recovered</t>
        </is>
      </c>
    </row>
    <row r="48">
      <c r="A48" s="22" t="inlineStr">
        <is>
          <t>Mobile Device (wiped)</t>
        </is>
      </c>
      <c r="B48" s="22" t="inlineStr">
        <is>
          <t>Physical inspection + recovery</t>
        </is>
      </c>
      <c r="C48" s="22" t="inlineStr">
        <is>
          <t>Zero corporate data found</t>
        </is>
      </c>
    </row>
    <row r="49">
      <c r="A49" s="22" t="inlineStr">
        <is>
          <t>Crypto-Erased Media</t>
        </is>
      </c>
      <c r="B49" s="22" t="inlineStr">
        <is>
          <t>Key verification, mount attempt</t>
        </is>
      </c>
      <c r="C49" s="22" t="inlineStr">
        <is>
          <t>Data unreadable</t>
        </is>
      </c>
    </row>
    <row r="51">
      <c r="A51" s="17" t="inlineStr">
        <is>
          <t>Testing Frequency Recommendations</t>
        </is>
      </c>
    </row>
    <row r="52">
      <c r="A52" s="15" t="inlineStr">
        <is>
          <t>Media Type</t>
        </is>
      </c>
      <c r="B52" s="15" t="inlineStr">
        <is>
          <t>Recommended Frequency</t>
        </is>
      </c>
      <c r="C52" s="15" t="inlineStr">
        <is>
          <t>Rationale</t>
        </is>
      </c>
    </row>
    <row r="53">
      <c r="A53" s="22" t="inlineStr">
        <is>
          <t>Physical Media (HDD/SSD)</t>
        </is>
      </c>
      <c r="B53" s="22" t="inlineStr">
        <is>
          <t>Annual</t>
        </is>
      </c>
      <c r="C53" s="22" t="inlineStr">
        <is>
          <t>Technology stable</t>
        </is>
      </c>
    </row>
    <row r="54">
      <c r="A54" s="22" t="inlineStr">
        <is>
          <t>Cloud Storage</t>
        </is>
      </c>
      <c r="B54" s="22" t="inlineStr">
        <is>
          <t>Semi-Annual</t>
        </is>
      </c>
      <c r="C54" s="22" t="inlineStr">
        <is>
          <t>Provider changes, API updates</t>
        </is>
      </c>
    </row>
    <row r="55">
      <c r="A55" s="22" t="inlineStr">
        <is>
          <t>Database Deletion</t>
        </is>
      </c>
      <c r="B55" s="22" t="inlineStr">
        <is>
          <t>Annual</t>
        </is>
      </c>
      <c r="C55" s="22" t="inlineStr">
        <is>
          <t>Logic stable</t>
        </is>
      </c>
    </row>
    <row r="56">
      <c r="A56" s="22" t="inlineStr">
        <is>
          <t>Mobile Devices</t>
        </is>
      </c>
      <c r="B56" s="22" t="inlineStr">
        <is>
          <t>Quarterly</t>
        </is>
      </c>
      <c r="C56" s="22" t="inlineStr">
        <is>
          <t>Frequent OS updates</t>
        </is>
      </c>
    </row>
    <row r="57">
      <c r="A57" s="22" t="inlineStr">
        <is>
          <t>New Deletion Tools</t>
        </is>
      </c>
      <c r="B57" s="22" t="inlineStr">
        <is>
          <t>Before Production</t>
        </is>
      </c>
      <c r="C57" s="22" t="inlineStr">
        <is>
          <t>Validate before use</t>
        </is>
      </c>
    </row>
    <row r="58">
      <c r="A58" s="22" t="inlineStr">
        <is>
          <t>After Failed Test</t>
        </is>
      </c>
      <c r="B58" s="22" t="inlineStr">
        <is>
          <t>Immediate Retest</t>
        </is>
      </c>
      <c r="C58" s="22" t="inlineStr">
        <is>
          <t>Verify remediation</t>
        </is>
      </c>
    </row>
    <row r="60">
      <c r="A60" s="17" t="inlineStr">
        <is>
          <t>EXCEPTIONS / DEVIATIONS</t>
        </is>
      </c>
    </row>
    <row r="61">
      <c r="A61" s="23" t="inlineStr">
        <is>
          <t>Document any exceptions or deviations from requirements here:</t>
        </is>
      </c>
    </row>
    <row r="62"/>
    <row r="63"/>
  </sheetData>
  <mergeCells count="24">
    <mergeCell ref="B39:S39"/>
    <mergeCell ref="A7:U7"/>
    <mergeCell ref="A25:U25"/>
    <mergeCell ref="A61:U63"/>
    <mergeCell ref="A42:C42"/>
    <mergeCell ref="B38:S38"/>
    <mergeCell ref="B29:S29"/>
    <mergeCell ref="A2:U2"/>
    <mergeCell ref="B34:S34"/>
    <mergeCell ref="B28:S28"/>
    <mergeCell ref="B37:S37"/>
    <mergeCell ref="B40:S40"/>
    <mergeCell ref="B30:S30"/>
    <mergeCell ref="B33:S33"/>
    <mergeCell ref="B36:S36"/>
    <mergeCell ref="B32:S32"/>
    <mergeCell ref="B35:S35"/>
    <mergeCell ref="A4:U6"/>
    <mergeCell ref="B26:S26"/>
    <mergeCell ref="A51:C51"/>
    <mergeCell ref="A60:U60"/>
    <mergeCell ref="B31:S31"/>
    <mergeCell ref="B27:S27"/>
    <mergeCell ref="A1:U1"/>
  </mergeCells>
  <dataValidations count="7">
    <dataValidation sqref="B10:B100" showDropDown="0" showInputMessage="0" showErrorMessage="0" allowBlank="1" errorTitle="Invalid Classification" error="Please select from dropdown" type="list">
      <formula1>"Public,Internal,Confidential,Restricted"</formula1>
    </dataValidation>
    <dataValidation sqref="F10:F100" showDropDown="0" showInputMessage="0" showErrorMessage="0" allowBlank="1" errorTitle="Invalid Status" error="Please select from dropdown" type="list">
      <formula1>"✅ Compliant,⚠️ Partial,❌ Non-Compliant,N/A"</formula1>
    </dataValidation>
    <dataValidation sqref="M10:M100" showDropDown="0" showInputMessage="0" showErrorMessage="0" allowBlank="1" errorTitle="Invalid Risk Level" error="Please select from dropdown" type="list">
      <formula1>"Critical,High,Medium,Low"</formula1>
    </dataValidation>
    <dataValidation sqref="Q10:Q100" showDropDown="0" showInputMessage="0" showErrorMessage="0" allowBlank="1" errorTitle="Invalid Budget Option" error="Please select from dropdown" type="list">
      <formula1>"Yes,No,Unknown"</formula1>
    </dataValidation>
    <dataValidation sqref="D10:D100" showDropDown="0" showInputMessage="0" showErrorMessage="0" allowBlank="1" type="list">
      <formula1>"Forensic Recovery Test,Software Verification,Certificate Review,Visual Inspection,Other (specify in notes)"</formula1>
    </dataValidation>
    <dataValidation sqref="R10:R100" showDropDown="0" showInputMessage="0" showErrorMessage="0" allowBlank="1" type="list">
      <formula1>"Monthly,Quarterly,Semi-Annual,Annual,Ad-hoc,Never"</formula1>
    </dataValidation>
    <dataValidation sqref="U10:U100" showDropDown="0" showInputMessage="0" showErrorMessage="0" allowBlank="1" type="list">
      <formula1>"Yes - External,Yes - Internal,No,Planned"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25" customWidth="1" min="4" max="4"/>
    <col width="15" customWidth="1" min="5" max="5"/>
    <col width="20" customWidth="1" min="6" max="6"/>
    <col width="15" customWidth="1" min="7" max="7"/>
    <col width="30" customWidth="1" min="8" max="8"/>
  </cols>
  <sheetData>
    <row r="1" ht="35" customHeight="1">
      <c r="A1" s="24" t="inlineStr">
        <is>
          <t>EVIDENCE REGISTER</t>
        </is>
      </c>
    </row>
    <row r="2">
      <c r="A2" s="25" t="inlineStr">
        <is>
          <t>List all evidence files/documents referenced in this assessment (audit traceability).</t>
        </is>
      </c>
    </row>
    <row r="4">
      <c r="A4" s="26" t="inlineStr">
        <is>
          <t>Evidence ID</t>
        </is>
      </c>
      <c r="B4" s="26" t="inlineStr">
        <is>
          <t>Category</t>
        </is>
      </c>
      <c r="C4" s="26" t="inlineStr">
        <is>
          <t>Description</t>
        </is>
      </c>
      <c r="D4" s="26" t="inlineStr">
        <is>
          <t>Source Document</t>
        </is>
      </c>
      <c r="E4" s="26" t="inlineStr">
        <is>
          <t>Date Collected</t>
        </is>
      </c>
      <c r="F4" s="26" t="inlineStr">
        <is>
          <t>Collected By</t>
        </is>
      </c>
      <c r="G4" s="26" t="inlineStr">
        <is>
          <t>Status</t>
        </is>
      </c>
      <c r="H4" s="26" t="inlineStr">
        <is>
          <t>Notes</t>
        </is>
      </c>
    </row>
    <row r="5">
      <c r="A5" s="27" t="inlineStr">
        <is>
          <t>EV-001</t>
        </is>
      </c>
      <c r="B5" s="20" t="n"/>
      <c r="C5" s="20" t="n"/>
      <c r="D5" s="20" t="n"/>
      <c r="E5" s="20" t="n"/>
      <c r="F5" s="20" t="n"/>
      <c r="G5" s="20" t="n"/>
      <c r="H5" s="20" t="n"/>
    </row>
    <row r="6">
      <c r="A6" s="27" t="inlineStr">
        <is>
          <t>EV-002</t>
        </is>
      </c>
      <c r="B6" s="20" t="n"/>
      <c r="C6" s="20" t="n"/>
      <c r="D6" s="20" t="n"/>
      <c r="E6" s="20" t="n"/>
      <c r="F6" s="20" t="n"/>
      <c r="G6" s="20" t="n"/>
      <c r="H6" s="20" t="n"/>
    </row>
    <row r="7">
      <c r="A7" s="27" t="inlineStr">
        <is>
          <t>EV-003</t>
        </is>
      </c>
      <c r="B7" s="20" t="n"/>
      <c r="C7" s="20" t="n"/>
      <c r="D7" s="20" t="n"/>
      <c r="E7" s="20" t="n"/>
      <c r="F7" s="20" t="n"/>
      <c r="G7" s="20" t="n"/>
      <c r="H7" s="20" t="n"/>
    </row>
    <row r="8">
      <c r="A8" s="27" t="inlineStr">
        <is>
          <t>EV-004</t>
        </is>
      </c>
      <c r="B8" s="20" t="n"/>
      <c r="C8" s="20" t="n"/>
      <c r="D8" s="20" t="n"/>
      <c r="E8" s="20" t="n"/>
      <c r="F8" s="20" t="n"/>
      <c r="G8" s="20" t="n"/>
      <c r="H8" s="20" t="n"/>
    </row>
    <row r="9">
      <c r="A9" s="27" t="inlineStr">
        <is>
          <t>EV-005</t>
        </is>
      </c>
      <c r="B9" s="20" t="n"/>
      <c r="C9" s="20" t="n"/>
      <c r="D9" s="20" t="n"/>
      <c r="E9" s="20" t="n"/>
      <c r="F9" s="20" t="n"/>
      <c r="G9" s="20" t="n"/>
      <c r="H9" s="20" t="n"/>
    </row>
    <row r="10">
      <c r="A10" s="27" t="inlineStr">
        <is>
          <t>EV-006</t>
        </is>
      </c>
      <c r="B10" s="20" t="n"/>
      <c r="C10" s="20" t="n"/>
      <c r="D10" s="20" t="n"/>
      <c r="E10" s="20" t="n"/>
      <c r="F10" s="20" t="n"/>
      <c r="G10" s="20" t="n"/>
      <c r="H10" s="20" t="n"/>
    </row>
    <row r="11">
      <c r="A11" s="27" t="inlineStr">
        <is>
          <t>EV-007</t>
        </is>
      </c>
      <c r="B11" s="20" t="n"/>
      <c r="C11" s="20" t="n"/>
      <c r="D11" s="20" t="n"/>
      <c r="E11" s="20" t="n"/>
      <c r="F11" s="20" t="n"/>
      <c r="G11" s="20" t="n"/>
      <c r="H11" s="20" t="n"/>
    </row>
    <row r="12">
      <c r="A12" s="27" t="inlineStr">
        <is>
          <t>EV-008</t>
        </is>
      </c>
      <c r="B12" s="20" t="n"/>
      <c r="C12" s="20" t="n"/>
      <c r="D12" s="20" t="n"/>
      <c r="E12" s="20" t="n"/>
      <c r="F12" s="20" t="n"/>
      <c r="G12" s="20" t="n"/>
      <c r="H12" s="20" t="n"/>
    </row>
    <row r="13">
      <c r="A13" s="27" t="inlineStr">
        <is>
          <t>EV-009</t>
        </is>
      </c>
      <c r="B13" s="20" t="n"/>
      <c r="C13" s="20" t="n"/>
      <c r="D13" s="20" t="n"/>
      <c r="E13" s="20" t="n"/>
      <c r="F13" s="20" t="n"/>
      <c r="G13" s="20" t="n"/>
      <c r="H13" s="20" t="n"/>
    </row>
    <row r="14">
      <c r="A14" s="27" t="inlineStr">
        <is>
          <t>EV-010</t>
        </is>
      </c>
      <c r="B14" s="20" t="n"/>
      <c r="C14" s="20" t="n"/>
      <c r="D14" s="20" t="n"/>
      <c r="E14" s="20" t="n"/>
      <c r="F14" s="20" t="n"/>
      <c r="G14" s="20" t="n"/>
      <c r="H14" s="20" t="n"/>
    </row>
    <row r="15">
      <c r="A15" s="27" t="inlineStr">
        <is>
          <t>EV-011</t>
        </is>
      </c>
      <c r="B15" s="20" t="n"/>
      <c r="C15" s="20" t="n"/>
      <c r="D15" s="20" t="n"/>
      <c r="E15" s="20" t="n"/>
      <c r="F15" s="20" t="n"/>
      <c r="G15" s="20" t="n"/>
      <c r="H15" s="20" t="n"/>
    </row>
    <row r="16">
      <c r="A16" s="27" t="inlineStr">
        <is>
          <t>EV-012</t>
        </is>
      </c>
      <c r="B16" s="20" t="n"/>
      <c r="C16" s="20" t="n"/>
      <c r="D16" s="20" t="n"/>
      <c r="E16" s="20" t="n"/>
      <c r="F16" s="20" t="n"/>
      <c r="G16" s="20" t="n"/>
      <c r="H16" s="20" t="n"/>
    </row>
    <row r="17">
      <c r="A17" s="27" t="inlineStr">
        <is>
          <t>EV-013</t>
        </is>
      </c>
      <c r="B17" s="20" t="n"/>
      <c r="C17" s="20" t="n"/>
      <c r="D17" s="20" t="n"/>
      <c r="E17" s="20" t="n"/>
      <c r="F17" s="20" t="n"/>
      <c r="G17" s="20" t="n"/>
      <c r="H17" s="20" t="n"/>
    </row>
    <row r="18">
      <c r="A18" s="27" t="inlineStr">
        <is>
          <t>EV-014</t>
        </is>
      </c>
      <c r="B18" s="20" t="n"/>
      <c r="C18" s="20" t="n"/>
      <c r="D18" s="20" t="n"/>
      <c r="E18" s="20" t="n"/>
      <c r="F18" s="20" t="n"/>
      <c r="G18" s="20" t="n"/>
      <c r="H18" s="20" t="n"/>
    </row>
    <row r="19">
      <c r="A19" s="27" t="inlineStr">
        <is>
          <t>EV-015</t>
        </is>
      </c>
      <c r="B19" s="20" t="n"/>
      <c r="C19" s="20" t="n"/>
      <c r="D19" s="20" t="n"/>
      <c r="E19" s="20" t="n"/>
      <c r="F19" s="20" t="n"/>
      <c r="G19" s="20" t="n"/>
      <c r="H19" s="20" t="n"/>
    </row>
    <row r="20">
      <c r="A20" s="27" t="inlineStr">
        <is>
          <t>EV-016</t>
        </is>
      </c>
      <c r="B20" s="20" t="n"/>
      <c r="C20" s="20" t="n"/>
      <c r="D20" s="20" t="n"/>
      <c r="E20" s="20" t="n"/>
      <c r="F20" s="20" t="n"/>
      <c r="G20" s="20" t="n"/>
      <c r="H20" s="20" t="n"/>
    </row>
    <row r="21">
      <c r="A21" s="27" t="inlineStr">
        <is>
          <t>EV-017</t>
        </is>
      </c>
      <c r="B21" s="20" t="n"/>
      <c r="C21" s="20" t="n"/>
      <c r="D21" s="20" t="n"/>
      <c r="E21" s="20" t="n"/>
      <c r="F21" s="20" t="n"/>
      <c r="G21" s="20" t="n"/>
      <c r="H21" s="20" t="n"/>
    </row>
    <row r="22">
      <c r="A22" s="27" t="inlineStr">
        <is>
          <t>EV-018</t>
        </is>
      </c>
      <c r="B22" s="20" t="n"/>
      <c r="C22" s="20" t="n"/>
      <c r="D22" s="20" t="n"/>
      <c r="E22" s="20" t="n"/>
      <c r="F22" s="20" t="n"/>
      <c r="G22" s="20" t="n"/>
      <c r="H22" s="20" t="n"/>
    </row>
    <row r="23">
      <c r="A23" s="27" t="inlineStr">
        <is>
          <t>EV-019</t>
        </is>
      </c>
      <c r="B23" s="20" t="n"/>
      <c r="C23" s="20" t="n"/>
      <c r="D23" s="20" t="n"/>
      <c r="E23" s="20" t="n"/>
      <c r="F23" s="20" t="n"/>
      <c r="G23" s="20" t="n"/>
      <c r="H23" s="20" t="n"/>
    </row>
    <row r="24">
      <c r="A24" s="27" t="inlineStr">
        <is>
          <t>EV-020</t>
        </is>
      </c>
      <c r="B24" s="20" t="n"/>
      <c r="C24" s="20" t="n"/>
      <c r="D24" s="20" t="n"/>
      <c r="E24" s="20" t="n"/>
      <c r="F24" s="20" t="n"/>
      <c r="G24" s="20" t="n"/>
      <c r="H24" s="20" t="n"/>
    </row>
    <row r="25">
      <c r="A25" s="27" t="inlineStr">
        <is>
          <t>EV-021</t>
        </is>
      </c>
      <c r="B25" s="20" t="n"/>
      <c r="C25" s="20" t="n"/>
      <c r="D25" s="20" t="n"/>
      <c r="E25" s="20" t="n"/>
      <c r="F25" s="20" t="n"/>
      <c r="G25" s="20" t="n"/>
      <c r="H25" s="20" t="n"/>
    </row>
    <row r="26">
      <c r="A26" s="27" t="inlineStr">
        <is>
          <t>EV-022</t>
        </is>
      </c>
      <c r="B26" s="20" t="n"/>
      <c r="C26" s="20" t="n"/>
      <c r="D26" s="20" t="n"/>
      <c r="E26" s="20" t="n"/>
      <c r="F26" s="20" t="n"/>
      <c r="G26" s="20" t="n"/>
      <c r="H26" s="20" t="n"/>
    </row>
    <row r="27">
      <c r="A27" s="27" t="inlineStr">
        <is>
          <t>EV-023</t>
        </is>
      </c>
      <c r="B27" s="20" t="n"/>
      <c r="C27" s="20" t="n"/>
      <c r="D27" s="20" t="n"/>
      <c r="E27" s="20" t="n"/>
      <c r="F27" s="20" t="n"/>
      <c r="G27" s="20" t="n"/>
      <c r="H27" s="20" t="n"/>
    </row>
    <row r="28">
      <c r="A28" s="27" t="inlineStr">
        <is>
          <t>EV-024</t>
        </is>
      </c>
      <c r="B28" s="20" t="n"/>
      <c r="C28" s="20" t="n"/>
      <c r="D28" s="20" t="n"/>
      <c r="E28" s="20" t="n"/>
      <c r="F28" s="20" t="n"/>
      <c r="G28" s="20" t="n"/>
      <c r="H28" s="20" t="n"/>
    </row>
    <row r="29">
      <c r="A29" s="27" t="inlineStr">
        <is>
          <t>EV-025</t>
        </is>
      </c>
      <c r="B29" s="20" t="n"/>
      <c r="C29" s="20" t="n"/>
      <c r="D29" s="20" t="n"/>
      <c r="E29" s="20" t="n"/>
      <c r="F29" s="20" t="n"/>
      <c r="G29" s="20" t="n"/>
      <c r="H29" s="20" t="n"/>
    </row>
    <row r="30">
      <c r="A30" s="27" t="inlineStr">
        <is>
          <t>EV-026</t>
        </is>
      </c>
      <c r="B30" s="20" t="n"/>
      <c r="C30" s="20" t="n"/>
      <c r="D30" s="20" t="n"/>
      <c r="E30" s="20" t="n"/>
      <c r="F30" s="20" t="n"/>
      <c r="G30" s="20" t="n"/>
      <c r="H30" s="20" t="n"/>
    </row>
    <row r="31">
      <c r="A31" s="27" t="inlineStr">
        <is>
          <t>EV-027</t>
        </is>
      </c>
      <c r="B31" s="20" t="n"/>
      <c r="C31" s="20" t="n"/>
      <c r="D31" s="20" t="n"/>
      <c r="E31" s="20" t="n"/>
      <c r="F31" s="20" t="n"/>
      <c r="G31" s="20" t="n"/>
      <c r="H31" s="20" t="n"/>
    </row>
    <row r="32">
      <c r="A32" s="27" t="inlineStr">
        <is>
          <t>EV-028</t>
        </is>
      </c>
      <c r="B32" s="20" t="n"/>
      <c r="C32" s="20" t="n"/>
      <c r="D32" s="20" t="n"/>
      <c r="E32" s="20" t="n"/>
      <c r="F32" s="20" t="n"/>
      <c r="G32" s="20" t="n"/>
      <c r="H32" s="20" t="n"/>
    </row>
    <row r="33">
      <c r="A33" s="27" t="inlineStr">
        <is>
          <t>EV-029</t>
        </is>
      </c>
      <c r="B33" s="20" t="n"/>
      <c r="C33" s="20" t="n"/>
      <c r="D33" s="20" t="n"/>
      <c r="E33" s="20" t="n"/>
      <c r="F33" s="20" t="n"/>
      <c r="G33" s="20" t="n"/>
      <c r="H33" s="20" t="n"/>
    </row>
    <row r="34">
      <c r="A34" s="27" t="inlineStr">
        <is>
          <t>EV-030</t>
        </is>
      </c>
      <c r="B34" s="20" t="n"/>
      <c r="C34" s="20" t="n"/>
      <c r="D34" s="20" t="n"/>
      <c r="E34" s="20" t="n"/>
      <c r="F34" s="20" t="n"/>
      <c r="G34" s="20" t="n"/>
      <c r="H34" s="20" t="n"/>
    </row>
    <row r="35">
      <c r="A35" s="27" t="inlineStr">
        <is>
          <t>EV-031</t>
        </is>
      </c>
      <c r="B35" s="20" t="n"/>
      <c r="C35" s="20" t="n"/>
      <c r="D35" s="20" t="n"/>
      <c r="E35" s="20" t="n"/>
      <c r="F35" s="20" t="n"/>
      <c r="G35" s="20" t="n"/>
      <c r="H35" s="20" t="n"/>
    </row>
    <row r="36">
      <c r="A36" s="27" t="inlineStr">
        <is>
          <t>EV-032</t>
        </is>
      </c>
      <c r="B36" s="20" t="n"/>
      <c r="C36" s="20" t="n"/>
      <c r="D36" s="20" t="n"/>
      <c r="E36" s="20" t="n"/>
      <c r="F36" s="20" t="n"/>
      <c r="G36" s="20" t="n"/>
      <c r="H36" s="20" t="n"/>
    </row>
    <row r="37">
      <c r="A37" s="27" t="inlineStr">
        <is>
          <t>EV-033</t>
        </is>
      </c>
      <c r="B37" s="20" t="n"/>
      <c r="C37" s="20" t="n"/>
      <c r="D37" s="20" t="n"/>
      <c r="E37" s="20" t="n"/>
      <c r="F37" s="20" t="n"/>
      <c r="G37" s="20" t="n"/>
      <c r="H37" s="20" t="n"/>
    </row>
    <row r="38">
      <c r="A38" s="27" t="inlineStr">
        <is>
          <t>EV-034</t>
        </is>
      </c>
      <c r="B38" s="20" t="n"/>
      <c r="C38" s="20" t="n"/>
      <c r="D38" s="20" t="n"/>
      <c r="E38" s="20" t="n"/>
      <c r="F38" s="20" t="n"/>
      <c r="G38" s="20" t="n"/>
      <c r="H38" s="20" t="n"/>
    </row>
    <row r="39">
      <c r="A39" s="27" t="inlineStr">
        <is>
          <t>EV-035</t>
        </is>
      </c>
      <c r="B39" s="20" t="n"/>
      <c r="C39" s="20" t="n"/>
      <c r="D39" s="20" t="n"/>
      <c r="E39" s="20" t="n"/>
      <c r="F39" s="20" t="n"/>
      <c r="G39" s="20" t="n"/>
      <c r="H39" s="20" t="n"/>
    </row>
    <row r="40">
      <c r="A40" s="27" t="inlineStr">
        <is>
          <t>EV-036</t>
        </is>
      </c>
      <c r="B40" s="20" t="n"/>
      <c r="C40" s="20" t="n"/>
      <c r="D40" s="20" t="n"/>
      <c r="E40" s="20" t="n"/>
      <c r="F40" s="20" t="n"/>
      <c r="G40" s="20" t="n"/>
      <c r="H40" s="20" t="n"/>
    </row>
    <row r="41">
      <c r="A41" s="27" t="inlineStr">
        <is>
          <t>EV-037</t>
        </is>
      </c>
      <c r="B41" s="20" t="n"/>
      <c r="C41" s="20" t="n"/>
      <c r="D41" s="20" t="n"/>
      <c r="E41" s="20" t="n"/>
      <c r="F41" s="20" t="n"/>
      <c r="G41" s="20" t="n"/>
      <c r="H41" s="20" t="n"/>
    </row>
    <row r="42">
      <c r="A42" s="27" t="inlineStr">
        <is>
          <t>EV-038</t>
        </is>
      </c>
      <c r="B42" s="20" t="n"/>
      <c r="C42" s="20" t="n"/>
      <c r="D42" s="20" t="n"/>
      <c r="E42" s="20" t="n"/>
      <c r="F42" s="20" t="n"/>
      <c r="G42" s="20" t="n"/>
      <c r="H42" s="20" t="n"/>
    </row>
    <row r="43">
      <c r="A43" s="27" t="inlineStr">
        <is>
          <t>EV-039</t>
        </is>
      </c>
      <c r="B43" s="20" t="n"/>
      <c r="C43" s="20" t="n"/>
      <c r="D43" s="20" t="n"/>
      <c r="E43" s="20" t="n"/>
      <c r="F43" s="20" t="n"/>
      <c r="G43" s="20" t="n"/>
      <c r="H43" s="20" t="n"/>
    </row>
    <row r="44">
      <c r="A44" s="27" t="inlineStr">
        <is>
          <t>EV-040</t>
        </is>
      </c>
      <c r="B44" s="20" t="n"/>
      <c r="C44" s="20" t="n"/>
      <c r="D44" s="20" t="n"/>
      <c r="E44" s="20" t="n"/>
      <c r="F44" s="20" t="n"/>
      <c r="G44" s="20" t="n"/>
      <c r="H44" s="20" t="n"/>
    </row>
    <row r="45">
      <c r="A45" s="27" t="inlineStr">
        <is>
          <t>EV-041</t>
        </is>
      </c>
      <c r="B45" s="20" t="n"/>
      <c r="C45" s="20" t="n"/>
      <c r="D45" s="20" t="n"/>
      <c r="E45" s="20" t="n"/>
      <c r="F45" s="20" t="n"/>
      <c r="G45" s="20" t="n"/>
      <c r="H45" s="20" t="n"/>
    </row>
    <row r="46">
      <c r="A46" s="27" t="inlineStr">
        <is>
          <t>EV-042</t>
        </is>
      </c>
      <c r="B46" s="20" t="n"/>
      <c r="C46" s="20" t="n"/>
      <c r="D46" s="20" t="n"/>
      <c r="E46" s="20" t="n"/>
      <c r="F46" s="20" t="n"/>
      <c r="G46" s="20" t="n"/>
      <c r="H46" s="20" t="n"/>
    </row>
    <row r="47">
      <c r="A47" s="27" t="inlineStr">
        <is>
          <t>EV-043</t>
        </is>
      </c>
      <c r="B47" s="20" t="n"/>
      <c r="C47" s="20" t="n"/>
      <c r="D47" s="20" t="n"/>
      <c r="E47" s="20" t="n"/>
      <c r="F47" s="20" t="n"/>
      <c r="G47" s="20" t="n"/>
      <c r="H47" s="20" t="n"/>
    </row>
    <row r="48">
      <c r="A48" s="27" t="inlineStr">
        <is>
          <t>EV-044</t>
        </is>
      </c>
      <c r="B48" s="20" t="n"/>
      <c r="C48" s="20" t="n"/>
      <c r="D48" s="20" t="n"/>
      <c r="E48" s="20" t="n"/>
      <c r="F48" s="20" t="n"/>
      <c r="G48" s="20" t="n"/>
      <c r="H48" s="20" t="n"/>
    </row>
    <row r="49">
      <c r="A49" s="27" t="inlineStr">
        <is>
          <t>EV-045</t>
        </is>
      </c>
      <c r="B49" s="20" t="n"/>
      <c r="C49" s="20" t="n"/>
      <c r="D49" s="20" t="n"/>
      <c r="E49" s="20" t="n"/>
      <c r="F49" s="20" t="n"/>
      <c r="G49" s="20" t="n"/>
      <c r="H49" s="20" t="n"/>
    </row>
    <row r="50">
      <c r="A50" s="27" t="inlineStr">
        <is>
          <t>EV-046</t>
        </is>
      </c>
      <c r="B50" s="20" t="n"/>
      <c r="C50" s="20" t="n"/>
      <c r="D50" s="20" t="n"/>
      <c r="E50" s="20" t="n"/>
      <c r="F50" s="20" t="n"/>
      <c r="G50" s="20" t="n"/>
      <c r="H50" s="20" t="n"/>
    </row>
    <row r="51">
      <c r="A51" s="27" t="inlineStr">
        <is>
          <t>EV-047</t>
        </is>
      </c>
      <c r="B51" s="20" t="n"/>
      <c r="C51" s="20" t="n"/>
      <c r="D51" s="20" t="n"/>
      <c r="E51" s="20" t="n"/>
      <c r="F51" s="20" t="n"/>
      <c r="G51" s="20" t="n"/>
      <c r="H51" s="20" t="n"/>
    </row>
    <row r="52">
      <c r="A52" s="27" t="inlineStr">
        <is>
          <t>EV-048</t>
        </is>
      </c>
      <c r="B52" s="20" t="n"/>
      <c r="C52" s="20" t="n"/>
      <c r="D52" s="20" t="n"/>
      <c r="E52" s="20" t="n"/>
      <c r="F52" s="20" t="n"/>
      <c r="G52" s="20" t="n"/>
      <c r="H52" s="20" t="n"/>
    </row>
    <row r="53">
      <c r="A53" s="27" t="inlineStr">
        <is>
          <t>EV-049</t>
        </is>
      </c>
      <c r="B53" s="20" t="n"/>
      <c r="C53" s="20" t="n"/>
      <c r="D53" s="20" t="n"/>
      <c r="E53" s="20" t="n"/>
      <c r="F53" s="20" t="n"/>
      <c r="G53" s="20" t="n"/>
      <c r="H53" s="20" t="n"/>
    </row>
    <row r="54">
      <c r="A54" s="27" t="inlineStr">
        <is>
          <t>EV-050</t>
        </is>
      </c>
      <c r="B54" s="20" t="n"/>
      <c r="C54" s="20" t="n"/>
      <c r="D54" s="20" t="n"/>
      <c r="E54" s="20" t="n"/>
      <c r="F54" s="20" t="n"/>
      <c r="G54" s="20" t="n"/>
      <c r="H54" s="20" t="n"/>
    </row>
    <row r="55">
      <c r="A55" s="27" t="inlineStr">
        <is>
          <t>EV-051</t>
        </is>
      </c>
      <c r="B55" s="20" t="n"/>
      <c r="C55" s="20" t="n"/>
      <c r="D55" s="20" t="n"/>
      <c r="E55" s="20" t="n"/>
      <c r="F55" s="20" t="n"/>
      <c r="G55" s="20" t="n"/>
      <c r="H55" s="20" t="n"/>
    </row>
    <row r="56">
      <c r="A56" s="27" t="inlineStr">
        <is>
          <t>EV-052</t>
        </is>
      </c>
      <c r="B56" s="20" t="n"/>
      <c r="C56" s="20" t="n"/>
      <c r="D56" s="20" t="n"/>
      <c r="E56" s="20" t="n"/>
      <c r="F56" s="20" t="n"/>
      <c r="G56" s="20" t="n"/>
      <c r="H56" s="20" t="n"/>
    </row>
    <row r="57">
      <c r="A57" s="27" t="inlineStr">
        <is>
          <t>EV-053</t>
        </is>
      </c>
      <c r="B57" s="20" t="n"/>
      <c r="C57" s="20" t="n"/>
      <c r="D57" s="20" t="n"/>
      <c r="E57" s="20" t="n"/>
      <c r="F57" s="20" t="n"/>
      <c r="G57" s="20" t="n"/>
      <c r="H57" s="20" t="n"/>
    </row>
    <row r="58">
      <c r="A58" s="27" t="inlineStr">
        <is>
          <t>EV-054</t>
        </is>
      </c>
      <c r="B58" s="20" t="n"/>
      <c r="C58" s="20" t="n"/>
      <c r="D58" s="20" t="n"/>
      <c r="E58" s="20" t="n"/>
      <c r="F58" s="20" t="n"/>
      <c r="G58" s="20" t="n"/>
      <c r="H58" s="20" t="n"/>
    </row>
    <row r="59">
      <c r="A59" s="27" t="inlineStr">
        <is>
          <t>EV-055</t>
        </is>
      </c>
      <c r="B59" s="20" t="n"/>
      <c r="C59" s="20" t="n"/>
      <c r="D59" s="20" t="n"/>
      <c r="E59" s="20" t="n"/>
      <c r="F59" s="20" t="n"/>
      <c r="G59" s="20" t="n"/>
      <c r="H59" s="20" t="n"/>
    </row>
    <row r="60">
      <c r="A60" s="27" t="inlineStr">
        <is>
          <t>EV-056</t>
        </is>
      </c>
      <c r="B60" s="20" t="n"/>
      <c r="C60" s="20" t="n"/>
      <c r="D60" s="20" t="n"/>
      <c r="E60" s="20" t="n"/>
      <c r="F60" s="20" t="n"/>
      <c r="G60" s="20" t="n"/>
      <c r="H60" s="20" t="n"/>
    </row>
    <row r="61">
      <c r="A61" s="27" t="inlineStr">
        <is>
          <t>EV-057</t>
        </is>
      </c>
      <c r="B61" s="20" t="n"/>
      <c r="C61" s="20" t="n"/>
      <c r="D61" s="20" t="n"/>
      <c r="E61" s="20" t="n"/>
      <c r="F61" s="20" t="n"/>
      <c r="G61" s="20" t="n"/>
      <c r="H61" s="20" t="n"/>
    </row>
    <row r="62">
      <c r="A62" s="27" t="inlineStr">
        <is>
          <t>EV-058</t>
        </is>
      </c>
      <c r="B62" s="20" t="n"/>
      <c r="C62" s="20" t="n"/>
      <c r="D62" s="20" t="n"/>
      <c r="E62" s="20" t="n"/>
      <c r="F62" s="20" t="n"/>
      <c r="G62" s="20" t="n"/>
      <c r="H62" s="20" t="n"/>
    </row>
    <row r="63">
      <c r="A63" s="27" t="inlineStr">
        <is>
          <t>EV-059</t>
        </is>
      </c>
      <c r="B63" s="20" t="n"/>
      <c r="C63" s="20" t="n"/>
      <c r="D63" s="20" t="n"/>
      <c r="E63" s="20" t="n"/>
      <c r="F63" s="20" t="n"/>
      <c r="G63" s="20" t="n"/>
      <c r="H63" s="20" t="n"/>
    </row>
    <row r="64">
      <c r="A64" s="27" t="inlineStr">
        <is>
          <t>EV-060</t>
        </is>
      </c>
      <c r="B64" s="20" t="n"/>
      <c r="C64" s="20" t="n"/>
      <c r="D64" s="20" t="n"/>
      <c r="E64" s="20" t="n"/>
      <c r="F64" s="20" t="n"/>
      <c r="G64" s="20" t="n"/>
      <c r="H64" s="20" t="n"/>
    </row>
    <row r="65">
      <c r="A65" s="27" t="inlineStr">
        <is>
          <t>EV-061</t>
        </is>
      </c>
      <c r="B65" s="20" t="n"/>
      <c r="C65" s="20" t="n"/>
      <c r="D65" s="20" t="n"/>
      <c r="E65" s="20" t="n"/>
      <c r="F65" s="20" t="n"/>
      <c r="G65" s="20" t="n"/>
      <c r="H65" s="20" t="n"/>
    </row>
    <row r="66">
      <c r="A66" s="27" t="inlineStr">
        <is>
          <t>EV-062</t>
        </is>
      </c>
      <c r="B66" s="20" t="n"/>
      <c r="C66" s="20" t="n"/>
      <c r="D66" s="20" t="n"/>
      <c r="E66" s="20" t="n"/>
      <c r="F66" s="20" t="n"/>
      <c r="G66" s="20" t="n"/>
      <c r="H66" s="20" t="n"/>
    </row>
    <row r="67">
      <c r="A67" s="27" t="inlineStr">
        <is>
          <t>EV-063</t>
        </is>
      </c>
      <c r="B67" s="20" t="n"/>
      <c r="C67" s="20" t="n"/>
      <c r="D67" s="20" t="n"/>
      <c r="E67" s="20" t="n"/>
      <c r="F67" s="20" t="n"/>
      <c r="G67" s="20" t="n"/>
      <c r="H67" s="20" t="n"/>
    </row>
    <row r="68">
      <c r="A68" s="27" t="inlineStr">
        <is>
          <t>EV-064</t>
        </is>
      </c>
      <c r="B68" s="20" t="n"/>
      <c r="C68" s="20" t="n"/>
      <c r="D68" s="20" t="n"/>
      <c r="E68" s="20" t="n"/>
      <c r="F68" s="20" t="n"/>
      <c r="G68" s="20" t="n"/>
      <c r="H68" s="20" t="n"/>
    </row>
    <row r="69">
      <c r="A69" s="27" t="inlineStr">
        <is>
          <t>EV-065</t>
        </is>
      </c>
      <c r="B69" s="20" t="n"/>
      <c r="C69" s="20" t="n"/>
      <c r="D69" s="20" t="n"/>
      <c r="E69" s="20" t="n"/>
      <c r="F69" s="20" t="n"/>
      <c r="G69" s="20" t="n"/>
      <c r="H69" s="20" t="n"/>
    </row>
    <row r="70">
      <c r="A70" s="27" t="inlineStr">
        <is>
          <t>EV-066</t>
        </is>
      </c>
      <c r="B70" s="20" t="n"/>
      <c r="C70" s="20" t="n"/>
      <c r="D70" s="20" t="n"/>
      <c r="E70" s="20" t="n"/>
      <c r="F70" s="20" t="n"/>
      <c r="G70" s="20" t="n"/>
      <c r="H70" s="20" t="n"/>
    </row>
    <row r="71">
      <c r="A71" s="27" t="inlineStr">
        <is>
          <t>EV-067</t>
        </is>
      </c>
      <c r="B71" s="20" t="n"/>
      <c r="C71" s="20" t="n"/>
      <c r="D71" s="20" t="n"/>
      <c r="E71" s="20" t="n"/>
      <c r="F71" s="20" t="n"/>
      <c r="G71" s="20" t="n"/>
      <c r="H71" s="20" t="n"/>
    </row>
    <row r="72">
      <c r="A72" s="27" t="inlineStr">
        <is>
          <t>EV-068</t>
        </is>
      </c>
      <c r="B72" s="20" t="n"/>
      <c r="C72" s="20" t="n"/>
      <c r="D72" s="20" t="n"/>
      <c r="E72" s="20" t="n"/>
      <c r="F72" s="20" t="n"/>
      <c r="G72" s="20" t="n"/>
      <c r="H72" s="20" t="n"/>
    </row>
    <row r="73">
      <c r="A73" s="27" t="inlineStr">
        <is>
          <t>EV-069</t>
        </is>
      </c>
      <c r="B73" s="20" t="n"/>
      <c r="C73" s="20" t="n"/>
      <c r="D73" s="20" t="n"/>
      <c r="E73" s="20" t="n"/>
      <c r="F73" s="20" t="n"/>
      <c r="G73" s="20" t="n"/>
      <c r="H73" s="20" t="n"/>
    </row>
    <row r="74">
      <c r="A74" s="27" t="inlineStr">
        <is>
          <t>EV-070</t>
        </is>
      </c>
      <c r="B74" s="20" t="n"/>
      <c r="C74" s="20" t="n"/>
      <c r="D74" s="20" t="n"/>
      <c r="E74" s="20" t="n"/>
      <c r="F74" s="20" t="n"/>
      <c r="G74" s="20" t="n"/>
      <c r="H74" s="20" t="n"/>
    </row>
    <row r="75">
      <c r="A75" s="27" t="inlineStr">
        <is>
          <t>EV-071</t>
        </is>
      </c>
      <c r="B75" s="20" t="n"/>
      <c r="C75" s="20" t="n"/>
      <c r="D75" s="20" t="n"/>
      <c r="E75" s="20" t="n"/>
      <c r="F75" s="20" t="n"/>
      <c r="G75" s="20" t="n"/>
      <c r="H75" s="20" t="n"/>
    </row>
    <row r="76">
      <c r="A76" s="27" t="inlineStr">
        <is>
          <t>EV-072</t>
        </is>
      </c>
      <c r="B76" s="20" t="n"/>
      <c r="C76" s="20" t="n"/>
      <c r="D76" s="20" t="n"/>
      <c r="E76" s="20" t="n"/>
      <c r="F76" s="20" t="n"/>
      <c r="G76" s="20" t="n"/>
      <c r="H76" s="20" t="n"/>
    </row>
    <row r="77">
      <c r="A77" s="27" t="inlineStr">
        <is>
          <t>EV-073</t>
        </is>
      </c>
      <c r="B77" s="20" t="n"/>
      <c r="C77" s="20" t="n"/>
      <c r="D77" s="20" t="n"/>
      <c r="E77" s="20" t="n"/>
      <c r="F77" s="20" t="n"/>
      <c r="G77" s="20" t="n"/>
      <c r="H77" s="20" t="n"/>
    </row>
    <row r="78">
      <c r="A78" s="27" t="inlineStr">
        <is>
          <t>EV-074</t>
        </is>
      </c>
      <c r="B78" s="20" t="n"/>
      <c r="C78" s="20" t="n"/>
      <c r="D78" s="20" t="n"/>
      <c r="E78" s="20" t="n"/>
      <c r="F78" s="20" t="n"/>
      <c r="G78" s="20" t="n"/>
      <c r="H78" s="20" t="n"/>
    </row>
    <row r="79">
      <c r="A79" s="27" t="inlineStr">
        <is>
          <t>EV-075</t>
        </is>
      </c>
      <c r="B79" s="20" t="n"/>
      <c r="C79" s="20" t="n"/>
      <c r="D79" s="20" t="n"/>
      <c r="E79" s="20" t="n"/>
      <c r="F79" s="20" t="n"/>
      <c r="G79" s="20" t="n"/>
      <c r="H79" s="20" t="n"/>
    </row>
    <row r="80">
      <c r="A80" s="27" t="inlineStr">
        <is>
          <t>EV-076</t>
        </is>
      </c>
      <c r="B80" s="20" t="n"/>
      <c r="C80" s="20" t="n"/>
      <c r="D80" s="20" t="n"/>
      <c r="E80" s="20" t="n"/>
      <c r="F80" s="20" t="n"/>
      <c r="G80" s="20" t="n"/>
      <c r="H80" s="20" t="n"/>
    </row>
    <row r="81">
      <c r="A81" s="27" t="inlineStr">
        <is>
          <t>EV-077</t>
        </is>
      </c>
      <c r="B81" s="20" t="n"/>
      <c r="C81" s="20" t="n"/>
      <c r="D81" s="20" t="n"/>
      <c r="E81" s="20" t="n"/>
      <c r="F81" s="20" t="n"/>
      <c r="G81" s="20" t="n"/>
      <c r="H81" s="20" t="n"/>
    </row>
    <row r="82">
      <c r="A82" s="27" t="inlineStr">
        <is>
          <t>EV-078</t>
        </is>
      </c>
      <c r="B82" s="20" t="n"/>
      <c r="C82" s="20" t="n"/>
      <c r="D82" s="20" t="n"/>
      <c r="E82" s="20" t="n"/>
      <c r="F82" s="20" t="n"/>
      <c r="G82" s="20" t="n"/>
      <c r="H82" s="20" t="n"/>
    </row>
    <row r="83">
      <c r="A83" s="27" t="inlineStr">
        <is>
          <t>EV-079</t>
        </is>
      </c>
      <c r="B83" s="20" t="n"/>
      <c r="C83" s="20" t="n"/>
      <c r="D83" s="20" t="n"/>
      <c r="E83" s="20" t="n"/>
      <c r="F83" s="20" t="n"/>
      <c r="G83" s="20" t="n"/>
      <c r="H83" s="20" t="n"/>
    </row>
    <row r="84">
      <c r="A84" s="27" t="inlineStr">
        <is>
          <t>EV-080</t>
        </is>
      </c>
      <c r="B84" s="20" t="n"/>
      <c r="C84" s="20" t="n"/>
      <c r="D84" s="20" t="n"/>
      <c r="E84" s="20" t="n"/>
      <c r="F84" s="20" t="n"/>
      <c r="G84" s="20" t="n"/>
      <c r="H84" s="20" t="n"/>
    </row>
    <row r="85">
      <c r="A85" s="27" t="inlineStr">
        <is>
          <t>EV-081</t>
        </is>
      </c>
      <c r="B85" s="20" t="n"/>
      <c r="C85" s="20" t="n"/>
      <c r="D85" s="20" t="n"/>
      <c r="E85" s="20" t="n"/>
      <c r="F85" s="20" t="n"/>
      <c r="G85" s="20" t="n"/>
      <c r="H85" s="20" t="n"/>
    </row>
    <row r="86">
      <c r="A86" s="27" t="inlineStr">
        <is>
          <t>EV-082</t>
        </is>
      </c>
      <c r="B86" s="20" t="n"/>
      <c r="C86" s="20" t="n"/>
      <c r="D86" s="20" t="n"/>
      <c r="E86" s="20" t="n"/>
      <c r="F86" s="20" t="n"/>
      <c r="G86" s="20" t="n"/>
      <c r="H86" s="20" t="n"/>
    </row>
    <row r="87">
      <c r="A87" s="27" t="inlineStr">
        <is>
          <t>EV-083</t>
        </is>
      </c>
      <c r="B87" s="20" t="n"/>
      <c r="C87" s="20" t="n"/>
      <c r="D87" s="20" t="n"/>
      <c r="E87" s="20" t="n"/>
      <c r="F87" s="20" t="n"/>
      <c r="G87" s="20" t="n"/>
      <c r="H87" s="20" t="n"/>
    </row>
    <row r="88">
      <c r="A88" s="27" t="inlineStr">
        <is>
          <t>EV-084</t>
        </is>
      </c>
      <c r="B88" s="20" t="n"/>
      <c r="C88" s="20" t="n"/>
      <c r="D88" s="20" t="n"/>
      <c r="E88" s="20" t="n"/>
      <c r="F88" s="20" t="n"/>
      <c r="G88" s="20" t="n"/>
      <c r="H88" s="20" t="n"/>
    </row>
    <row r="89">
      <c r="A89" s="27" t="inlineStr">
        <is>
          <t>EV-085</t>
        </is>
      </c>
      <c r="B89" s="20" t="n"/>
      <c r="C89" s="20" t="n"/>
      <c r="D89" s="20" t="n"/>
      <c r="E89" s="20" t="n"/>
      <c r="F89" s="20" t="n"/>
      <c r="G89" s="20" t="n"/>
      <c r="H89" s="20" t="n"/>
    </row>
    <row r="90">
      <c r="A90" s="27" t="inlineStr">
        <is>
          <t>EV-086</t>
        </is>
      </c>
      <c r="B90" s="20" t="n"/>
      <c r="C90" s="20" t="n"/>
      <c r="D90" s="20" t="n"/>
      <c r="E90" s="20" t="n"/>
      <c r="F90" s="20" t="n"/>
      <c r="G90" s="20" t="n"/>
      <c r="H90" s="20" t="n"/>
    </row>
    <row r="91">
      <c r="A91" s="27" t="inlineStr">
        <is>
          <t>EV-087</t>
        </is>
      </c>
      <c r="B91" s="20" t="n"/>
      <c r="C91" s="20" t="n"/>
      <c r="D91" s="20" t="n"/>
      <c r="E91" s="20" t="n"/>
      <c r="F91" s="20" t="n"/>
      <c r="G91" s="20" t="n"/>
      <c r="H91" s="20" t="n"/>
    </row>
    <row r="92">
      <c r="A92" s="27" t="inlineStr">
        <is>
          <t>EV-088</t>
        </is>
      </c>
      <c r="B92" s="20" t="n"/>
      <c r="C92" s="20" t="n"/>
      <c r="D92" s="20" t="n"/>
      <c r="E92" s="20" t="n"/>
      <c r="F92" s="20" t="n"/>
      <c r="G92" s="20" t="n"/>
      <c r="H92" s="20" t="n"/>
    </row>
    <row r="93">
      <c r="A93" s="27" t="inlineStr">
        <is>
          <t>EV-089</t>
        </is>
      </c>
      <c r="B93" s="20" t="n"/>
      <c r="C93" s="20" t="n"/>
      <c r="D93" s="20" t="n"/>
      <c r="E93" s="20" t="n"/>
      <c r="F93" s="20" t="n"/>
      <c r="G93" s="20" t="n"/>
      <c r="H93" s="20" t="n"/>
    </row>
    <row r="94">
      <c r="A94" s="27" t="inlineStr">
        <is>
          <t>EV-090</t>
        </is>
      </c>
      <c r="B94" s="20" t="n"/>
      <c r="C94" s="20" t="n"/>
      <c r="D94" s="20" t="n"/>
      <c r="E94" s="20" t="n"/>
      <c r="F94" s="20" t="n"/>
      <c r="G94" s="20" t="n"/>
      <c r="H94" s="20" t="n"/>
    </row>
    <row r="95">
      <c r="A95" s="27" t="inlineStr">
        <is>
          <t>EV-091</t>
        </is>
      </c>
      <c r="B95" s="20" t="n"/>
      <c r="C95" s="20" t="n"/>
      <c r="D95" s="20" t="n"/>
      <c r="E95" s="20" t="n"/>
      <c r="F95" s="20" t="n"/>
      <c r="G95" s="20" t="n"/>
      <c r="H95" s="20" t="n"/>
    </row>
    <row r="96">
      <c r="A96" s="27" t="inlineStr">
        <is>
          <t>EV-092</t>
        </is>
      </c>
      <c r="B96" s="20" t="n"/>
      <c r="C96" s="20" t="n"/>
      <c r="D96" s="20" t="n"/>
      <c r="E96" s="20" t="n"/>
      <c r="F96" s="20" t="n"/>
      <c r="G96" s="20" t="n"/>
      <c r="H96" s="20" t="n"/>
    </row>
    <row r="97">
      <c r="A97" s="27" t="inlineStr">
        <is>
          <t>EV-093</t>
        </is>
      </c>
      <c r="B97" s="20" t="n"/>
      <c r="C97" s="20" t="n"/>
      <c r="D97" s="20" t="n"/>
      <c r="E97" s="20" t="n"/>
      <c r="F97" s="20" t="n"/>
      <c r="G97" s="20" t="n"/>
      <c r="H97" s="20" t="n"/>
    </row>
    <row r="98">
      <c r="A98" s="27" t="inlineStr">
        <is>
          <t>EV-094</t>
        </is>
      </c>
      <c r="B98" s="20" t="n"/>
      <c r="C98" s="20" t="n"/>
      <c r="D98" s="20" t="n"/>
      <c r="E98" s="20" t="n"/>
      <c r="F98" s="20" t="n"/>
      <c r="G98" s="20" t="n"/>
      <c r="H98" s="20" t="n"/>
    </row>
    <row r="99">
      <c r="A99" s="27" t="inlineStr">
        <is>
          <t>EV-095</t>
        </is>
      </c>
      <c r="B99" s="20" t="n"/>
      <c r="C99" s="20" t="n"/>
      <c r="D99" s="20" t="n"/>
      <c r="E99" s="20" t="n"/>
      <c r="F99" s="20" t="n"/>
      <c r="G99" s="20" t="n"/>
      <c r="H99" s="20" t="n"/>
    </row>
    <row r="100">
      <c r="A100" s="27" t="inlineStr">
        <is>
          <t>EV-096</t>
        </is>
      </c>
      <c r="B100" s="20" t="n"/>
      <c r="C100" s="20" t="n"/>
      <c r="D100" s="20" t="n"/>
      <c r="E100" s="20" t="n"/>
      <c r="F100" s="20" t="n"/>
      <c r="G100" s="20" t="n"/>
      <c r="H100" s="20" t="n"/>
    </row>
    <row r="101">
      <c r="A101" s="27" t="inlineStr">
        <is>
          <t>EV-097</t>
        </is>
      </c>
      <c r="B101" s="20" t="n"/>
      <c r="C101" s="20" t="n"/>
      <c r="D101" s="20" t="n"/>
      <c r="E101" s="20" t="n"/>
      <c r="F101" s="20" t="n"/>
      <c r="G101" s="20" t="n"/>
      <c r="H101" s="20" t="n"/>
    </row>
    <row r="102">
      <c r="A102" s="27" t="inlineStr">
        <is>
          <t>EV-098</t>
        </is>
      </c>
      <c r="B102" s="20" t="n"/>
      <c r="C102" s="20" t="n"/>
      <c r="D102" s="20" t="n"/>
      <c r="E102" s="20" t="n"/>
      <c r="F102" s="20" t="n"/>
      <c r="G102" s="20" t="n"/>
      <c r="H102" s="20" t="n"/>
    </row>
    <row r="103">
      <c r="A103" s="27" t="inlineStr">
        <is>
          <t>EV-099</t>
        </is>
      </c>
      <c r="B103" s="20" t="n"/>
      <c r="C103" s="20" t="n"/>
      <c r="D103" s="20" t="n"/>
      <c r="E103" s="20" t="n"/>
      <c r="F103" s="20" t="n"/>
      <c r="G103" s="20" t="n"/>
      <c r="H103" s="20" t="n"/>
    </row>
    <row r="104">
      <c r="A104" s="27" t="inlineStr">
        <is>
          <t>EV-100</t>
        </is>
      </c>
      <c r="B104" s="20" t="n"/>
      <c r="C104" s="20" t="n"/>
      <c r="D104" s="20" t="n"/>
      <c r="E104" s="20" t="n"/>
      <c r="F104" s="20" t="n"/>
      <c r="G104" s="20" t="n"/>
      <c r="H104" s="20" t="n"/>
    </row>
  </sheetData>
  <mergeCells count="2">
    <mergeCell ref="A2:H2"/>
    <mergeCell ref="A1:H1"/>
  </mergeCells>
  <dataValidations count="2">
    <dataValidation sqref="B5:B104" showDropDown="0" showInputMessage="0" showErrorMessage="0" allowBlank="1" type="list">
      <formula1>"Configuration file,Screenshot,Deletion log,Documentation,Vendor spec,Certificate of destruction,Audit log,Compliance report,Forensic test report,Other"</formula1>
    </dataValidation>
    <dataValidation sqref="G5:G104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28" t="inlineStr">
        <is>
          <t>Deletion Methods Assessment — SUMMARY DASHBOARD</t>
        </is>
      </c>
    </row>
    <row r="2">
      <c r="A2" s="29" t="inlineStr">
        <is>
          <t>Summary Dashboard  |  Deletion Methods Assessment  |  Generated: 20260301</t>
        </is>
      </c>
    </row>
    <row r="4">
      <c r="A4" s="30" t="inlineStr">
        <is>
          <t>TABLE 1 – COMPLIANCE ASSESSMENT SUMMARY</t>
        </is>
      </c>
    </row>
    <row r="5">
      <c r="A5" s="31" t="inlineStr">
        <is>
          <t>Assessment Area</t>
        </is>
      </c>
      <c r="B5" s="31" t="inlineStr">
        <is>
          <t>Total Items</t>
        </is>
      </c>
      <c r="C5" s="31" t="inlineStr">
        <is>
          <t>Compliant</t>
        </is>
      </c>
      <c r="D5" s="31" t="inlineStr">
        <is>
          <t>Partial</t>
        </is>
      </c>
      <c r="E5" s="31" t="inlineStr">
        <is>
          <t>Non-Compliant</t>
        </is>
      </c>
      <c r="F5" s="31" t="inlineStr">
        <is>
          <t>N/A</t>
        </is>
      </c>
      <c r="G5" s="31" t="inlineStr">
        <is>
          <t>Compliance %</t>
        </is>
      </c>
    </row>
    <row r="6">
      <c r="A6" s="32" t="inlineStr">
        <is>
          <t>Physical Storage Media</t>
        </is>
      </c>
      <c r="B6" s="33">
        <f>C6+D6+E6+F6</f>
        <v/>
      </c>
      <c r="C6" s="33">
        <f>COUNTIF('2. Physical Storage Media'!F10:F100,"✅ Compliant")</f>
        <v/>
      </c>
      <c r="D6" s="33">
        <f>COUNTIF('2. Physical Storage Media'!F10:F100,"⚠️ Partial")</f>
        <v/>
      </c>
      <c r="E6" s="33">
        <f>COUNTIF('2. Physical Storage Media'!F10:F100,"❌ Non-Compliant")</f>
        <v/>
      </c>
      <c r="F6" s="33">
        <f>COUNTIF('2. Physical Storage Media'!F10:F100,"N/A")</f>
        <v/>
      </c>
      <c r="G6" s="34">
        <f>IF((B6-F6)=0,0,C6/(B6-F6))</f>
        <v/>
      </c>
    </row>
    <row r="7">
      <c r="A7" s="32" t="inlineStr">
        <is>
          <t>Database Systems</t>
        </is>
      </c>
      <c r="B7" s="33">
        <f>C7+D7+E7+F7</f>
        <v/>
      </c>
      <c r="C7" s="33">
        <f>COUNTIF('3. Database Systems'!F10:F100,"✅ Compliant")</f>
        <v/>
      </c>
      <c r="D7" s="33">
        <f>COUNTIF('3. Database Systems'!F10:F100,"⚠️ Partial")</f>
        <v/>
      </c>
      <c r="E7" s="33">
        <f>COUNTIF('3. Database Systems'!F10:F100,"❌ Non-Compliant")</f>
        <v/>
      </c>
      <c r="F7" s="33">
        <f>COUNTIF('3. Database Systems'!F10:F100,"N/A")</f>
        <v/>
      </c>
      <c r="G7" s="34">
        <f>IF((B7-F7)=0,0,C7/(B7-F7))</f>
        <v/>
      </c>
    </row>
    <row r="8">
      <c r="A8" s="32" t="inlineStr">
        <is>
          <t>Cloud Storage</t>
        </is>
      </c>
      <c r="B8" s="33">
        <f>C8+D8+E8+F8</f>
        <v/>
      </c>
      <c r="C8" s="33">
        <f>COUNTIF('4. Cloud Storage'!F10:F100,"✅ Compliant")</f>
        <v/>
      </c>
      <c r="D8" s="33">
        <f>COUNTIF('4. Cloud Storage'!F10:F100,"⚠️ Partial")</f>
        <v/>
      </c>
      <c r="E8" s="33">
        <f>COUNTIF('4. Cloud Storage'!F10:F100,"❌ Non-Compliant")</f>
        <v/>
      </c>
      <c r="F8" s="33">
        <f>COUNTIF('4. Cloud Storage'!F10:F100,"N/A")</f>
        <v/>
      </c>
      <c r="G8" s="34">
        <f>IF((B8-F8)=0,0,C8/(B8-F8))</f>
        <v/>
      </c>
    </row>
    <row r="9">
      <c r="A9" s="32" t="inlineStr">
        <is>
          <t>File Systems &amp; Backup Media</t>
        </is>
      </c>
      <c r="B9" s="33">
        <f>C9+D9+E9+F9</f>
        <v/>
      </c>
      <c r="C9" s="33">
        <f>COUNTIF('5. File Systems &amp; Backup Media'!F10:F100,"✅ Compliant")</f>
        <v/>
      </c>
      <c r="D9" s="33">
        <f>COUNTIF('5. File Systems &amp; Backup Media'!F10:F100,"⚠️ Partial")</f>
        <v/>
      </c>
      <c r="E9" s="33">
        <f>COUNTIF('5. File Systems &amp; Backup Media'!F10:F100,"❌ Non-Compliant")</f>
        <v/>
      </c>
      <c r="F9" s="33">
        <f>COUNTIF('5. File Systems &amp; Backup Media'!F10:F100,"N/A")</f>
        <v/>
      </c>
      <c r="G9" s="34">
        <f>IF((B9-F9)=0,0,C9/(B9-F9))</f>
        <v/>
      </c>
    </row>
    <row r="10">
      <c r="A10" s="32" t="inlineStr">
        <is>
          <t>Deletion Verification Testing</t>
        </is>
      </c>
      <c r="B10" s="33">
        <f>C10+D10+E10+F10</f>
        <v/>
      </c>
      <c r="C10" s="33">
        <f>COUNTIF('6. Deletion Verification Test'!F10:F100,"✅ Compliant")</f>
        <v/>
      </c>
      <c r="D10" s="33">
        <f>COUNTIF('6. Deletion Verification Test'!F10:F100,"⚠️ Partial")</f>
        <v/>
      </c>
      <c r="E10" s="33">
        <f>COUNTIF('6. Deletion Verification Test'!F10:F100,"❌ Non-Compliant")</f>
        <v/>
      </c>
      <c r="F10" s="33">
        <f>COUNTIF('6. Deletion Verification Test'!F10:F100,"N/A")</f>
        <v/>
      </c>
      <c r="G10" s="34">
        <f>IF((B10-F10)=0,0,C10/(B10-F10))</f>
        <v/>
      </c>
    </row>
    <row r="11">
      <c r="A11" s="31" t="inlineStr">
        <is>
          <t>TOTAL</t>
        </is>
      </c>
      <c r="B11" s="31">
        <f>SUM(B6:B10)</f>
        <v/>
      </c>
      <c r="C11" s="31">
        <f>SUM(C6:C10)</f>
        <v/>
      </c>
      <c r="D11" s="31">
        <f>SUM(D6:D10)</f>
        <v/>
      </c>
      <c r="E11" s="31">
        <f>SUM(E6:E10)</f>
        <v/>
      </c>
      <c r="F11" s="31">
        <f>SUM(F6:F10)</f>
        <v/>
      </c>
      <c r="G11" s="35">
        <f>IF((B11-F11)=0,0,C11/(B11-F11))</f>
        <v/>
      </c>
    </row>
    <row r="13">
      <c r="A13" s="30" t="inlineStr">
        <is>
          <t>TABLE 2 – KEY METRICS</t>
        </is>
      </c>
    </row>
    <row r="14">
      <c r="A14" s="31" t="inlineStr">
        <is>
          <t>Metric</t>
        </is>
      </c>
      <c r="B14" s="31" t="inlineStr">
        <is>
          <t>Value</t>
        </is>
      </c>
      <c r="C14" s="31" t="inlineStr">
        <is>
          <t>Target</t>
        </is>
      </c>
    </row>
    <row r="15">
      <c r="A15" s="36" t="inlineStr">
        <is>
          <t>Overall Compliance Rate</t>
        </is>
      </c>
      <c r="B15" s="37">
        <f>IFERROR(G11,"N/A")</f>
        <v/>
      </c>
      <c r="C15" s="38" t="inlineStr">
        <is>
          <t>≥ 80%</t>
        </is>
      </c>
    </row>
    <row r="16">
      <c r="A16" s="36" t="inlineStr">
        <is>
          <t>Physical Media Deletion Methods Compliant</t>
        </is>
      </c>
      <c r="B16" s="37">
        <f>IFERROR(COUNTIF('2. Physical Storage Media'!F10:F100,"✅ Compliant"),0)</f>
        <v/>
      </c>
      <c r="C16" s="38" t="inlineStr">
        <is>
          <t>100%</t>
        </is>
      </c>
    </row>
    <row r="17">
      <c r="A17" s="36" t="inlineStr">
        <is>
          <t>Database Deletion Methods Compliant</t>
        </is>
      </c>
      <c r="B17" s="37">
        <f>IFERROR(COUNTIF('3. Database Systems'!F10:F100,"✅ Compliant"),0)</f>
        <v/>
      </c>
      <c r="C17" s="38" t="inlineStr">
        <is>
          <t>100%</t>
        </is>
      </c>
    </row>
    <row r="18">
      <c r="A18" s="36" t="inlineStr">
        <is>
          <t>Cloud Deletion Configurations Compliant</t>
        </is>
      </c>
      <c r="B18" s="37">
        <f>IFERROR(COUNTIF('4. Cloud Storage'!F10:F100,"✅ Compliant"),0)</f>
        <v/>
      </c>
      <c r="C18" s="38" t="inlineStr">
        <is>
          <t>100%</t>
        </is>
      </c>
    </row>
    <row r="19">
      <c r="A19" s="36" t="inlineStr">
        <is>
          <t>Deletion Verification Tests Passed</t>
        </is>
      </c>
      <c r="B19" s="37">
        <f>IFERROR(COUNTIF('6. Deletion Verification Test'!F10:F100,"✅ Compliant"),0)</f>
        <v/>
      </c>
      <c r="C19" s="38" t="inlineStr">
        <is>
          <t>100%</t>
        </is>
      </c>
    </row>
    <row r="20">
      <c r="A20" s="36" t="inlineStr">
        <is>
          <t>Non-Compliant Items Requiring Remediation</t>
        </is>
      </c>
      <c r="B20" s="37">
        <f>IFERROR(SUM(E6:E10),0)</f>
        <v/>
      </c>
      <c r="C20" s="38" t="inlineStr">
        <is>
          <t>0</t>
        </is>
      </c>
    </row>
    <row r="22">
      <c r="A22" s="39" t="inlineStr">
        <is>
          <t>TABLE 3 – KEY FINDINGS &amp; RECOMMENDATIONS</t>
        </is>
      </c>
    </row>
    <row r="23">
      <c r="A23" s="31" t="inlineStr">
        <is>
          <t>#</t>
        </is>
      </c>
      <c r="B23" s="31" t="inlineStr">
        <is>
          <t>Finding</t>
        </is>
      </c>
      <c r="C23" s="31" t="inlineStr">
        <is>
          <t>Impact</t>
        </is>
      </c>
      <c r="D23" s="31" t="inlineStr">
        <is>
          <t>Recommendation</t>
        </is>
      </c>
      <c r="E23" s="31" t="inlineStr">
        <is>
          <t>Priority</t>
        </is>
      </c>
      <c r="F23" s="31" t="inlineStr">
        <is>
          <t>Status</t>
        </is>
      </c>
      <c r="G23" s="31" t="inlineStr">
        <is>
          <t>Notes</t>
        </is>
      </c>
    </row>
    <row r="24">
      <c r="A24" s="38" t="inlineStr">
        <is>
          <t>1</t>
        </is>
      </c>
      <c r="B24" s="36" t="inlineStr">
        <is>
          <t>SSD overwrite methods may be ineffective due to wear levelling</t>
        </is>
      </c>
      <c r="C24" s="36" t="inlineStr">
        <is>
          <t>High</t>
        </is>
      </c>
      <c r="D24" s="36" t="inlineStr">
        <is>
          <t>Replace SSD overwrite with Secure Erase, crypto-erasure, or physical destruction</t>
        </is>
      </c>
      <c r="E24" s="38" t="inlineStr">
        <is>
          <t>P1</t>
        </is>
      </c>
      <c r="F24" s="38" t="inlineStr">
        <is>
          <t>Open</t>
        </is>
      </c>
      <c r="G24" s="36" t="inlineStr">
        <is>
          <t>NIST SP 800-88 Rev.2</t>
        </is>
      </c>
    </row>
    <row r="25">
      <c r="A25" s="38" t="inlineStr">
        <is>
          <t>2</t>
        </is>
      </c>
      <c r="B25" s="36" t="inlineStr">
        <is>
          <t>Cloud deletion may not include snapshots, backups, and versioned objects</t>
        </is>
      </c>
      <c r="C25" s="36" t="inlineStr">
        <is>
          <t>High</t>
        </is>
      </c>
      <c r="D25" s="36" t="inlineStr">
        <is>
          <t>Audit cloud lifecycle policies to ensure all object versions and snapshots are deleted</t>
        </is>
      </c>
      <c r="E25" s="38" t="inlineStr">
        <is>
          <t>P1</t>
        </is>
      </c>
      <c r="F25" s="38" t="inlineStr">
        <is>
          <t>Open</t>
        </is>
      </c>
      <c r="G25" s="36" t="inlineStr"/>
    </row>
    <row r="26">
      <c r="A26" s="38" t="inlineStr">
        <is>
          <t>3</t>
        </is>
      </c>
      <c r="B26" s="36" t="inlineStr">
        <is>
          <t>Logical deletes in databases may leave data recoverable</t>
        </is>
      </c>
      <c r="C26" s="36" t="inlineStr">
        <is>
          <t>Medium</t>
        </is>
      </c>
      <c r="D26" s="36" t="inlineStr">
        <is>
          <t>Implement scheduled purge jobs for soft-deleted records in all databases</t>
        </is>
      </c>
      <c r="E26" s="38" t="inlineStr">
        <is>
          <t>P2</t>
        </is>
      </c>
      <c r="F26" s="38" t="inlineStr">
        <is>
          <t>Open</t>
        </is>
      </c>
      <c r="G26" s="36" t="inlineStr"/>
    </row>
    <row r="27">
      <c r="A27" s="38" t="inlineStr">
        <is>
          <t>4</t>
        </is>
      </c>
      <c r="B27" s="36" t="inlineStr">
        <is>
          <t>Deletion verification testing frequency may be insufficient</t>
        </is>
      </c>
      <c r="C27" s="36" t="inlineStr">
        <is>
          <t>Medium</t>
        </is>
      </c>
      <c r="D27" s="36" t="inlineStr">
        <is>
          <t>Establish annual forensic testing schedule across all media types</t>
        </is>
      </c>
      <c r="E27" s="38" t="inlineStr">
        <is>
          <t>P2</t>
        </is>
      </c>
      <c r="F27" s="38" t="inlineStr">
        <is>
          <t>Open</t>
        </is>
      </c>
      <c r="G27" s="36" t="inlineStr"/>
    </row>
  </sheetData>
  <mergeCells count="5">
    <mergeCell ref="A13:G13"/>
    <mergeCell ref="A1:G1"/>
    <mergeCell ref="A22:G22"/>
    <mergeCell ref="A4:G4"/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40" t="inlineStr">
        <is>
          <t>ASSESSMENT APPROVAL AND SIGN-OFF</t>
        </is>
      </c>
    </row>
    <row r="3">
      <c r="A3" s="41" t="inlineStr">
        <is>
          <t>ASSESSMENT SUMMARY</t>
        </is>
      </c>
    </row>
    <row r="4">
      <c r="A4" s="42" t="inlineStr">
        <is>
          <t>Document:</t>
        </is>
      </c>
      <c r="B4" s="6" t="inlineStr">
        <is>
          <t>ISMS-IMP-A.8.10.2 - Deletion Methods Assessment</t>
        </is>
      </c>
    </row>
    <row r="5">
      <c r="A5" s="42" t="inlineStr">
        <is>
          <t>Assessment Period:</t>
        </is>
      </c>
      <c r="B5" s="20" t="inlineStr"/>
    </row>
    <row r="6">
      <c r="A6" s="42" t="inlineStr">
        <is>
          <t>Overall Compliance:</t>
        </is>
      </c>
      <c r="B6" s="43">
        <f>IFERROR(AVERAGE('Summary Dashboard'!G6:G10),"")</f>
        <v/>
      </c>
    </row>
    <row r="7">
      <c r="A7" s="42" t="inlineStr">
        <is>
          <t>Assessment Status:</t>
        </is>
      </c>
      <c r="B7" s="20" t="inlineStr"/>
    </row>
    <row r="10">
      <c r="A10" s="41" t="inlineStr">
        <is>
          <t>COMPLETED BY (ASSESSOR)</t>
        </is>
      </c>
    </row>
    <row r="11">
      <c r="A11" s="42" t="inlineStr">
        <is>
          <t>Name:</t>
        </is>
      </c>
      <c r="B11" s="20" t="n"/>
    </row>
    <row r="12">
      <c r="A12" s="42" t="inlineStr">
        <is>
          <t>Title:</t>
        </is>
      </c>
      <c r="B12" s="20" t="n"/>
    </row>
    <row r="13">
      <c r="A13" s="42" t="inlineStr">
        <is>
          <t>Date:</t>
        </is>
      </c>
      <c r="B13" s="20" t="n"/>
    </row>
    <row r="14">
      <c r="A14" s="42" t="inlineStr">
        <is>
          <t>Signature:</t>
        </is>
      </c>
      <c r="B14" s="20" t="n"/>
    </row>
    <row r="15">
      <c r="A15" s="42" t="inlineStr">
        <is>
          <t>Comments:</t>
        </is>
      </c>
      <c r="B15" s="20" t="n"/>
    </row>
    <row r="17">
      <c r="A17" s="41" t="inlineStr">
        <is>
          <t>REVIEWED BY (INFORMATION SECURITY OFFICER)</t>
        </is>
      </c>
    </row>
    <row r="18">
      <c r="A18" s="42" t="inlineStr">
        <is>
          <t>Name:</t>
        </is>
      </c>
      <c r="B18" s="20" t="n"/>
    </row>
    <row r="19">
      <c r="A19" s="42" t="inlineStr">
        <is>
          <t>Title:</t>
        </is>
      </c>
      <c r="B19" s="20" t="n"/>
    </row>
    <row r="20">
      <c r="A20" s="42" t="inlineStr">
        <is>
          <t>Date:</t>
        </is>
      </c>
      <c r="B20" s="20" t="n"/>
    </row>
    <row r="21">
      <c r="A21" s="42" t="inlineStr">
        <is>
          <t>Signature:</t>
        </is>
      </c>
      <c r="B21" s="20" t="n"/>
    </row>
    <row r="22">
      <c r="A22" s="42" t="inlineStr">
        <is>
          <t>Comments:</t>
        </is>
      </c>
      <c r="B22" s="20" t="n"/>
    </row>
    <row r="24">
      <c r="A24" s="44" t="inlineStr">
        <is>
          <t>APPROVED BY (CISO)</t>
        </is>
      </c>
    </row>
    <row r="25">
      <c r="A25" s="42" t="inlineStr">
        <is>
          <t>Name:</t>
        </is>
      </c>
      <c r="B25" s="20" t="n"/>
    </row>
    <row r="26">
      <c r="A26" s="42" t="inlineStr">
        <is>
          <t>Title:</t>
        </is>
      </c>
      <c r="B26" s="20" t="n"/>
    </row>
    <row r="27">
      <c r="A27" s="42" t="inlineStr">
        <is>
          <t>Date:</t>
        </is>
      </c>
      <c r="B27" s="20" t="n"/>
    </row>
    <row r="28">
      <c r="A28" s="42" t="inlineStr">
        <is>
          <t>Signature:</t>
        </is>
      </c>
      <c r="B28" s="20" t="n"/>
    </row>
    <row r="29">
      <c r="A29" s="42" t="inlineStr">
        <is>
          <t>Comments:</t>
        </is>
      </c>
      <c r="B29" s="20" t="n"/>
    </row>
    <row r="31">
      <c r="A31" s="42" t="inlineStr">
        <is>
          <t>FINAL DECISION:</t>
        </is>
      </c>
      <c r="B31" s="20" t="n"/>
    </row>
    <row r="34">
      <c r="A34" s="41" t="inlineStr">
        <is>
          <t>NEXT REVIEW DETAILS</t>
        </is>
      </c>
    </row>
    <row r="35">
      <c r="A35" s="42" t="inlineStr">
        <is>
          <t>Next Review Date:</t>
        </is>
      </c>
      <c r="B35" s="20" t="n"/>
    </row>
    <row r="36">
      <c r="A36" s="42" t="inlineStr">
        <is>
          <t>Review Responsible:</t>
        </is>
      </c>
      <c r="B36" s="20" t="n"/>
    </row>
    <row r="37">
      <c r="A37" s="42" t="inlineStr">
        <is>
          <t>Special Considerations:</t>
        </is>
      </c>
      <c r="B37" s="20" t="n"/>
    </row>
  </sheetData>
  <mergeCells count="29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B12:E12"/>
    <mergeCell ref="B21:E21"/>
    <mergeCell ref="B11:E11"/>
    <mergeCell ref="A17:E17"/>
    <mergeCell ref="B14:E14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ISMS-IMP-A.8.10.2 — Deletion Methods Assessment</dc:title>
  <dc:description xmlns:dc="http://purl.org/dc/elements/1.1/">ISMS Implementation Workbook — ISMS-IMP-A.8.10.2</dc:description>
  <dc:subject xmlns:dc="http://purl.org/dc/elements/1.1/">ISO/IEC 27001:2022 — Control A.8.10: Information Deletion</dc:subject>
  <dcterms:created xmlns:dcterms="http://purl.org/dc/terms/" xmlns:xsi="http://www.w3.org/2001/XMLSchema-instance" xsi:type="dcterms:W3CDTF">2026-03-01T10:19:42Z</dcterms:created>
  <dcterms:modified xmlns:dcterms="http://purl.org/dc/terms/" xmlns:xsi="http://www.w3.org/2001/XMLSchema-instance" xsi:type="dcterms:W3CDTF">2026-03-01T10:19:42Z</dcterms:modified>
</cp:coreProperties>
</file>