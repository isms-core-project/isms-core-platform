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2. Data Category Registry" sheetId="2" state="visible" r:id="rId2"/>
    <sheet xmlns:r="http://schemas.openxmlformats.org/officeDocument/2006/relationships" name="3. Retention Sched. Compliance" sheetId="3" state="visible" r:id="rId3"/>
    <sheet xmlns:r="http://schemas.openxmlformats.org/officeDocument/2006/relationships" name="4. Deletion Trigger Config." sheetId="4" state="visible" r:id="rId4"/>
    <sheet xmlns:r="http://schemas.openxmlformats.org/officeDocument/2006/relationships" name="5. Legal Hold Management" sheetId="5" state="visible" r:id="rId5"/>
    <sheet xmlns:r="http://schemas.openxmlformats.org/officeDocument/2006/relationships" name="6. Data Subject Requests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6"/>
    </font>
    <font>
      <name val="Calibri"/>
      <i val="1"/>
      <sz val="9"/>
    </font>
    <font>
      <name val="Calibri"/>
      <b val="1"/>
      <sz val="11"/>
    </font>
    <font>
      <name val="Calibri"/>
      <i val="1"/>
      <color rgb="004472C4"/>
      <sz val="9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000000"/>
      <sz val="9"/>
    </font>
    <font>
      <name val="Calibri"/>
      <i val="1"/>
    </font>
    <font>
      <name val="Calibri"/>
      <b val="1"/>
      <color rgb="00FFFFFF"/>
    </font>
    <font>
      <name val="Calibri"/>
      <color rgb="00808080"/>
    </font>
    <font>
      <name val="Calibri"/>
      <i val="1"/>
      <color rgb="00003366"/>
      <sz val="11"/>
    </font>
    <font>
      <name val="Calibri"/>
      <b val="1"/>
      <color rgb="00FFFFFF"/>
      <sz val="12"/>
    </font>
    <font>
      <name val="Calibri"/>
      <sz val="10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FFFFFF"/>
        <bgColor rgb="00FFFFFF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7" fillId="9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wrapText="1"/>
    </xf>
    <xf numFmtId="0" fontId="9" fillId="8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top" wrapText="1"/>
    </xf>
    <xf numFmtId="0" fontId="11" fillId="9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top" wrapText="1"/>
    </xf>
    <xf numFmtId="0" fontId="0" fillId="10" borderId="1" pivotButton="0" quotePrefix="0" xfId="0"/>
    <xf numFmtId="0" fontId="0" fillId="11" borderId="0" pivotButton="0" quotePrefix="0" xfId="0"/>
    <xf numFmtId="0" fontId="12" fillId="9" borderId="1" applyAlignment="1" pivotButton="0" quotePrefix="0" xfId="0">
      <alignment horizontal="left" vertical="top" wrapText="1"/>
    </xf>
    <xf numFmtId="0" fontId="0" fillId="10" borderId="1" applyAlignment="1" pivotButton="0" quotePrefix="0" xfId="0">
      <alignment horizontal="left" vertical="top" wrapText="1"/>
    </xf>
    <xf numFmtId="0" fontId="1" fillId="8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0" fontId="14" fillId="8" borderId="1" applyAlignment="1" pivotButton="0" quotePrefix="0" xfId="0">
      <alignment horizontal="center" vertical="center" wrapText="1"/>
    </xf>
    <xf numFmtId="0" fontId="15" fillId="10" borderId="1" pivotButton="0" quotePrefix="0" xfId="0"/>
    <xf numFmtId="0" fontId="16" fillId="0" borderId="0" applyAlignment="1" pivotButton="0" quotePrefix="0" xfId="0">
      <alignment horizontal="left" vertical="center"/>
    </xf>
    <xf numFmtId="0" fontId="17" fillId="8" borderId="0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4" fontId="4" fillId="12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left" vertical="center" wrapText="1"/>
    </xf>
    <xf numFmtId="164" fontId="18" fillId="10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/>
    </xf>
    <xf numFmtId="0" fontId="17" fillId="13" borderId="0" applyAlignment="1" pivotButton="0" quotePrefix="0" xfId="0">
      <alignment horizontal="left" vertical="center"/>
    </xf>
    <xf numFmtId="0" fontId="1" fillId="8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9" fillId="14" borderId="1" pivotButton="0" quotePrefix="0" xfId="0"/>
    <xf numFmtId="164" fontId="0" fillId="0" borderId="1" pivotButton="0" quotePrefix="0" xfId="0"/>
    <xf numFmtId="0" fontId="9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ISMS-IMP-A.8.10.1  -  Retention &amp; Deletion Triggers Assessment
ISO/IEC 27001:2022 - Control A.8.10: Information Deletion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ISMS-IMP-A.8.10.1</t>
        </is>
      </c>
    </row>
    <row r="5">
      <c r="A5" s="3" t="inlineStr">
        <is>
          <t>Workbook Title</t>
        </is>
      </c>
      <c r="B5" t="inlineStr">
        <is>
          <t>Retention &amp; Deletion Triggers Assessment</t>
        </is>
      </c>
    </row>
    <row r="6">
      <c r="A6" s="3" t="inlineStr">
        <is>
          <t>Control Reference</t>
        </is>
      </c>
      <c r="B6" t="inlineStr">
        <is>
          <t>ISO/IEC 27001:2022 - Control A.8.10: Information Deletion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assessment sheets 2–6 in order, filling in all yellow-highlighted cells.</t>
        </is>
      </c>
    </row>
    <row r="14">
      <c r="A14" t="inlineStr">
        <is>
          <t>2. Use dropdown menus where provided for consistency.</t>
        </is>
      </c>
    </row>
    <row r="15">
      <c r="A15" t="inlineStr">
        <is>
          <t>3. Link supporting evidence to the Evidence Register using Column N.</t>
        </is>
      </c>
    </row>
    <row r="16">
      <c r="A16" t="inlineStr">
        <is>
          <t>4. Mark checklist items as compliant or non-compliant.</t>
        </is>
      </c>
    </row>
    <row r="17">
      <c r="A17" t="inlineStr">
        <is>
          <t>5. Review the Summary Dashboard for overall compliance status.</t>
        </is>
      </c>
    </row>
    <row r="18">
      <c r="A18" t="inlineStr">
        <is>
          <t>6. Document any gaps with remediation plans and target completion dates.</t>
        </is>
      </c>
    </row>
    <row r="19">
      <c r="A19" t="inlineStr">
        <is>
          <t>7. Obtain approval using the Approval Sign-Off sheet.</t>
        </is>
      </c>
    </row>
    <row r="20">
      <c r="A20" t="inlineStr">
        <is>
          <t>8. Review and update this assessment annually or when significant changes occur.</t>
        </is>
      </c>
    </row>
    <row r="22">
      <c r="A22" s="2" t="inlineStr">
        <is>
          <t>Status Legend</t>
        </is>
      </c>
    </row>
    <row r="23">
      <c r="A23" s="5" t="inlineStr">
        <is>
          <t>Symbol</t>
        </is>
      </c>
      <c r="B23" s="5" t="inlineStr">
        <is>
          <t>Status</t>
        </is>
      </c>
      <c r="C23" s="5" t="inlineStr">
        <is>
          <t>Description</t>
        </is>
      </c>
    </row>
    <row r="24">
      <c r="A24" s="6" t="inlineStr">
        <is>
          <t>✓</t>
        </is>
      </c>
      <c r="B24" s="7" t="inlineStr">
        <is>
          <t>Compliant / Complete</t>
        </is>
      </c>
      <c r="C24" s="8" t="inlineStr">
        <is>
          <t>Requirement fully met</t>
        </is>
      </c>
    </row>
    <row r="25">
      <c r="A25" s="6" t="inlineStr">
        <is>
          <t>⚠</t>
        </is>
      </c>
      <c r="B25" s="9" t="inlineStr">
        <is>
          <t>Partial / In Progress</t>
        </is>
      </c>
      <c r="C25" s="8" t="inlineStr">
        <is>
          <t>Partially met or in progress</t>
        </is>
      </c>
    </row>
    <row r="26">
      <c r="A26" s="6" t="inlineStr">
        <is>
          <t>✗</t>
        </is>
      </c>
      <c r="B26" s="10" t="inlineStr">
        <is>
          <t>Non-Compliant / Not Started</t>
        </is>
      </c>
      <c r="C26" s="8" t="inlineStr">
        <is>
          <t>Requirement not met</t>
        </is>
      </c>
    </row>
    <row r="27">
      <c r="A27" s="6" t="inlineStr">
        <is>
          <t>—</t>
        </is>
      </c>
      <c r="B27" s="8" t="inlineStr">
        <is>
          <t>Not Applicable</t>
        </is>
      </c>
      <c r="C27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20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2" customWidth="1" min="18" max="18"/>
    <col width="8" customWidth="1" min="19" max="19"/>
    <col width="18" customWidth="1" min="20" max="20"/>
  </cols>
  <sheetData>
    <row r="1" ht="35" customHeight="1">
      <c r="A1" s="11" t="inlineStr">
        <is>
          <t>SHEET 2: DATA CATEGORY REGISTRY</t>
        </is>
      </c>
    </row>
    <row r="2">
      <c r="A2" s="12" t="inlineStr">
        <is>
          <t>Policy Reference: ISMS-POL-A.8.10-S2.1, Section 2.1.1</t>
        </is>
      </c>
    </row>
    <row r="4">
      <c r="A4" s="13" t="inlineStr">
        <is>
          <t>ASSESSMENT QUESTION:
Have we identified and documented ALL data categories we process, including their characteristics, ownership, and storage locations?</t>
        </is>
      </c>
    </row>
    <row r="5"/>
    <row r="6"/>
    <row r="7">
      <c r="A7" s="14" t="inlineStr">
        <is>
          <t>Complete the yellow-highlighted cells below. Use dropdowns where provided. Link evidence in Column N to Evidence Register sheet.</t>
        </is>
      </c>
    </row>
    <row r="9" ht="35" customHeight="1">
      <c r="A9" s="15" t="inlineStr">
        <is>
          <t>Data Category / System Name</t>
        </is>
      </c>
      <c r="B9" s="15" t="inlineStr">
        <is>
          <t>Data Classification</t>
        </is>
      </c>
      <c r="C9" s="15" t="inlineStr">
        <is>
          <t>Business Owner</t>
        </is>
      </c>
      <c r="D9" s="15" t="inlineStr">
        <is>
          <t>Retention Period</t>
        </is>
      </c>
      <c r="E9" s="15" t="inlineStr">
        <is>
          <t>Legal/Regulatory Basis</t>
        </is>
      </c>
      <c r="F9" s="15" t="inlineStr">
        <is>
          <t>Status</t>
        </is>
      </c>
      <c r="G9" s="15" t="inlineStr">
        <is>
          <t>Implementation Date</t>
        </is>
      </c>
      <c r="H9" s="15" t="inlineStr">
        <is>
          <t>Last Review Date</t>
        </is>
      </c>
      <c r="I9" s="15" t="inlineStr">
        <is>
          <t>Next Review Date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Primary Storage Location</t>
        </is>
      </c>
      <c r="S9" s="15" t="inlineStr">
        <is>
          <t>Volume/Records</t>
        </is>
      </c>
      <c r="T9" s="15" t="inlineStr">
        <is>
          <t>Contains PII/SPI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</row>
    <row r="25">
      <c r="A25" s="17" t="inlineStr">
        <is>
          <t>COMPLIANCE CHECKLIST - Mark ✅ or ❌</t>
        </is>
      </c>
    </row>
    <row r="26">
      <c r="A26" s="18" t="inlineStr">
        <is>
          <t>1.</t>
        </is>
      </c>
      <c r="B26" s="19" t="inlineStr">
        <is>
          <t>All business units have been consulted for data categories</t>
        </is>
      </c>
      <c r="S26" s="20" t="inlineStr"/>
      <c r="T26" s="21" t="inlineStr"/>
    </row>
    <row r="27">
      <c r="A27" s="18" t="inlineStr">
        <is>
          <t>2.</t>
        </is>
      </c>
      <c r="B27" s="19" t="inlineStr">
        <is>
          <t>Data inventory includes operational, HR, financial, and customer data</t>
        </is>
      </c>
      <c r="S27" s="20" t="inlineStr"/>
      <c r="T27" s="21" t="inlineStr"/>
    </row>
    <row r="28">
      <c r="A28" s="18" t="inlineStr">
        <is>
          <t>3.</t>
        </is>
      </c>
      <c r="B28" s="19" t="inlineStr">
        <is>
          <t>Each data category has a designated Business Owner</t>
        </is>
      </c>
      <c r="S28" s="20" t="inlineStr"/>
      <c r="T28" s="21" t="inlineStr"/>
    </row>
    <row r="29">
      <c r="A29" s="18" t="inlineStr">
        <is>
          <t>4.</t>
        </is>
      </c>
      <c r="B29" s="19" t="inlineStr">
        <is>
          <t>Storage locations (on-premise, cloud, third-party) are documented</t>
        </is>
      </c>
      <c r="S29" s="20" t="inlineStr"/>
      <c r="T29" s="21" t="inlineStr"/>
    </row>
    <row r="30">
      <c r="A30" s="18" t="inlineStr">
        <is>
          <t>5.</t>
        </is>
      </c>
      <c r="B30" s="19" t="inlineStr">
        <is>
          <t>PII and SPI data categories are specifically identified</t>
        </is>
      </c>
      <c r="S30" s="20" t="inlineStr"/>
      <c r="T30" s="21" t="inlineStr"/>
    </row>
    <row r="31">
      <c r="A31" s="18" t="inlineStr">
        <is>
          <t>6.</t>
        </is>
      </c>
      <c r="B31" s="19" t="inlineStr">
        <is>
          <t>Volume/scale of data is estimated for each category</t>
        </is>
      </c>
      <c r="S31" s="20" t="inlineStr"/>
      <c r="T31" s="21" t="inlineStr"/>
    </row>
    <row r="32">
      <c r="A32" s="18" t="inlineStr">
        <is>
          <t>7.</t>
        </is>
      </c>
      <c r="B32" s="19" t="inlineStr">
        <is>
          <t>Data classification levels are assigned per organisational policy</t>
        </is>
      </c>
      <c r="S32" s="20" t="inlineStr"/>
      <c r="T32" s="21" t="inlineStr"/>
    </row>
    <row r="33">
      <c r="A33" s="18" t="inlineStr">
        <is>
          <t>8.</t>
        </is>
      </c>
      <c r="B33" s="19" t="inlineStr">
        <is>
          <t>Temporary/ephemeral data categories are included</t>
        </is>
      </c>
      <c r="S33" s="20" t="inlineStr"/>
      <c r="T33" s="21" t="inlineStr"/>
    </row>
    <row r="34">
      <c r="A34" s="18" t="inlineStr">
        <is>
          <t>9.</t>
        </is>
      </c>
      <c r="B34" s="19" t="inlineStr">
        <is>
          <t>Legacy systems and archived data are included in inventory</t>
        </is>
      </c>
      <c r="S34" s="20" t="inlineStr"/>
      <c r="T34" s="21" t="inlineStr"/>
    </row>
    <row r="35">
      <c r="A35" s="18" t="inlineStr">
        <is>
          <t>10.</t>
        </is>
      </c>
      <c r="B35" s="19" t="inlineStr">
        <is>
          <t>Cross-border data transfers are noted (if applicable)</t>
        </is>
      </c>
      <c r="S35" s="20" t="inlineStr"/>
      <c r="T35" s="21" t="inlineStr"/>
    </row>
    <row r="36">
      <c r="A36" s="18" t="inlineStr">
        <is>
          <t>11.</t>
        </is>
      </c>
      <c r="B36" s="19" t="inlineStr">
        <is>
          <t>Data category registry is reviewed at least annually</t>
        </is>
      </c>
      <c r="S36" s="20" t="inlineStr"/>
      <c r="T36" s="21" t="inlineStr"/>
    </row>
    <row r="37">
      <c r="A37" s="18" t="inlineStr">
        <is>
          <t>12.</t>
        </is>
      </c>
      <c r="B37" s="19" t="inlineStr">
        <is>
          <t>New business processes trigger data category reassessment</t>
        </is>
      </c>
      <c r="S37" s="20" t="inlineStr"/>
      <c r="T37" s="21" t="inlineStr"/>
    </row>
    <row r="38">
      <c r="A38" s="18" t="inlineStr">
        <is>
          <t>13.</t>
        </is>
      </c>
      <c r="B38" s="19" t="inlineStr">
        <is>
          <t>Shadow IT data categories have been investigated</t>
        </is>
      </c>
      <c r="S38" s="20" t="inlineStr"/>
      <c r="T38" s="21" t="inlineStr"/>
    </row>
    <row r="39">
      <c r="A39" s="18" t="inlineStr">
        <is>
          <t>14.</t>
        </is>
      </c>
      <c r="B39" s="19" t="inlineStr">
        <is>
          <t>M&amp;A due diligence includes data category mapping</t>
        </is>
      </c>
      <c r="S39" s="20" t="inlineStr"/>
      <c r="T39" s="21" t="inlineStr"/>
    </row>
    <row r="40">
      <c r="A40" s="18" t="inlineStr">
        <is>
          <t>15.</t>
        </is>
      </c>
      <c r="B40" s="19" t="inlineStr">
        <is>
          <t>Data categories align with Records Retention Schedule</t>
        </is>
      </c>
      <c r="S40" s="20" t="inlineStr"/>
      <c r="T40" s="21" t="inlineStr"/>
    </row>
    <row r="42">
      <c r="A42" s="17" t="inlineStr">
        <is>
          <t>Common Data Categories</t>
        </is>
      </c>
    </row>
    <row r="43">
      <c r="A43" s="15" t="inlineStr">
        <is>
          <t>Category Example</t>
        </is>
      </c>
      <c r="B43" s="15" t="inlineStr">
        <is>
          <t>Typical Retention</t>
        </is>
      </c>
      <c r="C43" s="15" t="inlineStr">
        <is>
          <t>Common Legal Basis</t>
        </is>
      </c>
    </row>
    <row r="44">
      <c r="A44" s="22" t="inlineStr">
        <is>
          <t>Employee Personnel Files</t>
        </is>
      </c>
      <c r="B44" s="22" t="inlineStr">
        <is>
          <t>10 years post-employment</t>
        </is>
      </c>
      <c r="C44" s="22" t="inlineStr">
        <is>
          <t>Swiss OR, Tax Law</t>
        </is>
      </c>
    </row>
    <row r="45">
      <c r="A45" s="22" t="inlineStr">
        <is>
          <t>Customer Contracts</t>
        </is>
      </c>
      <c r="B45" s="22" t="inlineStr">
        <is>
          <t>10 years post-termination</t>
        </is>
      </c>
      <c r="C45" s="22" t="inlineStr">
        <is>
          <t>Swiss OR (Art. 127)</t>
        </is>
      </c>
    </row>
    <row r="46">
      <c r="A46" s="22" t="inlineStr">
        <is>
          <t>Financial Records</t>
        </is>
      </c>
      <c r="B46" s="22" t="inlineStr">
        <is>
          <t>10 years</t>
        </is>
      </c>
      <c r="C46" s="22" t="inlineStr">
        <is>
          <t>Swiss Tax Law</t>
        </is>
      </c>
    </row>
    <row r="47">
      <c r="A47" s="22" t="inlineStr">
        <is>
          <t>Marketing Consent Records</t>
        </is>
      </c>
      <c r="B47" s="22" t="inlineStr">
        <is>
          <t>Until consent withdrawn + 1 year</t>
        </is>
      </c>
      <c r="C47" s="22" t="inlineStr">
        <is>
          <t>GDPR, FADP</t>
        </is>
      </c>
    </row>
    <row r="48">
      <c r="A48" s="22" t="inlineStr">
        <is>
          <t>Access Logs</t>
        </is>
      </c>
      <c r="B48" s="22" t="inlineStr">
        <is>
          <t>1 year</t>
        </is>
      </c>
      <c r="C48" s="22" t="inlineStr">
        <is>
          <t>Security requirement</t>
        </is>
      </c>
    </row>
    <row r="49">
      <c r="A49" s="22" t="inlineStr">
        <is>
          <t>Email Communications</t>
        </is>
      </c>
      <c r="B49" s="22" t="inlineStr">
        <is>
          <t>1-7 years (varies)</t>
        </is>
      </c>
      <c r="C49" s="22" t="inlineStr">
        <is>
          <t>Business need</t>
        </is>
      </c>
    </row>
    <row r="50">
      <c r="A50" s="22" t="inlineStr">
        <is>
          <t>Customer Support Tickets</t>
        </is>
      </c>
      <c r="B50" s="22" t="inlineStr">
        <is>
          <t>3 years post-resolution</t>
        </is>
      </c>
      <c r="C50" s="22" t="inlineStr">
        <is>
          <t>Contractual</t>
        </is>
      </c>
    </row>
    <row r="51">
      <c r="A51" s="22" t="inlineStr">
        <is>
          <t>Product Telemetry</t>
        </is>
      </c>
      <c r="B51" s="22" t="inlineStr">
        <is>
          <t>90 days - 2 years</t>
        </is>
      </c>
      <c r="C51" s="22" t="inlineStr">
        <is>
          <t>Legitimate interest</t>
        </is>
      </c>
    </row>
    <row r="52">
      <c r="A52" s="22" t="inlineStr">
        <is>
          <t>CCTV Footage</t>
        </is>
      </c>
      <c r="B52" s="22" t="inlineStr">
        <is>
          <t>30-90 days</t>
        </is>
      </c>
      <c r="C52" s="22" t="inlineStr">
        <is>
          <t>Security/legal requirement</t>
        </is>
      </c>
    </row>
    <row r="53">
      <c r="A53" s="22" t="inlineStr">
        <is>
          <t>Website Analytics</t>
        </is>
      </c>
      <c r="B53" s="22" t="inlineStr">
        <is>
          <t>26 months (GDPR default)</t>
        </is>
      </c>
      <c r="C53" s="22" t="inlineStr">
        <is>
          <t>Consent/Legitimate interest</t>
        </is>
      </c>
    </row>
    <row r="54">
      <c r="A54" s="22" t="inlineStr">
        <is>
          <t>Backup Data</t>
        </is>
      </c>
      <c r="B54" s="22" t="inlineStr">
        <is>
          <t>Aligned with active retention</t>
        </is>
      </c>
      <c r="C54" s="22" t="inlineStr">
        <is>
          <t>Same as source data</t>
        </is>
      </c>
    </row>
    <row r="55">
      <c r="A55" s="22" t="inlineStr">
        <is>
          <t>Development/Test Data</t>
        </is>
      </c>
      <c r="B55" s="22" t="inlineStr">
        <is>
          <t>Until project end + 90 days</t>
        </is>
      </c>
      <c r="C55" s="22" t="inlineStr">
        <is>
          <t>Business need</t>
        </is>
      </c>
    </row>
    <row r="56">
      <c r="A56" s="22" t="inlineStr">
        <is>
          <t>Audit Trails</t>
        </is>
      </c>
      <c r="B56" s="22" t="inlineStr">
        <is>
          <t>7-10 years</t>
        </is>
      </c>
      <c r="C56" s="22" t="inlineStr">
        <is>
          <t>Regulatory requirement</t>
        </is>
      </c>
    </row>
    <row r="57">
      <c r="A57" s="22" t="inlineStr">
        <is>
          <t>HR Recruitment Records</t>
        </is>
      </c>
      <c r="B57" s="22" t="inlineStr">
        <is>
          <t>6 months post-decision</t>
        </is>
      </c>
      <c r="C57" s="22" t="inlineStr">
        <is>
          <t>GDPR, FADP</t>
        </is>
      </c>
    </row>
    <row r="58">
      <c r="A58" s="22" t="inlineStr">
        <is>
          <t>Health &amp; Safety Records</t>
        </is>
      </c>
      <c r="B58" s="22" t="inlineStr">
        <is>
          <t>10 years</t>
        </is>
      </c>
      <c r="C58" s="22" t="inlineStr">
        <is>
          <t>Legal obligation</t>
        </is>
      </c>
    </row>
    <row r="60">
      <c r="A60" s="17" t="inlineStr">
        <is>
          <t>Storage Location Implications</t>
        </is>
      </c>
    </row>
    <row r="61">
      <c r="A61" s="15" t="inlineStr">
        <is>
          <t>Location Type</t>
        </is>
      </c>
      <c r="B61" s="15" t="inlineStr">
        <is>
          <t>Deletion Complexity</t>
        </is>
      </c>
      <c r="C61" s="15" t="inlineStr">
        <is>
          <t>Key Considerations</t>
        </is>
      </c>
    </row>
    <row r="62">
      <c r="A62" s="22" t="inlineStr">
        <is>
          <t>On-Premise</t>
        </is>
      </c>
      <c r="B62" s="22" t="inlineStr">
        <is>
          <t>Medium</t>
        </is>
      </c>
      <c r="C62" s="22" t="inlineStr">
        <is>
          <t>Full control, hardware lifecycle</t>
        </is>
      </c>
    </row>
    <row r="63">
      <c r="A63" s="22" t="inlineStr">
        <is>
          <t>Cloud (IaaS)</t>
        </is>
      </c>
      <c r="B63" s="22" t="inlineStr">
        <is>
          <t>Medium-High</t>
        </is>
      </c>
      <c r="C63" s="22" t="inlineStr">
        <is>
          <t>Snapshot management, API deletion</t>
        </is>
      </c>
    </row>
    <row r="64">
      <c r="A64" s="22" t="inlineStr">
        <is>
          <t>Cloud (PaaS)</t>
        </is>
      </c>
      <c r="B64" s="22" t="inlineStr">
        <is>
          <t>High</t>
        </is>
      </c>
      <c r="C64" s="22" t="inlineStr">
        <is>
          <t>Platform-specific deletion methods</t>
        </is>
      </c>
    </row>
    <row r="65">
      <c r="A65" s="22" t="inlineStr">
        <is>
          <t>Cloud (SaaS)</t>
        </is>
      </c>
      <c r="B65" s="22" t="inlineStr">
        <is>
          <t>Very High</t>
        </is>
      </c>
      <c r="C65" s="22" t="inlineStr">
        <is>
          <t>Vendor-dependent, see A.8.10.3</t>
        </is>
      </c>
    </row>
    <row r="66">
      <c r="A66" s="22" t="inlineStr">
        <is>
          <t>Hybrid</t>
        </is>
      </c>
      <c r="B66" s="22" t="inlineStr">
        <is>
          <t>Very High</t>
        </is>
      </c>
      <c r="C66" s="22" t="inlineStr">
        <is>
          <t>Coordination across environments</t>
        </is>
      </c>
    </row>
    <row r="67">
      <c r="A67" s="22" t="inlineStr">
        <is>
          <t>Third-Party</t>
        </is>
      </c>
      <c r="B67" s="22" t="inlineStr">
        <is>
          <t>Very High</t>
        </is>
      </c>
      <c r="C67" s="22" t="inlineStr">
        <is>
          <t>Contractual deletion, see A.8.10.3</t>
        </is>
      </c>
    </row>
    <row r="69">
      <c r="A69" s="17" t="inlineStr">
        <is>
          <t>EXCEPTIONS / DEVIATIONS</t>
        </is>
      </c>
    </row>
    <row r="70">
      <c r="A70" s="23" t="inlineStr">
        <is>
          <t>Document any exceptions or deviations from requirements here (e.g., data categories excluded from assessment, pending reviews, disputed retention periods):</t>
        </is>
      </c>
    </row>
    <row r="71"/>
    <row r="72"/>
  </sheetData>
  <mergeCells count="24">
    <mergeCell ref="B32:R32"/>
    <mergeCell ref="B26:R26"/>
    <mergeCell ref="A4:T6"/>
    <mergeCell ref="B35:R35"/>
    <mergeCell ref="B31:R31"/>
    <mergeCell ref="A1:T1"/>
    <mergeCell ref="A42:C42"/>
    <mergeCell ref="B27:R27"/>
    <mergeCell ref="A70:T72"/>
    <mergeCell ref="B39:R39"/>
    <mergeCell ref="A69:T69"/>
    <mergeCell ref="A7:T7"/>
    <mergeCell ref="A25:T25"/>
    <mergeCell ref="B29:R29"/>
    <mergeCell ref="B38:R38"/>
    <mergeCell ref="B34:R34"/>
    <mergeCell ref="A2:T2"/>
    <mergeCell ref="B28:R28"/>
    <mergeCell ref="B37:R37"/>
    <mergeCell ref="A60:C60"/>
    <mergeCell ref="B40:R40"/>
    <mergeCell ref="B30:R30"/>
    <mergeCell ref="B33:R33"/>
    <mergeCell ref="B36:R36"/>
  </mergeCells>
  <dataValidations count="8">
    <dataValidation sqref="B10:B100" showDropDown="0" showInputMessage="0" showErrorMessage="0" allowBlank="1" errorTitle="Invalid Classification" error="Please select from dropdown" type="list">
      <formula1>"Public,Internal,Confidential,Restricted"</formula1>
    </dataValidation>
    <dataValidation sqref="D10:D100" showDropDown="0" showInputMessage="0" showErrorMessage="0" allowBlank="1" errorTitle="Invalid Retention Period" error="Please select from dropdown" type="list">
      <formula1>"30 days,60 days,90 days,6 months,1 year,2 years,3 years,5 years,7 years,10 years,Permanent,Until Event Occurs,Other (specify in notes)"</formula1>
    </dataValidation>
    <dataValidation sqref="E10:E100" showDropDown="0" showInputMessage="0" showErrorMessage="0" allowBlank="1" errorTitle="Invalid Legal Basis" error="Please select from dropdown" type="list">
      <formula1>"Swiss FADP,EU GDPR,Swiss Code of Obligations (OR),Swiss Tax Law,EU ePrivacy Directive,Industry Standard (specify),Contractual Obligation,Legitimate Interest,Consent,Legal Obligation,Multiple Bases (specify),Other (specify in notes)"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R10:R100" showDropDown="0" showInputMessage="0" showErrorMessage="0" allowBlank="1" type="list">
      <formula1>"On-Premise,Cloud (IaaS),Cloud (PaaS),Cloud (SaaS),Hybrid,Third-Party"</formula1>
    </dataValidation>
    <dataValidation sqref="T10:T100" showDropDown="0" showInputMessage="0" showErrorMessage="0" allowBlank="1" type="list">
      <formula1>"Yes - PII,Yes - SPI,Yes - Both,No"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20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2" customWidth="1" min="18" max="18"/>
    <col width="8" customWidth="1" min="19" max="19"/>
    <col width="18" customWidth="1" min="20" max="20"/>
  </cols>
  <sheetData>
    <row r="1" ht="35" customHeight="1">
      <c r="A1" s="11" t="inlineStr">
        <is>
          <t>SHEET 3: RETENTION SCHEDULE COMPLIANCE</t>
        </is>
      </c>
    </row>
    <row r="2">
      <c r="A2" s="12" t="inlineStr">
        <is>
          <t>Policy Reference: ISMS-POL-A.8.10-S2.1, Section 2.1.2</t>
        </is>
      </c>
    </row>
    <row r="4">
      <c r="A4" s="13" t="inlineStr">
        <is>
          <t>ASSESSMENT QUESTION:
Does each data category have a documented retention period with a valid legal or business justification?</t>
        </is>
      </c>
    </row>
    <row r="5"/>
    <row r="6"/>
    <row r="7">
      <c r="A7" s="14" t="inlineStr">
        <is>
          <t>Complete the yellow-highlighted cells below. Use dropdowns where provided. Link evidence in Column N to Evidence Register sheet.</t>
        </is>
      </c>
    </row>
    <row r="9" ht="35" customHeight="1">
      <c r="A9" s="15" t="inlineStr">
        <is>
          <t>Data Category / System Name</t>
        </is>
      </c>
      <c r="B9" s="15" t="inlineStr">
        <is>
          <t>Data Classification</t>
        </is>
      </c>
      <c r="C9" s="15" t="inlineStr">
        <is>
          <t>Business Owner</t>
        </is>
      </c>
      <c r="D9" s="15" t="inlineStr">
        <is>
          <t>Retention Period</t>
        </is>
      </c>
      <c r="E9" s="15" t="inlineStr">
        <is>
          <t>Legal/Regulatory Basis</t>
        </is>
      </c>
      <c r="F9" s="15" t="inlineStr">
        <is>
          <t>Status</t>
        </is>
      </c>
      <c r="G9" s="15" t="inlineStr">
        <is>
          <t>Implementation Date</t>
        </is>
      </c>
      <c r="H9" s="15" t="inlineStr">
        <is>
          <t>Last Review Date</t>
        </is>
      </c>
      <c r="I9" s="15" t="inlineStr">
        <is>
          <t>Next Review Date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Retention Calculation Method</t>
        </is>
      </c>
      <c r="S9" s="15" t="inlineStr">
        <is>
          <t>Event Trigger Description</t>
        </is>
      </c>
      <c r="T9" s="15" t="inlineStr">
        <is>
          <t>Backup Retention Aligned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</row>
    <row r="25">
      <c r="A25" s="17" t="inlineStr">
        <is>
          <t>COMPLIANCE CHECKLIST - Mark ✅ or ❌</t>
        </is>
      </c>
    </row>
    <row r="26">
      <c r="A26" s="18" t="inlineStr">
        <is>
          <t>1.</t>
        </is>
      </c>
      <c r="B26" s="19" t="inlineStr">
        <is>
          <t>Every data category has a defined retention period</t>
        </is>
      </c>
      <c r="S26" s="20" t="inlineStr"/>
      <c r="T26" s="21" t="inlineStr"/>
    </row>
    <row r="27">
      <c r="A27" s="18" t="inlineStr">
        <is>
          <t>2.</t>
        </is>
      </c>
      <c r="B27" s="19" t="inlineStr">
        <is>
          <t>Retention periods have documented legal/regulatory basis</t>
        </is>
      </c>
      <c r="S27" s="20" t="inlineStr"/>
      <c r="T27" s="21" t="inlineStr"/>
    </row>
    <row r="28">
      <c r="A28" s="18" t="inlineStr">
        <is>
          <t>3.</t>
        </is>
      </c>
      <c r="B28" s="19" t="inlineStr">
        <is>
          <t>Swiss FADP compliance verified for all PII categories</t>
        </is>
      </c>
      <c r="S28" s="20" t="inlineStr"/>
      <c r="T28" s="21" t="inlineStr"/>
    </row>
    <row r="29">
      <c r="A29" s="18" t="inlineStr">
        <is>
          <t>4.</t>
        </is>
      </c>
      <c r="B29" s="19" t="inlineStr">
        <is>
          <t>GDPR compliance verified where applicable</t>
        </is>
      </c>
      <c r="S29" s="20" t="inlineStr"/>
      <c r="T29" s="21" t="inlineStr"/>
    </row>
    <row r="30">
      <c r="A30" s="18" t="inlineStr">
        <is>
          <t>5.</t>
        </is>
      </c>
      <c r="B30" s="19" t="inlineStr">
        <is>
          <t>Retention periods do not exceed legal maximums</t>
        </is>
      </c>
      <c r="S30" s="20" t="inlineStr"/>
      <c r="T30" s="21" t="inlineStr"/>
    </row>
    <row r="31">
      <c r="A31" s="18" t="inlineStr">
        <is>
          <t>6.</t>
        </is>
      </c>
      <c r="B31" s="19" t="inlineStr">
        <is>
          <t>Retention periods meet legal minimums (e.g., tax records)</t>
        </is>
      </c>
      <c r="S31" s="20" t="inlineStr"/>
      <c r="T31" s="21" t="inlineStr"/>
    </row>
    <row r="32">
      <c r="A32" s="18" t="inlineStr">
        <is>
          <t>7.</t>
        </is>
      </c>
      <c r="B32" s="19" t="inlineStr">
        <is>
          <t>Event-based retention triggers are clearly defined</t>
        </is>
      </c>
      <c r="S32" s="20" t="inlineStr"/>
      <c r="T32" s="21" t="inlineStr"/>
    </row>
    <row r="33">
      <c r="A33" s="18" t="inlineStr">
        <is>
          <t>8.</t>
        </is>
      </c>
      <c r="B33" s="19" t="inlineStr">
        <is>
          <t>Business justification documented for non-regulatory retention</t>
        </is>
      </c>
      <c r="S33" s="20" t="inlineStr"/>
      <c r="T33" s="21" t="inlineStr"/>
    </row>
    <row r="34">
      <c r="A34" s="18" t="inlineStr">
        <is>
          <t>9.</t>
        </is>
      </c>
      <c r="B34" s="19" t="inlineStr">
        <is>
          <t>Conflicting retention requirements are resolved and documented</t>
        </is>
      </c>
      <c r="S34" s="20" t="inlineStr"/>
      <c r="T34" s="21" t="inlineStr"/>
    </row>
    <row r="35">
      <c r="A35" s="18" t="inlineStr">
        <is>
          <t>10.</t>
        </is>
      </c>
      <c r="B35" s="19" t="inlineStr">
        <is>
          <t>Retention schedule approved by Legal/Compliance team</t>
        </is>
      </c>
      <c r="S35" s="20" t="inlineStr"/>
      <c r="T35" s="21" t="inlineStr"/>
    </row>
    <row r="36">
      <c r="A36" s="18" t="inlineStr">
        <is>
          <t>11.</t>
        </is>
      </c>
      <c r="B36" s="19" t="inlineStr">
        <is>
          <t>Backup retention aligns with active data retention</t>
        </is>
      </c>
      <c r="S36" s="20" t="inlineStr"/>
      <c r="T36" s="21" t="inlineStr"/>
    </row>
    <row r="37">
      <c r="A37" s="18" t="inlineStr">
        <is>
          <t>12.</t>
        </is>
      </c>
      <c r="B37" s="19" t="inlineStr">
        <is>
          <t>'Permanent' retention is justified and approved</t>
        </is>
      </c>
      <c r="S37" s="20" t="inlineStr"/>
      <c r="T37" s="21" t="inlineStr"/>
    </row>
    <row r="38">
      <c r="A38" s="18" t="inlineStr">
        <is>
          <t>13.</t>
        </is>
      </c>
      <c r="B38" s="19" t="inlineStr">
        <is>
          <t>Retention periods reviewed annually</t>
        </is>
      </c>
      <c r="S38" s="20" t="inlineStr"/>
      <c r="T38" s="21" t="inlineStr"/>
    </row>
    <row r="39">
      <c r="A39" s="18" t="inlineStr">
        <is>
          <t>14.</t>
        </is>
      </c>
      <c r="B39" s="19" t="inlineStr">
        <is>
          <t>Changes to retention periods follow change management process</t>
        </is>
      </c>
      <c r="S39" s="20" t="inlineStr"/>
      <c r="T39" s="21" t="inlineStr"/>
    </row>
    <row r="40">
      <c r="A40" s="18" t="inlineStr">
        <is>
          <t>15.</t>
        </is>
      </c>
      <c r="B40" s="19" t="inlineStr">
        <is>
          <t>Data subjects are informed of retention periods (GDPR/FADP)</t>
        </is>
      </c>
      <c r="S40" s="20" t="inlineStr"/>
      <c r="T40" s="21" t="inlineStr"/>
    </row>
    <row r="42">
      <c r="A42" s="17" t="inlineStr">
        <is>
          <t>Swiss Legal Retention Requirements</t>
        </is>
      </c>
    </row>
    <row r="43">
      <c r="A43" s="15" t="inlineStr">
        <is>
          <t>Data Type</t>
        </is>
      </c>
      <c r="B43" s="15" t="inlineStr">
        <is>
          <t>Minimum Retention</t>
        </is>
      </c>
      <c r="C43" s="15" t="inlineStr">
        <is>
          <t>Legal Basis</t>
        </is>
      </c>
      <c r="D43" s="15" t="inlineStr">
        <is>
          <t>Maximum Deletion</t>
        </is>
      </c>
    </row>
    <row r="44">
      <c r="A44" s="22" t="inlineStr">
        <is>
          <t>Accounting Records</t>
        </is>
      </c>
      <c r="B44" s="22" t="inlineStr">
        <is>
          <t>10 years</t>
        </is>
      </c>
      <c r="C44" s="22" t="inlineStr">
        <is>
          <t>Swiss OR Art. 958f</t>
        </is>
      </c>
      <c r="D44" s="22" t="inlineStr">
        <is>
          <t>After 10 years</t>
        </is>
      </c>
    </row>
    <row r="45">
      <c r="A45" s="22" t="inlineStr">
        <is>
          <t>Tax Records</t>
        </is>
      </c>
      <c r="B45" s="22" t="inlineStr">
        <is>
          <t>10 years</t>
        </is>
      </c>
      <c r="C45" s="22" t="inlineStr">
        <is>
          <t>Swiss Tax Law</t>
        </is>
      </c>
      <c r="D45" s="22" t="inlineStr">
        <is>
          <t>After 10 years</t>
        </is>
      </c>
    </row>
    <row r="46">
      <c r="A46" s="22" t="inlineStr">
        <is>
          <t>Employee Records</t>
        </is>
      </c>
      <c r="B46" s="22" t="inlineStr">
        <is>
          <t>10 years</t>
        </is>
      </c>
      <c r="C46" s="22" t="inlineStr">
        <is>
          <t>Swiss OR Art. 127</t>
        </is>
      </c>
      <c r="D46" s="22" t="inlineStr">
        <is>
          <t>After 10 years (FADP)</t>
        </is>
      </c>
    </row>
    <row r="47">
      <c r="A47" s="22" t="inlineStr">
        <is>
          <t>Contracts</t>
        </is>
      </c>
      <c r="B47" s="22" t="inlineStr">
        <is>
          <t>10 years</t>
        </is>
      </c>
      <c r="C47" s="22" t="inlineStr">
        <is>
          <t>Swiss OR Art. 127</t>
        </is>
      </c>
      <c r="D47" s="22" t="inlineStr">
        <is>
          <t>After 10 years</t>
        </is>
      </c>
    </row>
    <row r="48">
      <c r="A48" s="22" t="inlineStr">
        <is>
          <t>Payroll Records</t>
        </is>
      </c>
      <c r="B48" s="22" t="inlineStr">
        <is>
          <t>10 years</t>
        </is>
      </c>
      <c r="C48" s="22" t="inlineStr">
        <is>
          <t>Swiss Tax/Social Law</t>
        </is>
      </c>
      <c r="D48" s="22" t="inlineStr">
        <is>
          <t>After 10 years</t>
        </is>
      </c>
    </row>
    <row r="49">
      <c r="A49" s="22" t="inlineStr">
        <is>
          <t>Corporate Minutes</t>
        </is>
      </c>
      <c r="B49" s="22" t="inlineStr">
        <is>
          <t>Permanent</t>
        </is>
      </c>
      <c r="C49" s="22" t="inlineStr">
        <is>
          <t>Swiss OR Art. 695</t>
        </is>
      </c>
      <c r="D49" s="22" t="inlineStr">
        <is>
          <t>N/A</t>
        </is>
      </c>
    </row>
    <row r="50">
      <c r="A50" s="22" t="inlineStr">
        <is>
          <t>Share Register</t>
        </is>
      </c>
      <c r="B50" s="22" t="inlineStr">
        <is>
          <t>Permanent</t>
        </is>
      </c>
      <c r="C50" s="22" t="inlineStr">
        <is>
          <t>Swiss OR Art. 686</t>
        </is>
      </c>
      <c r="D50" s="22" t="inlineStr">
        <is>
          <t>N/A</t>
        </is>
      </c>
    </row>
    <row r="51">
      <c r="A51" s="22" t="inlineStr">
        <is>
          <t>Correspondence</t>
        </is>
      </c>
      <c r="B51" s="22" t="inlineStr">
        <is>
          <t>No minimum</t>
        </is>
      </c>
      <c r="C51" s="22" t="inlineStr">
        <is>
          <t>Business need</t>
        </is>
      </c>
      <c r="D51" s="22" t="inlineStr">
        <is>
          <t>FADP: when no longer needed</t>
        </is>
      </c>
    </row>
    <row r="52">
      <c r="A52" s="22" t="inlineStr">
        <is>
          <t>Marketing Data</t>
        </is>
      </c>
      <c r="B52" s="22" t="inlineStr">
        <is>
          <t>No minimum</t>
        </is>
      </c>
      <c r="C52" s="22" t="inlineStr">
        <is>
          <t>Consent-based</t>
        </is>
      </c>
      <c r="D52" s="22" t="inlineStr">
        <is>
          <t>FADP: consent withdrawal</t>
        </is>
      </c>
    </row>
    <row r="53">
      <c r="A53" s="22" t="inlineStr">
        <is>
          <t>CCTV Footage</t>
        </is>
      </c>
      <c r="B53" s="22" t="inlineStr">
        <is>
          <t>No minimum</t>
        </is>
      </c>
      <c r="C53" s="22" t="inlineStr">
        <is>
          <t>Proportionality</t>
        </is>
      </c>
      <c r="D53" s="22" t="inlineStr">
        <is>
          <t>FADP: typically 30-90 days</t>
        </is>
      </c>
    </row>
    <row r="55">
      <c r="A55" s="17" t="inlineStr">
        <is>
          <t>Retention Calculation Methods</t>
        </is>
      </c>
    </row>
    <row r="56">
      <c r="A56" s="15" t="inlineStr">
        <is>
          <t>Method</t>
        </is>
      </c>
      <c r="B56" s="15" t="inlineStr">
        <is>
          <t>Definition</t>
        </is>
      </c>
      <c r="C56" s="15" t="inlineStr">
        <is>
          <t>Example</t>
        </is>
      </c>
    </row>
    <row r="57">
      <c r="A57" s="22" t="inlineStr">
        <is>
          <t>Fixed Period</t>
        </is>
      </c>
      <c r="B57" s="22" t="inlineStr">
        <is>
          <t>Set duration from creation/collection</t>
        </is>
      </c>
      <c r="C57" s="22" t="inlineStr">
        <is>
          <t>7 years from date of invoice</t>
        </is>
      </c>
    </row>
    <row r="58">
      <c r="A58" s="22" t="inlineStr">
        <is>
          <t>Event-Based</t>
        </is>
      </c>
      <c r="B58" s="22" t="inlineStr">
        <is>
          <t>Duration starts at specific event</t>
        </is>
      </c>
      <c r="C58" s="22" t="inlineStr">
        <is>
          <t>10 years from contract termination</t>
        </is>
      </c>
    </row>
    <row r="59">
      <c r="A59" s="22" t="inlineStr">
        <is>
          <t>Hybrid</t>
        </is>
      </c>
      <c r="B59" s="22" t="inlineStr">
        <is>
          <t>Combination of fixed + event</t>
        </is>
      </c>
      <c r="C59" s="22" t="inlineStr">
        <is>
          <t>3 years OR until litigation resolved</t>
        </is>
      </c>
    </row>
    <row r="60">
      <c r="A60" s="22" t="inlineStr">
        <is>
          <t>Indefinite (Permanent)</t>
        </is>
      </c>
      <c r="B60" s="22" t="inlineStr">
        <is>
          <t>No planned deletion</t>
        </is>
      </c>
      <c r="C60" s="22" t="inlineStr">
        <is>
          <t>Corporate charter documents</t>
        </is>
      </c>
    </row>
    <row r="61">
      <c r="A61" s="22" t="inlineStr">
        <is>
          <t>Until Consent Withdrawn</t>
        </is>
      </c>
      <c r="B61" s="22" t="inlineStr">
        <is>
          <t>Active until user action</t>
        </is>
      </c>
      <c r="C61" s="22" t="inlineStr">
        <is>
          <t>Marketing email list</t>
        </is>
      </c>
    </row>
    <row r="63">
      <c r="A63" s="17" t="inlineStr">
        <is>
          <t>EXCEPTIONS / DEVIATIONS</t>
        </is>
      </c>
    </row>
    <row r="64">
      <c r="A64" s="23" t="inlineStr">
        <is>
          <t>Document any exceptions or deviations from requirements here (e.g., data categories excluded from assessment, pending reviews, disputed retention periods):</t>
        </is>
      </c>
    </row>
    <row r="65"/>
    <row r="66"/>
  </sheetData>
  <mergeCells count="24">
    <mergeCell ref="B32:R32"/>
    <mergeCell ref="B26:R26"/>
    <mergeCell ref="A4:T6"/>
    <mergeCell ref="B35:R35"/>
    <mergeCell ref="A64:T66"/>
    <mergeCell ref="A55:C55"/>
    <mergeCell ref="B31:R31"/>
    <mergeCell ref="A1:T1"/>
    <mergeCell ref="B27:R27"/>
    <mergeCell ref="B39:R39"/>
    <mergeCell ref="A7:T7"/>
    <mergeCell ref="A25:T25"/>
    <mergeCell ref="B29:R29"/>
    <mergeCell ref="B38:R38"/>
    <mergeCell ref="B34:R34"/>
    <mergeCell ref="A2:T2"/>
    <mergeCell ref="B28:R28"/>
    <mergeCell ref="B37:R37"/>
    <mergeCell ref="B40:R40"/>
    <mergeCell ref="B30:R30"/>
    <mergeCell ref="B33:R33"/>
    <mergeCell ref="A63:T63"/>
    <mergeCell ref="A42:D42"/>
    <mergeCell ref="B36:R36"/>
  </mergeCells>
  <dataValidations count="8">
    <dataValidation sqref="B10:B100" showDropDown="0" showInputMessage="0" showErrorMessage="0" allowBlank="1" errorTitle="Invalid Classification" error="Please select from dropdown" type="list">
      <formula1>"Public,Internal,Confidential,Restricted"</formula1>
    </dataValidation>
    <dataValidation sqref="D10:D100" showDropDown="0" showInputMessage="0" showErrorMessage="0" allowBlank="1" errorTitle="Invalid Retention Period" error="Please select from dropdown" type="list">
      <formula1>"30 days,60 days,90 days,6 months,1 year,2 years,3 years,5 years,7 years,10 years,Permanent,Until Event Occurs,Other (specify in notes)"</formula1>
    </dataValidation>
    <dataValidation sqref="E10:E100" showDropDown="0" showInputMessage="0" showErrorMessage="0" allowBlank="1" errorTitle="Invalid Legal Basis" error="Please select from dropdown" type="list">
      <formula1>"Swiss FADP,EU GDPR,Swiss Code of Obligations (OR),Swiss Tax Law,EU ePrivacy Directive,Industry Standard (specify),Contractual Obligation,Legitimate Interest,Consent,Legal Obligation,Multiple Bases (specify),Other (specify in notes)"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R10:R100" showDropDown="0" showInputMessage="0" showErrorMessage="0" allowBlank="1" type="list">
      <formula1>"Fixed Period,Event-Based,Hybrid"</formula1>
    </dataValidation>
    <dataValidation sqref="T10:T100" showDropDown="0" showInputMessage="0" showErrorMessage="0" allowBlank="1" type="list">
      <formula1>"Yes,No,Partial,N/A"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20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18" customWidth="1" min="18" max="18"/>
    <col width="8" customWidth="1" min="19" max="19"/>
    <col width="22" customWidth="1" min="20" max="20"/>
  </cols>
  <sheetData>
    <row r="1" ht="35" customHeight="1">
      <c r="A1" s="11" t="inlineStr">
        <is>
          <t>SHEET 4: DELETION TRIGGER CONFIGURATION</t>
        </is>
      </c>
    </row>
    <row r="2">
      <c r="A2" s="12" t="inlineStr">
        <is>
          <t>Policy Reference: ISMS-POL-A.8.10-S2.1, Section 2.1.3</t>
        </is>
      </c>
    </row>
    <row r="4">
      <c r="A4" s="13" t="inlineStr">
        <is>
          <t>ASSESSMENT QUESTION:
Do we have effective and reliable deletion triggers that ensure data is deleted when retention periods expire?</t>
        </is>
      </c>
    </row>
    <row r="5"/>
    <row r="6"/>
    <row r="7">
      <c r="A7" s="14" t="inlineStr">
        <is>
          <t>Complete the yellow-highlighted cells below. Use dropdowns where provided. Link evidence in Column N to Evidence Register sheet.</t>
        </is>
      </c>
    </row>
    <row r="9" ht="35" customHeight="1">
      <c r="A9" s="15" t="inlineStr">
        <is>
          <t>Data Category / System Name</t>
        </is>
      </c>
      <c r="B9" s="15" t="inlineStr">
        <is>
          <t>Data Classification</t>
        </is>
      </c>
      <c r="C9" s="15" t="inlineStr">
        <is>
          <t>Business Owner</t>
        </is>
      </c>
      <c r="D9" s="15" t="inlineStr">
        <is>
          <t>Retention Period</t>
        </is>
      </c>
      <c r="E9" s="15" t="inlineStr">
        <is>
          <t>Legal/Regulatory Basis</t>
        </is>
      </c>
      <c r="F9" s="15" t="inlineStr">
        <is>
          <t>Status</t>
        </is>
      </c>
      <c r="G9" s="15" t="inlineStr">
        <is>
          <t>Implementation Date</t>
        </is>
      </c>
      <c r="H9" s="15" t="inlineStr">
        <is>
          <t>Last Review Date</t>
        </is>
      </c>
      <c r="I9" s="15" t="inlineStr">
        <is>
          <t>Next Review Date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Trigger Type</t>
        </is>
      </c>
      <c r="S9" s="15" t="inlineStr">
        <is>
          <t>Trigger Frequency</t>
        </is>
      </c>
      <c r="T9" s="15" t="inlineStr">
        <is>
          <t>Legal Hold Check Integrated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</row>
    <row r="25">
      <c r="A25" s="17" t="inlineStr">
        <is>
          <t>COMPLIANCE CHECKLIST - Mark ✅ or ❌</t>
        </is>
      </c>
    </row>
    <row r="26">
      <c r="A26" s="18" t="inlineStr">
        <is>
          <t>1.</t>
        </is>
      </c>
      <c r="B26" s="19" t="inlineStr">
        <is>
          <t>Automated deletion triggers implemented for high-volume data</t>
        </is>
      </c>
      <c r="S26" s="20" t="inlineStr"/>
      <c r="T26" s="21" t="inlineStr"/>
    </row>
    <row r="27">
      <c r="A27" s="18" t="inlineStr">
        <is>
          <t>2.</t>
        </is>
      </c>
      <c r="B27" s="19" t="inlineStr">
        <is>
          <t>Manual deletion procedures documented for low-volume data</t>
        </is>
      </c>
      <c r="S27" s="20" t="inlineStr"/>
      <c r="T27" s="21" t="inlineStr"/>
    </row>
    <row r="28">
      <c r="A28" s="18" t="inlineStr">
        <is>
          <t>3.</t>
        </is>
      </c>
      <c r="B28" s="19" t="inlineStr">
        <is>
          <t>Trigger execution is logged and auditable</t>
        </is>
      </c>
      <c r="S28" s="20" t="inlineStr"/>
      <c r="T28" s="21" t="inlineStr"/>
    </row>
    <row r="29">
      <c r="A29" s="18" t="inlineStr">
        <is>
          <t>4.</t>
        </is>
      </c>
      <c r="B29" s="19" t="inlineStr">
        <is>
          <t>Failed deletion attempts are alerted and investigated</t>
        </is>
      </c>
      <c r="S29" s="20" t="inlineStr"/>
      <c r="T29" s="21" t="inlineStr"/>
    </row>
    <row r="30">
      <c r="A30" s="18" t="inlineStr">
        <is>
          <t>5.</t>
        </is>
      </c>
      <c r="B30" s="19" t="inlineStr">
        <is>
          <t>Legal hold checks are integrated into trigger logic</t>
        </is>
      </c>
      <c r="S30" s="20" t="inlineStr"/>
      <c r="T30" s="21" t="inlineStr"/>
    </row>
    <row r="31">
      <c r="A31" s="18" t="inlineStr">
        <is>
          <t>6.</t>
        </is>
      </c>
      <c r="B31" s="19" t="inlineStr">
        <is>
          <t>Backup deletion triggers aligned with active data triggers</t>
        </is>
      </c>
      <c r="S31" s="20" t="inlineStr"/>
      <c r="T31" s="21" t="inlineStr"/>
    </row>
    <row r="32">
      <c r="A32" s="18" t="inlineStr">
        <is>
          <t>7.</t>
        </is>
      </c>
      <c r="B32" s="19" t="inlineStr">
        <is>
          <t>Cloud/SaaS deletion triggers verified (see A.8.10.3)</t>
        </is>
      </c>
      <c r="S32" s="20" t="inlineStr"/>
      <c r="T32" s="21" t="inlineStr"/>
    </row>
    <row r="33">
      <c r="A33" s="18" t="inlineStr">
        <is>
          <t>8.</t>
        </is>
      </c>
      <c r="B33" s="19" t="inlineStr">
        <is>
          <t>Event-based triggers are monitored for event occurrence</t>
        </is>
      </c>
      <c r="S33" s="20" t="inlineStr"/>
      <c r="T33" s="21" t="inlineStr"/>
    </row>
    <row r="34">
      <c r="A34" s="18" t="inlineStr">
        <is>
          <t>9.</t>
        </is>
      </c>
      <c r="B34" s="19" t="inlineStr">
        <is>
          <t>Deletion triggers tested at least annually</t>
        </is>
      </c>
      <c r="S34" s="20" t="inlineStr"/>
      <c r="T34" s="21" t="inlineStr"/>
    </row>
    <row r="35">
      <c r="A35" s="18" t="inlineStr">
        <is>
          <t>10.</t>
        </is>
      </c>
      <c r="B35" s="19" t="inlineStr">
        <is>
          <t>Trigger failures have defined escalation procedures</t>
        </is>
      </c>
      <c r="S35" s="20" t="inlineStr"/>
      <c r="T35" s="21" t="inlineStr"/>
    </row>
    <row r="36">
      <c r="A36" s="18" t="inlineStr">
        <is>
          <t>11.</t>
        </is>
      </c>
      <c r="B36" s="19" t="inlineStr">
        <is>
          <t>Business Owner approval required for manual triggers (if policy requires)</t>
        </is>
      </c>
      <c r="S36" s="20" t="inlineStr"/>
      <c r="T36" s="21" t="inlineStr"/>
    </row>
    <row r="37">
      <c r="A37" s="18" t="inlineStr">
        <is>
          <t>12.</t>
        </is>
      </c>
      <c r="B37" s="19" t="inlineStr">
        <is>
          <t>Deletion triggers respect data dependencies (referential integrity)</t>
        </is>
      </c>
      <c r="S37" s="20" t="inlineStr"/>
      <c r="T37" s="21" t="inlineStr"/>
    </row>
    <row r="38">
      <c r="A38" s="18" t="inlineStr">
        <is>
          <t>13.</t>
        </is>
      </c>
      <c r="B38" s="19" t="inlineStr">
        <is>
          <t>Triggers account for data in transit (queues, caches)</t>
        </is>
      </c>
      <c r="S38" s="20" t="inlineStr"/>
      <c r="T38" s="21" t="inlineStr"/>
    </row>
    <row r="39">
      <c r="A39" s="18" t="inlineStr">
        <is>
          <t>14.</t>
        </is>
      </c>
      <c r="B39" s="19" t="inlineStr">
        <is>
          <t>Deletion trigger schedule published and communicated</t>
        </is>
      </c>
      <c r="S39" s="20" t="inlineStr"/>
      <c r="T39" s="21" t="inlineStr"/>
    </row>
    <row r="40">
      <c r="A40" s="18" t="inlineStr">
        <is>
          <t>15.</t>
        </is>
      </c>
      <c r="B40" s="19" t="inlineStr">
        <is>
          <t>Trigger configuration changes follow change management</t>
        </is>
      </c>
      <c r="S40" s="20" t="inlineStr"/>
      <c r="T40" s="21" t="inlineStr"/>
    </row>
    <row r="42">
      <c r="A42" s="17" t="inlineStr">
        <is>
          <t>Trigger Types and Use Cases</t>
        </is>
      </c>
    </row>
    <row r="43">
      <c r="A43" s="15" t="inlineStr">
        <is>
          <t>Trigger Type</t>
        </is>
      </c>
      <c r="B43" s="15" t="inlineStr">
        <is>
          <t>Best For</t>
        </is>
      </c>
      <c r="C43" s="15" t="inlineStr">
        <is>
          <t>Advantages</t>
        </is>
      </c>
      <c r="D43" s="15" t="inlineStr">
        <is>
          <t>Disadvantages</t>
        </is>
      </c>
    </row>
    <row r="44">
      <c r="A44" s="22" t="inlineStr">
        <is>
          <t>Automatic</t>
        </is>
      </c>
      <c r="B44" s="22" t="inlineStr">
        <is>
          <t>High-volume, structured data</t>
        </is>
      </c>
      <c r="C44" s="22" t="inlineStr">
        <is>
          <t>Consistent, no human error</t>
        </is>
      </c>
      <c r="D44" s="22" t="inlineStr">
        <is>
          <t>Requires robust testing</t>
        </is>
      </c>
    </row>
    <row r="45">
      <c r="A45" s="22" t="inlineStr">
        <is>
          <t>Manual</t>
        </is>
      </c>
      <c r="B45" s="22" t="inlineStr">
        <is>
          <t>Low-volume, sensitive data</t>
        </is>
      </c>
      <c r="C45" s="22" t="inlineStr">
        <is>
          <t>Controlled, deliberate</t>
        </is>
      </c>
      <c r="D45" s="22" t="inlineStr">
        <is>
          <t>Human error risk, slower</t>
        </is>
      </c>
    </row>
    <row r="46">
      <c r="A46" s="22" t="inlineStr">
        <is>
          <t>Semi-Automatic</t>
        </is>
      </c>
      <c r="B46" s="22" t="inlineStr">
        <is>
          <t>Medium volume, needs approval</t>
        </is>
      </c>
      <c r="C46" s="22" t="inlineStr">
        <is>
          <t>Balance control and efficiency</t>
        </is>
      </c>
      <c r="D46" s="22" t="inlineStr">
        <is>
          <t>Workflow complexity</t>
        </is>
      </c>
    </row>
    <row r="47">
      <c r="A47" s="22" t="inlineStr">
        <is>
          <t>Event-Based</t>
        </is>
      </c>
      <c r="B47" s="22" t="inlineStr">
        <is>
          <t>Contract-dependent data</t>
        </is>
      </c>
      <c r="C47" s="22" t="inlineStr">
        <is>
          <t>Precise, legally aligned</t>
        </is>
      </c>
      <c r="D47" s="22" t="inlineStr">
        <is>
          <t>Requires event tracking</t>
        </is>
      </c>
    </row>
    <row r="49">
      <c r="A49" s="17" t="inlineStr">
        <is>
          <t>Common Deletion Trigger Patterns</t>
        </is>
      </c>
    </row>
    <row r="50">
      <c r="A50" s="15" t="inlineStr">
        <is>
          <t>Pattern</t>
        </is>
      </c>
      <c r="B50" s="15" t="inlineStr">
        <is>
          <t>Description</t>
        </is>
      </c>
      <c r="C50" s="15" t="inlineStr">
        <is>
          <t>Example Implementation</t>
        </is>
      </c>
    </row>
    <row r="51">
      <c r="A51" s="22" t="inlineStr">
        <is>
          <t>Time-Based Cron</t>
        </is>
      </c>
      <c r="B51" s="22" t="inlineStr">
        <is>
          <t>Scheduled deletion job</t>
        </is>
      </c>
      <c r="C51" s="22" t="inlineStr">
        <is>
          <t>Daily at 02:00 UTC, delete records &gt; 7 years</t>
        </is>
      </c>
    </row>
    <row r="52">
      <c r="A52" s="22" t="inlineStr">
        <is>
          <t>Database TTL</t>
        </is>
      </c>
      <c r="B52" s="22" t="inlineStr">
        <is>
          <t>Built-in expiration</t>
        </is>
      </c>
      <c r="C52" s="22" t="inlineStr">
        <is>
          <t>MongoDB TTL index, Redis EXPIRE</t>
        </is>
      </c>
    </row>
    <row r="53">
      <c r="A53" s="22" t="inlineStr">
        <is>
          <t>Lifecycle Policy</t>
        </is>
      </c>
      <c r="B53" s="22" t="inlineStr">
        <is>
          <t>Cloud-native deletion</t>
        </is>
      </c>
      <c r="C53" s="22" t="inlineStr">
        <is>
          <t>AWS S3 Lifecycle, Azure Blob Lifecycle</t>
        </is>
      </c>
    </row>
    <row r="54">
      <c r="A54" s="22" t="inlineStr">
        <is>
          <t>Workflow Approval</t>
        </is>
      </c>
      <c r="B54" s="22" t="inlineStr">
        <is>
          <t>Human-in-the-loop</t>
        </is>
      </c>
      <c r="C54" s="22" t="inlineStr">
        <is>
          <t>Jira ticket → approval → script execution</t>
        </is>
      </c>
    </row>
    <row r="55">
      <c r="A55" s="22" t="inlineStr">
        <is>
          <t>Event Listener</t>
        </is>
      </c>
      <c r="B55" s="22" t="inlineStr">
        <is>
          <t>Reactive deletion</t>
        </is>
      </c>
      <c r="C55" s="22" t="inlineStr">
        <is>
          <t>Contract.status = terminated → 90-day timer → delete</t>
        </is>
      </c>
    </row>
    <row r="56">
      <c r="A56" s="22" t="inlineStr">
        <is>
          <t>Batch Processing</t>
        </is>
      </c>
      <c r="B56" s="22" t="inlineStr">
        <is>
          <t>Periodic bulk deletion</t>
        </is>
      </c>
      <c r="C56" s="22" t="inlineStr">
        <is>
          <t>Monthly job: identify + delete expired records</t>
        </is>
      </c>
    </row>
    <row r="58">
      <c r="A58" s="17" t="inlineStr">
        <is>
          <t>EXCEPTIONS / DEVIATIONS</t>
        </is>
      </c>
    </row>
    <row r="59">
      <c r="A59" s="23" t="inlineStr">
        <is>
          <t>Document any exceptions or deviations from requirements here (e.g., data categories excluded from assessment, pending reviews, disputed retention periods):</t>
        </is>
      </c>
    </row>
    <row r="60"/>
    <row r="61"/>
  </sheetData>
  <mergeCells count="24">
    <mergeCell ref="B32:R32"/>
    <mergeCell ref="B26:R26"/>
    <mergeCell ref="A59:T61"/>
    <mergeCell ref="A58:T58"/>
    <mergeCell ref="A4:T6"/>
    <mergeCell ref="B35:R35"/>
    <mergeCell ref="B31:R31"/>
    <mergeCell ref="A1:T1"/>
    <mergeCell ref="B27:R27"/>
    <mergeCell ref="B39:R39"/>
    <mergeCell ref="A7:T7"/>
    <mergeCell ref="A25:T25"/>
    <mergeCell ref="B29:R29"/>
    <mergeCell ref="B38:R38"/>
    <mergeCell ref="B34:R34"/>
    <mergeCell ref="A2:T2"/>
    <mergeCell ref="B28:R28"/>
    <mergeCell ref="B37:R37"/>
    <mergeCell ref="B40:R40"/>
    <mergeCell ref="A49:C49"/>
    <mergeCell ref="B30:R30"/>
    <mergeCell ref="B33:R33"/>
    <mergeCell ref="A42:D42"/>
    <mergeCell ref="B36:R36"/>
  </mergeCells>
  <dataValidations count="9">
    <dataValidation sqref="B10:B100" showDropDown="0" showInputMessage="0" showErrorMessage="0" allowBlank="1" errorTitle="Invalid Classification" error="Please select from dropdown" type="list">
      <formula1>"Public,Internal,Confidential,Restricted"</formula1>
    </dataValidation>
    <dataValidation sqref="D10:D100" showDropDown="0" showInputMessage="0" showErrorMessage="0" allowBlank="1" errorTitle="Invalid Retention Period" error="Please select from dropdown" type="list">
      <formula1>"30 days,60 days,90 days,6 months,1 year,2 years,3 years,5 years,7 years,10 years,Permanent,Until Event Occurs,Other (specify in notes)"</formula1>
    </dataValidation>
    <dataValidation sqref="E10:E100" showDropDown="0" showInputMessage="0" showErrorMessage="0" allowBlank="1" errorTitle="Invalid Legal Basis" error="Please select from dropdown" type="list">
      <formula1>"Swiss FADP,EU GDPR,Swiss Code of Obligations (OR),Swiss Tax Law,EU ePrivacy Directive,Industry Standard (specify),Contractual Obligation,Legitimate Interest,Consent,Legal Obligation,Multiple Bases (specify),Other (specify in notes)"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R10:R100" showDropDown="0" showInputMessage="0" showErrorMessage="0" allowBlank="1" type="list">
      <formula1>"Automatic,Manual,Semi-Automatic,Event-Based"</formula1>
    </dataValidation>
    <dataValidation sqref="S10:S100" showDropDown="0" showInputMessage="0" showErrorMessage="0" allowBlank="1" type="list">
      <formula1>"Real-time,Daily,Weekly,Monthly,Quarterly,Annual,Ad-hoc"</formula1>
    </dataValidation>
    <dataValidation sqref="T10:T100" showDropDown="0" showInputMessage="0" showErrorMessage="0" allowBlank="1" type="list">
      <formula1>"Yes - Automated,Yes - Manual,No,N/A"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20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15" customWidth="1" min="18" max="18"/>
    <col width="8" customWidth="1" min="19" max="19"/>
    <col width="18" customWidth="1" min="20" max="20"/>
  </cols>
  <sheetData>
    <row r="1" ht="35" customHeight="1">
      <c r="A1" s="11" t="inlineStr">
        <is>
          <t>SHEET 5: LEGAL HOLD MANAGEMENT</t>
        </is>
      </c>
    </row>
    <row r="2">
      <c r="A2" s="12" t="inlineStr">
        <is>
          <t>Policy Reference: ISMS-POL-A.8.10-S2.1, Section 2.1.4</t>
        </is>
      </c>
    </row>
    <row r="4">
      <c r="A4" s="13" t="inlineStr">
        <is>
          <t>ASSESSMENT QUESTION:
Do we have robust processes to identify, communicate, and manage legal holds to prevent premature deletion of data under hold?</t>
        </is>
      </c>
    </row>
    <row r="5"/>
    <row r="6"/>
    <row r="7">
      <c r="A7" s="14" t="inlineStr">
        <is>
          <t>Complete the yellow-highlighted cells below. Use dropdowns where provided. Link evidence in Column N to Evidence Register sheet.</t>
        </is>
      </c>
    </row>
    <row r="9" ht="35" customHeight="1">
      <c r="A9" s="15" t="inlineStr">
        <is>
          <t>Data Category / System Name</t>
        </is>
      </c>
      <c r="B9" s="15" t="inlineStr">
        <is>
          <t>Data Classification</t>
        </is>
      </c>
      <c r="C9" s="15" t="inlineStr">
        <is>
          <t>Business Owner</t>
        </is>
      </c>
      <c r="D9" s="15" t="inlineStr">
        <is>
          <t>Retention Period</t>
        </is>
      </c>
      <c r="E9" s="15" t="inlineStr">
        <is>
          <t>Legal/Regulatory Basis</t>
        </is>
      </c>
      <c r="F9" s="15" t="inlineStr">
        <is>
          <t>Status</t>
        </is>
      </c>
      <c r="G9" s="15" t="inlineStr">
        <is>
          <t>Implementation Date</t>
        </is>
      </c>
      <c r="H9" s="15" t="inlineStr">
        <is>
          <t>Last Review Date</t>
        </is>
      </c>
      <c r="I9" s="15" t="inlineStr">
        <is>
          <t>Next Review Date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Active Legal Holds</t>
        </is>
      </c>
      <c r="S9" s="15" t="inlineStr">
        <is>
          <t>Legal Hold Notification Process</t>
        </is>
      </c>
      <c r="T9" s="15" t="inlineStr">
        <is>
          <t>Hold Review Frequency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</row>
    <row r="25">
      <c r="A25" s="17" t="inlineStr">
        <is>
          <t>COMPLIANCE CHECKLIST - Mark ✅ or ❌</t>
        </is>
      </c>
    </row>
    <row r="26">
      <c r="A26" s="18" t="inlineStr">
        <is>
          <t>1.</t>
        </is>
      </c>
      <c r="B26" s="19" t="inlineStr">
        <is>
          <t>Legal hold procedures are documented and approved</t>
        </is>
      </c>
      <c r="S26" s="20" t="inlineStr"/>
      <c r="T26" s="21" t="inlineStr"/>
    </row>
    <row r="27">
      <c r="A27" s="18" t="inlineStr">
        <is>
          <t>2.</t>
        </is>
      </c>
      <c r="B27" s="19" t="inlineStr">
        <is>
          <t>Legal/Compliance team has authority to initiate holds</t>
        </is>
      </c>
      <c r="S27" s="20" t="inlineStr"/>
      <c r="T27" s="21" t="inlineStr"/>
    </row>
    <row r="28">
      <c r="A28" s="18" t="inlineStr">
        <is>
          <t>3.</t>
        </is>
      </c>
      <c r="B28" s="19" t="inlineStr">
        <is>
          <t>IT/Data teams receive timely notification of holds</t>
        </is>
      </c>
      <c r="S28" s="20" t="inlineStr"/>
      <c r="T28" s="21" t="inlineStr"/>
    </row>
    <row r="29">
      <c r="A29" s="18" t="inlineStr">
        <is>
          <t>4.</t>
        </is>
      </c>
      <c r="B29" s="19" t="inlineStr">
        <is>
          <t>Hold notification includes specific data categories and date ranges</t>
        </is>
      </c>
      <c r="S29" s="20" t="inlineStr"/>
      <c r="T29" s="21" t="inlineStr"/>
    </row>
    <row r="30">
      <c r="A30" s="18" t="inlineStr">
        <is>
          <t>5.</t>
        </is>
      </c>
      <c r="B30" s="19" t="inlineStr">
        <is>
          <t>Automated deletion triggers check for active holds</t>
        </is>
      </c>
      <c r="S30" s="20" t="inlineStr"/>
      <c r="T30" s="21" t="inlineStr"/>
    </row>
    <row r="31">
      <c r="A31" s="18" t="inlineStr">
        <is>
          <t>6.</t>
        </is>
      </c>
      <c r="B31" s="19" t="inlineStr">
        <is>
          <t>Legal hold data is segregated or flagged in systems</t>
        </is>
      </c>
      <c r="S31" s="20" t="inlineStr"/>
      <c r="T31" s="21" t="inlineStr"/>
    </row>
    <row r="32">
      <c r="A32" s="18" t="inlineStr">
        <is>
          <t>7.</t>
        </is>
      </c>
      <c r="B32" s="19" t="inlineStr">
        <is>
          <t>Legal hold registry is maintained (who, what, when, why)</t>
        </is>
      </c>
      <c r="S32" s="20" t="inlineStr"/>
      <c r="T32" s="21" t="inlineStr"/>
    </row>
    <row r="33">
      <c r="A33" s="18" t="inlineStr">
        <is>
          <t>8.</t>
        </is>
      </c>
      <c r="B33" s="19" t="inlineStr">
        <is>
          <t>Business Owners are notified when their data is under hold</t>
        </is>
      </c>
      <c r="S33" s="20" t="inlineStr"/>
      <c r="T33" s="21" t="inlineStr"/>
    </row>
    <row r="34">
      <c r="A34" s="18" t="inlineStr">
        <is>
          <t>9.</t>
        </is>
      </c>
      <c r="B34" s="19" t="inlineStr">
        <is>
          <t>Periodic review of active holds (at least quarterly)</t>
        </is>
      </c>
      <c r="S34" s="20" t="inlineStr"/>
      <c r="T34" s="21" t="inlineStr"/>
    </row>
    <row r="35">
      <c r="A35" s="18" t="inlineStr">
        <is>
          <t>10.</t>
        </is>
      </c>
      <c r="B35" s="19" t="inlineStr">
        <is>
          <t>Hold release procedures are documented</t>
        </is>
      </c>
      <c r="S35" s="20" t="inlineStr"/>
      <c r="T35" s="21" t="inlineStr"/>
    </row>
    <row r="36">
      <c r="A36" s="18" t="inlineStr">
        <is>
          <t>11.</t>
        </is>
      </c>
      <c r="B36" s="19" t="inlineStr">
        <is>
          <t>Post-hold deletion is executed per normal retention schedule</t>
        </is>
      </c>
      <c r="S36" s="20" t="inlineStr"/>
      <c r="T36" s="21" t="inlineStr"/>
    </row>
    <row r="37">
      <c r="A37" s="18" t="inlineStr">
        <is>
          <t>12.</t>
        </is>
      </c>
      <c r="B37" s="19" t="inlineStr">
        <is>
          <t>Legal hold training provided to relevant staf</t>
        </is>
      </c>
      <c r="S37" s="20" t="inlineStr"/>
      <c r="T37" s="21" t="inlineStr"/>
    </row>
    <row r="38">
      <c r="A38" s="18" t="inlineStr">
        <is>
          <t>13.</t>
        </is>
      </c>
      <c r="B38" s="19" t="inlineStr">
        <is>
          <t>Legal hold breaches (accidental deletion) are reported and investigated</t>
        </is>
      </c>
      <c r="S38" s="20" t="inlineStr"/>
      <c r="T38" s="21" t="inlineStr"/>
    </row>
    <row r="39">
      <c r="A39" s="18" t="inlineStr">
        <is>
          <t>14.</t>
        </is>
      </c>
      <c r="B39" s="19" t="inlineStr">
        <is>
          <t>Legal hold scope is clearly defined (not overly broad)</t>
        </is>
      </c>
      <c r="S39" s="20" t="inlineStr"/>
      <c r="T39" s="21" t="inlineStr"/>
    </row>
    <row r="40">
      <c r="A40" s="18" t="inlineStr">
        <is>
          <t>15.</t>
        </is>
      </c>
      <c r="B40" s="19" t="inlineStr">
        <is>
          <t>Legal hold process tested at least annually</t>
        </is>
      </c>
      <c r="S40" s="20" t="inlineStr"/>
      <c r="T40" s="21" t="inlineStr"/>
    </row>
    <row r="42">
      <c r="A42" s="17" t="inlineStr">
        <is>
          <t>Legal Hold Triggers</t>
        </is>
      </c>
    </row>
    <row r="43">
      <c r="A43" s="15" t="inlineStr">
        <is>
          <t>Trigger Event</t>
        </is>
      </c>
      <c r="B43" s="15" t="inlineStr">
        <is>
          <t>Typical Response Time</t>
        </is>
      </c>
      <c r="C43" s="15" t="inlineStr">
        <is>
          <t>Hold Scope</t>
        </is>
      </c>
    </row>
    <row r="44">
      <c r="A44" s="22" t="inlineStr">
        <is>
          <t>Litigation Notice</t>
        </is>
      </c>
      <c r="B44" s="22" t="inlineStr">
        <is>
          <t>Within 24 hours</t>
        </is>
      </c>
      <c r="C44" s="22" t="inlineStr">
        <is>
          <t>All relevant data for case</t>
        </is>
      </c>
    </row>
    <row r="45">
      <c r="A45" s="22" t="inlineStr">
        <is>
          <t>Regulatory Investigation</t>
        </is>
      </c>
      <c r="B45" s="22" t="inlineStr">
        <is>
          <t>Within 48 hours</t>
        </is>
      </c>
      <c r="C45" s="22" t="inlineStr">
        <is>
          <t>Specified data types/periods</t>
        </is>
      </c>
    </row>
    <row r="46">
      <c r="A46" s="22" t="inlineStr">
        <is>
          <t>Internal Investigation</t>
        </is>
      </c>
      <c r="B46" s="22" t="inlineStr">
        <is>
          <t>Within 72 hours</t>
        </is>
      </c>
      <c r="C46" s="22" t="inlineStr">
        <is>
          <t>Specific employees/systems</t>
        </is>
      </c>
    </row>
    <row r="47">
      <c r="A47" s="22" t="inlineStr">
        <is>
          <t>M&amp;A Due Diligence</t>
        </is>
      </c>
      <c r="B47" s="22" t="inlineStr">
        <is>
          <t>Within 1 week</t>
        </is>
      </c>
      <c r="C47" s="22" t="inlineStr">
        <is>
          <t>All corporate records</t>
        </is>
      </c>
    </row>
    <row r="48">
      <c r="A48" s="22" t="inlineStr">
        <is>
          <t>Employment Dispute</t>
        </is>
      </c>
      <c r="B48" s="22" t="inlineStr">
        <is>
          <t>Within 48 hours</t>
        </is>
      </c>
      <c r="C48" s="22" t="inlineStr">
        <is>
          <t>Employee records + communications</t>
        </is>
      </c>
    </row>
    <row r="49">
      <c r="A49" s="22" t="inlineStr">
        <is>
          <t>IP Dispute</t>
        </is>
      </c>
      <c r="B49" s="22" t="inlineStr">
        <is>
          <t>Within 72 hours</t>
        </is>
      </c>
      <c r="C49" s="22" t="inlineStr">
        <is>
          <t>Development records, communications</t>
        </is>
      </c>
    </row>
    <row r="50">
      <c r="A50" s="22" t="inlineStr">
        <is>
          <t>Data Breach Investigation</t>
        </is>
      </c>
      <c r="B50" s="22" t="inlineStr">
        <is>
          <t>Immediate</t>
        </is>
      </c>
      <c r="C50" s="22" t="inlineStr">
        <is>
          <t>Affected systems/logs</t>
        </is>
      </c>
    </row>
    <row r="51">
      <c r="A51" s="22" t="inlineStr">
        <is>
          <t>Audit Notification</t>
        </is>
      </c>
      <c r="B51" s="22" t="inlineStr">
        <is>
          <t>Within 1 week</t>
        </is>
      </c>
      <c r="C51" s="22" t="inlineStr">
        <is>
          <t>Records relevant to audit scope</t>
        </is>
      </c>
    </row>
    <row r="53">
      <c r="A53" s="17" t="inlineStr">
        <is>
          <t>Hold Management Best Practices</t>
        </is>
      </c>
    </row>
    <row r="54">
      <c r="A54" s="15" t="inlineStr">
        <is>
          <t>Practice</t>
        </is>
      </c>
      <c r="B54" s="15" t="inlineStr">
        <is>
          <t>Purpose</t>
        </is>
      </c>
      <c r="C54" s="15" t="inlineStr">
        <is>
          <t>Implementation</t>
        </is>
      </c>
    </row>
    <row r="55">
      <c r="A55" s="22" t="inlineStr">
        <is>
          <t>Centralised Hold Registry</t>
        </is>
      </c>
      <c r="B55" s="22" t="inlineStr">
        <is>
          <t>Single source of truth</t>
        </is>
      </c>
      <c r="C55" s="22" t="inlineStr">
        <is>
          <t>Legal hold database/system</t>
        </is>
      </c>
    </row>
    <row r="56">
      <c r="A56" s="22" t="inlineStr">
        <is>
          <t>Automated Flagging</t>
        </is>
      </c>
      <c r="B56" s="22" t="inlineStr">
        <is>
          <t>Prevent accidental deletion</t>
        </is>
      </c>
      <c r="C56" s="22" t="inlineStr">
        <is>
          <t>System flags or separate storage</t>
        </is>
      </c>
    </row>
    <row r="57">
      <c r="A57" s="22" t="inlineStr">
        <is>
          <t>Regular Hold Reviews</t>
        </is>
      </c>
      <c r="B57" s="22" t="inlineStr">
        <is>
          <t>Release unnecessary holds</t>
        </is>
      </c>
      <c r="C57" s="22" t="inlineStr">
        <is>
          <t>Quarterly review meetings</t>
        </is>
      </c>
    </row>
    <row r="58">
      <c r="A58" s="22" t="inlineStr">
        <is>
          <t>Clear Release Process</t>
        </is>
      </c>
      <c r="B58" s="22" t="inlineStr">
        <is>
          <t>Controlled return to normal deletion</t>
        </is>
      </c>
      <c r="C58" s="22" t="inlineStr">
        <is>
          <t>Legal approval required</t>
        </is>
      </c>
    </row>
    <row r="59">
      <c r="A59" s="22" t="inlineStr">
        <is>
          <t>Documentation Requirements</t>
        </is>
      </c>
      <c r="B59" s="22" t="inlineStr">
        <is>
          <t>Audit trail</t>
        </is>
      </c>
      <c r="C59" s="22" t="inlineStr">
        <is>
          <t>Who, what, when, why, how long</t>
        </is>
      </c>
    </row>
    <row r="60">
      <c r="A60" s="22" t="inlineStr">
        <is>
          <t>Scope Definition</t>
        </is>
      </c>
      <c r="B60" s="22" t="inlineStr">
        <is>
          <t>Avoid over-preservation</t>
        </is>
      </c>
      <c r="C60" s="22" t="inlineStr">
        <is>
          <t>Specific data types, date ranges</t>
        </is>
      </c>
    </row>
    <row r="61">
      <c r="A61" s="22" t="inlineStr">
        <is>
          <t>Cost Tracking</t>
        </is>
      </c>
      <c r="B61" s="22" t="inlineStr">
        <is>
          <t>Understand hold impact</t>
        </is>
      </c>
      <c r="C61" s="22" t="inlineStr">
        <is>
          <t>Storage costs, resource time</t>
        </is>
      </c>
    </row>
    <row r="63">
      <c r="A63" s="17" t="inlineStr">
        <is>
          <t>EXCEPTIONS / DEVIATIONS</t>
        </is>
      </c>
    </row>
    <row r="64">
      <c r="A64" s="23" t="inlineStr">
        <is>
          <t>Document any exceptions or deviations from requirements here (e.g., data categories excluded from assessment, pending reviews, disputed retention periods):</t>
        </is>
      </c>
    </row>
    <row r="65"/>
    <row r="66"/>
  </sheetData>
  <mergeCells count="24">
    <mergeCell ref="B32:R32"/>
    <mergeCell ref="B26:R26"/>
    <mergeCell ref="A4:T6"/>
    <mergeCell ref="B35:R35"/>
    <mergeCell ref="A64:T66"/>
    <mergeCell ref="B31:R31"/>
    <mergeCell ref="A1:T1"/>
    <mergeCell ref="A42:C42"/>
    <mergeCell ref="B27:R27"/>
    <mergeCell ref="B39:R39"/>
    <mergeCell ref="A7:T7"/>
    <mergeCell ref="A25:T25"/>
    <mergeCell ref="A53:C53"/>
    <mergeCell ref="B29:R29"/>
    <mergeCell ref="B38:R38"/>
    <mergeCell ref="B34:R34"/>
    <mergeCell ref="A2:T2"/>
    <mergeCell ref="B28:R28"/>
    <mergeCell ref="B37:R37"/>
    <mergeCell ref="B40:R40"/>
    <mergeCell ref="B30:R30"/>
    <mergeCell ref="B33:R33"/>
    <mergeCell ref="A63:T63"/>
    <mergeCell ref="B36:R36"/>
  </mergeCells>
  <dataValidations count="8">
    <dataValidation sqref="B10:B100" showDropDown="0" showInputMessage="0" showErrorMessage="0" allowBlank="1" errorTitle="Invalid Classification" error="Please select from dropdown" type="list">
      <formula1>"Public,Internal,Confidential,Restricted"</formula1>
    </dataValidation>
    <dataValidation sqref="D10:D100" showDropDown="0" showInputMessage="0" showErrorMessage="0" allowBlank="1" errorTitle="Invalid Retention Period" error="Please select from dropdown" type="list">
      <formula1>"30 days,60 days,90 days,6 months,1 year,2 years,3 years,5 years,7 years,10 years,Permanent,Until Event Occurs,Other (specify in notes)"</formula1>
    </dataValidation>
    <dataValidation sqref="E10:E100" showDropDown="0" showInputMessage="0" showErrorMessage="0" allowBlank="1" errorTitle="Invalid Legal Basis" error="Please select from dropdown" type="list">
      <formula1>"Swiss FADP,EU GDPR,Swiss Code of Obligations (OR),Swiss Tax Law,EU ePrivacy Directive,Industry Standard (specify),Contractual Obligation,Legitimate Interest,Consent,Legal Obligation,Multiple Bases (specify),Other (specify in notes)"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S10:S100" showDropDown="0" showInputMessage="0" showErrorMessage="0" allowBlank="1" type="list">
      <formula1>"Automated,Manual,Hybrid,None"</formula1>
    </dataValidation>
    <dataValidation sqref="T10:T100" showDropDown="0" showInputMessage="0" showErrorMessage="0" allowBlank="1" type="list">
      <formula1>"Weekly,Monthly,Quarterly,Annual"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7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20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0" customWidth="1" min="18" max="18"/>
    <col width="8" customWidth="1" min="19" max="19"/>
    <col width="22" customWidth="1" min="20" max="20"/>
  </cols>
  <sheetData>
    <row r="1" ht="35" customHeight="1">
      <c r="A1" s="11" t="inlineStr">
        <is>
          <t>SHEET 6: DATA SUBJECT REQUESTS (GDPR/FADP)</t>
        </is>
      </c>
    </row>
    <row r="2">
      <c r="A2" s="12" t="inlineStr">
        <is>
          <t>Policy Reference: ISMS-POL-A.8.10-S2.1, Section 2.1.5</t>
        </is>
      </c>
    </row>
    <row r="4">
      <c r="A4" s="13" t="inlineStr">
        <is>
          <t>ASSESSMENT QUESTION:
Can we effectively identify, validate, and execute deletion requests from data subjects within required timeframes?</t>
        </is>
      </c>
    </row>
    <row r="5"/>
    <row r="6"/>
    <row r="7">
      <c r="A7" s="14" t="inlineStr">
        <is>
          <t>Complete the yellow-highlighted cells below. Use dropdowns where provided. Link evidence in Column N to Evidence Register sheet.</t>
        </is>
      </c>
    </row>
    <row r="9" ht="35" customHeight="1">
      <c r="A9" s="15" t="inlineStr">
        <is>
          <t>Data Category / System Name</t>
        </is>
      </c>
      <c r="B9" s="15" t="inlineStr">
        <is>
          <t>Data Classification</t>
        </is>
      </c>
      <c r="C9" s="15" t="inlineStr">
        <is>
          <t>Business Owner</t>
        </is>
      </c>
      <c r="D9" s="15" t="inlineStr">
        <is>
          <t>Retention Period</t>
        </is>
      </c>
      <c r="E9" s="15" t="inlineStr">
        <is>
          <t>Legal/Regulatory Basis</t>
        </is>
      </c>
      <c r="F9" s="15" t="inlineStr">
        <is>
          <t>Status</t>
        </is>
      </c>
      <c r="G9" s="15" t="inlineStr">
        <is>
          <t>Implementation Date</t>
        </is>
      </c>
      <c r="H9" s="15" t="inlineStr">
        <is>
          <t>Last Review Date</t>
        </is>
      </c>
      <c r="I9" s="15" t="inlineStr">
        <is>
          <t>Next Review Date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Average Response Time (Days)</t>
        </is>
      </c>
      <c r="S9" s="15" t="inlineStr">
        <is>
          <t>GDPR/FADP Applicable</t>
        </is>
      </c>
      <c r="T9" s="15" t="inlineStr">
        <is>
          <t>Request Volume (Last 12 Months)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</row>
    <row r="25">
      <c r="A25" s="17" t="inlineStr">
        <is>
          <t>COMPLIANCE CHECKLIST - Mark ✅ or ❌</t>
        </is>
      </c>
    </row>
    <row r="26">
      <c r="A26" s="18" t="inlineStr">
        <is>
          <t>1.</t>
        </is>
      </c>
      <c r="B26" s="19" t="inlineStr">
        <is>
          <t>Data subject request procedure is documented</t>
        </is>
      </c>
      <c r="S26" s="20" t="inlineStr"/>
      <c r="T26" s="21" t="inlineStr"/>
    </row>
    <row r="27">
      <c r="A27" s="18" t="inlineStr">
        <is>
          <t>2.</t>
        </is>
      </c>
      <c r="B27" s="19" t="inlineStr">
        <is>
          <t>Request intake channel is clearly communicated (e.g., privacy@company.ch)</t>
        </is>
      </c>
      <c r="S27" s="20" t="inlineStr"/>
      <c r="T27" s="21" t="inlineStr"/>
    </row>
    <row r="28">
      <c r="A28" s="18" t="inlineStr">
        <is>
          <t>3.</t>
        </is>
      </c>
      <c r="B28" s="19" t="inlineStr">
        <is>
          <t>Identity verification process prevents fraudulent requests</t>
        </is>
      </c>
      <c r="S28" s="20" t="inlineStr"/>
      <c r="T28" s="21" t="inlineStr"/>
    </row>
    <row r="29">
      <c r="A29" s="18" t="inlineStr">
        <is>
          <t>4.</t>
        </is>
      </c>
      <c r="B29" s="19" t="inlineStr">
        <is>
          <t>Request acknowledgment within 5 business days (GDPR/FADP)</t>
        </is>
      </c>
      <c r="S29" s="20" t="inlineStr"/>
      <c r="T29" s="21" t="inlineStr"/>
    </row>
    <row r="30">
      <c r="A30" s="18" t="inlineStr">
        <is>
          <t>5.</t>
        </is>
      </c>
      <c r="B30" s="19" t="inlineStr">
        <is>
          <t>Requests fulfilled within 30 days (extendable to 60 days with justification)</t>
        </is>
      </c>
      <c r="S30" s="20" t="inlineStr"/>
      <c r="T30" s="21" t="inlineStr"/>
    </row>
    <row r="31">
      <c r="A31" s="18" t="inlineStr">
        <is>
          <t>6.</t>
        </is>
      </c>
      <c r="B31" s="19" t="inlineStr">
        <is>
          <t>Search capability across all systems holding personal data</t>
        </is>
      </c>
      <c r="S31" s="20" t="inlineStr"/>
      <c r="T31" s="21" t="inlineStr"/>
    </row>
    <row r="32">
      <c r="A32" s="18" t="inlineStr">
        <is>
          <t>7.</t>
        </is>
      </c>
      <c r="B32" s="19" t="inlineStr">
        <is>
          <t>Ability to distinguish between deletion obligations and exceptions</t>
        </is>
      </c>
      <c r="S32" s="20" t="inlineStr"/>
      <c r="T32" s="21" t="inlineStr"/>
    </row>
    <row r="33">
      <c r="A33" s="18" t="inlineStr">
        <is>
          <t>8.</t>
        </is>
      </c>
      <c r="B33" s="19" t="inlineStr">
        <is>
          <t>Third-party/cloud systems included in deletion scope (see A.8.10.3)</t>
        </is>
      </c>
      <c r="S33" s="20" t="inlineStr"/>
      <c r="T33" s="21" t="inlineStr"/>
    </row>
    <row r="34">
      <c r="A34" s="18" t="inlineStr">
        <is>
          <t>9.</t>
        </is>
      </c>
      <c r="B34" s="19" t="inlineStr">
        <is>
          <t>Backup deletion addressed in response (or timeline communicated)</t>
        </is>
      </c>
      <c r="S34" s="20" t="inlineStr"/>
      <c r="T34" s="21" t="inlineStr"/>
    </row>
    <row r="35">
      <c r="A35" s="18" t="inlineStr">
        <is>
          <t>10.</t>
        </is>
      </c>
      <c r="B35" s="19" t="inlineStr">
        <is>
          <t>Request tracking system in place (ticket system, CRM, etc.)</t>
        </is>
      </c>
      <c r="S35" s="20" t="inlineStr"/>
      <c r="T35" s="21" t="inlineStr"/>
    </row>
    <row r="36">
      <c r="A36" s="18" t="inlineStr">
        <is>
          <t>11.</t>
        </is>
      </c>
      <c r="B36" s="19" t="inlineStr">
        <is>
          <t>Responses documented (what was deleted, what was retained, why)</t>
        </is>
      </c>
      <c r="S36" s="20" t="inlineStr"/>
      <c r="T36" s="21" t="inlineStr"/>
    </row>
    <row r="37">
      <c r="A37" s="18" t="inlineStr">
        <is>
          <t>12.</t>
        </is>
      </c>
      <c r="B37" s="19" t="inlineStr">
        <is>
          <t>Data subjects informed of retention exceptions (e.g., legal obligations)</t>
        </is>
      </c>
      <c r="S37" s="20" t="inlineStr"/>
      <c r="T37" s="21" t="inlineStr"/>
    </row>
    <row r="38">
      <c r="A38" s="18" t="inlineStr">
        <is>
          <t>13.</t>
        </is>
      </c>
      <c r="B38" s="19" t="inlineStr">
        <is>
          <t>Escalation procedure for complex requests</t>
        </is>
      </c>
      <c r="S38" s="20" t="inlineStr"/>
      <c r="T38" s="21" t="inlineStr"/>
    </row>
    <row r="39">
      <c r="A39" s="18" t="inlineStr">
        <is>
          <t>14.</t>
        </is>
      </c>
      <c r="B39" s="19" t="inlineStr">
        <is>
          <t>Staff training on data subject request handling</t>
        </is>
      </c>
      <c r="S39" s="20" t="inlineStr"/>
      <c r="T39" s="21" t="inlineStr"/>
    </row>
    <row r="40">
      <c r="A40" s="18" t="inlineStr">
        <is>
          <t>15.</t>
        </is>
      </c>
      <c r="B40" s="19" t="inlineStr">
        <is>
          <t>Request metrics tracked and reported to DPO/Privacy Officer</t>
        </is>
      </c>
      <c r="S40" s="20" t="inlineStr"/>
      <c r="T40" s="21" t="inlineStr"/>
    </row>
    <row r="42">
      <c r="A42" s="17" t="inlineStr">
        <is>
          <t>GDPR Article 17 Deletion Obligations</t>
        </is>
      </c>
    </row>
    <row r="43">
      <c r="A43" s="15" t="inlineStr">
        <is>
          <t>Condition for Deletion</t>
        </is>
      </c>
      <c r="B43" s="15" t="inlineStr">
        <is>
          <t>Organisation Must Delete If...</t>
        </is>
      </c>
      <c r="C43" s="15" t="inlineStr">
        <is>
          <t>Example</t>
        </is>
      </c>
    </row>
    <row r="44">
      <c r="A44" s="22" t="inlineStr">
        <is>
          <t>No longer necessary</t>
        </is>
      </c>
      <c r="B44" s="22" t="inlineStr">
        <is>
          <t>Data no longer needed for original purpose</t>
        </is>
      </c>
      <c r="C44" s="22" t="inlineStr">
        <is>
          <t>Marketing data after consent withdrawn</t>
        </is>
      </c>
    </row>
    <row r="45">
      <c r="A45" s="22" t="inlineStr">
        <is>
          <t>Consent withdrawn</t>
        </is>
      </c>
      <c r="B45" s="22" t="inlineStr">
        <is>
          <t>Individual withdraws consent (no other legal basis)</t>
        </is>
      </c>
      <c r="C45" s="22" t="inlineStr">
        <is>
          <t>Newsletter subscription cancellation</t>
        </is>
      </c>
    </row>
    <row r="46">
      <c r="A46" s="22" t="inlineStr">
        <is>
          <t>Objection to processing</t>
        </is>
      </c>
      <c r="B46" s="22" t="inlineStr">
        <is>
          <t>Individual objects + no overriding legitimate grounds</t>
        </is>
      </c>
      <c r="C46" s="22" t="inlineStr">
        <is>
          <t>Profiling/direct marketing objection</t>
        </is>
      </c>
    </row>
    <row r="47">
      <c r="A47" s="22" t="inlineStr">
        <is>
          <t>Unlawful processing</t>
        </is>
      </c>
      <c r="B47" s="22" t="inlineStr">
        <is>
          <t>Data was processed illegally</t>
        </is>
      </c>
      <c r="C47" s="22" t="inlineStr">
        <is>
          <t>Processing without valid legal basis</t>
        </is>
      </c>
    </row>
    <row r="48">
      <c r="A48" s="22" t="inlineStr">
        <is>
          <t>Legal obligation</t>
        </is>
      </c>
      <c r="B48" s="22" t="inlineStr">
        <is>
          <t>Law requires deletion</t>
        </is>
      </c>
      <c r="C48" s="22" t="inlineStr">
        <is>
          <t>Court order, regulatory requirement</t>
        </is>
      </c>
    </row>
    <row r="49">
      <c r="A49" s="22" t="inlineStr">
        <is>
          <t>Child's data</t>
        </is>
      </c>
      <c r="B49" s="22" t="inlineStr">
        <is>
          <t>Data collected from child w/o proper consent</t>
        </is>
      </c>
      <c r="C49" s="22" t="inlineStr">
        <is>
          <t>Social media account created under age 13</t>
        </is>
      </c>
    </row>
    <row r="51">
      <c r="A51" s="17" t="inlineStr">
        <is>
          <t>GDPR Article 17 Deletion Exceptions</t>
        </is>
      </c>
    </row>
    <row r="52">
      <c r="A52" s="15" t="inlineStr">
        <is>
          <t>Exception</t>
        </is>
      </c>
      <c r="B52" s="15" t="inlineStr">
        <is>
          <t>Organisation Can Retain If...</t>
        </is>
      </c>
      <c r="C52" s="15" t="inlineStr">
        <is>
          <t>Example</t>
        </is>
      </c>
    </row>
    <row r="53">
      <c r="A53" s="22" t="inlineStr">
        <is>
          <t>Freedom of expression</t>
        </is>
      </c>
      <c r="B53" s="22" t="inlineStr">
        <is>
          <t>Exercise of freedom of expression/information</t>
        </is>
      </c>
      <c r="C53" s="22" t="inlineStr">
        <is>
          <t>Journalistic/academic/artistic purposes</t>
        </is>
      </c>
    </row>
    <row r="54">
      <c r="A54" s="22" t="inlineStr">
        <is>
          <t>Legal obligation</t>
        </is>
      </c>
      <c r="B54" s="22" t="inlineStr">
        <is>
          <t>Processing necessary for legal compliance</t>
        </is>
      </c>
      <c r="C54" s="22" t="inlineStr">
        <is>
          <t>Tax records (10-year retention)</t>
        </is>
      </c>
    </row>
    <row r="55">
      <c r="A55" s="22" t="inlineStr">
        <is>
          <t>Public interest</t>
        </is>
      </c>
      <c r="B55" s="22" t="inlineStr">
        <is>
          <t>Public health, scientific research (safeguarded)</t>
        </is>
      </c>
      <c r="C55" s="22" t="inlineStr">
        <is>
          <t>Anonymized medical research data</t>
        </is>
      </c>
    </row>
    <row r="56">
      <c r="A56" s="22" t="inlineStr">
        <is>
          <t>Legal claims</t>
        </is>
      </c>
      <c r="B56" s="22" t="inlineStr">
        <is>
          <t>Establishment, exercise, defence of legal claims</t>
        </is>
      </c>
      <c r="C56" s="22" t="inlineStr">
        <is>
          <t>Litigation hold, contract disputes</t>
        </is>
      </c>
    </row>
    <row r="57">
      <c r="A57" s="22" t="inlineStr">
        <is>
          <t>Archiving in public interest</t>
        </is>
      </c>
      <c r="B57" s="22" t="inlineStr">
        <is>
          <t>Historical, statistical, scientific research (safeguarded)</t>
        </is>
      </c>
      <c r="C57" s="22" t="inlineStr">
        <is>
          <t>National archives, public health studies</t>
        </is>
      </c>
    </row>
    <row r="59">
      <c r="A59" s="17" t="inlineStr">
        <is>
          <t>Request Response Workflow</t>
        </is>
      </c>
    </row>
    <row r="60">
      <c r="A60" s="15" t="inlineStr">
        <is>
          <t>Step</t>
        </is>
      </c>
      <c r="B60" s="15" t="inlineStr">
        <is>
          <t>Action</t>
        </is>
      </c>
      <c r="C60" s="15" t="inlineStr">
        <is>
          <t>Timeframe</t>
        </is>
      </c>
      <c r="D60" s="15" t="inlineStr">
        <is>
          <t>Responsible Role</t>
        </is>
      </c>
    </row>
    <row r="61">
      <c r="A61" s="22" t="inlineStr">
        <is>
          <t>1. Receive</t>
        </is>
      </c>
      <c r="B61" s="22" t="inlineStr">
        <is>
          <t>Log request in tracking system</t>
        </is>
      </c>
      <c r="C61" s="22" t="inlineStr">
        <is>
          <t>Day 0</t>
        </is>
      </c>
      <c r="D61" s="22" t="inlineStr">
        <is>
          <t>Privacy Team</t>
        </is>
      </c>
    </row>
    <row r="62">
      <c r="A62" s="22" t="inlineStr">
        <is>
          <t>2. Acknowledge</t>
        </is>
      </c>
      <c r="B62" s="22" t="inlineStr">
        <is>
          <t>Send acknowledgment to data subject</t>
        </is>
      </c>
      <c r="C62" s="22" t="inlineStr">
        <is>
          <t>Within 5 business days</t>
        </is>
      </c>
      <c r="D62" s="22" t="inlineStr">
        <is>
          <t>Privacy Team</t>
        </is>
      </c>
    </row>
    <row r="63">
      <c r="A63" s="22" t="inlineStr">
        <is>
          <t>3. Verify Identity</t>
        </is>
      </c>
      <c r="B63" s="22" t="inlineStr">
        <is>
          <t>Validate requestor identity</t>
        </is>
      </c>
      <c r="C63" s="22" t="inlineStr">
        <is>
          <t>Within 7 days</t>
        </is>
      </c>
      <c r="D63" s="22" t="inlineStr">
        <is>
          <t>Privacy Team</t>
        </is>
      </c>
    </row>
    <row r="64">
      <c r="A64" s="22" t="inlineStr">
        <is>
          <t>4. Assess Scope</t>
        </is>
      </c>
      <c r="B64" s="22" t="inlineStr">
        <is>
          <t>Identify all systems with data subject's data</t>
        </is>
      </c>
      <c r="C64" s="22" t="inlineStr">
        <is>
          <t>Within 10 days</t>
        </is>
      </c>
      <c r="D64" s="22" t="inlineStr">
        <is>
          <t>IT + Business Owners</t>
        </is>
      </c>
    </row>
    <row r="65">
      <c r="A65" s="22" t="inlineStr">
        <is>
          <t>5. Check Exceptions</t>
        </is>
      </c>
      <c r="B65" s="22" t="inlineStr">
        <is>
          <t>Determine if deletion exceptions apply</t>
        </is>
      </c>
      <c r="C65" s="22" t="inlineStr">
        <is>
          <t>Within 15 days</t>
        </is>
      </c>
      <c r="D65" s="22" t="inlineStr">
        <is>
          <t>Legal/Compliance</t>
        </is>
      </c>
    </row>
    <row r="66">
      <c r="A66" s="22" t="inlineStr">
        <is>
          <t>6. Execute Deletion</t>
        </is>
      </c>
      <c r="B66" s="22" t="inlineStr">
        <is>
          <t>Delete data across all systems</t>
        </is>
      </c>
      <c r="C66" s="22" t="inlineStr">
        <is>
          <t>Within 25 days</t>
        </is>
      </c>
      <c r="D66" s="22" t="inlineStr">
        <is>
          <t>IT + Third-Parties</t>
        </is>
      </c>
    </row>
    <row r="67">
      <c r="A67" s="22" t="inlineStr">
        <is>
          <t>7. Document</t>
        </is>
      </c>
      <c r="B67" s="22" t="inlineStr">
        <is>
          <t>Record what was deleted and retained</t>
        </is>
      </c>
      <c r="C67" s="22" t="inlineStr">
        <is>
          <t>Day 28</t>
        </is>
      </c>
      <c r="D67" s="22" t="inlineStr">
        <is>
          <t>Privacy Team</t>
        </is>
      </c>
    </row>
    <row r="68">
      <c r="A68" s="22" t="inlineStr">
        <is>
          <t>8. Respond</t>
        </is>
      </c>
      <c r="B68" s="22" t="inlineStr">
        <is>
          <t>Inform data subject of outcome</t>
        </is>
      </c>
      <c r="C68" s="22" t="inlineStr">
        <is>
          <t>Day 30</t>
        </is>
      </c>
      <c r="D68" s="22" t="inlineStr">
        <is>
          <t>Privacy Team</t>
        </is>
      </c>
    </row>
    <row r="69">
      <c r="A69" s="22" t="inlineStr">
        <is>
          <t>9. Follow-Up</t>
        </is>
      </c>
      <c r="B69" s="22" t="inlineStr">
        <is>
          <t>Backup deletion (if applicable)</t>
        </is>
      </c>
      <c r="C69" s="22" t="inlineStr">
        <is>
          <t>Within 90 days</t>
        </is>
      </c>
      <c r="D69" s="22" t="inlineStr">
        <is>
          <t>IT</t>
        </is>
      </c>
    </row>
    <row r="71">
      <c r="A71" s="17" t="inlineStr">
        <is>
          <t>EXCEPTIONS / DEVIATIONS</t>
        </is>
      </c>
    </row>
    <row r="72">
      <c r="A72" s="23" t="inlineStr">
        <is>
          <t>Document any exceptions or deviations from requirements here (e.g., data categories excluded from assessment, pending reviews, disputed retention periods):</t>
        </is>
      </c>
    </row>
    <row r="73"/>
    <row r="74"/>
  </sheetData>
  <mergeCells count="25">
    <mergeCell ref="B32:R32"/>
    <mergeCell ref="B26:R26"/>
    <mergeCell ref="A4:T6"/>
    <mergeCell ref="B35:R35"/>
    <mergeCell ref="B31:R31"/>
    <mergeCell ref="A1:T1"/>
    <mergeCell ref="A42:C42"/>
    <mergeCell ref="B27:R27"/>
    <mergeCell ref="B39:R39"/>
    <mergeCell ref="A7:T7"/>
    <mergeCell ref="A25:T25"/>
    <mergeCell ref="A59:D59"/>
    <mergeCell ref="B29:R29"/>
    <mergeCell ref="B38:R38"/>
    <mergeCell ref="B34:R34"/>
    <mergeCell ref="A2:T2"/>
    <mergeCell ref="B28:R28"/>
    <mergeCell ref="A71:T71"/>
    <mergeCell ref="B37:R37"/>
    <mergeCell ref="A51:C51"/>
    <mergeCell ref="B40:R40"/>
    <mergeCell ref="B30:R30"/>
    <mergeCell ref="B33:R33"/>
    <mergeCell ref="A72:T74"/>
    <mergeCell ref="B36:R36"/>
  </mergeCells>
  <dataValidations count="7">
    <dataValidation sqref="B10:B100" showDropDown="0" showInputMessage="0" showErrorMessage="0" allowBlank="1" errorTitle="Invalid Classification" error="Please select from dropdown" type="list">
      <formula1>"Public,Internal,Confidential,Restricted"</formula1>
    </dataValidation>
    <dataValidation sqref="D10:D100" showDropDown="0" showInputMessage="0" showErrorMessage="0" allowBlank="1" errorTitle="Invalid Retention Period" error="Please select from dropdown" type="list">
      <formula1>"30 days,60 days,90 days,6 months,1 year,2 years,3 years,5 years,7 years,10 years,Permanent,Until Event Occurs,Other (specify in notes)"</formula1>
    </dataValidation>
    <dataValidation sqref="E10:E100" showDropDown="0" showInputMessage="0" showErrorMessage="0" allowBlank="1" errorTitle="Invalid Legal Basis" error="Please select from dropdown" type="list">
      <formula1>"Swiss FADP,EU GDPR,Swiss Code of Obligations (OR),Swiss Tax Law,EU ePrivacy Directive,Industry Standard (specify),Contractual Obligation,Legitimate Interest,Consent,Legal Obligation,Multiple Bases (specify),Other (specify in notes)"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S10:S100" showDropDown="0" showInputMessage="0" showErrorMessage="0" allowBlank="1" type="list">
      <formula1>"GDPR Only,FADP Only,Both,Neither"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25" customWidth="1" min="4" max="4"/>
    <col width="15" customWidth="1" min="5" max="5"/>
    <col width="20" customWidth="1" min="6" max="6"/>
    <col width="15" customWidth="1" min="7" max="7"/>
    <col width="30" customWidth="1" min="8" max="8"/>
  </cols>
  <sheetData>
    <row r="1" ht="35" customHeight="1">
      <c r="A1" s="24" t="inlineStr">
        <is>
          <t>EVIDENCE REGISTER</t>
        </is>
      </c>
    </row>
    <row r="2">
      <c r="A2" s="25" t="inlineStr">
        <is>
          <t>List all evidence files/documents referenced in this assessment (audit traceability).</t>
        </is>
      </c>
    </row>
    <row r="4">
      <c r="A4" s="26" t="inlineStr">
        <is>
          <t>Evidence ID</t>
        </is>
      </c>
      <c r="B4" s="26" t="inlineStr">
        <is>
          <t>Category</t>
        </is>
      </c>
      <c r="C4" s="26" t="inlineStr">
        <is>
          <t>Description</t>
        </is>
      </c>
      <c r="D4" s="26" t="inlineStr">
        <is>
          <t>Source Document</t>
        </is>
      </c>
      <c r="E4" s="26" t="inlineStr">
        <is>
          <t>Date Collected</t>
        </is>
      </c>
      <c r="F4" s="26" t="inlineStr">
        <is>
          <t>Collected By</t>
        </is>
      </c>
      <c r="G4" s="26" t="inlineStr">
        <is>
          <t>Status</t>
        </is>
      </c>
      <c r="H4" s="26" t="inlineStr">
        <is>
          <t>Notes</t>
        </is>
      </c>
    </row>
    <row r="5">
      <c r="A5" s="27" t="inlineStr">
        <is>
          <t>EV-001</t>
        </is>
      </c>
      <c r="B5" s="20" t="n"/>
      <c r="C5" s="20" t="n"/>
      <c r="D5" s="20" t="n"/>
      <c r="E5" s="20" t="n"/>
      <c r="F5" s="20" t="n"/>
      <c r="G5" s="20" t="n"/>
      <c r="H5" s="20" t="n"/>
    </row>
    <row r="6">
      <c r="A6" s="27" t="inlineStr">
        <is>
          <t>EV-002</t>
        </is>
      </c>
      <c r="B6" s="20" t="n"/>
      <c r="C6" s="20" t="n"/>
      <c r="D6" s="20" t="n"/>
      <c r="E6" s="20" t="n"/>
      <c r="F6" s="20" t="n"/>
      <c r="G6" s="20" t="n"/>
      <c r="H6" s="20" t="n"/>
    </row>
    <row r="7">
      <c r="A7" s="27" t="inlineStr">
        <is>
          <t>EV-003</t>
        </is>
      </c>
      <c r="B7" s="20" t="n"/>
      <c r="C7" s="20" t="n"/>
      <c r="D7" s="20" t="n"/>
      <c r="E7" s="20" t="n"/>
      <c r="F7" s="20" t="n"/>
      <c r="G7" s="20" t="n"/>
      <c r="H7" s="20" t="n"/>
    </row>
    <row r="8">
      <c r="A8" s="27" t="inlineStr">
        <is>
          <t>EV-004</t>
        </is>
      </c>
      <c r="B8" s="20" t="n"/>
      <c r="C8" s="20" t="n"/>
      <c r="D8" s="20" t="n"/>
      <c r="E8" s="20" t="n"/>
      <c r="F8" s="20" t="n"/>
      <c r="G8" s="20" t="n"/>
      <c r="H8" s="20" t="n"/>
    </row>
    <row r="9">
      <c r="A9" s="27" t="inlineStr">
        <is>
          <t>EV-005</t>
        </is>
      </c>
      <c r="B9" s="20" t="n"/>
      <c r="C9" s="20" t="n"/>
      <c r="D9" s="20" t="n"/>
      <c r="E9" s="20" t="n"/>
      <c r="F9" s="20" t="n"/>
      <c r="G9" s="20" t="n"/>
      <c r="H9" s="20" t="n"/>
    </row>
    <row r="10">
      <c r="A10" s="27" t="inlineStr">
        <is>
          <t>EV-006</t>
        </is>
      </c>
      <c r="B10" s="20" t="n"/>
      <c r="C10" s="20" t="n"/>
      <c r="D10" s="20" t="n"/>
      <c r="E10" s="20" t="n"/>
      <c r="F10" s="20" t="n"/>
      <c r="G10" s="20" t="n"/>
      <c r="H10" s="20" t="n"/>
    </row>
    <row r="11">
      <c r="A11" s="27" t="inlineStr">
        <is>
          <t>EV-007</t>
        </is>
      </c>
      <c r="B11" s="20" t="n"/>
      <c r="C11" s="20" t="n"/>
      <c r="D11" s="20" t="n"/>
      <c r="E11" s="20" t="n"/>
      <c r="F11" s="20" t="n"/>
      <c r="G11" s="20" t="n"/>
      <c r="H11" s="20" t="n"/>
    </row>
    <row r="12">
      <c r="A12" s="27" t="inlineStr">
        <is>
          <t>EV-008</t>
        </is>
      </c>
      <c r="B12" s="20" t="n"/>
      <c r="C12" s="20" t="n"/>
      <c r="D12" s="20" t="n"/>
      <c r="E12" s="20" t="n"/>
      <c r="F12" s="20" t="n"/>
      <c r="G12" s="20" t="n"/>
      <c r="H12" s="20" t="n"/>
    </row>
    <row r="13">
      <c r="A13" s="27" t="inlineStr">
        <is>
          <t>EV-009</t>
        </is>
      </c>
      <c r="B13" s="20" t="n"/>
      <c r="C13" s="20" t="n"/>
      <c r="D13" s="20" t="n"/>
      <c r="E13" s="20" t="n"/>
      <c r="F13" s="20" t="n"/>
      <c r="G13" s="20" t="n"/>
      <c r="H13" s="20" t="n"/>
    </row>
    <row r="14">
      <c r="A14" s="27" t="inlineStr">
        <is>
          <t>EV-010</t>
        </is>
      </c>
      <c r="B14" s="20" t="n"/>
      <c r="C14" s="20" t="n"/>
      <c r="D14" s="20" t="n"/>
      <c r="E14" s="20" t="n"/>
      <c r="F14" s="20" t="n"/>
      <c r="G14" s="20" t="n"/>
      <c r="H14" s="20" t="n"/>
    </row>
    <row r="15">
      <c r="A15" s="27" t="inlineStr">
        <is>
          <t>EV-011</t>
        </is>
      </c>
      <c r="B15" s="20" t="n"/>
      <c r="C15" s="20" t="n"/>
      <c r="D15" s="20" t="n"/>
      <c r="E15" s="20" t="n"/>
      <c r="F15" s="20" t="n"/>
      <c r="G15" s="20" t="n"/>
      <c r="H15" s="20" t="n"/>
    </row>
    <row r="16">
      <c r="A16" s="27" t="inlineStr">
        <is>
          <t>EV-012</t>
        </is>
      </c>
      <c r="B16" s="20" t="n"/>
      <c r="C16" s="20" t="n"/>
      <c r="D16" s="20" t="n"/>
      <c r="E16" s="20" t="n"/>
      <c r="F16" s="20" t="n"/>
      <c r="G16" s="20" t="n"/>
      <c r="H16" s="20" t="n"/>
    </row>
    <row r="17">
      <c r="A17" s="27" t="inlineStr">
        <is>
          <t>EV-013</t>
        </is>
      </c>
      <c r="B17" s="20" t="n"/>
      <c r="C17" s="20" t="n"/>
      <c r="D17" s="20" t="n"/>
      <c r="E17" s="20" t="n"/>
      <c r="F17" s="20" t="n"/>
      <c r="G17" s="20" t="n"/>
      <c r="H17" s="20" t="n"/>
    </row>
    <row r="18">
      <c r="A18" s="27" t="inlineStr">
        <is>
          <t>EV-014</t>
        </is>
      </c>
      <c r="B18" s="20" t="n"/>
      <c r="C18" s="20" t="n"/>
      <c r="D18" s="20" t="n"/>
      <c r="E18" s="20" t="n"/>
      <c r="F18" s="20" t="n"/>
      <c r="G18" s="20" t="n"/>
      <c r="H18" s="20" t="n"/>
    </row>
    <row r="19">
      <c r="A19" s="27" t="inlineStr">
        <is>
          <t>EV-015</t>
        </is>
      </c>
      <c r="B19" s="20" t="n"/>
      <c r="C19" s="20" t="n"/>
      <c r="D19" s="20" t="n"/>
      <c r="E19" s="20" t="n"/>
      <c r="F19" s="20" t="n"/>
      <c r="G19" s="20" t="n"/>
      <c r="H19" s="20" t="n"/>
    </row>
    <row r="20">
      <c r="A20" s="27" t="inlineStr">
        <is>
          <t>EV-016</t>
        </is>
      </c>
      <c r="B20" s="20" t="n"/>
      <c r="C20" s="20" t="n"/>
      <c r="D20" s="20" t="n"/>
      <c r="E20" s="20" t="n"/>
      <c r="F20" s="20" t="n"/>
      <c r="G20" s="20" t="n"/>
      <c r="H20" s="20" t="n"/>
    </row>
    <row r="21">
      <c r="A21" s="27" t="inlineStr">
        <is>
          <t>EV-017</t>
        </is>
      </c>
      <c r="B21" s="20" t="n"/>
      <c r="C21" s="20" t="n"/>
      <c r="D21" s="20" t="n"/>
      <c r="E21" s="20" t="n"/>
      <c r="F21" s="20" t="n"/>
      <c r="G21" s="20" t="n"/>
      <c r="H21" s="20" t="n"/>
    </row>
    <row r="22">
      <c r="A22" s="27" t="inlineStr">
        <is>
          <t>EV-018</t>
        </is>
      </c>
      <c r="B22" s="20" t="n"/>
      <c r="C22" s="20" t="n"/>
      <c r="D22" s="20" t="n"/>
      <c r="E22" s="20" t="n"/>
      <c r="F22" s="20" t="n"/>
      <c r="G22" s="20" t="n"/>
      <c r="H22" s="20" t="n"/>
    </row>
    <row r="23">
      <c r="A23" s="27" t="inlineStr">
        <is>
          <t>EV-019</t>
        </is>
      </c>
      <c r="B23" s="20" t="n"/>
      <c r="C23" s="20" t="n"/>
      <c r="D23" s="20" t="n"/>
      <c r="E23" s="20" t="n"/>
      <c r="F23" s="20" t="n"/>
      <c r="G23" s="20" t="n"/>
      <c r="H23" s="20" t="n"/>
    </row>
    <row r="24">
      <c r="A24" s="27" t="inlineStr">
        <is>
          <t>EV-020</t>
        </is>
      </c>
      <c r="B24" s="20" t="n"/>
      <c r="C24" s="20" t="n"/>
      <c r="D24" s="20" t="n"/>
      <c r="E24" s="20" t="n"/>
      <c r="F24" s="20" t="n"/>
      <c r="G24" s="20" t="n"/>
      <c r="H24" s="20" t="n"/>
    </row>
    <row r="25">
      <c r="A25" s="27" t="inlineStr">
        <is>
          <t>EV-021</t>
        </is>
      </c>
      <c r="B25" s="20" t="n"/>
      <c r="C25" s="20" t="n"/>
      <c r="D25" s="20" t="n"/>
      <c r="E25" s="20" t="n"/>
      <c r="F25" s="20" t="n"/>
      <c r="G25" s="20" t="n"/>
      <c r="H25" s="20" t="n"/>
    </row>
    <row r="26">
      <c r="A26" s="27" t="inlineStr">
        <is>
          <t>EV-022</t>
        </is>
      </c>
      <c r="B26" s="20" t="n"/>
      <c r="C26" s="20" t="n"/>
      <c r="D26" s="20" t="n"/>
      <c r="E26" s="20" t="n"/>
      <c r="F26" s="20" t="n"/>
      <c r="G26" s="20" t="n"/>
      <c r="H26" s="20" t="n"/>
    </row>
    <row r="27">
      <c r="A27" s="27" t="inlineStr">
        <is>
          <t>EV-023</t>
        </is>
      </c>
      <c r="B27" s="20" t="n"/>
      <c r="C27" s="20" t="n"/>
      <c r="D27" s="20" t="n"/>
      <c r="E27" s="20" t="n"/>
      <c r="F27" s="20" t="n"/>
      <c r="G27" s="20" t="n"/>
      <c r="H27" s="20" t="n"/>
    </row>
    <row r="28">
      <c r="A28" s="27" t="inlineStr">
        <is>
          <t>EV-024</t>
        </is>
      </c>
      <c r="B28" s="20" t="n"/>
      <c r="C28" s="20" t="n"/>
      <c r="D28" s="20" t="n"/>
      <c r="E28" s="20" t="n"/>
      <c r="F28" s="20" t="n"/>
      <c r="G28" s="20" t="n"/>
      <c r="H28" s="20" t="n"/>
    </row>
    <row r="29">
      <c r="A29" s="27" t="inlineStr">
        <is>
          <t>EV-025</t>
        </is>
      </c>
      <c r="B29" s="20" t="n"/>
      <c r="C29" s="20" t="n"/>
      <c r="D29" s="20" t="n"/>
      <c r="E29" s="20" t="n"/>
      <c r="F29" s="20" t="n"/>
      <c r="G29" s="20" t="n"/>
      <c r="H29" s="20" t="n"/>
    </row>
    <row r="30">
      <c r="A30" s="27" t="inlineStr">
        <is>
          <t>EV-026</t>
        </is>
      </c>
      <c r="B30" s="20" t="n"/>
      <c r="C30" s="20" t="n"/>
      <c r="D30" s="20" t="n"/>
      <c r="E30" s="20" t="n"/>
      <c r="F30" s="20" t="n"/>
      <c r="G30" s="20" t="n"/>
      <c r="H30" s="20" t="n"/>
    </row>
    <row r="31">
      <c r="A31" s="27" t="inlineStr">
        <is>
          <t>EV-027</t>
        </is>
      </c>
      <c r="B31" s="20" t="n"/>
      <c r="C31" s="20" t="n"/>
      <c r="D31" s="20" t="n"/>
      <c r="E31" s="20" t="n"/>
      <c r="F31" s="20" t="n"/>
      <c r="G31" s="20" t="n"/>
      <c r="H31" s="20" t="n"/>
    </row>
    <row r="32">
      <c r="A32" s="27" t="inlineStr">
        <is>
          <t>EV-028</t>
        </is>
      </c>
      <c r="B32" s="20" t="n"/>
      <c r="C32" s="20" t="n"/>
      <c r="D32" s="20" t="n"/>
      <c r="E32" s="20" t="n"/>
      <c r="F32" s="20" t="n"/>
      <c r="G32" s="20" t="n"/>
      <c r="H32" s="20" t="n"/>
    </row>
    <row r="33">
      <c r="A33" s="27" t="inlineStr">
        <is>
          <t>EV-029</t>
        </is>
      </c>
      <c r="B33" s="20" t="n"/>
      <c r="C33" s="20" t="n"/>
      <c r="D33" s="20" t="n"/>
      <c r="E33" s="20" t="n"/>
      <c r="F33" s="20" t="n"/>
      <c r="G33" s="20" t="n"/>
      <c r="H33" s="20" t="n"/>
    </row>
    <row r="34">
      <c r="A34" s="27" t="inlineStr">
        <is>
          <t>EV-030</t>
        </is>
      </c>
      <c r="B34" s="20" t="n"/>
      <c r="C34" s="20" t="n"/>
      <c r="D34" s="20" t="n"/>
      <c r="E34" s="20" t="n"/>
      <c r="F34" s="20" t="n"/>
      <c r="G34" s="20" t="n"/>
      <c r="H34" s="20" t="n"/>
    </row>
    <row r="35">
      <c r="A35" s="27" t="inlineStr">
        <is>
          <t>EV-031</t>
        </is>
      </c>
      <c r="B35" s="20" t="n"/>
      <c r="C35" s="20" t="n"/>
      <c r="D35" s="20" t="n"/>
      <c r="E35" s="20" t="n"/>
      <c r="F35" s="20" t="n"/>
      <c r="G35" s="20" t="n"/>
      <c r="H35" s="20" t="n"/>
    </row>
    <row r="36">
      <c r="A36" s="27" t="inlineStr">
        <is>
          <t>EV-032</t>
        </is>
      </c>
      <c r="B36" s="20" t="n"/>
      <c r="C36" s="20" t="n"/>
      <c r="D36" s="20" t="n"/>
      <c r="E36" s="20" t="n"/>
      <c r="F36" s="20" t="n"/>
      <c r="G36" s="20" t="n"/>
      <c r="H36" s="20" t="n"/>
    </row>
    <row r="37">
      <c r="A37" s="27" t="inlineStr">
        <is>
          <t>EV-033</t>
        </is>
      </c>
      <c r="B37" s="20" t="n"/>
      <c r="C37" s="20" t="n"/>
      <c r="D37" s="20" t="n"/>
      <c r="E37" s="20" t="n"/>
      <c r="F37" s="20" t="n"/>
      <c r="G37" s="20" t="n"/>
      <c r="H37" s="20" t="n"/>
    </row>
    <row r="38">
      <c r="A38" s="27" t="inlineStr">
        <is>
          <t>EV-034</t>
        </is>
      </c>
      <c r="B38" s="20" t="n"/>
      <c r="C38" s="20" t="n"/>
      <c r="D38" s="20" t="n"/>
      <c r="E38" s="20" t="n"/>
      <c r="F38" s="20" t="n"/>
      <c r="G38" s="20" t="n"/>
      <c r="H38" s="20" t="n"/>
    </row>
    <row r="39">
      <c r="A39" s="27" t="inlineStr">
        <is>
          <t>EV-035</t>
        </is>
      </c>
      <c r="B39" s="20" t="n"/>
      <c r="C39" s="20" t="n"/>
      <c r="D39" s="20" t="n"/>
      <c r="E39" s="20" t="n"/>
      <c r="F39" s="20" t="n"/>
      <c r="G39" s="20" t="n"/>
      <c r="H39" s="20" t="n"/>
    </row>
    <row r="40">
      <c r="A40" s="27" t="inlineStr">
        <is>
          <t>EV-036</t>
        </is>
      </c>
      <c r="B40" s="20" t="n"/>
      <c r="C40" s="20" t="n"/>
      <c r="D40" s="20" t="n"/>
      <c r="E40" s="20" t="n"/>
      <c r="F40" s="20" t="n"/>
      <c r="G40" s="20" t="n"/>
      <c r="H40" s="20" t="n"/>
    </row>
    <row r="41">
      <c r="A41" s="27" t="inlineStr">
        <is>
          <t>EV-037</t>
        </is>
      </c>
      <c r="B41" s="20" t="n"/>
      <c r="C41" s="20" t="n"/>
      <c r="D41" s="20" t="n"/>
      <c r="E41" s="20" t="n"/>
      <c r="F41" s="20" t="n"/>
      <c r="G41" s="20" t="n"/>
      <c r="H41" s="20" t="n"/>
    </row>
    <row r="42">
      <c r="A42" s="27" t="inlineStr">
        <is>
          <t>EV-038</t>
        </is>
      </c>
      <c r="B42" s="20" t="n"/>
      <c r="C42" s="20" t="n"/>
      <c r="D42" s="20" t="n"/>
      <c r="E42" s="20" t="n"/>
      <c r="F42" s="20" t="n"/>
      <c r="G42" s="20" t="n"/>
      <c r="H42" s="20" t="n"/>
    </row>
    <row r="43">
      <c r="A43" s="27" t="inlineStr">
        <is>
          <t>EV-039</t>
        </is>
      </c>
      <c r="B43" s="20" t="n"/>
      <c r="C43" s="20" t="n"/>
      <c r="D43" s="20" t="n"/>
      <c r="E43" s="20" t="n"/>
      <c r="F43" s="20" t="n"/>
      <c r="G43" s="20" t="n"/>
      <c r="H43" s="20" t="n"/>
    </row>
    <row r="44">
      <c r="A44" s="27" t="inlineStr">
        <is>
          <t>EV-040</t>
        </is>
      </c>
      <c r="B44" s="20" t="n"/>
      <c r="C44" s="20" t="n"/>
      <c r="D44" s="20" t="n"/>
      <c r="E44" s="20" t="n"/>
      <c r="F44" s="20" t="n"/>
      <c r="G44" s="20" t="n"/>
      <c r="H44" s="20" t="n"/>
    </row>
    <row r="45">
      <c r="A45" s="27" t="inlineStr">
        <is>
          <t>EV-041</t>
        </is>
      </c>
      <c r="B45" s="20" t="n"/>
      <c r="C45" s="20" t="n"/>
      <c r="D45" s="20" t="n"/>
      <c r="E45" s="20" t="n"/>
      <c r="F45" s="20" t="n"/>
      <c r="G45" s="20" t="n"/>
      <c r="H45" s="20" t="n"/>
    </row>
    <row r="46">
      <c r="A46" s="27" t="inlineStr">
        <is>
          <t>EV-042</t>
        </is>
      </c>
      <c r="B46" s="20" t="n"/>
      <c r="C46" s="20" t="n"/>
      <c r="D46" s="20" t="n"/>
      <c r="E46" s="20" t="n"/>
      <c r="F46" s="20" t="n"/>
      <c r="G46" s="20" t="n"/>
      <c r="H46" s="20" t="n"/>
    </row>
    <row r="47">
      <c r="A47" s="27" t="inlineStr">
        <is>
          <t>EV-043</t>
        </is>
      </c>
      <c r="B47" s="20" t="n"/>
      <c r="C47" s="20" t="n"/>
      <c r="D47" s="20" t="n"/>
      <c r="E47" s="20" t="n"/>
      <c r="F47" s="20" t="n"/>
      <c r="G47" s="20" t="n"/>
      <c r="H47" s="20" t="n"/>
    </row>
    <row r="48">
      <c r="A48" s="27" t="inlineStr">
        <is>
          <t>EV-044</t>
        </is>
      </c>
      <c r="B48" s="20" t="n"/>
      <c r="C48" s="20" t="n"/>
      <c r="D48" s="20" t="n"/>
      <c r="E48" s="20" t="n"/>
      <c r="F48" s="20" t="n"/>
      <c r="G48" s="20" t="n"/>
      <c r="H48" s="20" t="n"/>
    </row>
    <row r="49">
      <c r="A49" s="27" t="inlineStr">
        <is>
          <t>EV-045</t>
        </is>
      </c>
      <c r="B49" s="20" t="n"/>
      <c r="C49" s="20" t="n"/>
      <c r="D49" s="20" t="n"/>
      <c r="E49" s="20" t="n"/>
      <c r="F49" s="20" t="n"/>
      <c r="G49" s="20" t="n"/>
      <c r="H49" s="20" t="n"/>
    </row>
    <row r="50">
      <c r="A50" s="27" t="inlineStr">
        <is>
          <t>EV-046</t>
        </is>
      </c>
      <c r="B50" s="20" t="n"/>
      <c r="C50" s="20" t="n"/>
      <c r="D50" s="20" t="n"/>
      <c r="E50" s="20" t="n"/>
      <c r="F50" s="20" t="n"/>
      <c r="G50" s="20" t="n"/>
      <c r="H50" s="20" t="n"/>
    </row>
    <row r="51">
      <c r="A51" s="27" t="inlineStr">
        <is>
          <t>EV-047</t>
        </is>
      </c>
      <c r="B51" s="20" t="n"/>
      <c r="C51" s="20" t="n"/>
      <c r="D51" s="20" t="n"/>
      <c r="E51" s="20" t="n"/>
      <c r="F51" s="20" t="n"/>
      <c r="G51" s="20" t="n"/>
      <c r="H51" s="20" t="n"/>
    </row>
    <row r="52">
      <c r="A52" s="27" t="inlineStr">
        <is>
          <t>EV-048</t>
        </is>
      </c>
      <c r="B52" s="20" t="n"/>
      <c r="C52" s="20" t="n"/>
      <c r="D52" s="20" t="n"/>
      <c r="E52" s="20" t="n"/>
      <c r="F52" s="20" t="n"/>
      <c r="G52" s="20" t="n"/>
      <c r="H52" s="20" t="n"/>
    </row>
    <row r="53">
      <c r="A53" s="27" t="inlineStr">
        <is>
          <t>EV-049</t>
        </is>
      </c>
      <c r="B53" s="20" t="n"/>
      <c r="C53" s="20" t="n"/>
      <c r="D53" s="20" t="n"/>
      <c r="E53" s="20" t="n"/>
      <c r="F53" s="20" t="n"/>
      <c r="G53" s="20" t="n"/>
      <c r="H53" s="20" t="n"/>
    </row>
    <row r="54">
      <c r="A54" s="27" t="inlineStr">
        <is>
          <t>EV-050</t>
        </is>
      </c>
      <c r="B54" s="20" t="n"/>
      <c r="C54" s="20" t="n"/>
      <c r="D54" s="20" t="n"/>
      <c r="E54" s="20" t="n"/>
      <c r="F54" s="20" t="n"/>
      <c r="G54" s="20" t="n"/>
      <c r="H54" s="20" t="n"/>
    </row>
    <row r="55">
      <c r="A55" s="27" t="inlineStr">
        <is>
          <t>EV-051</t>
        </is>
      </c>
      <c r="B55" s="20" t="n"/>
      <c r="C55" s="20" t="n"/>
      <c r="D55" s="20" t="n"/>
      <c r="E55" s="20" t="n"/>
      <c r="F55" s="20" t="n"/>
      <c r="G55" s="20" t="n"/>
      <c r="H55" s="20" t="n"/>
    </row>
    <row r="56">
      <c r="A56" s="27" t="inlineStr">
        <is>
          <t>EV-052</t>
        </is>
      </c>
      <c r="B56" s="20" t="n"/>
      <c r="C56" s="20" t="n"/>
      <c r="D56" s="20" t="n"/>
      <c r="E56" s="20" t="n"/>
      <c r="F56" s="20" t="n"/>
      <c r="G56" s="20" t="n"/>
      <c r="H56" s="20" t="n"/>
    </row>
    <row r="57">
      <c r="A57" s="27" t="inlineStr">
        <is>
          <t>EV-053</t>
        </is>
      </c>
      <c r="B57" s="20" t="n"/>
      <c r="C57" s="20" t="n"/>
      <c r="D57" s="20" t="n"/>
      <c r="E57" s="20" t="n"/>
      <c r="F57" s="20" t="n"/>
      <c r="G57" s="20" t="n"/>
      <c r="H57" s="20" t="n"/>
    </row>
    <row r="58">
      <c r="A58" s="27" t="inlineStr">
        <is>
          <t>EV-054</t>
        </is>
      </c>
      <c r="B58" s="20" t="n"/>
      <c r="C58" s="20" t="n"/>
      <c r="D58" s="20" t="n"/>
      <c r="E58" s="20" t="n"/>
      <c r="F58" s="20" t="n"/>
      <c r="G58" s="20" t="n"/>
      <c r="H58" s="20" t="n"/>
    </row>
    <row r="59">
      <c r="A59" s="27" t="inlineStr">
        <is>
          <t>EV-055</t>
        </is>
      </c>
      <c r="B59" s="20" t="n"/>
      <c r="C59" s="20" t="n"/>
      <c r="D59" s="20" t="n"/>
      <c r="E59" s="20" t="n"/>
      <c r="F59" s="20" t="n"/>
      <c r="G59" s="20" t="n"/>
      <c r="H59" s="20" t="n"/>
    </row>
    <row r="60">
      <c r="A60" s="27" t="inlineStr">
        <is>
          <t>EV-056</t>
        </is>
      </c>
      <c r="B60" s="20" t="n"/>
      <c r="C60" s="20" t="n"/>
      <c r="D60" s="20" t="n"/>
      <c r="E60" s="20" t="n"/>
      <c r="F60" s="20" t="n"/>
      <c r="G60" s="20" t="n"/>
      <c r="H60" s="20" t="n"/>
    </row>
    <row r="61">
      <c r="A61" s="27" t="inlineStr">
        <is>
          <t>EV-057</t>
        </is>
      </c>
      <c r="B61" s="20" t="n"/>
      <c r="C61" s="20" t="n"/>
      <c r="D61" s="20" t="n"/>
      <c r="E61" s="20" t="n"/>
      <c r="F61" s="20" t="n"/>
      <c r="G61" s="20" t="n"/>
      <c r="H61" s="20" t="n"/>
    </row>
    <row r="62">
      <c r="A62" s="27" t="inlineStr">
        <is>
          <t>EV-058</t>
        </is>
      </c>
      <c r="B62" s="20" t="n"/>
      <c r="C62" s="20" t="n"/>
      <c r="D62" s="20" t="n"/>
      <c r="E62" s="20" t="n"/>
      <c r="F62" s="20" t="n"/>
      <c r="G62" s="20" t="n"/>
      <c r="H62" s="20" t="n"/>
    </row>
    <row r="63">
      <c r="A63" s="27" t="inlineStr">
        <is>
          <t>EV-059</t>
        </is>
      </c>
      <c r="B63" s="20" t="n"/>
      <c r="C63" s="20" t="n"/>
      <c r="D63" s="20" t="n"/>
      <c r="E63" s="20" t="n"/>
      <c r="F63" s="20" t="n"/>
      <c r="G63" s="20" t="n"/>
      <c r="H63" s="20" t="n"/>
    </row>
    <row r="64">
      <c r="A64" s="27" t="inlineStr">
        <is>
          <t>EV-060</t>
        </is>
      </c>
      <c r="B64" s="20" t="n"/>
      <c r="C64" s="20" t="n"/>
      <c r="D64" s="20" t="n"/>
      <c r="E64" s="20" t="n"/>
      <c r="F64" s="20" t="n"/>
      <c r="G64" s="20" t="n"/>
      <c r="H64" s="20" t="n"/>
    </row>
    <row r="65">
      <c r="A65" s="27" t="inlineStr">
        <is>
          <t>EV-061</t>
        </is>
      </c>
      <c r="B65" s="20" t="n"/>
      <c r="C65" s="20" t="n"/>
      <c r="D65" s="20" t="n"/>
      <c r="E65" s="20" t="n"/>
      <c r="F65" s="20" t="n"/>
      <c r="G65" s="20" t="n"/>
      <c r="H65" s="20" t="n"/>
    </row>
    <row r="66">
      <c r="A66" s="27" t="inlineStr">
        <is>
          <t>EV-062</t>
        </is>
      </c>
      <c r="B66" s="20" t="n"/>
      <c r="C66" s="20" t="n"/>
      <c r="D66" s="20" t="n"/>
      <c r="E66" s="20" t="n"/>
      <c r="F66" s="20" t="n"/>
      <c r="G66" s="20" t="n"/>
      <c r="H66" s="20" t="n"/>
    </row>
    <row r="67">
      <c r="A67" s="27" t="inlineStr">
        <is>
          <t>EV-063</t>
        </is>
      </c>
      <c r="B67" s="20" t="n"/>
      <c r="C67" s="20" t="n"/>
      <c r="D67" s="20" t="n"/>
      <c r="E67" s="20" t="n"/>
      <c r="F67" s="20" t="n"/>
      <c r="G67" s="20" t="n"/>
      <c r="H67" s="20" t="n"/>
    </row>
    <row r="68">
      <c r="A68" s="27" t="inlineStr">
        <is>
          <t>EV-064</t>
        </is>
      </c>
      <c r="B68" s="20" t="n"/>
      <c r="C68" s="20" t="n"/>
      <c r="D68" s="20" t="n"/>
      <c r="E68" s="20" t="n"/>
      <c r="F68" s="20" t="n"/>
      <c r="G68" s="20" t="n"/>
      <c r="H68" s="20" t="n"/>
    </row>
    <row r="69">
      <c r="A69" s="27" t="inlineStr">
        <is>
          <t>EV-065</t>
        </is>
      </c>
      <c r="B69" s="20" t="n"/>
      <c r="C69" s="20" t="n"/>
      <c r="D69" s="20" t="n"/>
      <c r="E69" s="20" t="n"/>
      <c r="F69" s="20" t="n"/>
      <c r="G69" s="20" t="n"/>
      <c r="H69" s="20" t="n"/>
    </row>
    <row r="70">
      <c r="A70" s="27" t="inlineStr">
        <is>
          <t>EV-066</t>
        </is>
      </c>
      <c r="B70" s="20" t="n"/>
      <c r="C70" s="20" t="n"/>
      <c r="D70" s="20" t="n"/>
      <c r="E70" s="20" t="n"/>
      <c r="F70" s="20" t="n"/>
      <c r="G70" s="20" t="n"/>
      <c r="H70" s="20" t="n"/>
    </row>
    <row r="71">
      <c r="A71" s="27" t="inlineStr">
        <is>
          <t>EV-067</t>
        </is>
      </c>
      <c r="B71" s="20" t="n"/>
      <c r="C71" s="20" t="n"/>
      <c r="D71" s="20" t="n"/>
      <c r="E71" s="20" t="n"/>
      <c r="F71" s="20" t="n"/>
      <c r="G71" s="20" t="n"/>
      <c r="H71" s="20" t="n"/>
    </row>
    <row r="72">
      <c r="A72" s="27" t="inlineStr">
        <is>
          <t>EV-068</t>
        </is>
      </c>
      <c r="B72" s="20" t="n"/>
      <c r="C72" s="20" t="n"/>
      <c r="D72" s="20" t="n"/>
      <c r="E72" s="20" t="n"/>
      <c r="F72" s="20" t="n"/>
      <c r="G72" s="20" t="n"/>
      <c r="H72" s="20" t="n"/>
    </row>
    <row r="73">
      <c r="A73" s="27" t="inlineStr">
        <is>
          <t>EV-069</t>
        </is>
      </c>
      <c r="B73" s="20" t="n"/>
      <c r="C73" s="20" t="n"/>
      <c r="D73" s="20" t="n"/>
      <c r="E73" s="20" t="n"/>
      <c r="F73" s="20" t="n"/>
      <c r="G73" s="20" t="n"/>
      <c r="H73" s="20" t="n"/>
    </row>
    <row r="74">
      <c r="A74" s="27" t="inlineStr">
        <is>
          <t>EV-070</t>
        </is>
      </c>
      <c r="B74" s="20" t="n"/>
      <c r="C74" s="20" t="n"/>
      <c r="D74" s="20" t="n"/>
      <c r="E74" s="20" t="n"/>
      <c r="F74" s="20" t="n"/>
      <c r="G74" s="20" t="n"/>
      <c r="H74" s="20" t="n"/>
    </row>
    <row r="75">
      <c r="A75" s="27" t="inlineStr">
        <is>
          <t>EV-071</t>
        </is>
      </c>
      <c r="B75" s="20" t="n"/>
      <c r="C75" s="20" t="n"/>
      <c r="D75" s="20" t="n"/>
      <c r="E75" s="20" t="n"/>
      <c r="F75" s="20" t="n"/>
      <c r="G75" s="20" t="n"/>
      <c r="H75" s="20" t="n"/>
    </row>
    <row r="76">
      <c r="A76" s="27" t="inlineStr">
        <is>
          <t>EV-072</t>
        </is>
      </c>
      <c r="B76" s="20" t="n"/>
      <c r="C76" s="20" t="n"/>
      <c r="D76" s="20" t="n"/>
      <c r="E76" s="20" t="n"/>
      <c r="F76" s="20" t="n"/>
      <c r="G76" s="20" t="n"/>
      <c r="H76" s="20" t="n"/>
    </row>
    <row r="77">
      <c r="A77" s="27" t="inlineStr">
        <is>
          <t>EV-073</t>
        </is>
      </c>
      <c r="B77" s="20" t="n"/>
      <c r="C77" s="20" t="n"/>
      <c r="D77" s="20" t="n"/>
      <c r="E77" s="20" t="n"/>
      <c r="F77" s="20" t="n"/>
      <c r="G77" s="20" t="n"/>
      <c r="H77" s="20" t="n"/>
    </row>
    <row r="78">
      <c r="A78" s="27" t="inlineStr">
        <is>
          <t>EV-074</t>
        </is>
      </c>
      <c r="B78" s="20" t="n"/>
      <c r="C78" s="20" t="n"/>
      <c r="D78" s="20" t="n"/>
      <c r="E78" s="20" t="n"/>
      <c r="F78" s="20" t="n"/>
      <c r="G78" s="20" t="n"/>
      <c r="H78" s="20" t="n"/>
    </row>
    <row r="79">
      <c r="A79" s="27" t="inlineStr">
        <is>
          <t>EV-075</t>
        </is>
      </c>
      <c r="B79" s="20" t="n"/>
      <c r="C79" s="20" t="n"/>
      <c r="D79" s="20" t="n"/>
      <c r="E79" s="20" t="n"/>
      <c r="F79" s="20" t="n"/>
      <c r="G79" s="20" t="n"/>
      <c r="H79" s="20" t="n"/>
    </row>
    <row r="80">
      <c r="A80" s="27" t="inlineStr">
        <is>
          <t>EV-076</t>
        </is>
      </c>
      <c r="B80" s="20" t="n"/>
      <c r="C80" s="20" t="n"/>
      <c r="D80" s="20" t="n"/>
      <c r="E80" s="20" t="n"/>
      <c r="F80" s="20" t="n"/>
      <c r="G80" s="20" t="n"/>
      <c r="H80" s="20" t="n"/>
    </row>
    <row r="81">
      <c r="A81" s="27" t="inlineStr">
        <is>
          <t>EV-077</t>
        </is>
      </c>
      <c r="B81" s="20" t="n"/>
      <c r="C81" s="20" t="n"/>
      <c r="D81" s="20" t="n"/>
      <c r="E81" s="20" t="n"/>
      <c r="F81" s="20" t="n"/>
      <c r="G81" s="20" t="n"/>
      <c r="H81" s="20" t="n"/>
    </row>
    <row r="82">
      <c r="A82" s="27" t="inlineStr">
        <is>
          <t>EV-078</t>
        </is>
      </c>
      <c r="B82" s="20" t="n"/>
      <c r="C82" s="20" t="n"/>
      <c r="D82" s="20" t="n"/>
      <c r="E82" s="20" t="n"/>
      <c r="F82" s="20" t="n"/>
      <c r="G82" s="20" t="n"/>
      <c r="H82" s="20" t="n"/>
    </row>
    <row r="83">
      <c r="A83" s="27" t="inlineStr">
        <is>
          <t>EV-079</t>
        </is>
      </c>
      <c r="B83" s="20" t="n"/>
      <c r="C83" s="20" t="n"/>
      <c r="D83" s="20" t="n"/>
      <c r="E83" s="20" t="n"/>
      <c r="F83" s="20" t="n"/>
      <c r="G83" s="20" t="n"/>
      <c r="H83" s="20" t="n"/>
    </row>
    <row r="84">
      <c r="A84" s="27" t="inlineStr">
        <is>
          <t>EV-080</t>
        </is>
      </c>
      <c r="B84" s="20" t="n"/>
      <c r="C84" s="20" t="n"/>
      <c r="D84" s="20" t="n"/>
      <c r="E84" s="20" t="n"/>
      <c r="F84" s="20" t="n"/>
      <c r="G84" s="20" t="n"/>
      <c r="H84" s="20" t="n"/>
    </row>
    <row r="85">
      <c r="A85" s="27" t="inlineStr">
        <is>
          <t>EV-081</t>
        </is>
      </c>
      <c r="B85" s="20" t="n"/>
      <c r="C85" s="20" t="n"/>
      <c r="D85" s="20" t="n"/>
      <c r="E85" s="20" t="n"/>
      <c r="F85" s="20" t="n"/>
      <c r="G85" s="20" t="n"/>
      <c r="H85" s="20" t="n"/>
    </row>
    <row r="86">
      <c r="A86" s="27" t="inlineStr">
        <is>
          <t>EV-082</t>
        </is>
      </c>
      <c r="B86" s="20" t="n"/>
      <c r="C86" s="20" t="n"/>
      <c r="D86" s="20" t="n"/>
      <c r="E86" s="20" t="n"/>
      <c r="F86" s="20" t="n"/>
      <c r="G86" s="20" t="n"/>
      <c r="H86" s="20" t="n"/>
    </row>
    <row r="87">
      <c r="A87" s="27" t="inlineStr">
        <is>
          <t>EV-083</t>
        </is>
      </c>
      <c r="B87" s="20" t="n"/>
      <c r="C87" s="20" t="n"/>
      <c r="D87" s="20" t="n"/>
      <c r="E87" s="20" t="n"/>
      <c r="F87" s="20" t="n"/>
      <c r="G87" s="20" t="n"/>
      <c r="H87" s="20" t="n"/>
    </row>
    <row r="88">
      <c r="A88" s="27" t="inlineStr">
        <is>
          <t>EV-084</t>
        </is>
      </c>
      <c r="B88" s="20" t="n"/>
      <c r="C88" s="20" t="n"/>
      <c r="D88" s="20" t="n"/>
      <c r="E88" s="20" t="n"/>
      <c r="F88" s="20" t="n"/>
      <c r="G88" s="20" t="n"/>
      <c r="H88" s="20" t="n"/>
    </row>
    <row r="89">
      <c r="A89" s="27" t="inlineStr">
        <is>
          <t>EV-085</t>
        </is>
      </c>
      <c r="B89" s="20" t="n"/>
      <c r="C89" s="20" t="n"/>
      <c r="D89" s="20" t="n"/>
      <c r="E89" s="20" t="n"/>
      <c r="F89" s="20" t="n"/>
      <c r="G89" s="20" t="n"/>
      <c r="H89" s="20" t="n"/>
    </row>
    <row r="90">
      <c r="A90" s="27" t="inlineStr">
        <is>
          <t>EV-086</t>
        </is>
      </c>
      <c r="B90" s="20" t="n"/>
      <c r="C90" s="20" t="n"/>
      <c r="D90" s="20" t="n"/>
      <c r="E90" s="20" t="n"/>
      <c r="F90" s="20" t="n"/>
      <c r="G90" s="20" t="n"/>
      <c r="H90" s="20" t="n"/>
    </row>
    <row r="91">
      <c r="A91" s="27" t="inlineStr">
        <is>
          <t>EV-087</t>
        </is>
      </c>
      <c r="B91" s="20" t="n"/>
      <c r="C91" s="20" t="n"/>
      <c r="D91" s="20" t="n"/>
      <c r="E91" s="20" t="n"/>
      <c r="F91" s="20" t="n"/>
      <c r="G91" s="20" t="n"/>
      <c r="H91" s="20" t="n"/>
    </row>
    <row r="92">
      <c r="A92" s="27" t="inlineStr">
        <is>
          <t>EV-088</t>
        </is>
      </c>
      <c r="B92" s="20" t="n"/>
      <c r="C92" s="20" t="n"/>
      <c r="D92" s="20" t="n"/>
      <c r="E92" s="20" t="n"/>
      <c r="F92" s="20" t="n"/>
      <c r="G92" s="20" t="n"/>
      <c r="H92" s="20" t="n"/>
    </row>
    <row r="93">
      <c r="A93" s="27" t="inlineStr">
        <is>
          <t>EV-089</t>
        </is>
      </c>
      <c r="B93" s="20" t="n"/>
      <c r="C93" s="20" t="n"/>
      <c r="D93" s="20" t="n"/>
      <c r="E93" s="20" t="n"/>
      <c r="F93" s="20" t="n"/>
      <c r="G93" s="20" t="n"/>
      <c r="H93" s="20" t="n"/>
    </row>
    <row r="94">
      <c r="A94" s="27" t="inlineStr">
        <is>
          <t>EV-090</t>
        </is>
      </c>
      <c r="B94" s="20" t="n"/>
      <c r="C94" s="20" t="n"/>
      <c r="D94" s="20" t="n"/>
      <c r="E94" s="20" t="n"/>
      <c r="F94" s="20" t="n"/>
      <c r="G94" s="20" t="n"/>
      <c r="H94" s="20" t="n"/>
    </row>
    <row r="95">
      <c r="A95" s="27" t="inlineStr">
        <is>
          <t>EV-091</t>
        </is>
      </c>
      <c r="B95" s="20" t="n"/>
      <c r="C95" s="20" t="n"/>
      <c r="D95" s="20" t="n"/>
      <c r="E95" s="20" t="n"/>
      <c r="F95" s="20" t="n"/>
      <c r="G95" s="20" t="n"/>
      <c r="H95" s="20" t="n"/>
    </row>
    <row r="96">
      <c r="A96" s="27" t="inlineStr">
        <is>
          <t>EV-092</t>
        </is>
      </c>
      <c r="B96" s="20" t="n"/>
      <c r="C96" s="20" t="n"/>
      <c r="D96" s="20" t="n"/>
      <c r="E96" s="20" t="n"/>
      <c r="F96" s="20" t="n"/>
      <c r="G96" s="20" t="n"/>
      <c r="H96" s="20" t="n"/>
    </row>
    <row r="97">
      <c r="A97" s="27" t="inlineStr">
        <is>
          <t>EV-093</t>
        </is>
      </c>
      <c r="B97" s="20" t="n"/>
      <c r="C97" s="20" t="n"/>
      <c r="D97" s="20" t="n"/>
      <c r="E97" s="20" t="n"/>
      <c r="F97" s="20" t="n"/>
      <c r="G97" s="20" t="n"/>
      <c r="H97" s="20" t="n"/>
    </row>
    <row r="98">
      <c r="A98" s="27" t="inlineStr">
        <is>
          <t>EV-094</t>
        </is>
      </c>
      <c r="B98" s="20" t="n"/>
      <c r="C98" s="20" t="n"/>
      <c r="D98" s="20" t="n"/>
      <c r="E98" s="20" t="n"/>
      <c r="F98" s="20" t="n"/>
      <c r="G98" s="20" t="n"/>
      <c r="H98" s="20" t="n"/>
    </row>
    <row r="99">
      <c r="A99" s="27" t="inlineStr">
        <is>
          <t>EV-095</t>
        </is>
      </c>
      <c r="B99" s="20" t="n"/>
      <c r="C99" s="20" t="n"/>
      <c r="D99" s="20" t="n"/>
      <c r="E99" s="20" t="n"/>
      <c r="F99" s="20" t="n"/>
      <c r="G99" s="20" t="n"/>
      <c r="H99" s="20" t="n"/>
    </row>
    <row r="100">
      <c r="A100" s="27" t="inlineStr">
        <is>
          <t>EV-096</t>
        </is>
      </c>
      <c r="B100" s="20" t="n"/>
      <c r="C100" s="20" t="n"/>
      <c r="D100" s="20" t="n"/>
      <c r="E100" s="20" t="n"/>
      <c r="F100" s="20" t="n"/>
      <c r="G100" s="20" t="n"/>
      <c r="H100" s="20" t="n"/>
    </row>
    <row r="101">
      <c r="A101" s="27" t="inlineStr">
        <is>
          <t>EV-097</t>
        </is>
      </c>
      <c r="B101" s="20" t="n"/>
      <c r="C101" s="20" t="n"/>
      <c r="D101" s="20" t="n"/>
      <c r="E101" s="20" t="n"/>
      <c r="F101" s="20" t="n"/>
      <c r="G101" s="20" t="n"/>
      <c r="H101" s="20" t="n"/>
    </row>
    <row r="102">
      <c r="A102" s="27" t="inlineStr">
        <is>
          <t>EV-098</t>
        </is>
      </c>
      <c r="B102" s="20" t="n"/>
      <c r="C102" s="20" t="n"/>
      <c r="D102" s="20" t="n"/>
      <c r="E102" s="20" t="n"/>
      <c r="F102" s="20" t="n"/>
      <c r="G102" s="20" t="n"/>
      <c r="H102" s="20" t="n"/>
    </row>
    <row r="103">
      <c r="A103" s="27" t="inlineStr">
        <is>
          <t>EV-099</t>
        </is>
      </c>
      <c r="B103" s="20" t="n"/>
      <c r="C103" s="20" t="n"/>
      <c r="D103" s="20" t="n"/>
      <c r="E103" s="20" t="n"/>
      <c r="F103" s="20" t="n"/>
      <c r="G103" s="20" t="n"/>
      <c r="H103" s="20" t="n"/>
    </row>
    <row r="104">
      <c r="A104" s="27" t="inlineStr">
        <is>
          <t>EV-100</t>
        </is>
      </c>
      <c r="B104" s="20" t="n"/>
      <c r="C104" s="20" t="n"/>
      <c r="D104" s="20" t="n"/>
      <c r="E104" s="20" t="n"/>
      <c r="F104" s="20" t="n"/>
      <c r="G104" s="20" t="n"/>
      <c r="H104" s="20" t="n"/>
    </row>
  </sheetData>
  <mergeCells count="2">
    <mergeCell ref="A2:H2"/>
    <mergeCell ref="A1:H1"/>
  </mergeCells>
  <dataValidations count="2">
    <dataValidation sqref="G5:G104" showDropDown="0" showInputMessage="0" showErrorMessage="0" allowBlank="1" type="list">
      <formula1>"Verified,Pending verification,Not verified,Requires update"</formula1>
    </dataValidation>
    <dataValidation sqref="B5:B104" showDropDown="0" showInputMessage="0" showErrorMessage="0" allowBlank="1" type="list">
      <formula1>"Policy Document,Procedure Document,Screenshot,System Log Export,Configuration File,Email Communication,Meeting Minutes,Audit Report,Certificate,Contract/Agreement,Training Record,Test Result,Other"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35" customHeight="1">
      <c r="A1" s="24" t="inlineStr">
        <is>
          <t>Retention &amp; Deletion Triggers Assessment — SUMMARY DASHBOARD</t>
        </is>
      </c>
    </row>
    <row r="2">
      <c r="A2" s="28" t="inlineStr">
        <is>
          <t>Summary Dashboard  |  Retention &amp; Deletion Triggers Assessment  |  Generated: 20260301</t>
        </is>
      </c>
    </row>
    <row r="4">
      <c r="A4" s="29" t="inlineStr">
        <is>
          <t>TABLE 1 – COMPLIANCE ASSESSMENT SUMMARY</t>
        </is>
      </c>
    </row>
    <row r="5">
      <c r="A5" s="30" t="inlineStr">
        <is>
          <t>Assessment Area</t>
        </is>
      </c>
      <c r="B5" s="30" t="inlineStr">
        <is>
          <t>Total Items</t>
        </is>
      </c>
      <c r="C5" s="30" t="inlineStr">
        <is>
          <t>Compliant</t>
        </is>
      </c>
      <c r="D5" s="30" t="inlineStr">
        <is>
          <t>Partial</t>
        </is>
      </c>
      <c r="E5" s="30" t="inlineStr">
        <is>
          <t>Non-Compliant</t>
        </is>
      </c>
      <c r="F5" s="30" t="inlineStr">
        <is>
          <t>N/A</t>
        </is>
      </c>
      <c r="G5" s="30" t="inlineStr">
        <is>
          <t>Compliance %</t>
        </is>
      </c>
    </row>
    <row r="6">
      <c r="A6" s="31" t="inlineStr">
        <is>
          <t>Data Category Registry</t>
        </is>
      </c>
      <c r="B6" s="32">
        <f>C6+D6+E6+F6</f>
        <v/>
      </c>
      <c r="C6" s="32">
        <f>COUNTIF('2. Data Category Registry'!F10:F100,"✅ Compliant")</f>
        <v/>
      </c>
      <c r="D6" s="32">
        <f>COUNTIF('2. Data Category Registry'!F10:F100,"⚠️ Partial")</f>
        <v/>
      </c>
      <c r="E6" s="32">
        <f>COUNTIF('2. Data Category Registry'!F10:F100,"❌ Non-Compliant")</f>
        <v/>
      </c>
      <c r="F6" s="32">
        <f>COUNTIF('2. Data Category Registry'!F10:F100,"N/A")</f>
        <v/>
      </c>
      <c r="G6" s="33">
        <f>IF((B6-F6)=0,0,C6/(B6-F6))</f>
        <v/>
      </c>
    </row>
    <row r="7">
      <c r="A7" s="31" t="inlineStr">
        <is>
          <t>Retention Schedule Compliance</t>
        </is>
      </c>
      <c r="B7" s="32">
        <f>C7+D7+E7+F7</f>
        <v/>
      </c>
      <c r="C7" s="32">
        <f>COUNTIF('3. Retention Sched. Compliance'!F10:F100,"✅ Compliant")</f>
        <v/>
      </c>
      <c r="D7" s="32">
        <f>COUNTIF('3. Retention Sched. Compliance'!F10:F100,"⚠️ Partial")</f>
        <v/>
      </c>
      <c r="E7" s="32">
        <f>COUNTIF('3. Retention Sched. Compliance'!F10:F100,"❌ Non-Compliant")</f>
        <v/>
      </c>
      <c r="F7" s="32">
        <f>COUNTIF('3. Retention Sched. Compliance'!F10:F100,"N/A")</f>
        <v/>
      </c>
      <c r="G7" s="33">
        <f>IF((B7-F7)=0,0,C7/(B7-F7))</f>
        <v/>
      </c>
    </row>
    <row r="8">
      <c r="A8" s="31" t="inlineStr">
        <is>
          <t>Deletion Trigger Config.</t>
        </is>
      </c>
      <c r="B8" s="32">
        <f>C8+D8+E8+F8</f>
        <v/>
      </c>
      <c r="C8" s="32">
        <f>COUNTIF('4. Deletion Trigger Config.'!F10:F100,"✅ Compliant")</f>
        <v/>
      </c>
      <c r="D8" s="32">
        <f>COUNTIF('4. Deletion Trigger Config.'!F10:F100,"⚠️ Partial")</f>
        <v/>
      </c>
      <c r="E8" s="32">
        <f>COUNTIF('4. Deletion Trigger Config.'!F10:F100,"❌ Non-Compliant")</f>
        <v/>
      </c>
      <c r="F8" s="32">
        <f>COUNTIF('4. Deletion Trigger Config.'!F10:F100,"N/A")</f>
        <v/>
      </c>
      <c r="G8" s="33">
        <f>IF((B8-F8)=0,0,C8/(B8-F8))</f>
        <v/>
      </c>
    </row>
    <row r="9">
      <c r="A9" s="31" t="inlineStr">
        <is>
          <t>Legal Hold Management</t>
        </is>
      </c>
      <c r="B9" s="32">
        <f>C9+D9+E9+F9</f>
        <v/>
      </c>
      <c r="C9" s="32">
        <f>COUNTIF('5. Legal Hold Management'!F10:F100,"✅ Compliant")</f>
        <v/>
      </c>
      <c r="D9" s="32">
        <f>COUNTIF('5. Legal Hold Management'!F10:F100,"⚠️ Partial")</f>
        <v/>
      </c>
      <c r="E9" s="32">
        <f>COUNTIF('5. Legal Hold Management'!F10:F100,"❌ Non-Compliant")</f>
        <v/>
      </c>
      <c r="F9" s="32">
        <f>COUNTIF('5. Legal Hold Management'!F10:F100,"N/A")</f>
        <v/>
      </c>
      <c r="G9" s="33">
        <f>IF((B9-F9)=0,0,C9/(B9-F9))</f>
        <v/>
      </c>
    </row>
    <row r="10">
      <c r="A10" s="31" t="inlineStr">
        <is>
          <t>Data Subject Requests</t>
        </is>
      </c>
      <c r="B10" s="32">
        <f>C10+D10+E10+F10</f>
        <v/>
      </c>
      <c r="C10" s="32">
        <f>COUNTIF('6. Data Subject Requests'!F10:F100,"✅ Compliant")</f>
        <v/>
      </c>
      <c r="D10" s="32">
        <f>COUNTIF('6. Data Subject Requests'!F10:F100,"⚠️ Partial")</f>
        <v/>
      </c>
      <c r="E10" s="32">
        <f>COUNTIF('6. Data Subject Requests'!F10:F100,"❌ Non-Compliant")</f>
        <v/>
      </c>
      <c r="F10" s="32">
        <f>COUNTIF('6. Data Subject Requests'!F10:F100,"N/A")</f>
        <v/>
      </c>
      <c r="G10" s="33">
        <f>IF((B10-F10)=0,0,C10/(B10-F10))</f>
        <v/>
      </c>
    </row>
    <row r="11">
      <c r="A11" s="30" t="inlineStr">
        <is>
          <t>TOTAL</t>
        </is>
      </c>
      <c r="B11" s="30">
        <f>SUM(B6:B10)</f>
        <v/>
      </c>
      <c r="C11" s="30">
        <f>SUM(C6:C10)</f>
        <v/>
      </c>
      <c r="D11" s="30">
        <f>SUM(D6:D10)</f>
        <v/>
      </c>
      <c r="E11" s="30">
        <f>SUM(E6:E10)</f>
        <v/>
      </c>
      <c r="F11" s="30">
        <f>SUM(F6:F10)</f>
        <v/>
      </c>
      <c r="G11" s="34">
        <f>IF((B11-F11)=0,0,C11/(B11-F11))</f>
        <v/>
      </c>
    </row>
    <row r="13">
      <c r="A13" s="29" t="inlineStr">
        <is>
          <t>TABLE 2 – KEY METRICS</t>
        </is>
      </c>
    </row>
    <row r="14">
      <c r="A14" s="30" t="inlineStr">
        <is>
          <t>Metric</t>
        </is>
      </c>
      <c r="B14" s="30" t="inlineStr">
        <is>
          <t>Value</t>
        </is>
      </c>
      <c r="C14" s="30" t="inlineStr">
        <is>
          <t>Target</t>
        </is>
      </c>
    </row>
    <row r="15">
      <c r="A15" s="35" t="inlineStr">
        <is>
          <t>Overall Compliance Rate</t>
        </is>
      </c>
      <c r="B15" s="36">
        <f>IFERROR(G11,"N/A")</f>
        <v/>
      </c>
      <c r="C15" s="37" t="inlineStr">
        <is>
          <t>≥ 80%</t>
        </is>
      </c>
    </row>
    <row r="16">
      <c r="A16" s="35" t="inlineStr">
        <is>
          <t>Data Categories with Defined Retention Schedule</t>
        </is>
      </c>
      <c r="B16" s="36">
        <f>IFERROR(COUNTIF('3. Retention Sched. Compliance'!F10:F100,"✅ Compliant"),0)</f>
        <v/>
      </c>
      <c r="C16" s="37" t="inlineStr">
        <is>
          <t>100%</t>
        </is>
      </c>
    </row>
    <row r="17">
      <c r="A17" s="35" t="inlineStr">
        <is>
          <t>Deletion Triggers Configured</t>
        </is>
      </c>
      <c r="B17" s="36">
        <f>IFERROR(COUNTIF('4. Deletion Trigger Config.'!F10:F100,"✅ Compliant"),0)</f>
        <v/>
      </c>
      <c r="C17" s="37" t="inlineStr">
        <is>
          <t>100%</t>
        </is>
      </c>
    </row>
    <row r="18">
      <c r="A18" s="35" t="inlineStr">
        <is>
          <t>Legal Hold Management Controls Compliant</t>
        </is>
      </c>
      <c r="B18" s="36">
        <f>IFERROR(COUNTIF('5. Legal Hold Management'!F10:F100,"✅ Compliant"),0)</f>
        <v/>
      </c>
      <c r="C18" s="37" t="inlineStr">
        <is>
          <t>100%</t>
        </is>
      </c>
    </row>
    <row r="19">
      <c r="A19" s="35" t="inlineStr">
        <is>
          <t>Data Subject Request Workflows Compliant</t>
        </is>
      </c>
      <c r="B19" s="36">
        <f>IFERROR(COUNTIF('6. Data Subject Requests'!F10:F100,"✅ Compliant"),0)</f>
        <v/>
      </c>
      <c r="C19" s="37" t="inlineStr">
        <is>
          <t>100%</t>
        </is>
      </c>
    </row>
    <row r="20">
      <c r="A20" s="35" t="inlineStr">
        <is>
          <t>Non-Compliant Items Requiring Remediation</t>
        </is>
      </c>
      <c r="B20" s="36">
        <f>IFERROR(SUM(E6:E10),0)</f>
        <v/>
      </c>
      <c r="C20" s="37" t="inlineStr">
        <is>
          <t>0</t>
        </is>
      </c>
    </row>
    <row r="22">
      <c r="A22" s="38" t="inlineStr">
        <is>
          <t>TABLE 3 – KEY FINDINGS &amp; RECOMMENDATIONS</t>
        </is>
      </c>
    </row>
    <row r="23">
      <c r="A23" s="30" t="inlineStr">
        <is>
          <t>#</t>
        </is>
      </c>
      <c r="B23" s="30" t="inlineStr">
        <is>
          <t>Finding</t>
        </is>
      </c>
      <c r="C23" s="30" t="inlineStr">
        <is>
          <t>Impact</t>
        </is>
      </c>
      <c r="D23" s="30" t="inlineStr">
        <is>
          <t>Recommendation</t>
        </is>
      </c>
      <c r="E23" s="30" t="inlineStr">
        <is>
          <t>Priority</t>
        </is>
      </c>
      <c r="F23" s="30" t="inlineStr">
        <is>
          <t>Status</t>
        </is>
      </c>
      <c r="G23" s="30" t="inlineStr">
        <is>
          <t>Notes</t>
        </is>
      </c>
    </row>
    <row r="24">
      <c r="A24" s="37" t="inlineStr">
        <is>
          <t>1</t>
        </is>
      </c>
      <c r="B24" s="35" t="inlineStr">
        <is>
          <t>Retention schedules may not cover all data categories</t>
        </is>
      </c>
      <c r="C24" s="35" t="inlineStr">
        <is>
          <t>High</t>
        </is>
      </c>
      <c r="D24" s="35" t="inlineStr">
        <is>
          <t>Complete data category inventory and assign retention periods to all items</t>
        </is>
      </c>
      <c r="E24" s="37" t="inlineStr">
        <is>
          <t>P1</t>
        </is>
      </c>
      <c r="F24" s="37" t="inlineStr">
        <is>
          <t>Open</t>
        </is>
      </c>
      <c r="G24" s="35" t="inlineStr"/>
    </row>
    <row r="25">
      <c r="A25" s="37" t="inlineStr">
        <is>
          <t>2</t>
        </is>
      </c>
      <c r="B25" s="35" t="inlineStr">
        <is>
          <t>Deletion trigger automation may be incomplete</t>
        </is>
      </c>
      <c r="C25" s="35" t="inlineStr">
        <is>
          <t>High</t>
        </is>
      </c>
      <c r="D25" s="35" t="inlineStr">
        <is>
          <t>Implement automated deletion triggers for all high-volume data categories</t>
        </is>
      </c>
      <c r="E25" s="37" t="inlineStr">
        <is>
          <t>P1</t>
        </is>
      </c>
      <c r="F25" s="37" t="inlineStr">
        <is>
          <t>Open</t>
        </is>
      </c>
      <c r="G25" s="35" t="inlineStr"/>
    </row>
    <row r="26">
      <c r="A26" s="37" t="inlineStr">
        <is>
          <t>3</t>
        </is>
      </c>
      <c r="B26" s="35" t="inlineStr">
        <is>
          <t>Legal hold integration with deletion systems requires verification</t>
        </is>
      </c>
      <c r="C26" s="35" t="inlineStr">
        <is>
          <t>Medium</t>
        </is>
      </c>
      <c r="D26" s="35" t="inlineStr">
        <is>
          <t>Test legal hold suspension across all automated deletion trigger systems</t>
        </is>
      </c>
      <c r="E26" s="37" t="inlineStr">
        <is>
          <t>P2</t>
        </is>
      </c>
      <c r="F26" s="37" t="inlineStr">
        <is>
          <t>Open</t>
        </is>
      </c>
      <c r="G26" s="35" t="inlineStr"/>
    </row>
    <row r="27">
      <c r="A27" s="37" t="inlineStr">
        <is>
          <t>4</t>
        </is>
      </c>
      <c r="B27" s="35" t="inlineStr">
        <is>
          <t>Data subject erasure request response times need monitoring</t>
        </is>
      </c>
      <c r="C27" s="35" t="inlineStr">
        <is>
          <t>Medium</t>
        </is>
      </c>
      <c r="D27" s="35" t="inlineStr">
        <is>
          <t>Establish SLA tracking and escalation for GDPR/FADP erasure requests</t>
        </is>
      </c>
      <c r="E27" s="37" t="inlineStr">
        <is>
          <t>P2</t>
        </is>
      </c>
      <c r="F27" s="37" t="inlineStr">
        <is>
          <t>Open</t>
        </is>
      </c>
      <c r="G27" s="35" t="inlineStr"/>
    </row>
  </sheetData>
  <mergeCells count="5">
    <mergeCell ref="A13:G13"/>
    <mergeCell ref="A1:G1"/>
    <mergeCell ref="A22:G22"/>
    <mergeCell ref="A4:G4"/>
    <mergeCell ref="A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9" t="inlineStr">
        <is>
          <t>ASSESSMENT APPROVAL AND SIGN-OFF</t>
        </is>
      </c>
      <c r="B1" s="6" t="n"/>
      <c r="C1" s="6" t="n"/>
      <c r="D1" s="6" t="n"/>
      <c r="E1" s="6" t="n"/>
    </row>
    <row r="2">
      <c r="A2" s="40" t="inlineStr">
        <is>
          <t>ISMS-IMP-A.8.10.1 - Retention &amp; Deletion Triggers Assessment</t>
        </is>
      </c>
      <c r="B2" s="6" t="n"/>
      <c r="C2" s="6" t="n"/>
      <c r="D2" s="6" t="n"/>
      <c r="E2" s="6" t="n"/>
    </row>
    <row r="3">
      <c r="A3" s="41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ISMS-IMP-A.8.10.1 - Retention &amp; Deletion Triggers Assessment</t>
        </is>
      </c>
      <c r="C4" s="6" t="n"/>
      <c r="D4" s="6" t="n"/>
      <c r="E4" s="6" t="n"/>
    </row>
    <row r="5">
      <c r="A5" s="3" t="inlineStr">
        <is>
          <t>Assessment Period:</t>
        </is>
      </c>
      <c r="B5" s="20" t="inlineStr"/>
      <c r="C5" s="6" t="n"/>
      <c r="D5" s="6" t="n"/>
      <c r="E5" s="6" t="n"/>
    </row>
    <row r="6">
      <c r="A6" s="3" t="inlineStr">
        <is>
          <t>Overall Compliance:</t>
        </is>
      </c>
      <c r="B6" s="42">
        <f>IFERROR(AVERAGE('Summary Dashboard'!G6:G10),"")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20" t="inlineStr"/>
      <c r="C7" s="6" t="n"/>
      <c r="D7" s="6" t="n"/>
      <c r="E7" s="6" t="n"/>
    </row>
    <row r="10">
      <c r="A10" s="41" t="inlineStr">
        <is>
          <t>COMPLETED BY (DATA PROTECTION)</t>
        </is>
      </c>
      <c r="B10" s="6" t="n"/>
      <c r="C10" s="6" t="n"/>
      <c r="D10" s="6" t="n"/>
      <c r="E10" s="6" t="n"/>
    </row>
    <row r="11">
      <c r="A11" s="3" t="inlineStr">
        <is>
          <t>Name:</t>
        </is>
      </c>
      <c r="B11" s="20" t="n"/>
      <c r="C11" s="6" t="n"/>
      <c r="D11" s="6" t="n"/>
      <c r="E11" s="6" t="n"/>
    </row>
    <row r="12">
      <c r="A12" s="3" t="inlineStr">
        <is>
          <t>Title:</t>
        </is>
      </c>
      <c r="B12" s="20" t="n"/>
      <c r="C12" s="6" t="n"/>
      <c r="D12" s="6" t="n"/>
      <c r="E12" s="6" t="n"/>
    </row>
    <row r="13">
      <c r="A13" s="3" t="inlineStr">
        <is>
          <t>Date:</t>
        </is>
      </c>
      <c r="B13" s="20" t="n"/>
      <c r="C13" s="6" t="n"/>
      <c r="D13" s="6" t="n"/>
      <c r="E13" s="6" t="n"/>
    </row>
    <row r="14">
      <c r="A14" s="3" t="inlineStr">
        <is>
          <t>Signature:</t>
        </is>
      </c>
      <c r="B14" s="20" t="n"/>
      <c r="C14" s="6" t="n"/>
      <c r="D14" s="6" t="n"/>
      <c r="E14" s="6" t="n"/>
    </row>
    <row r="15">
      <c r="A15" s="3" t="inlineStr">
        <is>
          <t>Comments:</t>
        </is>
      </c>
      <c r="B15" s="20" t="n"/>
      <c r="C15" s="6" t="n"/>
      <c r="D15" s="6" t="n"/>
      <c r="E15" s="6" t="n"/>
    </row>
    <row r="17">
      <c r="A17" s="41" t="inlineStr">
        <is>
          <t>REVIEWED BY (COMPLIANCE)</t>
        </is>
      </c>
      <c r="B17" s="6" t="n"/>
      <c r="C17" s="6" t="n"/>
      <c r="D17" s="6" t="n"/>
      <c r="E17" s="6" t="n"/>
    </row>
    <row r="18">
      <c r="A18" s="3" t="inlineStr">
        <is>
          <t>Name:</t>
        </is>
      </c>
      <c r="B18" s="20" t="n"/>
      <c r="C18" s="6" t="n"/>
      <c r="D18" s="6" t="n"/>
      <c r="E18" s="6" t="n"/>
    </row>
    <row r="19">
      <c r="A19" s="3" t="inlineStr">
        <is>
          <t>Title:</t>
        </is>
      </c>
      <c r="B19" s="20" t="n"/>
      <c r="C19" s="6" t="n"/>
      <c r="D19" s="6" t="n"/>
      <c r="E19" s="6" t="n"/>
    </row>
    <row r="20">
      <c r="A20" s="3" t="inlineStr">
        <is>
          <t>Date:</t>
        </is>
      </c>
      <c r="B20" s="20" t="n"/>
      <c r="C20" s="6" t="n"/>
      <c r="D20" s="6" t="n"/>
      <c r="E20" s="6" t="n"/>
    </row>
    <row r="21">
      <c r="A21" s="3" t="inlineStr">
        <is>
          <t>Signature:</t>
        </is>
      </c>
      <c r="B21" s="20" t="n"/>
      <c r="C21" s="6" t="n"/>
      <c r="D21" s="6" t="n"/>
      <c r="E21" s="6" t="n"/>
    </row>
    <row r="22">
      <c r="A22" s="3" t="inlineStr">
        <is>
          <t>Comments:</t>
        </is>
      </c>
      <c r="B22" s="20" t="n"/>
      <c r="C22" s="6" t="n"/>
      <c r="D22" s="6" t="n"/>
      <c r="E22" s="6" t="n"/>
    </row>
    <row r="24">
      <c r="A24" s="43" t="inlineStr">
        <is>
          <t>APPROVED BY (CISO)</t>
        </is>
      </c>
      <c r="B24" s="6" t="n"/>
      <c r="C24" s="6" t="n"/>
      <c r="D24" s="6" t="n"/>
      <c r="E24" s="6" t="n"/>
    </row>
    <row r="25">
      <c r="A25" s="3" t="inlineStr">
        <is>
          <t>Name:</t>
        </is>
      </c>
      <c r="B25" s="20" t="n"/>
      <c r="C25" s="6" t="n"/>
      <c r="D25" s="6" t="n"/>
      <c r="E25" s="6" t="n"/>
    </row>
    <row r="26">
      <c r="A26" s="3" t="inlineStr">
        <is>
          <t>Title:</t>
        </is>
      </c>
      <c r="B26" s="20" t="n"/>
      <c r="C26" s="6" t="n"/>
      <c r="D26" s="6" t="n"/>
      <c r="E26" s="6" t="n"/>
    </row>
    <row r="27">
      <c r="A27" s="3" t="inlineStr">
        <is>
          <t>Date:</t>
        </is>
      </c>
      <c r="B27" s="20" t="n"/>
      <c r="C27" s="6" t="n"/>
      <c r="D27" s="6" t="n"/>
      <c r="E27" s="6" t="n"/>
    </row>
    <row r="28">
      <c r="A28" s="3" t="inlineStr">
        <is>
          <t>Signature:</t>
        </is>
      </c>
      <c r="B28" s="20" t="n"/>
      <c r="C28" s="6" t="n"/>
      <c r="D28" s="6" t="n"/>
      <c r="E28" s="6" t="n"/>
    </row>
    <row r="29">
      <c r="A29" s="3" t="inlineStr">
        <is>
          <t>Comments:</t>
        </is>
      </c>
      <c r="B29" s="20" t="n"/>
      <c r="C29" s="6" t="n"/>
      <c r="D29" s="6" t="n"/>
      <c r="E29" s="6" t="n"/>
    </row>
    <row r="31">
      <c r="A31" s="3" t="inlineStr">
        <is>
          <t>FINAL DECISION:</t>
        </is>
      </c>
      <c r="B31" s="20" t="n"/>
      <c r="C31" s="6" t="n"/>
      <c r="D31" s="6" t="n"/>
      <c r="E31" s="6" t="n"/>
    </row>
    <row r="34">
      <c r="A34" s="41" t="inlineStr">
        <is>
          <t>NEXT REVIEW DETAILS</t>
        </is>
      </c>
      <c r="B34" s="6" t="n"/>
      <c r="C34" s="6" t="n"/>
      <c r="D34" s="6" t="n"/>
      <c r="E34" s="6" t="n"/>
    </row>
    <row r="35">
      <c r="A35" s="3" t="inlineStr">
        <is>
          <t>Next Review Date:</t>
        </is>
      </c>
      <c r="B35" s="20" t="n"/>
      <c r="C35" s="6" t="n"/>
      <c r="D35" s="6" t="n"/>
      <c r="E35" s="6" t="n"/>
    </row>
    <row r="36">
      <c r="A36" s="3" t="inlineStr">
        <is>
          <t>Review Responsible:</t>
        </is>
      </c>
      <c r="B36" s="20" t="n"/>
      <c r="C36" s="6" t="n"/>
      <c r="D36" s="6" t="n"/>
      <c r="E36" s="6" t="n"/>
    </row>
    <row r="37">
      <c r="A37" s="3" t="inlineStr">
        <is>
          <t>Special Considerations:</t>
        </is>
      </c>
      <c r="B37" s="20" t="n"/>
      <c r="C37" s="6" t="n"/>
      <c r="D37" s="6" t="n"/>
      <c r="E37" s="6" t="n"/>
    </row>
  </sheetData>
  <mergeCells count="30">
    <mergeCell ref="A34:E34"/>
    <mergeCell ref="A24:E24"/>
    <mergeCell ref="B6:E6"/>
    <mergeCell ref="B15:E15"/>
    <mergeCell ref="A1:E1"/>
    <mergeCell ref="B5:E5"/>
    <mergeCell ref="B20:E20"/>
    <mergeCell ref="B36:E36"/>
    <mergeCell ref="B26:E26"/>
    <mergeCell ref="B35:E35"/>
    <mergeCell ref="B4:E4"/>
    <mergeCell ref="B7:E7"/>
    <mergeCell ref="B25:E25"/>
    <mergeCell ref="B22:E22"/>
    <mergeCell ref="A3:E3"/>
    <mergeCell ref="B31:E31"/>
    <mergeCell ref="B18:E18"/>
    <mergeCell ref="B27:E27"/>
    <mergeCell ref="A2:E2"/>
    <mergeCell ref="B12:E12"/>
    <mergeCell ref="B21:E21"/>
    <mergeCell ref="B11:E11"/>
    <mergeCell ref="A17:E17"/>
    <mergeCell ref="B14:E14"/>
    <mergeCell ref="A10:E10"/>
    <mergeCell ref="B13:E13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ISMS-IMP-A.8.10.1 — Retention &amp; Deletion Triggers Assessment</dc:title>
  <dc:description xmlns:dc="http://purl.org/dc/elements/1.1/">ISMS Implementation Workbook — ISMS-IMP-A.8.10.1</dc:description>
  <dc:subject xmlns:dc="http://purl.org/dc/elements/1.1/">ISO/IEC 27001:2022 — Control A.8.10: Information Deletion</dc:subject>
  <dcterms:created xmlns:dcterms="http://purl.org/dc/terms/" xmlns:xsi="http://www.w3.org/2001/XMLSchema-instance" xsi:type="dcterms:W3CDTF">2026-03-01T10:19:42Z</dcterms:created>
  <dcterms:modified xmlns:dcterms="http://purl.org/dc/terms/" xmlns:xsi="http://www.w3.org/2001/XMLSchema-instance" xsi:type="dcterms:W3CDTF">2026-03-01T10:19:42Z</dcterms:modified>
</cp:coreProperties>
</file>