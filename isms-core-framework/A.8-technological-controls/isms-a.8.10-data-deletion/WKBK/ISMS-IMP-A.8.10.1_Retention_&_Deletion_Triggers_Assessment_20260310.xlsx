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ata Category Registry" sheetId="2" state="visible" r:id="rId2"/>
    <sheet xmlns:r="http://schemas.openxmlformats.org/officeDocument/2006/relationships" name="3. Retention Sched. Compliance" sheetId="3" state="visible" r:id="rId3"/>
    <sheet xmlns:r="http://schemas.openxmlformats.org/officeDocument/2006/relationships" name="4. Deletion Trigger Config." sheetId="4" state="visible" r:id="rId4"/>
    <sheet xmlns:r="http://schemas.openxmlformats.org/officeDocument/2006/relationships" name="5. Legal Hold Management" sheetId="5" state="visible" r:id="rId5"/>
    <sheet xmlns:r="http://schemas.openxmlformats.org/officeDocument/2006/relationships" name="6. Data Subject Request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i val="1"/>
    </font>
    <font>
      <name val="Calibri"/>
      <b val="1"/>
      <color rgb="00FFFFFF"/>
    </font>
    <font>
      <name val="Calibri"/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 wrapText="1"/>
    </xf>
    <xf numFmtId="0" fontId="15" fillId="10" borderId="1" pivotButton="0" quotePrefix="0" xfId="0"/>
    <xf numFmtId="0" fontId="16" fillId="0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 wrapText="1"/>
    </xf>
    <xf numFmtId="164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7" fillId="13" borderId="0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9" fillId="14" borderId="1" pivotButton="0" quotePrefix="0" xfId="0"/>
    <xf numFmtId="164" fontId="0" fillId="0" borderId="1" pivotButton="0" quotePrefix="0" xfId="0"/>
    <xf numFmtId="0" fontId="9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ISMS-IMP-A.8.10.1  -  Retention &amp; Deletion Triggers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ISMS-IMP-A.8.10.1</t>
        </is>
      </c>
    </row>
    <row r="5">
      <c r="A5" s="3" t="inlineStr">
        <is>
          <t>Workbook Title</t>
        </is>
      </c>
      <c r="B5" t="inlineStr">
        <is>
          <t>Retention &amp; Deletion Triggers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Mark checklist items as compliant or non-compliant.</t>
        </is>
      </c>
    </row>
    <row r="17">
      <c r="A17" t="inlineStr">
        <is>
          <t>5. Review the Summary Dashboard for overall compliance status.</t>
        </is>
      </c>
    </row>
    <row r="18">
      <c r="A18" t="inlineStr">
        <is>
          <t>6. Document any gaps with remediation plans and target completion dates.</t>
        </is>
      </c>
    </row>
    <row r="19">
      <c r="A19" t="inlineStr">
        <is>
          <t>7. Obtain approval using the Approval Sign-Off sheet.</t>
        </is>
      </c>
    </row>
    <row r="20">
      <c r="A20" t="inlineStr">
        <is>
          <t>8. Review and update this assessment annually or when significant changes occur.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2: DATA CATEGORY REGISTRY</t>
        </is>
      </c>
    </row>
    <row r="2">
      <c r="A2" s="12" t="inlineStr">
        <is>
          <t>Policy Reference: ISMS-POL-A.8.10-S2.1, Section 2.1.1</t>
        </is>
      </c>
    </row>
    <row r="4">
      <c r="A4" s="13" t="inlineStr">
        <is>
          <t>ASSESSMENT QUESTION:
Have we identified and documented ALL data categories we process, including their characteristics, ownership, and storage locations?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Primary Storage Location</t>
        </is>
      </c>
      <c r="S9" s="15" t="inlineStr">
        <is>
          <t>Volume/Records</t>
        </is>
      </c>
      <c r="T9" s="15" t="inlineStr">
        <is>
          <t>Contains PII/SPI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All business units have been consulted for data categories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Data inventory includes operational, HR, financial, and customer data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Each data category has a designated Business Owner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Storage locations (on-premise, cloud, third-party) are documented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PII and SPI data categories are specifically identified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Volume/scale of data is estimated for each category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Data classification levels are assigned per organisational policy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Temporary/ephemeral data categories are included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Legacy systems and archived data are included in inventory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Cross-border data transfers are noted (if applicable)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Data category registry is reviewed at least annually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New business processes trigger data category reassessment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Shadow IT data categories have been investigated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M&amp;A due diligence includes data category mapping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Data categories align with Records Retention Schedule</t>
        </is>
      </c>
      <c r="S40" s="20" t="inlineStr"/>
      <c r="T40" s="21" t="inlineStr"/>
    </row>
    <row r="42">
      <c r="A42" s="17" t="inlineStr">
        <is>
          <t>Common Data Categories</t>
        </is>
      </c>
    </row>
    <row r="43">
      <c r="A43" s="15" t="inlineStr">
        <is>
          <t>Category Example</t>
        </is>
      </c>
      <c r="B43" s="15" t="inlineStr">
        <is>
          <t>Typical Retention</t>
        </is>
      </c>
      <c r="C43" s="15" t="inlineStr">
        <is>
          <t>Common Legal Basis</t>
        </is>
      </c>
    </row>
    <row r="44">
      <c r="A44" s="22" t="inlineStr">
        <is>
          <t>Employee Personnel Files</t>
        </is>
      </c>
      <c r="B44" s="22" t="inlineStr">
        <is>
          <t>10 years post-employment</t>
        </is>
      </c>
      <c r="C44" s="22" t="inlineStr">
        <is>
          <t>Swiss OR, Tax Law</t>
        </is>
      </c>
    </row>
    <row r="45">
      <c r="A45" s="22" t="inlineStr">
        <is>
          <t>Customer Contracts</t>
        </is>
      </c>
      <c r="B45" s="22" t="inlineStr">
        <is>
          <t>10 years post-termination</t>
        </is>
      </c>
      <c r="C45" s="22" t="inlineStr">
        <is>
          <t>Swiss OR (Art. 127)</t>
        </is>
      </c>
    </row>
    <row r="46">
      <c r="A46" s="22" t="inlineStr">
        <is>
          <t>Financial Records</t>
        </is>
      </c>
      <c r="B46" s="22" t="inlineStr">
        <is>
          <t>10 years</t>
        </is>
      </c>
      <c r="C46" s="22" t="inlineStr">
        <is>
          <t>Swiss Tax Law</t>
        </is>
      </c>
    </row>
    <row r="47">
      <c r="A47" s="22" t="inlineStr">
        <is>
          <t>Marketing Consent Records</t>
        </is>
      </c>
      <c r="B47" s="22" t="inlineStr">
        <is>
          <t>Until consent withdrawn + 1 year</t>
        </is>
      </c>
      <c r="C47" s="22" t="inlineStr">
        <is>
          <t>GDPR, FADP</t>
        </is>
      </c>
    </row>
    <row r="48">
      <c r="A48" s="22" t="inlineStr">
        <is>
          <t>Access Logs</t>
        </is>
      </c>
      <c r="B48" s="22" t="inlineStr">
        <is>
          <t>1 year</t>
        </is>
      </c>
      <c r="C48" s="22" t="inlineStr">
        <is>
          <t>Security requirement</t>
        </is>
      </c>
    </row>
    <row r="49">
      <c r="A49" s="22" t="inlineStr">
        <is>
          <t>Email Communications</t>
        </is>
      </c>
      <c r="B49" s="22" t="inlineStr">
        <is>
          <t>1-7 years (varies)</t>
        </is>
      </c>
      <c r="C49" s="22" t="inlineStr">
        <is>
          <t>Business need</t>
        </is>
      </c>
    </row>
    <row r="50">
      <c r="A50" s="22" t="inlineStr">
        <is>
          <t>Customer Support Tickets</t>
        </is>
      </c>
      <c r="B50" s="22" t="inlineStr">
        <is>
          <t>3 years post-resolution</t>
        </is>
      </c>
      <c r="C50" s="22" t="inlineStr">
        <is>
          <t>Contractual</t>
        </is>
      </c>
    </row>
    <row r="51">
      <c r="A51" s="22" t="inlineStr">
        <is>
          <t>Product Telemetry</t>
        </is>
      </c>
      <c r="B51" s="22" t="inlineStr">
        <is>
          <t>90 days - 2 years</t>
        </is>
      </c>
      <c r="C51" s="22" t="inlineStr">
        <is>
          <t>Legitimate interest</t>
        </is>
      </c>
    </row>
    <row r="52">
      <c r="A52" s="22" t="inlineStr">
        <is>
          <t>CCTV Footage</t>
        </is>
      </c>
      <c r="B52" s="22" t="inlineStr">
        <is>
          <t>30-90 days</t>
        </is>
      </c>
      <c r="C52" s="22" t="inlineStr">
        <is>
          <t>Security/legal requirement</t>
        </is>
      </c>
    </row>
    <row r="53">
      <c r="A53" s="22" t="inlineStr">
        <is>
          <t>Website Analytics</t>
        </is>
      </c>
      <c r="B53" s="22" t="inlineStr">
        <is>
          <t>26 months (GDPR default)</t>
        </is>
      </c>
      <c r="C53" s="22" t="inlineStr">
        <is>
          <t>Consent/Legitimate interest</t>
        </is>
      </c>
    </row>
    <row r="54">
      <c r="A54" s="22" t="inlineStr">
        <is>
          <t>Backup Data</t>
        </is>
      </c>
      <c r="B54" s="22" t="inlineStr">
        <is>
          <t>Aligned with active retention</t>
        </is>
      </c>
      <c r="C54" s="22" t="inlineStr">
        <is>
          <t>Same as source data</t>
        </is>
      </c>
    </row>
    <row r="55">
      <c r="A55" s="22" t="inlineStr">
        <is>
          <t>Development/Test Data</t>
        </is>
      </c>
      <c r="B55" s="22" t="inlineStr">
        <is>
          <t>Until project end + 90 days</t>
        </is>
      </c>
      <c r="C55" s="22" t="inlineStr">
        <is>
          <t>Business need</t>
        </is>
      </c>
    </row>
    <row r="56">
      <c r="A56" s="22" t="inlineStr">
        <is>
          <t>Audit Trails</t>
        </is>
      </c>
      <c r="B56" s="22" t="inlineStr">
        <is>
          <t>7-10 years</t>
        </is>
      </c>
      <c r="C56" s="22" t="inlineStr">
        <is>
          <t>Regulatory requirement</t>
        </is>
      </c>
    </row>
    <row r="57">
      <c r="A57" s="22" t="inlineStr">
        <is>
          <t>HR Recruitment Records</t>
        </is>
      </c>
      <c r="B57" s="22" t="inlineStr">
        <is>
          <t>6 months post-decision</t>
        </is>
      </c>
      <c r="C57" s="22" t="inlineStr">
        <is>
          <t>GDPR, FADP</t>
        </is>
      </c>
    </row>
    <row r="58">
      <c r="A58" s="22" t="inlineStr">
        <is>
          <t>Health &amp; Safety Records</t>
        </is>
      </c>
      <c r="B58" s="22" t="inlineStr">
        <is>
          <t>10 years</t>
        </is>
      </c>
      <c r="C58" s="22" t="inlineStr">
        <is>
          <t>Legal obligation</t>
        </is>
      </c>
    </row>
    <row r="60">
      <c r="A60" s="17" t="inlineStr">
        <is>
          <t>Storage Location Implications</t>
        </is>
      </c>
    </row>
    <row r="61">
      <c r="A61" s="15" t="inlineStr">
        <is>
          <t>Location Type</t>
        </is>
      </c>
      <c r="B61" s="15" t="inlineStr">
        <is>
          <t>Deletion Complexity</t>
        </is>
      </c>
      <c r="C61" s="15" t="inlineStr">
        <is>
          <t>Key Considerations</t>
        </is>
      </c>
    </row>
    <row r="62">
      <c r="A62" s="22" t="inlineStr">
        <is>
          <t>On-Premise</t>
        </is>
      </c>
      <c r="B62" s="22" t="inlineStr">
        <is>
          <t>Medium</t>
        </is>
      </c>
      <c r="C62" s="22" t="inlineStr">
        <is>
          <t>Full control, hardware lifecycle</t>
        </is>
      </c>
    </row>
    <row r="63">
      <c r="A63" s="22" t="inlineStr">
        <is>
          <t>Cloud (IaaS)</t>
        </is>
      </c>
      <c r="B63" s="22" t="inlineStr">
        <is>
          <t>Medium-High</t>
        </is>
      </c>
      <c r="C63" s="22" t="inlineStr">
        <is>
          <t>Snapshot management, API deletion</t>
        </is>
      </c>
    </row>
    <row r="64">
      <c r="A64" s="22" t="inlineStr">
        <is>
          <t>Cloud (PaaS)</t>
        </is>
      </c>
      <c r="B64" s="22" t="inlineStr">
        <is>
          <t>High</t>
        </is>
      </c>
      <c r="C64" s="22" t="inlineStr">
        <is>
          <t>Platform-specific deletion methods</t>
        </is>
      </c>
    </row>
    <row r="65">
      <c r="A65" s="22" t="inlineStr">
        <is>
          <t>Cloud (SaaS)</t>
        </is>
      </c>
      <c r="B65" s="22" t="inlineStr">
        <is>
          <t>Very High</t>
        </is>
      </c>
      <c r="C65" s="22" t="inlineStr">
        <is>
          <t>Vendor-dependent, see A.8.10.3</t>
        </is>
      </c>
    </row>
    <row r="66">
      <c r="A66" s="22" t="inlineStr">
        <is>
          <t>Hybrid</t>
        </is>
      </c>
      <c r="B66" s="22" t="inlineStr">
        <is>
          <t>Very High</t>
        </is>
      </c>
      <c r="C66" s="22" t="inlineStr">
        <is>
          <t>Coordination across environments</t>
        </is>
      </c>
    </row>
    <row r="67">
      <c r="A67" s="22" t="inlineStr">
        <is>
          <t>Third-Party</t>
        </is>
      </c>
      <c r="B67" s="22" t="inlineStr">
        <is>
          <t>Very High</t>
        </is>
      </c>
      <c r="C67" s="22" t="inlineStr">
        <is>
          <t>Contractual deletion, see A.8.10.3</t>
        </is>
      </c>
    </row>
    <row r="69">
      <c r="A69" s="17" t="inlineStr">
        <is>
          <t>EXCEPTIONS / DEVIATIONS</t>
        </is>
      </c>
    </row>
    <row r="70">
      <c r="A70" s="23" t="inlineStr">
        <is>
          <t>Document any exceptions or deviations from requirements here (e.g., data categories excluded from assessment, pending reviews, disputed retention periods):</t>
        </is>
      </c>
    </row>
    <row r="71"/>
    <row r="72"/>
  </sheetData>
  <mergeCells count="24">
    <mergeCell ref="B32:R32"/>
    <mergeCell ref="B26:R26"/>
    <mergeCell ref="A4:T6"/>
    <mergeCell ref="B35:R35"/>
    <mergeCell ref="B31:R31"/>
    <mergeCell ref="A1:T1"/>
    <mergeCell ref="A42:C42"/>
    <mergeCell ref="B27:R27"/>
    <mergeCell ref="A70:T72"/>
    <mergeCell ref="B39:R39"/>
    <mergeCell ref="A69:T69"/>
    <mergeCell ref="A7:T7"/>
    <mergeCell ref="A25:T25"/>
    <mergeCell ref="B29:R29"/>
    <mergeCell ref="B38:R38"/>
    <mergeCell ref="B34:R34"/>
    <mergeCell ref="A2:T2"/>
    <mergeCell ref="B28:R28"/>
    <mergeCell ref="B37:R37"/>
    <mergeCell ref="A60:C60"/>
    <mergeCell ref="B40:R40"/>
    <mergeCell ref="B30:R30"/>
    <mergeCell ref="B33:R3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"On-Premise,Cloud (IaaS),Cloud (PaaS),Cloud (SaaS),Hybrid,Third-Party"</formula1>
    </dataValidation>
    <dataValidation sqref="T10:T100" showDropDown="0" showInputMessage="0" showErrorMessage="0" allowBlank="1" type="list">
      <formula1>"Yes - PII,Yes - SPI,Yes - Both,No"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3: RETENTION SCHEDULE COMPLIANCE</t>
        </is>
      </c>
    </row>
    <row r="2">
      <c r="A2" s="12" t="inlineStr">
        <is>
          <t>Policy Reference: ISMS-POL-A.8.10-S2.1, Section 2.1.2</t>
        </is>
      </c>
    </row>
    <row r="4">
      <c r="A4" s="13" t="inlineStr">
        <is>
          <t>ASSESSMENT QUESTION:
Does each data category have a documented retention period with a valid legal or business justification?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Retention Calculation Method</t>
        </is>
      </c>
      <c r="S9" s="15" t="inlineStr">
        <is>
          <t>Event Trigger Description</t>
        </is>
      </c>
      <c r="T9" s="15" t="inlineStr">
        <is>
          <t>Backup Retention Aligned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Every data category has a defined retention period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Retention periods have documented legal/regulatory basis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Swiss FADP compliance verified for all PII categories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GDPR compliance verified where applicable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Retention periods do not exceed legal maximums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Retention periods meet legal minimums (e.g., tax records)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Event-based retention triggers are clearly defined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Business justification documented for non-regulatory retention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Conflicting retention requirements are resolved and documented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Retention schedule approved by Legal/Compliance team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Backup retention aligns with active data retention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'Permanent' retention is justified and approved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Retention periods reviewed annually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Changes to retention periods follow change management process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Data subjects are informed of retention periods (GDPR/FADP)</t>
        </is>
      </c>
      <c r="S40" s="20" t="inlineStr"/>
      <c r="T40" s="21" t="inlineStr"/>
    </row>
    <row r="42">
      <c r="A42" s="17" t="inlineStr">
        <is>
          <t>Swiss Legal Retention Requirements</t>
        </is>
      </c>
    </row>
    <row r="43">
      <c r="A43" s="15" t="inlineStr">
        <is>
          <t>Data Type</t>
        </is>
      </c>
      <c r="B43" s="15" t="inlineStr">
        <is>
          <t>Minimum Retention</t>
        </is>
      </c>
      <c r="C43" s="15" t="inlineStr">
        <is>
          <t>Legal Basis</t>
        </is>
      </c>
      <c r="D43" s="15" t="inlineStr">
        <is>
          <t>Maximum Deletion</t>
        </is>
      </c>
    </row>
    <row r="44">
      <c r="A44" s="22" t="inlineStr">
        <is>
          <t>Accounting Records</t>
        </is>
      </c>
      <c r="B44" s="22" t="inlineStr">
        <is>
          <t>10 years</t>
        </is>
      </c>
      <c r="C44" s="22" t="inlineStr">
        <is>
          <t>Swiss OR Art. 958f</t>
        </is>
      </c>
      <c r="D44" s="22" t="inlineStr">
        <is>
          <t>After 10 years</t>
        </is>
      </c>
    </row>
    <row r="45">
      <c r="A45" s="22" t="inlineStr">
        <is>
          <t>Tax Records</t>
        </is>
      </c>
      <c r="B45" s="22" t="inlineStr">
        <is>
          <t>10 years</t>
        </is>
      </c>
      <c r="C45" s="22" t="inlineStr">
        <is>
          <t>Swiss Tax Law</t>
        </is>
      </c>
      <c r="D45" s="22" t="inlineStr">
        <is>
          <t>After 10 years</t>
        </is>
      </c>
    </row>
    <row r="46">
      <c r="A46" s="22" t="inlineStr">
        <is>
          <t>Employee Records</t>
        </is>
      </c>
      <c r="B46" s="22" t="inlineStr">
        <is>
          <t>10 years</t>
        </is>
      </c>
      <c r="C46" s="22" t="inlineStr">
        <is>
          <t>Swiss OR Art. 127</t>
        </is>
      </c>
      <c r="D46" s="22" t="inlineStr">
        <is>
          <t>After 10 years (FADP)</t>
        </is>
      </c>
    </row>
    <row r="47">
      <c r="A47" s="22" t="inlineStr">
        <is>
          <t>Contracts</t>
        </is>
      </c>
      <c r="B47" s="22" t="inlineStr">
        <is>
          <t>10 years</t>
        </is>
      </c>
      <c r="C47" s="22" t="inlineStr">
        <is>
          <t>Swiss OR Art. 127</t>
        </is>
      </c>
      <c r="D47" s="22" t="inlineStr">
        <is>
          <t>After 10 years</t>
        </is>
      </c>
    </row>
    <row r="48">
      <c r="A48" s="22" t="inlineStr">
        <is>
          <t>Payroll Records</t>
        </is>
      </c>
      <c r="B48" s="22" t="inlineStr">
        <is>
          <t>10 years</t>
        </is>
      </c>
      <c r="C48" s="22" t="inlineStr">
        <is>
          <t>Swiss Tax/Social Law</t>
        </is>
      </c>
      <c r="D48" s="22" t="inlineStr">
        <is>
          <t>After 10 years</t>
        </is>
      </c>
    </row>
    <row r="49">
      <c r="A49" s="22" t="inlineStr">
        <is>
          <t>Corporate Minutes</t>
        </is>
      </c>
      <c r="B49" s="22" t="inlineStr">
        <is>
          <t>Permanent</t>
        </is>
      </c>
      <c r="C49" s="22" t="inlineStr">
        <is>
          <t>Swiss OR Art. 695</t>
        </is>
      </c>
      <c r="D49" s="22" t="inlineStr">
        <is>
          <t>N/A</t>
        </is>
      </c>
    </row>
    <row r="50">
      <c r="A50" s="22" t="inlineStr">
        <is>
          <t>Share Register</t>
        </is>
      </c>
      <c r="B50" s="22" t="inlineStr">
        <is>
          <t>Permanent</t>
        </is>
      </c>
      <c r="C50" s="22" t="inlineStr">
        <is>
          <t>Swiss OR Art. 686</t>
        </is>
      </c>
      <c r="D50" s="22" t="inlineStr">
        <is>
          <t>N/A</t>
        </is>
      </c>
    </row>
    <row r="51">
      <c r="A51" s="22" t="inlineStr">
        <is>
          <t>Correspondence</t>
        </is>
      </c>
      <c r="B51" s="22" t="inlineStr">
        <is>
          <t>No minimum</t>
        </is>
      </c>
      <c r="C51" s="22" t="inlineStr">
        <is>
          <t>Business need</t>
        </is>
      </c>
      <c r="D51" s="22" t="inlineStr">
        <is>
          <t>FADP: when no longer needed</t>
        </is>
      </c>
    </row>
    <row r="52">
      <c r="A52" s="22" t="inlineStr">
        <is>
          <t>Marketing Data</t>
        </is>
      </c>
      <c r="B52" s="22" t="inlineStr">
        <is>
          <t>No minimum</t>
        </is>
      </c>
      <c r="C52" s="22" t="inlineStr">
        <is>
          <t>Consent-based</t>
        </is>
      </c>
      <c r="D52" s="22" t="inlineStr">
        <is>
          <t>FADP: consent withdrawal</t>
        </is>
      </c>
    </row>
    <row r="53">
      <c r="A53" s="22" t="inlineStr">
        <is>
          <t>CCTV Footage</t>
        </is>
      </c>
      <c r="B53" s="22" t="inlineStr">
        <is>
          <t>No minimum</t>
        </is>
      </c>
      <c r="C53" s="22" t="inlineStr">
        <is>
          <t>Proportionality</t>
        </is>
      </c>
      <c r="D53" s="22" t="inlineStr">
        <is>
          <t>FADP: typically 30-90 days</t>
        </is>
      </c>
    </row>
    <row r="55">
      <c r="A55" s="17" t="inlineStr">
        <is>
          <t>Retention Calculation Methods</t>
        </is>
      </c>
    </row>
    <row r="56">
      <c r="A56" s="15" t="inlineStr">
        <is>
          <t>Method</t>
        </is>
      </c>
      <c r="B56" s="15" t="inlineStr">
        <is>
          <t>Definition</t>
        </is>
      </c>
      <c r="C56" s="15" t="inlineStr">
        <is>
          <t>Example</t>
        </is>
      </c>
    </row>
    <row r="57">
      <c r="A57" s="22" t="inlineStr">
        <is>
          <t>Fixed Period</t>
        </is>
      </c>
      <c r="B57" s="22" t="inlineStr">
        <is>
          <t>Set duration from creation/collection</t>
        </is>
      </c>
      <c r="C57" s="22" t="inlineStr">
        <is>
          <t>7 years from date of invoice</t>
        </is>
      </c>
    </row>
    <row r="58">
      <c r="A58" s="22" t="inlineStr">
        <is>
          <t>Event-Based</t>
        </is>
      </c>
      <c r="B58" s="22" t="inlineStr">
        <is>
          <t>Duration starts at specific event</t>
        </is>
      </c>
      <c r="C58" s="22" t="inlineStr">
        <is>
          <t>10 years from contract termination</t>
        </is>
      </c>
    </row>
    <row r="59">
      <c r="A59" s="22" t="inlineStr">
        <is>
          <t>Hybrid</t>
        </is>
      </c>
      <c r="B59" s="22" t="inlineStr">
        <is>
          <t>Combination of fixed + event</t>
        </is>
      </c>
      <c r="C59" s="22" t="inlineStr">
        <is>
          <t>3 years OR until litigation resolved</t>
        </is>
      </c>
    </row>
    <row r="60">
      <c r="A60" s="22" t="inlineStr">
        <is>
          <t>Indefinite (Permanent)</t>
        </is>
      </c>
      <c r="B60" s="22" t="inlineStr">
        <is>
          <t>No planned deletion</t>
        </is>
      </c>
      <c r="C60" s="22" t="inlineStr">
        <is>
          <t>Corporate charter documents</t>
        </is>
      </c>
    </row>
    <row r="61">
      <c r="A61" s="22" t="inlineStr">
        <is>
          <t>Until Consent Withdrawn</t>
        </is>
      </c>
      <c r="B61" s="22" t="inlineStr">
        <is>
          <t>Active until user action</t>
        </is>
      </c>
      <c r="C61" s="22" t="inlineStr">
        <is>
          <t>Marketing email list</t>
        </is>
      </c>
    </row>
    <row r="63">
      <c r="A63" s="17" t="inlineStr">
        <is>
          <t>EXCEPTIONS / DEVIATIONS</t>
        </is>
      </c>
    </row>
    <row r="64">
      <c r="A64" s="23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A55:C5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A42:D42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"Fixed Period,Event-Based,Hybrid"</formula1>
    </dataValidation>
    <dataValidation sqref="T10:T10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8" customWidth="1" min="19" max="19"/>
    <col width="22" customWidth="1" min="20" max="20"/>
  </cols>
  <sheetData>
    <row r="1" ht="35" customHeight="1">
      <c r="A1" s="11" t="inlineStr">
        <is>
          <t>SHEET 4: DELETION TRIGGER CONFIGURATION</t>
        </is>
      </c>
    </row>
    <row r="2">
      <c r="A2" s="12" t="inlineStr">
        <is>
          <t>Policy Reference: ISMS-POL-A.8.10-S2.1, Section 2.1.3</t>
        </is>
      </c>
    </row>
    <row r="4">
      <c r="A4" s="13" t="inlineStr">
        <is>
          <t>ASSESSMENT QUESTION:
Do we have effective and reliable deletion triggers that ensure data is deleted when retention periods expire?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Trigger Type</t>
        </is>
      </c>
      <c r="S9" s="15" t="inlineStr">
        <is>
          <t>Trigger Frequency</t>
        </is>
      </c>
      <c r="T9" s="15" t="inlineStr">
        <is>
          <t>Legal Hold Check Integrated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Automated deletion triggers implemented for high-volume data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Manual deletion procedures documented for low-volume data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Trigger execution is logged and auditable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Failed deletion attempts are alerted and investigated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Legal hold checks are integrated into trigger logic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Backup deletion triggers aligned with active data triggers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Cloud/SaaS deletion triggers verified (see A.8.10.3)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Event-based triggers are monitored for event occurrence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Deletion triggers tested at least annually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Trigger failures have defined escalation procedures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Business Owner approval required for manual triggers (if policy requires)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Deletion triggers respect data dependencies (referential integrity)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Triggers account for data in transit (queues, caches)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Deletion trigger schedule published and communicated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Trigger configuration changes follow change management</t>
        </is>
      </c>
      <c r="S40" s="20" t="inlineStr"/>
      <c r="T40" s="21" t="inlineStr"/>
    </row>
    <row r="42">
      <c r="A42" s="17" t="inlineStr">
        <is>
          <t>Trigger Types and Use Cases</t>
        </is>
      </c>
    </row>
    <row r="43">
      <c r="A43" s="15" t="inlineStr">
        <is>
          <t>Trigger Type</t>
        </is>
      </c>
      <c r="B43" s="15" t="inlineStr">
        <is>
          <t>Best For</t>
        </is>
      </c>
      <c r="C43" s="15" t="inlineStr">
        <is>
          <t>Advantages</t>
        </is>
      </c>
      <c r="D43" s="15" t="inlineStr">
        <is>
          <t>Disadvantages</t>
        </is>
      </c>
    </row>
    <row r="44">
      <c r="A44" s="22" t="inlineStr">
        <is>
          <t>Automatic</t>
        </is>
      </c>
      <c r="B44" s="22" t="inlineStr">
        <is>
          <t>High-volume, structured data</t>
        </is>
      </c>
      <c r="C44" s="22" t="inlineStr">
        <is>
          <t>Consistent, no human error</t>
        </is>
      </c>
      <c r="D44" s="22" t="inlineStr">
        <is>
          <t>Requires robust testing</t>
        </is>
      </c>
    </row>
    <row r="45">
      <c r="A45" s="22" t="inlineStr">
        <is>
          <t>Manual</t>
        </is>
      </c>
      <c r="B45" s="22" t="inlineStr">
        <is>
          <t>Low-volume, sensitive data</t>
        </is>
      </c>
      <c r="C45" s="22" t="inlineStr">
        <is>
          <t>Controlled, deliberate</t>
        </is>
      </c>
      <c r="D45" s="22" t="inlineStr">
        <is>
          <t>Human error risk, slower</t>
        </is>
      </c>
    </row>
    <row r="46">
      <c r="A46" s="22" t="inlineStr">
        <is>
          <t>Semi-Automatic</t>
        </is>
      </c>
      <c r="B46" s="22" t="inlineStr">
        <is>
          <t>Medium volume, needs approval</t>
        </is>
      </c>
      <c r="C46" s="22" t="inlineStr">
        <is>
          <t>Balance control and efficiency</t>
        </is>
      </c>
      <c r="D46" s="22" t="inlineStr">
        <is>
          <t>Workflow complexity</t>
        </is>
      </c>
    </row>
    <row r="47">
      <c r="A47" s="22" t="inlineStr">
        <is>
          <t>Event-Based</t>
        </is>
      </c>
      <c r="B47" s="22" t="inlineStr">
        <is>
          <t>Contract-dependent data</t>
        </is>
      </c>
      <c r="C47" s="22" t="inlineStr">
        <is>
          <t>Precise, legally aligned</t>
        </is>
      </c>
      <c r="D47" s="22" t="inlineStr">
        <is>
          <t>Requires event tracking</t>
        </is>
      </c>
    </row>
    <row r="49">
      <c r="A49" s="17" t="inlineStr">
        <is>
          <t>Common Deletion Trigger Patterns</t>
        </is>
      </c>
    </row>
    <row r="50">
      <c r="A50" s="15" t="inlineStr">
        <is>
          <t>Pattern</t>
        </is>
      </c>
      <c r="B50" s="15" t="inlineStr">
        <is>
          <t>Description</t>
        </is>
      </c>
      <c r="C50" s="15" t="inlineStr">
        <is>
          <t>Example Implementation</t>
        </is>
      </c>
    </row>
    <row r="51">
      <c r="A51" s="22" t="inlineStr">
        <is>
          <t>Time-Based Cron</t>
        </is>
      </c>
      <c r="B51" s="22" t="inlineStr">
        <is>
          <t>Scheduled deletion job</t>
        </is>
      </c>
      <c r="C51" s="22" t="inlineStr">
        <is>
          <t>Daily at 02:00 UTC, delete records &gt; 7 years</t>
        </is>
      </c>
    </row>
    <row r="52">
      <c r="A52" s="22" t="inlineStr">
        <is>
          <t>Database TTL</t>
        </is>
      </c>
      <c r="B52" s="22" t="inlineStr">
        <is>
          <t>Built-in expiration</t>
        </is>
      </c>
      <c r="C52" s="22" t="inlineStr">
        <is>
          <t>MongoDB TTL index, Redis EXPIRE</t>
        </is>
      </c>
    </row>
    <row r="53">
      <c r="A53" s="22" t="inlineStr">
        <is>
          <t>Lifecycle Policy</t>
        </is>
      </c>
      <c r="B53" s="22" t="inlineStr">
        <is>
          <t>Cloud-native deletion</t>
        </is>
      </c>
      <c r="C53" s="22" t="inlineStr">
        <is>
          <t>AWS S3 Lifecycle, Azure Blob Lifecycle</t>
        </is>
      </c>
    </row>
    <row r="54">
      <c r="A54" s="22" t="inlineStr">
        <is>
          <t>Workflow Approval</t>
        </is>
      </c>
      <c r="B54" s="22" t="inlineStr">
        <is>
          <t>Human-in-the-loop</t>
        </is>
      </c>
      <c r="C54" s="22" t="inlineStr">
        <is>
          <t>Jira ticket → approval → script execution</t>
        </is>
      </c>
    </row>
    <row r="55">
      <c r="A55" s="22" t="inlineStr">
        <is>
          <t>Event Listener</t>
        </is>
      </c>
      <c r="B55" s="22" t="inlineStr">
        <is>
          <t>Reactive deletion</t>
        </is>
      </c>
      <c r="C55" s="22" t="inlineStr">
        <is>
          <t>Contract.status = terminated → 90-day timer → delete</t>
        </is>
      </c>
    </row>
    <row r="56">
      <c r="A56" s="22" t="inlineStr">
        <is>
          <t>Batch Processing</t>
        </is>
      </c>
      <c r="B56" s="22" t="inlineStr">
        <is>
          <t>Periodic bulk deletion</t>
        </is>
      </c>
      <c r="C56" s="22" t="inlineStr">
        <is>
          <t>Monthly job: identify + delete expired records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 (e.g., data categories excluded from assessment, pending reviews, disputed retention periods):</t>
        </is>
      </c>
    </row>
    <row r="60"/>
    <row r="61"/>
  </sheetData>
  <mergeCells count="24">
    <mergeCell ref="B32:R32"/>
    <mergeCell ref="B26:R26"/>
    <mergeCell ref="A59:T61"/>
    <mergeCell ref="A58:T58"/>
    <mergeCell ref="A4:T6"/>
    <mergeCell ref="B35:R35"/>
    <mergeCell ref="B31:R31"/>
    <mergeCell ref="A1:T1"/>
    <mergeCell ref="B27:R27"/>
    <mergeCell ref="B39:R39"/>
    <mergeCell ref="A7:T7"/>
    <mergeCell ref="A25:T25"/>
    <mergeCell ref="B29:R29"/>
    <mergeCell ref="B38:R38"/>
    <mergeCell ref="B34:R34"/>
    <mergeCell ref="A2:T2"/>
    <mergeCell ref="B28:R28"/>
    <mergeCell ref="B37:R37"/>
    <mergeCell ref="B40:R40"/>
    <mergeCell ref="A49:C49"/>
    <mergeCell ref="B30:R30"/>
    <mergeCell ref="B33:R33"/>
    <mergeCell ref="A42:D42"/>
    <mergeCell ref="B36:R36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R10:R100" showDropDown="0" showInputMessage="0" showErrorMessage="0" allowBlank="1" type="list">
      <formula1>"Automatic,Manual,Semi-Automatic,Event-Based"</formula1>
    </dataValidation>
    <dataValidation sqref="S10:S100" showDropDown="0" showInputMessage="0" showErrorMessage="0" allowBlank="1" type="list">
      <formula1>"Real-time,Daily,Weekly,Monthly,Quarterly,Annual,Ad-hoc"</formula1>
    </dataValidation>
    <dataValidation sqref="T10:T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5" customWidth="1" min="18" max="18"/>
    <col width="8" customWidth="1" min="19" max="19"/>
    <col width="18" customWidth="1" min="20" max="20"/>
  </cols>
  <sheetData>
    <row r="1" ht="35" customHeight="1">
      <c r="A1" s="11" t="inlineStr">
        <is>
          <t>SHEET 5: LEGAL HOLD MANAGEMENT</t>
        </is>
      </c>
    </row>
    <row r="2">
      <c r="A2" s="12" t="inlineStr">
        <is>
          <t>Policy Reference: ISMS-POL-A.8.10-S2.1, Section 2.1.4</t>
        </is>
      </c>
    </row>
    <row r="4">
      <c r="A4" s="13" t="inlineStr">
        <is>
          <t>ASSESSMENT QUESTION:
Do we have robust processes to identify, communicate, and manage legal holds to prevent premature deletion of data under hold?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Active Legal Holds</t>
        </is>
      </c>
      <c r="S9" s="15" t="inlineStr">
        <is>
          <t>Legal Hold Notification Process</t>
        </is>
      </c>
      <c r="T9" s="15" t="inlineStr">
        <is>
          <t>Hold Review Frequency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Legal hold procedures are documented and approved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Legal/Compliance team has authority to initiate holds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IT/Data teams receive timely notification of holds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Hold notification includes specific data categories and date ranges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Automated deletion triggers check for active holds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Legal hold data is segregated or flagged in systems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Legal hold registry is maintained (who, what, when, why)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Business Owners are notified when their data is under hold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Periodic review of active holds (at least quarterly)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Hold release procedures are documented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Post-hold deletion is executed per normal retention schedule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Legal hold training provided to relevant staf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Legal hold breaches (accidental deletion) are reported and investigated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Legal hold scope is clearly defined (not overly broad)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Legal hold process tested at least annually</t>
        </is>
      </c>
      <c r="S40" s="20" t="inlineStr"/>
      <c r="T40" s="21" t="inlineStr"/>
    </row>
    <row r="42">
      <c r="A42" s="17" t="inlineStr">
        <is>
          <t>Legal Hold Triggers</t>
        </is>
      </c>
    </row>
    <row r="43">
      <c r="A43" s="15" t="inlineStr">
        <is>
          <t>Trigger Event</t>
        </is>
      </c>
      <c r="B43" s="15" t="inlineStr">
        <is>
          <t>Typical Response Time</t>
        </is>
      </c>
      <c r="C43" s="15" t="inlineStr">
        <is>
          <t>Hold Scope</t>
        </is>
      </c>
    </row>
    <row r="44">
      <c r="A44" s="22" t="inlineStr">
        <is>
          <t>Litigation Notice</t>
        </is>
      </c>
      <c r="B44" s="22" t="inlineStr">
        <is>
          <t>Within 24 hours</t>
        </is>
      </c>
      <c r="C44" s="22" t="inlineStr">
        <is>
          <t>All relevant data for case</t>
        </is>
      </c>
    </row>
    <row r="45">
      <c r="A45" s="22" t="inlineStr">
        <is>
          <t>Regulatory Investigation</t>
        </is>
      </c>
      <c r="B45" s="22" t="inlineStr">
        <is>
          <t>Within 48 hours</t>
        </is>
      </c>
      <c r="C45" s="22" t="inlineStr">
        <is>
          <t>Specified data types/periods</t>
        </is>
      </c>
    </row>
    <row r="46">
      <c r="A46" s="22" t="inlineStr">
        <is>
          <t>Internal Investigation</t>
        </is>
      </c>
      <c r="B46" s="22" t="inlineStr">
        <is>
          <t>Within 72 hours</t>
        </is>
      </c>
      <c r="C46" s="22" t="inlineStr">
        <is>
          <t>Specific employees/systems</t>
        </is>
      </c>
    </row>
    <row r="47">
      <c r="A47" s="22" t="inlineStr">
        <is>
          <t>M&amp;A Due Diligence</t>
        </is>
      </c>
      <c r="B47" s="22" t="inlineStr">
        <is>
          <t>Within 1 week</t>
        </is>
      </c>
      <c r="C47" s="22" t="inlineStr">
        <is>
          <t>All corporate records</t>
        </is>
      </c>
    </row>
    <row r="48">
      <c r="A48" s="22" t="inlineStr">
        <is>
          <t>Employment Dispute</t>
        </is>
      </c>
      <c r="B48" s="22" t="inlineStr">
        <is>
          <t>Within 48 hours</t>
        </is>
      </c>
      <c r="C48" s="22" t="inlineStr">
        <is>
          <t>Employee records + communications</t>
        </is>
      </c>
    </row>
    <row r="49">
      <c r="A49" s="22" t="inlineStr">
        <is>
          <t>IP Dispute</t>
        </is>
      </c>
      <c r="B49" s="22" t="inlineStr">
        <is>
          <t>Within 72 hours</t>
        </is>
      </c>
      <c r="C49" s="22" t="inlineStr">
        <is>
          <t>Development records, communications</t>
        </is>
      </c>
    </row>
    <row r="50">
      <c r="A50" s="22" t="inlineStr">
        <is>
          <t>Data Breach Investigation</t>
        </is>
      </c>
      <c r="B50" s="22" t="inlineStr">
        <is>
          <t>Immediate</t>
        </is>
      </c>
      <c r="C50" s="22" t="inlineStr">
        <is>
          <t>Affected systems/logs</t>
        </is>
      </c>
    </row>
    <row r="51">
      <c r="A51" s="22" t="inlineStr">
        <is>
          <t>Audit Notification</t>
        </is>
      </c>
      <c r="B51" s="22" t="inlineStr">
        <is>
          <t>Within 1 week</t>
        </is>
      </c>
      <c r="C51" s="22" t="inlineStr">
        <is>
          <t>Records relevant to audit scope</t>
        </is>
      </c>
    </row>
    <row r="53">
      <c r="A53" s="17" t="inlineStr">
        <is>
          <t>Hold Management Best Practices</t>
        </is>
      </c>
    </row>
    <row r="54">
      <c r="A54" s="15" t="inlineStr">
        <is>
          <t>Practice</t>
        </is>
      </c>
      <c r="B54" s="15" t="inlineStr">
        <is>
          <t>Purpose</t>
        </is>
      </c>
      <c r="C54" s="15" t="inlineStr">
        <is>
          <t>Implementation</t>
        </is>
      </c>
    </row>
    <row r="55">
      <c r="A55" s="22" t="inlineStr">
        <is>
          <t>Centralised Hold Registry</t>
        </is>
      </c>
      <c r="B55" s="22" t="inlineStr">
        <is>
          <t>Single source of truth</t>
        </is>
      </c>
      <c r="C55" s="22" t="inlineStr">
        <is>
          <t>Legal hold database/system</t>
        </is>
      </c>
    </row>
    <row r="56">
      <c r="A56" s="22" t="inlineStr">
        <is>
          <t>Automated Flagging</t>
        </is>
      </c>
      <c r="B56" s="22" t="inlineStr">
        <is>
          <t>Prevent accidental deletion</t>
        </is>
      </c>
      <c r="C56" s="22" t="inlineStr">
        <is>
          <t>System flags or separate storage</t>
        </is>
      </c>
    </row>
    <row r="57">
      <c r="A57" s="22" t="inlineStr">
        <is>
          <t>Regular Hold Reviews</t>
        </is>
      </c>
      <c r="B57" s="22" t="inlineStr">
        <is>
          <t>Release unnecessary holds</t>
        </is>
      </c>
      <c r="C57" s="22" t="inlineStr">
        <is>
          <t>Quarterly review meetings</t>
        </is>
      </c>
    </row>
    <row r="58">
      <c r="A58" s="22" t="inlineStr">
        <is>
          <t>Clear Release Process</t>
        </is>
      </c>
      <c r="B58" s="22" t="inlineStr">
        <is>
          <t>Controlled return to normal deletion</t>
        </is>
      </c>
      <c r="C58" s="22" t="inlineStr">
        <is>
          <t>Legal approval required</t>
        </is>
      </c>
    </row>
    <row r="59">
      <c r="A59" s="22" t="inlineStr">
        <is>
          <t>Documentation Requirements</t>
        </is>
      </c>
      <c r="B59" s="22" t="inlineStr">
        <is>
          <t>Audit trail</t>
        </is>
      </c>
      <c r="C59" s="22" t="inlineStr">
        <is>
          <t>Who, what, when, why, how long</t>
        </is>
      </c>
    </row>
    <row r="60">
      <c r="A60" s="22" t="inlineStr">
        <is>
          <t>Scope Definition</t>
        </is>
      </c>
      <c r="B60" s="22" t="inlineStr">
        <is>
          <t>Avoid over-preservation</t>
        </is>
      </c>
      <c r="C60" s="22" t="inlineStr">
        <is>
          <t>Specific data types, date ranges</t>
        </is>
      </c>
    </row>
    <row r="61">
      <c r="A61" s="22" t="inlineStr">
        <is>
          <t>Cost Tracking</t>
        </is>
      </c>
      <c r="B61" s="22" t="inlineStr">
        <is>
          <t>Understand hold impact</t>
        </is>
      </c>
      <c r="C61" s="22" t="inlineStr">
        <is>
          <t>Storage costs, resource time</t>
        </is>
      </c>
    </row>
    <row r="63">
      <c r="A63" s="17" t="inlineStr">
        <is>
          <t>EXCEPTIONS / DEVIATIONS</t>
        </is>
      </c>
    </row>
    <row r="64">
      <c r="A64" s="23" t="inlineStr">
        <is>
          <t>Document any exceptions or deviations from requirements here (e.g., data categories excluded from assessment, pending reviews, disputed retention periods):</t>
        </is>
      </c>
    </row>
    <row r="65"/>
    <row r="66"/>
  </sheetData>
  <mergeCells count="24">
    <mergeCell ref="B32:R32"/>
    <mergeCell ref="B26:R26"/>
    <mergeCell ref="A4:T6"/>
    <mergeCell ref="B35:R35"/>
    <mergeCell ref="A64:T66"/>
    <mergeCell ref="B31:R31"/>
    <mergeCell ref="A1:T1"/>
    <mergeCell ref="A42:C42"/>
    <mergeCell ref="B27:R27"/>
    <mergeCell ref="B39:R39"/>
    <mergeCell ref="A7:T7"/>
    <mergeCell ref="A25:T25"/>
    <mergeCell ref="A53:C53"/>
    <mergeCell ref="B29:R29"/>
    <mergeCell ref="B38:R38"/>
    <mergeCell ref="B34:R34"/>
    <mergeCell ref="A2:T2"/>
    <mergeCell ref="B28:R28"/>
    <mergeCell ref="B37:R37"/>
    <mergeCell ref="B40:R40"/>
    <mergeCell ref="B30:R30"/>
    <mergeCell ref="B33:R33"/>
    <mergeCell ref="A63:T63"/>
    <mergeCell ref="B36:R36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"Automated,Manual,Hybrid,None"</formula1>
    </dataValidation>
    <dataValidation sqref="T10:T100" showDropDown="0" showInputMessage="0" showErrorMessage="0" allowBlank="1" type="list">
      <formula1>"Weekly,Monthly,Quarterly,Annual"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8" customWidth="1" min="19" max="19"/>
    <col width="22" customWidth="1" min="20" max="20"/>
  </cols>
  <sheetData>
    <row r="1" ht="35" customHeight="1">
      <c r="A1" s="11" t="inlineStr">
        <is>
          <t>SHEET 6: DATA SUBJECT REQUESTS (GDPR/FADP)</t>
        </is>
      </c>
    </row>
    <row r="2">
      <c r="A2" s="12" t="inlineStr">
        <is>
          <t>Policy Reference: ISMS-POL-A.8.10-S2.1, Section 2.1.5</t>
        </is>
      </c>
    </row>
    <row r="4">
      <c r="A4" s="13" t="inlineStr">
        <is>
          <t>ASSESSMENT QUESTION:
Can we effectively identify, validate, and execute deletion requests from data subjects within required timeframes?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Data Category / System Name</t>
        </is>
      </c>
      <c r="B9" s="15" t="inlineStr">
        <is>
          <t>Data Classification</t>
        </is>
      </c>
      <c r="C9" s="15" t="inlineStr">
        <is>
          <t>Business Owner</t>
        </is>
      </c>
      <c r="D9" s="15" t="inlineStr">
        <is>
          <t>Retention Period</t>
        </is>
      </c>
      <c r="E9" s="15" t="inlineStr">
        <is>
          <t>Legal/Regulatory Basis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Review Date</t>
        </is>
      </c>
      <c r="I9" s="15" t="inlineStr">
        <is>
          <t>Next Review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Average Response Time (Days)</t>
        </is>
      </c>
      <c r="S9" s="15" t="inlineStr">
        <is>
          <t>GDPR/FADP Applicable</t>
        </is>
      </c>
      <c r="T9" s="15" t="inlineStr">
        <is>
          <t>Request Volume (Last 12 Months)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</row>
    <row r="25">
      <c r="A25" s="17" t="inlineStr">
        <is>
          <t>COMPLIANCE CHECKLIST - Mark ✅ or ❌</t>
        </is>
      </c>
    </row>
    <row r="26">
      <c r="A26" s="18" t="inlineStr">
        <is>
          <t>1.</t>
        </is>
      </c>
      <c r="B26" s="19" t="inlineStr">
        <is>
          <t>Data subject request procedure is documented</t>
        </is>
      </c>
      <c r="S26" s="20" t="inlineStr"/>
      <c r="T26" s="21" t="inlineStr"/>
    </row>
    <row r="27">
      <c r="A27" s="18" t="inlineStr">
        <is>
          <t>2.</t>
        </is>
      </c>
      <c r="B27" s="19" t="inlineStr">
        <is>
          <t>Request intake channel is clearly communicated (e.g., privacy@company.ch)</t>
        </is>
      </c>
      <c r="S27" s="20" t="inlineStr"/>
      <c r="T27" s="21" t="inlineStr"/>
    </row>
    <row r="28">
      <c r="A28" s="18" t="inlineStr">
        <is>
          <t>3.</t>
        </is>
      </c>
      <c r="B28" s="19" t="inlineStr">
        <is>
          <t>Identity verification process prevents fraudulent requests</t>
        </is>
      </c>
      <c r="S28" s="20" t="inlineStr"/>
      <c r="T28" s="21" t="inlineStr"/>
    </row>
    <row r="29">
      <c r="A29" s="18" t="inlineStr">
        <is>
          <t>4.</t>
        </is>
      </c>
      <c r="B29" s="19" t="inlineStr">
        <is>
          <t>Request acknowledgment within 5 business days (GDPR/FADP)</t>
        </is>
      </c>
      <c r="S29" s="20" t="inlineStr"/>
      <c r="T29" s="21" t="inlineStr"/>
    </row>
    <row r="30">
      <c r="A30" s="18" t="inlineStr">
        <is>
          <t>5.</t>
        </is>
      </c>
      <c r="B30" s="19" t="inlineStr">
        <is>
          <t>Requests fulfilled within 30 days (extendable to 60 days with justification)</t>
        </is>
      </c>
      <c r="S30" s="20" t="inlineStr"/>
      <c r="T30" s="21" t="inlineStr"/>
    </row>
    <row r="31">
      <c r="A31" s="18" t="inlineStr">
        <is>
          <t>6.</t>
        </is>
      </c>
      <c r="B31" s="19" t="inlineStr">
        <is>
          <t>Search capability across all systems holding personal data</t>
        </is>
      </c>
      <c r="S31" s="20" t="inlineStr"/>
      <c r="T31" s="21" t="inlineStr"/>
    </row>
    <row r="32">
      <c r="A32" s="18" t="inlineStr">
        <is>
          <t>7.</t>
        </is>
      </c>
      <c r="B32" s="19" t="inlineStr">
        <is>
          <t>Ability to distinguish between deletion obligations and exceptions</t>
        </is>
      </c>
      <c r="S32" s="20" t="inlineStr"/>
      <c r="T32" s="21" t="inlineStr"/>
    </row>
    <row r="33">
      <c r="A33" s="18" t="inlineStr">
        <is>
          <t>8.</t>
        </is>
      </c>
      <c r="B33" s="19" t="inlineStr">
        <is>
          <t>Third-party/cloud systems included in deletion scope (see A.8.10.3)</t>
        </is>
      </c>
      <c r="S33" s="20" t="inlineStr"/>
      <c r="T33" s="21" t="inlineStr"/>
    </row>
    <row r="34">
      <c r="A34" s="18" t="inlineStr">
        <is>
          <t>9.</t>
        </is>
      </c>
      <c r="B34" s="19" t="inlineStr">
        <is>
          <t>Backup deletion addressed in response (or timeline communicated)</t>
        </is>
      </c>
      <c r="S34" s="20" t="inlineStr"/>
      <c r="T34" s="21" t="inlineStr"/>
    </row>
    <row r="35">
      <c r="A35" s="18" t="inlineStr">
        <is>
          <t>10.</t>
        </is>
      </c>
      <c r="B35" s="19" t="inlineStr">
        <is>
          <t>Request tracking system in place (ticket system, CRM, etc.)</t>
        </is>
      </c>
      <c r="S35" s="20" t="inlineStr"/>
      <c r="T35" s="21" t="inlineStr"/>
    </row>
    <row r="36">
      <c r="A36" s="18" t="inlineStr">
        <is>
          <t>11.</t>
        </is>
      </c>
      <c r="B36" s="19" t="inlineStr">
        <is>
          <t>Responses documented (what was deleted, what was retained, why)</t>
        </is>
      </c>
      <c r="S36" s="20" t="inlineStr"/>
      <c r="T36" s="21" t="inlineStr"/>
    </row>
    <row r="37">
      <c r="A37" s="18" t="inlineStr">
        <is>
          <t>12.</t>
        </is>
      </c>
      <c r="B37" s="19" t="inlineStr">
        <is>
          <t>Data subjects informed of retention exceptions (e.g., legal obligations)</t>
        </is>
      </c>
      <c r="S37" s="20" t="inlineStr"/>
      <c r="T37" s="21" t="inlineStr"/>
    </row>
    <row r="38">
      <c r="A38" s="18" t="inlineStr">
        <is>
          <t>13.</t>
        </is>
      </c>
      <c r="B38" s="19" t="inlineStr">
        <is>
          <t>Escalation procedure for complex requests</t>
        </is>
      </c>
      <c r="S38" s="20" t="inlineStr"/>
      <c r="T38" s="21" t="inlineStr"/>
    </row>
    <row r="39">
      <c r="A39" s="18" t="inlineStr">
        <is>
          <t>14.</t>
        </is>
      </c>
      <c r="B39" s="19" t="inlineStr">
        <is>
          <t>Staff training on data subject request handling</t>
        </is>
      </c>
      <c r="S39" s="20" t="inlineStr"/>
      <c r="T39" s="21" t="inlineStr"/>
    </row>
    <row r="40">
      <c r="A40" s="18" t="inlineStr">
        <is>
          <t>15.</t>
        </is>
      </c>
      <c r="B40" s="19" t="inlineStr">
        <is>
          <t>Request metrics tracked and reported to DPO/Privacy Officer</t>
        </is>
      </c>
      <c r="S40" s="20" t="inlineStr"/>
      <c r="T40" s="21" t="inlineStr"/>
    </row>
    <row r="42">
      <c r="A42" s="17" t="inlineStr">
        <is>
          <t>GDPR Article 17 Deletion Obligations</t>
        </is>
      </c>
    </row>
    <row r="43">
      <c r="A43" s="15" t="inlineStr">
        <is>
          <t>Condition for Deletion</t>
        </is>
      </c>
      <c r="B43" s="15" t="inlineStr">
        <is>
          <t>Organisation Must Delete If...</t>
        </is>
      </c>
      <c r="C43" s="15" t="inlineStr">
        <is>
          <t>Example</t>
        </is>
      </c>
    </row>
    <row r="44">
      <c r="A44" s="22" t="inlineStr">
        <is>
          <t>No longer necessary</t>
        </is>
      </c>
      <c r="B44" s="22" t="inlineStr">
        <is>
          <t>Data no longer needed for original purpose</t>
        </is>
      </c>
      <c r="C44" s="22" t="inlineStr">
        <is>
          <t>Marketing data after consent withdrawn</t>
        </is>
      </c>
    </row>
    <row r="45">
      <c r="A45" s="22" t="inlineStr">
        <is>
          <t>Consent withdrawn</t>
        </is>
      </c>
      <c r="B45" s="22" t="inlineStr">
        <is>
          <t>Individual withdraws consent (no other legal basis)</t>
        </is>
      </c>
      <c r="C45" s="22" t="inlineStr">
        <is>
          <t>Newsletter subscription cancellation</t>
        </is>
      </c>
    </row>
    <row r="46">
      <c r="A46" s="22" t="inlineStr">
        <is>
          <t>Objection to processing</t>
        </is>
      </c>
      <c r="B46" s="22" t="inlineStr">
        <is>
          <t>Individual objects + no overriding legitimate grounds</t>
        </is>
      </c>
      <c r="C46" s="22" t="inlineStr">
        <is>
          <t>Profiling/direct marketing objection</t>
        </is>
      </c>
    </row>
    <row r="47">
      <c r="A47" s="22" t="inlineStr">
        <is>
          <t>Unlawful processing</t>
        </is>
      </c>
      <c r="B47" s="22" t="inlineStr">
        <is>
          <t>Data was processed illegally</t>
        </is>
      </c>
      <c r="C47" s="22" t="inlineStr">
        <is>
          <t>Processing without valid legal basis</t>
        </is>
      </c>
    </row>
    <row r="48">
      <c r="A48" s="22" t="inlineStr">
        <is>
          <t>Legal obligation</t>
        </is>
      </c>
      <c r="B48" s="22" t="inlineStr">
        <is>
          <t>Law requires deletion</t>
        </is>
      </c>
      <c r="C48" s="22" t="inlineStr">
        <is>
          <t>Court order, regulatory requirement</t>
        </is>
      </c>
    </row>
    <row r="49">
      <c r="A49" s="22" t="inlineStr">
        <is>
          <t>Child's data</t>
        </is>
      </c>
      <c r="B49" s="22" t="inlineStr">
        <is>
          <t>Data collected from child w/o proper consent</t>
        </is>
      </c>
      <c r="C49" s="22" t="inlineStr">
        <is>
          <t>Social media account created under age 13</t>
        </is>
      </c>
    </row>
    <row r="51">
      <c r="A51" s="17" t="inlineStr">
        <is>
          <t>GDPR Article 17 Deletion Exceptions</t>
        </is>
      </c>
    </row>
    <row r="52">
      <c r="A52" s="15" t="inlineStr">
        <is>
          <t>Exception</t>
        </is>
      </c>
      <c r="B52" s="15" t="inlineStr">
        <is>
          <t>Organisation Can Retain If...</t>
        </is>
      </c>
      <c r="C52" s="15" t="inlineStr">
        <is>
          <t>Example</t>
        </is>
      </c>
    </row>
    <row r="53">
      <c r="A53" s="22" t="inlineStr">
        <is>
          <t>Freedom of expression</t>
        </is>
      </c>
      <c r="B53" s="22" t="inlineStr">
        <is>
          <t>Exercise of freedom of expression/information</t>
        </is>
      </c>
      <c r="C53" s="22" t="inlineStr">
        <is>
          <t>Journalistic/academic/artistic purposes</t>
        </is>
      </c>
    </row>
    <row r="54">
      <c r="A54" s="22" t="inlineStr">
        <is>
          <t>Legal obligation</t>
        </is>
      </c>
      <c r="B54" s="22" t="inlineStr">
        <is>
          <t>Processing necessary for legal compliance</t>
        </is>
      </c>
      <c r="C54" s="22" t="inlineStr">
        <is>
          <t>Tax records (10-year retention)</t>
        </is>
      </c>
    </row>
    <row r="55">
      <c r="A55" s="22" t="inlineStr">
        <is>
          <t>Public interest</t>
        </is>
      </c>
      <c r="B55" s="22" t="inlineStr">
        <is>
          <t>Public health, scientific research (safeguarded)</t>
        </is>
      </c>
      <c r="C55" s="22" t="inlineStr">
        <is>
          <t>Anonymized medical research data</t>
        </is>
      </c>
    </row>
    <row r="56">
      <c r="A56" s="22" t="inlineStr">
        <is>
          <t>Legal claims</t>
        </is>
      </c>
      <c r="B56" s="22" t="inlineStr">
        <is>
          <t>Establishment, exercise, defence of legal claims</t>
        </is>
      </c>
      <c r="C56" s="22" t="inlineStr">
        <is>
          <t>Litigation hold, contract disputes</t>
        </is>
      </c>
    </row>
    <row r="57">
      <c r="A57" s="22" t="inlineStr">
        <is>
          <t>Archiving in public interest</t>
        </is>
      </c>
      <c r="B57" s="22" t="inlineStr">
        <is>
          <t>Historical, statistical, scientific research (safeguarded)</t>
        </is>
      </c>
      <c r="C57" s="22" t="inlineStr">
        <is>
          <t>National archives, public health studies</t>
        </is>
      </c>
    </row>
    <row r="59">
      <c r="A59" s="17" t="inlineStr">
        <is>
          <t>Request Response Workflow</t>
        </is>
      </c>
    </row>
    <row r="60">
      <c r="A60" s="15" t="inlineStr">
        <is>
          <t>Step</t>
        </is>
      </c>
      <c r="B60" s="15" t="inlineStr">
        <is>
          <t>Action</t>
        </is>
      </c>
      <c r="C60" s="15" t="inlineStr">
        <is>
          <t>Timeframe</t>
        </is>
      </c>
      <c r="D60" s="15" t="inlineStr">
        <is>
          <t>Responsible Role</t>
        </is>
      </c>
    </row>
    <row r="61">
      <c r="A61" s="22" t="inlineStr">
        <is>
          <t>1. Receive</t>
        </is>
      </c>
      <c r="B61" s="22" t="inlineStr">
        <is>
          <t>Log request in tracking system</t>
        </is>
      </c>
      <c r="C61" s="22" t="inlineStr">
        <is>
          <t>Day 0</t>
        </is>
      </c>
      <c r="D61" s="22" t="inlineStr">
        <is>
          <t>Privacy Team</t>
        </is>
      </c>
    </row>
    <row r="62">
      <c r="A62" s="22" t="inlineStr">
        <is>
          <t>2. Acknowledge</t>
        </is>
      </c>
      <c r="B62" s="22" t="inlineStr">
        <is>
          <t>Send acknowledgment to data subject</t>
        </is>
      </c>
      <c r="C62" s="22" t="inlineStr">
        <is>
          <t>Within 5 business days</t>
        </is>
      </c>
      <c r="D62" s="22" t="inlineStr">
        <is>
          <t>Privacy Team</t>
        </is>
      </c>
    </row>
    <row r="63">
      <c r="A63" s="22" t="inlineStr">
        <is>
          <t>3. Verify Identity</t>
        </is>
      </c>
      <c r="B63" s="22" t="inlineStr">
        <is>
          <t>Validate requestor identity</t>
        </is>
      </c>
      <c r="C63" s="22" t="inlineStr">
        <is>
          <t>Within 7 days</t>
        </is>
      </c>
      <c r="D63" s="22" t="inlineStr">
        <is>
          <t>Privacy Team</t>
        </is>
      </c>
    </row>
    <row r="64">
      <c r="A64" s="22" t="inlineStr">
        <is>
          <t>4. Assess Scope</t>
        </is>
      </c>
      <c r="B64" s="22" t="inlineStr">
        <is>
          <t>Identify all systems with data subject's data</t>
        </is>
      </c>
      <c r="C64" s="22" t="inlineStr">
        <is>
          <t>Within 10 days</t>
        </is>
      </c>
      <c r="D64" s="22" t="inlineStr">
        <is>
          <t>IT + Business Owners</t>
        </is>
      </c>
    </row>
    <row r="65">
      <c r="A65" s="22" t="inlineStr">
        <is>
          <t>5. Check Exceptions</t>
        </is>
      </c>
      <c r="B65" s="22" t="inlineStr">
        <is>
          <t>Determine if deletion exceptions apply</t>
        </is>
      </c>
      <c r="C65" s="22" t="inlineStr">
        <is>
          <t>Within 15 days</t>
        </is>
      </c>
      <c r="D65" s="22" t="inlineStr">
        <is>
          <t>Legal/Compliance</t>
        </is>
      </c>
    </row>
    <row r="66">
      <c r="A66" s="22" t="inlineStr">
        <is>
          <t>6. Execute Deletion</t>
        </is>
      </c>
      <c r="B66" s="22" t="inlineStr">
        <is>
          <t>Delete data across all systems</t>
        </is>
      </c>
      <c r="C66" s="22" t="inlineStr">
        <is>
          <t>Within 25 days</t>
        </is>
      </c>
      <c r="D66" s="22" t="inlineStr">
        <is>
          <t>IT + Third-Parties</t>
        </is>
      </c>
    </row>
    <row r="67">
      <c r="A67" s="22" t="inlineStr">
        <is>
          <t>7. Document</t>
        </is>
      </c>
      <c r="B67" s="22" t="inlineStr">
        <is>
          <t>Record what was deleted and retained</t>
        </is>
      </c>
      <c r="C67" s="22" t="inlineStr">
        <is>
          <t>Day 28</t>
        </is>
      </c>
      <c r="D67" s="22" t="inlineStr">
        <is>
          <t>Privacy Team</t>
        </is>
      </c>
    </row>
    <row r="68">
      <c r="A68" s="22" t="inlineStr">
        <is>
          <t>8. Respond</t>
        </is>
      </c>
      <c r="B68" s="22" t="inlineStr">
        <is>
          <t>Inform data subject of outcome</t>
        </is>
      </c>
      <c r="C68" s="22" t="inlineStr">
        <is>
          <t>Day 30</t>
        </is>
      </c>
      <c r="D68" s="22" t="inlineStr">
        <is>
          <t>Privacy Team</t>
        </is>
      </c>
    </row>
    <row r="69">
      <c r="A69" s="22" t="inlineStr">
        <is>
          <t>9. Follow-Up</t>
        </is>
      </c>
      <c r="B69" s="22" t="inlineStr">
        <is>
          <t>Backup deletion (if applicable)</t>
        </is>
      </c>
      <c r="C69" s="22" t="inlineStr">
        <is>
          <t>Within 90 days</t>
        </is>
      </c>
      <c r="D69" s="22" t="inlineStr">
        <is>
          <t>IT</t>
        </is>
      </c>
    </row>
    <row r="71">
      <c r="A71" s="17" t="inlineStr">
        <is>
          <t>EXCEPTIONS / DEVIATIONS</t>
        </is>
      </c>
    </row>
    <row r="72">
      <c r="A72" s="23" t="inlineStr">
        <is>
          <t>Document any exceptions or deviations from requirements here (e.g., data categories excluded from assessment, pending reviews, disputed retention periods):</t>
        </is>
      </c>
    </row>
    <row r="73"/>
    <row r="74"/>
  </sheetData>
  <mergeCells count="25">
    <mergeCell ref="B32:R32"/>
    <mergeCell ref="B26:R26"/>
    <mergeCell ref="A4:T6"/>
    <mergeCell ref="B35:R35"/>
    <mergeCell ref="B31:R31"/>
    <mergeCell ref="A1:T1"/>
    <mergeCell ref="A42:C42"/>
    <mergeCell ref="B27:R27"/>
    <mergeCell ref="B39:R39"/>
    <mergeCell ref="A7:T7"/>
    <mergeCell ref="A25:T25"/>
    <mergeCell ref="A59:D59"/>
    <mergeCell ref="B29:R29"/>
    <mergeCell ref="B38:R38"/>
    <mergeCell ref="B34:R34"/>
    <mergeCell ref="A2:T2"/>
    <mergeCell ref="B28:R28"/>
    <mergeCell ref="A71:T71"/>
    <mergeCell ref="B37:R37"/>
    <mergeCell ref="A51:C51"/>
    <mergeCell ref="B40:R40"/>
    <mergeCell ref="B30:R30"/>
    <mergeCell ref="B33:R33"/>
    <mergeCell ref="A72:T74"/>
    <mergeCell ref="B36:R36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D10:D100" showDropDown="0" showInputMessage="0" showErrorMessage="0" allowBlank="1" errorTitle="Invalid Retention Period" error="Please select from dropdown" type="list">
      <formula1>"30 days,60 days,90 days,6 months,1 year,2 years,3 years,5 years,7 years,10 years,Permanent,Until Event Occurs,Other (specify in notes)"</formula1>
    </dataValidation>
    <dataValidation sqref="E10:E100" showDropDown="0" showInputMessage="0" showErrorMessage="0" allowBlank="1" errorTitle="Invalid Legal Basis" error="Please select from dropdown" type="list">
      <formula1>"Swiss FADP,EU GDPR,Swiss Code of Obligations (OR),Swiss Tax Law,EU ePrivacy Directive,Industry Standard (specify),Contractual Obligation,Legitimate Interest,Consent,Legal Obligation,Multiple Bases (specify),Other (specify in notes)"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S10:S100" showDropDown="0" showInputMessage="0" showErrorMessage="0" allowBlank="1" type="list">
      <formula1>"GDPR Only,FADP Only,Both,Neither"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G5:G104" showDropDown="0" showInputMessage="0" showErrorMessage="0" allowBlank="1" type="list">
      <formula1>"Verified,Pending verification,Not verified,Requires update"</formula1>
    </dataValidation>
    <dataValidation sqref="B5:B104" showDropDown="0" showInputMessage="0" showErrorMessage="0" allowBlank="1" type="list">
      <formula1>"Policy Document,Procedure Document,Screenshot,System Log Export,Configuration File,Email Communication,Meeting Minutes,Audit Report,Certificate,Contract/Agreement,Training Record,Test Result,Other"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Retention &amp; Deletion Triggers Assessment — SUMMARY DASHBOARD</t>
        </is>
      </c>
    </row>
    <row r="2">
      <c r="A2" s="28" t="inlineStr">
        <is>
          <t>Summary Dashboard  |  Retention &amp; Deletion Triggers Assessment  |  Generated: 20260310</t>
        </is>
      </c>
    </row>
    <row r="4">
      <c r="A4" s="29" t="inlineStr">
        <is>
          <t>TABLE 1 – COMPLIANCE ASSESSMENT SUMMARY</t>
        </is>
      </c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Data Category Registry</t>
        </is>
      </c>
      <c r="B6" s="32">
        <f>C6+D6+E6+F6</f>
        <v/>
      </c>
      <c r="C6" s="32">
        <f>COUNTIF('2. Data Category Registry'!F10:F100,"✅ Compliant")</f>
        <v/>
      </c>
      <c r="D6" s="32">
        <f>COUNTIF('2. Data Category Registry'!F10:F100,"⚠️ Partial")</f>
        <v/>
      </c>
      <c r="E6" s="32">
        <f>COUNTIF('2. Data Category Registry'!F10:F100,"❌ Non-Compliant")</f>
        <v/>
      </c>
      <c r="F6" s="32">
        <f>COUNTIF('2. Data Category Registry'!F10:F100,"N/A")</f>
        <v/>
      </c>
      <c r="G6" s="33">
        <f>IF((B6-F6)=0,0,C6/(B6-F6))</f>
        <v/>
      </c>
    </row>
    <row r="7">
      <c r="A7" s="31" t="inlineStr">
        <is>
          <t>Retention Schedule Compliance</t>
        </is>
      </c>
      <c r="B7" s="32">
        <f>C7+D7+E7+F7</f>
        <v/>
      </c>
      <c r="C7" s="32">
        <f>COUNTIF('3. Retention Sched. Compliance'!F10:F100,"✅ Compliant")</f>
        <v/>
      </c>
      <c r="D7" s="32">
        <f>COUNTIF('3. Retention Sched. Compliance'!F10:F100,"⚠️ Partial")</f>
        <v/>
      </c>
      <c r="E7" s="32">
        <f>COUNTIF('3. Retention Sched. Compliance'!F10:F100,"❌ Non-Compliant")</f>
        <v/>
      </c>
      <c r="F7" s="32">
        <f>COUNTIF('3. Retention Sched. Compliance'!F10:F100,"N/A")</f>
        <v/>
      </c>
      <c r="G7" s="33">
        <f>IF((B7-F7)=0,0,C7/(B7-F7))</f>
        <v/>
      </c>
    </row>
    <row r="8">
      <c r="A8" s="31" t="inlineStr">
        <is>
          <t>Deletion Trigger Config.</t>
        </is>
      </c>
      <c r="B8" s="32">
        <f>C8+D8+E8+F8</f>
        <v/>
      </c>
      <c r="C8" s="32">
        <f>COUNTIF('4. Deletion Trigger Config.'!F10:F100,"✅ Compliant")</f>
        <v/>
      </c>
      <c r="D8" s="32">
        <f>COUNTIF('4. Deletion Trigger Config.'!F10:F100,"⚠️ Partial")</f>
        <v/>
      </c>
      <c r="E8" s="32">
        <f>COUNTIF('4. Deletion Trigger Config.'!F10:F100,"❌ Non-Compliant")</f>
        <v/>
      </c>
      <c r="F8" s="32">
        <f>COUNTIF('4. Deletion Trigger Config.'!F10:F100,"N/A")</f>
        <v/>
      </c>
      <c r="G8" s="33">
        <f>IF((B8-F8)=0,0,C8/(B8-F8))</f>
        <v/>
      </c>
    </row>
    <row r="9">
      <c r="A9" s="31" t="inlineStr">
        <is>
          <t>Legal Hold Management</t>
        </is>
      </c>
      <c r="B9" s="32">
        <f>C9+D9+E9+F9</f>
        <v/>
      </c>
      <c r="C9" s="32">
        <f>COUNTIF('5. Legal Hold Management'!F10:F100,"✅ Compliant")</f>
        <v/>
      </c>
      <c r="D9" s="32">
        <f>COUNTIF('5. Legal Hold Management'!F10:F100,"⚠️ Partial")</f>
        <v/>
      </c>
      <c r="E9" s="32">
        <f>COUNTIF('5. Legal Hold Management'!F10:F100,"❌ Non-Compliant")</f>
        <v/>
      </c>
      <c r="F9" s="32">
        <f>COUNTIF('5. Legal Hold Management'!F10:F100,"N/A")</f>
        <v/>
      </c>
      <c r="G9" s="33">
        <f>IF((B9-F9)=0,0,C9/(B9-F9))</f>
        <v/>
      </c>
    </row>
    <row r="10">
      <c r="A10" s="31" t="inlineStr">
        <is>
          <t>Data Subject Requests</t>
        </is>
      </c>
      <c r="B10" s="32">
        <f>C10+D10+E10+F10</f>
        <v/>
      </c>
      <c r="C10" s="32">
        <f>COUNTIF('6. Data Subject Requests'!F10:F100,"✅ Compliant")</f>
        <v/>
      </c>
      <c r="D10" s="32">
        <f>COUNTIF('6. Data Subject Requests'!F10:F100,"⚠️ Partial")</f>
        <v/>
      </c>
      <c r="E10" s="32">
        <f>COUNTIF('6. Data Subject Requests'!F10:F100,"❌ Non-Compliant")</f>
        <v/>
      </c>
      <c r="F10" s="32">
        <f>COUNTIF('6. Data Subject Requests'!F10:F100,"N/A")</f>
        <v/>
      </c>
      <c r="G10" s="33">
        <f>IF((B10-F10)=0,0,C10/(B10-F10))</f>
        <v/>
      </c>
    </row>
    <row r="11">
      <c r="A11" s="30" t="inlineStr">
        <is>
          <t>TOTAL</t>
        </is>
      </c>
      <c r="B11" s="30">
        <f>SUM(B6:B10)</f>
        <v/>
      </c>
      <c r="C11" s="30">
        <f>SUM(C6:C10)</f>
        <v/>
      </c>
      <c r="D11" s="30">
        <f>SUM(D6:D10)</f>
        <v/>
      </c>
      <c r="E11" s="30">
        <f>SUM(E6:E10)</f>
        <v/>
      </c>
      <c r="F11" s="30">
        <f>SUM(F6:F10)</f>
        <v/>
      </c>
      <c r="G11" s="34">
        <f>IF((B11-F11)=0,0,C11/(B11-F11))</f>
        <v/>
      </c>
    </row>
    <row r="13">
      <c r="A13" s="29" t="inlineStr">
        <is>
          <t>TABLE 2 – KEY METRICS</t>
        </is>
      </c>
    </row>
    <row r="14">
      <c r="A14" s="30" t="inlineStr">
        <is>
          <t>Metric</t>
        </is>
      </c>
      <c r="B14" s="30" t="inlineStr">
        <is>
          <t>Value</t>
        </is>
      </c>
      <c r="C14" s="30" t="inlineStr">
        <is>
          <t>Target</t>
        </is>
      </c>
    </row>
    <row r="15">
      <c r="A15" s="35" t="inlineStr">
        <is>
          <t>Overall Compliance Rate</t>
        </is>
      </c>
      <c r="B15" s="36">
        <f>IFERROR(G11,"N/A")</f>
        <v/>
      </c>
      <c r="C15" s="37" t="inlineStr">
        <is>
          <t>≥ 80%</t>
        </is>
      </c>
    </row>
    <row r="16">
      <c r="A16" s="35" t="inlineStr">
        <is>
          <t>Data Categories with Defined Retention Schedule</t>
        </is>
      </c>
      <c r="B16" s="36">
        <f>IFERROR(COUNTIF('3. Retention Sched. Compliance'!F10:F100,"✅ Compliant"),0)</f>
        <v/>
      </c>
      <c r="C16" s="37" t="inlineStr">
        <is>
          <t>100%</t>
        </is>
      </c>
    </row>
    <row r="17">
      <c r="A17" s="35" t="inlineStr">
        <is>
          <t>Deletion Triggers Configured</t>
        </is>
      </c>
      <c r="B17" s="36">
        <f>IFERROR(COUNTIF('4. Deletion Trigger Config.'!F10:F100,"✅ Compliant"),0)</f>
        <v/>
      </c>
      <c r="C17" s="37" t="inlineStr">
        <is>
          <t>100%</t>
        </is>
      </c>
    </row>
    <row r="18">
      <c r="A18" s="35" t="inlineStr">
        <is>
          <t>Legal Hold Management Controls Compliant</t>
        </is>
      </c>
      <c r="B18" s="36">
        <f>IFERROR(COUNTIF('5. Legal Hold Management'!F10:F100,"✅ Compliant"),0)</f>
        <v/>
      </c>
      <c r="C18" s="37" t="inlineStr">
        <is>
          <t>100%</t>
        </is>
      </c>
    </row>
    <row r="19">
      <c r="A19" s="35" t="inlineStr">
        <is>
          <t>Data Subject Request Workflows Compliant</t>
        </is>
      </c>
      <c r="B19" s="36">
        <f>IFERROR(COUNTIF('6. Data Subject Requests'!F10:F100,"✅ Compliant"),0)</f>
        <v/>
      </c>
      <c r="C19" s="37" t="inlineStr">
        <is>
          <t>100%</t>
        </is>
      </c>
    </row>
    <row r="20">
      <c r="A20" s="35" t="inlineStr">
        <is>
          <t>Non-Compliant Items Requiring Remediation</t>
        </is>
      </c>
      <c r="B20" s="36">
        <f>IFERROR(SUM(E6:E10),0)</f>
        <v/>
      </c>
      <c r="C20" s="37" t="inlineStr">
        <is>
          <t>0</t>
        </is>
      </c>
    </row>
    <row r="22">
      <c r="A22" s="38" t="inlineStr">
        <is>
          <t>TABLE 3 – KEY FINDINGS &amp; RECOMMENDATIONS</t>
        </is>
      </c>
    </row>
    <row r="23">
      <c r="A23" s="30" t="inlineStr">
        <is>
          <t>#</t>
        </is>
      </c>
      <c r="B23" s="30" t="inlineStr">
        <is>
          <t>Finding</t>
        </is>
      </c>
      <c r="C23" s="30" t="inlineStr">
        <is>
          <t>Impact</t>
        </is>
      </c>
      <c r="D23" s="30" t="inlineStr">
        <is>
          <t>Recommendation</t>
        </is>
      </c>
      <c r="E23" s="30" t="inlineStr">
        <is>
          <t>Priority</t>
        </is>
      </c>
      <c r="F23" s="30" t="inlineStr">
        <is>
          <t>Status</t>
        </is>
      </c>
      <c r="G23" s="30" t="inlineStr">
        <is>
          <t>Notes</t>
        </is>
      </c>
    </row>
    <row r="24">
      <c r="A24" s="37" t="inlineStr">
        <is>
          <t>1</t>
        </is>
      </c>
      <c r="B24" s="35" t="inlineStr">
        <is>
          <t>Retention schedules may not cover all data categories</t>
        </is>
      </c>
      <c r="C24" s="35" t="inlineStr">
        <is>
          <t>High</t>
        </is>
      </c>
      <c r="D24" s="35" t="inlineStr">
        <is>
          <t>Complete data category inventory and assign retention periods to all items</t>
        </is>
      </c>
      <c r="E24" s="37" t="inlineStr">
        <is>
          <t>P1</t>
        </is>
      </c>
      <c r="F24" s="37" t="inlineStr">
        <is>
          <t>Open</t>
        </is>
      </c>
      <c r="G24" s="35" t="inlineStr"/>
    </row>
    <row r="25">
      <c r="A25" s="37" t="inlineStr">
        <is>
          <t>2</t>
        </is>
      </c>
      <c r="B25" s="35" t="inlineStr">
        <is>
          <t>Deletion trigger automation may be incomplete</t>
        </is>
      </c>
      <c r="C25" s="35" t="inlineStr">
        <is>
          <t>High</t>
        </is>
      </c>
      <c r="D25" s="35" t="inlineStr">
        <is>
          <t>Implement automated deletion triggers for all high-volume data categories</t>
        </is>
      </c>
      <c r="E25" s="37" t="inlineStr">
        <is>
          <t>P1</t>
        </is>
      </c>
      <c r="F25" s="37" t="inlineStr">
        <is>
          <t>Open</t>
        </is>
      </c>
      <c r="G25" s="35" t="inlineStr"/>
    </row>
    <row r="26">
      <c r="A26" s="37" t="inlineStr">
        <is>
          <t>3</t>
        </is>
      </c>
      <c r="B26" s="35" t="inlineStr">
        <is>
          <t>Legal hold integration with deletion systems requires verification</t>
        </is>
      </c>
      <c r="C26" s="35" t="inlineStr">
        <is>
          <t>Medium</t>
        </is>
      </c>
      <c r="D26" s="35" t="inlineStr">
        <is>
          <t>Test legal hold suspension across all automated deletion trigger systems</t>
        </is>
      </c>
      <c r="E26" s="37" t="inlineStr">
        <is>
          <t>P2</t>
        </is>
      </c>
      <c r="F26" s="37" t="inlineStr">
        <is>
          <t>Open</t>
        </is>
      </c>
      <c r="G26" s="35" t="inlineStr"/>
    </row>
    <row r="27">
      <c r="A27" s="37" t="inlineStr">
        <is>
          <t>4</t>
        </is>
      </c>
      <c r="B27" s="35" t="inlineStr">
        <is>
          <t>Data subject erasure request response times need monitoring</t>
        </is>
      </c>
      <c r="C27" s="35" t="inlineStr">
        <is>
          <t>Medium</t>
        </is>
      </c>
      <c r="D27" s="35" t="inlineStr">
        <is>
          <t>Establish SLA tracking and escalation for GDPR/FADP erasure requests</t>
        </is>
      </c>
      <c r="E27" s="37" t="inlineStr">
        <is>
          <t>P2</t>
        </is>
      </c>
      <c r="F27" s="37" t="inlineStr">
        <is>
          <t>Open</t>
        </is>
      </c>
      <c r="G27" s="35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2">
      <c r="A2" s="40" t="inlineStr">
        <is>
          <t>ISMS-IMP-A.8.10.1 - Retention &amp; Deletion Triggers Assessment</t>
        </is>
      </c>
      <c r="B2" s="6" t="n"/>
      <c r="C2" s="6" t="n"/>
      <c r="D2" s="6" t="n"/>
      <c r="E2" s="6" t="n"/>
    </row>
    <row r="3">
      <c r="A3" s="41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ISMS-IMP-A.8.10.1 - Retention &amp; Deletion Triggers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20" t="inlineStr"/>
      <c r="C5" s="6" t="n"/>
      <c r="D5" s="6" t="n"/>
      <c r="E5" s="6" t="n"/>
    </row>
    <row r="6">
      <c r="A6" s="3" t="inlineStr">
        <is>
          <t>Overall Compliance:</t>
        </is>
      </c>
      <c r="B6" s="42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20" t="inlineStr"/>
      <c r="C7" s="6" t="n"/>
      <c r="D7" s="6" t="n"/>
      <c r="E7" s="6" t="n"/>
    </row>
    <row r="10">
      <c r="A10" s="41" t="inlineStr">
        <is>
          <t>COMPLETED BY (DATA PROTECTION)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20" t="n"/>
      <c r="C11" s="6" t="n"/>
      <c r="D11" s="6" t="n"/>
      <c r="E11" s="6" t="n"/>
    </row>
    <row r="12">
      <c r="A12" s="3" t="inlineStr">
        <is>
          <t>Title:</t>
        </is>
      </c>
      <c r="B12" s="20" t="n"/>
      <c r="C12" s="6" t="n"/>
      <c r="D12" s="6" t="n"/>
      <c r="E12" s="6" t="n"/>
    </row>
    <row r="13">
      <c r="A13" s="3" t="inlineStr">
        <is>
          <t>Date:</t>
        </is>
      </c>
      <c r="B13" s="20" t="n"/>
      <c r="C13" s="6" t="n"/>
      <c r="D13" s="6" t="n"/>
      <c r="E13" s="6" t="n"/>
    </row>
    <row r="14">
      <c r="A14" s="3" t="inlineStr">
        <is>
          <t>Signature:</t>
        </is>
      </c>
      <c r="B14" s="20" t="n"/>
      <c r="C14" s="6" t="n"/>
      <c r="D14" s="6" t="n"/>
      <c r="E14" s="6" t="n"/>
    </row>
    <row r="15">
      <c r="A15" s="3" t="inlineStr">
        <is>
          <t>Comments:</t>
        </is>
      </c>
      <c r="B15" s="20" t="n"/>
      <c r="C15" s="6" t="n"/>
      <c r="D15" s="6" t="n"/>
      <c r="E15" s="6" t="n"/>
    </row>
    <row r="17">
      <c r="A17" s="41" t="inlineStr">
        <is>
          <t>REVIEWED BY (COMPLIANCE)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20" t="n"/>
      <c r="C18" s="6" t="n"/>
      <c r="D18" s="6" t="n"/>
      <c r="E18" s="6" t="n"/>
    </row>
    <row r="19">
      <c r="A19" s="3" t="inlineStr">
        <is>
          <t>Title:</t>
        </is>
      </c>
      <c r="B19" s="20" t="n"/>
      <c r="C19" s="6" t="n"/>
      <c r="D19" s="6" t="n"/>
      <c r="E19" s="6" t="n"/>
    </row>
    <row r="20">
      <c r="A20" s="3" t="inlineStr">
        <is>
          <t>Date:</t>
        </is>
      </c>
      <c r="B20" s="20" t="n"/>
      <c r="C20" s="6" t="n"/>
      <c r="D20" s="6" t="n"/>
      <c r="E20" s="6" t="n"/>
    </row>
    <row r="21">
      <c r="A21" s="3" t="inlineStr">
        <is>
          <t>Signature:</t>
        </is>
      </c>
      <c r="B21" s="20" t="n"/>
      <c r="C21" s="6" t="n"/>
      <c r="D21" s="6" t="n"/>
      <c r="E21" s="6" t="n"/>
    </row>
    <row r="22">
      <c r="A22" s="3" t="inlineStr">
        <is>
          <t>Comments:</t>
        </is>
      </c>
      <c r="B22" s="20" t="n"/>
      <c r="C22" s="6" t="n"/>
      <c r="D22" s="6" t="n"/>
      <c r="E22" s="6" t="n"/>
    </row>
    <row r="24">
      <c r="A24" s="4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20" t="n"/>
      <c r="C25" s="6" t="n"/>
      <c r="D25" s="6" t="n"/>
      <c r="E25" s="6" t="n"/>
    </row>
    <row r="26">
      <c r="A26" s="3" t="inlineStr">
        <is>
          <t>Title:</t>
        </is>
      </c>
      <c r="B26" s="20" t="n"/>
      <c r="C26" s="6" t="n"/>
      <c r="D26" s="6" t="n"/>
      <c r="E26" s="6" t="n"/>
    </row>
    <row r="27">
      <c r="A27" s="3" t="inlineStr">
        <is>
          <t>Date:</t>
        </is>
      </c>
      <c r="B27" s="20" t="n"/>
      <c r="C27" s="6" t="n"/>
      <c r="D27" s="6" t="n"/>
      <c r="E27" s="6" t="n"/>
    </row>
    <row r="28">
      <c r="A28" s="3" t="inlineStr">
        <is>
          <t>Signature:</t>
        </is>
      </c>
      <c r="B28" s="20" t="n"/>
      <c r="C28" s="6" t="n"/>
      <c r="D28" s="6" t="n"/>
      <c r="E28" s="6" t="n"/>
    </row>
    <row r="29">
      <c r="A29" s="3" t="inlineStr">
        <is>
          <t>Comments:</t>
        </is>
      </c>
      <c r="B29" s="20" t="n"/>
      <c r="C29" s="6" t="n"/>
      <c r="D29" s="6" t="n"/>
      <c r="E29" s="6" t="n"/>
    </row>
    <row r="31">
      <c r="A31" s="3" t="inlineStr">
        <is>
          <t>FINAL DECISION:</t>
        </is>
      </c>
      <c r="B31" s="20" t="n"/>
      <c r="C31" s="6" t="n"/>
      <c r="D31" s="6" t="n"/>
      <c r="E31" s="6" t="n"/>
    </row>
    <row r="34">
      <c r="A34" s="41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20" t="n"/>
      <c r="C35" s="6" t="n"/>
      <c r="D35" s="6" t="n"/>
      <c r="E35" s="6" t="n"/>
    </row>
    <row r="36">
      <c r="A36" s="3" t="inlineStr">
        <is>
          <t>Review Responsible:</t>
        </is>
      </c>
      <c r="B36" s="20" t="n"/>
      <c r="C36" s="6" t="n"/>
      <c r="D36" s="6" t="n"/>
      <c r="E36" s="6" t="n"/>
    </row>
    <row r="37">
      <c r="A37" s="3" t="inlineStr">
        <is>
          <t>Special Considerations:</t>
        </is>
      </c>
      <c r="B37" s="20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ISMS-IMP-A.8.10.1 — Retention &amp; Deletion Triggers Assessment</dc:title>
  <dc:description xmlns:dc="http://purl.org/dc/elements/1.1/">ISMS Implementation Workbook — ISMS-IMP-A.8.10.1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2026-03-10T18:49:14Z</dcterms:created>
  <dcterms:modified xmlns:dcterms="http://purl.org/dc/terms/" xmlns:xsi="http://www.w3.org/2001/XMLSchema-instance" xsi:type="dcterms:W3CDTF">2026-03-10T18:49:14Z</dcterms:modified>
</cp:coreProperties>
</file>