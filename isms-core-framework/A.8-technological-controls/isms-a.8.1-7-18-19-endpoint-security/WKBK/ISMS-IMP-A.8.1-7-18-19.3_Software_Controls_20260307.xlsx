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Approved Software" sheetId="2" state="visible" r:id="rId2"/>
    <sheet xmlns:r="http://schemas.openxmlformats.org/officeDocument/2006/relationships" name="Software Inventory" sheetId="3" state="visible" r:id="rId3"/>
    <sheet xmlns:r="http://schemas.openxmlformats.org/officeDocument/2006/relationships" name="Unauthorised Software" sheetId="4" state="visible" r:id="rId4"/>
    <sheet xmlns:r="http://schemas.openxmlformats.org/officeDocument/2006/relationships" name="Application Control" sheetId="5" state="visible" r:id="rId5"/>
    <sheet xmlns:r="http://schemas.openxmlformats.org/officeDocument/2006/relationships" name="Change Control" sheetId="6" state="visible" r:id="rId6"/>
    <sheet xmlns:r="http://schemas.openxmlformats.org/officeDocument/2006/relationships" name="Vulnerability Management" sheetId="7" state="visible" r:id="rId7"/>
    <sheet xmlns:r="http://schemas.openxmlformats.org/officeDocument/2006/relationships" name="Licensing Compliance" sheetId="8" state="visible" r:id="rId8"/>
    <sheet xmlns:r="http://schemas.openxmlformats.org/officeDocument/2006/relationships" name="Capability Requirements" sheetId="9" state="visible" r:id="rId9"/>
    <sheet xmlns:r="http://schemas.openxmlformats.org/officeDocument/2006/relationships" name="Gap Analysis" sheetId="10" state="visible" r:id="rId10"/>
    <sheet xmlns:r="http://schemas.openxmlformats.org/officeDocument/2006/relationships" name="Evidence Register" sheetId="11" state="visible" r:id="rId11"/>
    <sheet xmlns:r="http://schemas.openxmlformats.org/officeDocument/2006/relationships" name="Summary Dashboard" sheetId="12" state="visible" r:id="rId12"/>
    <sheet xmlns:r="http://schemas.openxmlformats.org/officeDocument/2006/relationships" name="Approval Sign-Off" sheetId="13" state="visible" r:id="rId13"/>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font>
    <font>
      <b val="1"/>
      <sz val="11"/>
    </font>
    <font>
      <color rgb="00808080"/>
    </font>
    <font/>
    <font>
      <name val="Calibri"/>
      <i val="1"/>
      <sz val="10"/>
    </font>
    <font>
      <name val="Calibri"/>
      <b val="1"/>
      <color rgb="00FFFFFF"/>
      <sz val="10"/>
    </font>
    <font>
      <name val="Calibri"/>
      <i val="1"/>
      <color rgb="00000000"/>
      <sz val="10"/>
    </font>
    <font>
      <name val="Calibri"/>
      <color rgb="00000000"/>
      <sz val="10"/>
    </font>
    <font>
      <b val="1"/>
      <color rgb="00FFFFFF"/>
      <sz val="14"/>
    </font>
    <font>
      <name val="Calibri"/>
      <i val="1"/>
      <color rgb="00003366"/>
      <sz val="10"/>
    </font>
    <font>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6" fillId="10" borderId="1" applyAlignment="1" pivotButton="0" quotePrefix="0" xfId="0">
      <alignment horizontal="left" vertical="center" wrapText="1"/>
    </xf>
    <xf numFmtId="0" fontId="0" fillId="10" borderId="1" applyAlignment="1" pivotButton="0" quotePrefix="0" xfId="0">
      <alignment horizontal="left" vertical="center" wrapText="1"/>
    </xf>
    <xf numFmtId="0" fontId="6" fillId="11" borderId="1" pivotButton="0" quotePrefix="0" xfId="0"/>
    <xf numFmtId="0" fontId="0" fillId="11" borderId="1" applyAlignment="1" pivotButton="0" quotePrefix="0" xfId="0">
      <alignment horizontal="left" vertical="center" wrapText="1"/>
    </xf>
    <xf numFmtId="0" fontId="7" fillId="0" borderId="0" pivotButton="0" quotePrefix="0" xfId="0"/>
    <xf numFmtId="0" fontId="6" fillId="0" borderId="0" pivotButton="0" quotePrefix="0" xfId="0"/>
    <xf numFmtId="0" fontId="0" fillId="11" borderId="1" pivotButton="0" quotePrefix="0" xfId="0"/>
    <xf numFmtId="0" fontId="6" fillId="0" borderId="1" pivotButton="0" quotePrefix="0" xfId="0"/>
    <xf numFmtId="0" fontId="0" fillId="0" borderId="1" applyAlignment="1" pivotButton="0" quotePrefix="0" xfId="0">
      <alignment wrapText="1"/>
    </xf>
    <xf numFmtId="0" fontId="8" fillId="10" borderId="1" pivotButton="0" quotePrefix="0" xfId="0"/>
    <xf numFmtId="0" fontId="8" fillId="10" borderId="1" applyAlignment="1" pivotButton="0" quotePrefix="0" xfId="0">
      <alignment horizontal="left" vertical="center" wrapText="1"/>
    </xf>
    <xf numFmtId="0" fontId="9" fillId="11" borderId="1" pivotButton="0" quotePrefix="0" xfId="0"/>
    <xf numFmtId="0" fontId="1" fillId="8" borderId="0" applyAlignment="1" pivotButton="0" quotePrefix="0" xfId="0">
      <alignment horizontal="center" vertical="center"/>
    </xf>
    <xf numFmtId="0" fontId="10" fillId="0" borderId="0" applyAlignment="1" pivotButton="0" quotePrefix="0" xfId="0">
      <alignment horizontal="left" vertical="center"/>
    </xf>
    <xf numFmtId="0" fontId="11" fillId="8" borderId="1" applyAlignment="1" pivotButton="0" quotePrefix="0" xfId="0">
      <alignment horizontal="center" vertical="center" wrapText="1"/>
    </xf>
    <xf numFmtId="0" fontId="12" fillId="0" borderId="0" applyAlignment="1" pivotButton="0" quotePrefix="0" xfId="0">
      <alignment horizontal="left" vertical="center"/>
    </xf>
    <xf numFmtId="0" fontId="5" fillId="8" borderId="1" pivotButton="0" quotePrefix="0" xfId="0"/>
    <xf numFmtId="0" fontId="13" fillId="0" borderId="1" pivotButton="0" quotePrefix="0" xfId="0"/>
    <xf numFmtId="164" fontId="13" fillId="0" borderId="1" pivotButton="0" quotePrefix="0" xfId="0"/>
    <xf numFmtId="0" fontId="4" fillId="9" borderId="1" pivotButton="0" quotePrefix="0" xfId="0"/>
    <xf numFmtId="164" fontId="4" fillId="9" borderId="1" pivotButton="0" quotePrefix="0" xfId="0"/>
    <xf numFmtId="0" fontId="5" fillId="12" borderId="1" pivotButton="0" quotePrefix="0" xfId="0"/>
    <xf numFmtId="0" fontId="0" fillId="11" borderId="1" applyAlignment="1" pivotButton="0" quotePrefix="0" xfId="0">
      <alignment wrapText="1"/>
    </xf>
    <xf numFmtId="0" fontId="0" fillId="0" borderId="4" pivotButton="0" quotePrefix="0" xfId="0"/>
    <xf numFmtId="0" fontId="0" fillId="0" borderId="5" pivotButton="0" quotePrefix="0" xfId="0"/>
    <xf numFmtId="0" fontId="14" fillId="8" borderId="1" applyAlignment="1" pivotButton="0" quotePrefix="0" xfId="0">
      <alignment horizontal="center" vertical="center" wrapText="1"/>
    </xf>
    <xf numFmtId="0" fontId="15" fillId="0" borderId="1" applyAlignment="1" pivotButton="0" quotePrefix="0" xfId="0">
      <alignment horizontal="center" vertical="center"/>
    </xf>
    <xf numFmtId="0" fontId="16" fillId="13" borderId="1" pivotButton="0" quotePrefix="0" xfId="0"/>
    <xf numFmtId="164" fontId="0" fillId="0" borderId="1" pivotButton="0" quotePrefix="0" xfId="0"/>
    <xf numFmtId="0" fontId="16"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ISMS-IMP-A.8.1-7-18-19.3  -  Software Controls
ISO/IEC 27001:2022 - Control A.8.1-7-18-19: Endpoint and Device Security</t>
        </is>
      </c>
    </row>
    <row r="3">
      <c r="A3" s="2" t="inlineStr">
        <is>
          <t>Document Information</t>
        </is>
      </c>
    </row>
    <row r="4">
      <c r="A4" s="3" t="inlineStr">
        <is>
          <t>Document ID</t>
        </is>
      </c>
      <c r="B4" t="inlineStr">
        <is>
          <t>ISMS-IMP-A.8.1-7-18-19.3</t>
        </is>
      </c>
    </row>
    <row r="5">
      <c r="A5" s="3" t="inlineStr">
        <is>
          <t>Workbook Title</t>
        </is>
      </c>
      <c r="B5" t="inlineStr">
        <is>
          <t>Software Controls</t>
        </is>
      </c>
    </row>
    <row r="6">
      <c r="A6" s="3" t="inlineStr">
        <is>
          <t>Control Reference</t>
        </is>
      </c>
      <c r="B6" t="inlineStr">
        <is>
          <t>ISO/IEC 27001:2022 - Control A.8.1-7-18-19: Endpoint and Device Security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Approved Software — maintain the list of approved applications and their versions.</t>
        </is>
      </c>
    </row>
    <row r="14">
      <c r="A14" t="inlineStr">
        <is>
          <t>2. Complete Software Inventory — document all software installed across managed endpoints.</t>
        </is>
      </c>
    </row>
    <row r="15">
      <c r="A15" t="inlineStr">
        <is>
          <t>3. Complete Unauthorised Software — identify and action software not on the approved list.</t>
        </is>
      </c>
    </row>
    <row r="16">
      <c r="A16" t="inlineStr">
        <is>
          <t>4. Complete Application Control — assess whitelisting/allowlisting technology deployment.</t>
        </is>
      </c>
    </row>
    <row r="17">
      <c r="A17" t="inlineStr">
        <is>
          <t>5. Complete Change Control — verify software changes follow the approved change management process.</t>
        </is>
      </c>
    </row>
    <row r="18">
      <c r="A18" t="inlineStr">
        <is>
          <t>6. Complete Vulnerability Management — assess patching status for all installed software.</t>
        </is>
      </c>
    </row>
    <row r="19">
      <c r="A19" t="inlineStr">
        <is>
          <t>7. Complete Licensing Compliance — verify all software is properly licenced.</t>
        </is>
      </c>
    </row>
    <row r="20">
      <c r="A20" t="inlineStr">
        <is>
          <t>8. Complete Capability Requirements — map policy requirements to implemented controls.</t>
        </is>
      </c>
    </row>
    <row r="21">
      <c r="A21" t="inlineStr">
        <is>
          <t>9. Complete Gap Analysis — identify software control gaps and create remediation plans.</t>
        </is>
      </c>
    </row>
    <row r="22">
      <c r="A22" t="inlineStr">
        <is>
          <t>10. Obtain final approval and sign-off in the Approval Sign-Off sheet.</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17"/>
  <sheetViews>
    <sheetView showGridLines="0" workbookViewId="0">
      <pane ySplit="4" topLeftCell="A5" activePane="bottomLeft" state="frozen"/>
      <selection pane="bottomLeft" activeCell="A1" sqref="A1"/>
    </sheetView>
  </sheetViews>
  <sheetFormatPr baseColWidth="8" defaultRowHeight="15"/>
  <cols>
    <col width="12" customWidth="1" min="1" max="1"/>
    <col width="30" customWidth="1" min="2" max="2"/>
    <col width="20" customWidth="1" min="3" max="3"/>
    <col width="12" customWidth="1" min="4" max="4"/>
    <col width="25" customWidth="1" min="5" max="5"/>
    <col width="20" customWidth="1" min="6" max="6"/>
    <col width="35" customWidth="1" min="7" max="7"/>
    <col width="15" customWidth="1" min="8" max="8"/>
    <col width="20" customWidth="1" min="9" max="9"/>
    <col width="15" customWidth="1" min="10" max="10"/>
    <col width="15" customWidth="1" min="11" max="11"/>
    <col width="25" customWidth="1" min="12" max="12"/>
    <col width="30" customWidth="1" min="13" max="13"/>
  </cols>
  <sheetData>
    <row r="1" ht="35" customHeight="1">
      <c r="A1" s="11" t="inlineStr">
        <is>
          <t>APPROVED SOFTWARE CATALOG</t>
        </is>
      </c>
    </row>
    <row r="2">
      <c r="A2" s="12" t="inlineStr">
        <is>
          <t>Master list of approved software applications (annual review required)</t>
        </is>
      </c>
    </row>
    <row r="4">
      <c r="A4" s="13" t="inlineStr">
        <is>
          <t>Software ID</t>
        </is>
      </c>
      <c r="B4" s="13" t="inlineStr">
        <is>
          <t>Software Name</t>
        </is>
      </c>
      <c r="C4" s="13" t="inlineStr">
        <is>
          <t>Vendor</t>
        </is>
      </c>
      <c r="D4" s="13" t="inlineStr">
        <is>
          <t>Version</t>
        </is>
      </c>
      <c r="E4" s="13" t="inlineStr">
        <is>
          <t>Category</t>
        </is>
      </c>
      <c r="F4" s="13" t="inlineStr">
        <is>
          <t>Type</t>
        </is>
      </c>
      <c r="G4" s="13" t="inlineStr">
        <is>
          <t>Business Justification</t>
        </is>
      </c>
      <c r="H4" s="13" t="inlineStr">
        <is>
          <t>Approval Date</t>
        </is>
      </c>
      <c r="I4" s="13" t="inlineStr">
        <is>
          <t>Approved By</t>
        </is>
      </c>
      <c r="J4" s="13" t="inlineStr">
        <is>
          <t>Review Date</t>
        </is>
      </c>
      <c r="K4" s="13" t="inlineStr">
        <is>
          <t>Risk Level</t>
        </is>
      </c>
      <c r="L4" s="13" t="inlineStr">
        <is>
          <t>Deployment Method</t>
        </is>
      </c>
      <c r="M4" s="13" t="inlineStr">
        <is>
          <t>Notes</t>
        </is>
      </c>
    </row>
    <row r="5">
      <c r="A5" s="14" t="inlineStr">
        <is>
          <t>SW-0001</t>
        </is>
      </c>
      <c r="B5" s="15" t="inlineStr">
        <is>
          <t>Microsoft Office 365</t>
        </is>
      </c>
      <c r="C5" s="15" t="inlineStr">
        <is>
          <t>Microsoft</t>
        </is>
      </c>
      <c r="D5" s="15" t="inlineStr">
        <is>
          <t>2024</t>
        </is>
      </c>
      <c r="E5" s="15" t="inlineStr">
        <is>
          <t>Business Application</t>
        </is>
      </c>
      <c r="F5" s="15" t="inlineStr">
        <is>
          <t>Desktop Application</t>
        </is>
      </c>
      <c r="G5" s="15" t="inlineStr">
        <is>
          <t>Required for productivity</t>
        </is>
      </c>
      <c r="H5" s="15" t="inlineStr">
        <is>
          <t>01.01.2024</t>
        </is>
      </c>
      <c r="I5" s="15" t="inlineStr">
        <is>
          <t>IT Manager</t>
        </is>
      </c>
      <c r="J5" s="15" t="inlineStr">
        <is>
          <t>01.01.2025</t>
        </is>
      </c>
      <c r="K5" s="15" t="inlineStr">
        <is>
          <t>Medium</t>
        </is>
      </c>
      <c r="L5" s="15" t="inlineStr">
        <is>
          <t>SCCM/Intune</t>
        </is>
      </c>
      <c r="M5" s="15" t="inlineStr">
        <is>
          <t>Licensed per user</t>
        </is>
      </c>
    </row>
    <row r="6">
      <c r="A6" s="16" t="inlineStr">
        <is>
          <t>SW-0001</t>
        </is>
      </c>
      <c r="B6" s="17" t="n"/>
      <c r="C6" s="17" t="n"/>
      <c r="D6" s="17" t="n"/>
      <c r="E6" s="17" t="n"/>
      <c r="F6" s="17" t="n"/>
      <c r="G6" s="17" t="n"/>
      <c r="H6" s="17" t="n"/>
      <c r="I6" s="17" t="n"/>
      <c r="J6" s="17" t="n"/>
      <c r="K6" s="17" t="n"/>
      <c r="L6" s="17" t="n"/>
      <c r="M6" s="17" t="n"/>
    </row>
    <row r="7">
      <c r="A7" s="16" t="inlineStr">
        <is>
          <t>SW-0002</t>
        </is>
      </c>
      <c r="B7" s="17" t="n"/>
      <c r="C7" s="17" t="n"/>
      <c r="D7" s="17" t="n"/>
      <c r="E7" s="17" t="n"/>
      <c r="F7" s="17" t="n"/>
      <c r="G7" s="17" t="n"/>
      <c r="H7" s="17" t="n"/>
      <c r="I7" s="17" t="n"/>
      <c r="J7" s="17" t="n"/>
      <c r="K7" s="17" t="n"/>
      <c r="L7" s="17" t="n"/>
      <c r="M7" s="17" t="n"/>
    </row>
    <row r="8">
      <c r="A8" s="16" t="inlineStr">
        <is>
          <t>SW-0003</t>
        </is>
      </c>
      <c r="B8" s="17" t="n"/>
      <c r="C8" s="17" t="n"/>
      <c r="D8" s="17" t="n"/>
      <c r="E8" s="17" t="n"/>
      <c r="F8" s="17" t="n"/>
      <c r="G8" s="17" t="n"/>
      <c r="H8" s="17" t="n"/>
      <c r="I8" s="17" t="n"/>
      <c r="J8" s="17" t="n"/>
      <c r="K8" s="17" t="n"/>
      <c r="L8" s="17" t="n"/>
      <c r="M8" s="17" t="n"/>
    </row>
    <row r="9">
      <c r="A9" s="16" t="inlineStr">
        <is>
          <t>SW-0004</t>
        </is>
      </c>
      <c r="B9" s="17" t="n"/>
      <c r="C9" s="17" t="n"/>
      <c r="D9" s="17" t="n"/>
      <c r="E9" s="17" t="n"/>
      <c r="F9" s="17" t="n"/>
      <c r="G9" s="17" t="n"/>
      <c r="H9" s="17" t="n"/>
      <c r="I9" s="17" t="n"/>
      <c r="J9" s="17" t="n"/>
      <c r="K9" s="17" t="n"/>
      <c r="L9" s="17" t="n"/>
      <c r="M9" s="17" t="n"/>
    </row>
    <row r="10">
      <c r="A10" s="16" t="inlineStr">
        <is>
          <t>SW-0005</t>
        </is>
      </c>
      <c r="B10" s="17" t="n"/>
      <c r="C10" s="17" t="n"/>
      <c r="D10" s="17" t="n"/>
      <c r="E10" s="17" t="n"/>
      <c r="F10" s="17" t="n"/>
      <c r="G10" s="17" t="n"/>
      <c r="H10" s="17" t="n"/>
      <c r="I10" s="17" t="n"/>
      <c r="J10" s="17" t="n"/>
      <c r="K10" s="17" t="n"/>
      <c r="L10" s="17" t="n"/>
      <c r="M10" s="17" t="n"/>
    </row>
    <row r="11">
      <c r="A11" s="16" t="inlineStr">
        <is>
          <t>SW-0006</t>
        </is>
      </c>
      <c r="B11" s="17" t="n"/>
      <c r="C11" s="17" t="n"/>
      <c r="D11" s="17" t="n"/>
      <c r="E11" s="17" t="n"/>
      <c r="F11" s="17" t="n"/>
      <c r="G11" s="17" t="n"/>
      <c r="H11" s="17" t="n"/>
      <c r="I11" s="17" t="n"/>
      <c r="J11" s="17" t="n"/>
      <c r="K11" s="17" t="n"/>
      <c r="L11" s="17" t="n"/>
      <c r="M11" s="17" t="n"/>
    </row>
    <row r="12">
      <c r="A12" s="16" t="inlineStr">
        <is>
          <t>SW-0007</t>
        </is>
      </c>
      <c r="B12" s="17" t="n"/>
      <c r="C12" s="17" t="n"/>
      <c r="D12" s="17" t="n"/>
      <c r="E12" s="17" t="n"/>
      <c r="F12" s="17" t="n"/>
      <c r="G12" s="17" t="n"/>
      <c r="H12" s="17" t="n"/>
      <c r="I12" s="17" t="n"/>
      <c r="J12" s="17" t="n"/>
      <c r="K12" s="17" t="n"/>
      <c r="L12" s="17" t="n"/>
      <c r="M12" s="17" t="n"/>
    </row>
    <row r="13">
      <c r="A13" s="16" t="inlineStr">
        <is>
          <t>SW-0008</t>
        </is>
      </c>
      <c r="B13" s="17" t="n"/>
      <c r="C13" s="17" t="n"/>
      <c r="D13" s="17" t="n"/>
      <c r="E13" s="17" t="n"/>
      <c r="F13" s="17" t="n"/>
      <c r="G13" s="17" t="n"/>
      <c r="H13" s="17" t="n"/>
      <c r="I13" s="17" t="n"/>
      <c r="J13" s="17" t="n"/>
      <c r="K13" s="17" t="n"/>
      <c r="L13" s="17" t="n"/>
      <c r="M13" s="17" t="n"/>
    </row>
    <row r="14">
      <c r="A14" s="16" t="inlineStr">
        <is>
          <t>SW-0009</t>
        </is>
      </c>
      <c r="B14" s="17" t="n"/>
      <c r="C14" s="17" t="n"/>
      <c r="D14" s="17" t="n"/>
      <c r="E14" s="17" t="n"/>
      <c r="F14" s="17" t="n"/>
      <c r="G14" s="17" t="n"/>
      <c r="H14" s="17" t="n"/>
      <c r="I14" s="17" t="n"/>
      <c r="J14" s="17" t="n"/>
      <c r="K14" s="17" t="n"/>
      <c r="L14" s="17" t="n"/>
      <c r="M14" s="17" t="n"/>
    </row>
    <row r="15">
      <c r="A15" s="16" t="inlineStr">
        <is>
          <t>SW-0010</t>
        </is>
      </c>
      <c r="B15" s="17" t="n"/>
      <c r="C15" s="17" t="n"/>
      <c r="D15" s="17" t="n"/>
      <c r="E15" s="17" t="n"/>
      <c r="F15" s="17" t="n"/>
      <c r="G15" s="17" t="n"/>
      <c r="H15" s="17" t="n"/>
      <c r="I15" s="17" t="n"/>
      <c r="J15" s="17" t="n"/>
      <c r="K15" s="17" t="n"/>
      <c r="L15" s="17" t="n"/>
      <c r="M15" s="17" t="n"/>
    </row>
    <row r="16">
      <c r="A16" s="16" t="inlineStr">
        <is>
          <t>SW-0011</t>
        </is>
      </c>
      <c r="B16" s="17" t="n"/>
      <c r="C16" s="17" t="n"/>
      <c r="D16" s="17" t="n"/>
      <c r="E16" s="17" t="n"/>
      <c r="F16" s="17" t="n"/>
      <c r="G16" s="17" t="n"/>
      <c r="H16" s="17" t="n"/>
      <c r="I16" s="17" t="n"/>
      <c r="J16" s="17" t="n"/>
      <c r="K16" s="17" t="n"/>
      <c r="L16" s="17" t="n"/>
      <c r="M16" s="17" t="n"/>
    </row>
    <row r="17">
      <c r="A17" s="16" t="inlineStr">
        <is>
          <t>SW-0012</t>
        </is>
      </c>
      <c r="B17" s="17" t="n"/>
      <c r="C17" s="17" t="n"/>
      <c r="D17" s="17" t="n"/>
      <c r="E17" s="17" t="n"/>
      <c r="F17" s="17" t="n"/>
      <c r="G17" s="17" t="n"/>
      <c r="H17" s="17" t="n"/>
      <c r="I17" s="17" t="n"/>
      <c r="J17" s="17" t="n"/>
      <c r="K17" s="17" t="n"/>
      <c r="L17" s="17" t="n"/>
      <c r="M17" s="17" t="n"/>
    </row>
    <row r="18">
      <c r="A18" s="16" t="inlineStr">
        <is>
          <t>SW-0013</t>
        </is>
      </c>
      <c r="B18" s="17" t="n"/>
      <c r="C18" s="17" t="n"/>
      <c r="D18" s="17" t="n"/>
      <c r="E18" s="17" t="n"/>
      <c r="F18" s="17" t="n"/>
      <c r="G18" s="17" t="n"/>
      <c r="H18" s="17" t="n"/>
      <c r="I18" s="17" t="n"/>
      <c r="J18" s="17" t="n"/>
      <c r="K18" s="17" t="n"/>
      <c r="L18" s="17" t="n"/>
      <c r="M18" s="17" t="n"/>
    </row>
    <row r="19">
      <c r="A19" s="16" t="inlineStr">
        <is>
          <t>SW-0014</t>
        </is>
      </c>
      <c r="B19" s="17" t="n"/>
      <c r="C19" s="17" t="n"/>
      <c r="D19" s="17" t="n"/>
      <c r="E19" s="17" t="n"/>
      <c r="F19" s="17" t="n"/>
      <c r="G19" s="17" t="n"/>
      <c r="H19" s="17" t="n"/>
      <c r="I19" s="17" t="n"/>
      <c r="J19" s="17" t="n"/>
      <c r="K19" s="17" t="n"/>
      <c r="L19" s="17" t="n"/>
      <c r="M19" s="17" t="n"/>
    </row>
    <row r="20">
      <c r="A20" s="16" t="inlineStr">
        <is>
          <t>SW-0015</t>
        </is>
      </c>
      <c r="B20" s="17" t="n"/>
      <c r="C20" s="17" t="n"/>
      <c r="D20" s="17" t="n"/>
      <c r="E20" s="17" t="n"/>
      <c r="F20" s="17" t="n"/>
      <c r="G20" s="17" t="n"/>
      <c r="H20" s="17" t="n"/>
      <c r="I20" s="17" t="n"/>
      <c r="J20" s="17" t="n"/>
      <c r="K20" s="17" t="n"/>
      <c r="L20" s="17" t="n"/>
      <c r="M20" s="17" t="n"/>
    </row>
    <row r="21">
      <c r="A21" s="16" t="inlineStr">
        <is>
          <t>SW-0016</t>
        </is>
      </c>
      <c r="B21" s="17" t="n"/>
      <c r="C21" s="17" t="n"/>
      <c r="D21" s="17" t="n"/>
      <c r="E21" s="17" t="n"/>
      <c r="F21" s="17" t="n"/>
      <c r="G21" s="17" t="n"/>
      <c r="H21" s="17" t="n"/>
      <c r="I21" s="17" t="n"/>
      <c r="J21" s="17" t="n"/>
      <c r="K21" s="17" t="n"/>
      <c r="L21" s="17" t="n"/>
      <c r="M21" s="17" t="n"/>
    </row>
    <row r="22">
      <c r="A22" s="16" t="inlineStr">
        <is>
          <t>SW-0017</t>
        </is>
      </c>
      <c r="B22" s="17" t="n"/>
      <c r="C22" s="17" t="n"/>
      <c r="D22" s="17" t="n"/>
      <c r="E22" s="17" t="n"/>
      <c r="F22" s="17" t="n"/>
      <c r="G22" s="17" t="n"/>
      <c r="H22" s="17" t="n"/>
      <c r="I22" s="17" t="n"/>
      <c r="J22" s="17" t="n"/>
      <c r="K22" s="17" t="n"/>
      <c r="L22" s="17" t="n"/>
      <c r="M22" s="17" t="n"/>
    </row>
    <row r="23">
      <c r="A23" s="16" t="inlineStr">
        <is>
          <t>SW-0018</t>
        </is>
      </c>
      <c r="B23" s="17" t="n"/>
      <c r="C23" s="17" t="n"/>
      <c r="D23" s="17" t="n"/>
      <c r="E23" s="17" t="n"/>
      <c r="F23" s="17" t="n"/>
      <c r="G23" s="17" t="n"/>
      <c r="H23" s="17" t="n"/>
      <c r="I23" s="17" t="n"/>
      <c r="J23" s="17" t="n"/>
      <c r="K23" s="17" t="n"/>
      <c r="L23" s="17" t="n"/>
      <c r="M23" s="17" t="n"/>
    </row>
    <row r="24">
      <c r="A24" s="16" t="inlineStr">
        <is>
          <t>SW-0019</t>
        </is>
      </c>
      <c r="B24" s="17" t="n"/>
      <c r="C24" s="17" t="n"/>
      <c r="D24" s="17" t="n"/>
      <c r="E24" s="17" t="n"/>
      <c r="F24" s="17" t="n"/>
      <c r="G24" s="17" t="n"/>
      <c r="H24" s="17" t="n"/>
      <c r="I24" s="17" t="n"/>
      <c r="J24" s="17" t="n"/>
      <c r="K24" s="17" t="n"/>
      <c r="L24" s="17" t="n"/>
      <c r="M24" s="17" t="n"/>
    </row>
    <row r="25">
      <c r="A25" s="16" t="inlineStr">
        <is>
          <t>SW-0020</t>
        </is>
      </c>
      <c r="B25" s="17" t="n"/>
      <c r="C25" s="17" t="n"/>
      <c r="D25" s="17" t="n"/>
      <c r="E25" s="17" t="n"/>
      <c r="F25" s="17" t="n"/>
      <c r="G25" s="17" t="n"/>
      <c r="H25" s="17" t="n"/>
      <c r="I25" s="17" t="n"/>
      <c r="J25" s="17" t="n"/>
      <c r="K25" s="17" t="n"/>
      <c r="L25" s="17" t="n"/>
      <c r="M25" s="17" t="n"/>
    </row>
    <row r="26">
      <c r="A26" s="16" t="inlineStr">
        <is>
          <t>SW-0021</t>
        </is>
      </c>
      <c r="B26" s="17" t="n"/>
      <c r="C26" s="17" t="n"/>
      <c r="D26" s="17" t="n"/>
      <c r="E26" s="17" t="n"/>
      <c r="F26" s="17" t="n"/>
      <c r="G26" s="17" t="n"/>
      <c r="H26" s="17" t="n"/>
      <c r="I26" s="17" t="n"/>
      <c r="J26" s="17" t="n"/>
      <c r="K26" s="17" t="n"/>
      <c r="L26" s="17" t="n"/>
      <c r="M26" s="17" t="n"/>
    </row>
    <row r="27">
      <c r="A27" s="16" t="inlineStr">
        <is>
          <t>SW-0022</t>
        </is>
      </c>
      <c r="B27" s="17" t="n"/>
      <c r="C27" s="17" t="n"/>
      <c r="D27" s="17" t="n"/>
      <c r="E27" s="17" t="n"/>
      <c r="F27" s="17" t="n"/>
      <c r="G27" s="17" t="n"/>
      <c r="H27" s="17" t="n"/>
      <c r="I27" s="17" t="n"/>
      <c r="J27" s="17" t="n"/>
      <c r="K27" s="17" t="n"/>
      <c r="L27" s="17" t="n"/>
      <c r="M27" s="17" t="n"/>
    </row>
    <row r="28">
      <c r="A28" s="16" t="inlineStr">
        <is>
          <t>SW-0023</t>
        </is>
      </c>
      <c r="B28" s="17" t="n"/>
      <c r="C28" s="17" t="n"/>
      <c r="D28" s="17" t="n"/>
      <c r="E28" s="17" t="n"/>
      <c r="F28" s="17" t="n"/>
      <c r="G28" s="17" t="n"/>
      <c r="H28" s="17" t="n"/>
      <c r="I28" s="17" t="n"/>
      <c r="J28" s="17" t="n"/>
      <c r="K28" s="17" t="n"/>
      <c r="L28" s="17" t="n"/>
      <c r="M28" s="17" t="n"/>
    </row>
    <row r="29">
      <c r="A29" s="16" t="inlineStr">
        <is>
          <t>SW-0024</t>
        </is>
      </c>
      <c r="B29" s="17" t="n"/>
      <c r="C29" s="17" t="n"/>
      <c r="D29" s="17" t="n"/>
      <c r="E29" s="17" t="n"/>
      <c r="F29" s="17" t="n"/>
      <c r="G29" s="17" t="n"/>
      <c r="H29" s="17" t="n"/>
      <c r="I29" s="17" t="n"/>
      <c r="J29" s="17" t="n"/>
      <c r="K29" s="17" t="n"/>
      <c r="L29" s="17" t="n"/>
      <c r="M29" s="17" t="n"/>
    </row>
    <row r="30">
      <c r="A30" s="16" t="inlineStr">
        <is>
          <t>SW-0025</t>
        </is>
      </c>
      <c r="B30" s="17" t="n"/>
      <c r="C30" s="17" t="n"/>
      <c r="D30" s="17" t="n"/>
      <c r="E30" s="17" t="n"/>
      <c r="F30" s="17" t="n"/>
      <c r="G30" s="17" t="n"/>
      <c r="H30" s="17" t="n"/>
      <c r="I30" s="17" t="n"/>
      <c r="J30" s="17" t="n"/>
      <c r="K30" s="17" t="n"/>
      <c r="L30" s="17" t="n"/>
      <c r="M30" s="17" t="n"/>
    </row>
    <row r="31">
      <c r="A31" s="16" t="inlineStr">
        <is>
          <t>SW-0026</t>
        </is>
      </c>
      <c r="B31" s="17" t="n"/>
      <c r="C31" s="17" t="n"/>
      <c r="D31" s="17" t="n"/>
      <c r="E31" s="17" t="n"/>
      <c r="F31" s="17" t="n"/>
      <c r="G31" s="17" t="n"/>
      <c r="H31" s="17" t="n"/>
      <c r="I31" s="17" t="n"/>
      <c r="J31" s="17" t="n"/>
      <c r="K31" s="17" t="n"/>
      <c r="L31" s="17" t="n"/>
      <c r="M31" s="17" t="n"/>
    </row>
    <row r="32">
      <c r="A32" s="16" t="inlineStr">
        <is>
          <t>SW-0027</t>
        </is>
      </c>
      <c r="B32" s="17" t="n"/>
      <c r="C32" s="17" t="n"/>
      <c r="D32" s="17" t="n"/>
      <c r="E32" s="17" t="n"/>
      <c r="F32" s="17" t="n"/>
      <c r="G32" s="17" t="n"/>
      <c r="H32" s="17" t="n"/>
      <c r="I32" s="17" t="n"/>
      <c r="J32" s="17" t="n"/>
      <c r="K32" s="17" t="n"/>
      <c r="L32" s="17" t="n"/>
      <c r="M32" s="17" t="n"/>
    </row>
    <row r="33">
      <c r="A33" s="16" t="inlineStr">
        <is>
          <t>SW-0028</t>
        </is>
      </c>
      <c r="B33" s="17" t="n"/>
      <c r="C33" s="17" t="n"/>
      <c r="D33" s="17" t="n"/>
      <c r="E33" s="17" t="n"/>
      <c r="F33" s="17" t="n"/>
      <c r="G33" s="17" t="n"/>
      <c r="H33" s="17" t="n"/>
      <c r="I33" s="17" t="n"/>
      <c r="J33" s="17" t="n"/>
      <c r="K33" s="17" t="n"/>
      <c r="L33" s="17" t="n"/>
      <c r="M33" s="17" t="n"/>
    </row>
    <row r="34">
      <c r="A34" s="16" t="inlineStr">
        <is>
          <t>SW-0029</t>
        </is>
      </c>
      <c r="B34" s="17" t="n"/>
      <c r="C34" s="17" t="n"/>
      <c r="D34" s="17" t="n"/>
      <c r="E34" s="17" t="n"/>
      <c r="F34" s="17" t="n"/>
      <c r="G34" s="17" t="n"/>
      <c r="H34" s="17" t="n"/>
      <c r="I34" s="17" t="n"/>
      <c r="J34" s="17" t="n"/>
      <c r="K34" s="17" t="n"/>
      <c r="L34" s="17" t="n"/>
      <c r="M34" s="17" t="n"/>
    </row>
    <row r="35">
      <c r="A35" s="16" t="inlineStr">
        <is>
          <t>SW-0030</t>
        </is>
      </c>
      <c r="B35" s="17" t="n"/>
      <c r="C35" s="17" t="n"/>
      <c r="D35" s="17" t="n"/>
      <c r="E35" s="17" t="n"/>
      <c r="F35" s="17" t="n"/>
      <c r="G35" s="17" t="n"/>
      <c r="H35" s="17" t="n"/>
      <c r="I35" s="17" t="n"/>
      <c r="J35" s="17" t="n"/>
      <c r="K35" s="17" t="n"/>
      <c r="L35" s="17" t="n"/>
      <c r="M35" s="17" t="n"/>
    </row>
    <row r="36">
      <c r="A36" s="16" t="inlineStr">
        <is>
          <t>SW-0031</t>
        </is>
      </c>
      <c r="B36" s="17" t="n"/>
      <c r="C36" s="17" t="n"/>
      <c r="D36" s="17" t="n"/>
      <c r="E36" s="17" t="n"/>
      <c r="F36" s="17" t="n"/>
      <c r="G36" s="17" t="n"/>
      <c r="H36" s="17" t="n"/>
      <c r="I36" s="17" t="n"/>
      <c r="J36" s="17" t="n"/>
      <c r="K36" s="17" t="n"/>
      <c r="L36" s="17" t="n"/>
      <c r="M36" s="17" t="n"/>
    </row>
    <row r="37">
      <c r="A37" s="16" t="inlineStr">
        <is>
          <t>SW-0032</t>
        </is>
      </c>
      <c r="B37" s="17" t="n"/>
      <c r="C37" s="17" t="n"/>
      <c r="D37" s="17" t="n"/>
      <c r="E37" s="17" t="n"/>
      <c r="F37" s="17" t="n"/>
      <c r="G37" s="17" t="n"/>
      <c r="H37" s="17" t="n"/>
      <c r="I37" s="17" t="n"/>
      <c r="J37" s="17" t="n"/>
      <c r="K37" s="17" t="n"/>
      <c r="L37" s="17" t="n"/>
      <c r="M37" s="17" t="n"/>
    </row>
    <row r="38">
      <c r="A38" s="16" t="inlineStr">
        <is>
          <t>SW-0033</t>
        </is>
      </c>
      <c r="B38" s="17" t="n"/>
      <c r="C38" s="17" t="n"/>
      <c r="D38" s="17" t="n"/>
      <c r="E38" s="17" t="n"/>
      <c r="F38" s="17" t="n"/>
      <c r="G38" s="17" t="n"/>
      <c r="H38" s="17" t="n"/>
      <c r="I38" s="17" t="n"/>
      <c r="J38" s="17" t="n"/>
      <c r="K38" s="17" t="n"/>
      <c r="L38" s="17" t="n"/>
      <c r="M38" s="17" t="n"/>
    </row>
    <row r="39">
      <c r="A39" s="16" t="inlineStr">
        <is>
          <t>SW-0034</t>
        </is>
      </c>
      <c r="B39" s="17" t="n"/>
      <c r="C39" s="17" t="n"/>
      <c r="D39" s="17" t="n"/>
      <c r="E39" s="17" t="n"/>
      <c r="F39" s="17" t="n"/>
      <c r="G39" s="17" t="n"/>
      <c r="H39" s="17" t="n"/>
      <c r="I39" s="17" t="n"/>
      <c r="J39" s="17" t="n"/>
      <c r="K39" s="17" t="n"/>
      <c r="L39" s="17" t="n"/>
      <c r="M39" s="17" t="n"/>
    </row>
    <row r="40">
      <c r="A40" s="16" t="inlineStr">
        <is>
          <t>SW-0035</t>
        </is>
      </c>
      <c r="B40" s="17" t="n"/>
      <c r="C40" s="17" t="n"/>
      <c r="D40" s="17" t="n"/>
      <c r="E40" s="17" t="n"/>
      <c r="F40" s="17" t="n"/>
      <c r="G40" s="17" t="n"/>
      <c r="H40" s="17" t="n"/>
      <c r="I40" s="17" t="n"/>
      <c r="J40" s="17" t="n"/>
      <c r="K40" s="17" t="n"/>
      <c r="L40" s="17" t="n"/>
      <c r="M40" s="17" t="n"/>
    </row>
    <row r="41">
      <c r="A41" s="16" t="inlineStr">
        <is>
          <t>SW-0036</t>
        </is>
      </c>
      <c r="B41" s="17" t="n"/>
      <c r="C41" s="17" t="n"/>
      <c r="D41" s="17" t="n"/>
      <c r="E41" s="17" t="n"/>
      <c r="F41" s="17" t="n"/>
      <c r="G41" s="17" t="n"/>
      <c r="H41" s="17" t="n"/>
      <c r="I41" s="17" t="n"/>
      <c r="J41" s="17" t="n"/>
      <c r="K41" s="17" t="n"/>
      <c r="L41" s="17" t="n"/>
      <c r="M41" s="17" t="n"/>
    </row>
    <row r="42">
      <c r="A42" s="16" t="inlineStr">
        <is>
          <t>SW-0037</t>
        </is>
      </c>
      <c r="B42" s="17" t="n"/>
      <c r="C42" s="17" t="n"/>
      <c r="D42" s="17" t="n"/>
      <c r="E42" s="17" t="n"/>
      <c r="F42" s="17" t="n"/>
      <c r="G42" s="17" t="n"/>
      <c r="H42" s="17" t="n"/>
      <c r="I42" s="17" t="n"/>
      <c r="J42" s="17" t="n"/>
      <c r="K42" s="17" t="n"/>
      <c r="L42" s="17" t="n"/>
      <c r="M42" s="17" t="n"/>
    </row>
    <row r="43">
      <c r="A43" s="16" t="inlineStr">
        <is>
          <t>SW-0038</t>
        </is>
      </c>
      <c r="B43" s="17" t="n"/>
      <c r="C43" s="17" t="n"/>
      <c r="D43" s="17" t="n"/>
      <c r="E43" s="17" t="n"/>
      <c r="F43" s="17" t="n"/>
      <c r="G43" s="17" t="n"/>
      <c r="H43" s="17" t="n"/>
      <c r="I43" s="17" t="n"/>
      <c r="J43" s="17" t="n"/>
      <c r="K43" s="17" t="n"/>
      <c r="L43" s="17" t="n"/>
      <c r="M43" s="17" t="n"/>
    </row>
    <row r="44">
      <c r="A44" s="16" t="inlineStr">
        <is>
          <t>SW-0039</t>
        </is>
      </c>
      <c r="B44" s="17" t="n"/>
      <c r="C44" s="17" t="n"/>
      <c r="D44" s="17" t="n"/>
      <c r="E44" s="17" t="n"/>
      <c r="F44" s="17" t="n"/>
      <c r="G44" s="17" t="n"/>
      <c r="H44" s="17" t="n"/>
      <c r="I44" s="17" t="n"/>
      <c r="J44" s="17" t="n"/>
      <c r="K44" s="17" t="n"/>
      <c r="L44" s="17" t="n"/>
      <c r="M44" s="17" t="n"/>
    </row>
    <row r="45">
      <c r="A45" s="16" t="inlineStr">
        <is>
          <t>SW-0040</t>
        </is>
      </c>
      <c r="B45" s="17" t="n"/>
      <c r="C45" s="17" t="n"/>
      <c r="D45" s="17" t="n"/>
      <c r="E45" s="17" t="n"/>
      <c r="F45" s="17" t="n"/>
      <c r="G45" s="17" t="n"/>
      <c r="H45" s="17" t="n"/>
      <c r="I45" s="17" t="n"/>
      <c r="J45" s="17" t="n"/>
      <c r="K45" s="17" t="n"/>
      <c r="L45" s="17" t="n"/>
      <c r="M45" s="17" t="n"/>
    </row>
    <row r="46">
      <c r="A46" s="16" t="inlineStr">
        <is>
          <t>SW-0041</t>
        </is>
      </c>
      <c r="B46" s="17" t="n"/>
      <c r="C46" s="17" t="n"/>
      <c r="D46" s="17" t="n"/>
      <c r="E46" s="17" t="n"/>
      <c r="F46" s="17" t="n"/>
      <c r="G46" s="17" t="n"/>
      <c r="H46" s="17" t="n"/>
      <c r="I46" s="17" t="n"/>
      <c r="J46" s="17" t="n"/>
      <c r="K46" s="17" t="n"/>
      <c r="L46" s="17" t="n"/>
      <c r="M46" s="17" t="n"/>
    </row>
    <row r="47">
      <c r="A47" s="16" t="inlineStr">
        <is>
          <t>SW-0042</t>
        </is>
      </c>
      <c r="B47" s="17" t="n"/>
      <c r="C47" s="17" t="n"/>
      <c r="D47" s="17" t="n"/>
      <c r="E47" s="17" t="n"/>
      <c r="F47" s="17" t="n"/>
      <c r="G47" s="17" t="n"/>
      <c r="H47" s="17" t="n"/>
      <c r="I47" s="17" t="n"/>
      <c r="J47" s="17" t="n"/>
      <c r="K47" s="17" t="n"/>
      <c r="L47" s="17" t="n"/>
      <c r="M47" s="17" t="n"/>
    </row>
    <row r="48">
      <c r="A48" s="16" t="inlineStr">
        <is>
          <t>SW-0043</t>
        </is>
      </c>
      <c r="B48" s="17" t="n"/>
      <c r="C48" s="17" t="n"/>
      <c r="D48" s="17" t="n"/>
      <c r="E48" s="17" t="n"/>
      <c r="F48" s="17" t="n"/>
      <c r="G48" s="17" t="n"/>
      <c r="H48" s="17" t="n"/>
      <c r="I48" s="17" t="n"/>
      <c r="J48" s="17" t="n"/>
      <c r="K48" s="17" t="n"/>
      <c r="L48" s="17" t="n"/>
      <c r="M48" s="17" t="n"/>
    </row>
    <row r="49">
      <c r="A49" s="16" t="inlineStr">
        <is>
          <t>SW-0044</t>
        </is>
      </c>
      <c r="B49" s="17" t="n"/>
      <c r="C49" s="17" t="n"/>
      <c r="D49" s="17" t="n"/>
      <c r="E49" s="17" t="n"/>
      <c r="F49" s="17" t="n"/>
      <c r="G49" s="17" t="n"/>
      <c r="H49" s="17" t="n"/>
      <c r="I49" s="17" t="n"/>
      <c r="J49" s="17" t="n"/>
      <c r="K49" s="17" t="n"/>
      <c r="L49" s="17" t="n"/>
      <c r="M49" s="17" t="n"/>
    </row>
    <row r="50">
      <c r="A50" s="16" t="inlineStr">
        <is>
          <t>SW-0045</t>
        </is>
      </c>
      <c r="B50" s="17" t="n"/>
      <c r="C50" s="17" t="n"/>
      <c r="D50" s="17" t="n"/>
      <c r="E50" s="17" t="n"/>
      <c r="F50" s="17" t="n"/>
      <c r="G50" s="17" t="n"/>
      <c r="H50" s="17" t="n"/>
      <c r="I50" s="17" t="n"/>
      <c r="J50" s="17" t="n"/>
      <c r="K50" s="17" t="n"/>
      <c r="L50" s="17" t="n"/>
      <c r="M50" s="17" t="n"/>
    </row>
    <row r="51">
      <c r="A51" s="16" t="inlineStr">
        <is>
          <t>SW-0046</t>
        </is>
      </c>
      <c r="B51" s="17" t="n"/>
      <c r="C51" s="17" t="n"/>
      <c r="D51" s="17" t="n"/>
      <c r="E51" s="17" t="n"/>
      <c r="F51" s="17" t="n"/>
      <c r="G51" s="17" t="n"/>
      <c r="H51" s="17" t="n"/>
      <c r="I51" s="17" t="n"/>
      <c r="J51" s="17" t="n"/>
      <c r="K51" s="17" t="n"/>
      <c r="L51" s="17" t="n"/>
      <c r="M51" s="17" t="n"/>
    </row>
    <row r="52">
      <c r="A52" s="16" t="inlineStr">
        <is>
          <t>SW-0047</t>
        </is>
      </c>
      <c r="B52" s="17" t="n"/>
      <c r="C52" s="17" t="n"/>
      <c r="D52" s="17" t="n"/>
      <c r="E52" s="17" t="n"/>
      <c r="F52" s="17" t="n"/>
      <c r="G52" s="17" t="n"/>
      <c r="H52" s="17" t="n"/>
      <c r="I52" s="17" t="n"/>
      <c r="J52" s="17" t="n"/>
      <c r="K52" s="17" t="n"/>
      <c r="L52" s="17" t="n"/>
      <c r="M52" s="17" t="n"/>
    </row>
    <row r="53">
      <c r="A53" s="16" t="inlineStr">
        <is>
          <t>SW-0048</t>
        </is>
      </c>
      <c r="B53" s="17" t="n"/>
      <c r="C53" s="17" t="n"/>
      <c r="D53" s="17" t="n"/>
      <c r="E53" s="17" t="n"/>
      <c r="F53" s="17" t="n"/>
      <c r="G53" s="17" t="n"/>
      <c r="H53" s="17" t="n"/>
      <c r="I53" s="17" t="n"/>
      <c r="J53" s="17" t="n"/>
      <c r="K53" s="17" t="n"/>
      <c r="L53" s="17" t="n"/>
      <c r="M53" s="17" t="n"/>
    </row>
    <row r="54">
      <c r="A54" s="16" t="inlineStr">
        <is>
          <t>SW-0049</t>
        </is>
      </c>
      <c r="B54" s="17" t="n"/>
      <c r="C54" s="17" t="n"/>
      <c r="D54" s="17" t="n"/>
      <c r="E54" s="17" t="n"/>
      <c r="F54" s="17" t="n"/>
      <c r="G54" s="17" t="n"/>
      <c r="H54" s="17" t="n"/>
      <c r="I54" s="17" t="n"/>
      <c r="J54" s="17" t="n"/>
      <c r="K54" s="17" t="n"/>
      <c r="L54" s="17" t="n"/>
      <c r="M54" s="17" t="n"/>
    </row>
    <row r="55">
      <c r="A55" s="16" t="inlineStr">
        <is>
          <t>SW-0050</t>
        </is>
      </c>
      <c r="B55" s="17" t="n"/>
      <c r="C55" s="17" t="n"/>
      <c r="D55" s="17" t="n"/>
      <c r="E55" s="17" t="n"/>
      <c r="F55" s="17" t="n"/>
      <c r="G55" s="17" t="n"/>
      <c r="H55" s="17" t="n"/>
      <c r="I55" s="17" t="n"/>
      <c r="J55" s="17" t="n"/>
      <c r="K55" s="17" t="n"/>
      <c r="L55" s="17" t="n"/>
      <c r="M55" s="17" t="n"/>
    </row>
    <row r="56">
      <c r="A56" s="16" t="inlineStr">
        <is>
          <t>SW-0051</t>
        </is>
      </c>
      <c r="B56" s="17" t="n"/>
      <c r="C56" s="17" t="n"/>
      <c r="D56" s="17" t="n"/>
      <c r="E56" s="17" t="n"/>
      <c r="F56" s="17" t="n"/>
      <c r="G56" s="17" t="n"/>
      <c r="H56" s="17" t="n"/>
      <c r="I56" s="17" t="n"/>
      <c r="J56" s="17" t="n"/>
      <c r="K56" s="17" t="n"/>
      <c r="L56" s="17" t="n"/>
      <c r="M56" s="17" t="n"/>
    </row>
    <row r="57">
      <c r="A57" s="16" t="inlineStr">
        <is>
          <t>SW-0052</t>
        </is>
      </c>
      <c r="B57" s="17" t="n"/>
      <c r="C57" s="17" t="n"/>
      <c r="D57" s="17" t="n"/>
      <c r="E57" s="17" t="n"/>
      <c r="F57" s="17" t="n"/>
      <c r="G57" s="17" t="n"/>
      <c r="H57" s="17" t="n"/>
      <c r="I57" s="17" t="n"/>
      <c r="J57" s="17" t="n"/>
      <c r="K57" s="17" t="n"/>
      <c r="L57" s="17" t="n"/>
      <c r="M57" s="17" t="n"/>
    </row>
    <row r="58">
      <c r="A58" s="16" t="inlineStr">
        <is>
          <t>SW-0053</t>
        </is>
      </c>
      <c r="B58" s="17" t="n"/>
      <c r="C58" s="17" t="n"/>
      <c r="D58" s="17" t="n"/>
      <c r="E58" s="17" t="n"/>
      <c r="F58" s="17" t="n"/>
      <c r="G58" s="17" t="n"/>
      <c r="H58" s="17" t="n"/>
      <c r="I58" s="17" t="n"/>
      <c r="J58" s="17" t="n"/>
      <c r="K58" s="17" t="n"/>
      <c r="L58" s="17" t="n"/>
      <c r="M58" s="17" t="n"/>
    </row>
    <row r="59">
      <c r="A59" s="16" t="inlineStr">
        <is>
          <t>SW-0054</t>
        </is>
      </c>
      <c r="B59" s="17" t="n"/>
      <c r="C59" s="17" t="n"/>
      <c r="D59" s="17" t="n"/>
      <c r="E59" s="17" t="n"/>
      <c r="F59" s="17" t="n"/>
      <c r="G59" s="17" t="n"/>
      <c r="H59" s="17" t="n"/>
      <c r="I59" s="17" t="n"/>
      <c r="J59" s="17" t="n"/>
      <c r="K59" s="17" t="n"/>
      <c r="L59" s="17" t="n"/>
      <c r="M59" s="17" t="n"/>
    </row>
    <row r="60">
      <c r="A60" s="16" t="inlineStr">
        <is>
          <t>SW-0055</t>
        </is>
      </c>
      <c r="B60" s="17" t="n"/>
      <c r="C60" s="17" t="n"/>
      <c r="D60" s="17" t="n"/>
      <c r="E60" s="17" t="n"/>
      <c r="F60" s="17" t="n"/>
      <c r="G60" s="17" t="n"/>
      <c r="H60" s="17" t="n"/>
      <c r="I60" s="17" t="n"/>
      <c r="J60" s="17" t="n"/>
      <c r="K60" s="17" t="n"/>
      <c r="L60" s="17" t="n"/>
      <c r="M60" s="17" t="n"/>
    </row>
    <row r="61">
      <c r="A61" s="16" t="inlineStr">
        <is>
          <t>SW-0056</t>
        </is>
      </c>
      <c r="B61" s="17" t="n"/>
      <c r="C61" s="17" t="n"/>
      <c r="D61" s="17" t="n"/>
      <c r="E61" s="17" t="n"/>
      <c r="F61" s="17" t="n"/>
      <c r="G61" s="17" t="n"/>
      <c r="H61" s="17" t="n"/>
      <c r="I61" s="17" t="n"/>
      <c r="J61" s="17" t="n"/>
      <c r="K61" s="17" t="n"/>
      <c r="L61" s="17" t="n"/>
      <c r="M61" s="17" t="n"/>
    </row>
    <row r="62">
      <c r="A62" s="16" t="inlineStr">
        <is>
          <t>SW-0057</t>
        </is>
      </c>
      <c r="B62" s="17" t="n"/>
      <c r="C62" s="17" t="n"/>
      <c r="D62" s="17" t="n"/>
      <c r="E62" s="17" t="n"/>
      <c r="F62" s="17" t="n"/>
      <c r="G62" s="17" t="n"/>
      <c r="H62" s="17" t="n"/>
      <c r="I62" s="17" t="n"/>
      <c r="J62" s="17" t="n"/>
      <c r="K62" s="17" t="n"/>
      <c r="L62" s="17" t="n"/>
      <c r="M62" s="17" t="n"/>
    </row>
    <row r="63">
      <c r="A63" s="16" t="inlineStr">
        <is>
          <t>SW-0058</t>
        </is>
      </c>
      <c r="B63" s="17" t="n"/>
      <c r="C63" s="17" t="n"/>
      <c r="D63" s="17" t="n"/>
      <c r="E63" s="17" t="n"/>
      <c r="F63" s="17" t="n"/>
      <c r="G63" s="17" t="n"/>
      <c r="H63" s="17" t="n"/>
      <c r="I63" s="17" t="n"/>
      <c r="J63" s="17" t="n"/>
      <c r="K63" s="17" t="n"/>
      <c r="L63" s="17" t="n"/>
      <c r="M63" s="17" t="n"/>
    </row>
    <row r="64">
      <c r="A64" s="16" t="inlineStr">
        <is>
          <t>SW-0059</t>
        </is>
      </c>
      <c r="B64" s="17" t="n"/>
      <c r="C64" s="17" t="n"/>
      <c r="D64" s="17" t="n"/>
      <c r="E64" s="17" t="n"/>
      <c r="F64" s="17" t="n"/>
      <c r="G64" s="17" t="n"/>
      <c r="H64" s="17" t="n"/>
      <c r="I64" s="17" t="n"/>
      <c r="J64" s="17" t="n"/>
      <c r="K64" s="17" t="n"/>
      <c r="L64" s="17" t="n"/>
      <c r="M64" s="17" t="n"/>
    </row>
    <row r="65">
      <c r="A65" s="16" t="inlineStr">
        <is>
          <t>SW-0060</t>
        </is>
      </c>
      <c r="B65" s="17" t="n"/>
      <c r="C65" s="17" t="n"/>
      <c r="D65" s="17" t="n"/>
      <c r="E65" s="17" t="n"/>
      <c r="F65" s="17" t="n"/>
      <c r="G65" s="17" t="n"/>
      <c r="H65" s="17" t="n"/>
      <c r="I65" s="17" t="n"/>
      <c r="J65" s="17" t="n"/>
      <c r="K65" s="17" t="n"/>
      <c r="L65" s="17" t="n"/>
      <c r="M65" s="17" t="n"/>
    </row>
    <row r="66">
      <c r="A66" s="16" t="inlineStr">
        <is>
          <t>SW-0061</t>
        </is>
      </c>
      <c r="B66" s="17" t="n"/>
      <c r="C66" s="17" t="n"/>
      <c r="D66" s="17" t="n"/>
      <c r="E66" s="17" t="n"/>
      <c r="F66" s="17" t="n"/>
      <c r="G66" s="17" t="n"/>
      <c r="H66" s="17" t="n"/>
      <c r="I66" s="17" t="n"/>
      <c r="J66" s="17" t="n"/>
      <c r="K66" s="17" t="n"/>
      <c r="L66" s="17" t="n"/>
      <c r="M66" s="17" t="n"/>
    </row>
    <row r="67">
      <c r="A67" s="16" t="inlineStr">
        <is>
          <t>SW-0062</t>
        </is>
      </c>
      <c r="B67" s="17" t="n"/>
      <c r="C67" s="17" t="n"/>
      <c r="D67" s="17" t="n"/>
      <c r="E67" s="17" t="n"/>
      <c r="F67" s="17" t="n"/>
      <c r="G67" s="17" t="n"/>
      <c r="H67" s="17" t="n"/>
      <c r="I67" s="17" t="n"/>
      <c r="J67" s="17" t="n"/>
      <c r="K67" s="17" t="n"/>
      <c r="L67" s="17" t="n"/>
      <c r="M67" s="17" t="n"/>
    </row>
    <row r="68">
      <c r="A68" s="16" t="inlineStr">
        <is>
          <t>SW-0063</t>
        </is>
      </c>
      <c r="B68" s="17" t="n"/>
      <c r="C68" s="17" t="n"/>
      <c r="D68" s="17" t="n"/>
      <c r="E68" s="17" t="n"/>
      <c r="F68" s="17" t="n"/>
      <c r="G68" s="17" t="n"/>
      <c r="H68" s="17" t="n"/>
      <c r="I68" s="17" t="n"/>
      <c r="J68" s="17" t="n"/>
      <c r="K68" s="17" t="n"/>
      <c r="L68" s="17" t="n"/>
      <c r="M68" s="17" t="n"/>
    </row>
    <row r="69">
      <c r="A69" s="16" t="inlineStr">
        <is>
          <t>SW-0064</t>
        </is>
      </c>
      <c r="B69" s="17" t="n"/>
      <c r="C69" s="17" t="n"/>
      <c r="D69" s="17" t="n"/>
      <c r="E69" s="17" t="n"/>
      <c r="F69" s="17" t="n"/>
      <c r="G69" s="17" t="n"/>
      <c r="H69" s="17" t="n"/>
      <c r="I69" s="17" t="n"/>
      <c r="J69" s="17" t="n"/>
      <c r="K69" s="17" t="n"/>
      <c r="L69" s="17" t="n"/>
      <c r="M69" s="17" t="n"/>
    </row>
    <row r="70">
      <c r="A70" s="16" t="inlineStr">
        <is>
          <t>SW-0065</t>
        </is>
      </c>
      <c r="B70" s="17" t="n"/>
      <c r="C70" s="17" t="n"/>
      <c r="D70" s="17" t="n"/>
      <c r="E70" s="17" t="n"/>
      <c r="F70" s="17" t="n"/>
      <c r="G70" s="17" t="n"/>
      <c r="H70" s="17" t="n"/>
      <c r="I70" s="17" t="n"/>
      <c r="J70" s="17" t="n"/>
      <c r="K70" s="17" t="n"/>
      <c r="L70" s="17" t="n"/>
      <c r="M70" s="17" t="n"/>
    </row>
    <row r="71">
      <c r="A71" s="16" t="inlineStr">
        <is>
          <t>SW-0066</t>
        </is>
      </c>
      <c r="B71" s="17" t="n"/>
      <c r="C71" s="17" t="n"/>
      <c r="D71" s="17" t="n"/>
      <c r="E71" s="17" t="n"/>
      <c r="F71" s="17" t="n"/>
      <c r="G71" s="17" t="n"/>
      <c r="H71" s="17" t="n"/>
      <c r="I71" s="17" t="n"/>
      <c r="J71" s="17" t="n"/>
      <c r="K71" s="17" t="n"/>
      <c r="L71" s="17" t="n"/>
      <c r="M71" s="17" t="n"/>
    </row>
    <row r="72">
      <c r="A72" s="16" t="inlineStr">
        <is>
          <t>SW-0067</t>
        </is>
      </c>
      <c r="B72" s="17" t="n"/>
      <c r="C72" s="17" t="n"/>
      <c r="D72" s="17" t="n"/>
      <c r="E72" s="17" t="n"/>
      <c r="F72" s="17" t="n"/>
      <c r="G72" s="17" t="n"/>
      <c r="H72" s="17" t="n"/>
      <c r="I72" s="17" t="n"/>
      <c r="J72" s="17" t="n"/>
      <c r="K72" s="17" t="n"/>
      <c r="L72" s="17" t="n"/>
      <c r="M72" s="17" t="n"/>
    </row>
    <row r="73">
      <c r="A73" s="16" t="inlineStr">
        <is>
          <t>SW-0068</t>
        </is>
      </c>
      <c r="B73" s="17" t="n"/>
      <c r="C73" s="17" t="n"/>
      <c r="D73" s="17" t="n"/>
      <c r="E73" s="17" t="n"/>
      <c r="F73" s="17" t="n"/>
      <c r="G73" s="17" t="n"/>
      <c r="H73" s="17" t="n"/>
      <c r="I73" s="17" t="n"/>
      <c r="J73" s="17" t="n"/>
      <c r="K73" s="17" t="n"/>
      <c r="L73" s="17" t="n"/>
      <c r="M73" s="17" t="n"/>
    </row>
    <row r="74">
      <c r="A74" s="16" t="inlineStr">
        <is>
          <t>SW-0069</t>
        </is>
      </c>
      <c r="B74" s="17" t="n"/>
      <c r="C74" s="17" t="n"/>
      <c r="D74" s="17" t="n"/>
      <c r="E74" s="17" t="n"/>
      <c r="F74" s="17" t="n"/>
      <c r="G74" s="17" t="n"/>
      <c r="H74" s="17" t="n"/>
      <c r="I74" s="17" t="n"/>
      <c r="J74" s="17" t="n"/>
      <c r="K74" s="17" t="n"/>
      <c r="L74" s="17" t="n"/>
      <c r="M74" s="17" t="n"/>
    </row>
    <row r="75">
      <c r="A75" s="16" t="inlineStr">
        <is>
          <t>SW-0070</t>
        </is>
      </c>
      <c r="B75" s="17" t="n"/>
      <c r="C75" s="17" t="n"/>
      <c r="D75" s="17" t="n"/>
      <c r="E75" s="17" t="n"/>
      <c r="F75" s="17" t="n"/>
      <c r="G75" s="17" t="n"/>
      <c r="H75" s="17" t="n"/>
      <c r="I75" s="17" t="n"/>
      <c r="J75" s="17" t="n"/>
      <c r="K75" s="17" t="n"/>
      <c r="L75" s="17" t="n"/>
      <c r="M75" s="17" t="n"/>
    </row>
    <row r="76">
      <c r="A76" s="16" t="inlineStr">
        <is>
          <t>SW-0071</t>
        </is>
      </c>
      <c r="B76" s="17" t="n"/>
      <c r="C76" s="17" t="n"/>
      <c r="D76" s="17" t="n"/>
      <c r="E76" s="17" t="n"/>
      <c r="F76" s="17" t="n"/>
      <c r="G76" s="17" t="n"/>
      <c r="H76" s="17" t="n"/>
      <c r="I76" s="17" t="n"/>
      <c r="J76" s="17" t="n"/>
      <c r="K76" s="17" t="n"/>
      <c r="L76" s="17" t="n"/>
      <c r="M76" s="17" t="n"/>
    </row>
    <row r="77">
      <c r="A77" s="16" t="inlineStr">
        <is>
          <t>SW-0072</t>
        </is>
      </c>
      <c r="B77" s="17" t="n"/>
      <c r="C77" s="17" t="n"/>
      <c r="D77" s="17" t="n"/>
      <c r="E77" s="17" t="n"/>
      <c r="F77" s="17" t="n"/>
      <c r="G77" s="17" t="n"/>
      <c r="H77" s="17" t="n"/>
      <c r="I77" s="17" t="n"/>
      <c r="J77" s="17" t="n"/>
      <c r="K77" s="17" t="n"/>
      <c r="L77" s="17" t="n"/>
      <c r="M77" s="17" t="n"/>
    </row>
    <row r="78">
      <c r="A78" s="16" t="inlineStr">
        <is>
          <t>SW-0073</t>
        </is>
      </c>
      <c r="B78" s="17" t="n"/>
      <c r="C78" s="17" t="n"/>
      <c r="D78" s="17" t="n"/>
      <c r="E78" s="17" t="n"/>
      <c r="F78" s="17" t="n"/>
      <c r="G78" s="17" t="n"/>
      <c r="H78" s="17" t="n"/>
      <c r="I78" s="17" t="n"/>
      <c r="J78" s="17" t="n"/>
      <c r="K78" s="17" t="n"/>
      <c r="L78" s="17" t="n"/>
      <c r="M78" s="17" t="n"/>
    </row>
    <row r="79">
      <c r="A79" s="16" t="inlineStr">
        <is>
          <t>SW-0074</t>
        </is>
      </c>
      <c r="B79" s="17" t="n"/>
      <c r="C79" s="17" t="n"/>
      <c r="D79" s="17" t="n"/>
      <c r="E79" s="17" t="n"/>
      <c r="F79" s="17" t="n"/>
      <c r="G79" s="17" t="n"/>
      <c r="H79" s="17" t="n"/>
      <c r="I79" s="17" t="n"/>
      <c r="J79" s="17" t="n"/>
      <c r="K79" s="17" t="n"/>
      <c r="L79" s="17" t="n"/>
      <c r="M79" s="17" t="n"/>
    </row>
    <row r="80">
      <c r="A80" s="16" t="inlineStr">
        <is>
          <t>SW-0075</t>
        </is>
      </c>
      <c r="B80" s="17" t="n"/>
      <c r="C80" s="17" t="n"/>
      <c r="D80" s="17" t="n"/>
      <c r="E80" s="17" t="n"/>
      <c r="F80" s="17" t="n"/>
      <c r="G80" s="17" t="n"/>
      <c r="H80" s="17" t="n"/>
      <c r="I80" s="17" t="n"/>
      <c r="J80" s="17" t="n"/>
      <c r="K80" s="17" t="n"/>
      <c r="L80" s="17" t="n"/>
      <c r="M80" s="17" t="n"/>
    </row>
    <row r="81">
      <c r="A81" s="16" t="inlineStr">
        <is>
          <t>SW-0076</t>
        </is>
      </c>
      <c r="B81" s="17" t="n"/>
      <c r="C81" s="17" t="n"/>
      <c r="D81" s="17" t="n"/>
      <c r="E81" s="17" t="n"/>
      <c r="F81" s="17" t="n"/>
      <c r="G81" s="17" t="n"/>
      <c r="H81" s="17" t="n"/>
      <c r="I81" s="17" t="n"/>
      <c r="J81" s="17" t="n"/>
      <c r="K81" s="17" t="n"/>
      <c r="L81" s="17" t="n"/>
      <c r="M81" s="17" t="n"/>
    </row>
    <row r="82">
      <c r="A82" s="16" t="inlineStr">
        <is>
          <t>SW-0077</t>
        </is>
      </c>
      <c r="B82" s="17" t="n"/>
      <c r="C82" s="17" t="n"/>
      <c r="D82" s="17" t="n"/>
      <c r="E82" s="17" t="n"/>
      <c r="F82" s="17" t="n"/>
      <c r="G82" s="17" t="n"/>
      <c r="H82" s="17" t="n"/>
      <c r="I82" s="17" t="n"/>
      <c r="J82" s="17" t="n"/>
      <c r="K82" s="17" t="n"/>
      <c r="L82" s="17" t="n"/>
      <c r="M82" s="17" t="n"/>
    </row>
    <row r="83">
      <c r="A83" s="16" t="inlineStr">
        <is>
          <t>SW-0078</t>
        </is>
      </c>
      <c r="B83" s="17" t="n"/>
      <c r="C83" s="17" t="n"/>
      <c r="D83" s="17" t="n"/>
      <c r="E83" s="17" t="n"/>
      <c r="F83" s="17" t="n"/>
      <c r="G83" s="17" t="n"/>
      <c r="H83" s="17" t="n"/>
      <c r="I83" s="17" t="n"/>
      <c r="J83" s="17" t="n"/>
      <c r="K83" s="17" t="n"/>
      <c r="L83" s="17" t="n"/>
      <c r="M83" s="17" t="n"/>
    </row>
    <row r="84">
      <c r="A84" s="16" t="inlineStr">
        <is>
          <t>SW-0079</t>
        </is>
      </c>
      <c r="B84" s="17" t="n"/>
      <c r="C84" s="17" t="n"/>
      <c r="D84" s="17" t="n"/>
      <c r="E84" s="17" t="n"/>
      <c r="F84" s="17" t="n"/>
      <c r="G84" s="17" t="n"/>
      <c r="H84" s="17" t="n"/>
      <c r="I84" s="17" t="n"/>
      <c r="J84" s="17" t="n"/>
      <c r="K84" s="17" t="n"/>
      <c r="L84" s="17" t="n"/>
      <c r="M84" s="17" t="n"/>
    </row>
    <row r="85">
      <c r="A85" s="16" t="inlineStr">
        <is>
          <t>SW-0080</t>
        </is>
      </c>
      <c r="B85" s="17" t="n"/>
      <c r="C85" s="17" t="n"/>
      <c r="D85" s="17" t="n"/>
      <c r="E85" s="17" t="n"/>
      <c r="F85" s="17" t="n"/>
      <c r="G85" s="17" t="n"/>
      <c r="H85" s="17" t="n"/>
      <c r="I85" s="17" t="n"/>
      <c r="J85" s="17" t="n"/>
      <c r="K85" s="17" t="n"/>
      <c r="L85" s="17" t="n"/>
      <c r="M85" s="17" t="n"/>
    </row>
    <row r="86">
      <c r="A86" s="16" t="inlineStr">
        <is>
          <t>SW-0081</t>
        </is>
      </c>
      <c r="B86" s="17" t="n"/>
      <c r="C86" s="17" t="n"/>
      <c r="D86" s="17" t="n"/>
      <c r="E86" s="17" t="n"/>
      <c r="F86" s="17" t="n"/>
      <c r="G86" s="17" t="n"/>
      <c r="H86" s="17" t="n"/>
      <c r="I86" s="17" t="n"/>
      <c r="J86" s="17" t="n"/>
      <c r="K86" s="17" t="n"/>
      <c r="L86" s="17" t="n"/>
      <c r="M86" s="17" t="n"/>
    </row>
    <row r="87">
      <c r="A87" s="16" t="inlineStr">
        <is>
          <t>SW-0082</t>
        </is>
      </c>
      <c r="B87" s="17" t="n"/>
      <c r="C87" s="17" t="n"/>
      <c r="D87" s="17" t="n"/>
      <c r="E87" s="17" t="n"/>
      <c r="F87" s="17" t="n"/>
      <c r="G87" s="17" t="n"/>
      <c r="H87" s="17" t="n"/>
      <c r="I87" s="17" t="n"/>
      <c r="J87" s="17" t="n"/>
      <c r="K87" s="17" t="n"/>
      <c r="L87" s="17" t="n"/>
      <c r="M87" s="17" t="n"/>
    </row>
    <row r="88">
      <c r="A88" s="16" t="inlineStr">
        <is>
          <t>SW-0083</t>
        </is>
      </c>
      <c r="B88" s="17" t="n"/>
      <c r="C88" s="17" t="n"/>
      <c r="D88" s="17" t="n"/>
      <c r="E88" s="17" t="n"/>
      <c r="F88" s="17" t="n"/>
      <c r="G88" s="17" t="n"/>
      <c r="H88" s="17" t="n"/>
      <c r="I88" s="17" t="n"/>
      <c r="J88" s="17" t="n"/>
      <c r="K88" s="17" t="n"/>
      <c r="L88" s="17" t="n"/>
      <c r="M88" s="17" t="n"/>
    </row>
    <row r="89">
      <c r="A89" s="16" t="inlineStr">
        <is>
          <t>SW-0084</t>
        </is>
      </c>
      <c r="B89" s="17" t="n"/>
      <c r="C89" s="17" t="n"/>
      <c r="D89" s="17" t="n"/>
      <c r="E89" s="17" t="n"/>
      <c r="F89" s="17" t="n"/>
      <c r="G89" s="17" t="n"/>
      <c r="H89" s="17" t="n"/>
      <c r="I89" s="17" t="n"/>
      <c r="J89" s="17" t="n"/>
      <c r="K89" s="17" t="n"/>
      <c r="L89" s="17" t="n"/>
      <c r="M89" s="17" t="n"/>
    </row>
    <row r="90">
      <c r="A90" s="16" t="inlineStr">
        <is>
          <t>SW-0085</t>
        </is>
      </c>
      <c r="B90" s="17" t="n"/>
      <c r="C90" s="17" t="n"/>
      <c r="D90" s="17" t="n"/>
      <c r="E90" s="17" t="n"/>
      <c r="F90" s="17" t="n"/>
      <c r="G90" s="17" t="n"/>
      <c r="H90" s="17" t="n"/>
      <c r="I90" s="17" t="n"/>
      <c r="J90" s="17" t="n"/>
      <c r="K90" s="17" t="n"/>
      <c r="L90" s="17" t="n"/>
      <c r="M90" s="17" t="n"/>
    </row>
    <row r="91">
      <c r="A91" s="16" t="inlineStr">
        <is>
          <t>SW-0086</t>
        </is>
      </c>
      <c r="B91" s="17" t="n"/>
      <c r="C91" s="17" t="n"/>
      <c r="D91" s="17" t="n"/>
      <c r="E91" s="17" t="n"/>
      <c r="F91" s="17" t="n"/>
      <c r="G91" s="17" t="n"/>
      <c r="H91" s="17" t="n"/>
      <c r="I91" s="17" t="n"/>
      <c r="J91" s="17" t="n"/>
      <c r="K91" s="17" t="n"/>
      <c r="L91" s="17" t="n"/>
      <c r="M91" s="17" t="n"/>
    </row>
    <row r="92">
      <c r="A92" s="16" t="inlineStr">
        <is>
          <t>SW-0087</t>
        </is>
      </c>
      <c r="B92" s="17" t="n"/>
      <c r="C92" s="17" t="n"/>
      <c r="D92" s="17" t="n"/>
      <c r="E92" s="17" t="n"/>
      <c r="F92" s="17" t="n"/>
      <c r="G92" s="17" t="n"/>
      <c r="H92" s="17" t="n"/>
      <c r="I92" s="17" t="n"/>
      <c r="J92" s="17" t="n"/>
      <c r="K92" s="17" t="n"/>
      <c r="L92" s="17" t="n"/>
      <c r="M92" s="17" t="n"/>
    </row>
    <row r="93">
      <c r="A93" s="16" t="inlineStr">
        <is>
          <t>SW-0088</t>
        </is>
      </c>
      <c r="B93" s="17" t="n"/>
      <c r="C93" s="17" t="n"/>
      <c r="D93" s="17" t="n"/>
      <c r="E93" s="17" t="n"/>
      <c r="F93" s="17" t="n"/>
      <c r="G93" s="17" t="n"/>
      <c r="H93" s="17" t="n"/>
      <c r="I93" s="17" t="n"/>
      <c r="J93" s="17" t="n"/>
      <c r="K93" s="17" t="n"/>
      <c r="L93" s="17" t="n"/>
      <c r="M93" s="17" t="n"/>
    </row>
    <row r="94">
      <c r="A94" s="16" t="inlineStr">
        <is>
          <t>SW-0089</t>
        </is>
      </c>
      <c r="B94" s="17" t="n"/>
      <c r="C94" s="17" t="n"/>
      <c r="D94" s="17" t="n"/>
      <c r="E94" s="17" t="n"/>
      <c r="F94" s="17" t="n"/>
      <c r="G94" s="17" t="n"/>
      <c r="H94" s="17" t="n"/>
      <c r="I94" s="17" t="n"/>
      <c r="J94" s="17" t="n"/>
      <c r="K94" s="17" t="n"/>
      <c r="L94" s="17" t="n"/>
      <c r="M94" s="17" t="n"/>
    </row>
    <row r="95">
      <c r="A95" s="16" t="inlineStr">
        <is>
          <t>SW-0090</t>
        </is>
      </c>
      <c r="B95" s="17" t="n"/>
      <c r="C95" s="17" t="n"/>
      <c r="D95" s="17" t="n"/>
      <c r="E95" s="17" t="n"/>
      <c r="F95" s="17" t="n"/>
      <c r="G95" s="17" t="n"/>
      <c r="H95" s="17" t="n"/>
      <c r="I95" s="17" t="n"/>
      <c r="J95" s="17" t="n"/>
      <c r="K95" s="17" t="n"/>
      <c r="L95" s="17" t="n"/>
      <c r="M95" s="17" t="n"/>
    </row>
    <row r="96">
      <c r="A96" s="16" t="inlineStr">
        <is>
          <t>SW-0091</t>
        </is>
      </c>
      <c r="B96" s="17" t="n"/>
      <c r="C96" s="17" t="n"/>
      <c r="D96" s="17" t="n"/>
      <c r="E96" s="17" t="n"/>
      <c r="F96" s="17" t="n"/>
      <c r="G96" s="17" t="n"/>
      <c r="H96" s="17" t="n"/>
      <c r="I96" s="17" t="n"/>
      <c r="J96" s="17" t="n"/>
      <c r="K96" s="17" t="n"/>
      <c r="L96" s="17" t="n"/>
      <c r="M96" s="17" t="n"/>
    </row>
    <row r="97">
      <c r="A97" s="16" t="inlineStr">
        <is>
          <t>SW-0092</t>
        </is>
      </c>
      <c r="B97" s="17" t="n"/>
      <c r="C97" s="17" t="n"/>
      <c r="D97" s="17" t="n"/>
      <c r="E97" s="17" t="n"/>
      <c r="F97" s="17" t="n"/>
      <c r="G97" s="17" t="n"/>
      <c r="H97" s="17" t="n"/>
      <c r="I97" s="17" t="n"/>
      <c r="J97" s="17" t="n"/>
      <c r="K97" s="17" t="n"/>
      <c r="L97" s="17" t="n"/>
      <c r="M97" s="17" t="n"/>
    </row>
    <row r="98">
      <c r="A98" s="16" t="inlineStr">
        <is>
          <t>SW-0093</t>
        </is>
      </c>
      <c r="B98" s="17" t="n"/>
      <c r="C98" s="17" t="n"/>
      <c r="D98" s="17" t="n"/>
      <c r="E98" s="17" t="n"/>
      <c r="F98" s="17" t="n"/>
      <c r="G98" s="17" t="n"/>
      <c r="H98" s="17" t="n"/>
      <c r="I98" s="17" t="n"/>
      <c r="J98" s="17" t="n"/>
      <c r="K98" s="17" t="n"/>
      <c r="L98" s="17" t="n"/>
      <c r="M98" s="17" t="n"/>
    </row>
    <row r="99">
      <c r="A99" s="16" t="inlineStr">
        <is>
          <t>SW-0094</t>
        </is>
      </c>
      <c r="B99" s="17" t="n"/>
      <c r="C99" s="17" t="n"/>
      <c r="D99" s="17" t="n"/>
      <c r="E99" s="17" t="n"/>
      <c r="F99" s="17" t="n"/>
      <c r="G99" s="17" t="n"/>
      <c r="H99" s="17" t="n"/>
      <c r="I99" s="17" t="n"/>
      <c r="J99" s="17" t="n"/>
      <c r="K99" s="17" t="n"/>
      <c r="L99" s="17" t="n"/>
      <c r="M99" s="17" t="n"/>
    </row>
    <row r="100">
      <c r="A100" s="16" t="inlineStr">
        <is>
          <t>SW-0095</t>
        </is>
      </c>
      <c r="B100" s="17" t="n"/>
      <c r="C100" s="17" t="n"/>
      <c r="D100" s="17" t="n"/>
      <c r="E100" s="17" t="n"/>
      <c r="F100" s="17" t="n"/>
      <c r="G100" s="17" t="n"/>
      <c r="H100" s="17" t="n"/>
      <c r="I100" s="17" t="n"/>
      <c r="J100" s="17" t="n"/>
      <c r="K100" s="17" t="n"/>
      <c r="L100" s="17" t="n"/>
      <c r="M100" s="17" t="n"/>
    </row>
    <row r="101">
      <c r="A101" s="16" t="inlineStr">
        <is>
          <t>SW-0096</t>
        </is>
      </c>
      <c r="B101" s="17" t="n"/>
      <c r="C101" s="17" t="n"/>
      <c r="D101" s="17" t="n"/>
      <c r="E101" s="17" t="n"/>
      <c r="F101" s="17" t="n"/>
      <c r="G101" s="17" t="n"/>
      <c r="H101" s="17" t="n"/>
      <c r="I101" s="17" t="n"/>
      <c r="J101" s="17" t="n"/>
      <c r="K101" s="17" t="n"/>
      <c r="L101" s="17" t="n"/>
      <c r="M101" s="17" t="n"/>
    </row>
    <row r="102">
      <c r="A102" s="16" t="inlineStr">
        <is>
          <t>SW-0097</t>
        </is>
      </c>
      <c r="B102" s="17" t="n"/>
      <c r="C102" s="17" t="n"/>
      <c r="D102" s="17" t="n"/>
      <c r="E102" s="17" t="n"/>
      <c r="F102" s="17" t="n"/>
      <c r="G102" s="17" t="n"/>
      <c r="H102" s="17" t="n"/>
      <c r="I102" s="17" t="n"/>
      <c r="J102" s="17" t="n"/>
      <c r="K102" s="17" t="n"/>
      <c r="L102" s="17" t="n"/>
      <c r="M102" s="17" t="n"/>
    </row>
    <row r="103">
      <c r="A103" s="16" t="inlineStr">
        <is>
          <t>SW-0098</t>
        </is>
      </c>
      <c r="B103" s="17" t="n"/>
      <c r="C103" s="17" t="n"/>
      <c r="D103" s="17" t="n"/>
      <c r="E103" s="17" t="n"/>
      <c r="F103" s="17" t="n"/>
      <c r="G103" s="17" t="n"/>
      <c r="H103" s="17" t="n"/>
      <c r="I103" s="17" t="n"/>
      <c r="J103" s="17" t="n"/>
      <c r="K103" s="17" t="n"/>
      <c r="L103" s="17" t="n"/>
      <c r="M103" s="17" t="n"/>
    </row>
    <row r="104">
      <c r="A104" s="16" t="inlineStr">
        <is>
          <t>SW-0099</t>
        </is>
      </c>
      <c r="B104" s="17" t="n"/>
      <c r="C104" s="17" t="n"/>
      <c r="D104" s="17" t="n"/>
      <c r="E104" s="17" t="n"/>
      <c r="F104" s="17" t="n"/>
      <c r="G104" s="17" t="n"/>
      <c r="H104" s="17" t="n"/>
      <c r="I104" s="17" t="n"/>
      <c r="J104" s="17" t="n"/>
      <c r="K104" s="17" t="n"/>
      <c r="L104" s="17" t="n"/>
      <c r="M104" s="17" t="n"/>
    </row>
    <row r="105">
      <c r="A105" s="16" t="inlineStr">
        <is>
          <t>SW-0100</t>
        </is>
      </c>
      <c r="B105" s="17" t="n"/>
      <c r="C105" s="17" t="n"/>
      <c r="D105" s="17" t="n"/>
      <c r="E105" s="17" t="n"/>
      <c r="F105" s="17" t="n"/>
      <c r="G105" s="17" t="n"/>
      <c r="H105" s="17" t="n"/>
      <c r="I105" s="17" t="n"/>
      <c r="J105" s="17" t="n"/>
      <c r="K105" s="17" t="n"/>
      <c r="L105" s="17" t="n"/>
      <c r="M105" s="17" t="n"/>
    </row>
    <row r="106">
      <c r="A106" s="16" t="inlineStr">
        <is>
          <t>SW-0101</t>
        </is>
      </c>
      <c r="B106" s="17" t="n"/>
      <c r="C106" s="17" t="n"/>
      <c r="D106" s="17" t="n"/>
      <c r="E106" s="17" t="n"/>
      <c r="F106" s="17" t="n"/>
      <c r="G106" s="17" t="n"/>
      <c r="H106" s="17" t="n"/>
      <c r="I106" s="17" t="n"/>
      <c r="J106" s="17" t="n"/>
      <c r="K106" s="17" t="n"/>
      <c r="L106" s="17" t="n"/>
      <c r="M106" s="17" t="n"/>
    </row>
    <row r="107">
      <c r="A107" s="16" t="inlineStr">
        <is>
          <t>SW-0102</t>
        </is>
      </c>
      <c r="B107" s="17" t="n"/>
      <c r="C107" s="17" t="n"/>
      <c r="D107" s="17" t="n"/>
      <c r="E107" s="17" t="n"/>
      <c r="F107" s="17" t="n"/>
      <c r="G107" s="17" t="n"/>
      <c r="H107" s="17" t="n"/>
      <c r="I107" s="17" t="n"/>
      <c r="J107" s="17" t="n"/>
      <c r="K107" s="17" t="n"/>
      <c r="L107" s="17" t="n"/>
      <c r="M107" s="17" t="n"/>
    </row>
    <row r="108">
      <c r="A108" s="16" t="inlineStr">
        <is>
          <t>SW-0103</t>
        </is>
      </c>
      <c r="B108" s="17" t="n"/>
      <c r="C108" s="17" t="n"/>
      <c r="D108" s="17" t="n"/>
      <c r="E108" s="17" t="n"/>
      <c r="F108" s="17" t="n"/>
      <c r="G108" s="17" t="n"/>
      <c r="H108" s="17" t="n"/>
      <c r="I108" s="17" t="n"/>
      <c r="J108" s="17" t="n"/>
      <c r="K108" s="17" t="n"/>
      <c r="L108" s="17" t="n"/>
      <c r="M108" s="17" t="n"/>
    </row>
    <row r="109">
      <c r="A109" s="16" t="inlineStr">
        <is>
          <t>SW-0104</t>
        </is>
      </c>
      <c r="B109" s="17" t="n"/>
      <c r="C109" s="17" t="n"/>
      <c r="D109" s="17" t="n"/>
      <c r="E109" s="17" t="n"/>
      <c r="F109" s="17" t="n"/>
      <c r="G109" s="17" t="n"/>
      <c r="H109" s="17" t="n"/>
      <c r="I109" s="17" t="n"/>
      <c r="J109" s="17" t="n"/>
      <c r="K109" s="17" t="n"/>
      <c r="L109" s="17" t="n"/>
      <c r="M109" s="17" t="n"/>
    </row>
    <row r="110">
      <c r="A110" s="16" t="inlineStr">
        <is>
          <t>SW-0105</t>
        </is>
      </c>
      <c r="B110" s="17" t="n"/>
      <c r="C110" s="17" t="n"/>
      <c r="D110" s="17" t="n"/>
      <c r="E110" s="17" t="n"/>
      <c r="F110" s="17" t="n"/>
      <c r="G110" s="17" t="n"/>
      <c r="H110" s="17" t="n"/>
      <c r="I110" s="17" t="n"/>
      <c r="J110" s="17" t="n"/>
      <c r="K110" s="17" t="n"/>
      <c r="L110" s="17" t="n"/>
      <c r="M110" s="17" t="n"/>
    </row>
    <row r="111">
      <c r="A111" s="16" t="inlineStr">
        <is>
          <t>SW-0106</t>
        </is>
      </c>
      <c r="B111" s="17" t="n"/>
      <c r="C111" s="17" t="n"/>
      <c r="D111" s="17" t="n"/>
      <c r="E111" s="17" t="n"/>
      <c r="F111" s="17" t="n"/>
      <c r="G111" s="17" t="n"/>
      <c r="H111" s="17" t="n"/>
      <c r="I111" s="17" t="n"/>
      <c r="J111" s="17" t="n"/>
      <c r="K111" s="17" t="n"/>
      <c r="L111" s="17" t="n"/>
      <c r="M111" s="17" t="n"/>
    </row>
    <row r="112">
      <c r="A112" s="16" t="inlineStr">
        <is>
          <t>SW-0107</t>
        </is>
      </c>
      <c r="B112" s="17" t="n"/>
      <c r="C112" s="17" t="n"/>
      <c r="D112" s="17" t="n"/>
      <c r="E112" s="17" t="n"/>
      <c r="F112" s="17" t="n"/>
      <c r="G112" s="17" t="n"/>
      <c r="H112" s="17" t="n"/>
      <c r="I112" s="17" t="n"/>
      <c r="J112" s="17" t="n"/>
      <c r="K112" s="17" t="n"/>
      <c r="L112" s="17" t="n"/>
      <c r="M112" s="17" t="n"/>
    </row>
    <row r="113">
      <c r="A113" s="16" t="inlineStr">
        <is>
          <t>SW-0108</t>
        </is>
      </c>
      <c r="B113" s="17" t="n"/>
      <c r="C113" s="17" t="n"/>
      <c r="D113" s="17" t="n"/>
      <c r="E113" s="17" t="n"/>
      <c r="F113" s="17" t="n"/>
      <c r="G113" s="17" t="n"/>
      <c r="H113" s="17" t="n"/>
      <c r="I113" s="17" t="n"/>
      <c r="J113" s="17" t="n"/>
      <c r="K113" s="17" t="n"/>
      <c r="L113" s="17" t="n"/>
      <c r="M113" s="17" t="n"/>
    </row>
    <row r="114">
      <c r="A114" s="16" t="inlineStr">
        <is>
          <t>SW-0109</t>
        </is>
      </c>
      <c r="B114" s="17" t="n"/>
      <c r="C114" s="17" t="n"/>
      <c r="D114" s="17" t="n"/>
      <c r="E114" s="17" t="n"/>
      <c r="F114" s="17" t="n"/>
      <c r="G114" s="17" t="n"/>
      <c r="H114" s="17" t="n"/>
      <c r="I114" s="17" t="n"/>
      <c r="J114" s="17" t="n"/>
      <c r="K114" s="17" t="n"/>
      <c r="L114" s="17" t="n"/>
      <c r="M114" s="17" t="n"/>
    </row>
    <row r="115">
      <c r="A115" s="16" t="inlineStr">
        <is>
          <t>SW-0110</t>
        </is>
      </c>
      <c r="B115" s="17" t="n"/>
      <c r="C115" s="17" t="n"/>
      <c r="D115" s="17" t="n"/>
      <c r="E115" s="17" t="n"/>
      <c r="F115" s="17" t="n"/>
      <c r="G115" s="17" t="n"/>
      <c r="H115" s="17" t="n"/>
      <c r="I115" s="17" t="n"/>
      <c r="J115" s="17" t="n"/>
      <c r="K115" s="17" t="n"/>
      <c r="L115" s="17" t="n"/>
      <c r="M115" s="17" t="n"/>
    </row>
    <row r="116">
      <c r="A116" s="16" t="inlineStr">
        <is>
          <t>SW-0111</t>
        </is>
      </c>
      <c r="B116" s="17" t="n"/>
      <c r="C116" s="17" t="n"/>
      <c r="D116" s="17" t="n"/>
      <c r="E116" s="17" t="n"/>
      <c r="F116" s="17" t="n"/>
      <c r="G116" s="17" t="n"/>
      <c r="H116" s="17" t="n"/>
      <c r="I116" s="17" t="n"/>
      <c r="J116" s="17" t="n"/>
      <c r="K116" s="17" t="n"/>
      <c r="L116" s="17" t="n"/>
      <c r="M116" s="17" t="n"/>
    </row>
    <row r="117">
      <c r="A117" s="16" t="inlineStr">
        <is>
          <t>SW-0112</t>
        </is>
      </c>
      <c r="B117" s="17" t="n"/>
      <c r="C117" s="17" t="n"/>
      <c r="D117" s="17" t="n"/>
      <c r="E117" s="17" t="n"/>
      <c r="F117" s="17" t="n"/>
      <c r="G117" s="17" t="n"/>
      <c r="H117" s="17" t="n"/>
      <c r="I117" s="17" t="n"/>
      <c r="J117" s="17" t="n"/>
      <c r="K117" s="17" t="n"/>
      <c r="L117" s="17" t="n"/>
      <c r="M117" s="17" t="n"/>
    </row>
    <row r="118">
      <c r="A118" s="16" t="inlineStr">
        <is>
          <t>SW-0113</t>
        </is>
      </c>
      <c r="B118" s="17" t="n"/>
      <c r="C118" s="17" t="n"/>
      <c r="D118" s="17" t="n"/>
      <c r="E118" s="17" t="n"/>
      <c r="F118" s="17" t="n"/>
      <c r="G118" s="17" t="n"/>
      <c r="H118" s="17" t="n"/>
      <c r="I118" s="17" t="n"/>
      <c r="J118" s="17" t="n"/>
      <c r="K118" s="17" t="n"/>
      <c r="L118" s="17" t="n"/>
      <c r="M118" s="17" t="n"/>
    </row>
    <row r="119">
      <c r="A119" s="16" t="inlineStr">
        <is>
          <t>SW-0114</t>
        </is>
      </c>
      <c r="B119" s="17" t="n"/>
      <c r="C119" s="17" t="n"/>
      <c r="D119" s="17" t="n"/>
      <c r="E119" s="17" t="n"/>
      <c r="F119" s="17" t="n"/>
      <c r="G119" s="17" t="n"/>
      <c r="H119" s="17" t="n"/>
      <c r="I119" s="17" t="n"/>
      <c r="J119" s="17" t="n"/>
      <c r="K119" s="17" t="n"/>
      <c r="L119" s="17" t="n"/>
      <c r="M119" s="17" t="n"/>
    </row>
    <row r="120">
      <c r="A120" s="16" t="inlineStr">
        <is>
          <t>SW-0115</t>
        </is>
      </c>
      <c r="B120" s="17" t="n"/>
      <c r="C120" s="17" t="n"/>
      <c r="D120" s="17" t="n"/>
      <c r="E120" s="17" t="n"/>
      <c r="F120" s="17" t="n"/>
      <c r="G120" s="17" t="n"/>
      <c r="H120" s="17" t="n"/>
      <c r="I120" s="17" t="n"/>
      <c r="J120" s="17" t="n"/>
      <c r="K120" s="17" t="n"/>
      <c r="L120" s="17" t="n"/>
      <c r="M120" s="17" t="n"/>
    </row>
    <row r="121">
      <c r="A121" s="16" t="inlineStr">
        <is>
          <t>SW-0116</t>
        </is>
      </c>
      <c r="B121" s="17" t="n"/>
      <c r="C121" s="17" t="n"/>
      <c r="D121" s="17" t="n"/>
      <c r="E121" s="17" t="n"/>
      <c r="F121" s="17" t="n"/>
      <c r="G121" s="17" t="n"/>
      <c r="H121" s="17" t="n"/>
      <c r="I121" s="17" t="n"/>
      <c r="J121" s="17" t="n"/>
      <c r="K121" s="17" t="n"/>
      <c r="L121" s="17" t="n"/>
      <c r="M121" s="17" t="n"/>
    </row>
    <row r="122">
      <c r="A122" s="16" t="inlineStr">
        <is>
          <t>SW-0117</t>
        </is>
      </c>
      <c r="B122" s="17" t="n"/>
      <c r="C122" s="17" t="n"/>
      <c r="D122" s="17" t="n"/>
      <c r="E122" s="17" t="n"/>
      <c r="F122" s="17" t="n"/>
      <c r="G122" s="17" t="n"/>
      <c r="H122" s="17" t="n"/>
      <c r="I122" s="17" t="n"/>
      <c r="J122" s="17" t="n"/>
      <c r="K122" s="17" t="n"/>
      <c r="L122" s="17" t="n"/>
      <c r="M122" s="17" t="n"/>
    </row>
    <row r="123">
      <c r="A123" s="16" t="inlineStr">
        <is>
          <t>SW-0118</t>
        </is>
      </c>
      <c r="B123" s="17" t="n"/>
      <c r="C123" s="17" t="n"/>
      <c r="D123" s="17" t="n"/>
      <c r="E123" s="17" t="n"/>
      <c r="F123" s="17" t="n"/>
      <c r="G123" s="17" t="n"/>
      <c r="H123" s="17" t="n"/>
      <c r="I123" s="17" t="n"/>
      <c r="J123" s="17" t="n"/>
      <c r="K123" s="17" t="n"/>
      <c r="L123" s="17" t="n"/>
      <c r="M123" s="17" t="n"/>
    </row>
    <row r="124">
      <c r="A124" s="16" t="inlineStr">
        <is>
          <t>SW-0119</t>
        </is>
      </c>
      <c r="B124" s="17" t="n"/>
      <c r="C124" s="17" t="n"/>
      <c r="D124" s="17" t="n"/>
      <c r="E124" s="17" t="n"/>
      <c r="F124" s="17" t="n"/>
      <c r="G124" s="17" t="n"/>
      <c r="H124" s="17" t="n"/>
      <c r="I124" s="17" t="n"/>
      <c r="J124" s="17" t="n"/>
      <c r="K124" s="17" t="n"/>
      <c r="L124" s="17" t="n"/>
      <c r="M124" s="17" t="n"/>
    </row>
    <row r="125">
      <c r="A125" s="16" t="inlineStr">
        <is>
          <t>SW-0120</t>
        </is>
      </c>
      <c r="B125" s="17" t="n"/>
      <c r="C125" s="17" t="n"/>
      <c r="D125" s="17" t="n"/>
      <c r="E125" s="17" t="n"/>
      <c r="F125" s="17" t="n"/>
      <c r="G125" s="17" t="n"/>
      <c r="H125" s="17" t="n"/>
      <c r="I125" s="17" t="n"/>
      <c r="J125" s="17" t="n"/>
      <c r="K125" s="17" t="n"/>
      <c r="L125" s="17" t="n"/>
      <c r="M125" s="17" t="n"/>
    </row>
    <row r="126">
      <c r="A126" s="16" t="inlineStr">
        <is>
          <t>SW-0121</t>
        </is>
      </c>
      <c r="B126" s="17" t="n"/>
      <c r="C126" s="17" t="n"/>
      <c r="D126" s="17" t="n"/>
      <c r="E126" s="17" t="n"/>
      <c r="F126" s="17" t="n"/>
      <c r="G126" s="17" t="n"/>
      <c r="H126" s="17" t="n"/>
      <c r="I126" s="17" t="n"/>
      <c r="J126" s="17" t="n"/>
      <c r="K126" s="17" t="n"/>
      <c r="L126" s="17" t="n"/>
      <c r="M126" s="17" t="n"/>
    </row>
    <row r="127">
      <c r="A127" s="16" t="inlineStr">
        <is>
          <t>SW-0122</t>
        </is>
      </c>
      <c r="B127" s="17" t="n"/>
      <c r="C127" s="17" t="n"/>
      <c r="D127" s="17" t="n"/>
      <c r="E127" s="17" t="n"/>
      <c r="F127" s="17" t="n"/>
      <c r="G127" s="17" t="n"/>
      <c r="H127" s="17" t="n"/>
      <c r="I127" s="17" t="n"/>
      <c r="J127" s="17" t="n"/>
      <c r="K127" s="17" t="n"/>
      <c r="L127" s="17" t="n"/>
      <c r="M127" s="17" t="n"/>
    </row>
    <row r="128">
      <c r="A128" s="16" t="inlineStr">
        <is>
          <t>SW-0123</t>
        </is>
      </c>
      <c r="B128" s="17" t="n"/>
      <c r="C128" s="17" t="n"/>
      <c r="D128" s="17" t="n"/>
      <c r="E128" s="17" t="n"/>
      <c r="F128" s="17" t="n"/>
      <c r="G128" s="17" t="n"/>
      <c r="H128" s="17" t="n"/>
      <c r="I128" s="17" t="n"/>
      <c r="J128" s="17" t="n"/>
      <c r="K128" s="17" t="n"/>
      <c r="L128" s="17" t="n"/>
      <c r="M128" s="17" t="n"/>
    </row>
    <row r="129">
      <c r="A129" s="16" t="inlineStr">
        <is>
          <t>SW-0124</t>
        </is>
      </c>
      <c r="B129" s="17" t="n"/>
      <c r="C129" s="17" t="n"/>
      <c r="D129" s="17" t="n"/>
      <c r="E129" s="17" t="n"/>
      <c r="F129" s="17" t="n"/>
      <c r="G129" s="17" t="n"/>
      <c r="H129" s="17" t="n"/>
      <c r="I129" s="17" t="n"/>
      <c r="J129" s="17" t="n"/>
      <c r="K129" s="17" t="n"/>
      <c r="L129" s="17" t="n"/>
      <c r="M129" s="17" t="n"/>
    </row>
    <row r="130">
      <c r="A130" s="16" t="inlineStr">
        <is>
          <t>SW-0125</t>
        </is>
      </c>
      <c r="B130" s="17" t="n"/>
      <c r="C130" s="17" t="n"/>
      <c r="D130" s="17" t="n"/>
      <c r="E130" s="17" t="n"/>
      <c r="F130" s="17" t="n"/>
      <c r="G130" s="17" t="n"/>
      <c r="H130" s="17" t="n"/>
      <c r="I130" s="17" t="n"/>
      <c r="J130" s="17" t="n"/>
      <c r="K130" s="17" t="n"/>
      <c r="L130" s="17" t="n"/>
      <c r="M130" s="17" t="n"/>
    </row>
    <row r="131">
      <c r="A131" s="16" t="inlineStr">
        <is>
          <t>SW-0126</t>
        </is>
      </c>
      <c r="B131" s="17" t="n"/>
      <c r="C131" s="17" t="n"/>
      <c r="D131" s="17" t="n"/>
      <c r="E131" s="17" t="n"/>
      <c r="F131" s="17" t="n"/>
      <c r="G131" s="17" t="n"/>
      <c r="H131" s="17" t="n"/>
      <c r="I131" s="17" t="n"/>
      <c r="J131" s="17" t="n"/>
      <c r="K131" s="17" t="n"/>
      <c r="L131" s="17" t="n"/>
      <c r="M131" s="17" t="n"/>
    </row>
    <row r="132">
      <c r="A132" s="16" t="inlineStr">
        <is>
          <t>SW-0127</t>
        </is>
      </c>
      <c r="B132" s="17" t="n"/>
      <c r="C132" s="17" t="n"/>
      <c r="D132" s="17" t="n"/>
      <c r="E132" s="17" t="n"/>
      <c r="F132" s="17" t="n"/>
      <c r="G132" s="17" t="n"/>
      <c r="H132" s="17" t="n"/>
      <c r="I132" s="17" t="n"/>
      <c r="J132" s="17" t="n"/>
      <c r="K132" s="17" t="n"/>
      <c r="L132" s="17" t="n"/>
      <c r="M132" s="17" t="n"/>
    </row>
    <row r="133">
      <c r="A133" s="16" t="inlineStr">
        <is>
          <t>SW-0128</t>
        </is>
      </c>
      <c r="B133" s="17" t="n"/>
      <c r="C133" s="17" t="n"/>
      <c r="D133" s="17" t="n"/>
      <c r="E133" s="17" t="n"/>
      <c r="F133" s="17" t="n"/>
      <c r="G133" s="17" t="n"/>
      <c r="H133" s="17" t="n"/>
      <c r="I133" s="17" t="n"/>
      <c r="J133" s="17" t="n"/>
      <c r="K133" s="17" t="n"/>
      <c r="L133" s="17" t="n"/>
      <c r="M133" s="17" t="n"/>
    </row>
    <row r="134">
      <c r="A134" s="16" t="inlineStr">
        <is>
          <t>SW-0129</t>
        </is>
      </c>
      <c r="B134" s="17" t="n"/>
      <c r="C134" s="17" t="n"/>
      <c r="D134" s="17" t="n"/>
      <c r="E134" s="17" t="n"/>
      <c r="F134" s="17" t="n"/>
      <c r="G134" s="17" t="n"/>
      <c r="H134" s="17" t="n"/>
      <c r="I134" s="17" t="n"/>
      <c r="J134" s="17" t="n"/>
      <c r="K134" s="17" t="n"/>
      <c r="L134" s="17" t="n"/>
      <c r="M134" s="17" t="n"/>
    </row>
    <row r="135">
      <c r="A135" s="16" t="inlineStr">
        <is>
          <t>SW-0130</t>
        </is>
      </c>
      <c r="B135" s="17" t="n"/>
      <c r="C135" s="17" t="n"/>
      <c r="D135" s="17" t="n"/>
      <c r="E135" s="17" t="n"/>
      <c r="F135" s="17" t="n"/>
      <c r="G135" s="17" t="n"/>
      <c r="H135" s="17" t="n"/>
      <c r="I135" s="17" t="n"/>
      <c r="J135" s="17" t="n"/>
      <c r="K135" s="17" t="n"/>
      <c r="L135" s="17" t="n"/>
      <c r="M135" s="17" t="n"/>
    </row>
    <row r="136">
      <c r="A136" s="16" t="inlineStr">
        <is>
          <t>SW-0131</t>
        </is>
      </c>
      <c r="B136" s="17" t="n"/>
      <c r="C136" s="17" t="n"/>
      <c r="D136" s="17" t="n"/>
      <c r="E136" s="17" t="n"/>
      <c r="F136" s="17" t="n"/>
      <c r="G136" s="17" t="n"/>
      <c r="H136" s="17" t="n"/>
      <c r="I136" s="17" t="n"/>
      <c r="J136" s="17" t="n"/>
      <c r="K136" s="17" t="n"/>
      <c r="L136" s="17" t="n"/>
      <c r="M136" s="17" t="n"/>
    </row>
    <row r="137">
      <c r="A137" s="16" t="inlineStr">
        <is>
          <t>SW-0132</t>
        </is>
      </c>
      <c r="B137" s="17" t="n"/>
      <c r="C137" s="17" t="n"/>
      <c r="D137" s="17" t="n"/>
      <c r="E137" s="17" t="n"/>
      <c r="F137" s="17" t="n"/>
      <c r="G137" s="17" t="n"/>
      <c r="H137" s="17" t="n"/>
      <c r="I137" s="17" t="n"/>
      <c r="J137" s="17" t="n"/>
      <c r="K137" s="17" t="n"/>
      <c r="L137" s="17" t="n"/>
      <c r="M137" s="17" t="n"/>
    </row>
    <row r="138">
      <c r="A138" s="16" t="inlineStr">
        <is>
          <t>SW-0133</t>
        </is>
      </c>
      <c r="B138" s="17" t="n"/>
      <c r="C138" s="17" t="n"/>
      <c r="D138" s="17" t="n"/>
      <c r="E138" s="17" t="n"/>
      <c r="F138" s="17" t="n"/>
      <c r="G138" s="17" t="n"/>
      <c r="H138" s="17" t="n"/>
      <c r="I138" s="17" t="n"/>
      <c r="J138" s="17" t="n"/>
      <c r="K138" s="17" t="n"/>
      <c r="L138" s="17" t="n"/>
      <c r="M138" s="17" t="n"/>
    </row>
    <row r="139">
      <c r="A139" s="16" t="inlineStr">
        <is>
          <t>SW-0134</t>
        </is>
      </c>
      <c r="B139" s="17" t="n"/>
      <c r="C139" s="17" t="n"/>
      <c r="D139" s="17" t="n"/>
      <c r="E139" s="17" t="n"/>
      <c r="F139" s="17" t="n"/>
      <c r="G139" s="17" t="n"/>
      <c r="H139" s="17" t="n"/>
      <c r="I139" s="17" t="n"/>
      <c r="J139" s="17" t="n"/>
      <c r="K139" s="17" t="n"/>
      <c r="L139" s="17" t="n"/>
      <c r="M139" s="17" t="n"/>
    </row>
    <row r="140">
      <c r="A140" s="16" t="inlineStr">
        <is>
          <t>SW-0135</t>
        </is>
      </c>
      <c r="B140" s="17" t="n"/>
      <c r="C140" s="17" t="n"/>
      <c r="D140" s="17" t="n"/>
      <c r="E140" s="17" t="n"/>
      <c r="F140" s="17" t="n"/>
      <c r="G140" s="17" t="n"/>
      <c r="H140" s="17" t="n"/>
      <c r="I140" s="17" t="n"/>
      <c r="J140" s="17" t="n"/>
      <c r="K140" s="17" t="n"/>
      <c r="L140" s="17" t="n"/>
      <c r="M140" s="17" t="n"/>
    </row>
    <row r="141">
      <c r="A141" s="16" t="inlineStr">
        <is>
          <t>SW-0136</t>
        </is>
      </c>
      <c r="B141" s="17" t="n"/>
      <c r="C141" s="17" t="n"/>
      <c r="D141" s="17" t="n"/>
      <c r="E141" s="17" t="n"/>
      <c r="F141" s="17" t="n"/>
      <c r="G141" s="17" t="n"/>
      <c r="H141" s="17" t="n"/>
      <c r="I141" s="17" t="n"/>
      <c r="J141" s="17" t="n"/>
      <c r="K141" s="17" t="n"/>
      <c r="L141" s="17" t="n"/>
      <c r="M141" s="17" t="n"/>
    </row>
    <row r="142">
      <c r="A142" s="16" t="inlineStr">
        <is>
          <t>SW-0137</t>
        </is>
      </c>
      <c r="B142" s="17" t="n"/>
      <c r="C142" s="17" t="n"/>
      <c r="D142" s="17" t="n"/>
      <c r="E142" s="17" t="n"/>
      <c r="F142" s="17" t="n"/>
      <c r="G142" s="17" t="n"/>
      <c r="H142" s="17" t="n"/>
      <c r="I142" s="17" t="n"/>
      <c r="J142" s="17" t="n"/>
      <c r="K142" s="17" t="n"/>
      <c r="L142" s="17" t="n"/>
      <c r="M142" s="17" t="n"/>
    </row>
    <row r="143">
      <c r="A143" s="16" t="inlineStr">
        <is>
          <t>SW-0138</t>
        </is>
      </c>
      <c r="B143" s="17" t="n"/>
      <c r="C143" s="17" t="n"/>
      <c r="D143" s="17" t="n"/>
      <c r="E143" s="17" t="n"/>
      <c r="F143" s="17" t="n"/>
      <c r="G143" s="17" t="n"/>
      <c r="H143" s="17" t="n"/>
      <c r="I143" s="17" t="n"/>
      <c r="J143" s="17" t="n"/>
      <c r="K143" s="17" t="n"/>
      <c r="L143" s="17" t="n"/>
      <c r="M143" s="17" t="n"/>
    </row>
    <row r="144">
      <c r="A144" s="16" t="inlineStr">
        <is>
          <t>SW-0139</t>
        </is>
      </c>
      <c r="B144" s="17" t="n"/>
      <c r="C144" s="17" t="n"/>
      <c r="D144" s="17" t="n"/>
      <c r="E144" s="17" t="n"/>
      <c r="F144" s="17" t="n"/>
      <c r="G144" s="17" t="n"/>
      <c r="H144" s="17" t="n"/>
      <c r="I144" s="17" t="n"/>
      <c r="J144" s="17" t="n"/>
      <c r="K144" s="17" t="n"/>
      <c r="L144" s="17" t="n"/>
      <c r="M144" s="17" t="n"/>
    </row>
    <row r="145">
      <c r="A145" s="16" t="inlineStr">
        <is>
          <t>SW-0140</t>
        </is>
      </c>
      <c r="B145" s="17" t="n"/>
      <c r="C145" s="17" t="n"/>
      <c r="D145" s="17" t="n"/>
      <c r="E145" s="17" t="n"/>
      <c r="F145" s="17" t="n"/>
      <c r="G145" s="17" t="n"/>
      <c r="H145" s="17" t="n"/>
      <c r="I145" s="17" t="n"/>
      <c r="J145" s="17" t="n"/>
      <c r="K145" s="17" t="n"/>
      <c r="L145" s="17" t="n"/>
      <c r="M145" s="17" t="n"/>
    </row>
    <row r="146">
      <c r="A146" s="16" t="inlineStr">
        <is>
          <t>SW-0141</t>
        </is>
      </c>
      <c r="B146" s="17" t="n"/>
      <c r="C146" s="17" t="n"/>
      <c r="D146" s="17" t="n"/>
      <c r="E146" s="17" t="n"/>
      <c r="F146" s="17" t="n"/>
      <c r="G146" s="17" t="n"/>
      <c r="H146" s="17" t="n"/>
      <c r="I146" s="17" t="n"/>
      <c r="J146" s="17" t="n"/>
      <c r="K146" s="17" t="n"/>
      <c r="L146" s="17" t="n"/>
      <c r="M146" s="17" t="n"/>
    </row>
    <row r="147">
      <c r="A147" s="16" t="inlineStr">
        <is>
          <t>SW-0142</t>
        </is>
      </c>
      <c r="B147" s="17" t="n"/>
      <c r="C147" s="17" t="n"/>
      <c r="D147" s="17" t="n"/>
      <c r="E147" s="17" t="n"/>
      <c r="F147" s="17" t="n"/>
      <c r="G147" s="17" t="n"/>
      <c r="H147" s="17" t="n"/>
      <c r="I147" s="17" t="n"/>
      <c r="J147" s="17" t="n"/>
      <c r="K147" s="17" t="n"/>
      <c r="L147" s="17" t="n"/>
      <c r="M147" s="17" t="n"/>
    </row>
    <row r="148">
      <c r="A148" s="16" t="inlineStr">
        <is>
          <t>SW-0143</t>
        </is>
      </c>
      <c r="B148" s="17" t="n"/>
      <c r="C148" s="17" t="n"/>
      <c r="D148" s="17" t="n"/>
      <c r="E148" s="17" t="n"/>
      <c r="F148" s="17" t="n"/>
      <c r="G148" s="17" t="n"/>
      <c r="H148" s="17" t="n"/>
      <c r="I148" s="17" t="n"/>
      <c r="J148" s="17" t="n"/>
      <c r="K148" s="17" t="n"/>
      <c r="L148" s="17" t="n"/>
      <c r="M148" s="17" t="n"/>
    </row>
    <row r="149">
      <c r="A149" s="16" t="inlineStr">
        <is>
          <t>SW-0144</t>
        </is>
      </c>
      <c r="B149" s="17" t="n"/>
      <c r="C149" s="17" t="n"/>
      <c r="D149" s="17" t="n"/>
      <c r="E149" s="17" t="n"/>
      <c r="F149" s="17" t="n"/>
      <c r="G149" s="17" t="n"/>
      <c r="H149" s="17" t="n"/>
      <c r="I149" s="17" t="n"/>
      <c r="J149" s="17" t="n"/>
      <c r="K149" s="17" t="n"/>
      <c r="L149" s="17" t="n"/>
      <c r="M149" s="17" t="n"/>
    </row>
    <row r="150">
      <c r="A150" s="16" t="inlineStr">
        <is>
          <t>SW-0145</t>
        </is>
      </c>
      <c r="B150" s="17" t="n"/>
      <c r="C150" s="17" t="n"/>
      <c r="D150" s="17" t="n"/>
      <c r="E150" s="17" t="n"/>
      <c r="F150" s="17" t="n"/>
      <c r="G150" s="17" t="n"/>
      <c r="H150" s="17" t="n"/>
      <c r="I150" s="17" t="n"/>
      <c r="J150" s="17" t="n"/>
      <c r="K150" s="17" t="n"/>
      <c r="L150" s="17" t="n"/>
      <c r="M150" s="17" t="n"/>
    </row>
    <row r="151">
      <c r="A151" s="16" t="inlineStr">
        <is>
          <t>SW-0146</t>
        </is>
      </c>
      <c r="B151" s="17" t="n"/>
      <c r="C151" s="17" t="n"/>
      <c r="D151" s="17" t="n"/>
      <c r="E151" s="17" t="n"/>
      <c r="F151" s="17" t="n"/>
      <c r="G151" s="17" t="n"/>
      <c r="H151" s="17" t="n"/>
      <c r="I151" s="17" t="n"/>
      <c r="J151" s="17" t="n"/>
      <c r="K151" s="17" t="n"/>
      <c r="L151" s="17" t="n"/>
      <c r="M151" s="17" t="n"/>
    </row>
    <row r="152">
      <c r="A152" s="16" t="inlineStr">
        <is>
          <t>SW-0147</t>
        </is>
      </c>
      <c r="B152" s="17" t="n"/>
      <c r="C152" s="17" t="n"/>
      <c r="D152" s="17" t="n"/>
      <c r="E152" s="17" t="n"/>
      <c r="F152" s="17" t="n"/>
      <c r="G152" s="17" t="n"/>
      <c r="H152" s="17" t="n"/>
      <c r="I152" s="17" t="n"/>
      <c r="J152" s="17" t="n"/>
      <c r="K152" s="17" t="n"/>
      <c r="L152" s="17" t="n"/>
      <c r="M152" s="17" t="n"/>
    </row>
    <row r="153">
      <c r="A153" s="16" t="inlineStr">
        <is>
          <t>SW-0148</t>
        </is>
      </c>
      <c r="B153" s="17" t="n"/>
      <c r="C153" s="17" t="n"/>
      <c r="D153" s="17" t="n"/>
      <c r="E153" s="17" t="n"/>
      <c r="F153" s="17" t="n"/>
      <c r="G153" s="17" t="n"/>
      <c r="H153" s="17" t="n"/>
      <c r="I153" s="17" t="n"/>
      <c r="J153" s="17" t="n"/>
      <c r="K153" s="17" t="n"/>
      <c r="L153" s="17" t="n"/>
      <c r="M153" s="17" t="n"/>
    </row>
    <row r="154">
      <c r="A154" s="16" t="inlineStr">
        <is>
          <t>SW-0149</t>
        </is>
      </c>
      <c r="B154" s="17" t="n"/>
      <c r="C154" s="17" t="n"/>
      <c r="D154" s="17" t="n"/>
      <c r="E154" s="17" t="n"/>
      <c r="F154" s="17" t="n"/>
      <c r="G154" s="17" t="n"/>
      <c r="H154" s="17" t="n"/>
      <c r="I154" s="17" t="n"/>
      <c r="J154" s="17" t="n"/>
      <c r="K154" s="17" t="n"/>
      <c r="L154" s="17" t="n"/>
      <c r="M154" s="17" t="n"/>
    </row>
    <row r="155">
      <c r="A155" s="16" t="inlineStr">
        <is>
          <t>SW-0150</t>
        </is>
      </c>
      <c r="B155" s="17" t="n"/>
      <c r="C155" s="17" t="n"/>
      <c r="D155" s="17" t="n"/>
      <c r="E155" s="17" t="n"/>
      <c r="F155" s="17" t="n"/>
      <c r="G155" s="17" t="n"/>
      <c r="H155" s="17" t="n"/>
      <c r="I155" s="17" t="n"/>
      <c r="J155" s="17" t="n"/>
      <c r="K155" s="17" t="n"/>
      <c r="L155" s="17" t="n"/>
      <c r="M155" s="17" t="n"/>
    </row>
    <row r="156">
      <c r="A156" s="16" t="inlineStr">
        <is>
          <t>SW-0151</t>
        </is>
      </c>
      <c r="B156" s="17" t="n"/>
      <c r="C156" s="17" t="n"/>
      <c r="D156" s="17" t="n"/>
      <c r="E156" s="17" t="n"/>
      <c r="F156" s="17" t="n"/>
      <c r="G156" s="17" t="n"/>
      <c r="H156" s="17" t="n"/>
      <c r="I156" s="17" t="n"/>
      <c r="J156" s="17" t="n"/>
      <c r="K156" s="17" t="n"/>
      <c r="L156" s="17" t="n"/>
      <c r="M156" s="17" t="n"/>
    </row>
    <row r="157">
      <c r="A157" s="16" t="inlineStr">
        <is>
          <t>SW-0152</t>
        </is>
      </c>
      <c r="B157" s="17" t="n"/>
      <c r="C157" s="17" t="n"/>
      <c r="D157" s="17" t="n"/>
      <c r="E157" s="17" t="n"/>
      <c r="F157" s="17" t="n"/>
      <c r="G157" s="17" t="n"/>
      <c r="H157" s="17" t="n"/>
      <c r="I157" s="17" t="n"/>
      <c r="J157" s="17" t="n"/>
      <c r="K157" s="17" t="n"/>
      <c r="L157" s="17" t="n"/>
      <c r="M157" s="17" t="n"/>
    </row>
    <row r="158">
      <c r="A158" s="16" t="inlineStr">
        <is>
          <t>SW-0153</t>
        </is>
      </c>
      <c r="B158" s="17" t="n"/>
      <c r="C158" s="17" t="n"/>
      <c r="D158" s="17" t="n"/>
      <c r="E158" s="17" t="n"/>
      <c r="F158" s="17" t="n"/>
      <c r="G158" s="17" t="n"/>
      <c r="H158" s="17" t="n"/>
      <c r="I158" s="17" t="n"/>
      <c r="J158" s="17" t="n"/>
      <c r="K158" s="17" t="n"/>
      <c r="L158" s="17" t="n"/>
      <c r="M158" s="17" t="n"/>
    </row>
    <row r="159">
      <c r="A159" s="16" t="inlineStr">
        <is>
          <t>SW-0154</t>
        </is>
      </c>
      <c r="B159" s="17" t="n"/>
      <c r="C159" s="17" t="n"/>
      <c r="D159" s="17" t="n"/>
      <c r="E159" s="17" t="n"/>
      <c r="F159" s="17" t="n"/>
      <c r="G159" s="17" t="n"/>
      <c r="H159" s="17" t="n"/>
      <c r="I159" s="17" t="n"/>
      <c r="J159" s="17" t="n"/>
      <c r="K159" s="17" t="n"/>
      <c r="L159" s="17" t="n"/>
      <c r="M159" s="17" t="n"/>
    </row>
    <row r="160">
      <c r="A160" s="16" t="inlineStr">
        <is>
          <t>SW-0155</t>
        </is>
      </c>
      <c r="B160" s="17" t="n"/>
      <c r="C160" s="17" t="n"/>
      <c r="D160" s="17" t="n"/>
      <c r="E160" s="17" t="n"/>
      <c r="F160" s="17" t="n"/>
      <c r="G160" s="17" t="n"/>
      <c r="H160" s="17" t="n"/>
      <c r="I160" s="17" t="n"/>
      <c r="J160" s="17" t="n"/>
      <c r="K160" s="17" t="n"/>
      <c r="L160" s="17" t="n"/>
      <c r="M160" s="17" t="n"/>
    </row>
    <row r="161">
      <c r="A161" s="16" t="inlineStr">
        <is>
          <t>SW-0156</t>
        </is>
      </c>
      <c r="B161" s="17" t="n"/>
      <c r="C161" s="17" t="n"/>
      <c r="D161" s="17" t="n"/>
      <c r="E161" s="17" t="n"/>
      <c r="F161" s="17" t="n"/>
      <c r="G161" s="17" t="n"/>
      <c r="H161" s="17" t="n"/>
      <c r="I161" s="17" t="n"/>
      <c r="J161" s="17" t="n"/>
      <c r="K161" s="17" t="n"/>
      <c r="L161" s="17" t="n"/>
      <c r="M161" s="17" t="n"/>
    </row>
    <row r="162">
      <c r="A162" s="16" t="inlineStr">
        <is>
          <t>SW-0157</t>
        </is>
      </c>
      <c r="B162" s="17" t="n"/>
      <c r="C162" s="17" t="n"/>
      <c r="D162" s="17" t="n"/>
      <c r="E162" s="17" t="n"/>
      <c r="F162" s="17" t="n"/>
      <c r="G162" s="17" t="n"/>
      <c r="H162" s="17" t="n"/>
      <c r="I162" s="17" t="n"/>
      <c r="J162" s="17" t="n"/>
      <c r="K162" s="17" t="n"/>
      <c r="L162" s="17" t="n"/>
      <c r="M162" s="17" t="n"/>
    </row>
    <row r="163">
      <c r="A163" s="16" t="inlineStr">
        <is>
          <t>SW-0158</t>
        </is>
      </c>
      <c r="B163" s="17" t="n"/>
      <c r="C163" s="17" t="n"/>
      <c r="D163" s="17" t="n"/>
      <c r="E163" s="17" t="n"/>
      <c r="F163" s="17" t="n"/>
      <c r="G163" s="17" t="n"/>
      <c r="H163" s="17" t="n"/>
      <c r="I163" s="17" t="n"/>
      <c r="J163" s="17" t="n"/>
      <c r="K163" s="17" t="n"/>
      <c r="L163" s="17" t="n"/>
      <c r="M163" s="17" t="n"/>
    </row>
    <row r="164">
      <c r="A164" s="16" t="inlineStr">
        <is>
          <t>SW-0159</t>
        </is>
      </c>
      <c r="B164" s="17" t="n"/>
      <c r="C164" s="17" t="n"/>
      <c r="D164" s="17" t="n"/>
      <c r="E164" s="17" t="n"/>
      <c r="F164" s="17" t="n"/>
      <c r="G164" s="17" t="n"/>
      <c r="H164" s="17" t="n"/>
      <c r="I164" s="17" t="n"/>
      <c r="J164" s="17" t="n"/>
      <c r="K164" s="17" t="n"/>
      <c r="L164" s="17" t="n"/>
      <c r="M164" s="17" t="n"/>
    </row>
    <row r="165">
      <c r="A165" s="16" t="inlineStr">
        <is>
          <t>SW-0160</t>
        </is>
      </c>
      <c r="B165" s="17" t="n"/>
      <c r="C165" s="17" t="n"/>
      <c r="D165" s="17" t="n"/>
      <c r="E165" s="17" t="n"/>
      <c r="F165" s="17" t="n"/>
      <c r="G165" s="17" t="n"/>
      <c r="H165" s="17" t="n"/>
      <c r="I165" s="17" t="n"/>
      <c r="J165" s="17" t="n"/>
      <c r="K165" s="17" t="n"/>
      <c r="L165" s="17" t="n"/>
      <c r="M165" s="17" t="n"/>
    </row>
    <row r="166">
      <c r="A166" s="16" t="inlineStr">
        <is>
          <t>SW-0161</t>
        </is>
      </c>
      <c r="B166" s="17" t="n"/>
      <c r="C166" s="17" t="n"/>
      <c r="D166" s="17" t="n"/>
      <c r="E166" s="17" t="n"/>
      <c r="F166" s="17" t="n"/>
      <c r="G166" s="17" t="n"/>
      <c r="H166" s="17" t="n"/>
      <c r="I166" s="17" t="n"/>
      <c r="J166" s="17" t="n"/>
      <c r="K166" s="17" t="n"/>
      <c r="L166" s="17" t="n"/>
      <c r="M166" s="17" t="n"/>
    </row>
    <row r="167">
      <c r="A167" s="16" t="inlineStr">
        <is>
          <t>SW-0162</t>
        </is>
      </c>
      <c r="B167" s="17" t="n"/>
      <c r="C167" s="17" t="n"/>
      <c r="D167" s="17" t="n"/>
      <c r="E167" s="17" t="n"/>
      <c r="F167" s="17" t="n"/>
      <c r="G167" s="17" t="n"/>
      <c r="H167" s="17" t="n"/>
      <c r="I167" s="17" t="n"/>
      <c r="J167" s="17" t="n"/>
      <c r="K167" s="17" t="n"/>
      <c r="L167" s="17" t="n"/>
      <c r="M167" s="17" t="n"/>
    </row>
    <row r="168">
      <c r="A168" s="16" t="inlineStr">
        <is>
          <t>SW-0163</t>
        </is>
      </c>
      <c r="B168" s="17" t="n"/>
      <c r="C168" s="17" t="n"/>
      <c r="D168" s="17" t="n"/>
      <c r="E168" s="17" t="n"/>
      <c r="F168" s="17" t="n"/>
      <c r="G168" s="17" t="n"/>
      <c r="H168" s="17" t="n"/>
      <c r="I168" s="17" t="n"/>
      <c r="J168" s="17" t="n"/>
      <c r="K168" s="17" t="n"/>
      <c r="L168" s="17" t="n"/>
      <c r="M168" s="17" t="n"/>
    </row>
    <row r="169">
      <c r="A169" s="16" t="inlineStr">
        <is>
          <t>SW-0164</t>
        </is>
      </c>
      <c r="B169" s="17" t="n"/>
      <c r="C169" s="17" t="n"/>
      <c r="D169" s="17" t="n"/>
      <c r="E169" s="17" t="n"/>
      <c r="F169" s="17" t="n"/>
      <c r="G169" s="17" t="n"/>
      <c r="H169" s="17" t="n"/>
      <c r="I169" s="17" t="n"/>
      <c r="J169" s="17" t="n"/>
      <c r="K169" s="17" t="n"/>
      <c r="L169" s="17" t="n"/>
      <c r="M169" s="17" t="n"/>
    </row>
    <row r="170">
      <c r="A170" s="16" t="inlineStr">
        <is>
          <t>SW-0165</t>
        </is>
      </c>
      <c r="B170" s="17" t="n"/>
      <c r="C170" s="17" t="n"/>
      <c r="D170" s="17" t="n"/>
      <c r="E170" s="17" t="n"/>
      <c r="F170" s="17" t="n"/>
      <c r="G170" s="17" t="n"/>
      <c r="H170" s="17" t="n"/>
      <c r="I170" s="17" t="n"/>
      <c r="J170" s="17" t="n"/>
      <c r="K170" s="17" t="n"/>
      <c r="L170" s="17" t="n"/>
      <c r="M170" s="17" t="n"/>
    </row>
    <row r="171">
      <c r="A171" s="16" t="inlineStr">
        <is>
          <t>SW-0166</t>
        </is>
      </c>
      <c r="B171" s="17" t="n"/>
      <c r="C171" s="17" t="n"/>
      <c r="D171" s="17" t="n"/>
      <c r="E171" s="17" t="n"/>
      <c r="F171" s="17" t="n"/>
      <c r="G171" s="17" t="n"/>
      <c r="H171" s="17" t="n"/>
      <c r="I171" s="17" t="n"/>
      <c r="J171" s="17" t="n"/>
      <c r="K171" s="17" t="n"/>
      <c r="L171" s="17" t="n"/>
      <c r="M171" s="17" t="n"/>
    </row>
    <row r="172">
      <c r="A172" s="16" t="inlineStr">
        <is>
          <t>SW-0167</t>
        </is>
      </c>
      <c r="B172" s="17" t="n"/>
      <c r="C172" s="17" t="n"/>
      <c r="D172" s="17" t="n"/>
      <c r="E172" s="17" t="n"/>
      <c r="F172" s="17" t="n"/>
      <c r="G172" s="17" t="n"/>
      <c r="H172" s="17" t="n"/>
      <c r="I172" s="17" t="n"/>
      <c r="J172" s="17" t="n"/>
      <c r="K172" s="17" t="n"/>
      <c r="L172" s="17" t="n"/>
      <c r="M172" s="17" t="n"/>
    </row>
    <row r="173">
      <c r="A173" s="16" t="inlineStr">
        <is>
          <t>SW-0168</t>
        </is>
      </c>
      <c r="B173" s="17" t="n"/>
      <c r="C173" s="17" t="n"/>
      <c r="D173" s="17" t="n"/>
      <c r="E173" s="17" t="n"/>
      <c r="F173" s="17" t="n"/>
      <c r="G173" s="17" t="n"/>
      <c r="H173" s="17" t="n"/>
      <c r="I173" s="17" t="n"/>
      <c r="J173" s="17" t="n"/>
      <c r="K173" s="17" t="n"/>
      <c r="L173" s="17" t="n"/>
      <c r="M173" s="17" t="n"/>
    </row>
    <row r="174">
      <c r="A174" s="16" t="inlineStr">
        <is>
          <t>SW-0169</t>
        </is>
      </c>
      <c r="B174" s="17" t="n"/>
      <c r="C174" s="17" t="n"/>
      <c r="D174" s="17" t="n"/>
      <c r="E174" s="17" t="n"/>
      <c r="F174" s="17" t="n"/>
      <c r="G174" s="17" t="n"/>
      <c r="H174" s="17" t="n"/>
      <c r="I174" s="17" t="n"/>
      <c r="J174" s="17" t="n"/>
      <c r="K174" s="17" t="n"/>
      <c r="L174" s="17" t="n"/>
      <c r="M174" s="17" t="n"/>
    </row>
    <row r="175">
      <c r="A175" s="16" t="inlineStr">
        <is>
          <t>SW-0170</t>
        </is>
      </c>
      <c r="B175" s="17" t="n"/>
      <c r="C175" s="17" t="n"/>
      <c r="D175" s="17" t="n"/>
      <c r="E175" s="17" t="n"/>
      <c r="F175" s="17" t="n"/>
      <c r="G175" s="17" t="n"/>
      <c r="H175" s="17" t="n"/>
      <c r="I175" s="17" t="n"/>
      <c r="J175" s="17" t="n"/>
      <c r="K175" s="17" t="n"/>
      <c r="L175" s="17" t="n"/>
      <c r="M175" s="17" t="n"/>
    </row>
    <row r="176">
      <c r="A176" s="16" t="inlineStr">
        <is>
          <t>SW-0171</t>
        </is>
      </c>
      <c r="B176" s="17" t="n"/>
      <c r="C176" s="17" t="n"/>
      <c r="D176" s="17" t="n"/>
      <c r="E176" s="17" t="n"/>
      <c r="F176" s="17" t="n"/>
      <c r="G176" s="17" t="n"/>
      <c r="H176" s="17" t="n"/>
      <c r="I176" s="17" t="n"/>
      <c r="J176" s="17" t="n"/>
      <c r="K176" s="17" t="n"/>
      <c r="L176" s="17" t="n"/>
      <c r="M176" s="17" t="n"/>
    </row>
    <row r="177">
      <c r="A177" s="16" t="inlineStr">
        <is>
          <t>SW-0172</t>
        </is>
      </c>
      <c r="B177" s="17" t="n"/>
      <c r="C177" s="17" t="n"/>
      <c r="D177" s="17" t="n"/>
      <c r="E177" s="17" t="n"/>
      <c r="F177" s="17" t="n"/>
      <c r="G177" s="17" t="n"/>
      <c r="H177" s="17" t="n"/>
      <c r="I177" s="17" t="n"/>
      <c r="J177" s="17" t="n"/>
      <c r="K177" s="17" t="n"/>
      <c r="L177" s="17" t="n"/>
      <c r="M177" s="17" t="n"/>
    </row>
    <row r="178">
      <c r="A178" s="16" t="inlineStr">
        <is>
          <t>SW-0173</t>
        </is>
      </c>
      <c r="B178" s="17" t="n"/>
      <c r="C178" s="17" t="n"/>
      <c r="D178" s="17" t="n"/>
      <c r="E178" s="17" t="n"/>
      <c r="F178" s="17" t="n"/>
      <c r="G178" s="17" t="n"/>
      <c r="H178" s="17" t="n"/>
      <c r="I178" s="17" t="n"/>
      <c r="J178" s="17" t="n"/>
      <c r="K178" s="17" t="n"/>
      <c r="L178" s="17" t="n"/>
      <c r="M178" s="17" t="n"/>
    </row>
    <row r="179">
      <c r="A179" s="16" t="inlineStr">
        <is>
          <t>SW-0174</t>
        </is>
      </c>
      <c r="B179" s="17" t="n"/>
      <c r="C179" s="17" t="n"/>
      <c r="D179" s="17" t="n"/>
      <c r="E179" s="17" t="n"/>
      <c r="F179" s="17" t="n"/>
      <c r="G179" s="17" t="n"/>
      <c r="H179" s="17" t="n"/>
      <c r="I179" s="17" t="n"/>
      <c r="J179" s="17" t="n"/>
      <c r="K179" s="17" t="n"/>
      <c r="L179" s="17" t="n"/>
      <c r="M179" s="17" t="n"/>
    </row>
    <row r="180">
      <c r="A180" s="16" t="inlineStr">
        <is>
          <t>SW-0175</t>
        </is>
      </c>
      <c r="B180" s="17" t="n"/>
      <c r="C180" s="17" t="n"/>
      <c r="D180" s="17" t="n"/>
      <c r="E180" s="17" t="n"/>
      <c r="F180" s="17" t="n"/>
      <c r="G180" s="17" t="n"/>
      <c r="H180" s="17" t="n"/>
      <c r="I180" s="17" t="n"/>
      <c r="J180" s="17" t="n"/>
      <c r="K180" s="17" t="n"/>
      <c r="L180" s="17" t="n"/>
      <c r="M180" s="17" t="n"/>
    </row>
    <row r="181">
      <c r="A181" s="16" t="inlineStr">
        <is>
          <t>SW-0176</t>
        </is>
      </c>
      <c r="B181" s="17" t="n"/>
      <c r="C181" s="17" t="n"/>
      <c r="D181" s="17" t="n"/>
      <c r="E181" s="17" t="n"/>
      <c r="F181" s="17" t="n"/>
      <c r="G181" s="17" t="n"/>
      <c r="H181" s="17" t="n"/>
      <c r="I181" s="17" t="n"/>
      <c r="J181" s="17" t="n"/>
      <c r="K181" s="17" t="n"/>
      <c r="L181" s="17" t="n"/>
      <c r="M181" s="17" t="n"/>
    </row>
    <row r="182">
      <c r="A182" s="16" t="inlineStr">
        <is>
          <t>SW-0177</t>
        </is>
      </c>
      <c r="B182" s="17" t="n"/>
      <c r="C182" s="17" t="n"/>
      <c r="D182" s="17" t="n"/>
      <c r="E182" s="17" t="n"/>
      <c r="F182" s="17" t="n"/>
      <c r="G182" s="17" t="n"/>
      <c r="H182" s="17" t="n"/>
      <c r="I182" s="17" t="n"/>
      <c r="J182" s="17" t="n"/>
      <c r="K182" s="17" t="n"/>
      <c r="L182" s="17" t="n"/>
      <c r="M182" s="17" t="n"/>
    </row>
    <row r="183">
      <c r="A183" s="16" t="inlineStr">
        <is>
          <t>SW-0178</t>
        </is>
      </c>
      <c r="B183" s="17" t="n"/>
      <c r="C183" s="17" t="n"/>
      <c r="D183" s="17" t="n"/>
      <c r="E183" s="17" t="n"/>
      <c r="F183" s="17" t="n"/>
      <c r="G183" s="17" t="n"/>
      <c r="H183" s="17" t="n"/>
      <c r="I183" s="17" t="n"/>
      <c r="J183" s="17" t="n"/>
      <c r="K183" s="17" t="n"/>
      <c r="L183" s="17" t="n"/>
      <c r="M183" s="17" t="n"/>
    </row>
    <row r="184">
      <c r="A184" s="16" t="inlineStr">
        <is>
          <t>SW-0179</t>
        </is>
      </c>
      <c r="B184" s="17" t="n"/>
      <c r="C184" s="17" t="n"/>
      <c r="D184" s="17" t="n"/>
      <c r="E184" s="17" t="n"/>
      <c r="F184" s="17" t="n"/>
      <c r="G184" s="17" t="n"/>
      <c r="H184" s="17" t="n"/>
      <c r="I184" s="17" t="n"/>
      <c r="J184" s="17" t="n"/>
      <c r="K184" s="17" t="n"/>
      <c r="L184" s="17" t="n"/>
      <c r="M184" s="17" t="n"/>
    </row>
    <row r="185">
      <c r="A185" s="16" t="inlineStr">
        <is>
          <t>SW-0180</t>
        </is>
      </c>
      <c r="B185" s="17" t="n"/>
      <c r="C185" s="17" t="n"/>
      <c r="D185" s="17" t="n"/>
      <c r="E185" s="17" t="n"/>
      <c r="F185" s="17" t="n"/>
      <c r="G185" s="17" t="n"/>
      <c r="H185" s="17" t="n"/>
      <c r="I185" s="17" t="n"/>
      <c r="J185" s="17" t="n"/>
      <c r="K185" s="17" t="n"/>
      <c r="L185" s="17" t="n"/>
      <c r="M185" s="17" t="n"/>
    </row>
    <row r="186">
      <c r="A186" s="16" t="inlineStr">
        <is>
          <t>SW-0181</t>
        </is>
      </c>
      <c r="B186" s="17" t="n"/>
      <c r="C186" s="17" t="n"/>
      <c r="D186" s="17" t="n"/>
      <c r="E186" s="17" t="n"/>
      <c r="F186" s="17" t="n"/>
      <c r="G186" s="17" t="n"/>
      <c r="H186" s="17" t="n"/>
      <c r="I186" s="17" t="n"/>
      <c r="J186" s="17" t="n"/>
      <c r="K186" s="17" t="n"/>
      <c r="L186" s="17" t="n"/>
      <c r="M186" s="17" t="n"/>
    </row>
    <row r="187">
      <c r="A187" s="16" t="inlineStr">
        <is>
          <t>SW-0182</t>
        </is>
      </c>
      <c r="B187" s="17" t="n"/>
      <c r="C187" s="17" t="n"/>
      <c r="D187" s="17" t="n"/>
      <c r="E187" s="17" t="n"/>
      <c r="F187" s="17" t="n"/>
      <c r="G187" s="17" t="n"/>
      <c r="H187" s="17" t="n"/>
      <c r="I187" s="17" t="n"/>
      <c r="J187" s="17" t="n"/>
      <c r="K187" s="17" t="n"/>
      <c r="L187" s="17" t="n"/>
      <c r="M187" s="17" t="n"/>
    </row>
    <row r="188">
      <c r="A188" s="16" t="inlineStr">
        <is>
          <t>SW-0183</t>
        </is>
      </c>
      <c r="B188" s="17" t="n"/>
      <c r="C188" s="17" t="n"/>
      <c r="D188" s="17" t="n"/>
      <c r="E188" s="17" t="n"/>
      <c r="F188" s="17" t="n"/>
      <c r="G188" s="17" t="n"/>
      <c r="H188" s="17" t="n"/>
      <c r="I188" s="17" t="n"/>
      <c r="J188" s="17" t="n"/>
      <c r="K188" s="17" t="n"/>
      <c r="L188" s="17" t="n"/>
      <c r="M188" s="17" t="n"/>
    </row>
    <row r="189">
      <c r="A189" s="16" t="inlineStr">
        <is>
          <t>SW-0184</t>
        </is>
      </c>
      <c r="B189" s="17" t="n"/>
      <c r="C189" s="17" t="n"/>
      <c r="D189" s="17" t="n"/>
      <c r="E189" s="17" t="n"/>
      <c r="F189" s="17" t="n"/>
      <c r="G189" s="17" t="n"/>
      <c r="H189" s="17" t="n"/>
      <c r="I189" s="17" t="n"/>
      <c r="J189" s="17" t="n"/>
      <c r="K189" s="17" t="n"/>
      <c r="L189" s="17" t="n"/>
      <c r="M189" s="17" t="n"/>
    </row>
    <row r="190">
      <c r="A190" s="16" t="inlineStr">
        <is>
          <t>SW-0185</t>
        </is>
      </c>
      <c r="B190" s="17" t="n"/>
      <c r="C190" s="17" t="n"/>
      <c r="D190" s="17" t="n"/>
      <c r="E190" s="17" t="n"/>
      <c r="F190" s="17" t="n"/>
      <c r="G190" s="17" t="n"/>
      <c r="H190" s="17" t="n"/>
      <c r="I190" s="17" t="n"/>
      <c r="J190" s="17" t="n"/>
      <c r="K190" s="17" t="n"/>
      <c r="L190" s="17" t="n"/>
      <c r="M190" s="17" t="n"/>
    </row>
    <row r="191">
      <c r="A191" s="16" t="inlineStr">
        <is>
          <t>SW-0186</t>
        </is>
      </c>
      <c r="B191" s="17" t="n"/>
      <c r="C191" s="17" t="n"/>
      <c r="D191" s="17" t="n"/>
      <c r="E191" s="17" t="n"/>
      <c r="F191" s="17" t="n"/>
      <c r="G191" s="17" t="n"/>
      <c r="H191" s="17" t="n"/>
      <c r="I191" s="17" t="n"/>
      <c r="J191" s="17" t="n"/>
      <c r="K191" s="17" t="n"/>
      <c r="L191" s="17" t="n"/>
      <c r="M191" s="17" t="n"/>
    </row>
    <row r="192">
      <c r="A192" s="16" t="inlineStr">
        <is>
          <t>SW-0187</t>
        </is>
      </c>
      <c r="B192" s="17" t="n"/>
      <c r="C192" s="17" t="n"/>
      <c r="D192" s="17" t="n"/>
      <c r="E192" s="17" t="n"/>
      <c r="F192" s="17" t="n"/>
      <c r="G192" s="17" t="n"/>
      <c r="H192" s="17" t="n"/>
      <c r="I192" s="17" t="n"/>
      <c r="J192" s="17" t="n"/>
      <c r="K192" s="17" t="n"/>
      <c r="L192" s="17" t="n"/>
      <c r="M192" s="17" t="n"/>
    </row>
    <row r="193">
      <c r="A193" s="16" t="inlineStr">
        <is>
          <t>SW-0188</t>
        </is>
      </c>
      <c r="B193" s="17" t="n"/>
      <c r="C193" s="17" t="n"/>
      <c r="D193" s="17" t="n"/>
      <c r="E193" s="17" t="n"/>
      <c r="F193" s="17" t="n"/>
      <c r="G193" s="17" t="n"/>
      <c r="H193" s="17" t="n"/>
      <c r="I193" s="17" t="n"/>
      <c r="J193" s="17" t="n"/>
      <c r="K193" s="17" t="n"/>
      <c r="L193" s="17" t="n"/>
      <c r="M193" s="17" t="n"/>
    </row>
    <row r="194">
      <c r="A194" s="16" t="inlineStr">
        <is>
          <t>SW-0189</t>
        </is>
      </c>
      <c r="B194" s="17" t="n"/>
      <c r="C194" s="17" t="n"/>
      <c r="D194" s="17" t="n"/>
      <c r="E194" s="17" t="n"/>
      <c r="F194" s="17" t="n"/>
      <c r="G194" s="17" t="n"/>
      <c r="H194" s="17" t="n"/>
      <c r="I194" s="17" t="n"/>
      <c r="J194" s="17" t="n"/>
      <c r="K194" s="17" t="n"/>
      <c r="L194" s="17" t="n"/>
      <c r="M194" s="17" t="n"/>
    </row>
    <row r="195">
      <c r="A195" s="16" t="inlineStr">
        <is>
          <t>SW-0190</t>
        </is>
      </c>
      <c r="B195" s="17" t="n"/>
      <c r="C195" s="17" t="n"/>
      <c r="D195" s="17" t="n"/>
      <c r="E195" s="17" t="n"/>
      <c r="F195" s="17" t="n"/>
      <c r="G195" s="17" t="n"/>
      <c r="H195" s="17" t="n"/>
      <c r="I195" s="17" t="n"/>
      <c r="J195" s="17" t="n"/>
      <c r="K195" s="17" t="n"/>
      <c r="L195" s="17" t="n"/>
      <c r="M195" s="17" t="n"/>
    </row>
    <row r="196">
      <c r="A196" s="16" t="inlineStr">
        <is>
          <t>SW-0191</t>
        </is>
      </c>
      <c r="B196" s="17" t="n"/>
      <c r="C196" s="17" t="n"/>
      <c r="D196" s="17" t="n"/>
      <c r="E196" s="17" t="n"/>
      <c r="F196" s="17" t="n"/>
      <c r="G196" s="17" t="n"/>
      <c r="H196" s="17" t="n"/>
      <c r="I196" s="17" t="n"/>
      <c r="J196" s="17" t="n"/>
      <c r="K196" s="17" t="n"/>
      <c r="L196" s="17" t="n"/>
      <c r="M196" s="17" t="n"/>
    </row>
    <row r="197">
      <c r="A197" s="16" t="inlineStr">
        <is>
          <t>SW-0192</t>
        </is>
      </c>
      <c r="B197" s="17" t="n"/>
      <c r="C197" s="17" t="n"/>
      <c r="D197" s="17" t="n"/>
      <c r="E197" s="17" t="n"/>
      <c r="F197" s="17" t="n"/>
      <c r="G197" s="17" t="n"/>
      <c r="H197" s="17" t="n"/>
      <c r="I197" s="17" t="n"/>
      <c r="J197" s="17" t="n"/>
      <c r="K197" s="17" t="n"/>
      <c r="L197" s="17" t="n"/>
      <c r="M197" s="17" t="n"/>
    </row>
    <row r="198">
      <c r="A198" s="16" t="inlineStr">
        <is>
          <t>SW-0193</t>
        </is>
      </c>
      <c r="B198" s="17" t="n"/>
      <c r="C198" s="17" t="n"/>
      <c r="D198" s="17" t="n"/>
      <c r="E198" s="17" t="n"/>
      <c r="F198" s="17" t="n"/>
      <c r="G198" s="17" t="n"/>
      <c r="H198" s="17" t="n"/>
      <c r="I198" s="17" t="n"/>
      <c r="J198" s="17" t="n"/>
      <c r="K198" s="17" t="n"/>
      <c r="L198" s="17" t="n"/>
      <c r="M198" s="17" t="n"/>
    </row>
    <row r="199">
      <c r="A199" s="16" t="inlineStr">
        <is>
          <t>SW-0194</t>
        </is>
      </c>
      <c r="B199" s="17" t="n"/>
      <c r="C199" s="17" t="n"/>
      <c r="D199" s="17" t="n"/>
      <c r="E199" s="17" t="n"/>
      <c r="F199" s="17" t="n"/>
      <c r="G199" s="17" t="n"/>
      <c r="H199" s="17" t="n"/>
      <c r="I199" s="17" t="n"/>
      <c r="J199" s="17" t="n"/>
      <c r="K199" s="17" t="n"/>
      <c r="L199" s="17" t="n"/>
      <c r="M199" s="17" t="n"/>
    </row>
    <row r="200">
      <c r="A200" s="16" t="inlineStr">
        <is>
          <t>SW-0195</t>
        </is>
      </c>
      <c r="B200" s="17" t="n"/>
      <c r="C200" s="17" t="n"/>
      <c r="D200" s="17" t="n"/>
      <c r="E200" s="17" t="n"/>
      <c r="F200" s="17" t="n"/>
      <c r="G200" s="17" t="n"/>
      <c r="H200" s="17" t="n"/>
      <c r="I200" s="17" t="n"/>
      <c r="J200" s="17" t="n"/>
      <c r="K200" s="17" t="n"/>
      <c r="L200" s="17" t="n"/>
      <c r="M200" s="17" t="n"/>
    </row>
    <row r="201">
      <c r="A201" s="16" t="inlineStr">
        <is>
          <t>SW-0196</t>
        </is>
      </c>
      <c r="B201" s="17" t="n"/>
      <c r="C201" s="17" t="n"/>
      <c r="D201" s="17" t="n"/>
      <c r="E201" s="17" t="n"/>
      <c r="F201" s="17" t="n"/>
      <c r="G201" s="17" t="n"/>
      <c r="H201" s="17" t="n"/>
      <c r="I201" s="17" t="n"/>
      <c r="J201" s="17" t="n"/>
      <c r="K201" s="17" t="n"/>
      <c r="L201" s="17" t="n"/>
      <c r="M201" s="17" t="n"/>
    </row>
    <row r="202">
      <c r="A202" s="16" t="inlineStr">
        <is>
          <t>SW-0197</t>
        </is>
      </c>
      <c r="B202" s="17" t="n"/>
      <c r="C202" s="17" t="n"/>
      <c r="D202" s="17" t="n"/>
      <c r="E202" s="17" t="n"/>
      <c r="F202" s="17" t="n"/>
      <c r="G202" s="17" t="n"/>
      <c r="H202" s="17" t="n"/>
      <c r="I202" s="17" t="n"/>
      <c r="J202" s="17" t="n"/>
      <c r="K202" s="17" t="n"/>
      <c r="L202" s="17" t="n"/>
      <c r="M202" s="17" t="n"/>
    </row>
    <row r="203">
      <c r="A203" s="16" t="inlineStr">
        <is>
          <t>SW-0198</t>
        </is>
      </c>
      <c r="B203" s="17" t="n"/>
      <c r="C203" s="17" t="n"/>
      <c r="D203" s="17" t="n"/>
      <c r="E203" s="17" t="n"/>
      <c r="F203" s="17" t="n"/>
      <c r="G203" s="17" t="n"/>
      <c r="H203" s="17" t="n"/>
      <c r="I203" s="17" t="n"/>
      <c r="J203" s="17" t="n"/>
      <c r="K203" s="17" t="n"/>
      <c r="L203" s="17" t="n"/>
      <c r="M203" s="17" t="n"/>
    </row>
    <row r="204">
      <c r="A204" s="16" t="inlineStr">
        <is>
          <t>SW-0199</t>
        </is>
      </c>
      <c r="B204" s="17" t="n"/>
      <c r="C204" s="17" t="n"/>
      <c r="D204" s="17" t="n"/>
      <c r="E204" s="17" t="n"/>
      <c r="F204" s="17" t="n"/>
      <c r="G204" s="17" t="n"/>
      <c r="H204" s="17" t="n"/>
      <c r="I204" s="17" t="n"/>
      <c r="J204" s="17" t="n"/>
      <c r="K204" s="17" t="n"/>
      <c r="L204" s="17" t="n"/>
      <c r="M204" s="17" t="n"/>
    </row>
    <row r="205">
      <c r="A205" s="16" t="inlineStr">
        <is>
          <t>SW-0200</t>
        </is>
      </c>
      <c r="B205" s="17" t="n"/>
      <c r="C205" s="17" t="n"/>
      <c r="D205" s="17" t="n"/>
      <c r="E205" s="17" t="n"/>
      <c r="F205" s="17" t="n"/>
      <c r="G205" s="17" t="n"/>
      <c r="H205" s="17" t="n"/>
      <c r="I205" s="17" t="n"/>
      <c r="J205" s="17" t="n"/>
      <c r="K205" s="17" t="n"/>
      <c r="L205" s="17" t="n"/>
      <c r="M205" s="17" t="n"/>
    </row>
    <row r="207">
      <c r="A207" s="12" t="inlineStr">
        <is>
          <t>[CHART] APPROVED SOFTWARE SUMMARY</t>
        </is>
      </c>
    </row>
    <row r="208">
      <c r="A208" t="inlineStr">
        <is>
          <t>Total Approved Software:</t>
        </is>
      </c>
      <c r="B208" s="18">
        <f>COUNTA(B6:B205)</f>
        <v/>
      </c>
    </row>
    <row r="209">
      <c r="A209" t="inlineStr">
        <is>
          <t>Last List Review Date:</t>
        </is>
      </c>
      <c r="B209" s="17" t="n"/>
    </row>
    <row r="211">
      <c r="A211" s="19" t="inlineStr">
        <is>
          <t>By Category:</t>
        </is>
      </c>
    </row>
    <row r="212">
      <c r="A212" t="inlineStr">
        <is>
          <t>[BIZ] Business Application:</t>
        </is>
      </c>
      <c r="B212">
        <f>COUNTIF(E6:E205,"[BIZ] Business Application")</f>
        <v/>
      </c>
    </row>
    <row r="213">
      <c r="A213" t="inlineStr">
        <is>
          <t>[TOOL] Development Tool:</t>
        </is>
      </c>
      <c r="B213">
        <f>COUNTIF(E6:E205,"[TOOL] Development Tool")</f>
        <v/>
      </c>
    </row>
    <row r="214">
      <c r="A214" t="inlineStr">
        <is>
          <t>⚿ Security Software:</t>
        </is>
      </c>
      <c r="B214">
        <f>COUNTIF(E6:E205,"⚿ Security Software")</f>
        <v/>
      </c>
    </row>
    <row r="215">
      <c r="A215" t="inlineStr">
        <is>
          <t>[CHART] Analytics/BI:</t>
        </is>
      </c>
      <c r="B215">
        <f>COUNTIF(E6:E205,"[CHART] Analytics/BI")</f>
        <v/>
      </c>
    </row>
    <row r="216">
      <c r="A216" t="inlineStr">
        <is>
          <t>[CHAT] Communication:</t>
        </is>
      </c>
      <c r="B216">
        <f>COUNTIF(E6:E205,"[CHAT] Communication")</f>
        <v/>
      </c>
    </row>
    <row r="217">
      <c r="A217" t="inlineStr">
        <is>
          <t>[CLOUD] Cloud Service:</t>
        </is>
      </c>
      <c r="B217">
        <f>COUNTIF(E6:E205,"[CLOUD] Cloud Service")</f>
        <v/>
      </c>
    </row>
  </sheetData>
  <mergeCells count="3">
    <mergeCell ref="A2:M2"/>
    <mergeCell ref="A207:C207"/>
    <mergeCell ref="A1:M1"/>
  </mergeCells>
  <dataValidations count="4">
    <dataValidation sqref="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showDropDown="0" showInputMessage="0" showErrorMessage="0" allowBlank="0" type="list">
      <formula1>"[BIZ] Business Application,[TOOL] Development Tool,Security Software,Analytics/BI,[CHAT] Communication,[CLOUD] Cloud Service,STATUS LEGEND Creative/Design,[DB] Database,Other"</formula1>
    </dataValidation>
    <dataValidation sqref="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showDropDown="0" showInputMessage="0" showErrorMessage="0" allowBlank="0" type="list">
      <formula1>"Desktop Application,Web Application,SaaS,Mobile App,Browser Extension,Command-Line Tool,Library/Framework,Plugin,Other"</formula1>
    </dataValidation>
    <dataValidation sqref="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showDropDown="0" showInputMessage="0" showErrorMessage="0" allowBlank="0" type="list">
      <formula1>"SCCM/Intune,[WEB] Self-Service Portal,User Installation,[DISK] Manual Install,[CLOUD] Cloud Deployment,Other"</formula1>
    </dataValidation>
    <dataValidation sqref="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showDropDown="0" showInputMessage="0" showErrorMessage="0" allowBlank="0" type="list">
      <formula1>"Critical,High,Medium,Low"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0"/>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35" customWidth="1" min="3" max="3"/>
    <col width="12" customWidth="1" min="4" max="4"/>
    <col width="20" customWidth="1" min="5" max="5"/>
    <col width="15" customWidth="1" min="6" max="6"/>
    <col width="25" customWidth="1" min="7" max="7"/>
    <col width="12" customWidth="1" min="8" max="8"/>
    <col width="20" customWidth="1" min="9" max="9"/>
    <col width="30" customWidth="1" min="10" max="10"/>
  </cols>
  <sheetData>
    <row r="1" ht="35" customHeight="1">
      <c r="A1" s="11" t="inlineStr">
        <is>
          <t>INSTALLED SOFTWARE INVENTORY</t>
        </is>
      </c>
    </row>
    <row r="2">
      <c r="A2" s="12" t="inlineStr">
        <is>
          <t>Software installed per device group (from SCCM/Intune/Jamf export — one row per group/software combination)</t>
        </is>
      </c>
    </row>
    <row r="4">
      <c r="A4" s="13" t="inlineStr">
        <is>
          <t>Group ID</t>
        </is>
      </c>
      <c r="B4" s="13" t="inlineStr">
        <is>
          <t>Device Group Name</t>
        </is>
      </c>
      <c r="C4" s="13" t="inlineStr">
        <is>
          <t>Software Name</t>
        </is>
      </c>
      <c r="D4" s="13" t="inlineStr">
        <is>
          <t>Version</t>
        </is>
      </c>
      <c r="E4" s="13" t="inlineStr">
        <is>
          <t>Vendor</t>
        </is>
      </c>
      <c r="F4" s="13" t="inlineStr">
        <is>
          <t>Installation Date</t>
        </is>
      </c>
      <c r="G4" s="13" t="inlineStr">
        <is>
          <t>Installation Method</t>
        </is>
      </c>
      <c r="H4" s="13" t="inlineStr">
        <is>
          <t>Approved</t>
        </is>
      </c>
      <c r="I4" s="13" t="inlineStr">
        <is>
          <t>Approval Reference</t>
        </is>
      </c>
      <c r="J4" s="13" t="inlineStr">
        <is>
          <t>Notes</t>
        </is>
      </c>
    </row>
    <row r="5">
      <c r="A5" s="15" t="inlineStr">
        <is>
          <t>GRP-001</t>
        </is>
      </c>
      <c r="B5" s="15" t="inlineStr">
        <is>
          <t>SG-Windows-Endpoints</t>
        </is>
      </c>
      <c r="C5" s="15" t="inlineStr">
        <is>
          <t>Microsoft Office 365</t>
        </is>
      </c>
      <c r="D5" s="15" t="inlineStr">
        <is>
          <t>2024</t>
        </is>
      </c>
      <c r="E5" s="15" t="inlineStr">
        <is>
          <t>Microsoft</t>
        </is>
      </c>
      <c r="F5" s="15" t="inlineStr">
        <is>
          <t>01.01.2026</t>
        </is>
      </c>
      <c r="G5" s="15" t="inlineStr">
        <is>
          <t>SCCM/Intune</t>
        </is>
      </c>
      <c r="H5" s="15" t="inlineStr">
        <is>
          <t>Yes</t>
        </is>
      </c>
      <c r="I5" s="15" t="inlineStr">
        <is>
          <t>REF-SW-0001</t>
        </is>
      </c>
      <c r="J5" s="15" t="inlineStr">
        <is>
          <t>Standard deployment</t>
        </is>
      </c>
    </row>
    <row r="6">
      <c r="A6" s="17" t="n"/>
      <c r="B6" s="17" t="n"/>
      <c r="C6" s="17" t="n"/>
      <c r="D6" s="17" t="n"/>
      <c r="E6" s="17" t="n"/>
      <c r="F6" s="17" t="n"/>
      <c r="G6" s="17" t="n"/>
      <c r="H6" s="17" t="n"/>
      <c r="I6" s="17" t="n"/>
      <c r="J6" s="17" t="n"/>
    </row>
    <row r="7">
      <c r="A7" s="17" t="n"/>
      <c r="B7" s="17" t="n"/>
      <c r="C7" s="17" t="n"/>
      <c r="D7" s="17" t="n"/>
      <c r="E7" s="17" t="n"/>
      <c r="F7" s="17" t="n"/>
      <c r="G7" s="17" t="n"/>
      <c r="H7" s="17" t="n"/>
      <c r="I7" s="17" t="n"/>
      <c r="J7" s="17" t="n"/>
    </row>
    <row r="8">
      <c r="A8" s="17" t="n"/>
      <c r="B8" s="17" t="n"/>
      <c r="C8" s="17" t="n"/>
      <c r="D8" s="17" t="n"/>
      <c r="E8" s="17" t="n"/>
      <c r="F8" s="17" t="n"/>
      <c r="G8" s="17" t="n"/>
      <c r="H8" s="17" t="n"/>
      <c r="I8" s="17" t="n"/>
      <c r="J8" s="17" t="n"/>
    </row>
    <row r="9">
      <c r="A9" s="17" t="n"/>
      <c r="B9" s="17" t="n"/>
      <c r="C9" s="17" t="n"/>
      <c r="D9" s="17" t="n"/>
      <c r="E9" s="17" t="n"/>
      <c r="F9" s="17" t="n"/>
      <c r="G9" s="17" t="n"/>
      <c r="H9" s="17" t="n"/>
      <c r="I9" s="17" t="n"/>
      <c r="J9" s="17" t="n"/>
    </row>
    <row r="10">
      <c r="A10" s="17" t="n"/>
      <c r="B10" s="17" t="n"/>
      <c r="C10" s="17" t="n"/>
      <c r="D10" s="17" t="n"/>
      <c r="E10" s="17" t="n"/>
      <c r="F10" s="17" t="n"/>
      <c r="G10" s="17" t="n"/>
      <c r="H10" s="17" t="n"/>
      <c r="I10" s="17" t="n"/>
      <c r="J10" s="17" t="n"/>
    </row>
    <row r="11">
      <c r="A11" s="17" t="n"/>
      <c r="B11" s="17" t="n"/>
      <c r="C11" s="17" t="n"/>
      <c r="D11" s="17" t="n"/>
      <c r="E11" s="17" t="n"/>
      <c r="F11" s="17" t="n"/>
      <c r="G11" s="17" t="n"/>
      <c r="H11" s="17" t="n"/>
      <c r="I11" s="17" t="n"/>
      <c r="J11" s="17" t="n"/>
    </row>
    <row r="12">
      <c r="A12" s="17" t="n"/>
      <c r="B12" s="17" t="n"/>
      <c r="C12" s="17" t="n"/>
      <c r="D12" s="17" t="n"/>
      <c r="E12" s="17" t="n"/>
      <c r="F12" s="17" t="n"/>
      <c r="G12" s="17" t="n"/>
      <c r="H12" s="17" t="n"/>
      <c r="I12" s="17" t="n"/>
      <c r="J12" s="17" t="n"/>
    </row>
    <row r="13">
      <c r="A13" s="17" t="n"/>
      <c r="B13" s="17" t="n"/>
      <c r="C13" s="17" t="n"/>
      <c r="D13" s="17" t="n"/>
      <c r="E13" s="17" t="n"/>
      <c r="F13" s="17" t="n"/>
      <c r="G13" s="17" t="n"/>
      <c r="H13" s="17" t="n"/>
      <c r="I13" s="17" t="n"/>
      <c r="J13" s="17" t="n"/>
    </row>
    <row r="14">
      <c r="A14" s="17" t="n"/>
      <c r="B14" s="17" t="n"/>
      <c r="C14" s="17" t="n"/>
      <c r="D14" s="17" t="n"/>
      <c r="E14" s="17" t="n"/>
      <c r="F14" s="17" t="n"/>
      <c r="G14" s="17" t="n"/>
      <c r="H14" s="17" t="n"/>
      <c r="I14" s="17" t="n"/>
      <c r="J14" s="17" t="n"/>
    </row>
    <row r="15">
      <c r="A15" s="17" t="n"/>
      <c r="B15" s="17" t="n"/>
      <c r="C15" s="17" t="n"/>
      <c r="D15" s="17" t="n"/>
      <c r="E15" s="17" t="n"/>
      <c r="F15" s="17" t="n"/>
      <c r="G15" s="17" t="n"/>
      <c r="H15" s="17" t="n"/>
      <c r="I15" s="17" t="n"/>
      <c r="J15" s="17" t="n"/>
    </row>
    <row r="16">
      <c r="A16" s="17" t="n"/>
      <c r="B16" s="17" t="n"/>
      <c r="C16" s="17" t="n"/>
      <c r="D16" s="17" t="n"/>
      <c r="E16" s="17" t="n"/>
      <c r="F16" s="17" t="n"/>
      <c r="G16" s="17" t="n"/>
      <c r="H16" s="17" t="n"/>
      <c r="I16" s="17" t="n"/>
      <c r="J16" s="17" t="n"/>
    </row>
    <row r="17">
      <c r="A17" s="17" t="n"/>
      <c r="B17" s="17" t="n"/>
      <c r="C17" s="17" t="n"/>
      <c r="D17" s="17" t="n"/>
      <c r="E17" s="17" t="n"/>
      <c r="F17" s="17" t="n"/>
      <c r="G17" s="17" t="n"/>
      <c r="H17" s="17" t="n"/>
      <c r="I17" s="17" t="n"/>
      <c r="J17" s="17" t="n"/>
    </row>
    <row r="18">
      <c r="A18" s="17" t="n"/>
      <c r="B18" s="17" t="n"/>
      <c r="C18" s="17" t="n"/>
      <c r="D18" s="17" t="n"/>
      <c r="E18" s="17" t="n"/>
      <c r="F18" s="17" t="n"/>
      <c r="G18" s="17" t="n"/>
      <c r="H18" s="17" t="n"/>
      <c r="I18" s="17" t="n"/>
      <c r="J18" s="17" t="n"/>
    </row>
    <row r="19">
      <c r="A19" s="17" t="n"/>
      <c r="B19" s="17" t="n"/>
      <c r="C19" s="17" t="n"/>
      <c r="D19" s="17" t="n"/>
      <c r="E19" s="17" t="n"/>
      <c r="F19" s="17" t="n"/>
      <c r="G19" s="17" t="n"/>
      <c r="H19" s="17" t="n"/>
      <c r="I19" s="17" t="n"/>
      <c r="J19" s="17" t="n"/>
    </row>
    <row r="20">
      <c r="A20" s="17" t="n"/>
      <c r="B20" s="17" t="n"/>
      <c r="C20" s="17" t="n"/>
      <c r="D20" s="17" t="n"/>
      <c r="E20" s="17" t="n"/>
      <c r="F20" s="17" t="n"/>
      <c r="G20" s="17" t="n"/>
      <c r="H20" s="17" t="n"/>
      <c r="I20" s="17" t="n"/>
      <c r="J20" s="17" t="n"/>
    </row>
    <row r="21">
      <c r="A21" s="17" t="n"/>
      <c r="B21" s="17" t="n"/>
      <c r="C21" s="17" t="n"/>
      <c r="D21" s="17" t="n"/>
      <c r="E21" s="17" t="n"/>
      <c r="F21" s="17" t="n"/>
      <c r="G21" s="17" t="n"/>
      <c r="H21" s="17" t="n"/>
      <c r="I21" s="17" t="n"/>
      <c r="J21" s="17" t="n"/>
    </row>
    <row r="22">
      <c r="A22" s="17" t="n"/>
      <c r="B22" s="17" t="n"/>
      <c r="C22" s="17" t="n"/>
      <c r="D22" s="17" t="n"/>
      <c r="E22" s="17" t="n"/>
      <c r="F22" s="17" t="n"/>
      <c r="G22" s="17" t="n"/>
      <c r="H22" s="17" t="n"/>
      <c r="I22" s="17" t="n"/>
      <c r="J22" s="17" t="n"/>
    </row>
    <row r="23">
      <c r="A23" s="17" t="n"/>
      <c r="B23" s="17" t="n"/>
      <c r="C23" s="17" t="n"/>
      <c r="D23" s="17" t="n"/>
      <c r="E23" s="17" t="n"/>
      <c r="F23" s="17" t="n"/>
      <c r="G23" s="17" t="n"/>
      <c r="H23" s="17" t="n"/>
      <c r="I23" s="17" t="n"/>
      <c r="J23" s="17" t="n"/>
    </row>
    <row r="24">
      <c r="A24" s="17" t="n"/>
      <c r="B24" s="17" t="n"/>
      <c r="C24" s="17" t="n"/>
      <c r="D24" s="17" t="n"/>
      <c r="E24" s="17" t="n"/>
      <c r="F24" s="17" t="n"/>
      <c r="G24" s="17" t="n"/>
      <c r="H24" s="17" t="n"/>
      <c r="I24" s="17" t="n"/>
      <c r="J24" s="17" t="n"/>
    </row>
    <row r="25">
      <c r="A25" s="17" t="n"/>
      <c r="B25" s="17" t="n"/>
      <c r="C25" s="17" t="n"/>
      <c r="D25" s="17" t="n"/>
      <c r="E25" s="17" t="n"/>
      <c r="F25" s="17" t="n"/>
      <c r="G25" s="17" t="n"/>
      <c r="H25" s="17" t="n"/>
      <c r="I25" s="17" t="n"/>
      <c r="J25" s="17" t="n"/>
    </row>
    <row r="26">
      <c r="A26" s="17" t="n"/>
      <c r="B26" s="17" t="n"/>
      <c r="C26" s="17" t="n"/>
      <c r="D26" s="17" t="n"/>
      <c r="E26" s="17" t="n"/>
      <c r="F26" s="17" t="n"/>
      <c r="G26" s="17" t="n"/>
      <c r="H26" s="17" t="n"/>
      <c r="I26" s="17" t="n"/>
      <c r="J26" s="17" t="n"/>
    </row>
    <row r="27">
      <c r="A27" s="17" t="n"/>
      <c r="B27" s="17" t="n"/>
      <c r="C27" s="17" t="n"/>
      <c r="D27" s="17" t="n"/>
      <c r="E27" s="17" t="n"/>
      <c r="F27" s="17" t="n"/>
      <c r="G27" s="17" t="n"/>
      <c r="H27" s="17" t="n"/>
      <c r="I27" s="17" t="n"/>
      <c r="J27" s="17" t="n"/>
    </row>
    <row r="28">
      <c r="A28" s="17" t="n"/>
      <c r="B28" s="17" t="n"/>
      <c r="C28" s="17" t="n"/>
      <c r="D28" s="17" t="n"/>
      <c r="E28" s="17" t="n"/>
      <c r="F28" s="17" t="n"/>
      <c r="G28" s="17" t="n"/>
      <c r="H28" s="17" t="n"/>
      <c r="I28" s="17" t="n"/>
      <c r="J28" s="17" t="n"/>
    </row>
    <row r="29">
      <c r="A29" s="17" t="n"/>
      <c r="B29" s="17" t="n"/>
      <c r="C29" s="17" t="n"/>
      <c r="D29" s="17" t="n"/>
      <c r="E29" s="17" t="n"/>
      <c r="F29" s="17" t="n"/>
      <c r="G29" s="17" t="n"/>
      <c r="H29" s="17" t="n"/>
      <c r="I29" s="17" t="n"/>
      <c r="J29" s="17" t="n"/>
    </row>
    <row r="30">
      <c r="A30" s="17" t="n"/>
      <c r="B30" s="17" t="n"/>
      <c r="C30" s="17" t="n"/>
      <c r="D30" s="17" t="n"/>
      <c r="E30" s="17" t="n"/>
      <c r="F30" s="17" t="n"/>
      <c r="G30" s="17" t="n"/>
      <c r="H30" s="17" t="n"/>
      <c r="I30" s="17" t="n"/>
      <c r="J30" s="17" t="n"/>
    </row>
    <row r="31">
      <c r="A31" s="17" t="n"/>
      <c r="B31" s="17" t="n"/>
      <c r="C31" s="17" t="n"/>
      <c r="D31" s="17" t="n"/>
      <c r="E31" s="17" t="n"/>
      <c r="F31" s="17" t="n"/>
      <c r="G31" s="17" t="n"/>
      <c r="H31" s="17" t="n"/>
      <c r="I31" s="17" t="n"/>
      <c r="J31" s="17" t="n"/>
    </row>
    <row r="32">
      <c r="A32" s="17" t="n"/>
      <c r="B32" s="17" t="n"/>
      <c r="C32" s="17" t="n"/>
      <c r="D32" s="17" t="n"/>
      <c r="E32" s="17" t="n"/>
      <c r="F32" s="17" t="n"/>
      <c r="G32" s="17" t="n"/>
      <c r="H32" s="17" t="n"/>
      <c r="I32" s="17" t="n"/>
      <c r="J32" s="17" t="n"/>
    </row>
    <row r="33">
      <c r="A33" s="17" t="n"/>
      <c r="B33" s="17" t="n"/>
      <c r="C33" s="17" t="n"/>
      <c r="D33" s="17" t="n"/>
      <c r="E33" s="17" t="n"/>
      <c r="F33" s="17" t="n"/>
      <c r="G33" s="17" t="n"/>
      <c r="H33" s="17" t="n"/>
      <c r="I33" s="17" t="n"/>
      <c r="J33" s="17" t="n"/>
    </row>
    <row r="34">
      <c r="A34" s="17" t="n"/>
      <c r="B34" s="17" t="n"/>
      <c r="C34" s="17" t="n"/>
      <c r="D34" s="17" t="n"/>
      <c r="E34" s="17" t="n"/>
      <c r="F34" s="17" t="n"/>
      <c r="G34" s="17" t="n"/>
      <c r="H34" s="17" t="n"/>
      <c r="I34" s="17" t="n"/>
      <c r="J34" s="17" t="n"/>
    </row>
    <row r="35">
      <c r="A35" s="17" t="n"/>
      <c r="B35" s="17" t="n"/>
      <c r="C35" s="17" t="n"/>
      <c r="D35" s="17" t="n"/>
      <c r="E35" s="17" t="n"/>
      <c r="F35" s="17" t="n"/>
      <c r="G35" s="17" t="n"/>
      <c r="H35" s="17" t="n"/>
      <c r="I35" s="17" t="n"/>
      <c r="J35" s="17" t="n"/>
    </row>
    <row r="36">
      <c r="A36" s="17" t="n"/>
      <c r="B36" s="17" t="n"/>
      <c r="C36" s="17" t="n"/>
      <c r="D36" s="17" t="n"/>
      <c r="E36" s="17" t="n"/>
      <c r="F36" s="17" t="n"/>
      <c r="G36" s="17" t="n"/>
      <c r="H36" s="17" t="n"/>
      <c r="I36" s="17" t="n"/>
      <c r="J36" s="17" t="n"/>
    </row>
    <row r="37">
      <c r="A37" s="17" t="n"/>
      <c r="B37" s="17" t="n"/>
      <c r="C37" s="17" t="n"/>
      <c r="D37" s="17" t="n"/>
      <c r="E37" s="17" t="n"/>
      <c r="F37" s="17" t="n"/>
      <c r="G37" s="17" t="n"/>
      <c r="H37" s="17" t="n"/>
      <c r="I37" s="17" t="n"/>
      <c r="J37" s="17" t="n"/>
    </row>
    <row r="38">
      <c r="A38" s="17" t="n"/>
      <c r="B38" s="17" t="n"/>
      <c r="C38" s="17" t="n"/>
      <c r="D38" s="17" t="n"/>
      <c r="E38" s="17" t="n"/>
      <c r="F38" s="17" t="n"/>
      <c r="G38" s="17" t="n"/>
      <c r="H38" s="17" t="n"/>
      <c r="I38" s="17" t="n"/>
      <c r="J38" s="17" t="n"/>
    </row>
    <row r="39">
      <c r="A39" s="17" t="n"/>
      <c r="B39" s="17" t="n"/>
      <c r="C39" s="17" t="n"/>
      <c r="D39" s="17" t="n"/>
      <c r="E39" s="17" t="n"/>
      <c r="F39" s="17" t="n"/>
      <c r="G39" s="17" t="n"/>
      <c r="H39" s="17" t="n"/>
      <c r="I39" s="17" t="n"/>
      <c r="J39" s="17" t="n"/>
    </row>
    <row r="40">
      <c r="A40" s="17" t="n"/>
      <c r="B40" s="17" t="n"/>
      <c r="C40" s="17" t="n"/>
      <c r="D40" s="17" t="n"/>
      <c r="E40" s="17" t="n"/>
      <c r="F40" s="17" t="n"/>
      <c r="G40" s="17" t="n"/>
      <c r="H40" s="17" t="n"/>
      <c r="I40" s="17" t="n"/>
      <c r="J40" s="17" t="n"/>
    </row>
    <row r="41">
      <c r="A41" s="17" t="n"/>
      <c r="B41" s="17" t="n"/>
      <c r="C41" s="17" t="n"/>
      <c r="D41" s="17" t="n"/>
      <c r="E41" s="17" t="n"/>
      <c r="F41" s="17" t="n"/>
      <c r="G41" s="17" t="n"/>
      <c r="H41" s="17" t="n"/>
      <c r="I41" s="17" t="n"/>
      <c r="J41" s="17" t="n"/>
    </row>
    <row r="42">
      <c r="A42" s="17" t="n"/>
      <c r="B42" s="17" t="n"/>
      <c r="C42" s="17" t="n"/>
      <c r="D42" s="17" t="n"/>
      <c r="E42" s="17" t="n"/>
      <c r="F42" s="17" t="n"/>
      <c r="G42" s="17" t="n"/>
      <c r="H42" s="17" t="n"/>
      <c r="I42" s="17" t="n"/>
      <c r="J42" s="17" t="n"/>
    </row>
    <row r="43">
      <c r="A43" s="17" t="n"/>
      <c r="B43" s="17" t="n"/>
      <c r="C43" s="17" t="n"/>
      <c r="D43" s="17" t="n"/>
      <c r="E43" s="17" t="n"/>
      <c r="F43" s="17" t="n"/>
      <c r="G43" s="17" t="n"/>
      <c r="H43" s="17" t="n"/>
      <c r="I43" s="17" t="n"/>
      <c r="J43" s="17" t="n"/>
    </row>
    <row r="44">
      <c r="A44" s="17" t="n"/>
      <c r="B44" s="17" t="n"/>
      <c r="C44" s="17" t="n"/>
      <c r="D44" s="17" t="n"/>
      <c r="E44" s="17" t="n"/>
      <c r="F44" s="17" t="n"/>
      <c r="G44" s="17" t="n"/>
      <c r="H44" s="17" t="n"/>
      <c r="I44" s="17" t="n"/>
      <c r="J44" s="17" t="n"/>
    </row>
    <row r="45">
      <c r="A45" s="17" t="n"/>
      <c r="B45" s="17" t="n"/>
      <c r="C45" s="17" t="n"/>
      <c r="D45" s="17" t="n"/>
      <c r="E45" s="17" t="n"/>
      <c r="F45" s="17" t="n"/>
      <c r="G45" s="17" t="n"/>
      <c r="H45" s="17" t="n"/>
      <c r="I45" s="17" t="n"/>
      <c r="J45" s="17" t="n"/>
    </row>
    <row r="46">
      <c r="A46" s="17" t="n"/>
      <c r="B46" s="17" t="n"/>
      <c r="C46" s="17" t="n"/>
      <c r="D46" s="17" t="n"/>
      <c r="E46" s="17" t="n"/>
      <c r="F46" s="17" t="n"/>
      <c r="G46" s="17" t="n"/>
      <c r="H46" s="17" t="n"/>
      <c r="I46" s="17" t="n"/>
      <c r="J46" s="17" t="n"/>
    </row>
    <row r="47">
      <c r="A47" s="17" t="n"/>
      <c r="B47" s="17" t="n"/>
      <c r="C47" s="17" t="n"/>
      <c r="D47" s="17" t="n"/>
      <c r="E47" s="17" t="n"/>
      <c r="F47" s="17" t="n"/>
      <c r="G47" s="17" t="n"/>
      <c r="H47" s="17" t="n"/>
      <c r="I47" s="17" t="n"/>
      <c r="J47" s="17" t="n"/>
    </row>
    <row r="48">
      <c r="A48" s="17" t="n"/>
      <c r="B48" s="17" t="n"/>
      <c r="C48" s="17" t="n"/>
      <c r="D48" s="17" t="n"/>
      <c r="E48" s="17" t="n"/>
      <c r="F48" s="17" t="n"/>
      <c r="G48" s="17" t="n"/>
      <c r="H48" s="17" t="n"/>
      <c r="I48" s="17" t="n"/>
      <c r="J48" s="17" t="n"/>
    </row>
    <row r="49">
      <c r="A49" s="17" t="n"/>
      <c r="B49" s="17" t="n"/>
      <c r="C49" s="17" t="n"/>
      <c r="D49" s="17" t="n"/>
      <c r="E49" s="17" t="n"/>
      <c r="F49" s="17" t="n"/>
      <c r="G49" s="17" t="n"/>
      <c r="H49" s="17" t="n"/>
      <c r="I49" s="17" t="n"/>
      <c r="J49" s="17" t="n"/>
    </row>
    <row r="50">
      <c r="A50" s="17" t="n"/>
      <c r="B50" s="17" t="n"/>
      <c r="C50" s="17" t="n"/>
      <c r="D50" s="17" t="n"/>
      <c r="E50" s="17" t="n"/>
      <c r="F50" s="17" t="n"/>
      <c r="G50" s="17" t="n"/>
      <c r="H50" s="17" t="n"/>
      <c r="I50" s="17" t="n"/>
      <c r="J50" s="17" t="n"/>
    </row>
    <row r="51">
      <c r="A51" s="17" t="n"/>
      <c r="B51" s="17" t="n"/>
      <c r="C51" s="17" t="n"/>
      <c r="D51" s="17" t="n"/>
      <c r="E51" s="17" t="n"/>
      <c r="F51" s="17" t="n"/>
      <c r="G51" s="17" t="n"/>
      <c r="H51" s="17" t="n"/>
      <c r="I51" s="17" t="n"/>
      <c r="J51" s="17" t="n"/>
    </row>
    <row r="52">
      <c r="A52" s="17" t="n"/>
      <c r="B52" s="17" t="n"/>
      <c r="C52" s="17" t="n"/>
      <c r="D52" s="17" t="n"/>
      <c r="E52" s="17" t="n"/>
      <c r="F52" s="17" t="n"/>
      <c r="G52" s="17" t="n"/>
      <c r="H52" s="17" t="n"/>
      <c r="I52" s="17" t="n"/>
      <c r="J52" s="17" t="n"/>
    </row>
    <row r="53">
      <c r="A53" s="17" t="n"/>
      <c r="B53" s="17" t="n"/>
      <c r="C53" s="17" t="n"/>
      <c r="D53" s="17" t="n"/>
      <c r="E53" s="17" t="n"/>
      <c r="F53" s="17" t="n"/>
      <c r="G53" s="17" t="n"/>
      <c r="H53" s="17" t="n"/>
      <c r="I53" s="17" t="n"/>
      <c r="J53" s="17" t="n"/>
    </row>
    <row r="54">
      <c r="A54" s="17" t="n"/>
      <c r="B54" s="17" t="n"/>
      <c r="C54" s="17" t="n"/>
      <c r="D54" s="17" t="n"/>
      <c r="E54" s="17" t="n"/>
      <c r="F54" s="17" t="n"/>
      <c r="G54" s="17" t="n"/>
      <c r="H54" s="17" t="n"/>
      <c r="I54" s="17" t="n"/>
      <c r="J54" s="17" t="n"/>
    </row>
    <row r="55">
      <c r="A55" s="17" t="n"/>
      <c r="B55" s="17" t="n"/>
      <c r="C55" s="17" t="n"/>
      <c r="D55" s="17" t="n"/>
      <c r="E55" s="17" t="n"/>
      <c r="F55" s="17" t="n"/>
      <c r="G55" s="17" t="n"/>
      <c r="H55" s="17" t="n"/>
      <c r="I55" s="17" t="n"/>
      <c r="J55" s="17" t="n"/>
    </row>
    <row r="57">
      <c r="A57" s="12" t="inlineStr">
        <is>
          <t>[CHART] SOFTWARE INVENTORY SUMMARY</t>
        </is>
      </c>
    </row>
    <row r="58">
      <c r="A58" t="inlineStr">
        <is>
          <t>Total Software Entries:</t>
        </is>
      </c>
      <c r="B58">
        <f>COUNTA(C6:C55)</f>
        <v/>
      </c>
    </row>
    <row r="59">
      <c r="A59" t="inlineStr">
        <is>
          <t>Unique Software Titles:</t>
        </is>
      </c>
      <c r="B59">
        <f>SUMPRODUCT((C6:C55&lt;&gt;"")/COUNTIF(C6:C55,C6:C55&amp;""))</f>
        <v/>
      </c>
    </row>
    <row r="60">
      <c r="A60" t="inlineStr">
        <is>
          <t>Unique Groups:</t>
        </is>
      </c>
      <c r="B60">
        <f>SUMPRODUCT((B6:B55&lt;&gt;"")/COUNTIF(B6:B55,B6:B55&amp;""))</f>
        <v/>
      </c>
    </row>
  </sheetData>
  <mergeCells count="3">
    <mergeCell ref="A1:J1"/>
    <mergeCell ref="A57:C57"/>
    <mergeCell ref="A2:J2"/>
  </mergeCells>
  <dataValidations count="2">
    <dataValidation sqref="H6 H7 H8 H9 H10 H11 H12 H13 H14 H15 H16 H17 H18 H19 H20 H21 H22 H23 H24 H25 H26 H27 H28 H29 H30 H31 H32 H33 H34 H35 H36 H37 H38 H39 H40 H41 H42 H43 H44 H45 H46 H47 H48 H49 H50 H51 H52 H53 H54 H55" showDropDown="0" showInputMessage="0" showErrorMessage="0" allowBlank="0" type="list">
      <formula1>"Yes,No"</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"SCCM/Intune,[WEB] Self-Service Portal,User Installation,[DISK] Manual Install,[CLOUD] Cloud Deployment,Other"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4"/>
  <sheetViews>
    <sheetView showGridLines="0" workbookViewId="0">
      <pane ySplit="4" topLeftCell="A5" activePane="bottomLeft" state="frozen"/>
      <selection pane="bottomLeft" activeCell="A1" sqref="A1"/>
    </sheetView>
  </sheetViews>
  <sheetFormatPr baseColWidth="8" defaultRowHeight="15"/>
  <cols>
    <col width="15" customWidth="1" min="1" max="1"/>
    <col width="15" customWidth="1" min="2" max="2"/>
    <col width="12" customWidth="1" min="3" max="3"/>
    <col width="20" customWidth="1" min="4" max="4"/>
    <col width="30" customWidth="1" min="5" max="5"/>
    <col width="20" customWidth="1" min="6" max="6"/>
    <col width="18" customWidth="1" min="7" max="7"/>
    <col width="30" customWidth="1" min="8" max="8"/>
    <col width="15" customWidth="1" min="9" max="9"/>
    <col width="25" customWidth="1" min="10" max="10"/>
    <col width="30" customWidth="1" min="11" max="11"/>
  </cols>
  <sheetData>
    <row r="1" ht="35" customHeight="1">
      <c r="A1" s="11" t="inlineStr">
        <is>
          <t>UNAUTHORIZED SOFTWARE DETECTION &amp; REMEDIATION</t>
        </is>
      </c>
    </row>
    <row r="2">
      <c r="A2" s="12" t="inlineStr">
        <is>
          <t>Software NOT in approved list - detection, risk assessment, remediation tracking</t>
        </is>
      </c>
    </row>
    <row r="4">
      <c r="A4" s="13" t="inlineStr">
        <is>
          <t>Detection ID</t>
        </is>
      </c>
      <c r="B4" s="13" t="inlineStr">
        <is>
          <t>Detection Date</t>
        </is>
      </c>
      <c r="C4" s="13" t="inlineStr">
        <is>
          <t>Device ID</t>
        </is>
      </c>
      <c r="D4" s="13" t="inlineStr">
        <is>
          <t>Hostname</t>
        </is>
      </c>
      <c r="E4" s="13" t="inlineStr">
        <is>
          <t>Software Name</t>
        </is>
      </c>
      <c r="F4" s="13" t="inlineStr">
        <is>
          <t>Vendor</t>
        </is>
      </c>
      <c r="G4" s="13" t="inlineStr">
        <is>
          <t>Risk Assessment</t>
        </is>
      </c>
      <c r="H4" s="13" t="inlineStr">
        <is>
          <t>Remediation Action</t>
        </is>
      </c>
      <c r="I4" s="13" t="inlineStr">
        <is>
          <t>Remediation Date</t>
        </is>
      </c>
      <c r="J4" s="13" t="inlineStr">
        <is>
          <t>Remediation Status</t>
        </is>
      </c>
      <c r="K4" s="13" t="inlineStr">
        <is>
          <t>Notes</t>
        </is>
      </c>
    </row>
    <row r="5">
      <c r="A5" s="14" t="inlineStr">
        <is>
          <t>UNAUTH-0001</t>
        </is>
      </c>
      <c r="B5" s="15" t="inlineStr">
        <is>
          <t>21.02.2026</t>
        </is>
      </c>
      <c r="C5" s="15" t="inlineStr">
        <is>
          <t>EP-1002</t>
        </is>
      </c>
      <c r="D5" s="15" t="inlineStr">
        <is>
          <t>LAPTOP-USER-02</t>
        </is>
      </c>
      <c r="E5" s="15" t="inlineStr">
        <is>
          <t>VLC Media Player</t>
        </is>
      </c>
      <c r="F5" s="15" t="inlineStr">
        <is>
          <t>VideoLAN</t>
        </is>
      </c>
      <c r="G5" s="15" t="inlineStr">
        <is>
          <t>Low</t>
        </is>
      </c>
      <c r="H5" s="15" t="inlineStr">
        <is>
          <t>Approved Retroactively</t>
        </is>
      </c>
      <c r="I5" s="15" t="inlineStr">
        <is>
          <t>21.02.2026</t>
        </is>
      </c>
      <c r="J5" s="15" t="inlineStr">
        <is>
          <t>Approved Retroactively</t>
        </is>
      </c>
      <c r="K5" s="15" t="inlineStr">
        <is>
          <t>Approved after review</t>
        </is>
      </c>
    </row>
    <row r="6">
      <c r="A6" s="16" t="inlineStr">
        <is>
          <t>UNAUTH-0001</t>
        </is>
      </c>
      <c r="B6" s="17" t="n"/>
      <c r="C6" s="17" t="n"/>
      <c r="D6" s="17" t="n"/>
      <c r="E6" s="17" t="n"/>
      <c r="F6" s="17" t="n"/>
      <c r="G6" s="17" t="n"/>
      <c r="H6" s="17" t="n"/>
      <c r="I6" s="17" t="n"/>
      <c r="J6" s="17" t="n"/>
      <c r="K6" s="17" t="n"/>
    </row>
    <row r="7">
      <c r="A7" s="16" t="inlineStr">
        <is>
          <t>UNAUTH-0002</t>
        </is>
      </c>
      <c r="B7" s="17" t="n"/>
      <c r="C7" s="17" t="n"/>
      <c r="D7" s="17" t="n"/>
      <c r="E7" s="17" t="n"/>
      <c r="F7" s="17" t="n"/>
      <c r="G7" s="17" t="n"/>
      <c r="H7" s="17" t="n"/>
      <c r="I7" s="17" t="n"/>
      <c r="J7" s="17" t="n"/>
      <c r="K7" s="17" t="n"/>
    </row>
    <row r="8">
      <c r="A8" s="16" t="inlineStr">
        <is>
          <t>UNAUTH-0003</t>
        </is>
      </c>
      <c r="B8" s="17" t="n"/>
      <c r="C8" s="17" t="n"/>
      <c r="D8" s="17" t="n"/>
      <c r="E8" s="17" t="n"/>
      <c r="F8" s="17" t="n"/>
      <c r="G8" s="17" t="n"/>
      <c r="H8" s="17" t="n"/>
      <c r="I8" s="17" t="n"/>
      <c r="J8" s="17" t="n"/>
      <c r="K8" s="17" t="n"/>
    </row>
    <row r="9">
      <c r="A9" s="16" t="inlineStr">
        <is>
          <t>UNAUTH-0004</t>
        </is>
      </c>
      <c r="B9" s="17" t="n"/>
      <c r="C9" s="17" t="n"/>
      <c r="D9" s="17" t="n"/>
      <c r="E9" s="17" t="n"/>
      <c r="F9" s="17" t="n"/>
      <c r="G9" s="17" t="n"/>
      <c r="H9" s="17" t="n"/>
      <c r="I9" s="17" t="n"/>
      <c r="J9" s="17" t="n"/>
      <c r="K9" s="17" t="n"/>
    </row>
    <row r="10">
      <c r="A10" s="16" t="inlineStr">
        <is>
          <t>UNAUTH-0005</t>
        </is>
      </c>
      <c r="B10" s="17" t="n"/>
      <c r="C10" s="17" t="n"/>
      <c r="D10" s="17" t="n"/>
      <c r="E10" s="17" t="n"/>
      <c r="F10" s="17" t="n"/>
      <c r="G10" s="17" t="n"/>
      <c r="H10" s="17" t="n"/>
      <c r="I10" s="17" t="n"/>
      <c r="J10" s="17" t="n"/>
      <c r="K10" s="17" t="n"/>
    </row>
    <row r="11">
      <c r="A11" s="16" t="inlineStr">
        <is>
          <t>UNAUTH-0006</t>
        </is>
      </c>
      <c r="B11" s="17" t="n"/>
      <c r="C11" s="17" t="n"/>
      <c r="D11" s="17" t="n"/>
      <c r="E11" s="17" t="n"/>
      <c r="F11" s="17" t="n"/>
      <c r="G11" s="17" t="n"/>
      <c r="H11" s="17" t="n"/>
      <c r="I11" s="17" t="n"/>
      <c r="J11" s="17" t="n"/>
      <c r="K11" s="17" t="n"/>
    </row>
    <row r="12">
      <c r="A12" s="16" t="inlineStr">
        <is>
          <t>UNAUTH-0007</t>
        </is>
      </c>
      <c r="B12" s="17" t="n"/>
      <c r="C12" s="17" t="n"/>
      <c r="D12" s="17" t="n"/>
      <c r="E12" s="17" t="n"/>
      <c r="F12" s="17" t="n"/>
      <c r="G12" s="17" t="n"/>
      <c r="H12" s="17" t="n"/>
      <c r="I12" s="17" t="n"/>
      <c r="J12" s="17" t="n"/>
      <c r="K12" s="17" t="n"/>
    </row>
    <row r="13">
      <c r="A13" s="16" t="inlineStr">
        <is>
          <t>UNAUTH-0008</t>
        </is>
      </c>
      <c r="B13" s="17" t="n"/>
      <c r="C13" s="17" t="n"/>
      <c r="D13" s="17" t="n"/>
      <c r="E13" s="17" t="n"/>
      <c r="F13" s="17" t="n"/>
      <c r="G13" s="17" t="n"/>
      <c r="H13" s="17" t="n"/>
      <c r="I13" s="17" t="n"/>
      <c r="J13" s="17" t="n"/>
      <c r="K13" s="17" t="n"/>
    </row>
    <row r="14">
      <c r="A14" s="16" t="inlineStr">
        <is>
          <t>UNAUTH-0009</t>
        </is>
      </c>
      <c r="B14" s="17" t="n"/>
      <c r="C14" s="17" t="n"/>
      <c r="D14" s="17" t="n"/>
      <c r="E14" s="17" t="n"/>
      <c r="F14" s="17" t="n"/>
      <c r="G14" s="17" t="n"/>
      <c r="H14" s="17" t="n"/>
      <c r="I14" s="17" t="n"/>
      <c r="J14" s="17" t="n"/>
      <c r="K14" s="17" t="n"/>
    </row>
    <row r="15">
      <c r="A15" s="16" t="inlineStr">
        <is>
          <t>UNAUTH-0010</t>
        </is>
      </c>
      <c r="B15" s="17" t="n"/>
      <c r="C15" s="17" t="n"/>
      <c r="D15" s="17" t="n"/>
      <c r="E15" s="17" t="n"/>
      <c r="F15" s="17" t="n"/>
      <c r="G15" s="17" t="n"/>
      <c r="H15" s="17" t="n"/>
      <c r="I15" s="17" t="n"/>
      <c r="J15" s="17" t="n"/>
      <c r="K15" s="17" t="n"/>
    </row>
    <row r="16">
      <c r="A16" s="16" t="inlineStr">
        <is>
          <t>UNAUTH-0011</t>
        </is>
      </c>
      <c r="B16" s="17" t="n"/>
      <c r="C16" s="17" t="n"/>
      <c r="D16" s="17" t="n"/>
      <c r="E16" s="17" t="n"/>
      <c r="F16" s="17" t="n"/>
      <c r="G16" s="17" t="n"/>
      <c r="H16" s="17" t="n"/>
      <c r="I16" s="17" t="n"/>
      <c r="J16" s="17" t="n"/>
      <c r="K16" s="17" t="n"/>
    </row>
    <row r="17">
      <c r="A17" s="16" t="inlineStr">
        <is>
          <t>UNAUTH-0012</t>
        </is>
      </c>
      <c r="B17" s="17" t="n"/>
      <c r="C17" s="17" t="n"/>
      <c r="D17" s="17" t="n"/>
      <c r="E17" s="17" t="n"/>
      <c r="F17" s="17" t="n"/>
      <c r="G17" s="17" t="n"/>
      <c r="H17" s="17" t="n"/>
      <c r="I17" s="17" t="n"/>
      <c r="J17" s="17" t="n"/>
      <c r="K17" s="17" t="n"/>
    </row>
    <row r="18">
      <c r="A18" s="16" t="inlineStr">
        <is>
          <t>UNAUTH-0013</t>
        </is>
      </c>
      <c r="B18" s="17" t="n"/>
      <c r="C18" s="17" t="n"/>
      <c r="D18" s="17" t="n"/>
      <c r="E18" s="17" t="n"/>
      <c r="F18" s="17" t="n"/>
      <c r="G18" s="17" t="n"/>
      <c r="H18" s="17" t="n"/>
      <c r="I18" s="17" t="n"/>
      <c r="J18" s="17" t="n"/>
      <c r="K18" s="17" t="n"/>
    </row>
    <row r="19">
      <c r="A19" s="16" t="inlineStr">
        <is>
          <t>UNAUTH-0014</t>
        </is>
      </c>
      <c r="B19" s="17" t="n"/>
      <c r="C19" s="17" t="n"/>
      <c r="D19" s="17" t="n"/>
      <c r="E19" s="17" t="n"/>
      <c r="F19" s="17" t="n"/>
      <c r="G19" s="17" t="n"/>
      <c r="H19" s="17" t="n"/>
      <c r="I19" s="17" t="n"/>
      <c r="J19" s="17" t="n"/>
      <c r="K19" s="17" t="n"/>
    </row>
    <row r="20">
      <c r="A20" s="16" t="inlineStr">
        <is>
          <t>UNAUTH-0015</t>
        </is>
      </c>
      <c r="B20" s="17" t="n"/>
      <c r="C20" s="17" t="n"/>
      <c r="D20" s="17" t="n"/>
      <c r="E20" s="17" t="n"/>
      <c r="F20" s="17" t="n"/>
      <c r="G20" s="17" t="n"/>
      <c r="H20" s="17" t="n"/>
      <c r="I20" s="17" t="n"/>
      <c r="J20" s="17" t="n"/>
      <c r="K20" s="17" t="n"/>
    </row>
    <row r="21">
      <c r="A21" s="16" t="inlineStr">
        <is>
          <t>UNAUTH-0016</t>
        </is>
      </c>
      <c r="B21" s="17" t="n"/>
      <c r="C21" s="17" t="n"/>
      <c r="D21" s="17" t="n"/>
      <c r="E21" s="17" t="n"/>
      <c r="F21" s="17" t="n"/>
      <c r="G21" s="17" t="n"/>
      <c r="H21" s="17" t="n"/>
      <c r="I21" s="17" t="n"/>
      <c r="J21" s="17" t="n"/>
      <c r="K21" s="17" t="n"/>
    </row>
    <row r="22">
      <c r="A22" s="16" t="inlineStr">
        <is>
          <t>UNAUTH-0017</t>
        </is>
      </c>
      <c r="B22" s="17" t="n"/>
      <c r="C22" s="17" t="n"/>
      <c r="D22" s="17" t="n"/>
      <c r="E22" s="17" t="n"/>
      <c r="F22" s="17" t="n"/>
      <c r="G22" s="17" t="n"/>
      <c r="H22" s="17" t="n"/>
      <c r="I22" s="17" t="n"/>
      <c r="J22" s="17" t="n"/>
      <c r="K22" s="17" t="n"/>
    </row>
    <row r="23">
      <c r="A23" s="16" t="inlineStr">
        <is>
          <t>UNAUTH-0018</t>
        </is>
      </c>
      <c r="B23" s="17" t="n"/>
      <c r="C23" s="17" t="n"/>
      <c r="D23" s="17" t="n"/>
      <c r="E23" s="17" t="n"/>
      <c r="F23" s="17" t="n"/>
      <c r="G23" s="17" t="n"/>
      <c r="H23" s="17" t="n"/>
      <c r="I23" s="17" t="n"/>
      <c r="J23" s="17" t="n"/>
      <c r="K23" s="17" t="n"/>
    </row>
    <row r="24">
      <c r="A24" s="16" t="inlineStr">
        <is>
          <t>UNAUTH-0019</t>
        </is>
      </c>
      <c r="B24" s="17" t="n"/>
      <c r="C24" s="17" t="n"/>
      <c r="D24" s="17" t="n"/>
      <c r="E24" s="17" t="n"/>
      <c r="F24" s="17" t="n"/>
      <c r="G24" s="17" t="n"/>
      <c r="H24" s="17" t="n"/>
      <c r="I24" s="17" t="n"/>
      <c r="J24" s="17" t="n"/>
      <c r="K24" s="17" t="n"/>
    </row>
    <row r="25">
      <c r="A25" s="16" t="inlineStr">
        <is>
          <t>UNAUTH-0020</t>
        </is>
      </c>
      <c r="B25" s="17" t="n"/>
      <c r="C25" s="17" t="n"/>
      <c r="D25" s="17" t="n"/>
      <c r="E25" s="17" t="n"/>
      <c r="F25" s="17" t="n"/>
      <c r="G25" s="17" t="n"/>
      <c r="H25" s="17" t="n"/>
      <c r="I25" s="17" t="n"/>
      <c r="J25" s="17" t="n"/>
      <c r="K25" s="17" t="n"/>
    </row>
    <row r="26">
      <c r="A26" s="16" t="inlineStr">
        <is>
          <t>UNAUTH-0021</t>
        </is>
      </c>
      <c r="B26" s="17" t="n"/>
      <c r="C26" s="17" t="n"/>
      <c r="D26" s="17" t="n"/>
      <c r="E26" s="17" t="n"/>
      <c r="F26" s="17" t="n"/>
      <c r="G26" s="17" t="n"/>
      <c r="H26" s="17" t="n"/>
      <c r="I26" s="17" t="n"/>
      <c r="J26" s="17" t="n"/>
      <c r="K26" s="17" t="n"/>
    </row>
    <row r="27">
      <c r="A27" s="16" t="inlineStr">
        <is>
          <t>UNAUTH-0022</t>
        </is>
      </c>
      <c r="B27" s="17" t="n"/>
      <c r="C27" s="17" t="n"/>
      <c r="D27" s="17" t="n"/>
      <c r="E27" s="17" t="n"/>
      <c r="F27" s="17" t="n"/>
      <c r="G27" s="17" t="n"/>
      <c r="H27" s="17" t="n"/>
      <c r="I27" s="17" t="n"/>
      <c r="J27" s="17" t="n"/>
      <c r="K27" s="17" t="n"/>
    </row>
    <row r="28">
      <c r="A28" s="16" t="inlineStr">
        <is>
          <t>UNAUTH-0023</t>
        </is>
      </c>
      <c r="B28" s="17" t="n"/>
      <c r="C28" s="17" t="n"/>
      <c r="D28" s="17" t="n"/>
      <c r="E28" s="17" t="n"/>
      <c r="F28" s="17" t="n"/>
      <c r="G28" s="17" t="n"/>
      <c r="H28" s="17" t="n"/>
      <c r="I28" s="17" t="n"/>
      <c r="J28" s="17" t="n"/>
      <c r="K28" s="17" t="n"/>
    </row>
    <row r="29">
      <c r="A29" s="16" t="inlineStr">
        <is>
          <t>UNAUTH-0024</t>
        </is>
      </c>
      <c r="B29" s="17" t="n"/>
      <c r="C29" s="17" t="n"/>
      <c r="D29" s="17" t="n"/>
      <c r="E29" s="17" t="n"/>
      <c r="F29" s="17" t="n"/>
      <c r="G29" s="17" t="n"/>
      <c r="H29" s="17" t="n"/>
      <c r="I29" s="17" t="n"/>
      <c r="J29" s="17" t="n"/>
      <c r="K29" s="17" t="n"/>
    </row>
    <row r="30">
      <c r="A30" s="16" t="inlineStr">
        <is>
          <t>UNAUTH-0025</t>
        </is>
      </c>
      <c r="B30" s="17" t="n"/>
      <c r="C30" s="17" t="n"/>
      <c r="D30" s="17" t="n"/>
      <c r="E30" s="17" t="n"/>
      <c r="F30" s="17" t="n"/>
      <c r="G30" s="17" t="n"/>
      <c r="H30" s="17" t="n"/>
      <c r="I30" s="17" t="n"/>
      <c r="J30" s="17" t="n"/>
      <c r="K30" s="17" t="n"/>
    </row>
    <row r="31">
      <c r="A31" s="16" t="inlineStr">
        <is>
          <t>UNAUTH-0026</t>
        </is>
      </c>
      <c r="B31" s="17" t="n"/>
      <c r="C31" s="17" t="n"/>
      <c r="D31" s="17" t="n"/>
      <c r="E31" s="17" t="n"/>
      <c r="F31" s="17" t="n"/>
      <c r="G31" s="17" t="n"/>
      <c r="H31" s="17" t="n"/>
      <c r="I31" s="17" t="n"/>
      <c r="J31" s="17" t="n"/>
      <c r="K31" s="17" t="n"/>
    </row>
    <row r="32">
      <c r="A32" s="16" t="inlineStr">
        <is>
          <t>UNAUTH-0027</t>
        </is>
      </c>
      <c r="B32" s="17" t="n"/>
      <c r="C32" s="17" t="n"/>
      <c r="D32" s="17" t="n"/>
      <c r="E32" s="17" t="n"/>
      <c r="F32" s="17" t="n"/>
      <c r="G32" s="17" t="n"/>
      <c r="H32" s="17" t="n"/>
      <c r="I32" s="17" t="n"/>
      <c r="J32" s="17" t="n"/>
      <c r="K32" s="17" t="n"/>
    </row>
    <row r="33">
      <c r="A33" s="16" t="inlineStr">
        <is>
          <t>UNAUTH-0028</t>
        </is>
      </c>
      <c r="B33" s="17" t="n"/>
      <c r="C33" s="17" t="n"/>
      <c r="D33" s="17" t="n"/>
      <c r="E33" s="17" t="n"/>
      <c r="F33" s="17" t="n"/>
      <c r="G33" s="17" t="n"/>
      <c r="H33" s="17" t="n"/>
      <c r="I33" s="17" t="n"/>
      <c r="J33" s="17" t="n"/>
      <c r="K33" s="17" t="n"/>
    </row>
    <row r="34">
      <c r="A34" s="16" t="inlineStr">
        <is>
          <t>UNAUTH-0029</t>
        </is>
      </c>
      <c r="B34" s="17" t="n"/>
      <c r="C34" s="17" t="n"/>
      <c r="D34" s="17" t="n"/>
      <c r="E34" s="17" t="n"/>
      <c r="F34" s="17" t="n"/>
      <c r="G34" s="17" t="n"/>
      <c r="H34" s="17" t="n"/>
      <c r="I34" s="17" t="n"/>
      <c r="J34" s="17" t="n"/>
      <c r="K34" s="17" t="n"/>
    </row>
    <row r="35">
      <c r="A35" s="16" t="inlineStr">
        <is>
          <t>UNAUTH-0030</t>
        </is>
      </c>
      <c r="B35" s="17" t="n"/>
      <c r="C35" s="17" t="n"/>
      <c r="D35" s="17" t="n"/>
      <c r="E35" s="17" t="n"/>
      <c r="F35" s="17" t="n"/>
      <c r="G35" s="17" t="n"/>
      <c r="H35" s="17" t="n"/>
      <c r="I35" s="17" t="n"/>
      <c r="J35" s="17" t="n"/>
      <c r="K35" s="17" t="n"/>
    </row>
    <row r="36">
      <c r="A36" s="16" t="inlineStr">
        <is>
          <t>UNAUTH-0031</t>
        </is>
      </c>
      <c r="B36" s="17" t="n"/>
      <c r="C36" s="17" t="n"/>
      <c r="D36" s="17" t="n"/>
      <c r="E36" s="17" t="n"/>
      <c r="F36" s="17" t="n"/>
      <c r="G36" s="17" t="n"/>
      <c r="H36" s="17" t="n"/>
      <c r="I36" s="17" t="n"/>
      <c r="J36" s="17" t="n"/>
      <c r="K36" s="17" t="n"/>
    </row>
    <row r="37">
      <c r="A37" s="16" t="inlineStr">
        <is>
          <t>UNAUTH-0032</t>
        </is>
      </c>
      <c r="B37" s="17" t="n"/>
      <c r="C37" s="17" t="n"/>
      <c r="D37" s="17" t="n"/>
      <c r="E37" s="17" t="n"/>
      <c r="F37" s="17" t="n"/>
      <c r="G37" s="17" t="n"/>
      <c r="H37" s="17" t="n"/>
      <c r="I37" s="17" t="n"/>
      <c r="J37" s="17" t="n"/>
      <c r="K37" s="17" t="n"/>
    </row>
    <row r="38">
      <c r="A38" s="16" t="inlineStr">
        <is>
          <t>UNAUTH-0033</t>
        </is>
      </c>
      <c r="B38" s="17" t="n"/>
      <c r="C38" s="17" t="n"/>
      <c r="D38" s="17" t="n"/>
      <c r="E38" s="17" t="n"/>
      <c r="F38" s="17" t="n"/>
      <c r="G38" s="17" t="n"/>
      <c r="H38" s="17" t="n"/>
      <c r="I38" s="17" t="n"/>
      <c r="J38" s="17" t="n"/>
      <c r="K38" s="17" t="n"/>
    </row>
    <row r="39">
      <c r="A39" s="16" t="inlineStr">
        <is>
          <t>UNAUTH-0034</t>
        </is>
      </c>
      <c r="B39" s="17" t="n"/>
      <c r="C39" s="17" t="n"/>
      <c r="D39" s="17" t="n"/>
      <c r="E39" s="17" t="n"/>
      <c r="F39" s="17" t="n"/>
      <c r="G39" s="17" t="n"/>
      <c r="H39" s="17" t="n"/>
      <c r="I39" s="17" t="n"/>
      <c r="J39" s="17" t="n"/>
      <c r="K39" s="17" t="n"/>
    </row>
    <row r="40">
      <c r="A40" s="16" t="inlineStr">
        <is>
          <t>UNAUTH-0035</t>
        </is>
      </c>
      <c r="B40" s="17" t="n"/>
      <c r="C40" s="17" t="n"/>
      <c r="D40" s="17" t="n"/>
      <c r="E40" s="17" t="n"/>
      <c r="F40" s="17" t="n"/>
      <c r="G40" s="17" t="n"/>
      <c r="H40" s="17" t="n"/>
      <c r="I40" s="17" t="n"/>
      <c r="J40" s="17" t="n"/>
      <c r="K40" s="17" t="n"/>
    </row>
    <row r="41">
      <c r="A41" s="16" t="inlineStr">
        <is>
          <t>UNAUTH-0036</t>
        </is>
      </c>
      <c r="B41" s="17" t="n"/>
      <c r="C41" s="17" t="n"/>
      <c r="D41" s="17" t="n"/>
      <c r="E41" s="17" t="n"/>
      <c r="F41" s="17" t="n"/>
      <c r="G41" s="17" t="n"/>
      <c r="H41" s="17" t="n"/>
      <c r="I41" s="17" t="n"/>
      <c r="J41" s="17" t="n"/>
      <c r="K41" s="17" t="n"/>
    </row>
    <row r="42">
      <c r="A42" s="16" t="inlineStr">
        <is>
          <t>UNAUTH-0037</t>
        </is>
      </c>
      <c r="B42" s="17" t="n"/>
      <c r="C42" s="17" t="n"/>
      <c r="D42" s="17" t="n"/>
      <c r="E42" s="17" t="n"/>
      <c r="F42" s="17" t="n"/>
      <c r="G42" s="17" t="n"/>
      <c r="H42" s="17" t="n"/>
      <c r="I42" s="17" t="n"/>
      <c r="J42" s="17" t="n"/>
      <c r="K42" s="17" t="n"/>
    </row>
    <row r="43">
      <c r="A43" s="16" t="inlineStr">
        <is>
          <t>UNAUTH-0038</t>
        </is>
      </c>
      <c r="B43" s="17" t="n"/>
      <c r="C43" s="17" t="n"/>
      <c r="D43" s="17" t="n"/>
      <c r="E43" s="17" t="n"/>
      <c r="F43" s="17" t="n"/>
      <c r="G43" s="17" t="n"/>
      <c r="H43" s="17" t="n"/>
      <c r="I43" s="17" t="n"/>
      <c r="J43" s="17" t="n"/>
      <c r="K43" s="17" t="n"/>
    </row>
    <row r="44">
      <c r="A44" s="16" t="inlineStr">
        <is>
          <t>UNAUTH-0039</t>
        </is>
      </c>
      <c r="B44" s="17" t="n"/>
      <c r="C44" s="17" t="n"/>
      <c r="D44" s="17" t="n"/>
      <c r="E44" s="17" t="n"/>
      <c r="F44" s="17" t="n"/>
      <c r="G44" s="17" t="n"/>
      <c r="H44" s="17" t="n"/>
      <c r="I44" s="17" t="n"/>
      <c r="J44" s="17" t="n"/>
      <c r="K44" s="17" t="n"/>
    </row>
    <row r="45">
      <c r="A45" s="16" t="inlineStr">
        <is>
          <t>UNAUTH-0040</t>
        </is>
      </c>
      <c r="B45" s="17" t="n"/>
      <c r="C45" s="17" t="n"/>
      <c r="D45" s="17" t="n"/>
      <c r="E45" s="17" t="n"/>
      <c r="F45" s="17" t="n"/>
      <c r="G45" s="17" t="n"/>
      <c r="H45" s="17" t="n"/>
      <c r="I45" s="17" t="n"/>
      <c r="J45" s="17" t="n"/>
      <c r="K45" s="17" t="n"/>
    </row>
    <row r="46">
      <c r="A46" s="16" t="inlineStr">
        <is>
          <t>UNAUTH-0041</t>
        </is>
      </c>
      <c r="B46" s="17" t="n"/>
      <c r="C46" s="17" t="n"/>
      <c r="D46" s="17" t="n"/>
      <c r="E46" s="17" t="n"/>
      <c r="F46" s="17" t="n"/>
      <c r="G46" s="17" t="n"/>
      <c r="H46" s="17" t="n"/>
      <c r="I46" s="17" t="n"/>
      <c r="J46" s="17" t="n"/>
      <c r="K46" s="17" t="n"/>
    </row>
    <row r="47">
      <c r="A47" s="16" t="inlineStr">
        <is>
          <t>UNAUTH-0042</t>
        </is>
      </c>
      <c r="B47" s="17" t="n"/>
      <c r="C47" s="17" t="n"/>
      <c r="D47" s="17" t="n"/>
      <c r="E47" s="17" t="n"/>
      <c r="F47" s="17" t="n"/>
      <c r="G47" s="17" t="n"/>
      <c r="H47" s="17" t="n"/>
      <c r="I47" s="17" t="n"/>
      <c r="J47" s="17" t="n"/>
      <c r="K47" s="17" t="n"/>
    </row>
    <row r="48">
      <c r="A48" s="16" t="inlineStr">
        <is>
          <t>UNAUTH-0043</t>
        </is>
      </c>
      <c r="B48" s="17" t="n"/>
      <c r="C48" s="17" t="n"/>
      <c r="D48" s="17" t="n"/>
      <c r="E48" s="17" t="n"/>
      <c r="F48" s="17" t="n"/>
      <c r="G48" s="17" t="n"/>
      <c r="H48" s="17" t="n"/>
      <c r="I48" s="17" t="n"/>
      <c r="J48" s="17" t="n"/>
      <c r="K48" s="17" t="n"/>
    </row>
    <row r="49">
      <c r="A49" s="16" t="inlineStr">
        <is>
          <t>UNAUTH-0044</t>
        </is>
      </c>
      <c r="B49" s="17" t="n"/>
      <c r="C49" s="17" t="n"/>
      <c r="D49" s="17" t="n"/>
      <c r="E49" s="17" t="n"/>
      <c r="F49" s="17" t="n"/>
      <c r="G49" s="17" t="n"/>
      <c r="H49" s="17" t="n"/>
      <c r="I49" s="17" t="n"/>
      <c r="J49" s="17" t="n"/>
      <c r="K49" s="17" t="n"/>
    </row>
    <row r="50">
      <c r="A50" s="16" t="inlineStr">
        <is>
          <t>UNAUTH-0045</t>
        </is>
      </c>
      <c r="B50" s="17" t="n"/>
      <c r="C50" s="17" t="n"/>
      <c r="D50" s="17" t="n"/>
      <c r="E50" s="17" t="n"/>
      <c r="F50" s="17" t="n"/>
      <c r="G50" s="17" t="n"/>
      <c r="H50" s="17" t="n"/>
      <c r="I50" s="17" t="n"/>
      <c r="J50" s="17" t="n"/>
      <c r="K50" s="17" t="n"/>
    </row>
    <row r="51">
      <c r="A51" s="16" t="inlineStr">
        <is>
          <t>UNAUTH-0046</t>
        </is>
      </c>
      <c r="B51" s="17" t="n"/>
      <c r="C51" s="17" t="n"/>
      <c r="D51" s="17" t="n"/>
      <c r="E51" s="17" t="n"/>
      <c r="F51" s="17" t="n"/>
      <c r="G51" s="17" t="n"/>
      <c r="H51" s="17" t="n"/>
      <c r="I51" s="17" t="n"/>
      <c r="J51" s="17" t="n"/>
      <c r="K51" s="17" t="n"/>
    </row>
    <row r="52">
      <c r="A52" s="16" t="inlineStr">
        <is>
          <t>UNAUTH-0047</t>
        </is>
      </c>
      <c r="B52" s="17" t="n"/>
      <c r="C52" s="17" t="n"/>
      <c r="D52" s="17" t="n"/>
      <c r="E52" s="17" t="n"/>
      <c r="F52" s="17" t="n"/>
      <c r="G52" s="17" t="n"/>
      <c r="H52" s="17" t="n"/>
      <c r="I52" s="17" t="n"/>
      <c r="J52" s="17" t="n"/>
      <c r="K52" s="17" t="n"/>
    </row>
    <row r="53">
      <c r="A53" s="16" t="inlineStr">
        <is>
          <t>UNAUTH-0048</t>
        </is>
      </c>
      <c r="B53" s="17" t="n"/>
      <c r="C53" s="17" t="n"/>
      <c r="D53" s="17" t="n"/>
      <c r="E53" s="17" t="n"/>
      <c r="F53" s="17" t="n"/>
      <c r="G53" s="17" t="n"/>
      <c r="H53" s="17" t="n"/>
      <c r="I53" s="17" t="n"/>
      <c r="J53" s="17" t="n"/>
      <c r="K53" s="17" t="n"/>
    </row>
    <row r="54">
      <c r="A54" s="16" t="inlineStr">
        <is>
          <t>UNAUTH-0049</t>
        </is>
      </c>
      <c r="B54" s="17" t="n"/>
      <c r="C54" s="17" t="n"/>
      <c r="D54" s="17" t="n"/>
      <c r="E54" s="17" t="n"/>
      <c r="F54" s="17" t="n"/>
      <c r="G54" s="17" t="n"/>
      <c r="H54" s="17" t="n"/>
      <c r="I54" s="17" t="n"/>
      <c r="J54" s="17" t="n"/>
      <c r="K54" s="17" t="n"/>
    </row>
    <row r="55">
      <c r="A55" s="16" t="inlineStr">
        <is>
          <t>UNAUTH-0050</t>
        </is>
      </c>
      <c r="B55" s="17" t="n"/>
      <c r="C55" s="17" t="n"/>
      <c r="D55" s="17" t="n"/>
      <c r="E55" s="17" t="n"/>
      <c r="F55" s="17" t="n"/>
      <c r="G55" s="17" t="n"/>
      <c r="H55" s="17" t="n"/>
      <c r="I55" s="17" t="n"/>
      <c r="J55" s="17" t="n"/>
      <c r="K55" s="17" t="n"/>
    </row>
    <row r="56">
      <c r="A56" s="16" t="inlineStr">
        <is>
          <t>UNAUTH-0051</t>
        </is>
      </c>
      <c r="B56" s="17" t="n"/>
      <c r="C56" s="17" t="n"/>
      <c r="D56" s="17" t="n"/>
      <c r="E56" s="17" t="n"/>
      <c r="F56" s="17" t="n"/>
      <c r="G56" s="17" t="n"/>
      <c r="H56" s="17" t="n"/>
      <c r="I56" s="17" t="n"/>
      <c r="J56" s="17" t="n"/>
      <c r="K56" s="17" t="n"/>
    </row>
    <row r="57">
      <c r="A57" s="16" t="inlineStr">
        <is>
          <t>UNAUTH-0052</t>
        </is>
      </c>
      <c r="B57" s="17" t="n"/>
      <c r="C57" s="17" t="n"/>
      <c r="D57" s="17" t="n"/>
      <c r="E57" s="17" t="n"/>
      <c r="F57" s="17" t="n"/>
      <c r="G57" s="17" t="n"/>
      <c r="H57" s="17" t="n"/>
      <c r="I57" s="17" t="n"/>
      <c r="J57" s="17" t="n"/>
      <c r="K57" s="17" t="n"/>
    </row>
    <row r="58">
      <c r="A58" s="16" t="inlineStr">
        <is>
          <t>UNAUTH-0053</t>
        </is>
      </c>
      <c r="B58" s="17" t="n"/>
      <c r="C58" s="17" t="n"/>
      <c r="D58" s="17" t="n"/>
      <c r="E58" s="17" t="n"/>
      <c r="F58" s="17" t="n"/>
      <c r="G58" s="17" t="n"/>
      <c r="H58" s="17" t="n"/>
      <c r="I58" s="17" t="n"/>
      <c r="J58" s="17" t="n"/>
      <c r="K58" s="17" t="n"/>
    </row>
    <row r="59">
      <c r="A59" s="16" t="inlineStr">
        <is>
          <t>UNAUTH-0054</t>
        </is>
      </c>
      <c r="B59" s="17" t="n"/>
      <c r="C59" s="17" t="n"/>
      <c r="D59" s="17" t="n"/>
      <c r="E59" s="17" t="n"/>
      <c r="F59" s="17" t="n"/>
      <c r="G59" s="17" t="n"/>
      <c r="H59" s="17" t="n"/>
      <c r="I59" s="17" t="n"/>
      <c r="J59" s="17" t="n"/>
      <c r="K59" s="17" t="n"/>
    </row>
    <row r="60">
      <c r="A60" s="16" t="inlineStr">
        <is>
          <t>UNAUTH-0055</t>
        </is>
      </c>
      <c r="B60" s="17" t="n"/>
      <c r="C60" s="17" t="n"/>
      <c r="D60" s="17" t="n"/>
      <c r="E60" s="17" t="n"/>
      <c r="F60" s="17" t="n"/>
      <c r="G60" s="17" t="n"/>
      <c r="H60" s="17" t="n"/>
      <c r="I60" s="17" t="n"/>
      <c r="J60" s="17" t="n"/>
      <c r="K60" s="17" t="n"/>
    </row>
    <row r="61">
      <c r="A61" s="16" t="inlineStr">
        <is>
          <t>UNAUTH-0056</t>
        </is>
      </c>
      <c r="B61" s="17" t="n"/>
      <c r="C61" s="17" t="n"/>
      <c r="D61" s="17" t="n"/>
      <c r="E61" s="17" t="n"/>
      <c r="F61" s="17" t="n"/>
      <c r="G61" s="17" t="n"/>
      <c r="H61" s="17" t="n"/>
      <c r="I61" s="17" t="n"/>
      <c r="J61" s="17" t="n"/>
      <c r="K61" s="17" t="n"/>
    </row>
    <row r="62">
      <c r="A62" s="16" t="inlineStr">
        <is>
          <t>UNAUTH-0057</t>
        </is>
      </c>
      <c r="B62" s="17" t="n"/>
      <c r="C62" s="17" t="n"/>
      <c r="D62" s="17" t="n"/>
      <c r="E62" s="17" t="n"/>
      <c r="F62" s="17" t="n"/>
      <c r="G62" s="17" t="n"/>
      <c r="H62" s="17" t="n"/>
      <c r="I62" s="17" t="n"/>
      <c r="J62" s="17" t="n"/>
      <c r="K62" s="17" t="n"/>
    </row>
    <row r="63">
      <c r="A63" s="16" t="inlineStr">
        <is>
          <t>UNAUTH-0058</t>
        </is>
      </c>
      <c r="B63" s="17" t="n"/>
      <c r="C63" s="17" t="n"/>
      <c r="D63" s="17" t="n"/>
      <c r="E63" s="17" t="n"/>
      <c r="F63" s="17" t="n"/>
      <c r="G63" s="17" t="n"/>
      <c r="H63" s="17" t="n"/>
      <c r="I63" s="17" t="n"/>
      <c r="J63" s="17" t="n"/>
      <c r="K63" s="17" t="n"/>
    </row>
    <row r="64">
      <c r="A64" s="16" t="inlineStr">
        <is>
          <t>UNAUTH-0059</t>
        </is>
      </c>
      <c r="B64" s="17" t="n"/>
      <c r="C64" s="17" t="n"/>
      <c r="D64" s="17" t="n"/>
      <c r="E64" s="17" t="n"/>
      <c r="F64" s="17" t="n"/>
      <c r="G64" s="17" t="n"/>
      <c r="H64" s="17" t="n"/>
      <c r="I64" s="17" t="n"/>
      <c r="J64" s="17" t="n"/>
      <c r="K64" s="17" t="n"/>
    </row>
    <row r="65">
      <c r="A65" s="16" t="inlineStr">
        <is>
          <t>UNAUTH-0060</t>
        </is>
      </c>
      <c r="B65" s="17" t="n"/>
      <c r="C65" s="17" t="n"/>
      <c r="D65" s="17" t="n"/>
      <c r="E65" s="17" t="n"/>
      <c r="F65" s="17" t="n"/>
      <c r="G65" s="17" t="n"/>
      <c r="H65" s="17" t="n"/>
      <c r="I65" s="17" t="n"/>
      <c r="J65" s="17" t="n"/>
      <c r="K65" s="17" t="n"/>
    </row>
    <row r="66">
      <c r="A66" s="16" t="inlineStr">
        <is>
          <t>UNAUTH-0061</t>
        </is>
      </c>
      <c r="B66" s="17" t="n"/>
      <c r="C66" s="17" t="n"/>
      <c r="D66" s="17" t="n"/>
      <c r="E66" s="17" t="n"/>
      <c r="F66" s="17" t="n"/>
      <c r="G66" s="17" t="n"/>
      <c r="H66" s="17" t="n"/>
      <c r="I66" s="17" t="n"/>
      <c r="J66" s="17" t="n"/>
      <c r="K66" s="17" t="n"/>
    </row>
    <row r="67">
      <c r="A67" s="16" t="inlineStr">
        <is>
          <t>UNAUTH-0062</t>
        </is>
      </c>
      <c r="B67" s="17" t="n"/>
      <c r="C67" s="17" t="n"/>
      <c r="D67" s="17" t="n"/>
      <c r="E67" s="17" t="n"/>
      <c r="F67" s="17" t="n"/>
      <c r="G67" s="17" t="n"/>
      <c r="H67" s="17" t="n"/>
      <c r="I67" s="17" t="n"/>
      <c r="J67" s="17" t="n"/>
      <c r="K67" s="17" t="n"/>
    </row>
    <row r="68">
      <c r="A68" s="16" t="inlineStr">
        <is>
          <t>UNAUTH-0063</t>
        </is>
      </c>
      <c r="B68" s="17" t="n"/>
      <c r="C68" s="17" t="n"/>
      <c r="D68" s="17" t="n"/>
      <c r="E68" s="17" t="n"/>
      <c r="F68" s="17" t="n"/>
      <c r="G68" s="17" t="n"/>
      <c r="H68" s="17" t="n"/>
      <c r="I68" s="17" t="n"/>
      <c r="J68" s="17" t="n"/>
      <c r="K68" s="17" t="n"/>
    </row>
    <row r="69">
      <c r="A69" s="16" t="inlineStr">
        <is>
          <t>UNAUTH-0064</t>
        </is>
      </c>
      <c r="B69" s="17" t="n"/>
      <c r="C69" s="17" t="n"/>
      <c r="D69" s="17" t="n"/>
      <c r="E69" s="17" t="n"/>
      <c r="F69" s="17" t="n"/>
      <c r="G69" s="17" t="n"/>
      <c r="H69" s="17" t="n"/>
      <c r="I69" s="17" t="n"/>
      <c r="J69" s="17" t="n"/>
      <c r="K69" s="17" t="n"/>
    </row>
    <row r="70">
      <c r="A70" s="16" t="inlineStr">
        <is>
          <t>UNAUTH-0065</t>
        </is>
      </c>
      <c r="B70" s="17" t="n"/>
      <c r="C70" s="17" t="n"/>
      <c r="D70" s="17" t="n"/>
      <c r="E70" s="17" t="n"/>
      <c r="F70" s="17" t="n"/>
      <c r="G70" s="17" t="n"/>
      <c r="H70" s="17" t="n"/>
      <c r="I70" s="17" t="n"/>
      <c r="J70" s="17" t="n"/>
      <c r="K70" s="17" t="n"/>
    </row>
    <row r="71">
      <c r="A71" s="16" t="inlineStr">
        <is>
          <t>UNAUTH-0066</t>
        </is>
      </c>
      <c r="B71" s="17" t="n"/>
      <c r="C71" s="17" t="n"/>
      <c r="D71" s="17" t="n"/>
      <c r="E71" s="17" t="n"/>
      <c r="F71" s="17" t="n"/>
      <c r="G71" s="17" t="n"/>
      <c r="H71" s="17" t="n"/>
      <c r="I71" s="17" t="n"/>
      <c r="J71" s="17" t="n"/>
      <c r="K71" s="17" t="n"/>
    </row>
    <row r="72">
      <c r="A72" s="16" t="inlineStr">
        <is>
          <t>UNAUTH-0067</t>
        </is>
      </c>
      <c r="B72" s="17" t="n"/>
      <c r="C72" s="17" t="n"/>
      <c r="D72" s="17" t="n"/>
      <c r="E72" s="17" t="n"/>
      <c r="F72" s="17" t="n"/>
      <c r="G72" s="17" t="n"/>
      <c r="H72" s="17" t="n"/>
      <c r="I72" s="17" t="n"/>
      <c r="J72" s="17" t="n"/>
      <c r="K72" s="17" t="n"/>
    </row>
    <row r="73">
      <c r="A73" s="16" t="inlineStr">
        <is>
          <t>UNAUTH-0068</t>
        </is>
      </c>
      <c r="B73" s="17" t="n"/>
      <c r="C73" s="17" t="n"/>
      <c r="D73" s="17" t="n"/>
      <c r="E73" s="17" t="n"/>
      <c r="F73" s="17" t="n"/>
      <c r="G73" s="17" t="n"/>
      <c r="H73" s="17" t="n"/>
      <c r="I73" s="17" t="n"/>
      <c r="J73" s="17" t="n"/>
      <c r="K73" s="17" t="n"/>
    </row>
    <row r="74">
      <c r="A74" s="16" t="inlineStr">
        <is>
          <t>UNAUTH-0069</t>
        </is>
      </c>
      <c r="B74" s="17" t="n"/>
      <c r="C74" s="17" t="n"/>
      <c r="D74" s="17" t="n"/>
      <c r="E74" s="17" t="n"/>
      <c r="F74" s="17" t="n"/>
      <c r="G74" s="17" t="n"/>
      <c r="H74" s="17" t="n"/>
      <c r="I74" s="17" t="n"/>
      <c r="J74" s="17" t="n"/>
      <c r="K74" s="17" t="n"/>
    </row>
    <row r="75">
      <c r="A75" s="16" t="inlineStr">
        <is>
          <t>UNAUTH-0070</t>
        </is>
      </c>
      <c r="B75" s="17" t="n"/>
      <c r="C75" s="17" t="n"/>
      <c r="D75" s="17" t="n"/>
      <c r="E75" s="17" t="n"/>
      <c r="F75" s="17" t="n"/>
      <c r="G75" s="17" t="n"/>
      <c r="H75" s="17" t="n"/>
      <c r="I75" s="17" t="n"/>
      <c r="J75" s="17" t="n"/>
      <c r="K75" s="17" t="n"/>
    </row>
    <row r="76">
      <c r="A76" s="16" t="inlineStr">
        <is>
          <t>UNAUTH-0071</t>
        </is>
      </c>
      <c r="B76" s="17" t="n"/>
      <c r="C76" s="17" t="n"/>
      <c r="D76" s="17" t="n"/>
      <c r="E76" s="17" t="n"/>
      <c r="F76" s="17" t="n"/>
      <c r="G76" s="17" t="n"/>
      <c r="H76" s="17" t="n"/>
      <c r="I76" s="17" t="n"/>
      <c r="J76" s="17" t="n"/>
      <c r="K76" s="17" t="n"/>
    </row>
    <row r="77">
      <c r="A77" s="16" t="inlineStr">
        <is>
          <t>UNAUTH-0072</t>
        </is>
      </c>
      <c r="B77" s="17" t="n"/>
      <c r="C77" s="17" t="n"/>
      <c r="D77" s="17" t="n"/>
      <c r="E77" s="17" t="n"/>
      <c r="F77" s="17" t="n"/>
      <c r="G77" s="17" t="n"/>
      <c r="H77" s="17" t="n"/>
      <c r="I77" s="17" t="n"/>
      <c r="J77" s="17" t="n"/>
      <c r="K77" s="17" t="n"/>
    </row>
    <row r="78">
      <c r="A78" s="16" t="inlineStr">
        <is>
          <t>UNAUTH-0073</t>
        </is>
      </c>
      <c r="B78" s="17" t="n"/>
      <c r="C78" s="17" t="n"/>
      <c r="D78" s="17" t="n"/>
      <c r="E78" s="17" t="n"/>
      <c r="F78" s="17" t="n"/>
      <c r="G78" s="17" t="n"/>
      <c r="H78" s="17" t="n"/>
      <c r="I78" s="17" t="n"/>
      <c r="J78" s="17" t="n"/>
      <c r="K78" s="17" t="n"/>
    </row>
    <row r="79">
      <c r="A79" s="16" t="inlineStr">
        <is>
          <t>UNAUTH-0074</t>
        </is>
      </c>
      <c r="B79" s="17" t="n"/>
      <c r="C79" s="17" t="n"/>
      <c r="D79" s="17" t="n"/>
      <c r="E79" s="17" t="n"/>
      <c r="F79" s="17" t="n"/>
      <c r="G79" s="17" t="n"/>
      <c r="H79" s="17" t="n"/>
      <c r="I79" s="17" t="n"/>
      <c r="J79" s="17" t="n"/>
      <c r="K79" s="17" t="n"/>
    </row>
    <row r="80">
      <c r="A80" s="16" t="inlineStr">
        <is>
          <t>UNAUTH-0075</t>
        </is>
      </c>
      <c r="B80" s="17" t="n"/>
      <c r="C80" s="17" t="n"/>
      <c r="D80" s="17" t="n"/>
      <c r="E80" s="17" t="n"/>
      <c r="F80" s="17" t="n"/>
      <c r="G80" s="17" t="n"/>
      <c r="H80" s="17" t="n"/>
      <c r="I80" s="17" t="n"/>
      <c r="J80" s="17" t="n"/>
      <c r="K80" s="17" t="n"/>
    </row>
    <row r="81">
      <c r="A81" s="16" t="inlineStr">
        <is>
          <t>UNAUTH-0076</t>
        </is>
      </c>
      <c r="B81" s="17" t="n"/>
      <c r="C81" s="17" t="n"/>
      <c r="D81" s="17" t="n"/>
      <c r="E81" s="17" t="n"/>
      <c r="F81" s="17" t="n"/>
      <c r="G81" s="17" t="n"/>
      <c r="H81" s="17" t="n"/>
      <c r="I81" s="17" t="n"/>
      <c r="J81" s="17" t="n"/>
      <c r="K81" s="17" t="n"/>
    </row>
    <row r="82">
      <c r="A82" s="16" t="inlineStr">
        <is>
          <t>UNAUTH-0077</t>
        </is>
      </c>
      <c r="B82" s="17" t="n"/>
      <c r="C82" s="17" t="n"/>
      <c r="D82" s="17" t="n"/>
      <c r="E82" s="17" t="n"/>
      <c r="F82" s="17" t="n"/>
      <c r="G82" s="17" t="n"/>
      <c r="H82" s="17" t="n"/>
      <c r="I82" s="17" t="n"/>
      <c r="J82" s="17" t="n"/>
      <c r="K82" s="17" t="n"/>
    </row>
    <row r="83">
      <c r="A83" s="16" t="inlineStr">
        <is>
          <t>UNAUTH-0078</t>
        </is>
      </c>
      <c r="B83" s="17" t="n"/>
      <c r="C83" s="17" t="n"/>
      <c r="D83" s="17" t="n"/>
      <c r="E83" s="17" t="n"/>
      <c r="F83" s="17" t="n"/>
      <c r="G83" s="17" t="n"/>
      <c r="H83" s="17" t="n"/>
      <c r="I83" s="17" t="n"/>
      <c r="J83" s="17" t="n"/>
      <c r="K83" s="17" t="n"/>
    </row>
    <row r="84">
      <c r="A84" s="16" t="inlineStr">
        <is>
          <t>UNAUTH-0079</t>
        </is>
      </c>
      <c r="B84" s="17" t="n"/>
      <c r="C84" s="17" t="n"/>
      <c r="D84" s="17" t="n"/>
      <c r="E84" s="17" t="n"/>
      <c r="F84" s="17" t="n"/>
      <c r="G84" s="17" t="n"/>
      <c r="H84" s="17" t="n"/>
      <c r="I84" s="17" t="n"/>
      <c r="J84" s="17" t="n"/>
      <c r="K84" s="17" t="n"/>
    </row>
    <row r="85">
      <c r="A85" s="16" t="inlineStr">
        <is>
          <t>UNAUTH-0080</t>
        </is>
      </c>
      <c r="B85" s="17" t="n"/>
      <c r="C85" s="17" t="n"/>
      <c r="D85" s="17" t="n"/>
      <c r="E85" s="17" t="n"/>
      <c r="F85" s="17" t="n"/>
      <c r="G85" s="17" t="n"/>
      <c r="H85" s="17" t="n"/>
      <c r="I85" s="17" t="n"/>
      <c r="J85" s="17" t="n"/>
      <c r="K85" s="17" t="n"/>
    </row>
    <row r="86">
      <c r="A86" s="16" t="inlineStr">
        <is>
          <t>UNAUTH-0081</t>
        </is>
      </c>
      <c r="B86" s="17" t="n"/>
      <c r="C86" s="17" t="n"/>
      <c r="D86" s="17" t="n"/>
      <c r="E86" s="17" t="n"/>
      <c r="F86" s="17" t="n"/>
      <c r="G86" s="17" t="n"/>
      <c r="H86" s="17" t="n"/>
      <c r="I86" s="17" t="n"/>
      <c r="J86" s="17" t="n"/>
      <c r="K86" s="17" t="n"/>
    </row>
    <row r="87">
      <c r="A87" s="16" t="inlineStr">
        <is>
          <t>UNAUTH-0082</t>
        </is>
      </c>
      <c r="B87" s="17" t="n"/>
      <c r="C87" s="17" t="n"/>
      <c r="D87" s="17" t="n"/>
      <c r="E87" s="17" t="n"/>
      <c r="F87" s="17" t="n"/>
      <c r="G87" s="17" t="n"/>
      <c r="H87" s="17" t="n"/>
      <c r="I87" s="17" t="n"/>
      <c r="J87" s="17" t="n"/>
      <c r="K87" s="17" t="n"/>
    </row>
    <row r="88">
      <c r="A88" s="16" t="inlineStr">
        <is>
          <t>UNAUTH-0083</t>
        </is>
      </c>
      <c r="B88" s="17" t="n"/>
      <c r="C88" s="17" t="n"/>
      <c r="D88" s="17" t="n"/>
      <c r="E88" s="17" t="n"/>
      <c r="F88" s="17" t="n"/>
      <c r="G88" s="17" t="n"/>
      <c r="H88" s="17" t="n"/>
      <c r="I88" s="17" t="n"/>
      <c r="J88" s="17" t="n"/>
      <c r="K88" s="17" t="n"/>
    </row>
    <row r="89">
      <c r="A89" s="16" t="inlineStr">
        <is>
          <t>UNAUTH-0084</t>
        </is>
      </c>
      <c r="B89" s="17" t="n"/>
      <c r="C89" s="17" t="n"/>
      <c r="D89" s="17" t="n"/>
      <c r="E89" s="17" t="n"/>
      <c r="F89" s="17" t="n"/>
      <c r="G89" s="17" t="n"/>
      <c r="H89" s="17" t="n"/>
      <c r="I89" s="17" t="n"/>
      <c r="J89" s="17" t="n"/>
      <c r="K89" s="17" t="n"/>
    </row>
    <row r="90">
      <c r="A90" s="16" t="inlineStr">
        <is>
          <t>UNAUTH-0085</t>
        </is>
      </c>
      <c r="B90" s="17" t="n"/>
      <c r="C90" s="17" t="n"/>
      <c r="D90" s="17" t="n"/>
      <c r="E90" s="17" t="n"/>
      <c r="F90" s="17" t="n"/>
      <c r="G90" s="17" t="n"/>
      <c r="H90" s="17" t="n"/>
      <c r="I90" s="17" t="n"/>
      <c r="J90" s="17" t="n"/>
      <c r="K90" s="17" t="n"/>
    </row>
    <row r="91">
      <c r="A91" s="16" t="inlineStr">
        <is>
          <t>UNAUTH-0086</t>
        </is>
      </c>
      <c r="B91" s="17" t="n"/>
      <c r="C91" s="17" t="n"/>
      <c r="D91" s="17" t="n"/>
      <c r="E91" s="17" t="n"/>
      <c r="F91" s="17" t="n"/>
      <c r="G91" s="17" t="n"/>
      <c r="H91" s="17" t="n"/>
      <c r="I91" s="17" t="n"/>
      <c r="J91" s="17" t="n"/>
      <c r="K91" s="17" t="n"/>
    </row>
    <row r="92">
      <c r="A92" s="16" t="inlineStr">
        <is>
          <t>UNAUTH-0087</t>
        </is>
      </c>
      <c r="B92" s="17" t="n"/>
      <c r="C92" s="17" t="n"/>
      <c r="D92" s="17" t="n"/>
      <c r="E92" s="17" t="n"/>
      <c r="F92" s="17" t="n"/>
      <c r="G92" s="17" t="n"/>
      <c r="H92" s="17" t="n"/>
      <c r="I92" s="17" t="n"/>
      <c r="J92" s="17" t="n"/>
      <c r="K92" s="17" t="n"/>
    </row>
    <row r="93">
      <c r="A93" s="16" t="inlineStr">
        <is>
          <t>UNAUTH-0088</t>
        </is>
      </c>
      <c r="B93" s="17" t="n"/>
      <c r="C93" s="17" t="n"/>
      <c r="D93" s="17" t="n"/>
      <c r="E93" s="17" t="n"/>
      <c r="F93" s="17" t="n"/>
      <c r="G93" s="17" t="n"/>
      <c r="H93" s="17" t="n"/>
      <c r="I93" s="17" t="n"/>
      <c r="J93" s="17" t="n"/>
      <c r="K93" s="17" t="n"/>
    </row>
    <row r="94">
      <c r="A94" s="16" t="inlineStr">
        <is>
          <t>UNAUTH-0089</t>
        </is>
      </c>
      <c r="B94" s="17" t="n"/>
      <c r="C94" s="17" t="n"/>
      <c r="D94" s="17" t="n"/>
      <c r="E94" s="17" t="n"/>
      <c r="F94" s="17" t="n"/>
      <c r="G94" s="17" t="n"/>
      <c r="H94" s="17" t="n"/>
      <c r="I94" s="17" t="n"/>
      <c r="J94" s="17" t="n"/>
      <c r="K94" s="17" t="n"/>
    </row>
    <row r="95">
      <c r="A95" s="16" t="inlineStr">
        <is>
          <t>UNAUTH-0090</t>
        </is>
      </c>
      <c r="B95" s="17" t="n"/>
      <c r="C95" s="17" t="n"/>
      <c r="D95" s="17" t="n"/>
      <c r="E95" s="17" t="n"/>
      <c r="F95" s="17" t="n"/>
      <c r="G95" s="17" t="n"/>
      <c r="H95" s="17" t="n"/>
      <c r="I95" s="17" t="n"/>
      <c r="J95" s="17" t="n"/>
      <c r="K95" s="17" t="n"/>
    </row>
    <row r="96">
      <c r="A96" s="16" t="inlineStr">
        <is>
          <t>UNAUTH-0091</t>
        </is>
      </c>
      <c r="B96" s="17" t="n"/>
      <c r="C96" s="17" t="n"/>
      <c r="D96" s="17" t="n"/>
      <c r="E96" s="17" t="n"/>
      <c r="F96" s="17" t="n"/>
      <c r="G96" s="17" t="n"/>
      <c r="H96" s="17" t="n"/>
      <c r="I96" s="17" t="n"/>
      <c r="J96" s="17" t="n"/>
      <c r="K96" s="17" t="n"/>
    </row>
    <row r="97">
      <c r="A97" s="16" t="inlineStr">
        <is>
          <t>UNAUTH-0092</t>
        </is>
      </c>
      <c r="B97" s="17" t="n"/>
      <c r="C97" s="17" t="n"/>
      <c r="D97" s="17" t="n"/>
      <c r="E97" s="17" t="n"/>
      <c r="F97" s="17" t="n"/>
      <c r="G97" s="17" t="n"/>
      <c r="H97" s="17" t="n"/>
      <c r="I97" s="17" t="n"/>
      <c r="J97" s="17" t="n"/>
      <c r="K97" s="17" t="n"/>
    </row>
    <row r="98">
      <c r="A98" s="16" t="inlineStr">
        <is>
          <t>UNAUTH-0093</t>
        </is>
      </c>
      <c r="B98" s="17" t="n"/>
      <c r="C98" s="17" t="n"/>
      <c r="D98" s="17" t="n"/>
      <c r="E98" s="17" t="n"/>
      <c r="F98" s="17" t="n"/>
      <c r="G98" s="17" t="n"/>
      <c r="H98" s="17" t="n"/>
      <c r="I98" s="17" t="n"/>
      <c r="J98" s="17" t="n"/>
      <c r="K98" s="17" t="n"/>
    </row>
    <row r="99">
      <c r="A99" s="16" t="inlineStr">
        <is>
          <t>UNAUTH-0094</t>
        </is>
      </c>
      <c r="B99" s="17" t="n"/>
      <c r="C99" s="17" t="n"/>
      <c r="D99" s="17" t="n"/>
      <c r="E99" s="17" t="n"/>
      <c r="F99" s="17" t="n"/>
      <c r="G99" s="17" t="n"/>
      <c r="H99" s="17" t="n"/>
      <c r="I99" s="17" t="n"/>
      <c r="J99" s="17" t="n"/>
      <c r="K99" s="17" t="n"/>
    </row>
    <row r="100">
      <c r="A100" s="16" t="inlineStr">
        <is>
          <t>UNAUTH-0095</t>
        </is>
      </c>
      <c r="B100" s="17" t="n"/>
      <c r="C100" s="17" t="n"/>
      <c r="D100" s="17" t="n"/>
      <c r="E100" s="17" t="n"/>
      <c r="F100" s="17" t="n"/>
      <c r="G100" s="17" t="n"/>
      <c r="H100" s="17" t="n"/>
      <c r="I100" s="17" t="n"/>
      <c r="J100" s="17" t="n"/>
      <c r="K100" s="17" t="n"/>
    </row>
    <row r="101">
      <c r="A101" s="16" t="inlineStr">
        <is>
          <t>UNAUTH-0096</t>
        </is>
      </c>
      <c r="B101" s="17" t="n"/>
      <c r="C101" s="17" t="n"/>
      <c r="D101" s="17" t="n"/>
      <c r="E101" s="17" t="n"/>
      <c r="F101" s="17" t="n"/>
      <c r="G101" s="17" t="n"/>
      <c r="H101" s="17" t="n"/>
      <c r="I101" s="17" t="n"/>
      <c r="J101" s="17" t="n"/>
      <c r="K101" s="17" t="n"/>
    </row>
    <row r="102">
      <c r="A102" s="16" t="inlineStr">
        <is>
          <t>UNAUTH-0097</t>
        </is>
      </c>
      <c r="B102" s="17" t="n"/>
      <c r="C102" s="17" t="n"/>
      <c r="D102" s="17" t="n"/>
      <c r="E102" s="17" t="n"/>
      <c r="F102" s="17" t="n"/>
      <c r="G102" s="17" t="n"/>
      <c r="H102" s="17" t="n"/>
      <c r="I102" s="17" t="n"/>
      <c r="J102" s="17" t="n"/>
      <c r="K102" s="17" t="n"/>
    </row>
    <row r="103">
      <c r="A103" s="16" t="inlineStr">
        <is>
          <t>UNAUTH-0098</t>
        </is>
      </c>
      <c r="B103" s="17" t="n"/>
      <c r="C103" s="17" t="n"/>
      <c r="D103" s="17" t="n"/>
      <c r="E103" s="17" t="n"/>
      <c r="F103" s="17" t="n"/>
      <c r="G103" s="17" t="n"/>
      <c r="H103" s="17" t="n"/>
      <c r="I103" s="17" t="n"/>
      <c r="J103" s="17" t="n"/>
      <c r="K103" s="17" t="n"/>
    </row>
    <row r="104">
      <c r="A104" s="16" t="inlineStr">
        <is>
          <t>UNAUTH-0099</t>
        </is>
      </c>
      <c r="B104" s="17" t="n"/>
      <c r="C104" s="17" t="n"/>
      <c r="D104" s="17" t="n"/>
      <c r="E104" s="17" t="n"/>
      <c r="F104" s="17" t="n"/>
      <c r="G104" s="17" t="n"/>
      <c r="H104" s="17" t="n"/>
      <c r="I104" s="17" t="n"/>
      <c r="J104" s="17" t="n"/>
      <c r="K104" s="17" t="n"/>
    </row>
    <row r="105">
      <c r="A105" s="16" t="inlineStr">
        <is>
          <t>UNAUTH-0100</t>
        </is>
      </c>
      <c r="B105" s="17" t="n"/>
      <c r="C105" s="17" t="n"/>
      <c r="D105" s="17" t="n"/>
      <c r="E105" s="17" t="n"/>
      <c r="F105" s="17" t="n"/>
      <c r="G105" s="17" t="n"/>
      <c r="H105" s="17" t="n"/>
      <c r="I105" s="17" t="n"/>
      <c r="J105" s="17" t="n"/>
      <c r="K105" s="17" t="n"/>
    </row>
    <row r="107">
      <c r="A107" s="12" t="inlineStr">
        <is>
          <t>[CHART] UNAUTHORIZED SOFTWARE SUMMARY</t>
        </is>
      </c>
    </row>
    <row r="108">
      <c r="A108" t="inlineStr">
        <is>
          <t>Total Unauthorised Detections:</t>
        </is>
      </c>
      <c r="B108">
        <f>COUNTA(B6:B105)</f>
        <v/>
      </c>
    </row>
    <row r="109">
      <c r="A109" t="inlineStr">
        <is>
          <t>✅ Remediated:</t>
        </is>
      </c>
      <c r="B109">
        <f>COUNTIF(J6:J105,"Removed")+COUNTIF(J6:J105,"Approved Retroactively")</f>
        <v/>
      </c>
    </row>
    <row r="110">
      <c r="A110" t="inlineStr">
        <is>
          <t>Remediation Rate:</t>
        </is>
      </c>
      <c r="B110" s="18">
        <f>IF(B108&gt;0,B109/B108*100,0)&amp;"%"</f>
        <v/>
      </c>
    </row>
    <row r="112">
      <c r="A112" s="19" t="inlineStr">
        <is>
          <t>By Risk Level:</t>
        </is>
      </c>
    </row>
    <row r="113">
      <c r="A113" t="inlineStr">
        <is>
          <t>Critical:</t>
        </is>
      </c>
      <c r="B113">
        <f>COUNTIF(G6:G105,"Critical")</f>
        <v/>
      </c>
    </row>
    <row r="114">
      <c r="A114" t="inlineStr">
        <is>
          <t>High:</t>
        </is>
      </c>
      <c r="B114">
        <f>COUNTIF(G6:G105,"High")</f>
        <v/>
      </c>
    </row>
  </sheetData>
  <mergeCells count="3">
    <mergeCell ref="A2:K2"/>
    <mergeCell ref="A1:K1"/>
    <mergeCell ref="A107:C107"/>
  </mergeCells>
  <dataValidations count="2">
    <dataValidation sqref="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showDropDown="0" showInputMessage="0" showErrorMessage="0" allowBlank="0" type="list">
      <formula1>"Critical,High,Medium,Low"</formula1>
    </dataValidation>
    <dataValidation sqref="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showDropDown="0" showInputMessage="0" showErrorMessage="0" allowBlank="0" type="list">
      <formula1>"Pending,In Progress,Removed,Approved Retroactively,Unresolved"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0"/>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18" customWidth="1" min="3" max="3"/>
    <col width="25" customWidth="1" min="4" max="4"/>
    <col width="25" customWidth="1" min="5" max="5"/>
    <col width="20" customWidth="1" min="6" max="6"/>
    <col width="18" customWidth="1" min="7" max="7"/>
    <col width="22" customWidth="1" min="8" max="8"/>
    <col width="20" customWidth="1" min="9" max="9"/>
    <col width="30" customWidth="1" min="10" max="10"/>
  </cols>
  <sheetData>
    <row r="1" ht="35" customHeight="1">
      <c r="A1" s="11" t="inlineStr">
        <is>
          <t>APPLICATION CONTROL DEPLOYMENT</t>
        </is>
      </c>
    </row>
    <row r="2">
      <c r="A2" s="12" t="inlineStr">
        <is>
          <t>AppLocker, WDAC, application whitelisting deployment and enforcement status</t>
        </is>
      </c>
    </row>
    <row r="4">
      <c r="A4" s="13" t="inlineStr">
        <is>
          <t>Device ID</t>
        </is>
      </c>
      <c r="B4" s="13" t="inlineStr">
        <is>
          <t>Hostname</t>
        </is>
      </c>
      <c r="C4" s="13" t="inlineStr">
        <is>
          <t>Device Type</t>
        </is>
      </c>
      <c r="D4" s="13" t="inlineStr">
        <is>
          <t>Control Technology</t>
        </is>
      </c>
      <c r="E4" s="13" t="inlineStr">
        <is>
          <t>Policy Name</t>
        </is>
      </c>
      <c r="F4" s="13" t="inlineStr">
        <is>
          <t>Enforcement Mode</t>
        </is>
      </c>
      <c r="G4" s="13" t="inlineStr">
        <is>
          <t>Last Policy Update</t>
        </is>
      </c>
      <c r="H4" s="13" t="inlineStr">
        <is>
          <t>Blocked Executions (30d)</t>
        </is>
      </c>
      <c r="I4" s="13" t="inlineStr">
        <is>
          <t>Status</t>
        </is>
      </c>
      <c r="J4" s="13" t="inlineStr">
        <is>
          <t>Notes</t>
        </is>
      </c>
    </row>
    <row r="5">
      <c r="A5" s="15" t="inlineStr">
        <is>
          <t>EP-1001</t>
        </is>
      </c>
      <c r="B5" s="15" t="inlineStr">
        <is>
          <t>LAPTOP-GREG-01</t>
        </is>
      </c>
      <c r="C5" s="15" t="inlineStr">
        <is>
          <t>Laptop</t>
        </is>
      </c>
      <c r="D5" s="15" t="inlineStr">
        <is>
          <t>AppLocker</t>
        </is>
      </c>
      <c r="E5" s="15" t="inlineStr">
        <is>
          <t>Default Allow Policy</t>
        </is>
      </c>
      <c r="F5" s="15" t="inlineStr">
        <is>
          <t>✅ Enforce</t>
        </is>
      </c>
      <c r="G5" s="15" t="inlineStr">
        <is>
          <t>21.02.2026</t>
        </is>
      </c>
      <c r="H5" s="15" t="inlineStr">
        <is>
          <t>0</t>
        </is>
      </c>
      <c r="I5" s="15" t="inlineStr">
        <is>
          <t>✅ Enforced</t>
        </is>
      </c>
      <c r="J5" s="15" t="inlineStr">
        <is>
          <t>Example endpoint</t>
        </is>
      </c>
    </row>
    <row r="6">
      <c r="A6" s="20" t="inlineStr">
        <is>
          <t>EP-1001</t>
        </is>
      </c>
      <c r="B6" s="17" t="n"/>
      <c r="C6" s="17" t="n"/>
      <c r="D6" s="17" t="n"/>
      <c r="E6" s="17" t="n"/>
      <c r="F6" s="17" t="n"/>
      <c r="G6" s="17" t="n"/>
      <c r="H6" s="17" t="n"/>
      <c r="I6" s="17" t="n"/>
      <c r="J6" s="17" t="n"/>
    </row>
    <row r="7">
      <c r="A7" s="20" t="inlineStr">
        <is>
          <t>EP-1002</t>
        </is>
      </c>
      <c r="B7" s="17" t="n"/>
      <c r="C7" s="17" t="n"/>
      <c r="D7" s="17" t="n"/>
      <c r="E7" s="17" t="n"/>
      <c r="F7" s="17" t="n"/>
      <c r="G7" s="17" t="n"/>
      <c r="H7" s="17" t="n"/>
      <c r="I7" s="17" t="n"/>
      <c r="J7" s="17" t="n"/>
    </row>
    <row r="8">
      <c r="A8" s="20" t="inlineStr">
        <is>
          <t>EP-1003</t>
        </is>
      </c>
      <c r="B8" s="17" t="n"/>
      <c r="C8" s="17" t="n"/>
      <c r="D8" s="17" t="n"/>
      <c r="E8" s="17" t="n"/>
      <c r="F8" s="17" t="n"/>
      <c r="G8" s="17" t="n"/>
      <c r="H8" s="17" t="n"/>
      <c r="I8" s="17" t="n"/>
      <c r="J8" s="17" t="n"/>
    </row>
    <row r="9">
      <c r="A9" s="20" t="inlineStr">
        <is>
          <t>EP-1004</t>
        </is>
      </c>
      <c r="B9" s="17" t="n"/>
      <c r="C9" s="17" t="n"/>
      <c r="D9" s="17" t="n"/>
      <c r="E9" s="17" t="n"/>
      <c r="F9" s="17" t="n"/>
      <c r="G9" s="17" t="n"/>
      <c r="H9" s="17" t="n"/>
      <c r="I9" s="17" t="n"/>
      <c r="J9" s="17" t="n"/>
    </row>
    <row r="10">
      <c r="A10" s="20" t="inlineStr">
        <is>
          <t>EP-1005</t>
        </is>
      </c>
      <c r="B10" s="17" t="n"/>
      <c r="C10" s="17" t="n"/>
      <c r="D10" s="17" t="n"/>
      <c r="E10" s="17" t="n"/>
      <c r="F10" s="17" t="n"/>
      <c r="G10" s="17" t="n"/>
      <c r="H10" s="17" t="n"/>
      <c r="I10" s="17" t="n"/>
      <c r="J10" s="17" t="n"/>
    </row>
    <row r="11">
      <c r="A11" s="20" t="inlineStr">
        <is>
          <t>EP-1006</t>
        </is>
      </c>
      <c r="B11" s="17" t="n"/>
      <c r="C11" s="17" t="n"/>
      <c r="D11" s="17" t="n"/>
      <c r="E11" s="17" t="n"/>
      <c r="F11" s="17" t="n"/>
      <c r="G11" s="17" t="n"/>
      <c r="H11" s="17" t="n"/>
      <c r="I11" s="17" t="n"/>
      <c r="J11" s="17" t="n"/>
    </row>
    <row r="12">
      <c r="A12" s="20" t="inlineStr">
        <is>
          <t>EP-1007</t>
        </is>
      </c>
      <c r="B12" s="17" t="n"/>
      <c r="C12" s="17" t="n"/>
      <c r="D12" s="17" t="n"/>
      <c r="E12" s="17" t="n"/>
      <c r="F12" s="17" t="n"/>
      <c r="G12" s="17" t="n"/>
      <c r="H12" s="17" t="n"/>
      <c r="I12" s="17" t="n"/>
      <c r="J12" s="17" t="n"/>
    </row>
    <row r="13">
      <c r="A13" s="20" t="inlineStr">
        <is>
          <t>EP-1008</t>
        </is>
      </c>
      <c r="B13" s="17" t="n"/>
      <c r="C13" s="17" t="n"/>
      <c r="D13" s="17" t="n"/>
      <c r="E13" s="17" t="n"/>
      <c r="F13" s="17" t="n"/>
      <c r="G13" s="17" t="n"/>
      <c r="H13" s="17" t="n"/>
      <c r="I13" s="17" t="n"/>
      <c r="J13" s="17" t="n"/>
    </row>
    <row r="14">
      <c r="A14" s="20" t="inlineStr">
        <is>
          <t>EP-1009</t>
        </is>
      </c>
      <c r="B14" s="17" t="n"/>
      <c r="C14" s="17" t="n"/>
      <c r="D14" s="17" t="n"/>
      <c r="E14" s="17" t="n"/>
      <c r="F14" s="17" t="n"/>
      <c r="G14" s="17" t="n"/>
      <c r="H14" s="17" t="n"/>
      <c r="I14" s="17" t="n"/>
      <c r="J14" s="17" t="n"/>
    </row>
    <row r="15">
      <c r="A15" s="20" t="inlineStr">
        <is>
          <t>EP-1010</t>
        </is>
      </c>
      <c r="B15" s="17" t="n"/>
      <c r="C15" s="17" t="n"/>
      <c r="D15" s="17" t="n"/>
      <c r="E15" s="17" t="n"/>
      <c r="F15" s="17" t="n"/>
      <c r="G15" s="17" t="n"/>
      <c r="H15" s="17" t="n"/>
      <c r="I15" s="17" t="n"/>
      <c r="J15" s="17" t="n"/>
    </row>
    <row r="16">
      <c r="A16" s="20" t="inlineStr">
        <is>
          <t>EP-1011</t>
        </is>
      </c>
      <c r="B16" s="17" t="n"/>
      <c r="C16" s="17" t="n"/>
      <c r="D16" s="17" t="n"/>
      <c r="E16" s="17" t="n"/>
      <c r="F16" s="17" t="n"/>
      <c r="G16" s="17" t="n"/>
      <c r="H16" s="17" t="n"/>
      <c r="I16" s="17" t="n"/>
      <c r="J16" s="17" t="n"/>
    </row>
    <row r="17">
      <c r="A17" s="20" t="inlineStr">
        <is>
          <t>EP-1012</t>
        </is>
      </c>
      <c r="B17" s="17" t="n"/>
      <c r="C17" s="17" t="n"/>
      <c r="D17" s="17" t="n"/>
      <c r="E17" s="17" t="n"/>
      <c r="F17" s="17" t="n"/>
      <c r="G17" s="17" t="n"/>
      <c r="H17" s="17" t="n"/>
      <c r="I17" s="17" t="n"/>
      <c r="J17" s="17" t="n"/>
    </row>
    <row r="18">
      <c r="A18" s="20" t="inlineStr">
        <is>
          <t>EP-1013</t>
        </is>
      </c>
      <c r="B18" s="17" t="n"/>
      <c r="C18" s="17" t="n"/>
      <c r="D18" s="17" t="n"/>
      <c r="E18" s="17" t="n"/>
      <c r="F18" s="17" t="n"/>
      <c r="G18" s="17" t="n"/>
      <c r="H18" s="17" t="n"/>
      <c r="I18" s="17" t="n"/>
      <c r="J18" s="17" t="n"/>
    </row>
    <row r="19">
      <c r="A19" s="20" t="inlineStr">
        <is>
          <t>EP-1014</t>
        </is>
      </c>
      <c r="B19" s="17" t="n"/>
      <c r="C19" s="17" t="n"/>
      <c r="D19" s="17" t="n"/>
      <c r="E19" s="17" t="n"/>
      <c r="F19" s="17" t="n"/>
      <c r="G19" s="17" t="n"/>
      <c r="H19" s="17" t="n"/>
      <c r="I19" s="17" t="n"/>
      <c r="J19" s="17" t="n"/>
    </row>
    <row r="20">
      <c r="A20" s="20" t="inlineStr">
        <is>
          <t>EP-1015</t>
        </is>
      </c>
      <c r="B20" s="17" t="n"/>
      <c r="C20" s="17" t="n"/>
      <c r="D20" s="17" t="n"/>
      <c r="E20" s="17" t="n"/>
      <c r="F20" s="17" t="n"/>
      <c r="G20" s="17" t="n"/>
      <c r="H20" s="17" t="n"/>
      <c r="I20" s="17" t="n"/>
      <c r="J20" s="17" t="n"/>
    </row>
    <row r="21">
      <c r="A21" s="20" t="inlineStr">
        <is>
          <t>EP-1016</t>
        </is>
      </c>
      <c r="B21" s="17" t="n"/>
      <c r="C21" s="17" t="n"/>
      <c r="D21" s="17" t="n"/>
      <c r="E21" s="17" t="n"/>
      <c r="F21" s="17" t="n"/>
      <c r="G21" s="17" t="n"/>
      <c r="H21" s="17" t="n"/>
      <c r="I21" s="17" t="n"/>
      <c r="J21" s="17" t="n"/>
    </row>
    <row r="22">
      <c r="A22" s="20" t="inlineStr">
        <is>
          <t>EP-1017</t>
        </is>
      </c>
      <c r="B22" s="17" t="n"/>
      <c r="C22" s="17" t="n"/>
      <c r="D22" s="17" t="n"/>
      <c r="E22" s="17" t="n"/>
      <c r="F22" s="17" t="n"/>
      <c r="G22" s="17" t="n"/>
      <c r="H22" s="17" t="n"/>
      <c r="I22" s="17" t="n"/>
      <c r="J22" s="17" t="n"/>
    </row>
    <row r="23">
      <c r="A23" s="20" t="inlineStr">
        <is>
          <t>EP-1018</t>
        </is>
      </c>
      <c r="B23" s="17" t="n"/>
      <c r="C23" s="17" t="n"/>
      <c r="D23" s="17" t="n"/>
      <c r="E23" s="17" t="n"/>
      <c r="F23" s="17" t="n"/>
      <c r="G23" s="17" t="n"/>
      <c r="H23" s="17" t="n"/>
      <c r="I23" s="17" t="n"/>
      <c r="J23" s="17" t="n"/>
    </row>
    <row r="24">
      <c r="A24" s="20" t="inlineStr">
        <is>
          <t>EP-1019</t>
        </is>
      </c>
      <c r="B24" s="17" t="n"/>
      <c r="C24" s="17" t="n"/>
      <c r="D24" s="17" t="n"/>
      <c r="E24" s="17" t="n"/>
      <c r="F24" s="17" t="n"/>
      <c r="G24" s="17" t="n"/>
      <c r="H24" s="17" t="n"/>
      <c r="I24" s="17" t="n"/>
      <c r="J24" s="17" t="n"/>
    </row>
    <row r="25">
      <c r="A25" s="20" t="inlineStr">
        <is>
          <t>EP-1020</t>
        </is>
      </c>
      <c r="B25" s="17" t="n"/>
      <c r="C25" s="17" t="n"/>
      <c r="D25" s="17" t="n"/>
      <c r="E25" s="17" t="n"/>
      <c r="F25" s="17" t="n"/>
      <c r="G25" s="17" t="n"/>
      <c r="H25" s="17" t="n"/>
      <c r="I25" s="17" t="n"/>
      <c r="J25" s="17" t="n"/>
    </row>
    <row r="26">
      <c r="A26" s="20" t="inlineStr">
        <is>
          <t>EP-1021</t>
        </is>
      </c>
      <c r="B26" s="17" t="n"/>
      <c r="C26" s="17" t="n"/>
      <c r="D26" s="17" t="n"/>
      <c r="E26" s="17" t="n"/>
      <c r="F26" s="17" t="n"/>
      <c r="G26" s="17" t="n"/>
      <c r="H26" s="17" t="n"/>
      <c r="I26" s="17" t="n"/>
      <c r="J26" s="17" t="n"/>
    </row>
    <row r="27">
      <c r="A27" s="20" t="inlineStr">
        <is>
          <t>EP-1022</t>
        </is>
      </c>
      <c r="B27" s="17" t="n"/>
      <c r="C27" s="17" t="n"/>
      <c r="D27" s="17" t="n"/>
      <c r="E27" s="17" t="n"/>
      <c r="F27" s="17" t="n"/>
      <c r="G27" s="17" t="n"/>
      <c r="H27" s="17" t="n"/>
      <c r="I27" s="17" t="n"/>
      <c r="J27" s="17" t="n"/>
    </row>
    <row r="28">
      <c r="A28" s="20" t="inlineStr">
        <is>
          <t>EP-1023</t>
        </is>
      </c>
      <c r="B28" s="17" t="n"/>
      <c r="C28" s="17" t="n"/>
      <c r="D28" s="17" t="n"/>
      <c r="E28" s="17" t="n"/>
      <c r="F28" s="17" t="n"/>
      <c r="G28" s="17" t="n"/>
      <c r="H28" s="17" t="n"/>
      <c r="I28" s="17" t="n"/>
      <c r="J28" s="17" t="n"/>
    </row>
    <row r="29">
      <c r="A29" s="20" t="inlineStr">
        <is>
          <t>EP-1024</t>
        </is>
      </c>
      <c r="B29" s="17" t="n"/>
      <c r="C29" s="17" t="n"/>
      <c r="D29" s="17" t="n"/>
      <c r="E29" s="17" t="n"/>
      <c r="F29" s="17" t="n"/>
      <c r="G29" s="17" t="n"/>
      <c r="H29" s="17" t="n"/>
      <c r="I29" s="17" t="n"/>
      <c r="J29" s="17" t="n"/>
    </row>
    <row r="30">
      <c r="A30" s="20" t="inlineStr">
        <is>
          <t>EP-1025</t>
        </is>
      </c>
      <c r="B30" s="17" t="n"/>
      <c r="C30" s="17" t="n"/>
      <c r="D30" s="17" t="n"/>
      <c r="E30" s="17" t="n"/>
      <c r="F30" s="17" t="n"/>
      <c r="G30" s="17" t="n"/>
      <c r="H30" s="17" t="n"/>
      <c r="I30" s="17" t="n"/>
      <c r="J30" s="17" t="n"/>
    </row>
    <row r="31">
      <c r="A31" s="20" t="inlineStr">
        <is>
          <t>EP-1026</t>
        </is>
      </c>
      <c r="B31" s="17" t="n"/>
      <c r="C31" s="17" t="n"/>
      <c r="D31" s="17" t="n"/>
      <c r="E31" s="17" t="n"/>
      <c r="F31" s="17" t="n"/>
      <c r="G31" s="17" t="n"/>
      <c r="H31" s="17" t="n"/>
      <c r="I31" s="17" t="n"/>
      <c r="J31" s="17" t="n"/>
    </row>
    <row r="32">
      <c r="A32" s="20" t="inlineStr">
        <is>
          <t>EP-1027</t>
        </is>
      </c>
      <c r="B32" s="17" t="n"/>
      <c r="C32" s="17" t="n"/>
      <c r="D32" s="17" t="n"/>
      <c r="E32" s="17" t="n"/>
      <c r="F32" s="17" t="n"/>
      <c r="G32" s="17" t="n"/>
      <c r="H32" s="17" t="n"/>
      <c r="I32" s="17" t="n"/>
      <c r="J32" s="17" t="n"/>
    </row>
    <row r="33">
      <c r="A33" s="20" t="inlineStr">
        <is>
          <t>EP-1028</t>
        </is>
      </c>
      <c r="B33" s="17" t="n"/>
      <c r="C33" s="17" t="n"/>
      <c r="D33" s="17" t="n"/>
      <c r="E33" s="17" t="n"/>
      <c r="F33" s="17" t="n"/>
      <c r="G33" s="17" t="n"/>
      <c r="H33" s="17" t="n"/>
      <c r="I33" s="17" t="n"/>
      <c r="J33" s="17" t="n"/>
    </row>
    <row r="34">
      <c r="A34" s="20" t="inlineStr">
        <is>
          <t>EP-1029</t>
        </is>
      </c>
      <c r="B34" s="17" t="n"/>
      <c r="C34" s="17" t="n"/>
      <c r="D34" s="17" t="n"/>
      <c r="E34" s="17" t="n"/>
      <c r="F34" s="17" t="n"/>
      <c r="G34" s="17" t="n"/>
      <c r="H34" s="17" t="n"/>
      <c r="I34" s="17" t="n"/>
      <c r="J34" s="17" t="n"/>
    </row>
    <row r="35">
      <c r="A35" s="20" t="inlineStr">
        <is>
          <t>EP-1030</t>
        </is>
      </c>
      <c r="B35" s="17" t="n"/>
      <c r="C35" s="17" t="n"/>
      <c r="D35" s="17" t="n"/>
      <c r="E35" s="17" t="n"/>
      <c r="F35" s="17" t="n"/>
      <c r="G35" s="17" t="n"/>
      <c r="H35" s="17" t="n"/>
      <c r="I35" s="17" t="n"/>
      <c r="J35" s="17" t="n"/>
    </row>
    <row r="36">
      <c r="A36" s="20" t="inlineStr">
        <is>
          <t>EP-1031</t>
        </is>
      </c>
      <c r="B36" s="17" t="n"/>
      <c r="C36" s="17" t="n"/>
      <c r="D36" s="17" t="n"/>
      <c r="E36" s="17" t="n"/>
      <c r="F36" s="17" t="n"/>
      <c r="G36" s="17" t="n"/>
      <c r="H36" s="17" t="n"/>
      <c r="I36" s="17" t="n"/>
      <c r="J36" s="17" t="n"/>
    </row>
    <row r="37">
      <c r="A37" s="20" t="inlineStr">
        <is>
          <t>EP-1032</t>
        </is>
      </c>
      <c r="B37" s="17" t="n"/>
      <c r="C37" s="17" t="n"/>
      <c r="D37" s="17" t="n"/>
      <c r="E37" s="17" t="n"/>
      <c r="F37" s="17" t="n"/>
      <c r="G37" s="17" t="n"/>
      <c r="H37" s="17" t="n"/>
      <c r="I37" s="17" t="n"/>
      <c r="J37" s="17" t="n"/>
    </row>
    <row r="38">
      <c r="A38" s="20" t="inlineStr">
        <is>
          <t>EP-1033</t>
        </is>
      </c>
      <c r="B38" s="17" t="n"/>
      <c r="C38" s="17" t="n"/>
      <c r="D38" s="17" t="n"/>
      <c r="E38" s="17" t="n"/>
      <c r="F38" s="17" t="n"/>
      <c r="G38" s="17" t="n"/>
      <c r="H38" s="17" t="n"/>
      <c r="I38" s="17" t="n"/>
      <c r="J38" s="17" t="n"/>
    </row>
    <row r="39">
      <c r="A39" s="20" t="inlineStr">
        <is>
          <t>EP-1034</t>
        </is>
      </c>
      <c r="B39" s="17" t="n"/>
      <c r="C39" s="17" t="n"/>
      <c r="D39" s="17" t="n"/>
      <c r="E39" s="17" t="n"/>
      <c r="F39" s="17" t="n"/>
      <c r="G39" s="17" t="n"/>
      <c r="H39" s="17" t="n"/>
      <c r="I39" s="17" t="n"/>
      <c r="J39" s="17" t="n"/>
    </row>
    <row r="40">
      <c r="A40" s="20" t="inlineStr">
        <is>
          <t>EP-1035</t>
        </is>
      </c>
      <c r="B40" s="17" t="n"/>
      <c r="C40" s="17" t="n"/>
      <c r="D40" s="17" t="n"/>
      <c r="E40" s="17" t="n"/>
      <c r="F40" s="17" t="n"/>
      <c r="G40" s="17" t="n"/>
      <c r="H40" s="17" t="n"/>
      <c r="I40" s="17" t="n"/>
      <c r="J40" s="17" t="n"/>
    </row>
    <row r="41">
      <c r="A41" s="20" t="inlineStr">
        <is>
          <t>EP-1036</t>
        </is>
      </c>
      <c r="B41" s="17" t="n"/>
      <c r="C41" s="17" t="n"/>
      <c r="D41" s="17" t="n"/>
      <c r="E41" s="17" t="n"/>
      <c r="F41" s="17" t="n"/>
      <c r="G41" s="17" t="n"/>
      <c r="H41" s="17" t="n"/>
      <c r="I41" s="17" t="n"/>
      <c r="J41" s="17" t="n"/>
    </row>
    <row r="42">
      <c r="A42" s="20" t="inlineStr">
        <is>
          <t>EP-1037</t>
        </is>
      </c>
      <c r="B42" s="17" t="n"/>
      <c r="C42" s="17" t="n"/>
      <c r="D42" s="17" t="n"/>
      <c r="E42" s="17" t="n"/>
      <c r="F42" s="17" t="n"/>
      <c r="G42" s="17" t="n"/>
      <c r="H42" s="17" t="n"/>
      <c r="I42" s="17" t="n"/>
      <c r="J42" s="17" t="n"/>
    </row>
    <row r="43">
      <c r="A43" s="20" t="inlineStr">
        <is>
          <t>EP-1038</t>
        </is>
      </c>
      <c r="B43" s="17" t="n"/>
      <c r="C43" s="17" t="n"/>
      <c r="D43" s="17" t="n"/>
      <c r="E43" s="17" t="n"/>
      <c r="F43" s="17" t="n"/>
      <c r="G43" s="17" t="n"/>
      <c r="H43" s="17" t="n"/>
      <c r="I43" s="17" t="n"/>
      <c r="J43" s="17" t="n"/>
    </row>
    <row r="44">
      <c r="A44" s="20" t="inlineStr">
        <is>
          <t>EP-1039</t>
        </is>
      </c>
      <c r="B44" s="17" t="n"/>
      <c r="C44" s="17" t="n"/>
      <c r="D44" s="17" t="n"/>
      <c r="E44" s="17" t="n"/>
      <c r="F44" s="17" t="n"/>
      <c r="G44" s="17" t="n"/>
      <c r="H44" s="17" t="n"/>
      <c r="I44" s="17" t="n"/>
      <c r="J44" s="17" t="n"/>
    </row>
    <row r="45">
      <c r="A45" s="20" t="inlineStr">
        <is>
          <t>EP-1040</t>
        </is>
      </c>
      <c r="B45" s="17" t="n"/>
      <c r="C45" s="17" t="n"/>
      <c r="D45" s="17" t="n"/>
      <c r="E45" s="17" t="n"/>
      <c r="F45" s="17" t="n"/>
      <c r="G45" s="17" t="n"/>
      <c r="H45" s="17" t="n"/>
      <c r="I45" s="17" t="n"/>
      <c r="J45" s="17" t="n"/>
    </row>
    <row r="46">
      <c r="A46" s="20" t="inlineStr">
        <is>
          <t>EP-1041</t>
        </is>
      </c>
      <c r="B46" s="17" t="n"/>
      <c r="C46" s="17" t="n"/>
      <c r="D46" s="17" t="n"/>
      <c r="E46" s="17" t="n"/>
      <c r="F46" s="17" t="n"/>
      <c r="G46" s="17" t="n"/>
      <c r="H46" s="17" t="n"/>
      <c r="I46" s="17" t="n"/>
      <c r="J46" s="17" t="n"/>
    </row>
    <row r="47">
      <c r="A47" s="20" t="inlineStr">
        <is>
          <t>EP-1042</t>
        </is>
      </c>
      <c r="B47" s="17" t="n"/>
      <c r="C47" s="17" t="n"/>
      <c r="D47" s="17" t="n"/>
      <c r="E47" s="17" t="n"/>
      <c r="F47" s="17" t="n"/>
      <c r="G47" s="17" t="n"/>
      <c r="H47" s="17" t="n"/>
      <c r="I47" s="17" t="n"/>
      <c r="J47" s="17" t="n"/>
    </row>
    <row r="48">
      <c r="A48" s="20" t="inlineStr">
        <is>
          <t>EP-1043</t>
        </is>
      </c>
      <c r="B48" s="17" t="n"/>
      <c r="C48" s="17" t="n"/>
      <c r="D48" s="17" t="n"/>
      <c r="E48" s="17" t="n"/>
      <c r="F48" s="17" t="n"/>
      <c r="G48" s="17" t="n"/>
      <c r="H48" s="17" t="n"/>
      <c r="I48" s="17" t="n"/>
      <c r="J48" s="17" t="n"/>
    </row>
    <row r="49">
      <c r="A49" s="20" t="inlineStr">
        <is>
          <t>EP-1044</t>
        </is>
      </c>
      <c r="B49" s="17" t="n"/>
      <c r="C49" s="17" t="n"/>
      <c r="D49" s="17" t="n"/>
      <c r="E49" s="17" t="n"/>
      <c r="F49" s="17" t="n"/>
      <c r="G49" s="17" t="n"/>
      <c r="H49" s="17" t="n"/>
      <c r="I49" s="17" t="n"/>
      <c r="J49" s="17" t="n"/>
    </row>
    <row r="50">
      <c r="A50" s="20" t="inlineStr">
        <is>
          <t>EP-1045</t>
        </is>
      </c>
      <c r="B50" s="17" t="n"/>
      <c r="C50" s="17" t="n"/>
      <c r="D50" s="17" t="n"/>
      <c r="E50" s="17" t="n"/>
      <c r="F50" s="17" t="n"/>
      <c r="G50" s="17" t="n"/>
      <c r="H50" s="17" t="n"/>
      <c r="I50" s="17" t="n"/>
      <c r="J50" s="17" t="n"/>
    </row>
    <row r="51">
      <c r="A51" s="20" t="inlineStr">
        <is>
          <t>EP-1046</t>
        </is>
      </c>
      <c r="B51" s="17" t="n"/>
      <c r="C51" s="17" t="n"/>
      <c r="D51" s="17" t="n"/>
      <c r="E51" s="17" t="n"/>
      <c r="F51" s="17" t="n"/>
      <c r="G51" s="17" t="n"/>
      <c r="H51" s="17" t="n"/>
      <c r="I51" s="17" t="n"/>
      <c r="J51" s="17" t="n"/>
    </row>
    <row r="52">
      <c r="A52" s="20" t="inlineStr">
        <is>
          <t>EP-1047</t>
        </is>
      </c>
      <c r="B52" s="17" t="n"/>
      <c r="C52" s="17" t="n"/>
      <c r="D52" s="17" t="n"/>
      <c r="E52" s="17" t="n"/>
      <c r="F52" s="17" t="n"/>
      <c r="G52" s="17" t="n"/>
      <c r="H52" s="17" t="n"/>
      <c r="I52" s="17" t="n"/>
      <c r="J52" s="17" t="n"/>
    </row>
    <row r="53">
      <c r="A53" s="20" t="inlineStr">
        <is>
          <t>EP-1048</t>
        </is>
      </c>
      <c r="B53" s="17" t="n"/>
      <c r="C53" s="17" t="n"/>
      <c r="D53" s="17" t="n"/>
      <c r="E53" s="17" t="n"/>
      <c r="F53" s="17" t="n"/>
      <c r="G53" s="17" t="n"/>
      <c r="H53" s="17" t="n"/>
      <c r="I53" s="17" t="n"/>
      <c r="J53" s="17" t="n"/>
    </row>
    <row r="54">
      <c r="A54" s="20" t="inlineStr">
        <is>
          <t>EP-1049</t>
        </is>
      </c>
      <c r="B54" s="17" t="n"/>
      <c r="C54" s="17" t="n"/>
      <c r="D54" s="17" t="n"/>
      <c r="E54" s="17" t="n"/>
      <c r="F54" s="17" t="n"/>
      <c r="G54" s="17" t="n"/>
      <c r="H54" s="17" t="n"/>
      <c r="I54" s="17" t="n"/>
      <c r="J54" s="17" t="n"/>
    </row>
    <row r="55">
      <c r="A55" s="20" t="inlineStr">
        <is>
          <t>EP-1050</t>
        </is>
      </c>
      <c r="B55" s="17" t="n"/>
      <c r="C55" s="17" t="n"/>
      <c r="D55" s="17" t="n"/>
      <c r="E55" s="17" t="n"/>
      <c r="F55" s="17" t="n"/>
      <c r="G55" s="17" t="n"/>
      <c r="H55" s="17" t="n"/>
      <c r="I55" s="17" t="n"/>
      <c r="J55" s="17" t="n"/>
    </row>
    <row r="57">
      <c r="A57" s="12" t="inlineStr">
        <is>
          <t>[CHART] APPLICATION CONTROL SUMMARY</t>
        </is>
      </c>
    </row>
    <row r="58">
      <c r="A58" t="inlineStr">
        <is>
          <t>Total Endpoints Assessed:</t>
        </is>
      </c>
      <c r="B58">
        <f>COUNTA(B6:B55)</f>
        <v/>
      </c>
    </row>
    <row r="59">
      <c r="A59" t="inlineStr">
        <is>
          <t>✅ Enforced:</t>
        </is>
      </c>
      <c r="B59">
        <f>COUNTIF(I6:I55,"✅ Enforced")</f>
        <v/>
      </c>
    </row>
    <row r="60">
      <c r="A60" t="inlineStr">
        <is>
          <t>Deployment Rate:</t>
        </is>
      </c>
      <c r="B60" s="18">
        <f>IF(B58&gt;0,B59/B58*100,0)&amp;"%"</f>
        <v/>
      </c>
    </row>
  </sheetData>
  <mergeCells count="3">
    <mergeCell ref="A1:J1"/>
    <mergeCell ref="A57:C57"/>
    <mergeCell ref="A2:J2"/>
  </mergeCells>
  <dataValidations count="3">
    <dataValidation sqref="I6 I7 I8 I9 I10 I11 I12 I13 I14 I15 I16 I17 I18 I19 I20 I21 I22 I23 I24 I25 I26 I27 I28 I29 I30 I31 I32 I33 I34 I35 I36 I37 I38 I39 I40 I41 I42 I43 I44 I45 I46 I47 I48 I49 I50 I51 I52 I53 I54 I55" showDropDown="0" showInputMessage="0" showErrorMessage="0" allowBlank="0" type="list">
      <formula1>"✅ Enforced,Audit Mode,Not Configured,N/A"</formula1>
    </dataValidation>
    <dataValidation sqref="D6 D7 D8 D9 D10 D11 D12 D13 D14 D15 D16 D17 D18 D19 D20 D21 D22 D23 D24 D25 D26 D27 D28 D29 D30 D31 D32 D33 D34 D35 D36 D37 D38 D39 D40 D41 D42 D43 D44 D45 D46 D47 D48 D49 D50 D51 D52 D53 D54 D55" showDropDown="0" showInputMessage="0" showErrorMessage="0" allowBlank="0" type="list">
      <formula1>"AppLocker,WDAC,Gatekeeper (macOS),Application Whitelist,None,Other"</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0" type="list">
      <formula1>"✅ Enforce,Audit Only,Not Configured"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11"/>
  <sheetViews>
    <sheetView showGridLines="0" workbookViewId="0">
      <pane ySplit="4" topLeftCell="A5" activePane="bottomLeft" state="frozen"/>
      <selection pane="bottomLeft" activeCell="A1" sqref="A1"/>
    </sheetView>
  </sheetViews>
  <sheetFormatPr baseColWidth="8" defaultRowHeight="15"/>
  <cols>
    <col width="15" customWidth="1" min="1" max="1"/>
    <col width="15" customWidth="1" min="2" max="2"/>
    <col width="30" customWidth="1" min="3" max="3"/>
    <col width="12" customWidth="1" min="4" max="4"/>
    <col width="18" customWidth="1" min="5" max="5"/>
    <col width="20" customWidth="1" min="6" max="6"/>
    <col width="18" customWidth="1" min="7" max="7"/>
    <col width="18" customWidth="1" min="8" max="8"/>
    <col width="18" customWidth="1" min="9" max="9"/>
    <col width="20" customWidth="1" min="10" max="10"/>
    <col width="20" customWidth="1" min="11" max="11"/>
    <col width="30" customWidth="1" min="12" max="12"/>
  </cols>
  <sheetData>
    <row r="1" ht="35" customHeight="1">
      <c r="A1" s="11" t="inlineStr">
        <is>
          <t>SOFTWARE INSTALLATION CHANGE CONTROL</t>
        </is>
      </c>
    </row>
    <row r="2">
      <c r="A2" s="12" t="inlineStr">
        <is>
          <t>Change control integration for software installations - 100% compliance required</t>
        </is>
      </c>
    </row>
    <row r="4">
      <c r="A4" s="13" t="inlineStr">
        <is>
          <t>Change ID</t>
        </is>
      </c>
      <c r="B4" s="13" t="inlineStr">
        <is>
          <t>Change Date</t>
        </is>
      </c>
      <c r="C4" s="13" t="inlineStr">
        <is>
          <t>Software Name</t>
        </is>
      </c>
      <c r="D4" s="13" t="inlineStr">
        <is>
          <t>Version</t>
        </is>
      </c>
      <c r="E4" s="13" t="inlineStr">
        <is>
          <t>Affected Devices</t>
        </is>
      </c>
      <c r="F4" s="13" t="inlineStr">
        <is>
          <t>Change Type</t>
        </is>
      </c>
      <c r="G4" s="13" t="inlineStr">
        <is>
          <t>Testing Completed</t>
        </is>
      </c>
      <c r="H4" s="13" t="inlineStr">
        <is>
          <t>Rollback Plan</t>
        </is>
      </c>
      <c r="I4" s="13" t="inlineStr">
        <is>
          <t>Implementer</t>
        </is>
      </c>
      <c r="J4" s="13" t="inlineStr">
        <is>
          <t>Approval Reference</t>
        </is>
      </c>
      <c r="K4" s="13" t="inlineStr">
        <is>
          <t>Change Status</t>
        </is>
      </c>
      <c r="L4" s="13" t="inlineStr">
        <is>
          <t>Notes</t>
        </is>
      </c>
    </row>
    <row r="5">
      <c r="A5" s="14" t="inlineStr">
        <is>
          <t>CHG-00001</t>
        </is>
      </c>
      <c r="B5" s="15" t="inlineStr">
        <is>
          <t>21.02.2026</t>
        </is>
      </c>
      <c r="C5" s="15" t="inlineStr">
        <is>
          <t>Microsoft Office 365</t>
        </is>
      </c>
      <c r="D5" s="15" t="inlineStr">
        <is>
          <t>2024</t>
        </is>
      </c>
      <c r="E5" s="15" t="inlineStr">
        <is>
          <t>50 endpoints</t>
        </is>
      </c>
      <c r="F5" s="15" t="inlineStr">
        <is>
          <t>New Installation</t>
        </is>
      </c>
      <c r="G5" s="15" t="inlineStr">
        <is>
          <t>Yes</t>
        </is>
      </c>
      <c r="H5" s="15" t="inlineStr">
        <is>
          <t>Yes</t>
        </is>
      </c>
      <c r="I5" s="15" t="inlineStr">
        <is>
          <t>IT Manager</t>
        </is>
      </c>
      <c r="J5" s="15" t="inlineStr">
        <is>
          <t>CHG-REF-001</t>
        </is>
      </c>
      <c r="K5" s="15" t="inlineStr">
        <is>
          <t>✅ Approved</t>
        </is>
      </c>
      <c r="L5" s="15" t="inlineStr">
        <is>
          <t>Deployed via SCCM</t>
        </is>
      </c>
    </row>
    <row r="6">
      <c r="A6" s="16" t="inlineStr">
        <is>
          <t>CHG-00001</t>
        </is>
      </c>
      <c r="B6" s="17" t="n"/>
      <c r="C6" s="17" t="n"/>
      <c r="D6" s="17" t="n"/>
      <c r="E6" s="17" t="n"/>
      <c r="F6" s="17" t="n"/>
      <c r="G6" s="17" t="n"/>
      <c r="H6" s="17" t="n"/>
      <c r="I6" s="17" t="n"/>
      <c r="J6" s="17" t="n"/>
      <c r="K6" s="17" t="n"/>
      <c r="L6" s="17" t="n"/>
    </row>
    <row r="7">
      <c r="A7" s="16" t="inlineStr">
        <is>
          <t>CHG-00002</t>
        </is>
      </c>
      <c r="B7" s="17" t="n"/>
      <c r="C7" s="17" t="n"/>
      <c r="D7" s="17" t="n"/>
      <c r="E7" s="17" t="n"/>
      <c r="F7" s="17" t="n"/>
      <c r="G7" s="17" t="n"/>
      <c r="H7" s="17" t="n"/>
      <c r="I7" s="17" t="n"/>
      <c r="J7" s="17" t="n"/>
      <c r="K7" s="17" t="n"/>
      <c r="L7" s="17" t="n"/>
    </row>
    <row r="8">
      <c r="A8" s="16" t="inlineStr">
        <is>
          <t>CHG-00003</t>
        </is>
      </c>
      <c r="B8" s="17" t="n"/>
      <c r="C8" s="17" t="n"/>
      <c r="D8" s="17" t="n"/>
      <c r="E8" s="17" t="n"/>
      <c r="F8" s="17" t="n"/>
      <c r="G8" s="17" t="n"/>
      <c r="H8" s="17" t="n"/>
      <c r="I8" s="17" t="n"/>
      <c r="J8" s="17" t="n"/>
      <c r="K8" s="17" t="n"/>
      <c r="L8" s="17" t="n"/>
    </row>
    <row r="9">
      <c r="A9" s="16" t="inlineStr">
        <is>
          <t>CHG-00004</t>
        </is>
      </c>
      <c r="B9" s="17" t="n"/>
      <c r="C9" s="17" t="n"/>
      <c r="D9" s="17" t="n"/>
      <c r="E9" s="17" t="n"/>
      <c r="F9" s="17" t="n"/>
      <c r="G9" s="17" t="n"/>
      <c r="H9" s="17" t="n"/>
      <c r="I9" s="17" t="n"/>
      <c r="J9" s="17" t="n"/>
      <c r="K9" s="17" t="n"/>
      <c r="L9" s="17" t="n"/>
    </row>
    <row r="10">
      <c r="A10" s="16" t="inlineStr">
        <is>
          <t>CHG-00005</t>
        </is>
      </c>
      <c r="B10" s="17" t="n"/>
      <c r="C10" s="17" t="n"/>
      <c r="D10" s="17" t="n"/>
      <c r="E10" s="17" t="n"/>
      <c r="F10" s="17" t="n"/>
      <c r="G10" s="17" t="n"/>
      <c r="H10" s="17" t="n"/>
      <c r="I10" s="17" t="n"/>
      <c r="J10" s="17" t="n"/>
      <c r="K10" s="17" t="n"/>
      <c r="L10" s="17" t="n"/>
    </row>
    <row r="11">
      <c r="A11" s="16" t="inlineStr">
        <is>
          <t>CHG-00006</t>
        </is>
      </c>
      <c r="B11" s="17" t="n"/>
      <c r="C11" s="17" t="n"/>
      <c r="D11" s="17" t="n"/>
      <c r="E11" s="17" t="n"/>
      <c r="F11" s="17" t="n"/>
      <c r="G11" s="17" t="n"/>
      <c r="H11" s="17" t="n"/>
      <c r="I11" s="17" t="n"/>
      <c r="J11" s="17" t="n"/>
      <c r="K11" s="17" t="n"/>
      <c r="L11" s="17" t="n"/>
    </row>
    <row r="12">
      <c r="A12" s="16" t="inlineStr">
        <is>
          <t>CHG-00007</t>
        </is>
      </c>
      <c r="B12" s="17" t="n"/>
      <c r="C12" s="17" t="n"/>
      <c r="D12" s="17" t="n"/>
      <c r="E12" s="17" t="n"/>
      <c r="F12" s="17" t="n"/>
      <c r="G12" s="17" t="n"/>
      <c r="H12" s="17" t="n"/>
      <c r="I12" s="17" t="n"/>
      <c r="J12" s="17" t="n"/>
      <c r="K12" s="17" t="n"/>
      <c r="L12" s="17" t="n"/>
    </row>
    <row r="13">
      <c r="A13" s="16" t="inlineStr">
        <is>
          <t>CHG-00008</t>
        </is>
      </c>
      <c r="B13" s="17" t="n"/>
      <c r="C13" s="17" t="n"/>
      <c r="D13" s="17" t="n"/>
      <c r="E13" s="17" t="n"/>
      <c r="F13" s="17" t="n"/>
      <c r="G13" s="17" t="n"/>
      <c r="H13" s="17" t="n"/>
      <c r="I13" s="17" t="n"/>
      <c r="J13" s="17" t="n"/>
      <c r="K13" s="17" t="n"/>
      <c r="L13" s="17" t="n"/>
    </row>
    <row r="14">
      <c r="A14" s="16" t="inlineStr">
        <is>
          <t>CHG-00009</t>
        </is>
      </c>
      <c r="B14" s="17" t="n"/>
      <c r="C14" s="17" t="n"/>
      <c r="D14" s="17" t="n"/>
      <c r="E14" s="17" t="n"/>
      <c r="F14" s="17" t="n"/>
      <c r="G14" s="17" t="n"/>
      <c r="H14" s="17" t="n"/>
      <c r="I14" s="17" t="n"/>
      <c r="J14" s="17" t="n"/>
      <c r="K14" s="17" t="n"/>
      <c r="L14" s="17" t="n"/>
    </row>
    <row r="15">
      <c r="A15" s="16" t="inlineStr">
        <is>
          <t>CHG-00010</t>
        </is>
      </c>
      <c r="B15" s="17" t="n"/>
      <c r="C15" s="17" t="n"/>
      <c r="D15" s="17" t="n"/>
      <c r="E15" s="17" t="n"/>
      <c r="F15" s="17" t="n"/>
      <c r="G15" s="17" t="n"/>
      <c r="H15" s="17" t="n"/>
      <c r="I15" s="17" t="n"/>
      <c r="J15" s="17" t="n"/>
      <c r="K15" s="17" t="n"/>
      <c r="L15" s="17" t="n"/>
    </row>
    <row r="16">
      <c r="A16" s="16" t="inlineStr">
        <is>
          <t>CHG-00011</t>
        </is>
      </c>
      <c r="B16" s="17" t="n"/>
      <c r="C16" s="17" t="n"/>
      <c r="D16" s="17" t="n"/>
      <c r="E16" s="17" t="n"/>
      <c r="F16" s="17" t="n"/>
      <c r="G16" s="17" t="n"/>
      <c r="H16" s="17" t="n"/>
      <c r="I16" s="17" t="n"/>
      <c r="J16" s="17" t="n"/>
      <c r="K16" s="17" t="n"/>
      <c r="L16" s="17" t="n"/>
    </row>
    <row r="17">
      <c r="A17" s="16" t="inlineStr">
        <is>
          <t>CHG-00012</t>
        </is>
      </c>
      <c r="B17" s="17" t="n"/>
      <c r="C17" s="17" t="n"/>
      <c r="D17" s="17" t="n"/>
      <c r="E17" s="17" t="n"/>
      <c r="F17" s="17" t="n"/>
      <c r="G17" s="17" t="n"/>
      <c r="H17" s="17" t="n"/>
      <c r="I17" s="17" t="n"/>
      <c r="J17" s="17" t="n"/>
      <c r="K17" s="17" t="n"/>
      <c r="L17" s="17" t="n"/>
    </row>
    <row r="18">
      <c r="A18" s="16" t="inlineStr">
        <is>
          <t>CHG-00013</t>
        </is>
      </c>
      <c r="B18" s="17" t="n"/>
      <c r="C18" s="17" t="n"/>
      <c r="D18" s="17" t="n"/>
      <c r="E18" s="17" t="n"/>
      <c r="F18" s="17" t="n"/>
      <c r="G18" s="17" t="n"/>
      <c r="H18" s="17" t="n"/>
      <c r="I18" s="17" t="n"/>
      <c r="J18" s="17" t="n"/>
      <c r="K18" s="17" t="n"/>
      <c r="L18" s="17" t="n"/>
    </row>
    <row r="19">
      <c r="A19" s="16" t="inlineStr">
        <is>
          <t>CHG-00014</t>
        </is>
      </c>
      <c r="B19" s="17" t="n"/>
      <c r="C19" s="17" t="n"/>
      <c r="D19" s="17" t="n"/>
      <c r="E19" s="17" t="n"/>
      <c r="F19" s="17" t="n"/>
      <c r="G19" s="17" t="n"/>
      <c r="H19" s="17" t="n"/>
      <c r="I19" s="17" t="n"/>
      <c r="J19" s="17" t="n"/>
      <c r="K19" s="17" t="n"/>
      <c r="L19" s="17" t="n"/>
    </row>
    <row r="20">
      <c r="A20" s="16" t="inlineStr">
        <is>
          <t>CHG-00015</t>
        </is>
      </c>
      <c r="B20" s="17" t="n"/>
      <c r="C20" s="17" t="n"/>
      <c r="D20" s="17" t="n"/>
      <c r="E20" s="17" t="n"/>
      <c r="F20" s="17" t="n"/>
      <c r="G20" s="17" t="n"/>
      <c r="H20" s="17" t="n"/>
      <c r="I20" s="17" t="n"/>
      <c r="J20" s="17" t="n"/>
      <c r="K20" s="17" t="n"/>
      <c r="L20" s="17" t="n"/>
    </row>
    <row r="21">
      <c r="A21" s="16" t="inlineStr">
        <is>
          <t>CHG-00016</t>
        </is>
      </c>
      <c r="B21" s="17" t="n"/>
      <c r="C21" s="17" t="n"/>
      <c r="D21" s="17" t="n"/>
      <c r="E21" s="17" t="n"/>
      <c r="F21" s="17" t="n"/>
      <c r="G21" s="17" t="n"/>
      <c r="H21" s="17" t="n"/>
      <c r="I21" s="17" t="n"/>
      <c r="J21" s="17" t="n"/>
      <c r="K21" s="17" t="n"/>
      <c r="L21" s="17" t="n"/>
    </row>
    <row r="22">
      <c r="A22" s="16" t="inlineStr">
        <is>
          <t>CHG-00017</t>
        </is>
      </c>
      <c r="B22" s="17" t="n"/>
      <c r="C22" s="17" t="n"/>
      <c r="D22" s="17" t="n"/>
      <c r="E22" s="17" t="n"/>
      <c r="F22" s="17" t="n"/>
      <c r="G22" s="17" t="n"/>
      <c r="H22" s="17" t="n"/>
      <c r="I22" s="17" t="n"/>
      <c r="J22" s="17" t="n"/>
      <c r="K22" s="17" t="n"/>
      <c r="L22" s="17" t="n"/>
    </row>
    <row r="23">
      <c r="A23" s="16" t="inlineStr">
        <is>
          <t>CHG-00018</t>
        </is>
      </c>
      <c r="B23" s="17" t="n"/>
      <c r="C23" s="17" t="n"/>
      <c r="D23" s="17" t="n"/>
      <c r="E23" s="17" t="n"/>
      <c r="F23" s="17" t="n"/>
      <c r="G23" s="17" t="n"/>
      <c r="H23" s="17" t="n"/>
      <c r="I23" s="17" t="n"/>
      <c r="J23" s="17" t="n"/>
      <c r="K23" s="17" t="n"/>
      <c r="L23" s="17" t="n"/>
    </row>
    <row r="24">
      <c r="A24" s="16" t="inlineStr">
        <is>
          <t>CHG-00019</t>
        </is>
      </c>
      <c r="B24" s="17" t="n"/>
      <c r="C24" s="17" t="n"/>
      <c r="D24" s="17" t="n"/>
      <c r="E24" s="17" t="n"/>
      <c r="F24" s="17" t="n"/>
      <c r="G24" s="17" t="n"/>
      <c r="H24" s="17" t="n"/>
      <c r="I24" s="17" t="n"/>
      <c r="J24" s="17" t="n"/>
      <c r="K24" s="17" t="n"/>
      <c r="L24" s="17" t="n"/>
    </row>
    <row r="25">
      <c r="A25" s="16" t="inlineStr">
        <is>
          <t>CHG-00020</t>
        </is>
      </c>
      <c r="B25" s="17" t="n"/>
      <c r="C25" s="17" t="n"/>
      <c r="D25" s="17" t="n"/>
      <c r="E25" s="17" t="n"/>
      <c r="F25" s="17" t="n"/>
      <c r="G25" s="17" t="n"/>
      <c r="H25" s="17" t="n"/>
      <c r="I25" s="17" t="n"/>
      <c r="J25" s="17" t="n"/>
      <c r="K25" s="17" t="n"/>
      <c r="L25" s="17" t="n"/>
    </row>
    <row r="26">
      <c r="A26" s="16" t="inlineStr">
        <is>
          <t>CHG-00021</t>
        </is>
      </c>
      <c r="B26" s="17" t="n"/>
      <c r="C26" s="17" t="n"/>
      <c r="D26" s="17" t="n"/>
      <c r="E26" s="17" t="n"/>
      <c r="F26" s="17" t="n"/>
      <c r="G26" s="17" t="n"/>
      <c r="H26" s="17" t="n"/>
      <c r="I26" s="17" t="n"/>
      <c r="J26" s="17" t="n"/>
      <c r="K26" s="17" t="n"/>
      <c r="L26" s="17" t="n"/>
    </row>
    <row r="27">
      <c r="A27" s="16" t="inlineStr">
        <is>
          <t>CHG-00022</t>
        </is>
      </c>
      <c r="B27" s="17" t="n"/>
      <c r="C27" s="17" t="n"/>
      <c r="D27" s="17" t="n"/>
      <c r="E27" s="17" t="n"/>
      <c r="F27" s="17" t="n"/>
      <c r="G27" s="17" t="n"/>
      <c r="H27" s="17" t="n"/>
      <c r="I27" s="17" t="n"/>
      <c r="J27" s="17" t="n"/>
      <c r="K27" s="17" t="n"/>
      <c r="L27" s="17" t="n"/>
    </row>
    <row r="28">
      <c r="A28" s="16" t="inlineStr">
        <is>
          <t>CHG-00023</t>
        </is>
      </c>
      <c r="B28" s="17" t="n"/>
      <c r="C28" s="17" t="n"/>
      <c r="D28" s="17" t="n"/>
      <c r="E28" s="17" t="n"/>
      <c r="F28" s="17" t="n"/>
      <c r="G28" s="17" t="n"/>
      <c r="H28" s="17" t="n"/>
      <c r="I28" s="17" t="n"/>
      <c r="J28" s="17" t="n"/>
      <c r="K28" s="17" t="n"/>
      <c r="L28" s="17" t="n"/>
    </row>
    <row r="29">
      <c r="A29" s="16" t="inlineStr">
        <is>
          <t>CHG-00024</t>
        </is>
      </c>
      <c r="B29" s="17" t="n"/>
      <c r="C29" s="17" t="n"/>
      <c r="D29" s="17" t="n"/>
      <c r="E29" s="17" t="n"/>
      <c r="F29" s="17" t="n"/>
      <c r="G29" s="17" t="n"/>
      <c r="H29" s="17" t="n"/>
      <c r="I29" s="17" t="n"/>
      <c r="J29" s="17" t="n"/>
      <c r="K29" s="17" t="n"/>
      <c r="L29" s="17" t="n"/>
    </row>
    <row r="30">
      <c r="A30" s="16" t="inlineStr">
        <is>
          <t>CHG-00025</t>
        </is>
      </c>
      <c r="B30" s="17" t="n"/>
      <c r="C30" s="17" t="n"/>
      <c r="D30" s="17" t="n"/>
      <c r="E30" s="17" t="n"/>
      <c r="F30" s="17" t="n"/>
      <c r="G30" s="17" t="n"/>
      <c r="H30" s="17" t="n"/>
      <c r="I30" s="17" t="n"/>
      <c r="J30" s="17" t="n"/>
      <c r="K30" s="17" t="n"/>
      <c r="L30" s="17" t="n"/>
    </row>
    <row r="31">
      <c r="A31" s="16" t="inlineStr">
        <is>
          <t>CHG-00026</t>
        </is>
      </c>
      <c r="B31" s="17" t="n"/>
      <c r="C31" s="17" t="n"/>
      <c r="D31" s="17" t="n"/>
      <c r="E31" s="17" t="n"/>
      <c r="F31" s="17" t="n"/>
      <c r="G31" s="17" t="n"/>
      <c r="H31" s="17" t="n"/>
      <c r="I31" s="17" t="n"/>
      <c r="J31" s="17" t="n"/>
      <c r="K31" s="17" t="n"/>
      <c r="L31" s="17" t="n"/>
    </row>
    <row r="32">
      <c r="A32" s="16" t="inlineStr">
        <is>
          <t>CHG-00027</t>
        </is>
      </c>
      <c r="B32" s="17" t="n"/>
      <c r="C32" s="17" t="n"/>
      <c r="D32" s="17" t="n"/>
      <c r="E32" s="17" t="n"/>
      <c r="F32" s="17" t="n"/>
      <c r="G32" s="17" t="n"/>
      <c r="H32" s="17" t="n"/>
      <c r="I32" s="17" t="n"/>
      <c r="J32" s="17" t="n"/>
      <c r="K32" s="17" t="n"/>
      <c r="L32" s="17" t="n"/>
    </row>
    <row r="33">
      <c r="A33" s="16" t="inlineStr">
        <is>
          <t>CHG-00028</t>
        </is>
      </c>
      <c r="B33" s="17" t="n"/>
      <c r="C33" s="17" t="n"/>
      <c r="D33" s="17" t="n"/>
      <c r="E33" s="17" t="n"/>
      <c r="F33" s="17" t="n"/>
      <c r="G33" s="17" t="n"/>
      <c r="H33" s="17" t="n"/>
      <c r="I33" s="17" t="n"/>
      <c r="J33" s="17" t="n"/>
      <c r="K33" s="17" t="n"/>
      <c r="L33" s="17" t="n"/>
    </row>
    <row r="34">
      <c r="A34" s="16" t="inlineStr">
        <is>
          <t>CHG-00029</t>
        </is>
      </c>
      <c r="B34" s="17" t="n"/>
      <c r="C34" s="17" t="n"/>
      <c r="D34" s="17" t="n"/>
      <c r="E34" s="17" t="n"/>
      <c r="F34" s="17" t="n"/>
      <c r="G34" s="17" t="n"/>
      <c r="H34" s="17" t="n"/>
      <c r="I34" s="17" t="n"/>
      <c r="J34" s="17" t="n"/>
      <c r="K34" s="17" t="n"/>
      <c r="L34" s="17" t="n"/>
    </row>
    <row r="35">
      <c r="A35" s="16" t="inlineStr">
        <is>
          <t>CHG-00030</t>
        </is>
      </c>
      <c r="B35" s="17" t="n"/>
      <c r="C35" s="17" t="n"/>
      <c r="D35" s="17" t="n"/>
      <c r="E35" s="17" t="n"/>
      <c r="F35" s="17" t="n"/>
      <c r="G35" s="17" t="n"/>
      <c r="H35" s="17" t="n"/>
      <c r="I35" s="17" t="n"/>
      <c r="J35" s="17" t="n"/>
      <c r="K35" s="17" t="n"/>
      <c r="L35" s="17" t="n"/>
    </row>
    <row r="36">
      <c r="A36" s="16" t="inlineStr">
        <is>
          <t>CHG-00031</t>
        </is>
      </c>
      <c r="B36" s="17" t="n"/>
      <c r="C36" s="17" t="n"/>
      <c r="D36" s="17" t="n"/>
      <c r="E36" s="17" t="n"/>
      <c r="F36" s="17" t="n"/>
      <c r="G36" s="17" t="n"/>
      <c r="H36" s="17" t="n"/>
      <c r="I36" s="17" t="n"/>
      <c r="J36" s="17" t="n"/>
      <c r="K36" s="17" t="n"/>
      <c r="L36" s="17" t="n"/>
    </row>
    <row r="37">
      <c r="A37" s="16" t="inlineStr">
        <is>
          <t>CHG-00032</t>
        </is>
      </c>
      <c r="B37" s="17" t="n"/>
      <c r="C37" s="17" t="n"/>
      <c r="D37" s="17" t="n"/>
      <c r="E37" s="17" t="n"/>
      <c r="F37" s="17" t="n"/>
      <c r="G37" s="17" t="n"/>
      <c r="H37" s="17" t="n"/>
      <c r="I37" s="17" t="n"/>
      <c r="J37" s="17" t="n"/>
      <c r="K37" s="17" t="n"/>
      <c r="L37" s="17" t="n"/>
    </row>
    <row r="38">
      <c r="A38" s="16" t="inlineStr">
        <is>
          <t>CHG-00033</t>
        </is>
      </c>
      <c r="B38" s="17" t="n"/>
      <c r="C38" s="17" t="n"/>
      <c r="D38" s="17" t="n"/>
      <c r="E38" s="17" t="n"/>
      <c r="F38" s="17" t="n"/>
      <c r="G38" s="17" t="n"/>
      <c r="H38" s="17" t="n"/>
      <c r="I38" s="17" t="n"/>
      <c r="J38" s="17" t="n"/>
      <c r="K38" s="17" t="n"/>
      <c r="L38" s="17" t="n"/>
    </row>
    <row r="39">
      <c r="A39" s="16" t="inlineStr">
        <is>
          <t>CHG-00034</t>
        </is>
      </c>
      <c r="B39" s="17" t="n"/>
      <c r="C39" s="17" t="n"/>
      <c r="D39" s="17" t="n"/>
      <c r="E39" s="17" t="n"/>
      <c r="F39" s="17" t="n"/>
      <c r="G39" s="17" t="n"/>
      <c r="H39" s="17" t="n"/>
      <c r="I39" s="17" t="n"/>
      <c r="J39" s="17" t="n"/>
      <c r="K39" s="17" t="n"/>
      <c r="L39" s="17" t="n"/>
    </row>
    <row r="40">
      <c r="A40" s="16" t="inlineStr">
        <is>
          <t>CHG-00035</t>
        </is>
      </c>
      <c r="B40" s="17" t="n"/>
      <c r="C40" s="17" t="n"/>
      <c r="D40" s="17" t="n"/>
      <c r="E40" s="17" t="n"/>
      <c r="F40" s="17" t="n"/>
      <c r="G40" s="17" t="n"/>
      <c r="H40" s="17" t="n"/>
      <c r="I40" s="17" t="n"/>
      <c r="J40" s="17" t="n"/>
      <c r="K40" s="17" t="n"/>
      <c r="L40" s="17" t="n"/>
    </row>
    <row r="41">
      <c r="A41" s="16" t="inlineStr">
        <is>
          <t>CHG-00036</t>
        </is>
      </c>
      <c r="B41" s="17" t="n"/>
      <c r="C41" s="17" t="n"/>
      <c r="D41" s="17" t="n"/>
      <c r="E41" s="17" t="n"/>
      <c r="F41" s="17" t="n"/>
      <c r="G41" s="17" t="n"/>
      <c r="H41" s="17" t="n"/>
      <c r="I41" s="17" t="n"/>
      <c r="J41" s="17" t="n"/>
      <c r="K41" s="17" t="n"/>
      <c r="L41" s="17" t="n"/>
    </row>
    <row r="42">
      <c r="A42" s="16" t="inlineStr">
        <is>
          <t>CHG-00037</t>
        </is>
      </c>
      <c r="B42" s="17" t="n"/>
      <c r="C42" s="17" t="n"/>
      <c r="D42" s="17" t="n"/>
      <c r="E42" s="17" t="n"/>
      <c r="F42" s="17" t="n"/>
      <c r="G42" s="17" t="n"/>
      <c r="H42" s="17" t="n"/>
      <c r="I42" s="17" t="n"/>
      <c r="J42" s="17" t="n"/>
      <c r="K42" s="17" t="n"/>
      <c r="L42" s="17" t="n"/>
    </row>
    <row r="43">
      <c r="A43" s="16" t="inlineStr">
        <is>
          <t>CHG-00038</t>
        </is>
      </c>
      <c r="B43" s="17" t="n"/>
      <c r="C43" s="17" t="n"/>
      <c r="D43" s="17" t="n"/>
      <c r="E43" s="17" t="n"/>
      <c r="F43" s="17" t="n"/>
      <c r="G43" s="17" t="n"/>
      <c r="H43" s="17" t="n"/>
      <c r="I43" s="17" t="n"/>
      <c r="J43" s="17" t="n"/>
      <c r="K43" s="17" t="n"/>
      <c r="L43" s="17" t="n"/>
    </row>
    <row r="44">
      <c r="A44" s="16" t="inlineStr">
        <is>
          <t>CHG-00039</t>
        </is>
      </c>
      <c r="B44" s="17" t="n"/>
      <c r="C44" s="17" t="n"/>
      <c r="D44" s="17" t="n"/>
      <c r="E44" s="17" t="n"/>
      <c r="F44" s="17" t="n"/>
      <c r="G44" s="17" t="n"/>
      <c r="H44" s="17" t="n"/>
      <c r="I44" s="17" t="n"/>
      <c r="J44" s="17" t="n"/>
      <c r="K44" s="17" t="n"/>
      <c r="L44" s="17" t="n"/>
    </row>
    <row r="45">
      <c r="A45" s="16" t="inlineStr">
        <is>
          <t>CHG-00040</t>
        </is>
      </c>
      <c r="B45" s="17" t="n"/>
      <c r="C45" s="17" t="n"/>
      <c r="D45" s="17" t="n"/>
      <c r="E45" s="17" t="n"/>
      <c r="F45" s="17" t="n"/>
      <c r="G45" s="17" t="n"/>
      <c r="H45" s="17" t="n"/>
      <c r="I45" s="17" t="n"/>
      <c r="J45" s="17" t="n"/>
      <c r="K45" s="17" t="n"/>
      <c r="L45" s="17" t="n"/>
    </row>
    <row r="46">
      <c r="A46" s="16" t="inlineStr">
        <is>
          <t>CHG-00041</t>
        </is>
      </c>
      <c r="B46" s="17" t="n"/>
      <c r="C46" s="17" t="n"/>
      <c r="D46" s="17" t="n"/>
      <c r="E46" s="17" t="n"/>
      <c r="F46" s="17" t="n"/>
      <c r="G46" s="17" t="n"/>
      <c r="H46" s="17" t="n"/>
      <c r="I46" s="17" t="n"/>
      <c r="J46" s="17" t="n"/>
      <c r="K46" s="17" t="n"/>
      <c r="L46" s="17" t="n"/>
    </row>
    <row r="47">
      <c r="A47" s="16" t="inlineStr">
        <is>
          <t>CHG-00042</t>
        </is>
      </c>
      <c r="B47" s="17" t="n"/>
      <c r="C47" s="17" t="n"/>
      <c r="D47" s="17" t="n"/>
      <c r="E47" s="17" t="n"/>
      <c r="F47" s="17" t="n"/>
      <c r="G47" s="17" t="n"/>
      <c r="H47" s="17" t="n"/>
      <c r="I47" s="17" t="n"/>
      <c r="J47" s="17" t="n"/>
      <c r="K47" s="17" t="n"/>
      <c r="L47" s="17" t="n"/>
    </row>
    <row r="48">
      <c r="A48" s="16" t="inlineStr">
        <is>
          <t>CHG-00043</t>
        </is>
      </c>
      <c r="B48" s="17" t="n"/>
      <c r="C48" s="17" t="n"/>
      <c r="D48" s="17" t="n"/>
      <c r="E48" s="17" t="n"/>
      <c r="F48" s="17" t="n"/>
      <c r="G48" s="17" t="n"/>
      <c r="H48" s="17" t="n"/>
      <c r="I48" s="17" t="n"/>
      <c r="J48" s="17" t="n"/>
      <c r="K48" s="17" t="n"/>
      <c r="L48" s="17" t="n"/>
    </row>
    <row r="49">
      <c r="A49" s="16" t="inlineStr">
        <is>
          <t>CHG-00044</t>
        </is>
      </c>
      <c r="B49" s="17" t="n"/>
      <c r="C49" s="17" t="n"/>
      <c r="D49" s="17" t="n"/>
      <c r="E49" s="17" t="n"/>
      <c r="F49" s="17" t="n"/>
      <c r="G49" s="17" t="n"/>
      <c r="H49" s="17" t="n"/>
      <c r="I49" s="17" t="n"/>
      <c r="J49" s="17" t="n"/>
      <c r="K49" s="17" t="n"/>
      <c r="L49" s="17" t="n"/>
    </row>
    <row r="50">
      <c r="A50" s="16" t="inlineStr">
        <is>
          <t>CHG-00045</t>
        </is>
      </c>
      <c r="B50" s="17" t="n"/>
      <c r="C50" s="17" t="n"/>
      <c r="D50" s="17" t="n"/>
      <c r="E50" s="17" t="n"/>
      <c r="F50" s="17" t="n"/>
      <c r="G50" s="17" t="n"/>
      <c r="H50" s="17" t="n"/>
      <c r="I50" s="17" t="n"/>
      <c r="J50" s="17" t="n"/>
      <c r="K50" s="17" t="n"/>
      <c r="L50" s="17" t="n"/>
    </row>
    <row r="51">
      <c r="A51" s="16" t="inlineStr">
        <is>
          <t>CHG-00046</t>
        </is>
      </c>
      <c r="B51" s="17" t="n"/>
      <c r="C51" s="17" t="n"/>
      <c r="D51" s="17" t="n"/>
      <c r="E51" s="17" t="n"/>
      <c r="F51" s="17" t="n"/>
      <c r="G51" s="17" t="n"/>
      <c r="H51" s="17" t="n"/>
      <c r="I51" s="17" t="n"/>
      <c r="J51" s="17" t="n"/>
      <c r="K51" s="17" t="n"/>
      <c r="L51" s="17" t="n"/>
    </row>
    <row r="52">
      <c r="A52" s="16" t="inlineStr">
        <is>
          <t>CHG-00047</t>
        </is>
      </c>
      <c r="B52" s="17" t="n"/>
      <c r="C52" s="17" t="n"/>
      <c r="D52" s="17" t="n"/>
      <c r="E52" s="17" t="n"/>
      <c r="F52" s="17" t="n"/>
      <c r="G52" s="17" t="n"/>
      <c r="H52" s="17" t="n"/>
      <c r="I52" s="17" t="n"/>
      <c r="J52" s="17" t="n"/>
      <c r="K52" s="17" t="n"/>
      <c r="L52" s="17" t="n"/>
    </row>
    <row r="53">
      <c r="A53" s="16" t="inlineStr">
        <is>
          <t>CHG-00048</t>
        </is>
      </c>
      <c r="B53" s="17" t="n"/>
      <c r="C53" s="17" t="n"/>
      <c r="D53" s="17" t="n"/>
      <c r="E53" s="17" t="n"/>
      <c r="F53" s="17" t="n"/>
      <c r="G53" s="17" t="n"/>
      <c r="H53" s="17" t="n"/>
      <c r="I53" s="17" t="n"/>
      <c r="J53" s="17" t="n"/>
      <c r="K53" s="17" t="n"/>
      <c r="L53" s="17" t="n"/>
    </row>
    <row r="54">
      <c r="A54" s="16" t="inlineStr">
        <is>
          <t>CHG-00049</t>
        </is>
      </c>
      <c r="B54" s="17" t="n"/>
      <c r="C54" s="17" t="n"/>
      <c r="D54" s="17" t="n"/>
      <c r="E54" s="17" t="n"/>
      <c r="F54" s="17" t="n"/>
      <c r="G54" s="17" t="n"/>
      <c r="H54" s="17" t="n"/>
      <c r="I54" s="17" t="n"/>
      <c r="J54" s="17" t="n"/>
      <c r="K54" s="17" t="n"/>
      <c r="L54" s="17" t="n"/>
    </row>
    <row r="55">
      <c r="A55" s="16" t="inlineStr">
        <is>
          <t>CHG-00050</t>
        </is>
      </c>
      <c r="B55" s="17" t="n"/>
      <c r="C55" s="17" t="n"/>
      <c r="D55" s="17" t="n"/>
      <c r="E55" s="17" t="n"/>
      <c r="F55" s="17" t="n"/>
      <c r="G55" s="17" t="n"/>
      <c r="H55" s="17" t="n"/>
      <c r="I55" s="17" t="n"/>
      <c r="J55" s="17" t="n"/>
      <c r="K55" s="17" t="n"/>
      <c r="L55" s="17" t="n"/>
    </row>
    <row r="56">
      <c r="A56" s="16" t="inlineStr">
        <is>
          <t>CHG-00051</t>
        </is>
      </c>
      <c r="B56" s="17" t="n"/>
      <c r="C56" s="17" t="n"/>
      <c r="D56" s="17" t="n"/>
      <c r="E56" s="17" t="n"/>
      <c r="F56" s="17" t="n"/>
      <c r="G56" s="17" t="n"/>
      <c r="H56" s="17" t="n"/>
      <c r="I56" s="17" t="n"/>
      <c r="J56" s="17" t="n"/>
      <c r="K56" s="17" t="n"/>
      <c r="L56" s="17" t="n"/>
    </row>
    <row r="57">
      <c r="A57" s="16" t="inlineStr">
        <is>
          <t>CHG-00052</t>
        </is>
      </c>
      <c r="B57" s="17" t="n"/>
      <c r="C57" s="17" t="n"/>
      <c r="D57" s="17" t="n"/>
      <c r="E57" s="17" t="n"/>
      <c r="F57" s="17" t="n"/>
      <c r="G57" s="17" t="n"/>
      <c r="H57" s="17" t="n"/>
      <c r="I57" s="17" t="n"/>
      <c r="J57" s="17" t="n"/>
      <c r="K57" s="17" t="n"/>
      <c r="L57" s="17" t="n"/>
    </row>
    <row r="58">
      <c r="A58" s="16" t="inlineStr">
        <is>
          <t>CHG-00053</t>
        </is>
      </c>
      <c r="B58" s="17" t="n"/>
      <c r="C58" s="17" t="n"/>
      <c r="D58" s="17" t="n"/>
      <c r="E58" s="17" t="n"/>
      <c r="F58" s="17" t="n"/>
      <c r="G58" s="17" t="n"/>
      <c r="H58" s="17" t="n"/>
      <c r="I58" s="17" t="n"/>
      <c r="J58" s="17" t="n"/>
      <c r="K58" s="17" t="n"/>
      <c r="L58" s="17" t="n"/>
    </row>
    <row r="59">
      <c r="A59" s="16" t="inlineStr">
        <is>
          <t>CHG-00054</t>
        </is>
      </c>
      <c r="B59" s="17" t="n"/>
      <c r="C59" s="17" t="n"/>
      <c r="D59" s="17" t="n"/>
      <c r="E59" s="17" t="n"/>
      <c r="F59" s="17" t="n"/>
      <c r="G59" s="17" t="n"/>
      <c r="H59" s="17" t="n"/>
      <c r="I59" s="17" t="n"/>
      <c r="J59" s="17" t="n"/>
      <c r="K59" s="17" t="n"/>
      <c r="L59" s="17" t="n"/>
    </row>
    <row r="60">
      <c r="A60" s="16" t="inlineStr">
        <is>
          <t>CHG-00055</t>
        </is>
      </c>
      <c r="B60" s="17" t="n"/>
      <c r="C60" s="17" t="n"/>
      <c r="D60" s="17" t="n"/>
      <c r="E60" s="17" t="n"/>
      <c r="F60" s="17" t="n"/>
      <c r="G60" s="17" t="n"/>
      <c r="H60" s="17" t="n"/>
      <c r="I60" s="17" t="n"/>
      <c r="J60" s="17" t="n"/>
      <c r="K60" s="17" t="n"/>
      <c r="L60" s="17" t="n"/>
    </row>
    <row r="61">
      <c r="A61" s="16" t="inlineStr">
        <is>
          <t>CHG-00056</t>
        </is>
      </c>
      <c r="B61" s="17" t="n"/>
      <c r="C61" s="17" t="n"/>
      <c r="D61" s="17" t="n"/>
      <c r="E61" s="17" t="n"/>
      <c r="F61" s="17" t="n"/>
      <c r="G61" s="17" t="n"/>
      <c r="H61" s="17" t="n"/>
      <c r="I61" s="17" t="n"/>
      <c r="J61" s="17" t="n"/>
      <c r="K61" s="17" t="n"/>
      <c r="L61" s="17" t="n"/>
    </row>
    <row r="62">
      <c r="A62" s="16" t="inlineStr">
        <is>
          <t>CHG-00057</t>
        </is>
      </c>
      <c r="B62" s="17" t="n"/>
      <c r="C62" s="17" t="n"/>
      <c r="D62" s="17" t="n"/>
      <c r="E62" s="17" t="n"/>
      <c r="F62" s="17" t="n"/>
      <c r="G62" s="17" t="n"/>
      <c r="H62" s="17" t="n"/>
      <c r="I62" s="17" t="n"/>
      <c r="J62" s="17" t="n"/>
      <c r="K62" s="17" t="n"/>
      <c r="L62" s="17" t="n"/>
    </row>
    <row r="63">
      <c r="A63" s="16" t="inlineStr">
        <is>
          <t>CHG-00058</t>
        </is>
      </c>
      <c r="B63" s="17" t="n"/>
      <c r="C63" s="17" t="n"/>
      <c r="D63" s="17" t="n"/>
      <c r="E63" s="17" t="n"/>
      <c r="F63" s="17" t="n"/>
      <c r="G63" s="17" t="n"/>
      <c r="H63" s="17" t="n"/>
      <c r="I63" s="17" t="n"/>
      <c r="J63" s="17" t="n"/>
      <c r="K63" s="17" t="n"/>
      <c r="L63" s="17" t="n"/>
    </row>
    <row r="64">
      <c r="A64" s="16" t="inlineStr">
        <is>
          <t>CHG-00059</t>
        </is>
      </c>
      <c r="B64" s="17" t="n"/>
      <c r="C64" s="17" t="n"/>
      <c r="D64" s="17" t="n"/>
      <c r="E64" s="17" t="n"/>
      <c r="F64" s="17" t="n"/>
      <c r="G64" s="17" t="n"/>
      <c r="H64" s="17" t="n"/>
      <c r="I64" s="17" t="n"/>
      <c r="J64" s="17" t="n"/>
      <c r="K64" s="17" t="n"/>
      <c r="L64" s="17" t="n"/>
    </row>
    <row r="65">
      <c r="A65" s="16" t="inlineStr">
        <is>
          <t>CHG-00060</t>
        </is>
      </c>
      <c r="B65" s="17" t="n"/>
      <c r="C65" s="17" t="n"/>
      <c r="D65" s="17" t="n"/>
      <c r="E65" s="17" t="n"/>
      <c r="F65" s="17" t="n"/>
      <c r="G65" s="17" t="n"/>
      <c r="H65" s="17" t="n"/>
      <c r="I65" s="17" t="n"/>
      <c r="J65" s="17" t="n"/>
      <c r="K65" s="17" t="n"/>
      <c r="L65" s="17" t="n"/>
    </row>
    <row r="66">
      <c r="A66" s="16" t="inlineStr">
        <is>
          <t>CHG-00061</t>
        </is>
      </c>
      <c r="B66" s="17" t="n"/>
      <c r="C66" s="17" t="n"/>
      <c r="D66" s="17" t="n"/>
      <c r="E66" s="17" t="n"/>
      <c r="F66" s="17" t="n"/>
      <c r="G66" s="17" t="n"/>
      <c r="H66" s="17" t="n"/>
      <c r="I66" s="17" t="n"/>
      <c r="J66" s="17" t="n"/>
      <c r="K66" s="17" t="n"/>
      <c r="L66" s="17" t="n"/>
    </row>
    <row r="67">
      <c r="A67" s="16" t="inlineStr">
        <is>
          <t>CHG-00062</t>
        </is>
      </c>
      <c r="B67" s="17" t="n"/>
      <c r="C67" s="17" t="n"/>
      <c r="D67" s="17" t="n"/>
      <c r="E67" s="17" t="n"/>
      <c r="F67" s="17" t="n"/>
      <c r="G67" s="17" t="n"/>
      <c r="H67" s="17" t="n"/>
      <c r="I67" s="17" t="n"/>
      <c r="J67" s="17" t="n"/>
      <c r="K67" s="17" t="n"/>
      <c r="L67" s="17" t="n"/>
    </row>
    <row r="68">
      <c r="A68" s="16" t="inlineStr">
        <is>
          <t>CHG-00063</t>
        </is>
      </c>
      <c r="B68" s="17" t="n"/>
      <c r="C68" s="17" t="n"/>
      <c r="D68" s="17" t="n"/>
      <c r="E68" s="17" t="n"/>
      <c r="F68" s="17" t="n"/>
      <c r="G68" s="17" t="n"/>
      <c r="H68" s="17" t="n"/>
      <c r="I68" s="17" t="n"/>
      <c r="J68" s="17" t="n"/>
      <c r="K68" s="17" t="n"/>
      <c r="L68" s="17" t="n"/>
    </row>
    <row r="69">
      <c r="A69" s="16" t="inlineStr">
        <is>
          <t>CHG-00064</t>
        </is>
      </c>
      <c r="B69" s="17" t="n"/>
      <c r="C69" s="17" t="n"/>
      <c r="D69" s="17" t="n"/>
      <c r="E69" s="17" t="n"/>
      <c r="F69" s="17" t="n"/>
      <c r="G69" s="17" t="n"/>
      <c r="H69" s="17" t="n"/>
      <c r="I69" s="17" t="n"/>
      <c r="J69" s="17" t="n"/>
      <c r="K69" s="17" t="n"/>
      <c r="L69" s="17" t="n"/>
    </row>
    <row r="70">
      <c r="A70" s="16" t="inlineStr">
        <is>
          <t>CHG-00065</t>
        </is>
      </c>
      <c r="B70" s="17" t="n"/>
      <c r="C70" s="17" t="n"/>
      <c r="D70" s="17" t="n"/>
      <c r="E70" s="17" t="n"/>
      <c r="F70" s="17" t="n"/>
      <c r="G70" s="17" t="n"/>
      <c r="H70" s="17" t="n"/>
      <c r="I70" s="17" t="n"/>
      <c r="J70" s="17" t="n"/>
      <c r="K70" s="17" t="n"/>
      <c r="L70" s="17" t="n"/>
    </row>
    <row r="71">
      <c r="A71" s="16" t="inlineStr">
        <is>
          <t>CHG-00066</t>
        </is>
      </c>
      <c r="B71" s="17" t="n"/>
      <c r="C71" s="17" t="n"/>
      <c r="D71" s="17" t="n"/>
      <c r="E71" s="17" t="n"/>
      <c r="F71" s="17" t="n"/>
      <c r="G71" s="17" t="n"/>
      <c r="H71" s="17" t="n"/>
      <c r="I71" s="17" t="n"/>
      <c r="J71" s="17" t="n"/>
      <c r="K71" s="17" t="n"/>
      <c r="L71" s="17" t="n"/>
    </row>
    <row r="72">
      <c r="A72" s="16" t="inlineStr">
        <is>
          <t>CHG-00067</t>
        </is>
      </c>
      <c r="B72" s="17" t="n"/>
      <c r="C72" s="17" t="n"/>
      <c r="D72" s="17" t="n"/>
      <c r="E72" s="17" t="n"/>
      <c r="F72" s="17" t="n"/>
      <c r="G72" s="17" t="n"/>
      <c r="H72" s="17" t="n"/>
      <c r="I72" s="17" t="n"/>
      <c r="J72" s="17" t="n"/>
      <c r="K72" s="17" t="n"/>
      <c r="L72" s="17" t="n"/>
    </row>
    <row r="73">
      <c r="A73" s="16" t="inlineStr">
        <is>
          <t>CHG-00068</t>
        </is>
      </c>
      <c r="B73" s="17" t="n"/>
      <c r="C73" s="17" t="n"/>
      <c r="D73" s="17" t="n"/>
      <c r="E73" s="17" t="n"/>
      <c r="F73" s="17" t="n"/>
      <c r="G73" s="17" t="n"/>
      <c r="H73" s="17" t="n"/>
      <c r="I73" s="17" t="n"/>
      <c r="J73" s="17" t="n"/>
      <c r="K73" s="17" t="n"/>
      <c r="L73" s="17" t="n"/>
    </row>
    <row r="74">
      <c r="A74" s="16" t="inlineStr">
        <is>
          <t>CHG-00069</t>
        </is>
      </c>
      <c r="B74" s="17" t="n"/>
      <c r="C74" s="17" t="n"/>
      <c r="D74" s="17" t="n"/>
      <c r="E74" s="17" t="n"/>
      <c r="F74" s="17" t="n"/>
      <c r="G74" s="17" t="n"/>
      <c r="H74" s="17" t="n"/>
      <c r="I74" s="17" t="n"/>
      <c r="J74" s="17" t="n"/>
      <c r="K74" s="17" t="n"/>
      <c r="L74" s="17" t="n"/>
    </row>
    <row r="75">
      <c r="A75" s="16" t="inlineStr">
        <is>
          <t>CHG-00070</t>
        </is>
      </c>
      <c r="B75" s="17" t="n"/>
      <c r="C75" s="17" t="n"/>
      <c r="D75" s="17" t="n"/>
      <c r="E75" s="17" t="n"/>
      <c r="F75" s="17" t="n"/>
      <c r="G75" s="17" t="n"/>
      <c r="H75" s="17" t="n"/>
      <c r="I75" s="17" t="n"/>
      <c r="J75" s="17" t="n"/>
      <c r="K75" s="17" t="n"/>
      <c r="L75" s="17" t="n"/>
    </row>
    <row r="76">
      <c r="A76" s="16" t="inlineStr">
        <is>
          <t>CHG-00071</t>
        </is>
      </c>
      <c r="B76" s="17" t="n"/>
      <c r="C76" s="17" t="n"/>
      <c r="D76" s="17" t="n"/>
      <c r="E76" s="17" t="n"/>
      <c r="F76" s="17" t="n"/>
      <c r="G76" s="17" t="n"/>
      <c r="H76" s="17" t="n"/>
      <c r="I76" s="17" t="n"/>
      <c r="J76" s="17" t="n"/>
      <c r="K76" s="17" t="n"/>
      <c r="L76" s="17" t="n"/>
    </row>
    <row r="77">
      <c r="A77" s="16" t="inlineStr">
        <is>
          <t>CHG-00072</t>
        </is>
      </c>
      <c r="B77" s="17" t="n"/>
      <c r="C77" s="17" t="n"/>
      <c r="D77" s="17" t="n"/>
      <c r="E77" s="17" t="n"/>
      <c r="F77" s="17" t="n"/>
      <c r="G77" s="17" t="n"/>
      <c r="H77" s="17" t="n"/>
      <c r="I77" s="17" t="n"/>
      <c r="J77" s="17" t="n"/>
      <c r="K77" s="17" t="n"/>
      <c r="L77" s="17" t="n"/>
    </row>
    <row r="78">
      <c r="A78" s="16" t="inlineStr">
        <is>
          <t>CHG-00073</t>
        </is>
      </c>
      <c r="B78" s="17" t="n"/>
      <c r="C78" s="17" t="n"/>
      <c r="D78" s="17" t="n"/>
      <c r="E78" s="17" t="n"/>
      <c r="F78" s="17" t="n"/>
      <c r="G78" s="17" t="n"/>
      <c r="H78" s="17" t="n"/>
      <c r="I78" s="17" t="n"/>
      <c r="J78" s="17" t="n"/>
      <c r="K78" s="17" t="n"/>
      <c r="L78" s="17" t="n"/>
    </row>
    <row r="79">
      <c r="A79" s="16" t="inlineStr">
        <is>
          <t>CHG-00074</t>
        </is>
      </c>
      <c r="B79" s="17" t="n"/>
      <c r="C79" s="17" t="n"/>
      <c r="D79" s="17" t="n"/>
      <c r="E79" s="17" t="n"/>
      <c r="F79" s="17" t="n"/>
      <c r="G79" s="17" t="n"/>
      <c r="H79" s="17" t="n"/>
      <c r="I79" s="17" t="n"/>
      <c r="J79" s="17" t="n"/>
      <c r="K79" s="17" t="n"/>
      <c r="L79" s="17" t="n"/>
    </row>
    <row r="80">
      <c r="A80" s="16" t="inlineStr">
        <is>
          <t>CHG-00075</t>
        </is>
      </c>
      <c r="B80" s="17" t="n"/>
      <c r="C80" s="17" t="n"/>
      <c r="D80" s="17" t="n"/>
      <c r="E80" s="17" t="n"/>
      <c r="F80" s="17" t="n"/>
      <c r="G80" s="17" t="n"/>
      <c r="H80" s="17" t="n"/>
      <c r="I80" s="17" t="n"/>
      <c r="J80" s="17" t="n"/>
      <c r="K80" s="17" t="n"/>
      <c r="L80" s="17" t="n"/>
    </row>
    <row r="81">
      <c r="A81" s="16" t="inlineStr">
        <is>
          <t>CHG-00076</t>
        </is>
      </c>
      <c r="B81" s="17" t="n"/>
      <c r="C81" s="17" t="n"/>
      <c r="D81" s="17" t="n"/>
      <c r="E81" s="17" t="n"/>
      <c r="F81" s="17" t="n"/>
      <c r="G81" s="17" t="n"/>
      <c r="H81" s="17" t="n"/>
      <c r="I81" s="17" t="n"/>
      <c r="J81" s="17" t="n"/>
      <c r="K81" s="17" t="n"/>
      <c r="L81" s="17" t="n"/>
    </row>
    <row r="82">
      <c r="A82" s="16" t="inlineStr">
        <is>
          <t>CHG-00077</t>
        </is>
      </c>
      <c r="B82" s="17" t="n"/>
      <c r="C82" s="17" t="n"/>
      <c r="D82" s="17" t="n"/>
      <c r="E82" s="17" t="n"/>
      <c r="F82" s="17" t="n"/>
      <c r="G82" s="17" t="n"/>
      <c r="H82" s="17" t="n"/>
      <c r="I82" s="17" t="n"/>
      <c r="J82" s="17" t="n"/>
      <c r="K82" s="17" t="n"/>
      <c r="L82" s="17" t="n"/>
    </row>
    <row r="83">
      <c r="A83" s="16" t="inlineStr">
        <is>
          <t>CHG-00078</t>
        </is>
      </c>
      <c r="B83" s="17" t="n"/>
      <c r="C83" s="17" t="n"/>
      <c r="D83" s="17" t="n"/>
      <c r="E83" s="17" t="n"/>
      <c r="F83" s="17" t="n"/>
      <c r="G83" s="17" t="n"/>
      <c r="H83" s="17" t="n"/>
      <c r="I83" s="17" t="n"/>
      <c r="J83" s="17" t="n"/>
      <c r="K83" s="17" t="n"/>
      <c r="L83" s="17" t="n"/>
    </row>
    <row r="84">
      <c r="A84" s="16" t="inlineStr">
        <is>
          <t>CHG-00079</t>
        </is>
      </c>
      <c r="B84" s="17" t="n"/>
      <c r="C84" s="17" t="n"/>
      <c r="D84" s="17" t="n"/>
      <c r="E84" s="17" t="n"/>
      <c r="F84" s="17" t="n"/>
      <c r="G84" s="17" t="n"/>
      <c r="H84" s="17" t="n"/>
      <c r="I84" s="17" t="n"/>
      <c r="J84" s="17" t="n"/>
      <c r="K84" s="17" t="n"/>
      <c r="L84" s="17" t="n"/>
    </row>
    <row r="85">
      <c r="A85" s="16" t="inlineStr">
        <is>
          <t>CHG-00080</t>
        </is>
      </c>
      <c r="B85" s="17" t="n"/>
      <c r="C85" s="17" t="n"/>
      <c r="D85" s="17" t="n"/>
      <c r="E85" s="17" t="n"/>
      <c r="F85" s="17" t="n"/>
      <c r="G85" s="17" t="n"/>
      <c r="H85" s="17" t="n"/>
      <c r="I85" s="17" t="n"/>
      <c r="J85" s="17" t="n"/>
      <c r="K85" s="17" t="n"/>
      <c r="L85" s="17" t="n"/>
    </row>
    <row r="86">
      <c r="A86" s="16" t="inlineStr">
        <is>
          <t>CHG-00081</t>
        </is>
      </c>
      <c r="B86" s="17" t="n"/>
      <c r="C86" s="17" t="n"/>
      <c r="D86" s="17" t="n"/>
      <c r="E86" s="17" t="n"/>
      <c r="F86" s="17" t="n"/>
      <c r="G86" s="17" t="n"/>
      <c r="H86" s="17" t="n"/>
      <c r="I86" s="17" t="n"/>
      <c r="J86" s="17" t="n"/>
      <c r="K86" s="17" t="n"/>
      <c r="L86" s="17" t="n"/>
    </row>
    <row r="87">
      <c r="A87" s="16" t="inlineStr">
        <is>
          <t>CHG-00082</t>
        </is>
      </c>
      <c r="B87" s="17" t="n"/>
      <c r="C87" s="17" t="n"/>
      <c r="D87" s="17" t="n"/>
      <c r="E87" s="17" t="n"/>
      <c r="F87" s="17" t="n"/>
      <c r="G87" s="17" t="n"/>
      <c r="H87" s="17" t="n"/>
      <c r="I87" s="17" t="n"/>
      <c r="J87" s="17" t="n"/>
      <c r="K87" s="17" t="n"/>
      <c r="L87" s="17" t="n"/>
    </row>
    <row r="88">
      <c r="A88" s="16" t="inlineStr">
        <is>
          <t>CHG-00083</t>
        </is>
      </c>
      <c r="B88" s="17" t="n"/>
      <c r="C88" s="17" t="n"/>
      <c r="D88" s="17" t="n"/>
      <c r="E88" s="17" t="n"/>
      <c r="F88" s="17" t="n"/>
      <c r="G88" s="17" t="n"/>
      <c r="H88" s="17" t="n"/>
      <c r="I88" s="17" t="n"/>
      <c r="J88" s="17" t="n"/>
      <c r="K88" s="17" t="n"/>
      <c r="L88" s="17" t="n"/>
    </row>
    <row r="89">
      <c r="A89" s="16" t="inlineStr">
        <is>
          <t>CHG-00084</t>
        </is>
      </c>
      <c r="B89" s="17" t="n"/>
      <c r="C89" s="17" t="n"/>
      <c r="D89" s="17" t="n"/>
      <c r="E89" s="17" t="n"/>
      <c r="F89" s="17" t="n"/>
      <c r="G89" s="17" t="n"/>
      <c r="H89" s="17" t="n"/>
      <c r="I89" s="17" t="n"/>
      <c r="J89" s="17" t="n"/>
      <c r="K89" s="17" t="n"/>
      <c r="L89" s="17" t="n"/>
    </row>
    <row r="90">
      <c r="A90" s="16" t="inlineStr">
        <is>
          <t>CHG-00085</t>
        </is>
      </c>
      <c r="B90" s="17" t="n"/>
      <c r="C90" s="17" t="n"/>
      <c r="D90" s="17" t="n"/>
      <c r="E90" s="17" t="n"/>
      <c r="F90" s="17" t="n"/>
      <c r="G90" s="17" t="n"/>
      <c r="H90" s="17" t="n"/>
      <c r="I90" s="17" t="n"/>
      <c r="J90" s="17" t="n"/>
      <c r="K90" s="17" t="n"/>
      <c r="L90" s="17" t="n"/>
    </row>
    <row r="91">
      <c r="A91" s="16" t="inlineStr">
        <is>
          <t>CHG-00086</t>
        </is>
      </c>
      <c r="B91" s="17" t="n"/>
      <c r="C91" s="17" t="n"/>
      <c r="D91" s="17" t="n"/>
      <c r="E91" s="17" t="n"/>
      <c r="F91" s="17" t="n"/>
      <c r="G91" s="17" t="n"/>
      <c r="H91" s="17" t="n"/>
      <c r="I91" s="17" t="n"/>
      <c r="J91" s="17" t="n"/>
      <c r="K91" s="17" t="n"/>
      <c r="L91" s="17" t="n"/>
    </row>
    <row r="92">
      <c r="A92" s="16" t="inlineStr">
        <is>
          <t>CHG-00087</t>
        </is>
      </c>
      <c r="B92" s="17" t="n"/>
      <c r="C92" s="17" t="n"/>
      <c r="D92" s="17" t="n"/>
      <c r="E92" s="17" t="n"/>
      <c r="F92" s="17" t="n"/>
      <c r="G92" s="17" t="n"/>
      <c r="H92" s="17" t="n"/>
      <c r="I92" s="17" t="n"/>
      <c r="J92" s="17" t="n"/>
      <c r="K92" s="17" t="n"/>
      <c r="L92" s="17" t="n"/>
    </row>
    <row r="93">
      <c r="A93" s="16" t="inlineStr">
        <is>
          <t>CHG-00088</t>
        </is>
      </c>
      <c r="B93" s="17" t="n"/>
      <c r="C93" s="17" t="n"/>
      <c r="D93" s="17" t="n"/>
      <c r="E93" s="17" t="n"/>
      <c r="F93" s="17" t="n"/>
      <c r="G93" s="17" t="n"/>
      <c r="H93" s="17" t="n"/>
      <c r="I93" s="17" t="n"/>
      <c r="J93" s="17" t="n"/>
      <c r="K93" s="17" t="n"/>
      <c r="L93" s="17" t="n"/>
    </row>
    <row r="94">
      <c r="A94" s="16" t="inlineStr">
        <is>
          <t>CHG-00089</t>
        </is>
      </c>
      <c r="B94" s="17" t="n"/>
      <c r="C94" s="17" t="n"/>
      <c r="D94" s="17" t="n"/>
      <c r="E94" s="17" t="n"/>
      <c r="F94" s="17" t="n"/>
      <c r="G94" s="17" t="n"/>
      <c r="H94" s="17" t="n"/>
      <c r="I94" s="17" t="n"/>
      <c r="J94" s="17" t="n"/>
      <c r="K94" s="17" t="n"/>
      <c r="L94" s="17" t="n"/>
    </row>
    <row r="95">
      <c r="A95" s="16" t="inlineStr">
        <is>
          <t>CHG-00090</t>
        </is>
      </c>
      <c r="B95" s="17" t="n"/>
      <c r="C95" s="17" t="n"/>
      <c r="D95" s="17" t="n"/>
      <c r="E95" s="17" t="n"/>
      <c r="F95" s="17" t="n"/>
      <c r="G95" s="17" t="n"/>
      <c r="H95" s="17" t="n"/>
      <c r="I95" s="17" t="n"/>
      <c r="J95" s="17" t="n"/>
      <c r="K95" s="17" t="n"/>
      <c r="L95" s="17" t="n"/>
    </row>
    <row r="96">
      <c r="A96" s="16" t="inlineStr">
        <is>
          <t>CHG-00091</t>
        </is>
      </c>
      <c r="B96" s="17" t="n"/>
      <c r="C96" s="17" t="n"/>
      <c r="D96" s="17" t="n"/>
      <c r="E96" s="17" t="n"/>
      <c r="F96" s="17" t="n"/>
      <c r="G96" s="17" t="n"/>
      <c r="H96" s="17" t="n"/>
      <c r="I96" s="17" t="n"/>
      <c r="J96" s="17" t="n"/>
      <c r="K96" s="17" t="n"/>
      <c r="L96" s="17" t="n"/>
    </row>
    <row r="97">
      <c r="A97" s="16" t="inlineStr">
        <is>
          <t>CHG-00092</t>
        </is>
      </c>
      <c r="B97" s="17" t="n"/>
      <c r="C97" s="17" t="n"/>
      <c r="D97" s="17" t="n"/>
      <c r="E97" s="17" t="n"/>
      <c r="F97" s="17" t="n"/>
      <c r="G97" s="17" t="n"/>
      <c r="H97" s="17" t="n"/>
      <c r="I97" s="17" t="n"/>
      <c r="J97" s="17" t="n"/>
      <c r="K97" s="17" t="n"/>
      <c r="L97" s="17" t="n"/>
    </row>
    <row r="98">
      <c r="A98" s="16" t="inlineStr">
        <is>
          <t>CHG-00093</t>
        </is>
      </c>
      <c r="B98" s="17" t="n"/>
      <c r="C98" s="17" t="n"/>
      <c r="D98" s="17" t="n"/>
      <c r="E98" s="17" t="n"/>
      <c r="F98" s="17" t="n"/>
      <c r="G98" s="17" t="n"/>
      <c r="H98" s="17" t="n"/>
      <c r="I98" s="17" t="n"/>
      <c r="J98" s="17" t="n"/>
      <c r="K98" s="17" t="n"/>
      <c r="L98" s="17" t="n"/>
    </row>
    <row r="99">
      <c r="A99" s="16" t="inlineStr">
        <is>
          <t>CHG-00094</t>
        </is>
      </c>
      <c r="B99" s="17" t="n"/>
      <c r="C99" s="17" t="n"/>
      <c r="D99" s="17" t="n"/>
      <c r="E99" s="17" t="n"/>
      <c r="F99" s="17" t="n"/>
      <c r="G99" s="17" t="n"/>
      <c r="H99" s="17" t="n"/>
      <c r="I99" s="17" t="n"/>
      <c r="J99" s="17" t="n"/>
      <c r="K99" s="17" t="n"/>
      <c r="L99" s="17" t="n"/>
    </row>
    <row r="100">
      <c r="A100" s="16" t="inlineStr">
        <is>
          <t>CHG-00095</t>
        </is>
      </c>
      <c r="B100" s="17" t="n"/>
      <c r="C100" s="17" t="n"/>
      <c r="D100" s="17" t="n"/>
      <c r="E100" s="17" t="n"/>
      <c r="F100" s="17" t="n"/>
      <c r="G100" s="17" t="n"/>
      <c r="H100" s="17" t="n"/>
      <c r="I100" s="17" t="n"/>
      <c r="J100" s="17" t="n"/>
      <c r="K100" s="17" t="n"/>
      <c r="L100" s="17" t="n"/>
    </row>
    <row r="101">
      <c r="A101" s="16" t="inlineStr">
        <is>
          <t>CHG-00096</t>
        </is>
      </c>
      <c r="B101" s="17" t="n"/>
      <c r="C101" s="17" t="n"/>
      <c r="D101" s="17" t="n"/>
      <c r="E101" s="17" t="n"/>
      <c r="F101" s="17" t="n"/>
      <c r="G101" s="17" t="n"/>
      <c r="H101" s="17" t="n"/>
      <c r="I101" s="17" t="n"/>
      <c r="J101" s="17" t="n"/>
      <c r="K101" s="17" t="n"/>
      <c r="L101" s="17" t="n"/>
    </row>
    <row r="102">
      <c r="A102" s="16" t="inlineStr">
        <is>
          <t>CHG-00097</t>
        </is>
      </c>
      <c r="B102" s="17" t="n"/>
      <c r="C102" s="17" t="n"/>
      <c r="D102" s="17" t="n"/>
      <c r="E102" s="17" t="n"/>
      <c r="F102" s="17" t="n"/>
      <c r="G102" s="17" t="n"/>
      <c r="H102" s="17" t="n"/>
      <c r="I102" s="17" t="n"/>
      <c r="J102" s="17" t="n"/>
      <c r="K102" s="17" t="n"/>
      <c r="L102" s="17" t="n"/>
    </row>
    <row r="103">
      <c r="A103" s="16" t="inlineStr">
        <is>
          <t>CHG-00098</t>
        </is>
      </c>
      <c r="B103" s="17" t="n"/>
      <c r="C103" s="17" t="n"/>
      <c r="D103" s="17" t="n"/>
      <c r="E103" s="17" t="n"/>
      <c r="F103" s="17" t="n"/>
      <c r="G103" s="17" t="n"/>
      <c r="H103" s="17" t="n"/>
      <c r="I103" s="17" t="n"/>
      <c r="J103" s="17" t="n"/>
      <c r="K103" s="17" t="n"/>
      <c r="L103" s="17" t="n"/>
    </row>
    <row r="104">
      <c r="A104" s="16" t="inlineStr">
        <is>
          <t>CHG-00099</t>
        </is>
      </c>
      <c r="B104" s="17" t="n"/>
      <c r="C104" s="17" t="n"/>
      <c r="D104" s="17" t="n"/>
      <c r="E104" s="17" t="n"/>
      <c r="F104" s="17" t="n"/>
      <c r="G104" s="17" t="n"/>
      <c r="H104" s="17" t="n"/>
      <c r="I104" s="17" t="n"/>
      <c r="J104" s="17" t="n"/>
      <c r="K104" s="17" t="n"/>
      <c r="L104" s="17" t="n"/>
    </row>
    <row r="105">
      <c r="A105" s="16" t="inlineStr">
        <is>
          <t>CHG-00100</t>
        </is>
      </c>
      <c r="B105" s="17" t="n"/>
      <c r="C105" s="17" t="n"/>
      <c r="D105" s="17" t="n"/>
      <c r="E105" s="17" t="n"/>
      <c r="F105" s="17" t="n"/>
      <c r="G105" s="17" t="n"/>
      <c r="H105" s="17" t="n"/>
      <c r="I105" s="17" t="n"/>
      <c r="J105" s="17" t="n"/>
      <c r="K105" s="17" t="n"/>
      <c r="L105" s="17" t="n"/>
    </row>
    <row r="107">
      <c r="A107" s="12" t="inlineStr">
        <is>
          <t>[CHART] CHANGE CONTROL SUMMARY</t>
        </is>
      </c>
    </row>
    <row r="108">
      <c r="A108" t="inlineStr">
        <is>
          <t>Total Changes:</t>
        </is>
      </c>
      <c r="B108">
        <f>COUNTA(B6:B105)</f>
        <v/>
      </c>
    </row>
    <row r="109">
      <c r="A109" t="inlineStr">
        <is>
          <t>✅ Implemented:</t>
        </is>
      </c>
      <c r="B109">
        <f>COUNTIF(K6:K105,"✅ Implemented")</f>
        <v/>
      </c>
    </row>
    <row r="110">
      <c r="A110" t="inlineStr">
        <is>
          <t>Changes with Testing:</t>
        </is>
      </c>
      <c r="B110">
        <f>COUNTIF(G6:G105,"Yes")</f>
        <v/>
      </c>
    </row>
    <row r="111">
      <c r="A111" t="inlineStr">
        <is>
          <t>Testing Compliance:</t>
        </is>
      </c>
      <c r="B111">
        <f>IF(B108&gt;0,B110/B108*100,0)&amp;"%"</f>
        <v/>
      </c>
    </row>
  </sheetData>
  <mergeCells count="3">
    <mergeCell ref="A2:L2"/>
    <mergeCell ref="A1:L1"/>
    <mergeCell ref="A107:C107"/>
  </mergeCells>
  <dataValidations count="3">
    <dataValidation sqref="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"Yes,No,N/A"</formula1>
    </dataValidation>
    <dataValidation sqref="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showDropDown="0" showInputMessage="0" showErrorMessage="0" allowBlank="0" type="list">
      <formula1>"✅ Approved,Pending Approval,In Progress,Implemented,Rejected"</formula1>
    </dataValidation>
    <dataValidation sqref="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showDropDown="0" showInputMessage="0" showErrorMessage="0" allowBlank="0" type="list">
      <formula1>"New Installation,Upgrade,Patch,Removal,Configuration Change"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11"/>
  <sheetViews>
    <sheetView showGridLines="0" workbookViewId="0">
      <pane ySplit="4" topLeftCell="A5" activePane="bottomLeft" state="frozen"/>
      <selection pane="bottomLeft" activeCell="A1" sqref="A1"/>
    </sheetView>
  </sheetViews>
  <sheetFormatPr baseColWidth="8" defaultRowHeight="15"/>
  <cols>
    <col width="15" customWidth="1" min="1" max="1"/>
    <col width="30" customWidth="1" min="2" max="2"/>
    <col width="15" customWidth="1" min="3" max="3"/>
    <col width="18" customWidth="1" min="4" max="4"/>
    <col width="15" customWidth="1" min="5" max="5"/>
    <col width="15" customWidth="1" min="6" max="6"/>
    <col width="15" customWidth="1" min="7" max="7"/>
    <col width="18" customWidth="1" min="8" max="8"/>
    <col width="15" customWidth="1" min="9" max="9"/>
    <col width="18" customWidth="1" min="10" max="10"/>
    <col width="30" customWidth="1" min="11" max="11"/>
  </cols>
  <sheetData>
    <row r="1" ht="35" customHeight="1">
      <c r="A1" s="11" t="inlineStr">
        <is>
          <t>SOFTWARE VULNERABILITY &amp; PATCH MANAGEMENT</t>
        </is>
      </c>
    </row>
    <row r="2">
      <c r="A2" s="12" t="inlineStr">
        <is>
          <t>Software vulnerabilities, patch status, SLA compliance tracking</t>
        </is>
      </c>
    </row>
    <row r="4">
      <c r="A4" s="13" t="inlineStr">
        <is>
          <t>Vulnerability ID</t>
        </is>
      </c>
      <c r="B4" s="13" t="inlineStr">
        <is>
          <t>Software Name</t>
        </is>
      </c>
      <c r="C4" s="13" t="inlineStr">
        <is>
          <t>Version Affected</t>
        </is>
      </c>
      <c r="D4" s="13" t="inlineStr">
        <is>
          <t>CVE ID</t>
        </is>
      </c>
      <c r="E4" s="13" t="inlineStr">
        <is>
          <t>Severity</t>
        </is>
      </c>
      <c r="F4" s="13" t="inlineStr">
        <is>
          <t>Discovery Date</t>
        </is>
      </c>
      <c r="G4" s="13" t="inlineStr">
        <is>
          <t>Patch Available</t>
        </is>
      </c>
      <c r="H4" s="13" t="inlineStr">
        <is>
          <t>Patch Status</t>
        </is>
      </c>
      <c r="I4" s="13" t="inlineStr">
        <is>
          <t>Patch Date</t>
        </is>
      </c>
      <c r="J4" s="13" t="inlineStr">
        <is>
          <t>SLA Compliance</t>
        </is>
      </c>
      <c r="K4" s="13" t="inlineStr">
        <is>
          <t>Notes</t>
        </is>
      </c>
    </row>
    <row r="5">
      <c r="A5" s="14" t="inlineStr">
        <is>
          <t>VULN-0001</t>
        </is>
      </c>
      <c r="B5" s="15" t="inlineStr">
        <is>
          <t>Microsoft Office 365</t>
        </is>
      </c>
      <c r="C5" s="15" t="inlineStr">
        <is>
          <t>2023</t>
        </is>
      </c>
      <c r="D5" s="15" t="inlineStr">
        <is>
          <t>CVE-2024-1234</t>
        </is>
      </c>
      <c r="E5" s="15" t="inlineStr">
        <is>
          <t>High</t>
        </is>
      </c>
      <c r="F5" s="15" t="inlineStr">
        <is>
          <t>15.02.2026</t>
        </is>
      </c>
      <c r="G5" s="15" t="inlineStr">
        <is>
          <t>Yes</t>
        </is>
      </c>
      <c r="H5" s="15" t="inlineStr">
        <is>
          <t>✅ Patched</t>
        </is>
      </c>
      <c r="I5" s="15" t="inlineStr">
        <is>
          <t>21.02.2026</t>
        </is>
      </c>
      <c r="J5" s="15" t="inlineStr">
        <is>
          <t>✅ Met</t>
        </is>
      </c>
      <c r="K5" s="15" t="inlineStr">
        <is>
          <t>Within SLA</t>
        </is>
      </c>
    </row>
    <row r="6">
      <c r="A6" s="16" t="inlineStr">
        <is>
          <t>VULN-0001</t>
        </is>
      </c>
      <c r="B6" s="17" t="n"/>
      <c r="C6" s="17" t="n"/>
      <c r="D6" s="17" t="n"/>
      <c r="E6" s="17" t="n"/>
      <c r="F6" s="17" t="n"/>
      <c r="G6" s="17" t="n"/>
      <c r="H6" s="17" t="n"/>
      <c r="I6" s="17" t="n"/>
      <c r="J6" s="17">
        <f>IF(E6="Critical",IF(I6-F6&lt;=7,"✅ Met","❌ Missed"),IF(E6="High",IF(I6-F6&lt;=30,"✅ Met","❌ Missed"),"N/A"))</f>
        <v/>
      </c>
      <c r="K6" s="17" t="n"/>
    </row>
    <row r="7">
      <c r="A7" s="16" t="inlineStr">
        <is>
          <t>VULN-0002</t>
        </is>
      </c>
      <c r="B7" s="17" t="n"/>
      <c r="C7" s="17" t="n"/>
      <c r="D7" s="17" t="n"/>
      <c r="E7" s="17" t="n"/>
      <c r="F7" s="17" t="n"/>
      <c r="G7" s="17" t="n"/>
      <c r="H7" s="17" t="n"/>
      <c r="I7" s="17" t="n"/>
      <c r="J7" s="17">
        <f>IF(E7="Critical",IF(I7-F7&lt;=7,"✅ Met","❌ Missed"),IF(E7="High",IF(I7-F7&lt;=30,"✅ Met","❌ Missed"),"N/A"))</f>
        <v/>
      </c>
      <c r="K7" s="17" t="n"/>
    </row>
    <row r="8">
      <c r="A8" s="16" t="inlineStr">
        <is>
          <t>VULN-0003</t>
        </is>
      </c>
      <c r="B8" s="17" t="n"/>
      <c r="C8" s="17" t="n"/>
      <c r="D8" s="17" t="n"/>
      <c r="E8" s="17" t="n"/>
      <c r="F8" s="17" t="n"/>
      <c r="G8" s="17" t="n"/>
      <c r="H8" s="17" t="n"/>
      <c r="I8" s="17" t="n"/>
      <c r="J8" s="17">
        <f>IF(E8="Critical",IF(I8-F8&lt;=7,"✅ Met","❌ Missed"),IF(E8="High",IF(I8-F8&lt;=30,"✅ Met","❌ Missed"),"N/A"))</f>
        <v/>
      </c>
      <c r="K8" s="17" t="n"/>
    </row>
    <row r="9">
      <c r="A9" s="16" t="inlineStr">
        <is>
          <t>VULN-0004</t>
        </is>
      </c>
      <c r="B9" s="17" t="n"/>
      <c r="C9" s="17" t="n"/>
      <c r="D9" s="17" t="n"/>
      <c r="E9" s="17" t="n"/>
      <c r="F9" s="17" t="n"/>
      <c r="G9" s="17" t="n"/>
      <c r="H9" s="17" t="n"/>
      <c r="I9" s="17" t="n"/>
      <c r="J9" s="17">
        <f>IF(E9="Critical",IF(I9-F9&lt;=7,"✅ Met","❌ Missed"),IF(E9="High",IF(I9-F9&lt;=30,"✅ Met","❌ Missed"),"N/A"))</f>
        <v/>
      </c>
      <c r="K9" s="17" t="n"/>
    </row>
    <row r="10">
      <c r="A10" s="16" t="inlineStr">
        <is>
          <t>VULN-0005</t>
        </is>
      </c>
      <c r="B10" s="17" t="n"/>
      <c r="C10" s="17" t="n"/>
      <c r="D10" s="17" t="n"/>
      <c r="E10" s="17" t="n"/>
      <c r="F10" s="17" t="n"/>
      <c r="G10" s="17" t="n"/>
      <c r="H10" s="17" t="n"/>
      <c r="I10" s="17" t="n"/>
      <c r="J10" s="17">
        <f>IF(E10="Critical",IF(I10-F10&lt;=7,"✅ Met","❌ Missed"),IF(E10="High",IF(I10-F10&lt;=30,"✅ Met","❌ Missed"),"N/A"))</f>
        <v/>
      </c>
      <c r="K10" s="17" t="n"/>
    </row>
    <row r="11">
      <c r="A11" s="16" t="inlineStr">
        <is>
          <t>VULN-0006</t>
        </is>
      </c>
      <c r="B11" s="17" t="n"/>
      <c r="C11" s="17" t="n"/>
      <c r="D11" s="17" t="n"/>
      <c r="E11" s="17" t="n"/>
      <c r="F11" s="17" t="n"/>
      <c r="G11" s="17" t="n"/>
      <c r="H11" s="17" t="n"/>
      <c r="I11" s="17" t="n"/>
      <c r="J11" s="17">
        <f>IF(E11="Critical",IF(I11-F11&lt;=7,"✅ Met","❌ Missed"),IF(E11="High",IF(I11-F11&lt;=30,"✅ Met","❌ Missed"),"N/A"))</f>
        <v/>
      </c>
      <c r="K11" s="17" t="n"/>
    </row>
    <row r="12">
      <c r="A12" s="16" t="inlineStr">
        <is>
          <t>VULN-0007</t>
        </is>
      </c>
      <c r="B12" s="17" t="n"/>
      <c r="C12" s="17" t="n"/>
      <c r="D12" s="17" t="n"/>
      <c r="E12" s="17" t="n"/>
      <c r="F12" s="17" t="n"/>
      <c r="G12" s="17" t="n"/>
      <c r="H12" s="17" t="n"/>
      <c r="I12" s="17" t="n"/>
      <c r="J12" s="17">
        <f>IF(E12="Critical",IF(I12-F12&lt;=7,"✅ Met","❌ Missed"),IF(E12="High",IF(I12-F12&lt;=30,"✅ Met","❌ Missed"),"N/A"))</f>
        <v/>
      </c>
      <c r="K12" s="17" t="n"/>
    </row>
    <row r="13">
      <c r="A13" s="16" t="inlineStr">
        <is>
          <t>VULN-0008</t>
        </is>
      </c>
      <c r="B13" s="17" t="n"/>
      <c r="C13" s="17" t="n"/>
      <c r="D13" s="17" t="n"/>
      <c r="E13" s="17" t="n"/>
      <c r="F13" s="17" t="n"/>
      <c r="G13" s="17" t="n"/>
      <c r="H13" s="17" t="n"/>
      <c r="I13" s="17" t="n"/>
      <c r="J13" s="17">
        <f>IF(E13="Critical",IF(I13-F13&lt;=7,"✅ Met","❌ Missed"),IF(E13="High",IF(I13-F13&lt;=30,"✅ Met","❌ Missed"),"N/A"))</f>
        <v/>
      </c>
      <c r="K13" s="17" t="n"/>
    </row>
    <row r="14">
      <c r="A14" s="16" t="inlineStr">
        <is>
          <t>VULN-0009</t>
        </is>
      </c>
      <c r="B14" s="17" t="n"/>
      <c r="C14" s="17" t="n"/>
      <c r="D14" s="17" t="n"/>
      <c r="E14" s="17" t="n"/>
      <c r="F14" s="17" t="n"/>
      <c r="G14" s="17" t="n"/>
      <c r="H14" s="17" t="n"/>
      <c r="I14" s="17" t="n"/>
      <c r="J14" s="17">
        <f>IF(E14="Critical",IF(I14-F14&lt;=7,"✅ Met","❌ Missed"),IF(E14="High",IF(I14-F14&lt;=30,"✅ Met","❌ Missed"),"N/A"))</f>
        <v/>
      </c>
      <c r="K14" s="17" t="n"/>
    </row>
    <row r="15">
      <c r="A15" s="16" t="inlineStr">
        <is>
          <t>VULN-0010</t>
        </is>
      </c>
      <c r="B15" s="17" t="n"/>
      <c r="C15" s="17" t="n"/>
      <c r="D15" s="17" t="n"/>
      <c r="E15" s="17" t="n"/>
      <c r="F15" s="17" t="n"/>
      <c r="G15" s="17" t="n"/>
      <c r="H15" s="17" t="n"/>
      <c r="I15" s="17" t="n"/>
      <c r="J15" s="17">
        <f>IF(E15="Critical",IF(I15-F15&lt;=7,"✅ Met","❌ Missed"),IF(E15="High",IF(I15-F15&lt;=30,"✅ Met","❌ Missed"),"N/A"))</f>
        <v/>
      </c>
      <c r="K15" s="17" t="n"/>
    </row>
    <row r="16">
      <c r="A16" s="16" t="inlineStr">
        <is>
          <t>VULN-0011</t>
        </is>
      </c>
      <c r="B16" s="17" t="n"/>
      <c r="C16" s="17" t="n"/>
      <c r="D16" s="17" t="n"/>
      <c r="E16" s="17" t="n"/>
      <c r="F16" s="17" t="n"/>
      <c r="G16" s="17" t="n"/>
      <c r="H16" s="17" t="n"/>
      <c r="I16" s="17" t="n"/>
      <c r="J16" s="17">
        <f>IF(E16="Critical",IF(I16-F16&lt;=7,"✅ Met","❌ Missed"),IF(E16="High",IF(I16-F16&lt;=30,"✅ Met","❌ Missed"),"N/A"))</f>
        <v/>
      </c>
      <c r="K16" s="17" t="n"/>
    </row>
    <row r="17">
      <c r="A17" s="16" t="inlineStr">
        <is>
          <t>VULN-0012</t>
        </is>
      </c>
      <c r="B17" s="17" t="n"/>
      <c r="C17" s="17" t="n"/>
      <c r="D17" s="17" t="n"/>
      <c r="E17" s="17" t="n"/>
      <c r="F17" s="17" t="n"/>
      <c r="G17" s="17" t="n"/>
      <c r="H17" s="17" t="n"/>
      <c r="I17" s="17" t="n"/>
      <c r="J17" s="17">
        <f>IF(E17="Critical",IF(I17-F17&lt;=7,"✅ Met","❌ Missed"),IF(E17="High",IF(I17-F17&lt;=30,"✅ Met","❌ Missed"),"N/A"))</f>
        <v/>
      </c>
      <c r="K17" s="17" t="n"/>
    </row>
    <row r="18">
      <c r="A18" s="16" t="inlineStr">
        <is>
          <t>VULN-0013</t>
        </is>
      </c>
      <c r="B18" s="17" t="n"/>
      <c r="C18" s="17" t="n"/>
      <c r="D18" s="17" t="n"/>
      <c r="E18" s="17" t="n"/>
      <c r="F18" s="17" t="n"/>
      <c r="G18" s="17" t="n"/>
      <c r="H18" s="17" t="n"/>
      <c r="I18" s="17" t="n"/>
      <c r="J18" s="17">
        <f>IF(E18="Critical",IF(I18-F18&lt;=7,"✅ Met","❌ Missed"),IF(E18="High",IF(I18-F18&lt;=30,"✅ Met","❌ Missed"),"N/A"))</f>
        <v/>
      </c>
      <c r="K18" s="17" t="n"/>
    </row>
    <row r="19">
      <c r="A19" s="16" t="inlineStr">
        <is>
          <t>VULN-0014</t>
        </is>
      </c>
      <c r="B19" s="17" t="n"/>
      <c r="C19" s="17" t="n"/>
      <c r="D19" s="17" t="n"/>
      <c r="E19" s="17" t="n"/>
      <c r="F19" s="17" t="n"/>
      <c r="G19" s="17" t="n"/>
      <c r="H19" s="17" t="n"/>
      <c r="I19" s="17" t="n"/>
      <c r="J19" s="17">
        <f>IF(E19="Critical",IF(I19-F19&lt;=7,"✅ Met","❌ Missed"),IF(E19="High",IF(I19-F19&lt;=30,"✅ Met","❌ Missed"),"N/A"))</f>
        <v/>
      </c>
      <c r="K19" s="17" t="n"/>
    </row>
    <row r="20">
      <c r="A20" s="16" t="inlineStr">
        <is>
          <t>VULN-0015</t>
        </is>
      </c>
      <c r="B20" s="17" t="n"/>
      <c r="C20" s="17" t="n"/>
      <c r="D20" s="17" t="n"/>
      <c r="E20" s="17" t="n"/>
      <c r="F20" s="17" t="n"/>
      <c r="G20" s="17" t="n"/>
      <c r="H20" s="17" t="n"/>
      <c r="I20" s="17" t="n"/>
      <c r="J20" s="17">
        <f>IF(E20="Critical",IF(I20-F20&lt;=7,"✅ Met","❌ Missed"),IF(E20="High",IF(I20-F20&lt;=30,"✅ Met","❌ Missed"),"N/A"))</f>
        <v/>
      </c>
      <c r="K20" s="17" t="n"/>
    </row>
    <row r="21">
      <c r="A21" s="16" t="inlineStr">
        <is>
          <t>VULN-0016</t>
        </is>
      </c>
      <c r="B21" s="17" t="n"/>
      <c r="C21" s="17" t="n"/>
      <c r="D21" s="17" t="n"/>
      <c r="E21" s="17" t="n"/>
      <c r="F21" s="17" t="n"/>
      <c r="G21" s="17" t="n"/>
      <c r="H21" s="17" t="n"/>
      <c r="I21" s="17" t="n"/>
      <c r="J21" s="17">
        <f>IF(E21="Critical",IF(I21-F21&lt;=7,"✅ Met","❌ Missed"),IF(E21="High",IF(I21-F21&lt;=30,"✅ Met","❌ Missed"),"N/A"))</f>
        <v/>
      </c>
      <c r="K21" s="17" t="n"/>
    </row>
    <row r="22">
      <c r="A22" s="16" t="inlineStr">
        <is>
          <t>VULN-0017</t>
        </is>
      </c>
      <c r="B22" s="17" t="n"/>
      <c r="C22" s="17" t="n"/>
      <c r="D22" s="17" t="n"/>
      <c r="E22" s="17" t="n"/>
      <c r="F22" s="17" t="n"/>
      <c r="G22" s="17" t="n"/>
      <c r="H22" s="17" t="n"/>
      <c r="I22" s="17" t="n"/>
      <c r="J22" s="17">
        <f>IF(E22="Critical",IF(I22-F22&lt;=7,"✅ Met","❌ Missed"),IF(E22="High",IF(I22-F22&lt;=30,"✅ Met","❌ Missed"),"N/A"))</f>
        <v/>
      </c>
      <c r="K22" s="17" t="n"/>
    </row>
    <row r="23">
      <c r="A23" s="16" t="inlineStr">
        <is>
          <t>VULN-0018</t>
        </is>
      </c>
      <c r="B23" s="17" t="n"/>
      <c r="C23" s="17" t="n"/>
      <c r="D23" s="17" t="n"/>
      <c r="E23" s="17" t="n"/>
      <c r="F23" s="17" t="n"/>
      <c r="G23" s="17" t="n"/>
      <c r="H23" s="17" t="n"/>
      <c r="I23" s="17" t="n"/>
      <c r="J23" s="17">
        <f>IF(E23="Critical",IF(I23-F23&lt;=7,"✅ Met","❌ Missed"),IF(E23="High",IF(I23-F23&lt;=30,"✅ Met","❌ Missed"),"N/A"))</f>
        <v/>
      </c>
      <c r="K23" s="17" t="n"/>
    </row>
    <row r="24">
      <c r="A24" s="16" t="inlineStr">
        <is>
          <t>VULN-0019</t>
        </is>
      </c>
      <c r="B24" s="17" t="n"/>
      <c r="C24" s="17" t="n"/>
      <c r="D24" s="17" t="n"/>
      <c r="E24" s="17" t="n"/>
      <c r="F24" s="17" t="n"/>
      <c r="G24" s="17" t="n"/>
      <c r="H24" s="17" t="n"/>
      <c r="I24" s="17" t="n"/>
      <c r="J24" s="17">
        <f>IF(E24="Critical",IF(I24-F24&lt;=7,"✅ Met","❌ Missed"),IF(E24="High",IF(I24-F24&lt;=30,"✅ Met","❌ Missed"),"N/A"))</f>
        <v/>
      </c>
      <c r="K24" s="17" t="n"/>
    </row>
    <row r="25">
      <c r="A25" s="16" t="inlineStr">
        <is>
          <t>VULN-0020</t>
        </is>
      </c>
      <c r="B25" s="17" t="n"/>
      <c r="C25" s="17" t="n"/>
      <c r="D25" s="17" t="n"/>
      <c r="E25" s="17" t="n"/>
      <c r="F25" s="17" t="n"/>
      <c r="G25" s="17" t="n"/>
      <c r="H25" s="17" t="n"/>
      <c r="I25" s="17" t="n"/>
      <c r="J25" s="17">
        <f>IF(E25="Critical",IF(I25-F25&lt;=7,"✅ Met","❌ Missed"),IF(E25="High",IF(I25-F25&lt;=30,"✅ Met","❌ Missed"),"N/A"))</f>
        <v/>
      </c>
      <c r="K25" s="17" t="n"/>
    </row>
    <row r="26">
      <c r="A26" s="16" t="inlineStr">
        <is>
          <t>VULN-0021</t>
        </is>
      </c>
      <c r="B26" s="17" t="n"/>
      <c r="C26" s="17" t="n"/>
      <c r="D26" s="17" t="n"/>
      <c r="E26" s="17" t="n"/>
      <c r="F26" s="17" t="n"/>
      <c r="G26" s="17" t="n"/>
      <c r="H26" s="17" t="n"/>
      <c r="I26" s="17" t="n"/>
      <c r="J26" s="17">
        <f>IF(E26="Critical",IF(I26-F26&lt;=7,"✅ Met","❌ Missed"),IF(E26="High",IF(I26-F26&lt;=30,"✅ Met","❌ Missed"),"N/A"))</f>
        <v/>
      </c>
      <c r="K26" s="17" t="n"/>
    </row>
    <row r="27">
      <c r="A27" s="16" t="inlineStr">
        <is>
          <t>VULN-0022</t>
        </is>
      </c>
      <c r="B27" s="17" t="n"/>
      <c r="C27" s="17" t="n"/>
      <c r="D27" s="17" t="n"/>
      <c r="E27" s="17" t="n"/>
      <c r="F27" s="17" t="n"/>
      <c r="G27" s="17" t="n"/>
      <c r="H27" s="17" t="n"/>
      <c r="I27" s="17" t="n"/>
      <c r="J27" s="17">
        <f>IF(E27="Critical",IF(I27-F27&lt;=7,"✅ Met","❌ Missed"),IF(E27="High",IF(I27-F27&lt;=30,"✅ Met","❌ Missed"),"N/A"))</f>
        <v/>
      </c>
      <c r="K27" s="17" t="n"/>
    </row>
    <row r="28">
      <c r="A28" s="16" t="inlineStr">
        <is>
          <t>VULN-0023</t>
        </is>
      </c>
      <c r="B28" s="17" t="n"/>
      <c r="C28" s="17" t="n"/>
      <c r="D28" s="17" t="n"/>
      <c r="E28" s="17" t="n"/>
      <c r="F28" s="17" t="n"/>
      <c r="G28" s="17" t="n"/>
      <c r="H28" s="17" t="n"/>
      <c r="I28" s="17" t="n"/>
      <c r="J28" s="17">
        <f>IF(E28="Critical",IF(I28-F28&lt;=7,"✅ Met","❌ Missed"),IF(E28="High",IF(I28-F28&lt;=30,"✅ Met","❌ Missed"),"N/A"))</f>
        <v/>
      </c>
      <c r="K28" s="17" t="n"/>
    </row>
    <row r="29">
      <c r="A29" s="16" t="inlineStr">
        <is>
          <t>VULN-0024</t>
        </is>
      </c>
      <c r="B29" s="17" t="n"/>
      <c r="C29" s="17" t="n"/>
      <c r="D29" s="17" t="n"/>
      <c r="E29" s="17" t="n"/>
      <c r="F29" s="17" t="n"/>
      <c r="G29" s="17" t="n"/>
      <c r="H29" s="17" t="n"/>
      <c r="I29" s="17" t="n"/>
      <c r="J29" s="17">
        <f>IF(E29="Critical",IF(I29-F29&lt;=7,"✅ Met","❌ Missed"),IF(E29="High",IF(I29-F29&lt;=30,"✅ Met","❌ Missed"),"N/A"))</f>
        <v/>
      </c>
      <c r="K29" s="17" t="n"/>
    </row>
    <row r="30">
      <c r="A30" s="16" t="inlineStr">
        <is>
          <t>VULN-0025</t>
        </is>
      </c>
      <c r="B30" s="17" t="n"/>
      <c r="C30" s="17" t="n"/>
      <c r="D30" s="17" t="n"/>
      <c r="E30" s="17" t="n"/>
      <c r="F30" s="17" t="n"/>
      <c r="G30" s="17" t="n"/>
      <c r="H30" s="17" t="n"/>
      <c r="I30" s="17" t="n"/>
      <c r="J30" s="17">
        <f>IF(E30="Critical",IF(I30-F30&lt;=7,"✅ Met","❌ Missed"),IF(E30="High",IF(I30-F30&lt;=30,"✅ Met","❌ Missed"),"N/A"))</f>
        <v/>
      </c>
      <c r="K30" s="17" t="n"/>
    </row>
    <row r="31">
      <c r="A31" s="16" t="inlineStr">
        <is>
          <t>VULN-0026</t>
        </is>
      </c>
      <c r="B31" s="17" t="n"/>
      <c r="C31" s="17" t="n"/>
      <c r="D31" s="17" t="n"/>
      <c r="E31" s="17" t="n"/>
      <c r="F31" s="17" t="n"/>
      <c r="G31" s="17" t="n"/>
      <c r="H31" s="17" t="n"/>
      <c r="I31" s="17" t="n"/>
      <c r="J31" s="17">
        <f>IF(E31="Critical",IF(I31-F31&lt;=7,"✅ Met","❌ Missed"),IF(E31="High",IF(I31-F31&lt;=30,"✅ Met","❌ Missed"),"N/A"))</f>
        <v/>
      </c>
      <c r="K31" s="17" t="n"/>
    </row>
    <row r="32">
      <c r="A32" s="16" t="inlineStr">
        <is>
          <t>VULN-0027</t>
        </is>
      </c>
      <c r="B32" s="17" t="n"/>
      <c r="C32" s="17" t="n"/>
      <c r="D32" s="17" t="n"/>
      <c r="E32" s="17" t="n"/>
      <c r="F32" s="17" t="n"/>
      <c r="G32" s="17" t="n"/>
      <c r="H32" s="17" t="n"/>
      <c r="I32" s="17" t="n"/>
      <c r="J32" s="17">
        <f>IF(E32="Critical",IF(I32-F32&lt;=7,"✅ Met","❌ Missed"),IF(E32="High",IF(I32-F32&lt;=30,"✅ Met","❌ Missed"),"N/A"))</f>
        <v/>
      </c>
      <c r="K32" s="17" t="n"/>
    </row>
    <row r="33">
      <c r="A33" s="16" t="inlineStr">
        <is>
          <t>VULN-0028</t>
        </is>
      </c>
      <c r="B33" s="17" t="n"/>
      <c r="C33" s="17" t="n"/>
      <c r="D33" s="17" t="n"/>
      <c r="E33" s="17" t="n"/>
      <c r="F33" s="17" t="n"/>
      <c r="G33" s="17" t="n"/>
      <c r="H33" s="17" t="n"/>
      <c r="I33" s="17" t="n"/>
      <c r="J33" s="17">
        <f>IF(E33="Critical",IF(I33-F33&lt;=7,"✅ Met","❌ Missed"),IF(E33="High",IF(I33-F33&lt;=30,"✅ Met","❌ Missed"),"N/A"))</f>
        <v/>
      </c>
      <c r="K33" s="17" t="n"/>
    </row>
    <row r="34">
      <c r="A34" s="16" t="inlineStr">
        <is>
          <t>VULN-0029</t>
        </is>
      </c>
      <c r="B34" s="17" t="n"/>
      <c r="C34" s="17" t="n"/>
      <c r="D34" s="17" t="n"/>
      <c r="E34" s="17" t="n"/>
      <c r="F34" s="17" t="n"/>
      <c r="G34" s="17" t="n"/>
      <c r="H34" s="17" t="n"/>
      <c r="I34" s="17" t="n"/>
      <c r="J34" s="17">
        <f>IF(E34="Critical",IF(I34-F34&lt;=7,"✅ Met","❌ Missed"),IF(E34="High",IF(I34-F34&lt;=30,"✅ Met","❌ Missed"),"N/A"))</f>
        <v/>
      </c>
      <c r="K34" s="17" t="n"/>
    </row>
    <row r="35">
      <c r="A35" s="16" t="inlineStr">
        <is>
          <t>VULN-0030</t>
        </is>
      </c>
      <c r="B35" s="17" t="n"/>
      <c r="C35" s="17" t="n"/>
      <c r="D35" s="17" t="n"/>
      <c r="E35" s="17" t="n"/>
      <c r="F35" s="17" t="n"/>
      <c r="G35" s="17" t="n"/>
      <c r="H35" s="17" t="n"/>
      <c r="I35" s="17" t="n"/>
      <c r="J35" s="17">
        <f>IF(E35="Critical",IF(I35-F35&lt;=7,"✅ Met","❌ Missed"),IF(E35="High",IF(I35-F35&lt;=30,"✅ Met","❌ Missed"),"N/A"))</f>
        <v/>
      </c>
      <c r="K35" s="17" t="n"/>
    </row>
    <row r="36">
      <c r="A36" s="16" t="inlineStr">
        <is>
          <t>VULN-0031</t>
        </is>
      </c>
      <c r="B36" s="17" t="n"/>
      <c r="C36" s="17" t="n"/>
      <c r="D36" s="17" t="n"/>
      <c r="E36" s="17" t="n"/>
      <c r="F36" s="17" t="n"/>
      <c r="G36" s="17" t="n"/>
      <c r="H36" s="17" t="n"/>
      <c r="I36" s="17" t="n"/>
      <c r="J36" s="17">
        <f>IF(E36="Critical",IF(I36-F36&lt;=7,"✅ Met","❌ Missed"),IF(E36="High",IF(I36-F36&lt;=30,"✅ Met","❌ Missed"),"N/A"))</f>
        <v/>
      </c>
      <c r="K36" s="17" t="n"/>
    </row>
    <row r="37">
      <c r="A37" s="16" t="inlineStr">
        <is>
          <t>VULN-0032</t>
        </is>
      </c>
      <c r="B37" s="17" t="n"/>
      <c r="C37" s="17" t="n"/>
      <c r="D37" s="17" t="n"/>
      <c r="E37" s="17" t="n"/>
      <c r="F37" s="17" t="n"/>
      <c r="G37" s="17" t="n"/>
      <c r="H37" s="17" t="n"/>
      <c r="I37" s="17" t="n"/>
      <c r="J37" s="17">
        <f>IF(E37="Critical",IF(I37-F37&lt;=7,"✅ Met","❌ Missed"),IF(E37="High",IF(I37-F37&lt;=30,"✅ Met","❌ Missed"),"N/A"))</f>
        <v/>
      </c>
      <c r="K37" s="17" t="n"/>
    </row>
    <row r="38">
      <c r="A38" s="16" t="inlineStr">
        <is>
          <t>VULN-0033</t>
        </is>
      </c>
      <c r="B38" s="17" t="n"/>
      <c r="C38" s="17" t="n"/>
      <c r="D38" s="17" t="n"/>
      <c r="E38" s="17" t="n"/>
      <c r="F38" s="17" t="n"/>
      <c r="G38" s="17" t="n"/>
      <c r="H38" s="17" t="n"/>
      <c r="I38" s="17" t="n"/>
      <c r="J38" s="17">
        <f>IF(E38="Critical",IF(I38-F38&lt;=7,"✅ Met","❌ Missed"),IF(E38="High",IF(I38-F38&lt;=30,"✅ Met","❌ Missed"),"N/A"))</f>
        <v/>
      </c>
      <c r="K38" s="17" t="n"/>
    </row>
    <row r="39">
      <c r="A39" s="16" t="inlineStr">
        <is>
          <t>VULN-0034</t>
        </is>
      </c>
      <c r="B39" s="17" t="n"/>
      <c r="C39" s="17" t="n"/>
      <c r="D39" s="17" t="n"/>
      <c r="E39" s="17" t="n"/>
      <c r="F39" s="17" t="n"/>
      <c r="G39" s="17" t="n"/>
      <c r="H39" s="17" t="n"/>
      <c r="I39" s="17" t="n"/>
      <c r="J39" s="17">
        <f>IF(E39="Critical",IF(I39-F39&lt;=7,"✅ Met","❌ Missed"),IF(E39="High",IF(I39-F39&lt;=30,"✅ Met","❌ Missed"),"N/A"))</f>
        <v/>
      </c>
      <c r="K39" s="17" t="n"/>
    </row>
    <row r="40">
      <c r="A40" s="16" t="inlineStr">
        <is>
          <t>VULN-0035</t>
        </is>
      </c>
      <c r="B40" s="17" t="n"/>
      <c r="C40" s="17" t="n"/>
      <c r="D40" s="17" t="n"/>
      <c r="E40" s="17" t="n"/>
      <c r="F40" s="17" t="n"/>
      <c r="G40" s="17" t="n"/>
      <c r="H40" s="17" t="n"/>
      <c r="I40" s="17" t="n"/>
      <c r="J40" s="17">
        <f>IF(E40="Critical",IF(I40-F40&lt;=7,"✅ Met","❌ Missed"),IF(E40="High",IF(I40-F40&lt;=30,"✅ Met","❌ Missed"),"N/A"))</f>
        <v/>
      </c>
      <c r="K40" s="17" t="n"/>
    </row>
    <row r="41">
      <c r="A41" s="16" t="inlineStr">
        <is>
          <t>VULN-0036</t>
        </is>
      </c>
      <c r="B41" s="17" t="n"/>
      <c r="C41" s="17" t="n"/>
      <c r="D41" s="17" t="n"/>
      <c r="E41" s="17" t="n"/>
      <c r="F41" s="17" t="n"/>
      <c r="G41" s="17" t="n"/>
      <c r="H41" s="17" t="n"/>
      <c r="I41" s="17" t="n"/>
      <c r="J41" s="17">
        <f>IF(E41="Critical",IF(I41-F41&lt;=7,"✅ Met","❌ Missed"),IF(E41="High",IF(I41-F41&lt;=30,"✅ Met","❌ Missed"),"N/A"))</f>
        <v/>
      </c>
      <c r="K41" s="17" t="n"/>
    </row>
    <row r="42">
      <c r="A42" s="16" t="inlineStr">
        <is>
          <t>VULN-0037</t>
        </is>
      </c>
      <c r="B42" s="17" t="n"/>
      <c r="C42" s="17" t="n"/>
      <c r="D42" s="17" t="n"/>
      <c r="E42" s="17" t="n"/>
      <c r="F42" s="17" t="n"/>
      <c r="G42" s="17" t="n"/>
      <c r="H42" s="17" t="n"/>
      <c r="I42" s="17" t="n"/>
      <c r="J42" s="17">
        <f>IF(E42="Critical",IF(I42-F42&lt;=7,"✅ Met","❌ Missed"),IF(E42="High",IF(I42-F42&lt;=30,"✅ Met","❌ Missed"),"N/A"))</f>
        <v/>
      </c>
      <c r="K42" s="17" t="n"/>
    </row>
    <row r="43">
      <c r="A43" s="16" t="inlineStr">
        <is>
          <t>VULN-0038</t>
        </is>
      </c>
      <c r="B43" s="17" t="n"/>
      <c r="C43" s="17" t="n"/>
      <c r="D43" s="17" t="n"/>
      <c r="E43" s="17" t="n"/>
      <c r="F43" s="17" t="n"/>
      <c r="G43" s="17" t="n"/>
      <c r="H43" s="17" t="n"/>
      <c r="I43" s="17" t="n"/>
      <c r="J43" s="17">
        <f>IF(E43="Critical",IF(I43-F43&lt;=7,"✅ Met","❌ Missed"),IF(E43="High",IF(I43-F43&lt;=30,"✅ Met","❌ Missed"),"N/A"))</f>
        <v/>
      </c>
      <c r="K43" s="17" t="n"/>
    </row>
    <row r="44">
      <c r="A44" s="16" t="inlineStr">
        <is>
          <t>VULN-0039</t>
        </is>
      </c>
      <c r="B44" s="17" t="n"/>
      <c r="C44" s="17" t="n"/>
      <c r="D44" s="17" t="n"/>
      <c r="E44" s="17" t="n"/>
      <c r="F44" s="17" t="n"/>
      <c r="G44" s="17" t="n"/>
      <c r="H44" s="17" t="n"/>
      <c r="I44" s="17" t="n"/>
      <c r="J44" s="17">
        <f>IF(E44="Critical",IF(I44-F44&lt;=7,"✅ Met","❌ Missed"),IF(E44="High",IF(I44-F44&lt;=30,"✅ Met","❌ Missed"),"N/A"))</f>
        <v/>
      </c>
      <c r="K44" s="17" t="n"/>
    </row>
    <row r="45">
      <c r="A45" s="16" t="inlineStr">
        <is>
          <t>VULN-0040</t>
        </is>
      </c>
      <c r="B45" s="17" t="n"/>
      <c r="C45" s="17" t="n"/>
      <c r="D45" s="17" t="n"/>
      <c r="E45" s="17" t="n"/>
      <c r="F45" s="17" t="n"/>
      <c r="G45" s="17" t="n"/>
      <c r="H45" s="17" t="n"/>
      <c r="I45" s="17" t="n"/>
      <c r="J45" s="17">
        <f>IF(E45="Critical",IF(I45-F45&lt;=7,"✅ Met","❌ Missed"),IF(E45="High",IF(I45-F45&lt;=30,"✅ Met","❌ Missed"),"N/A"))</f>
        <v/>
      </c>
      <c r="K45" s="17" t="n"/>
    </row>
    <row r="46">
      <c r="A46" s="16" t="inlineStr">
        <is>
          <t>VULN-0041</t>
        </is>
      </c>
      <c r="B46" s="17" t="n"/>
      <c r="C46" s="17" t="n"/>
      <c r="D46" s="17" t="n"/>
      <c r="E46" s="17" t="n"/>
      <c r="F46" s="17" t="n"/>
      <c r="G46" s="17" t="n"/>
      <c r="H46" s="17" t="n"/>
      <c r="I46" s="17" t="n"/>
      <c r="J46" s="17">
        <f>IF(E46="Critical",IF(I46-F46&lt;=7,"✅ Met","❌ Missed"),IF(E46="High",IF(I46-F46&lt;=30,"✅ Met","❌ Missed"),"N/A"))</f>
        <v/>
      </c>
      <c r="K46" s="17" t="n"/>
    </row>
    <row r="47">
      <c r="A47" s="16" t="inlineStr">
        <is>
          <t>VULN-0042</t>
        </is>
      </c>
      <c r="B47" s="17" t="n"/>
      <c r="C47" s="17" t="n"/>
      <c r="D47" s="17" t="n"/>
      <c r="E47" s="17" t="n"/>
      <c r="F47" s="17" t="n"/>
      <c r="G47" s="17" t="n"/>
      <c r="H47" s="17" t="n"/>
      <c r="I47" s="17" t="n"/>
      <c r="J47" s="17">
        <f>IF(E47="Critical",IF(I47-F47&lt;=7,"✅ Met","❌ Missed"),IF(E47="High",IF(I47-F47&lt;=30,"✅ Met","❌ Missed"),"N/A"))</f>
        <v/>
      </c>
      <c r="K47" s="17" t="n"/>
    </row>
    <row r="48">
      <c r="A48" s="16" t="inlineStr">
        <is>
          <t>VULN-0043</t>
        </is>
      </c>
      <c r="B48" s="17" t="n"/>
      <c r="C48" s="17" t="n"/>
      <c r="D48" s="17" t="n"/>
      <c r="E48" s="17" t="n"/>
      <c r="F48" s="17" t="n"/>
      <c r="G48" s="17" t="n"/>
      <c r="H48" s="17" t="n"/>
      <c r="I48" s="17" t="n"/>
      <c r="J48" s="17">
        <f>IF(E48="Critical",IF(I48-F48&lt;=7,"✅ Met","❌ Missed"),IF(E48="High",IF(I48-F48&lt;=30,"✅ Met","❌ Missed"),"N/A"))</f>
        <v/>
      </c>
      <c r="K48" s="17" t="n"/>
    </row>
    <row r="49">
      <c r="A49" s="16" t="inlineStr">
        <is>
          <t>VULN-0044</t>
        </is>
      </c>
      <c r="B49" s="17" t="n"/>
      <c r="C49" s="17" t="n"/>
      <c r="D49" s="17" t="n"/>
      <c r="E49" s="17" t="n"/>
      <c r="F49" s="17" t="n"/>
      <c r="G49" s="17" t="n"/>
      <c r="H49" s="17" t="n"/>
      <c r="I49" s="17" t="n"/>
      <c r="J49" s="17">
        <f>IF(E49="Critical",IF(I49-F49&lt;=7,"✅ Met","❌ Missed"),IF(E49="High",IF(I49-F49&lt;=30,"✅ Met","❌ Missed"),"N/A"))</f>
        <v/>
      </c>
      <c r="K49" s="17" t="n"/>
    </row>
    <row r="50">
      <c r="A50" s="16" t="inlineStr">
        <is>
          <t>VULN-0045</t>
        </is>
      </c>
      <c r="B50" s="17" t="n"/>
      <c r="C50" s="17" t="n"/>
      <c r="D50" s="17" t="n"/>
      <c r="E50" s="17" t="n"/>
      <c r="F50" s="17" t="n"/>
      <c r="G50" s="17" t="n"/>
      <c r="H50" s="17" t="n"/>
      <c r="I50" s="17" t="n"/>
      <c r="J50" s="17">
        <f>IF(E50="Critical",IF(I50-F50&lt;=7,"✅ Met","❌ Missed"),IF(E50="High",IF(I50-F50&lt;=30,"✅ Met","❌ Missed"),"N/A"))</f>
        <v/>
      </c>
      <c r="K50" s="17" t="n"/>
    </row>
    <row r="51">
      <c r="A51" s="16" t="inlineStr">
        <is>
          <t>VULN-0046</t>
        </is>
      </c>
      <c r="B51" s="17" t="n"/>
      <c r="C51" s="17" t="n"/>
      <c r="D51" s="17" t="n"/>
      <c r="E51" s="17" t="n"/>
      <c r="F51" s="17" t="n"/>
      <c r="G51" s="17" t="n"/>
      <c r="H51" s="17" t="n"/>
      <c r="I51" s="17" t="n"/>
      <c r="J51" s="17">
        <f>IF(E51="Critical",IF(I51-F51&lt;=7,"✅ Met","❌ Missed"),IF(E51="High",IF(I51-F51&lt;=30,"✅ Met","❌ Missed"),"N/A"))</f>
        <v/>
      </c>
      <c r="K51" s="17" t="n"/>
    </row>
    <row r="52">
      <c r="A52" s="16" t="inlineStr">
        <is>
          <t>VULN-0047</t>
        </is>
      </c>
      <c r="B52" s="17" t="n"/>
      <c r="C52" s="17" t="n"/>
      <c r="D52" s="17" t="n"/>
      <c r="E52" s="17" t="n"/>
      <c r="F52" s="17" t="n"/>
      <c r="G52" s="17" t="n"/>
      <c r="H52" s="17" t="n"/>
      <c r="I52" s="17" t="n"/>
      <c r="J52" s="17">
        <f>IF(E52="Critical",IF(I52-F52&lt;=7,"✅ Met","❌ Missed"),IF(E52="High",IF(I52-F52&lt;=30,"✅ Met","❌ Missed"),"N/A"))</f>
        <v/>
      </c>
      <c r="K52" s="17" t="n"/>
    </row>
    <row r="53">
      <c r="A53" s="16" t="inlineStr">
        <is>
          <t>VULN-0048</t>
        </is>
      </c>
      <c r="B53" s="17" t="n"/>
      <c r="C53" s="17" t="n"/>
      <c r="D53" s="17" t="n"/>
      <c r="E53" s="17" t="n"/>
      <c r="F53" s="17" t="n"/>
      <c r="G53" s="17" t="n"/>
      <c r="H53" s="17" t="n"/>
      <c r="I53" s="17" t="n"/>
      <c r="J53" s="17">
        <f>IF(E53="Critical",IF(I53-F53&lt;=7,"✅ Met","❌ Missed"),IF(E53="High",IF(I53-F53&lt;=30,"✅ Met","❌ Missed"),"N/A"))</f>
        <v/>
      </c>
      <c r="K53" s="17" t="n"/>
    </row>
    <row r="54">
      <c r="A54" s="16" t="inlineStr">
        <is>
          <t>VULN-0049</t>
        </is>
      </c>
      <c r="B54" s="17" t="n"/>
      <c r="C54" s="17" t="n"/>
      <c r="D54" s="17" t="n"/>
      <c r="E54" s="17" t="n"/>
      <c r="F54" s="17" t="n"/>
      <c r="G54" s="17" t="n"/>
      <c r="H54" s="17" t="n"/>
      <c r="I54" s="17" t="n"/>
      <c r="J54" s="17">
        <f>IF(E54="Critical",IF(I54-F54&lt;=7,"✅ Met","❌ Missed"),IF(E54="High",IF(I54-F54&lt;=30,"✅ Met","❌ Missed"),"N/A"))</f>
        <v/>
      </c>
      <c r="K54" s="17" t="n"/>
    </row>
    <row r="55">
      <c r="A55" s="16" t="inlineStr">
        <is>
          <t>VULN-0050</t>
        </is>
      </c>
      <c r="B55" s="17" t="n"/>
      <c r="C55" s="17" t="n"/>
      <c r="D55" s="17" t="n"/>
      <c r="E55" s="17" t="n"/>
      <c r="F55" s="17" t="n"/>
      <c r="G55" s="17" t="n"/>
      <c r="H55" s="17" t="n"/>
      <c r="I55" s="17" t="n"/>
      <c r="J55" s="17">
        <f>IF(E55="Critical",IF(I55-F55&lt;=7,"✅ Met","❌ Missed"),IF(E55="High",IF(I55-F55&lt;=30,"✅ Met","❌ Missed"),"N/A"))</f>
        <v/>
      </c>
      <c r="K55" s="17" t="n"/>
    </row>
    <row r="56">
      <c r="A56" s="16" t="inlineStr">
        <is>
          <t>VULN-0051</t>
        </is>
      </c>
      <c r="B56" s="17" t="n"/>
      <c r="C56" s="17" t="n"/>
      <c r="D56" s="17" t="n"/>
      <c r="E56" s="17" t="n"/>
      <c r="F56" s="17" t="n"/>
      <c r="G56" s="17" t="n"/>
      <c r="H56" s="17" t="n"/>
      <c r="I56" s="17" t="n"/>
      <c r="J56" s="17">
        <f>IF(E56="Critical",IF(I56-F56&lt;=7,"✅ Met","❌ Missed"),IF(E56="High",IF(I56-F56&lt;=30,"✅ Met","❌ Missed"),"N/A"))</f>
        <v/>
      </c>
      <c r="K56" s="17" t="n"/>
    </row>
    <row r="57">
      <c r="A57" s="16" t="inlineStr">
        <is>
          <t>VULN-0052</t>
        </is>
      </c>
      <c r="B57" s="17" t="n"/>
      <c r="C57" s="17" t="n"/>
      <c r="D57" s="17" t="n"/>
      <c r="E57" s="17" t="n"/>
      <c r="F57" s="17" t="n"/>
      <c r="G57" s="17" t="n"/>
      <c r="H57" s="17" t="n"/>
      <c r="I57" s="17" t="n"/>
      <c r="J57" s="17">
        <f>IF(E57="Critical",IF(I57-F57&lt;=7,"✅ Met","❌ Missed"),IF(E57="High",IF(I57-F57&lt;=30,"✅ Met","❌ Missed"),"N/A"))</f>
        <v/>
      </c>
      <c r="K57" s="17" t="n"/>
    </row>
    <row r="58">
      <c r="A58" s="16" t="inlineStr">
        <is>
          <t>VULN-0053</t>
        </is>
      </c>
      <c r="B58" s="17" t="n"/>
      <c r="C58" s="17" t="n"/>
      <c r="D58" s="17" t="n"/>
      <c r="E58" s="17" t="n"/>
      <c r="F58" s="17" t="n"/>
      <c r="G58" s="17" t="n"/>
      <c r="H58" s="17" t="n"/>
      <c r="I58" s="17" t="n"/>
      <c r="J58" s="17">
        <f>IF(E58="Critical",IF(I58-F58&lt;=7,"✅ Met","❌ Missed"),IF(E58="High",IF(I58-F58&lt;=30,"✅ Met","❌ Missed"),"N/A"))</f>
        <v/>
      </c>
      <c r="K58" s="17" t="n"/>
    </row>
    <row r="59">
      <c r="A59" s="16" t="inlineStr">
        <is>
          <t>VULN-0054</t>
        </is>
      </c>
      <c r="B59" s="17" t="n"/>
      <c r="C59" s="17" t="n"/>
      <c r="D59" s="17" t="n"/>
      <c r="E59" s="17" t="n"/>
      <c r="F59" s="17" t="n"/>
      <c r="G59" s="17" t="n"/>
      <c r="H59" s="17" t="n"/>
      <c r="I59" s="17" t="n"/>
      <c r="J59" s="17">
        <f>IF(E59="Critical",IF(I59-F59&lt;=7,"✅ Met","❌ Missed"),IF(E59="High",IF(I59-F59&lt;=30,"✅ Met","❌ Missed"),"N/A"))</f>
        <v/>
      </c>
      <c r="K59" s="17" t="n"/>
    </row>
    <row r="60">
      <c r="A60" s="16" t="inlineStr">
        <is>
          <t>VULN-0055</t>
        </is>
      </c>
      <c r="B60" s="17" t="n"/>
      <c r="C60" s="17" t="n"/>
      <c r="D60" s="17" t="n"/>
      <c r="E60" s="17" t="n"/>
      <c r="F60" s="17" t="n"/>
      <c r="G60" s="17" t="n"/>
      <c r="H60" s="17" t="n"/>
      <c r="I60" s="17" t="n"/>
      <c r="J60" s="17">
        <f>IF(E60="Critical",IF(I60-F60&lt;=7,"✅ Met","❌ Missed"),IF(E60="High",IF(I60-F60&lt;=30,"✅ Met","❌ Missed"),"N/A"))</f>
        <v/>
      </c>
      <c r="K60" s="17" t="n"/>
    </row>
    <row r="61">
      <c r="A61" s="16" t="inlineStr">
        <is>
          <t>VULN-0056</t>
        </is>
      </c>
      <c r="B61" s="17" t="n"/>
      <c r="C61" s="17" t="n"/>
      <c r="D61" s="17" t="n"/>
      <c r="E61" s="17" t="n"/>
      <c r="F61" s="17" t="n"/>
      <c r="G61" s="17" t="n"/>
      <c r="H61" s="17" t="n"/>
      <c r="I61" s="17" t="n"/>
      <c r="J61" s="17">
        <f>IF(E61="Critical",IF(I61-F61&lt;=7,"✅ Met","❌ Missed"),IF(E61="High",IF(I61-F61&lt;=30,"✅ Met","❌ Missed"),"N/A"))</f>
        <v/>
      </c>
      <c r="K61" s="17" t="n"/>
    </row>
    <row r="62">
      <c r="A62" s="16" t="inlineStr">
        <is>
          <t>VULN-0057</t>
        </is>
      </c>
      <c r="B62" s="17" t="n"/>
      <c r="C62" s="17" t="n"/>
      <c r="D62" s="17" t="n"/>
      <c r="E62" s="17" t="n"/>
      <c r="F62" s="17" t="n"/>
      <c r="G62" s="17" t="n"/>
      <c r="H62" s="17" t="n"/>
      <c r="I62" s="17" t="n"/>
      <c r="J62" s="17">
        <f>IF(E62="Critical",IF(I62-F62&lt;=7,"✅ Met","❌ Missed"),IF(E62="High",IF(I62-F62&lt;=30,"✅ Met","❌ Missed"),"N/A"))</f>
        <v/>
      </c>
      <c r="K62" s="17" t="n"/>
    </row>
    <row r="63">
      <c r="A63" s="16" t="inlineStr">
        <is>
          <t>VULN-0058</t>
        </is>
      </c>
      <c r="B63" s="17" t="n"/>
      <c r="C63" s="17" t="n"/>
      <c r="D63" s="17" t="n"/>
      <c r="E63" s="17" t="n"/>
      <c r="F63" s="17" t="n"/>
      <c r="G63" s="17" t="n"/>
      <c r="H63" s="17" t="n"/>
      <c r="I63" s="17" t="n"/>
      <c r="J63" s="17">
        <f>IF(E63="Critical",IF(I63-F63&lt;=7,"✅ Met","❌ Missed"),IF(E63="High",IF(I63-F63&lt;=30,"✅ Met","❌ Missed"),"N/A"))</f>
        <v/>
      </c>
      <c r="K63" s="17" t="n"/>
    </row>
    <row r="64">
      <c r="A64" s="16" t="inlineStr">
        <is>
          <t>VULN-0059</t>
        </is>
      </c>
      <c r="B64" s="17" t="n"/>
      <c r="C64" s="17" t="n"/>
      <c r="D64" s="17" t="n"/>
      <c r="E64" s="17" t="n"/>
      <c r="F64" s="17" t="n"/>
      <c r="G64" s="17" t="n"/>
      <c r="H64" s="17" t="n"/>
      <c r="I64" s="17" t="n"/>
      <c r="J64" s="17">
        <f>IF(E64="Critical",IF(I64-F64&lt;=7,"✅ Met","❌ Missed"),IF(E64="High",IF(I64-F64&lt;=30,"✅ Met","❌ Missed"),"N/A"))</f>
        <v/>
      </c>
      <c r="K64" s="17" t="n"/>
    </row>
    <row r="65">
      <c r="A65" s="16" t="inlineStr">
        <is>
          <t>VULN-0060</t>
        </is>
      </c>
      <c r="B65" s="17" t="n"/>
      <c r="C65" s="17" t="n"/>
      <c r="D65" s="17" t="n"/>
      <c r="E65" s="17" t="n"/>
      <c r="F65" s="17" t="n"/>
      <c r="G65" s="17" t="n"/>
      <c r="H65" s="17" t="n"/>
      <c r="I65" s="17" t="n"/>
      <c r="J65" s="17">
        <f>IF(E65="Critical",IF(I65-F65&lt;=7,"✅ Met","❌ Missed"),IF(E65="High",IF(I65-F65&lt;=30,"✅ Met","❌ Missed"),"N/A"))</f>
        <v/>
      </c>
      <c r="K65" s="17" t="n"/>
    </row>
    <row r="66">
      <c r="A66" s="16" t="inlineStr">
        <is>
          <t>VULN-0061</t>
        </is>
      </c>
      <c r="B66" s="17" t="n"/>
      <c r="C66" s="17" t="n"/>
      <c r="D66" s="17" t="n"/>
      <c r="E66" s="17" t="n"/>
      <c r="F66" s="17" t="n"/>
      <c r="G66" s="17" t="n"/>
      <c r="H66" s="17" t="n"/>
      <c r="I66" s="17" t="n"/>
      <c r="J66" s="17">
        <f>IF(E66="Critical",IF(I66-F66&lt;=7,"✅ Met","❌ Missed"),IF(E66="High",IF(I66-F66&lt;=30,"✅ Met","❌ Missed"),"N/A"))</f>
        <v/>
      </c>
      <c r="K66" s="17" t="n"/>
    </row>
    <row r="67">
      <c r="A67" s="16" t="inlineStr">
        <is>
          <t>VULN-0062</t>
        </is>
      </c>
      <c r="B67" s="17" t="n"/>
      <c r="C67" s="17" t="n"/>
      <c r="D67" s="17" t="n"/>
      <c r="E67" s="17" t="n"/>
      <c r="F67" s="17" t="n"/>
      <c r="G67" s="17" t="n"/>
      <c r="H67" s="17" t="n"/>
      <c r="I67" s="17" t="n"/>
      <c r="J67" s="17">
        <f>IF(E67="Critical",IF(I67-F67&lt;=7,"✅ Met","❌ Missed"),IF(E67="High",IF(I67-F67&lt;=30,"✅ Met","❌ Missed"),"N/A"))</f>
        <v/>
      </c>
      <c r="K67" s="17" t="n"/>
    </row>
    <row r="68">
      <c r="A68" s="16" t="inlineStr">
        <is>
          <t>VULN-0063</t>
        </is>
      </c>
      <c r="B68" s="17" t="n"/>
      <c r="C68" s="17" t="n"/>
      <c r="D68" s="17" t="n"/>
      <c r="E68" s="17" t="n"/>
      <c r="F68" s="17" t="n"/>
      <c r="G68" s="17" t="n"/>
      <c r="H68" s="17" t="n"/>
      <c r="I68" s="17" t="n"/>
      <c r="J68" s="17">
        <f>IF(E68="Critical",IF(I68-F68&lt;=7,"✅ Met","❌ Missed"),IF(E68="High",IF(I68-F68&lt;=30,"✅ Met","❌ Missed"),"N/A"))</f>
        <v/>
      </c>
      <c r="K68" s="17" t="n"/>
    </row>
    <row r="69">
      <c r="A69" s="16" t="inlineStr">
        <is>
          <t>VULN-0064</t>
        </is>
      </c>
      <c r="B69" s="17" t="n"/>
      <c r="C69" s="17" t="n"/>
      <c r="D69" s="17" t="n"/>
      <c r="E69" s="17" t="n"/>
      <c r="F69" s="17" t="n"/>
      <c r="G69" s="17" t="n"/>
      <c r="H69" s="17" t="n"/>
      <c r="I69" s="17" t="n"/>
      <c r="J69" s="17">
        <f>IF(E69="Critical",IF(I69-F69&lt;=7,"✅ Met","❌ Missed"),IF(E69="High",IF(I69-F69&lt;=30,"✅ Met","❌ Missed"),"N/A"))</f>
        <v/>
      </c>
      <c r="K69" s="17" t="n"/>
    </row>
    <row r="70">
      <c r="A70" s="16" t="inlineStr">
        <is>
          <t>VULN-0065</t>
        </is>
      </c>
      <c r="B70" s="17" t="n"/>
      <c r="C70" s="17" t="n"/>
      <c r="D70" s="17" t="n"/>
      <c r="E70" s="17" t="n"/>
      <c r="F70" s="17" t="n"/>
      <c r="G70" s="17" t="n"/>
      <c r="H70" s="17" t="n"/>
      <c r="I70" s="17" t="n"/>
      <c r="J70" s="17">
        <f>IF(E70="Critical",IF(I70-F70&lt;=7,"✅ Met","❌ Missed"),IF(E70="High",IF(I70-F70&lt;=30,"✅ Met","❌ Missed"),"N/A"))</f>
        <v/>
      </c>
      <c r="K70" s="17" t="n"/>
    </row>
    <row r="71">
      <c r="A71" s="16" t="inlineStr">
        <is>
          <t>VULN-0066</t>
        </is>
      </c>
      <c r="B71" s="17" t="n"/>
      <c r="C71" s="17" t="n"/>
      <c r="D71" s="17" t="n"/>
      <c r="E71" s="17" t="n"/>
      <c r="F71" s="17" t="n"/>
      <c r="G71" s="17" t="n"/>
      <c r="H71" s="17" t="n"/>
      <c r="I71" s="17" t="n"/>
      <c r="J71" s="17">
        <f>IF(E71="Critical",IF(I71-F71&lt;=7,"✅ Met","❌ Missed"),IF(E71="High",IF(I71-F71&lt;=30,"✅ Met","❌ Missed"),"N/A"))</f>
        <v/>
      </c>
      <c r="K71" s="17" t="n"/>
    </row>
    <row r="72">
      <c r="A72" s="16" t="inlineStr">
        <is>
          <t>VULN-0067</t>
        </is>
      </c>
      <c r="B72" s="17" t="n"/>
      <c r="C72" s="17" t="n"/>
      <c r="D72" s="17" t="n"/>
      <c r="E72" s="17" t="n"/>
      <c r="F72" s="17" t="n"/>
      <c r="G72" s="17" t="n"/>
      <c r="H72" s="17" t="n"/>
      <c r="I72" s="17" t="n"/>
      <c r="J72" s="17">
        <f>IF(E72="Critical",IF(I72-F72&lt;=7,"✅ Met","❌ Missed"),IF(E72="High",IF(I72-F72&lt;=30,"✅ Met","❌ Missed"),"N/A"))</f>
        <v/>
      </c>
      <c r="K72" s="17" t="n"/>
    </row>
    <row r="73">
      <c r="A73" s="16" t="inlineStr">
        <is>
          <t>VULN-0068</t>
        </is>
      </c>
      <c r="B73" s="17" t="n"/>
      <c r="C73" s="17" t="n"/>
      <c r="D73" s="17" t="n"/>
      <c r="E73" s="17" t="n"/>
      <c r="F73" s="17" t="n"/>
      <c r="G73" s="17" t="n"/>
      <c r="H73" s="17" t="n"/>
      <c r="I73" s="17" t="n"/>
      <c r="J73" s="17">
        <f>IF(E73="Critical",IF(I73-F73&lt;=7,"✅ Met","❌ Missed"),IF(E73="High",IF(I73-F73&lt;=30,"✅ Met","❌ Missed"),"N/A"))</f>
        <v/>
      </c>
      <c r="K73" s="17" t="n"/>
    </row>
    <row r="74">
      <c r="A74" s="16" t="inlineStr">
        <is>
          <t>VULN-0069</t>
        </is>
      </c>
      <c r="B74" s="17" t="n"/>
      <c r="C74" s="17" t="n"/>
      <c r="D74" s="17" t="n"/>
      <c r="E74" s="17" t="n"/>
      <c r="F74" s="17" t="n"/>
      <c r="G74" s="17" t="n"/>
      <c r="H74" s="17" t="n"/>
      <c r="I74" s="17" t="n"/>
      <c r="J74" s="17">
        <f>IF(E74="Critical",IF(I74-F74&lt;=7,"✅ Met","❌ Missed"),IF(E74="High",IF(I74-F74&lt;=30,"✅ Met","❌ Missed"),"N/A"))</f>
        <v/>
      </c>
      <c r="K74" s="17" t="n"/>
    </row>
    <row r="75">
      <c r="A75" s="16" t="inlineStr">
        <is>
          <t>VULN-0070</t>
        </is>
      </c>
      <c r="B75" s="17" t="n"/>
      <c r="C75" s="17" t="n"/>
      <c r="D75" s="17" t="n"/>
      <c r="E75" s="17" t="n"/>
      <c r="F75" s="17" t="n"/>
      <c r="G75" s="17" t="n"/>
      <c r="H75" s="17" t="n"/>
      <c r="I75" s="17" t="n"/>
      <c r="J75" s="17">
        <f>IF(E75="Critical",IF(I75-F75&lt;=7,"✅ Met","❌ Missed"),IF(E75="High",IF(I75-F75&lt;=30,"✅ Met","❌ Missed"),"N/A"))</f>
        <v/>
      </c>
      <c r="K75" s="17" t="n"/>
    </row>
    <row r="76">
      <c r="A76" s="16" t="inlineStr">
        <is>
          <t>VULN-0071</t>
        </is>
      </c>
      <c r="B76" s="17" t="n"/>
      <c r="C76" s="17" t="n"/>
      <c r="D76" s="17" t="n"/>
      <c r="E76" s="17" t="n"/>
      <c r="F76" s="17" t="n"/>
      <c r="G76" s="17" t="n"/>
      <c r="H76" s="17" t="n"/>
      <c r="I76" s="17" t="n"/>
      <c r="J76" s="17">
        <f>IF(E76="Critical",IF(I76-F76&lt;=7,"✅ Met","❌ Missed"),IF(E76="High",IF(I76-F76&lt;=30,"✅ Met","❌ Missed"),"N/A"))</f>
        <v/>
      </c>
      <c r="K76" s="17" t="n"/>
    </row>
    <row r="77">
      <c r="A77" s="16" t="inlineStr">
        <is>
          <t>VULN-0072</t>
        </is>
      </c>
      <c r="B77" s="17" t="n"/>
      <c r="C77" s="17" t="n"/>
      <c r="D77" s="17" t="n"/>
      <c r="E77" s="17" t="n"/>
      <c r="F77" s="17" t="n"/>
      <c r="G77" s="17" t="n"/>
      <c r="H77" s="17" t="n"/>
      <c r="I77" s="17" t="n"/>
      <c r="J77" s="17">
        <f>IF(E77="Critical",IF(I77-F77&lt;=7,"✅ Met","❌ Missed"),IF(E77="High",IF(I77-F77&lt;=30,"✅ Met","❌ Missed"),"N/A"))</f>
        <v/>
      </c>
      <c r="K77" s="17" t="n"/>
    </row>
    <row r="78">
      <c r="A78" s="16" t="inlineStr">
        <is>
          <t>VULN-0073</t>
        </is>
      </c>
      <c r="B78" s="17" t="n"/>
      <c r="C78" s="17" t="n"/>
      <c r="D78" s="17" t="n"/>
      <c r="E78" s="17" t="n"/>
      <c r="F78" s="17" t="n"/>
      <c r="G78" s="17" t="n"/>
      <c r="H78" s="17" t="n"/>
      <c r="I78" s="17" t="n"/>
      <c r="J78" s="17">
        <f>IF(E78="Critical",IF(I78-F78&lt;=7,"✅ Met","❌ Missed"),IF(E78="High",IF(I78-F78&lt;=30,"✅ Met","❌ Missed"),"N/A"))</f>
        <v/>
      </c>
      <c r="K78" s="17" t="n"/>
    </row>
    <row r="79">
      <c r="A79" s="16" t="inlineStr">
        <is>
          <t>VULN-0074</t>
        </is>
      </c>
      <c r="B79" s="17" t="n"/>
      <c r="C79" s="17" t="n"/>
      <c r="D79" s="17" t="n"/>
      <c r="E79" s="17" t="n"/>
      <c r="F79" s="17" t="n"/>
      <c r="G79" s="17" t="n"/>
      <c r="H79" s="17" t="n"/>
      <c r="I79" s="17" t="n"/>
      <c r="J79" s="17">
        <f>IF(E79="Critical",IF(I79-F79&lt;=7,"✅ Met","❌ Missed"),IF(E79="High",IF(I79-F79&lt;=30,"✅ Met","❌ Missed"),"N/A"))</f>
        <v/>
      </c>
      <c r="K79" s="17" t="n"/>
    </row>
    <row r="80">
      <c r="A80" s="16" t="inlineStr">
        <is>
          <t>VULN-0075</t>
        </is>
      </c>
      <c r="B80" s="17" t="n"/>
      <c r="C80" s="17" t="n"/>
      <c r="D80" s="17" t="n"/>
      <c r="E80" s="17" t="n"/>
      <c r="F80" s="17" t="n"/>
      <c r="G80" s="17" t="n"/>
      <c r="H80" s="17" t="n"/>
      <c r="I80" s="17" t="n"/>
      <c r="J80" s="17">
        <f>IF(E80="Critical",IF(I80-F80&lt;=7,"✅ Met","❌ Missed"),IF(E80="High",IF(I80-F80&lt;=30,"✅ Met","❌ Missed"),"N/A"))</f>
        <v/>
      </c>
      <c r="K80" s="17" t="n"/>
    </row>
    <row r="81">
      <c r="A81" s="16" t="inlineStr">
        <is>
          <t>VULN-0076</t>
        </is>
      </c>
      <c r="B81" s="17" t="n"/>
      <c r="C81" s="17" t="n"/>
      <c r="D81" s="17" t="n"/>
      <c r="E81" s="17" t="n"/>
      <c r="F81" s="17" t="n"/>
      <c r="G81" s="17" t="n"/>
      <c r="H81" s="17" t="n"/>
      <c r="I81" s="17" t="n"/>
      <c r="J81" s="17">
        <f>IF(E81="Critical",IF(I81-F81&lt;=7,"✅ Met","❌ Missed"),IF(E81="High",IF(I81-F81&lt;=30,"✅ Met","❌ Missed"),"N/A"))</f>
        <v/>
      </c>
      <c r="K81" s="17" t="n"/>
    </row>
    <row r="82">
      <c r="A82" s="16" t="inlineStr">
        <is>
          <t>VULN-0077</t>
        </is>
      </c>
      <c r="B82" s="17" t="n"/>
      <c r="C82" s="17" t="n"/>
      <c r="D82" s="17" t="n"/>
      <c r="E82" s="17" t="n"/>
      <c r="F82" s="17" t="n"/>
      <c r="G82" s="17" t="n"/>
      <c r="H82" s="17" t="n"/>
      <c r="I82" s="17" t="n"/>
      <c r="J82" s="17">
        <f>IF(E82="Critical",IF(I82-F82&lt;=7,"✅ Met","❌ Missed"),IF(E82="High",IF(I82-F82&lt;=30,"✅ Met","❌ Missed"),"N/A"))</f>
        <v/>
      </c>
      <c r="K82" s="17" t="n"/>
    </row>
    <row r="83">
      <c r="A83" s="16" t="inlineStr">
        <is>
          <t>VULN-0078</t>
        </is>
      </c>
      <c r="B83" s="17" t="n"/>
      <c r="C83" s="17" t="n"/>
      <c r="D83" s="17" t="n"/>
      <c r="E83" s="17" t="n"/>
      <c r="F83" s="17" t="n"/>
      <c r="G83" s="17" t="n"/>
      <c r="H83" s="17" t="n"/>
      <c r="I83" s="17" t="n"/>
      <c r="J83" s="17">
        <f>IF(E83="Critical",IF(I83-F83&lt;=7,"✅ Met","❌ Missed"),IF(E83="High",IF(I83-F83&lt;=30,"✅ Met","❌ Missed"),"N/A"))</f>
        <v/>
      </c>
      <c r="K83" s="17" t="n"/>
    </row>
    <row r="84">
      <c r="A84" s="16" t="inlineStr">
        <is>
          <t>VULN-0079</t>
        </is>
      </c>
      <c r="B84" s="17" t="n"/>
      <c r="C84" s="17" t="n"/>
      <c r="D84" s="17" t="n"/>
      <c r="E84" s="17" t="n"/>
      <c r="F84" s="17" t="n"/>
      <c r="G84" s="17" t="n"/>
      <c r="H84" s="17" t="n"/>
      <c r="I84" s="17" t="n"/>
      <c r="J84" s="17">
        <f>IF(E84="Critical",IF(I84-F84&lt;=7,"✅ Met","❌ Missed"),IF(E84="High",IF(I84-F84&lt;=30,"✅ Met","❌ Missed"),"N/A"))</f>
        <v/>
      </c>
      <c r="K84" s="17" t="n"/>
    </row>
    <row r="85">
      <c r="A85" s="16" t="inlineStr">
        <is>
          <t>VULN-0080</t>
        </is>
      </c>
      <c r="B85" s="17" t="n"/>
      <c r="C85" s="17" t="n"/>
      <c r="D85" s="17" t="n"/>
      <c r="E85" s="17" t="n"/>
      <c r="F85" s="17" t="n"/>
      <c r="G85" s="17" t="n"/>
      <c r="H85" s="17" t="n"/>
      <c r="I85" s="17" t="n"/>
      <c r="J85" s="17">
        <f>IF(E85="Critical",IF(I85-F85&lt;=7,"✅ Met","❌ Missed"),IF(E85="High",IF(I85-F85&lt;=30,"✅ Met","❌ Missed"),"N/A"))</f>
        <v/>
      </c>
      <c r="K85" s="17" t="n"/>
    </row>
    <row r="86">
      <c r="A86" s="16" t="inlineStr">
        <is>
          <t>VULN-0081</t>
        </is>
      </c>
      <c r="B86" s="17" t="n"/>
      <c r="C86" s="17" t="n"/>
      <c r="D86" s="17" t="n"/>
      <c r="E86" s="17" t="n"/>
      <c r="F86" s="17" t="n"/>
      <c r="G86" s="17" t="n"/>
      <c r="H86" s="17" t="n"/>
      <c r="I86" s="17" t="n"/>
      <c r="J86" s="17">
        <f>IF(E86="Critical",IF(I86-F86&lt;=7,"✅ Met","❌ Missed"),IF(E86="High",IF(I86-F86&lt;=30,"✅ Met","❌ Missed"),"N/A"))</f>
        <v/>
      </c>
      <c r="K86" s="17" t="n"/>
    </row>
    <row r="87">
      <c r="A87" s="16" t="inlineStr">
        <is>
          <t>VULN-0082</t>
        </is>
      </c>
      <c r="B87" s="17" t="n"/>
      <c r="C87" s="17" t="n"/>
      <c r="D87" s="17" t="n"/>
      <c r="E87" s="17" t="n"/>
      <c r="F87" s="17" t="n"/>
      <c r="G87" s="17" t="n"/>
      <c r="H87" s="17" t="n"/>
      <c r="I87" s="17" t="n"/>
      <c r="J87" s="17">
        <f>IF(E87="Critical",IF(I87-F87&lt;=7,"✅ Met","❌ Missed"),IF(E87="High",IF(I87-F87&lt;=30,"✅ Met","❌ Missed"),"N/A"))</f>
        <v/>
      </c>
      <c r="K87" s="17" t="n"/>
    </row>
    <row r="88">
      <c r="A88" s="16" t="inlineStr">
        <is>
          <t>VULN-0083</t>
        </is>
      </c>
      <c r="B88" s="17" t="n"/>
      <c r="C88" s="17" t="n"/>
      <c r="D88" s="17" t="n"/>
      <c r="E88" s="17" t="n"/>
      <c r="F88" s="17" t="n"/>
      <c r="G88" s="17" t="n"/>
      <c r="H88" s="17" t="n"/>
      <c r="I88" s="17" t="n"/>
      <c r="J88" s="17">
        <f>IF(E88="Critical",IF(I88-F88&lt;=7,"✅ Met","❌ Missed"),IF(E88="High",IF(I88-F88&lt;=30,"✅ Met","❌ Missed"),"N/A"))</f>
        <v/>
      </c>
      <c r="K88" s="17" t="n"/>
    </row>
    <row r="89">
      <c r="A89" s="16" t="inlineStr">
        <is>
          <t>VULN-0084</t>
        </is>
      </c>
      <c r="B89" s="17" t="n"/>
      <c r="C89" s="17" t="n"/>
      <c r="D89" s="17" t="n"/>
      <c r="E89" s="17" t="n"/>
      <c r="F89" s="17" t="n"/>
      <c r="G89" s="17" t="n"/>
      <c r="H89" s="17" t="n"/>
      <c r="I89" s="17" t="n"/>
      <c r="J89" s="17">
        <f>IF(E89="Critical",IF(I89-F89&lt;=7,"✅ Met","❌ Missed"),IF(E89="High",IF(I89-F89&lt;=30,"✅ Met","❌ Missed"),"N/A"))</f>
        <v/>
      </c>
      <c r="K89" s="17" t="n"/>
    </row>
    <row r="90">
      <c r="A90" s="16" t="inlineStr">
        <is>
          <t>VULN-0085</t>
        </is>
      </c>
      <c r="B90" s="17" t="n"/>
      <c r="C90" s="17" t="n"/>
      <c r="D90" s="17" t="n"/>
      <c r="E90" s="17" t="n"/>
      <c r="F90" s="17" t="n"/>
      <c r="G90" s="17" t="n"/>
      <c r="H90" s="17" t="n"/>
      <c r="I90" s="17" t="n"/>
      <c r="J90" s="17">
        <f>IF(E90="Critical",IF(I90-F90&lt;=7,"✅ Met","❌ Missed"),IF(E90="High",IF(I90-F90&lt;=30,"✅ Met","❌ Missed"),"N/A"))</f>
        <v/>
      </c>
      <c r="K90" s="17" t="n"/>
    </row>
    <row r="91">
      <c r="A91" s="16" t="inlineStr">
        <is>
          <t>VULN-0086</t>
        </is>
      </c>
      <c r="B91" s="17" t="n"/>
      <c r="C91" s="17" t="n"/>
      <c r="D91" s="17" t="n"/>
      <c r="E91" s="17" t="n"/>
      <c r="F91" s="17" t="n"/>
      <c r="G91" s="17" t="n"/>
      <c r="H91" s="17" t="n"/>
      <c r="I91" s="17" t="n"/>
      <c r="J91" s="17">
        <f>IF(E91="Critical",IF(I91-F91&lt;=7,"✅ Met","❌ Missed"),IF(E91="High",IF(I91-F91&lt;=30,"✅ Met","❌ Missed"),"N/A"))</f>
        <v/>
      </c>
      <c r="K91" s="17" t="n"/>
    </row>
    <row r="92">
      <c r="A92" s="16" t="inlineStr">
        <is>
          <t>VULN-0087</t>
        </is>
      </c>
      <c r="B92" s="17" t="n"/>
      <c r="C92" s="17" t="n"/>
      <c r="D92" s="17" t="n"/>
      <c r="E92" s="17" t="n"/>
      <c r="F92" s="17" t="n"/>
      <c r="G92" s="17" t="n"/>
      <c r="H92" s="17" t="n"/>
      <c r="I92" s="17" t="n"/>
      <c r="J92" s="17">
        <f>IF(E92="Critical",IF(I92-F92&lt;=7,"✅ Met","❌ Missed"),IF(E92="High",IF(I92-F92&lt;=30,"✅ Met","❌ Missed"),"N/A"))</f>
        <v/>
      </c>
      <c r="K92" s="17" t="n"/>
    </row>
    <row r="93">
      <c r="A93" s="16" t="inlineStr">
        <is>
          <t>VULN-0088</t>
        </is>
      </c>
      <c r="B93" s="17" t="n"/>
      <c r="C93" s="17" t="n"/>
      <c r="D93" s="17" t="n"/>
      <c r="E93" s="17" t="n"/>
      <c r="F93" s="17" t="n"/>
      <c r="G93" s="17" t="n"/>
      <c r="H93" s="17" t="n"/>
      <c r="I93" s="17" t="n"/>
      <c r="J93" s="17">
        <f>IF(E93="Critical",IF(I93-F93&lt;=7,"✅ Met","❌ Missed"),IF(E93="High",IF(I93-F93&lt;=30,"✅ Met","❌ Missed"),"N/A"))</f>
        <v/>
      </c>
      <c r="K93" s="17" t="n"/>
    </row>
    <row r="94">
      <c r="A94" s="16" t="inlineStr">
        <is>
          <t>VULN-0089</t>
        </is>
      </c>
      <c r="B94" s="17" t="n"/>
      <c r="C94" s="17" t="n"/>
      <c r="D94" s="17" t="n"/>
      <c r="E94" s="17" t="n"/>
      <c r="F94" s="17" t="n"/>
      <c r="G94" s="17" t="n"/>
      <c r="H94" s="17" t="n"/>
      <c r="I94" s="17" t="n"/>
      <c r="J94" s="17">
        <f>IF(E94="Critical",IF(I94-F94&lt;=7,"✅ Met","❌ Missed"),IF(E94="High",IF(I94-F94&lt;=30,"✅ Met","❌ Missed"),"N/A"))</f>
        <v/>
      </c>
      <c r="K94" s="17" t="n"/>
    </row>
    <row r="95">
      <c r="A95" s="16" t="inlineStr">
        <is>
          <t>VULN-0090</t>
        </is>
      </c>
      <c r="B95" s="17" t="n"/>
      <c r="C95" s="17" t="n"/>
      <c r="D95" s="17" t="n"/>
      <c r="E95" s="17" t="n"/>
      <c r="F95" s="17" t="n"/>
      <c r="G95" s="17" t="n"/>
      <c r="H95" s="17" t="n"/>
      <c r="I95" s="17" t="n"/>
      <c r="J95" s="17">
        <f>IF(E95="Critical",IF(I95-F95&lt;=7,"✅ Met","❌ Missed"),IF(E95="High",IF(I95-F95&lt;=30,"✅ Met","❌ Missed"),"N/A"))</f>
        <v/>
      </c>
      <c r="K95" s="17" t="n"/>
    </row>
    <row r="96">
      <c r="A96" s="16" t="inlineStr">
        <is>
          <t>VULN-0091</t>
        </is>
      </c>
      <c r="B96" s="17" t="n"/>
      <c r="C96" s="17" t="n"/>
      <c r="D96" s="17" t="n"/>
      <c r="E96" s="17" t="n"/>
      <c r="F96" s="17" t="n"/>
      <c r="G96" s="17" t="n"/>
      <c r="H96" s="17" t="n"/>
      <c r="I96" s="17" t="n"/>
      <c r="J96" s="17">
        <f>IF(E96="Critical",IF(I96-F96&lt;=7,"✅ Met","❌ Missed"),IF(E96="High",IF(I96-F96&lt;=30,"✅ Met","❌ Missed"),"N/A"))</f>
        <v/>
      </c>
      <c r="K96" s="17" t="n"/>
    </row>
    <row r="97">
      <c r="A97" s="16" t="inlineStr">
        <is>
          <t>VULN-0092</t>
        </is>
      </c>
      <c r="B97" s="17" t="n"/>
      <c r="C97" s="17" t="n"/>
      <c r="D97" s="17" t="n"/>
      <c r="E97" s="17" t="n"/>
      <c r="F97" s="17" t="n"/>
      <c r="G97" s="17" t="n"/>
      <c r="H97" s="17" t="n"/>
      <c r="I97" s="17" t="n"/>
      <c r="J97" s="17">
        <f>IF(E97="Critical",IF(I97-F97&lt;=7,"✅ Met","❌ Missed"),IF(E97="High",IF(I97-F97&lt;=30,"✅ Met","❌ Missed"),"N/A"))</f>
        <v/>
      </c>
      <c r="K97" s="17" t="n"/>
    </row>
    <row r="98">
      <c r="A98" s="16" t="inlineStr">
        <is>
          <t>VULN-0093</t>
        </is>
      </c>
      <c r="B98" s="17" t="n"/>
      <c r="C98" s="17" t="n"/>
      <c r="D98" s="17" t="n"/>
      <c r="E98" s="17" t="n"/>
      <c r="F98" s="17" t="n"/>
      <c r="G98" s="17" t="n"/>
      <c r="H98" s="17" t="n"/>
      <c r="I98" s="17" t="n"/>
      <c r="J98" s="17">
        <f>IF(E98="Critical",IF(I98-F98&lt;=7,"✅ Met","❌ Missed"),IF(E98="High",IF(I98-F98&lt;=30,"✅ Met","❌ Missed"),"N/A"))</f>
        <v/>
      </c>
      <c r="K98" s="17" t="n"/>
    </row>
    <row r="99">
      <c r="A99" s="16" t="inlineStr">
        <is>
          <t>VULN-0094</t>
        </is>
      </c>
      <c r="B99" s="17" t="n"/>
      <c r="C99" s="17" t="n"/>
      <c r="D99" s="17" t="n"/>
      <c r="E99" s="17" t="n"/>
      <c r="F99" s="17" t="n"/>
      <c r="G99" s="17" t="n"/>
      <c r="H99" s="17" t="n"/>
      <c r="I99" s="17" t="n"/>
      <c r="J99" s="17">
        <f>IF(E99="Critical",IF(I99-F99&lt;=7,"✅ Met","❌ Missed"),IF(E99="High",IF(I99-F99&lt;=30,"✅ Met","❌ Missed"),"N/A"))</f>
        <v/>
      </c>
      <c r="K99" s="17" t="n"/>
    </row>
    <row r="100">
      <c r="A100" s="16" t="inlineStr">
        <is>
          <t>VULN-0095</t>
        </is>
      </c>
      <c r="B100" s="17" t="n"/>
      <c r="C100" s="17" t="n"/>
      <c r="D100" s="17" t="n"/>
      <c r="E100" s="17" t="n"/>
      <c r="F100" s="17" t="n"/>
      <c r="G100" s="17" t="n"/>
      <c r="H100" s="17" t="n"/>
      <c r="I100" s="17" t="n"/>
      <c r="J100" s="17">
        <f>IF(E100="Critical",IF(I100-F100&lt;=7,"✅ Met","❌ Missed"),IF(E100="High",IF(I100-F100&lt;=30,"✅ Met","❌ Missed"),"N/A"))</f>
        <v/>
      </c>
      <c r="K100" s="17" t="n"/>
    </row>
    <row r="101">
      <c r="A101" s="16" t="inlineStr">
        <is>
          <t>VULN-0096</t>
        </is>
      </c>
      <c r="B101" s="17" t="n"/>
      <c r="C101" s="17" t="n"/>
      <c r="D101" s="17" t="n"/>
      <c r="E101" s="17" t="n"/>
      <c r="F101" s="17" t="n"/>
      <c r="G101" s="17" t="n"/>
      <c r="H101" s="17" t="n"/>
      <c r="I101" s="17" t="n"/>
      <c r="J101" s="17">
        <f>IF(E101="Critical",IF(I101-F101&lt;=7,"✅ Met","❌ Missed"),IF(E101="High",IF(I101-F101&lt;=30,"✅ Met","❌ Missed"),"N/A"))</f>
        <v/>
      </c>
      <c r="K101" s="17" t="n"/>
    </row>
    <row r="102">
      <c r="A102" s="16" t="inlineStr">
        <is>
          <t>VULN-0097</t>
        </is>
      </c>
      <c r="B102" s="17" t="n"/>
      <c r="C102" s="17" t="n"/>
      <c r="D102" s="17" t="n"/>
      <c r="E102" s="17" t="n"/>
      <c r="F102" s="17" t="n"/>
      <c r="G102" s="17" t="n"/>
      <c r="H102" s="17" t="n"/>
      <c r="I102" s="17" t="n"/>
      <c r="J102" s="17">
        <f>IF(E102="Critical",IF(I102-F102&lt;=7,"✅ Met","❌ Missed"),IF(E102="High",IF(I102-F102&lt;=30,"✅ Met","❌ Missed"),"N/A"))</f>
        <v/>
      </c>
      <c r="K102" s="17" t="n"/>
    </row>
    <row r="103">
      <c r="A103" s="16" t="inlineStr">
        <is>
          <t>VULN-0098</t>
        </is>
      </c>
      <c r="B103" s="17" t="n"/>
      <c r="C103" s="17" t="n"/>
      <c r="D103" s="17" t="n"/>
      <c r="E103" s="17" t="n"/>
      <c r="F103" s="17" t="n"/>
      <c r="G103" s="17" t="n"/>
      <c r="H103" s="17" t="n"/>
      <c r="I103" s="17" t="n"/>
      <c r="J103" s="17">
        <f>IF(E103="Critical",IF(I103-F103&lt;=7,"✅ Met","❌ Missed"),IF(E103="High",IF(I103-F103&lt;=30,"✅ Met","❌ Missed"),"N/A"))</f>
        <v/>
      </c>
      <c r="K103" s="17" t="n"/>
    </row>
    <row r="104">
      <c r="A104" s="16" t="inlineStr">
        <is>
          <t>VULN-0099</t>
        </is>
      </c>
      <c r="B104" s="17" t="n"/>
      <c r="C104" s="17" t="n"/>
      <c r="D104" s="17" t="n"/>
      <c r="E104" s="17" t="n"/>
      <c r="F104" s="17" t="n"/>
      <c r="G104" s="17" t="n"/>
      <c r="H104" s="17" t="n"/>
      <c r="I104" s="17" t="n"/>
      <c r="J104" s="17">
        <f>IF(E104="Critical",IF(I104-F104&lt;=7,"✅ Met","❌ Missed"),IF(E104="High",IF(I104-F104&lt;=30,"✅ Met","❌ Missed"),"N/A"))</f>
        <v/>
      </c>
      <c r="K104" s="17" t="n"/>
    </row>
    <row r="105">
      <c r="A105" s="16" t="inlineStr">
        <is>
          <t>VULN-0100</t>
        </is>
      </c>
      <c r="B105" s="17" t="n"/>
      <c r="C105" s="17" t="n"/>
      <c r="D105" s="17" t="n"/>
      <c r="E105" s="17" t="n"/>
      <c r="F105" s="17" t="n"/>
      <c r="G105" s="17" t="n"/>
      <c r="H105" s="17" t="n"/>
      <c r="I105" s="17" t="n"/>
      <c r="J105" s="17">
        <f>IF(E105="Critical",IF(I105-F105&lt;=7,"✅ Met","❌ Missed"),IF(E105="High",IF(I105-F105&lt;=30,"✅ Met","❌ Missed"),"N/A"))</f>
        <v/>
      </c>
      <c r="K105" s="17" t="n"/>
    </row>
    <row r="107">
      <c r="A107" s="12" t="inlineStr">
        <is>
          <t>[CHART] VULNERABILITY SUMMARY</t>
        </is>
      </c>
    </row>
    <row r="108">
      <c r="A108" t="inlineStr">
        <is>
          <t>Total Vulnerabilities:</t>
        </is>
      </c>
      <c r="B108">
        <f>COUNTA(B6:B105)</f>
        <v/>
      </c>
    </row>
    <row r="109">
      <c r="A109" t="inlineStr">
        <is>
          <t>Critical:</t>
        </is>
      </c>
      <c r="B109">
        <f>COUNTIF(E6:E105,"Critical")</f>
        <v/>
      </c>
    </row>
    <row r="110">
      <c r="A110" t="inlineStr">
        <is>
          <t>✅ Patched:</t>
        </is>
      </c>
      <c r="B110">
        <f>COUNTIF(H6:H105,"✅ Patched")</f>
        <v/>
      </c>
    </row>
    <row r="111">
      <c r="A111" t="inlineStr">
        <is>
          <t>SLA Compliance Rate:</t>
        </is>
      </c>
      <c r="B111">
        <f>IF(COUNTA(J6:J105)&gt;0,COUNTIF(J6:J105,"✅ Met")/COUNTA(J6:J105)*100,0)&amp;"%"</f>
        <v/>
      </c>
    </row>
  </sheetData>
  <mergeCells count="3">
    <mergeCell ref="A2:K2"/>
    <mergeCell ref="A1:K1"/>
    <mergeCell ref="A107:C107"/>
  </mergeCells>
  <dataValidations count="3">
    <dataValidation sqref="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showDropDown="0" showInputMessage="0" showErrorMessage="0" allowBlank="0" type="list">
      <formula1>"Yes,No"</formula1>
    </dataValidation>
    <dataValidation sqref="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showDropDown="0" showInputMessage="0" showErrorMessage="0" allowBlank="0" type="list">
      <formula1>"Critical,High,Medium,Low,ℹ️ Informational"</formula1>
    </dataValidation>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 Patched,Pending,Vulnerable,N/A"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11"/>
  <sheetViews>
    <sheetView showGridLines="0" workbookViewId="0">
      <pane ySplit="4" topLeftCell="A5" activePane="bottomLeft" state="frozen"/>
      <selection pane="bottomLeft" activeCell="A1" sqref="A1"/>
    </sheetView>
  </sheetViews>
  <sheetFormatPr baseColWidth="8" defaultRowHeight="15"/>
  <cols>
    <col width="30" customWidth="1" min="1" max="1"/>
    <col width="20" customWidth="1" min="2" max="2"/>
    <col width="18" customWidth="1" min="3" max="3"/>
    <col width="18" customWidth="1" min="4" max="4"/>
    <col width="18" customWidth="1" min="5" max="5"/>
    <col width="18" customWidth="1" min="6" max="6"/>
    <col width="20" customWidth="1" min="7" max="7"/>
    <col width="15" customWidth="1" min="8" max="8"/>
    <col width="18" customWidth="1" min="9" max="9"/>
    <col width="30" customWidth="1" min="10" max="10"/>
  </cols>
  <sheetData>
    <row r="1" ht="35" customHeight="1">
      <c r="A1" s="11" t="inlineStr">
        <is>
          <t>SOFTWARE LICENSING COMPLIANCE</t>
        </is>
      </c>
    </row>
    <row r="2">
      <c r="A2" s="12" t="inlineStr">
        <is>
          <t>License counts vs. deployments, compliance status, cost management</t>
        </is>
      </c>
    </row>
    <row r="4">
      <c r="A4" s="13" t="inlineStr">
        <is>
          <t>Software Name</t>
        </is>
      </c>
      <c r="B4" s="13" t="inlineStr">
        <is>
          <t>Vendor</t>
        </is>
      </c>
      <c r="C4" s="13" t="inlineStr">
        <is>
          <t>License Type</t>
        </is>
      </c>
      <c r="D4" s="13" t="inlineStr">
        <is>
          <t>Licenses Purchased</t>
        </is>
      </c>
      <c r="E4" s="13" t="inlineStr">
        <is>
          <t>Licenses Deployed</t>
        </is>
      </c>
      <c r="F4" s="13" t="inlineStr">
        <is>
          <t>Licenses Available</t>
        </is>
      </c>
      <c r="G4" s="13" t="inlineStr">
        <is>
          <t>Compliance Status</t>
        </is>
      </c>
      <c r="H4" s="13" t="inlineStr">
        <is>
          <t>Annual Cost</t>
        </is>
      </c>
      <c r="I4" s="13" t="inlineStr">
        <is>
          <t>License Expiration</t>
        </is>
      </c>
      <c r="J4" s="13" t="inlineStr">
        <is>
          <t>Notes</t>
        </is>
      </c>
    </row>
    <row r="5">
      <c r="A5" s="15" t="inlineStr">
        <is>
          <t>Microsoft Office 365</t>
        </is>
      </c>
      <c r="B5" s="15" t="inlineStr">
        <is>
          <t>Microsoft</t>
        </is>
      </c>
      <c r="C5" s="15" t="inlineStr">
        <is>
          <t>Subscription</t>
        </is>
      </c>
      <c r="D5" s="15" t="n">
        <v>100</v>
      </c>
      <c r="E5" s="15" t="n">
        <v>95</v>
      </c>
      <c r="F5" s="15">
        <f>D5-E5</f>
        <v/>
      </c>
      <c r="G5" s="15">
        <f>IF(E5&lt;=D5,"✅ Compliant",IF(E5&gt;D5,"⚠ Over-Deployed","Unknown"))</f>
        <v/>
      </c>
      <c r="H5" s="15" t="n">
        <v>12500</v>
      </c>
      <c r="I5" s="15" t="inlineStr">
        <is>
          <t>01.01.2027</t>
        </is>
      </c>
      <c r="J5" s="15" t="inlineStr">
        <is>
          <t>Annual renewal</t>
        </is>
      </c>
    </row>
    <row r="6">
      <c r="A6" s="17" t="n"/>
      <c r="B6" s="17" t="n"/>
      <c r="C6" s="17" t="n"/>
      <c r="D6" s="17" t="n"/>
      <c r="E6" s="17" t="n"/>
      <c r="F6" s="17">
        <f>D6-E6</f>
        <v/>
      </c>
      <c r="G6" s="17">
        <f>IF(E6&lt;=D6,"✅ Compliant",IF(E6&gt;D6,"⚠ Over-Deployed","Unknown"))</f>
        <v/>
      </c>
      <c r="H6" s="17" t="n"/>
      <c r="I6" s="17" t="n"/>
      <c r="J6" s="17" t="n"/>
    </row>
    <row r="7">
      <c r="A7" s="17" t="n"/>
      <c r="B7" s="17" t="n"/>
      <c r="C7" s="17" t="n"/>
      <c r="D7" s="17" t="n"/>
      <c r="E7" s="17" t="n"/>
      <c r="F7" s="17">
        <f>D7-E7</f>
        <v/>
      </c>
      <c r="G7" s="17">
        <f>IF(E7&lt;=D7,"✅ Compliant",IF(E7&gt;D7,"⚠ Over-Deployed","Unknown"))</f>
        <v/>
      </c>
      <c r="H7" s="17" t="n"/>
      <c r="I7" s="17" t="n"/>
      <c r="J7" s="17" t="n"/>
    </row>
    <row r="8">
      <c r="A8" s="17" t="n"/>
      <c r="B8" s="17" t="n"/>
      <c r="C8" s="17" t="n"/>
      <c r="D8" s="17" t="n"/>
      <c r="E8" s="17" t="n"/>
      <c r="F8" s="17">
        <f>D8-E8</f>
        <v/>
      </c>
      <c r="G8" s="17">
        <f>IF(E8&lt;=D8,"✅ Compliant",IF(E8&gt;D8,"⚠ Over-Deployed","Unknown"))</f>
        <v/>
      </c>
      <c r="H8" s="17" t="n"/>
      <c r="I8" s="17" t="n"/>
      <c r="J8" s="17" t="n"/>
    </row>
    <row r="9">
      <c r="A9" s="17" t="n"/>
      <c r="B9" s="17" t="n"/>
      <c r="C9" s="17" t="n"/>
      <c r="D9" s="17" t="n"/>
      <c r="E9" s="17" t="n"/>
      <c r="F9" s="17">
        <f>D9-E9</f>
        <v/>
      </c>
      <c r="G9" s="17">
        <f>IF(E9&lt;=D9,"✅ Compliant",IF(E9&gt;D9,"⚠ Over-Deployed","Unknown"))</f>
        <v/>
      </c>
      <c r="H9" s="17" t="n"/>
      <c r="I9" s="17" t="n"/>
      <c r="J9" s="17" t="n"/>
    </row>
    <row r="10">
      <c r="A10" s="17" t="n"/>
      <c r="B10" s="17" t="n"/>
      <c r="C10" s="17" t="n"/>
      <c r="D10" s="17" t="n"/>
      <c r="E10" s="17" t="n"/>
      <c r="F10" s="17">
        <f>D10-E10</f>
        <v/>
      </c>
      <c r="G10" s="17">
        <f>IF(E10&lt;=D10,"✅ Compliant",IF(E10&gt;D10,"⚠ Over-Deployed","Unknown"))</f>
        <v/>
      </c>
      <c r="H10" s="17" t="n"/>
      <c r="I10" s="17" t="n"/>
      <c r="J10" s="17" t="n"/>
    </row>
    <row r="11">
      <c r="A11" s="17" t="n"/>
      <c r="B11" s="17" t="n"/>
      <c r="C11" s="17" t="n"/>
      <c r="D11" s="17" t="n"/>
      <c r="E11" s="17" t="n"/>
      <c r="F11" s="17">
        <f>D11-E11</f>
        <v/>
      </c>
      <c r="G11" s="17">
        <f>IF(E11&lt;=D11,"✅ Compliant",IF(E11&gt;D11,"⚠ Over-Deployed","Unknown"))</f>
        <v/>
      </c>
      <c r="H11" s="17" t="n"/>
      <c r="I11" s="17" t="n"/>
      <c r="J11" s="17" t="n"/>
    </row>
    <row r="12">
      <c r="A12" s="17" t="n"/>
      <c r="B12" s="17" t="n"/>
      <c r="C12" s="17" t="n"/>
      <c r="D12" s="17" t="n"/>
      <c r="E12" s="17" t="n"/>
      <c r="F12" s="17">
        <f>D12-E12</f>
        <v/>
      </c>
      <c r="G12" s="17">
        <f>IF(E12&lt;=D12,"✅ Compliant",IF(E12&gt;D12,"⚠ Over-Deployed","Unknown"))</f>
        <v/>
      </c>
      <c r="H12" s="17" t="n"/>
      <c r="I12" s="17" t="n"/>
      <c r="J12" s="17" t="n"/>
    </row>
    <row r="13">
      <c r="A13" s="17" t="n"/>
      <c r="B13" s="17" t="n"/>
      <c r="C13" s="17" t="n"/>
      <c r="D13" s="17" t="n"/>
      <c r="E13" s="17" t="n"/>
      <c r="F13" s="17">
        <f>D13-E13</f>
        <v/>
      </c>
      <c r="G13" s="17">
        <f>IF(E13&lt;=D13,"✅ Compliant",IF(E13&gt;D13,"⚠ Over-Deployed","Unknown"))</f>
        <v/>
      </c>
      <c r="H13" s="17" t="n"/>
      <c r="I13" s="17" t="n"/>
      <c r="J13" s="17" t="n"/>
    </row>
    <row r="14">
      <c r="A14" s="17" t="n"/>
      <c r="B14" s="17" t="n"/>
      <c r="C14" s="17" t="n"/>
      <c r="D14" s="17" t="n"/>
      <c r="E14" s="17" t="n"/>
      <c r="F14" s="17">
        <f>D14-E14</f>
        <v/>
      </c>
      <c r="G14" s="17">
        <f>IF(E14&lt;=D14,"✅ Compliant",IF(E14&gt;D14,"⚠ Over-Deployed","Unknown"))</f>
        <v/>
      </c>
      <c r="H14" s="17" t="n"/>
      <c r="I14" s="17" t="n"/>
      <c r="J14" s="17" t="n"/>
    </row>
    <row r="15">
      <c r="A15" s="17" t="n"/>
      <c r="B15" s="17" t="n"/>
      <c r="C15" s="17" t="n"/>
      <c r="D15" s="17" t="n"/>
      <c r="E15" s="17" t="n"/>
      <c r="F15" s="17">
        <f>D15-E15</f>
        <v/>
      </c>
      <c r="G15" s="17">
        <f>IF(E15&lt;=D15,"✅ Compliant",IF(E15&gt;D15,"⚠ Over-Deployed","Unknown"))</f>
        <v/>
      </c>
      <c r="H15" s="17" t="n"/>
      <c r="I15" s="17" t="n"/>
      <c r="J15" s="17" t="n"/>
    </row>
    <row r="16">
      <c r="A16" s="17" t="n"/>
      <c r="B16" s="17" t="n"/>
      <c r="C16" s="17" t="n"/>
      <c r="D16" s="17" t="n"/>
      <c r="E16" s="17" t="n"/>
      <c r="F16" s="17">
        <f>D16-E16</f>
        <v/>
      </c>
      <c r="G16" s="17">
        <f>IF(E16&lt;=D16,"✅ Compliant",IF(E16&gt;D16,"⚠ Over-Deployed","Unknown"))</f>
        <v/>
      </c>
      <c r="H16" s="17" t="n"/>
      <c r="I16" s="17" t="n"/>
      <c r="J16" s="17" t="n"/>
    </row>
    <row r="17">
      <c r="A17" s="17" t="n"/>
      <c r="B17" s="17" t="n"/>
      <c r="C17" s="17" t="n"/>
      <c r="D17" s="17" t="n"/>
      <c r="E17" s="17" t="n"/>
      <c r="F17" s="17">
        <f>D17-E17</f>
        <v/>
      </c>
      <c r="G17" s="17">
        <f>IF(E17&lt;=D17,"✅ Compliant",IF(E17&gt;D17,"⚠ Over-Deployed","Unknown"))</f>
        <v/>
      </c>
      <c r="H17" s="17" t="n"/>
      <c r="I17" s="17" t="n"/>
      <c r="J17" s="17" t="n"/>
    </row>
    <row r="18">
      <c r="A18" s="17" t="n"/>
      <c r="B18" s="17" t="n"/>
      <c r="C18" s="17" t="n"/>
      <c r="D18" s="17" t="n"/>
      <c r="E18" s="17" t="n"/>
      <c r="F18" s="17">
        <f>D18-E18</f>
        <v/>
      </c>
      <c r="G18" s="17">
        <f>IF(E18&lt;=D18,"✅ Compliant",IF(E18&gt;D18,"⚠ Over-Deployed","Unknown"))</f>
        <v/>
      </c>
      <c r="H18" s="17" t="n"/>
      <c r="I18" s="17" t="n"/>
      <c r="J18" s="17" t="n"/>
    </row>
    <row r="19">
      <c r="A19" s="17" t="n"/>
      <c r="B19" s="17" t="n"/>
      <c r="C19" s="17" t="n"/>
      <c r="D19" s="17" t="n"/>
      <c r="E19" s="17" t="n"/>
      <c r="F19" s="17">
        <f>D19-E19</f>
        <v/>
      </c>
      <c r="G19" s="17">
        <f>IF(E19&lt;=D19,"✅ Compliant",IF(E19&gt;D19,"⚠ Over-Deployed","Unknown"))</f>
        <v/>
      </c>
      <c r="H19" s="17" t="n"/>
      <c r="I19" s="17" t="n"/>
      <c r="J19" s="17" t="n"/>
    </row>
    <row r="20">
      <c r="A20" s="17" t="n"/>
      <c r="B20" s="17" t="n"/>
      <c r="C20" s="17" t="n"/>
      <c r="D20" s="17" t="n"/>
      <c r="E20" s="17" t="n"/>
      <c r="F20" s="17">
        <f>D20-E20</f>
        <v/>
      </c>
      <c r="G20" s="17">
        <f>IF(E20&lt;=D20,"✅ Compliant",IF(E20&gt;D20,"⚠ Over-Deployed","Unknown"))</f>
        <v/>
      </c>
      <c r="H20" s="17" t="n"/>
      <c r="I20" s="17" t="n"/>
      <c r="J20" s="17" t="n"/>
    </row>
    <row r="21">
      <c r="A21" s="17" t="n"/>
      <c r="B21" s="17" t="n"/>
      <c r="C21" s="17" t="n"/>
      <c r="D21" s="17" t="n"/>
      <c r="E21" s="17" t="n"/>
      <c r="F21" s="17">
        <f>D21-E21</f>
        <v/>
      </c>
      <c r="G21" s="17">
        <f>IF(E21&lt;=D21,"✅ Compliant",IF(E21&gt;D21,"⚠ Over-Deployed","Unknown"))</f>
        <v/>
      </c>
      <c r="H21" s="17" t="n"/>
      <c r="I21" s="17" t="n"/>
      <c r="J21" s="17" t="n"/>
    </row>
    <row r="22">
      <c r="A22" s="17" t="n"/>
      <c r="B22" s="17" t="n"/>
      <c r="C22" s="17" t="n"/>
      <c r="D22" s="17" t="n"/>
      <c r="E22" s="17" t="n"/>
      <c r="F22" s="17">
        <f>D22-E22</f>
        <v/>
      </c>
      <c r="G22" s="17">
        <f>IF(E22&lt;=D22,"✅ Compliant",IF(E22&gt;D22,"⚠ Over-Deployed","Unknown"))</f>
        <v/>
      </c>
      <c r="H22" s="17" t="n"/>
      <c r="I22" s="17" t="n"/>
      <c r="J22" s="17" t="n"/>
    </row>
    <row r="23">
      <c r="A23" s="17" t="n"/>
      <c r="B23" s="17" t="n"/>
      <c r="C23" s="17" t="n"/>
      <c r="D23" s="17" t="n"/>
      <c r="E23" s="17" t="n"/>
      <c r="F23" s="17">
        <f>D23-E23</f>
        <v/>
      </c>
      <c r="G23" s="17">
        <f>IF(E23&lt;=D23,"✅ Compliant",IF(E23&gt;D23,"⚠ Over-Deployed","Unknown"))</f>
        <v/>
      </c>
      <c r="H23" s="17" t="n"/>
      <c r="I23" s="17" t="n"/>
      <c r="J23" s="17" t="n"/>
    </row>
    <row r="24">
      <c r="A24" s="17" t="n"/>
      <c r="B24" s="17" t="n"/>
      <c r="C24" s="17" t="n"/>
      <c r="D24" s="17" t="n"/>
      <c r="E24" s="17" t="n"/>
      <c r="F24" s="17">
        <f>D24-E24</f>
        <v/>
      </c>
      <c r="G24" s="17">
        <f>IF(E24&lt;=D24,"✅ Compliant",IF(E24&gt;D24,"⚠ Over-Deployed","Unknown"))</f>
        <v/>
      </c>
      <c r="H24" s="17" t="n"/>
      <c r="I24" s="17" t="n"/>
      <c r="J24" s="17" t="n"/>
    </row>
    <row r="25">
      <c r="A25" s="17" t="n"/>
      <c r="B25" s="17" t="n"/>
      <c r="C25" s="17" t="n"/>
      <c r="D25" s="17" t="n"/>
      <c r="E25" s="17" t="n"/>
      <c r="F25" s="17">
        <f>D25-E25</f>
        <v/>
      </c>
      <c r="G25" s="17">
        <f>IF(E25&lt;=D25,"✅ Compliant",IF(E25&gt;D25,"⚠ Over-Deployed","Unknown"))</f>
        <v/>
      </c>
      <c r="H25" s="17" t="n"/>
      <c r="I25" s="17" t="n"/>
      <c r="J25" s="17" t="n"/>
    </row>
    <row r="26">
      <c r="A26" s="17" t="n"/>
      <c r="B26" s="17" t="n"/>
      <c r="C26" s="17" t="n"/>
      <c r="D26" s="17" t="n"/>
      <c r="E26" s="17" t="n"/>
      <c r="F26" s="17">
        <f>D26-E26</f>
        <v/>
      </c>
      <c r="G26" s="17">
        <f>IF(E26&lt;=D26,"✅ Compliant",IF(E26&gt;D26,"⚠ Over-Deployed","Unknown"))</f>
        <v/>
      </c>
      <c r="H26" s="17" t="n"/>
      <c r="I26" s="17" t="n"/>
      <c r="J26" s="17" t="n"/>
    </row>
    <row r="27">
      <c r="A27" s="17" t="n"/>
      <c r="B27" s="17" t="n"/>
      <c r="C27" s="17" t="n"/>
      <c r="D27" s="17" t="n"/>
      <c r="E27" s="17" t="n"/>
      <c r="F27" s="17">
        <f>D27-E27</f>
        <v/>
      </c>
      <c r="G27" s="17">
        <f>IF(E27&lt;=D27,"✅ Compliant",IF(E27&gt;D27,"⚠ Over-Deployed","Unknown"))</f>
        <v/>
      </c>
      <c r="H27" s="17" t="n"/>
      <c r="I27" s="17" t="n"/>
      <c r="J27" s="17" t="n"/>
    </row>
    <row r="28">
      <c r="A28" s="17" t="n"/>
      <c r="B28" s="17" t="n"/>
      <c r="C28" s="17" t="n"/>
      <c r="D28" s="17" t="n"/>
      <c r="E28" s="17" t="n"/>
      <c r="F28" s="17">
        <f>D28-E28</f>
        <v/>
      </c>
      <c r="G28" s="17">
        <f>IF(E28&lt;=D28,"✅ Compliant",IF(E28&gt;D28,"⚠ Over-Deployed","Unknown"))</f>
        <v/>
      </c>
      <c r="H28" s="17" t="n"/>
      <c r="I28" s="17" t="n"/>
      <c r="J28" s="17" t="n"/>
    </row>
    <row r="29">
      <c r="A29" s="17" t="n"/>
      <c r="B29" s="17" t="n"/>
      <c r="C29" s="17" t="n"/>
      <c r="D29" s="17" t="n"/>
      <c r="E29" s="17" t="n"/>
      <c r="F29" s="17">
        <f>D29-E29</f>
        <v/>
      </c>
      <c r="G29" s="17">
        <f>IF(E29&lt;=D29,"✅ Compliant",IF(E29&gt;D29,"⚠ Over-Deployed","Unknown"))</f>
        <v/>
      </c>
      <c r="H29" s="17" t="n"/>
      <c r="I29" s="17" t="n"/>
      <c r="J29" s="17" t="n"/>
    </row>
    <row r="30">
      <c r="A30" s="17" t="n"/>
      <c r="B30" s="17" t="n"/>
      <c r="C30" s="17" t="n"/>
      <c r="D30" s="17" t="n"/>
      <c r="E30" s="17" t="n"/>
      <c r="F30" s="17">
        <f>D30-E30</f>
        <v/>
      </c>
      <c r="G30" s="17">
        <f>IF(E30&lt;=D30,"✅ Compliant",IF(E30&gt;D30,"⚠ Over-Deployed","Unknown"))</f>
        <v/>
      </c>
      <c r="H30" s="17" t="n"/>
      <c r="I30" s="17" t="n"/>
      <c r="J30" s="17" t="n"/>
    </row>
    <row r="31">
      <c r="A31" s="17" t="n"/>
      <c r="B31" s="17" t="n"/>
      <c r="C31" s="17" t="n"/>
      <c r="D31" s="17" t="n"/>
      <c r="E31" s="17" t="n"/>
      <c r="F31" s="17">
        <f>D31-E31</f>
        <v/>
      </c>
      <c r="G31" s="17">
        <f>IF(E31&lt;=D31,"✅ Compliant",IF(E31&gt;D31,"⚠ Over-Deployed","Unknown"))</f>
        <v/>
      </c>
      <c r="H31" s="17" t="n"/>
      <c r="I31" s="17" t="n"/>
      <c r="J31" s="17" t="n"/>
    </row>
    <row r="32">
      <c r="A32" s="17" t="n"/>
      <c r="B32" s="17" t="n"/>
      <c r="C32" s="17" t="n"/>
      <c r="D32" s="17" t="n"/>
      <c r="E32" s="17" t="n"/>
      <c r="F32" s="17">
        <f>D32-E32</f>
        <v/>
      </c>
      <c r="G32" s="17">
        <f>IF(E32&lt;=D32,"✅ Compliant",IF(E32&gt;D32,"⚠ Over-Deployed","Unknown"))</f>
        <v/>
      </c>
      <c r="H32" s="17" t="n"/>
      <c r="I32" s="17" t="n"/>
      <c r="J32" s="17" t="n"/>
    </row>
    <row r="33">
      <c r="A33" s="17" t="n"/>
      <c r="B33" s="17" t="n"/>
      <c r="C33" s="17" t="n"/>
      <c r="D33" s="17" t="n"/>
      <c r="E33" s="17" t="n"/>
      <c r="F33" s="17">
        <f>D33-E33</f>
        <v/>
      </c>
      <c r="G33" s="17">
        <f>IF(E33&lt;=D33,"✅ Compliant",IF(E33&gt;D33,"⚠ Over-Deployed","Unknown"))</f>
        <v/>
      </c>
      <c r="H33" s="17" t="n"/>
      <c r="I33" s="17" t="n"/>
      <c r="J33" s="17" t="n"/>
    </row>
    <row r="34">
      <c r="A34" s="17" t="n"/>
      <c r="B34" s="17" t="n"/>
      <c r="C34" s="17" t="n"/>
      <c r="D34" s="17" t="n"/>
      <c r="E34" s="17" t="n"/>
      <c r="F34" s="17">
        <f>D34-E34</f>
        <v/>
      </c>
      <c r="G34" s="17">
        <f>IF(E34&lt;=D34,"✅ Compliant",IF(E34&gt;D34,"⚠ Over-Deployed","Unknown"))</f>
        <v/>
      </c>
      <c r="H34" s="17" t="n"/>
      <c r="I34" s="17" t="n"/>
      <c r="J34" s="17" t="n"/>
    </row>
    <row r="35">
      <c r="A35" s="17" t="n"/>
      <c r="B35" s="17" t="n"/>
      <c r="C35" s="17" t="n"/>
      <c r="D35" s="17" t="n"/>
      <c r="E35" s="17" t="n"/>
      <c r="F35" s="17">
        <f>D35-E35</f>
        <v/>
      </c>
      <c r="G35" s="17">
        <f>IF(E35&lt;=D35,"✅ Compliant",IF(E35&gt;D35,"⚠ Over-Deployed","Unknown"))</f>
        <v/>
      </c>
      <c r="H35" s="17" t="n"/>
      <c r="I35" s="17" t="n"/>
      <c r="J35" s="17" t="n"/>
    </row>
    <row r="36">
      <c r="A36" s="17" t="n"/>
      <c r="B36" s="17" t="n"/>
      <c r="C36" s="17" t="n"/>
      <c r="D36" s="17" t="n"/>
      <c r="E36" s="17" t="n"/>
      <c r="F36" s="17">
        <f>D36-E36</f>
        <v/>
      </c>
      <c r="G36" s="17">
        <f>IF(E36&lt;=D36,"✅ Compliant",IF(E36&gt;D36,"⚠ Over-Deployed","Unknown"))</f>
        <v/>
      </c>
      <c r="H36" s="17" t="n"/>
      <c r="I36" s="17" t="n"/>
      <c r="J36" s="17" t="n"/>
    </row>
    <row r="37">
      <c r="A37" s="17" t="n"/>
      <c r="B37" s="17" t="n"/>
      <c r="C37" s="17" t="n"/>
      <c r="D37" s="17" t="n"/>
      <c r="E37" s="17" t="n"/>
      <c r="F37" s="17">
        <f>D37-E37</f>
        <v/>
      </c>
      <c r="G37" s="17">
        <f>IF(E37&lt;=D37,"✅ Compliant",IF(E37&gt;D37,"⚠ Over-Deployed","Unknown"))</f>
        <v/>
      </c>
      <c r="H37" s="17" t="n"/>
      <c r="I37" s="17" t="n"/>
      <c r="J37" s="17" t="n"/>
    </row>
    <row r="38">
      <c r="A38" s="17" t="n"/>
      <c r="B38" s="17" t="n"/>
      <c r="C38" s="17" t="n"/>
      <c r="D38" s="17" t="n"/>
      <c r="E38" s="17" t="n"/>
      <c r="F38" s="17">
        <f>D38-E38</f>
        <v/>
      </c>
      <c r="G38" s="17">
        <f>IF(E38&lt;=D38,"✅ Compliant",IF(E38&gt;D38,"⚠ Over-Deployed","Unknown"))</f>
        <v/>
      </c>
      <c r="H38" s="17" t="n"/>
      <c r="I38" s="17" t="n"/>
      <c r="J38" s="17" t="n"/>
    </row>
    <row r="39">
      <c r="A39" s="17" t="n"/>
      <c r="B39" s="17" t="n"/>
      <c r="C39" s="17" t="n"/>
      <c r="D39" s="17" t="n"/>
      <c r="E39" s="17" t="n"/>
      <c r="F39" s="17">
        <f>D39-E39</f>
        <v/>
      </c>
      <c r="G39" s="17">
        <f>IF(E39&lt;=D39,"✅ Compliant",IF(E39&gt;D39,"⚠ Over-Deployed","Unknown"))</f>
        <v/>
      </c>
      <c r="H39" s="17" t="n"/>
      <c r="I39" s="17" t="n"/>
      <c r="J39" s="17" t="n"/>
    </row>
    <row r="40">
      <c r="A40" s="17" t="n"/>
      <c r="B40" s="17" t="n"/>
      <c r="C40" s="17" t="n"/>
      <c r="D40" s="17" t="n"/>
      <c r="E40" s="17" t="n"/>
      <c r="F40" s="17">
        <f>D40-E40</f>
        <v/>
      </c>
      <c r="G40" s="17">
        <f>IF(E40&lt;=D40,"✅ Compliant",IF(E40&gt;D40,"⚠ Over-Deployed","Unknown"))</f>
        <v/>
      </c>
      <c r="H40" s="17" t="n"/>
      <c r="I40" s="17" t="n"/>
      <c r="J40" s="17" t="n"/>
    </row>
    <row r="41">
      <c r="A41" s="17" t="n"/>
      <c r="B41" s="17" t="n"/>
      <c r="C41" s="17" t="n"/>
      <c r="D41" s="17" t="n"/>
      <c r="E41" s="17" t="n"/>
      <c r="F41" s="17">
        <f>D41-E41</f>
        <v/>
      </c>
      <c r="G41" s="17">
        <f>IF(E41&lt;=D41,"✅ Compliant",IF(E41&gt;D41,"⚠ Over-Deployed","Unknown"))</f>
        <v/>
      </c>
      <c r="H41" s="17" t="n"/>
      <c r="I41" s="17" t="n"/>
      <c r="J41" s="17" t="n"/>
    </row>
    <row r="42">
      <c r="A42" s="17" t="n"/>
      <c r="B42" s="17" t="n"/>
      <c r="C42" s="17" t="n"/>
      <c r="D42" s="17" t="n"/>
      <c r="E42" s="17" t="n"/>
      <c r="F42" s="17">
        <f>D42-E42</f>
        <v/>
      </c>
      <c r="G42" s="17">
        <f>IF(E42&lt;=D42,"✅ Compliant",IF(E42&gt;D42,"⚠ Over-Deployed","Unknown"))</f>
        <v/>
      </c>
      <c r="H42" s="17" t="n"/>
      <c r="I42" s="17" t="n"/>
      <c r="J42" s="17" t="n"/>
    </row>
    <row r="43">
      <c r="A43" s="17" t="n"/>
      <c r="B43" s="17" t="n"/>
      <c r="C43" s="17" t="n"/>
      <c r="D43" s="17" t="n"/>
      <c r="E43" s="17" t="n"/>
      <c r="F43" s="17">
        <f>D43-E43</f>
        <v/>
      </c>
      <c r="G43" s="17">
        <f>IF(E43&lt;=D43,"✅ Compliant",IF(E43&gt;D43,"⚠ Over-Deployed","Unknown"))</f>
        <v/>
      </c>
      <c r="H43" s="17" t="n"/>
      <c r="I43" s="17" t="n"/>
      <c r="J43" s="17" t="n"/>
    </row>
    <row r="44">
      <c r="A44" s="17" t="n"/>
      <c r="B44" s="17" t="n"/>
      <c r="C44" s="17" t="n"/>
      <c r="D44" s="17" t="n"/>
      <c r="E44" s="17" t="n"/>
      <c r="F44" s="17">
        <f>D44-E44</f>
        <v/>
      </c>
      <c r="G44" s="17">
        <f>IF(E44&lt;=D44,"✅ Compliant",IF(E44&gt;D44,"⚠ Over-Deployed","Unknown"))</f>
        <v/>
      </c>
      <c r="H44" s="17" t="n"/>
      <c r="I44" s="17" t="n"/>
      <c r="J44" s="17" t="n"/>
    </row>
    <row r="45">
      <c r="A45" s="17" t="n"/>
      <c r="B45" s="17" t="n"/>
      <c r="C45" s="17" t="n"/>
      <c r="D45" s="17" t="n"/>
      <c r="E45" s="17" t="n"/>
      <c r="F45" s="17">
        <f>D45-E45</f>
        <v/>
      </c>
      <c r="G45" s="17">
        <f>IF(E45&lt;=D45,"✅ Compliant",IF(E45&gt;D45,"⚠ Over-Deployed","Unknown"))</f>
        <v/>
      </c>
      <c r="H45" s="17" t="n"/>
      <c r="I45" s="17" t="n"/>
      <c r="J45" s="17" t="n"/>
    </row>
    <row r="46">
      <c r="A46" s="17" t="n"/>
      <c r="B46" s="17" t="n"/>
      <c r="C46" s="17" t="n"/>
      <c r="D46" s="17" t="n"/>
      <c r="E46" s="17" t="n"/>
      <c r="F46" s="17">
        <f>D46-E46</f>
        <v/>
      </c>
      <c r="G46" s="17">
        <f>IF(E46&lt;=D46,"✅ Compliant",IF(E46&gt;D46,"⚠ Over-Deployed","Unknown"))</f>
        <v/>
      </c>
      <c r="H46" s="17" t="n"/>
      <c r="I46" s="17" t="n"/>
      <c r="J46" s="17" t="n"/>
    </row>
    <row r="47">
      <c r="A47" s="17" t="n"/>
      <c r="B47" s="17" t="n"/>
      <c r="C47" s="17" t="n"/>
      <c r="D47" s="17" t="n"/>
      <c r="E47" s="17" t="n"/>
      <c r="F47" s="17">
        <f>D47-E47</f>
        <v/>
      </c>
      <c r="G47" s="17">
        <f>IF(E47&lt;=D47,"✅ Compliant",IF(E47&gt;D47,"⚠ Over-Deployed","Unknown"))</f>
        <v/>
      </c>
      <c r="H47" s="17" t="n"/>
      <c r="I47" s="17" t="n"/>
      <c r="J47" s="17" t="n"/>
    </row>
    <row r="48">
      <c r="A48" s="17" t="n"/>
      <c r="B48" s="17" t="n"/>
      <c r="C48" s="17" t="n"/>
      <c r="D48" s="17" t="n"/>
      <c r="E48" s="17" t="n"/>
      <c r="F48" s="17">
        <f>D48-E48</f>
        <v/>
      </c>
      <c r="G48" s="17">
        <f>IF(E48&lt;=D48,"✅ Compliant",IF(E48&gt;D48,"⚠ Over-Deployed","Unknown"))</f>
        <v/>
      </c>
      <c r="H48" s="17" t="n"/>
      <c r="I48" s="17" t="n"/>
      <c r="J48" s="17" t="n"/>
    </row>
    <row r="49">
      <c r="A49" s="17" t="n"/>
      <c r="B49" s="17" t="n"/>
      <c r="C49" s="17" t="n"/>
      <c r="D49" s="17" t="n"/>
      <c r="E49" s="17" t="n"/>
      <c r="F49" s="17">
        <f>D49-E49</f>
        <v/>
      </c>
      <c r="G49" s="17">
        <f>IF(E49&lt;=D49,"✅ Compliant",IF(E49&gt;D49,"⚠ Over-Deployed","Unknown"))</f>
        <v/>
      </c>
      <c r="H49" s="17" t="n"/>
      <c r="I49" s="17" t="n"/>
      <c r="J49" s="17" t="n"/>
    </row>
    <row r="50">
      <c r="A50" s="17" t="n"/>
      <c r="B50" s="17" t="n"/>
      <c r="C50" s="17" t="n"/>
      <c r="D50" s="17" t="n"/>
      <c r="E50" s="17" t="n"/>
      <c r="F50" s="17">
        <f>D50-E50</f>
        <v/>
      </c>
      <c r="G50" s="17">
        <f>IF(E50&lt;=D50,"✅ Compliant",IF(E50&gt;D50,"⚠ Over-Deployed","Unknown"))</f>
        <v/>
      </c>
      <c r="H50" s="17" t="n"/>
      <c r="I50" s="17" t="n"/>
      <c r="J50" s="17" t="n"/>
    </row>
    <row r="51">
      <c r="A51" s="17" t="n"/>
      <c r="B51" s="17" t="n"/>
      <c r="C51" s="17" t="n"/>
      <c r="D51" s="17" t="n"/>
      <c r="E51" s="17" t="n"/>
      <c r="F51" s="17">
        <f>D51-E51</f>
        <v/>
      </c>
      <c r="G51" s="17">
        <f>IF(E51&lt;=D51,"✅ Compliant",IF(E51&gt;D51,"⚠ Over-Deployed","Unknown"))</f>
        <v/>
      </c>
      <c r="H51" s="17" t="n"/>
      <c r="I51" s="17" t="n"/>
      <c r="J51" s="17" t="n"/>
    </row>
    <row r="52">
      <c r="A52" s="17" t="n"/>
      <c r="B52" s="17" t="n"/>
      <c r="C52" s="17" t="n"/>
      <c r="D52" s="17" t="n"/>
      <c r="E52" s="17" t="n"/>
      <c r="F52" s="17">
        <f>D52-E52</f>
        <v/>
      </c>
      <c r="G52" s="17">
        <f>IF(E52&lt;=D52,"✅ Compliant",IF(E52&gt;D52,"⚠ Over-Deployed","Unknown"))</f>
        <v/>
      </c>
      <c r="H52" s="17" t="n"/>
      <c r="I52" s="17" t="n"/>
      <c r="J52" s="17" t="n"/>
    </row>
    <row r="53">
      <c r="A53" s="17" t="n"/>
      <c r="B53" s="17" t="n"/>
      <c r="C53" s="17" t="n"/>
      <c r="D53" s="17" t="n"/>
      <c r="E53" s="17" t="n"/>
      <c r="F53" s="17">
        <f>D53-E53</f>
        <v/>
      </c>
      <c r="G53" s="17">
        <f>IF(E53&lt;=D53,"✅ Compliant",IF(E53&gt;D53,"⚠ Over-Deployed","Unknown"))</f>
        <v/>
      </c>
      <c r="H53" s="17" t="n"/>
      <c r="I53" s="17" t="n"/>
      <c r="J53" s="17" t="n"/>
    </row>
    <row r="54">
      <c r="A54" s="17" t="n"/>
      <c r="B54" s="17" t="n"/>
      <c r="C54" s="17" t="n"/>
      <c r="D54" s="17" t="n"/>
      <c r="E54" s="17" t="n"/>
      <c r="F54" s="17">
        <f>D54-E54</f>
        <v/>
      </c>
      <c r="G54" s="17">
        <f>IF(E54&lt;=D54,"✅ Compliant",IF(E54&gt;D54,"⚠ Over-Deployed","Unknown"))</f>
        <v/>
      </c>
      <c r="H54" s="17" t="n"/>
      <c r="I54" s="17" t="n"/>
      <c r="J54" s="17" t="n"/>
    </row>
    <row r="55">
      <c r="A55" s="17" t="n"/>
      <c r="B55" s="17" t="n"/>
      <c r="C55" s="17" t="n"/>
      <c r="D55" s="17" t="n"/>
      <c r="E55" s="17" t="n"/>
      <c r="F55" s="17">
        <f>D55-E55</f>
        <v/>
      </c>
      <c r="G55" s="17">
        <f>IF(E55&lt;=D55,"✅ Compliant",IF(E55&gt;D55,"⚠ Over-Deployed","Unknown"))</f>
        <v/>
      </c>
      <c r="H55" s="17" t="n"/>
      <c r="I55" s="17" t="n"/>
      <c r="J55" s="17" t="n"/>
    </row>
    <row r="56">
      <c r="A56" s="17" t="n"/>
      <c r="B56" s="17" t="n"/>
      <c r="C56" s="17" t="n"/>
      <c r="D56" s="17" t="n"/>
      <c r="E56" s="17" t="n"/>
      <c r="F56" s="17">
        <f>D56-E56</f>
        <v/>
      </c>
      <c r="G56" s="17">
        <f>IF(E56&lt;=D56,"✅ Compliant",IF(E56&gt;D56,"⚠ Over-Deployed","Unknown"))</f>
        <v/>
      </c>
      <c r="H56" s="17" t="n"/>
      <c r="I56" s="17" t="n"/>
      <c r="J56" s="17" t="n"/>
    </row>
    <row r="57">
      <c r="A57" s="17" t="n"/>
      <c r="B57" s="17" t="n"/>
      <c r="C57" s="17" t="n"/>
      <c r="D57" s="17" t="n"/>
      <c r="E57" s="17" t="n"/>
      <c r="F57" s="17">
        <f>D57-E57</f>
        <v/>
      </c>
      <c r="G57" s="17">
        <f>IF(E57&lt;=D57,"✅ Compliant",IF(E57&gt;D57,"⚠ Over-Deployed","Unknown"))</f>
        <v/>
      </c>
      <c r="H57" s="17" t="n"/>
      <c r="I57" s="17" t="n"/>
      <c r="J57" s="17" t="n"/>
    </row>
    <row r="58">
      <c r="A58" s="17" t="n"/>
      <c r="B58" s="17" t="n"/>
      <c r="C58" s="17" t="n"/>
      <c r="D58" s="17" t="n"/>
      <c r="E58" s="17" t="n"/>
      <c r="F58" s="17">
        <f>D58-E58</f>
        <v/>
      </c>
      <c r="G58" s="17">
        <f>IF(E58&lt;=D58,"✅ Compliant",IF(E58&gt;D58,"⚠ Over-Deployed","Unknown"))</f>
        <v/>
      </c>
      <c r="H58" s="17" t="n"/>
      <c r="I58" s="17" t="n"/>
      <c r="J58" s="17" t="n"/>
    </row>
    <row r="59">
      <c r="A59" s="17" t="n"/>
      <c r="B59" s="17" t="n"/>
      <c r="C59" s="17" t="n"/>
      <c r="D59" s="17" t="n"/>
      <c r="E59" s="17" t="n"/>
      <c r="F59" s="17">
        <f>D59-E59</f>
        <v/>
      </c>
      <c r="G59" s="17">
        <f>IF(E59&lt;=D59,"✅ Compliant",IF(E59&gt;D59,"⚠ Over-Deployed","Unknown"))</f>
        <v/>
      </c>
      <c r="H59" s="17" t="n"/>
      <c r="I59" s="17" t="n"/>
      <c r="J59" s="17" t="n"/>
    </row>
    <row r="60">
      <c r="A60" s="17" t="n"/>
      <c r="B60" s="17" t="n"/>
      <c r="C60" s="17" t="n"/>
      <c r="D60" s="17" t="n"/>
      <c r="E60" s="17" t="n"/>
      <c r="F60" s="17">
        <f>D60-E60</f>
        <v/>
      </c>
      <c r="G60" s="17">
        <f>IF(E60&lt;=D60,"✅ Compliant",IF(E60&gt;D60,"⚠ Over-Deployed","Unknown"))</f>
        <v/>
      </c>
      <c r="H60" s="17" t="n"/>
      <c r="I60" s="17" t="n"/>
      <c r="J60" s="17" t="n"/>
    </row>
    <row r="61">
      <c r="A61" s="17" t="n"/>
      <c r="B61" s="17" t="n"/>
      <c r="C61" s="17" t="n"/>
      <c r="D61" s="17" t="n"/>
      <c r="E61" s="17" t="n"/>
      <c r="F61" s="17">
        <f>D61-E61</f>
        <v/>
      </c>
      <c r="G61" s="17">
        <f>IF(E61&lt;=D61,"✅ Compliant",IF(E61&gt;D61,"⚠ Over-Deployed","Unknown"))</f>
        <v/>
      </c>
      <c r="H61" s="17" t="n"/>
      <c r="I61" s="17" t="n"/>
      <c r="J61" s="17" t="n"/>
    </row>
    <row r="62">
      <c r="A62" s="17" t="n"/>
      <c r="B62" s="17" t="n"/>
      <c r="C62" s="17" t="n"/>
      <c r="D62" s="17" t="n"/>
      <c r="E62" s="17" t="n"/>
      <c r="F62" s="17">
        <f>D62-E62</f>
        <v/>
      </c>
      <c r="G62" s="17">
        <f>IF(E62&lt;=D62,"✅ Compliant",IF(E62&gt;D62,"⚠ Over-Deployed","Unknown"))</f>
        <v/>
      </c>
      <c r="H62" s="17" t="n"/>
      <c r="I62" s="17" t="n"/>
      <c r="J62" s="17" t="n"/>
    </row>
    <row r="63">
      <c r="A63" s="17" t="n"/>
      <c r="B63" s="17" t="n"/>
      <c r="C63" s="17" t="n"/>
      <c r="D63" s="17" t="n"/>
      <c r="E63" s="17" t="n"/>
      <c r="F63" s="17">
        <f>D63-E63</f>
        <v/>
      </c>
      <c r="G63" s="17">
        <f>IF(E63&lt;=D63,"✅ Compliant",IF(E63&gt;D63,"⚠ Over-Deployed","Unknown"))</f>
        <v/>
      </c>
      <c r="H63" s="17" t="n"/>
      <c r="I63" s="17" t="n"/>
      <c r="J63" s="17" t="n"/>
    </row>
    <row r="64">
      <c r="A64" s="17" t="n"/>
      <c r="B64" s="17" t="n"/>
      <c r="C64" s="17" t="n"/>
      <c r="D64" s="17" t="n"/>
      <c r="E64" s="17" t="n"/>
      <c r="F64" s="17">
        <f>D64-E64</f>
        <v/>
      </c>
      <c r="G64" s="17">
        <f>IF(E64&lt;=D64,"✅ Compliant",IF(E64&gt;D64,"⚠ Over-Deployed","Unknown"))</f>
        <v/>
      </c>
      <c r="H64" s="17" t="n"/>
      <c r="I64" s="17" t="n"/>
      <c r="J64" s="17" t="n"/>
    </row>
    <row r="65">
      <c r="A65" s="17" t="n"/>
      <c r="B65" s="17" t="n"/>
      <c r="C65" s="17" t="n"/>
      <c r="D65" s="17" t="n"/>
      <c r="E65" s="17" t="n"/>
      <c r="F65" s="17">
        <f>D65-E65</f>
        <v/>
      </c>
      <c r="G65" s="17">
        <f>IF(E65&lt;=D65,"✅ Compliant",IF(E65&gt;D65,"⚠ Over-Deployed","Unknown"))</f>
        <v/>
      </c>
      <c r="H65" s="17" t="n"/>
      <c r="I65" s="17" t="n"/>
      <c r="J65" s="17" t="n"/>
    </row>
    <row r="66">
      <c r="A66" s="17" t="n"/>
      <c r="B66" s="17" t="n"/>
      <c r="C66" s="17" t="n"/>
      <c r="D66" s="17" t="n"/>
      <c r="E66" s="17" t="n"/>
      <c r="F66" s="17">
        <f>D66-E66</f>
        <v/>
      </c>
      <c r="G66" s="17">
        <f>IF(E66&lt;=D66,"✅ Compliant",IF(E66&gt;D66,"⚠ Over-Deployed","Unknown"))</f>
        <v/>
      </c>
      <c r="H66" s="17" t="n"/>
      <c r="I66" s="17" t="n"/>
      <c r="J66" s="17" t="n"/>
    </row>
    <row r="67">
      <c r="A67" s="17" t="n"/>
      <c r="B67" s="17" t="n"/>
      <c r="C67" s="17" t="n"/>
      <c r="D67" s="17" t="n"/>
      <c r="E67" s="17" t="n"/>
      <c r="F67" s="17">
        <f>D67-E67</f>
        <v/>
      </c>
      <c r="G67" s="17">
        <f>IF(E67&lt;=D67,"✅ Compliant",IF(E67&gt;D67,"⚠ Over-Deployed","Unknown"))</f>
        <v/>
      </c>
      <c r="H67" s="17" t="n"/>
      <c r="I67" s="17" t="n"/>
      <c r="J67" s="17" t="n"/>
    </row>
    <row r="68">
      <c r="A68" s="17" t="n"/>
      <c r="B68" s="17" t="n"/>
      <c r="C68" s="17" t="n"/>
      <c r="D68" s="17" t="n"/>
      <c r="E68" s="17" t="n"/>
      <c r="F68" s="17">
        <f>D68-E68</f>
        <v/>
      </c>
      <c r="G68" s="17">
        <f>IF(E68&lt;=D68,"✅ Compliant",IF(E68&gt;D68,"⚠ Over-Deployed","Unknown"))</f>
        <v/>
      </c>
      <c r="H68" s="17" t="n"/>
      <c r="I68" s="17" t="n"/>
      <c r="J68" s="17" t="n"/>
    </row>
    <row r="69">
      <c r="A69" s="17" t="n"/>
      <c r="B69" s="17" t="n"/>
      <c r="C69" s="17" t="n"/>
      <c r="D69" s="17" t="n"/>
      <c r="E69" s="17" t="n"/>
      <c r="F69" s="17">
        <f>D69-E69</f>
        <v/>
      </c>
      <c r="G69" s="17">
        <f>IF(E69&lt;=D69,"✅ Compliant",IF(E69&gt;D69,"⚠ Over-Deployed","Unknown"))</f>
        <v/>
      </c>
      <c r="H69" s="17" t="n"/>
      <c r="I69" s="17" t="n"/>
      <c r="J69" s="17" t="n"/>
    </row>
    <row r="70">
      <c r="A70" s="17" t="n"/>
      <c r="B70" s="17" t="n"/>
      <c r="C70" s="17" t="n"/>
      <c r="D70" s="17" t="n"/>
      <c r="E70" s="17" t="n"/>
      <c r="F70" s="17">
        <f>D70-E70</f>
        <v/>
      </c>
      <c r="G70" s="17">
        <f>IF(E70&lt;=D70,"✅ Compliant",IF(E70&gt;D70,"⚠ Over-Deployed","Unknown"))</f>
        <v/>
      </c>
      <c r="H70" s="17" t="n"/>
      <c r="I70" s="17" t="n"/>
      <c r="J70" s="17" t="n"/>
    </row>
    <row r="71">
      <c r="A71" s="17" t="n"/>
      <c r="B71" s="17" t="n"/>
      <c r="C71" s="17" t="n"/>
      <c r="D71" s="17" t="n"/>
      <c r="E71" s="17" t="n"/>
      <c r="F71" s="17">
        <f>D71-E71</f>
        <v/>
      </c>
      <c r="G71" s="17">
        <f>IF(E71&lt;=D71,"✅ Compliant",IF(E71&gt;D71,"⚠ Over-Deployed","Unknown"))</f>
        <v/>
      </c>
      <c r="H71" s="17" t="n"/>
      <c r="I71" s="17" t="n"/>
      <c r="J71" s="17" t="n"/>
    </row>
    <row r="72">
      <c r="A72" s="17" t="n"/>
      <c r="B72" s="17" t="n"/>
      <c r="C72" s="17" t="n"/>
      <c r="D72" s="17" t="n"/>
      <c r="E72" s="17" t="n"/>
      <c r="F72" s="17">
        <f>D72-E72</f>
        <v/>
      </c>
      <c r="G72" s="17">
        <f>IF(E72&lt;=D72,"✅ Compliant",IF(E72&gt;D72,"⚠ Over-Deployed","Unknown"))</f>
        <v/>
      </c>
      <c r="H72" s="17" t="n"/>
      <c r="I72" s="17" t="n"/>
      <c r="J72" s="17" t="n"/>
    </row>
    <row r="73">
      <c r="A73" s="17" t="n"/>
      <c r="B73" s="17" t="n"/>
      <c r="C73" s="17" t="n"/>
      <c r="D73" s="17" t="n"/>
      <c r="E73" s="17" t="n"/>
      <c r="F73" s="17">
        <f>D73-E73</f>
        <v/>
      </c>
      <c r="G73" s="17">
        <f>IF(E73&lt;=D73,"✅ Compliant",IF(E73&gt;D73,"⚠ Over-Deployed","Unknown"))</f>
        <v/>
      </c>
      <c r="H73" s="17" t="n"/>
      <c r="I73" s="17" t="n"/>
      <c r="J73" s="17" t="n"/>
    </row>
    <row r="74">
      <c r="A74" s="17" t="n"/>
      <c r="B74" s="17" t="n"/>
      <c r="C74" s="17" t="n"/>
      <c r="D74" s="17" t="n"/>
      <c r="E74" s="17" t="n"/>
      <c r="F74" s="17">
        <f>D74-E74</f>
        <v/>
      </c>
      <c r="G74" s="17">
        <f>IF(E74&lt;=D74,"✅ Compliant",IF(E74&gt;D74,"⚠ Over-Deployed","Unknown"))</f>
        <v/>
      </c>
      <c r="H74" s="17" t="n"/>
      <c r="I74" s="17" t="n"/>
      <c r="J74" s="17" t="n"/>
    </row>
    <row r="75">
      <c r="A75" s="17" t="n"/>
      <c r="B75" s="17" t="n"/>
      <c r="C75" s="17" t="n"/>
      <c r="D75" s="17" t="n"/>
      <c r="E75" s="17" t="n"/>
      <c r="F75" s="17">
        <f>D75-E75</f>
        <v/>
      </c>
      <c r="G75" s="17">
        <f>IF(E75&lt;=D75,"✅ Compliant",IF(E75&gt;D75,"⚠ Over-Deployed","Unknown"))</f>
        <v/>
      </c>
      <c r="H75" s="17" t="n"/>
      <c r="I75" s="17" t="n"/>
      <c r="J75" s="17" t="n"/>
    </row>
    <row r="76">
      <c r="A76" s="17" t="n"/>
      <c r="B76" s="17" t="n"/>
      <c r="C76" s="17" t="n"/>
      <c r="D76" s="17" t="n"/>
      <c r="E76" s="17" t="n"/>
      <c r="F76" s="17">
        <f>D76-E76</f>
        <v/>
      </c>
      <c r="G76" s="17">
        <f>IF(E76&lt;=D76,"✅ Compliant",IF(E76&gt;D76,"⚠ Over-Deployed","Unknown"))</f>
        <v/>
      </c>
      <c r="H76" s="17" t="n"/>
      <c r="I76" s="17" t="n"/>
      <c r="J76" s="17" t="n"/>
    </row>
    <row r="77">
      <c r="A77" s="17" t="n"/>
      <c r="B77" s="17" t="n"/>
      <c r="C77" s="17" t="n"/>
      <c r="D77" s="17" t="n"/>
      <c r="E77" s="17" t="n"/>
      <c r="F77" s="17">
        <f>D77-E77</f>
        <v/>
      </c>
      <c r="G77" s="17">
        <f>IF(E77&lt;=D77,"✅ Compliant",IF(E77&gt;D77,"⚠ Over-Deployed","Unknown"))</f>
        <v/>
      </c>
      <c r="H77" s="17" t="n"/>
      <c r="I77" s="17" t="n"/>
      <c r="J77" s="17" t="n"/>
    </row>
    <row r="78">
      <c r="A78" s="17" t="n"/>
      <c r="B78" s="17" t="n"/>
      <c r="C78" s="17" t="n"/>
      <c r="D78" s="17" t="n"/>
      <c r="E78" s="17" t="n"/>
      <c r="F78" s="17">
        <f>D78-E78</f>
        <v/>
      </c>
      <c r="G78" s="17">
        <f>IF(E78&lt;=D78,"✅ Compliant",IF(E78&gt;D78,"⚠ Over-Deployed","Unknown"))</f>
        <v/>
      </c>
      <c r="H78" s="17" t="n"/>
      <c r="I78" s="17" t="n"/>
      <c r="J78" s="17" t="n"/>
    </row>
    <row r="79">
      <c r="A79" s="17" t="n"/>
      <c r="B79" s="17" t="n"/>
      <c r="C79" s="17" t="n"/>
      <c r="D79" s="17" t="n"/>
      <c r="E79" s="17" t="n"/>
      <c r="F79" s="17">
        <f>D79-E79</f>
        <v/>
      </c>
      <c r="G79" s="17">
        <f>IF(E79&lt;=D79,"✅ Compliant",IF(E79&gt;D79,"⚠ Over-Deployed","Unknown"))</f>
        <v/>
      </c>
      <c r="H79" s="17" t="n"/>
      <c r="I79" s="17" t="n"/>
      <c r="J79" s="17" t="n"/>
    </row>
    <row r="80">
      <c r="A80" s="17" t="n"/>
      <c r="B80" s="17" t="n"/>
      <c r="C80" s="17" t="n"/>
      <c r="D80" s="17" t="n"/>
      <c r="E80" s="17" t="n"/>
      <c r="F80" s="17">
        <f>D80-E80</f>
        <v/>
      </c>
      <c r="G80" s="17">
        <f>IF(E80&lt;=D80,"✅ Compliant",IF(E80&gt;D80,"⚠ Over-Deployed","Unknown"))</f>
        <v/>
      </c>
      <c r="H80" s="17" t="n"/>
      <c r="I80" s="17" t="n"/>
      <c r="J80" s="17" t="n"/>
    </row>
    <row r="81">
      <c r="A81" s="17" t="n"/>
      <c r="B81" s="17" t="n"/>
      <c r="C81" s="17" t="n"/>
      <c r="D81" s="17" t="n"/>
      <c r="E81" s="17" t="n"/>
      <c r="F81" s="17">
        <f>D81-E81</f>
        <v/>
      </c>
      <c r="G81" s="17">
        <f>IF(E81&lt;=D81,"✅ Compliant",IF(E81&gt;D81,"⚠ Over-Deployed","Unknown"))</f>
        <v/>
      </c>
      <c r="H81" s="17" t="n"/>
      <c r="I81" s="17" t="n"/>
      <c r="J81" s="17" t="n"/>
    </row>
    <row r="82">
      <c r="A82" s="17" t="n"/>
      <c r="B82" s="17" t="n"/>
      <c r="C82" s="17" t="n"/>
      <c r="D82" s="17" t="n"/>
      <c r="E82" s="17" t="n"/>
      <c r="F82" s="17">
        <f>D82-E82</f>
        <v/>
      </c>
      <c r="G82" s="17">
        <f>IF(E82&lt;=D82,"✅ Compliant",IF(E82&gt;D82,"⚠ Over-Deployed","Unknown"))</f>
        <v/>
      </c>
      <c r="H82" s="17" t="n"/>
      <c r="I82" s="17" t="n"/>
      <c r="J82" s="17" t="n"/>
    </row>
    <row r="83">
      <c r="A83" s="17" t="n"/>
      <c r="B83" s="17" t="n"/>
      <c r="C83" s="17" t="n"/>
      <c r="D83" s="17" t="n"/>
      <c r="E83" s="17" t="n"/>
      <c r="F83" s="17">
        <f>D83-E83</f>
        <v/>
      </c>
      <c r="G83" s="17">
        <f>IF(E83&lt;=D83,"✅ Compliant",IF(E83&gt;D83,"⚠ Over-Deployed","Unknown"))</f>
        <v/>
      </c>
      <c r="H83" s="17" t="n"/>
      <c r="I83" s="17" t="n"/>
      <c r="J83" s="17" t="n"/>
    </row>
    <row r="84">
      <c r="A84" s="17" t="n"/>
      <c r="B84" s="17" t="n"/>
      <c r="C84" s="17" t="n"/>
      <c r="D84" s="17" t="n"/>
      <c r="E84" s="17" t="n"/>
      <c r="F84" s="17">
        <f>D84-E84</f>
        <v/>
      </c>
      <c r="G84" s="17">
        <f>IF(E84&lt;=D84,"✅ Compliant",IF(E84&gt;D84,"⚠ Over-Deployed","Unknown"))</f>
        <v/>
      </c>
      <c r="H84" s="17" t="n"/>
      <c r="I84" s="17" t="n"/>
      <c r="J84" s="17" t="n"/>
    </row>
    <row r="85">
      <c r="A85" s="17" t="n"/>
      <c r="B85" s="17" t="n"/>
      <c r="C85" s="17" t="n"/>
      <c r="D85" s="17" t="n"/>
      <c r="E85" s="17" t="n"/>
      <c r="F85" s="17">
        <f>D85-E85</f>
        <v/>
      </c>
      <c r="G85" s="17">
        <f>IF(E85&lt;=D85,"✅ Compliant",IF(E85&gt;D85,"⚠ Over-Deployed","Unknown"))</f>
        <v/>
      </c>
      <c r="H85" s="17" t="n"/>
      <c r="I85" s="17" t="n"/>
      <c r="J85" s="17" t="n"/>
    </row>
    <row r="86">
      <c r="A86" s="17" t="n"/>
      <c r="B86" s="17" t="n"/>
      <c r="C86" s="17" t="n"/>
      <c r="D86" s="17" t="n"/>
      <c r="E86" s="17" t="n"/>
      <c r="F86" s="17">
        <f>D86-E86</f>
        <v/>
      </c>
      <c r="G86" s="17">
        <f>IF(E86&lt;=D86,"✅ Compliant",IF(E86&gt;D86,"⚠ Over-Deployed","Unknown"))</f>
        <v/>
      </c>
      <c r="H86" s="17" t="n"/>
      <c r="I86" s="17" t="n"/>
      <c r="J86" s="17" t="n"/>
    </row>
    <row r="87">
      <c r="A87" s="17" t="n"/>
      <c r="B87" s="17" t="n"/>
      <c r="C87" s="17" t="n"/>
      <c r="D87" s="17" t="n"/>
      <c r="E87" s="17" t="n"/>
      <c r="F87" s="17">
        <f>D87-E87</f>
        <v/>
      </c>
      <c r="G87" s="17">
        <f>IF(E87&lt;=D87,"✅ Compliant",IF(E87&gt;D87,"⚠ Over-Deployed","Unknown"))</f>
        <v/>
      </c>
      <c r="H87" s="17" t="n"/>
      <c r="I87" s="17" t="n"/>
      <c r="J87" s="17" t="n"/>
    </row>
    <row r="88">
      <c r="A88" s="17" t="n"/>
      <c r="B88" s="17" t="n"/>
      <c r="C88" s="17" t="n"/>
      <c r="D88" s="17" t="n"/>
      <c r="E88" s="17" t="n"/>
      <c r="F88" s="17">
        <f>D88-E88</f>
        <v/>
      </c>
      <c r="G88" s="17">
        <f>IF(E88&lt;=D88,"✅ Compliant",IF(E88&gt;D88,"⚠ Over-Deployed","Unknown"))</f>
        <v/>
      </c>
      <c r="H88" s="17" t="n"/>
      <c r="I88" s="17" t="n"/>
      <c r="J88" s="17" t="n"/>
    </row>
    <row r="89">
      <c r="A89" s="17" t="n"/>
      <c r="B89" s="17" t="n"/>
      <c r="C89" s="17" t="n"/>
      <c r="D89" s="17" t="n"/>
      <c r="E89" s="17" t="n"/>
      <c r="F89" s="17">
        <f>D89-E89</f>
        <v/>
      </c>
      <c r="G89" s="17">
        <f>IF(E89&lt;=D89,"✅ Compliant",IF(E89&gt;D89,"⚠ Over-Deployed","Unknown"))</f>
        <v/>
      </c>
      <c r="H89" s="17" t="n"/>
      <c r="I89" s="17" t="n"/>
      <c r="J89" s="17" t="n"/>
    </row>
    <row r="90">
      <c r="A90" s="17" t="n"/>
      <c r="B90" s="17" t="n"/>
      <c r="C90" s="17" t="n"/>
      <c r="D90" s="17" t="n"/>
      <c r="E90" s="17" t="n"/>
      <c r="F90" s="17">
        <f>D90-E90</f>
        <v/>
      </c>
      <c r="G90" s="17">
        <f>IF(E90&lt;=D90,"✅ Compliant",IF(E90&gt;D90,"⚠ Over-Deployed","Unknown"))</f>
        <v/>
      </c>
      <c r="H90" s="17" t="n"/>
      <c r="I90" s="17" t="n"/>
      <c r="J90" s="17" t="n"/>
    </row>
    <row r="91">
      <c r="A91" s="17" t="n"/>
      <c r="B91" s="17" t="n"/>
      <c r="C91" s="17" t="n"/>
      <c r="D91" s="17" t="n"/>
      <c r="E91" s="17" t="n"/>
      <c r="F91" s="17">
        <f>D91-E91</f>
        <v/>
      </c>
      <c r="G91" s="17">
        <f>IF(E91&lt;=D91,"✅ Compliant",IF(E91&gt;D91,"⚠ Over-Deployed","Unknown"))</f>
        <v/>
      </c>
      <c r="H91" s="17" t="n"/>
      <c r="I91" s="17" t="n"/>
      <c r="J91" s="17" t="n"/>
    </row>
    <row r="92">
      <c r="A92" s="17" t="n"/>
      <c r="B92" s="17" t="n"/>
      <c r="C92" s="17" t="n"/>
      <c r="D92" s="17" t="n"/>
      <c r="E92" s="17" t="n"/>
      <c r="F92" s="17">
        <f>D92-E92</f>
        <v/>
      </c>
      <c r="G92" s="17">
        <f>IF(E92&lt;=D92,"✅ Compliant",IF(E92&gt;D92,"⚠ Over-Deployed","Unknown"))</f>
        <v/>
      </c>
      <c r="H92" s="17" t="n"/>
      <c r="I92" s="17" t="n"/>
      <c r="J92" s="17" t="n"/>
    </row>
    <row r="93">
      <c r="A93" s="17" t="n"/>
      <c r="B93" s="17" t="n"/>
      <c r="C93" s="17" t="n"/>
      <c r="D93" s="17" t="n"/>
      <c r="E93" s="17" t="n"/>
      <c r="F93" s="17">
        <f>D93-E93</f>
        <v/>
      </c>
      <c r="G93" s="17">
        <f>IF(E93&lt;=D93,"✅ Compliant",IF(E93&gt;D93,"⚠ Over-Deployed","Unknown"))</f>
        <v/>
      </c>
      <c r="H93" s="17" t="n"/>
      <c r="I93" s="17" t="n"/>
      <c r="J93" s="17" t="n"/>
    </row>
    <row r="94">
      <c r="A94" s="17" t="n"/>
      <c r="B94" s="17" t="n"/>
      <c r="C94" s="17" t="n"/>
      <c r="D94" s="17" t="n"/>
      <c r="E94" s="17" t="n"/>
      <c r="F94" s="17">
        <f>D94-E94</f>
        <v/>
      </c>
      <c r="G94" s="17">
        <f>IF(E94&lt;=D94,"✅ Compliant",IF(E94&gt;D94,"⚠ Over-Deployed","Unknown"))</f>
        <v/>
      </c>
      <c r="H94" s="17" t="n"/>
      <c r="I94" s="17" t="n"/>
      <c r="J94" s="17" t="n"/>
    </row>
    <row r="95">
      <c r="A95" s="17" t="n"/>
      <c r="B95" s="17" t="n"/>
      <c r="C95" s="17" t="n"/>
      <c r="D95" s="17" t="n"/>
      <c r="E95" s="17" t="n"/>
      <c r="F95" s="17">
        <f>D95-E95</f>
        <v/>
      </c>
      <c r="G95" s="17">
        <f>IF(E95&lt;=D95,"✅ Compliant",IF(E95&gt;D95,"⚠ Over-Deployed","Unknown"))</f>
        <v/>
      </c>
      <c r="H95" s="17" t="n"/>
      <c r="I95" s="17" t="n"/>
      <c r="J95" s="17" t="n"/>
    </row>
    <row r="96">
      <c r="A96" s="17" t="n"/>
      <c r="B96" s="17" t="n"/>
      <c r="C96" s="17" t="n"/>
      <c r="D96" s="17" t="n"/>
      <c r="E96" s="17" t="n"/>
      <c r="F96" s="17">
        <f>D96-E96</f>
        <v/>
      </c>
      <c r="G96" s="17">
        <f>IF(E96&lt;=D96,"✅ Compliant",IF(E96&gt;D96,"⚠ Over-Deployed","Unknown"))</f>
        <v/>
      </c>
      <c r="H96" s="17" t="n"/>
      <c r="I96" s="17" t="n"/>
      <c r="J96" s="17" t="n"/>
    </row>
    <row r="97">
      <c r="A97" s="17" t="n"/>
      <c r="B97" s="17" t="n"/>
      <c r="C97" s="17" t="n"/>
      <c r="D97" s="17" t="n"/>
      <c r="E97" s="17" t="n"/>
      <c r="F97" s="17">
        <f>D97-E97</f>
        <v/>
      </c>
      <c r="G97" s="17">
        <f>IF(E97&lt;=D97,"✅ Compliant",IF(E97&gt;D97,"⚠ Over-Deployed","Unknown"))</f>
        <v/>
      </c>
      <c r="H97" s="17" t="n"/>
      <c r="I97" s="17" t="n"/>
      <c r="J97" s="17" t="n"/>
    </row>
    <row r="98">
      <c r="A98" s="17" t="n"/>
      <c r="B98" s="17" t="n"/>
      <c r="C98" s="17" t="n"/>
      <c r="D98" s="17" t="n"/>
      <c r="E98" s="17" t="n"/>
      <c r="F98" s="17">
        <f>D98-E98</f>
        <v/>
      </c>
      <c r="G98" s="17">
        <f>IF(E98&lt;=D98,"✅ Compliant",IF(E98&gt;D98,"⚠ Over-Deployed","Unknown"))</f>
        <v/>
      </c>
      <c r="H98" s="17" t="n"/>
      <c r="I98" s="17" t="n"/>
      <c r="J98" s="17" t="n"/>
    </row>
    <row r="99">
      <c r="A99" s="17" t="n"/>
      <c r="B99" s="17" t="n"/>
      <c r="C99" s="17" t="n"/>
      <c r="D99" s="17" t="n"/>
      <c r="E99" s="17" t="n"/>
      <c r="F99" s="17">
        <f>D99-E99</f>
        <v/>
      </c>
      <c r="G99" s="17">
        <f>IF(E99&lt;=D99,"✅ Compliant",IF(E99&gt;D99,"⚠ Over-Deployed","Unknown"))</f>
        <v/>
      </c>
      <c r="H99" s="17" t="n"/>
      <c r="I99" s="17" t="n"/>
      <c r="J99" s="17" t="n"/>
    </row>
    <row r="100">
      <c r="A100" s="17" t="n"/>
      <c r="B100" s="17" t="n"/>
      <c r="C100" s="17" t="n"/>
      <c r="D100" s="17" t="n"/>
      <c r="E100" s="17" t="n"/>
      <c r="F100" s="17">
        <f>D100-E100</f>
        <v/>
      </c>
      <c r="G100" s="17">
        <f>IF(E100&lt;=D100,"✅ Compliant",IF(E100&gt;D100,"⚠ Over-Deployed","Unknown"))</f>
        <v/>
      </c>
      <c r="H100" s="17" t="n"/>
      <c r="I100" s="17" t="n"/>
      <c r="J100" s="17" t="n"/>
    </row>
    <row r="101">
      <c r="A101" s="17" t="n"/>
      <c r="B101" s="17" t="n"/>
      <c r="C101" s="17" t="n"/>
      <c r="D101" s="17" t="n"/>
      <c r="E101" s="17" t="n"/>
      <c r="F101" s="17">
        <f>D101-E101</f>
        <v/>
      </c>
      <c r="G101" s="17">
        <f>IF(E101&lt;=D101,"✅ Compliant",IF(E101&gt;D101,"⚠ Over-Deployed","Unknown"))</f>
        <v/>
      </c>
      <c r="H101" s="17" t="n"/>
      <c r="I101" s="17" t="n"/>
      <c r="J101" s="17" t="n"/>
    </row>
    <row r="102">
      <c r="A102" s="17" t="n"/>
      <c r="B102" s="17" t="n"/>
      <c r="C102" s="17" t="n"/>
      <c r="D102" s="17" t="n"/>
      <c r="E102" s="17" t="n"/>
      <c r="F102" s="17">
        <f>D102-E102</f>
        <v/>
      </c>
      <c r="G102" s="17">
        <f>IF(E102&lt;=D102,"✅ Compliant",IF(E102&gt;D102,"⚠ Over-Deployed","Unknown"))</f>
        <v/>
      </c>
      <c r="H102" s="17" t="n"/>
      <c r="I102" s="17" t="n"/>
      <c r="J102" s="17" t="n"/>
    </row>
    <row r="103">
      <c r="A103" s="17" t="n"/>
      <c r="B103" s="17" t="n"/>
      <c r="C103" s="17" t="n"/>
      <c r="D103" s="17" t="n"/>
      <c r="E103" s="17" t="n"/>
      <c r="F103" s="17">
        <f>D103-E103</f>
        <v/>
      </c>
      <c r="G103" s="17">
        <f>IF(E103&lt;=D103,"✅ Compliant",IF(E103&gt;D103,"⚠ Over-Deployed","Unknown"))</f>
        <v/>
      </c>
      <c r="H103" s="17" t="n"/>
      <c r="I103" s="17" t="n"/>
      <c r="J103" s="17" t="n"/>
    </row>
    <row r="104">
      <c r="A104" s="17" t="n"/>
      <c r="B104" s="17" t="n"/>
      <c r="C104" s="17" t="n"/>
      <c r="D104" s="17" t="n"/>
      <c r="E104" s="17" t="n"/>
      <c r="F104" s="17">
        <f>D104-E104</f>
        <v/>
      </c>
      <c r="G104" s="17">
        <f>IF(E104&lt;=D104,"✅ Compliant",IF(E104&gt;D104,"⚠ Over-Deployed","Unknown"))</f>
        <v/>
      </c>
      <c r="H104" s="17" t="n"/>
      <c r="I104" s="17" t="n"/>
      <c r="J104" s="17" t="n"/>
    </row>
    <row r="105">
      <c r="A105" s="17" t="n"/>
      <c r="B105" s="17" t="n"/>
      <c r="C105" s="17" t="n"/>
      <c r="D105" s="17" t="n"/>
      <c r="E105" s="17" t="n"/>
      <c r="F105" s="17">
        <f>D105-E105</f>
        <v/>
      </c>
      <c r="G105" s="17">
        <f>IF(E105&lt;=D105,"✅ Compliant",IF(E105&gt;D105,"⚠ Over-Deployed","Unknown"))</f>
        <v/>
      </c>
      <c r="H105" s="17" t="n"/>
      <c r="I105" s="17" t="n"/>
      <c r="J105" s="17" t="n"/>
    </row>
    <row r="107">
      <c r="A107" s="12" t="inlineStr">
        <is>
          <t>[CHART] LICENSE COMPLIANCE SUMMARY</t>
        </is>
      </c>
    </row>
    <row r="108">
      <c r="A108" t="inlineStr">
        <is>
          <t>Total Software Tracked:</t>
        </is>
      </c>
      <c r="B108">
        <f>COUNTA(A6:A105)</f>
        <v/>
      </c>
    </row>
    <row r="109">
      <c r="A109" t="inlineStr">
        <is>
          <t>✅ Compliant:</t>
        </is>
      </c>
      <c r="B109">
        <f>COUNTIF(G6:G105,"✅ Compliant")</f>
        <v/>
      </c>
    </row>
    <row r="110">
      <c r="A110" t="inlineStr">
        <is>
          <t>⚠ Over-Deployed:</t>
        </is>
      </c>
      <c r="B110">
        <f>COUNTIF(G6:G105,"⚠ Over-Deployed")</f>
        <v/>
      </c>
    </row>
    <row r="111">
      <c r="A111" t="inlineStr">
        <is>
          <t>Total Annual Cost:</t>
        </is>
      </c>
      <c r="B111" s="18">
        <f>SUM(H6:H105)</f>
        <v/>
      </c>
    </row>
  </sheetData>
  <mergeCells count="3">
    <mergeCell ref="A1:J1"/>
    <mergeCell ref="A107:C107"/>
    <mergeCell ref="A2:J2"/>
  </mergeCells>
  <dataValidations count="1">
    <dataValidation sqref="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"Commercial,Subscription,Open Source,Freeware,Trial,Custom,Unknown"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5"/>
  <sheetViews>
    <sheetView showGridLines="0" workbookViewId="0">
      <pane ySplit="4" topLeftCell="A5" activePane="bottomLeft" state="frozen"/>
      <selection pane="bottomLeft" activeCell="A1" sqref="A1"/>
    </sheetView>
  </sheetViews>
  <sheetFormatPr baseColWidth="8" defaultRowHeight="15"/>
  <cols>
    <col width="15" customWidth="1" min="1" max="1"/>
    <col width="60" customWidth="1" min="2" max="2"/>
    <col width="12" customWidth="1" min="3" max="3"/>
    <col width="25" customWidth="1" min="4" max="4"/>
    <col width="30" customWidth="1" min="5" max="5"/>
    <col width="15" customWidth="1" min="6" max="6"/>
  </cols>
  <sheetData>
    <row r="1" ht="35" customHeight="1">
      <c r="A1" s="11" t="inlineStr">
        <is>
          <t>CAPABILITY REQUIREMENTS MAPPING</t>
        </is>
      </c>
    </row>
    <row r="2">
      <c r="A2" s="12" t="inlineStr">
        <is>
          <t>A.8.19 Policy Requirements → Implementation (20 requirements)</t>
        </is>
      </c>
    </row>
    <row r="4">
      <c r="A4" s="13" t="inlineStr">
        <is>
          <t>Req ID</t>
        </is>
      </c>
      <c r="B4" s="13" t="inlineStr">
        <is>
          <t>Policy Requirement</t>
        </is>
      </c>
      <c r="C4" s="13" t="inlineStr">
        <is>
          <t>Implemented</t>
        </is>
      </c>
      <c r="D4" s="13" t="inlineStr">
        <is>
          <t>Evidence Reference</t>
        </is>
      </c>
      <c r="E4" s="13" t="inlineStr">
        <is>
          <t>Notes</t>
        </is>
      </c>
      <c r="F4" s="13" t="inlineStr">
        <is>
          <t>Status</t>
        </is>
      </c>
    </row>
    <row r="5">
      <c r="A5" s="14" t="inlineStr">
        <is>
          <t>REQ-A819-000</t>
        </is>
      </c>
      <c r="B5" s="15" t="inlineStr">
        <is>
          <t>Example: Software installation policy documented and approved</t>
        </is>
      </c>
      <c r="C5" s="15" t="inlineStr">
        <is>
          <t>Yes</t>
        </is>
      </c>
      <c r="D5" s="15" t="inlineStr">
        <is>
          <t>/policy/SW-install-policy.pdf</t>
        </is>
      </c>
      <c r="E5" s="15" t="inlineStr">
        <is>
          <t>IT Security</t>
        </is>
      </c>
      <c r="F5" s="15" t="inlineStr">
        <is>
          <t>✅ Compliant</t>
        </is>
      </c>
    </row>
    <row r="6">
      <c r="A6" s="21" t="inlineStr">
        <is>
          <t>REQ-A819-001</t>
        </is>
      </c>
      <c r="B6" s="22" t="inlineStr">
        <is>
          <t>Approved software list maintained and annually reviewed</t>
        </is>
      </c>
      <c r="C6" s="17" t="n"/>
      <c r="D6" s="17" t="n"/>
      <c r="E6" s="17" t="n"/>
      <c r="F6" s="17">
        <f>IF(C6="Yes","✅ Compliant",IF(C6="N/A","N/A","❌ Gap"))</f>
        <v/>
      </c>
    </row>
    <row r="7">
      <c r="A7" s="21" t="inlineStr">
        <is>
          <t>REQ-A819-002</t>
        </is>
      </c>
      <c r="B7" s="22" t="inlineStr">
        <is>
          <t>Software approval process documented and enforced</t>
        </is>
      </c>
      <c r="C7" s="17" t="n"/>
      <c r="D7" s="17" t="n"/>
      <c r="E7" s="17" t="n"/>
      <c r="F7" s="17">
        <f>IF(C7="Yes","✅ Compliant",IF(C7="N/A","N/A","❌ Gap"))</f>
        <v/>
      </c>
    </row>
    <row r="8">
      <c r="A8" s="21" t="inlineStr">
        <is>
          <t>REQ-A819-003</t>
        </is>
      </c>
      <c r="B8" s="22" t="inlineStr">
        <is>
          <t>Software approval includes security review</t>
        </is>
      </c>
      <c r="C8" s="17" t="n"/>
      <c r="D8" s="17" t="n"/>
      <c r="E8" s="17" t="n"/>
      <c r="F8" s="17">
        <f>IF(C8="Yes","✅ Compliant",IF(C8="N/A","N/A","❌ Gap"))</f>
        <v/>
      </c>
    </row>
    <row r="9">
      <c r="A9" s="21" t="inlineStr">
        <is>
          <t>REQ-A819-004</t>
        </is>
      </c>
      <c r="B9" s="22" t="inlineStr">
        <is>
          <t>Software approval includes business justification</t>
        </is>
      </c>
      <c r="C9" s="17" t="n"/>
      <c r="D9" s="17" t="n"/>
      <c r="E9" s="17" t="n"/>
      <c r="F9" s="17">
        <f>IF(C9="Yes","✅ Compliant",IF(C9="N/A","N/A","❌ Gap"))</f>
        <v/>
      </c>
    </row>
    <row r="10">
      <c r="A10" s="21" t="inlineStr">
        <is>
          <t>REQ-A819-005</t>
        </is>
      </c>
      <c r="B10" s="22" t="inlineStr">
        <is>
          <t>Unauthorised software detected daily</t>
        </is>
      </c>
      <c r="C10" s="17" t="n"/>
      <c r="D10" s="17" t="n"/>
      <c r="E10" s="17" t="n"/>
      <c r="F10" s="17">
        <f>IF(C10="Yes","✅ Compliant",IF(C10="N/A","N/A","❌ Gap"))</f>
        <v/>
      </c>
    </row>
    <row r="11">
      <c r="A11" s="21" t="inlineStr">
        <is>
          <t>REQ-A819-006</t>
        </is>
      </c>
      <c r="B11" s="22" t="inlineStr">
        <is>
          <t>Unauthorised software rate &lt;1%</t>
        </is>
      </c>
      <c r="C11" s="17" t="n"/>
      <c r="D11" s="17" t="n"/>
      <c r="E11" s="17" t="n"/>
      <c r="F11" s="17">
        <f>IF(C11="Yes","✅ Compliant",IF(C11="N/A","N/A","❌ Gap"))</f>
        <v/>
      </c>
    </row>
    <row r="12">
      <c r="A12" s="21" t="inlineStr">
        <is>
          <t>REQ-A819-007</t>
        </is>
      </c>
      <c r="B12" s="22" t="inlineStr">
        <is>
          <t>Unauthorised software remediated within 24 hours (high-risk)</t>
        </is>
      </c>
      <c r="C12" s="17" t="n"/>
      <c r="D12" s="17" t="n"/>
      <c r="E12" s="17" t="n"/>
      <c r="F12" s="17">
        <f>IF(C12="Yes","✅ Compliant",IF(C12="N/A","N/A","❌ Gap"))</f>
        <v/>
      </c>
    </row>
    <row r="13">
      <c r="A13" s="21" t="inlineStr">
        <is>
          <t>REQ-A819-008</t>
        </is>
      </c>
      <c r="B13" s="22" t="inlineStr">
        <is>
          <t>Application control deployed ≥90% endpoints</t>
        </is>
      </c>
      <c r="C13" s="17" t="n"/>
      <c r="D13" s="17" t="n"/>
      <c r="E13" s="17" t="n"/>
      <c r="F13" s="17">
        <f>IF(C13="Yes","✅ Compliant",IF(C13="N/A","N/A","❌ Gap"))</f>
        <v/>
      </c>
    </row>
    <row r="14">
      <c r="A14" s="21" t="inlineStr">
        <is>
          <t>REQ-A819-009</t>
        </is>
      </c>
      <c r="B14" s="22" t="inlineStr">
        <is>
          <t>Application control in enforcement mode (not audit)</t>
        </is>
      </c>
      <c r="C14" s="17" t="n"/>
      <c r="D14" s="17" t="n"/>
      <c r="E14" s="17" t="n"/>
      <c r="F14" s="17">
        <f>IF(C14="Yes","✅ Compliant",IF(C14="N/A","N/A","❌ Gap"))</f>
        <v/>
      </c>
    </row>
    <row r="15">
      <c r="A15" s="21" t="inlineStr">
        <is>
          <t>REQ-A819-010</t>
        </is>
      </c>
      <c r="B15" s="22" t="inlineStr">
        <is>
          <t>100% software installations via change control</t>
        </is>
      </c>
      <c r="C15" s="17" t="n"/>
      <c r="D15" s="17" t="n"/>
      <c r="E15" s="17" t="n"/>
      <c r="F15" s="17">
        <f>IF(C15="Yes","✅ Compliant",IF(C15="N/A","N/A","❌ Gap"))</f>
        <v/>
      </c>
    </row>
    <row r="16">
      <c r="A16" s="21" t="inlineStr">
        <is>
          <t>REQ-A819-011</t>
        </is>
      </c>
      <c r="B16" s="22" t="inlineStr">
        <is>
          <t>Change control includes testing</t>
        </is>
      </c>
      <c r="C16" s="17" t="n"/>
      <c r="D16" s="17" t="n"/>
      <c r="E16" s="17" t="n"/>
      <c r="F16" s="17">
        <f>IF(C16="Yes","✅ Compliant",IF(C16="N/A","N/A","❌ Gap"))</f>
        <v/>
      </c>
    </row>
    <row r="17">
      <c r="A17" s="21" t="inlineStr">
        <is>
          <t>REQ-A819-012</t>
        </is>
      </c>
      <c r="B17" s="22" t="inlineStr">
        <is>
          <t>Change control includes rollback plan</t>
        </is>
      </c>
      <c r="C17" s="17" t="n"/>
      <c r="D17" s="17" t="n"/>
      <c r="E17" s="17" t="n"/>
      <c r="F17" s="17">
        <f>IF(C17="Yes","✅ Compliant",IF(C17="N/A","N/A","❌ Gap"))</f>
        <v/>
      </c>
    </row>
    <row r="18">
      <c r="A18" s="21" t="inlineStr">
        <is>
          <t>REQ-A819-013</t>
        </is>
      </c>
      <c r="B18" s="22" t="inlineStr">
        <is>
          <t>Software vulnerabilities tracked</t>
        </is>
      </c>
      <c r="C18" s="17" t="n"/>
      <c r="D18" s="17" t="n"/>
      <c r="E18" s="17" t="n"/>
      <c r="F18" s="17">
        <f>IF(C18="Yes","✅ Compliant",IF(C18="N/A","N/A","❌ Gap"))</f>
        <v/>
      </c>
    </row>
    <row r="19">
      <c r="A19" s="21" t="inlineStr">
        <is>
          <t>REQ-A819-014</t>
        </is>
      </c>
      <c r="B19" s="22" t="inlineStr">
        <is>
          <t>Critical software patches within 7 days (≥95%)</t>
        </is>
      </c>
      <c r="C19" s="17" t="n"/>
      <c r="D19" s="17" t="n"/>
      <c r="E19" s="17" t="n"/>
      <c r="F19" s="17">
        <f>IF(C19="Yes","✅ Compliant",IF(C19="N/A","N/A","❌ Gap"))</f>
        <v/>
      </c>
    </row>
    <row r="20">
      <c r="A20" s="21" t="inlineStr">
        <is>
          <t>REQ-A819-015</t>
        </is>
      </c>
      <c r="B20" s="22" t="inlineStr">
        <is>
          <t>High software patches within 30 days (≥90%)</t>
        </is>
      </c>
      <c r="C20" s="17" t="n"/>
      <c r="D20" s="17" t="n"/>
      <c r="E20" s="17" t="n"/>
      <c r="F20" s="17">
        <f>IF(C20="Yes","✅ Compliant",IF(C20="N/A","N/A","❌ Gap"))</f>
        <v/>
      </c>
    </row>
    <row r="21">
      <c r="A21" s="21" t="inlineStr">
        <is>
          <t>REQ-A819-016</t>
        </is>
      </c>
      <c r="B21" s="22" t="inlineStr">
        <is>
          <t>Software licenses tracked</t>
        </is>
      </c>
      <c r="C21" s="17" t="n"/>
      <c r="D21" s="17" t="n"/>
      <c r="E21" s="17" t="n"/>
      <c r="F21" s="17">
        <f>IF(C21="Yes","✅ Compliant",IF(C21="N/A","N/A","❌ Gap"))</f>
        <v/>
      </c>
    </row>
    <row r="22">
      <c r="A22" s="21" t="inlineStr">
        <is>
          <t>REQ-A819-017</t>
        </is>
      </c>
      <c r="B22" s="22" t="inlineStr">
        <is>
          <t>License compliance 100%</t>
        </is>
      </c>
      <c r="C22" s="17" t="n"/>
      <c r="D22" s="17" t="n"/>
      <c r="E22" s="17" t="n"/>
      <c r="F22" s="17">
        <f>IF(C22="Yes","✅ Compliant",IF(C22="N/A","N/A","❌ Gap"))</f>
        <v/>
      </c>
    </row>
    <row r="23">
      <c r="A23" s="21" t="inlineStr">
        <is>
          <t>REQ-A819-018</t>
        </is>
      </c>
      <c r="B23" s="22" t="inlineStr">
        <is>
          <t>BYOD software installation restricted</t>
        </is>
      </c>
      <c r="C23" s="17" t="n"/>
      <c r="D23" s="17" t="n"/>
      <c r="E23" s="17" t="n"/>
      <c r="F23" s="17">
        <f>IF(C23="Yes","✅ Compliant",IF(C23="N/A","N/A","❌ Gap"))</f>
        <v/>
      </c>
    </row>
    <row r="24">
      <c r="A24" s="21" t="inlineStr">
        <is>
          <t>REQ-A819-019</t>
        </is>
      </c>
      <c r="B24" s="22" t="inlineStr">
        <is>
          <t>EOL software identified and tracked</t>
        </is>
      </c>
      <c r="C24" s="17" t="n"/>
      <c r="D24" s="17" t="n"/>
      <c r="E24" s="17" t="n"/>
      <c r="F24" s="17">
        <f>IF(C24="Yes","✅ Compliant",IF(C24="N/A","N/A","❌ Gap"))</f>
        <v/>
      </c>
    </row>
    <row r="25">
      <c r="A25" s="21" t="inlineStr">
        <is>
          <t>REQ-A819-020</t>
        </is>
      </c>
      <c r="B25" s="22" t="inlineStr">
        <is>
          <t>Quarterly software control effectiveness assessment</t>
        </is>
      </c>
      <c r="C25" s="17" t="n"/>
      <c r="D25" s="17" t="n"/>
      <c r="E25" s="17" t="n"/>
      <c r="F25" s="17">
        <f>IF(C25="Yes","✅ Compliant",IF(C25="N/A","N/A","❌ Gap"))</f>
        <v/>
      </c>
    </row>
  </sheetData>
  <mergeCells count="2">
    <mergeCell ref="A2:F2"/>
    <mergeCell ref="A1:F1"/>
  </mergeCells>
  <dataValidations count="1">
    <dataValidation sqref="C6 C7 C8 C9 C10 C11 C12 C13 C14 C15 C16 C17 C18 C19 C20 C21 C22 C23 C24 C25" showDropDown="0" showInputMessage="0" showErrorMessage="0" allowBlank="0" type="list">
      <formula1>"Yes,No,N/A"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55"/>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ht="35" customHeight="1">
      <c r="A1" s="11" t="inlineStr">
        <is>
          <t>GAP ANALYSIS &amp; REMEDIATION TRACKING</t>
        </is>
      </c>
    </row>
    <row r="2">
      <c r="A2" s="12" t="inlineStr">
        <is>
          <t>Identified gaps in A.8.19 software installation controls — severity, owner, remediation tracking (50 entries)</t>
        </is>
      </c>
    </row>
    <row r="4">
      <c r="A4" s="13" t="inlineStr">
        <is>
          <t>Gap ID</t>
        </is>
      </c>
      <c r="B4" s="13" t="inlineStr">
        <is>
          <t>Gap Description</t>
        </is>
      </c>
      <c r="C4" s="13" t="inlineStr">
        <is>
          <t>Affected Software/Devices</t>
        </is>
      </c>
      <c r="D4" s="13" t="inlineStr">
        <is>
          <t>Related Requirement</t>
        </is>
      </c>
      <c r="E4" s="13" t="inlineStr">
        <is>
          <t>Severity</t>
        </is>
      </c>
      <c r="F4" s="13" t="inlineStr">
        <is>
          <t>Risk</t>
        </is>
      </c>
      <c r="G4" s="13" t="inlineStr">
        <is>
          <t>Root Cause</t>
        </is>
      </c>
      <c r="H4" s="13" t="inlineStr">
        <is>
          <t>Remediation Plan</t>
        </is>
      </c>
      <c r="I4" s="13" t="inlineStr">
        <is>
          <t>Owner</t>
        </is>
      </c>
      <c r="J4" s="13" t="inlineStr">
        <is>
          <t>Due Date</t>
        </is>
      </c>
      <c r="K4" s="13" t="inlineStr">
        <is>
          <t>Status</t>
        </is>
      </c>
      <c r="L4" s="13" t="inlineStr">
        <is>
          <t>Budget</t>
        </is>
      </c>
      <c r="M4" s="13" t="inlineStr">
        <is>
          <t>Notes</t>
        </is>
      </c>
    </row>
    <row r="5">
      <c r="A5" s="23" t="inlineStr">
        <is>
          <t>GAP-001</t>
        </is>
      </c>
      <c r="B5" s="24" t="inlineStr">
        <is>
          <t>Example: Unauthorised software installed on endpoints</t>
        </is>
      </c>
      <c r="C5" s="24" t="inlineStr">
        <is>
          <t>12 workstations (Finance)</t>
        </is>
      </c>
      <c r="D5" s="24" t="inlineStr">
        <is>
          <t>REQ-A819-001</t>
        </is>
      </c>
      <c r="E5" s="24" t="inlineStr">
        <is>
          <t>High</t>
        </is>
      </c>
      <c r="F5" s="24" t="inlineStr">
        <is>
          <t>High — unauthorised software may contain malware</t>
        </is>
      </c>
      <c r="G5" s="24" t="inlineStr">
        <is>
          <t>No software whitelisting enforced</t>
        </is>
      </c>
      <c r="H5" s="24" t="inlineStr">
        <is>
          <t>Implement application control / whitelisting</t>
        </is>
      </c>
      <c r="I5" s="24" t="inlineStr">
        <is>
          <t>IT Operations</t>
        </is>
      </c>
      <c r="J5" s="24" t="inlineStr">
        <is>
          <t>28.02.2026</t>
        </is>
      </c>
      <c r="K5" s="24" t="inlineStr">
        <is>
          <t>Open</t>
        </is>
      </c>
      <c r="L5" s="24" t="inlineStr">
        <is>
          <t>CHF 0</t>
        </is>
      </c>
      <c r="M5" s="24" t="inlineStr">
        <is>
          <t>Example row — do not use for compliance calculations</t>
        </is>
      </c>
    </row>
    <row r="6">
      <c r="A6" s="25" t="n"/>
      <c r="B6" s="17" t="n"/>
      <c r="C6" s="17" t="n"/>
      <c r="D6" s="17" t="n"/>
      <c r="E6" s="17" t="n"/>
      <c r="F6" s="17" t="n"/>
      <c r="G6" s="17" t="n"/>
      <c r="H6" s="17" t="n"/>
      <c r="I6" s="17" t="n"/>
      <c r="J6" s="17" t="n"/>
      <c r="K6" s="17" t="n"/>
      <c r="L6" s="17" t="n"/>
      <c r="M6" s="17" t="n"/>
    </row>
    <row r="7">
      <c r="A7" s="25" t="n"/>
      <c r="B7" s="17" t="n"/>
      <c r="C7" s="17" t="n"/>
      <c r="D7" s="17" t="n"/>
      <c r="E7" s="17" t="n"/>
      <c r="F7" s="17" t="n"/>
      <c r="G7" s="17" t="n"/>
      <c r="H7" s="17" t="n"/>
      <c r="I7" s="17" t="n"/>
      <c r="J7" s="17" t="n"/>
      <c r="K7" s="17" t="n"/>
      <c r="L7" s="17" t="n"/>
      <c r="M7" s="17" t="n"/>
    </row>
    <row r="8">
      <c r="A8" s="25" t="n"/>
      <c r="B8" s="17" t="n"/>
      <c r="C8" s="17" t="n"/>
      <c r="D8" s="17" t="n"/>
      <c r="E8" s="17" t="n"/>
      <c r="F8" s="17" t="n"/>
      <c r="G8" s="17" t="n"/>
      <c r="H8" s="17" t="n"/>
      <c r="I8" s="17" t="n"/>
      <c r="J8" s="17" t="n"/>
      <c r="K8" s="17" t="n"/>
      <c r="L8" s="17" t="n"/>
      <c r="M8" s="17" t="n"/>
    </row>
    <row r="9">
      <c r="A9" s="25" t="n"/>
      <c r="B9" s="17" t="n"/>
      <c r="C9" s="17" t="n"/>
      <c r="D9" s="17" t="n"/>
      <c r="E9" s="17" t="n"/>
      <c r="F9" s="17" t="n"/>
      <c r="G9" s="17" t="n"/>
      <c r="H9" s="17" t="n"/>
      <c r="I9" s="17" t="n"/>
      <c r="J9" s="17" t="n"/>
      <c r="K9" s="17" t="n"/>
      <c r="L9" s="17" t="n"/>
      <c r="M9" s="17" t="n"/>
    </row>
    <row r="10">
      <c r="A10" s="25" t="n"/>
      <c r="B10" s="17" t="n"/>
      <c r="C10" s="17" t="n"/>
      <c r="D10" s="17" t="n"/>
      <c r="E10" s="17" t="n"/>
      <c r="F10" s="17" t="n"/>
      <c r="G10" s="17" t="n"/>
      <c r="H10" s="17" t="n"/>
      <c r="I10" s="17" t="n"/>
      <c r="J10" s="17" t="n"/>
      <c r="K10" s="17" t="n"/>
      <c r="L10" s="17" t="n"/>
      <c r="M10" s="17" t="n"/>
    </row>
    <row r="11">
      <c r="A11" s="25" t="n"/>
      <c r="B11" s="17" t="n"/>
      <c r="C11" s="17" t="n"/>
      <c r="D11" s="17" t="n"/>
      <c r="E11" s="17" t="n"/>
      <c r="F11" s="17" t="n"/>
      <c r="G11" s="17" t="n"/>
      <c r="H11" s="17" t="n"/>
      <c r="I11" s="17" t="n"/>
      <c r="J11" s="17" t="n"/>
      <c r="K11" s="17" t="n"/>
      <c r="L11" s="17" t="n"/>
      <c r="M11" s="17" t="n"/>
    </row>
    <row r="12">
      <c r="A12" s="25" t="n"/>
      <c r="B12" s="17" t="n"/>
      <c r="C12" s="17" t="n"/>
      <c r="D12" s="17" t="n"/>
      <c r="E12" s="17" t="n"/>
      <c r="F12" s="17" t="n"/>
      <c r="G12" s="17" t="n"/>
      <c r="H12" s="17" t="n"/>
      <c r="I12" s="17" t="n"/>
      <c r="J12" s="17" t="n"/>
      <c r="K12" s="17" t="n"/>
      <c r="L12" s="17" t="n"/>
      <c r="M12" s="17" t="n"/>
    </row>
    <row r="13">
      <c r="A13" s="25" t="n"/>
      <c r="B13" s="17" t="n"/>
      <c r="C13" s="17" t="n"/>
      <c r="D13" s="17" t="n"/>
      <c r="E13" s="17" t="n"/>
      <c r="F13" s="17" t="n"/>
      <c r="G13" s="17" t="n"/>
      <c r="H13" s="17" t="n"/>
      <c r="I13" s="17" t="n"/>
      <c r="J13" s="17" t="n"/>
      <c r="K13" s="17" t="n"/>
      <c r="L13" s="17" t="n"/>
      <c r="M13" s="17" t="n"/>
    </row>
    <row r="14">
      <c r="A14" s="25" t="n"/>
      <c r="B14" s="17" t="n"/>
      <c r="C14" s="17" t="n"/>
      <c r="D14" s="17" t="n"/>
      <c r="E14" s="17" t="n"/>
      <c r="F14" s="17" t="n"/>
      <c r="G14" s="17" t="n"/>
      <c r="H14" s="17" t="n"/>
      <c r="I14" s="17" t="n"/>
      <c r="J14" s="17" t="n"/>
      <c r="K14" s="17" t="n"/>
      <c r="L14" s="17" t="n"/>
      <c r="M14" s="17" t="n"/>
    </row>
    <row r="15">
      <c r="A15" s="25" t="n"/>
      <c r="B15" s="17" t="n"/>
      <c r="C15" s="17" t="n"/>
      <c r="D15" s="17" t="n"/>
      <c r="E15" s="17" t="n"/>
      <c r="F15" s="17" t="n"/>
      <c r="G15" s="17" t="n"/>
      <c r="H15" s="17" t="n"/>
      <c r="I15" s="17" t="n"/>
      <c r="J15" s="17" t="n"/>
      <c r="K15" s="17" t="n"/>
      <c r="L15" s="17" t="n"/>
      <c r="M15" s="17" t="n"/>
    </row>
    <row r="16">
      <c r="A16" s="25" t="n"/>
      <c r="B16" s="17" t="n"/>
      <c r="C16" s="17" t="n"/>
      <c r="D16" s="17" t="n"/>
      <c r="E16" s="17" t="n"/>
      <c r="F16" s="17" t="n"/>
      <c r="G16" s="17" t="n"/>
      <c r="H16" s="17" t="n"/>
      <c r="I16" s="17" t="n"/>
      <c r="J16" s="17" t="n"/>
      <c r="K16" s="17" t="n"/>
      <c r="L16" s="17" t="n"/>
      <c r="M16" s="17" t="n"/>
    </row>
    <row r="17">
      <c r="A17" s="25" t="n"/>
      <c r="B17" s="17" t="n"/>
      <c r="C17" s="17" t="n"/>
      <c r="D17" s="17" t="n"/>
      <c r="E17" s="17" t="n"/>
      <c r="F17" s="17" t="n"/>
      <c r="G17" s="17" t="n"/>
      <c r="H17" s="17" t="n"/>
      <c r="I17" s="17" t="n"/>
      <c r="J17" s="17" t="n"/>
      <c r="K17" s="17" t="n"/>
      <c r="L17" s="17" t="n"/>
      <c r="M17" s="17" t="n"/>
    </row>
    <row r="18">
      <c r="A18" s="25" t="n"/>
      <c r="B18" s="17" t="n"/>
      <c r="C18" s="17" t="n"/>
      <c r="D18" s="17" t="n"/>
      <c r="E18" s="17" t="n"/>
      <c r="F18" s="17" t="n"/>
      <c r="G18" s="17" t="n"/>
      <c r="H18" s="17" t="n"/>
      <c r="I18" s="17" t="n"/>
      <c r="J18" s="17" t="n"/>
      <c r="K18" s="17" t="n"/>
      <c r="L18" s="17" t="n"/>
      <c r="M18" s="17" t="n"/>
    </row>
    <row r="19">
      <c r="A19" s="25" t="n"/>
      <c r="B19" s="17" t="n"/>
      <c r="C19" s="17" t="n"/>
      <c r="D19" s="17" t="n"/>
      <c r="E19" s="17" t="n"/>
      <c r="F19" s="17" t="n"/>
      <c r="G19" s="17" t="n"/>
      <c r="H19" s="17" t="n"/>
      <c r="I19" s="17" t="n"/>
      <c r="J19" s="17" t="n"/>
      <c r="K19" s="17" t="n"/>
      <c r="L19" s="17" t="n"/>
      <c r="M19" s="17" t="n"/>
    </row>
    <row r="20">
      <c r="A20" s="25" t="n"/>
      <c r="B20" s="17" t="n"/>
      <c r="C20" s="17" t="n"/>
      <c r="D20" s="17" t="n"/>
      <c r="E20" s="17" t="n"/>
      <c r="F20" s="17" t="n"/>
      <c r="G20" s="17" t="n"/>
      <c r="H20" s="17" t="n"/>
      <c r="I20" s="17" t="n"/>
      <c r="J20" s="17" t="n"/>
      <c r="K20" s="17" t="n"/>
      <c r="L20" s="17" t="n"/>
      <c r="M20" s="17" t="n"/>
    </row>
    <row r="21">
      <c r="A21" s="25" t="n"/>
      <c r="B21" s="17" t="n"/>
      <c r="C21" s="17" t="n"/>
      <c r="D21" s="17" t="n"/>
      <c r="E21" s="17" t="n"/>
      <c r="F21" s="17" t="n"/>
      <c r="G21" s="17" t="n"/>
      <c r="H21" s="17" t="n"/>
      <c r="I21" s="17" t="n"/>
      <c r="J21" s="17" t="n"/>
      <c r="K21" s="17" t="n"/>
      <c r="L21" s="17" t="n"/>
      <c r="M21" s="17" t="n"/>
    </row>
    <row r="22">
      <c r="A22" s="25" t="n"/>
      <c r="B22" s="17" t="n"/>
      <c r="C22" s="17" t="n"/>
      <c r="D22" s="17" t="n"/>
      <c r="E22" s="17" t="n"/>
      <c r="F22" s="17" t="n"/>
      <c r="G22" s="17" t="n"/>
      <c r="H22" s="17" t="n"/>
      <c r="I22" s="17" t="n"/>
      <c r="J22" s="17" t="n"/>
      <c r="K22" s="17" t="n"/>
      <c r="L22" s="17" t="n"/>
      <c r="M22" s="17" t="n"/>
    </row>
    <row r="23">
      <c r="A23" s="25" t="n"/>
      <c r="B23" s="17" t="n"/>
      <c r="C23" s="17" t="n"/>
      <c r="D23" s="17" t="n"/>
      <c r="E23" s="17" t="n"/>
      <c r="F23" s="17" t="n"/>
      <c r="G23" s="17" t="n"/>
      <c r="H23" s="17" t="n"/>
      <c r="I23" s="17" t="n"/>
      <c r="J23" s="17" t="n"/>
      <c r="K23" s="17" t="n"/>
      <c r="L23" s="17" t="n"/>
      <c r="M23" s="17" t="n"/>
    </row>
    <row r="24">
      <c r="A24" s="25" t="n"/>
      <c r="B24" s="17" t="n"/>
      <c r="C24" s="17" t="n"/>
      <c r="D24" s="17" t="n"/>
      <c r="E24" s="17" t="n"/>
      <c r="F24" s="17" t="n"/>
      <c r="G24" s="17" t="n"/>
      <c r="H24" s="17" t="n"/>
      <c r="I24" s="17" t="n"/>
      <c r="J24" s="17" t="n"/>
      <c r="K24" s="17" t="n"/>
      <c r="L24" s="17" t="n"/>
      <c r="M24" s="17" t="n"/>
    </row>
    <row r="25">
      <c r="A25" s="25" t="n"/>
      <c r="B25" s="17" t="n"/>
      <c r="C25" s="17" t="n"/>
      <c r="D25" s="17" t="n"/>
      <c r="E25" s="17" t="n"/>
      <c r="F25" s="17" t="n"/>
      <c r="G25" s="17" t="n"/>
      <c r="H25" s="17" t="n"/>
      <c r="I25" s="17" t="n"/>
      <c r="J25" s="17" t="n"/>
      <c r="K25" s="17" t="n"/>
      <c r="L25" s="17" t="n"/>
      <c r="M25" s="17" t="n"/>
    </row>
    <row r="26">
      <c r="A26" s="25" t="n"/>
      <c r="B26" s="17" t="n"/>
      <c r="C26" s="17" t="n"/>
      <c r="D26" s="17" t="n"/>
      <c r="E26" s="17" t="n"/>
      <c r="F26" s="17" t="n"/>
      <c r="G26" s="17" t="n"/>
      <c r="H26" s="17" t="n"/>
      <c r="I26" s="17" t="n"/>
      <c r="J26" s="17" t="n"/>
      <c r="K26" s="17" t="n"/>
      <c r="L26" s="17" t="n"/>
      <c r="M26" s="17" t="n"/>
    </row>
    <row r="27">
      <c r="A27" s="25" t="n"/>
      <c r="B27" s="17" t="n"/>
      <c r="C27" s="17" t="n"/>
      <c r="D27" s="17" t="n"/>
      <c r="E27" s="17" t="n"/>
      <c r="F27" s="17" t="n"/>
      <c r="G27" s="17" t="n"/>
      <c r="H27" s="17" t="n"/>
      <c r="I27" s="17" t="n"/>
      <c r="J27" s="17" t="n"/>
      <c r="K27" s="17" t="n"/>
      <c r="L27" s="17" t="n"/>
      <c r="M27" s="17" t="n"/>
    </row>
    <row r="28">
      <c r="A28" s="25" t="n"/>
      <c r="B28" s="17" t="n"/>
      <c r="C28" s="17" t="n"/>
      <c r="D28" s="17" t="n"/>
      <c r="E28" s="17" t="n"/>
      <c r="F28" s="17" t="n"/>
      <c r="G28" s="17" t="n"/>
      <c r="H28" s="17" t="n"/>
      <c r="I28" s="17" t="n"/>
      <c r="J28" s="17" t="n"/>
      <c r="K28" s="17" t="n"/>
      <c r="L28" s="17" t="n"/>
      <c r="M28" s="17" t="n"/>
    </row>
    <row r="29">
      <c r="A29" s="25" t="n"/>
      <c r="B29" s="17" t="n"/>
      <c r="C29" s="17" t="n"/>
      <c r="D29" s="17" t="n"/>
      <c r="E29" s="17" t="n"/>
      <c r="F29" s="17" t="n"/>
      <c r="G29" s="17" t="n"/>
      <c r="H29" s="17" t="n"/>
      <c r="I29" s="17" t="n"/>
      <c r="J29" s="17" t="n"/>
      <c r="K29" s="17" t="n"/>
      <c r="L29" s="17" t="n"/>
      <c r="M29" s="17" t="n"/>
    </row>
    <row r="30">
      <c r="A30" s="25" t="n"/>
      <c r="B30" s="17" t="n"/>
      <c r="C30" s="17" t="n"/>
      <c r="D30" s="17" t="n"/>
      <c r="E30" s="17" t="n"/>
      <c r="F30" s="17" t="n"/>
      <c r="G30" s="17" t="n"/>
      <c r="H30" s="17" t="n"/>
      <c r="I30" s="17" t="n"/>
      <c r="J30" s="17" t="n"/>
      <c r="K30" s="17" t="n"/>
      <c r="L30" s="17" t="n"/>
      <c r="M30" s="17" t="n"/>
    </row>
    <row r="31">
      <c r="A31" s="25" t="n"/>
      <c r="B31" s="17" t="n"/>
      <c r="C31" s="17" t="n"/>
      <c r="D31" s="17" t="n"/>
      <c r="E31" s="17" t="n"/>
      <c r="F31" s="17" t="n"/>
      <c r="G31" s="17" t="n"/>
      <c r="H31" s="17" t="n"/>
      <c r="I31" s="17" t="n"/>
      <c r="J31" s="17" t="n"/>
      <c r="K31" s="17" t="n"/>
      <c r="L31" s="17" t="n"/>
      <c r="M31" s="17" t="n"/>
    </row>
    <row r="32">
      <c r="A32" s="25" t="n"/>
      <c r="B32" s="17" t="n"/>
      <c r="C32" s="17" t="n"/>
      <c r="D32" s="17" t="n"/>
      <c r="E32" s="17" t="n"/>
      <c r="F32" s="17" t="n"/>
      <c r="G32" s="17" t="n"/>
      <c r="H32" s="17" t="n"/>
      <c r="I32" s="17" t="n"/>
      <c r="J32" s="17" t="n"/>
      <c r="K32" s="17" t="n"/>
      <c r="L32" s="17" t="n"/>
      <c r="M32" s="17" t="n"/>
    </row>
    <row r="33">
      <c r="A33" s="25" t="n"/>
      <c r="B33" s="17" t="n"/>
      <c r="C33" s="17" t="n"/>
      <c r="D33" s="17" t="n"/>
      <c r="E33" s="17" t="n"/>
      <c r="F33" s="17" t="n"/>
      <c r="G33" s="17" t="n"/>
      <c r="H33" s="17" t="n"/>
      <c r="I33" s="17" t="n"/>
      <c r="J33" s="17" t="n"/>
      <c r="K33" s="17" t="n"/>
      <c r="L33" s="17" t="n"/>
      <c r="M33" s="17" t="n"/>
    </row>
    <row r="34">
      <c r="A34" s="25" t="n"/>
      <c r="B34" s="17" t="n"/>
      <c r="C34" s="17" t="n"/>
      <c r="D34" s="17" t="n"/>
      <c r="E34" s="17" t="n"/>
      <c r="F34" s="17" t="n"/>
      <c r="G34" s="17" t="n"/>
      <c r="H34" s="17" t="n"/>
      <c r="I34" s="17" t="n"/>
      <c r="J34" s="17" t="n"/>
      <c r="K34" s="17" t="n"/>
      <c r="L34" s="17" t="n"/>
      <c r="M34" s="17" t="n"/>
    </row>
    <row r="35">
      <c r="A35" s="25" t="n"/>
      <c r="B35" s="17" t="n"/>
      <c r="C35" s="17" t="n"/>
      <c r="D35" s="17" t="n"/>
      <c r="E35" s="17" t="n"/>
      <c r="F35" s="17" t="n"/>
      <c r="G35" s="17" t="n"/>
      <c r="H35" s="17" t="n"/>
      <c r="I35" s="17" t="n"/>
      <c r="J35" s="17" t="n"/>
      <c r="K35" s="17" t="n"/>
      <c r="L35" s="17" t="n"/>
      <c r="M35" s="17" t="n"/>
    </row>
    <row r="36">
      <c r="A36" s="25" t="n"/>
      <c r="B36" s="17" t="n"/>
      <c r="C36" s="17" t="n"/>
      <c r="D36" s="17" t="n"/>
      <c r="E36" s="17" t="n"/>
      <c r="F36" s="17" t="n"/>
      <c r="G36" s="17" t="n"/>
      <c r="H36" s="17" t="n"/>
      <c r="I36" s="17" t="n"/>
      <c r="J36" s="17" t="n"/>
      <c r="K36" s="17" t="n"/>
      <c r="L36" s="17" t="n"/>
      <c r="M36" s="17" t="n"/>
    </row>
    <row r="37">
      <c r="A37" s="25" t="n"/>
      <c r="B37" s="17" t="n"/>
      <c r="C37" s="17" t="n"/>
      <c r="D37" s="17" t="n"/>
      <c r="E37" s="17" t="n"/>
      <c r="F37" s="17" t="n"/>
      <c r="G37" s="17" t="n"/>
      <c r="H37" s="17" t="n"/>
      <c r="I37" s="17" t="n"/>
      <c r="J37" s="17" t="n"/>
      <c r="K37" s="17" t="n"/>
      <c r="L37" s="17" t="n"/>
      <c r="M37" s="17" t="n"/>
    </row>
    <row r="38">
      <c r="A38" s="25" t="n"/>
      <c r="B38" s="17" t="n"/>
      <c r="C38" s="17" t="n"/>
      <c r="D38" s="17" t="n"/>
      <c r="E38" s="17" t="n"/>
      <c r="F38" s="17" t="n"/>
      <c r="G38" s="17" t="n"/>
      <c r="H38" s="17" t="n"/>
      <c r="I38" s="17" t="n"/>
      <c r="J38" s="17" t="n"/>
      <c r="K38" s="17" t="n"/>
      <c r="L38" s="17" t="n"/>
      <c r="M38" s="17" t="n"/>
    </row>
    <row r="39">
      <c r="A39" s="25" t="n"/>
      <c r="B39" s="17" t="n"/>
      <c r="C39" s="17" t="n"/>
      <c r="D39" s="17" t="n"/>
      <c r="E39" s="17" t="n"/>
      <c r="F39" s="17" t="n"/>
      <c r="G39" s="17" t="n"/>
      <c r="H39" s="17" t="n"/>
      <c r="I39" s="17" t="n"/>
      <c r="J39" s="17" t="n"/>
      <c r="K39" s="17" t="n"/>
      <c r="L39" s="17" t="n"/>
      <c r="M39" s="17" t="n"/>
    </row>
    <row r="40">
      <c r="A40" s="25" t="n"/>
      <c r="B40" s="17" t="n"/>
      <c r="C40" s="17" t="n"/>
      <c r="D40" s="17" t="n"/>
      <c r="E40" s="17" t="n"/>
      <c r="F40" s="17" t="n"/>
      <c r="G40" s="17" t="n"/>
      <c r="H40" s="17" t="n"/>
      <c r="I40" s="17" t="n"/>
      <c r="J40" s="17" t="n"/>
      <c r="K40" s="17" t="n"/>
      <c r="L40" s="17" t="n"/>
      <c r="M40" s="17" t="n"/>
    </row>
    <row r="41">
      <c r="A41" s="25" t="n"/>
      <c r="B41" s="17" t="n"/>
      <c r="C41" s="17" t="n"/>
      <c r="D41" s="17" t="n"/>
      <c r="E41" s="17" t="n"/>
      <c r="F41" s="17" t="n"/>
      <c r="G41" s="17" t="n"/>
      <c r="H41" s="17" t="n"/>
      <c r="I41" s="17" t="n"/>
      <c r="J41" s="17" t="n"/>
      <c r="K41" s="17" t="n"/>
      <c r="L41" s="17" t="n"/>
      <c r="M41" s="17" t="n"/>
    </row>
    <row r="42">
      <c r="A42" s="25" t="n"/>
      <c r="B42" s="17" t="n"/>
      <c r="C42" s="17" t="n"/>
      <c r="D42" s="17" t="n"/>
      <c r="E42" s="17" t="n"/>
      <c r="F42" s="17" t="n"/>
      <c r="G42" s="17" t="n"/>
      <c r="H42" s="17" t="n"/>
      <c r="I42" s="17" t="n"/>
      <c r="J42" s="17" t="n"/>
      <c r="K42" s="17" t="n"/>
      <c r="L42" s="17" t="n"/>
      <c r="M42" s="17" t="n"/>
    </row>
    <row r="43">
      <c r="A43" s="25" t="n"/>
      <c r="B43" s="17" t="n"/>
      <c r="C43" s="17" t="n"/>
      <c r="D43" s="17" t="n"/>
      <c r="E43" s="17" t="n"/>
      <c r="F43" s="17" t="n"/>
      <c r="G43" s="17" t="n"/>
      <c r="H43" s="17" t="n"/>
      <c r="I43" s="17" t="n"/>
      <c r="J43" s="17" t="n"/>
      <c r="K43" s="17" t="n"/>
      <c r="L43" s="17" t="n"/>
      <c r="M43" s="17" t="n"/>
    </row>
    <row r="44">
      <c r="A44" s="25" t="n"/>
      <c r="B44" s="17" t="n"/>
      <c r="C44" s="17" t="n"/>
      <c r="D44" s="17" t="n"/>
      <c r="E44" s="17" t="n"/>
      <c r="F44" s="17" t="n"/>
      <c r="G44" s="17" t="n"/>
      <c r="H44" s="17" t="n"/>
      <c r="I44" s="17" t="n"/>
      <c r="J44" s="17" t="n"/>
      <c r="K44" s="17" t="n"/>
      <c r="L44" s="17" t="n"/>
      <c r="M44" s="17" t="n"/>
    </row>
    <row r="45">
      <c r="A45" s="25" t="n"/>
      <c r="B45" s="17" t="n"/>
      <c r="C45" s="17" t="n"/>
      <c r="D45" s="17" t="n"/>
      <c r="E45" s="17" t="n"/>
      <c r="F45" s="17" t="n"/>
      <c r="G45" s="17" t="n"/>
      <c r="H45" s="17" t="n"/>
      <c r="I45" s="17" t="n"/>
      <c r="J45" s="17" t="n"/>
      <c r="K45" s="17" t="n"/>
      <c r="L45" s="17" t="n"/>
      <c r="M45" s="17" t="n"/>
    </row>
    <row r="46">
      <c r="A46" s="25" t="n"/>
      <c r="B46" s="17" t="n"/>
      <c r="C46" s="17" t="n"/>
      <c r="D46" s="17" t="n"/>
      <c r="E46" s="17" t="n"/>
      <c r="F46" s="17" t="n"/>
      <c r="G46" s="17" t="n"/>
      <c r="H46" s="17" t="n"/>
      <c r="I46" s="17" t="n"/>
      <c r="J46" s="17" t="n"/>
      <c r="K46" s="17" t="n"/>
      <c r="L46" s="17" t="n"/>
      <c r="M46" s="17" t="n"/>
    </row>
    <row r="47">
      <c r="A47" s="25" t="n"/>
      <c r="B47" s="17" t="n"/>
      <c r="C47" s="17" t="n"/>
      <c r="D47" s="17" t="n"/>
      <c r="E47" s="17" t="n"/>
      <c r="F47" s="17" t="n"/>
      <c r="G47" s="17" t="n"/>
      <c r="H47" s="17" t="n"/>
      <c r="I47" s="17" t="n"/>
      <c r="J47" s="17" t="n"/>
      <c r="K47" s="17" t="n"/>
      <c r="L47" s="17" t="n"/>
      <c r="M47" s="17" t="n"/>
    </row>
    <row r="48">
      <c r="A48" s="25" t="n"/>
      <c r="B48" s="17" t="n"/>
      <c r="C48" s="17" t="n"/>
      <c r="D48" s="17" t="n"/>
      <c r="E48" s="17" t="n"/>
      <c r="F48" s="17" t="n"/>
      <c r="G48" s="17" t="n"/>
      <c r="H48" s="17" t="n"/>
      <c r="I48" s="17" t="n"/>
      <c r="J48" s="17" t="n"/>
      <c r="K48" s="17" t="n"/>
      <c r="L48" s="17" t="n"/>
      <c r="M48" s="17" t="n"/>
    </row>
    <row r="49">
      <c r="A49" s="25" t="n"/>
      <c r="B49" s="17" t="n"/>
      <c r="C49" s="17" t="n"/>
      <c r="D49" s="17" t="n"/>
      <c r="E49" s="17" t="n"/>
      <c r="F49" s="17" t="n"/>
      <c r="G49" s="17" t="n"/>
      <c r="H49" s="17" t="n"/>
      <c r="I49" s="17" t="n"/>
      <c r="J49" s="17" t="n"/>
      <c r="K49" s="17" t="n"/>
      <c r="L49" s="17" t="n"/>
      <c r="M49" s="17" t="n"/>
    </row>
    <row r="50">
      <c r="A50" s="25" t="n"/>
      <c r="B50" s="17" t="n"/>
      <c r="C50" s="17" t="n"/>
      <c r="D50" s="17" t="n"/>
      <c r="E50" s="17" t="n"/>
      <c r="F50" s="17" t="n"/>
      <c r="G50" s="17" t="n"/>
      <c r="H50" s="17" t="n"/>
      <c r="I50" s="17" t="n"/>
      <c r="J50" s="17" t="n"/>
      <c r="K50" s="17" t="n"/>
      <c r="L50" s="17" t="n"/>
      <c r="M50" s="17" t="n"/>
    </row>
    <row r="51">
      <c r="A51" s="25" t="n"/>
      <c r="B51" s="17" t="n"/>
      <c r="C51" s="17" t="n"/>
      <c r="D51" s="17" t="n"/>
      <c r="E51" s="17" t="n"/>
      <c r="F51" s="17" t="n"/>
      <c r="G51" s="17" t="n"/>
      <c r="H51" s="17" t="n"/>
      <c r="I51" s="17" t="n"/>
      <c r="J51" s="17" t="n"/>
      <c r="K51" s="17" t="n"/>
      <c r="L51" s="17" t="n"/>
      <c r="M51" s="17" t="n"/>
    </row>
    <row r="52">
      <c r="A52" s="25" t="n"/>
      <c r="B52" s="17" t="n"/>
      <c r="C52" s="17" t="n"/>
      <c r="D52" s="17" t="n"/>
      <c r="E52" s="17" t="n"/>
      <c r="F52" s="17" t="n"/>
      <c r="G52" s="17" t="n"/>
      <c r="H52" s="17" t="n"/>
      <c r="I52" s="17" t="n"/>
      <c r="J52" s="17" t="n"/>
      <c r="K52" s="17" t="n"/>
      <c r="L52" s="17" t="n"/>
      <c r="M52" s="17" t="n"/>
    </row>
    <row r="53">
      <c r="A53" s="25" t="n"/>
      <c r="B53" s="17" t="n"/>
      <c r="C53" s="17" t="n"/>
      <c r="D53" s="17" t="n"/>
      <c r="E53" s="17" t="n"/>
      <c r="F53" s="17" t="n"/>
      <c r="G53" s="17" t="n"/>
      <c r="H53" s="17" t="n"/>
      <c r="I53" s="17" t="n"/>
      <c r="J53" s="17" t="n"/>
      <c r="K53" s="17" t="n"/>
      <c r="L53" s="17" t="n"/>
      <c r="M53" s="17" t="n"/>
    </row>
    <row r="54">
      <c r="A54" s="25" t="n"/>
      <c r="B54" s="17" t="n"/>
      <c r="C54" s="17" t="n"/>
      <c r="D54" s="17" t="n"/>
      <c r="E54" s="17" t="n"/>
      <c r="F54" s="17" t="n"/>
      <c r="G54" s="17" t="n"/>
      <c r="H54" s="17" t="n"/>
      <c r="I54" s="17" t="n"/>
      <c r="J54" s="17" t="n"/>
      <c r="K54" s="17" t="n"/>
      <c r="L54" s="17" t="n"/>
      <c r="M54" s="17" t="n"/>
    </row>
    <row r="55">
      <c r="A55" s="25" t="n"/>
      <c r="B55" s="17" t="n"/>
      <c r="C55" s="17" t="n"/>
      <c r="D55" s="17" t="n"/>
      <c r="E55" s="17" t="n"/>
      <c r="F55" s="17" t="n"/>
      <c r="G55" s="17" t="n"/>
      <c r="H55" s="17" t="n"/>
      <c r="I55" s="17" t="n"/>
      <c r="J55" s="17" t="n"/>
      <c r="K55" s="17" t="n"/>
      <c r="L55" s="17" t="n"/>
      <c r="M55" s="17" t="n"/>
    </row>
  </sheetData>
  <mergeCells count="2">
    <mergeCell ref="A2:M2"/>
    <mergeCell ref="A1:M1"/>
  </mergeCells>
  <dataValidations count="2">
    <dataValidation sqref="E5 E6 E7 E8 E9 E10 E11 E12 E13 E14 E15 E16 E17 E18 E19 E20 E21 E22 E23 E24 E25 E26 E27 E28 E29 E30 E31 E32 E33 E34 E35 E36 E37 E38 E39 E40 E41 E42 E43 E44 E45 E46 E47 E48 E49 E50 E51 E52 E53 E54 E55" showDropDown="0" showInputMessage="0" showErrorMessage="0" allowBlank="0" type="list">
      <formula1>"Critical,High,Medium,Low"</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0" type="list">
      <formula1>"Open,In Progress,Resolved,Closed,On Hold"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6"/>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40" customWidth="1" min="3" max="3"/>
    <col width="18" customWidth="1" min="4" max="4"/>
    <col width="25" customWidth="1" min="5" max="5"/>
    <col width="35" customWidth="1" min="6" max="6"/>
    <col width="15" customWidth="1" min="7" max="7"/>
    <col width="18" customWidth="1" min="8" max="8"/>
  </cols>
  <sheetData>
    <row r="1" ht="35" customHeight="1">
      <c r="A1" s="26" t="inlineStr">
        <is>
          <t>EVIDENCE REGISTER</t>
        </is>
      </c>
    </row>
    <row r="2">
      <c r="A2" s="27" t="inlineStr">
        <is>
          <t>Comprehensive evidence documentation for software controls assessment (100 evidence entries)</t>
        </is>
      </c>
    </row>
    <row r="4">
      <c r="A4" s="28" t="inlineStr">
        <is>
          <t>Evidence ID</t>
        </is>
      </c>
      <c r="B4" s="28" t="inlineStr">
        <is>
          <t>Evidence Type</t>
        </is>
      </c>
      <c r="C4" s="28" t="inlineStr">
        <is>
          <t>Description</t>
        </is>
      </c>
      <c r="D4" s="28" t="inlineStr">
        <is>
          <t>Related Requirement</t>
        </is>
      </c>
      <c r="E4" s="28" t="inlineStr">
        <is>
          <t>Related Worksheet/Device</t>
        </is>
      </c>
      <c r="F4" s="28" t="inlineStr">
        <is>
          <t>File Location</t>
        </is>
      </c>
      <c r="G4" s="28" t="inlineStr">
        <is>
          <t>Collection Date</t>
        </is>
      </c>
      <c r="H4" s="28" t="inlineStr">
        <is>
          <t>Collected By</t>
        </is>
      </c>
    </row>
    <row r="5">
      <c r="A5" s="15" t="inlineStr">
        <is>
          <t>EV-001</t>
        </is>
      </c>
      <c r="B5" s="15" t="inlineStr">
        <is>
          <t>Inventory Report</t>
        </is>
      </c>
      <c r="C5" s="15" t="inlineStr">
        <is>
          <t>Example: Approved software catalog export</t>
        </is>
      </c>
      <c r="D5" s="15" t="inlineStr">
        <is>
          <t>A.8.19 Approved Software</t>
        </is>
      </c>
      <c r="E5" s="15" t="inlineStr">
        <is>
          <t>Approved Software sheet row 6</t>
        </is>
      </c>
      <c r="F5" s="15" t="inlineStr">
        <is>
          <t>/evidence/A.8.19/sw-catalog-export.xlsx</t>
        </is>
      </c>
      <c r="G5" s="15" t="inlineStr">
        <is>
          <t>20.02.2026</t>
        </is>
      </c>
      <c r="H5" s="15" t="inlineStr">
        <is>
          <t>IT Security Team</t>
        </is>
      </c>
    </row>
    <row r="6">
      <c r="A6" s="20" t="n"/>
      <c r="B6" s="17" t="n"/>
      <c r="C6" s="17" t="n"/>
      <c r="D6" s="17" t="n"/>
      <c r="E6" s="17" t="n"/>
      <c r="F6" s="17" t="n"/>
      <c r="G6" s="17" t="n"/>
      <c r="H6" s="17" t="n"/>
    </row>
    <row r="7">
      <c r="A7" s="20" t="n"/>
      <c r="B7" s="17" t="n"/>
      <c r="C7" s="17" t="n"/>
      <c r="D7" s="17" t="n"/>
      <c r="E7" s="17" t="n"/>
      <c r="F7" s="17" t="n"/>
      <c r="G7" s="17" t="n"/>
      <c r="H7" s="17" t="n"/>
    </row>
    <row r="8">
      <c r="A8" s="20" t="n"/>
      <c r="B8" s="17" t="n"/>
      <c r="C8" s="17" t="n"/>
      <c r="D8" s="17" t="n"/>
      <c r="E8" s="17" t="n"/>
      <c r="F8" s="17" t="n"/>
      <c r="G8" s="17" t="n"/>
      <c r="H8" s="17" t="n"/>
    </row>
    <row r="9">
      <c r="A9" s="20" t="n"/>
      <c r="B9" s="17" t="n"/>
      <c r="C9" s="17" t="n"/>
      <c r="D9" s="17" t="n"/>
      <c r="E9" s="17" t="n"/>
      <c r="F9" s="17" t="n"/>
      <c r="G9" s="17" t="n"/>
      <c r="H9" s="17" t="n"/>
    </row>
    <row r="10">
      <c r="A10" s="20" t="n"/>
      <c r="B10" s="17" t="n"/>
      <c r="C10" s="17" t="n"/>
      <c r="D10" s="17" t="n"/>
      <c r="E10" s="17" t="n"/>
      <c r="F10" s="17" t="n"/>
      <c r="G10" s="17" t="n"/>
      <c r="H10" s="17" t="n"/>
    </row>
    <row r="11">
      <c r="A11" s="20" t="n"/>
      <c r="B11" s="17" t="n"/>
      <c r="C11" s="17" t="n"/>
      <c r="D11" s="17" t="n"/>
      <c r="E11" s="17" t="n"/>
      <c r="F11" s="17" t="n"/>
      <c r="G11" s="17" t="n"/>
      <c r="H11" s="17" t="n"/>
    </row>
    <row r="12">
      <c r="A12" s="20" t="n"/>
      <c r="B12" s="17" t="n"/>
      <c r="C12" s="17" t="n"/>
      <c r="D12" s="17" t="n"/>
      <c r="E12" s="17" t="n"/>
      <c r="F12" s="17" t="n"/>
      <c r="G12" s="17" t="n"/>
      <c r="H12" s="17" t="n"/>
    </row>
    <row r="13">
      <c r="A13" s="20" t="n"/>
      <c r="B13" s="17" t="n"/>
      <c r="C13" s="17" t="n"/>
      <c r="D13" s="17" t="n"/>
      <c r="E13" s="17" t="n"/>
      <c r="F13" s="17" t="n"/>
      <c r="G13" s="17" t="n"/>
      <c r="H13" s="17" t="n"/>
    </row>
    <row r="14">
      <c r="A14" s="20" t="n"/>
      <c r="B14" s="17" t="n"/>
      <c r="C14" s="17" t="n"/>
      <c r="D14" s="17" t="n"/>
      <c r="E14" s="17" t="n"/>
      <c r="F14" s="17" t="n"/>
      <c r="G14" s="17" t="n"/>
      <c r="H14" s="17" t="n"/>
    </row>
    <row r="15">
      <c r="A15" s="20" t="n"/>
      <c r="B15" s="17" t="n"/>
      <c r="C15" s="17" t="n"/>
      <c r="D15" s="17" t="n"/>
      <c r="E15" s="17" t="n"/>
      <c r="F15" s="17" t="n"/>
      <c r="G15" s="17" t="n"/>
      <c r="H15" s="17" t="n"/>
    </row>
    <row r="16">
      <c r="A16" s="20" t="n"/>
      <c r="B16" s="17" t="n"/>
      <c r="C16" s="17" t="n"/>
      <c r="D16" s="17" t="n"/>
      <c r="E16" s="17" t="n"/>
      <c r="F16" s="17" t="n"/>
      <c r="G16" s="17" t="n"/>
      <c r="H16" s="17" t="n"/>
    </row>
    <row r="17">
      <c r="A17" s="20" t="n"/>
      <c r="B17" s="17" t="n"/>
      <c r="C17" s="17" t="n"/>
      <c r="D17" s="17" t="n"/>
      <c r="E17" s="17" t="n"/>
      <c r="F17" s="17" t="n"/>
      <c r="G17" s="17" t="n"/>
      <c r="H17" s="17" t="n"/>
    </row>
    <row r="18">
      <c r="A18" s="20" t="n"/>
      <c r="B18" s="17" t="n"/>
      <c r="C18" s="17" t="n"/>
      <c r="D18" s="17" t="n"/>
      <c r="E18" s="17" t="n"/>
      <c r="F18" s="17" t="n"/>
      <c r="G18" s="17" t="n"/>
      <c r="H18" s="17" t="n"/>
    </row>
    <row r="19">
      <c r="A19" s="20" t="n"/>
      <c r="B19" s="17" t="n"/>
      <c r="C19" s="17" t="n"/>
      <c r="D19" s="17" t="n"/>
      <c r="E19" s="17" t="n"/>
      <c r="F19" s="17" t="n"/>
      <c r="G19" s="17" t="n"/>
      <c r="H19" s="17" t="n"/>
    </row>
    <row r="20">
      <c r="A20" s="20" t="n"/>
      <c r="B20" s="17" t="n"/>
      <c r="C20" s="17" t="n"/>
      <c r="D20" s="17" t="n"/>
      <c r="E20" s="17" t="n"/>
      <c r="F20" s="17" t="n"/>
      <c r="G20" s="17" t="n"/>
      <c r="H20" s="17" t="n"/>
    </row>
    <row r="21">
      <c r="A21" s="20" t="n"/>
      <c r="B21" s="17" t="n"/>
      <c r="C21" s="17" t="n"/>
      <c r="D21" s="17" t="n"/>
      <c r="E21" s="17" t="n"/>
      <c r="F21" s="17" t="n"/>
      <c r="G21" s="17" t="n"/>
      <c r="H21" s="17" t="n"/>
    </row>
    <row r="22">
      <c r="A22" s="20" t="n"/>
      <c r="B22" s="17" t="n"/>
      <c r="C22" s="17" t="n"/>
      <c r="D22" s="17" t="n"/>
      <c r="E22" s="17" t="n"/>
      <c r="F22" s="17" t="n"/>
      <c r="G22" s="17" t="n"/>
      <c r="H22" s="17" t="n"/>
    </row>
    <row r="23">
      <c r="A23" s="20" t="n"/>
      <c r="B23" s="17" t="n"/>
      <c r="C23" s="17" t="n"/>
      <c r="D23" s="17" t="n"/>
      <c r="E23" s="17" t="n"/>
      <c r="F23" s="17" t="n"/>
      <c r="G23" s="17" t="n"/>
      <c r="H23" s="17" t="n"/>
    </row>
    <row r="24">
      <c r="A24" s="20" t="n"/>
      <c r="B24" s="17" t="n"/>
      <c r="C24" s="17" t="n"/>
      <c r="D24" s="17" t="n"/>
      <c r="E24" s="17" t="n"/>
      <c r="F24" s="17" t="n"/>
      <c r="G24" s="17" t="n"/>
      <c r="H24" s="17" t="n"/>
    </row>
    <row r="25">
      <c r="A25" s="20" t="n"/>
      <c r="B25" s="17" t="n"/>
      <c r="C25" s="17" t="n"/>
      <c r="D25" s="17" t="n"/>
      <c r="E25" s="17" t="n"/>
      <c r="F25" s="17" t="n"/>
      <c r="G25" s="17" t="n"/>
      <c r="H25" s="17" t="n"/>
    </row>
    <row r="26">
      <c r="A26" s="20" t="n"/>
      <c r="B26" s="17" t="n"/>
      <c r="C26" s="17" t="n"/>
      <c r="D26" s="17" t="n"/>
      <c r="E26" s="17" t="n"/>
      <c r="F26" s="17" t="n"/>
      <c r="G26" s="17" t="n"/>
      <c r="H26" s="17" t="n"/>
    </row>
    <row r="27">
      <c r="A27" s="20" t="n"/>
      <c r="B27" s="17" t="n"/>
      <c r="C27" s="17" t="n"/>
      <c r="D27" s="17" t="n"/>
      <c r="E27" s="17" t="n"/>
      <c r="F27" s="17" t="n"/>
      <c r="G27" s="17" t="n"/>
      <c r="H27" s="17" t="n"/>
    </row>
    <row r="28">
      <c r="A28" s="20" t="n"/>
      <c r="B28" s="17" t="n"/>
      <c r="C28" s="17" t="n"/>
      <c r="D28" s="17" t="n"/>
      <c r="E28" s="17" t="n"/>
      <c r="F28" s="17" t="n"/>
      <c r="G28" s="17" t="n"/>
      <c r="H28" s="17" t="n"/>
    </row>
    <row r="29">
      <c r="A29" s="20" t="n"/>
      <c r="B29" s="17" t="n"/>
      <c r="C29" s="17" t="n"/>
      <c r="D29" s="17" t="n"/>
      <c r="E29" s="17" t="n"/>
      <c r="F29" s="17" t="n"/>
      <c r="G29" s="17" t="n"/>
      <c r="H29" s="17" t="n"/>
    </row>
    <row r="30">
      <c r="A30" s="20" t="n"/>
      <c r="B30" s="17" t="n"/>
      <c r="C30" s="17" t="n"/>
      <c r="D30" s="17" t="n"/>
      <c r="E30" s="17" t="n"/>
      <c r="F30" s="17" t="n"/>
      <c r="G30" s="17" t="n"/>
      <c r="H30" s="17" t="n"/>
    </row>
    <row r="31">
      <c r="A31" s="20" t="n"/>
      <c r="B31" s="17" t="n"/>
      <c r="C31" s="17" t="n"/>
      <c r="D31" s="17" t="n"/>
      <c r="E31" s="17" t="n"/>
      <c r="F31" s="17" t="n"/>
      <c r="G31" s="17" t="n"/>
      <c r="H31" s="17" t="n"/>
    </row>
    <row r="32">
      <c r="A32" s="20" t="n"/>
      <c r="B32" s="17" t="n"/>
      <c r="C32" s="17" t="n"/>
      <c r="D32" s="17" t="n"/>
      <c r="E32" s="17" t="n"/>
      <c r="F32" s="17" t="n"/>
      <c r="G32" s="17" t="n"/>
      <c r="H32" s="17" t="n"/>
    </row>
    <row r="33">
      <c r="A33" s="20" t="n"/>
      <c r="B33" s="17" t="n"/>
      <c r="C33" s="17" t="n"/>
      <c r="D33" s="17" t="n"/>
      <c r="E33" s="17" t="n"/>
      <c r="F33" s="17" t="n"/>
      <c r="G33" s="17" t="n"/>
      <c r="H33" s="17" t="n"/>
    </row>
    <row r="34">
      <c r="A34" s="20" t="n"/>
      <c r="B34" s="17" t="n"/>
      <c r="C34" s="17" t="n"/>
      <c r="D34" s="17" t="n"/>
      <c r="E34" s="17" t="n"/>
      <c r="F34" s="17" t="n"/>
      <c r="G34" s="17" t="n"/>
      <c r="H34" s="17" t="n"/>
    </row>
    <row r="35">
      <c r="A35" s="20" t="n"/>
      <c r="B35" s="17" t="n"/>
      <c r="C35" s="17" t="n"/>
      <c r="D35" s="17" t="n"/>
      <c r="E35" s="17" t="n"/>
      <c r="F35" s="17" t="n"/>
      <c r="G35" s="17" t="n"/>
      <c r="H35" s="17" t="n"/>
    </row>
    <row r="36">
      <c r="A36" s="20" t="n"/>
      <c r="B36" s="17" t="n"/>
      <c r="C36" s="17" t="n"/>
      <c r="D36" s="17" t="n"/>
      <c r="E36" s="17" t="n"/>
      <c r="F36" s="17" t="n"/>
      <c r="G36" s="17" t="n"/>
      <c r="H36" s="17" t="n"/>
    </row>
    <row r="37">
      <c r="A37" s="20" t="n"/>
      <c r="B37" s="17" t="n"/>
      <c r="C37" s="17" t="n"/>
      <c r="D37" s="17" t="n"/>
      <c r="E37" s="17" t="n"/>
      <c r="F37" s="17" t="n"/>
      <c r="G37" s="17" t="n"/>
      <c r="H37" s="17" t="n"/>
    </row>
    <row r="38">
      <c r="A38" s="20" t="n"/>
      <c r="B38" s="17" t="n"/>
      <c r="C38" s="17" t="n"/>
      <c r="D38" s="17" t="n"/>
      <c r="E38" s="17" t="n"/>
      <c r="F38" s="17" t="n"/>
      <c r="G38" s="17" t="n"/>
      <c r="H38" s="17" t="n"/>
    </row>
    <row r="39">
      <c r="A39" s="20" t="n"/>
      <c r="B39" s="17" t="n"/>
      <c r="C39" s="17" t="n"/>
      <c r="D39" s="17" t="n"/>
      <c r="E39" s="17" t="n"/>
      <c r="F39" s="17" t="n"/>
      <c r="G39" s="17" t="n"/>
      <c r="H39" s="17" t="n"/>
    </row>
    <row r="40">
      <c r="A40" s="20" t="n"/>
      <c r="B40" s="17" t="n"/>
      <c r="C40" s="17" t="n"/>
      <c r="D40" s="17" t="n"/>
      <c r="E40" s="17" t="n"/>
      <c r="F40" s="17" t="n"/>
      <c r="G40" s="17" t="n"/>
      <c r="H40" s="17" t="n"/>
    </row>
    <row r="41">
      <c r="A41" s="20" t="n"/>
      <c r="B41" s="17" t="n"/>
      <c r="C41" s="17" t="n"/>
      <c r="D41" s="17" t="n"/>
      <c r="E41" s="17" t="n"/>
      <c r="F41" s="17" t="n"/>
      <c r="G41" s="17" t="n"/>
      <c r="H41" s="17" t="n"/>
    </row>
    <row r="42">
      <c r="A42" s="20" t="n"/>
      <c r="B42" s="17" t="n"/>
      <c r="C42" s="17" t="n"/>
      <c r="D42" s="17" t="n"/>
      <c r="E42" s="17" t="n"/>
      <c r="F42" s="17" t="n"/>
      <c r="G42" s="17" t="n"/>
      <c r="H42" s="17" t="n"/>
    </row>
    <row r="43">
      <c r="A43" s="20" t="n"/>
      <c r="B43" s="17" t="n"/>
      <c r="C43" s="17" t="n"/>
      <c r="D43" s="17" t="n"/>
      <c r="E43" s="17" t="n"/>
      <c r="F43" s="17" t="n"/>
      <c r="G43" s="17" t="n"/>
      <c r="H43" s="17" t="n"/>
    </row>
    <row r="44">
      <c r="A44" s="20" t="n"/>
      <c r="B44" s="17" t="n"/>
      <c r="C44" s="17" t="n"/>
      <c r="D44" s="17" t="n"/>
      <c r="E44" s="17" t="n"/>
      <c r="F44" s="17" t="n"/>
      <c r="G44" s="17" t="n"/>
      <c r="H44" s="17" t="n"/>
    </row>
    <row r="45">
      <c r="A45" s="20" t="n"/>
      <c r="B45" s="17" t="n"/>
      <c r="C45" s="17" t="n"/>
      <c r="D45" s="17" t="n"/>
      <c r="E45" s="17" t="n"/>
      <c r="F45" s="17" t="n"/>
      <c r="G45" s="17" t="n"/>
      <c r="H45" s="17" t="n"/>
    </row>
    <row r="46">
      <c r="A46" s="20" t="n"/>
      <c r="B46" s="17" t="n"/>
      <c r="C46" s="17" t="n"/>
      <c r="D46" s="17" t="n"/>
      <c r="E46" s="17" t="n"/>
      <c r="F46" s="17" t="n"/>
      <c r="G46" s="17" t="n"/>
      <c r="H46" s="17" t="n"/>
    </row>
    <row r="47">
      <c r="A47" s="20" t="n"/>
      <c r="B47" s="17" t="n"/>
      <c r="C47" s="17" t="n"/>
      <c r="D47" s="17" t="n"/>
      <c r="E47" s="17" t="n"/>
      <c r="F47" s="17" t="n"/>
      <c r="G47" s="17" t="n"/>
      <c r="H47" s="17" t="n"/>
    </row>
    <row r="48">
      <c r="A48" s="20" t="n"/>
      <c r="B48" s="17" t="n"/>
      <c r="C48" s="17" t="n"/>
      <c r="D48" s="17" t="n"/>
      <c r="E48" s="17" t="n"/>
      <c r="F48" s="17" t="n"/>
      <c r="G48" s="17" t="n"/>
      <c r="H48" s="17" t="n"/>
    </row>
    <row r="49">
      <c r="A49" s="20" t="n"/>
      <c r="B49" s="17" t="n"/>
      <c r="C49" s="17" t="n"/>
      <c r="D49" s="17" t="n"/>
      <c r="E49" s="17" t="n"/>
      <c r="F49" s="17" t="n"/>
      <c r="G49" s="17" t="n"/>
      <c r="H49" s="17" t="n"/>
    </row>
    <row r="50">
      <c r="A50" s="20" t="n"/>
      <c r="B50" s="17" t="n"/>
      <c r="C50" s="17" t="n"/>
      <c r="D50" s="17" t="n"/>
      <c r="E50" s="17" t="n"/>
      <c r="F50" s="17" t="n"/>
      <c r="G50" s="17" t="n"/>
      <c r="H50" s="17" t="n"/>
    </row>
    <row r="51">
      <c r="A51" s="20" t="n"/>
      <c r="B51" s="17" t="n"/>
      <c r="C51" s="17" t="n"/>
      <c r="D51" s="17" t="n"/>
      <c r="E51" s="17" t="n"/>
      <c r="F51" s="17" t="n"/>
      <c r="G51" s="17" t="n"/>
      <c r="H51" s="17" t="n"/>
    </row>
    <row r="52">
      <c r="A52" s="20" t="n"/>
      <c r="B52" s="17" t="n"/>
      <c r="C52" s="17" t="n"/>
      <c r="D52" s="17" t="n"/>
      <c r="E52" s="17" t="n"/>
      <c r="F52" s="17" t="n"/>
      <c r="G52" s="17" t="n"/>
      <c r="H52" s="17" t="n"/>
    </row>
    <row r="53">
      <c r="A53" s="20" t="n"/>
      <c r="B53" s="17" t="n"/>
      <c r="C53" s="17" t="n"/>
      <c r="D53" s="17" t="n"/>
      <c r="E53" s="17" t="n"/>
      <c r="F53" s="17" t="n"/>
      <c r="G53" s="17" t="n"/>
      <c r="H53" s="17" t="n"/>
    </row>
    <row r="54">
      <c r="A54" s="20" t="n"/>
      <c r="B54" s="17" t="n"/>
      <c r="C54" s="17" t="n"/>
      <c r="D54" s="17" t="n"/>
      <c r="E54" s="17" t="n"/>
      <c r="F54" s="17" t="n"/>
      <c r="G54" s="17" t="n"/>
      <c r="H54" s="17" t="n"/>
    </row>
    <row r="55">
      <c r="A55" s="20" t="n"/>
      <c r="B55" s="17" t="n"/>
      <c r="C55" s="17" t="n"/>
      <c r="D55" s="17" t="n"/>
      <c r="E55" s="17" t="n"/>
      <c r="F55" s="17" t="n"/>
      <c r="G55" s="17" t="n"/>
      <c r="H55" s="17" t="n"/>
    </row>
    <row r="56">
      <c r="A56" s="20" t="n"/>
      <c r="B56" s="17" t="n"/>
      <c r="C56" s="17" t="n"/>
      <c r="D56" s="17" t="n"/>
      <c r="E56" s="17" t="n"/>
      <c r="F56" s="17" t="n"/>
      <c r="G56" s="17" t="n"/>
      <c r="H56" s="17" t="n"/>
    </row>
    <row r="57">
      <c r="A57" s="20" t="n"/>
      <c r="B57" s="17" t="n"/>
      <c r="C57" s="17" t="n"/>
      <c r="D57" s="17" t="n"/>
      <c r="E57" s="17" t="n"/>
      <c r="F57" s="17" t="n"/>
      <c r="G57" s="17" t="n"/>
      <c r="H57" s="17" t="n"/>
    </row>
    <row r="58">
      <c r="A58" s="20" t="n"/>
      <c r="B58" s="17" t="n"/>
      <c r="C58" s="17" t="n"/>
      <c r="D58" s="17" t="n"/>
      <c r="E58" s="17" t="n"/>
      <c r="F58" s="17" t="n"/>
      <c r="G58" s="17" t="n"/>
      <c r="H58" s="17" t="n"/>
    </row>
    <row r="59">
      <c r="A59" s="20" t="n"/>
      <c r="B59" s="17" t="n"/>
      <c r="C59" s="17" t="n"/>
      <c r="D59" s="17" t="n"/>
      <c r="E59" s="17" t="n"/>
      <c r="F59" s="17" t="n"/>
      <c r="G59" s="17" t="n"/>
      <c r="H59" s="17" t="n"/>
    </row>
    <row r="60">
      <c r="A60" s="20" t="n"/>
      <c r="B60" s="17" t="n"/>
      <c r="C60" s="17" t="n"/>
      <c r="D60" s="17" t="n"/>
      <c r="E60" s="17" t="n"/>
      <c r="F60" s="17" t="n"/>
      <c r="G60" s="17" t="n"/>
      <c r="H60" s="17" t="n"/>
    </row>
    <row r="61">
      <c r="A61" s="20" t="n"/>
      <c r="B61" s="17" t="n"/>
      <c r="C61" s="17" t="n"/>
      <c r="D61" s="17" t="n"/>
      <c r="E61" s="17" t="n"/>
      <c r="F61" s="17" t="n"/>
      <c r="G61" s="17" t="n"/>
      <c r="H61" s="17" t="n"/>
    </row>
    <row r="62">
      <c r="A62" s="20" t="n"/>
      <c r="B62" s="17" t="n"/>
      <c r="C62" s="17" t="n"/>
      <c r="D62" s="17" t="n"/>
      <c r="E62" s="17" t="n"/>
      <c r="F62" s="17" t="n"/>
      <c r="G62" s="17" t="n"/>
      <c r="H62" s="17" t="n"/>
    </row>
    <row r="63">
      <c r="A63" s="20" t="n"/>
      <c r="B63" s="17" t="n"/>
      <c r="C63" s="17" t="n"/>
      <c r="D63" s="17" t="n"/>
      <c r="E63" s="17" t="n"/>
      <c r="F63" s="17" t="n"/>
      <c r="G63" s="17" t="n"/>
      <c r="H63" s="17" t="n"/>
    </row>
    <row r="64">
      <c r="A64" s="20" t="n"/>
      <c r="B64" s="17" t="n"/>
      <c r="C64" s="17" t="n"/>
      <c r="D64" s="17" t="n"/>
      <c r="E64" s="17" t="n"/>
      <c r="F64" s="17" t="n"/>
      <c r="G64" s="17" t="n"/>
      <c r="H64" s="17" t="n"/>
    </row>
    <row r="65">
      <c r="A65" s="20" t="n"/>
      <c r="B65" s="17" t="n"/>
      <c r="C65" s="17" t="n"/>
      <c r="D65" s="17" t="n"/>
      <c r="E65" s="17" t="n"/>
      <c r="F65" s="17" t="n"/>
      <c r="G65" s="17" t="n"/>
      <c r="H65" s="17" t="n"/>
    </row>
    <row r="66">
      <c r="A66" s="20" t="n"/>
      <c r="B66" s="17" t="n"/>
      <c r="C66" s="17" t="n"/>
      <c r="D66" s="17" t="n"/>
      <c r="E66" s="17" t="n"/>
      <c r="F66" s="17" t="n"/>
      <c r="G66" s="17" t="n"/>
      <c r="H66" s="17" t="n"/>
    </row>
    <row r="67">
      <c r="A67" s="20" t="n"/>
      <c r="B67" s="17" t="n"/>
      <c r="C67" s="17" t="n"/>
      <c r="D67" s="17" t="n"/>
      <c r="E67" s="17" t="n"/>
      <c r="F67" s="17" t="n"/>
      <c r="G67" s="17" t="n"/>
      <c r="H67" s="17" t="n"/>
    </row>
    <row r="68">
      <c r="A68" s="20" t="n"/>
      <c r="B68" s="17" t="n"/>
      <c r="C68" s="17" t="n"/>
      <c r="D68" s="17" t="n"/>
      <c r="E68" s="17" t="n"/>
      <c r="F68" s="17" t="n"/>
      <c r="G68" s="17" t="n"/>
      <c r="H68" s="17" t="n"/>
    </row>
    <row r="69">
      <c r="A69" s="20" t="n"/>
      <c r="B69" s="17" t="n"/>
      <c r="C69" s="17" t="n"/>
      <c r="D69" s="17" t="n"/>
      <c r="E69" s="17" t="n"/>
      <c r="F69" s="17" t="n"/>
      <c r="G69" s="17" t="n"/>
      <c r="H69" s="17" t="n"/>
    </row>
    <row r="70">
      <c r="A70" s="20" t="n"/>
      <c r="B70" s="17" t="n"/>
      <c r="C70" s="17" t="n"/>
      <c r="D70" s="17" t="n"/>
      <c r="E70" s="17" t="n"/>
      <c r="F70" s="17" t="n"/>
      <c r="G70" s="17" t="n"/>
      <c r="H70" s="17" t="n"/>
    </row>
    <row r="71">
      <c r="A71" s="20" t="n"/>
      <c r="B71" s="17" t="n"/>
      <c r="C71" s="17" t="n"/>
      <c r="D71" s="17" t="n"/>
      <c r="E71" s="17" t="n"/>
      <c r="F71" s="17" t="n"/>
      <c r="G71" s="17" t="n"/>
      <c r="H71" s="17" t="n"/>
    </row>
    <row r="72">
      <c r="A72" s="20" t="n"/>
      <c r="B72" s="17" t="n"/>
      <c r="C72" s="17" t="n"/>
      <c r="D72" s="17" t="n"/>
      <c r="E72" s="17" t="n"/>
      <c r="F72" s="17" t="n"/>
      <c r="G72" s="17" t="n"/>
      <c r="H72" s="17" t="n"/>
    </row>
    <row r="73">
      <c r="A73" s="20" t="n"/>
      <c r="B73" s="17" t="n"/>
      <c r="C73" s="17" t="n"/>
      <c r="D73" s="17" t="n"/>
      <c r="E73" s="17" t="n"/>
      <c r="F73" s="17" t="n"/>
      <c r="G73" s="17" t="n"/>
      <c r="H73" s="17" t="n"/>
    </row>
    <row r="74">
      <c r="A74" s="20" t="n"/>
      <c r="B74" s="17" t="n"/>
      <c r="C74" s="17" t="n"/>
      <c r="D74" s="17" t="n"/>
      <c r="E74" s="17" t="n"/>
      <c r="F74" s="17" t="n"/>
      <c r="G74" s="17" t="n"/>
      <c r="H74" s="17" t="n"/>
    </row>
    <row r="75">
      <c r="A75" s="20" t="n"/>
      <c r="B75" s="17" t="n"/>
      <c r="C75" s="17" t="n"/>
      <c r="D75" s="17" t="n"/>
      <c r="E75" s="17" t="n"/>
      <c r="F75" s="17" t="n"/>
      <c r="G75" s="17" t="n"/>
      <c r="H75" s="17" t="n"/>
    </row>
    <row r="76">
      <c r="A76" s="20" t="n"/>
      <c r="B76" s="17" t="n"/>
      <c r="C76" s="17" t="n"/>
      <c r="D76" s="17" t="n"/>
      <c r="E76" s="17" t="n"/>
      <c r="F76" s="17" t="n"/>
      <c r="G76" s="17" t="n"/>
      <c r="H76" s="17" t="n"/>
    </row>
    <row r="77">
      <c r="A77" s="20" t="n"/>
      <c r="B77" s="17" t="n"/>
      <c r="C77" s="17" t="n"/>
      <c r="D77" s="17" t="n"/>
      <c r="E77" s="17" t="n"/>
      <c r="F77" s="17" t="n"/>
      <c r="G77" s="17" t="n"/>
      <c r="H77" s="17" t="n"/>
    </row>
    <row r="78">
      <c r="A78" s="20" t="n"/>
      <c r="B78" s="17" t="n"/>
      <c r="C78" s="17" t="n"/>
      <c r="D78" s="17" t="n"/>
      <c r="E78" s="17" t="n"/>
      <c r="F78" s="17" t="n"/>
      <c r="G78" s="17" t="n"/>
      <c r="H78" s="17" t="n"/>
    </row>
    <row r="79">
      <c r="A79" s="20" t="n"/>
      <c r="B79" s="17" t="n"/>
      <c r="C79" s="17" t="n"/>
      <c r="D79" s="17" t="n"/>
      <c r="E79" s="17" t="n"/>
      <c r="F79" s="17" t="n"/>
      <c r="G79" s="17" t="n"/>
      <c r="H79" s="17" t="n"/>
    </row>
    <row r="80">
      <c r="A80" s="20" t="n"/>
      <c r="B80" s="17" t="n"/>
      <c r="C80" s="17" t="n"/>
      <c r="D80" s="17" t="n"/>
      <c r="E80" s="17" t="n"/>
      <c r="F80" s="17" t="n"/>
      <c r="G80" s="17" t="n"/>
      <c r="H80" s="17" t="n"/>
    </row>
    <row r="81">
      <c r="A81" s="20" t="n"/>
      <c r="B81" s="17" t="n"/>
      <c r="C81" s="17" t="n"/>
      <c r="D81" s="17" t="n"/>
      <c r="E81" s="17" t="n"/>
      <c r="F81" s="17" t="n"/>
      <c r="G81" s="17" t="n"/>
      <c r="H81" s="17" t="n"/>
    </row>
    <row r="82">
      <c r="A82" s="20" t="n"/>
      <c r="B82" s="17" t="n"/>
      <c r="C82" s="17" t="n"/>
      <c r="D82" s="17" t="n"/>
      <c r="E82" s="17" t="n"/>
      <c r="F82" s="17" t="n"/>
      <c r="G82" s="17" t="n"/>
      <c r="H82" s="17" t="n"/>
    </row>
    <row r="83">
      <c r="A83" s="20" t="n"/>
      <c r="B83" s="17" t="n"/>
      <c r="C83" s="17" t="n"/>
      <c r="D83" s="17" t="n"/>
      <c r="E83" s="17" t="n"/>
      <c r="F83" s="17" t="n"/>
      <c r="G83" s="17" t="n"/>
      <c r="H83" s="17" t="n"/>
    </row>
    <row r="84">
      <c r="A84" s="20" t="n"/>
      <c r="B84" s="17" t="n"/>
      <c r="C84" s="17" t="n"/>
      <c r="D84" s="17" t="n"/>
      <c r="E84" s="17" t="n"/>
      <c r="F84" s="17" t="n"/>
      <c r="G84" s="17" t="n"/>
      <c r="H84" s="17" t="n"/>
    </row>
    <row r="85">
      <c r="A85" s="20" t="n"/>
      <c r="B85" s="17" t="n"/>
      <c r="C85" s="17" t="n"/>
      <c r="D85" s="17" t="n"/>
      <c r="E85" s="17" t="n"/>
      <c r="F85" s="17" t="n"/>
      <c r="G85" s="17" t="n"/>
      <c r="H85" s="17" t="n"/>
    </row>
    <row r="86">
      <c r="A86" s="20" t="n"/>
      <c r="B86" s="17" t="n"/>
      <c r="C86" s="17" t="n"/>
      <c r="D86" s="17" t="n"/>
      <c r="E86" s="17" t="n"/>
      <c r="F86" s="17" t="n"/>
      <c r="G86" s="17" t="n"/>
      <c r="H86" s="17" t="n"/>
    </row>
    <row r="87">
      <c r="A87" s="20" t="n"/>
      <c r="B87" s="17" t="n"/>
      <c r="C87" s="17" t="n"/>
      <c r="D87" s="17" t="n"/>
      <c r="E87" s="17" t="n"/>
      <c r="F87" s="17" t="n"/>
      <c r="G87" s="17" t="n"/>
      <c r="H87" s="17" t="n"/>
    </row>
    <row r="88">
      <c r="A88" s="20" t="n"/>
      <c r="B88" s="17" t="n"/>
      <c r="C88" s="17" t="n"/>
      <c r="D88" s="17" t="n"/>
      <c r="E88" s="17" t="n"/>
      <c r="F88" s="17" t="n"/>
      <c r="G88" s="17" t="n"/>
      <c r="H88" s="17" t="n"/>
    </row>
    <row r="89">
      <c r="A89" s="20" t="n"/>
      <c r="B89" s="17" t="n"/>
      <c r="C89" s="17" t="n"/>
      <c r="D89" s="17" t="n"/>
      <c r="E89" s="17" t="n"/>
      <c r="F89" s="17" t="n"/>
      <c r="G89" s="17" t="n"/>
      <c r="H89" s="17" t="n"/>
    </row>
    <row r="90">
      <c r="A90" s="20" t="n"/>
      <c r="B90" s="17" t="n"/>
      <c r="C90" s="17" t="n"/>
      <c r="D90" s="17" t="n"/>
      <c r="E90" s="17" t="n"/>
      <c r="F90" s="17" t="n"/>
      <c r="G90" s="17" t="n"/>
      <c r="H90" s="17" t="n"/>
    </row>
    <row r="91">
      <c r="A91" s="20" t="n"/>
      <c r="B91" s="17" t="n"/>
      <c r="C91" s="17" t="n"/>
      <c r="D91" s="17" t="n"/>
      <c r="E91" s="17" t="n"/>
      <c r="F91" s="17" t="n"/>
      <c r="G91" s="17" t="n"/>
      <c r="H91" s="17" t="n"/>
    </row>
    <row r="92">
      <c r="A92" s="20" t="n"/>
      <c r="B92" s="17" t="n"/>
      <c r="C92" s="17" t="n"/>
      <c r="D92" s="17" t="n"/>
      <c r="E92" s="17" t="n"/>
      <c r="F92" s="17" t="n"/>
      <c r="G92" s="17" t="n"/>
      <c r="H92" s="17" t="n"/>
    </row>
    <row r="93">
      <c r="A93" s="20" t="n"/>
      <c r="B93" s="17" t="n"/>
      <c r="C93" s="17" t="n"/>
      <c r="D93" s="17" t="n"/>
      <c r="E93" s="17" t="n"/>
      <c r="F93" s="17" t="n"/>
      <c r="G93" s="17" t="n"/>
      <c r="H93" s="17" t="n"/>
    </row>
    <row r="94">
      <c r="A94" s="20" t="n"/>
      <c r="B94" s="17" t="n"/>
      <c r="C94" s="17" t="n"/>
      <c r="D94" s="17" t="n"/>
      <c r="E94" s="17" t="n"/>
      <c r="F94" s="17" t="n"/>
      <c r="G94" s="17" t="n"/>
      <c r="H94" s="17" t="n"/>
    </row>
    <row r="95">
      <c r="A95" s="20" t="n"/>
      <c r="B95" s="17" t="n"/>
      <c r="C95" s="17" t="n"/>
      <c r="D95" s="17" t="n"/>
      <c r="E95" s="17" t="n"/>
      <c r="F95" s="17" t="n"/>
      <c r="G95" s="17" t="n"/>
      <c r="H95" s="17" t="n"/>
    </row>
    <row r="96">
      <c r="A96" s="20" t="n"/>
      <c r="B96" s="17" t="n"/>
      <c r="C96" s="17" t="n"/>
      <c r="D96" s="17" t="n"/>
      <c r="E96" s="17" t="n"/>
      <c r="F96" s="17" t="n"/>
      <c r="G96" s="17" t="n"/>
      <c r="H96" s="17" t="n"/>
    </row>
    <row r="97">
      <c r="A97" s="20" t="n"/>
      <c r="B97" s="17" t="n"/>
      <c r="C97" s="17" t="n"/>
      <c r="D97" s="17" t="n"/>
      <c r="E97" s="17" t="n"/>
      <c r="F97" s="17" t="n"/>
      <c r="G97" s="17" t="n"/>
      <c r="H97" s="17" t="n"/>
    </row>
    <row r="98">
      <c r="A98" s="20" t="n"/>
      <c r="B98" s="17" t="n"/>
      <c r="C98" s="17" t="n"/>
      <c r="D98" s="17" t="n"/>
      <c r="E98" s="17" t="n"/>
      <c r="F98" s="17" t="n"/>
      <c r="G98" s="17" t="n"/>
      <c r="H98" s="17" t="n"/>
    </row>
    <row r="99">
      <c r="A99" s="20" t="n"/>
      <c r="B99" s="17" t="n"/>
      <c r="C99" s="17" t="n"/>
      <c r="D99" s="17" t="n"/>
      <c r="E99" s="17" t="n"/>
      <c r="F99" s="17" t="n"/>
      <c r="G99" s="17" t="n"/>
      <c r="H99" s="17" t="n"/>
    </row>
    <row r="100">
      <c r="A100" s="20" t="n"/>
      <c r="B100" s="17" t="n"/>
      <c r="C100" s="17" t="n"/>
      <c r="D100" s="17" t="n"/>
      <c r="E100" s="17" t="n"/>
      <c r="F100" s="17" t="n"/>
      <c r="G100" s="17" t="n"/>
      <c r="H100" s="17" t="n"/>
    </row>
    <row r="101">
      <c r="A101" s="20" t="n"/>
      <c r="B101" s="17" t="n"/>
      <c r="C101" s="17" t="n"/>
      <c r="D101" s="17" t="n"/>
      <c r="E101" s="17" t="n"/>
      <c r="F101" s="17" t="n"/>
      <c r="G101" s="17" t="n"/>
      <c r="H101" s="17" t="n"/>
    </row>
    <row r="102">
      <c r="A102" s="20" t="n"/>
      <c r="B102" s="17" t="n"/>
      <c r="C102" s="17" t="n"/>
      <c r="D102" s="17" t="n"/>
      <c r="E102" s="17" t="n"/>
      <c r="F102" s="17" t="n"/>
      <c r="G102" s="17" t="n"/>
      <c r="H102" s="17" t="n"/>
    </row>
    <row r="103">
      <c r="A103" s="20" t="n"/>
      <c r="B103" s="17" t="n"/>
      <c r="C103" s="17" t="n"/>
      <c r="D103" s="17" t="n"/>
      <c r="E103" s="17" t="n"/>
      <c r="F103" s="17" t="n"/>
      <c r="G103" s="17" t="n"/>
      <c r="H103" s="17" t="n"/>
    </row>
    <row r="104">
      <c r="A104" s="20" t="n"/>
      <c r="B104" s="17" t="n"/>
      <c r="C104" s="17" t="n"/>
      <c r="D104" s="17" t="n"/>
      <c r="E104" s="17" t="n"/>
      <c r="F104" s="17" t="n"/>
      <c r="G104" s="17" t="n"/>
      <c r="H104" s="17" t="n"/>
    </row>
    <row r="105">
      <c r="A105" s="20" t="n"/>
      <c r="B105" s="17" t="n"/>
      <c r="C105" s="17" t="n"/>
      <c r="D105" s="17" t="n"/>
      <c r="E105" s="17" t="n"/>
      <c r="F105" s="17" t="n"/>
      <c r="G105" s="17" t="n"/>
      <c r="H105" s="17" t="n"/>
    </row>
    <row r="106">
      <c r="A106" s="19" t="inlineStr">
        <is>
          <t>Total Evidence Entries:</t>
        </is>
      </c>
      <c r="B106">
        <f>COUNTA(C6:C105)</f>
        <v/>
      </c>
    </row>
  </sheetData>
  <mergeCells count="2">
    <mergeCell ref="A2:H2"/>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"Approval Record,Screenshot,Inventory Report,License,Policy,Change Ticket,ὐd Scan Result,Other"</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3"/>
  <sheetViews>
    <sheetView showGridLines="0" workbookViewId="0">
      <selection activeCell="A1" sqref="A1"/>
    </sheetView>
  </sheetViews>
  <sheetFormatPr baseColWidth="8" defaultRowHeight="15"/>
  <cols>
    <col width="35" customWidth="1" min="1" max="1"/>
    <col width="20" customWidth="1" min="2" max="2"/>
    <col width="20" customWidth="1" min="3" max="3"/>
    <col width="15" customWidth="1" min="4" max="4"/>
    <col width="15" customWidth="1" min="5" max="5"/>
    <col width="15" customWidth="1" min="6" max="6"/>
    <col width="15" customWidth="1" min="7" max="7"/>
  </cols>
  <sheetData>
    <row r="1" ht="35" customHeight="1">
      <c r="A1" s="11" t="inlineStr">
        <is>
          <t>SOFTWARE CONTROLS — SUMMARY DASHBOARD</t>
        </is>
      </c>
    </row>
    <row r="2">
      <c r="A2" s="29" t="inlineStr">
        <is>
          <t>Consolidated compliance metrics for software installation and control assessment</t>
        </is>
      </c>
    </row>
    <row r="3">
      <c r="A3" s="30" t="inlineStr">
        <is>
          <t>TABLE 1 — Compliance Summary by Assessment Area</t>
        </is>
      </c>
    </row>
    <row r="4">
      <c r="A4" s="13" t="inlineStr">
        <is>
          <t>Assessment Area</t>
        </is>
      </c>
      <c r="B4" s="13" t="inlineStr">
        <is>
          <t>Total Items</t>
        </is>
      </c>
      <c r="C4" s="13" t="inlineStr">
        <is>
          <t>Compliant</t>
        </is>
      </c>
      <c r="D4" s="13" t="inlineStr">
        <is>
          <t>Partial</t>
        </is>
      </c>
      <c r="E4" s="13" t="inlineStr">
        <is>
          <t>Non-Compliant</t>
        </is>
      </c>
      <c r="F4" s="13" t="inlineStr">
        <is>
          <t>N/A</t>
        </is>
      </c>
      <c r="G4" s="13" t="inlineStr">
        <is>
          <t>Compliance %</t>
        </is>
      </c>
    </row>
    <row r="5">
      <c r="A5" s="31" t="inlineStr">
        <is>
          <t>Unauthorised SW Detection</t>
        </is>
      </c>
      <c r="B5" s="31">
        <f>SUM(C5:F5)</f>
        <v/>
      </c>
      <c r="C5" s="31">
        <f>COUNTIF('Unauthorised Software'!J6:J105,"Removed")+COUNTIF('Unauthorised Software'!J6:J105,"Approved Retroactively")</f>
        <v/>
      </c>
      <c r="D5" s="31">
        <f>COUNTIF('Unauthorised Software'!J6:J105,"In Progress")</f>
        <v/>
      </c>
      <c r="E5" s="31">
        <f>COUNTIF('Unauthorised Software'!J6:J105,"Pending")+COUNTIF('Unauthorised Software'!J6:J105,"Unresolved")</f>
        <v/>
      </c>
      <c r="F5" s="31" t="inlineStr">
        <is>
          <t>0</t>
        </is>
      </c>
      <c r="G5" s="32">
        <f>IF((B5-F5)=0,0,C5/(B5-F5))</f>
        <v/>
      </c>
    </row>
    <row r="6">
      <c r="A6" s="31" t="inlineStr">
        <is>
          <t>Application Control</t>
        </is>
      </c>
      <c r="B6" s="31">
        <f>SUM(C6:F6)</f>
        <v/>
      </c>
      <c r="C6" s="31">
        <f>COUNTIF('Application Control'!I6:I55,"✅ Enforced")</f>
        <v/>
      </c>
      <c r="D6" s="31">
        <f>COUNTIF('Application Control'!I6:I55,"Audit Mode")</f>
        <v/>
      </c>
      <c r="E6" s="31">
        <f>COUNTIF('Application Control'!I6:I55,"Not Configured")</f>
        <v/>
      </c>
      <c r="F6" s="31">
        <f>COUNTIF('Application Control'!I6:I55,"N/A")</f>
        <v/>
      </c>
      <c r="G6" s="32">
        <f>IF((B6-F6)=0,0,C6/(B6-F6))</f>
        <v/>
      </c>
    </row>
    <row r="7">
      <c r="A7" s="31" t="inlineStr">
        <is>
          <t>Change Control</t>
        </is>
      </c>
      <c r="B7" s="31">
        <f>SUM(C7:F7)</f>
        <v/>
      </c>
      <c r="C7" s="31">
        <f>COUNTIF('Change Control'!K6:K105,"✅ Approved")+COUNTIF('Change Control'!K6:K105,"Implemented")</f>
        <v/>
      </c>
      <c r="D7" s="31">
        <f>COUNTIF('Change Control'!K6:K105,"In Progress")</f>
        <v/>
      </c>
      <c r="E7" s="31">
        <f>COUNTIF('Change Control'!K6:K105,"Pending Approval")+COUNTIF('Change Control'!K6:K105,"Rejected")</f>
        <v/>
      </c>
      <c r="F7" s="31" t="inlineStr">
        <is>
          <t>0</t>
        </is>
      </c>
      <c r="G7" s="32">
        <f>IF((B7-F7)=0,0,C7/(B7-F7))</f>
        <v/>
      </c>
    </row>
    <row r="8">
      <c r="A8" s="31" t="inlineStr">
        <is>
          <t>Vulnerability &amp; Patching</t>
        </is>
      </c>
      <c r="B8" s="31">
        <f>SUM(C8:F8)</f>
        <v/>
      </c>
      <c r="C8" s="31">
        <f>COUNTIF('Vulnerability Management'!H6:H105,"✅ Patched")</f>
        <v/>
      </c>
      <c r="D8" s="31">
        <f>COUNTIF('Vulnerability Management'!H6:H105,"Pending")</f>
        <v/>
      </c>
      <c r="E8" s="31">
        <f>COUNTIF('Vulnerability Management'!H6:H105,"Vulnerable")</f>
        <v/>
      </c>
      <c r="F8" s="31">
        <f>COUNTIF('Vulnerability Management'!H6:H105,"N/A")</f>
        <v/>
      </c>
      <c r="G8" s="32">
        <f>IF((B8-F8)=0,0,C8/(B8-F8))</f>
        <v/>
      </c>
    </row>
    <row r="9">
      <c r="A9" s="31" t="inlineStr">
        <is>
          <t>Licensing Compliance</t>
        </is>
      </c>
      <c r="B9" s="31">
        <f>SUM(C9:F9)</f>
        <v/>
      </c>
      <c r="C9" s="31">
        <f>COUNTIF('Licensing Compliance'!G6:G105,"✅ Compliant")</f>
        <v/>
      </c>
      <c r="D9" s="31">
        <f>COUNTIF('Licensing Compliance'!G6:G105,"⚠ Over-Deployed")</f>
        <v/>
      </c>
      <c r="E9" s="31">
        <f>COUNTIF('Licensing Compliance'!G6:G105,"Unknown")</f>
        <v/>
      </c>
      <c r="F9" s="31" t="inlineStr">
        <is>
          <t>0</t>
        </is>
      </c>
      <c r="G9" s="32">
        <f>IF((B9-F9)=0,0,C9/(B9-F9))</f>
        <v/>
      </c>
    </row>
    <row r="10">
      <c r="A10" s="31" t="inlineStr">
        <is>
          <t>Capability Requirements</t>
        </is>
      </c>
      <c r="B10" s="31">
        <f>SUM(C10:F10)</f>
        <v/>
      </c>
      <c r="C10" s="31">
        <f>COUNTIF('Capability Requirements'!F6:F25,"✅ Compliant")</f>
        <v/>
      </c>
      <c r="D10" s="31" t="inlineStr">
        <is>
          <t>0</t>
        </is>
      </c>
      <c r="E10" s="31">
        <f>COUNTIF('Capability Requirements'!F6:F25,"❌ Gap")</f>
        <v/>
      </c>
      <c r="F10" s="31">
        <f>COUNTIF('Capability Requirements'!F6:F25,"N/A")</f>
        <v/>
      </c>
      <c r="G10" s="32">
        <f>IF((B10-F10)=0,0,C10/(B10-F10))</f>
        <v/>
      </c>
    </row>
    <row r="11">
      <c r="A11" s="33" t="inlineStr">
        <is>
          <t>TOTAL</t>
        </is>
      </c>
      <c r="B11" s="33">
        <f>SUM(B5:B10)</f>
        <v/>
      </c>
      <c r="C11" s="33">
        <f>SUM(C5:C10)</f>
        <v/>
      </c>
      <c r="D11" s="33">
        <f>SUM(D5:D10)</f>
        <v/>
      </c>
      <c r="E11" s="33">
        <f>SUM(E5:E10)</f>
        <v/>
      </c>
      <c r="F11" s="33">
        <f>SUM(F5:F10)</f>
        <v/>
      </c>
      <c r="G11" s="34">
        <f>SUM(G5:G10)</f>
        <v/>
      </c>
    </row>
    <row r="13">
      <c r="A13" s="30" t="inlineStr">
        <is>
          <t>TABLE 2 — Key Performance Indicators</t>
        </is>
      </c>
    </row>
    <row r="14">
      <c r="A14" s="13" t="inlineStr">
        <is>
          <t>KPI</t>
        </is>
      </c>
      <c r="B14" s="13" t="inlineStr">
        <is>
          <t>Current Value</t>
        </is>
      </c>
      <c r="C14" s="13" t="inlineStr">
        <is>
          <t>Target</t>
        </is>
      </c>
      <c r="D14" s="13" t="inlineStr">
        <is>
          <t>Status</t>
        </is>
      </c>
      <c r="E14" s="13" t="inlineStr">
        <is>
          <t>Last Updated</t>
        </is>
      </c>
      <c r="F14" s="13" t="inlineStr">
        <is>
          <t>Owner</t>
        </is>
      </c>
      <c r="G14" s="13" t="inlineStr">
        <is>
          <t>Notes</t>
        </is>
      </c>
    </row>
    <row r="15">
      <c r="A15" s="31" t="inlineStr">
        <is>
          <t>Approved Software Entries</t>
        </is>
      </c>
      <c r="B15" s="31">
        <f>COUNTA('Approved Software'!B6:B205)</f>
        <v/>
      </c>
      <c r="C15" s="31" t="inlineStr">
        <is>
          <t>—</t>
        </is>
      </c>
      <c r="D15" s="20" t="n"/>
      <c r="E15" s="20" t="n"/>
      <c r="F15" s="20" t="n"/>
      <c r="G15" s="20" t="n"/>
    </row>
    <row r="16">
      <c r="A16" s="31" t="inlineStr">
        <is>
          <t>Installed SW Approval Rate</t>
        </is>
      </c>
      <c r="B16" s="32">
        <f>IF(COUNTA('Software Inventory'!H6:H55)=0,0,COUNTIF('Software Inventory'!H6:H55,"Yes")/COUNTA('Software Inventory'!H6:H55))</f>
        <v/>
      </c>
      <c r="C16" s="31" t="inlineStr">
        <is>
          <t>≥95%</t>
        </is>
      </c>
      <c r="D16" s="20" t="n"/>
      <c r="E16" s="20" t="n"/>
      <c r="F16" s="20" t="n"/>
      <c r="G16" s="20" t="n"/>
    </row>
    <row r="17">
      <c r="A17" s="31" t="inlineStr">
        <is>
          <t>Unauthorised SW Detections</t>
        </is>
      </c>
      <c r="B17" s="31">
        <f>COUNTA('Unauthorised Software'!B6:B105)</f>
        <v/>
      </c>
      <c r="C17" s="31" t="inlineStr">
        <is>
          <t>0</t>
        </is>
      </c>
      <c r="D17" s="20" t="n"/>
      <c r="E17" s="20" t="n"/>
      <c r="F17" s="20" t="n"/>
      <c r="G17" s="20" t="n"/>
    </row>
    <row r="18">
      <c r="A18" s="31" t="inlineStr">
        <is>
          <t>Unauthorised SW Remediated</t>
        </is>
      </c>
      <c r="B18" s="32">
        <f>IF(COUNTA('Unauthorised Software'!B6:B105)=0,0,(COUNTIF('Unauthorised Software'!J6:J105,"Removed")+COUNTIF('Unauthorised Software'!J6:J105,"Approved Retroactively"))/COUNTA('Unauthorised Software'!B6:B105))</f>
        <v/>
      </c>
      <c r="C18" s="31" t="inlineStr">
        <is>
          <t>≥95%</t>
        </is>
      </c>
      <c r="D18" s="20" t="n"/>
      <c r="E18" s="20" t="n"/>
      <c r="F18" s="20" t="n"/>
      <c r="G18" s="20" t="n"/>
    </row>
    <row r="19">
      <c r="A19" s="31" t="inlineStr">
        <is>
          <t>App Control Enforcement Rate</t>
        </is>
      </c>
      <c r="B19" s="32">
        <f>IF(COUNTA('Application Control'!I6:I55)=0,0,COUNTIF('Application Control'!I6:I55,"✅ Enforced")/COUNTA('Application Control'!I6:I55))</f>
        <v/>
      </c>
      <c r="C19" s="31" t="inlineStr">
        <is>
          <t>≥95%</t>
        </is>
      </c>
      <c r="D19" s="20" t="n"/>
      <c r="E19" s="20" t="n"/>
      <c r="F19" s="20" t="n"/>
      <c r="G19" s="20" t="n"/>
    </row>
    <row r="20">
      <c r="A20" s="31" t="inlineStr">
        <is>
          <t>Changes with Test Evidence</t>
        </is>
      </c>
      <c r="B20" s="32">
        <f>IF(COUNTA('Change Control'!G6:G105)=0,0,COUNTIF('Change Control'!G6:G105,"Yes")/COUNTA('Change Control'!G6:G105))</f>
        <v/>
      </c>
      <c r="C20" s="31" t="inlineStr">
        <is>
          <t>≥95%</t>
        </is>
      </c>
      <c r="D20" s="20" t="n"/>
      <c r="E20" s="20" t="n"/>
      <c r="F20" s="20" t="n"/>
      <c r="G20" s="20" t="n"/>
    </row>
    <row r="21">
      <c r="A21" s="31" t="inlineStr">
        <is>
          <t>Critical/High Vulnerabilities</t>
        </is>
      </c>
      <c r="B21" s="31">
        <f>COUNTIF('Vulnerability Management'!E6:E105,"Critical")+COUNTIF('Vulnerability Management'!E6:E105,"High")</f>
        <v/>
      </c>
      <c r="C21" s="31" t="inlineStr">
        <is>
          <t>0</t>
        </is>
      </c>
      <c r="D21" s="20" t="n"/>
      <c r="E21" s="20" t="n"/>
      <c r="F21" s="20" t="n"/>
      <c r="G21" s="20" t="n"/>
    </row>
    <row r="22">
      <c r="A22" s="31" t="inlineStr">
        <is>
          <t>Patch Compliance Rate</t>
        </is>
      </c>
      <c r="B22" s="32">
        <f>IF(COUNTA('Vulnerability Management'!H6:H105)=0,0,COUNTIF('Vulnerability Management'!H6:H105,"✅ Patched")/COUNTA('Vulnerability Management'!H6:H105))</f>
        <v/>
      </c>
      <c r="C22" s="31" t="inlineStr">
        <is>
          <t>≥95%</t>
        </is>
      </c>
      <c r="D22" s="20" t="n"/>
      <c r="E22" s="20" t="n"/>
      <c r="F22" s="20" t="n"/>
      <c r="G22" s="20" t="n"/>
    </row>
    <row r="23">
      <c r="A23" s="31" t="inlineStr">
        <is>
          <t>Licensing Compliant Rate</t>
        </is>
      </c>
      <c r="B23" s="32">
        <f>IF((COUNTIF('Licensing Compliance'!G6:G105,"✅ Compliant")+COUNTIF('Licensing Compliance'!G6:G105,"⚠ Over-Deployed")+COUNTIF('Licensing Compliance'!G6:G105,"Unknown"))=0,0,COUNTIF('Licensing Compliance'!G6:G105,"✅ Compliant")/(COUNTIF('Licensing Compliance'!G6:G105,"✅ Compliant")+COUNTIF('Licensing Compliance'!G6:G105,"⚠ Over-Deployed")+COUNTIF('Licensing Compliance'!G6:G105,"Unknown")))</f>
        <v/>
      </c>
      <c r="C23" s="31" t="inlineStr">
        <is>
          <t>≥90%</t>
        </is>
      </c>
      <c r="D23" s="20" t="n"/>
      <c r="E23" s="20" t="n"/>
      <c r="F23" s="20" t="n"/>
      <c r="G23" s="20" t="n"/>
    </row>
    <row r="24">
      <c r="A24" s="31" t="inlineStr">
        <is>
          <t>Policy Req Implemented</t>
        </is>
      </c>
      <c r="B24" s="32">
        <f>IF((COUNTIF('Capability Requirements'!F6:F25,"✅ Compliant")+COUNTIF('Capability Requirements'!F6:F25,"❌ Gap")+COUNTIF('Capability Requirements'!F6:F25,"N/A"))=0,0,COUNTIF('Capability Requirements'!F6:F25,"✅ Compliant")/(COUNTIF('Capability Requirements'!F6:F25,"✅ Compliant")+COUNTIF('Capability Requirements'!F6:F25,"❌ Gap")+COUNTIF('Capability Requirements'!F6:F25,"N/A")))</f>
        <v/>
      </c>
      <c r="C24" s="31" t="inlineStr">
        <is>
          <t>100%</t>
        </is>
      </c>
      <c r="D24" s="20" t="n"/>
      <c r="E24" s="20" t="n"/>
      <c r="F24" s="20" t="n"/>
      <c r="G24" s="20" t="n"/>
    </row>
    <row r="25">
      <c r="A25" s="31" t="inlineStr">
        <is>
          <t>Critical/High Gaps</t>
        </is>
      </c>
      <c r="B25" s="31">
        <f>COUNTIF('Gap Analysis'!E6:E55,"Critical")+COUNTIF('Gap Analysis'!E6:E55,"High")</f>
        <v/>
      </c>
      <c r="C25" s="31" t="inlineStr">
        <is>
          <t>0</t>
        </is>
      </c>
      <c r="D25" s="20" t="n"/>
      <c r="E25" s="20" t="n"/>
      <c r="F25" s="20" t="n"/>
      <c r="G25" s="20" t="n"/>
    </row>
    <row r="26">
      <c r="A26" s="6" t="n"/>
      <c r="B26" s="6" t="n"/>
      <c r="C26" s="6" t="n"/>
      <c r="D26" s="20" t="n"/>
      <c r="E26" s="20" t="n"/>
      <c r="F26" s="20" t="n"/>
      <c r="G26" s="20" t="n"/>
    </row>
    <row r="27">
      <c r="A27" s="6" t="n"/>
      <c r="B27" s="6" t="n"/>
      <c r="C27" s="6" t="n"/>
      <c r="D27" s="20" t="n"/>
      <c r="E27" s="20" t="n"/>
      <c r="F27" s="20" t="n"/>
      <c r="G27" s="20" t="n"/>
    </row>
    <row r="29">
      <c r="A29" s="35" t="inlineStr">
        <is>
          <t>TABLE 3 — Critical &amp; High Priority Findings</t>
        </is>
      </c>
    </row>
    <row r="30">
      <c r="A30" s="13" t="inlineStr">
        <is>
          <t>Finding ID</t>
        </is>
      </c>
      <c r="B30" s="13" t="inlineStr">
        <is>
          <t>Description</t>
        </is>
      </c>
      <c r="C30" s="13" t="inlineStr">
        <is>
          <t>Affected Area</t>
        </is>
      </c>
      <c r="D30" s="13" t="inlineStr">
        <is>
          <t>Severity</t>
        </is>
      </c>
      <c r="E30" s="13" t="inlineStr">
        <is>
          <t>Status</t>
        </is>
      </c>
      <c r="F30" s="13" t="inlineStr">
        <is>
          <t>Owner</t>
        </is>
      </c>
      <c r="G30" s="13" t="inlineStr">
        <is>
          <t>Due Date</t>
        </is>
      </c>
    </row>
    <row r="31">
      <c r="A31" s="20">
        <f>IFERROR(INDEX('Gap Analysis'!$A$6:$A$55,SMALL(IF(('Gap Analysis'!$E$6:$E$55="Critical")+('Gap Analysis'!$E$6:$E$55="High"),ROW('Gap Analysis'!$A$6:$A$55)-ROW('Gap Analysis'!$A$6)+1),1)),"")</f>
        <v/>
      </c>
      <c r="B31" s="36">
        <f>IFERROR(INDEX('Gap Analysis'!$B$6:$B$55,SMALL(IF(('Gap Analysis'!$E$6:$E$55="Critical")+('Gap Analysis'!$E$6:$E$55="High"),ROW('Gap Analysis'!$A$6:$A$55)-ROW('Gap Analysis'!$A$6)+1),1)),"")</f>
        <v/>
      </c>
      <c r="C31" s="20">
        <f>IFERROR(INDEX('Gap Analysis'!$D$6:$D$55,SMALL(IF(('Gap Analysis'!$E$6:$E$55="Critical")+('Gap Analysis'!$E$6:$E$55="High"),ROW('Gap Analysis'!$A$6:$A$55)-ROW('Gap Analysis'!$A$6)+1),1)),"")</f>
        <v/>
      </c>
      <c r="D31" s="20">
        <f>IFERROR(INDEX('Gap Analysis'!$E$6:$E$55,SMALL(IF(('Gap Analysis'!$E$6:$E$55="Critical")+('Gap Analysis'!$E$6:$E$55="High"),ROW('Gap Analysis'!$A$6:$A$55)-ROW('Gap Analysis'!$A$6)+1),1)),"")</f>
        <v/>
      </c>
      <c r="E31" s="20">
        <f>IFERROR(INDEX('Gap Analysis'!$K$6:$K$55,SMALL(IF(('Gap Analysis'!$E$6:$E$55="Critical")+('Gap Analysis'!$E$6:$E$55="High"),ROW('Gap Analysis'!$A$6:$A$55)-ROW('Gap Analysis'!$A$6)+1),1)),"")</f>
        <v/>
      </c>
      <c r="F31" s="20">
        <f>IFERROR(INDEX('Gap Analysis'!$I$6:$I$55,SMALL(IF(('Gap Analysis'!$E$6:$E$55="Critical")+('Gap Analysis'!$E$6:$E$55="High"),ROW('Gap Analysis'!$A$6:$A$55)-ROW('Gap Analysis'!$A$6)+1),1)),"")</f>
        <v/>
      </c>
      <c r="G31" s="20">
        <f>IFERROR(INDEX('Gap Analysis'!$J$6:$J$55,SMALL(IF(('Gap Analysis'!$E$6:$E$55="Critical")+('Gap Analysis'!$E$6:$E$55="High"),ROW('Gap Analysis'!$A$6:$A$55)-ROW('Gap Analysis'!$A$6)+1),1)),"")</f>
        <v/>
      </c>
    </row>
    <row r="32">
      <c r="A32" s="20">
        <f>IFERROR(INDEX('Gap Analysis'!$A$6:$A$55,SMALL(IF(('Gap Analysis'!$E$6:$E$55="Critical")+('Gap Analysis'!$E$6:$E$55="High"),ROW('Gap Analysis'!$A$6:$A$55)-ROW('Gap Analysis'!$A$6)+1),2)),"")</f>
        <v/>
      </c>
      <c r="B32" s="36">
        <f>IFERROR(INDEX('Gap Analysis'!$B$6:$B$55,SMALL(IF(('Gap Analysis'!$E$6:$E$55="Critical")+('Gap Analysis'!$E$6:$E$55="High"),ROW('Gap Analysis'!$A$6:$A$55)-ROW('Gap Analysis'!$A$6)+1),2)),"")</f>
        <v/>
      </c>
      <c r="C32" s="20">
        <f>IFERROR(INDEX('Gap Analysis'!$D$6:$D$55,SMALL(IF(('Gap Analysis'!$E$6:$E$55="Critical")+('Gap Analysis'!$E$6:$E$55="High"),ROW('Gap Analysis'!$A$6:$A$55)-ROW('Gap Analysis'!$A$6)+1),2)),"")</f>
        <v/>
      </c>
      <c r="D32" s="20">
        <f>IFERROR(INDEX('Gap Analysis'!$E$6:$E$55,SMALL(IF(('Gap Analysis'!$E$6:$E$55="Critical")+('Gap Analysis'!$E$6:$E$55="High"),ROW('Gap Analysis'!$A$6:$A$55)-ROW('Gap Analysis'!$A$6)+1),2)),"")</f>
        <v/>
      </c>
      <c r="E32" s="20">
        <f>IFERROR(INDEX('Gap Analysis'!$K$6:$K$55,SMALL(IF(('Gap Analysis'!$E$6:$E$55="Critical")+('Gap Analysis'!$E$6:$E$55="High"),ROW('Gap Analysis'!$A$6:$A$55)-ROW('Gap Analysis'!$A$6)+1),2)),"")</f>
        <v/>
      </c>
      <c r="F32" s="20">
        <f>IFERROR(INDEX('Gap Analysis'!$I$6:$I$55,SMALL(IF(('Gap Analysis'!$E$6:$E$55="Critical")+('Gap Analysis'!$E$6:$E$55="High"),ROW('Gap Analysis'!$A$6:$A$55)-ROW('Gap Analysis'!$A$6)+1),2)),"")</f>
        <v/>
      </c>
      <c r="G32" s="20">
        <f>IFERROR(INDEX('Gap Analysis'!$J$6:$J$55,SMALL(IF(('Gap Analysis'!$E$6:$E$55="Critical")+('Gap Analysis'!$E$6:$E$55="High"),ROW('Gap Analysis'!$A$6:$A$55)-ROW('Gap Analysis'!$A$6)+1),2)),"")</f>
        <v/>
      </c>
    </row>
    <row r="33">
      <c r="A33" s="20">
        <f>IFERROR(INDEX('Gap Analysis'!$A$6:$A$55,SMALL(IF(('Gap Analysis'!$E$6:$E$55="Critical")+('Gap Analysis'!$E$6:$E$55="High"),ROW('Gap Analysis'!$A$6:$A$55)-ROW('Gap Analysis'!$A$6)+1),3)),"")</f>
        <v/>
      </c>
      <c r="B33" s="36">
        <f>IFERROR(INDEX('Gap Analysis'!$B$6:$B$55,SMALL(IF(('Gap Analysis'!$E$6:$E$55="Critical")+('Gap Analysis'!$E$6:$E$55="High"),ROW('Gap Analysis'!$A$6:$A$55)-ROW('Gap Analysis'!$A$6)+1),3)),"")</f>
        <v/>
      </c>
      <c r="C33" s="20">
        <f>IFERROR(INDEX('Gap Analysis'!$D$6:$D$55,SMALL(IF(('Gap Analysis'!$E$6:$E$55="Critical")+('Gap Analysis'!$E$6:$E$55="High"),ROW('Gap Analysis'!$A$6:$A$55)-ROW('Gap Analysis'!$A$6)+1),3)),"")</f>
        <v/>
      </c>
      <c r="D33" s="20">
        <f>IFERROR(INDEX('Gap Analysis'!$E$6:$E$55,SMALL(IF(('Gap Analysis'!$E$6:$E$55="Critical")+('Gap Analysis'!$E$6:$E$55="High"),ROW('Gap Analysis'!$A$6:$A$55)-ROW('Gap Analysis'!$A$6)+1),3)),"")</f>
        <v/>
      </c>
      <c r="E33" s="20">
        <f>IFERROR(INDEX('Gap Analysis'!$K$6:$K$55,SMALL(IF(('Gap Analysis'!$E$6:$E$55="Critical")+('Gap Analysis'!$E$6:$E$55="High"),ROW('Gap Analysis'!$A$6:$A$55)-ROW('Gap Analysis'!$A$6)+1),3)),"")</f>
        <v/>
      </c>
      <c r="F33" s="20">
        <f>IFERROR(INDEX('Gap Analysis'!$I$6:$I$55,SMALL(IF(('Gap Analysis'!$E$6:$E$55="Critical")+('Gap Analysis'!$E$6:$E$55="High"),ROW('Gap Analysis'!$A$6:$A$55)-ROW('Gap Analysis'!$A$6)+1),3)),"")</f>
        <v/>
      </c>
      <c r="G33" s="20">
        <f>IFERROR(INDEX('Gap Analysis'!$J$6:$J$55,SMALL(IF(('Gap Analysis'!$E$6:$E$55="Critical")+('Gap Analysis'!$E$6:$E$55="High"),ROW('Gap Analysis'!$A$6:$A$55)-ROW('Gap Analysis'!$A$6)+1),3)),"")</f>
        <v/>
      </c>
    </row>
    <row r="34">
      <c r="A34" s="20">
        <f>IFERROR(INDEX('Gap Analysis'!$A$6:$A$55,SMALL(IF(('Gap Analysis'!$E$6:$E$55="Critical")+('Gap Analysis'!$E$6:$E$55="High"),ROW('Gap Analysis'!$A$6:$A$55)-ROW('Gap Analysis'!$A$6)+1),4)),"")</f>
        <v/>
      </c>
      <c r="B34" s="36">
        <f>IFERROR(INDEX('Gap Analysis'!$B$6:$B$55,SMALL(IF(('Gap Analysis'!$E$6:$E$55="Critical")+('Gap Analysis'!$E$6:$E$55="High"),ROW('Gap Analysis'!$A$6:$A$55)-ROW('Gap Analysis'!$A$6)+1),4)),"")</f>
        <v/>
      </c>
      <c r="C34" s="20">
        <f>IFERROR(INDEX('Gap Analysis'!$D$6:$D$55,SMALL(IF(('Gap Analysis'!$E$6:$E$55="Critical")+('Gap Analysis'!$E$6:$E$55="High"),ROW('Gap Analysis'!$A$6:$A$55)-ROW('Gap Analysis'!$A$6)+1),4)),"")</f>
        <v/>
      </c>
      <c r="D34" s="20">
        <f>IFERROR(INDEX('Gap Analysis'!$E$6:$E$55,SMALL(IF(('Gap Analysis'!$E$6:$E$55="Critical")+('Gap Analysis'!$E$6:$E$55="High"),ROW('Gap Analysis'!$A$6:$A$55)-ROW('Gap Analysis'!$A$6)+1),4)),"")</f>
        <v/>
      </c>
      <c r="E34" s="20">
        <f>IFERROR(INDEX('Gap Analysis'!$K$6:$K$55,SMALL(IF(('Gap Analysis'!$E$6:$E$55="Critical")+('Gap Analysis'!$E$6:$E$55="High"),ROW('Gap Analysis'!$A$6:$A$55)-ROW('Gap Analysis'!$A$6)+1),4)),"")</f>
        <v/>
      </c>
      <c r="F34" s="20">
        <f>IFERROR(INDEX('Gap Analysis'!$I$6:$I$55,SMALL(IF(('Gap Analysis'!$E$6:$E$55="Critical")+('Gap Analysis'!$E$6:$E$55="High"),ROW('Gap Analysis'!$A$6:$A$55)-ROW('Gap Analysis'!$A$6)+1),4)),"")</f>
        <v/>
      </c>
      <c r="G34" s="20">
        <f>IFERROR(INDEX('Gap Analysis'!$J$6:$J$55,SMALL(IF(('Gap Analysis'!$E$6:$E$55="Critical")+('Gap Analysis'!$E$6:$E$55="High"),ROW('Gap Analysis'!$A$6:$A$55)-ROW('Gap Analysis'!$A$6)+1),4)),"")</f>
        <v/>
      </c>
    </row>
    <row r="35">
      <c r="A35" s="20">
        <f>IFERROR(INDEX('Gap Analysis'!$A$6:$A$55,SMALL(IF(('Gap Analysis'!$E$6:$E$55="Critical")+('Gap Analysis'!$E$6:$E$55="High"),ROW('Gap Analysis'!$A$6:$A$55)-ROW('Gap Analysis'!$A$6)+1),5)),"")</f>
        <v/>
      </c>
      <c r="B35" s="36">
        <f>IFERROR(INDEX('Gap Analysis'!$B$6:$B$55,SMALL(IF(('Gap Analysis'!$E$6:$E$55="Critical")+('Gap Analysis'!$E$6:$E$55="High"),ROW('Gap Analysis'!$A$6:$A$55)-ROW('Gap Analysis'!$A$6)+1),5)),"")</f>
        <v/>
      </c>
      <c r="C35" s="20">
        <f>IFERROR(INDEX('Gap Analysis'!$D$6:$D$55,SMALL(IF(('Gap Analysis'!$E$6:$E$55="Critical")+('Gap Analysis'!$E$6:$E$55="High"),ROW('Gap Analysis'!$A$6:$A$55)-ROW('Gap Analysis'!$A$6)+1),5)),"")</f>
        <v/>
      </c>
      <c r="D35" s="20">
        <f>IFERROR(INDEX('Gap Analysis'!$E$6:$E$55,SMALL(IF(('Gap Analysis'!$E$6:$E$55="Critical")+('Gap Analysis'!$E$6:$E$55="High"),ROW('Gap Analysis'!$A$6:$A$55)-ROW('Gap Analysis'!$A$6)+1),5)),"")</f>
        <v/>
      </c>
      <c r="E35" s="20">
        <f>IFERROR(INDEX('Gap Analysis'!$K$6:$K$55,SMALL(IF(('Gap Analysis'!$E$6:$E$55="Critical")+('Gap Analysis'!$E$6:$E$55="High"),ROW('Gap Analysis'!$A$6:$A$55)-ROW('Gap Analysis'!$A$6)+1),5)),"")</f>
        <v/>
      </c>
      <c r="F35" s="20">
        <f>IFERROR(INDEX('Gap Analysis'!$I$6:$I$55,SMALL(IF(('Gap Analysis'!$E$6:$E$55="Critical")+('Gap Analysis'!$E$6:$E$55="High"),ROW('Gap Analysis'!$A$6:$A$55)-ROW('Gap Analysis'!$A$6)+1),5)),"")</f>
        <v/>
      </c>
      <c r="G35" s="20">
        <f>IFERROR(INDEX('Gap Analysis'!$J$6:$J$55,SMALL(IF(('Gap Analysis'!$E$6:$E$55="Critical")+('Gap Analysis'!$E$6:$E$55="High"),ROW('Gap Analysis'!$A$6:$A$55)-ROW('Gap Analysis'!$A$6)+1),5)),"")</f>
        <v/>
      </c>
    </row>
    <row r="36">
      <c r="A36" s="20">
        <f>IFERROR(INDEX('Gap Analysis'!$A$6:$A$55,SMALL(IF(('Gap Analysis'!$E$6:$E$55="Critical")+('Gap Analysis'!$E$6:$E$55="High"),ROW('Gap Analysis'!$A$6:$A$55)-ROW('Gap Analysis'!$A$6)+1),6)),"")</f>
        <v/>
      </c>
      <c r="B36" s="36">
        <f>IFERROR(INDEX('Gap Analysis'!$B$6:$B$55,SMALL(IF(('Gap Analysis'!$E$6:$E$55="Critical")+('Gap Analysis'!$E$6:$E$55="High"),ROW('Gap Analysis'!$A$6:$A$55)-ROW('Gap Analysis'!$A$6)+1),6)),"")</f>
        <v/>
      </c>
      <c r="C36" s="20">
        <f>IFERROR(INDEX('Gap Analysis'!$D$6:$D$55,SMALL(IF(('Gap Analysis'!$E$6:$E$55="Critical")+('Gap Analysis'!$E$6:$E$55="High"),ROW('Gap Analysis'!$A$6:$A$55)-ROW('Gap Analysis'!$A$6)+1),6)),"")</f>
        <v/>
      </c>
      <c r="D36" s="20">
        <f>IFERROR(INDEX('Gap Analysis'!$E$6:$E$55,SMALL(IF(('Gap Analysis'!$E$6:$E$55="Critical")+('Gap Analysis'!$E$6:$E$55="High"),ROW('Gap Analysis'!$A$6:$A$55)-ROW('Gap Analysis'!$A$6)+1),6)),"")</f>
        <v/>
      </c>
      <c r="E36" s="20">
        <f>IFERROR(INDEX('Gap Analysis'!$K$6:$K$55,SMALL(IF(('Gap Analysis'!$E$6:$E$55="Critical")+('Gap Analysis'!$E$6:$E$55="High"),ROW('Gap Analysis'!$A$6:$A$55)-ROW('Gap Analysis'!$A$6)+1),6)),"")</f>
        <v/>
      </c>
      <c r="F36" s="20">
        <f>IFERROR(INDEX('Gap Analysis'!$I$6:$I$55,SMALL(IF(('Gap Analysis'!$E$6:$E$55="Critical")+('Gap Analysis'!$E$6:$E$55="High"),ROW('Gap Analysis'!$A$6:$A$55)-ROW('Gap Analysis'!$A$6)+1),6)),"")</f>
        <v/>
      </c>
      <c r="G36" s="20">
        <f>IFERROR(INDEX('Gap Analysis'!$J$6:$J$55,SMALL(IF(('Gap Analysis'!$E$6:$E$55="Critical")+('Gap Analysis'!$E$6:$E$55="High"),ROW('Gap Analysis'!$A$6:$A$55)-ROW('Gap Analysis'!$A$6)+1),6)),"")</f>
        <v/>
      </c>
    </row>
    <row r="37">
      <c r="A37" s="20">
        <f>IFERROR(INDEX('Gap Analysis'!$A$6:$A$55,SMALL(IF(('Gap Analysis'!$E$6:$E$55="Critical")+('Gap Analysis'!$E$6:$E$55="High"),ROW('Gap Analysis'!$A$6:$A$55)-ROW('Gap Analysis'!$A$6)+1),7)),"")</f>
        <v/>
      </c>
      <c r="B37" s="36">
        <f>IFERROR(INDEX('Gap Analysis'!$B$6:$B$55,SMALL(IF(('Gap Analysis'!$E$6:$E$55="Critical")+('Gap Analysis'!$E$6:$E$55="High"),ROW('Gap Analysis'!$A$6:$A$55)-ROW('Gap Analysis'!$A$6)+1),7)),"")</f>
        <v/>
      </c>
      <c r="C37" s="20">
        <f>IFERROR(INDEX('Gap Analysis'!$D$6:$D$55,SMALL(IF(('Gap Analysis'!$E$6:$E$55="Critical")+('Gap Analysis'!$E$6:$E$55="High"),ROW('Gap Analysis'!$A$6:$A$55)-ROW('Gap Analysis'!$A$6)+1),7)),"")</f>
        <v/>
      </c>
      <c r="D37" s="20">
        <f>IFERROR(INDEX('Gap Analysis'!$E$6:$E$55,SMALL(IF(('Gap Analysis'!$E$6:$E$55="Critical")+('Gap Analysis'!$E$6:$E$55="High"),ROW('Gap Analysis'!$A$6:$A$55)-ROW('Gap Analysis'!$A$6)+1),7)),"")</f>
        <v/>
      </c>
      <c r="E37" s="20">
        <f>IFERROR(INDEX('Gap Analysis'!$K$6:$K$55,SMALL(IF(('Gap Analysis'!$E$6:$E$55="Critical")+('Gap Analysis'!$E$6:$E$55="High"),ROW('Gap Analysis'!$A$6:$A$55)-ROW('Gap Analysis'!$A$6)+1),7)),"")</f>
        <v/>
      </c>
      <c r="F37" s="20">
        <f>IFERROR(INDEX('Gap Analysis'!$I$6:$I$55,SMALL(IF(('Gap Analysis'!$E$6:$E$55="Critical")+('Gap Analysis'!$E$6:$E$55="High"),ROW('Gap Analysis'!$A$6:$A$55)-ROW('Gap Analysis'!$A$6)+1),7)),"")</f>
        <v/>
      </c>
      <c r="G37" s="20">
        <f>IFERROR(INDEX('Gap Analysis'!$J$6:$J$55,SMALL(IF(('Gap Analysis'!$E$6:$E$55="Critical")+('Gap Analysis'!$E$6:$E$55="High"),ROW('Gap Analysis'!$A$6:$A$55)-ROW('Gap Analysis'!$A$6)+1),7)),"")</f>
        <v/>
      </c>
    </row>
    <row r="38">
      <c r="A38" s="20">
        <f>IFERROR(INDEX('Gap Analysis'!$A$6:$A$55,SMALL(IF(('Gap Analysis'!$E$6:$E$55="Critical")+('Gap Analysis'!$E$6:$E$55="High"),ROW('Gap Analysis'!$A$6:$A$55)-ROW('Gap Analysis'!$A$6)+1),8)),"")</f>
        <v/>
      </c>
      <c r="B38" s="36">
        <f>IFERROR(INDEX('Gap Analysis'!$B$6:$B$55,SMALL(IF(('Gap Analysis'!$E$6:$E$55="Critical")+('Gap Analysis'!$E$6:$E$55="High"),ROW('Gap Analysis'!$A$6:$A$55)-ROW('Gap Analysis'!$A$6)+1),8)),"")</f>
        <v/>
      </c>
      <c r="C38" s="20">
        <f>IFERROR(INDEX('Gap Analysis'!$D$6:$D$55,SMALL(IF(('Gap Analysis'!$E$6:$E$55="Critical")+('Gap Analysis'!$E$6:$E$55="High"),ROW('Gap Analysis'!$A$6:$A$55)-ROW('Gap Analysis'!$A$6)+1),8)),"")</f>
        <v/>
      </c>
      <c r="D38" s="20">
        <f>IFERROR(INDEX('Gap Analysis'!$E$6:$E$55,SMALL(IF(('Gap Analysis'!$E$6:$E$55="Critical")+('Gap Analysis'!$E$6:$E$55="High"),ROW('Gap Analysis'!$A$6:$A$55)-ROW('Gap Analysis'!$A$6)+1),8)),"")</f>
        <v/>
      </c>
      <c r="E38" s="20">
        <f>IFERROR(INDEX('Gap Analysis'!$K$6:$K$55,SMALL(IF(('Gap Analysis'!$E$6:$E$55="Critical")+('Gap Analysis'!$E$6:$E$55="High"),ROW('Gap Analysis'!$A$6:$A$55)-ROW('Gap Analysis'!$A$6)+1),8)),"")</f>
        <v/>
      </c>
      <c r="F38" s="20">
        <f>IFERROR(INDEX('Gap Analysis'!$I$6:$I$55,SMALL(IF(('Gap Analysis'!$E$6:$E$55="Critical")+('Gap Analysis'!$E$6:$E$55="High"),ROW('Gap Analysis'!$A$6:$A$55)-ROW('Gap Analysis'!$A$6)+1),8)),"")</f>
        <v/>
      </c>
      <c r="G38" s="20">
        <f>IFERROR(INDEX('Gap Analysis'!$J$6:$J$55,SMALL(IF(('Gap Analysis'!$E$6:$E$55="Critical")+('Gap Analysis'!$E$6:$E$55="High"),ROW('Gap Analysis'!$A$6:$A$55)-ROW('Gap Analysis'!$A$6)+1),8)),"")</f>
        <v/>
      </c>
    </row>
    <row r="39">
      <c r="A39" s="20">
        <f>IFERROR(INDEX('Gap Analysis'!$A$6:$A$55,SMALL(IF(('Gap Analysis'!$E$6:$E$55="Critical")+('Gap Analysis'!$E$6:$E$55="High"),ROW('Gap Analysis'!$A$6:$A$55)-ROW('Gap Analysis'!$A$6)+1),9)),"")</f>
        <v/>
      </c>
      <c r="B39" s="36">
        <f>IFERROR(INDEX('Gap Analysis'!$B$6:$B$55,SMALL(IF(('Gap Analysis'!$E$6:$E$55="Critical")+('Gap Analysis'!$E$6:$E$55="High"),ROW('Gap Analysis'!$A$6:$A$55)-ROW('Gap Analysis'!$A$6)+1),9)),"")</f>
        <v/>
      </c>
      <c r="C39" s="20">
        <f>IFERROR(INDEX('Gap Analysis'!$D$6:$D$55,SMALL(IF(('Gap Analysis'!$E$6:$E$55="Critical")+('Gap Analysis'!$E$6:$E$55="High"),ROW('Gap Analysis'!$A$6:$A$55)-ROW('Gap Analysis'!$A$6)+1),9)),"")</f>
        <v/>
      </c>
      <c r="D39" s="20">
        <f>IFERROR(INDEX('Gap Analysis'!$E$6:$E$55,SMALL(IF(('Gap Analysis'!$E$6:$E$55="Critical")+('Gap Analysis'!$E$6:$E$55="High"),ROW('Gap Analysis'!$A$6:$A$55)-ROW('Gap Analysis'!$A$6)+1),9)),"")</f>
        <v/>
      </c>
      <c r="E39" s="20">
        <f>IFERROR(INDEX('Gap Analysis'!$K$6:$K$55,SMALL(IF(('Gap Analysis'!$E$6:$E$55="Critical")+('Gap Analysis'!$E$6:$E$55="High"),ROW('Gap Analysis'!$A$6:$A$55)-ROW('Gap Analysis'!$A$6)+1),9)),"")</f>
        <v/>
      </c>
      <c r="F39" s="20">
        <f>IFERROR(INDEX('Gap Analysis'!$I$6:$I$55,SMALL(IF(('Gap Analysis'!$E$6:$E$55="Critical")+('Gap Analysis'!$E$6:$E$55="High"),ROW('Gap Analysis'!$A$6:$A$55)-ROW('Gap Analysis'!$A$6)+1),9)),"")</f>
        <v/>
      </c>
      <c r="G39" s="20">
        <f>IFERROR(INDEX('Gap Analysis'!$J$6:$J$55,SMALL(IF(('Gap Analysis'!$E$6:$E$55="Critical")+('Gap Analysis'!$E$6:$E$55="High"),ROW('Gap Analysis'!$A$6:$A$55)-ROW('Gap Analysis'!$A$6)+1),9)),"")</f>
        <v/>
      </c>
    </row>
    <row r="40">
      <c r="A40" s="20">
        <f>IFERROR(INDEX('Gap Analysis'!$A$6:$A$55,SMALL(IF(('Gap Analysis'!$E$6:$E$55="Critical")+('Gap Analysis'!$E$6:$E$55="High"),ROW('Gap Analysis'!$A$6:$A$55)-ROW('Gap Analysis'!$A$6)+1),10)),"")</f>
        <v/>
      </c>
      <c r="B40" s="36">
        <f>IFERROR(INDEX('Gap Analysis'!$B$6:$B$55,SMALL(IF(('Gap Analysis'!$E$6:$E$55="Critical")+('Gap Analysis'!$E$6:$E$55="High"),ROW('Gap Analysis'!$A$6:$A$55)-ROW('Gap Analysis'!$A$6)+1),10)),"")</f>
        <v/>
      </c>
      <c r="C40" s="20">
        <f>IFERROR(INDEX('Gap Analysis'!$D$6:$D$55,SMALL(IF(('Gap Analysis'!$E$6:$E$55="Critical")+('Gap Analysis'!$E$6:$E$55="High"),ROW('Gap Analysis'!$A$6:$A$55)-ROW('Gap Analysis'!$A$6)+1),10)),"")</f>
        <v/>
      </c>
      <c r="D40" s="20">
        <f>IFERROR(INDEX('Gap Analysis'!$E$6:$E$55,SMALL(IF(('Gap Analysis'!$E$6:$E$55="Critical")+('Gap Analysis'!$E$6:$E$55="High"),ROW('Gap Analysis'!$A$6:$A$55)-ROW('Gap Analysis'!$A$6)+1),10)),"")</f>
        <v/>
      </c>
      <c r="E40" s="20">
        <f>IFERROR(INDEX('Gap Analysis'!$K$6:$K$55,SMALL(IF(('Gap Analysis'!$E$6:$E$55="Critical")+('Gap Analysis'!$E$6:$E$55="High"),ROW('Gap Analysis'!$A$6:$A$55)-ROW('Gap Analysis'!$A$6)+1),10)),"")</f>
        <v/>
      </c>
      <c r="F40" s="20">
        <f>IFERROR(INDEX('Gap Analysis'!$I$6:$I$55,SMALL(IF(('Gap Analysis'!$E$6:$E$55="Critical")+('Gap Analysis'!$E$6:$E$55="High"),ROW('Gap Analysis'!$A$6:$A$55)-ROW('Gap Analysis'!$A$6)+1),10)),"")</f>
        <v/>
      </c>
      <c r="G40" s="20">
        <f>IFERROR(INDEX('Gap Analysis'!$J$6:$J$55,SMALL(IF(('Gap Analysis'!$E$6:$E$55="Critical")+('Gap Analysis'!$E$6:$E$55="High"),ROW('Gap Analysis'!$A$6:$A$55)-ROW('Gap Analysis'!$A$6)+1),10)),"")</f>
        <v/>
      </c>
    </row>
    <row r="41">
      <c r="A41" s="20" t="n"/>
      <c r="B41" s="20" t="n"/>
      <c r="C41" s="20" t="n"/>
      <c r="D41" s="20" t="n"/>
      <c r="E41" s="20" t="n"/>
      <c r="F41" s="20" t="n"/>
      <c r="G41" s="20" t="n"/>
    </row>
    <row r="42">
      <c r="A42" s="20" t="n"/>
      <c r="B42" s="20" t="n"/>
      <c r="C42" s="20" t="n"/>
      <c r="D42" s="20" t="n"/>
      <c r="E42" s="20" t="n"/>
      <c r="F42" s="20" t="n"/>
      <c r="G42" s="20" t="n"/>
    </row>
    <row r="43">
      <c r="A43" s="33" t="inlineStr">
        <is>
          <t>TOTAL Critical/High Findings:</t>
        </is>
      </c>
      <c r="B43" s="33">
        <f>COUNTIF('Gap Analysis'!E6:E55,"Critical")+COUNTIF('Gap Analysis'!E6:E55,"High")</f>
        <v/>
      </c>
      <c r="C43" s="37" t="n"/>
      <c r="D43" s="37" t="n"/>
      <c r="E43" s="37" t="n"/>
      <c r="F43" s="37" t="n"/>
      <c r="G43" s="38" t="n"/>
    </row>
  </sheetData>
  <mergeCells count="5">
    <mergeCell ref="A13:G13"/>
    <mergeCell ref="A1:G1"/>
    <mergeCell ref="A3:G3"/>
    <mergeCell ref="B43:G43"/>
    <mergeCell ref="A29:G2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9" t="inlineStr">
        <is>
          <t>ASSESSMENT APPROVAL AND SIGN-OFF</t>
        </is>
      </c>
      <c r="B1" s="6" t="n"/>
      <c r="C1" s="6" t="n"/>
      <c r="D1" s="6" t="n"/>
      <c r="E1" s="6" t="n"/>
    </row>
    <row r="2">
      <c r="A2" s="40" t="inlineStr">
        <is>
          <t>ISO/IEC 27001:2022 - Control A.8.1-7-18-19: Endpoint and Device Security</t>
        </is>
      </c>
      <c r="B2" s="6" t="n"/>
      <c r="C2" s="6" t="n"/>
      <c r="D2" s="6" t="n"/>
      <c r="E2" s="6" t="n"/>
    </row>
    <row r="3">
      <c r="A3" s="41" t="inlineStr">
        <is>
          <t>ASSESSMENT SUMMARY</t>
        </is>
      </c>
      <c r="B3" s="6" t="n"/>
      <c r="C3" s="6" t="n"/>
      <c r="D3" s="6" t="n"/>
      <c r="E3" s="6" t="n"/>
    </row>
    <row r="4">
      <c r="A4" s="21" t="inlineStr">
        <is>
          <t>Document:</t>
        </is>
      </c>
      <c r="B4" s="6" t="inlineStr">
        <is>
          <t>ISMS-IMP-A.8.1-7-18-19.3 - Software Controls</t>
        </is>
      </c>
      <c r="C4" s="6" t="n"/>
      <c r="D4" s="6" t="n"/>
      <c r="E4" s="6" t="n"/>
    </row>
    <row r="5">
      <c r="A5" s="21" t="inlineStr">
        <is>
          <t>Assessment Period:</t>
        </is>
      </c>
      <c r="B5" s="20" t="inlineStr"/>
      <c r="C5" s="6" t="n"/>
      <c r="D5" s="6" t="n"/>
      <c r="E5" s="6" t="n"/>
    </row>
    <row r="6">
      <c r="A6" s="21" t="inlineStr">
        <is>
          <t>Overall Compliance Rating:</t>
        </is>
      </c>
      <c r="B6" s="42">
        <f>'Summary Dashboard'!G11</f>
        <v/>
      </c>
      <c r="C6" s="6" t="n"/>
      <c r="D6" s="6" t="n"/>
      <c r="E6" s="6" t="n"/>
    </row>
    <row r="7">
      <c r="A7" s="21" t="inlineStr">
        <is>
          <t>Assessment Status:</t>
        </is>
      </c>
      <c r="B7" s="20" t="inlineStr"/>
      <c r="C7" s="6" t="n"/>
      <c r="D7" s="6" t="n"/>
      <c r="E7" s="6" t="n"/>
    </row>
    <row r="8">
      <c r="A8" s="21" t="inlineStr">
        <is>
          <t>Assessed By:</t>
        </is>
      </c>
      <c r="B8" s="20" t="inlineStr"/>
      <c r="C8" s="6" t="n"/>
      <c r="D8" s="6" t="n"/>
      <c r="E8" s="6" t="n"/>
    </row>
    <row r="11">
      <c r="A11" s="41" t="inlineStr">
        <is>
          <t>COMPLETED BY (ASSESSOR)</t>
        </is>
      </c>
      <c r="B11" s="6" t="n"/>
      <c r="C11" s="6" t="n"/>
      <c r="D11" s="6" t="n"/>
      <c r="E11" s="6" t="n"/>
    </row>
    <row r="12">
      <c r="A12" s="21" t="inlineStr">
        <is>
          <t>Name:</t>
        </is>
      </c>
      <c r="B12" s="20" t="n"/>
      <c r="C12" s="6" t="n"/>
      <c r="D12" s="6" t="n"/>
      <c r="E12" s="6" t="n"/>
    </row>
    <row r="13">
      <c r="A13" s="21" t="inlineStr">
        <is>
          <t>Title:</t>
        </is>
      </c>
      <c r="B13" s="20" t="n"/>
      <c r="C13" s="6" t="n"/>
      <c r="D13" s="6" t="n"/>
      <c r="E13" s="6" t="n"/>
    </row>
    <row r="14">
      <c r="A14" s="21" t="inlineStr">
        <is>
          <t>Date:</t>
        </is>
      </c>
      <c r="B14" s="20" t="n"/>
      <c r="C14" s="6" t="n"/>
      <c r="D14" s="6" t="n"/>
      <c r="E14" s="6" t="n"/>
    </row>
    <row r="15">
      <c r="A15" s="21" t="inlineStr">
        <is>
          <t>Signature:</t>
        </is>
      </c>
      <c r="B15" s="20" t="n"/>
      <c r="C15" s="6" t="n"/>
      <c r="D15" s="6" t="n"/>
      <c r="E15" s="6" t="n"/>
    </row>
    <row r="16">
      <c r="A16" s="21" t="inlineStr">
        <is>
          <t>Comments:</t>
        </is>
      </c>
      <c r="B16" s="20" t="n"/>
      <c r="C16" s="6" t="n"/>
      <c r="D16" s="6" t="n"/>
      <c r="E16" s="6" t="n"/>
    </row>
    <row r="18">
      <c r="A18" s="41" t="inlineStr">
        <is>
          <t>REVIEWED BY (INFORMATION SECURITY OFFICER)</t>
        </is>
      </c>
      <c r="B18" s="6" t="n"/>
      <c r="C18" s="6" t="n"/>
      <c r="D18" s="6" t="n"/>
      <c r="E18" s="6" t="n"/>
    </row>
    <row r="19">
      <c r="A19" s="21" t="inlineStr">
        <is>
          <t>Name:</t>
        </is>
      </c>
      <c r="B19" s="20" t="n"/>
      <c r="C19" s="6" t="n"/>
      <c r="D19" s="6" t="n"/>
      <c r="E19" s="6" t="n"/>
    </row>
    <row r="20">
      <c r="A20" s="21" t="inlineStr">
        <is>
          <t>Title:</t>
        </is>
      </c>
      <c r="B20" s="20" t="n"/>
      <c r="C20" s="6" t="n"/>
      <c r="D20" s="6" t="n"/>
      <c r="E20" s="6" t="n"/>
    </row>
    <row r="21">
      <c r="A21" s="21" t="inlineStr">
        <is>
          <t>Date:</t>
        </is>
      </c>
      <c r="B21" s="20" t="n"/>
      <c r="C21" s="6" t="n"/>
      <c r="D21" s="6" t="n"/>
      <c r="E21" s="6" t="n"/>
    </row>
    <row r="22">
      <c r="A22" s="21" t="inlineStr">
        <is>
          <t>Signature:</t>
        </is>
      </c>
      <c r="B22" s="20" t="n"/>
      <c r="C22" s="6" t="n"/>
      <c r="D22" s="6" t="n"/>
      <c r="E22" s="6" t="n"/>
    </row>
    <row r="23">
      <c r="A23" s="21" t="inlineStr">
        <is>
          <t>Comments:</t>
        </is>
      </c>
      <c r="B23" s="20" t="n"/>
      <c r="C23" s="6" t="n"/>
      <c r="D23" s="6" t="n"/>
      <c r="E23" s="6" t="n"/>
    </row>
    <row r="25">
      <c r="A25" s="43" t="inlineStr">
        <is>
          <t>APPROVED BY (CISO)</t>
        </is>
      </c>
      <c r="B25" s="6" t="n"/>
      <c r="C25" s="6" t="n"/>
      <c r="D25" s="6" t="n"/>
      <c r="E25" s="6" t="n"/>
    </row>
    <row r="26">
      <c r="A26" s="21" t="inlineStr">
        <is>
          <t>Name:</t>
        </is>
      </c>
      <c r="B26" s="20" t="n"/>
      <c r="C26" s="6" t="n"/>
      <c r="D26" s="6" t="n"/>
      <c r="E26" s="6" t="n"/>
    </row>
    <row r="27">
      <c r="A27" s="21" t="inlineStr">
        <is>
          <t>Title:</t>
        </is>
      </c>
      <c r="B27" s="20" t="n"/>
      <c r="C27" s="6" t="n"/>
      <c r="D27" s="6" t="n"/>
      <c r="E27" s="6" t="n"/>
    </row>
    <row r="28">
      <c r="A28" s="21" t="inlineStr">
        <is>
          <t>Date:</t>
        </is>
      </c>
      <c r="B28" s="20" t="n"/>
      <c r="C28" s="6" t="n"/>
      <c r="D28" s="6" t="n"/>
      <c r="E28" s="6" t="n"/>
    </row>
    <row r="29">
      <c r="A29" s="21" t="inlineStr">
        <is>
          <t>Signature:</t>
        </is>
      </c>
      <c r="B29" s="20" t="n"/>
      <c r="C29" s="6" t="n"/>
      <c r="D29" s="6" t="n"/>
      <c r="E29" s="6" t="n"/>
    </row>
    <row r="30">
      <c r="A30" s="21" t="inlineStr">
        <is>
          <t>Comments:</t>
        </is>
      </c>
      <c r="B30" s="20" t="n"/>
      <c r="C30" s="6" t="n"/>
      <c r="D30" s="6" t="n"/>
      <c r="E30" s="6" t="n"/>
    </row>
    <row r="32">
      <c r="A32" s="21" t="inlineStr">
        <is>
          <t>FINAL DECISION:</t>
        </is>
      </c>
      <c r="B32" s="20" t="n"/>
      <c r="C32" s="6" t="n"/>
      <c r="D32" s="6" t="n"/>
      <c r="E32" s="6" t="n"/>
    </row>
    <row r="35">
      <c r="A35" s="41" t="inlineStr">
        <is>
          <t>NEXT REVIEW DETAILS</t>
        </is>
      </c>
      <c r="B35" s="6" t="n"/>
      <c r="C35" s="6" t="n"/>
      <c r="D35" s="6" t="n"/>
      <c r="E35" s="6" t="n"/>
    </row>
    <row r="36">
      <c r="A36" s="21" t="inlineStr">
        <is>
          <t>Next Review Date:</t>
        </is>
      </c>
      <c r="B36" s="20" t="n"/>
      <c r="C36" s="6" t="n"/>
      <c r="D36" s="6" t="n"/>
      <c r="E36" s="6" t="n"/>
    </row>
    <row r="37">
      <c r="A37" s="21" t="inlineStr">
        <is>
          <t>Review Responsible:</t>
        </is>
      </c>
      <c r="B37" s="20" t="n"/>
      <c r="C37" s="6" t="n"/>
      <c r="D37" s="6" t="n"/>
      <c r="E37" s="6" t="n"/>
    </row>
    <row r="38">
      <c r="A38" s="21" t="inlineStr">
        <is>
          <t>Special Considerations:</t>
        </is>
      </c>
      <c r="B38" s="20"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ISMS-IMP-A.8.1-7-18-19.3 — Software Controls</dc:title>
  <dc:description xmlns:dc="http://purl.org/dc/elements/1.1/">ISMS Implementation Workbook — ISMS-IMP-A.8.1-7-18-19.3</dc:description>
  <dc:subject xmlns:dc="http://purl.org/dc/elements/1.1/">ISO/IEC 27001:2022 — Control A.8.1-7-18-19: Endpoint and Device Security</dc:subject>
  <dcterms:created xmlns:dcterms="http://purl.org/dc/terms/" xmlns:xsi="http://www.w3.org/2001/XMLSchema-instance" xsi:type="dcterms:W3CDTF">2026-03-07T11:28:00Z</dcterms:created>
  <dcterms:modified xmlns:dcterms="http://purl.org/dc/terms/" xmlns:xsi="http://www.w3.org/2001/XMLSchema-instance" xsi:type="dcterms:W3CDTF">2026-03-07T11:28:01Z</dcterms:modified>
</cp:coreProperties>
</file>