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Master_Compliance_Matrix" sheetId="2" state="visible" r:id="rId2"/>
    <sheet xmlns:r="http://schemas.openxmlformats.org/officeDocument/2006/relationships" name="A81_Device_Compliance" sheetId="3" state="visible" r:id="rId3"/>
    <sheet xmlns:r="http://schemas.openxmlformats.org/officeDocument/2006/relationships" name="A87_Protection_Compliance" sheetId="4" state="visible" r:id="rId4"/>
    <sheet xmlns:r="http://schemas.openxmlformats.org/officeDocument/2006/relationships" name="A818_Utility_Compliance" sheetId="5" state="visible" r:id="rId5"/>
    <sheet xmlns:r="http://schemas.openxmlformats.org/officeDocument/2006/relationships" name="A819_Software_Compliance" sheetId="6" state="visible" r:id="rId6"/>
    <sheet xmlns:r="http://schemas.openxmlformats.org/officeDocument/2006/relationships" name="Risk_Prioritization" sheetId="7" state="visible" r:id="rId7"/>
    <sheet xmlns:r="http://schemas.openxmlformats.org/officeDocument/2006/relationships" name="Remediation_Tracking" sheetId="8" state="visible" r:id="rId8"/>
    <sheet xmlns:r="http://schemas.openxmlformats.org/officeDocument/2006/relationships" name="Trend_Analysis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40" customHeight="1">
      <c r="A1" s="1" t="inlineStr">
        <is>
          <t>ISMS-IMP-A.8.1-7-18-19.5
ISO/IEC 27001:2022 - Controls A.8.1, A.8.7, A.8.18, A.8.19: Endpoint Security</t>
        </is>
      </c>
    </row>
    <row r="2">
      <c r="A2" s="2" t="inlineStr">
        <is>
          <t>Master Compliance: A.8.1, A.8.7, A.8.18, A.8.19 Combined</t>
        </is>
      </c>
    </row>
    <row r="4">
      <c r="A4" s="3" t="inlineStr">
        <is>
          <t>Document ID:</t>
        </is>
      </c>
      <c r="B4" t="inlineStr">
        <is>
          <t>ISMS-IMP-A.8.1-7-18-19.S5</t>
        </is>
      </c>
    </row>
    <row r="5">
      <c r="A5" s="3" t="inlineStr">
        <is>
          <t>Workbook:</t>
        </is>
      </c>
      <c r="B5" t="inlineStr">
        <is>
          <t>Compliance Matrix</t>
        </is>
      </c>
    </row>
    <row r="6">
      <c r="A6" s="3" t="inlineStr">
        <is>
          <t>Version:</t>
        </is>
      </c>
      <c r="B6" t="inlineStr">
        <is>
          <t>1.0</t>
        </is>
      </c>
    </row>
    <row r="7">
      <c r="A7" s="3" t="inlineStr">
        <is>
          <t>Generated:</t>
        </is>
      </c>
      <c r="B7" t="inlineStr">
        <is>
          <t>08.02.2026 11:49</t>
        </is>
      </c>
    </row>
    <row r="10">
      <c r="A10" s="2" t="inlineStr">
        <is>
          <t>📋 PURPOSE</t>
        </is>
      </c>
    </row>
    <row r="11" ht="80" customHeight="1">
      <c r="A11" s="4" t="inlineStr">
        <is>
          <t>This workbook consolidates compliance assessment across all four endpoint security controls:
• A.8.1 User Endpoint Devices (inventory, baselines, encryption, MDM)
• A.8.7 Protection Against Malware (coverage, effectiveness, incidents)
• A.8.18 Use of Privileged Utility Programs (access controls, approvals, auditing)
• A.8.19 Installation of Software (approved software, unauthorized detection, app control)
Master compliance matrix shows per-endpoint status across all controls, enabling risk prioritization based on combined gaps (e.g., unencrypted + unprotected + unauthorized software = critical risk).</t>
        </is>
      </c>
    </row>
    <row r="12"/>
    <row r="13"/>
    <row r="14"/>
  </sheetData>
  <mergeCells count="4">
    <mergeCell ref="A2:F2"/>
    <mergeCell ref="A11:F14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20" customWidth="1" min="11" max="11"/>
    <col width="30" customWidth="1" min="12" max="12"/>
  </cols>
  <sheetData>
    <row r="1">
      <c r="A1" s="1" t="inlineStr">
        <is>
          <t>MASTER ENDPOINT SECURITY COMPLIANCE MATRIX</t>
        </is>
      </c>
    </row>
    <row r="2">
      <c r="A2" s="2" t="inlineStr">
        <is>
          <t>Per-endpoint compliance across A.8.1, A.8.7, A.8.18, A.8.19 with combined risk score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Device Type</t>
        </is>
      </c>
      <c r="D4" s="5" t="inlineStr">
        <is>
          <t>A.8.1 Compliance</t>
        </is>
      </c>
      <c r="E4" s="5" t="inlineStr">
        <is>
          <t>A.8.7 Compliance</t>
        </is>
      </c>
      <c r="F4" s="5" t="inlineStr">
        <is>
          <t>A.8.18 Compliance</t>
        </is>
      </c>
      <c r="G4" s="5" t="inlineStr">
        <is>
          <t>A.8.19 Compliance</t>
        </is>
      </c>
      <c r="H4" s="5" t="inlineStr">
        <is>
          <t>Overall Score</t>
        </is>
      </c>
      <c r="I4" s="5" t="inlineStr">
        <is>
          <t>Combined Risk</t>
        </is>
      </c>
      <c r="J4" s="5" t="inlineStr">
        <is>
          <t>Critical Gaps</t>
        </is>
      </c>
      <c r="K4" s="5" t="inlineStr">
        <is>
          <t>Remediation Priority</t>
        </is>
      </c>
      <c r="L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  <c r="G5" s="6" t="n"/>
      <c r="H5">
        <f>AVERAGE(D5:G5)</f>
        <v/>
      </c>
      <c r="I5" s="6" t="n"/>
      <c r="J5" s="6" t="n"/>
      <c r="K5">
        <f>IF(H5&lt;50,"🔴 Critical",IF(H5&lt;75,"🟠 High",IF(H5&lt;90,"🟡 Medium","🟢 Low")))</f>
        <v/>
      </c>
      <c r="L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  <c r="G6" s="6" t="n"/>
      <c r="H6">
        <f>AVERAGE(D6:G6)</f>
        <v/>
      </c>
      <c r="I6" s="6" t="n"/>
      <c r="J6" s="6" t="n"/>
      <c r="K6">
        <f>IF(H6&lt;50,"🔴 Critical",IF(H6&lt;75,"🟠 High",IF(H6&lt;90,"🟡 Medium","🟢 Low")))</f>
        <v/>
      </c>
      <c r="L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  <c r="G7" s="6" t="n"/>
      <c r="H7">
        <f>AVERAGE(D7:G7)</f>
        <v/>
      </c>
      <c r="I7" s="6" t="n"/>
      <c r="J7" s="6" t="n"/>
      <c r="K7">
        <f>IF(H7&lt;50,"🔴 Critical",IF(H7&lt;75,"🟠 High",IF(H7&lt;90,"🟡 Medium","🟢 Low")))</f>
        <v/>
      </c>
      <c r="L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  <c r="G8" s="6" t="n"/>
      <c r="H8">
        <f>AVERAGE(D8:G8)</f>
        <v/>
      </c>
      <c r="I8" s="6" t="n"/>
      <c r="J8" s="6" t="n"/>
      <c r="K8">
        <f>IF(H8&lt;50,"🔴 Critical",IF(H8&lt;75,"🟠 High",IF(H8&lt;90,"🟡 Medium","🟢 Low")))</f>
        <v/>
      </c>
      <c r="L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  <c r="G9" s="6" t="n"/>
      <c r="H9">
        <f>AVERAGE(D9:G9)</f>
        <v/>
      </c>
      <c r="I9" s="6" t="n"/>
      <c r="J9" s="6" t="n"/>
      <c r="K9">
        <f>IF(H9&lt;50,"🔴 Critical",IF(H9&lt;75,"🟠 High",IF(H9&lt;90,"🟡 Medium","🟢 Low")))</f>
        <v/>
      </c>
      <c r="L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  <c r="G10" s="6" t="n"/>
      <c r="H10">
        <f>AVERAGE(D10:G10)</f>
        <v/>
      </c>
      <c r="I10" s="6" t="n"/>
      <c r="J10" s="6" t="n"/>
      <c r="K10">
        <f>IF(H10&lt;50,"🔴 Critical",IF(H10&lt;75,"🟠 High",IF(H10&lt;90,"🟡 Medium","🟢 Low")))</f>
        <v/>
      </c>
      <c r="L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  <c r="G11" s="6" t="n"/>
      <c r="H11">
        <f>AVERAGE(D11:G11)</f>
        <v/>
      </c>
      <c r="I11" s="6" t="n"/>
      <c r="J11" s="6" t="n"/>
      <c r="K11">
        <f>IF(H11&lt;50,"🔴 Critical",IF(H11&lt;75,"🟠 High",IF(H11&lt;90,"🟡 Medium","🟢 Low")))</f>
        <v/>
      </c>
      <c r="L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  <c r="G12" s="6" t="n"/>
      <c r="H12">
        <f>AVERAGE(D12:G12)</f>
        <v/>
      </c>
      <c r="I12" s="6" t="n"/>
      <c r="J12" s="6" t="n"/>
      <c r="K12">
        <f>IF(H12&lt;50,"🔴 Critical",IF(H12&lt;75,"🟠 High",IF(H12&lt;90,"🟡 Medium","🟢 Low")))</f>
        <v/>
      </c>
      <c r="L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  <c r="G13" s="6" t="n"/>
      <c r="H13">
        <f>AVERAGE(D13:G13)</f>
        <v/>
      </c>
      <c r="I13" s="6" t="n"/>
      <c r="J13" s="6" t="n"/>
      <c r="K13">
        <f>IF(H13&lt;50,"🔴 Critical",IF(H13&lt;75,"🟠 High",IF(H13&lt;90,"🟡 Medium","🟢 Low")))</f>
        <v/>
      </c>
      <c r="L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  <c r="G14" s="6" t="n"/>
      <c r="H14">
        <f>AVERAGE(D14:G14)</f>
        <v/>
      </c>
      <c r="I14" s="6" t="n"/>
      <c r="J14" s="6" t="n"/>
      <c r="K14">
        <f>IF(H14&lt;50,"🔴 Critical",IF(H14&lt;75,"🟠 High",IF(H14&lt;90,"🟡 Medium","🟢 Low")))</f>
        <v/>
      </c>
      <c r="L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  <c r="G15" s="6" t="n"/>
      <c r="H15">
        <f>AVERAGE(D15:G15)</f>
        <v/>
      </c>
      <c r="I15" s="6" t="n"/>
      <c r="J15" s="6" t="n"/>
      <c r="K15">
        <f>IF(H15&lt;50,"🔴 Critical",IF(H15&lt;75,"🟠 High",IF(H15&lt;90,"🟡 Medium","🟢 Low")))</f>
        <v/>
      </c>
      <c r="L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  <c r="G16" s="6" t="n"/>
      <c r="H16">
        <f>AVERAGE(D16:G16)</f>
        <v/>
      </c>
      <c r="I16" s="6" t="n"/>
      <c r="J16" s="6" t="n"/>
      <c r="K16">
        <f>IF(H16&lt;50,"🔴 Critical",IF(H16&lt;75,"🟠 High",IF(H16&lt;90,"🟡 Medium","🟢 Low")))</f>
        <v/>
      </c>
      <c r="L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  <c r="G17" s="6" t="n"/>
      <c r="H17">
        <f>AVERAGE(D17:G17)</f>
        <v/>
      </c>
      <c r="I17" s="6" t="n"/>
      <c r="J17" s="6" t="n"/>
      <c r="K17">
        <f>IF(H17&lt;50,"🔴 Critical",IF(H17&lt;75,"🟠 High",IF(H17&lt;90,"🟡 Medium","🟢 Low")))</f>
        <v/>
      </c>
      <c r="L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  <c r="G18" s="6" t="n"/>
      <c r="H18">
        <f>AVERAGE(D18:G18)</f>
        <v/>
      </c>
      <c r="I18" s="6" t="n"/>
      <c r="J18" s="6" t="n"/>
      <c r="K18">
        <f>IF(H18&lt;50,"🔴 Critical",IF(H18&lt;75,"🟠 High",IF(H18&lt;90,"🟡 Medium","🟢 Low")))</f>
        <v/>
      </c>
      <c r="L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  <c r="G19" s="6" t="n"/>
      <c r="H19">
        <f>AVERAGE(D19:G19)</f>
        <v/>
      </c>
      <c r="I19" s="6" t="n"/>
      <c r="J19" s="6" t="n"/>
      <c r="K19">
        <f>IF(H19&lt;50,"🔴 Critical",IF(H19&lt;75,"🟠 High",IF(H19&lt;90,"🟡 Medium","🟢 Low")))</f>
        <v/>
      </c>
      <c r="L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  <c r="G20" s="6" t="n"/>
      <c r="H20">
        <f>AVERAGE(D20:G20)</f>
        <v/>
      </c>
      <c r="I20" s="6" t="n"/>
      <c r="J20" s="6" t="n"/>
      <c r="K20">
        <f>IF(H20&lt;50,"🔴 Critical",IF(H20&lt;75,"🟠 High",IF(H20&lt;90,"🟡 Medium","🟢 Low")))</f>
        <v/>
      </c>
      <c r="L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  <c r="G21" s="6" t="n"/>
      <c r="H21">
        <f>AVERAGE(D21:G21)</f>
        <v/>
      </c>
      <c r="I21" s="6" t="n"/>
      <c r="J21" s="6" t="n"/>
      <c r="K21">
        <f>IF(H21&lt;50,"🔴 Critical",IF(H21&lt;75,"🟠 High",IF(H21&lt;90,"🟡 Medium","🟢 Low")))</f>
        <v/>
      </c>
      <c r="L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  <c r="G22" s="6" t="n"/>
      <c r="H22">
        <f>AVERAGE(D22:G22)</f>
        <v/>
      </c>
      <c r="I22" s="6" t="n"/>
      <c r="J22" s="6" t="n"/>
      <c r="K22">
        <f>IF(H22&lt;50,"🔴 Critical",IF(H22&lt;75,"🟠 High",IF(H22&lt;90,"🟡 Medium","🟢 Low")))</f>
        <v/>
      </c>
      <c r="L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  <c r="G23" s="6" t="n"/>
      <c r="H23">
        <f>AVERAGE(D23:G23)</f>
        <v/>
      </c>
      <c r="I23" s="6" t="n"/>
      <c r="J23" s="6" t="n"/>
      <c r="K23">
        <f>IF(H23&lt;50,"🔴 Critical",IF(H23&lt;75,"🟠 High",IF(H23&lt;90,"🟡 Medium","🟢 Low")))</f>
        <v/>
      </c>
      <c r="L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  <c r="G24" s="6" t="n"/>
      <c r="H24">
        <f>AVERAGE(D24:G24)</f>
        <v/>
      </c>
      <c r="I24" s="6" t="n"/>
      <c r="J24" s="6" t="n"/>
      <c r="K24">
        <f>IF(H24&lt;50,"🔴 Critical",IF(H24&lt;75,"🟠 High",IF(H24&lt;90,"🟡 Medium","🟢 Low")))</f>
        <v/>
      </c>
      <c r="L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  <c r="G25" s="6" t="n"/>
      <c r="H25">
        <f>AVERAGE(D25:G25)</f>
        <v/>
      </c>
      <c r="I25" s="6" t="n"/>
      <c r="J25" s="6" t="n"/>
      <c r="K25">
        <f>IF(H25&lt;50,"🔴 Critical",IF(H25&lt;75,"🟠 High",IF(H25&lt;90,"🟡 Medium","🟢 Low")))</f>
        <v/>
      </c>
      <c r="L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  <c r="G26" s="6" t="n"/>
      <c r="H26">
        <f>AVERAGE(D26:G26)</f>
        <v/>
      </c>
      <c r="I26" s="6" t="n"/>
      <c r="J26" s="6" t="n"/>
      <c r="K26">
        <f>IF(H26&lt;50,"🔴 Critical",IF(H26&lt;75,"🟠 High",IF(H26&lt;90,"🟡 Medium","🟢 Low")))</f>
        <v/>
      </c>
      <c r="L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  <c r="G27" s="6" t="n"/>
      <c r="H27">
        <f>AVERAGE(D27:G27)</f>
        <v/>
      </c>
      <c r="I27" s="6" t="n"/>
      <c r="J27" s="6" t="n"/>
      <c r="K27">
        <f>IF(H27&lt;50,"🔴 Critical",IF(H27&lt;75,"🟠 High",IF(H27&lt;90,"🟡 Medium","🟢 Low")))</f>
        <v/>
      </c>
      <c r="L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  <c r="G28" s="6" t="n"/>
      <c r="H28">
        <f>AVERAGE(D28:G28)</f>
        <v/>
      </c>
      <c r="I28" s="6" t="n"/>
      <c r="J28" s="6" t="n"/>
      <c r="K28">
        <f>IF(H28&lt;50,"🔴 Critical",IF(H28&lt;75,"🟠 High",IF(H28&lt;90,"🟡 Medium","🟢 Low")))</f>
        <v/>
      </c>
      <c r="L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  <c r="G29" s="6" t="n"/>
      <c r="H29">
        <f>AVERAGE(D29:G29)</f>
        <v/>
      </c>
      <c r="I29" s="6" t="n"/>
      <c r="J29" s="6" t="n"/>
      <c r="K29">
        <f>IF(H29&lt;50,"🔴 Critical",IF(H29&lt;75,"🟠 High",IF(H29&lt;90,"🟡 Medium","🟢 Low")))</f>
        <v/>
      </c>
      <c r="L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  <c r="G30" s="6" t="n"/>
      <c r="H30">
        <f>AVERAGE(D30:G30)</f>
        <v/>
      </c>
      <c r="I30" s="6" t="n"/>
      <c r="J30" s="6" t="n"/>
      <c r="K30">
        <f>IF(H30&lt;50,"🔴 Critical",IF(H30&lt;75,"🟠 High",IF(H30&lt;90,"🟡 Medium","🟢 Low")))</f>
        <v/>
      </c>
      <c r="L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  <c r="G31" s="6" t="n"/>
      <c r="H31">
        <f>AVERAGE(D31:G31)</f>
        <v/>
      </c>
      <c r="I31" s="6" t="n"/>
      <c r="J31" s="6" t="n"/>
      <c r="K31">
        <f>IF(H31&lt;50,"🔴 Critical",IF(H31&lt;75,"🟠 High",IF(H31&lt;90,"🟡 Medium","🟢 Low")))</f>
        <v/>
      </c>
      <c r="L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  <c r="G32" s="6" t="n"/>
      <c r="H32">
        <f>AVERAGE(D32:G32)</f>
        <v/>
      </c>
      <c r="I32" s="6" t="n"/>
      <c r="J32" s="6" t="n"/>
      <c r="K32">
        <f>IF(H32&lt;50,"🔴 Critical",IF(H32&lt;75,"🟠 High",IF(H32&lt;90,"🟡 Medium","🟢 Low")))</f>
        <v/>
      </c>
      <c r="L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  <c r="G33" s="6" t="n"/>
      <c r="H33">
        <f>AVERAGE(D33:G33)</f>
        <v/>
      </c>
      <c r="I33" s="6" t="n"/>
      <c r="J33" s="6" t="n"/>
      <c r="K33">
        <f>IF(H33&lt;50,"🔴 Critical",IF(H33&lt;75,"🟠 High",IF(H33&lt;90,"🟡 Medium","🟢 Low")))</f>
        <v/>
      </c>
      <c r="L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  <c r="G34" s="6" t="n"/>
      <c r="H34">
        <f>AVERAGE(D34:G34)</f>
        <v/>
      </c>
      <c r="I34" s="6" t="n"/>
      <c r="J34" s="6" t="n"/>
      <c r="K34">
        <f>IF(H34&lt;50,"🔴 Critical",IF(H34&lt;75,"🟠 High",IF(H34&lt;90,"🟡 Medium","🟢 Low")))</f>
        <v/>
      </c>
      <c r="L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  <c r="G35" s="6" t="n"/>
      <c r="H35">
        <f>AVERAGE(D35:G35)</f>
        <v/>
      </c>
      <c r="I35" s="6" t="n"/>
      <c r="J35" s="6" t="n"/>
      <c r="K35">
        <f>IF(H35&lt;50,"🔴 Critical",IF(H35&lt;75,"🟠 High",IF(H35&lt;90,"🟡 Medium","🟢 Low")))</f>
        <v/>
      </c>
      <c r="L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  <c r="G36" s="6" t="n"/>
      <c r="H36">
        <f>AVERAGE(D36:G36)</f>
        <v/>
      </c>
      <c r="I36" s="6" t="n"/>
      <c r="J36" s="6" t="n"/>
      <c r="K36">
        <f>IF(H36&lt;50,"🔴 Critical",IF(H36&lt;75,"🟠 High",IF(H36&lt;90,"🟡 Medium","🟢 Low")))</f>
        <v/>
      </c>
      <c r="L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  <c r="G37" s="6" t="n"/>
      <c r="H37">
        <f>AVERAGE(D37:G37)</f>
        <v/>
      </c>
      <c r="I37" s="6" t="n"/>
      <c r="J37" s="6" t="n"/>
      <c r="K37">
        <f>IF(H37&lt;50,"🔴 Critical",IF(H37&lt;75,"🟠 High",IF(H37&lt;90,"🟡 Medium","🟢 Low")))</f>
        <v/>
      </c>
      <c r="L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  <c r="G38" s="6" t="n"/>
      <c r="H38">
        <f>AVERAGE(D38:G38)</f>
        <v/>
      </c>
      <c r="I38" s="6" t="n"/>
      <c r="J38" s="6" t="n"/>
      <c r="K38">
        <f>IF(H38&lt;50,"🔴 Critical",IF(H38&lt;75,"🟠 High",IF(H38&lt;90,"🟡 Medium","🟢 Low")))</f>
        <v/>
      </c>
      <c r="L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  <c r="G39" s="6" t="n"/>
      <c r="H39">
        <f>AVERAGE(D39:G39)</f>
        <v/>
      </c>
      <c r="I39" s="6" t="n"/>
      <c r="J39" s="6" t="n"/>
      <c r="K39">
        <f>IF(H39&lt;50,"🔴 Critical",IF(H39&lt;75,"🟠 High",IF(H39&lt;90,"🟡 Medium","🟢 Low")))</f>
        <v/>
      </c>
      <c r="L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  <c r="G40" s="6" t="n"/>
      <c r="H40">
        <f>AVERAGE(D40:G40)</f>
        <v/>
      </c>
      <c r="I40" s="6" t="n"/>
      <c r="J40" s="6" t="n"/>
      <c r="K40">
        <f>IF(H40&lt;50,"🔴 Critical",IF(H40&lt;75,"🟠 High",IF(H40&lt;90,"🟡 Medium","🟢 Low")))</f>
        <v/>
      </c>
      <c r="L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  <c r="G41" s="6" t="n"/>
      <c r="H41">
        <f>AVERAGE(D41:G41)</f>
        <v/>
      </c>
      <c r="I41" s="6" t="n"/>
      <c r="J41" s="6" t="n"/>
      <c r="K41">
        <f>IF(H41&lt;50,"🔴 Critical",IF(H41&lt;75,"🟠 High",IF(H41&lt;90,"🟡 Medium","🟢 Low")))</f>
        <v/>
      </c>
      <c r="L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  <c r="G42" s="6" t="n"/>
      <c r="H42">
        <f>AVERAGE(D42:G42)</f>
        <v/>
      </c>
      <c r="I42" s="6" t="n"/>
      <c r="J42" s="6" t="n"/>
      <c r="K42">
        <f>IF(H42&lt;50,"🔴 Critical",IF(H42&lt;75,"🟠 High",IF(H42&lt;90,"🟡 Medium","🟢 Low")))</f>
        <v/>
      </c>
      <c r="L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  <c r="G43" s="6" t="n"/>
      <c r="H43">
        <f>AVERAGE(D43:G43)</f>
        <v/>
      </c>
      <c r="I43" s="6" t="n"/>
      <c r="J43" s="6" t="n"/>
      <c r="K43">
        <f>IF(H43&lt;50,"🔴 Critical",IF(H43&lt;75,"🟠 High",IF(H43&lt;90,"🟡 Medium","🟢 Low")))</f>
        <v/>
      </c>
      <c r="L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  <c r="G44" s="6" t="n"/>
      <c r="H44">
        <f>AVERAGE(D44:G44)</f>
        <v/>
      </c>
      <c r="I44" s="6" t="n"/>
      <c r="J44" s="6" t="n"/>
      <c r="K44">
        <f>IF(H44&lt;50,"🔴 Critical",IF(H44&lt;75,"🟠 High",IF(H44&lt;90,"🟡 Medium","🟢 Low")))</f>
        <v/>
      </c>
      <c r="L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  <c r="G45" s="6" t="n"/>
      <c r="H45">
        <f>AVERAGE(D45:G45)</f>
        <v/>
      </c>
      <c r="I45" s="6" t="n"/>
      <c r="J45" s="6" t="n"/>
      <c r="K45">
        <f>IF(H45&lt;50,"🔴 Critical",IF(H45&lt;75,"🟠 High",IF(H45&lt;90,"🟡 Medium","🟢 Low")))</f>
        <v/>
      </c>
      <c r="L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  <c r="G46" s="6" t="n"/>
      <c r="H46">
        <f>AVERAGE(D46:G46)</f>
        <v/>
      </c>
      <c r="I46" s="6" t="n"/>
      <c r="J46" s="6" t="n"/>
      <c r="K46">
        <f>IF(H46&lt;50,"🔴 Critical",IF(H46&lt;75,"🟠 High",IF(H46&lt;90,"🟡 Medium","🟢 Low")))</f>
        <v/>
      </c>
      <c r="L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  <c r="G47" s="6" t="n"/>
      <c r="H47">
        <f>AVERAGE(D47:G47)</f>
        <v/>
      </c>
      <c r="I47" s="6" t="n"/>
      <c r="J47" s="6" t="n"/>
      <c r="K47">
        <f>IF(H47&lt;50,"🔴 Critical",IF(H47&lt;75,"🟠 High",IF(H47&lt;90,"🟡 Medium","🟢 Low")))</f>
        <v/>
      </c>
      <c r="L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  <c r="G48" s="6" t="n"/>
      <c r="H48">
        <f>AVERAGE(D48:G48)</f>
        <v/>
      </c>
      <c r="I48" s="6" t="n"/>
      <c r="J48" s="6" t="n"/>
      <c r="K48">
        <f>IF(H48&lt;50,"🔴 Critical",IF(H48&lt;75,"🟠 High",IF(H48&lt;90,"🟡 Medium","🟢 Low")))</f>
        <v/>
      </c>
      <c r="L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  <c r="G49" s="6" t="n"/>
      <c r="H49">
        <f>AVERAGE(D49:G49)</f>
        <v/>
      </c>
      <c r="I49" s="6" t="n"/>
      <c r="J49" s="6" t="n"/>
      <c r="K49">
        <f>IF(H49&lt;50,"🔴 Critical",IF(H49&lt;75,"🟠 High",IF(H49&lt;90,"🟡 Medium","🟢 Low")))</f>
        <v/>
      </c>
      <c r="L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  <c r="G50" s="6" t="n"/>
      <c r="H50">
        <f>AVERAGE(D50:G50)</f>
        <v/>
      </c>
      <c r="I50" s="6" t="n"/>
      <c r="J50" s="6" t="n"/>
      <c r="K50">
        <f>IF(H50&lt;50,"🔴 Critical",IF(H50&lt;75,"🟠 High",IF(H50&lt;90,"🟡 Medium","🟢 Low")))</f>
        <v/>
      </c>
      <c r="L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  <c r="G51" s="6" t="n"/>
      <c r="H51">
        <f>AVERAGE(D51:G51)</f>
        <v/>
      </c>
      <c r="I51" s="6" t="n"/>
      <c r="J51" s="6" t="n"/>
      <c r="K51">
        <f>IF(H51&lt;50,"🔴 Critical",IF(H51&lt;75,"🟠 High",IF(H51&lt;90,"🟡 Medium","🟢 Low")))</f>
        <v/>
      </c>
      <c r="L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  <c r="G52" s="6" t="n"/>
      <c r="H52">
        <f>AVERAGE(D52:G52)</f>
        <v/>
      </c>
      <c r="I52" s="6" t="n"/>
      <c r="J52" s="6" t="n"/>
      <c r="K52">
        <f>IF(H52&lt;50,"🔴 Critical",IF(H52&lt;75,"🟠 High",IF(H52&lt;90,"🟡 Medium","🟢 Low")))</f>
        <v/>
      </c>
      <c r="L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  <c r="G53" s="6" t="n"/>
      <c r="H53">
        <f>AVERAGE(D53:G53)</f>
        <v/>
      </c>
      <c r="I53" s="6" t="n"/>
      <c r="J53" s="6" t="n"/>
      <c r="K53">
        <f>IF(H53&lt;50,"🔴 Critical",IF(H53&lt;75,"🟠 High",IF(H53&lt;90,"🟡 Medium","🟢 Low")))</f>
        <v/>
      </c>
      <c r="L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  <c r="G54" s="6" t="n"/>
      <c r="H54">
        <f>AVERAGE(D54:G54)</f>
        <v/>
      </c>
      <c r="I54" s="6" t="n"/>
      <c r="J54" s="6" t="n"/>
      <c r="K54">
        <f>IF(H54&lt;50,"🔴 Critical",IF(H54&lt;75,"🟠 High",IF(H54&lt;90,"🟡 Medium","🟢 Low")))</f>
        <v/>
      </c>
      <c r="L54" s="6" t="n"/>
    </row>
    <row r="57">
      <c r="A57" s="2" t="inlineStr">
        <is>
          <t>📊 OVERALL COMPLIANCE SUMMARY</t>
        </is>
      </c>
    </row>
    <row r="58">
      <c r="A58" s="3" t="inlineStr">
        <is>
          <t>Average Overall Score:</t>
        </is>
      </c>
      <c r="B58" s="7">
        <f>AVERAGE(H5:H54)&amp;"%"</f>
        <v/>
      </c>
    </row>
    <row r="59">
      <c r="A59" t="inlineStr">
        <is>
          <t>🔴 Critical Priority:</t>
        </is>
      </c>
      <c r="B59">
        <f>COUNTIF(K5:K54,"🔴 Critical")</f>
        <v/>
      </c>
    </row>
    <row r="60">
      <c r="A60" t="inlineStr">
        <is>
          <t>🟠 High Priority:</t>
        </is>
      </c>
      <c r="B60">
        <f>COUNTIF(K5:K54,"🟠 High")</f>
        <v/>
      </c>
    </row>
  </sheetData>
  <mergeCells count="3">
    <mergeCell ref="A2:L2"/>
    <mergeCell ref="A57:C57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A.8.1 COMPLIANCE DETAIL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Compliance %</t>
        </is>
      </c>
      <c r="D4" s="5" t="inlineStr">
        <is>
          <t>Status</t>
        </is>
      </c>
      <c r="E4" s="5" t="inlineStr">
        <is>
          <t>Gaps</t>
        </is>
      </c>
      <c r="F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A.8.7 COMPLIANCE DETAIL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Compliance %</t>
        </is>
      </c>
      <c r="D4" s="5" t="inlineStr">
        <is>
          <t>Status</t>
        </is>
      </c>
      <c r="E4" s="5" t="inlineStr">
        <is>
          <t>Gaps</t>
        </is>
      </c>
      <c r="F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A.8.18 COMPLIANCE DETAIL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Compliance %</t>
        </is>
      </c>
      <c r="D4" s="5" t="inlineStr">
        <is>
          <t>Status</t>
        </is>
      </c>
      <c r="E4" s="5" t="inlineStr">
        <is>
          <t>Gaps</t>
        </is>
      </c>
      <c r="F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A.8.19 COMPLIANCE DETAIL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Compliance %</t>
        </is>
      </c>
      <c r="D4" s="5" t="inlineStr">
        <is>
          <t>Status</t>
        </is>
      </c>
      <c r="E4" s="5" t="inlineStr">
        <is>
          <t>Gaps</t>
        </is>
      </c>
      <c r="F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RISK PRIORITIZATION MATRIX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Combined Gaps</t>
        </is>
      </c>
      <c r="D4" s="5" t="inlineStr">
        <is>
          <t>Risk Score</t>
        </is>
      </c>
      <c r="E4" s="5" t="inlineStr">
        <is>
          <t>Business Impact</t>
        </is>
      </c>
      <c r="F4" s="5" t="inlineStr">
        <is>
          <t>Remediation Difficulty</t>
        </is>
      </c>
      <c r="G4" s="5" t="inlineStr">
        <is>
          <t>Priority</t>
        </is>
      </c>
      <c r="H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  <c r="G20" s="6" t="n"/>
      <c r="H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  <c r="G26" s="6" t="n"/>
      <c r="H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  <c r="G27" s="6" t="n"/>
      <c r="H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  <c r="G29" s="6" t="n"/>
      <c r="H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  <c r="G30" s="6" t="n"/>
      <c r="H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  <c r="G31" s="6" t="n"/>
      <c r="H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  <c r="G32" s="6" t="n"/>
      <c r="H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  <c r="G33" s="6" t="n"/>
      <c r="H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  <c r="G35" s="6" t="n"/>
      <c r="H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  <c r="G36" s="6" t="n"/>
      <c r="H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  <c r="G37" s="6" t="n"/>
      <c r="H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  <c r="G38" s="6" t="n"/>
      <c r="H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  <c r="G39" s="6" t="n"/>
      <c r="H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  <c r="G40" s="6" t="n"/>
      <c r="H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  <c r="G41" s="6" t="n"/>
      <c r="H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  <c r="G42" s="6" t="n"/>
      <c r="H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  <c r="G43" s="6" t="n"/>
      <c r="H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  <c r="G44" s="6" t="n"/>
      <c r="H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  <c r="G45" s="6" t="n"/>
      <c r="H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  <c r="G46" s="6" t="n"/>
      <c r="H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  <c r="G47" s="6" t="n"/>
      <c r="H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  <c r="G48" s="6" t="n"/>
      <c r="H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  <c r="G49" s="6" t="n"/>
      <c r="H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  <c r="G50" s="6" t="n"/>
      <c r="H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  <c r="G51" s="6" t="n"/>
      <c r="H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  <c r="G52" s="6" t="n"/>
      <c r="H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  <c r="G53" s="6" t="n"/>
      <c r="H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  <c r="G54" s="6" t="n"/>
      <c r="H54" s="6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REMEDIATION TRACKING</t>
        </is>
      </c>
    </row>
    <row r="4">
      <c r="A4" s="5" t="inlineStr">
        <is>
          <t>Remediation ID</t>
        </is>
      </c>
      <c r="B4" s="5" t="inlineStr">
        <is>
          <t>Device ID</t>
        </is>
      </c>
      <c r="C4" s="5" t="inlineStr">
        <is>
          <t>Control</t>
        </is>
      </c>
      <c r="D4" s="5" t="inlineStr">
        <is>
          <t>Gap</t>
        </is>
      </c>
      <c r="E4" s="5" t="inlineStr">
        <is>
          <t>Severity</t>
        </is>
      </c>
      <c r="F4" s="5" t="inlineStr">
        <is>
          <t>Remediation Plan</t>
        </is>
      </c>
      <c r="G4" s="5" t="inlineStr">
        <is>
          <t>Owner</t>
        </is>
      </c>
      <c r="H4" s="5" t="inlineStr">
        <is>
          <t>Due Date</t>
        </is>
      </c>
      <c r="I4" s="5" t="inlineStr">
        <is>
          <t>Status</t>
        </is>
      </c>
      <c r="J4" s="5" t="inlineStr">
        <is>
          <t>Completion %</t>
        </is>
      </c>
      <c r="K4" s="5" t="inlineStr">
        <is>
          <t>Notes</t>
        </is>
      </c>
    </row>
    <row r="5">
      <c r="A5" s="3" t="inlineStr">
        <is>
          <t>REM-0001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3" t="inlineStr">
        <is>
          <t>REM-0002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3" t="inlineStr">
        <is>
          <t>REM-0003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3" t="inlineStr">
        <is>
          <t>REM-0004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3" t="inlineStr">
        <is>
          <t>REM-0005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3" t="inlineStr">
        <is>
          <t>REM-0006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3" t="inlineStr">
        <is>
          <t>REM-0007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3" t="inlineStr">
        <is>
          <t>REM-0008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3" t="inlineStr">
        <is>
          <t>REM-0009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3" t="inlineStr">
        <is>
          <t>REM-0010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3" t="inlineStr">
        <is>
          <t>REM-0011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3" t="inlineStr">
        <is>
          <t>REM-0012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3" t="inlineStr">
        <is>
          <t>REM-0013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3" t="inlineStr">
        <is>
          <t>REM-0014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3" t="inlineStr">
        <is>
          <t>REM-0015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3" t="inlineStr">
        <is>
          <t>REM-0016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3" t="inlineStr">
        <is>
          <t>REM-0017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3" t="inlineStr">
        <is>
          <t>REM-0018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3" t="inlineStr">
        <is>
          <t>REM-0019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3" t="inlineStr">
        <is>
          <t>REM-0020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3" t="inlineStr">
        <is>
          <t>REM-0021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3" t="inlineStr">
        <is>
          <t>REM-0022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3" t="inlineStr">
        <is>
          <t>REM-0023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3" t="inlineStr">
        <is>
          <t>REM-0024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3" t="inlineStr">
        <is>
          <t>REM-0025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3" t="inlineStr">
        <is>
          <t>REM-0026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3" t="inlineStr">
        <is>
          <t>REM-0027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3" t="inlineStr">
        <is>
          <t>REM-0028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3" t="inlineStr">
        <is>
          <t>REM-0029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3" t="inlineStr">
        <is>
          <t>REM-0030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3" t="inlineStr">
        <is>
          <t>REM-0031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3" t="inlineStr">
        <is>
          <t>REM-0032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3" t="inlineStr">
        <is>
          <t>REM-0033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3" t="inlineStr">
        <is>
          <t>REM-0034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3" t="inlineStr">
        <is>
          <t>REM-0035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3" t="inlineStr">
        <is>
          <t>REM-0036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3" t="inlineStr">
        <is>
          <t>REM-0037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3" t="inlineStr">
        <is>
          <t>REM-0038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3" t="inlineStr">
        <is>
          <t>REM-0039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3" t="inlineStr">
        <is>
          <t>REM-0040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3" t="inlineStr">
        <is>
          <t>REM-0041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3" t="inlineStr">
        <is>
          <t>REM-0042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3" t="inlineStr">
        <is>
          <t>REM-0043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3" t="inlineStr">
        <is>
          <t>REM-0044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3" t="inlineStr">
        <is>
          <t>REM-0045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3" t="inlineStr">
        <is>
          <t>REM-0046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3" t="inlineStr">
        <is>
          <t>REM-0047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3" t="inlineStr">
        <is>
          <t>REM-0048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3" t="inlineStr">
        <is>
          <t>REM-0049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3" t="inlineStr">
        <is>
          <t>REM-0050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3" t="inlineStr">
        <is>
          <t>REM-0051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3" t="inlineStr">
        <is>
          <t>REM-0052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3" t="inlineStr">
        <is>
          <t>REM-0053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3" t="inlineStr">
        <is>
          <t>REM-0054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3" t="inlineStr">
        <is>
          <t>REM-0055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3" t="inlineStr">
        <is>
          <t>REM-0056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3" t="inlineStr">
        <is>
          <t>REM-0057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3" t="inlineStr">
        <is>
          <t>REM-0058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3" t="inlineStr">
        <is>
          <t>REM-0059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3" t="inlineStr">
        <is>
          <t>REM-0060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3" t="inlineStr">
        <is>
          <t>REM-0061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3" t="inlineStr">
        <is>
          <t>REM-0062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3" t="inlineStr">
        <is>
          <t>REM-0063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3" t="inlineStr">
        <is>
          <t>REM-0064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3" t="inlineStr">
        <is>
          <t>REM-0065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3" t="inlineStr">
        <is>
          <t>REM-0066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3" t="inlineStr">
        <is>
          <t>REM-0067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3" t="inlineStr">
        <is>
          <t>REM-0068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3" t="inlineStr">
        <is>
          <t>REM-0069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3" t="inlineStr">
        <is>
          <t>REM-0070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3" t="inlineStr">
        <is>
          <t>REM-0071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3" t="inlineStr">
        <is>
          <t>REM-0072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3" t="inlineStr">
        <is>
          <t>REM-0073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3" t="inlineStr">
        <is>
          <t>REM-0074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3" t="inlineStr">
        <is>
          <t>REM-0075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3" t="inlineStr">
        <is>
          <t>REM-0076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3" t="inlineStr">
        <is>
          <t>REM-0077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3" t="inlineStr">
        <is>
          <t>REM-0078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A83" s="3" t="inlineStr">
        <is>
          <t>REM-0079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3" t="inlineStr">
        <is>
          <t>REM-0080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A85" s="3" t="inlineStr">
        <is>
          <t>REM-0081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3" t="inlineStr">
        <is>
          <t>REM-0082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3" t="inlineStr">
        <is>
          <t>REM-0083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3" t="inlineStr">
        <is>
          <t>REM-0084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3" t="inlineStr">
        <is>
          <t>REM-0085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3" t="inlineStr">
        <is>
          <t>REM-0086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3" t="inlineStr">
        <is>
          <t>REM-0087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3" t="inlineStr">
        <is>
          <t>REM-0088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3" t="inlineStr">
        <is>
          <t>REM-0089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3" t="inlineStr">
        <is>
          <t>REM-0090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3" t="inlineStr">
        <is>
          <t>REM-0091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3" t="inlineStr">
        <is>
          <t>REM-0092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3" t="inlineStr">
        <is>
          <t>REM-0093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3" t="inlineStr">
        <is>
          <t>REM-0094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A99" s="3" t="inlineStr">
        <is>
          <t>REM-0095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3" t="inlineStr">
        <is>
          <t>REM-0096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A101" s="3" t="inlineStr">
        <is>
          <t>REM-0097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3" t="inlineStr">
        <is>
          <t>REM-0098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3" t="inlineStr">
        <is>
          <t>REM-0099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3" t="inlineStr">
        <is>
          <t>REM-0100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COMPLIANCE TREND ANALYSIS</t>
        </is>
      </c>
    </row>
    <row r="4">
      <c r="A4" s="5" t="inlineStr">
        <is>
          <t>Assessment Date</t>
        </is>
      </c>
      <c r="B4" s="5" t="inlineStr">
        <is>
          <t>A.8.1 Score</t>
        </is>
      </c>
      <c r="C4" s="5" t="inlineStr">
        <is>
          <t>A.8.7 Score</t>
        </is>
      </c>
      <c r="D4" s="5" t="inlineStr">
        <is>
          <t>A.8.18 Score</t>
        </is>
      </c>
      <c r="E4" s="5" t="inlineStr">
        <is>
          <t>A.8.19 Score</t>
        </is>
      </c>
      <c r="F4" s="5" t="inlineStr">
        <is>
          <t>Overall Score</t>
        </is>
      </c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</cols>
  <sheetData>
    <row r="1">
      <c r="A1" s="1" t="inlineStr">
        <is>
          <t>EVIDENCE REGISTER</t>
        </is>
      </c>
    </row>
    <row r="4">
      <c r="A4" s="5" t="inlineStr">
        <is>
          <t>Evidence ID</t>
        </is>
      </c>
      <c r="B4" s="5" t="inlineStr">
        <is>
          <t>Type</t>
        </is>
      </c>
      <c r="C4" s="5" t="inlineStr">
        <is>
          <t>Description</t>
        </is>
      </c>
      <c r="D4" s="5" t="inlineStr">
        <is>
          <t>Control</t>
        </is>
      </c>
      <c r="E4" s="5" t="inlineStr">
        <is>
          <t>Worksheet</t>
        </is>
      </c>
      <c r="F4" s="5" t="inlineStr">
        <is>
          <t>Location</t>
        </is>
      </c>
      <c r="G4" s="5" t="inlineStr">
        <is>
          <t>Date</t>
        </is>
      </c>
      <c r="H4" s="5" t="inlineStr">
        <is>
          <t>Collected By</t>
        </is>
      </c>
      <c r="I4" s="5" t="inlineStr">
        <is>
          <t>Status</t>
        </is>
      </c>
      <c r="J4" s="5" t="inlineStr">
        <is>
          <t>Notes</t>
        </is>
      </c>
    </row>
    <row r="5">
      <c r="A5" s="3" t="inlineStr">
        <is>
          <t>EVD-001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3" t="inlineStr">
        <is>
          <t>EVD-002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3" t="inlineStr">
        <is>
          <t>EVD-003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3" t="inlineStr">
        <is>
          <t>EVD-004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3" t="inlineStr">
        <is>
          <t>EVD-005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3" t="inlineStr">
        <is>
          <t>EVD-006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3" t="inlineStr">
        <is>
          <t>EVD-007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3" t="inlineStr">
        <is>
          <t>EVD-008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3" t="inlineStr">
        <is>
          <t>EVD-009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3" t="inlineStr">
        <is>
          <t>EVD-010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3" t="inlineStr">
        <is>
          <t>EVD-011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3" t="inlineStr">
        <is>
          <t>EVD-012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3" t="inlineStr">
        <is>
          <t>EVD-013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3" t="inlineStr">
        <is>
          <t>EVD-014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3" t="inlineStr">
        <is>
          <t>EVD-015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3" t="inlineStr">
        <is>
          <t>EVD-016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3" t="inlineStr">
        <is>
          <t>EVD-017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3" t="inlineStr">
        <is>
          <t>EVD-018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3" t="inlineStr">
        <is>
          <t>EVD-019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3" t="inlineStr">
        <is>
          <t>EVD-020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3" t="inlineStr">
        <is>
          <t>EVD-021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3" t="inlineStr">
        <is>
          <t>EVD-022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3" t="inlineStr">
        <is>
          <t>EVD-023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3" t="inlineStr">
        <is>
          <t>EVD-024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3" t="inlineStr">
        <is>
          <t>EVD-025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3" t="inlineStr">
        <is>
          <t>EVD-026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3" t="inlineStr">
        <is>
          <t>EVD-027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3" t="inlineStr">
        <is>
          <t>EVD-028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3" t="inlineStr">
        <is>
          <t>EVD-029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3" t="inlineStr">
        <is>
          <t>EVD-030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3" t="inlineStr">
        <is>
          <t>EVD-031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3" t="inlineStr">
        <is>
          <t>EVD-032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3" t="inlineStr">
        <is>
          <t>EVD-033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3" t="inlineStr">
        <is>
          <t>EVD-034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3" t="inlineStr">
        <is>
          <t>EVD-035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3" t="inlineStr">
        <is>
          <t>EVD-036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3" t="inlineStr">
        <is>
          <t>EVD-037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3" t="inlineStr">
        <is>
          <t>EVD-038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3" t="inlineStr">
        <is>
          <t>EVD-039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3" t="inlineStr">
        <is>
          <t>EVD-040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3" t="inlineStr">
        <is>
          <t>EVD-041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3" t="inlineStr">
        <is>
          <t>EVD-042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3" t="inlineStr">
        <is>
          <t>EVD-043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3" t="inlineStr">
        <is>
          <t>EVD-044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3" t="inlineStr">
        <is>
          <t>EVD-045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3" t="inlineStr">
        <is>
          <t>EVD-046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3" t="inlineStr">
        <is>
          <t>EVD-047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3" t="inlineStr">
        <is>
          <t>EVD-048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3" t="inlineStr">
        <is>
          <t>EVD-049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3" t="inlineStr">
        <is>
          <t>EVD-050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3" t="inlineStr">
        <is>
          <t>EVD-051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3" t="inlineStr">
        <is>
          <t>EVD-052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3" t="inlineStr">
        <is>
          <t>EVD-053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3" t="inlineStr">
        <is>
          <t>EVD-054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3" t="inlineStr">
        <is>
          <t>EVD-055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3" t="inlineStr">
        <is>
          <t>EVD-056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3" t="inlineStr">
        <is>
          <t>EVD-057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3" t="inlineStr">
        <is>
          <t>EVD-058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3" t="inlineStr">
        <is>
          <t>EVD-059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3" t="inlineStr">
        <is>
          <t>EVD-060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3" t="inlineStr">
        <is>
          <t>EVD-061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3" t="inlineStr">
        <is>
          <t>EVD-062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3" t="inlineStr">
        <is>
          <t>EVD-063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3" t="inlineStr">
        <is>
          <t>EVD-064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3" t="inlineStr">
        <is>
          <t>EVD-065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3" t="inlineStr">
        <is>
          <t>EVD-066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3" t="inlineStr">
        <is>
          <t>EVD-067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3" t="inlineStr">
        <is>
          <t>EVD-068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3" t="inlineStr">
        <is>
          <t>EVD-069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3" t="inlineStr">
        <is>
          <t>EVD-070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3" t="inlineStr">
        <is>
          <t>EVD-071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3" t="inlineStr">
        <is>
          <t>EVD-072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3" t="inlineStr">
        <is>
          <t>EVD-073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3" t="inlineStr">
        <is>
          <t>EVD-074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3" t="inlineStr">
        <is>
          <t>EVD-075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3" t="inlineStr">
        <is>
          <t>EVD-076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3" t="inlineStr">
        <is>
          <t>EVD-077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3" t="inlineStr">
        <is>
          <t>EVD-078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3" t="inlineStr">
        <is>
          <t>EVD-079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3" t="inlineStr">
        <is>
          <t>EVD-080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3" t="inlineStr">
        <is>
          <t>EVD-081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3" t="inlineStr">
        <is>
          <t>EVD-082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3" t="inlineStr">
        <is>
          <t>EVD-083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3" t="inlineStr">
        <is>
          <t>EVD-084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3" t="inlineStr">
        <is>
          <t>EVD-085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3" t="inlineStr">
        <is>
          <t>EVD-086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3" t="inlineStr">
        <is>
          <t>EVD-087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3" t="inlineStr">
        <is>
          <t>EVD-088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3" t="inlineStr">
        <is>
          <t>EVD-089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3" t="inlineStr">
        <is>
          <t>EVD-090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3" t="inlineStr">
        <is>
          <t>EVD-091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3" t="inlineStr">
        <is>
          <t>EVD-092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3" t="inlineStr">
        <is>
          <t>EVD-093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3" t="inlineStr">
        <is>
          <t>EVD-094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3" t="inlineStr">
        <is>
          <t>EVD-095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3" t="inlineStr">
        <is>
          <t>EVD-096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3" t="inlineStr">
        <is>
          <t>EVD-097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3" t="inlineStr">
        <is>
          <t>EVD-098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3" t="inlineStr">
        <is>
          <t>EVD-099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3" t="inlineStr">
        <is>
          <t>EVD-100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APPROVAL &amp; SIGN-OFF</t>
        </is>
      </c>
    </row>
    <row r="4">
      <c r="A4" s="3" t="inlineStr">
        <is>
          <t>Overall Compliance Score:</t>
        </is>
      </c>
      <c r="B4">
        <f>Master_Compliance_Matrix!B58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2026-02-08T10:49:34Z</dcterms:created>
  <dcterms:modified xmlns:dcterms="http://purl.org/dc/terms/" xmlns:xsi="http://www.w3.org/2001/XMLSchema-instance" xsi:type="dcterms:W3CDTF">2026-02-08T10:49:35Z</dcterms:modified>
</cp:coreProperties>
</file>