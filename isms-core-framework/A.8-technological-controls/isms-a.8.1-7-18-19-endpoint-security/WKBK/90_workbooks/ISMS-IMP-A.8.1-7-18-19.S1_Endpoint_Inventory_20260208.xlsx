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Inventory" sheetId="2" state="visible" r:id="rId2"/>
    <sheet xmlns:r="http://schemas.openxmlformats.org/officeDocument/2006/relationships" name="Classification" sheetId="3" state="visible" r:id="rId3"/>
    <sheet xmlns:r="http://schemas.openxmlformats.org/officeDocument/2006/relationships" name="Baseline_Compliance" sheetId="4" state="visible" r:id="rId4"/>
    <sheet xmlns:r="http://schemas.openxmlformats.org/officeDocument/2006/relationships" name="Encryption_Status" sheetId="5" state="visible" r:id="rId5"/>
    <sheet xmlns:r="http://schemas.openxmlformats.org/officeDocument/2006/relationships" name="Management_Enrollment" sheetId="6" state="visible" r:id="rId6"/>
    <sheet xmlns:r="http://schemas.openxmlformats.org/officeDocument/2006/relationships" name="Capability_Requirements" sheetId="7" state="visible" r:id="rId7"/>
    <sheet xmlns:r="http://schemas.openxmlformats.org/officeDocument/2006/relationships" name="Evidence_Register" sheetId="8" state="visible" r:id="rId8"/>
    <sheet xmlns:r="http://schemas.openxmlformats.org/officeDocument/2006/relationships" name="Gap_Analysis" sheetId="9" state="visible" r:id="rId9"/>
    <sheet xmlns:r="http://schemas.openxmlformats.org/officeDocument/2006/relationships" name="Approval_Sign_Off" sheetId="10" state="visible" r:id="rId10"/>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4"/>
    </font>
    <font>
      <name val="Calibri"/>
      <b val="1"/>
      <color rgb="00FFFFFF"/>
      <sz val="11"/>
    </font>
    <font>
      <b val="1"/>
    </font>
    <font>
      <name val="Calibri"/>
      <b val="1"/>
      <sz val="10"/>
    </font>
    <font>
      <name val="Calibri"/>
      <b val="1"/>
      <color rgb="00FFFFFF"/>
      <sz val="10"/>
    </font>
    <font>
      <b val="1"/>
      <sz val="11"/>
    </font>
  </fonts>
  <fills count="12">
    <fill>
      <patternFill/>
    </fill>
    <fill>
      <patternFill patternType="gray125"/>
    </fill>
    <fill>
      <patternFill patternType="solid">
        <fgColor rgb="00003366"/>
        <bgColor rgb="00003366"/>
      </patternFill>
    </fill>
    <fill>
      <patternFill patternType="solid">
        <fgColor rgb="002E75B6"/>
        <bgColor rgb="002E75B6"/>
      </patternFill>
    </fill>
    <fill>
      <patternFill patternType="solid">
        <fgColor rgb="00D9D9D9"/>
        <bgColor rgb="00D9D9D9"/>
      </patternFill>
    </fill>
    <fill>
      <patternFill patternType="solid">
        <fgColor rgb="00C6EFCE"/>
        <bgColor rgb="00C6EFCE"/>
      </patternFill>
    </fill>
    <fill>
      <patternFill patternType="solid">
        <fgColor rgb="00FFFFCC"/>
        <bgColor rgb="00FFFFCC"/>
      </patternFill>
    </fill>
    <fill>
      <patternFill patternType="solid">
        <fgColor rgb="00FFC7CE"/>
        <bgColor rgb="00FFC7CE"/>
      </patternFill>
    </fill>
    <fill>
      <patternFill patternType="solid">
        <fgColor rgb="00E7E6E6"/>
        <bgColor rgb="00E7E6E6"/>
      </patternFill>
    </fill>
    <fill>
      <patternFill patternType="solid">
        <fgColor rgb="00C00000"/>
        <bgColor rgb="00C00000"/>
      </patternFill>
    </fill>
    <fill>
      <patternFill patternType="solid">
        <fgColor rgb="00FF6666"/>
        <bgColor rgb="00FF6666"/>
      </patternFill>
    </fill>
    <fill>
      <patternFill patternType="solid">
        <fgColor rgb="00FFF2CC"/>
        <bgColor rgb="00FFF2CC"/>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0" borderId="0" pivotButton="0" quotePrefix="0" xfId="0"/>
    <xf numFmtId="0" fontId="0" fillId="0" borderId="0" applyAlignment="1" pivotButton="0" quotePrefix="0" xfId="0">
      <alignment horizontal="left" vertical="top" wrapText="1"/>
    </xf>
    <xf numFmtId="0" fontId="4" fillId="4" borderId="1" applyAlignment="1" pivotButton="0" quotePrefix="0" xfId="0">
      <alignment horizontal="center" vertical="center" wrapText="1"/>
    </xf>
    <xf numFmtId="0" fontId="0" fillId="0" borderId="1" pivotButton="0" quotePrefix="0" xfId="0"/>
    <xf numFmtId="0" fontId="0" fillId="5" borderId="1" pivotButton="0" quotePrefix="0" xfId="0"/>
    <xf numFmtId="0" fontId="0" fillId="6" borderId="1" pivotButton="0" quotePrefix="0" xfId="0"/>
    <xf numFmtId="0" fontId="0" fillId="7" borderId="1" pivotButton="0" quotePrefix="0" xfId="0"/>
    <xf numFmtId="0" fontId="0" fillId="8" borderId="1" pivotButton="0" quotePrefix="0" xfId="0"/>
    <xf numFmtId="0" fontId="5" fillId="9" borderId="1" pivotButton="0" quotePrefix="0" xfId="0"/>
    <xf numFmtId="0" fontId="0" fillId="10" borderId="1" pivotButton="0" quotePrefix="0" xfId="0"/>
    <xf numFmtId="0" fontId="3" fillId="0" borderId="1" pivotButton="0" quotePrefix="0" xfId="0"/>
    <xf numFmtId="0" fontId="0" fillId="0" borderId="1" applyAlignment="1" pivotButton="0" quotePrefix="0" xfId="0">
      <alignment wrapText="1"/>
    </xf>
    <xf numFmtId="0" fontId="0" fillId="0" borderId="0" applyAlignment="1" pivotButton="0" quotePrefix="0" xfId="0">
      <alignment wrapText="1"/>
    </xf>
    <xf numFmtId="0" fontId="0" fillId="11" borderId="1" applyAlignment="1" pivotButton="0" quotePrefix="0" xfId="0">
      <alignment horizontal="left" vertical="center" wrapText="1"/>
    </xf>
    <xf numFmtId="0" fontId="5" fillId="9" borderId="0" pivotButton="0" quotePrefix="0" xfId="0"/>
    <xf numFmtId="0" fontId="3" fillId="10" borderId="0" pivotButton="0" quotePrefix="0" xfId="0"/>
    <xf numFmtId="0" fontId="3" fillId="6" borderId="0" pivotButton="0" quotePrefix="0" xfId="0"/>
    <xf numFmtId="0" fontId="3" fillId="5" borderId="0" pivotButton="0" quotePrefix="0" xfId="0"/>
    <xf numFmtId="0" fontId="6" fillId="8" borderId="0" pivotButton="0" quotePrefix="0" xfId="0"/>
    <xf numFmtId="0" fontId="0" fillId="0" borderId="4" pivotButton="0" quotePrefix="0" xfId="0"/>
    <xf numFmtId="0" fontId="0" fillId="0" borderId="5"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0"/>
  <sheetViews>
    <sheetView workbookViewId="0">
      <selection activeCell="A1" sqref="A1"/>
    </sheetView>
  </sheetViews>
  <sheetFormatPr baseColWidth="8" defaultRowHeight="15"/>
  <cols>
    <col width="25" customWidth="1" min="1" max="1"/>
    <col width="60" customWidth="1" min="2" max="2"/>
    <col width="15" customWidth="1" min="3" max="3"/>
    <col width="15" customWidth="1" min="4" max="4"/>
    <col width="15" customWidth="1" min="5" max="5"/>
    <col width="15" customWidth="1" min="6" max="6"/>
  </cols>
  <sheetData>
    <row r="1" ht="40" customHeight="1">
      <c r="A1" s="1" t="inlineStr">
        <is>
          <t>ISMS-IMP-A.8.1-7-18-19.1
ISO/IEC 27001:2022 - Controls A.8.1, A.8.7, A.8.18, A.8.19: Endpoint Security</t>
        </is>
      </c>
    </row>
    <row r="2" ht="20" customHeight="1">
      <c r="A2" s="2" t="inlineStr">
        <is>
          <t>ISO/IEC 27001:2022 - Controls A.8.1, A.8.7, A.8.18, A.8.19</t>
        </is>
      </c>
    </row>
    <row r="4">
      <c r="A4" s="3" t="inlineStr">
        <is>
          <t>Document ID:</t>
        </is>
      </c>
      <c r="B4" t="inlineStr">
        <is>
          <t>ISMS-IMP-A.8.1-7-18-19.S1</t>
        </is>
      </c>
    </row>
    <row r="5">
      <c r="A5" s="3" t="inlineStr">
        <is>
          <t>Workbook:</t>
        </is>
      </c>
      <c r="B5" t="inlineStr">
        <is>
          <t>Endpoint Inventory Assessment</t>
        </is>
      </c>
    </row>
    <row r="6">
      <c r="A6" s="3" t="inlineStr">
        <is>
          <t>Version:</t>
        </is>
      </c>
      <c r="B6" t="inlineStr">
        <is>
          <t>1.0</t>
        </is>
      </c>
    </row>
    <row r="7">
      <c r="A7" s="3" t="inlineStr">
        <is>
          <t>Generated:</t>
        </is>
      </c>
      <c r="B7" t="inlineStr">
        <is>
          <t>08.02.2026 11:49</t>
        </is>
      </c>
    </row>
    <row r="8">
      <c r="A8" s="3" t="inlineStr">
        <is>
          <t>Assessment Period:</t>
        </is>
      </c>
      <c r="B8" t="inlineStr">
        <is>
          <t>[To be completed by assessor]</t>
        </is>
      </c>
    </row>
    <row r="9">
      <c r="A9" s="3" t="inlineStr">
        <is>
          <t>Assessor:</t>
        </is>
      </c>
      <c r="B9" t="inlineStr">
        <is>
          <t>[Name]</t>
        </is>
      </c>
    </row>
    <row r="11">
      <c r="A11" s="2" t="inlineStr">
        <is>
          <t>📋 PURPOSE</t>
        </is>
      </c>
    </row>
    <row r="12" ht="110" customHeight="1">
      <c r="A12" s="4" t="inlineStr">
        <is>
          <t>This workbook provides a comprehensive assessment of endpoint devices (laptops, desktops, mobile devices) for compliance with ISO/IEC 27001:2022 Controls A.8.1 (User Endpoint Devices), A.8.7 (Protection Against Malware), A.8.18 (Use of Privileged Utility Programs), and A.8.19 (Installation of Software on Operational Systems).
The assessment evaluates:
• Complete endpoint inventory and classification
• Security baseline compliance (OS hardening, firewall, encryption)
• Encryption coverage and key management
• MDM/endpoint management enrollment and capabilities
• Evidence collection and gap identification</t>
        </is>
      </c>
    </row>
    <row r="13"/>
    <row r="14"/>
    <row r="15"/>
    <row r="16"/>
    <row r="17"/>
    <row r="18"/>
    <row r="19">
      <c r="A19" s="2" t="inlineStr">
        <is>
          <t>📊 WORKBOOK STRUCTURE</t>
        </is>
      </c>
    </row>
    <row r="20">
      <c r="A20" s="5" t="inlineStr">
        <is>
          <t>Sheet Name</t>
        </is>
      </c>
      <c r="B20" s="5" t="inlineStr">
        <is>
          <t>Description</t>
        </is>
      </c>
    </row>
    <row r="21">
      <c r="A21" s="6" t="inlineStr">
        <is>
          <t>Inventory</t>
        </is>
      </c>
      <c r="B21" s="6" t="inlineStr">
        <is>
          <t>Complete endpoint device inventory (Device ID, Hostname, Type, OS, User, Location, Status)</t>
        </is>
      </c>
    </row>
    <row r="22">
      <c r="A22" s="6" t="inlineStr">
        <is>
          <t>Classification</t>
        </is>
      </c>
      <c r="B22" s="6" t="inlineStr">
        <is>
          <t>Device type distribution analysis and ownership model breakdown</t>
        </is>
      </c>
    </row>
    <row r="23">
      <c r="A23" s="6" t="inlineStr">
        <is>
          <t>Baseline_Compliance</t>
        </is>
      </c>
      <c r="B23" s="6" t="inlineStr">
        <is>
          <t>Per-endpoint baseline compliance assessment (OS hardening, firewall, antivirus)</t>
        </is>
      </c>
    </row>
    <row r="24">
      <c r="A24" s="6" t="inlineStr">
        <is>
          <t>Encryption_Status</t>
        </is>
      </c>
      <c r="B24" s="6" t="inlineStr">
        <is>
          <t>Encryption technology, status, key management per endpoint</t>
        </is>
      </c>
    </row>
    <row r="25">
      <c r="A25" s="6" t="inlineStr">
        <is>
          <t>Management_Enrollment</t>
        </is>
      </c>
      <c r="B25" s="6" t="inlineStr">
        <is>
          <t>MDM/endpoint management platform, enrollment status, capabilities</t>
        </is>
      </c>
    </row>
    <row r="26">
      <c r="A26" s="6" t="inlineStr">
        <is>
          <t>Capability_Requirements</t>
        </is>
      </c>
      <c r="B26" s="6" t="inlineStr">
        <is>
          <t>Policy requirements mapped to implementation (A.8.1 control mapping)</t>
        </is>
      </c>
    </row>
    <row r="27">
      <c r="A27" s="6" t="inlineStr">
        <is>
          <t>Evidence_Register</t>
        </is>
      </c>
      <c r="B27" s="6" t="inlineStr">
        <is>
          <t>Comprehensive evidence documentation (100 evidence entries)</t>
        </is>
      </c>
    </row>
    <row r="28">
      <c r="A28" s="6" t="inlineStr">
        <is>
          <t>Gap_Analysis</t>
        </is>
      </c>
      <c r="B28" s="6" t="inlineStr">
        <is>
          <t>Gap identification, severity classification, remediation tracking</t>
        </is>
      </c>
    </row>
    <row r="29">
      <c r="A29" s="6" t="inlineStr">
        <is>
          <t>Approval_Sign_Off</t>
        </is>
      </c>
      <c r="B29" s="6" t="inlineStr">
        <is>
          <t>Multi-level approval workflow (Assessor → IT Ops Manager → CISO)</t>
        </is>
      </c>
    </row>
    <row r="31">
      <c r="A31" s="2" t="inlineStr">
        <is>
          <t>🎨 STATUS LEGEND</t>
        </is>
      </c>
    </row>
    <row r="32">
      <c r="A32" s="5" t="inlineStr">
        <is>
          <t>Status/Severity</t>
        </is>
      </c>
      <c r="B32" s="5" t="inlineStr">
        <is>
          <t>Meaning</t>
        </is>
      </c>
      <c r="C32" s="5" t="inlineStr">
        <is>
          <t>Color</t>
        </is>
      </c>
    </row>
    <row r="33">
      <c r="A33" s="6" t="inlineStr">
        <is>
          <t>{CHECK} Compliant / Active / Enrolled</t>
        </is>
      </c>
      <c r="B33" s="6" t="inlineStr">
        <is>
          <t>Device meets all requirements, fully compliant</t>
        </is>
      </c>
      <c r="C33" s="7" t="inlineStr">
        <is>
          <t>█████</t>
        </is>
      </c>
    </row>
    <row r="34">
      <c r="A34" s="6" t="inlineStr">
        <is>
          <t>{WARNING} Partial Compliance</t>
        </is>
      </c>
      <c r="B34" s="6" t="inlineStr">
        <is>
          <t>Device partially compliant, some requirements not met</t>
        </is>
      </c>
      <c r="C34" s="8" t="inlineStr">
        <is>
          <t>█████</t>
        </is>
      </c>
    </row>
    <row r="35">
      <c r="A35" s="6" t="inlineStr">
        <is>
          <t>{XMARK} Non-Compliant / Not Installed</t>
        </is>
      </c>
      <c r="B35" s="6" t="inlineStr">
        <is>
          <t>Device does not meet requirements, critical gap</t>
        </is>
      </c>
      <c r="C35" s="9" t="inlineStr">
        <is>
          <t>█████</t>
        </is>
      </c>
    </row>
    <row r="36">
      <c r="A36" s="6" t="inlineStr">
        <is>
          <t>❓ Unknown</t>
        </is>
      </c>
      <c r="B36" s="6" t="inlineStr">
        <is>
          <t>Status cannot be determined, requires investigation</t>
        </is>
      </c>
      <c r="C36" s="10" t="inlineStr">
        <is>
          <t>█████</t>
        </is>
      </c>
    </row>
    <row r="37">
      <c r="A37" s="6" t="inlineStr">
        <is>
          <t>🔴 Critical Severity</t>
        </is>
      </c>
      <c r="B37" s="6" t="inlineStr">
        <is>
          <t>Critical gap requiring immediate remediation (7 days)</t>
        </is>
      </c>
      <c r="C37" s="11" t="inlineStr">
        <is>
          <t>█████</t>
        </is>
      </c>
    </row>
    <row r="38">
      <c r="A38" s="6" t="inlineStr">
        <is>
          <t>🟠 High Severity</t>
        </is>
      </c>
      <c r="B38" s="6" t="inlineStr">
        <is>
          <t>High-priority gap requiring remediation (30 days)</t>
        </is>
      </c>
      <c r="C38" s="12" t="inlineStr">
        <is>
          <t>█████</t>
        </is>
      </c>
    </row>
    <row r="39">
      <c r="A39" s="6" t="inlineStr">
        <is>
          <t>🟡 Medium Severity</t>
        </is>
      </c>
      <c r="B39" s="6" t="inlineStr">
        <is>
          <t>Medium-priority gap requiring remediation (60 days)</t>
        </is>
      </c>
      <c r="C39" s="8" t="inlineStr">
        <is>
          <t>█████</t>
        </is>
      </c>
    </row>
    <row r="40">
      <c r="A40" s="6" t="inlineStr">
        <is>
          <t>🟢 Low Severity</t>
        </is>
      </c>
      <c r="B40" s="6" t="inlineStr">
        <is>
          <t>Low-priority gap, scheduled remediation (90 days)</t>
        </is>
      </c>
      <c r="C40" s="7" t="inlineStr">
        <is>
          <t>█████</t>
        </is>
      </c>
    </row>
    <row r="42">
      <c r="A42" s="2" t="inlineStr">
        <is>
          <t>📖 USAGE INSTRUCTIONS</t>
        </is>
      </c>
    </row>
    <row r="43">
      <c r="A43" s="5" t="inlineStr">
        <is>
          <t>Step</t>
        </is>
      </c>
      <c r="B43" s="5" t="inlineStr">
        <is>
          <t>Instructions</t>
        </is>
      </c>
    </row>
    <row r="44" ht="30" customHeight="1">
      <c r="A44" s="13" t="inlineStr">
        <is>
          <t>1. Inventory Sheet</t>
        </is>
      </c>
      <c r="B44" s="14" t="inlineStr">
        <is>
          <t>Complete endpoint inventory from MDM/SCCM/Jamf exports. Populate Device ID, Hostname, Type, OS, User, Location, Status for ALL endpoints.</t>
        </is>
      </c>
    </row>
    <row r="45" ht="30" customHeight="1">
      <c r="A45" s="13" t="inlineStr">
        <is>
          <t>2. Classification Sheet</t>
        </is>
      </c>
      <c r="B45" s="14" t="inlineStr">
        <is>
          <t>Auto-calculates device type distribution. Review for accuracy.</t>
        </is>
      </c>
    </row>
    <row r="46" ht="30" customHeight="1">
      <c r="A46" s="13" t="inlineStr">
        <is>
          <t>3. Baseline_Compliance</t>
        </is>
      </c>
      <c r="B46" s="14" t="inlineStr">
        <is>
          <t>Assess each endpoint against security baseline (OS hardening, firewall, encryption, antivirus). Use compliance status dropdowns.</t>
        </is>
      </c>
    </row>
    <row r="47" ht="30" customHeight="1">
      <c r="A47" s="13" t="inlineStr">
        <is>
          <t>4. Encryption_Status</t>
        </is>
      </c>
      <c r="B47" s="14" t="inlineStr">
        <is>
          <t>Document encryption technology per endpoint (BitLocker, FileVault, LUKS, built-in). Verify encryption active.</t>
        </is>
      </c>
    </row>
    <row r="48" ht="30" customHeight="1">
      <c r="A48" s="13" t="inlineStr">
        <is>
          <t>5. Management_Enrollment</t>
        </is>
      </c>
      <c r="B48" s="14" t="inlineStr">
        <is>
          <t>Document MDM platform enrollment status. Identify unmanaged devices.</t>
        </is>
      </c>
    </row>
    <row r="49" ht="30" customHeight="1">
      <c r="A49" s="13" t="inlineStr">
        <is>
          <t>6. Capability_Requirements</t>
        </is>
      </c>
      <c r="B49" s="14" t="inlineStr">
        <is>
          <t>Map policy requirements to implementation. Verify all 30 requirements addressed.</t>
        </is>
      </c>
    </row>
    <row r="50" ht="30" customHeight="1">
      <c r="A50" s="13" t="inlineStr">
        <is>
          <t>7. Evidence_Register</t>
        </is>
      </c>
      <c r="B50" s="14" t="inlineStr">
        <is>
          <t>Document ALL evidence (config exports, screenshots, reports, certificates). Minimum 20 evidence entries.</t>
        </is>
      </c>
    </row>
    <row r="51" ht="30" customHeight="1">
      <c r="A51" s="13" t="inlineStr">
        <is>
          <t>8. Gap_Analysis</t>
        </is>
      </c>
      <c r="B51" s="14" t="inlineStr">
        <is>
          <t>Document identified gaps with severity, root cause, remediation plan. Track remediation progress.</t>
        </is>
      </c>
    </row>
    <row r="52" ht="30" customHeight="1">
      <c r="A52" s="13" t="inlineStr">
        <is>
          <t>9. Approval_Sign_Off</t>
        </is>
      </c>
      <c r="B52" s="14" t="inlineStr">
        <is>
          <t>Obtain approvals: Assessor → IT Operations Manager → CISO. Final approval required for assessment closure.</t>
        </is>
      </c>
    </row>
    <row r="54">
      <c r="A54" s="2" t="inlineStr">
        <is>
          <t>⚠ IMPORTANT NOTES</t>
        </is>
      </c>
    </row>
    <row r="55">
      <c r="A55" s="15" t="inlineStr">
        <is>
          <t>• This assessment is TECHNOLOGY-AGNOSTIC - works with ANY endpoint management platform (Intune, Jamf, SCCM, etc.)</t>
        </is>
      </c>
    </row>
    <row r="56">
      <c r="A56" s="15" t="inlineStr">
        <is>
          <t>• Yellow-highlighted cells require user input - complete ALL yellow cells</t>
        </is>
      </c>
    </row>
    <row r="57">
      <c r="A57" s="15" t="inlineStr">
        <is>
          <t>• Document ID must NOT be changed - used for workbook linking in dashboard</t>
        </is>
      </c>
    </row>
    <row r="58">
      <c r="A58" s="15" t="inlineStr">
        <is>
          <t>• Evidence Register must contain minimum 20 evidence entries for audit compliance</t>
        </is>
      </c>
    </row>
    <row r="59">
      <c r="A59" s="15" t="inlineStr">
        <is>
          <t>• Gap remediation SLAs: Critical (7 days), High (30 days), Medium (60 days), Low (90 days)</t>
        </is>
      </c>
    </row>
    <row r="60">
      <c r="A60" s="15" t="inlineStr">
        <is>
          <t>• Obtain final CISO approval in Approval_Sign_Off sheet before submitting for audit</t>
        </is>
      </c>
    </row>
  </sheetData>
  <mergeCells count="14">
    <mergeCell ref="A2:F2"/>
    <mergeCell ref="A11:F11"/>
    <mergeCell ref="A54:F54"/>
    <mergeCell ref="A42:F42"/>
    <mergeCell ref="A60:F60"/>
    <mergeCell ref="A19:F19"/>
    <mergeCell ref="A1:F1"/>
    <mergeCell ref="A31:F31"/>
    <mergeCell ref="A58:F58"/>
    <mergeCell ref="A56:F56"/>
    <mergeCell ref="A12:F18"/>
    <mergeCell ref="A55:F55"/>
    <mergeCell ref="A59:F59"/>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0"/>
  <sheetViews>
    <sheetView workbookViewId="0">
      <selection activeCell="A1" sqref="A1"/>
    </sheetView>
  </sheetViews>
  <sheetFormatPr baseColWidth="8" defaultRowHeight="15"/>
  <cols>
    <col width="12" customWidth="1" min="1" max="1"/>
    <col width="20" customWidth="1" min="2" max="2"/>
    <col width="18" customWidth="1" min="3" max="3"/>
    <col width="20" customWidth="1" min="4" max="4"/>
    <col width="12" customWidth="1" min="5" max="5"/>
    <col width="18" customWidth="1" min="6" max="6"/>
    <col width="15" customWidth="1" min="7" max="7"/>
    <col width="20" customWidth="1" min="8" max="8"/>
    <col width="15" customWidth="1" min="9" max="9"/>
    <col width="18" customWidth="1" min="10" max="10"/>
    <col width="12" customWidth="1" min="11" max="11"/>
    <col width="12" customWidth="1" min="12" max="12"/>
    <col width="12" customWidth="1" min="13" max="13"/>
    <col width="20" customWidth="1" min="14" max="14"/>
    <col width="15" customWidth="1" min="15" max="15"/>
    <col width="30" customWidth="1" min="16" max="16"/>
  </cols>
  <sheetData>
    <row r="1" ht="25" customHeight="1">
      <c r="A1" s="1" t="inlineStr">
        <is>
          <t>ENDPOINT DEVICE INVENTORY</t>
        </is>
      </c>
    </row>
    <row r="2">
      <c r="A2" s="2" t="inlineStr">
        <is>
          <t>Complete inventory of all endpoint devices (laptops, desktops, mobile devices, tablets)</t>
        </is>
      </c>
    </row>
    <row r="4">
      <c r="A4" s="5" t="inlineStr">
        <is>
          <t>Device ID</t>
        </is>
      </c>
      <c r="B4" s="5" t="inlineStr">
        <is>
          <t>Hostname</t>
        </is>
      </c>
      <c r="C4" s="5" t="inlineStr">
        <is>
          <t>Device Type</t>
        </is>
      </c>
      <c r="D4" s="5" t="inlineStr">
        <is>
          <t>Operating System</t>
        </is>
      </c>
      <c r="E4" s="5" t="inlineStr">
        <is>
          <t>OS Version</t>
        </is>
      </c>
      <c r="F4" s="5" t="inlineStr">
        <is>
          <t>Primary User</t>
        </is>
      </c>
      <c r="G4" s="5" t="inlineStr">
        <is>
          <t>Department</t>
        </is>
      </c>
      <c r="H4" s="5" t="inlineStr">
        <is>
          <t>Ownership Model</t>
        </is>
      </c>
      <c r="I4" s="5" t="inlineStr">
        <is>
          <t>Location</t>
        </is>
      </c>
      <c r="J4" s="5" t="inlineStr">
        <is>
          <t>Serial Number</t>
        </is>
      </c>
      <c r="K4" s="5" t="inlineStr">
        <is>
          <t>Asset Tag</t>
        </is>
      </c>
      <c r="L4" s="5" t="inlineStr">
        <is>
          <t>Purchase Date</t>
        </is>
      </c>
      <c r="M4" s="5" t="inlineStr">
        <is>
          <t>Last Seen</t>
        </is>
      </c>
      <c r="N4" s="5" t="inlineStr">
        <is>
          <t>Device Status</t>
        </is>
      </c>
      <c r="O4" s="5" t="inlineStr">
        <is>
          <t>Criticality</t>
        </is>
      </c>
      <c r="P4" s="5" t="inlineStr">
        <is>
          <t>Notes</t>
        </is>
      </c>
    </row>
    <row r="5">
      <c r="A5" t="inlineStr">
        <is>
          <t>EP-1001</t>
        </is>
      </c>
      <c r="B5" s="16" t="n"/>
      <c r="C5" s="16" t="n"/>
      <c r="D5" s="16" t="n"/>
      <c r="E5" s="16" t="n"/>
      <c r="F5" s="16" t="n"/>
      <c r="G5" s="16" t="n"/>
      <c r="H5" s="16" t="n"/>
      <c r="I5" s="16" t="n"/>
      <c r="J5" s="16" t="n"/>
      <c r="K5" s="16" t="n"/>
      <c r="L5" s="16" t="n"/>
      <c r="M5" s="16" t="n"/>
      <c r="N5" s="16" t="n"/>
      <c r="O5" s="16" t="n"/>
      <c r="P5" s="16" t="n"/>
    </row>
    <row r="6">
      <c r="A6" t="inlineStr">
        <is>
          <t>EP-1002</t>
        </is>
      </c>
      <c r="B6" s="16" t="n"/>
      <c r="C6" s="16" t="n"/>
      <c r="D6" s="16" t="n"/>
      <c r="E6" s="16" t="n"/>
      <c r="F6" s="16" t="n"/>
      <c r="G6" s="16" t="n"/>
      <c r="H6" s="16" t="n"/>
      <c r="I6" s="16" t="n"/>
      <c r="J6" s="16" t="n"/>
      <c r="K6" s="16" t="n"/>
      <c r="L6" s="16" t="n"/>
      <c r="M6" s="16" t="n"/>
      <c r="N6" s="16" t="n"/>
      <c r="O6" s="16" t="n"/>
      <c r="P6" s="16" t="n"/>
    </row>
    <row r="7">
      <c r="A7" t="inlineStr">
        <is>
          <t>EP-1003</t>
        </is>
      </c>
      <c r="B7" s="16" t="n"/>
      <c r="C7" s="16" t="n"/>
      <c r="D7" s="16" t="n"/>
      <c r="E7" s="16" t="n"/>
      <c r="F7" s="16" t="n"/>
      <c r="G7" s="16" t="n"/>
      <c r="H7" s="16" t="n"/>
      <c r="I7" s="16" t="n"/>
      <c r="J7" s="16" t="n"/>
      <c r="K7" s="16" t="n"/>
      <c r="L7" s="16" t="n"/>
      <c r="M7" s="16" t="n"/>
      <c r="N7" s="16" t="n"/>
      <c r="O7" s="16" t="n"/>
      <c r="P7" s="16" t="n"/>
    </row>
    <row r="8">
      <c r="A8" t="inlineStr">
        <is>
          <t>EP-1004</t>
        </is>
      </c>
      <c r="B8" s="16" t="n"/>
      <c r="C8" s="16" t="n"/>
      <c r="D8" s="16" t="n"/>
      <c r="E8" s="16" t="n"/>
      <c r="F8" s="16" t="n"/>
      <c r="G8" s="16" t="n"/>
      <c r="H8" s="16" t="n"/>
      <c r="I8" s="16" t="n"/>
      <c r="J8" s="16" t="n"/>
      <c r="K8" s="16" t="n"/>
      <c r="L8" s="16" t="n"/>
      <c r="M8" s="16" t="n"/>
      <c r="N8" s="16" t="n"/>
      <c r="O8" s="16" t="n"/>
      <c r="P8" s="16" t="n"/>
    </row>
    <row r="9">
      <c r="A9" t="inlineStr">
        <is>
          <t>EP-1005</t>
        </is>
      </c>
      <c r="B9" s="16" t="n"/>
      <c r="C9" s="16" t="n"/>
      <c r="D9" s="16" t="n"/>
      <c r="E9" s="16" t="n"/>
      <c r="F9" s="16" t="n"/>
      <c r="G9" s="16" t="n"/>
      <c r="H9" s="16" t="n"/>
      <c r="I9" s="16" t="n"/>
      <c r="J9" s="16" t="n"/>
      <c r="K9" s="16" t="n"/>
      <c r="L9" s="16" t="n"/>
      <c r="M9" s="16" t="n"/>
      <c r="N9" s="16" t="n"/>
      <c r="O9" s="16" t="n"/>
      <c r="P9" s="16" t="n"/>
    </row>
    <row r="10">
      <c r="A10" t="inlineStr">
        <is>
          <t>EP-1006</t>
        </is>
      </c>
      <c r="B10" s="16" t="n"/>
      <c r="C10" s="16" t="n"/>
      <c r="D10" s="16" t="n"/>
      <c r="E10" s="16" t="n"/>
      <c r="F10" s="16" t="n"/>
      <c r="G10" s="16" t="n"/>
      <c r="H10" s="16" t="n"/>
      <c r="I10" s="16" t="n"/>
      <c r="J10" s="16" t="n"/>
      <c r="K10" s="16" t="n"/>
      <c r="L10" s="16" t="n"/>
      <c r="M10" s="16" t="n"/>
      <c r="N10" s="16" t="n"/>
      <c r="O10" s="16" t="n"/>
      <c r="P10" s="16" t="n"/>
    </row>
    <row r="11">
      <c r="A11" t="inlineStr">
        <is>
          <t>EP-1007</t>
        </is>
      </c>
      <c r="B11" s="16" t="n"/>
      <c r="C11" s="16" t="n"/>
      <c r="D11" s="16" t="n"/>
      <c r="E11" s="16" t="n"/>
      <c r="F11" s="16" t="n"/>
      <c r="G11" s="16" t="n"/>
      <c r="H11" s="16" t="n"/>
      <c r="I11" s="16" t="n"/>
      <c r="J11" s="16" t="n"/>
      <c r="K11" s="16" t="n"/>
      <c r="L11" s="16" t="n"/>
      <c r="M11" s="16" t="n"/>
      <c r="N11" s="16" t="n"/>
      <c r="O11" s="16" t="n"/>
      <c r="P11" s="16" t="n"/>
    </row>
    <row r="12">
      <c r="A12" t="inlineStr">
        <is>
          <t>EP-1008</t>
        </is>
      </c>
      <c r="B12" s="16" t="n"/>
      <c r="C12" s="16" t="n"/>
      <c r="D12" s="16" t="n"/>
      <c r="E12" s="16" t="n"/>
      <c r="F12" s="16" t="n"/>
      <c r="G12" s="16" t="n"/>
      <c r="H12" s="16" t="n"/>
      <c r="I12" s="16" t="n"/>
      <c r="J12" s="16" t="n"/>
      <c r="K12" s="16" t="n"/>
      <c r="L12" s="16" t="n"/>
      <c r="M12" s="16" t="n"/>
      <c r="N12" s="16" t="n"/>
      <c r="O12" s="16" t="n"/>
      <c r="P12" s="16" t="n"/>
    </row>
    <row r="13">
      <c r="A13" t="inlineStr">
        <is>
          <t>EP-1009</t>
        </is>
      </c>
      <c r="B13" s="16" t="n"/>
      <c r="C13" s="16" t="n"/>
      <c r="D13" s="16" t="n"/>
      <c r="E13" s="16" t="n"/>
      <c r="F13" s="16" t="n"/>
      <c r="G13" s="16" t="n"/>
      <c r="H13" s="16" t="n"/>
      <c r="I13" s="16" t="n"/>
      <c r="J13" s="16" t="n"/>
      <c r="K13" s="16" t="n"/>
      <c r="L13" s="16" t="n"/>
      <c r="M13" s="16" t="n"/>
      <c r="N13" s="16" t="n"/>
      <c r="O13" s="16" t="n"/>
      <c r="P13" s="16" t="n"/>
    </row>
    <row r="14">
      <c r="A14" t="inlineStr">
        <is>
          <t>EP-1010</t>
        </is>
      </c>
      <c r="B14" s="16" t="n"/>
      <c r="C14" s="16" t="n"/>
      <c r="D14" s="16" t="n"/>
      <c r="E14" s="16" t="n"/>
      <c r="F14" s="16" t="n"/>
      <c r="G14" s="16" t="n"/>
      <c r="H14" s="16" t="n"/>
      <c r="I14" s="16" t="n"/>
      <c r="J14" s="16" t="n"/>
      <c r="K14" s="16" t="n"/>
      <c r="L14" s="16" t="n"/>
      <c r="M14" s="16" t="n"/>
      <c r="N14" s="16" t="n"/>
      <c r="O14" s="16" t="n"/>
      <c r="P14" s="16" t="n"/>
    </row>
    <row r="15">
      <c r="A15" t="inlineStr">
        <is>
          <t>EP-1011</t>
        </is>
      </c>
      <c r="B15" s="16" t="n"/>
      <c r="C15" s="16" t="n"/>
      <c r="D15" s="16" t="n"/>
      <c r="E15" s="16" t="n"/>
      <c r="F15" s="16" t="n"/>
      <c r="G15" s="16" t="n"/>
      <c r="H15" s="16" t="n"/>
      <c r="I15" s="16" t="n"/>
      <c r="J15" s="16" t="n"/>
      <c r="K15" s="16" t="n"/>
      <c r="L15" s="16" t="n"/>
      <c r="M15" s="16" t="n"/>
      <c r="N15" s="16" t="n"/>
      <c r="O15" s="16" t="n"/>
      <c r="P15" s="16" t="n"/>
    </row>
    <row r="16">
      <c r="A16" t="inlineStr">
        <is>
          <t>EP-1012</t>
        </is>
      </c>
      <c r="B16" s="16" t="n"/>
      <c r="C16" s="16" t="n"/>
      <c r="D16" s="16" t="n"/>
      <c r="E16" s="16" t="n"/>
      <c r="F16" s="16" t="n"/>
      <c r="G16" s="16" t="n"/>
      <c r="H16" s="16" t="n"/>
      <c r="I16" s="16" t="n"/>
      <c r="J16" s="16" t="n"/>
      <c r="K16" s="16" t="n"/>
      <c r="L16" s="16" t="n"/>
      <c r="M16" s="16" t="n"/>
      <c r="N16" s="16" t="n"/>
      <c r="O16" s="16" t="n"/>
      <c r="P16" s="16" t="n"/>
    </row>
    <row r="17">
      <c r="A17" t="inlineStr">
        <is>
          <t>EP-1013</t>
        </is>
      </c>
      <c r="B17" s="16" t="n"/>
      <c r="C17" s="16" t="n"/>
      <c r="D17" s="16" t="n"/>
      <c r="E17" s="16" t="n"/>
      <c r="F17" s="16" t="n"/>
      <c r="G17" s="16" t="n"/>
      <c r="H17" s="16" t="n"/>
      <c r="I17" s="16" t="n"/>
      <c r="J17" s="16" t="n"/>
      <c r="K17" s="16" t="n"/>
      <c r="L17" s="16" t="n"/>
      <c r="M17" s="16" t="n"/>
      <c r="N17" s="16" t="n"/>
      <c r="O17" s="16" t="n"/>
      <c r="P17" s="16" t="n"/>
    </row>
    <row r="18">
      <c r="A18" t="inlineStr">
        <is>
          <t>EP-1014</t>
        </is>
      </c>
      <c r="B18" s="16" t="n"/>
      <c r="C18" s="16" t="n"/>
      <c r="D18" s="16" t="n"/>
      <c r="E18" s="16" t="n"/>
      <c r="F18" s="16" t="n"/>
      <c r="G18" s="16" t="n"/>
      <c r="H18" s="16" t="n"/>
      <c r="I18" s="16" t="n"/>
      <c r="J18" s="16" t="n"/>
      <c r="K18" s="16" t="n"/>
      <c r="L18" s="16" t="n"/>
      <c r="M18" s="16" t="n"/>
      <c r="N18" s="16" t="n"/>
      <c r="O18" s="16" t="n"/>
      <c r="P18" s="16" t="n"/>
    </row>
    <row r="19">
      <c r="A19" t="inlineStr">
        <is>
          <t>EP-1015</t>
        </is>
      </c>
      <c r="B19" s="16" t="n"/>
      <c r="C19" s="16" t="n"/>
      <c r="D19" s="16" t="n"/>
      <c r="E19" s="16" t="n"/>
      <c r="F19" s="16" t="n"/>
      <c r="G19" s="16" t="n"/>
      <c r="H19" s="16" t="n"/>
      <c r="I19" s="16" t="n"/>
      <c r="J19" s="16" t="n"/>
      <c r="K19" s="16" t="n"/>
      <c r="L19" s="16" t="n"/>
      <c r="M19" s="16" t="n"/>
      <c r="N19" s="16" t="n"/>
      <c r="O19" s="16" t="n"/>
      <c r="P19" s="16" t="n"/>
    </row>
    <row r="20">
      <c r="A20" t="inlineStr">
        <is>
          <t>EP-1016</t>
        </is>
      </c>
      <c r="B20" s="16" t="n"/>
      <c r="C20" s="16" t="n"/>
      <c r="D20" s="16" t="n"/>
      <c r="E20" s="16" t="n"/>
      <c r="F20" s="16" t="n"/>
      <c r="G20" s="16" t="n"/>
      <c r="H20" s="16" t="n"/>
      <c r="I20" s="16" t="n"/>
      <c r="J20" s="16" t="n"/>
      <c r="K20" s="16" t="n"/>
      <c r="L20" s="16" t="n"/>
      <c r="M20" s="16" t="n"/>
      <c r="N20" s="16" t="n"/>
      <c r="O20" s="16" t="n"/>
      <c r="P20" s="16" t="n"/>
    </row>
    <row r="21">
      <c r="A21" t="inlineStr">
        <is>
          <t>EP-1017</t>
        </is>
      </c>
      <c r="B21" s="16" t="n"/>
      <c r="C21" s="16" t="n"/>
      <c r="D21" s="16" t="n"/>
      <c r="E21" s="16" t="n"/>
      <c r="F21" s="16" t="n"/>
      <c r="G21" s="16" t="n"/>
      <c r="H21" s="16" t="n"/>
      <c r="I21" s="16" t="n"/>
      <c r="J21" s="16" t="n"/>
      <c r="K21" s="16" t="n"/>
      <c r="L21" s="16" t="n"/>
      <c r="M21" s="16" t="n"/>
      <c r="N21" s="16" t="n"/>
      <c r="O21" s="16" t="n"/>
      <c r="P21" s="16" t="n"/>
    </row>
    <row r="22">
      <c r="A22" t="inlineStr">
        <is>
          <t>EP-1018</t>
        </is>
      </c>
      <c r="B22" s="16" t="n"/>
      <c r="C22" s="16" t="n"/>
      <c r="D22" s="16" t="n"/>
      <c r="E22" s="16" t="n"/>
      <c r="F22" s="16" t="n"/>
      <c r="G22" s="16" t="n"/>
      <c r="H22" s="16" t="n"/>
      <c r="I22" s="16" t="n"/>
      <c r="J22" s="16" t="n"/>
      <c r="K22" s="16" t="n"/>
      <c r="L22" s="16" t="n"/>
      <c r="M22" s="16" t="n"/>
      <c r="N22" s="16" t="n"/>
      <c r="O22" s="16" t="n"/>
      <c r="P22" s="16" t="n"/>
    </row>
    <row r="23">
      <c r="A23" t="inlineStr">
        <is>
          <t>EP-1019</t>
        </is>
      </c>
      <c r="B23" s="16" t="n"/>
      <c r="C23" s="16" t="n"/>
      <c r="D23" s="16" t="n"/>
      <c r="E23" s="16" t="n"/>
      <c r="F23" s="16" t="n"/>
      <c r="G23" s="16" t="n"/>
      <c r="H23" s="16" t="n"/>
      <c r="I23" s="16" t="n"/>
      <c r="J23" s="16" t="n"/>
      <c r="K23" s="16" t="n"/>
      <c r="L23" s="16" t="n"/>
      <c r="M23" s="16" t="n"/>
      <c r="N23" s="16" t="n"/>
      <c r="O23" s="16" t="n"/>
      <c r="P23" s="16" t="n"/>
    </row>
    <row r="24">
      <c r="A24" t="inlineStr">
        <is>
          <t>EP-1020</t>
        </is>
      </c>
      <c r="B24" s="16" t="n"/>
      <c r="C24" s="16" t="n"/>
      <c r="D24" s="16" t="n"/>
      <c r="E24" s="16" t="n"/>
      <c r="F24" s="16" t="n"/>
      <c r="G24" s="16" t="n"/>
      <c r="H24" s="16" t="n"/>
      <c r="I24" s="16" t="n"/>
      <c r="J24" s="16" t="n"/>
      <c r="K24" s="16" t="n"/>
      <c r="L24" s="16" t="n"/>
      <c r="M24" s="16" t="n"/>
      <c r="N24" s="16" t="n"/>
      <c r="O24" s="16" t="n"/>
      <c r="P24" s="16" t="n"/>
    </row>
    <row r="25">
      <c r="A25" t="inlineStr">
        <is>
          <t>EP-1021</t>
        </is>
      </c>
      <c r="B25" s="16" t="n"/>
      <c r="C25" s="16" t="n"/>
      <c r="D25" s="16" t="n"/>
      <c r="E25" s="16" t="n"/>
      <c r="F25" s="16" t="n"/>
      <c r="G25" s="16" t="n"/>
      <c r="H25" s="16" t="n"/>
      <c r="I25" s="16" t="n"/>
      <c r="J25" s="16" t="n"/>
      <c r="K25" s="16" t="n"/>
      <c r="L25" s="16" t="n"/>
      <c r="M25" s="16" t="n"/>
      <c r="N25" s="16" t="n"/>
      <c r="O25" s="16" t="n"/>
      <c r="P25" s="16" t="n"/>
    </row>
    <row r="26">
      <c r="A26" t="inlineStr">
        <is>
          <t>EP-1022</t>
        </is>
      </c>
      <c r="B26" s="16" t="n"/>
      <c r="C26" s="16" t="n"/>
      <c r="D26" s="16" t="n"/>
      <c r="E26" s="16" t="n"/>
      <c r="F26" s="16" t="n"/>
      <c r="G26" s="16" t="n"/>
      <c r="H26" s="16" t="n"/>
      <c r="I26" s="16" t="n"/>
      <c r="J26" s="16" t="n"/>
      <c r="K26" s="16" t="n"/>
      <c r="L26" s="16" t="n"/>
      <c r="M26" s="16" t="n"/>
      <c r="N26" s="16" t="n"/>
      <c r="O26" s="16" t="n"/>
      <c r="P26" s="16" t="n"/>
    </row>
    <row r="27">
      <c r="A27" t="inlineStr">
        <is>
          <t>EP-1023</t>
        </is>
      </c>
      <c r="B27" s="16" t="n"/>
      <c r="C27" s="16" t="n"/>
      <c r="D27" s="16" t="n"/>
      <c r="E27" s="16" t="n"/>
      <c r="F27" s="16" t="n"/>
      <c r="G27" s="16" t="n"/>
      <c r="H27" s="16" t="n"/>
      <c r="I27" s="16" t="n"/>
      <c r="J27" s="16" t="n"/>
      <c r="K27" s="16" t="n"/>
      <c r="L27" s="16" t="n"/>
      <c r="M27" s="16" t="n"/>
      <c r="N27" s="16" t="n"/>
      <c r="O27" s="16" t="n"/>
      <c r="P27" s="16" t="n"/>
    </row>
    <row r="28">
      <c r="A28" t="inlineStr">
        <is>
          <t>EP-1024</t>
        </is>
      </c>
      <c r="B28" s="16" t="n"/>
      <c r="C28" s="16" t="n"/>
      <c r="D28" s="16" t="n"/>
      <c r="E28" s="16" t="n"/>
      <c r="F28" s="16" t="n"/>
      <c r="G28" s="16" t="n"/>
      <c r="H28" s="16" t="n"/>
      <c r="I28" s="16" t="n"/>
      <c r="J28" s="16" t="n"/>
      <c r="K28" s="16" t="n"/>
      <c r="L28" s="16" t="n"/>
      <c r="M28" s="16" t="n"/>
      <c r="N28" s="16" t="n"/>
      <c r="O28" s="16" t="n"/>
      <c r="P28" s="16" t="n"/>
    </row>
    <row r="29">
      <c r="A29" t="inlineStr">
        <is>
          <t>EP-1025</t>
        </is>
      </c>
      <c r="B29" s="16" t="n"/>
      <c r="C29" s="16" t="n"/>
      <c r="D29" s="16" t="n"/>
      <c r="E29" s="16" t="n"/>
      <c r="F29" s="16" t="n"/>
      <c r="G29" s="16" t="n"/>
      <c r="H29" s="16" t="n"/>
      <c r="I29" s="16" t="n"/>
      <c r="J29" s="16" t="n"/>
      <c r="K29" s="16" t="n"/>
      <c r="L29" s="16" t="n"/>
      <c r="M29" s="16" t="n"/>
      <c r="N29" s="16" t="n"/>
      <c r="O29" s="16" t="n"/>
      <c r="P29" s="16" t="n"/>
    </row>
    <row r="30">
      <c r="A30" t="inlineStr">
        <is>
          <t>EP-1026</t>
        </is>
      </c>
      <c r="B30" s="16" t="n"/>
      <c r="C30" s="16" t="n"/>
      <c r="D30" s="16" t="n"/>
      <c r="E30" s="16" t="n"/>
      <c r="F30" s="16" t="n"/>
      <c r="G30" s="16" t="n"/>
      <c r="H30" s="16" t="n"/>
      <c r="I30" s="16" t="n"/>
      <c r="J30" s="16" t="n"/>
      <c r="K30" s="16" t="n"/>
      <c r="L30" s="16" t="n"/>
      <c r="M30" s="16" t="n"/>
      <c r="N30" s="16" t="n"/>
      <c r="O30" s="16" t="n"/>
      <c r="P30" s="16" t="n"/>
    </row>
    <row r="31">
      <c r="A31" t="inlineStr">
        <is>
          <t>EP-1027</t>
        </is>
      </c>
      <c r="B31" s="16" t="n"/>
      <c r="C31" s="16" t="n"/>
      <c r="D31" s="16" t="n"/>
      <c r="E31" s="16" t="n"/>
      <c r="F31" s="16" t="n"/>
      <c r="G31" s="16" t="n"/>
      <c r="H31" s="16" t="n"/>
      <c r="I31" s="16" t="n"/>
      <c r="J31" s="16" t="n"/>
      <c r="K31" s="16" t="n"/>
      <c r="L31" s="16" t="n"/>
      <c r="M31" s="16" t="n"/>
      <c r="N31" s="16" t="n"/>
      <c r="O31" s="16" t="n"/>
      <c r="P31" s="16" t="n"/>
    </row>
    <row r="32">
      <c r="A32" t="inlineStr">
        <is>
          <t>EP-1028</t>
        </is>
      </c>
      <c r="B32" s="16" t="n"/>
      <c r="C32" s="16" t="n"/>
      <c r="D32" s="16" t="n"/>
      <c r="E32" s="16" t="n"/>
      <c r="F32" s="16" t="n"/>
      <c r="G32" s="16" t="n"/>
      <c r="H32" s="16" t="n"/>
      <c r="I32" s="16" t="n"/>
      <c r="J32" s="16" t="n"/>
      <c r="K32" s="16" t="n"/>
      <c r="L32" s="16" t="n"/>
      <c r="M32" s="16" t="n"/>
      <c r="N32" s="16" t="n"/>
      <c r="O32" s="16" t="n"/>
      <c r="P32" s="16" t="n"/>
    </row>
    <row r="33">
      <c r="A33" t="inlineStr">
        <is>
          <t>EP-1029</t>
        </is>
      </c>
      <c r="B33" s="16" t="n"/>
      <c r="C33" s="16" t="n"/>
      <c r="D33" s="16" t="n"/>
      <c r="E33" s="16" t="n"/>
      <c r="F33" s="16" t="n"/>
      <c r="G33" s="16" t="n"/>
      <c r="H33" s="16" t="n"/>
      <c r="I33" s="16" t="n"/>
      <c r="J33" s="16" t="n"/>
      <c r="K33" s="16" t="n"/>
      <c r="L33" s="16" t="n"/>
      <c r="M33" s="16" t="n"/>
      <c r="N33" s="16" t="n"/>
      <c r="O33" s="16" t="n"/>
      <c r="P33" s="16" t="n"/>
    </row>
    <row r="34">
      <c r="A34" t="inlineStr">
        <is>
          <t>EP-1030</t>
        </is>
      </c>
      <c r="B34" s="16" t="n"/>
      <c r="C34" s="16" t="n"/>
      <c r="D34" s="16" t="n"/>
      <c r="E34" s="16" t="n"/>
      <c r="F34" s="16" t="n"/>
      <c r="G34" s="16" t="n"/>
      <c r="H34" s="16" t="n"/>
      <c r="I34" s="16" t="n"/>
      <c r="J34" s="16" t="n"/>
      <c r="K34" s="16" t="n"/>
      <c r="L34" s="16" t="n"/>
      <c r="M34" s="16" t="n"/>
      <c r="N34" s="16" t="n"/>
      <c r="O34" s="16" t="n"/>
      <c r="P34" s="16" t="n"/>
    </row>
    <row r="35">
      <c r="A35" t="inlineStr">
        <is>
          <t>EP-1031</t>
        </is>
      </c>
      <c r="B35" s="16" t="n"/>
      <c r="C35" s="16" t="n"/>
      <c r="D35" s="16" t="n"/>
      <c r="E35" s="16" t="n"/>
      <c r="F35" s="16" t="n"/>
      <c r="G35" s="16" t="n"/>
      <c r="H35" s="16" t="n"/>
      <c r="I35" s="16" t="n"/>
      <c r="J35" s="16" t="n"/>
      <c r="K35" s="16" t="n"/>
      <c r="L35" s="16" t="n"/>
      <c r="M35" s="16" t="n"/>
      <c r="N35" s="16" t="n"/>
      <c r="O35" s="16" t="n"/>
      <c r="P35" s="16" t="n"/>
    </row>
    <row r="36">
      <c r="A36" t="inlineStr">
        <is>
          <t>EP-1032</t>
        </is>
      </c>
      <c r="B36" s="16" t="n"/>
      <c r="C36" s="16" t="n"/>
      <c r="D36" s="16" t="n"/>
      <c r="E36" s="16" t="n"/>
      <c r="F36" s="16" t="n"/>
      <c r="G36" s="16" t="n"/>
      <c r="H36" s="16" t="n"/>
      <c r="I36" s="16" t="n"/>
      <c r="J36" s="16" t="n"/>
      <c r="K36" s="16" t="n"/>
      <c r="L36" s="16" t="n"/>
      <c r="M36" s="16" t="n"/>
      <c r="N36" s="16" t="n"/>
      <c r="O36" s="16" t="n"/>
      <c r="P36" s="16" t="n"/>
    </row>
    <row r="37">
      <c r="A37" t="inlineStr">
        <is>
          <t>EP-1033</t>
        </is>
      </c>
      <c r="B37" s="16" t="n"/>
      <c r="C37" s="16" t="n"/>
      <c r="D37" s="16" t="n"/>
      <c r="E37" s="16" t="n"/>
      <c r="F37" s="16" t="n"/>
      <c r="G37" s="16" t="n"/>
      <c r="H37" s="16" t="n"/>
      <c r="I37" s="16" t="n"/>
      <c r="J37" s="16" t="n"/>
      <c r="K37" s="16" t="n"/>
      <c r="L37" s="16" t="n"/>
      <c r="M37" s="16" t="n"/>
      <c r="N37" s="16" t="n"/>
      <c r="O37" s="16" t="n"/>
      <c r="P37" s="16" t="n"/>
    </row>
    <row r="38">
      <c r="A38" t="inlineStr">
        <is>
          <t>EP-1034</t>
        </is>
      </c>
      <c r="B38" s="16" t="n"/>
      <c r="C38" s="16" t="n"/>
      <c r="D38" s="16" t="n"/>
      <c r="E38" s="16" t="n"/>
      <c r="F38" s="16" t="n"/>
      <c r="G38" s="16" t="n"/>
      <c r="H38" s="16" t="n"/>
      <c r="I38" s="16" t="n"/>
      <c r="J38" s="16" t="n"/>
      <c r="K38" s="16" t="n"/>
      <c r="L38" s="16" t="n"/>
      <c r="M38" s="16" t="n"/>
      <c r="N38" s="16" t="n"/>
      <c r="O38" s="16" t="n"/>
      <c r="P38" s="16" t="n"/>
    </row>
    <row r="39">
      <c r="A39" t="inlineStr">
        <is>
          <t>EP-1035</t>
        </is>
      </c>
      <c r="B39" s="16" t="n"/>
      <c r="C39" s="16" t="n"/>
      <c r="D39" s="16" t="n"/>
      <c r="E39" s="16" t="n"/>
      <c r="F39" s="16" t="n"/>
      <c r="G39" s="16" t="n"/>
      <c r="H39" s="16" t="n"/>
      <c r="I39" s="16" t="n"/>
      <c r="J39" s="16" t="n"/>
      <c r="K39" s="16" t="n"/>
      <c r="L39" s="16" t="n"/>
      <c r="M39" s="16" t="n"/>
      <c r="N39" s="16" t="n"/>
      <c r="O39" s="16" t="n"/>
      <c r="P39" s="16" t="n"/>
    </row>
    <row r="40">
      <c r="A40" t="inlineStr">
        <is>
          <t>EP-1036</t>
        </is>
      </c>
      <c r="B40" s="16" t="n"/>
      <c r="C40" s="16" t="n"/>
      <c r="D40" s="16" t="n"/>
      <c r="E40" s="16" t="n"/>
      <c r="F40" s="16" t="n"/>
      <c r="G40" s="16" t="n"/>
      <c r="H40" s="16" t="n"/>
      <c r="I40" s="16" t="n"/>
      <c r="J40" s="16" t="n"/>
      <c r="K40" s="16" t="n"/>
      <c r="L40" s="16" t="n"/>
      <c r="M40" s="16" t="n"/>
      <c r="N40" s="16" t="n"/>
      <c r="O40" s="16" t="n"/>
      <c r="P40" s="16" t="n"/>
    </row>
    <row r="41">
      <c r="A41" t="inlineStr">
        <is>
          <t>EP-1037</t>
        </is>
      </c>
      <c r="B41" s="16" t="n"/>
      <c r="C41" s="16" t="n"/>
      <c r="D41" s="16" t="n"/>
      <c r="E41" s="16" t="n"/>
      <c r="F41" s="16" t="n"/>
      <c r="G41" s="16" t="n"/>
      <c r="H41" s="16" t="n"/>
      <c r="I41" s="16" t="n"/>
      <c r="J41" s="16" t="n"/>
      <c r="K41" s="16" t="n"/>
      <c r="L41" s="16" t="n"/>
      <c r="M41" s="16" t="n"/>
      <c r="N41" s="16" t="n"/>
      <c r="O41" s="16" t="n"/>
      <c r="P41" s="16" t="n"/>
    </row>
    <row r="42">
      <c r="A42" t="inlineStr">
        <is>
          <t>EP-1038</t>
        </is>
      </c>
      <c r="B42" s="16" t="n"/>
      <c r="C42" s="16" t="n"/>
      <c r="D42" s="16" t="n"/>
      <c r="E42" s="16" t="n"/>
      <c r="F42" s="16" t="n"/>
      <c r="G42" s="16" t="n"/>
      <c r="H42" s="16" t="n"/>
      <c r="I42" s="16" t="n"/>
      <c r="J42" s="16" t="n"/>
      <c r="K42" s="16" t="n"/>
      <c r="L42" s="16" t="n"/>
      <c r="M42" s="16" t="n"/>
      <c r="N42" s="16" t="n"/>
      <c r="O42" s="16" t="n"/>
      <c r="P42" s="16" t="n"/>
    </row>
    <row r="43">
      <c r="A43" t="inlineStr">
        <is>
          <t>EP-1039</t>
        </is>
      </c>
      <c r="B43" s="16" t="n"/>
      <c r="C43" s="16" t="n"/>
      <c r="D43" s="16" t="n"/>
      <c r="E43" s="16" t="n"/>
      <c r="F43" s="16" t="n"/>
      <c r="G43" s="16" t="n"/>
      <c r="H43" s="16" t="n"/>
      <c r="I43" s="16" t="n"/>
      <c r="J43" s="16" t="n"/>
      <c r="K43" s="16" t="n"/>
      <c r="L43" s="16" t="n"/>
      <c r="M43" s="16" t="n"/>
      <c r="N43" s="16" t="n"/>
      <c r="O43" s="16" t="n"/>
      <c r="P43" s="16" t="n"/>
    </row>
    <row r="44">
      <c r="A44" t="inlineStr">
        <is>
          <t>EP-1040</t>
        </is>
      </c>
      <c r="B44" s="16" t="n"/>
      <c r="C44" s="16" t="n"/>
      <c r="D44" s="16" t="n"/>
      <c r="E44" s="16" t="n"/>
      <c r="F44" s="16" t="n"/>
      <c r="G44" s="16" t="n"/>
      <c r="H44" s="16" t="n"/>
      <c r="I44" s="16" t="n"/>
      <c r="J44" s="16" t="n"/>
      <c r="K44" s="16" t="n"/>
      <c r="L44" s="16" t="n"/>
      <c r="M44" s="16" t="n"/>
      <c r="N44" s="16" t="n"/>
      <c r="O44" s="16" t="n"/>
      <c r="P44" s="16" t="n"/>
    </row>
    <row r="45">
      <c r="A45" t="inlineStr">
        <is>
          <t>EP-1041</t>
        </is>
      </c>
      <c r="B45" s="16" t="n"/>
      <c r="C45" s="16" t="n"/>
      <c r="D45" s="16" t="n"/>
      <c r="E45" s="16" t="n"/>
      <c r="F45" s="16" t="n"/>
      <c r="G45" s="16" t="n"/>
      <c r="H45" s="16" t="n"/>
      <c r="I45" s="16" t="n"/>
      <c r="J45" s="16" t="n"/>
      <c r="K45" s="16" t="n"/>
      <c r="L45" s="16" t="n"/>
      <c r="M45" s="16" t="n"/>
      <c r="N45" s="16" t="n"/>
      <c r="O45" s="16" t="n"/>
      <c r="P45" s="16" t="n"/>
    </row>
    <row r="46">
      <c r="A46" t="inlineStr">
        <is>
          <t>EP-1042</t>
        </is>
      </c>
      <c r="B46" s="16" t="n"/>
      <c r="C46" s="16" t="n"/>
      <c r="D46" s="16" t="n"/>
      <c r="E46" s="16" t="n"/>
      <c r="F46" s="16" t="n"/>
      <c r="G46" s="16" t="n"/>
      <c r="H46" s="16" t="n"/>
      <c r="I46" s="16" t="n"/>
      <c r="J46" s="16" t="n"/>
      <c r="K46" s="16" t="n"/>
      <c r="L46" s="16" t="n"/>
      <c r="M46" s="16" t="n"/>
      <c r="N46" s="16" t="n"/>
      <c r="O46" s="16" t="n"/>
      <c r="P46" s="16" t="n"/>
    </row>
    <row r="47">
      <c r="A47" t="inlineStr">
        <is>
          <t>EP-1043</t>
        </is>
      </c>
      <c r="B47" s="16" t="n"/>
      <c r="C47" s="16" t="n"/>
      <c r="D47" s="16" t="n"/>
      <c r="E47" s="16" t="n"/>
      <c r="F47" s="16" t="n"/>
      <c r="G47" s="16" t="n"/>
      <c r="H47" s="16" t="n"/>
      <c r="I47" s="16" t="n"/>
      <c r="J47" s="16" t="n"/>
      <c r="K47" s="16" t="n"/>
      <c r="L47" s="16" t="n"/>
      <c r="M47" s="16" t="n"/>
      <c r="N47" s="16" t="n"/>
      <c r="O47" s="16" t="n"/>
      <c r="P47" s="16" t="n"/>
    </row>
    <row r="48">
      <c r="A48" t="inlineStr">
        <is>
          <t>EP-1044</t>
        </is>
      </c>
      <c r="B48" s="16" t="n"/>
      <c r="C48" s="16" t="n"/>
      <c r="D48" s="16" t="n"/>
      <c r="E48" s="16" t="n"/>
      <c r="F48" s="16" t="n"/>
      <c r="G48" s="16" t="n"/>
      <c r="H48" s="16" t="n"/>
      <c r="I48" s="16" t="n"/>
      <c r="J48" s="16" t="n"/>
      <c r="K48" s="16" t="n"/>
      <c r="L48" s="16" t="n"/>
      <c r="M48" s="16" t="n"/>
      <c r="N48" s="16" t="n"/>
      <c r="O48" s="16" t="n"/>
      <c r="P48" s="16" t="n"/>
    </row>
    <row r="49">
      <c r="A49" t="inlineStr">
        <is>
          <t>EP-1045</t>
        </is>
      </c>
      <c r="B49" s="16" t="n"/>
      <c r="C49" s="16" t="n"/>
      <c r="D49" s="16" t="n"/>
      <c r="E49" s="16" t="n"/>
      <c r="F49" s="16" t="n"/>
      <c r="G49" s="16" t="n"/>
      <c r="H49" s="16" t="n"/>
      <c r="I49" s="16" t="n"/>
      <c r="J49" s="16" t="n"/>
      <c r="K49" s="16" t="n"/>
      <c r="L49" s="16" t="n"/>
      <c r="M49" s="16" t="n"/>
      <c r="N49" s="16" t="n"/>
      <c r="O49" s="16" t="n"/>
      <c r="P49" s="16" t="n"/>
    </row>
    <row r="50">
      <c r="A50" t="inlineStr">
        <is>
          <t>EP-1046</t>
        </is>
      </c>
      <c r="B50" s="16" t="n"/>
      <c r="C50" s="16" t="n"/>
      <c r="D50" s="16" t="n"/>
      <c r="E50" s="16" t="n"/>
      <c r="F50" s="16" t="n"/>
      <c r="G50" s="16" t="n"/>
      <c r="H50" s="16" t="n"/>
      <c r="I50" s="16" t="n"/>
      <c r="J50" s="16" t="n"/>
      <c r="K50" s="16" t="n"/>
      <c r="L50" s="16" t="n"/>
      <c r="M50" s="16" t="n"/>
      <c r="N50" s="16" t="n"/>
      <c r="O50" s="16" t="n"/>
      <c r="P50" s="16" t="n"/>
    </row>
    <row r="51">
      <c r="A51" t="inlineStr">
        <is>
          <t>EP-1047</t>
        </is>
      </c>
      <c r="B51" s="16" t="n"/>
      <c r="C51" s="16" t="n"/>
      <c r="D51" s="16" t="n"/>
      <c r="E51" s="16" t="n"/>
      <c r="F51" s="16" t="n"/>
      <c r="G51" s="16" t="n"/>
      <c r="H51" s="16" t="n"/>
      <c r="I51" s="16" t="n"/>
      <c r="J51" s="16" t="n"/>
      <c r="K51" s="16" t="n"/>
      <c r="L51" s="16" t="n"/>
      <c r="M51" s="16" t="n"/>
      <c r="N51" s="16" t="n"/>
      <c r="O51" s="16" t="n"/>
      <c r="P51" s="16" t="n"/>
    </row>
    <row r="52">
      <c r="A52" t="inlineStr">
        <is>
          <t>EP-1048</t>
        </is>
      </c>
      <c r="B52" s="16" t="n"/>
      <c r="C52" s="16" t="n"/>
      <c r="D52" s="16" t="n"/>
      <c r="E52" s="16" t="n"/>
      <c r="F52" s="16" t="n"/>
      <c r="G52" s="16" t="n"/>
      <c r="H52" s="16" t="n"/>
      <c r="I52" s="16" t="n"/>
      <c r="J52" s="16" t="n"/>
      <c r="K52" s="16" t="n"/>
      <c r="L52" s="16" t="n"/>
      <c r="M52" s="16" t="n"/>
      <c r="N52" s="16" t="n"/>
      <c r="O52" s="16" t="n"/>
      <c r="P52" s="16" t="n"/>
    </row>
    <row r="53">
      <c r="A53" t="inlineStr">
        <is>
          <t>EP-1049</t>
        </is>
      </c>
      <c r="B53" s="16" t="n"/>
      <c r="C53" s="16" t="n"/>
      <c r="D53" s="16" t="n"/>
      <c r="E53" s="16" t="n"/>
      <c r="F53" s="16" t="n"/>
      <c r="G53" s="16" t="n"/>
      <c r="H53" s="16" t="n"/>
      <c r="I53" s="16" t="n"/>
      <c r="J53" s="16" t="n"/>
      <c r="K53" s="16" t="n"/>
      <c r="L53" s="16" t="n"/>
      <c r="M53" s="16" t="n"/>
      <c r="N53" s="16" t="n"/>
      <c r="O53" s="16" t="n"/>
      <c r="P53" s="16" t="n"/>
    </row>
    <row r="54">
      <c r="A54" t="inlineStr">
        <is>
          <t>EP-1050</t>
        </is>
      </c>
      <c r="B54" s="16" t="n"/>
      <c r="C54" s="16" t="n"/>
      <c r="D54" s="16" t="n"/>
      <c r="E54" s="16" t="n"/>
      <c r="F54" s="16" t="n"/>
      <c r="G54" s="16" t="n"/>
      <c r="H54" s="16" t="n"/>
      <c r="I54" s="16" t="n"/>
      <c r="J54" s="16" t="n"/>
      <c r="K54" s="16" t="n"/>
      <c r="L54" s="16" t="n"/>
      <c r="M54" s="16" t="n"/>
      <c r="N54" s="16" t="n"/>
      <c r="O54" s="16" t="n"/>
      <c r="P54" s="16" t="n"/>
    </row>
    <row r="57">
      <c r="A57" s="2" t="inlineStr">
        <is>
          <t>📊 INVENTORY SUMMARY</t>
        </is>
      </c>
    </row>
    <row r="58">
      <c r="A58" s="3" t="inlineStr">
        <is>
          <t>Total Endpoints:</t>
        </is>
      </c>
      <c r="B58">
        <f>COUNTA(B5:B54)</f>
        <v/>
      </c>
    </row>
    <row r="59">
      <c r="A59" s="3" t="inlineStr">
        <is>
          <t>Active Devices:</t>
        </is>
      </c>
      <c r="B59">
        <f>COUNTIF(N5:N54,"✅ Active")</f>
        <v/>
      </c>
    </row>
    <row r="60">
      <c r="A60" s="3" t="inlineStr">
        <is>
          <t>Inactive/Retired:</t>
        </is>
      </c>
      <c r="B60">
        <f>COUNTIF(N5:N54,"⏸️ Inactive")+COUNTIF(N5:N54,"🔒 Retired")</f>
        <v/>
      </c>
    </row>
  </sheetData>
  <mergeCells count="3">
    <mergeCell ref="A1:P1"/>
    <mergeCell ref="A57:C57"/>
    <mergeCell ref="A2:P2"/>
  </mergeCells>
  <dataValidations count="6">
    <dataValidation sqref="C5 C6 C7 C8 C9 C10 C11 C12 C13 C14 C15 C16 C17 C18 C19 C20 C21 C22 C23 C24 C25 C26 C27 C28 C29 C30 C31 C32 C33 C34 C35 C36 C37 C38 C39 C40 C41 C42 C43 C44 C45 C46 C47 C48 C49 C50 C51 C52 C53 C54" showDropDown="0" showInputMessage="0" showErrorMessage="0" allowBlank="0" type="list">
      <formula1>"💻 Laptop,🖥️ Desktop,📱 Mobile (iOS),📱 Mobile (Android),⌚ Tablet,🔧 Workstation,Other"</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"Windows 11,Windows 10,macOS 14 (Sonoma),macOS 13 (Ventura),iOS 17,iOS 16,Android 14,Android 13,Linux (Ubuntu),Linux (RHEL/CentOS),Other"</formula1>
    </dataValidation>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 Corporate-Owned,👤 BYOD,🤝 Contractor,👥 Shared Device,Other"</formula1>
    </dataValidation>
    <dataValidation sqref="O5 O6 O7 O8 O9 O10 O11 O12 O13 O14 O15 O16 O17 O18 O19 O20 O21 O22 O23 O24 O25 O26 O27 O28 O29 O30 O31 O32 O33 O34 O35 O36 O37 O38 O39 O40 O41 O42 O43 O44 O45 O46 O47 O48 O49 O50 O51 O52 O53 O54" showDropDown="0" showInputMessage="0" showErrorMessage="0" allowBlank="0" type="list">
      <formula1>"🔴 Critical,🟠 High,🟡 Medium,🟢 Low"</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 Office,🏠 Remote,✈️ Mobile,🌍 International,❓ Unknown"</formula1>
    </dataValidation>
    <dataValidation sqref="N5 N6 N7 N8 N9 N10 N11 N12 N13 N14 N15 N16 N17 N18 N19 N20 N21 N22 N23 N24 N25 N26 N27 N28 N29 N30 N31 N32 N33 N34 N35 N36 N37 N38 N39 N40 N41 N42 N43 N44 N45 N46 N47 N48 N49 N50 N51 N52 N53 N54" showDropDown="0" showInputMessage="0" showErrorMessage="0" allowBlank="0" type="list">
      <formula1>"✅ Active,⏸️ Inactive,🔒 Retired,📦 Storage,🔄 Pending Setup,❌ Lost/Stolen,❓ Unknown"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0"/>
  <sheetViews>
    <sheetView workbookViewId="0">
      <selection activeCell="A1" sqref="A1"/>
    </sheetView>
  </sheetViews>
  <sheetFormatPr baseColWidth="8" defaultRowHeight="15"/>
  <cols>
    <col width="25" customWidth="1" min="1" max="1"/>
    <col width="12" customWidth="1" min="2" max="2"/>
    <col width="15" customWidth="1" min="3" max="3"/>
  </cols>
  <sheetData>
    <row r="1" ht="25" customHeight="1">
      <c r="A1" s="1" t="inlineStr">
        <is>
          <t>ENDPOINT CLASSIFICATION &amp; DISTRIBUTION</t>
        </is>
      </c>
    </row>
    <row r="2">
      <c r="A2" s="2" t="inlineStr">
        <is>
          <t>Device type distribution, ownership model breakdown, and criticality analysis</t>
        </is>
      </c>
    </row>
    <row r="4">
      <c r="A4" s="2" t="inlineStr">
        <is>
          <t>💻 DEVICE TYPE DISTRIBUTION</t>
        </is>
      </c>
    </row>
    <row r="5">
      <c r="A5" s="5" t="inlineStr">
        <is>
          <t>Device Type</t>
        </is>
      </c>
      <c r="B5" s="5" t="inlineStr">
        <is>
          <t>Count</t>
        </is>
      </c>
      <c r="C5" s="5" t="inlineStr">
        <is>
          <t>Percentage</t>
        </is>
      </c>
    </row>
    <row r="6">
      <c r="A6" s="6" t="inlineStr">
        <is>
          <t>💻 Laptop</t>
        </is>
      </c>
      <c r="B6" s="6">
        <f>COUNTIF(Inventory!C:C,"💻 Laptop")</f>
        <v/>
      </c>
      <c r="C6" s="6">
        <f>IF(B12&gt;0,B6/B12*100,0)&amp;"%"</f>
        <v/>
      </c>
    </row>
    <row r="7">
      <c r="A7" s="6" t="inlineStr">
        <is>
          <t>🖥️ Desktop</t>
        </is>
      </c>
      <c r="B7" s="6">
        <f>COUNTIF(Inventory!C:C,"🖥️ Desktop")</f>
        <v/>
      </c>
      <c r="C7" s="6">
        <f>IF(B13&gt;0,B7/B13*100,0)&amp;"%"</f>
        <v/>
      </c>
    </row>
    <row r="8">
      <c r="A8" s="6" t="inlineStr">
        <is>
          <t>📱 Mobile (iOS)</t>
        </is>
      </c>
      <c r="B8" s="6">
        <f>COUNTIF(Inventory!C:C,"📱 Mobile (iOS)")</f>
        <v/>
      </c>
      <c r="C8" s="6">
        <f>IF(B14&gt;0,B8/B14*100,0)&amp;"%"</f>
        <v/>
      </c>
    </row>
    <row r="9">
      <c r="A9" s="6" t="inlineStr">
        <is>
          <t>📱 Mobile (Android)</t>
        </is>
      </c>
      <c r="B9" s="6">
        <f>COUNTIF(Inventory!C:C,"📱 Mobile (Android)")</f>
        <v/>
      </c>
      <c r="C9" s="6">
        <f>IF(B15&gt;0,B9/B15*100,0)&amp;"%"</f>
        <v/>
      </c>
    </row>
    <row r="10">
      <c r="A10" s="6" t="inlineStr">
        <is>
          <t>⌚ Tablet</t>
        </is>
      </c>
      <c r="B10" s="6">
        <f>COUNTIF(Inventory!C:C,"⌚ Tablet")</f>
        <v/>
      </c>
      <c r="C10" s="6">
        <f>IF(B16&gt;0,B10/B16*100,0)&amp;"%"</f>
        <v/>
      </c>
    </row>
    <row r="11">
      <c r="A11" s="6" t="inlineStr">
        <is>
          <t>🔧 Workstation</t>
        </is>
      </c>
      <c r="B11" s="6">
        <f>COUNTIF(Inventory!C:C,"🔧 Workstation")</f>
        <v/>
      </c>
      <c r="C11" s="6">
        <f>IF(B17&gt;0,B11/B17*100,0)&amp;"%"</f>
        <v/>
      </c>
    </row>
    <row r="12">
      <c r="A12" s="6" t="inlineStr">
        <is>
          <t>Other</t>
        </is>
      </c>
      <c r="B12" s="6">
        <f>COUNTIF(Inventory!C:C,"Other")</f>
        <v/>
      </c>
      <c r="C12" s="6">
        <f>IF(B18&gt;0,B12/B18*100,0)&amp;"%"</f>
        <v/>
      </c>
    </row>
    <row r="13">
      <c r="A13" s="3" t="inlineStr">
        <is>
          <t>TOTAL</t>
        </is>
      </c>
      <c r="B13" s="3">
        <f>SUM(B6:B12)</f>
        <v/>
      </c>
    </row>
    <row r="15">
      <c r="A15" s="2" t="inlineStr">
        <is>
          <t>🏢 OWNERSHIP MODEL DISTRIBUTION</t>
        </is>
      </c>
    </row>
    <row r="16">
      <c r="A16" s="5" t="inlineStr">
        <is>
          <t>Ownership Model</t>
        </is>
      </c>
      <c r="B16" s="5" t="inlineStr">
        <is>
          <t>Count</t>
        </is>
      </c>
      <c r="C16" s="5" t="inlineStr">
        <is>
          <t>Percentage</t>
        </is>
      </c>
    </row>
    <row r="17">
      <c r="A17" s="6" t="inlineStr">
        <is>
          <t>🏢 Corporate-Owned</t>
        </is>
      </c>
      <c r="B17" s="6">
        <f>COUNTIF(Inventory!H:H,"🏢 Corporate-Owned")</f>
        <v/>
      </c>
      <c r="C17" s="6">
        <f>IF(B21&gt;0,B17/B21*100,0)&amp;"%"</f>
        <v/>
      </c>
    </row>
    <row r="18">
      <c r="A18" s="6" t="inlineStr">
        <is>
          <t>👤 BYOD</t>
        </is>
      </c>
      <c r="B18" s="6">
        <f>COUNTIF(Inventory!H:H,"👤 BYOD")</f>
        <v/>
      </c>
      <c r="C18" s="6">
        <f>IF(B22&gt;0,B18/B22*100,0)&amp;"%"</f>
        <v/>
      </c>
    </row>
    <row r="19">
      <c r="A19" s="6" t="inlineStr">
        <is>
          <t>🤝 Contractor</t>
        </is>
      </c>
      <c r="B19" s="6">
        <f>COUNTIF(Inventory!H:H,"🤝 Contractor")</f>
        <v/>
      </c>
      <c r="C19" s="6">
        <f>IF(B23&gt;0,B19/B23*100,0)&amp;"%"</f>
        <v/>
      </c>
    </row>
    <row r="20">
      <c r="A20" s="6" t="inlineStr">
        <is>
          <t>👥 Shared Device</t>
        </is>
      </c>
      <c r="B20" s="6">
        <f>COUNTIF(Inventory!H:H,"👥 Shared Device")</f>
        <v/>
      </c>
      <c r="C20" s="6">
        <f>IF(B24&gt;0,B20/B24*100,0)&amp;"%"</f>
        <v/>
      </c>
    </row>
    <row r="21">
      <c r="A21" s="6" t="inlineStr">
        <is>
          <t>Other</t>
        </is>
      </c>
      <c r="B21" s="6">
        <f>COUNTIF(Inventory!H:H,"Other")</f>
        <v/>
      </c>
      <c r="C21" s="6">
        <f>IF(B25&gt;0,B21/B25*100,0)&amp;"%"</f>
        <v/>
      </c>
    </row>
    <row r="22">
      <c r="A22" s="3" t="inlineStr">
        <is>
          <t>TOTAL</t>
        </is>
      </c>
      <c r="B22" s="3">
        <f>SUM(B17:B21)</f>
        <v/>
      </c>
    </row>
    <row r="24">
      <c r="A24" s="2" t="inlineStr">
        <is>
          <t>🎯 CRITICALITY DISTRIBUTION</t>
        </is>
      </c>
    </row>
    <row r="25">
      <c r="A25" s="5" t="inlineStr">
        <is>
          <t>Criticality Level</t>
        </is>
      </c>
      <c r="B25" s="5" t="inlineStr">
        <is>
          <t>Count</t>
        </is>
      </c>
      <c r="C25" s="5" t="inlineStr">
        <is>
          <t>Percentage</t>
        </is>
      </c>
    </row>
    <row r="26">
      <c r="A26" s="6" t="inlineStr">
        <is>
          <t>🔴 Critical</t>
        </is>
      </c>
      <c r="B26" s="6">
        <f>COUNTIF(Inventory!O:O,"🔴 Critical")</f>
        <v/>
      </c>
      <c r="C26" s="6">
        <f>IF(B29&gt;0,B26/B29*100,0)&amp;"%"</f>
        <v/>
      </c>
    </row>
    <row r="27">
      <c r="A27" s="6" t="inlineStr">
        <is>
          <t>🟠 High</t>
        </is>
      </c>
      <c r="B27" s="6">
        <f>COUNTIF(Inventory!O:O,"🟠 High")</f>
        <v/>
      </c>
      <c r="C27" s="6">
        <f>IF(B30&gt;0,B27/B30*100,0)&amp;"%"</f>
        <v/>
      </c>
    </row>
    <row r="28">
      <c r="A28" s="6" t="inlineStr">
        <is>
          <t>🟡 Medium</t>
        </is>
      </c>
      <c r="B28" s="6">
        <f>COUNTIF(Inventory!O:O,"🟡 Medium")</f>
        <v/>
      </c>
      <c r="C28" s="6">
        <f>IF(B31&gt;0,B28/B31*100,0)&amp;"%"</f>
        <v/>
      </c>
    </row>
    <row r="29">
      <c r="A29" s="6" t="inlineStr">
        <is>
          <t>🟢 Low</t>
        </is>
      </c>
      <c r="B29" s="6">
        <f>COUNTIF(Inventory!O:O,"🟢 Low")</f>
        <v/>
      </c>
      <c r="C29" s="6">
        <f>IF(B32&gt;0,B29/B32*100,0)&amp;"%"</f>
        <v/>
      </c>
    </row>
    <row r="30">
      <c r="A30" s="3" t="inlineStr">
        <is>
          <t>TOTAL</t>
        </is>
      </c>
      <c r="B30" s="3">
        <f>SUM(B26:B29)</f>
        <v/>
      </c>
    </row>
  </sheetData>
  <mergeCells count="5">
    <mergeCell ref="A2:F2"/>
    <mergeCell ref="A1:F1"/>
    <mergeCell ref="A15:C15"/>
    <mergeCell ref="A4:C4"/>
    <mergeCell ref="A24:C24"/>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61"/>
  <sheetViews>
    <sheetView workbookViewId="0">
      <selection activeCell="A1" sqref="A1"/>
    </sheetView>
  </sheetViews>
  <sheetFormatPr baseColWidth="8" defaultRowHeight="15"/>
  <cols>
    <col width="12" customWidth="1" min="1" max="1"/>
    <col width="20" customWidth="1" min="2" max="2"/>
    <col width="18" customWidth="1" min="3" max="3"/>
    <col width="20" customWidth="1" min="4" max="4"/>
    <col width="18" customWidth="1" min="5" max="5"/>
    <col width="18" customWidth="1" min="6" max="6"/>
    <col width="12" customWidth="1" min="7" max="7"/>
    <col width="15" customWidth="1" min="8" max="8"/>
    <col width="18" customWidth="1" min="9" max="9"/>
    <col width="20" customWidth="1" min="10" max="10"/>
    <col width="20" customWidth="1" min="11" max="11"/>
    <col width="30" customWidth="1" min="12" max="12"/>
  </cols>
  <sheetData>
    <row r="1" ht="25" customHeight="1">
      <c r="A1" s="1" t="inlineStr">
        <is>
          <t>ENDPOINT BASELINE COMPLIANCE ASSESSMENT</t>
        </is>
      </c>
    </row>
    <row r="2">
      <c r="A2" s="2" t="inlineStr">
        <is>
          <t>Per-endpoint security baseline compliance (OS hardening, firewall, antivirus, configuration)</t>
        </is>
      </c>
    </row>
    <row r="4">
      <c r="A4" s="5" t="inlineStr">
        <is>
          <t>Device ID</t>
        </is>
      </c>
      <c r="B4" s="5" t="inlineStr">
        <is>
          <t>Hostname</t>
        </is>
      </c>
      <c r="C4" s="5" t="inlineStr">
        <is>
          <t>Device Type</t>
        </is>
      </c>
      <c r="D4" s="5" t="inlineStr">
        <is>
          <t>OS Hardening</t>
        </is>
      </c>
      <c r="E4" s="5" t="inlineStr">
        <is>
          <t>Firewall Status</t>
        </is>
      </c>
      <c r="F4" s="5" t="inlineStr">
        <is>
          <t>Antivirus Status</t>
        </is>
      </c>
      <c r="G4" s="5" t="inlineStr">
        <is>
          <t>Screen Lock</t>
        </is>
      </c>
      <c r="H4" s="5" t="inlineStr">
        <is>
          <t>Auto-Lock Time</t>
        </is>
      </c>
      <c r="I4" s="5" t="inlineStr">
        <is>
          <t>Password Policy</t>
        </is>
      </c>
      <c r="J4" s="5" t="inlineStr">
        <is>
          <t>Baseline Profile</t>
        </is>
      </c>
      <c r="K4" s="5" t="inlineStr">
        <is>
          <t>Compliance Status</t>
        </is>
      </c>
      <c r="L4" s="5" t="inlineStr">
        <is>
          <t>Notes</t>
        </is>
      </c>
    </row>
    <row r="5">
      <c r="A5">
        <f>Inventory!A5</f>
        <v/>
      </c>
      <c r="B5">
        <f>Inventory!B5</f>
        <v/>
      </c>
      <c r="C5">
        <f>Inventory!C5</f>
        <v/>
      </c>
      <c r="D5" s="16" t="n"/>
      <c r="E5" s="16" t="n"/>
      <c r="F5" s="16" t="n"/>
      <c r="G5" s="16" t="n"/>
      <c r="H5" s="16" t="n"/>
      <c r="I5" s="16" t="n"/>
      <c r="J5" s="16" t="n"/>
      <c r="K5">
        <f>IF(AND(D5="✅ Compliant",E5="✅ Enabled",F5="✅ Active",G5="Yes",I5="✅ Compliant"),"✅ Compliant",IF(OR(D5="❌ Non-Compliant",E5="❌ Disabled",F5="❌ Not Installed"),"❌ Non-Compliant","⚠ Partial"))</f>
        <v/>
      </c>
      <c r="L5" s="16" t="n"/>
    </row>
    <row r="6">
      <c r="A6">
        <f>Inventory!A6</f>
        <v/>
      </c>
      <c r="B6">
        <f>Inventory!B6</f>
        <v/>
      </c>
      <c r="C6">
        <f>Inventory!C6</f>
        <v/>
      </c>
      <c r="D6" s="16" t="n"/>
      <c r="E6" s="16" t="n"/>
      <c r="F6" s="16" t="n"/>
      <c r="G6" s="16" t="n"/>
      <c r="H6" s="16" t="n"/>
      <c r="I6" s="16" t="n"/>
      <c r="J6" s="16" t="n"/>
      <c r="K6">
        <f>IF(AND(D6="✅ Compliant",E6="✅ Enabled",F6="✅ Active",G6="Yes",I6="✅ Compliant"),"✅ Compliant",IF(OR(D6="❌ Non-Compliant",E6="❌ Disabled",F6="❌ Not Installed"),"❌ Non-Compliant","⚠ Partial"))</f>
        <v/>
      </c>
      <c r="L6" s="16" t="n"/>
    </row>
    <row r="7">
      <c r="A7">
        <f>Inventory!A7</f>
        <v/>
      </c>
      <c r="B7">
        <f>Inventory!B7</f>
        <v/>
      </c>
      <c r="C7">
        <f>Inventory!C7</f>
        <v/>
      </c>
      <c r="D7" s="16" t="n"/>
      <c r="E7" s="16" t="n"/>
      <c r="F7" s="16" t="n"/>
      <c r="G7" s="16" t="n"/>
      <c r="H7" s="16" t="n"/>
      <c r="I7" s="16" t="n"/>
      <c r="J7" s="16" t="n"/>
      <c r="K7">
        <f>IF(AND(D7="✅ Compliant",E7="✅ Enabled",F7="✅ Active",G7="Yes",I7="✅ Compliant"),"✅ Compliant",IF(OR(D7="❌ Non-Compliant",E7="❌ Disabled",F7="❌ Not Installed"),"❌ Non-Compliant","⚠ Partial"))</f>
        <v/>
      </c>
      <c r="L7" s="16" t="n"/>
    </row>
    <row r="8">
      <c r="A8">
        <f>Inventory!A8</f>
        <v/>
      </c>
      <c r="B8">
        <f>Inventory!B8</f>
        <v/>
      </c>
      <c r="C8">
        <f>Inventory!C8</f>
        <v/>
      </c>
      <c r="D8" s="16" t="n"/>
      <c r="E8" s="16" t="n"/>
      <c r="F8" s="16" t="n"/>
      <c r="G8" s="16" t="n"/>
      <c r="H8" s="16" t="n"/>
      <c r="I8" s="16" t="n"/>
      <c r="J8" s="16" t="n"/>
      <c r="K8">
        <f>IF(AND(D8="✅ Compliant",E8="✅ Enabled",F8="✅ Active",G8="Yes",I8="✅ Compliant"),"✅ Compliant",IF(OR(D8="❌ Non-Compliant",E8="❌ Disabled",F8="❌ Not Installed"),"❌ Non-Compliant","⚠ Partial"))</f>
        <v/>
      </c>
      <c r="L8" s="16" t="n"/>
    </row>
    <row r="9">
      <c r="A9">
        <f>Inventory!A9</f>
        <v/>
      </c>
      <c r="B9">
        <f>Inventory!B9</f>
        <v/>
      </c>
      <c r="C9">
        <f>Inventory!C9</f>
        <v/>
      </c>
      <c r="D9" s="16" t="n"/>
      <c r="E9" s="16" t="n"/>
      <c r="F9" s="16" t="n"/>
      <c r="G9" s="16" t="n"/>
      <c r="H9" s="16" t="n"/>
      <c r="I9" s="16" t="n"/>
      <c r="J9" s="16" t="n"/>
      <c r="K9">
        <f>IF(AND(D9="✅ Compliant",E9="✅ Enabled",F9="✅ Active",G9="Yes",I9="✅ Compliant"),"✅ Compliant",IF(OR(D9="❌ Non-Compliant",E9="❌ Disabled",F9="❌ Not Installed"),"❌ Non-Compliant","⚠ Partial"))</f>
        <v/>
      </c>
      <c r="L9" s="16" t="n"/>
    </row>
    <row r="10">
      <c r="A10">
        <f>Inventory!A10</f>
        <v/>
      </c>
      <c r="B10">
        <f>Inventory!B10</f>
        <v/>
      </c>
      <c r="C10">
        <f>Inventory!C10</f>
        <v/>
      </c>
      <c r="D10" s="16" t="n"/>
      <c r="E10" s="16" t="n"/>
      <c r="F10" s="16" t="n"/>
      <c r="G10" s="16" t="n"/>
      <c r="H10" s="16" t="n"/>
      <c r="I10" s="16" t="n"/>
      <c r="J10" s="16" t="n"/>
      <c r="K10">
        <f>IF(AND(D10="✅ Compliant",E10="✅ Enabled",F10="✅ Active",G10="Yes",I10="✅ Compliant"),"✅ Compliant",IF(OR(D10="❌ Non-Compliant",E10="❌ Disabled",F10="❌ Not Installed"),"❌ Non-Compliant","⚠ Partial"))</f>
        <v/>
      </c>
      <c r="L10" s="16" t="n"/>
    </row>
    <row r="11">
      <c r="A11">
        <f>Inventory!A11</f>
        <v/>
      </c>
      <c r="B11">
        <f>Inventory!B11</f>
        <v/>
      </c>
      <c r="C11">
        <f>Inventory!C11</f>
        <v/>
      </c>
      <c r="D11" s="16" t="n"/>
      <c r="E11" s="16" t="n"/>
      <c r="F11" s="16" t="n"/>
      <c r="G11" s="16" t="n"/>
      <c r="H11" s="16" t="n"/>
      <c r="I11" s="16" t="n"/>
      <c r="J11" s="16" t="n"/>
      <c r="K11">
        <f>IF(AND(D11="✅ Compliant",E11="✅ Enabled",F11="✅ Active",G11="Yes",I11="✅ Compliant"),"✅ Compliant",IF(OR(D11="❌ Non-Compliant",E11="❌ Disabled",F11="❌ Not Installed"),"❌ Non-Compliant","⚠ Partial"))</f>
        <v/>
      </c>
      <c r="L11" s="16" t="n"/>
    </row>
    <row r="12">
      <c r="A12">
        <f>Inventory!A12</f>
        <v/>
      </c>
      <c r="B12">
        <f>Inventory!B12</f>
        <v/>
      </c>
      <c r="C12">
        <f>Inventory!C12</f>
        <v/>
      </c>
      <c r="D12" s="16" t="n"/>
      <c r="E12" s="16" t="n"/>
      <c r="F12" s="16" t="n"/>
      <c r="G12" s="16" t="n"/>
      <c r="H12" s="16" t="n"/>
      <c r="I12" s="16" t="n"/>
      <c r="J12" s="16" t="n"/>
      <c r="K12">
        <f>IF(AND(D12="✅ Compliant",E12="✅ Enabled",F12="✅ Active",G12="Yes",I12="✅ Compliant"),"✅ Compliant",IF(OR(D12="❌ Non-Compliant",E12="❌ Disabled",F12="❌ Not Installed"),"❌ Non-Compliant","⚠ Partial"))</f>
        <v/>
      </c>
      <c r="L12" s="16" t="n"/>
    </row>
    <row r="13">
      <c r="A13">
        <f>Inventory!A13</f>
        <v/>
      </c>
      <c r="B13">
        <f>Inventory!B13</f>
        <v/>
      </c>
      <c r="C13">
        <f>Inventory!C13</f>
        <v/>
      </c>
      <c r="D13" s="16" t="n"/>
      <c r="E13" s="16" t="n"/>
      <c r="F13" s="16" t="n"/>
      <c r="G13" s="16" t="n"/>
      <c r="H13" s="16" t="n"/>
      <c r="I13" s="16" t="n"/>
      <c r="J13" s="16" t="n"/>
      <c r="K13">
        <f>IF(AND(D13="✅ Compliant",E13="✅ Enabled",F13="✅ Active",G13="Yes",I13="✅ Compliant"),"✅ Compliant",IF(OR(D13="❌ Non-Compliant",E13="❌ Disabled",F13="❌ Not Installed"),"❌ Non-Compliant","⚠ Partial"))</f>
        <v/>
      </c>
      <c r="L13" s="16" t="n"/>
    </row>
    <row r="14">
      <c r="A14">
        <f>Inventory!A14</f>
        <v/>
      </c>
      <c r="B14">
        <f>Inventory!B14</f>
        <v/>
      </c>
      <c r="C14">
        <f>Inventory!C14</f>
        <v/>
      </c>
      <c r="D14" s="16" t="n"/>
      <c r="E14" s="16" t="n"/>
      <c r="F14" s="16" t="n"/>
      <c r="G14" s="16" t="n"/>
      <c r="H14" s="16" t="n"/>
      <c r="I14" s="16" t="n"/>
      <c r="J14" s="16" t="n"/>
      <c r="K14">
        <f>IF(AND(D14="✅ Compliant",E14="✅ Enabled",F14="✅ Active",G14="Yes",I14="✅ Compliant"),"✅ Compliant",IF(OR(D14="❌ Non-Compliant",E14="❌ Disabled",F14="❌ Not Installed"),"❌ Non-Compliant","⚠ Partial"))</f>
        <v/>
      </c>
      <c r="L14" s="16" t="n"/>
    </row>
    <row r="15">
      <c r="A15">
        <f>Inventory!A15</f>
        <v/>
      </c>
      <c r="B15">
        <f>Inventory!B15</f>
        <v/>
      </c>
      <c r="C15">
        <f>Inventory!C15</f>
        <v/>
      </c>
      <c r="D15" s="16" t="n"/>
      <c r="E15" s="16" t="n"/>
      <c r="F15" s="16" t="n"/>
      <c r="G15" s="16" t="n"/>
      <c r="H15" s="16" t="n"/>
      <c r="I15" s="16" t="n"/>
      <c r="J15" s="16" t="n"/>
      <c r="K15">
        <f>IF(AND(D15="✅ Compliant",E15="✅ Enabled",F15="✅ Active",G15="Yes",I15="✅ Compliant"),"✅ Compliant",IF(OR(D15="❌ Non-Compliant",E15="❌ Disabled",F15="❌ Not Installed"),"❌ Non-Compliant","⚠ Partial"))</f>
        <v/>
      </c>
      <c r="L15" s="16" t="n"/>
    </row>
    <row r="16">
      <c r="A16">
        <f>Inventory!A16</f>
        <v/>
      </c>
      <c r="B16">
        <f>Inventory!B16</f>
        <v/>
      </c>
      <c r="C16">
        <f>Inventory!C16</f>
        <v/>
      </c>
      <c r="D16" s="16" t="n"/>
      <c r="E16" s="16" t="n"/>
      <c r="F16" s="16" t="n"/>
      <c r="G16" s="16" t="n"/>
      <c r="H16" s="16" t="n"/>
      <c r="I16" s="16" t="n"/>
      <c r="J16" s="16" t="n"/>
      <c r="K16">
        <f>IF(AND(D16="✅ Compliant",E16="✅ Enabled",F16="✅ Active",G16="Yes",I16="✅ Compliant"),"✅ Compliant",IF(OR(D16="❌ Non-Compliant",E16="❌ Disabled",F16="❌ Not Installed"),"❌ Non-Compliant","⚠ Partial"))</f>
        <v/>
      </c>
      <c r="L16" s="16" t="n"/>
    </row>
    <row r="17">
      <c r="A17">
        <f>Inventory!A17</f>
        <v/>
      </c>
      <c r="B17">
        <f>Inventory!B17</f>
        <v/>
      </c>
      <c r="C17">
        <f>Inventory!C17</f>
        <v/>
      </c>
      <c r="D17" s="16" t="n"/>
      <c r="E17" s="16" t="n"/>
      <c r="F17" s="16" t="n"/>
      <c r="G17" s="16" t="n"/>
      <c r="H17" s="16" t="n"/>
      <c r="I17" s="16" t="n"/>
      <c r="J17" s="16" t="n"/>
      <c r="K17">
        <f>IF(AND(D17="✅ Compliant",E17="✅ Enabled",F17="✅ Active",G17="Yes",I17="✅ Compliant"),"✅ Compliant",IF(OR(D17="❌ Non-Compliant",E17="❌ Disabled",F17="❌ Not Installed"),"❌ Non-Compliant","⚠ Partial"))</f>
        <v/>
      </c>
      <c r="L17" s="16" t="n"/>
    </row>
    <row r="18">
      <c r="A18">
        <f>Inventory!A18</f>
        <v/>
      </c>
      <c r="B18">
        <f>Inventory!B18</f>
        <v/>
      </c>
      <c r="C18">
        <f>Inventory!C18</f>
        <v/>
      </c>
      <c r="D18" s="16" t="n"/>
      <c r="E18" s="16" t="n"/>
      <c r="F18" s="16" t="n"/>
      <c r="G18" s="16" t="n"/>
      <c r="H18" s="16" t="n"/>
      <c r="I18" s="16" t="n"/>
      <c r="J18" s="16" t="n"/>
      <c r="K18">
        <f>IF(AND(D18="✅ Compliant",E18="✅ Enabled",F18="✅ Active",G18="Yes",I18="✅ Compliant"),"✅ Compliant",IF(OR(D18="❌ Non-Compliant",E18="❌ Disabled",F18="❌ Not Installed"),"❌ Non-Compliant","⚠ Partial"))</f>
        <v/>
      </c>
      <c r="L18" s="16" t="n"/>
    </row>
    <row r="19">
      <c r="A19">
        <f>Inventory!A19</f>
        <v/>
      </c>
      <c r="B19">
        <f>Inventory!B19</f>
        <v/>
      </c>
      <c r="C19">
        <f>Inventory!C19</f>
        <v/>
      </c>
      <c r="D19" s="16" t="n"/>
      <c r="E19" s="16" t="n"/>
      <c r="F19" s="16" t="n"/>
      <c r="G19" s="16" t="n"/>
      <c r="H19" s="16" t="n"/>
      <c r="I19" s="16" t="n"/>
      <c r="J19" s="16" t="n"/>
      <c r="K19">
        <f>IF(AND(D19="✅ Compliant",E19="✅ Enabled",F19="✅ Active",G19="Yes",I19="✅ Compliant"),"✅ Compliant",IF(OR(D19="❌ Non-Compliant",E19="❌ Disabled",F19="❌ Not Installed"),"❌ Non-Compliant","⚠ Partial"))</f>
        <v/>
      </c>
      <c r="L19" s="16" t="n"/>
    </row>
    <row r="20">
      <c r="A20">
        <f>Inventory!A20</f>
        <v/>
      </c>
      <c r="B20">
        <f>Inventory!B20</f>
        <v/>
      </c>
      <c r="C20">
        <f>Inventory!C20</f>
        <v/>
      </c>
      <c r="D20" s="16" t="n"/>
      <c r="E20" s="16" t="n"/>
      <c r="F20" s="16" t="n"/>
      <c r="G20" s="16" t="n"/>
      <c r="H20" s="16" t="n"/>
      <c r="I20" s="16" t="n"/>
      <c r="J20" s="16" t="n"/>
      <c r="K20">
        <f>IF(AND(D20="✅ Compliant",E20="✅ Enabled",F20="✅ Active",G20="Yes",I20="✅ Compliant"),"✅ Compliant",IF(OR(D20="❌ Non-Compliant",E20="❌ Disabled",F20="❌ Not Installed"),"❌ Non-Compliant","⚠ Partial"))</f>
        <v/>
      </c>
      <c r="L20" s="16" t="n"/>
    </row>
    <row r="21">
      <c r="A21">
        <f>Inventory!A21</f>
        <v/>
      </c>
      <c r="B21">
        <f>Inventory!B21</f>
        <v/>
      </c>
      <c r="C21">
        <f>Inventory!C21</f>
        <v/>
      </c>
      <c r="D21" s="16" t="n"/>
      <c r="E21" s="16" t="n"/>
      <c r="F21" s="16" t="n"/>
      <c r="G21" s="16" t="n"/>
      <c r="H21" s="16" t="n"/>
      <c r="I21" s="16" t="n"/>
      <c r="J21" s="16" t="n"/>
      <c r="K21">
        <f>IF(AND(D21="✅ Compliant",E21="✅ Enabled",F21="✅ Active",G21="Yes",I21="✅ Compliant"),"✅ Compliant",IF(OR(D21="❌ Non-Compliant",E21="❌ Disabled",F21="❌ Not Installed"),"❌ Non-Compliant","⚠ Partial"))</f>
        <v/>
      </c>
      <c r="L21" s="16" t="n"/>
    </row>
    <row r="22">
      <c r="A22">
        <f>Inventory!A22</f>
        <v/>
      </c>
      <c r="B22">
        <f>Inventory!B22</f>
        <v/>
      </c>
      <c r="C22">
        <f>Inventory!C22</f>
        <v/>
      </c>
      <c r="D22" s="16" t="n"/>
      <c r="E22" s="16" t="n"/>
      <c r="F22" s="16" t="n"/>
      <c r="G22" s="16" t="n"/>
      <c r="H22" s="16" t="n"/>
      <c r="I22" s="16" t="n"/>
      <c r="J22" s="16" t="n"/>
      <c r="K22">
        <f>IF(AND(D22="✅ Compliant",E22="✅ Enabled",F22="✅ Active",G22="Yes",I22="✅ Compliant"),"✅ Compliant",IF(OR(D22="❌ Non-Compliant",E22="❌ Disabled",F22="❌ Not Installed"),"❌ Non-Compliant","⚠ Partial"))</f>
        <v/>
      </c>
      <c r="L22" s="16" t="n"/>
    </row>
    <row r="23">
      <c r="A23">
        <f>Inventory!A23</f>
        <v/>
      </c>
      <c r="B23">
        <f>Inventory!B23</f>
        <v/>
      </c>
      <c r="C23">
        <f>Inventory!C23</f>
        <v/>
      </c>
      <c r="D23" s="16" t="n"/>
      <c r="E23" s="16" t="n"/>
      <c r="F23" s="16" t="n"/>
      <c r="G23" s="16" t="n"/>
      <c r="H23" s="16" t="n"/>
      <c r="I23" s="16" t="n"/>
      <c r="J23" s="16" t="n"/>
      <c r="K23">
        <f>IF(AND(D23="✅ Compliant",E23="✅ Enabled",F23="✅ Active",G23="Yes",I23="✅ Compliant"),"✅ Compliant",IF(OR(D23="❌ Non-Compliant",E23="❌ Disabled",F23="❌ Not Installed"),"❌ Non-Compliant","⚠ Partial"))</f>
        <v/>
      </c>
      <c r="L23" s="16" t="n"/>
    </row>
    <row r="24">
      <c r="A24">
        <f>Inventory!A24</f>
        <v/>
      </c>
      <c r="B24">
        <f>Inventory!B24</f>
        <v/>
      </c>
      <c r="C24">
        <f>Inventory!C24</f>
        <v/>
      </c>
      <c r="D24" s="16" t="n"/>
      <c r="E24" s="16" t="n"/>
      <c r="F24" s="16" t="n"/>
      <c r="G24" s="16" t="n"/>
      <c r="H24" s="16" t="n"/>
      <c r="I24" s="16" t="n"/>
      <c r="J24" s="16" t="n"/>
      <c r="K24">
        <f>IF(AND(D24="✅ Compliant",E24="✅ Enabled",F24="✅ Active",G24="Yes",I24="✅ Compliant"),"✅ Compliant",IF(OR(D24="❌ Non-Compliant",E24="❌ Disabled",F24="❌ Not Installed"),"❌ Non-Compliant","⚠ Partial"))</f>
        <v/>
      </c>
      <c r="L24" s="16" t="n"/>
    </row>
    <row r="25">
      <c r="A25">
        <f>Inventory!A25</f>
        <v/>
      </c>
      <c r="B25">
        <f>Inventory!B25</f>
        <v/>
      </c>
      <c r="C25">
        <f>Inventory!C25</f>
        <v/>
      </c>
      <c r="D25" s="16" t="n"/>
      <c r="E25" s="16" t="n"/>
      <c r="F25" s="16" t="n"/>
      <c r="G25" s="16" t="n"/>
      <c r="H25" s="16" t="n"/>
      <c r="I25" s="16" t="n"/>
      <c r="J25" s="16" t="n"/>
      <c r="K25">
        <f>IF(AND(D25="✅ Compliant",E25="✅ Enabled",F25="✅ Active",G25="Yes",I25="✅ Compliant"),"✅ Compliant",IF(OR(D25="❌ Non-Compliant",E25="❌ Disabled",F25="❌ Not Installed"),"❌ Non-Compliant","⚠ Partial"))</f>
        <v/>
      </c>
      <c r="L25" s="16" t="n"/>
    </row>
    <row r="26">
      <c r="A26">
        <f>Inventory!A26</f>
        <v/>
      </c>
      <c r="B26">
        <f>Inventory!B26</f>
        <v/>
      </c>
      <c r="C26">
        <f>Inventory!C26</f>
        <v/>
      </c>
      <c r="D26" s="16" t="n"/>
      <c r="E26" s="16" t="n"/>
      <c r="F26" s="16" t="n"/>
      <c r="G26" s="16" t="n"/>
      <c r="H26" s="16" t="n"/>
      <c r="I26" s="16" t="n"/>
      <c r="J26" s="16" t="n"/>
      <c r="K26">
        <f>IF(AND(D26="✅ Compliant",E26="✅ Enabled",F26="✅ Active",G26="Yes",I26="✅ Compliant"),"✅ Compliant",IF(OR(D26="❌ Non-Compliant",E26="❌ Disabled",F26="❌ Not Installed"),"❌ Non-Compliant","⚠ Partial"))</f>
        <v/>
      </c>
      <c r="L26" s="16" t="n"/>
    </row>
    <row r="27">
      <c r="A27">
        <f>Inventory!A27</f>
        <v/>
      </c>
      <c r="B27">
        <f>Inventory!B27</f>
        <v/>
      </c>
      <c r="C27">
        <f>Inventory!C27</f>
        <v/>
      </c>
      <c r="D27" s="16" t="n"/>
      <c r="E27" s="16" t="n"/>
      <c r="F27" s="16" t="n"/>
      <c r="G27" s="16" t="n"/>
      <c r="H27" s="16" t="n"/>
      <c r="I27" s="16" t="n"/>
      <c r="J27" s="16" t="n"/>
      <c r="K27">
        <f>IF(AND(D27="✅ Compliant",E27="✅ Enabled",F27="✅ Active",G27="Yes",I27="✅ Compliant"),"✅ Compliant",IF(OR(D27="❌ Non-Compliant",E27="❌ Disabled",F27="❌ Not Installed"),"❌ Non-Compliant","⚠ Partial"))</f>
        <v/>
      </c>
      <c r="L27" s="16" t="n"/>
    </row>
    <row r="28">
      <c r="A28">
        <f>Inventory!A28</f>
        <v/>
      </c>
      <c r="B28">
        <f>Inventory!B28</f>
        <v/>
      </c>
      <c r="C28">
        <f>Inventory!C28</f>
        <v/>
      </c>
      <c r="D28" s="16" t="n"/>
      <c r="E28" s="16" t="n"/>
      <c r="F28" s="16" t="n"/>
      <c r="G28" s="16" t="n"/>
      <c r="H28" s="16" t="n"/>
      <c r="I28" s="16" t="n"/>
      <c r="J28" s="16" t="n"/>
      <c r="K28">
        <f>IF(AND(D28="✅ Compliant",E28="✅ Enabled",F28="✅ Active",G28="Yes",I28="✅ Compliant"),"✅ Compliant",IF(OR(D28="❌ Non-Compliant",E28="❌ Disabled",F28="❌ Not Installed"),"❌ Non-Compliant","⚠ Partial"))</f>
        <v/>
      </c>
      <c r="L28" s="16" t="n"/>
    </row>
    <row r="29">
      <c r="A29">
        <f>Inventory!A29</f>
        <v/>
      </c>
      <c r="B29">
        <f>Inventory!B29</f>
        <v/>
      </c>
      <c r="C29">
        <f>Inventory!C29</f>
        <v/>
      </c>
      <c r="D29" s="16" t="n"/>
      <c r="E29" s="16" t="n"/>
      <c r="F29" s="16" t="n"/>
      <c r="G29" s="16" t="n"/>
      <c r="H29" s="16" t="n"/>
      <c r="I29" s="16" t="n"/>
      <c r="J29" s="16" t="n"/>
      <c r="K29">
        <f>IF(AND(D29="✅ Compliant",E29="✅ Enabled",F29="✅ Active",G29="Yes",I29="✅ Compliant"),"✅ Compliant",IF(OR(D29="❌ Non-Compliant",E29="❌ Disabled",F29="❌ Not Installed"),"❌ Non-Compliant","⚠ Partial"))</f>
        <v/>
      </c>
      <c r="L29" s="16" t="n"/>
    </row>
    <row r="30">
      <c r="A30">
        <f>Inventory!A30</f>
        <v/>
      </c>
      <c r="B30">
        <f>Inventory!B30</f>
        <v/>
      </c>
      <c r="C30">
        <f>Inventory!C30</f>
        <v/>
      </c>
      <c r="D30" s="16" t="n"/>
      <c r="E30" s="16" t="n"/>
      <c r="F30" s="16" t="n"/>
      <c r="G30" s="16" t="n"/>
      <c r="H30" s="16" t="n"/>
      <c r="I30" s="16" t="n"/>
      <c r="J30" s="16" t="n"/>
      <c r="K30">
        <f>IF(AND(D30="✅ Compliant",E30="✅ Enabled",F30="✅ Active",G30="Yes",I30="✅ Compliant"),"✅ Compliant",IF(OR(D30="❌ Non-Compliant",E30="❌ Disabled",F30="❌ Not Installed"),"❌ Non-Compliant","⚠ Partial"))</f>
        <v/>
      </c>
      <c r="L30" s="16" t="n"/>
    </row>
    <row r="31">
      <c r="A31">
        <f>Inventory!A31</f>
        <v/>
      </c>
      <c r="B31">
        <f>Inventory!B31</f>
        <v/>
      </c>
      <c r="C31">
        <f>Inventory!C31</f>
        <v/>
      </c>
      <c r="D31" s="16" t="n"/>
      <c r="E31" s="16" t="n"/>
      <c r="F31" s="16" t="n"/>
      <c r="G31" s="16" t="n"/>
      <c r="H31" s="16" t="n"/>
      <c r="I31" s="16" t="n"/>
      <c r="J31" s="16" t="n"/>
      <c r="K31">
        <f>IF(AND(D31="✅ Compliant",E31="✅ Enabled",F31="✅ Active",G31="Yes",I31="✅ Compliant"),"✅ Compliant",IF(OR(D31="❌ Non-Compliant",E31="❌ Disabled",F31="❌ Not Installed"),"❌ Non-Compliant","⚠ Partial"))</f>
        <v/>
      </c>
      <c r="L31" s="16" t="n"/>
    </row>
    <row r="32">
      <c r="A32">
        <f>Inventory!A32</f>
        <v/>
      </c>
      <c r="B32">
        <f>Inventory!B32</f>
        <v/>
      </c>
      <c r="C32">
        <f>Inventory!C32</f>
        <v/>
      </c>
      <c r="D32" s="16" t="n"/>
      <c r="E32" s="16" t="n"/>
      <c r="F32" s="16" t="n"/>
      <c r="G32" s="16" t="n"/>
      <c r="H32" s="16" t="n"/>
      <c r="I32" s="16" t="n"/>
      <c r="J32" s="16" t="n"/>
      <c r="K32">
        <f>IF(AND(D32="✅ Compliant",E32="✅ Enabled",F32="✅ Active",G32="Yes",I32="✅ Compliant"),"✅ Compliant",IF(OR(D32="❌ Non-Compliant",E32="❌ Disabled",F32="❌ Not Installed"),"❌ Non-Compliant","⚠ Partial"))</f>
        <v/>
      </c>
      <c r="L32" s="16" t="n"/>
    </row>
    <row r="33">
      <c r="A33">
        <f>Inventory!A33</f>
        <v/>
      </c>
      <c r="B33">
        <f>Inventory!B33</f>
        <v/>
      </c>
      <c r="C33">
        <f>Inventory!C33</f>
        <v/>
      </c>
      <c r="D33" s="16" t="n"/>
      <c r="E33" s="16" t="n"/>
      <c r="F33" s="16" t="n"/>
      <c r="G33" s="16" t="n"/>
      <c r="H33" s="16" t="n"/>
      <c r="I33" s="16" t="n"/>
      <c r="J33" s="16" t="n"/>
      <c r="K33">
        <f>IF(AND(D33="✅ Compliant",E33="✅ Enabled",F33="✅ Active",G33="Yes",I33="✅ Compliant"),"✅ Compliant",IF(OR(D33="❌ Non-Compliant",E33="❌ Disabled",F33="❌ Not Installed"),"❌ Non-Compliant","⚠ Partial"))</f>
        <v/>
      </c>
      <c r="L33" s="16" t="n"/>
    </row>
    <row r="34">
      <c r="A34">
        <f>Inventory!A34</f>
        <v/>
      </c>
      <c r="B34">
        <f>Inventory!B34</f>
        <v/>
      </c>
      <c r="C34">
        <f>Inventory!C34</f>
        <v/>
      </c>
      <c r="D34" s="16" t="n"/>
      <c r="E34" s="16" t="n"/>
      <c r="F34" s="16" t="n"/>
      <c r="G34" s="16" t="n"/>
      <c r="H34" s="16" t="n"/>
      <c r="I34" s="16" t="n"/>
      <c r="J34" s="16" t="n"/>
      <c r="K34">
        <f>IF(AND(D34="✅ Compliant",E34="✅ Enabled",F34="✅ Active",G34="Yes",I34="✅ Compliant"),"✅ Compliant",IF(OR(D34="❌ Non-Compliant",E34="❌ Disabled",F34="❌ Not Installed"),"❌ Non-Compliant","⚠ Partial"))</f>
        <v/>
      </c>
      <c r="L34" s="16" t="n"/>
    </row>
    <row r="35">
      <c r="A35">
        <f>Inventory!A35</f>
        <v/>
      </c>
      <c r="B35">
        <f>Inventory!B35</f>
        <v/>
      </c>
      <c r="C35">
        <f>Inventory!C35</f>
        <v/>
      </c>
      <c r="D35" s="16" t="n"/>
      <c r="E35" s="16" t="n"/>
      <c r="F35" s="16" t="n"/>
      <c r="G35" s="16" t="n"/>
      <c r="H35" s="16" t="n"/>
      <c r="I35" s="16" t="n"/>
      <c r="J35" s="16" t="n"/>
      <c r="K35">
        <f>IF(AND(D35="✅ Compliant",E35="✅ Enabled",F35="✅ Active",G35="Yes",I35="✅ Compliant"),"✅ Compliant",IF(OR(D35="❌ Non-Compliant",E35="❌ Disabled",F35="❌ Not Installed"),"❌ Non-Compliant","⚠ Partial"))</f>
        <v/>
      </c>
      <c r="L35" s="16" t="n"/>
    </row>
    <row r="36">
      <c r="A36">
        <f>Inventory!A36</f>
        <v/>
      </c>
      <c r="B36">
        <f>Inventory!B36</f>
        <v/>
      </c>
      <c r="C36">
        <f>Inventory!C36</f>
        <v/>
      </c>
      <c r="D36" s="16" t="n"/>
      <c r="E36" s="16" t="n"/>
      <c r="F36" s="16" t="n"/>
      <c r="G36" s="16" t="n"/>
      <c r="H36" s="16" t="n"/>
      <c r="I36" s="16" t="n"/>
      <c r="J36" s="16" t="n"/>
      <c r="K36">
        <f>IF(AND(D36="✅ Compliant",E36="✅ Enabled",F36="✅ Active",G36="Yes",I36="✅ Compliant"),"✅ Compliant",IF(OR(D36="❌ Non-Compliant",E36="❌ Disabled",F36="❌ Not Installed"),"❌ Non-Compliant","⚠ Partial"))</f>
        <v/>
      </c>
      <c r="L36" s="16" t="n"/>
    </row>
    <row r="37">
      <c r="A37">
        <f>Inventory!A37</f>
        <v/>
      </c>
      <c r="B37">
        <f>Inventory!B37</f>
        <v/>
      </c>
      <c r="C37">
        <f>Inventory!C37</f>
        <v/>
      </c>
      <c r="D37" s="16" t="n"/>
      <c r="E37" s="16" t="n"/>
      <c r="F37" s="16" t="n"/>
      <c r="G37" s="16" t="n"/>
      <c r="H37" s="16" t="n"/>
      <c r="I37" s="16" t="n"/>
      <c r="J37" s="16" t="n"/>
      <c r="K37">
        <f>IF(AND(D37="✅ Compliant",E37="✅ Enabled",F37="✅ Active",G37="Yes",I37="✅ Compliant"),"✅ Compliant",IF(OR(D37="❌ Non-Compliant",E37="❌ Disabled",F37="❌ Not Installed"),"❌ Non-Compliant","⚠ Partial"))</f>
        <v/>
      </c>
      <c r="L37" s="16" t="n"/>
    </row>
    <row r="38">
      <c r="A38">
        <f>Inventory!A38</f>
        <v/>
      </c>
      <c r="B38">
        <f>Inventory!B38</f>
        <v/>
      </c>
      <c r="C38">
        <f>Inventory!C38</f>
        <v/>
      </c>
      <c r="D38" s="16" t="n"/>
      <c r="E38" s="16" t="n"/>
      <c r="F38" s="16" t="n"/>
      <c r="G38" s="16" t="n"/>
      <c r="H38" s="16" t="n"/>
      <c r="I38" s="16" t="n"/>
      <c r="J38" s="16" t="n"/>
      <c r="K38">
        <f>IF(AND(D38="✅ Compliant",E38="✅ Enabled",F38="✅ Active",G38="Yes",I38="✅ Compliant"),"✅ Compliant",IF(OR(D38="❌ Non-Compliant",E38="❌ Disabled",F38="❌ Not Installed"),"❌ Non-Compliant","⚠ Partial"))</f>
        <v/>
      </c>
      <c r="L38" s="16" t="n"/>
    </row>
    <row r="39">
      <c r="A39">
        <f>Inventory!A39</f>
        <v/>
      </c>
      <c r="B39">
        <f>Inventory!B39</f>
        <v/>
      </c>
      <c r="C39">
        <f>Inventory!C39</f>
        <v/>
      </c>
      <c r="D39" s="16" t="n"/>
      <c r="E39" s="16" t="n"/>
      <c r="F39" s="16" t="n"/>
      <c r="G39" s="16" t="n"/>
      <c r="H39" s="16" t="n"/>
      <c r="I39" s="16" t="n"/>
      <c r="J39" s="16" t="n"/>
      <c r="K39">
        <f>IF(AND(D39="✅ Compliant",E39="✅ Enabled",F39="✅ Active",G39="Yes",I39="✅ Compliant"),"✅ Compliant",IF(OR(D39="❌ Non-Compliant",E39="❌ Disabled",F39="❌ Not Installed"),"❌ Non-Compliant","⚠ Partial"))</f>
        <v/>
      </c>
      <c r="L39" s="16" t="n"/>
    </row>
    <row r="40">
      <c r="A40">
        <f>Inventory!A40</f>
        <v/>
      </c>
      <c r="B40">
        <f>Inventory!B40</f>
        <v/>
      </c>
      <c r="C40">
        <f>Inventory!C40</f>
        <v/>
      </c>
      <c r="D40" s="16" t="n"/>
      <c r="E40" s="16" t="n"/>
      <c r="F40" s="16" t="n"/>
      <c r="G40" s="16" t="n"/>
      <c r="H40" s="16" t="n"/>
      <c r="I40" s="16" t="n"/>
      <c r="J40" s="16" t="n"/>
      <c r="K40">
        <f>IF(AND(D40="✅ Compliant",E40="✅ Enabled",F40="✅ Active",G40="Yes",I40="✅ Compliant"),"✅ Compliant",IF(OR(D40="❌ Non-Compliant",E40="❌ Disabled",F40="❌ Not Installed"),"❌ Non-Compliant","⚠ Partial"))</f>
        <v/>
      </c>
      <c r="L40" s="16" t="n"/>
    </row>
    <row r="41">
      <c r="A41">
        <f>Inventory!A41</f>
        <v/>
      </c>
      <c r="B41">
        <f>Inventory!B41</f>
        <v/>
      </c>
      <c r="C41">
        <f>Inventory!C41</f>
        <v/>
      </c>
      <c r="D41" s="16" t="n"/>
      <c r="E41" s="16" t="n"/>
      <c r="F41" s="16" t="n"/>
      <c r="G41" s="16" t="n"/>
      <c r="H41" s="16" t="n"/>
      <c r="I41" s="16" t="n"/>
      <c r="J41" s="16" t="n"/>
      <c r="K41">
        <f>IF(AND(D41="✅ Compliant",E41="✅ Enabled",F41="✅ Active",G41="Yes",I41="✅ Compliant"),"✅ Compliant",IF(OR(D41="❌ Non-Compliant",E41="❌ Disabled",F41="❌ Not Installed"),"❌ Non-Compliant","⚠ Partial"))</f>
        <v/>
      </c>
      <c r="L41" s="16" t="n"/>
    </row>
    <row r="42">
      <c r="A42">
        <f>Inventory!A42</f>
        <v/>
      </c>
      <c r="B42">
        <f>Inventory!B42</f>
        <v/>
      </c>
      <c r="C42">
        <f>Inventory!C42</f>
        <v/>
      </c>
      <c r="D42" s="16" t="n"/>
      <c r="E42" s="16" t="n"/>
      <c r="F42" s="16" t="n"/>
      <c r="G42" s="16" t="n"/>
      <c r="H42" s="16" t="n"/>
      <c r="I42" s="16" t="n"/>
      <c r="J42" s="16" t="n"/>
      <c r="K42">
        <f>IF(AND(D42="✅ Compliant",E42="✅ Enabled",F42="✅ Active",G42="Yes",I42="✅ Compliant"),"✅ Compliant",IF(OR(D42="❌ Non-Compliant",E42="❌ Disabled",F42="❌ Not Installed"),"❌ Non-Compliant","⚠ Partial"))</f>
        <v/>
      </c>
      <c r="L42" s="16" t="n"/>
    </row>
    <row r="43">
      <c r="A43">
        <f>Inventory!A43</f>
        <v/>
      </c>
      <c r="B43">
        <f>Inventory!B43</f>
        <v/>
      </c>
      <c r="C43">
        <f>Inventory!C43</f>
        <v/>
      </c>
      <c r="D43" s="16" t="n"/>
      <c r="E43" s="16" t="n"/>
      <c r="F43" s="16" t="n"/>
      <c r="G43" s="16" t="n"/>
      <c r="H43" s="16" t="n"/>
      <c r="I43" s="16" t="n"/>
      <c r="J43" s="16" t="n"/>
      <c r="K43">
        <f>IF(AND(D43="✅ Compliant",E43="✅ Enabled",F43="✅ Active",G43="Yes",I43="✅ Compliant"),"✅ Compliant",IF(OR(D43="❌ Non-Compliant",E43="❌ Disabled",F43="❌ Not Installed"),"❌ Non-Compliant","⚠ Partial"))</f>
        <v/>
      </c>
      <c r="L43" s="16" t="n"/>
    </row>
    <row r="44">
      <c r="A44">
        <f>Inventory!A44</f>
        <v/>
      </c>
      <c r="B44">
        <f>Inventory!B44</f>
        <v/>
      </c>
      <c r="C44">
        <f>Inventory!C44</f>
        <v/>
      </c>
      <c r="D44" s="16" t="n"/>
      <c r="E44" s="16" t="n"/>
      <c r="F44" s="16" t="n"/>
      <c r="G44" s="16" t="n"/>
      <c r="H44" s="16" t="n"/>
      <c r="I44" s="16" t="n"/>
      <c r="J44" s="16" t="n"/>
      <c r="K44">
        <f>IF(AND(D44="✅ Compliant",E44="✅ Enabled",F44="✅ Active",G44="Yes",I44="✅ Compliant"),"✅ Compliant",IF(OR(D44="❌ Non-Compliant",E44="❌ Disabled",F44="❌ Not Installed"),"❌ Non-Compliant","⚠ Partial"))</f>
        <v/>
      </c>
      <c r="L44" s="16" t="n"/>
    </row>
    <row r="45">
      <c r="A45">
        <f>Inventory!A45</f>
        <v/>
      </c>
      <c r="B45">
        <f>Inventory!B45</f>
        <v/>
      </c>
      <c r="C45">
        <f>Inventory!C45</f>
        <v/>
      </c>
      <c r="D45" s="16" t="n"/>
      <c r="E45" s="16" t="n"/>
      <c r="F45" s="16" t="n"/>
      <c r="G45" s="16" t="n"/>
      <c r="H45" s="16" t="n"/>
      <c r="I45" s="16" t="n"/>
      <c r="J45" s="16" t="n"/>
      <c r="K45">
        <f>IF(AND(D45="✅ Compliant",E45="✅ Enabled",F45="✅ Active",G45="Yes",I45="✅ Compliant"),"✅ Compliant",IF(OR(D45="❌ Non-Compliant",E45="❌ Disabled",F45="❌ Not Installed"),"❌ Non-Compliant","⚠ Partial"))</f>
        <v/>
      </c>
      <c r="L45" s="16" t="n"/>
    </row>
    <row r="46">
      <c r="A46">
        <f>Inventory!A46</f>
        <v/>
      </c>
      <c r="B46">
        <f>Inventory!B46</f>
        <v/>
      </c>
      <c r="C46">
        <f>Inventory!C46</f>
        <v/>
      </c>
      <c r="D46" s="16" t="n"/>
      <c r="E46" s="16" t="n"/>
      <c r="F46" s="16" t="n"/>
      <c r="G46" s="16" t="n"/>
      <c r="H46" s="16" t="n"/>
      <c r="I46" s="16" t="n"/>
      <c r="J46" s="16" t="n"/>
      <c r="K46">
        <f>IF(AND(D46="✅ Compliant",E46="✅ Enabled",F46="✅ Active",G46="Yes",I46="✅ Compliant"),"✅ Compliant",IF(OR(D46="❌ Non-Compliant",E46="❌ Disabled",F46="❌ Not Installed"),"❌ Non-Compliant","⚠ Partial"))</f>
        <v/>
      </c>
      <c r="L46" s="16" t="n"/>
    </row>
    <row r="47">
      <c r="A47">
        <f>Inventory!A47</f>
        <v/>
      </c>
      <c r="B47">
        <f>Inventory!B47</f>
        <v/>
      </c>
      <c r="C47">
        <f>Inventory!C47</f>
        <v/>
      </c>
      <c r="D47" s="16" t="n"/>
      <c r="E47" s="16" t="n"/>
      <c r="F47" s="16" t="n"/>
      <c r="G47" s="16" t="n"/>
      <c r="H47" s="16" t="n"/>
      <c r="I47" s="16" t="n"/>
      <c r="J47" s="16" t="n"/>
      <c r="K47">
        <f>IF(AND(D47="✅ Compliant",E47="✅ Enabled",F47="✅ Active",G47="Yes",I47="✅ Compliant"),"✅ Compliant",IF(OR(D47="❌ Non-Compliant",E47="❌ Disabled",F47="❌ Not Installed"),"❌ Non-Compliant","⚠ Partial"))</f>
        <v/>
      </c>
      <c r="L47" s="16" t="n"/>
    </row>
    <row r="48">
      <c r="A48">
        <f>Inventory!A48</f>
        <v/>
      </c>
      <c r="B48">
        <f>Inventory!B48</f>
        <v/>
      </c>
      <c r="C48">
        <f>Inventory!C48</f>
        <v/>
      </c>
      <c r="D48" s="16" t="n"/>
      <c r="E48" s="16" t="n"/>
      <c r="F48" s="16" t="n"/>
      <c r="G48" s="16" t="n"/>
      <c r="H48" s="16" t="n"/>
      <c r="I48" s="16" t="n"/>
      <c r="J48" s="16" t="n"/>
      <c r="K48">
        <f>IF(AND(D48="✅ Compliant",E48="✅ Enabled",F48="✅ Active",G48="Yes",I48="✅ Compliant"),"✅ Compliant",IF(OR(D48="❌ Non-Compliant",E48="❌ Disabled",F48="❌ Not Installed"),"❌ Non-Compliant","⚠ Partial"))</f>
        <v/>
      </c>
      <c r="L48" s="16" t="n"/>
    </row>
    <row r="49">
      <c r="A49">
        <f>Inventory!A49</f>
        <v/>
      </c>
      <c r="B49">
        <f>Inventory!B49</f>
        <v/>
      </c>
      <c r="C49">
        <f>Inventory!C49</f>
        <v/>
      </c>
      <c r="D49" s="16" t="n"/>
      <c r="E49" s="16" t="n"/>
      <c r="F49" s="16" t="n"/>
      <c r="G49" s="16" t="n"/>
      <c r="H49" s="16" t="n"/>
      <c r="I49" s="16" t="n"/>
      <c r="J49" s="16" t="n"/>
      <c r="K49">
        <f>IF(AND(D49="✅ Compliant",E49="✅ Enabled",F49="✅ Active",G49="Yes",I49="✅ Compliant"),"✅ Compliant",IF(OR(D49="❌ Non-Compliant",E49="❌ Disabled",F49="❌ Not Installed"),"❌ Non-Compliant","⚠ Partial"))</f>
        <v/>
      </c>
      <c r="L49" s="16" t="n"/>
    </row>
    <row r="50">
      <c r="A50">
        <f>Inventory!A50</f>
        <v/>
      </c>
      <c r="B50">
        <f>Inventory!B50</f>
        <v/>
      </c>
      <c r="C50">
        <f>Inventory!C50</f>
        <v/>
      </c>
      <c r="D50" s="16" t="n"/>
      <c r="E50" s="16" t="n"/>
      <c r="F50" s="16" t="n"/>
      <c r="G50" s="16" t="n"/>
      <c r="H50" s="16" t="n"/>
      <c r="I50" s="16" t="n"/>
      <c r="J50" s="16" t="n"/>
      <c r="K50">
        <f>IF(AND(D50="✅ Compliant",E50="✅ Enabled",F50="✅ Active",G50="Yes",I50="✅ Compliant"),"✅ Compliant",IF(OR(D50="❌ Non-Compliant",E50="❌ Disabled",F50="❌ Not Installed"),"❌ Non-Compliant","⚠ Partial"))</f>
        <v/>
      </c>
      <c r="L50" s="16" t="n"/>
    </row>
    <row r="51">
      <c r="A51">
        <f>Inventory!A51</f>
        <v/>
      </c>
      <c r="B51">
        <f>Inventory!B51</f>
        <v/>
      </c>
      <c r="C51">
        <f>Inventory!C51</f>
        <v/>
      </c>
      <c r="D51" s="16" t="n"/>
      <c r="E51" s="16" t="n"/>
      <c r="F51" s="16" t="n"/>
      <c r="G51" s="16" t="n"/>
      <c r="H51" s="16" t="n"/>
      <c r="I51" s="16" t="n"/>
      <c r="J51" s="16" t="n"/>
      <c r="K51">
        <f>IF(AND(D51="✅ Compliant",E51="✅ Enabled",F51="✅ Active",G51="Yes",I51="✅ Compliant"),"✅ Compliant",IF(OR(D51="❌ Non-Compliant",E51="❌ Disabled",F51="❌ Not Installed"),"❌ Non-Compliant","⚠ Partial"))</f>
        <v/>
      </c>
      <c r="L51" s="16" t="n"/>
    </row>
    <row r="52">
      <c r="A52">
        <f>Inventory!A52</f>
        <v/>
      </c>
      <c r="B52">
        <f>Inventory!B52</f>
        <v/>
      </c>
      <c r="C52">
        <f>Inventory!C52</f>
        <v/>
      </c>
      <c r="D52" s="16" t="n"/>
      <c r="E52" s="16" t="n"/>
      <c r="F52" s="16" t="n"/>
      <c r="G52" s="16" t="n"/>
      <c r="H52" s="16" t="n"/>
      <c r="I52" s="16" t="n"/>
      <c r="J52" s="16" t="n"/>
      <c r="K52">
        <f>IF(AND(D52="✅ Compliant",E52="✅ Enabled",F52="✅ Active",G52="Yes",I52="✅ Compliant"),"✅ Compliant",IF(OR(D52="❌ Non-Compliant",E52="❌ Disabled",F52="❌ Not Installed"),"❌ Non-Compliant","⚠ Partial"))</f>
        <v/>
      </c>
      <c r="L52" s="16" t="n"/>
    </row>
    <row r="53">
      <c r="A53">
        <f>Inventory!A53</f>
        <v/>
      </c>
      <c r="B53">
        <f>Inventory!B53</f>
        <v/>
      </c>
      <c r="C53">
        <f>Inventory!C53</f>
        <v/>
      </c>
      <c r="D53" s="16" t="n"/>
      <c r="E53" s="16" t="n"/>
      <c r="F53" s="16" t="n"/>
      <c r="G53" s="16" t="n"/>
      <c r="H53" s="16" t="n"/>
      <c r="I53" s="16" t="n"/>
      <c r="J53" s="16" t="n"/>
      <c r="K53">
        <f>IF(AND(D53="✅ Compliant",E53="✅ Enabled",F53="✅ Active",G53="Yes",I53="✅ Compliant"),"✅ Compliant",IF(OR(D53="❌ Non-Compliant",E53="❌ Disabled",F53="❌ Not Installed"),"❌ Non-Compliant","⚠ Partial"))</f>
        <v/>
      </c>
      <c r="L53" s="16" t="n"/>
    </row>
    <row r="54">
      <c r="A54">
        <f>Inventory!A54</f>
        <v/>
      </c>
      <c r="B54">
        <f>Inventory!B54</f>
        <v/>
      </c>
      <c r="C54">
        <f>Inventory!C54</f>
        <v/>
      </c>
      <c r="D54" s="16" t="n"/>
      <c r="E54" s="16" t="n"/>
      <c r="F54" s="16" t="n"/>
      <c r="G54" s="16" t="n"/>
      <c r="H54" s="16" t="n"/>
      <c r="I54" s="16" t="n"/>
      <c r="J54" s="16" t="n"/>
      <c r="K54">
        <f>IF(AND(D54="✅ Compliant",E54="✅ Enabled",F54="✅ Active",G54="Yes",I54="✅ Compliant"),"✅ Compliant",IF(OR(D54="❌ Non-Compliant",E54="❌ Disabled",F54="❌ Not Installed"),"❌ Non-Compliant","⚠ Partial"))</f>
        <v/>
      </c>
      <c r="L54" s="16" t="n"/>
    </row>
    <row r="57">
      <c r="A57" s="2" t="inlineStr">
        <is>
          <t>📊 BASELINE COMPLIANCE SUMMARY</t>
        </is>
      </c>
    </row>
    <row r="58">
      <c r="A58" s="3" t="inlineStr">
        <is>
          <t>✅ Fully Compliant:</t>
        </is>
      </c>
      <c r="B58">
        <f>COUNTIF(K5:K54,"✅ Compliant")</f>
        <v/>
      </c>
    </row>
    <row r="59">
      <c r="A59" s="3" t="inlineStr">
        <is>
          <t>⚠ Partially Compliant:</t>
        </is>
      </c>
      <c r="B59">
        <f>COUNTIF(K5:K54,"⚠ Partial")</f>
        <v/>
      </c>
    </row>
    <row r="60">
      <c r="A60" s="3" t="inlineStr">
        <is>
          <t>❌ Non-Compliant:</t>
        </is>
      </c>
      <c r="B60">
        <f>COUNTIF(K5:K54,"❌ Non-Compliant")</f>
        <v/>
      </c>
    </row>
    <row r="61">
      <c r="A61" s="3" t="inlineStr">
        <is>
          <t>Compliance Rate:</t>
        </is>
      </c>
      <c r="B61">
        <f>IF(COUNTA(K5:K54)&gt;0,COUNTIF(K5:K54,"✅ Compliant")/COUNTA(K5:K54)*100,0)&amp;"%"</f>
        <v/>
      </c>
    </row>
  </sheetData>
  <mergeCells count="3">
    <mergeCell ref="A2:L2"/>
    <mergeCell ref="A57:D57"/>
    <mergeCell ref="A1:L1"/>
  </mergeCells>
  <dataValidations count="4">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"Yes,No,Unknown"</formula1>
    </dataValidation>
    <dataValidation sqref="D5 D6 D7 D8 D9 D10 D11 D12 D13 D14 D15 D16 D17 D18 D19 D20 D21 D22 D23 D24 D25 D26 D27 D28 D29 D30 D31 D32 D33 D34 D35 D36 D37 D38 D39 D40 D41 D42 D43 D44 D45 D46 D47 D48 D49 D50 D51 D52 D53 D54 I5 I6 I7 I8 I9 I10 I11 I12 I13 I14 I15 I16 I17 I18 I19 I20 I21 I22 I23 I24 I25 I26 I27 I28 I29 I30 I31 I32 I33 I34 I35 I36 I37 I38 I39 I40 I41 I42 I43 I44 I45 I46 I47 I48 I49 I50 I51 I52 I53 I54" showDropDown="0" showInputMessage="0" showErrorMessage="0" allowBlank="0" type="list">
      <formula1>"✅ Compliant,⚠️ Partial,❌ Non-Compliant,🔄 Remediation in Progress,❓ Unknown"</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 Enabled,❌ Disabled,⚠️ Partial,❓ Unknown"</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 Active,⚠️ Outdated,❌ Not Installed,🔴 Inactive,❓ Unknown"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5"/>
  <sheetViews>
    <sheetView workbookViewId="0">
      <selection activeCell="A1" sqref="A1"/>
    </sheetView>
  </sheetViews>
  <sheetFormatPr baseColWidth="8" defaultRowHeight="15"/>
  <cols>
    <col width="12" customWidth="1" min="1" max="1"/>
    <col width="20" customWidth="1" min="2" max="2"/>
    <col width="18" customWidth="1" min="3" max="3"/>
    <col width="25" customWidth="1" min="4" max="4"/>
    <col width="20" customWidth="1" min="5" max="5"/>
    <col width="18" customWidth="1" min="6" max="6"/>
    <col width="20" customWidth="1" min="7" max="7"/>
    <col width="25" customWidth="1" min="8" max="8"/>
    <col width="15" customWidth="1" min="9" max="9"/>
    <col width="30" customWidth="1" min="10" max="10"/>
  </cols>
  <sheetData>
    <row r="1" ht="25" customHeight="1">
      <c r="A1" s="1" t="inlineStr">
        <is>
          <t>ENDPOINT ENCRYPTION STATUS</t>
        </is>
      </c>
    </row>
    <row r="2">
      <c r="A2" s="2" t="inlineStr">
        <is>
          <t>Encryption technology, status, key management, and recovery procedures per endpoint</t>
        </is>
      </c>
    </row>
    <row r="4">
      <c r="A4" s="5" t="inlineStr">
        <is>
          <t>Device ID</t>
        </is>
      </c>
      <c r="B4" s="5" t="inlineStr">
        <is>
          <t>Hostname</t>
        </is>
      </c>
      <c r="C4" s="5" t="inlineStr">
        <is>
          <t>Device Type</t>
        </is>
      </c>
      <c r="D4" s="5" t="inlineStr">
        <is>
          <t>Encryption Technology</t>
        </is>
      </c>
      <c r="E4" s="5" t="inlineStr">
        <is>
          <t>Encryption Status</t>
        </is>
      </c>
      <c r="F4" s="5" t="inlineStr">
        <is>
          <t>Full Disk Encryption</t>
        </is>
      </c>
      <c r="G4" s="5" t="inlineStr">
        <is>
          <t>Key Escrow/Recovery</t>
        </is>
      </c>
      <c r="H4" s="5" t="inlineStr">
        <is>
          <t>Recovery Key Location</t>
        </is>
      </c>
      <c r="I4" s="5" t="inlineStr">
        <is>
          <t>Last Verified Date</t>
        </is>
      </c>
      <c r="J4" s="5" t="inlineStr">
        <is>
          <t>Notes</t>
        </is>
      </c>
    </row>
    <row r="5">
      <c r="A5">
        <f>Inventory!A5</f>
        <v/>
      </c>
      <c r="B5">
        <f>Inventory!B5</f>
        <v/>
      </c>
      <c r="C5">
        <f>Inventory!C5</f>
        <v/>
      </c>
      <c r="D5" s="16" t="n"/>
      <c r="E5" s="16" t="n"/>
      <c r="F5" s="16" t="n"/>
      <c r="G5" s="16" t="n"/>
      <c r="H5" s="16" t="n"/>
      <c r="I5" s="16" t="n"/>
      <c r="J5" s="16" t="n"/>
    </row>
    <row r="6">
      <c r="A6">
        <f>Inventory!A6</f>
        <v/>
      </c>
      <c r="B6">
        <f>Inventory!B6</f>
        <v/>
      </c>
      <c r="C6">
        <f>Inventory!C6</f>
        <v/>
      </c>
      <c r="D6" s="16" t="n"/>
      <c r="E6" s="16" t="n"/>
      <c r="F6" s="16" t="n"/>
      <c r="G6" s="16" t="n"/>
      <c r="H6" s="16" t="n"/>
      <c r="I6" s="16" t="n"/>
      <c r="J6" s="16" t="n"/>
    </row>
    <row r="7">
      <c r="A7">
        <f>Inventory!A7</f>
        <v/>
      </c>
      <c r="B7">
        <f>Inventory!B7</f>
        <v/>
      </c>
      <c r="C7">
        <f>Inventory!C7</f>
        <v/>
      </c>
      <c r="D7" s="16" t="n"/>
      <c r="E7" s="16" t="n"/>
      <c r="F7" s="16" t="n"/>
      <c r="G7" s="16" t="n"/>
      <c r="H7" s="16" t="n"/>
      <c r="I7" s="16" t="n"/>
      <c r="J7" s="16" t="n"/>
    </row>
    <row r="8">
      <c r="A8">
        <f>Inventory!A8</f>
        <v/>
      </c>
      <c r="B8">
        <f>Inventory!B8</f>
        <v/>
      </c>
      <c r="C8">
        <f>Inventory!C8</f>
        <v/>
      </c>
      <c r="D8" s="16" t="n"/>
      <c r="E8" s="16" t="n"/>
      <c r="F8" s="16" t="n"/>
      <c r="G8" s="16" t="n"/>
      <c r="H8" s="16" t="n"/>
      <c r="I8" s="16" t="n"/>
      <c r="J8" s="16" t="n"/>
    </row>
    <row r="9">
      <c r="A9">
        <f>Inventory!A9</f>
        <v/>
      </c>
      <c r="B9">
        <f>Inventory!B9</f>
        <v/>
      </c>
      <c r="C9">
        <f>Inventory!C9</f>
        <v/>
      </c>
      <c r="D9" s="16" t="n"/>
      <c r="E9" s="16" t="n"/>
      <c r="F9" s="16" t="n"/>
      <c r="G9" s="16" t="n"/>
      <c r="H9" s="16" t="n"/>
      <c r="I9" s="16" t="n"/>
      <c r="J9" s="16" t="n"/>
    </row>
    <row r="10">
      <c r="A10">
        <f>Inventory!A10</f>
        <v/>
      </c>
      <c r="B10">
        <f>Inventory!B10</f>
        <v/>
      </c>
      <c r="C10">
        <f>Inventory!C10</f>
        <v/>
      </c>
      <c r="D10" s="16" t="n"/>
      <c r="E10" s="16" t="n"/>
      <c r="F10" s="16" t="n"/>
      <c r="G10" s="16" t="n"/>
      <c r="H10" s="16" t="n"/>
      <c r="I10" s="16" t="n"/>
      <c r="J10" s="16" t="n"/>
    </row>
    <row r="11">
      <c r="A11">
        <f>Inventory!A11</f>
        <v/>
      </c>
      <c r="B11">
        <f>Inventory!B11</f>
        <v/>
      </c>
      <c r="C11">
        <f>Inventory!C11</f>
        <v/>
      </c>
      <c r="D11" s="16" t="n"/>
      <c r="E11" s="16" t="n"/>
      <c r="F11" s="16" t="n"/>
      <c r="G11" s="16" t="n"/>
      <c r="H11" s="16" t="n"/>
      <c r="I11" s="16" t="n"/>
      <c r="J11" s="16" t="n"/>
    </row>
    <row r="12">
      <c r="A12">
        <f>Inventory!A12</f>
        <v/>
      </c>
      <c r="B12">
        <f>Inventory!B12</f>
        <v/>
      </c>
      <c r="C12">
        <f>Inventory!C12</f>
        <v/>
      </c>
      <c r="D12" s="16" t="n"/>
      <c r="E12" s="16" t="n"/>
      <c r="F12" s="16" t="n"/>
      <c r="G12" s="16" t="n"/>
      <c r="H12" s="16" t="n"/>
      <c r="I12" s="16" t="n"/>
      <c r="J12" s="16" t="n"/>
    </row>
    <row r="13">
      <c r="A13">
        <f>Inventory!A13</f>
        <v/>
      </c>
      <c r="B13">
        <f>Inventory!B13</f>
        <v/>
      </c>
      <c r="C13">
        <f>Inventory!C13</f>
        <v/>
      </c>
      <c r="D13" s="16" t="n"/>
      <c r="E13" s="16" t="n"/>
      <c r="F13" s="16" t="n"/>
      <c r="G13" s="16" t="n"/>
      <c r="H13" s="16" t="n"/>
      <c r="I13" s="16" t="n"/>
      <c r="J13" s="16" t="n"/>
    </row>
    <row r="14">
      <c r="A14">
        <f>Inventory!A14</f>
        <v/>
      </c>
      <c r="B14">
        <f>Inventory!B14</f>
        <v/>
      </c>
      <c r="C14">
        <f>Inventory!C14</f>
        <v/>
      </c>
      <c r="D14" s="16" t="n"/>
      <c r="E14" s="16" t="n"/>
      <c r="F14" s="16" t="n"/>
      <c r="G14" s="16" t="n"/>
      <c r="H14" s="16" t="n"/>
      <c r="I14" s="16" t="n"/>
      <c r="J14" s="16" t="n"/>
    </row>
    <row r="15">
      <c r="A15">
        <f>Inventory!A15</f>
        <v/>
      </c>
      <c r="B15">
        <f>Inventory!B15</f>
        <v/>
      </c>
      <c r="C15">
        <f>Inventory!C15</f>
        <v/>
      </c>
      <c r="D15" s="16" t="n"/>
      <c r="E15" s="16" t="n"/>
      <c r="F15" s="16" t="n"/>
      <c r="G15" s="16" t="n"/>
      <c r="H15" s="16" t="n"/>
      <c r="I15" s="16" t="n"/>
      <c r="J15" s="16" t="n"/>
    </row>
    <row r="16">
      <c r="A16">
        <f>Inventory!A16</f>
        <v/>
      </c>
      <c r="B16">
        <f>Inventory!B16</f>
        <v/>
      </c>
      <c r="C16">
        <f>Inventory!C16</f>
        <v/>
      </c>
      <c r="D16" s="16" t="n"/>
      <c r="E16" s="16" t="n"/>
      <c r="F16" s="16" t="n"/>
      <c r="G16" s="16" t="n"/>
      <c r="H16" s="16" t="n"/>
      <c r="I16" s="16" t="n"/>
      <c r="J16" s="16" t="n"/>
    </row>
    <row r="17">
      <c r="A17">
        <f>Inventory!A17</f>
        <v/>
      </c>
      <c r="B17">
        <f>Inventory!B17</f>
        <v/>
      </c>
      <c r="C17">
        <f>Inventory!C17</f>
        <v/>
      </c>
      <c r="D17" s="16" t="n"/>
      <c r="E17" s="16" t="n"/>
      <c r="F17" s="16" t="n"/>
      <c r="G17" s="16" t="n"/>
      <c r="H17" s="16" t="n"/>
      <c r="I17" s="16" t="n"/>
      <c r="J17" s="16" t="n"/>
    </row>
    <row r="18">
      <c r="A18">
        <f>Inventory!A18</f>
        <v/>
      </c>
      <c r="B18">
        <f>Inventory!B18</f>
        <v/>
      </c>
      <c r="C18">
        <f>Inventory!C18</f>
        <v/>
      </c>
      <c r="D18" s="16" t="n"/>
      <c r="E18" s="16" t="n"/>
      <c r="F18" s="16" t="n"/>
      <c r="G18" s="16" t="n"/>
      <c r="H18" s="16" t="n"/>
      <c r="I18" s="16" t="n"/>
      <c r="J18" s="16" t="n"/>
    </row>
    <row r="19">
      <c r="A19">
        <f>Inventory!A19</f>
        <v/>
      </c>
      <c r="B19">
        <f>Inventory!B19</f>
        <v/>
      </c>
      <c r="C19">
        <f>Inventory!C19</f>
        <v/>
      </c>
      <c r="D19" s="16" t="n"/>
      <c r="E19" s="16" t="n"/>
      <c r="F19" s="16" t="n"/>
      <c r="G19" s="16" t="n"/>
      <c r="H19" s="16" t="n"/>
      <c r="I19" s="16" t="n"/>
      <c r="J19" s="16" t="n"/>
    </row>
    <row r="20">
      <c r="A20">
        <f>Inventory!A20</f>
        <v/>
      </c>
      <c r="B20">
        <f>Inventory!B20</f>
        <v/>
      </c>
      <c r="C20">
        <f>Inventory!C20</f>
        <v/>
      </c>
      <c r="D20" s="16" t="n"/>
      <c r="E20" s="16" t="n"/>
      <c r="F20" s="16" t="n"/>
      <c r="G20" s="16" t="n"/>
      <c r="H20" s="16" t="n"/>
      <c r="I20" s="16" t="n"/>
      <c r="J20" s="16" t="n"/>
    </row>
    <row r="21">
      <c r="A21">
        <f>Inventory!A21</f>
        <v/>
      </c>
      <c r="B21">
        <f>Inventory!B21</f>
        <v/>
      </c>
      <c r="C21">
        <f>Inventory!C21</f>
        <v/>
      </c>
      <c r="D21" s="16" t="n"/>
      <c r="E21" s="16" t="n"/>
      <c r="F21" s="16" t="n"/>
      <c r="G21" s="16" t="n"/>
      <c r="H21" s="16" t="n"/>
      <c r="I21" s="16" t="n"/>
      <c r="J21" s="16" t="n"/>
    </row>
    <row r="22">
      <c r="A22">
        <f>Inventory!A22</f>
        <v/>
      </c>
      <c r="B22">
        <f>Inventory!B22</f>
        <v/>
      </c>
      <c r="C22">
        <f>Inventory!C22</f>
        <v/>
      </c>
      <c r="D22" s="16" t="n"/>
      <c r="E22" s="16" t="n"/>
      <c r="F22" s="16" t="n"/>
      <c r="G22" s="16" t="n"/>
      <c r="H22" s="16" t="n"/>
      <c r="I22" s="16" t="n"/>
      <c r="J22" s="16" t="n"/>
    </row>
    <row r="23">
      <c r="A23">
        <f>Inventory!A23</f>
        <v/>
      </c>
      <c r="B23">
        <f>Inventory!B23</f>
        <v/>
      </c>
      <c r="C23">
        <f>Inventory!C23</f>
        <v/>
      </c>
      <c r="D23" s="16" t="n"/>
      <c r="E23" s="16" t="n"/>
      <c r="F23" s="16" t="n"/>
      <c r="G23" s="16" t="n"/>
      <c r="H23" s="16" t="n"/>
      <c r="I23" s="16" t="n"/>
      <c r="J23" s="16" t="n"/>
    </row>
    <row r="24">
      <c r="A24">
        <f>Inventory!A24</f>
        <v/>
      </c>
      <c r="B24">
        <f>Inventory!B24</f>
        <v/>
      </c>
      <c r="C24">
        <f>Inventory!C24</f>
        <v/>
      </c>
      <c r="D24" s="16" t="n"/>
      <c r="E24" s="16" t="n"/>
      <c r="F24" s="16" t="n"/>
      <c r="G24" s="16" t="n"/>
      <c r="H24" s="16" t="n"/>
      <c r="I24" s="16" t="n"/>
      <c r="J24" s="16" t="n"/>
    </row>
    <row r="25">
      <c r="A25">
        <f>Inventory!A25</f>
        <v/>
      </c>
      <c r="B25">
        <f>Inventory!B25</f>
        <v/>
      </c>
      <c r="C25">
        <f>Inventory!C25</f>
        <v/>
      </c>
      <c r="D25" s="16" t="n"/>
      <c r="E25" s="16" t="n"/>
      <c r="F25" s="16" t="n"/>
      <c r="G25" s="16" t="n"/>
      <c r="H25" s="16" t="n"/>
      <c r="I25" s="16" t="n"/>
      <c r="J25" s="16" t="n"/>
    </row>
    <row r="26">
      <c r="A26">
        <f>Inventory!A26</f>
        <v/>
      </c>
      <c r="B26">
        <f>Inventory!B26</f>
        <v/>
      </c>
      <c r="C26">
        <f>Inventory!C26</f>
        <v/>
      </c>
      <c r="D26" s="16" t="n"/>
      <c r="E26" s="16" t="n"/>
      <c r="F26" s="16" t="n"/>
      <c r="G26" s="16" t="n"/>
      <c r="H26" s="16" t="n"/>
      <c r="I26" s="16" t="n"/>
      <c r="J26" s="16" t="n"/>
    </row>
    <row r="27">
      <c r="A27">
        <f>Inventory!A27</f>
        <v/>
      </c>
      <c r="B27">
        <f>Inventory!B27</f>
        <v/>
      </c>
      <c r="C27">
        <f>Inventory!C27</f>
        <v/>
      </c>
      <c r="D27" s="16" t="n"/>
      <c r="E27" s="16" t="n"/>
      <c r="F27" s="16" t="n"/>
      <c r="G27" s="16" t="n"/>
      <c r="H27" s="16" t="n"/>
      <c r="I27" s="16" t="n"/>
      <c r="J27" s="16" t="n"/>
    </row>
    <row r="28">
      <c r="A28">
        <f>Inventory!A28</f>
        <v/>
      </c>
      <c r="B28">
        <f>Inventory!B28</f>
        <v/>
      </c>
      <c r="C28">
        <f>Inventory!C28</f>
        <v/>
      </c>
      <c r="D28" s="16" t="n"/>
      <c r="E28" s="16" t="n"/>
      <c r="F28" s="16" t="n"/>
      <c r="G28" s="16" t="n"/>
      <c r="H28" s="16" t="n"/>
      <c r="I28" s="16" t="n"/>
      <c r="J28" s="16" t="n"/>
    </row>
    <row r="29">
      <c r="A29">
        <f>Inventory!A29</f>
        <v/>
      </c>
      <c r="B29">
        <f>Inventory!B29</f>
        <v/>
      </c>
      <c r="C29">
        <f>Inventory!C29</f>
        <v/>
      </c>
      <c r="D29" s="16" t="n"/>
      <c r="E29" s="16" t="n"/>
      <c r="F29" s="16" t="n"/>
      <c r="G29" s="16" t="n"/>
      <c r="H29" s="16" t="n"/>
      <c r="I29" s="16" t="n"/>
      <c r="J29" s="16" t="n"/>
    </row>
    <row r="30">
      <c r="A30">
        <f>Inventory!A30</f>
        <v/>
      </c>
      <c r="B30">
        <f>Inventory!B30</f>
        <v/>
      </c>
      <c r="C30">
        <f>Inventory!C30</f>
        <v/>
      </c>
      <c r="D30" s="16" t="n"/>
      <c r="E30" s="16" t="n"/>
      <c r="F30" s="16" t="n"/>
      <c r="G30" s="16" t="n"/>
      <c r="H30" s="16" t="n"/>
      <c r="I30" s="16" t="n"/>
      <c r="J30" s="16" t="n"/>
    </row>
    <row r="31">
      <c r="A31">
        <f>Inventory!A31</f>
        <v/>
      </c>
      <c r="B31">
        <f>Inventory!B31</f>
        <v/>
      </c>
      <c r="C31">
        <f>Inventory!C31</f>
        <v/>
      </c>
      <c r="D31" s="16" t="n"/>
      <c r="E31" s="16" t="n"/>
      <c r="F31" s="16" t="n"/>
      <c r="G31" s="16" t="n"/>
      <c r="H31" s="16" t="n"/>
      <c r="I31" s="16" t="n"/>
      <c r="J31" s="16" t="n"/>
    </row>
    <row r="32">
      <c r="A32">
        <f>Inventory!A32</f>
        <v/>
      </c>
      <c r="B32">
        <f>Inventory!B32</f>
        <v/>
      </c>
      <c r="C32">
        <f>Inventory!C32</f>
        <v/>
      </c>
      <c r="D32" s="16" t="n"/>
      <c r="E32" s="16" t="n"/>
      <c r="F32" s="16" t="n"/>
      <c r="G32" s="16" t="n"/>
      <c r="H32" s="16" t="n"/>
      <c r="I32" s="16" t="n"/>
      <c r="J32" s="16" t="n"/>
    </row>
    <row r="33">
      <c r="A33">
        <f>Inventory!A33</f>
        <v/>
      </c>
      <c r="B33">
        <f>Inventory!B33</f>
        <v/>
      </c>
      <c r="C33">
        <f>Inventory!C33</f>
        <v/>
      </c>
      <c r="D33" s="16" t="n"/>
      <c r="E33" s="16" t="n"/>
      <c r="F33" s="16" t="n"/>
      <c r="G33" s="16" t="n"/>
      <c r="H33" s="16" t="n"/>
      <c r="I33" s="16" t="n"/>
      <c r="J33" s="16" t="n"/>
    </row>
    <row r="34">
      <c r="A34">
        <f>Inventory!A34</f>
        <v/>
      </c>
      <c r="B34">
        <f>Inventory!B34</f>
        <v/>
      </c>
      <c r="C34">
        <f>Inventory!C34</f>
        <v/>
      </c>
      <c r="D34" s="16" t="n"/>
      <c r="E34" s="16" t="n"/>
      <c r="F34" s="16" t="n"/>
      <c r="G34" s="16" t="n"/>
      <c r="H34" s="16" t="n"/>
      <c r="I34" s="16" t="n"/>
      <c r="J34" s="16" t="n"/>
    </row>
    <row r="35">
      <c r="A35">
        <f>Inventory!A35</f>
        <v/>
      </c>
      <c r="B35">
        <f>Inventory!B35</f>
        <v/>
      </c>
      <c r="C35">
        <f>Inventory!C35</f>
        <v/>
      </c>
      <c r="D35" s="16" t="n"/>
      <c r="E35" s="16" t="n"/>
      <c r="F35" s="16" t="n"/>
      <c r="G35" s="16" t="n"/>
      <c r="H35" s="16" t="n"/>
      <c r="I35" s="16" t="n"/>
      <c r="J35" s="16" t="n"/>
    </row>
    <row r="36">
      <c r="A36">
        <f>Inventory!A36</f>
        <v/>
      </c>
      <c r="B36">
        <f>Inventory!B36</f>
        <v/>
      </c>
      <c r="C36">
        <f>Inventory!C36</f>
        <v/>
      </c>
      <c r="D36" s="16" t="n"/>
      <c r="E36" s="16" t="n"/>
      <c r="F36" s="16" t="n"/>
      <c r="G36" s="16" t="n"/>
      <c r="H36" s="16" t="n"/>
      <c r="I36" s="16" t="n"/>
      <c r="J36" s="16" t="n"/>
    </row>
    <row r="37">
      <c r="A37">
        <f>Inventory!A37</f>
        <v/>
      </c>
      <c r="B37">
        <f>Inventory!B37</f>
        <v/>
      </c>
      <c r="C37">
        <f>Inventory!C37</f>
        <v/>
      </c>
      <c r="D37" s="16" t="n"/>
      <c r="E37" s="16" t="n"/>
      <c r="F37" s="16" t="n"/>
      <c r="G37" s="16" t="n"/>
      <c r="H37" s="16" t="n"/>
      <c r="I37" s="16" t="n"/>
      <c r="J37" s="16" t="n"/>
    </row>
    <row r="38">
      <c r="A38">
        <f>Inventory!A38</f>
        <v/>
      </c>
      <c r="B38">
        <f>Inventory!B38</f>
        <v/>
      </c>
      <c r="C38">
        <f>Inventory!C38</f>
        <v/>
      </c>
      <c r="D38" s="16" t="n"/>
      <c r="E38" s="16" t="n"/>
      <c r="F38" s="16" t="n"/>
      <c r="G38" s="16" t="n"/>
      <c r="H38" s="16" t="n"/>
      <c r="I38" s="16" t="n"/>
      <c r="J38" s="16" t="n"/>
    </row>
    <row r="39">
      <c r="A39">
        <f>Inventory!A39</f>
        <v/>
      </c>
      <c r="B39">
        <f>Inventory!B39</f>
        <v/>
      </c>
      <c r="C39">
        <f>Inventory!C39</f>
        <v/>
      </c>
      <c r="D39" s="16" t="n"/>
      <c r="E39" s="16" t="n"/>
      <c r="F39" s="16" t="n"/>
      <c r="G39" s="16" t="n"/>
      <c r="H39" s="16" t="n"/>
      <c r="I39" s="16" t="n"/>
      <c r="J39" s="16" t="n"/>
    </row>
    <row r="40">
      <c r="A40">
        <f>Inventory!A40</f>
        <v/>
      </c>
      <c r="B40">
        <f>Inventory!B40</f>
        <v/>
      </c>
      <c r="C40">
        <f>Inventory!C40</f>
        <v/>
      </c>
      <c r="D40" s="16" t="n"/>
      <c r="E40" s="16" t="n"/>
      <c r="F40" s="16" t="n"/>
      <c r="G40" s="16" t="n"/>
      <c r="H40" s="16" t="n"/>
      <c r="I40" s="16" t="n"/>
      <c r="J40" s="16" t="n"/>
    </row>
    <row r="41">
      <c r="A41">
        <f>Inventory!A41</f>
        <v/>
      </c>
      <c r="B41">
        <f>Inventory!B41</f>
        <v/>
      </c>
      <c r="C41">
        <f>Inventory!C41</f>
        <v/>
      </c>
      <c r="D41" s="16" t="n"/>
      <c r="E41" s="16" t="n"/>
      <c r="F41" s="16" t="n"/>
      <c r="G41" s="16" t="n"/>
      <c r="H41" s="16" t="n"/>
      <c r="I41" s="16" t="n"/>
      <c r="J41" s="16" t="n"/>
    </row>
    <row r="42">
      <c r="A42">
        <f>Inventory!A42</f>
        <v/>
      </c>
      <c r="B42">
        <f>Inventory!B42</f>
        <v/>
      </c>
      <c r="C42">
        <f>Inventory!C42</f>
        <v/>
      </c>
      <c r="D42" s="16" t="n"/>
      <c r="E42" s="16" t="n"/>
      <c r="F42" s="16" t="n"/>
      <c r="G42" s="16" t="n"/>
      <c r="H42" s="16" t="n"/>
      <c r="I42" s="16" t="n"/>
      <c r="J42" s="16" t="n"/>
    </row>
    <row r="43">
      <c r="A43">
        <f>Inventory!A43</f>
        <v/>
      </c>
      <c r="B43">
        <f>Inventory!B43</f>
        <v/>
      </c>
      <c r="C43">
        <f>Inventory!C43</f>
        <v/>
      </c>
      <c r="D43" s="16" t="n"/>
      <c r="E43" s="16" t="n"/>
      <c r="F43" s="16" t="n"/>
      <c r="G43" s="16" t="n"/>
      <c r="H43" s="16" t="n"/>
      <c r="I43" s="16" t="n"/>
      <c r="J43" s="16" t="n"/>
    </row>
    <row r="44">
      <c r="A44">
        <f>Inventory!A44</f>
        <v/>
      </c>
      <c r="B44">
        <f>Inventory!B44</f>
        <v/>
      </c>
      <c r="C44">
        <f>Inventory!C44</f>
        <v/>
      </c>
      <c r="D44" s="16" t="n"/>
      <c r="E44" s="16" t="n"/>
      <c r="F44" s="16" t="n"/>
      <c r="G44" s="16" t="n"/>
      <c r="H44" s="16" t="n"/>
      <c r="I44" s="16" t="n"/>
      <c r="J44" s="16" t="n"/>
    </row>
    <row r="45">
      <c r="A45">
        <f>Inventory!A45</f>
        <v/>
      </c>
      <c r="B45">
        <f>Inventory!B45</f>
        <v/>
      </c>
      <c r="C45">
        <f>Inventory!C45</f>
        <v/>
      </c>
      <c r="D45" s="16" t="n"/>
      <c r="E45" s="16" t="n"/>
      <c r="F45" s="16" t="n"/>
      <c r="G45" s="16" t="n"/>
      <c r="H45" s="16" t="n"/>
      <c r="I45" s="16" t="n"/>
      <c r="J45" s="16" t="n"/>
    </row>
    <row r="46">
      <c r="A46">
        <f>Inventory!A46</f>
        <v/>
      </c>
      <c r="B46">
        <f>Inventory!B46</f>
        <v/>
      </c>
      <c r="C46">
        <f>Inventory!C46</f>
        <v/>
      </c>
      <c r="D46" s="16" t="n"/>
      <c r="E46" s="16" t="n"/>
      <c r="F46" s="16" t="n"/>
      <c r="G46" s="16" t="n"/>
      <c r="H46" s="16" t="n"/>
      <c r="I46" s="16" t="n"/>
      <c r="J46" s="16" t="n"/>
    </row>
    <row r="47">
      <c r="A47">
        <f>Inventory!A47</f>
        <v/>
      </c>
      <c r="B47">
        <f>Inventory!B47</f>
        <v/>
      </c>
      <c r="C47">
        <f>Inventory!C47</f>
        <v/>
      </c>
      <c r="D47" s="16" t="n"/>
      <c r="E47" s="16" t="n"/>
      <c r="F47" s="16" t="n"/>
      <c r="G47" s="16" t="n"/>
      <c r="H47" s="16" t="n"/>
      <c r="I47" s="16" t="n"/>
      <c r="J47" s="16" t="n"/>
    </row>
    <row r="48">
      <c r="A48">
        <f>Inventory!A48</f>
        <v/>
      </c>
      <c r="B48">
        <f>Inventory!B48</f>
        <v/>
      </c>
      <c r="C48">
        <f>Inventory!C48</f>
        <v/>
      </c>
      <c r="D48" s="16" t="n"/>
      <c r="E48" s="16" t="n"/>
      <c r="F48" s="16" t="n"/>
      <c r="G48" s="16" t="n"/>
      <c r="H48" s="16" t="n"/>
      <c r="I48" s="16" t="n"/>
      <c r="J48" s="16" t="n"/>
    </row>
    <row r="49">
      <c r="A49">
        <f>Inventory!A49</f>
        <v/>
      </c>
      <c r="B49">
        <f>Inventory!B49</f>
        <v/>
      </c>
      <c r="C49">
        <f>Inventory!C49</f>
        <v/>
      </c>
      <c r="D49" s="16" t="n"/>
      <c r="E49" s="16" t="n"/>
      <c r="F49" s="16" t="n"/>
      <c r="G49" s="16" t="n"/>
      <c r="H49" s="16" t="n"/>
      <c r="I49" s="16" t="n"/>
      <c r="J49" s="16" t="n"/>
    </row>
    <row r="50">
      <c r="A50">
        <f>Inventory!A50</f>
        <v/>
      </c>
      <c r="B50">
        <f>Inventory!B50</f>
        <v/>
      </c>
      <c r="C50">
        <f>Inventory!C50</f>
        <v/>
      </c>
      <c r="D50" s="16" t="n"/>
      <c r="E50" s="16" t="n"/>
      <c r="F50" s="16" t="n"/>
      <c r="G50" s="16" t="n"/>
      <c r="H50" s="16" t="n"/>
      <c r="I50" s="16" t="n"/>
      <c r="J50" s="16" t="n"/>
    </row>
    <row r="51">
      <c r="A51">
        <f>Inventory!A51</f>
        <v/>
      </c>
      <c r="B51">
        <f>Inventory!B51</f>
        <v/>
      </c>
      <c r="C51">
        <f>Inventory!C51</f>
        <v/>
      </c>
      <c r="D51" s="16" t="n"/>
      <c r="E51" s="16" t="n"/>
      <c r="F51" s="16" t="n"/>
      <c r="G51" s="16" t="n"/>
      <c r="H51" s="16" t="n"/>
      <c r="I51" s="16" t="n"/>
      <c r="J51" s="16" t="n"/>
    </row>
    <row r="52">
      <c r="A52">
        <f>Inventory!A52</f>
        <v/>
      </c>
      <c r="B52">
        <f>Inventory!B52</f>
        <v/>
      </c>
      <c r="C52">
        <f>Inventory!C52</f>
        <v/>
      </c>
      <c r="D52" s="16" t="n"/>
      <c r="E52" s="16" t="n"/>
      <c r="F52" s="16" t="n"/>
      <c r="G52" s="16" t="n"/>
      <c r="H52" s="16" t="n"/>
      <c r="I52" s="16" t="n"/>
      <c r="J52" s="16" t="n"/>
    </row>
    <row r="53">
      <c r="A53">
        <f>Inventory!A53</f>
        <v/>
      </c>
      <c r="B53">
        <f>Inventory!B53</f>
        <v/>
      </c>
      <c r="C53">
        <f>Inventory!C53</f>
        <v/>
      </c>
      <c r="D53" s="16" t="n"/>
      <c r="E53" s="16" t="n"/>
      <c r="F53" s="16" t="n"/>
      <c r="G53" s="16" t="n"/>
      <c r="H53" s="16" t="n"/>
      <c r="I53" s="16" t="n"/>
      <c r="J53" s="16" t="n"/>
    </row>
    <row r="54">
      <c r="A54">
        <f>Inventory!A54</f>
        <v/>
      </c>
      <c r="B54">
        <f>Inventory!B54</f>
        <v/>
      </c>
      <c r="C54">
        <f>Inventory!C54</f>
        <v/>
      </c>
      <c r="D54" s="16" t="n"/>
      <c r="E54" s="16" t="n"/>
      <c r="F54" s="16" t="n"/>
      <c r="G54" s="16" t="n"/>
      <c r="H54" s="16" t="n"/>
      <c r="I54" s="16" t="n"/>
      <c r="J54" s="16" t="n"/>
    </row>
    <row r="57">
      <c r="A57" s="2" t="inlineStr">
        <is>
          <t>📊 ENCRYPTION COVERAGE SUMMARY</t>
        </is>
      </c>
    </row>
    <row r="58">
      <c r="A58" s="3" t="inlineStr">
        <is>
          <t>✅ Encrypted:</t>
        </is>
      </c>
      <c r="B58">
        <f>COUNTIF(E5:E54,"✅ Encrypted")</f>
        <v/>
      </c>
    </row>
    <row r="59">
      <c r="A59" s="3" t="inlineStr">
        <is>
          <t>❌ Not Encrypted:</t>
        </is>
      </c>
      <c r="B59">
        <f>COUNTIF(E5:E54,"❌ Not Encrypted")</f>
        <v/>
      </c>
    </row>
    <row r="60">
      <c r="A60" s="3" t="inlineStr">
        <is>
          <t>Encryption Coverage Rate:</t>
        </is>
      </c>
      <c r="B60">
        <f>IF(COUNTA(E5:E54)&gt;0,COUNTIF(E5:E54,"✅ Encrypted")/COUNTA(E5:E54)*100,0)&amp;"%"</f>
        <v/>
      </c>
    </row>
    <row r="62">
      <c r="A62" t="inlineStr">
        <is>
          <t>BitLocker (Windows):</t>
        </is>
      </c>
      <c r="B62">
        <f>COUNTIF(D5:D54,"BitLocker")</f>
        <v/>
      </c>
    </row>
    <row r="63">
      <c r="A63" t="inlineStr">
        <is>
          <t>FileVault (macOS):</t>
        </is>
      </c>
      <c r="B63">
        <f>COUNTIF(D5:D54,"FileVault")</f>
        <v/>
      </c>
    </row>
    <row r="64">
      <c r="A64" t="inlineStr">
        <is>
          <t>Built-in (iOS/Android):</t>
        </is>
      </c>
      <c r="B64">
        <f>COUNTIF(D5:D54,"Built-in (iOS/Android)")</f>
        <v/>
      </c>
    </row>
    <row r="65">
      <c r="A65" t="inlineStr">
        <is>
          <t>LUKS (Linux):</t>
        </is>
      </c>
      <c r="B65">
        <f>COUNTIF(D5:D54,"LUKS")</f>
        <v/>
      </c>
    </row>
  </sheetData>
  <mergeCells count="3">
    <mergeCell ref="A1:J1"/>
    <mergeCell ref="A57:D57"/>
    <mergeCell ref="A2:J2"/>
  </mergeCells>
  <dataValidations count="4">
    <dataValidation sqref="G5 G6 G7 G8 G9 G10 G11 G12 G13 G14 G15 G16 G17 G18 G19 G20 G21 G22 G23 G24 G25 G26 G27 G28 G29 G30 G31 G32 G33 G34 G35 G36 G37 G38 G39 G40 G41 G42 G43 G44 G45 G46 G47 G48 G49 G50 G51 G52 G53 G54" showDropDown="0" showInputMessage="0" showErrorMessage="0" allowBlank="0" type="list">
      <formula1>"Yes,No,N/A"</formula1>
    </dataValidation>
    <dataValidation sqref="F5 F6 F7 F8 F9 F10 F11 F12 F13 F14 F15 F16 F17 F18 F19 F20 F21 F22 F23 F24 F25 F26 F27 F28 F29 F30 F31 F32 F33 F34 F35 F36 F37 F38 F39 F40 F41 F42 F43 F44 F45 F46 F47 F48 F49 F50 F51 F52 F53 F54" showDropDown="0" showInputMessage="0" showErrorMessage="0" allowBlank="0" type="list">
      <formula1>"Yes,No,Unknown"</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 Encrypted,❌ Not Encrypted,⚠️ Partial,❓ Unknown"</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"BitLocker,FileVault,LUKS,Built-in (iOS/Android),Third-Party,None,Unknown"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6"/>
  <sheetViews>
    <sheetView workbookViewId="0">
      <selection activeCell="A1" sqref="A1"/>
    </sheetView>
  </sheetViews>
  <sheetFormatPr baseColWidth="8" defaultRowHeight="15"/>
  <cols>
    <col width="12" customWidth="1" min="1" max="1"/>
    <col width="20" customWidth="1" min="2" max="2"/>
    <col width="18" customWidth="1" min="3" max="3"/>
    <col width="25" customWidth="1" min="4" max="4"/>
    <col width="20" customWidth="1" min="5" max="5"/>
    <col width="22" customWidth="1" min="6" max="6"/>
    <col width="15" customWidth="1" min="7" max="7"/>
    <col width="18" customWidth="1" min="8" max="8"/>
    <col width="18" customWidth="1" min="9" max="9"/>
    <col width="25" customWidth="1" min="10" max="10"/>
    <col width="30" customWidth="1" min="11" max="11"/>
  </cols>
  <sheetData>
    <row r="1" ht="25" customHeight="1">
      <c r="A1" s="1" t="inlineStr">
        <is>
          <t>ENDPOINT MANAGEMENT ENROLLMENT</t>
        </is>
      </c>
    </row>
    <row r="2">
      <c r="A2" s="2" t="inlineStr">
        <is>
          <t>MDM platform enrollment status, capabilities, and management coverage</t>
        </is>
      </c>
    </row>
    <row r="4">
      <c r="A4" s="5" t="inlineStr">
        <is>
          <t>Device ID</t>
        </is>
      </c>
      <c r="B4" s="5" t="inlineStr">
        <is>
          <t>Hostname</t>
        </is>
      </c>
      <c r="C4" s="5" t="inlineStr">
        <is>
          <t>Device Type</t>
        </is>
      </c>
      <c r="D4" s="5" t="inlineStr">
        <is>
          <t>MDM Platform</t>
        </is>
      </c>
      <c r="E4" s="5" t="inlineStr">
        <is>
          <t>Enrollment Status</t>
        </is>
      </c>
      <c r="F4" s="5" t="inlineStr">
        <is>
          <t>Management Agent Version</t>
        </is>
      </c>
      <c r="G4" s="5" t="inlineStr">
        <is>
          <t>Last Check-In</t>
        </is>
      </c>
      <c r="H4" s="5" t="inlineStr">
        <is>
          <t>Remote Wipe Capable</t>
        </is>
      </c>
      <c r="I4" s="5" t="inlineStr">
        <is>
          <t>Policy Enforcement</t>
        </is>
      </c>
      <c r="J4" s="5" t="inlineStr">
        <is>
          <t>Compliance Policy Applied</t>
        </is>
      </c>
      <c r="K4" s="5" t="inlineStr">
        <is>
          <t>Notes</t>
        </is>
      </c>
    </row>
    <row r="5">
      <c r="A5">
        <f>Inventory!A5</f>
        <v/>
      </c>
      <c r="B5">
        <f>Inventory!B5</f>
        <v/>
      </c>
      <c r="C5">
        <f>Inventory!C5</f>
        <v/>
      </c>
      <c r="D5" s="16" t="n"/>
      <c r="E5" s="16" t="n"/>
      <c r="F5" s="16" t="n"/>
      <c r="G5" s="16" t="n"/>
      <c r="H5" s="16" t="n"/>
      <c r="I5" s="16" t="n"/>
      <c r="J5" s="16" t="n"/>
      <c r="K5" s="16" t="n"/>
    </row>
    <row r="6">
      <c r="A6">
        <f>Inventory!A6</f>
        <v/>
      </c>
      <c r="B6">
        <f>Inventory!B6</f>
        <v/>
      </c>
      <c r="C6">
        <f>Inventory!C6</f>
        <v/>
      </c>
      <c r="D6" s="16" t="n"/>
      <c r="E6" s="16" t="n"/>
      <c r="F6" s="16" t="n"/>
      <c r="G6" s="16" t="n"/>
      <c r="H6" s="16" t="n"/>
      <c r="I6" s="16" t="n"/>
      <c r="J6" s="16" t="n"/>
      <c r="K6" s="16" t="n"/>
    </row>
    <row r="7">
      <c r="A7">
        <f>Inventory!A7</f>
        <v/>
      </c>
      <c r="B7">
        <f>Inventory!B7</f>
        <v/>
      </c>
      <c r="C7">
        <f>Inventory!C7</f>
        <v/>
      </c>
      <c r="D7" s="16" t="n"/>
      <c r="E7" s="16" t="n"/>
      <c r="F7" s="16" t="n"/>
      <c r="G7" s="16" t="n"/>
      <c r="H7" s="16" t="n"/>
      <c r="I7" s="16" t="n"/>
      <c r="J7" s="16" t="n"/>
      <c r="K7" s="16" t="n"/>
    </row>
    <row r="8">
      <c r="A8">
        <f>Inventory!A8</f>
        <v/>
      </c>
      <c r="B8">
        <f>Inventory!B8</f>
        <v/>
      </c>
      <c r="C8">
        <f>Inventory!C8</f>
        <v/>
      </c>
      <c r="D8" s="16" t="n"/>
      <c r="E8" s="16" t="n"/>
      <c r="F8" s="16" t="n"/>
      <c r="G8" s="16" t="n"/>
      <c r="H8" s="16" t="n"/>
      <c r="I8" s="16" t="n"/>
      <c r="J8" s="16" t="n"/>
      <c r="K8" s="16" t="n"/>
    </row>
    <row r="9">
      <c r="A9">
        <f>Inventory!A9</f>
        <v/>
      </c>
      <c r="B9">
        <f>Inventory!B9</f>
        <v/>
      </c>
      <c r="C9">
        <f>Inventory!C9</f>
        <v/>
      </c>
      <c r="D9" s="16" t="n"/>
      <c r="E9" s="16" t="n"/>
      <c r="F9" s="16" t="n"/>
      <c r="G9" s="16" t="n"/>
      <c r="H9" s="16" t="n"/>
      <c r="I9" s="16" t="n"/>
      <c r="J9" s="16" t="n"/>
      <c r="K9" s="16" t="n"/>
    </row>
    <row r="10">
      <c r="A10">
        <f>Inventory!A10</f>
        <v/>
      </c>
      <c r="B10">
        <f>Inventory!B10</f>
        <v/>
      </c>
      <c r="C10">
        <f>Inventory!C10</f>
        <v/>
      </c>
      <c r="D10" s="16" t="n"/>
      <c r="E10" s="16" t="n"/>
      <c r="F10" s="16" t="n"/>
      <c r="G10" s="16" t="n"/>
      <c r="H10" s="16" t="n"/>
      <c r="I10" s="16" t="n"/>
      <c r="J10" s="16" t="n"/>
      <c r="K10" s="16" t="n"/>
    </row>
    <row r="11">
      <c r="A11">
        <f>Inventory!A11</f>
        <v/>
      </c>
      <c r="B11">
        <f>Inventory!B11</f>
        <v/>
      </c>
      <c r="C11">
        <f>Inventory!C11</f>
        <v/>
      </c>
      <c r="D11" s="16" t="n"/>
      <c r="E11" s="16" t="n"/>
      <c r="F11" s="16" t="n"/>
      <c r="G11" s="16" t="n"/>
      <c r="H11" s="16" t="n"/>
      <c r="I11" s="16" t="n"/>
      <c r="J11" s="16" t="n"/>
      <c r="K11" s="16" t="n"/>
    </row>
    <row r="12">
      <c r="A12">
        <f>Inventory!A12</f>
        <v/>
      </c>
      <c r="B12">
        <f>Inventory!B12</f>
        <v/>
      </c>
      <c r="C12">
        <f>Inventory!C12</f>
        <v/>
      </c>
      <c r="D12" s="16" t="n"/>
      <c r="E12" s="16" t="n"/>
      <c r="F12" s="16" t="n"/>
      <c r="G12" s="16" t="n"/>
      <c r="H12" s="16" t="n"/>
      <c r="I12" s="16" t="n"/>
      <c r="J12" s="16" t="n"/>
      <c r="K12" s="16" t="n"/>
    </row>
    <row r="13">
      <c r="A13">
        <f>Inventory!A13</f>
        <v/>
      </c>
      <c r="B13">
        <f>Inventory!B13</f>
        <v/>
      </c>
      <c r="C13">
        <f>Inventory!C13</f>
        <v/>
      </c>
      <c r="D13" s="16" t="n"/>
      <c r="E13" s="16" t="n"/>
      <c r="F13" s="16" t="n"/>
      <c r="G13" s="16" t="n"/>
      <c r="H13" s="16" t="n"/>
      <c r="I13" s="16" t="n"/>
      <c r="J13" s="16" t="n"/>
      <c r="K13" s="16" t="n"/>
    </row>
    <row r="14">
      <c r="A14">
        <f>Inventory!A14</f>
        <v/>
      </c>
      <c r="B14">
        <f>Inventory!B14</f>
        <v/>
      </c>
      <c r="C14">
        <f>Inventory!C14</f>
        <v/>
      </c>
      <c r="D14" s="16" t="n"/>
      <c r="E14" s="16" t="n"/>
      <c r="F14" s="16" t="n"/>
      <c r="G14" s="16" t="n"/>
      <c r="H14" s="16" t="n"/>
      <c r="I14" s="16" t="n"/>
      <c r="J14" s="16" t="n"/>
      <c r="K14" s="16" t="n"/>
    </row>
    <row r="15">
      <c r="A15">
        <f>Inventory!A15</f>
        <v/>
      </c>
      <c r="B15">
        <f>Inventory!B15</f>
        <v/>
      </c>
      <c r="C15">
        <f>Inventory!C15</f>
        <v/>
      </c>
      <c r="D15" s="16" t="n"/>
      <c r="E15" s="16" t="n"/>
      <c r="F15" s="16" t="n"/>
      <c r="G15" s="16" t="n"/>
      <c r="H15" s="16" t="n"/>
      <c r="I15" s="16" t="n"/>
      <c r="J15" s="16" t="n"/>
      <c r="K15" s="16" t="n"/>
    </row>
    <row r="16">
      <c r="A16">
        <f>Inventory!A16</f>
        <v/>
      </c>
      <c r="B16">
        <f>Inventory!B16</f>
        <v/>
      </c>
      <c r="C16">
        <f>Inventory!C16</f>
        <v/>
      </c>
      <c r="D16" s="16" t="n"/>
      <c r="E16" s="16" t="n"/>
      <c r="F16" s="16" t="n"/>
      <c r="G16" s="16" t="n"/>
      <c r="H16" s="16" t="n"/>
      <c r="I16" s="16" t="n"/>
      <c r="J16" s="16" t="n"/>
      <c r="K16" s="16" t="n"/>
    </row>
    <row r="17">
      <c r="A17">
        <f>Inventory!A17</f>
        <v/>
      </c>
      <c r="B17">
        <f>Inventory!B17</f>
        <v/>
      </c>
      <c r="C17">
        <f>Inventory!C17</f>
        <v/>
      </c>
      <c r="D17" s="16" t="n"/>
      <c r="E17" s="16" t="n"/>
      <c r="F17" s="16" t="n"/>
      <c r="G17" s="16" t="n"/>
      <c r="H17" s="16" t="n"/>
      <c r="I17" s="16" t="n"/>
      <c r="J17" s="16" t="n"/>
      <c r="K17" s="16" t="n"/>
    </row>
    <row r="18">
      <c r="A18">
        <f>Inventory!A18</f>
        <v/>
      </c>
      <c r="B18">
        <f>Inventory!B18</f>
        <v/>
      </c>
      <c r="C18">
        <f>Inventory!C18</f>
        <v/>
      </c>
      <c r="D18" s="16" t="n"/>
      <c r="E18" s="16" t="n"/>
      <c r="F18" s="16" t="n"/>
      <c r="G18" s="16" t="n"/>
      <c r="H18" s="16" t="n"/>
      <c r="I18" s="16" t="n"/>
      <c r="J18" s="16" t="n"/>
      <c r="K18" s="16" t="n"/>
    </row>
    <row r="19">
      <c r="A19">
        <f>Inventory!A19</f>
        <v/>
      </c>
      <c r="B19">
        <f>Inventory!B19</f>
        <v/>
      </c>
      <c r="C19">
        <f>Inventory!C19</f>
        <v/>
      </c>
      <c r="D19" s="16" t="n"/>
      <c r="E19" s="16" t="n"/>
      <c r="F19" s="16" t="n"/>
      <c r="G19" s="16" t="n"/>
      <c r="H19" s="16" t="n"/>
      <c r="I19" s="16" t="n"/>
      <c r="J19" s="16" t="n"/>
      <c r="K19" s="16" t="n"/>
    </row>
    <row r="20">
      <c r="A20">
        <f>Inventory!A20</f>
        <v/>
      </c>
      <c r="B20">
        <f>Inventory!B20</f>
        <v/>
      </c>
      <c r="C20">
        <f>Inventory!C20</f>
        <v/>
      </c>
      <c r="D20" s="16" t="n"/>
      <c r="E20" s="16" t="n"/>
      <c r="F20" s="16" t="n"/>
      <c r="G20" s="16" t="n"/>
      <c r="H20" s="16" t="n"/>
      <c r="I20" s="16" t="n"/>
      <c r="J20" s="16" t="n"/>
      <c r="K20" s="16" t="n"/>
    </row>
    <row r="21">
      <c r="A21">
        <f>Inventory!A21</f>
        <v/>
      </c>
      <c r="B21">
        <f>Inventory!B21</f>
        <v/>
      </c>
      <c r="C21">
        <f>Inventory!C21</f>
        <v/>
      </c>
      <c r="D21" s="16" t="n"/>
      <c r="E21" s="16" t="n"/>
      <c r="F21" s="16" t="n"/>
      <c r="G21" s="16" t="n"/>
      <c r="H21" s="16" t="n"/>
      <c r="I21" s="16" t="n"/>
      <c r="J21" s="16" t="n"/>
      <c r="K21" s="16" t="n"/>
    </row>
    <row r="22">
      <c r="A22">
        <f>Inventory!A22</f>
        <v/>
      </c>
      <c r="B22">
        <f>Inventory!B22</f>
        <v/>
      </c>
      <c r="C22">
        <f>Inventory!C22</f>
        <v/>
      </c>
      <c r="D22" s="16" t="n"/>
      <c r="E22" s="16" t="n"/>
      <c r="F22" s="16" t="n"/>
      <c r="G22" s="16" t="n"/>
      <c r="H22" s="16" t="n"/>
      <c r="I22" s="16" t="n"/>
      <c r="J22" s="16" t="n"/>
      <c r="K22" s="16" t="n"/>
    </row>
    <row r="23">
      <c r="A23">
        <f>Inventory!A23</f>
        <v/>
      </c>
      <c r="B23">
        <f>Inventory!B23</f>
        <v/>
      </c>
      <c r="C23">
        <f>Inventory!C23</f>
        <v/>
      </c>
      <c r="D23" s="16" t="n"/>
      <c r="E23" s="16" t="n"/>
      <c r="F23" s="16" t="n"/>
      <c r="G23" s="16" t="n"/>
      <c r="H23" s="16" t="n"/>
      <c r="I23" s="16" t="n"/>
      <c r="J23" s="16" t="n"/>
      <c r="K23" s="16" t="n"/>
    </row>
    <row r="24">
      <c r="A24">
        <f>Inventory!A24</f>
        <v/>
      </c>
      <c r="B24">
        <f>Inventory!B24</f>
        <v/>
      </c>
      <c r="C24">
        <f>Inventory!C24</f>
        <v/>
      </c>
      <c r="D24" s="16" t="n"/>
      <c r="E24" s="16" t="n"/>
      <c r="F24" s="16" t="n"/>
      <c r="G24" s="16" t="n"/>
      <c r="H24" s="16" t="n"/>
      <c r="I24" s="16" t="n"/>
      <c r="J24" s="16" t="n"/>
      <c r="K24" s="16" t="n"/>
    </row>
    <row r="25">
      <c r="A25">
        <f>Inventory!A25</f>
        <v/>
      </c>
      <c r="B25">
        <f>Inventory!B25</f>
        <v/>
      </c>
      <c r="C25">
        <f>Inventory!C25</f>
        <v/>
      </c>
      <c r="D25" s="16" t="n"/>
      <c r="E25" s="16" t="n"/>
      <c r="F25" s="16" t="n"/>
      <c r="G25" s="16" t="n"/>
      <c r="H25" s="16" t="n"/>
      <c r="I25" s="16" t="n"/>
      <c r="J25" s="16" t="n"/>
      <c r="K25" s="16" t="n"/>
    </row>
    <row r="26">
      <c r="A26">
        <f>Inventory!A26</f>
        <v/>
      </c>
      <c r="B26">
        <f>Inventory!B26</f>
        <v/>
      </c>
      <c r="C26">
        <f>Inventory!C26</f>
        <v/>
      </c>
      <c r="D26" s="16" t="n"/>
      <c r="E26" s="16" t="n"/>
      <c r="F26" s="16" t="n"/>
      <c r="G26" s="16" t="n"/>
      <c r="H26" s="16" t="n"/>
      <c r="I26" s="16" t="n"/>
      <c r="J26" s="16" t="n"/>
      <c r="K26" s="16" t="n"/>
    </row>
    <row r="27">
      <c r="A27">
        <f>Inventory!A27</f>
        <v/>
      </c>
      <c r="B27">
        <f>Inventory!B27</f>
        <v/>
      </c>
      <c r="C27">
        <f>Inventory!C27</f>
        <v/>
      </c>
      <c r="D27" s="16" t="n"/>
      <c r="E27" s="16" t="n"/>
      <c r="F27" s="16" t="n"/>
      <c r="G27" s="16" t="n"/>
      <c r="H27" s="16" t="n"/>
      <c r="I27" s="16" t="n"/>
      <c r="J27" s="16" t="n"/>
      <c r="K27" s="16" t="n"/>
    </row>
    <row r="28">
      <c r="A28">
        <f>Inventory!A28</f>
        <v/>
      </c>
      <c r="B28">
        <f>Inventory!B28</f>
        <v/>
      </c>
      <c r="C28">
        <f>Inventory!C28</f>
        <v/>
      </c>
      <c r="D28" s="16" t="n"/>
      <c r="E28" s="16" t="n"/>
      <c r="F28" s="16" t="n"/>
      <c r="G28" s="16" t="n"/>
      <c r="H28" s="16" t="n"/>
      <c r="I28" s="16" t="n"/>
      <c r="J28" s="16" t="n"/>
      <c r="K28" s="16" t="n"/>
    </row>
    <row r="29">
      <c r="A29">
        <f>Inventory!A29</f>
        <v/>
      </c>
      <c r="B29">
        <f>Inventory!B29</f>
        <v/>
      </c>
      <c r="C29">
        <f>Inventory!C29</f>
        <v/>
      </c>
      <c r="D29" s="16" t="n"/>
      <c r="E29" s="16" t="n"/>
      <c r="F29" s="16" t="n"/>
      <c r="G29" s="16" t="n"/>
      <c r="H29" s="16" t="n"/>
      <c r="I29" s="16" t="n"/>
      <c r="J29" s="16" t="n"/>
      <c r="K29" s="16" t="n"/>
    </row>
    <row r="30">
      <c r="A30">
        <f>Inventory!A30</f>
        <v/>
      </c>
      <c r="B30">
        <f>Inventory!B30</f>
        <v/>
      </c>
      <c r="C30">
        <f>Inventory!C30</f>
        <v/>
      </c>
      <c r="D30" s="16" t="n"/>
      <c r="E30" s="16" t="n"/>
      <c r="F30" s="16" t="n"/>
      <c r="G30" s="16" t="n"/>
      <c r="H30" s="16" t="n"/>
      <c r="I30" s="16" t="n"/>
      <c r="J30" s="16" t="n"/>
      <c r="K30" s="16" t="n"/>
    </row>
    <row r="31">
      <c r="A31">
        <f>Inventory!A31</f>
        <v/>
      </c>
      <c r="B31">
        <f>Inventory!B31</f>
        <v/>
      </c>
      <c r="C31">
        <f>Inventory!C31</f>
        <v/>
      </c>
      <c r="D31" s="16" t="n"/>
      <c r="E31" s="16" t="n"/>
      <c r="F31" s="16" t="n"/>
      <c r="G31" s="16" t="n"/>
      <c r="H31" s="16" t="n"/>
      <c r="I31" s="16" t="n"/>
      <c r="J31" s="16" t="n"/>
      <c r="K31" s="16" t="n"/>
    </row>
    <row r="32">
      <c r="A32">
        <f>Inventory!A32</f>
        <v/>
      </c>
      <c r="B32">
        <f>Inventory!B32</f>
        <v/>
      </c>
      <c r="C32">
        <f>Inventory!C32</f>
        <v/>
      </c>
      <c r="D32" s="16" t="n"/>
      <c r="E32" s="16" t="n"/>
      <c r="F32" s="16" t="n"/>
      <c r="G32" s="16" t="n"/>
      <c r="H32" s="16" t="n"/>
      <c r="I32" s="16" t="n"/>
      <c r="J32" s="16" t="n"/>
      <c r="K32" s="16" t="n"/>
    </row>
    <row r="33">
      <c r="A33">
        <f>Inventory!A33</f>
        <v/>
      </c>
      <c r="B33">
        <f>Inventory!B33</f>
        <v/>
      </c>
      <c r="C33">
        <f>Inventory!C33</f>
        <v/>
      </c>
      <c r="D33" s="16" t="n"/>
      <c r="E33" s="16" t="n"/>
      <c r="F33" s="16" t="n"/>
      <c r="G33" s="16" t="n"/>
      <c r="H33" s="16" t="n"/>
      <c r="I33" s="16" t="n"/>
      <c r="J33" s="16" t="n"/>
      <c r="K33" s="16" t="n"/>
    </row>
    <row r="34">
      <c r="A34">
        <f>Inventory!A34</f>
        <v/>
      </c>
      <c r="B34">
        <f>Inventory!B34</f>
        <v/>
      </c>
      <c r="C34">
        <f>Inventory!C34</f>
        <v/>
      </c>
      <c r="D34" s="16" t="n"/>
      <c r="E34" s="16" t="n"/>
      <c r="F34" s="16" t="n"/>
      <c r="G34" s="16" t="n"/>
      <c r="H34" s="16" t="n"/>
      <c r="I34" s="16" t="n"/>
      <c r="J34" s="16" t="n"/>
      <c r="K34" s="16" t="n"/>
    </row>
    <row r="35">
      <c r="A35">
        <f>Inventory!A35</f>
        <v/>
      </c>
      <c r="B35">
        <f>Inventory!B35</f>
        <v/>
      </c>
      <c r="C35">
        <f>Inventory!C35</f>
        <v/>
      </c>
      <c r="D35" s="16" t="n"/>
      <c r="E35" s="16" t="n"/>
      <c r="F35" s="16" t="n"/>
      <c r="G35" s="16" t="n"/>
      <c r="H35" s="16" t="n"/>
      <c r="I35" s="16" t="n"/>
      <c r="J35" s="16" t="n"/>
      <c r="K35" s="16" t="n"/>
    </row>
    <row r="36">
      <c r="A36">
        <f>Inventory!A36</f>
        <v/>
      </c>
      <c r="B36">
        <f>Inventory!B36</f>
        <v/>
      </c>
      <c r="C36">
        <f>Inventory!C36</f>
        <v/>
      </c>
      <c r="D36" s="16" t="n"/>
      <c r="E36" s="16" t="n"/>
      <c r="F36" s="16" t="n"/>
      <c r="G36" s="16" t="n"/>
      <c r="H36" s="16" t="n"/>
      <c r="I36" s="16" t="n"/>
      <c r="J36" s="16" t="n"/>
      <c r="K36" s="16" t="n"/>
    </row>
    <row r="37">
      <c r="A37">
        <f>Inventory!A37</f>
        <v/>
      </c>
      <c r="B37">
        <f>Inventory!B37</f>
        <v/>
      </c>
      <c r="C37">
        <f>Inventory!C37</f>
        <v/>
      </c>
      <c r="D37" s="16" t="n"/>
      <c r="E37" s="16" t="n"/>
      <c r="F37" s="16" t="n"/>
      <c r="G37" s="16" t="n"/>
      <c r="H37" s="16" t="n"/>
      <c r="I37" s="16" t="n"/>
      <c r="J37" s="16" t="n"/>
      <c r="K37" s="16" t="n"/>
    </row>
    <row r="38">
      <c r="A38">
        <f>Inventory!A38</f>
        <v/>
      </c>
      <c r="B38">
        <f>Inventory!B38</f>
        <v/>
      </c>
      <c r="C38">
        <f>Inventory!C38</f>
        <v/>
      </c>
      <c r="D38" s="16" t="n"/>
      <c r="E38" s="16" t="n"/>
      <c r="F38" s="16" t="n"/>
      <c r="G38" s="16" t="n"/>
      <c r="H38" s="16" t="n"/>
      <c r="I38" s="16" t="n"/>
      <c r="J38" s="16" t="n"/>
      <c r="K38" s="16" t="n"/>
    </row>
    <row r="39">
      <c r="A39">
        <f>Inventory!A39</f>
        <v/>
      </c>
      <c r="B39">
        <f>Inventory!B39</f>
        <v/>
      </c>
      <c r="C39">
        <f>Inventory!C39</f>
        <v/>
      </c>
      <c r="D39" s="16" t="n"/>
      <c r="E39" s="16" t="n"/>
      <c r="F39" s="16" t="n"/>
      <c r="G39" s="16" t="n"/>
      <c r="H39" s="16" t="n"/>
      <c r="I39" s="16" t="n"/>
      <c r="J39" s="16" t="n"/>
      <c r="K39" s="16" t="n"/>
    </row>
    <row r="40">
      <c r="A40">
        <f>Inventory!A40</f>
        <v/>
      </c>
      <c r="B40">
        <f>Inventory!B40</f>
        <v/>
      </c>
      <c r="C40">
        <f>Inventory!C40</f>
        <v/>
      </c>
      <c r="D40" s="16" t="n"/>
      <c r="E40" s="16" t="n"/>
      <c r="F40" s="16" t="n"/>
      <c r="G40" s="16" t="n"/>
      <c r="H40" s="16" t="n"/>
      <c r="I40" s="16" t="n"/>
      <c r="J40" s="16" t="n"/>
      <c r="K40" s="16" t="n"/>
    </row>
    <row r="41">
      <c r="A41">
        <f>Inventory!A41</f>
        <v/>
      </c>
      <c r="B41">
        <f>Inventory!B41</f>
        <v/>
      </c>
      <c r="C41">
        <f>Inventory!C41</f>
        <v/>
      </c>
      <c r="D41" s="16" t="n"/>
      <c r="E41" s="16" t="n"/>
      <c r="F41" s="16" t="n"/>
      <c r="G41" s="16" t="n"/>
      <c r="H41" s="16" t="n"/>
      <c r="I41" s="16" t="n"/>
      <c r="J41" s="16" t="n"/>
      <c r="K41" s="16" t="n"/>
    </row>
    <row r="42">
      <c r="A42">
        <f>Inventory!A42</f>
        <v/>
      </c>
      <c r="B42">
        <f>Inventory!B42</f>
        <v/>
      </c>
      <c r="C42">
        <f>Inventory!C42</f>
        <v/>
      </c>
      <c r="D42" s="16" t="n"/>
      <c r="E42" s="16" t="n"/>
      <c r="F42" s="16" t="n"/>
      <c r="G42" s="16" t="n"/>
      <c r="H42" s="16" t="n"/>
      <c r="I42" s="16" t="n"/>
      <c r="J42" s="16" t="n"/>
      <c r="K42" s="16" t="n"/>
    </row>
    <row r="43">
      <c r="A43">
        <f>Inventory!A43</f>
        <v/>
      </c>
      <c r="B43">
        <f>Inventory!B43</f>
        <v/>
      </c>
      <c r="C43">
        <f>Inventory!C43</f>
        <v/>
      </c>
      <c r="D43" s="16" t="n"/>
      <c r="E43" s="16" t="n"/>
      <c r="F43" s="16" t="n"/>
      <c r="G43" s="16" t="n"/>
      <c r="H43" s="16" t="n"/>
      <c r="I43" s="16" t="n"/>
      <c r="J43" s="16" t="n"/>
      <c r="K43" s="16" t="n"/>
    </row>
    <row r="44">
      <c r="A44">
        <f>Inventory!A44</f>
        <v/>
      </c>
      <c r="B44">
        <f>Inventory!B44</f>
        <v/>
      </c>
      <c r="C44">
        <f>Inventory!C44</f>
        <v/>
      </c>
      <c r="D44" s="16" t="n"/>
      <c r="E44" s="16" t="n"/>
      <c r="F44" s="16" t="n"/>
      <c r="G44" s="16" t="n"/>
      <c r="H44" s="16" t="n"/>
      <c r="I44" s="16" t="n"/>
      <c r="J44" s="16" t="n"/>
      <c r="K44" s="16" t="n"/>
    </row>
    <row r="45">
      <c r="A45">
        <f>Inventory!A45</f>
        <v/>
      </c>
      <c r="B45">
        <f>Inventory!B45</f>
        <v/>
      </c>
      <c r="C45">
        <f>Inventory!C45</f>
        <v/>
      </c>
      <c r="D45" s="16" t="n"/>
      <c r="E45" s="16" t="n"/>
      <c r="F45" s="16" t="n"/>
      <c r="G45" s="16" t="n"/>
      <c r="H45" s="16" t="n"/>
      <c r="I45" s="16" t="n"/>
      <c r="J45" s="16" t="n"/>
      <c r="K45" s="16" t="n"/>
    </row>
    <row r="46">
      <c r="A46">
        <f>Inventory!A46</f>
        <v/>
      </c>
      <c r="B46">
        <f>Inventory!B46</f>
        <v/>
      </c>
      <c r="C46">
        <f>Inventory!C46</f>
        <v/>
      </c>
      <c r="D46" s="16" t="n"/>
      <c r="E46" s="16" t="n"/>
      <c r="F46" s="16" t="n"/>
      <c r="G46" s="16" t="n"/>
      <c r="H46" s="16" t="n"/>
      <c r="I46" s="16" t="n"/>
      <c r="J46" s="16" t="n"/>
      <c r="K46" s="16" t="n"/>
    </row>
    <row r="47">
      <c r="A47">
        <f>Inventory!A47</f>
        <v/>
      </c>
      <c r="B47">
        <f>Inventory!B47</f>
        <v/>
      </c>
      <c r="C47">
        <f>Inventory!C47</f>
        <v/>
      </c>
      <c r="D47" s="16" t="n"/>
      <c r="E47" s="16" t="n"/>
      <c r="F47" s="16" t="n"/>
      <c r="G47" s="16" t="n"/>
      <c r="H47" s="16" t="n"/>
      <c r="I47" s="16" t="n"/>
      <c r="J47" s="16" t="n"/>
      <c r="K47" s="16" t="n"/>
    </row>
    <row r="48">
      <c r="A48">
        <f>Inventory!A48</f>
        <v/>
      </c>
      <c r="B48">
        <f>Inventory!B48</f>
        <v/>
      </c>
      <c r="C48">
        <f>Inventory!C48</f>
        <v/>
      </c>
      <c r="D48" s="16" t="n"/>
      <c r="E48" s="16" t="n"/>
      <c r="F48" s="16" t="n"/>
      <c r="G48" s="16" t="n"/>
      <c r="H48" s="16" t="n"/>
      <c r="I48" s="16" t="n"/>
      <c r="J48" s="16" t="n"/>
      <c r="K48" s="16" t="n"/>
    </row>
    <row r="49">
      <c r="A49">
        <f>Inventory!A49</f>
        <v/>
      </c>
      <c r="B49">
        <f>Inventory!B49</f>
        <v/>
      </c>
      <c r="C49">
        <f>Inventory!C49</f>
        <v/>
      </c>
      <c r="D49" s="16" t="n"/>
      <c r="E49" s="16" t="n"/>
      <c r="F49" s="16" t="n"/>
      <c r="G49" s="16" t="n"/>
      <c r="H49" s="16" t="n"/>
      <c r="I49" s="16" t="n"/>
      <c r="J49" s="16" t="n"/>
      <c r="K49" s="16" t="n"/>
    </row>
    <row r="50">
      <c r="A50">
        <f>Inventory!A50</f>
        <v/>
      </c>
      <c r="B50">
        <f>Inventory!B50</f>
        <v/>
      </c>
      <c r="C50">
        <f>Inventory!C50</f>
        <v/>
      </c>
      <c r="D50" s="16" t="n"/>
      <c r="E50" s="16" t="n"/>
      <c r="F50" s="16" t="n"/>
      <c r="G50" s="16" t="n"/>
      <c r="H50" s="16" t="n"/>
      <c r="I50" s="16" t="n"/>
      <c r="J50" s="16" t="n"/>
      <c r="K50" s="16" t="n"/>
    </row>
    <row r="51">
      <c r="A51">
        <f>Inventory!A51</f>
        <v/>
      </c>
      <c r="B51">
        <f>Inventory!B51</f>
        <v/>
      </c>
      <c r="C51">
        <f>Inventory!C51</f>
        <v/>
      </c>
      <c r="D51" s="16" t="n"/>
      <c r="E51" s="16" t="n"/>
      <c r="F51" s="16" t="n"/>
      <c r="G51" s="16" t="n"/>
      <c r="H51" s="16" t="n"/>
      <c r="I51" s="16" t="n"/>
      <c r="J51" s="16" t="n"/>
      <c r="K51" s="16" t="n"/>
    </row>
    <row r="52">
      <c r="A52">
        <f>Inventory!A52</f>
        <v/>
      </c>
      <c r="B52">
        <f>Inventory!B52</f>
        <v/>
      </c>
      <c r="C52">
        <f>Inventory!C52</f>
        <v/>
      </c>
      <c r="D52" s="16" t="n"/>
      <c r="E52" s="16" t="n"/>
      <c r="F52" s="16" t="n"/>
      <c r="G52" s="16" t="n"/>
      <c r="H52" s="16" t="n"/>
      <c r="I52" s="16" t="n"/>
      <c r="J52" s="16" t="n"/>
      <c r="K52" s="16" t="n"/>
    </row>
    <row r="53">
      <c r="A53">
        <f>Inventory!A53</f>
        <v/>
      </c>
      <c r="B53">
        <f>Inventory!B53</f>
        <v/>
      </c>
      <c r="C53">
        <f>Inventory!C53</f>
        <v/>
      </c>
      <c r="D53" s="16" t="n"/>
      <c r="E53" s="16" t="n"/>
      <c r="F53" s="16" t="n"/>
      <c r="G53" s="16" t="n"/>
      <c r="H53" s="16" t="n"/>
      <c r="I53" s="16" t="n"/>
      <c r="J53" s="16" t="n"/>
      <c r="K53" s="16" t="n"/>
    </row>
    <row r="54">
      <c r="A54">
        <f>Inventory!A54</f>
        <v/>
      </c>
      <c r="B54">
        <f>Inventory!B54</f>
        <v/>
      </c>
      <c r="C54">
        <f>Inventory!C54</f>
        <v/>
      </c>
      <c r="D54" s="16" t="n"/>
      <c r="E54" s="16" t="n"/>
      <c r="F54" s="16" t="n"/>
      <c r="G54" s="16" t="n"/>
      <c r="H54" s="16" t="n"/>
      <c r="I54" s="16" t="n"/>
      <c r="J54" s="16" t="n"/>
      <c r="K54" s="16" t="n"/>
    </row>
    <row r="57">
      <c r="A57" s="2" t="inlineStr">
        <is>
          <t>📊 MANAGEMENT ENROLLMENT SUMMARY</t>
        </is>
      </c>
    </row>
    <row r="58">
      <c r="A58" s="3" t="inlineStr">
        <is>
          <t>✅ Enrolled:</t>
        </is>
      </c>
      <c r="B58">
        <f>COUNTIF(E5:E54,"✅ Enrolled")</f>
        <v/>
      </c>
    </row>
    <row r="59">
      <c r="A59" s="3" t="inlineStr">
        <is>
          <t>❌ Not Enrolled:</t>
        </is>
      </c>
      <c r="B59">
        <f>COUNTIF(E5:E54,"❌ Not Enrolled")</f>
        <v/>
      </c>
    </row>
    <row r="60">
      <c r="A60" s="3" t="inlineStr">
        <is>
          <t>Enrollment Rate:</t>
        </is>
      </c>
      <c r="B60">
        <f>IF(COUNTA(E5:E54)&gt;0,COUNTIF(E5:E54,"✅ Enrolled")/COUNTA(E5:E54)*100,0)&amp;"%"</f>
        <v/>
      </c>
    </row>
    <row r="62">
      <c r="A62" s="3" t="inlineStr">
        <is>
          <t>By MDM Platform:</t>
        </is>
      </c>
    </row>
    <row r="63">
      <c r="A63" t="inlineStr">
        <is>
          <t>Microsoft Intune:</t>
        </is>
      </c>
      <c r="B63">
        <f>COUNTIF(D5:D54,"Microsoft Intune")</f>
        <v/>
      </c>
    </row>
    <row r="64">
      <c r="A64" t="inlineStr">
        <is>
          <t>Jamf Pro:</t>
        </is>
      </c>
      <c r="B64">
        <f>COUNTIF(D5:D54,"Jamf Pro")</f>
        <v/>
      </c>
    </row>
    <row r="65">
      <c r="A65" t="inlineStr">
        <is>
          <t>SCCM:</t>
        </is>
      </c>
      <c r="B65">
        <f>COUNTIF(D5:D54,"SCCM")</f>
        <v/>
      </c>
    </row>
    <row r="66">
      <c r="A66" t="inlineStr">
        <is>
          <t>None:</t>
        </is>
      </c>
      <c r="B66">
        <f>COUNTIF(D5:D54,"None")</f>
        <v/>
      </c>
    </row>
  </sheetData>
  <mergeCells count="3">
    <mergeCell ref="A2:K2"/>
    <mergeCell ref="A1:K1"/>
    <mergeCell ref="A57:D57"/>
  </mergeCells>
  <dataValidations count="4">
    <dataValidation sqref="H5 H6 H7 H8 H9 H10 H11 H12 H13 H14 H15 H16 H17 H18 H19 H20 H21 H22 H23 H24 H25 H26 H27 H28 H29 H30 H31 H32 H33 H34 H35 H36 H37 H38 H39 H40 H41 H42 H43 H44 H45 H46 H47 H48 H49 H50 H51 H52 H53 H54" showDropDown="0" showInputMessage="0" showErrorMessage="0" allowBlank="0" type="list">
      <formula1>"Yes,No,N/A"</formula1>
    </dataValidation>
    <dataValidation sqref="I5 I6 I7 I8 I9 I10 I11 I12 I13 I14 I15 I16 I17 I18 I19 I20 I21 I22 I23 I24 I25 I26 I27 I28 I29 I30 I31 I32 I33 I34 I35 I36 I37 I38 I39 I40 I41 I42 I43 I44 I45 I46 I47 I48 I49 I50 I51 I52 I53 I54" showDropDown="0" showInputMessage="0" showErrorMessage="0" allowBlank="0" type="list">
      <formula1>"Yes,No,Unknown"</formula1>
    </dataValidation>
    <dataValidation sqref="D5 D6 D7 D8 D9 D10 D11 D12 D13 D14 D15 D16 D17 D18 D19 D20 D21 D22 D23 D24 D25 D26 D27 D28 D29 D30 D31 D32 D33 D34 D35 D36 D37 D38 D39 D40 D41 D42 D43 D44 D45 D46 D47 D48 D49 D50 D51 D52 D53 D54" showDropDown="0" showInputMessage="0" showErrorMessage="0" allowBlank="0" type="list">
      <formula1>"Microsoft Intune,Jamf Pro,SCCM,VMware Workspace ONE,MobileIron,Citrix Endpoint Management,Kandji,Google Workspace,None,Other"</formula1>
    </dataValidation>
    <dataValidation sqref="E5 E6 E7 E8 E9 E10 E11 E12 E13 E14 E15 E16 E17 E18 E19 E20 E21 E22 E23 E24 E25 E26 E27 E28 E29 E30 E31 E32 E33 E34 E35 E36 E37 E38 E39 E40 E41 E42 E43 E44 E45 E46 E47 E48 E49 E50 E51 E52 E53 E54" showDropDown="0" showInputMessage="0" showErrorMessage="0" allowBlank="0" type="list">
      <formula1>"✅ Enrolled,❌ Not Enrolled,⚠️ Partial,🔄 Pending,❓ Unknown"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15" customWidth="1" min="1" max="1"/>
    <col width="50" customWidth="1" min="2" max="2"/>
    <col width="12" customWidth="1" min="3" max="3"/>
    <col width="25" customWidth="1" min="4" max="4"/>
    <col width="30" customWidth="1" min="5" max="5"/>
    <col width="15" customWidth="1" min="6" max="6"/>
  </cols>
  <sheetData>
    <row r="1" ht="25" customHeight="1">
      <c r="A1" s="1" t="inlineStr">
        <is>
          <t>CAPABILITY REQUIREMENTS MAPPING</t>
        </is>
      </c>
    </row>
    <row r="2">
      <c r="A2" s="2" t="inlineStr">
        <is>
          <t>A.8.1 Policy Requirements → Implementation Verification (30 requirements)</t>
        </is>
      </c>
    </row>
    <row r="4">
      <c r="A4" s="5" t="inlineStr">
        <is>
          <t>Req ID</t>
        </is>
      </c>
      <c r="B4" s="5" t="inlineStr">
        <is>
          <t>Policy Requirement</t>
        </is>
      </c>
      <c r="C4" s="5" t="inlineStr">
        <is>
          <t>Implemented</t>
        </is>
      </c>
      <c r="D4" s="5" t="inlineStr">
        <is>
          <t>Evidence Reference</t>
        </is>
      </c>
      <c r="E4" s="5" t="inlineStr">
        <is>
          <t>Notes</t>
        </is>
      </c>
      <c r="F4" s="5" t="inlineStr">
        <is>
          <t>Status</t>
        </is>
      </c>
    </row>
    <row r="5">
      <c r="A5" s="13" t="inlineStr">
        <is>
          <t>REQ-A81-001</t>
        </is>
      </c>
      <c r="B5" s="14" t="inlineStr">
        <is>
          <t>Complete endpoint inventory maintained</t>
        </is>
      </c>
      <c r="C5" s="16" t="n"/>
      <c r="D5" s="16" t="n"/>
      <c r="E5" s="16" t="n"/>
      <c r="F5" s="6">
        <f>IF(C5="Yes","✅ Compliant",IF(C5="N/A","N/A","❌ Gap"))</f>
        <v/>
      </c>
    </row>
    <row r="6">
      <c r="A6" s="13" t="inlineStr">
        <is>
          <t>REQ-A81-002</t>
        </is>
      </c>
      <c r="B6" s="14" t="inlineStr">
        <is>
          <t>Endpoints classified by type, ownership, criticality</t>
        </is>
      </c>
      <c r="C6" s="16" t="n"/>
      <c r="D6" s="16" t="n"/>
      <c r="E6" s="16" t="n"/>
      <c r="F6" s="6">
        <f>IF(C6="Yes","✅ Compliant",IF(C6="N/A","N/A","❌ Gap"))</f>
        <v/>
      </c>
    </row>
    <row r="7">
      <c r="A7" s="13" t="inlineStr">
        <is>
          <t>REQ-A81-003</t>
        </is>
      </c>
      <c r="B7" s="14" t="inlineStr">
        <is>
          <t>Security baselines defined per endpoint type</t>
        </is>
      </c>
      <c r="C7" s="16" t="n"/>
      <c r="D7" s="16" t="n"/>
      <c r="E7" s="16" t="n"/>
      <c r="F7" s="6">
        <f>IF(C7="Yes","✅ Compliant",IF(C7="N/A","N/A","❌ Gap"))</f>
        <v/>
      </c>
    </row>
    <row r="8">
      <c r="A8" s="13" t="inlineStr">
        <is>
          <t>REQ-A81-004</t>
        </is>
      </c>
      <c r="B8" s="14" t="inlineStr">
        <is>
          <t>Baseline compliance ≥95% for corporate endpoints</t>
        </is>
      </c>
      <c r="C8" s="16" t="n"/>
      <c r="D8" s="16" t="n"/>
      <c r="E8" s="16" t="n"/>
      <c r="F8" s="6">
        <f>IF(C8="Yes","✅ Compliant",IF(C8="N/A","N/A","❌ Gap"))</f>
        <v/>
      </c>
    </row>
    <row r="9">
      <c r="A9" s="13" t="inlineStr">
        <is>
          <t>REQ-A81-005</t>
        </is>
      </c>
      <c r="B9" s="14" t="inlineStr">
        <is>
          <t>Full disk encryption for laptops (≥95%)</t>
        </is>
      </c>
      <c r="C9" s="16" t="n"/>
      <c r="D9" s="16" t="n"/>
      <c r="E9" s="16" t="n"/>
      <c r="F9" s="6">
        <f>IF(C9="Yes","✅ Compliant",IF(C9="N/A","N/A","❌ Gap"))</f>
        <v/>
      </c>
    </row>
    <row r="10">
      <c r="A10" s="13" t="inlineStr">
        <is>
          <t>REQ-A81-006</t>
        </is>
      </c>
      <c r="B10" s="14" t="inlineStr">
        <is>
          <t>Full disk encryption for desktops (≥90%)</t>
        </is>
      </c>
      <c r="C10" s="16" t="n"/>
      <c r="D10" s="16" t="n"/>
      <c r="E10" s="16" t="n"/>
      <c r="F10" s="6">
        <f>IF(C10="Yes","✅ Compliant",IF(C10="N/A","N/A","❌ Gap"))</f>
        <v/>
      </c>
    </row>
    <row r="11">
      <c r="A11" s="13" t="inlineStr">
        <is>
          <t>REQ-A81-007</t>
        </is>
      </c>
      <c r="B11" s="14" t="inlineStr">
        <is>
          <t>Mobile devices encrypted (≥95%)</t>
        </is>
      </c>
      <c r="C11" s="16" t="n"/>
      <c r="D11" s="16" t="n"/>
      <c r="E11" s="16" t="n"/>
      <c r="F11" s="6">
        <f>IF(C11="Yes","✅ Compliant",IF(C11="N/A","N/A","❌ Gap"))</f>
        <v/>
      </c>
    </row>
    <row r="12">
      <c r="A12" s="13" t="inlineStr">
        <is>
          <t>REQ-A81-008</t>
        </is>
      </c>
      <c r="B12" s="14" t="inlineStr">
        <is>
          <t>Encryption key escrow/recovery implemented</t>
        </is>
      </c>
      <c r="C12" s="16" t="n"/>
      <c r="D12" s="16" t="n"/>
      <c r="E12" s="16" t="n"/>
      <c r="F12" s="6">
        <f>IF(C12="Yes","✅ Compliant",IF(C12="N/A","N/A","❌ Gap"))</f>
        <v/>
      </c>
    </row>
    <row r="13">
      <c r="A13" s="13" t="inlineStr">
        <is>
          <t>REQ-A81-009</t>
        </is>
      </c>
      <c r="B13" s="14" t="inlineStr">
        <is>
          <t>MDM enrollment ≥95% corporate endpoints</t>
        </is>
      </c>
      <c r="C13" s="16" t="n"/>
      <c r="D13" s="16" t="n"/>
      <c r="E13" s="16" t="n"/>
      <c r="F13" s="6">
        <f>IF(C13="Yes","✅ Compliant",IF(C13="N/A","N/A","❌ Gap"))</f>
        <v/>
      </c>
    </row>
    <row r="14">
      <c r="A14" s="13" t="inlineStr">
        <is>
          <t>REQ-A81-010</t>
        </is>
      </c>
      <c r="B14" s="14" t="inlineStr">
        <is>
          <t>MDM enrollment ≥80% BYOD (if BYOD allowed)</t>
        </is>
      </c>
      <c r="C14" s="16" t="n"/>
      <c r="D14" s="16" t="n"/>
      <c r="E14" s="16" t="n"/>
      <c r="F14" s="6">
        <f>IF(C14="Yes","✅ Compliant",IF(C14="N/A","N/A","❌ Gap"))</f>
        <v/>
      </c>
    </row>
    <row r="15">
      <c r="A15" s="13" t="inlineStr">
        <is>
          <t>REQ-A81-011</t>
        </is>
      </c>
      <c r="B15" s="14" t="inlineStr">
        <is>
          <t>Remote wipe capability for all corporate mobile devices</t>
        </is>
      </c>
      <c r="C15" s="16" t="n"/>
      <c r="D15" s="16" t="n"/>
      <c r="E15" s="16" t="n"/>
      <c r="F15" s="6">
        <f>IF(C15="Yes","✅ Compliant",IF(C15="N/A","N/A","❌ Gap"))</f>
        <v/>
      </c>
    </row>
    <row r="16">
      <c r="A16" s="13" t="inlineStr">
        <is>
          <t>REQ-A81-012</t>
        </is>
      </c>
      <c r="B16" s="14" t="inlineStr">
        <is>
          <t>Screen lock enforced (max 15 minutes)</t>
        </is>
      </c>
      <c r="C16" s="16" t="n"/>
      <c r="D16" s="16" t="n"/>
      <c r="E16" s="16" t="n"/>
      <c r="F16" s="6">
        <f>IF(C16="Yes","✅ Compliant",IF(C16="N/A","N/A","❌ Gap"))</f>
        <v/>
      </c>
    </row>
    <row r="17">
      <c r="A17" s="13" t="inlineStr">
        <is>
          <t>REQ-A81-013</t>
        </is>
      </c>
      <c r="B17" s="14" t="inlineStr">
        <is>
          <t>Strong password policy enforced</t>
        </is>
      </c>
      <c r="C17" s="16" t="n"/>
      <c r="D17" s="16" t="n"/>
      <c r="E17" s="16" t="n"/>
      <c r="F17" s="6">
        <f>IF(C17="Yes","✅ Compliant",IF(C17="N/A","N/A","❌ Gap"))</f>
        <v/>
      </c>
    </row>
    <row r="18">
      <c r="A18" s="13" t="inlineStr">
        <is>
          <t>REQ-A81-014</t>
        </is>
      </c>
      <c r="B18" s="14" t="inlineStr">
        <is>
          <t>Firewall enabled on all endpoints</t>
        </is>
      </c>
      <c r="C18" s="16" t="n"/>
      <c r="D18" s="16" t="n"/>
      <c r="E18" s="16" t="n"/>
      <c r="F18" s="6">
        <f>IF(C18="Yes","✅ Compliant",IF(C18="N/A","N/A","❌ Gap"))</f>
        <v/>
      </c>
    </row>
    <row r="19">
      <c r="A19" s="13" t="inlineStr">
        <is>
          <t>REQ-A81-015</t>
        </is>
      </c>
      <c r="B19" s="14" t="inlineStr">
        <is>
          <t>Anti-malware deployed (see A.8.7)</t>
        </is>
      </c>
      <c r="C19" s="16" t="n"/>
      <c r="D19" s="16" t="n"/>
      <c r="E19" s="16" t="n"/>
      <c r="F19" s="6">
        <f>IF(C19="Yes","✅ Compliant",IF(C19="N/A","N/A","❌ Gap"))</f>
        <v/>
      </c>
    </row>
    <row r="20">
      <c r="A20" s="13" t="inlineStr">
        <is>
          <t>REQ-A81-016</t>
        </is>
      </c>
      <c r="B20" s="14" t="inlineStr">
        <is>
          <t>Automatic security updates enabled</t>
        </is>
      </c>
      <c r="C20" s="16" t="n"/>
      <c r="D20" s="16" t="n"/>
      <c r="E20" s="16" t="n"/>
      <c r="F20" s="6">
        <f>IF(C20="Yes","✅ Compliant",IF(C20="N/A","N/A","❌ Gap"))</f>
        <v/>
      </c>
    </row>
    <row r="21">
      <c r="A21" s="13" t="inlineStr">
        <is>
          <t>REQ-A81-017</t>
        </is>
      </c>
      <c r="B21" s="14" t="inlineStr">
        <is>
          <t>Quarterly endpoint inventory reconciliation</t>
        </is>
      </c>
      <c r="C21" s="16" t="n"/>
      <c r="D21" s="16" t="n"/>
      <c r="E21" s="16" t="n"/>
      <c r="F21" s="6">
        <f>IF(C21="Yes","✅ Compliant",IF(C21="N/A","N/A","❌ Gap"))</f>
        <v/>
      </c>
    </row>
    <row r="22">
      <c r="A22" s="13" t="inlineStr">
        <is>
          <t>REQ-A81-018</t>
        </is>
      </c>
      <c r="B22" s="14" t="inlineStr">
        <is>
          <t>Lost/stolen device procedure documented</t>
        </is>
      </c>
      <c r="C22" s="16" t="n"/>
      <c r="D22" s="16" t="n"/>
      <c r="E22" s="16" t="n"/>
      <c r="F22" s="6">
        <f>IF(C22="Yes","✅ Compliant",IF(C22="N/A","N/A","❌ Gap"))</f>
        <v/>
      </c>
    </row>
    <row r="23">
      <c r="A23" s="13" t="inlineStr">
        <is>
          <t>REQ-A81-019</t>
        </is>
      </c>
      <c r="B23" s="14" t="inlineStr">
        <is>
          <t>Lost/stolen incidents responded to within 24 hours</t>
        </is>
      </c>
      <c r="C23" s="16" t="n"/>
      <c r="D23" s="16" t="n"/>
      <c r="E23" s="16" t="n"/>
      <c r="F23" s="6">
        <f>IF(C23="Yes","✅ Compliant",IF(C23="N/A","N/A","❌ Gap"))</f>
        <v/>
      </c>
    </row>
    <row r="24">
      <c r="A24" s="13" t="inlineStr">
        <is>
          <t>REQ-A81-020</t>
        </is>
      </c>
      <c r="B24" s="14" t="inlineStr">
        <is>
          <t>Remote wipe initiated within 24 hours (if device not recovered)</t>
        </is>
      </c>
      <c r="C24" s="16" t="n"/>
      <c r="D24" s="16" t="n"/>
      <c r="E24" s="16" t="n"/>
      <c r="F24" s="6">
        <f>IF(C24="Yes","✅ Compliant",IF(C24="N/A","N/A","❌ Gap"))</f>
        <v/>
      </c>
    </row>
    <row r="25">
      <c r="A25" s="13" t="inlineStr">
        <is>
          <t>REQ-A81-021</t>
        </is>
      </c>
      <c r="B25" s="14" t="inlineStr">
        <is>
          <t>Secure disposal procedure for all endpoints</t>
        </is>
      </c>
      <c r="C25" s="16" t="n"/>
      <c r="D25" s="16" t="n"/>
      <c r="E25" s="16" t="n"/>
      <c r="F25" s="6">
        <f>IF(C25="Yes","✅ Compliant",IF(C25="N/A","N/A","❌ Gap"))</f>
        <v/>
      </c>
    </row>
    <row r="26">
      <c r="A26" s="13" t="inlineStr">
        <is>
          <t>REQ-A81-022</t>
        </is>
      </c>
      <c r="B26" s="14" t="inlineStr">
        <is>
          <t>Disposal certificates retained</t>
        </is>
      </c>
      <c r="C26" s="16" t="n"/>
      <c r="D26" s="16" t="n"/>
      <c r="E26" s="16" t="n"/>
      <c r="F26" s="6">
        <f>IF(C26="Yes","✅ Compliant",IF(C26="N/A","N/A","❌ Gap"))</f>
        <v/>
      </c>
    </row>
    <row r="27">
      <c r="A27" s="13" t="inlineStr">
        <is>
          <t>REQ-A81-023</t>
        </is>
      </c>
      <c r="B27" s="14" t="inlineStr">
        <is>
          <t>BYOD user agreements signed (if BYOD allowed)</t>
        </is>
      </c>
      <c r="C27" s="16" t="n"/>
      <c r="D27" s="16" t="n"/>
      <c r="E27" s="16" t="n"/>
      <c r="F27" s="6">
        <f>IF(C27="Yes","✅ Compliant",IF(C27="N/A","N/A","❌ Gap"))</f>
        <v/>
      </c>
    </row>
    <row r="28">
      <c r="A28" s="13" t="inlineStr">
        <is>
          <t>REQ-A81-024</t>
        </is>
      </c>
      <c r="B28" s="14" t="inlineStr">
        <is>
          <t>BYOD devices containerized (corporate data separated)</t>
        </is>
      </c>
      <c r="C28" s="16" t="n"/>
      <c r="D28" s="16" t="n"/>
      <c r="E28" s="16" t="n"/>
      <c r="F28" s="6">
        <f>IF(C28="Yes","✅ Compliant",IF(C28="N/A","N/A","❌ Gap"))</f>
        <v/>
      </c>
    </row>
    <row r="29">
      <c r="A29" s="13" t="inlineStr">
        <is>
          <t>REQ-A81-025</t>
        </is>
      </c>
      <c r="B29" s="14" t="inlineStr">
        <is>
          <t>Unmanaged endpoints identified quarterly</t>
        </is>
      </c>
      <c r="C29" s="16" t="n"/>
      <c r="D29" s="16" t="n"/>
      <c r="E29" s="16" t="n"/>
      <c r="F29" s="6">
        <f>IF(C29="Yes","✅ Compliant",IF(C29="N/A","N/A","❌ Gap"))</f>
        <v/>
      </c>
    </row>
    <row r="30">
      <c r="A30" s="13" t="inlineStr">
        <is>
          <t>REQ-A81-026</t>
        </is>
      </c>
      <c r="B30" s="14" t="inlineStr">
        <is>
          <t>Endpoint lifecycle management process</t>
        </is>
      </c>
      <c r="C30" s="16" t="n"/>
      <c r="D30" s="16" t="n"/>
      <c r="E30" s="16" t="n"/>
      <c r="F30" s="6">
        <f>IF(C30="Yes","✅ Compliant",IF(C30="N/A","N/A","❌ Gap"))</f>
        <v/>
      </c>
    </row>
    <row r="31">
      <c r="A31" s="13" t="inlineStr">
        <is>
          <t>REQ-A81-027</t>
        </is>
      </c>
      <c r="B31" s="14" t="inlineStr">
        <is>
          <t>Endpoint procurement includes security requirements</t>
        </is>
      </c>
      <c r="C31" s="16" t="n"/>
      <c r="D31" s="16" t="n"/>
      <c r="E31" s="16" t="n"/>
      <c r="F31" s="6">
        <f>IF(C31="Yes","✅ Compliant",IF(C31="N/A","N/A","❌ Gap"))</f>
        <v/>
      </c>
    </row>
    <row r="32">
      <c r="A32" s="13" t="inlineStr">
        <is>
          <t>REQ-A81-028</t>
        </is>
      </c>
      <c r="B32" s="14" t="inlineStr">
        <is>
          <t>Endpoints configured before user deployment</t>
        </is>
      </c>
      <c r="C32" s="16" t="n"/>
      <c r="D32" s="16" t="n"/>
      <c r="E32" s="16" t="n"/>
      <c r="F32" s="6">
        <f>IF(C32="Yes","✅ Compliant",IF(C32="N/A","N/A","❌ Gap"))</f>
        <v/>
      </c>
    </row>
    <row r="33">
      <c r="A33" s="13" t="inlineStr">
        <is>
          <t>REQ-A81-029</t>
        </is>
      </c>
      <c r="B33" s="14" t="inlineStr">
        <is>
          <t>Endpoint decommissioning includes data sanitization</t>
        </is>
      </c>
      <c r="C33" s="16" t="n"/>
      <c r="D33" s="16" t="n"/>
      <c r="E33" s="16" t="n"/>
      <c r="F33" s="6">
        <f>IF(C33="Yes","✅ Compliant",IF(C33="N/A","N/A","❌ Gap"))</f>
        <v/>
      </c>
    </row>
    <row r="34">
      <c r="A34" s="13" t="inlineStr">
        <is>
          <t>REQ-A81-030</t>
        </is>
      </c>
      <c r="B34" s="14" t="inlineStr">
        <is>
          <t>Annual endpoint security assessment</t>
        </is>
      </c>
      <c r="C34" s="16" t="n"/>
      <c r="D34" s="16" t="n"/>
      <c r="E34" s="16" t="n"/>
      <c r="F34" s="6">
        <f>IF(C34="Yes","✅ Compliant",IF(C34="N/A","N/A","❌ Gap"))</f>
        <v/>
      </c>
    </row>
    <row r="37">
      <c r="A37" s="2" t="inlineStr">
        <is>
          <t>📊 REQUIREMENTS COMPLIANCE SUMMARY</t>
        </is>
      </c>
    </row>
    <row r="38">
      <c r="A38" s="3" t="inlineStr">
        <is>
          <t>Total Requirements:</t>
        </is>
      </c>
      <c r="B38" t="n">
        <v>30</v>
      </c>
    </row>
    <row r="39">
      <c r="A39" s="3" t="inlineStr">
        <is>
          <t>Implemented:</t>
        </is>
      </c>
      <c r="B39">
        <f>COUNTIF(C5:C34,"Yes")</f>
        <v/>
      </c>
    </row>
    <row r="40">
      <c r="A40" s="3" t="inlineStr">
        <is>
          <t>Not Implemented:</t>
        </is>
      </c>
      <c r="B40">
        <f>COUNTIF(C5:C34,"No")</f>
        <v/>
      </c>
    </row>
    <row r="41">
      <c r="A41" s="3" t="inlineStr">
        <is>
          <t>Compliance Rate:</t>
        </is>
      </c>
      <c r="B41">
        <f>IF(COUNT(B39:B40)&gt;0,B39/B38*100,0)&amp;"%"</f>
        <v/>
      </c>
    </row>
  </sheetData>
  <mergeCells count="3">
    <mergeCell ref="A2:F2"/>
    <mergeCell ref="A1:F1"/>
    <mergeCell ref="A37:C37"/>
  </mergeCells>
  <dataValidations count="1">
    <dataValidation sqref="C5 C6 C7 C8 C9 C10 C11 C12 C13 C14 C15 C16 C17 C18 C19 C20 C21 C22 C23 C24 C25 C26 C27 C28 C29 C30 C31 C32 C33 C34" showDropDown="0" showInputMessage="0" showErrorMessage="0" allowBlank="0" type="list">
      <formula1>"Yes,No,N/A"</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11"/>
  <sheetViews>
    <sheetView workbookViewId="0">
      <selection activeCell="A1" sqref="A1"/>
    </sheetView>
  </sheetViews>
  <sheetFormatPr baseColWidth="8" defaultRowHeight="15"/>
  <cols>
    <col width="12" customWidth="1" min="1" max="1"/>
    <col width="20" customWidth="1" min="2" max="2"/>
    <col width="40" customWidth="1" min="3" max="3"/>
    <col width="18" customWidth="1" min="4" max="4"/>
    <col width="25" customWidth="1" min="5" max="5"/>
    <col width="35" customWidth="1" min="6" max="6"/>
    <col width="15" customWidth="1" min="7" max="7"/>
    <col width="18" customWidth="1" min="8" max="8"/>
    <col width="18" customWidth="1" min="9" max="9"/>
    <col width="30" customWidth="1" min="10" max="10"/>
  </cols>
  <sheetData>
    <row r="1" ht="25" customHeight="1">
      <c r="A1" s="1" t="inlineStr">
        <is>
          <t>EVIDENCE REGISTER</t>
        </is>
      </c>
    </row>
    <row r="2">
      <c r="A2" s="2" t="inlineStr">
        <is>
          <t>Comprehensive evidence documentation for endpoint inventory assessment (100 evidence entries)</t>
        </is>
      </c>
    </row>
    <row r="4">
      <c r="A4" s="5" t="inlineStr">
        <is>
          <t>Evidence ID</t>
        </is>
      </c>
      <c r="B4" s="5" t="inlineStr">
        <is>
          <t>Evidence Type</t>
        </is>
      </c>
      <c r="C4" s="5" t="inlineStr">
        <is>
          <t>Description</t>
        </is>
      </c>
      <c r="D4" s="5" t="inlineStr">
        <is>
          <t>Related Requirement</t>
        </is>
      </c>
      <c r="E4" s="5" t="inlineStr">
        <is>
          <t>Related Worksheet/Device</t>
        </is>
      </c>
      <c r="F4" s="5" t="inlineStr">
        <is>
          <t>File Location</t>
        </is>
      </c>
      <c r="G4" s="5" t="inlineStr">
        <is>
          <t>Collection Date</t>
        </is>
      </c>
      <c r="H4" s="5" t="inlineStr">
        <is>
          <t>Collected By</t>
        </is>
      </c>
      <c r="I4" s="5" t="inlineStr">
        <is>
          <t>Verification Status</t>
        </is>
      </c>
      <c r="J4" s="5" t="inlineStr">
        <is>
          <t>Notes</t>
        </is>
      </c>
    </row>
    <row r="5">
      <c r="A5" s="3" t="inlineStr">
        <is>
          <t>EVD-001</t>
        </is>
      </c>
      <c r="B5" s="16" t="n"/>
      <c r="C5" s="16" t="n"/>
      <c r="D5" s="16" t="n"/>
      <c r="E5" s="16" t="n"/>
      <c r="F5" s="16" t="n"/>
      <c r="G5" s="16" t="n"/>
      <c r="H5" s="16" t="n"/>
      <c r="I5" s="16" t="n"/>
      <c r="J5" s="16" t="n"/>
    </row>
    <row r="6">
      <c r="A6" s="3" t="inlineStr">
        <is>
          <t>EVD-002</t>
        </is>
      </c>
      <c r="B6" s="16" t="n"/>
      <c r="C6" s="16" t="n"/>
      <c r="D6" s="16" t="n"/>
      <c r="E6" s="16" t="n"/>
      <c r="F6" s="16" t="n"/>
      <c r="G6" s="16" t="n"/>
      <c r="H6" s="16" t="n"/>
      <c r="I6" s="16" t="n"/>
      <c r="J6" s="16" t="n"/>
    </row>
    <row r="7">
      <c r="A7" s="3" t="inlineStr">
        <is>
          <t>EVD-003</t>
        </is>
      </c>
      <c r="B7" s="16" t="n"/>
      <c r="C7" s="16" t="n"/>
      <c r="D7" s="16" t="n"/>
      <c r="E7" s="16" t="n"/>
      <c r="F7" s="16" t="n"/>
      <c r="G7" s="16" t="n"/>
      <c r="H7" s="16" t="n"/>
      <c r="I7" s="16" t="n"/>
      <c r="J7" s="16" t="n"/>
    </row>
    <row r="8">
      <c r="A8" s="3" t="inlineStr">
        <is>
          <t>EVD-004</t>
        </is>
      </c>
      <c r="B8" s="16" t="n"/>
      <c r="C8" s="16" t="n"/>
      <c r="D8" s="16" t="n"/>
      <c r="E8" s="16" t="n"/>
      <c r="F8" s="16" t="n"/>
      <c r="G8" s="16" t="n"/>
      <c r="H8" s="16" t="n"/>
      <c r="I8" s="16" t="n"/>
      <c r="J8" s="16" t="n"/>
    </row>
    <row r="9">
      <c r="A9" s="3" t="inlineStr">
        <is>
          <t>EVD-005</t>
        </is>
      </c>
      <c r="B9" s="16" t="n"/>
      <c r="C9" s="16" t="n"/>
      <c r="D9" s="16" t="n"/>
      <c r="E9" s="16" t="n"/>
      <c r="F9" s="16" t="n"/>
      <c r="G9" s="16" t="n"/>
      <c r="H9" s="16" t="n"/>
      <c r="I9" s="16" t="n"/>
      <c r="J9" s="16" t="n"/>
    </row>
    <row r="10">
      <c r="A10" s="3" t="inlineStr">
        <is>
          <t>EVD-006</t>
        </is>
      </c>
      <c r="B10" s="16" t="n"/>
      <c r="C10" s="16" t="n"/>
      <c r="D10" s="16" t="n"/>
      <c r="E10" s="16" t="n"/>
      <c r="F10" s="16" t="n"/>
      <c r="G10" s="16" t="n"/>
      <c r="H10" s="16" t="n"/>
      <c r="I10" s="16" t="n"/>
      <c r="J10" s="16" t="n"/>
    </row>
    <row r="11">
      <c r="A11" s="3" t="inlineStr">
        <is>
          <t>EVD-007</t>
        </is>
      </c>
      <c r="B11" s="16" t="n"/>
      <c r="C11" s="16" t="n"/>
      <c r="D11" s="16" t="n"/>
      <c r="E11" s="16" t="n"/>
      <c r="F11" s="16" t="n"/>
      <c r="G11" s="16" t="n"/>
      <c r="H11" s="16" t="n"/>
      <c r="I11" s="16" t="n"/>
      <c r="J11" s="16" t="n"/>
    </row>
    <row r="12">
      <c r="A12" s="3" t="inlineStr">
        <is>
          <t>EVD-008</t>
        </is>
      </c>
      <c r="B12" s="16" t="n"/>
      <c r="C12" s="16" t="n"/>
      <c r="D12" s="16" t="n"/>
      <c r="E12" s="16" t="n"/>
      <c r="F12" s="16" t="n"/>
      <c r="G12" s="16" t="n"/>
      <c r="H12" s="16" t="n"/>
      <c r="I12" s="16" t="n"/>
      <c r="J12" s="16" t="n"/>
    </row>
    <row r="13">
      <c r="A13" s="3" t="inlineStr">
        <is>
          <t>EVD-009</t>
        </is>
      </c>
      <c r="B13" s="16" t="n"/>
      <c r="C13" s="16" t="n"/>
      <c r="D13" s="16" t="n"/>
      <c r="E13" s="16" t="n"/>
      <c r="F13" s="16" t="n"/>
      <c r="G13" s="16" t="n"/>
      <c r="H13" s="16" t="n"/>
      <c r="I13" s="16" t="n"/>
      <c r="J13" s="16" t="n"/>
    </row>
    <row r="14">
      <c r="A14" s="3" t="inlineStr">
        <is>
          <t>EVD-010</t>
        </is>
      </c>
      <c r="B14" s="16" t="n"/>
      <c r="C14" s="16" t="n"/>
      <c r="D14" s="16" t="n"/>
      <c r="E14" s="16" t="n"/>
      <c r="F14" s="16" t="n"/>
      <c r="G14" s="16" t="n"/>
      <c r="H14" s="16" t="n"/>
      <c r="I14" s="16" t="n"/>
      <c r="J14" s="16" t="n"/>
    </row>
    <row r="15">
      <c r="A15" s="3" t="inlineStr">
        <is>
          <t>EVD-011</t>
        </is>
      </c>
      <c r="B15" s="16" t="n"/>
      <c r="C15" s="16" t="n"/>
      <c r="D15" s="16" t="n"/>
      <c r="E15" s="16" t="n"/>
      <c r="F15" s="16" t="n"/>
      <c r="G15" s="16" t="n"/>
      <c r="H15" s="16" t="n"/>
      <c r="I15" s="16" t="n"/>
      <c r="J15" s="16" t="n"/>
    </row>
    <row r="16">
      <c r="A16" s="3" t="inlineStr">
        <is>
          <t>EVD-012</t>
        </is>
      </c>
      <c r="B16" s="16" t="n"/>
      <c r="C16" s="16" t="n"/>
      <c r="D16" s="16" t="n"/>
      <c r="E16" s="16" t="n"/>
      <c r="F16" s="16" t="n"/>
      <c r="G16" s="16" t="n"/>
      <c r="H16" s="16" t="n"/>
      <c r="I16" s="16" t="n"/>
      <c r="J16" s="16" t="n"/>
    </row>
    <row r="17">
      <c r="A17" s="3" t="inlineStr">
        <is>
          <t>EVD-013</t>
        </is>
      </c>
      <c r="B17" s="16" t="n"/>
      <c r="C17" s="16" t="n"/>
      <c r="D17" s="16" t="n"/>
      <c r="E17" s="16" t="n"/>
      <c r="F17" s="16" t="n"/>
      <c r="G17" s="16" t="n"/>
      <c r="H17" s="16" t="n"/>
      <c r="I17" s="16" t="n"/>
      <c r="J17" s="16" t="n"/>
    </row>
    <row r="18">
      <c r="A18" s="3" t="inlineStr">
        <is>
          <t>EVD-014</t>
        </is>
      </c>
      <c r="B18" s="16" t="n"/>
      <c r="C18" s="16" t="n"/>
      <c r="D18" s="16" t="n"/>
      <c r="E18" s="16" t="n"/>
      <c r="F18" s="16" t="n"/>
      <c r="G18" s="16" t="n"/>
      <c r="H18" s="16" t="n"/>
      <c r="I18" s="16" t="n"/>
      <c r="J18" s="16" t="n"/>
    </row>
    <row r="19">
      <c r="A19" s="3" t="inlineStr">
        <is>
          <t>EVD-015</t>
        </is>
      </c>
      <c r="B19" s="16" t="n"/>
      <c r="C19" s="16" t="n"/>
      <c r="D19" s="16" t="n"/>
      <c r="E19" s="16" t="n"/>
      <c r="F19" s="16" t="n"/>
      <c r="G19" s="16" t="n"/>
      <c r="H19" s="16" t="n"/>
      <c r="I19" s="16" t="n"/>
      <c r="J19" s="16" t="n"/>
    </row>
    <row r="20">
      <c r="A20" s="3" t="inlineStr">
        <is>
          <t>EVD-016</t>
        </is>
      </c>
      <c r="B20" s="16" t="n"/>
      <c r="C20" s="16" t="n"/>
      <c r="D20" s="16" t="n"/>
      <c r="E20" s="16" t="n"/>
      <c r="F20" s="16" t="n"/>
      <c r="G20" s="16" t="n"/>
      <c r="H20" s="16" t="n"/>
      <c r="I20" s="16" t="n"/>
      <c r="J20" s="16" t="n"/>
    </row>
    <row r="21">
      <c r="A21" s="3" t="inlineStr">
        <is>
          <t>EVD-017</t>
        </is>
      </c>
      <c r="B21" s="16" t="n"/>
      <c r="C21" s="16" t="n"/>
      <c r="D21" s="16" t="n"/>
      <c r="E21" s="16" t="n"/>
      <c r="F21" s="16" t="n"/>
      <c r="G21" s="16" t="n"/>
      <c r="H21" s="16" t="n"/>
      <c r="I21" s="16" t="n"/>
      <c r="J21" s="16" t="n"/>
    </row>
    <row r="22">
      <c r="A22" s="3" t="inlineStr">
        <is>
          <t>EVD-018</t>
        </is>
      </c>
      <c r="B22" s="16" t="n"/>
      <c r="C22" s="16" t="n"/>
      <c r="D22" s="16" t="n"/>
      <c r="E22" s="16" t="n"/>
      <c r="F22" s="16" t="n"/>
      <c r="G22" s="16" t="n"/>
      <c r="H22" s="16" t="n"/>
      <c r="I22" s="16" t="n"/>
      <c r="J22" s="16" t="n"/>
    </row>
    <row r="23">
      <c r="A23" s="3" t="inlineStr">
        <is>
          <t>EVD-019</t>
        </is>
      </c>
      <c r="B23" s="16" t="n"/>
      <c r="C23" s="16" t="n"/>
      <c r="D23" s="16" t="n"/>
      <c r="E23" s="16" t="n"/>
      <c r="F23" s="16" t="n"/>
      <c r="G23" s="16" t="n"/>
      <c r="H23" s="16" t="n"/>
      <c r="I23" s="16" t="n"/>
      <c r="J23" s="16" t="n"/>
    </row>
    <row r="24">
      <c r="A24" s="3" t="inlineStr">
        <is>
          <t>EVD-020</t>
        </is>
      </c>
      <c r="B24" s="16" t="n"/>
      <c r="C24" s="16" t="n"/>
      <c r="D24" s="16" t="n"/>
      <c r="E24" s="16" t="n"/>
      <c r="F24" s="16" t="n"/>
      <c r="G24" s="16" t="n"/>
      <c r="H24" s="16" t="n"/>
      <c r="I24" s="16" t="n"/>
      <c r="J24" s="16" t="n"/>
    </row>
    <row r="25">
      <c r="A25" s="3" t="inlineStr">
        <is>
          <t>EVD-021</t>
        </is>
      </c>
      <c r="B25" s="16" t="n"/>
      <c r="C25" s="16" t="n"/>
      <c r="D25" s="16" t="n"/>
      <c r="E25" s="16" t="n"/>
      <c r="F25" s="16" t="n"/>
      <c r="G25" s="16" t="n"/>
      <c r="H25" s="16" t="n"/>
      <c r="I25" s="16" t="n"/>
      <c r="J25" s="16" t="n"/>
    </row>
    <row r="26">
      <c r="A26" s="3" t="inlineStr">
        <is>
          <t>EVD-022</t>
        </is>
      </c>
      <c r="B26" s="16" t="n"/>
      <c r="C26" s="16" t="n"/>
      <c r="D26" s="16" t="n"/>
      <c r="E26" s="16" t="n"/>
      <c r="F26" s="16" t="n"/>
      <c r="G26" s="16" t="n"/>
      <c r="H26" s="16" t="n"/>
      <c r="I26" s="16" t="n"/>
      <c r="J26" s="16" t="n"/>
    </row>
    <row r="27">
      <c r="A27" s="3" t="inlineStr">
        <is>
          <t>EVD-023</t>
        </is>
      </c>
      <c r="B27" s="16" t="n"/>
      <c r="C27" s="16" t="n"/>
      <c r="D27" s="16" t="n"/>
      <c r="E27" s="16" t="n"/>
      <c r="F27" s="16" t="n"/>
      <c r="G27" s="16" t="n"/>
      <c r="H27" s="16" t="n"/>
      <c r="I27" s="16" t="n"/>
      <c r="J27" s="16" t="n"/>
    </row>
    <row r="28">
      <c r="A28" s="3" t="inlineStr">
        <is>
          <t>EVD-024</t>
        </is>
      </c>
      <c r="B28" s="16" t="n"/>
      <c r="C28" s="16" t="n"/>
      <c r="D28" s="16" t="n"/>
      <c r="E28" s="16" t="n"/>
      <c r="F28" s="16" t="n"/>
      <c r="G28" s="16" t="n"/>
      <c r="H28" s="16" t="n"/>
      <c r="I28" s="16" t="n"/>
      <c r="J28" s="16" t="n"/>
    </row>
    <row r="29">
      <c r="A29" s="3" t="inlineStr">
        <is>
          <t>EVD-025</t>
        </is>
      </c>
      <c r="B29" s="16" t="n"/>
      <c r="C29" s="16" t="n"/>
      <c r="D29" s="16" t="n"/>
      <c r="E29" s="16" t="n"/>
      <c r="F29" s="16" t="n"/>
      <c r="G29" s="16" t="n"/>
      <c r="H29" s="16" t="n"/>
      <c r="I29" s="16" t="n"/>
      <c r="J29" s="16" t="n"/>
    </row>
    <row r="30">
      <c r="A30" s="3" t="inlineStr">
        <is>
          <t>EVD-026</t>
        </is>
      </c>
      <c r="B30" s="16" t="n"/>
      <c r="C30" s="16" t="n"/>
      <c r="D30" s="16" t="n"/>
      <c r="E30" s="16" t="n"/>
      <c r="F30" s="16" t="n"/>
      <c r="G30" s="16" t="n"/>
      <c r="H30" s="16" t="n"/>
      <c r="I30" s="16" t="n"/>
      <c r="J30" s="16" t="n"/>
    </row>
    <row r="31">
      <c r="A31" s="3" t="inlineStr">
        <is>
          <t>EVD-027</t>
        </is>
      </c>
      <c r="B31" s="16" t="n"/>
      <c r="C31" s="16" t="n"/>
      <c r="D31" s="16" t="n"/>
      <c r="E31" s="16" t="n"/>
      <c r="F31" s="16" t="n"/>
      <c r="G31" s="16" t="n"/>
      <c r="H31" s="16" t="n"/>
      <c r="I31" s="16" t="n"/>
      <c r="J31" s="16" t="n"/>
    </row>
    <row r="32">
      <c r="A32" s="3" t="inlineStr">
        <is>
          <t>EVD-028</t>
        </is>
      </c>
      <c r="B32" s="16" t="n"/>
      <c r="C32" s="16" t="n"/>
      <c r="D32" s="16" t="n"/>
      <c r="E32" s="16" t="n"/>
      <c r="F32" s="16" t="n"/>
      <c r="G32" s="16" t="n"/>
      <c r="H32" s="16" t="n"/>
      <c r="I32" s="16" t="n"/>
      <c r="J32" s="16" t="n"/>
    </row>
    <row r="33">
      <c r="A33" s="3" t="inlineStr">
        <is>
          <t>EVD-029</t>
        </is>
      </c>
      <c r="B33" s="16" t="n"/>
      <c r="C33" s="16" t="n"/>
      <c r="D33" s="16" t="n"/>
      <c r="E33" s="16" t="n"/>
      <c r="F33" s="16" t="n"/>
      <c r="G33" s="16" t="n"/>
      <c r="H33" s="16" t="n"/>
      <c r="I33" s="16" t="n"/>
      <c r="J33" s="16" t="n"/>
    </row>
    <row r="34">
      <c r="A34" s="3" t="inlineStr">
        <is>
          <t>EVD-030</t>
        </is>
      </c>
      <c r="B34" s="16" t="n"/>
      <c r="C34" s="16" t="n"/>
      <c r="D34" s="16" t="n"/>
      <c r="E34" s="16" t="n"/>
      <c r="F34" s="16" t="n"/>
      <c r="G34" s="16" t="n"/>
      <c r="H34" s="16" t="n"/>
      <c r="I34" s="16" t="n"/>
      <c r="J34" s="16" t="n"/>
    </row>
    <row r="35">
      <c r="A35" s="3" t="inlineStr">
        <is>
          <t>EVD-031</t>
        </is>
      </c>
      <c r="B35" s="16" t="n"/>
      <c r="C35" s="16" t="n"/>
      <c r="D35" s="16" t="n"/>
      <c r="E35" s="16" t="n"/>
      <c r="F35" s="16" t="n"/>
      <c r="G35" s="16" t="n"/>
      <c r="H35" s="16" t="n"/>
      <c r="I35" s="16" t="n"/>
      <c r="J35" s="16" t="n"/>
    </row>
    <row r="36">
      <c r="A36" s="3" t="inlineStr">
        <is>
          <t>EVD-032</t>
        </is>
      </c>
      <c r="B36" s="16" t="n"/>
      <c r="C36" s="16" t="n"/>
      <c r="D36" s="16" t="n"/>
      <c r="E36" s="16" t="n"/>
      <c r="F36" s="16" t="n"/>
      <c r="G36" s="16" t="n"/>
      <c r="H36" s="16" t="n"/>
      <c r="I36" s="16" t="n"/>
      <c r="J36" s="16" t="n"/>
    </row>
    <row r="37">
      <c r="A37" s="3" t="inlineStr">
        <is>
          <t>EVD-033</t>
        </is>
      </c>
      <c r="B37" s="16" t="n"/>
      <c r="C37" s="16" t="n"/>
      <c r="D37" s="16" t="n"/>
      <c r="E37" s="16" t="n"/>
      <c r="F37" s="16" t="n"/>
      <c r="G37" s="16" t="n"/>
      <c r="H37" s="16" t="n"/>
      <c r="I37" s="16" t="n"/>
      <c r="J37" s="16" t="n"/>
    </row>
    <row r="38">
      <c r="A38" s="3" t="inlineStr">
        <is>
          <t>EVD-034</t>
        </is>
      </c>
      <c r="B38" s="16" t="n"/>
      <c r="C38" s="16" t="n"/>
      <c r="D38" s="16" t="n"/>
      <c r="E38" s="16" t="n"/>
      <c r="F38" s="16" t="n"/>
      <c r="G38" s="16" t="n"/>
      <c r="H38" s="16" t="n"/>
      <c r="I38" s="16" t="n"/>
      <c r="J38" s="16" t="n"/>
    </row>
    <row r="39">
      <c r="A39" s="3" t="inlineStr">
        <is>
          <t>EVD-035</t>
        </is>
      </c>
      <c r="B39" s="16" t="n"/>
      <c r="C39" s="16" t="n"/>
      <c r="D39" s="16" t="n"/>
      <c r="E39" s="16" t="n"/>
      <c r="F39" s="16" t="n"/>
      <c r="G39" s="16" t="n"/>
      <c r="H39" s="16" t="n"/>
      <c r="I39" s="16" t="n"/>
      <c r="J39" s="16" t="n"/>
    </row>
    <row r="40">
      <c r="A40" s="3" t="inlineStr">
        <is>
          <t>EVD-036</t>
        </is>
      </c>
      <c r="B40" s="16" t="n"/>
      <c r="C40" s="16" t="n"/>
      <c r="D40" s="16" t="n"/>
      <c r="E40" s="16" t="n"/>
      <c r="F40" s="16" t="n"/>
      <c r="G40" s="16" t="n"/>
      <c r="H40" s="16" t="n"/>
      <c r="I40" s="16" t="n"/>
      <c r="J40" s="16" t="n"/>
    </row>
    <row r="41">
      <c r="A41" s="3" t="inlineStr">
        <is>
          <t>EVD-037</t>
        </is>
      </c>
      <c r="B41" s="16" t="n"/>
      <c r="C41" s="16" t="n"/>
      <c r="D41" s="16" t="n"/>
      <c r="E41" s="16" t="n"/>
      <c r="F41" s="16" t="n"/>
      <c r="G41" s="16" t="n"/>
      <c r="H41" s="16" t="n"/>
      <c r="I41" s="16" t="n"/>
      <c r="J41" s="16" t="n"/>
    </row>
    <row r="42">
      <c r="A42" s="3" t="inlineStr">
        <is>
          <t>EVD-038</t>
        </is>
      </c>
      <c r="B42" s="16" t="n"/>
      <c r="C42" s="16" t="n"/>
      <c r="D42" s="16" t="n"/>
      <c r="E42" s="16" t="n"/>
      <c r="F42" s="16" t="n"/>
      <c r="G42" s="16" t="n"/>
      <c r="H42" s="16" t="n"/>
      <c r="I42" s="16" t="n"/>
      <c r="J42" s="16" t="n"/>
    </row>
    <row r="43">
      <c r="A43" s="3" t="inlineStr">
        <is>
          <t>EVD-039</t>
        </is>
      </c>
      <c r="B43" s="16" t="n"/>
      <c r="C43" s="16" t="n"/>
      <c r="D43" s="16" t="n"/>
      <c r="E43" s="16" t="n"/>
      <c r="F43" s="16" t="n"/>
      <c r="G43" s="16" t="n"/>
      <c r="H43" s="16" t="n"/>
      <c r="I43" s="16" t="n"/>
      <c r="J43" s="16" t="n"/>
    </row>
    <row r="44">
      <c r="A44" s="3" t="inlineStr">
        <is>
          <t>EVD-040</t>
        </is>
      </c>
      <c r="B44" s="16" t="n"/>
      <c r="C44" s="16" t="n"/>
      <c r="D44" s="16" t="n"/>
      <c r="E44" s="16" t="n"/>
      <c r="F44" s="16" t="n"/>
      <c r="G44" s="16" t="n"/>
      <c r="H44" s="16" t="n"/>
      <c r="I44" s="16" t="n"/>
      <c r="J44" s="16" t="n"/>
    </row>
    <row r="45">
      <c r="A45" s="3" t="inlineStr">
        <is>
          <t>EVD-041</t>
        </is>
      </c>
      <c r="B45" s="16" t="n"/>
      <c r="C45" s="16" t="n"/>
      <c r="D45" s="16" t="n"/>
      <c r="E45" s="16" t="n"/>
      <c r="F45" s="16" t="n"/>
      <c r="G45" s="16" t="n"/>
      <c r="H45" s="16" t="n"/>
      <c r="I45" s="16" t="n"/>
      <c r="J45" s="16" t="n"/>
    </row>
    <row r="46">
      <c r="A46" s="3" t="inlineStr">
        <is>
          <t>EVD-042</t>
        </is>
      </c>
      <c r="B46" s="16" t="n"/>
      <c r="C46" s="16" t="n"/>
      <c r="D46" s="16" t="n"/>
      <c r="E46" s="16" t="n"/>
      <c r="F46" s="16" t="n"/>
      <c r="G46" s="16" t="n"/>
      <c r="H46" s="16" t="n"/>
      <c r="I46" s="16" t="n"/>
      <c r="J46" s="16" t="n"/>
    </row>
    <row r="47">
      <c r="A47" s="3" t="inlineStr">
        <is>
          <t>EVD-043</t>
        </is>
      </c>
      <c r="B47" s="16" t="n"/>
      <c r="C47" s="16" t="n"/>
      <c r="D47" s="16" t="n"/>
      <c r="E47" s="16" t="n"/>
      <c r="F47" s="16" t="n"/>
      <c r="G47" s="16" t="n"/>
      <c r="H47" s="16" t="n"/>
      <c r="I47" s="16" t="n"/>
      <c r="J47" s="16" t="n"/>
    </row>
    <row r="48">
      <c r="A48" s="3" t="inlineStr">
        <is>
          <t>EVD-044</t>
        </is>
      </c>
      <c r="B48" s="16" t="n"/>
      <c r="C48" s="16" t="n"/>
      <c r="D48" s="16" t="n"/>
      <c r="E48" s="16" t="n"/>
      <c r="F48" s="16" t="n"/>
      <c r="G48" s="16" t="n"/>
      <c r="H48" s="16" t="n"/>
      <c r="I48" s="16" t="n"/>
      <c r="J48" s="16" t="n"/>
    </row>
    <row r="49">
      <c r="A49" s="3" t="inlineStr">
        <is>
          <t>EVD-045</t>
        </is>
      </c>
      <c r="B49" s="16" t="n"/>
      <c r="C49" s="16" t="n"/>
      <c r="D49" s="16" t="n"/>
      <c r="E49" s="16" t="n"/>
      <c r="F49" s="16" t="n"/>
      <c r="G49" s="16" t="n"/>
      <c r="H49" s="16" t="n"/>
      <c r="I49" s="16" t="n"/>
      <c r="J49" s="16" t="n"/>
    </row>
    <row r="50">
      <c r="A50" s="3" t="inlineStr">
        <is>
          <t>EVD-046</t>
        </is>
      </c>
      <c r="B50" s="16" t="n"/>
      <c r="C50" s="16" t="n"/>
      <c r="D50" s="16" t="n"/>
      <c r="E50" s="16" t="n"/>
      <c r="F50" s="16" t="n"/>
      <c r="G50" s="16" t="n"/>
      <c r="H50" s="16" t="n"/>
      <c r="I50" s="16" t="n"/>
      <c r="J50" s="16" t="n"/>
    </row>
    <row r="51">
      <c r="A51" s="3" t="inlineStr">
        <is>
          <t>EVD-047</t>
        </is>
      </c>
      <c r="B51" s="16" t="n"/>
      <c r="C51" s="16" t="n"/>
      <c r="D51" s="16" t="n"/>
      <c r="E51" s="16" t="n"/>
      <c r="F51" s="16" t="n"/>
      <c r="G51" s="16" t="n"/>
      <c r="H51" s="16" t="n"/>
      <c r="I51" s="16" t="n"/>
      <c r="J51" s="16" t="n"/>
    </row>
    <row r="52">
      <c r="A52" s="3" t="inlineStr">
        <is>
          <t>EVD-048</t>
        </is>
      </c>
      <c r="B52" s="16" t="n"/>
      <c r="C52" s="16" t="n"/>
      <c r="D52" s="16" t="n"/>
      <c r="E52" s="16" t="n"/>
      <c r="F52" s="16" t="n"/>
      <c r="G52" s="16" t="n"/>
      <c r="H52" s="16" t="n"/>
      <c r="I52" s="16" t="n"/>
      <c r="J52" s="16" t="n"/>
    </row>
    <row r="53">
      <c r="A53" s="3" t="inlineStr">
        <is>
          <t>EVD-049</t>
        </is>
      </c>
      <c r="B53" s="16" t="n"/>
      <c r="C53" s="16" t="n"/>
      <c r="D53" s="16" t="n"/>
      <c r="E53" s="16" t="n"/>
      <c r="F53" s="16" t="n"/>
      <c r="G53" s="16" t="n"/>
      <c r="H53" s="16" t="n"/>
      <c r="I53" s="16" t="n"/>
      <c r="J53" s="16" t="n"/>
    </row>
    <row r="54">
      <c r="A54" s="3" t="inlineStr">
        <is>
          <t>EVD-050</t>
        </is>
      </c>
      <c r="B54" s="16" t="n"/>
      <c r="C54" s="16" t="n"/>
      <c r="D54" s="16" t="n"/>
      <c r="E54" s="16" t="n"/>
      <c r="F54" s="16" t="n"/>
      <c r="G54" s="16" t="n"/>
      <c r="H54" s="16" t="n"/>
      <c r="I54" s="16" t="n"/>
      <c r="J54" s="16" t="n"/>
    </row>
    <row r="55">
      <c r="A55" s="3" t="inlineStr">
        <is>
          <t>EVD-051</t>
        </is>
      </c>
      <c r="B55" s="16" t="n"/>
      <c r="C55" s="16" t="n"/>
      <c r="D55" s="16" t="n"/>
      <c r="E55" s="16" t="n"/>
      <c r="F55" s="16" t="n"/>
      <c r="G55" s="16" t="n"/>
      <c r="H55" s="16" t="n"/>
      <c r="I55" s="16" t="n"/>
      <c r="J55" s="16" t="n"/>
    </row>
    <row r="56">
      <c r="A56" s="3" t="inlineStr">
        <is>
          <t>EVD-052</t>
        </is>
      </c>
      <c r="B56" s="16" t="n"/>
      <c r="C56" s="16" t="n"/>
      <c r="D56" s="16" t="n"/>
      <c r="E56" s="16" t="n"/>
      <c r="F56" s="16" t="n"/>
      <c r="G56" s="16" t="n"/>
      <c r="H56" s="16" t="n"/>
      <c r="I56" s="16" t="n"/>
      <c r="J56" s="16" t="n"/>
    </row>
    <row r="57">
      <c r="A57" s="3" t="inlineStr">
        <is>
          <t>EVD-053</t>
        </is>
      </c>
      <c r="B57" s="16" t="n"/>
      <c r="C57" s="16" t="n"/>
      <c r="D57" s="16" t="n"/>
      <c r="E57" s="16" t="n"/>
      <c r="F57" s="16" t="n"/>
      <c r="G57" s="16" t="n"/>
      <c r="H57" s="16" t="n"/>
      <c r="I57" s="16" t="n"/>
      <c r="J57" s="16" t="n"/>
    </row>
    <row r="58">
      <c r="A58" s="3" t="inlineStr">
        <is>
          <t>EVD-054</t>
        </is>
      </c>
      <c r="B58" s="16" t="n"/>
      <c r="C58" s="16" t="n"/>
      <c r="D58" s="16" t="n"/>
      <c r="E58" s="16" t="n"/>
      <c r="F58" s="16" t="n"/>
      <c r="G58" s="16" t="n"/>
      <c r="H58" s="16" t="n"/>
      <c r="I58" s="16" t="n"/>
      <c r="J58" s="16" t="n"/>
    </row>
    <row r="59">
      <c r="A59" s="3" t="inlineStr">
        <is>
          <t>EVD-055</t>
        </is>
      </c>
      <c r="B59" s="16" t="n"/>
      <c r="C59" s="16" t="n"/>
      <c r="D59" s="16" t="n"/>
      <c r="E59" s="16" t="n"/>
      <c r="F59" s="16" t="n"/>
      <c r="G59" s="16" t="n"/>
      <c r="H59" s="16" t="n"/>
      <c r="I59" s="16" t="n"/>
      <c r="J59" s="16" t="n"/>
    </row>
    <row r="60">
      <c r="A60" s="3" t="inlineStr">
        <is>
          <t>EVD-056</t>
        </is>
      </c>
      <c r="B60" s="16" t="n"/>
      <c r="C60" s="16" t="n"/>
      <c r="D60" s="16" t="n"/>
      <c r="E60" s="16" t="n"/>
      <c r="F60" s="16" t="n"/>
      <c r="G60" s="16" t="n"/>
      <c r="H60" s="16" t="n"/>
      <c r="I60" s="16" t="n"/>
      <c r="J60" s="16" t="n"/>
    </row>
    <row r="61">
      <c r="A61" s="3" t="inlineStr">
        <is>
          <t>EVD-057</t>
        </is>
      </c>
      <c r="B61" s="16" t="n"/>
      <c r="C61" s="16" t="n"/>
      <c r="D61" s="16" t="n"/>
      <c r="E61" s="16" t="n"/>
      <c r="F61" s="16" t="n"/>
      <c r="G61" s="16" t="n"/>
      <c r="H61" s="16" t="n"/>
      <c r="I61" s="16" t="n"/>
      <c r="J61" s="16" t="n"/>
    </row>
    <row r="62">
      <c r="A62" s="3" t="inlineStr">
        <is>
          <t>EVD-058</t>
        </is>
      </c>
      <c r="B62" s="16" t="n"/>
      <c r="C62" s="16" t="n"/>
      <c r="D62" s="16" t="n"/>
      <c r="E62" s="16" t="n"/>
      <c r="F62" s="16" t="n"/>
      <c r="G62" s="16" t="n"/>
      <c r="H62" s="16" t="n"/>
      <c r="I62" s="16" t="n"/>
      <c r="J62" s="16" t="n"/>
    </row>
    <row r="63">
      <c r="A63" s="3" t="inlineStr">
        <is>
          <t>EVD-059</t>
        </is>
      </c>
      <c r="B63" s="16" t="n"/>
      <c r="C63" s="16" t="n"/>
      <c r="D63" s="16" t="n"/>
      <c r="E63" s="16" t="n"/>
      <c r="F63" s="16" t="n"/>
      <c r="G63" s="16" t="n"/>
      <c r="H63" s="16" t="n"/>
      <c r="I63" s="16" t="n"/>
      <c r="J63" s="16" t="n"/>
    </row>
    <row r="64">
      <c r="A64" s="3" t="inlineStr">
        <is>
          <t>EVD-060</t>
        </is>
      </c>
      <c r="B64" s="16" t="n"/>
      <c r="C64" s="16" t="n"/>
      <c r="D64" s="16" t="n"/>
      <c r="E64" s="16" t="n"/>
      <c r="F64" s="16" t="n"/>
      <c r="G64" s="16" t="n"/>
      <c r="H64" s="16" t="n"/>
      <c r="I64" s="16" t="n"/>
      <c r="J64" s="16" t="n"/>
    </row>
    <row r="65">
      <c r="A65" s="3" t="inlineStr">
        <is>
          <t>EVD-061</t>
        </is>
      </c>
      <c r="B65" s="16" t="n"/>
      <c r="C65" s="16" t="n"/>
      <c r="D65" s="16" t="n"/>
      <c r="E65" s="16" t="n"/>
      <c r="F65" s="16" t="n"/>
      <c r="G65" s="16" t="n"/>
      <c r="H65" s="16" t="n"/>
      <c r="I65" s="16" t="n"/>
      <c r="J65" s="16" t="n"/>
    </row>
    <row r="66">
      <c r="A66" s="3" t="inlineStr">
        <is>
          <t>EVD-062</t>
        </is>
      </c>
      <c r="B66" s="16" t="n"/>
      <c r="C66" s="16" t="n"/>
      <c r="D66" s="16" t="n"/>
      <c r="E66" s="16" t="n"/>
      <c r="F66" s="16" t="n"/>
      <c r="G66" s="16" t="n"/>
      <c r="H66" s="16" t="n"/>
      <c r="I66" s="16" t="n"/>
      <c r="J66" s="16" t="n"/>
    </row>
    <row r="67">
      <c r="A67" s="3" t="inlineStr">
        <is>
          <t>EVD-063</t>
        </is>
      </c>
      <c r="B67" s="16" t="n"/>
      <c r="C67" s="16" t="n"/>
      <c r="D67" s="16" t="n"/>
      <c r="E67" s="16" t="n"/>
      <c r="F67" s="16" t="n"/>
      <c r="G67" s="16" t="n"/>
      <c r="H67" s="16" t="n"/>
      <c r="I67" s="16" t="n"/>
      <c r="J67" s="16" t="n"/>
    </row>
    <row r="68">
      <c r="A68" s="3" t="inlineStr">
        <is>
          <t>EVD-064</t>
        </is>
      </c>
      <c r="B68" s="16" t="n"/>
      <c r="C68" s="16" t="n"/>
      <c r="D68" s="16" t="n"/>
      <c r="E68" s="16" t="n"/>
      <c r="F68" s="16" t="n"/>
      <c r="G68" s="16" t="n"/>
      <c r="H68" s="16" t="n"/>
      <c r="I68" s="16" t="n"/>
      <c r="J68" s="16" t="n"/>
    </row>
    <row r="69">
      <c r="A69" s="3" t="inlineStr">
        <is>
          <t>EVD-065</t>
        </is>
      </c>
      <c r="B69" s="16" t="n"/>
      <c r="C69" s="16" t="n"/>
      <c r="D69" s="16" t="n"/>
      <c r="E69" s="16" t="n"/>
      <c r="F69" s="16" t="n"/>
      <c r="G69" s="16" t="n"/>
      <c r="H69" s="16" t="n"/>
      <c r="I69" s="16" t="n"/>
      <c r="J69" s="16" t="n"/>
    </row>
    <row r="70">
      <c r="A70" s="3" t="inlineStr">
        <is>
          <t>EVD-066</t>
        </is>
      </c>
      <c r="B70" s="16" t="n"/>
      <c r="C70" s="16" t="n"/>
      <c r="D70" s="16" t="n"/>
      <c r="E70" s="16" t="n"/>
      <c r="F70" s="16" t="n"/>
      <c r="G70" s="16" t="n"/>
      <c r="H70" s="16" t="n"/>
      <c r="I70" s="16" t="n"/>
      <c r="J70" s="16" t="n"/>
    </row>
    <row r="71">
      <c r="A71" s="3" t="inlineStr">
        <is>
          <t>EVD-067</t>
        </is>
      </c>
      <c r="B71" s="16" t="n"/>
      <c r="C71" s="16" t="n"/>
      <c r="D71" s="16" t="n"/>
      <c r="E71" s="16" t="n"/>
      <c r="F71" s="16" t="n"/>
      <c r="G71" s="16" t="n"/>
      <c r="H71" s="16" t="n"/>
      <c r="I71" s="16" t="n"/>
      <c r="J71" s="16" t="n"/>
    </row>
    <row r="72">
      <c r="A72" s="3" t="inlineStr">
        <is>
          <t>EVD-068</t>
        </is>
      </c>
      <c r="B72" s="16" t="n"/>
      <c r="C72" s="16" t="n"/>
      <c r="D72" s="16" t="n"/>
      <c r="E72" s="16" t="n"/>
      <c r="F72" s="16" t="n"/>
      <c r="G72" s="16" t="n"/>
      <c r="H72" s="16" t="n"/>
      <c r="I72" s="16" t="n"/>
      <c r="J72" s="16" t="n"/>
    </row>
    <row r="73">
      <c r="A73" s="3" t="inlineStr">
        <is>
          <t>EVD-069</t>
        </is>
      </c>
      <c r="B73" s="16" t="n"/>
      <c r="C73" s="16" t="n"/>
      <c r="D73" s="16" t="n"/>
      <c r="E73" s="16" t="n"/>
      <c r="F73" s="16" t="n"/>
      <c r="G73" s="16" t="n"/>
      <c r="H73" s="16" t="n"/>
      <c r="I73" s="16" t="n"/>
      <c r="J73" s="16" t="n"/>
    </row>
    <row r="74">
      <c r="A74" s="3" t="inlineStr">
        <is>
          <t>EVD-070</t>
        </is>
      </c>
      <c r="B74" s="16" t="n"/>
      <c r="C74" s="16" t="n"/>
      <c r="D74" s="16" t="n"/>
      <c r="E74" s="16" t="n"/>
      <c r="F74" s="16" t="n"/>
      <c r="G74" s="16" t="n"/>
      <c r="H74" s="16" t="n"/>
      <c r="I74" s="16" t="n"/>
      <c r="J74" s="16" t="n"/>
    </row>
    <row r="75">
      <c r="A75" s="3" t="inlineStr">
        <is>
          <t>EVD-071</t>
        </is>
      </c>
      <c r="B75" s="16" t="n"/>
      <c r="C75" s="16" t="n"/>
      <c r="D75" s="16" t="n"/>
      <c r="E75" s="16" t="n"/>
      <c r="F75" s="16" t="n"/>
      <c r="G75" s="16" t="n"/>
      <c r="H75" s="16" t="n"/>
      <c r="I75" s="16" t="n"/>
      <c r="J75" s="16" t="n"/>
    </row>
    <row r="76">
      <c r="A76" s="3" t="inlineStr">
        <is>
          <t>EVD-072</t>
        </is>
      </c>
      <c r="B76" s="16" t="n"/>
      <c r="C76" s="16" t="n"/>
      <c r="D76" s="16" t="n"/>
      <c r="E76" s="16" t="n"/>
      <c r="F76" s="16" t="n"/>
      <c r="G76" s="16" t="n"/>
      <c r="H76" s="16" t="n"/>
      <c r="I76" s="16" t="n"/>
      <c r="J76" s="16" t="n"/>
    </row>
    <row r="77">
      <c r="A77" s="3" t="inlineStr">
        <is>
          <t>EVD-073</t>
        </is>
      </c>
      <c r="B77" s="16" t="n"/>
      <c r="C77" s="16" t="n"/>
      <c r="D77" s="16" t="n"/>
      <c r="E77" s="16" t="n"/>
      <c r="F77" s="16" t="n"/>
      <c r="G77" s="16" t="n"/>
      <c r="H77" s="16" t="n"/>
      <c r="I77" s="16" t="n"/>
      <c r="J77" s="16" t="n"/>
    </row>
    <row r="78">
      <c r="A78" s="3" t="inlineStr">
        <is>
          <t>EVD-074</t>
        </is>
      </c>
      <c r="B78" s="16" t="n"/>
      <c r="C78" s="16" t="n"/>
      <c r="D78" s="16" t="n"/>
      <c r="E78" s="16" t="n"/>
      <c r="F78" s="16" t="n"/>
      <c r="G78" s="16" t="n"/>
      <c r="H78" s="16" t="n"/>
      <c r="I78" s="16" t="n"/>
      <c r="J78" s="16" t="n"/>
    </row>
    <row r="79">
      <c r="A79" s="3" t="inlineStr">
        <is>
          <t>EVD-075</t>
        </is>
      </c>
      <c r="B79" s="16" t="n"/>
      <c r="C79" s="16" t="n"/>
      <c r="D79" s="16" t="n"/>
      <c r="E79" s="16" t="n"/>
      <c r="F79" s="16" t="n"/>
      <c r="G79" s="16" t="n"/>
      <c r="H79" s="16" t="n"/>
      <c r="I79" s="16" t="n"/>
      <c r="J79" s="16" t="n"/>
    </row>
    <row r="80">
      <c r="A80" s="3" t="inlineStr">
        <is>
          <t>EVD-076</t>
        </is>
      </c>
      <c r="B80" s="16" t="n"/>
      <c r="C80" s="16" t="n"/>
      <c r="D80" s="16" t="n"/>
      <c r="E80" s="16" t="n"/>
      <c r="F80" s="16" t="n"/>
      <c r="G80" s="16" t="n"/>
      <c r="H80" s="16" t="n"/>
      <c r="I80" s="16" t="n"/>
      <c r="J80" s="16" t="n"/>
    </row>
    <row r="81">
      <c r="A81" s="3" t="inlineStr">
        <is>
          <t>EVD-077</t>
        </is>
      </c>
      <c r="B81" s="16" t="n"/>
      <c r="C81" s="16" t="n"/>
      <c r="D81" s="16" t="n"/>
      <c r="E81" s="16" t="n"/>
      <c r="F81" s="16" t="n"/>
      <c r="G81" s="16" t="n"/>
      <c r="H81" s="16" t="n"/>
      <c r="I81" s="16" t="n"/>
      <c r="J81" s="16" t="n"/>
    </row>
    <row r="82">
      <c r="A82" s="3" t="inlineStr">
        <is>
          <t>EVD-078</t>
        </is>
      </c>
      <c r="B82" s="16" t="n"/>
      <c r="C82" s="16" t="n"/>
      <c r="D82" s="16" t="n"/>
      <c r="E82" s="16" t="n"/>
      <c r="F82" s="16" t="n"/>
      <c r="G82" s="16" t="n"/>
      <c r="H82" s="16" t="n"/>
      <c r="I82" s="16" t="n"/>
      <c r="J82" s="16" t="n"/>
    </row>
    <row r="83">
      <c r="A83" s="3" t="inlineStr">
        <is>
          <t>EVD-079</t>
        </is>
      </c>
      <c r="B83" s="16" t="n"/>
      <c r="C83" s="16" t="n"/>
      <c r="D83" s="16" t="n"/>
      <c r="E83" s="16" t="n"/>
      <c r="F83" s="16" t="n"/>
      <c r="G83" s="16" t="n"/>
      <c r="H83" s="16" t="n"/>
      <c r="I83" s="16" t="n"/>
      <c r="J83" s="16" t="n"/>
    </row>
    <row r="84">
      <c r="A84" s="3" t="inlineStr">
        <is>
          <t>EVD-080</t>
        </is>
      </c>
      <c r="B84" s="16" t="n"/>
      <c r="C84" s="16" t="n"/>
      <c r="D84" s="16" t="n"/>
      <c r="E84" s="16" t="n"/>
      <c r="F84" s="16" t="n"/>
      <c r="G84" s="16" t="n"/>
      <c r="H84" s="16" t="n"/>
      <c r="I84" s="16" t="n"/>
      <c r="J84" s="16" t="n"/>
    </row>
    <row r="85">
      <c r="A85" s="3" t="inlineStr">
        <is>
          <t>EVD-081</t>
        </is>
      </c>
      <c r="B85" s="16" t="n"/>
      <c r="C85" s="16" t="n"/>
      <c r="D85" s="16" t="n"/>
      <c r="E85" s="16" t="n"/>
      <c r="F85" s="16" t="n"/>
      <c r="G85" s="16" t="n"/>
      <c r="H85" s="16" t="n"/>
      <c r="I85" s="16" t="n"/>
      <c r="J85" s="16" t="n"/>
    </row>
    <row r="86">
      <c r="A86" s="3" t="inlineStr">
        <is>
          <t>EVD-082</t>
        </is>
      </c>
      <c r="B86" s="16" t="n"/>
      <c r="C86" s="16" t="n"/>
      <c r="D86" s="16" t="n"/>
      <c r="E86" s="16" t="n"/>
      <c r="F86" s="16" t="n"/>
      <c r="G86" s="16" t="n"/>
      <c r="H86" s="16" t="n"/>
      <c r="I86" s="16" t="n"/>
      <c r="J86" s="16" t="n"/>
    </row>
    <row r="87">
      <c r="A87" s="3" t="inlineStr">
        <is>
          <t>EVD-083</t>
        </is>
      </c>
      <c r="B87" s="16" t="n"/>
      <c r="C87" s="16" t="n"/>
      <c r="D87" s="16" t="n"/>
      <c r="E87" s="16" t="n"/>
      <c r="F87" s="16" t="n"/>
      <c r="G87" s="16" t="n"/>
      <c r="H87" s="16" t="n"/>
      <c r="I87" s="16" t="n"/>
      <c r="J87" s="16" t="n"/>
    </row>
    <row r="88">
      <c r="A88" s="3" t="inlineStr">
        <is>
          <t>EVD-084</t>
        </is>
      </c>
      <c r="B88" s="16" t="n"/>
      <c r="C88" s="16" t="n"/>
      <c r="D88" s="16" t="n"/>
      <c r="E88" s="16" t="n"/>
      <c r="F88" s="16" t="n"/>
      <c r="G88" s="16" t="n"/>
      <c r="H88" s="16" t="n"/>
      <c r="I88" s="16" t="n"/>
      <c r="J88" s="16" t="n"/>
    </row>
    <row r="89">
      <c r="A89" s="3" t="inlineStr">
        <is>
          <t>EVD-085</t>
        </is>
      </c>
      <c r="B89" s="16" t="n"/>
      <c r="C89" s="16" t="n"/>
      <c r="D89" s="16" t="n"/>
      <c r="E89" s="16" t="n"/>
      <c r="F89" s="16" t="n"/>
      <c r="G89" s="16" t="n"/>
      <c r="H89" s="16" t="n"/>
      <c r="I89" s="16" t="n"/>
      <c r="J89" s="16" t="n"/>
    </row>
    <row r="90">
      <c r="A90" s="3" t="inlineStr">
        <is>
          <t>EVD-086</t>
        </is>
      </c>
      <c r="B90" s="16" t="n"/>
      <c r="C90" s="16" t="n"/>
      <c r="D90" s="16" t="n"/>
      <c r="E90" s="16" t="n"/>
      <c r="F90" s="16" t="n"/>
      <c r="G90" s="16" t="n"/>
      <c r="H90" s="16" t="n"/>
      <c r="I90" s="16" t="n"/>
      <c r="J90" s="16" t="n"/>
    </row>
    <row r="91">
      <c r="A91" s="3" t="inlineStr">
        <is>
          <t>EVD-087</t>
        </is>
      </c>
      <c r="B91" s="16" t="n"/>
      <c r="C91" s="16" t="n"/>
      <c r="D91" s="16" t="n"/>
      <c r="E91" s="16" t="n"/>
      <c r="F91" s="16" t="n"/>
      <c r="G91" s="16" t="n"/>
      <c r="H91" s="16" t="n"/>
      <c r="I91" s="16" t="n"/>
      <c r="J91" s="16" t="n"/>
    </row>
    <row r="92">
      <c r="A92" s="3" t="inlineStr">
        <is>
          <t>EVD-088</t>
        </is>
      </c>
      <c r="B92" s="16" t="n"/>
      <c r="C92" s="16" t="n"/>
      <c r="D92" s="16" t="n"/>
      <c r="E92" s="16" t="n"/>
      <c r="F92" s="16" t="n"/>
      <c r="G92" s="16" t="n"/>
      <c r="H92" s="16" t="n"/>
      <c r="I92" s="16" t="n"/>
      <c r="J92" s="16" t="n"/>
    </row>
    <row r="93">
      <c r="A93" s="3" t="inlineStr">
        <is>
          <t>EVD-089</t>
        </is>
      </c>
      <c r="B93" s="16" t="n"/>
      <c r="C93" s="16" t="n"/>
      <c r="D93" s="16" t="n"/>
      <c r="E93" s="16" t="n"/>
      <c r="F93" s="16" t="n"/>
      <c r="G93" s="16" t="n"/>
      <c r="H93" s="16" t="n"/>
      <c r="I93" s="16" t="n"/>
      <c r="J93" s="16" t="n"/>
    </row>
    <row r="94">
      <c r="A94" s="3" t="inlineStr">
        <is>
          <t>EVD-090</t>
        </is>
      </c>
      <c r="B94" s="16" t="n"/>
      <c r="C94" s="16" t="n"/>
      <c r="D94" s="16" t="n"/>
      <c r="E94" s="16" t="n"/>
      <c r="F94" s="16" t="n"/>
      <c r="G94" s="16" t="n"/>
      <c r="H94" s="16" t="n"/>
      <c r="I94" s="16" t="n"/>
      <c r="J94" s="16" t="n"/>
    </row>
    <row r="95">
      <c r="A95" s="3" t="inlineStr">
        <is>
          <t>EVD-091</t>
        </is>
      </c>
      <c r="B95" s="16" t="n"/>
      <c r="C95" s="16" t="n"/>
      <c r="D95" s="16" t="n"/>
      <c r="E95" s="16" t="n"/>
      <c r="F95" s="16" t="n"/>
      <c r="G95" s="16" t="n"/>
      <c r="H95" s="16" t="n"/>
      <c r="I95" s="16" t="n"/>
      <c r="J95" s="16" t="n"/>
    </row>
    <row r="96">
      <c r="A96" s="3" t="inlineStr">
        <is>
          <t>EVD-092</t>
        </is>
      </c>
      <c r="B96" s="16" t="n"/>
      <c r="C96" s="16" t="n"/>
      <c r="D96" s="16" t="n"/>
      <c r="E96" s="16" t="n"/>
      <c r="F96" s="16" t="n"/>
      <c r="G96" s="16" t="n"/>
      <c r="H96" s="16" t="n"/>
      <c r="I96" s="16" t="n"/>
      <c r="J96" s="16" t="n"/>
    </row>
    <row r="97">
      <c r="A97" s="3" t="inlineStr">
        <is>
          <t>EVD-093</t>
        </is>
      </c>
      <c r="B97" s="16" t="n"/>
      <c r="C97" s="16" t="n"/>
      <c r="D97" s="16" t="n"/>
      <c r="E97" s="16" t="n"/>
      <c r="F97" s="16" t="n"/>
      <c r="G97" s="16" t="n"/>
      <c r="H97" s="16" t="n"/>
      <c r="I97" s="16" t="n"/>
      <c r="J97" s="16" t="n"/>
    </row>
    <row r="98">
      <c r="A98" s="3" t="inlineStr">
        <is>
          <t>EVD-094</t>
        </is>
      </c>
      <c r="B98" s="16" t="n"/>
      <c r="C98" s="16" t="n"/>
      <c r="D98" s="16" t="n"/>
      <c r="E98" s="16" t="n"/>
      <c r="F98" s="16" t="n"/>
      <c r="G98" s="16" t="n"/>
      <c r="H98" s="16" t="n"/>
      <c r="I98" s="16" t="n"/>
      <c r="J98" s="16" t="n"/>
    </row>
    <row r="99">
      <c r="A99" s="3" t="inlineStr">
        <is>
          <t>EVD-095</t>
        </is>
      </c>
      <c r="B99" s="16" t="n"/>
      <c r="C99" s="16" t="n"/>
      <c r="D99" s="16" t="n"/>
      <c r="E99" s="16" t="n"/>
      <c r="F99" s="16" t="n"/>
      <c r="G99" s="16" t="n"/>
      <c r="H99" s="16" t="n"/>
      <c r="I99" s="16" t="n"/>
      <c r="J99" s="16" t="n"/>
    </row>
    <row r="100">
      <c r="A100" s="3" t="inlineStr">
        <is>
          <t>EVD-096</t>
        </is>
      </c>
      <c r="B100" s="16" t="n"/>
      <c r="C100" s="16" t="n"/>
      <c r="D100" s="16" t="n"/>
      <c r="E100" s="16" t="n"/>
      <c r="F100" s="16" t="n"/>
      <c r="G100" s="16" t="n"/>
      <c r="H100" s="16" t="n"/>
      <c r="I100" s="16" t="n"/>
      <c r="J100" s="16" t="n"/>
    </row>
    <row r="101">
      <c r="A101" s="3" t="inlineStr">
        <is>
          <t>EVD-097</t>
        </is>
      </c>
      <c r="B101" s="16" t="n"/>
      <c r="C101" s="16" t="n"/>
      <c r="D101" s="16" t="n"/>
      <c r="E101" s="16" t="n"/>
      <c r="F101" s="16" t="n"/>
      <c r="G101" s="16" t="n"/>
      <c r="H101" s="16" t="n"/>
      <c r="I101" s="16" t="n"/>
      <c r="J101" s="16" t="n"/>
    </row>
    <row r="102">
      <c r="A102" s="3" t="inlineStr">
        <is>
          <t>EVD-098</t>
        </is>
      </c>
      <c r="B102" s="16" t="n"/>
      <c r="C102" s="16" t="n"/>
      <c r="D102" s="16" t="n"/>
      <c r="E102" s="16" t="n"/>
      <c r="F102" s="16" t="n"/>
      <c r="G102" s="16" t="n"/>
      <c r="H102" s="16" t="n"/>
      <c r="I102" s="16" t="n"/>
      <c r="J102" s="16" t="n"/>
    </row>
    <row r="103">
      <c r="A103" s="3" t="inlineStr">
        <is>
          <t>EVD-099</t>
        </is>
      </c>
      <c r="B103" s="16" t="n"/>
      <c r="C103" s="16" t="n"/>
      <c r="D103" s="16" t="n"/>
      <c r="E103" s="16" t="n"/>
      <c r="F103" s="16" t="n"/>
      <c r="G103" s="16" t="n"/>
      <c r="H103" s="16" t="n"/>
      <c r="I103" s="16" t="n"/>
      <c r="J103" s="16" t="n"/>
    </row>
    <row r="104">
      <c r="A104" s="3" t="inlineStr">
        <is>
          <t>EVD-100</t>
        </is>
      </c>
      <c r="B104" s="16" t="n"/>
      <c r="C104" s="16" t="n"/>
      <c r="D104" s="16" t="n"/>
      <c r="E104" s="16" t="n"/>
      <c r="F104" s="16" t="n"/>
      <c r="G104" s="16" t="n"/>
      <c r="H104" s="16" t="n"/>
      <c r="I104" s="16" t="n"/>
      <c r="J104" s="16" t="n"/>
    </row>
    <row r="107">
      <c r="A107" s="2" t="inlineStr">
        <is>
          <t>📊 EVIDENCE SUMMARY</t>
        </is>
      </c>
    </row>
    <row r="108">
      <c r="A108" s="3" t="inlineStr">
        <is>
          <t>Total Evidence Entries:</t>
        </is>
      </c>
      <c r="B108">
        <f>COUNTA(C5:C104)</f>
        <v/>
      </c>
    </row>
    <row r="109">
      <c r="A109" s="3" t="inlineStr">
        <is>
          <t>✅ Verified:</t>
        </is>
      </c>
      <c r="B109">
        <f>COUNTIF(I5:I104,"✅ Verified")</f>
        <v/>
      </c>
    </row>
    <row r="110">
      <c r="A110" s="3" t="inlineStr">
        <is>
          <t>⏳ Pending:</t>
        </is>
      </c>
      <c r="B110">
        <f>COUNTIF(I5:I104,"⏳ Pending")</f>
        <v/>
      </c>
    </row>
    <row r="111">
      <c r="A111" s="3" t="inlineStr">
        <is>
          <t>Verification Rate:</t>
        </is>
      </c>
      <c r="B111">
        <f>IF(B108&gt;0,B109/B108*100,0)&amp;"%"</f>
        <v/>
      </c>
    </row>
  </sheetData>
  <mergeCells count="3">
    <mergeCell ref="A1:J1"/>
    <mergeCell ref="A107:C107"/>
    <mergeCell ref="A2:J2"/>
  </mergeCells>
  <dataValidations count="2">
    <dataValidation sqref="B5 B6 B7 B8 B9 B10 B11 B12 B13 B14 B15 B16 B17 B18 B19 B20 B21 B22 B23 B24 B25 B26 B27 B28 B29 B30 B31 B32 B33 B34 B35 B36 B37 B38 B39 B40 B41 B42 B43 B44 B45 B46 B47 B48 B49 B50 B51 B52 B53 B54 B55 B56 B57 B58 B59 B60 B61 B62 B63 B64 B65 B66 B67 B68 B69 B70 B71 B72 B73 B74 B75 B76 B77 B78 B79 B80 B81 B82 B83 B84 B85 B86 B87 B88 B89 B90 B91 B92 B93 B94 B95 B96 B97 B98 B99 B100 B101 B102 B103 B104" showDropDown="0" showInputMessage="0" showErrorMessage="0" allowBlank="0" type="list">
      <formula1>"📄 Config Export,📸 Screenshot,📊 Report,📜 Certificate,📋 Policy,📁 Log File,🔐 Encryption Key Backup,Other"</formula1>
    </dataValidation>
    <dataValidation sqref="I5 I6 I7 I8 I9 I10 I11 I12 I13 I14 I15 I16 I17 I18 I19 I20 I21 I22 I23 I24 I25 I26 I27 I28 I29 I30 I31 I32 I33 I34 I35 I36 I37 I38 I39 I40 I41 I42 I43 I44 I45 I46 I47 I48 I49 I50 I51 I52 I53 I54 I55 I56 I57 I58 I59 I60 I61 I62 I63 I64 I65 I66 I67 I68 I69 I70 I71 I72 I73 I74 I75 I76 I77 I78 I79 I80 I81 I82 I83 I84 I85 I86 I87 I88 I89 I90 I91 I92 I93 I94 I95 I96 I97 I98 I99 I100 I101 I102 I103 I104" showDropDown="0" showInputMessage="0" showErrorMessage="0" allowBlank="0" type="list">
      <formula1>"✅ Verified,⏳ Pending,❌ Not Verified,⚠️ Needs Review"</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56"/>
  <sheetViews>
    <sheetView workbookViewId="0">
      <selection activeCell="A1" sqref="A1"/>
    </sheetView>
  </sheetViews>
  <sheetFormatPr baseColWidth="8" defaultRowHeight="15"/>
  <cols>
    <col width="12" customWidth="1" min="1" max="1"/>
    <col width="35" customWidth="1" min="2" max="2"/>
    <col width="20" customWidth="1" min="3" max="3"/>
    <col width="18" customWidth="1" min="4" max="4"/>
    <col width="15" customWidth="1" min="5" max="5"/>
    <col width="30" customWidth="1" min="6" max="6"/>
    <col width="30" customWidth="1" min="7" max="7"/>
    <col width="35" customWidth="1" min="8" max="8"/>
    <col width="20" customWidth="1" min="9" max="9"/>
    <col width="12" customWidth="1" min="10" max="10"/>
    <col width="18" customWidth="1" min="11" max="11"/>
    <col width="15" customWidth="1" min="12" max="12"/>
    <col width="30" customWidth="1" min="13" max="13"/>
  </cols>
  <sheetData>
    <row r="1" ht="25" customHeight="1">
      <c r="A1" s="1" t="inlineStr">
        <is>
          <t>GAP ANALYSIS &amp; REMEDIATION TRACKING</t>
        </is>
      </c>
    </row>
    <row r="2">
      <c r="A2" s="2" t="inlineStr">
        <is>
          <t>Gap identification, severity classification, remediation planning and tracking (40 gap entries)</t>
        </is>
      </c>
    </row>
    <row r="4">
      <c r="A4" s="5" t="inlineStr">
        <is>
          <t>Gap ID</t>
        </is>
      </c>
      <c r="B4" s="5" t="inlineStr">
        <is>
          <t>Gap Description</t>
        </is>
      </c>
      <c r="C4" s="5" t="inlineStr">
        <is>
          <t>Affected Devices/Count</t>
        </is>
      </c>
      <c r="D4" s="5" t="inlineStr">
        <is>
          <t>Related Requirement</t>
        </is>
      </c>
      <c r="E4" s="5" t="inlineStr">
        <is>
          <t>Severity</t>
        </is>
      </c>
      <c r="F4" s="5" t="inlineStr">
        <is>
          <t>Risk</t>
        </is>
      </c>
      <c r="G4" s="5" t="inlineStr">
        <is>
          <t>Root Cause</t>
        </is>
      </c>
      <c r="H4" s="5" t="inlineStr">
        <is>
          <t>Remediation Plan</t>
        </is>
      </c>
      <c r="I4" s="5" t="inlineStr">
        <is>
          <t>Owner</t>
        </is>
      </c>
      <c r="J4" s="5" t="inlineStr">
        <is>
          <t>Due Date</t>
        </is>
      </c>
      <c r="K4" s="5" t="inlineStr">
        <is>
          <t>Status</t>
        </is>
      </c>
      <c r="L4" s="5" t="inlineStr">
        <is>
          <t>Budget Required</t>
        </is>
      </c>
      <c r="M4" s="5" t="inlineStr">
        <is>
          <t>Notes</t>
        </is>
      </c>
    </row>
    <row r="5">
      <c r="A5" s="3" t="inlineStr">
        <is>
          <t>GAP-001</t>
        </is>
      </c>
      <c r="B5" s="16" t="n"/>
      <c r="C5" s="16" t="n"/>
      <c r="D5" s="16" t="n"/>
      <c r="E5" s="16" t="n"/>
      <c r="F5" s="16" t="n"/>
      <c r="G5" s="16" t="n"/>
      <c r="H5" s="16" t="n"/>
      <c r="I5" s="16" t="n"/>
      <c r="J5" s="16" t="n"/>
      <c r="K5" s="16" t="n"/>
      <c r="L5" s="16" t="n"/>
      <c r="M5" s="16" t="n"/>
    </row>
    <row r="6">
      <c r="A6" s="3" t="inlineStr">
        <is>
          <t>GAP-002</t>
        </is>
      </c>
      <c r="B6" s="16" t="n"/>
      <c r="C6" s="16" t="n"/>
      <c r="D6" s="16" t="n"/>
      <c r="E6" s="16" t="n"/>
      <c r="F6" s="16" t="n"/>
      <c r="G6" s="16" t="n"/>
      <c r="H6" s="16" t="n"/>
      <c r="I6" s="16" t="n"/>
      <c r="J6" s="16" t="n"/>
      <c r="K6" s="16" t="n"/>
      <c r="L6" s="16" t="n"/>
      <c r="M6" s="16" t="n"/>
    </row>
    <row r="7">
      <c r="A7" s="3" t="inlineStr">
        <is>
          <t>GAP-003</t>
        </is>
      </c>
      <c r="B7" s="16" t="n"/>
      <c r="C7" s="16" t="n"/>
      <c r="D7" s="16" t="n"/>
      <c r="E7" s="16" t="n"/>
      <c r="F7" s="16" t="n"/>
      <c r="G7" s="16" t="n"/>
      <c r="H7" s="16" t="n"/>
      <c r="I7" s="16" t="n"/>
      <c r="J7" s="16" t="n"/>
      <c r="K7" s="16" t="n"/>
      <c r="L7" s="16" t="n"/>
      <c r="M7" s="16" t="n"/>
    </row>
    <row r="8">
      <c r="A8" s="3" t="inlineStr">
        <is>
          <t>GAP-004</t>
        </is>
      </c>
      <c r="B8" s="16" t="n"/>
      <c r="C8" s="16" t="n"/>
      <c r="D8" s="16" t="n"/>
      <c r="E8" s="16" t="n"/>
      <c r="F8" s="16" t="n"/>
      <c r="G8" s="16" t="n"/>
      <c r="H8" s="16" t="n"/>
      <c r="I8" s="16" t="n"/>
      <c r="J8" s="16" t="n"/>
      <c r="K8" s="16" t="n"/>
      <c r="L8" s="16" t="n"/>
      <c r="M8" s="16" t="n"/>
    </row>
    <row r="9">
      <c r="A9" s="3" t="inlineStr">
        <is>
          <t>GAP-005</t>
        </is>
      </c>
      <c r="B9" s="16" t="n"/>
      <c r="C9" s="16" t="n"/>
      <c r="D9" s="16" t="n"/>
      <c r="E9" s="16" t="n"/>
      <c r="F9" s="16" t="n"/>
      <c r="G9" s="16" t="n"/>
      <c r="H9" s="16" t="n"/>
      <c r="I9" s="16" t="n"/>
      <c r="J9" s="16" t="n"/>
      <c r="K9" s="16" t="n"/>
      <c r="L9" s="16" t="n"/>
      <c r="M9" s="16" t="n"/>
    </row>
    <row r="10">
      <c r="A10" s="3" t="inlineStr">
        <is>
          <t>GAP-006</t>
        </is>
      </c>
      <c r="B10" s="16" t="n"/>
      <c r="C10" s="16" t="n"/>
      <c r="D10" s="16" t="n"/>
      <c r="E10" s="16" t="n"/>
      <c r="F10" s="16" t="n"/>
      <c r="G10" s="16" t="n"/>
      <c r="H10" s="16" t="n"/>
      <c r="I10" s="16" t="n"/>
      <c r="J10" s="16" t="n"/>
      <c r="K10" s="16" t="n"/>
      <c r="L10" s="16" t="n"/>
      <c r="M10" s="16" t="n"/>
    </row>
    <row r="11">
      <c r="A11" s="3" t="inlineStr">
        <is>
          <t>GAP-007</t>
        </is>
      </c>
      <c r="B11" s="16" t="n"/>
      <c r="C11" s="16" t="n"/>
      <c r="D11" s="16" t="n"/>
      <c r="E11" s="16" t="n"/>
      <c r="F11" s="16" t="n"/>
      <c r="G11" s="16" t="n"/>
      <c r="H11" s="16" t="n"/>
      <c r="I11" s="16" t="n"/>
      <c r="J11" s="16" t="n"/>
      <c r="K11" s="16" t="n"/>
      <c r="L11" s="16" t="n"/>
      <c r="M11" s="16" t="n"/>
    </row>
    <row r="12">
      <c r="A12" s="3" t="inlineStr">
        <is>
          <t>GAP-008</t>
        </is>
      </c>
      <c r="B12" s="16" t="n"/>
      <c r="C12" s="16" t="n"/>
      <c r="D12" s="16" t="n"/>
      <c r="E12" s="16" t="n"/>
      <c r="F12" s="16" t="n"/>
      <c r="G12" s="16" t="n"/>
      <c r="H12" s="16" t="n"/>
      <c r="I12" s="16" t="n"/>
      <c r="J12" s="16" t="n"/>
      <c r="K12" s="16" t="n"/>
      <c r="L12" s="16" t="n"/>
      <c r="M12" s="16" t="n"/>
    </row>
    <row r="13">
      <c r="A13" s="3" t="inlineStr">
        <is>
          <t>GAP-009</t>
        </is>
      </c>
      <c r="B13" s="16" t="n"/>
      <c r="C13" s="16" t="n"/>
      <c r="D13" s="16" t="n"/>
      <c r="E13" s="16" t="n"/>
      <c r="F13" s="16" t="n"/>
      <c r="G13" s="16" t="n"/>
      <c r="H13" s="16" t="n"/>
      <c r="I13" s="16" t="n"/>
      <c r="J13" s="16" t="n"/>
      <c r="K13" s="16" t="n"/>
      <c r="L13" s="16" t="n"/>
      <c r="M13" s="16" t="n"/>
    </row>
    <row r="14">
      <c r="A14" s="3" t="inlineStr">
        <is>
          <t>GAP-010</t>
        </is>
      </c>
      <c r="B14" s="16" t="n"/>
      <c r="C14" s="16" t="n"/>
      <c r="D14" s="16" t="n"/>
      <c r="E14" s="16" t="n"/>
      <c r="F14" s="16" t="n"/>
      <c r="G14" s="16" t="n"/>
      <c r="H14" s="16" t="n"/>
      <c r="I14" s="16" t="n"/>
      <c r="J14" s="16" t="n"/>
      <c r="K14" s="16" t="n"/>
      <c r="L14" s="16" t="n"/>
      <c r="M14" s="16" t="n"/>
    </row>
    <row r="15">
      <c r="A15" s="3" t="inlineStr">
        <is>
          <t>GAP-011</t>
        </is>
      </c>
      <c r="B15" s="16" t="n"/>
      <c r="C15" s="16" t="n"/>
      <c r="D15" s="16" t="n"/>
      <c r="E15" s="16" t="n"/>
      <c r="F15" s="16" t="n"/>
      <c r="G15" s="16" t="n"/>
      <c r="H15" s="16" t="n"/>
      <c r="I15" s="16" t="n"/>
      <c r="J15" s="16" t="n"/>
      <c r="K15" s="16" t="n"/>
      <c r="L15" s="16" t="n"/>
      <c r="M15" s="16" t="n"/>
    </row>
    <row r="16">
      <c r="A16" s="3" t="inlineStr">
        <is>
          <t>GAP-012</t>
        </is>
      </c>
      <c r="B16" s="16" t="n"/>
      <c r="C16" s="16" t="n"/>
      <c r="D16" s="16" t="n"/>
      <c r="E16" s="16" t="n"/>
      <c r="F16" s="16" t="n"/>
      <c r="G16" s="16" t="n"/>
      <c r="H16" s="16" t="n"/>
      <c r="I16" s="16" t="n"/>
      <c r="J16" s="16" t="n"/>
      <c r="K16" s="16" t="n"/>
      <c r="L16" s="16" t="n"/>
      <c r="M16" s="16" t="n"/>
    </row>
    <row r="17">
      <c r="A17" s="3" t="inlineStr">
        <is>
          <t>GAP-013</t>
        </is>
      </c>
      <c r="B17" s="16" t="n"/>
      <c r="C17" s="16" t="n"/>
      <c r="D17" s="16" t="n"/>
      <c r="E17" s="16" t="n"/>
      <c r="F17" s="16" t="n"/>
      <c r="G17" s="16" t="n"/>
      <c r="H17" s="16" t="n"/>
      <c r="I17" s="16" t="n"/>
      <c r="J17" s="16" t="n"/>
      <c r="K17" s="16" t="n"/>
      <c r="L17" s="16" t="n"/>
      <c r="M17" s="16" t="n"/>
    </row>
    <row r="18">
      <c r="A18" s="3" t="inlineStr">
        <is>
          <t>GAP-014</t>
        </is>
      </c>
      <c r="B18" s="16" t="n"/>
      <c r="C18" s="16" t="n"/>
      <c r="D18" s="16" t="n"/>
      <c r="E18" s="16" t="n"/>
      <c r="F18" s="16" t="n"/>
      <c r="G18" s="16" t="n"/>
      <c r="H18" s="16" t="n"/>
      <c r="I18" s="16" t="n"/>
      <c r="J18" s="16" t="n"/>
      <c r="K18" s="16" t="n"/>
      <c r="L18" s="16" t="n"/>
      <c r="M18" s="16" t="n"/>
    </row>
    <row r="19">
      <c r="A19" s="3" t="inlineStr">
        <is>
          <t>GAP-015</t>
        </is>
      </c>
      <c r="B19" s="16" t="n"/>
      <c r="C19" s="16" t="n"/>
      <c r="D19" s="16" t="n"/>
      <c r="E19" s="16" t="n"/>
      <c r="F19" s="16" t="n"/>
      <c r="G19" s="16" t="n"/>
      <c r="H19" s="16" t="n"/>
      <c r="I19" s="16" t="n"/>
      <c r="J19" s="16" t="n"/>
      <c r="K19" s="16" t="n"/>
      <c r="L19" s="16" t="n"/>
      <c r="M19" s="16" t="n"/>
    </row>
    <row r="20">
      <c r="A20" s="3" t="inlineStr">
        <is>
          <t>GAP-016</t>
        </is>
      </c>
      <c r="B20" s="16" t="n"/>
      <c r="C20" s="16" t="n"/>
      <c r="D20" s="16" t="n"/>
      <c r="E20" s="16" t="n"/>
      <c r="F20" s="16" t="n"/>
      <c r="G20" s="16" t="n"/>
      <c r="H20" s="16" t="n"/>
      <c r="I20" s="16" t="n"/>
      <c r="J20" s="16" t="n"/>
      <c r="K20" s="16" t="n"/>
      <c r="L20" s="16" t="n"/>
      <c r="M20" s="16" t="n"/>
    </row>
    <row r="21">
      <c r="A21" s="3" t="inlineStr">
        <is>
          <t>GAP-017</t>
        </is>
      </c>
      <c r="B21" s="16" t="n"/>
      <c r="C21" s="16" t="n"/>
      <c r="D21" s="16" t="n"/>
      <c r="E21" s="16" t="n"/>
      <c r="F21" s="16" t="n"/>
      <c r="G21" s="16" t="n"/>
      <c r="H21" s="16" t="n"/>
      <c r="I21" s="16" t="n"/>
      <c r="J21" s="16" t="n"/>
      <c r="K21" s="16" t="n"/>
      <c r="L21" s="16" t="n"/>
      <c r="M21" s="16" t="n"/>
    </row>
    <row r="22">
      <c r="A22" s="3" t="inlineStr">
        <is>
          <t>GAP-018</t>
        </is>
      </c>
      <c r="B22" s="16" t="n"/>
      <c r="C22" s="16" t="n"/>
      <c r="D22" s="16" t="n"/>
      <c r="E22" s="16" t="n"/>
      <c r="F22" s="16" t="n"/>
      <c r="G22" s="16" t="n"/>
      <c r="H22" s="16" t="n"/>
      <c r="I22" s="16" t="n"/>
      <c r="J22" s="16" t="n"/>
      <c r="K22" s="16" t="n"/>
      <c r="L22" s="16" t="n"/>
      <c r="M22" s="16" t="n"/>
    </row>
    <row r="23">
      <c r="A23" s="3" t="inlineStr">
        <is>
          <t>GAP-019</t>
        </is>
      </c>
      <c r="B23" s="16" t="n"/>
      <c r="C23" s="16" t="n"/>
      <c r="D23" s="16" t="n"/>
      <c r="E23" s="16" t="n"/>
      <c r="F23" s="16" t="n"/>
      <c r="G23" s="16" t="n"/>
      <c r="H23" s="16" t="n"/>
      <c r="I23" s="16" t="n"/>
      <c r="J23" s="16" t="n"/>
      <c r="K23" s="16" t="n"/>
      <c r="L23" s="16" t="n"/>
      <c r="M23" s="16" t="n"/>
    </row>
    <row r="24">
      <c r="A24" s="3" t="inlineStr">
        <is>
          <t>GAP-020</t>
        </is>
      </c>
      <c r="B24" s="16" t="n"/>
      <c r="C24" s="16" t="n"/>
      <c r="D24" s="16" t="n"/>
      <c r="E24" s="16" t="n"/>
      <c r="F24" s="16" t="n"/>
      <c r="G24" s="16" t="n"/>
      <c r="H24" s="16" t="n"/>
      <c r="I24" s="16" t="n"/>
      <c r="J24" s="16" t="n"/>
      <c r="K24" s="16" t="n"/>
      <c r="L24" s="16" t="n"/>
      <c r="M24" s="16" t="n"/>
    </row>
    <row r="25">
      <c r="A25" s="3" t="inlineStr">
        <is>
          <t>GAP-021</t>
        </is>
      </c>
      <c r="B25" s="16" t="n"/>
      <c r="C25" s="16" t="n"/>
      <c r="D25" s="16" t="n"/>
      <c r="E25" s="16" t="n"/>
      <c r="F25" s="16" t="n"/>
      <c r="G25" s="16" t="n"/>
      <c r="H25" s="16" t="n"/>
      <c r="I25" s="16" t="n"/>
      <c r="J25" s="16" t="n"/>
      <c r="K25" s="16" t="n"/>
      <c r="L25" s="16" t="n"/>
      <c r="M25" s="16" t="n"/>
    </row>
    <row r="26">
      <c r="A26" s="3" t="inlineStr">
        <is>
          <t>GAP-022</t>
        </is>
      </c>
      <c r="B26" s="16" t="n"/>
      <c r="C26" s="16" t="n"/>
      <c r="D26" s="16" t="n"/>
      <c r="E26" s="16" t="n"/>
      <c r="F26" s="16" t="n"/>
      <c r="G26" s="16" t="n"/>
      <c r="H26" s="16" t="n"/>
      <c r="I26" s="16" t="n"/>
      <c r="J26" s="16" t="n"/>
      <c r="K26" s="16" t="n"/>
      <c r="L26" s="16" t="n"/>
      <c r="M26" s="16" t="n"/>
    </row>
    <row r="27">
      <c r="A27" s="3" t="inlineStr">
        <is>
          <t>GAP-023</t>
        </is>
      </c>
      <c r="B27" s="16" t="n"/>
      <c r="C27" s="16" t="n"/>
      <c r="D27" s="16" t="n"/>
      <c r="E27" s="16" t="n"/>
      <c r="F27" s="16" t="n"/>
      <c r="G27" s="16" t="n"/>
      <c r="H27" s="16" t="n"/>
      <c r="I27" s="16" t="n"/>
      <c r="J27" s="16" t="n"/>
      <c r="K27" s="16" t="n"/>
      <c r="L27" s="16" t="n"/>
      <c r="M27" s="16" t="n"/>
    </row>
    <row r="28">
      <c r="A28" s="3" t="inlineStr">
        <is>
          <t>GAP-024</t>
        </is>
      </c>
      <c r="B28" s="16" t="n"/>
      <c r="C28" s="16" t="n"/>
      <c r="D28" s="16" t="n"/>
      <c r="E28" s="16" t="n"/>
      <c r="F28" s="16" t="n"/>
      <c r="G28" s="16" t="n"/>
      <c r="H28" s="16" t="n"/>
      <c r="I28" s="16" t="n"/>
      <c r="J28" s="16" t="n"/>
      <c r="K28" s="16" t="n"/>
      <c r="L28" s="16" t="n"/>
      <c r="M28" s="16" t="n"/>
    </row>
    <row r="29">
      <c r="A29" s="3" t="inlineStr">
        <is>
          <t>GAP-025</t>
        </is>
      </c>
      <c r="B29" s="16" t="n"/>
      <c r="C29" s="16" t="n"/>
      <c r="D29" s="16" t="n"/>
      <c r="E29" s="16" t="n"/>
      <c r="F29" s="16" t="n"/>
      <c r="G29" s="16" t="n"/>
      <c r="H29" s="16" t="n"/>
      <c r="I29" s="16" t="n"/>
      <c r="J29" s="16" t="n"/>
      <c r="K29" s="16" t="n"/>
      <c r="L29" s="16" t="n"/>
      <c r="M29" s="16" t="n"/>
    </row>
    <row r="30">
      <c r="A30" s="3" t="inlineStr">
        <is>
          <t>GAP-026</t>
        </is>
      </c>
      <c r="B30" s="16" t="n"/>
      <c r="C30" s="16" t="n"/>
      <c r="D30" s="16" t="n"/>
      <c r="E30" s="16" t="n"/>
      <c r="F30" s="16" t="n"/>
      <c r="G30" s="16" t="n"/>
      <c r="H30" s="16" t="n"/>
      <c r="I30" s="16" t="n"/>
      <c r="J30" s="16" t="n"/>
      <c r="K30" s="16" t="n"/>
      <c r="L30" s="16" t="n"/>
      <c r="M30" s="16" t="n"/>
    </row>
    <row r="31">
      <c r="A31" s="3" t="inlineStr">
        <is>
          <t>GAP-027</t>
        </is>
      </c>
      <c r="B31" s="16" t="n"/>
      <c r="C31" s="16" t="n"/>
      <c r="D31" s="16" t="n"/>
      <c r="E31" s="16" t="n"/>
      <c r="F31" s="16" t="n"/>
      <c r="G31" s="16" t="n"/>
      <c r="H31" s="16" t="n"/>
      <c r="I31" s="16" t="n"/>
      <c r="J31" s="16" t="n"/>
      <c r="K31" s="16" t="n"/>
      <c r="L31" s="16" t="n"/>
      <c r="M31" s="16" t="n"/>
    </row>
    <row r="32">
      <c r="A32" s="3" t="inlineStr">
        <is>
          <t>GAP-028</t>
        </is>
      </c>
      <c r="B32" s="16" t="n"/>
      <c r="C32" s="16" t="n"/>
      <c r="D32" s="16" t="n"/>
      <c r="E32" s="16" t="n"/>
      <c r="F32" s="16" t="n"/>
      <c r="G32" s="16" t="n"/>
      <c r="H32" s="16" t="n"/>
      <c r="I32" s="16" t="n"/>
      <c r="J32" s="16" t="n"/>
      <c r="K32" s="16" t="n"/>
      <c r="L32" s="16" t="n"/>
      <c r="M32" s="16" t="n"/>
    </row>
    <row r="33">
      <c r="A33" s="3" t="inlineStr">
        <is>
          <t>GAP-029</t>
        </is>
      </c>
      <c r="B33" s="16" t="n"/>
      <c r="C33" s="16" t="n"/>
      <c r="D33" s="16" t="n"/>
      <c r="E33" s="16" t="n"/>
      <c r="F33" s="16" t="n"/>
      <c r="G33" s="16" t="n"/>
      <c r="H33" s="16" t="n"/>
      <c r="I33" s="16" t="n"/>
      <c r="J33" s="16" t="n"/>
      <c r="K33" s="16" t="n"/>
      <c r="L33" s="16" t="n"/>
      <c r="M33" s="16" t="n"/>
    </row>
    <row r="34">
      <c r="A34" s="3" t="inlineStr">
        <is>
          <t>GAP-030</t>
        </is>
      </c>
      <c r="B34" s="16" t="n"/>
      <c r="C34" s="16" t="n"/>
      <c r="D34" s="16" t="n"/>
      <c r="E34" s="16" t="n"/>
      <c r="F34" s="16" t="n"/>
      <c r="G34" s="16" t="n"/>
      <c r="H34" s="16" t="n"/>
      <c r="I34" s="16" t="n"/>
      <c r="J34" s="16" t="n"/>
      <c r="K34" s="16" t="n"/>
      <c r="L34" s="16" t="n"/>
      <c r="M34" s="16" t="n"/>
    </row>
    <row r="35">
      <c r="A35" s="3" t="inlineStr">
        <is>
          <t>GAP-031</t>
        </is>
      </c>
      <c r="B35" s="16" t="n"/>
      <c r="C35" s="16" t="n"/>
      <c r="D35" s="16" t="n"/>
      <c r="E35" s="16" t="n"/>
      <c r="F35" s="16" t="n"/>
      <c r="G35" s="16" t="n"/>
      <c r="H35" s="16" t="n"/>
      <c r="I35" s="16" t="n"/>
      <c r="J35" s="16" t="n"/>
      <c r="K35" s="16" t="n"/>
      <c r="L35" s="16" t="n"/>
      <c r="M35" s="16" t="n"/>
    </row>
    <row r="36">
      <c r="A36" s="3" t="inlineStr">
        <is>
          <t>GAP-032</t>
        </is>
      </c>
      <c r="B36" s="16" t="n"/>
      <c r="C36" s="16" t="n"/>
      <c r="D36" s="16" t="n"/>
      <c r="E36" s="16" t="n"/>
      <c r="F36" s="16" t="n"/>
      <c r="G36" s="16" t="n"/>
      <c r="H36" s="16" t="n"/>
      <c r="I36" s="16" t="n"/>
      <c r="J36" s="16" t="n"/>
      <c r="K36" s="16" t="n"/>
      <c r="L36" s="16" t="n"/>
      <c r="M36" s="16" t="n"/>
    </row>
    <row r="37">
      <c r="A37" s="3" t="inlineStr">
        <is>
          <t>GAP-033</t>
        </is>
      </c>
      <c r="B37" s="16" t="n"/>
      <c r="C37" s="16" t="n"/>
      <c r="D37" s="16" t="n"/>
      <c r="E37" s="16" t="n"/>
      <c r="F37" s="16" t="n"/>
      <c r="G37" s="16" t="n"/>
      <c r="H37" s="16" t="n"/>
      <c r="I37" s="16" t="n"/>
      <c r="J37" s="16" t="n"/>
      <c r="K37" s="16" t="n"/>
      <c r="L37" s="16" t="n"/>
      <c r="M37" s="16" t="n"/>
    </row>
    <row r="38">
      <c r="A38" s="3" t="inlineStr">
        <is>
          <t>GAP-034</t>
        </is>
      </c>
      <c r="B38" s="16" t="n"/>
      <c r="C38" s="16" t="n"/>
      <c r="D38" s="16" t="n"/>
      <c r="E38" s="16" t="n"/>
      <c r="F38" s="16" t="n"/>
      <c r="G38" s="16" t="n"/>
      <c r="H38" s="16" t="n"/>
      <c r="I38" s="16" t="n"/>
      <c r="J38" s="16" t="n"/>
      <c r="K38" s="16" t="n"/>
      <c r="L38" s="16" t="n"/>
      <c r="M38" s="16" t="n"/>
    </row>
    <row r="39">
      <c r="A39" s="3" t="inlineStr">
        <is>
          <t>GAP-035</t>
        </is>
      </c>
      <c r="B39" s="16" t="n"/>
      <c r="C39" s="16" t="n"/>
      <c r="D39" s="16" t="n"/>
      <c r="E39" s="16" t="n"/>
      <c r="F39" s="16" t="n"/>
      <c r="G39" s="16" t="n"/>
      <c r="H39" s="16" t="n"/>
      <c r="I39" s="16" t="n"/>
      <c r="J39" s="16" t="n"/>
      <c r="K39" s="16" t="n"/>
      <c r="L39" s="16" t="n"/>
      <c r="M39" s="16" t="n"/>
    </row>
    <row r="40">
      <c r="A40" s="3" t="inlineStr">
        <is>
          <t>GAP-036</t>
        </is>
      </c>
      <c r="B40" s="16" t="n"/>
      <c r="C40" s="16" t="n"/>
      <c r="D40" s="16" t="n"/>
      <c r="E40" s="16" t="n"/>
      <c r="F40" s="16" t="n"/>
      <c r="G40" s="16" t="n"/>
      <c r="H40" s="16" t="n"/>
      <c r="I40" s="16" t="n"/>
      <c r="J40" s="16" t="n"/>
      <c r="K40" s="16" t="n"/>
      <c r="L40" s="16" t="n"/>
      <c r="M40" s="16" t="n"/>
    </row>
    <row r="41">
      <c r="A41" s="3" t="inlineStr">
        <is>
          <t>GAP-037</t>
        </is>
      </c>
      <c r="B41" s="16" t="n"/>
      <c r="C41" s="16" t="n"/>
      <c r="D41" s="16" t="n"/>
      <c r="E41" s="16" t="n"/>
      <c r="F41" s="16" t="n"/>
      <c r="G41" s="16" t="n"/>
      <c r="H41" s="16" t="n"/>
      <c r="I41" s="16" t="n"/>
      <c r="J41" s="16" t="n"/>
      <c r="K41" s="16" t="n"/>
      <c r="L41" s="16" t="n"/>
      <c r="M41" s="16" t="n"/>
    </row>
    <row r="42">
      <c r="A42" s="3" t="inlineStr">
        <is>
          <t>GAP-038</t>
        </is>
      </c>
      <c r="B42" s="16" t="n"/>
      <c r="C42" s="16" t="n"/>
      <c r="D42" s="16" t="n"/>
      <c r="E42" s="16" t="n"/>
      <c r="F42" s="16" t="n"/>
      <c r="G42" s="16" t="n"/>
      <c r="H42" s="16" t="n"/>
      <c r="I42" s="16" t="n"/>
      <c r="J42" s="16" t="n"/>
      <c r="K42" s="16" t="n"/>
      <c r="L42" s="16" t="n"/>
      <c r="M42" s="16" t="n"/>
    </row>
    <row r="43">
      <c r="A43" s="3" t="inlineStr">
        <is>
          <t>GAP-039</t>
        </is>
      </c>
      <c r="B43" s="16" t="n"/>
      <c r="C43" s="16" t="n"/>
      <c r="D43" s="16" t="n"/>
      <c r="E43" s="16" t="n"/>
      <c r="F43" s="16" t="n"/>
      <c r="G43" s="16" t="n"/>
      <c r="H43" s="16" t="n"/>
      <c r="I43" s="16" t="n"/>
      <c r="J43" s="16" t="n"/>
      <c r="K43" s="16" t="n"/>
      <c r="L43" s="16" t="n"/>
      <c r="M43" s="16" t="n"/>
    </row>
    <row r="44">
      <c r="A44" s="3" t="inlineStr">
        <is>
          <t>GAP-040</t>
        </is>
      </c>
      <c r="B44" s="16" t="n"/>
      <c r="C44" s="16" t="n"/>
      <c r="D44" s="16" t="n"/>
      <c r="E44" s="16" t="n"/>
      <c r="F44" s="16" t="n"/>
      <c r="G44" s="16" t="n"/>
      <c r="H44" s="16" t="n"/>
      <c r="I44" s="16" t="n"/>
      <c r="J44" s="16" t="n"/>
      <c r="K44" s="16" t="n"/>
      <c r="L44" s="16" t="n"/>
      <c r="M44" s="16" t="n"/>
    </row>
    <row r="47">
      <c r="A47" s="2" t="inlineStr">
        <is>
          <t>📊 GAP SUMMARY BY SEVERITY</t>
        </is>
      </c>
    </row>
    <row r="48">
      <c r="A48" s="17" t="inlineStr">
        <is>
          <t>🔴 Critical:</t>
        </is>
      </c>
      <c r="B48">
        <f>COUNTIF(E5:E44,"🔴 Critical")</f>
        <v/>
      </c>
    </row>
    <row r="49">
      <c r="A49" s="18" t="inlineStr">
        <is>
          <t>🟠 High:</t>
        </is>
      </c>
      <c r="B49">
        <f>COUNTIF(E5:E44,"🟠 High")</f>
        <v/>
      </c>
    </row>
    <row r="50">
      <c r="A50" s="19" t="inlineStr">
        <is>
          <t>🟡 Medium:</t>
        </is>
      </c>
      <c r="B50">
        <f>COUNTIF(E5:E44,"🟡 Medium")</f>
        <v/>
      </c>
    </row>
    <row r="51">
      <c r="A51" s="20" t="inlineStr">
        <is>
          <t>🟢 Low:</t>
        </is>
      </c>
      <c r="B51">
        <f>COUNTIF(E5:E44,"🟢 Low")</f>
        <v/>
      </c>
    </row>
    <row r="53">
      <c r="A53" s="2" t="inlineStr">
        <is>
          <t>📊 GAP SUMMARY BY STATUS</t>
        </is>
      </c>
    </row>
    <row r="54">
      <c r="A54" s="3" t="inlineStr">
        <is>
          <t>🔴 Open:</t>
        </is>
      </c>
      <c r="B54">
        <f>COUNTIF(K5:K44,"🔴 Open")</f>
        <v/>
      </c>
    </row>
    <row r="55">
      <c r="A55" s="3" t="inlineStr">
        <is>
          <t>🟡 In Progress:</t>
        </is>
      </c>
      <c r="B55">
        <f>COUNTIF(K5:K44,"🟡 In Progress")</f>
        <v/>
      </c>
    </row>
    <row r="56">
      <c r="A56" s="3" t="inlineStr">
        <is>
          <t>✅ Closed:</t>
        </is>
      </c>
      <c r="B56">
        <f>COUNTIF(K5:K44,"✅ Closed")</f>
        <v/>
      </c>
    </row>
  </sheetData>
  <mergeCells count="4">
    <mergeCell ref="A53:D53"/>
    <mergeCell ref="A47:D47"/>
    <mergeCell ref="A2:M2"/>
    <mergeCell ref="A1:M1"/>
  </mergeCells>
  <dataValidations count="2">
    <dataValidation sqref="E5 E6 E7 E8 E9 E10 E11 E12 E13 E14 E15 E16 E17 E18 E19 E20 E21 E22 E23 E24 E25 E26 E27 E28 E29 E30 E31 E32 E33 E34 E35 E36 E37 E38 E39 E40 E41 E42 E43 E44" showDropDown="0" showInputMessage="0" showErrorMessage="0" allowBlank="0" type="list">
      <formula1>"🔴 Critical,🟠 High,🟡 Medium,🟢 Low"</formula1>
    </dataValidation>
    <dataValidation sqref="K5 K6 K7 K8 K9 K10 K11 K12 K13 K14 K15 K16 K17 K18 K19 K20 K21 K22 K23 K24 K25 K26 K27 K28 K29 K30 K31 K32 K33 K34 K35 K36 K37 K38 K39 K40 K41 K42 K43 K44" showDropDown="0" showInputMessage="0" showErrorMessage="0" allowBlank="0" type="list">
      <formula1>"🔴 Open,🟡 In Progress,🟢 Resolved,✅ Closed,⏸️ On Hold"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25" customWidth="1" min="1" max="1"/>
    <col width="30" customWidth="1" min="2" max="2"/>
    <col width="20" customWidth="1" min="3" max="3"/>
    <col width="20" customWidth="1" min="4" max="4"/>
    <col width="20" customWidth="1" min="5" max="5"/>
    <col width="20" customWidth="1" min="6" max="6"/>
  </cols>
  <sheetData>
    <row r="1" ht="25" customHeight="1">
      <c r="A1" s="1" t="inlineStr">
        <is>
          <t>APPROVAL &amp; SIGN-OFF WORKFLOW</t>
        </is>
      </c>
    </row>
    <row r="2">
      <c r="A2" s="2" t="inlineStr">
        <is>
          <t>Three-level approval: Assessor → IT Operations Manager → CISO</t>
        </is>
      </c>
    </row>
    <row r="4">
      <c r="A4" s="2" t="inlineStr">
        <is>
          <t>📋 ASSESSMENT SUMMARY</t>
        </is>
      </c>
    </row>
    <row r="5">
      <c r="A5" s="3" t="inlineStr">
        <is>
          <t>Assessment Period:</t>
        </is>
      </c>
      <c r="B5" t="inlineStr">
        <is>
          <t>[Start Date] to [End Date]</t>
        </is>
      </c>
    </row>
    <row r="6">
      <c r="A6" s="3" t="inlineStr">
        <is>
          <t>Total Endpoints Assessed:</t>
        </is>
      </c>
      <c r="B6">
        <f>COUNTA(Inventory!A5:A54)</f>
        <v/>
      </c>
    </row>
    <row r="7">
      <c r="A7" s="3" t="inlineStr">
        <is>
          <t>Baseline Compliance Rate:</t>
        </is>
      </c>
      <c r="B7">
        <f>Baseline_Compliance!B58</f>
        <v/>
      </c>
    </row>
    <row r="8">
      <c r="A8" s="3" t="inlineStr">
        <is>
          <t>Encryption Coverage Rate:</t>
        </is>
      </c>
      <c r="B8">
        <f>Encryption_Status!B58</f>
        <v/>
      </c>
    </row>
    <row r="9">
      <c r="A9" s="3" t="inlineStr">
        <is>
          <t>MDM Enrollment Rate:</t>
        </is>
      </c>
      <c r="B9">
        <f>Management_Enrollment!B58</f>
        <v/>
      </c>
    </row>
    <row r="10">
      <c r="A10" s="3" t="inlineStr">
        <is>
          <t>Requirements Implemented:</t>
        </is>
      </c>
      <c r="B10">
        <f>Capability_Requirements!B37</f>
        <v/>
      </c>
    </row>
    <row r="11">
      <c r="A11" s="3" t="inlineStr">
        <is>
          <t>Critical Gaps:</t>
        </is>
      </c>
      <c r="B11">
        <f>Gap_Analysis!B48</f>
        <v/>
      </c>
    </row>
    <row r="12">
      <c r="A12" s="3" t="inlineStr">
        <is>
          <t>High Gaps:</t>
        </is>
      </c>
      <c r="B12">
        <f>Gap_Analysis!B49</f>
        <v/>
      </c>
    </row>
    <row r="13">
      <c r="A13" s="3" t="inlineStr">
        <is>
          <t>Evidence Entries:</t>
        </is>
      </c>
      <c r="B13">
        <f>Evidence_Register!B107</f>
        <v/>
      </c>
    </row>
    <row r="15">
      <c r="A15" s="2" t="inlineStr">
        <is>
          <t>✍️ APPROVAL WORKFLOW</t>
        </is>
      </c>
    </row>
    <row r="16">
      <c r="A16" s="21" t="inlineStr">
        <is>
          <t>LEVEL 1: ASSESSOR SIGN-OFF</t>
        </is>
      </c>
    </row>
    <row r="17">
      <c r="A17" t="inlineStr">
        <is>
          <t>Assessor Name:</t>
        </is>
      </c>
      <c r="B17" s="16" t="n"/>
    </row>
    <row r="18">
      <c r="A18" t="inlineStr">
        <is>
          <t>Assessor Title:</t>
        </is>
      </c>
      <c r="B18" s="16" t="n"/>
    </row>
    <row r="19">
      <c r="A19" t="inlineStr">
        <is>
          <t>Assessment Complete Date:</t>
        </is>
      </c>
      <c r="B19" s="16" t="n"/>
    </row>
    <row r="20">
      <c r="A20" t="inlineStr">
        <is>
          <t>Assessor Signature:</t>
        </is>
      </c>
      <c r="B20" s="16" t="n"/>
    </row>
    <row r="21" ht="40" customHeight="1">
      <c r="A21" t="inlineStr">
        <is>
          <t>Assessor Comments:</t>
        </is>
      </c>
      <c r="B21" s="16" t="n"/>
      <c r="C21" s="22" t="n"/>
      <c r="D21" s="22" t="n"/>
      <c r="E21" s="22" t="n"/>
      <c r="F21" s="23" t="n"/>
    </row>
    <row r="23">
      <c r="A23" s="21" t="inlineStr">
        <is>
          <t>LEVEL 2: IT OPERATIONS MANAGER REVIEW</t>
        </is>
      </c>
    </row>
    <row r="24">
      <c r="A24" t="inlineStr">
        <is>
          <t>Reviewer Name:</t>
        </is>
      </c>
      <c r="B24" s="16" t="n"/>
    </row>
    <row r="25">
      <c r="A25" t="inlineStr">
        <is>
          <t>Review Date:</t>
        </is>
      </c>
      <c r="B25" s="16" t="n"/>
    </row>
    <row r="26">
      <c r="A26" t="inlineStr">
        <is>
          <t>Decision:</t>
        </is>
      </c>
      <c r="B26" s="16" t="n"/>
    </row>
    <row r="27">
      <c r="A27" t="inlineStr">
        <is>
          <t>IT Ops Manager Signature:</t>
        </is>
      </c>
      <c r="B27" s="16" t="n"/>
    </row>
    <row r="28" ht="40" customHeight="1">
      <c r="A28" t="inlineStr">
        <is>
          <t>IT Ops Manager Comments:</t>
        </is>
      </c>
      <c r="B28" s="16" t="n"/>
      <c r="C28" s="22" t="n"/>
      <c r="D28" s="22" t="n"/>
      <c r="E28" s="22" t="n"/>
      <c r="F28" s="23" t="n"/>
    </row>
    <row r="30">
      <c r="A30" s="21" t="inlineStr">
        <is>
          <t>LEVEL 3: CISO FINAL APPROVAL</t>
        </is>
      </c>
    </row>
    <row r="31">
      <c r="A31" t="inlineStr">
        <is>
          <t>CISO Name:</t>
        </is>
      </c>
      <c r="B31" s="16" t="n"/>
    </row>
    <row r="32">
      <c r="A32" t="inlineStr">
        <is>
          <t>Final Approval Date:</t>
        </is>
      </c>
      <c r="B32" s="16" t="n"/>
    </row>
    <row r="33">
      <c r="A33" t="inlineStr">
        <is>
          <t>Decision:</t>
        </is>
      </c>
      <c r="B33" s="16" t="n"/>
    </row>
    <row r="34">
      <c r="A34" t="inlineStr">
        <is>
          <t>CISO Signature:</t>
        </is>
      </c>
      <c r="B34" s="16" t="n"/>
    </row>
    <row r="35" ht="40" customHeight="1">
      <c r="A35" t="inlineStr">
        <is>
          <t>CISO Comments:</t>
        </is>
      </c>
      <c r="B35" s="16" t="n"/>
      <c r="C35" s="22" t="n"/>
      <c r="D35" s="22" t="n"/>
      <c r="E35" s="22" t="n"/>
      <c r="F35" s="23" t="n"/>
    </row>
    <row r="37">
      <c r="A37" s="2" t="inlineStr">
        <is>
          <t>📊 FINAL ASSESSMENT STATUS</t>
        </is>
      </c>
    </row>
    <row r="38">
      <c r="A38" s="3" t="inlineStr">
        <is>
          <t>Assessment Status:</t>
        </is>
      </c>
      <c r="B38" s="16" t="n"/>
    </row>
    <row r="39">
      <c r="A39" s="3" t="inlineStr">
        <is>
          <t>Next Assessment Due:</t>
        </is>
      </c>
      <c r="B39" s="16" t="n"/>
    </row>
  </sheetData>
  <mergeCells count="11">
    <mergeCell ref="B21:F21"/>
    <mergeCell ref="A2:F2"/>
    <mergeCell ref="A16:F16"/>
    <mergeCell ref="A1:F1"/>
    <mergeCell ref="A23:F23"/>
    <mergeCell ref="B28:F28"/>
    <mergeCell ref="A37:F37"/>
    <mergeCell ref="A4:F4"/>
    <mergeCell ref="A30:F30"/>
    <mergeCell ref="A15:F15"/>
    <mergeCell ref="B35:F35"/>
  </mergeCells>
  <dataValidations count="2">
    <dataValidation sqref="B26 B33" showDropDown="0" showInputMessage="0" showErrorMessage="0" allowBlank="0" type="list">
      <formula1>"✅ Approved,✅ Approved with Conditions,❌ Rejected,⏳ Pending Review"</formula1>
    </dataValidation>
    <dataValidation sqref="B38" showDropDown="0" showInputMessage="0" showErrorMessage="0" allowBlank="0" type="list">
      <formula1>"✅ Approved,✅ Approved with Conditions,❌ Rejected,⏳ Pending Review"</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2026-02-08T10:49:32Z</dcterms:created>
  <dcterms:modified xmlns:dcterms="http://purl.org/dc/terms/" xmlns:xsi="http://www.w3.org/2001/XMLSchema-instance" xsi:type="dcterms:W3CDTF">2026-02-08T10:49:32Z</dcterms:modified>
</cp:coreProperties>
</file>