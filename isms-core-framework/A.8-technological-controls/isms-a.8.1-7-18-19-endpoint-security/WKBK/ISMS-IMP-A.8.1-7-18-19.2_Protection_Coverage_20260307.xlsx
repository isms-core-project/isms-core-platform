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verage Analysis" sheetId="2" state="visible" r:id="rId2"/>
    <sheet xmlns:r="http://schemas.openxmlformats.org/officeDocument/2006/relationships" name="Agent Status" sheetId="3" state="visible" r:id="rId3"/>
    <sheet xmlns:r="http://schemas.openxmlformats.org/officeDocument/2006/relationships" name="Scan Compliance" sheetId="4" state="visible" r:id="rId4"/>
    <sheet xmlns:r="http://schemas.openxmlformats.org/officeDocument/2006/relationships" name="Detection Metrics" sheetId="5" state="visible" r:id="rId5"/>
    <sheet xmlns:r="http://schemas.openxmlformats.org/officeDocument/2006/relationships" name="Incident Response" sheetId="6" state="visible" r:id="rId6"/>
    <sheet xmlns:r="http://schemas.openxmlformats.org/officeDocument/2006/relationships" name="User Awareness" sheetId="7" state="visible" r:id="rId7"/>
    <sheet xmlns:r="http://schemas.openxmlformats.org/officeDocument/2006/relationships" name="Performance Metrics" sheetId="8" state="visible" r:id="rId8"/>
    <sheet xmlns:r="http://schemas.openxmlformats.org/officeDocument/2006/relationships" name="Licensing Support" sheetId="9" state="visible" r:id="rId9"/>
    <sheet xmlns:r="http://schemas.openxmlformats.org/officeDocument/2006/relationships" name="Capability Requirements" sheetId="10" state="visible" r:id="rId10"/>
    <sheet xmlns:r="http://schemas.openxmlformats.org/officeDocument/2006/relationships" name="Gap Analysis" sheetId="11" state="visible" r:id="rId11"/>
    <sheet xmlns:r="http://schemas.openxmlformats.org/officeDocument/2006/relationships" name="Evidence Register" sheetId="12" state="visible" r:id="rId12"/>
    <sheet xmlns:r="http://schemas.openxmlformats.org/officeDocument/2006/relationships" name="Summary Dashboard" sheetId="13" state="visible" r:id="rId13"/>
    <sheet xmlns:r="http://schemas.openxmlformats.org/officeDocument/2006/relationships" name="Approval Sign-Off" sheetId="14" state="visible" r:id="rId14"/>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i val="1"/>
    </font>
    <font>
      <b val="1"/>
    </font>
    <font>
      <b val="1"/>
      <sz val="12"/>
    </font>
    <font>
      <b val="1"/>
      <sz val="11"/>
    </font>
    <font/>
    <font>
      <name val="Calibri"/>
      <i val="1"/>
      <sz val="10"/>
    </font>
    <font>
      <name val="Calibri"/>
      <b val="1"/>
      <color rgb="00FFFFFF"/>
      <sz val="10"/>
    </font>
    <font>
      <name val="Calibri"/>
      <color rgb="00000000"/>
      <sz val="10"/>
    </font>
    <font>
      <b val="1"/>
      <color rgb="00FFFFFF"/>
      <sz val="14"/>
    </font>
    <font>
      <name val="Calibri"/>
      <i val="1"/>
      <color rgb="00003366"/>
      <sz val="10"/>
    </font>
    <font>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7" fillId="0" borderId="0" pivotButton="0" quotePrefix="0" xfId="0"/>
    <xf numFmtId="0" fontId="8" fillId="0" borderId="0" pivotButton="0" quotePrefix="0" xfId="0"/>
    <xf numFmtId="0" fontId="9" fillId="0" borderId="0" pivotButton="0" quotePrefix="0" xfId="0"/>
    <xf numFmtId="0" fontId="7" fillId="10" borderId="1" pivotButton="0" quotePrefix="0" xfId="0"/>
    <xf numFmtId="0" fontId="0" fillId="10" borderId="1" pivotButton="0" quotePrefix="0" xfId="0"/>
    <xf numFmtId="0" fontId="0" fillId="10" borderId="1" applyAlignment="1" pivotButton="0" quotePrefix="0" xfId="0">
      <alignment horizontal="left" vertical="center" wrapText="1"/>
    </xf>
    <xf numFmtId="0" fontId="7" fillId="0" borderId="1" pivotButton="0" quotePrefix="0" xfId="0"/>
    <xf numFmtId="0" fontId="0" fillId="0" borderId="1" applyAlignment="1" pivotButton="0" quotePrefix="0" xfId="0">
      <alignment wrapText="1"/>
    </xf>
    <xf numFmtId="0" fontId="7" fillId="10" borderId="1" applyAlignment="1" pivotButton="0" quotePrefix="0" xfId="0">
      <alignment horizontal="left" vertical="center" wrapText="1"/>
    </xf>
    <xf numFmtId="0" fontId="10" fillId="10" borderId="1" applyAlignment="1" pivotButton="0" quotePrefix="0" xfId="0">
      <alignment horizontal="left" vertical="center" wrapText="1"/>
    </xf>
    <xf numFmtId="0" fontId="10" fillId="11" borderId="1" pivotButton="0" quotePrefix="0" xfId="0"/>
    <xf numFmtId="0" fontId="1" fillId="8" borderId="0" applyAlignment="1" pivotButton="0" quotePrefix="0" xfId="0">
      <alignment horizontal="center" vertical="center"/>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0" fillId="11" borderId="1" pivotButton="0" quotePrefix="0" xfId="0"/>
    <xf numFmtId="0" fontId="5" fillId="8" borderId="1" pivotButton="0" quotePrefix="0" xfId="0"/>
    <xf numFmtId="0" fontId="13" fillId="0" borderId="1" pivotButton="0" quotePrefix="0" xfId="0"/>
    <xf numFmtId="164" fontId="13" fillId="0" borderId="1" pivotButton="0" quotePrefix="0" xfId="0"/>
    <xf numFmtId="0" fontId="4" fillId="0" borderId="1" pivotButton="0" quotePrefix="0" xfId="0"/>
    <xf numFmtId="164" fontId="4" fillId="0" borderId="1" pivotButton="0" quotePrefix="0" xfId="0"/>
    <xf numFmtId="0" fontId="5" fillId="12" borderId="1" pivotButton="0" quotePrefix="0" xfId="0"/>
    <xf numFmtId="0" fontId="14" fillId="8" borderId="1" applyAlignment="1" pivotButton="0" quotePrefix="0" xfId="0">
      <alignment horizontal="center" vertical="center" wrapText="1"/>
    </xf>
    <xf numFmtId="0" fontId="15" fillId="0" borderId="1" applyAlignment="1" pivotButton="0" quotePrefix="0" xfId="0">
      <alignment horizontal="center" vertical="center"/>
    </xf>
    <xf numFmtId="0" fontId="16" fillId="13" borderId="1" pivotButton="0" quotePrefix="0" xfId="0"/>
    <xf numFmtId="164"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ISMS-IMP-A.8.1-7-18-19.2  -  Protection Coverage
ISO/IEC 27001:2022 - Control A.8.1-7-18-19: Endpoint and Device Security</t>
        </is>
      </c>
    </row>
    <row r="3">
      <c r="A3" s="2" t="inlineStr">
        <is>
          <t>Document Information</t>
        </is>
      </c>
    </row>
    <row r="4">
      <c r="A4" s="3" t="inlineStr">
        <is>
          <t>Document ID</t>
        </is>
      </c>
      <c r="B4" t="inlineStr">
        <is>
          <t>ISMS-IMP-A.8.1-7-18-19.2</t>
        </is>
      </c>
    </row>
    <row r="5">
      <c r="A5" s="3" t="inlineStr">
        <is>
          <t>Workbook Title</t>
        </is>
      </c>
      <c r="B5" t="inlineStr">
        <is>
          <t>Protection Coverage</t>
        </is>
      </c>
    </row>
    <row r="6">
      <c r="A6" s="3" t="inlineStr">
        <is>
          <t>Control Reference</t>
        </is>
      </c>
      <c r="B6" t="inlineStr">
        <is>
          <t>ISO/IEC 27001:2022 - Control A.8.1-7-18-19: Endpoint and Device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Coverage Analysis — assess endpoint protection deployment across all device types.</t>
        </is>
      </c>
    </row>
    <row r="14">
      <c r="A14" t="inlineStr">
        <is>
          <t>2. Complete Agent Status — verify endpoint protection agents are installed and active on all managed devices.</t>
        </is>
      </c>
    </row>
    <row r="15">
      <c r="A15" t="inlineStr">
        <is>
          <t>3. Complete Scan Compliance — confirm scanning schedules are met and exceptions are documented.</t>
        </is>
      </c>
    </row>
    <row r="16">
      <c r="A16" t="inlineStr">
        <is>
          <t>4. Complete Detection Metrics — review threat detection rates and false positive ratios.</t>
        </is>
      </c>
    </row>
    <row r="17">
      <c r="A17" t="inlineStr">
        <is>
          <t>5. Complete Incident Response — assess integration between endpoint protection and incident response.</t>
        </is>
      </c>
    </row>
    <row r="18">
      <c r="A18" t="inlineStr">
        <is>
          <t>6. Complete User Awareness — verify users are trained on endpoint security requirements.</t>
        </is>
      </c>
    </row>
    <row r="19">
      <c r="A19" t="inlineStr">
        <is>
          <t>7. Complete Performance Metrics — assess system performance impact of endpoint protection controls.</t>
        </is>
      </c>
    </row>
    <row r="20">
      <c r="A20" t="inlineStr">
        <is>
          <t>8. Complete Licensing Support — verify all endpoints are covered by valid licences.</t>
        </is>
      </c>
    </row>
    <row r="21">
      <c r="A21" t="inlineStr">
        <is>
          <t>9. Complete Capability Requirements — map policy requirements to deployed capabilities.</t>
        </is>
      </c>
    </row>
    <row r="22">
      <c r="A22" t="inlineStr">
        <is>
          <t>10. Complete Gap Analysis — identify coverage gaps and create remediation plans.</t>
        </is>
      </c>
    </row>
    <row r="23">
      <c r="A23" t="inlineStr">
        <is>
          <t>11. Obtain final approval and sign-off in the Approval Sign-Off sheet.</t>
        </is>
      </c>
    </row>
    <row r="25">
      <c r="A25" s="2" t="inlineStr">
        <is>
          <t>Status Legend</t>
        </is>
      </c>
    </row>
    <row r="26">
      <c r="A26" s="5" t="inlineStr">
        <is>
          <t>Symbol</t>
        </is>
      </c>
      <c r="B26" s="5" t="inlineStr">
        <is>
          <t>Status</t>
        </is>
      </c>
      <c r="C26" s="5" t="inlineStr">
        <is>
          <t>Description</t>
        </is>
      </c>
    </row>
    <row r="27">
      <c r="A27" s="6" t="inlineStr">
        <is>
          <t>✓</t>
        </is>
      </c>
      <c r="B27" s="7" t="inlineStr">
        <is>
          <t>Compliant / Complete</t>
        </is>
      </c>
      <c r="C27" s="8" t="inlineStr">
        <is>
          <t>Requirement fully met</t>
        </is>
      </c>
    </row>
    <row r="28">
      <c r="A28" s="6" t="inlineStr">
        <is>
          <t>⚠</t>
        </is>
      </c>
      <c r="B28" s="9" t="inlineStr">
        <is>
          <t>Partial / In Progress</t>
        </is>
      </c>
      <c r="C28" s="8" t="inlineStr">
        <is>
          <t>Partially met or in progress</t>
        </is>
      </c>
    </row>
    <row r="29">
      <c r="A29" s="6" t="inlineStr">
        <is>
          <t>✗</t>
        </is>
      </c>
      <c r="B29" s="10" t="inlineStr">
        <is>
          <t>Non-Compliant / Not Started</t>
        </is>
      </c>
      <c r="C29" s="8" t="inlineStr">
        <is>
          <t>Requirement not met</t>
        </is>
      </c>
    </row>
    <row r="30">
      <c r="A30" s="6" t="inlineStr">
        <is>
          <t>—</t>
        </is>
      </c>
      <c r="B30" s="8" t="inlineStr">
        <is>
          <t>Not Applicable</t>
        </is>
      </c>
      <c r="C30"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5"/>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18" customWidth="1" min="3" max="3"/>
    <col width="14" customWidth="1" min="4" max="4"/>
    <col width="22" customWidth="1" min="5" max="5"/>
    <col width="20" customWidth="1" min="6" max="6"/>
    <col width="15" customWidth="1" min="7" max="7"/>
    <col width="18" customWidth="1" min="8" max="8"/>
    <col width="15" customWidth="1" min="9" max="9"/>
    <col width="15" customWidth="1" min="10" max="10"/>
    <col width="20" customWidth="1" min="11" max="11"/>
    <col width="20" customWidth="1" min="12" max="12"/>
    <col width="30" customWidth="1" min="13" max="13"/>
  </cols>
  <sheetData>
    <row r="1" ht="35" customHeight="1">
      <c r="A1" s="11" t="inlineStr">
        <is>
          <t>MALWARE PROTECTION COVERAGE ANALYSIS</t>
        </is>
      </c>
    </row>
    <row r="2">
      <c r="A2" s="12" t="inlineStr">
        <is>
          <t>Per-device-group anti-malware/EDR protection coverage, signature status, and scan compliance</t>
        </is>
      </c>
    </row>
    <row r="4">
      <c r="A4" s="13" t="inlineStr">
        <is>
          <t>Group ID</t>
        </is>
      </c>
      <c r="B4" s="13" t="inlineStr">
        <is>
          <t>Device Group Name</t>
        </is>
      </c>
      <c r="C4" s="13" t="inlineStr">
        <is>
          <t>Group Type</t>
        </is>
      </c>
      <c r="D4" s="13" t="inlineStr">
        <is>
          <t>Device Count</t>
        </is>
      </c>
      <c r="E4" s="13" t="inlineStr">
        <is>
          <t>Protection Product</t>
        </is>
      </c>
      <c r="F4" s="13" t="inlineStr">
        <is>
          <t>Protection Coverage</t>
        </is>
      </c>
      <c r="G4" s="13" t="inlineStr">
        <is>
          <t>Signature Date</t>
        </is>
      </c>
      <c r="H4" s="13" t="inlineStr">
        <is>
          <t>Signatures Current</t>
        </is>
      </c>
      <c r="I4" s="13" t="inlineStr">
        <is>
          <t>Last Full Scan</t>
        </is>
      </c>
      <c r="J4" s="13" t="inlineStr">
        <is>
          <t>Last Quick Scan</t>
        </is>
      </c>
      <c r="K4" s="13" t="inlineStr">
        <is>
          <t>Scan Compliance</t>
        </is>
      </c>
      <c r="L4" s="13" t="inlineStr">
        <is>
          <t>Protection Status</t>
        </is>
      </c>
      <c r="M4" s="13" t="inlineStr">
        <is>
          <t>Notes</t>
        </is>
      </c>
    </row>
    <row r="5">
      <c r="A5" s="14" t="inlineStr">
        <is>
          <t>GRP-001</t>
        </is>
      </c>
      <c r="B5" s="14" t="inlineStr">
        <is>
          <t>SG-Windows-Endpoints</t>
        </is>
      </c>
      <c r="C5" s="14" t="inlineStr">
        <is>
          <t>Entra ID Group</t>
        </is>
      </c>
      <c r="D5" s="14" t="n">
        <v>312</v>
      </c>
      <c r="E5" s="14" t="inlineStr">
        <is>
          <t>Microsoft Defender</t>
        </is>
      </c>
      <c r="F5" s="14" t="inlineStr">
        <is>
          <t>✅ Full Coverage</t>
        </is>
      </c>
      <c r="G5" s="14" t="inlineStr">
        <is>
          <t>21.02.2026</t>
        </is>
      </c>
      <c r="H5" s="14" t="inlineStr">
        <is>
          <t>Yes</t>
        </is>
      </c>
      <c r="I5" s="14" t="inlineStr">
        <is>
          <t>18.02.2026</t>
        </is>
      </c>
      <c r="J5" s="14" t="inlineStr">
        <is>
          <t>21.02.2026</t>
        </is>
      </c>
      <c r="K5" s="14" t="inlineStr">
        <is>
          <t>✅ Compliant</t>
        </is>
      </c>
      <c r="L5" s="14">
        <f>IF(F5="✅ Full Coverage",IF(H5="Yes","✅ Protected",IF(H5="No","⚠ Outdated","Unknown")),IF(F5="⚠ Partial Coverage","⚠ Partial",IF(F5="❌ Not Deployed","❌ Not Protected","Unknown")))</f>
        <v/>
      </c>
      <c r="M5" s="14" t="inlineStr">
        <is>
          <t>Production Windows workstations</t>
        </is>
      </c>
    </row>
    <row r="6">
      <c r="A6" s="15" t="n"/>
      <c r="B6" s="15" t="n"/>
      <c r="C6" s="15" t="n"/>
      <c r="D6" s="15" t="n"/>
      <c r="E6" s="15" t="n"/>
      <c r="F6" s="15" t="n"/>
      <c r="G6" s="15" t="n"/>
      <c r="H6" s="15" t="n"/>
      <c r="I6" s="15" t="n"/>
      <c r="J6" s="15" t="n"/>
      <c r="K6" s="15" t="n"/>
      <c r="L6">
        <f>IF(F6="✅ Full Coverage",IF(H6="Yes","✅ Protected",IF(H6="No","⚠ Outdated","Unknown")),IF(F6="⚠ Partial Coverage","⚠ Partial",IF(F6="❌ Not Deployed","❌ Not Protected","Unknown")))</f>
        <v/>
      </c>
      <c r="M6" s="15" t="n"/>
    </row>
    <row r="7">
      <c r="A7" s="15" t="n"/>
      <c r="B7" s="15" t="n"/>
      <c r="C7" s="15" t="n"/>
      <c r="D7" s="15" t="n"/>
      <c r="E7" s="15" t="n"/>
      <c r="F7" s="15" t="n"/>
      <c r="G7" s="15" t="n"/>
      <c r="H7" s="15" t="n"/>
      <c r="I7" s="15" t="n"/>
      <c r="J7" s="15" t="n"/>
      <c r="K7" s="15" t="n"/>
      <c r="L7">
        <f>IF(F7="✅ Full Coverage",IF(H7="Yes","✅ Protected",IF(H7="No","⚠ Outdated","Unknown")),IF(F7="⚠ Partial Coverage","⚠ Partial",IF(F7="❌ Not Deployed","❌ Not Protected","Unknown")))</f>
        <v/>
      </c>
      <c r="M7" s="15" t="n"/>
    </row>
    <row r="8">
      <c r="A8" s="15" t="n"/>
      <c r="B8" s="15" t="n"/>
      <c r="C8" s="15" t="n"/>
      <c r="D8" s="15" t="n"/>
      <c r="E8" s="15" t="n"/>
      <c r="F8" s="15" t="n"/>
      <c r="G8" s="15" t="n"/>
      <c r="H8" s="15" t="n"/>
      <c r="I8" s="15" t="n"/>
      <c r="J8" s="15" t="n"/>
      <c r="K8" s="15" t="n"/>
      <c r="L8">
        <f>IF(F8="✅ Full Coverage",IF(H8="Yes","✅ Protected",IF(H8="No","⚠ Outdated","Unknown")),IF(F8="⚠ Partial Coverage","⚠ Partial",IF(F8="❌ Not Deployed","❌ Not Protected","Unknown")))</f>
        <v/>
      </c>
      <c r="M8" s="15" t="n"/>
    </row>
    <row r="9">
      <c r="A9" s="15" t="n"/>
      <c r="B9" s="15" t="n"/>
      <c r="C9" s="15" t="n"/>
      <c r="D9" s="15" t="n"/>
      <c r="E9" s="15" t="n"/>
      <c r="F9" s="15" t="n"/>
      <c r="G9" s="15" t="n"/>
      <c r="H9" s="15" t="n"/>
      <c r="I9" s="15" t="n"/>
      <c r="J9" s="15" t="n"/>
      <c r="K9" s="15" t="n"/>
      <c r="L9">
        <f>IF(F9="✅ Full Coverage",IF(H9="Yes","✅ Protected",IF(H9="No","⚠ Outdated","Unknown")),IF(F9="⚠ Partial Coverage","⚠ Partial",IF(F9="❌ Not Deployed","❌ Not Protected","Unknown")))</f>
        <v/>
      </c>
      <c r="M9" s="15" t="n"/>
    </row>
    <row r="10">
      <c r="A10" s="15" t="n"/>
      <c r="B10" s="15" t="n"/>
      <c r="C10" s="15" t="n"/>
      <c r="D10" s="15" t="n"/>
      <c r="E10" s="15" t="n"/>
      <c r="F10" s="15" t="n"/>
      <c r="G10" s="15" t="n"/>
      <c r="H10" s="15" t="n"/>
      <c r="I10" s="15" t="n"/>
      <c r="J10" s="15" t="n"/>
      <c r="K10" s="15" t="n"/>
      <c r="L10">
        <f>IF(F10="✅ Full Coverage",IF(H10="Yes","✅ Protected",IF(H10="No","⚠ Outdated","Unknown")),IF(F10="⚠ Partial Coverage","⚠ Partial",IF(F10="❌ Not Deployed","❌ Not Protected","Unknown")))</f>
        <v/>
      </c>
      <c r="M10" s="15" t="n"/>
    </row>
    <row r="11">
      <c r="A11" s="15" t="n"/>
      <c r="B11" s="15" t="n"/>
      <c r="C11" s="15" t="n"/>
      <c r="D11" s="15" t="n"/>
      <c r="E11" s="15" t="n"/>
      <c r="F11" s="15" t="n"/>
      <c r="G11" s="15" t="n"/>
      <c r="H11" s="15" t="n"/>
      <c r="I11" s="15" t="n"/>
      <c r="J11" s="15" t="n"/>
      <c r="K11" s="15" t="n"/>
      <c r="L11">
        <f>IF(F11="✅ Full Coverage",IF(H11="Yes","✅ Protected",IF(H11="No","⚠ Outdated","Unknown")),IF(F11="⚠ Partial Coverage","⚠ Partial",IF(F11="❌ Not Deployed","❌ Not Protected","Unknown")))</f>
        <v/>
      </c>
      <c r="M11" s="15" t="n"/>
    </row>
    <row r="12">
      <c r="A12" s="15" t="n"/>
      <c r="B12" s="15" t="n"/>
      <c r="C12" s="15" t="n"/>
      <c r="D12" s="15" t="n"/>
      <c r="E12" s="15" t="n"/>
      <c r="F12" s="15" t="n"/>
      <c r="G12" s="15" t="n"/>
      <c r="H12" s="15" t="n"/>
      <c r="I12" s="15" t="n"/>
      <c r="J12" s="15" t="n"/>
      <c r="K12" s="15" t="n"/>
      <c r="L12">
        <f>IF(F12="✅ Full Coverage",IF(H12="Yes","✅ Protected",IF(H12="No","⚠ Outdated","Unknown")),IF(F12="⚠ Partial Coverage","⚠ Partial",IF(F12="❌ Not Deployed","❌ Not Protected","Unknown")))</f>
        <v/>
      </c>
      <c r="M12" s="15" t="n"/>
    </row>
    <row r="13">
      <c r="A13" s="15" t="n"/>
      <c r="B13" s="15" t="n"/>
      <c r="C13" s="15" t="n"/>
      <c r="D13" s="15" t="n"/>
      <c r="E13" s="15" t="n"/>
      <c r="F13" s="15" t="n"/>
      <c r="G13" s="15" t="n"/>
      <c r="H13" s="15" t="n"/>
      <c r="I13" s="15" t="n"/>
      <c r="J13" s="15" t="n"/>
      <c r="K13" s="15" t="n"/>
      <c r="L13">
        <f>IF(F13="✅ Full Coverage",IF(H13="Yes","✅ Protected",IF(H13="No","⚠ Outdated","Unknown")),IF(F13="⚠ Partial Coverage","⚠ Partial",IF(F13="❌ Not Deployed","❌ Not Protected","Unknown")))</f>
        <v/>
      </c>
      <c r="M13" s="15" t="n"/>
    </row>
    <row r="14">
      <c r="A14" s="15" t="n"/>
      <c r="B14" s="15" t="n"/>
      <c r="C14" s="15" t="n"/>
      <c r="D14" s="15" t="n"/>
      <c r="E14" s="15" t="n"/>
      <c r="F14" s="15" t="n"/>
      <c r="G14" s="15" t="n"/>
      <c r="H14" s="15" t="n"/>
      <c r="I14" s="15" t="n"/>
      <c r="J14" s="15" t="n"/>
      <c r="K14" s="15" t="n"/>
      <c r="L14">
        <f>IF(F14="✅ Full Coverage",IF(H14="Yes","✅ Protected",IF(H14="No","⚠ Outdated","Unknown")),IF(F14="⚠ Partial Coverage","⚠ Partial",IF(F14="❌ Not Deployed","❌ Not Protected","Unknown")))</f>
        <v/>
      </c>
      <c r="M14" s="15" t="n"/>
    </row>
    <row r="15">
      <c r="A15" s="15" t="n"/>
      <c r="B15" s="15" t="n"/>
      <c r="C15" s="15" t="n"/>
      <c r="D15" s="15" t="n"/>
      <c r="E15" s="15" t="n"/>
      <c r="F15" s="15" t="n"/>
      <c r="G15" s="15" t="n"/>
      <c r="H15" s="15" t="n"/>
      <c r="I15" s="15" t="n"/>
      <c r="J15" s="15" t="n"/>
      <c r="K15" s="15" t="n"/>
      <c r="L15">
        <f>IF(F15="✅ Full Coverage",IF(H15="Yes","✅ Protected",IF(H15="No","⚠ Outdated","Unknown")),IF(F15="⚠ Partial Coverage","⚠ Partial",IF(F15="❌ Not Deployed","❌ Not Protected","Unknown")))</f>
        <v/>
      </c>
      <c r="M15" s="15" t="n"/>
    </row>
    <row r="16">
      <c r="A16" s="15" t="n"/>
      <c r="B16" s="15" t="n"/>
      <c r="C16" s="15" t="n"/>
      <c r="D16" s="15" t="n"/>
      <c r="E16" s="15" t="n"/>
      <c r="F16" s="15" t="n"/>
      <c r="G16" s="15" t="n"/>
      <c r="H16" s="15" t="n"/>
      <c r="I16" s="15" t="n"/>
      <c r="J16" s="15" t="n"/>
      <c r="K16" s="15" t="n"/>
      <c r="L16">
        <f>IF(F16="✅ Full Coverage",IF(H16="Yes","✅ Protected",IF(H16="No","⚠ Outdated","Unknown")),IF(F16="⚠ Partial Coverage","⚠ Partial",IF(F16="❌ Not Deployed","❌ Not Protected","Unknown")))</f>
        <v/>
      </c>
      <c r="M16" s="15" t="n"/>
    </row>
    <row r="17">
      <c r="A17" s="15" t="n"/>
      <c r="B17" s="15" t="n"/>
      <c r="C17" s="15" t="n"/>
      <c r="D17" s="15" t="n"/>
      <c r="E17" s="15" t="n"/>
      <c r="F17" s="15" t="n"/>
      <c r="G17" s="15" t="n"/>
      <c r="H17" s="15" t="n"/>
      <c r="I17" s="15" t="n"/>
      <c r="J17" s="15" t="n"/>
      <c r="K17" s="15" t="n"/>
      <c r="L17">
        <f>IF(F17="✅ Full Coverage",IF(H17="Yes","✅ Protected",IF(H17="No","⚠ Outdated","Unknown")),IF(F17="⚠ Partial Coverage","⚠ Partial",IF(F17="❌ Not Deployed","❌ Not Protected","Unknown")))</f>
        <v/>
      </c>
      <c r="M17" s="15" t="n"/>
    </row>
    <row r="18">
      <c r="A18" s="15" t="n"/>
      <c r="B18" s="15" t="n"/>
      <c r="C18" s="15" t="n"/>
      <c r="D18" s="15" t="n"/>
      <c r="E18" s="15" t="n"/>
      <c r="F18" s="15" t="n"/>
      <c r="G18" s="15" t="n"/>
      <c r="H18" s="15" t="n"/>
      <c r="I18" s="15" t="n"/>
      <c r="J18" s="15" t="n"/>
      <c r="K18" s="15" t="n"/>
      <c r="L18">
        <f>IF(F18="✅ Full Coverage",IF(H18="Yes","✅ Protected",IF(H18="No","⚠ Outdated","Unknown")),IF(F18="⚠ Partial Coverage","⚠ Partial",IF(F18="❌ Not Deployed","❌ Not Protected","Unknown")))</f>
        <v/>
      </c>
      <c r="M18" s="15" t="n"/>
    </row>
    <row r="19">
      <c r="A19" s="15" t="n"/>
      <c r="B19" s="15" t="n"/>
      <c r="C19" s="15" t="n"/>
      <c r="D19" s="15" t="n"/>
      <c r="E19" s="15" t="n"/>
      <c r="F19" s="15" t="n"/>
      <c r="G19" s="15" t="n"/>
      <c r="H19" s="15" t="n"/>
      <c r="I19" s="15" t="n"/>
      <c r="J19" s="15" t="n"/>
      <c r="K19" s="15" t="n"/>
      <c r="L19">
        <f>IF(F19="✅ Full Coverage",IF(H19="Yes","✅ Protected",IF(H19="No","⚠ Outdated","Unknown")),IF(F19="⚠ Partial Coverage","⚠ Partial",IF(F19="❌ Not Deployed","❌ Not Protected","Unknown")))</f>
        <v/>
      </c>
      <c r="M19" s="15" t="n"/>
    </row>
    <row r="20">
      <c r="A20" s="15" t="n"/>
      <c r="B20" s="15" t="n"/>
      <c r="C20" s="15" t="n"/>
      <c r="D20" s="15" t="n"/>
      <c r="E20" s="15" t="n"/>
      <c r="F20" s="15" t="n"/>
      <c r="G20" s="15" t="n"/>
      <c r="H20" s="15" t="n"/>
      <c r="I20" s="15" t="n"/>
      <c r="J20" s="15" t="n"/>
      <c r="K20" s="15" t="n"/>
      <c r="L20">
        <f>IF(F20="✅ Full Coverage",IF(H20="Yes","✅ Protected",IF(H20="No","⚠ Outdated","Unknown")),IF(F20="⚠ Partial Coverage","⚠ Partial",IF(F20="❌ Not Deployed","❌ Not Protected","Unknown")))</f>
        <v/>
      </c>
      <c r="M20" s="15" t="n"/>
    </row>
    <row r="21">
      <c r="A21" s="15" t="n"/>
      <c r="B21" s="15" t="n"/>
      <c r="C21" s="15" t="n"/>
      <c r="D21" s="15" t="n"/>
      <c r="E21" s="15" t="n"/>
      <c r="F21" s="15" t="n"/>
      <c r="G21" s="15" t="n"/>
      <c r="H21" s="15" t="n"/>
      <c r="I21" s="15" t="n"/>
      <c r="J21" s="15" t="n"/>
      <c r="K21" s="15" t="n"/>
      <c r="L21">
        <f>IF(F21="✅ Full Coverage",IF(H21="Yes","✅ Protected",IF(H21="No","⚠ Outdated","Unknown")),IF(F21="⚠ Partial Coverage","⚠ Partial",IF(F21="❌ Not Deployed","❌ Not Protected","Unknown")))</f>
        <v/>
      </c>
      <c r="M21" s="15" t="n"/>
    </row>
    <row r="22">
      <c r="A22" s="15" t="n"/>
      <c r="B22" s="15" t="n"/>
      <c r="C22" s="15" t="n"/>
      <c r="D22" s="15" t="n"/>
      <c r="E22" s="15" t="n"/>
      <c r="F22" s="15" t="n"/>
      <c r="G22" s="15" t="n"/>
      <c r="H22" s="15" t="n"/>
      <c r="I22" s="15" t="n"/>
      <c r="J22" s="15" t="n"/>
      <c r="K22" s="15" t="n"/>
      <c r="L22">
        <f>IF(F22="✅ Full Coverage",IF(H22="Yes","✅ Protected",IF(H22="No","⚠ Outdated","Unknown")),IF(F22="⚠ Partial Coverage","⚠ Partial",IF(F22="❌ Not Deployed","❌ Not Protected","Unknown")))</f>
        <v/>
      </c>
      <c r="M22" s="15" t="n"/>
    </row>
    <row r="23">
      <c r="A23" s="15" t="n"/>
      <c r="B23" s="15" t="n"/>
      <c r="C23" s="15" t="n"/>
      <c r="D23" s="15" t="n"/>
      <c r="E23" s="15" t="n"/>
      <c r="F23" s="15" t="n"/>
      <c r="G23" s="15" t="n"/>
      <c r="H23" s="15" t="n"/>
      <c r="I23" s="15" t="n"/>
      <c r="J23" s="15" t="n"/>
      <c r="K23" s="15" t="n"/>
      <c r="L23">
        <f>IF(F23="✅ Full Coverage",IF(H23="Yes","✅ Protected",IF(H23="No","⚠ Outdated","Unknown")),IF(F23="⚠ Partial Coverage","⚠ Partial",IF(F23="❌ Not Deployed","❌ Not Protected","Unknown")))</f>
        <v/>
      </c>
      <c r="M23" s="15" t="n"/>
    </row>
    <row r="24">
      <c r="A24" s="15" t="n"/>
      <c r="B24" s="15" t="n"/>
      <c r="C24" s="15" t="n"/>
      <c r="D24" s="15" t="n"/>
      <c r="E24" s="15" t="n"/>
      <c r="F24" s="15" t="n"/>
      <c r="G24" s="15" t="n"/>
      <c r="H24" s="15" t="n"/>
      <c r="I24" s="15" t="n"/>
      <c r="J24" s="15" t="n"/>
      <c r="K24" s="15" t="n"/>
      <c r="L24">
        <f>IF(F24="✅ Full Coverage",IF(H24="Yes","✅ Protected",IF(H24="No","⚠ Outdated","Unknown")),IF(F24="⚠ Partial Coverage","⚠ Partial",IF(F24="❌ Not Deployed","❌ Not Protected","Unknown")))</f>
        <v/>
      </c>
      <c r="M24" s="15" t="n"/>
    </row>
    <row r="25">
      <c r="A25" s="15" t="n"/>
      <c r="B25" s="15" t="n"/>
      <c r="C25" s="15" t="n"/>
      <c r="D25" s="15" t="n"/>
      <c r="E25" s="15" t="n"/>
      <c r="F25" s="15" t="n"/>
      <c r="G25" s="15" t="n"/>
      <c r="H25" s="15" t="n"/>
      <c r="I25" s="15" t="n"/>
      <c r="J25" s="15" t="n"/>
      <c r="K25" s="15" t="n"/>
      <c r="L25">
        <f>IF(F25="✅ Full Coverage",IF(H25="Yes","✅ Protected",IF(H25="No","⚠ Outdated","Unknown")),IF(F25="⚠ Partial Coverage","⚠ Partial",IF(F25="❌ Not Deployed","❌ Not Protected","Unknown")))</f>
        <v/>
      </c>
      <c r="M25" s="15" t="n"/>
    </row>
    <row r="26">
      <c r="A26" s="15" t="n"/>
      <c r="B26" s="15" t="n"/>
      <c r="C26" s="15" t="n"/>
      <c r="D26" s="15" t="n"/>
      <c r="E26" s="15" t="n"/>
      <c r="F26" s="15" t="n"/>
      <c r="G26" s="15" t="n"/>
      <c r="H26" s="15" t="n"/>
      <c r="I26" s="15" t="n"/>
      <c r="J26" s="15" t="n"/>
      <c r="K26" s="15" t="n"/>
      <c r="L26">
        <f>IF(F26="✅ Full Coverage",IF(H26="Yes","✅ Protected",IF(H26="No","⚠ Outdated","Unknown")),IF(F26="⚠ Partial Coverage","⚠ Partial",IF(F26="❌ Not Deployed","❌ Not Protected","Unknown")))</f>
        <v/>
      </c>
      <c r="M26" s="15" t="n"/>
    </row>
    <row r="27">
      <c r="A27" s="15" t="n"/>
      <c r="B27" s="15" t="n"/>
      <c r="C27" s="15" t="n"/>
      <c r="D27" s="15" t="n"/>
      <c r="E27" s="15" t="n"/>
      <c r="F27" s="15" t="n"/>
      <c r="G27" s="15" t="n"/>
      <c r="H27" s="15" t="n"/>
      <c r="I27" s="15" t="n"/>
      <c r="J27" s="15" t="n"/>
      <c r="K27" s="15" t="n"/>
      <c r="L27">
        <f>IF(F27="✅ Full Coverage",IF(H27="Yes","✅ Protected",IF(H27="No","⚠ Outdated","Unknown")),IF(F27="⚠ Partial Coverage","⚠ Partial",IF(F27="❌ Not Deployed","❌ Not Protected","Unknown")))</f>
        <v/>
      </c>
      <c r="M27" s="15" t="n"/>
    </row>
    <row r="28">
      <c r="A28" s="15" t="n"/>
      <c r="B28" s="15" t="n"/>
      <c r="C28" s="15" t="n"/>
      <c r="D28" s="15" t="n"/>
      <c r="E28" s="15" t="n"/>
      <c r="F28" s="15" t="n"/>
      <c r="G28" s="15" t="n"/>
      <c r="H28" s="15" t="n"/>
      <c r="I28" s="15" t="n"/>
      <c r="J28" s="15" t="n"/>
      <c r="K28" s="15" t="n"/>
      <c r="L28">
        <f>IF(F28="✅ Full Coverage",IF(H28="Yes","✅ Protected",IF(H28="No","⚠ Outdated","Unknown")),IF(F28="⚠ Partial Coverage","⚠ Partial",IF(F28="❌ Not Deployed","❌ Not Protected","Unknown")))</f>
        <v/>
      </c>
      <c r="M28" s="15" t="n"/>
    </row>
    <row r="29">
      <c r="A29" s="15" t="n"/>
      <c r="B29" s="15" t="n"/>
      <c r="C29" s="15" t="n"/>
      <c r="D29" s="15" t="n"/>
      <c r="E29" s="15" t="n"/>
      <c r="F29" s="15" t="n"/>
      <c r="G29" s="15" t="n"/>
      <c r="H29" s="15" t="n"/>
      <c r="I29" s="15" t="n"/>
      <c r="J29" s="15" t="n"/>
      <c r="K29" s="15" t="n"/>
      <c r="L29">
        <f>IF(F29="✅ Full Coverage",IF(H29="Yes","✅ Protected",IF(H29="No","⚠ Outdated","Unknown")),IF(F29="⚠ Partial Coverage","⚠ Partial",IF(F29="❌ Not Deployed","❌ Not Protected","Unknown")))</f>
        <v/>
      </c>
      <c r="M29" s="15" t="n"/>
    </row>
    <row r="30">
      <c r="A30" s="15" t="n"/>
      <c r="B30" s="15" t="n"/>
      <c r="C30" s="15" t="n"/>
      <c r="D30" s="15" t="n"/>
      <c r="E30" s="15" t="n"/>
      <c r="F30" s="15" t="n"/>
      <c r="G30" s="15" t="n"/>
      <c r="H30" s="15" t="n"/>
      <c r="I30" s="15" t="n"/>
      <c r="J30" s="15" t="n"/>
      <c r="K30" s="15" t="n"/>
      <c r="L30">
        <f>IF(F30="✅ Full Coverage",IF(H30="Yes","✅ Protected",IF(H30="No","⚠ Outdated","Unknown")),IF(F30="⚠ Partial Coverage","⚠ Partial",IF(F30="❌ Not Deployed","❌ Not Protected","Unknown")))</f>
        <v/>
      </c>
      <c r="M30" s="15" t="n"/>
    </row>
    <row r="31">
      <c r="A31" s="15" t="n"/>
      <c r="B31" s="15" t="n"/>
      <c r="C31" s="15" t="n"/>
      <c r="D31" s="15" t="n"/>
      <c r="E31" s="15" t="n"/>
      <c r="F31" s="15" t="n"/>
      <c r="G31" s="15" t="n"/>
      <c r="H31" s="15" t="n"/>
      <c r="I31" s="15" t="n"/>
      <c r="J31" s="15" t="n"/>
      <c r="K31" s="15" t="n"/>
      <c r="L31">
        <f>IF(F31="✅ Full Coverage",IF(H31="Yes","✅ Protected",IF(H31="No","⚠ Outdated","Unknown")),IF(F31="⚠ Partial Coverage","⚠ Partial",IF(F31="❌ Not Deployed","❌ Not Protected","Unknown")))</f>
        <v/>
      </c>
      <c r="M31" s="15" t="n"/>
    </row>
    <row r="32">
      <c r="A32" s="15" t="n"/>
      <c r="B32" s="15" t="n"/>
      <c r="C32" s="15" t="n"/>
      <c r="D32" s="15" t="n"/>
      <c r="E32" s="15" t="n"/>
      <c r="F32" s="15" t="n"/>
      <c r="G32" s="15" t="n"/>
      <c r="H32" s="15" t="n"/>
      <c r="I32" s="15" t="n"/>
      <c r="J32" s="15" t="n"/>
      <c r="K32" s="15" t="n"/>
      <c r="L32">
        <f>IF(F32="✅ Full Coverage",IF(H32="Yes","✅ Protected",IF(H32="No","⚠ Outdated","Unknown")),IF(F32="⚠ Partial Coverage","⚠ Partial",IF(F32="❌ Not Deployed","❌ Not Protected","Unknown")))</f>
        <v/>
      </c>
      <c r="M32" s="15" t="n"/>
    </row>
    <row r="33">
      <c r="A33" s="15" t="n"/>
      <c r="B33" s="15" t="n"/>
      <c r="C33" s="15" t="n"/>
      <c r="D33" s="15" t="n"/>
      <c r="E33" s="15" t="n"/>
      <c r="F33" s="15" t="n"/>
      <c r="G33" s="15" t="n"/>
      <c r="H33" s="15" t="n"/>
      <c r="I33" s="15" t="n"/>
      <c r="J33" s="15" t="n"/>
      <c r="K33" s="15" t="n"/>
      <c r="L33">
        <f>IF(F33="✅ Full Coverage",IF(H33="Yes","✅ Protected",IF(H33="No","⚠ Outdated","Unknown")),IF(F33="⚠ Partial Coverage","⚠ Partial",IF(F33="❌ Not Deployed","❌ Not Protected","Unknown")))</f>
        <v/>
      </c>
      <c r="M33" s="15" t="n"/>
    </row>
    <row r="34">
      <c r="A34" s="15" t="n"/>
      <c r="B34" s="15" t="n"/>
      <c r="C34" s="15" t="n"/>
      <c r="D34" s="15" t="n"/>
      <c r="E34" s="15" t="n"/>
      <c r="F34" s="15" t="n"/>
      <c r="G34" s="15" t="n"/>
      <c r="H34" s="15" t="n"/>
      <c r="I34" s="15" t="n"/>
      <c r="J34" s="15" t="n"/>
      <c r="K34" s="15" t="n"/>
      <c r="L34">
        <f>IF(F34="✅ Full Coverage",IF(H34="Yes","✅ Protected",IF(H34="No","⚠ Outdated","Unknown")),IF(F34="⚠ Partial Coverage","⚠ Partial",IF(F34="❌ Not Deployed","❌ Not Protected","Unknown")))</f>
        <v/>
      </c>
      <c r="M34" s="15" t="n"/>
    </row>
    <row r="35">
      <c r="A35" s="15" t="n"/>
      <c r="B35" s="15" t="n"/>
      <c r="C35" s="15" t="n"/>
      <c r="D35" s="15" t="n"/>
      <c r="E35" s="15" t="n"/>
      <c r="F35" s="15" t="n"/>
      <c r="G35" s="15" t="n"/>
      <c r="H35" s="15" t="n"/>
      <c r="I35" s="15" t="n"/>
      <c r="J35" s="15" t="n"/>
      <c r="K35" s="15" t="n"/>
      <c r="L35">
        <f>IF(F35="✅ Full Coverage",IF(H35="Yes","✅ Protected",IF(H35="No","⚠ Outdated","Unknown")),IF(F35="⚠ Partial Coverage","⚠ Partial",IF(F35="❌ Not Deployed","❌ Not Protected","Unknown")))</f>
        <v/>
      </c>
      <c r="M35" s="15" t="n"/>
    </row>
    <row r="36">
      <c r="A36" s="15" t="n"/>
      <c r="B36" s="15" t="n"/>
      <c r="C36" s="15" t="n"/>
      <c r="D36" s="15" t="n"/>
      <c r="E36" s="15" t="n"/>
      <c r="F36" s="15" t="n"/>
      <c r="G36" s="15" t="n"/>
      <c r="H36" s="15" t="n"/>
      <c r="I36" s="15" t="n"/>
      <c r="J36" s="15" t="n"/>
      <c r="K36" s="15" t="n"/>
      <c r="L36">
        <f>IF(F36="✅ Full Coverage",IF(H36="Yes","✅ Protected",IF(H36="No","⚠ Outdated","Unknown")),IF(F36="⚠ Partial Coverage","⚠ Partial",IF(F36="❌ Not Deployed","❌ Not Protected","Unknown")))</f>
        <v/>
      </c>
      <c r="M36" s="15" t="n"/>
    </row>
    <row r="37">
      <c r="A37" s="15" t="n"/>
      <c r="B37" s="15" t="n"/>
      <c r="C37" s="15" t="n"/>
      <c r="D37" s="15" t="n"/>
      <c r="E37" s="15" t="n"/>
      <c r="F37" s="15" t="n"/>
      <c r="G37" s="15" t="n"/>
      <c r="H37" s="15" t="n"/>
      <c r="I37" s="15" t="n"/>
      <c r="J37" s="15" t="n"/>
      <c r="K37" s="15" t="n"/>
      <c r="L37">
        <f>IF(F37="✅ Full Coverage",IF(H37="Yes","✅ Protected",IF(H37="No","⚠ Outdated","Unknown")),IF(F37="⚠ Partial Coverage","⚠ Partial",IF(F37="❌ Not Deployed","❌ Not Protected","Unknown")))</f>
        <v/>
      </c>
      <c r="M37" s="15" t="n"/>
    </row>
    <row r="38">
      <c r="A38" s="15" t="n"/>
      <c r="B38" s="15" t="n"/>
      <c r="C38" s="15" t="n"/>
      <c r="D38" s="15" t="n"/>
      <c r="E38" s="15" t="n"/>
      <c r="F38" s="15" t="n"/>
      <c r="G38" s="15" t="n"/>
      <c r="H38" s="15" t="n"/>
      <c r="I38" s="15" t="n"/>
      <c r="J38" s="15" t="n"/>
      <c r="K38" s="15" t="n"/>
      <c r="L38">
        <f>IF(F38="✅ Full Coverage",IF(H38="Yes","✅ Protected",IF(H38="No","⚠ Outdated","Unknown")),IF(F38="⚠ Partial Coverage","⚠ Partial",IF(F38="❌ Not Deployed","❌ Not Protected","Unknown")))</f>
        <v/>
      </c>
      <c r="M38" s="15" t="n"/>
    </row>
    <row r="39">
      <c r="A39" s="15" t="n"/>
      <c r="B39" s="15" t="n"/>
      <c r="C39" s="15" t="n"/>
      <c r="D39" s="15" t="n"/>
      <c r="E39" s="15" t="n"/>
      <c r="F39" s="15" t="n"/>
      <c r="G39" s="15" t="n"/>
      <c r="H39" s="15" t="n"/>
      <c r="I39" s="15" t="n"/>
      <c r="J39" s="15" t="n"/>
      <c r="K39" s="15" t="n"/>
      <c r="L39">
        <f>IF(F39="✅ Full Coverage",IF(H39="Yes","✅ Protected",IF(H39="No","⚠ Outdated","Unknown")),IF(F39="⚠ Partial Coverage","⚠ Partial",IF(F39="❌ Not Deployed","❌ Not Protected","Unknown")))</f>
        <v/>
      </c>
      <c r="M39" s="15" t="n"/>
    </row>
    <row r="40">
      <c r="A40" s="15" t="n"/>
      <c r="B40" s="15" t="n"/>
      <c r="C40" s="15" t="n"/>
      <c r="D40" s="15" t="n"/>
      <c r="E40" s="15" t="n"/>
      <c r="F40" s="15" t="n"/>
      <c r="G40" s="15" t="n"/>
      <c r="H40" s="15" t="n"/>
      <c r="I40" s="15" t="n"/>
      <c r="J40" s="15" t="n"/>
      <c r="K40" s="15" t="n"/>
      <c r="L40">
        <f>IF(F40="✅ Full Coverage",IF(H40="Yes","✅ Protected",IF(H40="No","⚠ Outdated","Unknown")),IF(F40="⚠ Partial Coverage","⚠ Partial",IF(F40="❌ Not Deployed","❌ Not Protected","Unknown")))</f>
        <v/>
      </c>
      <c r="M40" s="15" t="n"/>
    </row>
    <row r="41">
      <c r="A41" s="15" t="n"/>
      <c r="B41" s="15" t="n"/>
      <c r="C41" s="15" t="n"/>
      <c r="D41" s="15" t="n"/>
      <c r="E41" s="15" t="n"/>
      <c r="F41" s="15" t="n"/>
      <c r="G41" s="15" t="n"/>
      <c r="H41" s="15" t="n"/>
      <c r="I41" s="15" t="n"/>
      <c r="J41" s="15" t="n"/>
      <c r="K41" s="15" t="n"/>
      <c r="L41">
        <f>IF(F41="✅ Full Coverage",IF(H41="Yes","✅ Protected",IF(H41="No","⚠ Outdated","Unknown")),IF(F41="⚠ Partial Coverage","⚠ Partial",IF(F41="❌ Not Deployed","❌ Not Protected","Unknown")))</f>
        <v/>
      </c>
      <c r="M41" s="15" t="n"/>
    </row>
    <row r="42">
      <c r="A42" s="15" t="n"/>
      <c r="B42" s="15" t="n"/>
      <c r="C42" s="15" t="n"/>
      <c r="D42" s="15" t="n"/>
      <c r="E42" s="15" t="n"/>
      <c r="F42" s="15" t="n"/>
      <c r="G42" s="15" t="n"/>
      <c r="H42" s="15" t="n"/>
      <c r="I42" s="15" t="n"/>
      <c r="J42" s="15" t="n"/>
      <c r="K42" s="15" t="n"/>
      <c r="L42">
        <f>IF(F42="✅ Full Coverage",IF(H42="Yes","✅ Protected",IF(H42="No","⚠ Outdated","Unknown")),IF(F42="⚠ Partial Coverage","⚠ Partial",IF(F42="❌ Not Deployed","❌ Not Protected","Unknown")))</f>
        <v/>
      </c>
      <c r="M42" s="15" t="n"/>
    </row>
    <row r="43">
      <c r="A43" s="15" t="n"/>
      <c r="B43" s="15" t="n"/>
      <c r="C43" s="15" t="n"/>
      <c r="D43" s="15" t="n"/>
      <c r="E43" s="15" t="n"/>
      <c r="F43" s="15" t="n"/>
      <c r="G43" s="15" t="n"/>
      <c r="H43" s="15" t="n"/>
      <c r="I43" s="15" t="n"/>
      <c r="J43" s="15" t="n"/>
      <c r="K43" s="15" t="n"/>
      <c r="L43">
        <f>IF(F43="✅ Full Coverage",IF(H43="Yes","✅ Protected",IF(H43="No","⚠ Outdated","Unknown")),IF(F43="⚠ Partial Coverage","⚠ Partial",IF(F43="❌ Not Deployed","❌ Not Protected","Unknown")))</f>
        <v/>
      </c>
      <c r="M43" s="15" t="n"/>
    </row>
    <row r="44">
      <c r="A44" s="15" t="n"/>
      <c r="B44" s="15" t="n"/>
      <c r="C44" s="15" t="n"/>
      <c r="D44" s="15" t="n"/>
      <c r="E44" s="15" t="n"/>
      <c r="F44" s="15" t="n"/>
      <c r="G44" s="15" t="n"/>
      <c r="H44" s="15" t="n"/>
      <c r="I44" s="15" t="n"/>
      <c r="J44" s="15" t="n"/>
      <c r="K44" s="15" t="n"/>
      <c r="L44">
        <f>IF(F44="✅ Full Coverage",IF(H44="Yes","✅ Protected",IF(H44="No","⚠ Outdated","Unknown")),IF(F44="⚠ Partial Coverage","⚠ Partial",IF(F44="❌ Not Deployed","❌ Not Protected","Unknown")))</f>
        <v/>
      </c>
      <c r="M44" s="15" t="n"/>
    </row>
    <row r="45">
      <c r="A45" s="15" t="n"/>
      <c r="B45" s="15" t="n"/>
      <c r="C45" s="15" t="n"/>
      <c r="D45" s="15" t="n"/>
      <c r="E45" s="15" t="n"/>
      <c r="F45" s="15" t="n"/>
      <c r="G45" s="15" t="n"/>
      <c r="H45" s="15" t="n"/>
      <c r="I45" s="15" t="n"/>
      <c r="J45" s="15" t="n"/>
      <c r="K45" s="15" t="n"/>
      <c r="L45">
        <f>IF(F45="✅ Full Coverage",IF(H45="Yes","✅ Protected",IF(H45="No","⚠ Outdated","Unknown")),IF(F45="⚠ Partial Coverage","⚠ Partial",IF(F45="❌ Not Deployed","❌ Not Protected","Unknown")))</f>
        <v/>
      </c>
      <c r="M45" s="15" t="n"/>
    </row>
    <row r="46">
      <c r="A46" s="15" t="n"/>
      <c r="B46" s="15" t="n"/>
      <c r="C46" s="15" t="n"/>
      <c r="D46" s="15" t="n"/>
      <c r="E46" s="15" t="n"/>
      <c r="F46" s="15" t="n"/>
      <c r="G46" s="15" t="n"/>
      <c r="H46" s="15" t="n"/>
      <c r="I46" s="15" t="n"/>
      <c r="J46" s="15" t="n"/>
      <c r="K46" s="15" t="n"/>
      <c r="L46">
        <f>IF(F46="✅ Full Coverage",IF(H46="Yes","✅ Protected",IF(H46="No","⚠ Outdated","Unknown")),IF(F46="⚠ Partial Coverage","⚠ Partial",IF(F46="❌ Not Deployed","❌ Not Protected","Unknown")))</f>
        <v/>
      </c>
      <c r="M46" s="15" t="n"/>
    </row>
    <row r="47">
      <c r="A47" s="15" t="n"/>
      <c r="B47" s="15" t="n"/>
      <c r="C47" s="15" t="n"/>
      <c r="D47" s="15" t="n"/>
      <c r="E47" s="15" t="n"/>
      <c r="F47" s="15" t="n"/>
      <c r="G47" s="15" t="n"/>
      <c r="H47" s="15" t="n"/>
      <c r="I47" s="15" t="n"/>
      <c r="J47" s="15" t="n"/>
      <c r="K47" s="15" t="n"/>
      <c r="L47">
        <f>IF(F47="✅ Full Coverage",IF(H47="Yes","✅ Protected",IF(H47="No","⚠ Outdated","Unknown")),IF(F47="⚠ Partial Coverage","⚠ Partial",IF(F47="❌ Not Deployed","❌ Not Protected","Unknown")))</f>
        <v/>
      </c>
      <c r="M47" s="15" t="n"/>
    </row>
    <row r="48">
      <c r="A48" s="15" t="n"/>
      <c r="B48" s="15" t="n"/>
      <c r="C48" s="15" t="n"/>
      <c r="D48" s="15" t="n"/>
      <c r="E48" s="15" t="n"/>
      <c r="F48" s="15" t="n"/>
      <c r="G48" s="15" t="n"/>
      <c r="H48" s="15" t="n"/>
      <c r="I48" s="15" t="n"/>
      <c r="J48" s="15" t="n"/>
      <c r="K48" s="15" t="n"/>
      <c r="L48">
        <f>IF(F48="✅ Full Coverage",IF(H48="Yes","✅ Protected",IF(H48="No","⚠ Outdated","Unknown")),IF(F48="⚠ Partial Coverage","⚠ Partial",IF(F48="❌ Not Deployed","❌ Not Protected","Unknown")))</f>
        <v/>
      </c>
      <c r="M48" s="15" t="n"/>
    </row>
    <row r="49">
      <c r="A49" s="15" t="n"/>
      <c r="B49" s="15" t="n"/>
      <c r="C49" s="15" t="n"/>
      <c r="D49" s="15" t="n"/>
      <c r="E49" s="15" t="n"/>
      <c r="F49" s="15" t="n"/>
      <c r="G49" s="15" t="n"/>
      <c r="H49" s="15" t="n"/>
      <c r="I49" s="15" t="n"/>
      <c r="J49" s="15" t="n"/>
      <c r="K49" s="15" t="n"/>
      <c r="L49">
        <f>IF(F49="✅ Full Coverage",IF(H49="Yes","✅ Protected",IF(H49="No","⚠ Outdated","Unknown")),IF(F49="⚠ Partial Coverage","⚠ Partial",IF(F49="❌ Not Deployed","❌ Not Protected","Unknown")))</f>
        <v/>
      </c>
      <c r="M49" s="15" t="n"/>
    </row>
    <row r="50">
      <c r="A50" s="15" t="n"/>
      <c r="B50" s="15" t="n"/>
      <c r="C50" s="15" t="n"/>
      <c r="D50" s="15" t="n"/>
      <c r="E50" s="15" t="n"/>
      <c r="F50" s="15" t="n"/>
      <c r="G50" s="15" t="n"/>
      <c r="H50" s="15" t="n"/>
      <c r="I50" s="15" t="n"/>
      <c r="J50" s="15" t="n"/>
      <c r="K50" s="15" t="n"/>
      <c r="L50">
        <f>IF(F50="✅ Full Coverage",IF(H50="Yes","✅ Protected",IF(H50="No","⚠ Outdated","Unknown")),IF(F50="⚠ Partial Coverage","⚠ Partial",IF(F50="❌ Not Deployed","❌ Not Protected","Unknown")))</f>
        <v/>
      </c>
      <c r="M50" s="15" t="n"/>
    </row>
    <row r="51">
      <c r="A51" s="15" t="n"/>
      <c r="B51" s="15" t="n"/>
      <c r="C51" s="15" t="n"/>
      <c r="D51" s="15" t="n"/>
      <c r="E51" s="15" t="n"/>
      <c r="F51" s="15" t="n"/>
      <c r="G51" s="15" t="n"/>
      <c r="H51" s="15" t="n"/>
      <c r="I51" s="15" t="n"/>
      <c r="J51" s="15" t="n"/>
      <c r="K51" s="15" t="n"/>
      <c r="L51">
        <f>IF(F51="✅ Full Coverage",IF(H51="Yes","✅ Protected",IF(H51="No","⚠ Outdated","Unknown")),IF(F51="⚠ Partial Coverage","⚠ Partial",IF(F51="❌ Not Deployed","❌ Not Protected","Unknown")))</f>
        <v/>
      </c>
      <c r="M51" s="15" t="n"/>
    </row>
    <row r="52">
      <c r="A52" s="15" t="n"/>
      <c r="B52" s="15" t="n"/>
      <c r="C52" s="15" t="n"/>
      <c r="D52" s="15" t="n"/>
      <c r="E52" s="15" t="n"/>
      <c r="F52" s="15" t="n"/>
      <c r="G52" s="15" t="n"/>
      <c r="H52" s="15" t="n"/>
      <c r="I52" s="15" t="n"/>
      <c r="J52" s="15" t="n"/>
      <c r="K52" s="15" t="n"/>
      <c r="L52">
        <f>IF(F52="✅ Full Coverage",IF(H52="Yes","✅ Protected",IF(H52="No","⚠ Outdated","Unknown")),IF(F52="⚠ Partial Coverage","⚠ Partial",IF(F52="❌ Not Deployed","❌ Not Protected","Unknown")))</f>
        <v/>
      </c>
      <c r="M52" s="15" t="n"/>
    </row>
    <row r="53">
      <c r="A53" s="15" t="n"/>
      <c r="B53" s="15" t="n"/>
      <c r="C53" s="15" t="n"/>
      <c r="D53" s="15" t="n"/>
      <c r="E53" s="15" t="n"/>
      <c r="F53" s="15" t="n"/>
      <c r="G53" s="15" t="n"/>
      <c r="H53" s="15" t="n"/>
      <c r="I53" s="15" t="n"/>
      <c r="J53" s="15" t="n"/>
      <c r="K53" s="15" t="n"/>
      <c r="L53">
        <f>IF(F53="✅ Full Coverage",IF(H53="Yes","✅ Protected",IF(H53="No","⚠ Outdated","Unknown")),IF(F53="⚠ Partial Coverage","⚠ Partial",IF(F53="❌ Not Deployed","❌ Not Protected","Unknown")))</f>
        <v/>
      </c>
      <c r="M53" s="15" t="n"/>
    </row>
    <row r="54">
      <c r="A54" s="15" t="n"/>
      <c r="B54" s="15" t="n"/>
      <c r="C54" s="15" t="n"/>
      <c r="D54" s="15" t="n"/>
      <c r="E54" s="15" t="n"/>
      <c r="F54" s="15" t="n"/>
      <c r="G54" s="15" t="n"/>
      <c r="H54" s="15" t="n"/>
      <c r="I54" s="15" t="n"/>
      <c r="J54" s="15" t="n"/>
      <c r="K54" s="15" t="n"/>
      <c r="L54">
        <f>IF(F54="✅ Full Coverage",IF(H54="Yes","✅ Protected",IF(H54="No","⚠ Outdated","Unknown")),IF(F54="⚠ Partial Coverage","⚠ Partial",IF(F54="❌ Not Deployed","❌ Not Protected","Unknown")))</f>
        <v/>
      </c>
      <c r="M54" s="15" t="n"/>
    </row>
    <row r="55">
      <c r="A55" s="15" t="n"/>
      <c r="B55" s="15" t="n"/>
      <c r="C55" s="15" t="n"/>
      <c r="D55" s="15" t="n"/>
      <c r="E55" s="15" t="n"/>
      <c r="F55" s="15" t="n"/>
      <c r="G55" s="15" t="n"/>
      <c r="H55" s="15" t="n"/>
      <c r="I55" s="15" t="n"/>
      <c r="J55" s="15" t="n"/>
      <c r="K55" s="15" t="n"/>
      <c r="L55">
        <f>IF(F55="✅ Full Coverage",IF(H55="Yes","✅ Protected",IF(H55="No","⚠ Outdated","Unknown")),IF(F55="⚠ Partial Coverage","⚠ Partial",IF(F55="❌ Not Deployed","❌ Not Protected","Unknown")))</f>
        <v/>
      </c>
      <c r="M55" s="15" t="n"/>
    </row>
    <row r="58">
      <c r="A58" s="12" t="inlineStr">
        <is>
          <t>[CHART] PROTECTION COVERAGE SUMMARY</t>
        </is>
      </c>
    </row>
    <row r="59">
      <c r="A59" s="16" t="inlineStr">
        <is>
          <t>Total Groups:</t>
        </is>
      </c>
      <c r="B59">
        <f>COUNTA(B6:B55)</f>
        <v/>
      </c>
    </row>
    <row r="60">
      <c r="A60" s="16" t="inlineStr">
        <is>
          <t>✅ Protected:</t>
        </is>
      </c>
      <c r="B60">
        <f>COUNTIF(L6:L55,"✅ Protected")</f>
        <v/>
      </c>
    </row>
    <row r="61">
      <c r="A61" s="16" t="inlineStr">
        <is>
          <t>❌ Not Protected:</t>
        </is>
      </c>
      <c r="B61">
        <f>COUNTIF(L6:L55,"❌ Not Protected")</f>
        <v/>
      </c>
    </row>
    <row r="62">
      <c r="A62" s="16" t="inlineStr">
        <is>
          <t>Protection Coverage Rate:</t>
        </is>
      </c>
      <c r="B62" s="17">
        <f>IF(B59&gt;0,B60/B59*100,0)&amp;"%"</f>
        <v/>
      </c>
    </row>
    <row r="64">
      <c r="A64" s="16" t="inlineStr">
        <is>
          <t>Signatures Current:</t>
        </is>
      </c>
      <c r="B64">
        <f>COUNTIF(H6:H55,"Yes")</f>
        <v/>
      </c>
    </row>
    <row r="65">
      <c r="A65" s="16" t="inlineStr">
        <is>
          <t>Signature Currency Rate:</t>
        </is>
      </c>
      <c r="B65">
        <f>IF(B61&gt;0,B64/B61*100,0)&amp;"%"</f>
        <v/>
      </c>
    </row>
  </sheetData>
  <mergeCells count="3">
    <mergeCell ref="A2:M2"/>
    <mergeCell ref="A1:M1"/>
    <mergeCell ref="A58:D58"/>
  </mergeCells>
  <dataValidations count="5">
    <dataValidation sqref="H6 H7 H8 H9 H10 H11 H12 H13 H14 H15 H16 H17 H18 H19 H20 H21 H22 H23 H24 H25 H26 H27 H28 H29 H30 H31 H32 H33 H34 H35 H36 H37 H38 H39 H40 H41 H42 H43 H44 H45 H46 H47 H48 H49 H50 H51 H52 H53 H54 H55" showDropDown="0" showInputMessage="0" showErrorMessage="0" allowBlank="0" type="list">
      <formula1>"Yes,No,Unknown"</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"Microsoft Defender,CrowdStrike Falcon,SentinelOne,Sophos,Trend Micro,McAfee,Symantec,Kaspersky,ESET,Bitdefender,Carbon Black,Palo Alto Cortex XDR,None,Other"</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"AD OU,Entra ID Group,Department Group,Location Group,Other"</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 Full Coverage,⚠ Partial Coverage,❌ Not Deployed,Unknown"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 Compliant,⚠ Partial,❌ Non-Compliant,Unknown"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2"/>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18" customWidth="1" min="3" max="3"/>
    <col width="14" customWidth="1" min="4" max="4"/>
    <col width="20" customWidth="1" min="5" max="5"/>
    <col width="15" customWidth="1" min="6" max="6"/>
    <col width="15" customWidth="1" min="7" max="7"/>
    <col width="15" customWidth="1" min="8" max="8"/>
    <col width="15" customWidth="1" min="9" max="9"/>
    <col width="22" customWidth="1" min="10" max="10"/>
    <col width="30" customWidth="1" min="11" max="11"/>
  </cols>
  <sheetData>
    <row r="1" ht="35" customHeight="1">
      <c r="A1" s="11" t="inlineStr">
        <is>
          <t>ANTI-MALWARE AGENT STATUS &amp; HEALTH</t>
        </is>
      </c>
    </row>
    <row r="2">
      <c r="A2" s="12" t="inlineStr">
        <is>
          <t>Device-group agent coverage, version status, and communication health</t>
        </is>
      </c>
    </row>
    <row r="4">
      <c r="A4" s="13" t="inlineStr">
        <is>
          <t>Group ID</t>
        </is>
      </c>
      <c r="B4" s="13" t="inlineStr">
        <is>
          <t>Device Group Name</t>
        </is>
      </c>
      <c r="C4" s="13" t="inlineStr">
        <is>
          <t>Group Type</t>
        </is>
      </c>
      <c r="D4" s="13" t="inlineStr">
        <is>
          <t>Device Count</t>
        </is>
      </c>
      <c r="E4" s="13" t="inlineStr">
        <is>
          <t>Agent Coverage</t>
        </is>
      </c>
      <c r="F4" s="13" t="inlineStr">
        <is>
          <t>Agent Version</t>
        </is>
      </c>
      <c r="G4" s="13" t="inlineStr">
        <is>
          <t>Latest Version</t>
        </is>
      </c>
      <c r="H4" s="13" t="inlineStr">
        <is>
          <t>Agent Outdated</t>
        </is>
      </c>
      <c r="I4" s="13" t="inlineStr">
        <is>
          <t>Last Check-In</t>
        </is>
      </c>
      <c r="J4" s="13" t="inlineStr">
        <is>
          <t>Communication Status</t>
        </is>
      </c>
      <c r="K4" s="13" t="inlineStr">
        <is>
          <t>Notes</t>
        </is>
      </c>
    </row>
    <row r="5">
      <c r="A5" s="14" t="inlineStr">
        <is>
          <t>GRP-001</t>
        </is>
      </c>
      <c r="B5" s="14" t="inlineStr">
        <is>
          <t>SG-Windows-Endpoints</t>
        </is>
      </c>
      <c r="C5" s="14" t="inlineStr">
        <is>
          <t>Entra ID Group</t>
        </is>
      </c>
      <c r="D5" s="14" t="n">
        <v>312</v>
      </c>
      <c r="E5" s="14" t="inlineStr">
        <is>
          <t>✅ Full</t>
        </is>
      </c>
      <c r="F5" s="14" t="inlineStr">
        <is>
          <t>5.67.2.0</t>
        </is>
      </c>
      <c r="G5" s="14" t="inlineStr">
        <is>
          <t>5.67.2.0</t>
        </is>
      </c>
      <c r="H5" s="14">
        <f>IF(AND(F5&lt;&gt;"",G5&lt;&gt;""),IF(F5=G5,"No","Yes"),"N/A")</f>
        <v/>
      </c>
      <c r="I5" s="14" t="inlineStr">
        <is>
          <t>21.02.2026</t>
        </is>
      </c>
      <c r="J5" s="14" t="inlineStr">
        <is>
          <t>✅ Active</t>
        </is>
      </c>
      <c r="K5" s="14" t="inlineStr">
        <is>
          <t>Production Windows group</t>
        </is>
      </c>
    </row>
    <row r="6">
      <c r="A6" s="15">
        <f>IF('Coverage Analysis'!A6="","",'Coverage Analysis'!A6)</f>
        <v/>
      </c>
      <c r="B6" s="15">
        <f>IF('Coverage Analysis'!B6="","",'Coverage Analysis'!B6)</f>
        <v/>
      </c>
      <c r="C6" s="15">
        <f>IF('Coverage Analysis'!C6="","",'Coverage Analysis'!C6)</f>
        <v/>
      </c>
      <c r="D6" s="15">
        <f>IF('Coverage Analysis'!D6="","",'Coverage Analysis'!D6)</f>
        <v/>
      </c>
      <c r="E6" s="15" t="n"/>
      <c r="F6" s="15" t="n"/>
      <c r="G6" s="15" t="n"/>
      <c r="H6">
        <f>IF(AND(F6&lt;&gt;"",G6&lt;&gt;""),IF(F6=G6,"No","Yes"),"N/A")</f>
        <v/>
      </c>
      <c r="I6" s="15" t="n"/>
      <c r="J6" s="15" t="n"/>
      <c r="K6" s="15" t="n"/>
    </row>
    <row r="7">
      <c r="A7" s="15">
        <f>IF('Coverage Analysis'!A7="","",'Coverage Analysis'!A7)</f>
        <v/>
      </c>
      <c r="B7" s="15">
        <f>IF('Coverage Analysis'!B7="","",'Coverage Analysis'!B7)</f>
        <v/>
      </c>
      <c r="C7" s="15">
        <f>IF('Coverage Analysis'!C7="","",'Coverage Analysis'!C7)</f>
        <v/>
      </c>
      <c r="D7" s="15">
        <f>IF('Coverage Analysis'!D7="","",'Coverage Analysis'!D7)</f>
        <v/>
      </c>
      <c r="E7" s="15" t="n"/>
      <c r="F7" s="15" t="n"/>
      <c r="G7" s="15" t="n"/>
      <c r="H7">
        <f>IF(AND(F7&lt;&gt;"",G7&lt;&gt;""),IF(F7=G7,"No","Yes"),"N/A")</f>
        <v/>
      </c>
      <c r="I7" s="15" t="n"/>
      <c r="J7" s="15" t="n"/>
      <c r="K7" s="15" t="n"/>
    </row>
    <row r="8">
      <c r="A8" s="15">
        <f>IF('Coverage Analysis'!A8="","",'Coverage Analysis'!A8)</f>
        <v/>
      </c>
      <c r="B8" s="15">
        <f>IF('Coverage Analysis'!B8="","",'Coverage Analysis'!B8)</f>
        <v/>
      </c>
      <c r="C8" s="15">
        <f>IF('Coverage Analysis'!C8="","",'Coverage Analysis'!C8)</f>
        <v/>
      </c>
      <c r="D8" s="15">
        <f>IF('Coverage Analysis'!D8="","",'Coverage Analysis'!D8)</f>
        <v/>
      </c>
      <c r="E8" s="15" t="n"/>
      <c r="F8" s="15" t="n"/>
      <c r="G8" s="15" t="n"/>
      <c r="H8">
        <f>IF(AND(F8&lt;&gt;"",G8&lt;&gt;""),IF(F8=G8,"No","Yes"),"N/A")</f>
        <v/>
      </c>
      <c r="I8" s="15" t="n"/>
      <c r="J8" s="15" t="n"/>
      <c r="K8" s="15" t="n"/>
    </row>
    <row r="9">
      <c r="A9" s="15">
        <f>IF('Coverage Analysis'!A9="","",'Coverage Analysis'!A9)</f>
        <v/>
      </c>
      <c r="B9" s="15">
        <f>IF('Coverage Analysis'!B9="","",'Coverage Analysis'!B9)</f>
        <v/>
      </c>
      <c r="C9" s="15">
        <f>IF('Coverage Analysis'!C9="","",'Coverage Analysis'!C9)</f>
        <v/>
      </c>
      <c r="D9" s="15">
        <f>IF('Coverage Analysis'!D9="","",'Coverage Analysis'!D9)</f>
        <v/>
      </c>
      <c r="E9" s="15" t="n"/>
      <c r="F9" s="15" t="n"/>
      <c r="G9" s="15" t="n"/>
      <c r="H9">
        <f>IF(AND(F9&lt;&gt;"",G9&lt;&gt;""),IF(F9=G9,"No","Yes"),"N/A")</f>
        <v/>
      </c>
      <c r="I9" s="15" t="n"/>
      <c r="J9" s="15" t="n"/>
      <c r="K9" s="15" t="n"/>
    </row>
    <row r="10">
      <c r="A10" s="15">
        <f>IF('Coverage Analysis'!A10="","",'Coverage Analysis'!A10)</f>
        <v/>
      </c>
      <c r="B10" s="15">
        <f>IF('Coverage Analysis'!B10="","",'Coverage Analysis'!B10)</f>
        <v/>
      </c>
      <c r="C10" s="15">
        <f>IF('Coverage Analysis'!C10="","",'Coverage Analysis'!C10)</f>
        <v/>
      </c>
      <c r="D10" s="15">
        <f>IF('Coverage Analysis'!D10="","",'Coverage Analysis'!D10)</f>
        <v/>
      </c>
      <c r="E10" s="15" t="n"/>
      <c r="F10" s="15" t="n"/>
      <c r="G10" s="15" t="n"/>
      <c r="H10">
        <f>IF(AND(F10&lt;&gt;"",G10&lt;&gt;""),IF(F10=G10,"No","Yes"),"N/A")</f>
        <v/>
      </c>
      <c r="I10" s="15" t="n"/>
      <c r="J10" s="15" t="n"/>
      <c r="K10" s="15" t="n"/>
    </row>
    <row r="11">
      <c r="A11" s="15">
        <f>IF('Coverage Analysis'!A11="","",'Coverage Analysis'!A11)</f>
        <v/>
      </c>
      <c r="B11" s="15">
        <f>IF('Coverage Analysis'!B11="","",'Coverage Analysis'!B11)</f>
        <v/>
      </c>
      <c r="C11" s="15">
        <f>IF('Coverage Analysis'!C11="","",'Coverage Analysis'!C11)</f>
        <v/>
      </c>
      <c r="D11" s="15">
        <f>IF('Coverage Analysis'!D11="","",'Coverage Analysis'!D11)</f>
        <v/>
      </c>
      <c r="E11" s="15" t="n"/>
      <c r="F11" s="15" t="n"/>
      <c r="G11" s="15" t="n"/>
      <c r="H11">
        <f>IF(AND(F11&lt;&gt;"",G11&lt;&gt;""),IF(F11=G11,"No","Yes"),"N/A")</f>
        <v/>
      </c>
      <c r="I11" s="15" t="n"/>
      <c r="J11" s="15" t="n"/>
      <c r="K11" s="15" t="n"/>
    </row>
    <row r="12">
      <c r="A12" s="15">
        <f>IF('Coverage Analysis'!A12="","",'Coverage Analysis'!A12)</f>
        <v/>
      </c>
      <c r="B12" s="15">
        <f>IF('Coverage Analysis'!B12="","",'Coverage Analysis'!B12)</f>
        <v/>
      </c>
      <c r="C12" s="15">
        <f>IF('Coverage Analysis'!C12="","",'Coverage Analysis'!C12)</f>
        <v/>
      </c>
      <c r="D12" s="15">
        <f>IF('Coverage Analysis'!D12="","",'Coverage Analysis'!D12)</f>
        <v/>
      </c>
      <c r="E12" s="15" t="n"/>
      <c r="F12" s="15" t="n"/>
      <c r="G12" s="15" t="n"/>
      <c r="H12">
        <f>IF(AND(F12&lt;&gt;"",G12&lt;&gt;""),IF(F12=G12,"No","Yes"),"N/A")</f>
        <v/>
      </c>
      <c r="I12" s="15" t="n"/>
      <c r="J12" s="15" t="n"/>
      <c r="K12" s="15" t="n"/>
    </row>
    <row r="13">
      <c r="A13" s="15">
        <f>IF('Coverage Analysis'!A13="","",'Coverage Analysis'!A13)</f>
        <v/>
      </c>
      <c r="B13" s="15">
        <f>IF('Coverage Analysis'!B13="","",'Coverage Analysis'!B13)</f>
        <v/>
      </c>
      <c r="C13" s="15">
        <f>IF('Coverage Analysis'!C13="","",'Coverage Analysis'!C13)</f>
        <v/>
      </c>
      <c r="D13" s="15">
        <f>IF('Coverage Analysis'!D13="","",'Coverage Analysis'!D13)</f>
        <v/>
      </c>
      <c r="E13" s="15" t="n"/>
      <c r="F13" s="15" t="n"/>
      <c r="G13" s="15" t="n"/>
      <c r="H13">
        <f>IF(AND(F13&lt;&gt;"",G13&lt;&gt;""),IF(F13=G13,"No","Yes"),"N/A")</f>
        <v/>
      </c>
      <c r="I13" s="15" t="n"/>
      <c r="J13" s="15" t="n"/>
      <c r="K13" s="15" t="n"/>
    </row>
    <row r="14">
      <c r="A14" s="15">
        <f>IF('Coverage Analysis'!A14="","",'Coverage Analysis'!A14)</f>
        <v/>
      </c>
      <c r="B14" s="15">
        <f>IF('Coverage Analysis'!B14="","",'Coverage Analysis'!B14)</f>
        <v/>
      </c>
      <c r="C14" s="15">
        <f>IF('Coverage Analysis'!C14="","",'Coverage Analysis'!C14)</f>
        <v/>
      </c>
      <c r="D14" s="15">
        <f>IF('Coverage Analysis'!D14="","",'Coverage Analysis'!D14)</f>
        <v/>
      </c>
      <c r="E14" s="15" t="n"/>
      <c r="F14" s="15" t="n"/>
      <c r="G14" s="15" t="n"/>
      <c r="H14">
        <f>IF(AND(F14&lt;&gt;"",G14&lt;&gt;""),IF(F14=G14,"No","Yes"),"N/A")</f>
        <v/>
      </c>
      <c r="I14" s="15" t="n"/>
      <c r="J14" s="15" t="n"/>
      <c r="K14" s="15" t="n"/>
    </row>
    <row r="15">
      <c r="A15" s="15">
        <f>IF('Coverage Analysis'!A15="","",'Coverage Analysis'!A15)</f>
        <v/>
      </c>
      <c r="B15" s="15">
        <f>IF('Coverage Analysis'!B15="","",'Coverage Analysis'!B15)</f>
        <v/>
      </c>
      <c r="C15" s="15">
        <f>IF('Coverage Analysis'!C15="","",'Coverage Analysis'!C15)</f>
        <v/>
      </c>
      <c r="D15" s="15">
        <f>IF('Coverage Analysis'!D15="","",'Coverage Analysis'!D15)</f>
        <v/>
      </c>
      <c r="E15" s="15" t="n"/>
      <c r="F15" s="15" t="n"/>
      <c r="G15" s="15" t="n"/>
      <c r="H15">
        <f>IF(AND(F15&lt;&gt;"",G15&lt;&gt;""),IF(F15=G15,"No","Yes"),"N/A")</f>
        <v/>
      </c>
      <c r="I15" s="15" t="n"/>
      <c r="J15" s="15" t="n"/>
      <c r="K15" s="15" t="n"/>
    </row>
    <row r="16">
      <c r="A16" s="15">
        <f>IF('Coverage Analysis'!A16="","",'Coverage Analysis'!A16)</f>
        <v/>
      </c>
      <c r="B16" s="15">
        <f>IF('Coverage Analysis'!B16="","",'Coverage Analysis'!B16)</f>
        <v/>
      </c>
      <c r="C16" s="15">
        <f>IF('Coverage Analysis'!C16="","",'Coverage Analysis'!C16)</f>
        <v/>
      </c>
      <c r="D16" s="15">
        <f>IF('Coverage Analysis'!D16="","",'Coverage Analysis'!D16)</f>
        <v/>
      </c>
      <c r="E16" s="15" t="n"/>
      <c r="F16" s="15" t="n"/>
      <c r="G16" s="15" t="n"/>
      <c r="H16">
        <f>IF(AND(F16&lt;&gt;"",G16&lt;&gt;""),IF(F16=G16,"No","Yes"),"N/A")</f>
        <v/>
      </c>
      <c r="I16" s="15" t="n"/>
      <c r="J16" s="15" t="n"/>
      <c r="K16" s="15" t="n"/>
    </row>
    <row r="17">
      <c r="A17" s="15">
        <f>IF('Coverage Analysis'!A17="","",'Coverage Analysis'!A17)</f>
        <v/>
      </c>
      <c r="B17" s="15">
        <f>IF('Coverage Analysis'!B17="","",'Coverage Analysis'!B17)</f>
        <v/>
      </c>
      <c r="C17" s="15">
        <f>IF('Coverage Analysis'!C17="","",'Coverage Analysis'!C17)</f>
        <v/>
      </c>
      <c r="D17" s="15">
        <f>IF('Coverage Analysis'!D17="","",'Coverage Analysis'!D17)</f>
        <v/>
      </c>
      <c r="E17" s="15" t="n"/>
      <c r="F17" s="15" t="n"/>
      <c r="G17" s="15" t="n"/>
      <c r="H17">
        <f>IF(AND(F17&lt;&gt;"",G17&lt;&gt;""),IF(F17=G17,"No","Yes"),"N/A")</f>
        <v/>
      </c>
      <c r="I17" s="15" t="n"/>
      <c r="J17" s="15" t="n"/>
      <c r="K17" s="15" t="n"/>
    </row>
    <row r="18">
      <c r="A18" s="15">
        <f>IF('Coverage Analysis'!A18="","",'Coverage Analysis'!A18)</f>
        <v/>
      </c>
      <c r="B18" s="15">
        <f>IF('Coverage Analysis'!B18="","",'Coverage Analysis'!B18)</f>
        <v/>
      </c>
      <c r="C18" s="15">
        <f>IF('Coverage Analysis'!C18="","",'Coverage Analysis'!C18)</f>
        <v/>
      </c>
      <c r="D18" s="15">
        <f>IF('Coverage Analysis'!D18="","",'Coverage Analysis'!D18)</f>
        <v/>
      </c>
      <c r="E18" s="15" t="n"/>
      <c r="F18" s="15" t="n"/>
      <c r="G18" s="15" t="n"/>
      <c r="H18">
        <f>IF(AND(F18&lt;&gt;"",G18&lt;&gt;""),IF(F18=G18,"No","Yes"),"N/A")</f>
        <v/>
      </c>
      <c r="I18" s="15" t="n"/>
      <c r="J18" s="15" t="n"/>
      <c r="K18" s="15" t="n"/>
    </row>
    <row r="19">
      <c r="A19" s="15">
        <f>IF('Coverage Analysis'!A19="","",'Coverage Analysis'!A19)</f>
        <v/>
      </c>
      <c r="B19" s="15">
        <f>IF('Coverage Analysis'!B19="","",'Coverage Analysis'!B19)</f>
        <v/>
      </c>
      <c r="C19" s="15">
        <f>IF('Coverage Analysis'!C19="","",'Coverage Analysis'!C19)</f>
        <v/>
      </c>
      <c r="D19" s="15">
        <f>IF('Coverage Analysis'!D19="","",'Coverage Analysis'!D19)</f>
        <v/>
      </c>
      <c r="E19" s="15" t="n"/>
      <c r="F19" s="15" t="n"/>
      <c r="G19" s="15" t="n"/>
      <c r="H19">
        <f>IF(AND(F19&lt;&gt;"",G19&lt;&gt;""),IF(F19=G19,"No","Yes"),"N/A")</f>
        <v/>
      </c>
      <c r="I19" s="15" t="n"/>
      <c r="J19" s="15" t="n"/>
      <c r="K19" s="15" t="n"/>
    </row>
    <row r="20">
      <c r="A20" s="15">
        <f>IF('Coverage Analysis'!A20="","",'Coverage Analysis'!A20)</f>
        <v/>
      </c>
      <c r="B20" s="15">
        <f>IF('Coverage Analysis'!B20="","",'Coverage Analysis'!B20)</f>
        <v/>
      </c>
      <c r="C20" s="15">
        <f>IF('Coverage Analysis'!C20="","",'Coverage Analysis'!C20)</f>
        <v/>
      </c>
      <c r="D20" s="15">
        <f>IF('Coverage Analysis'!D20="","",'Coverage Analysis'!D20)</f>
        <v/>
      </c>
      <c r="E20" s="15" t="n"/>
      <c r="F20" s="15" t="n"/>
      <c r="G20" s="15" t="n"/>
      <c r="H20">
        <f>IF(AND(F20&lt;&gt;"",G20&lt;&gt;""),IF(F20=G20,"No","Yes"),"N/A")</f>
        <v/>
      </c>
      <c r="I20" s="15" t="n"/>
      <c r="J20" s="15" t="n"/>
      <c r="K20" s="15" t="n"/>
    </row>
    <row r="21">
      <c r="A21" s="15">
        <f>IF('Coverage Analysis'!A21="","",'Coverage Analysis'!A21)</f>
        <v/>
      </c>
      <c r="B21" s="15">
        <f>IF('Coverage Analysis'!B21="","",'Coverage Analysis'!B21)</f>
        <v/>
      </c>
      <c r="C21" s="15">
        <f>IF('Coverage Analysis'!C21="","",'Coverage Analysis'!C21)</f>
        <v/>
      </c>
      <c r="D21" s="15">
        <f>IF('Coverage Analysis'!D21="","",'Coverage Analysis'!D21)</f>
        <v/>
      </c>
      <c r="E21" s="15" t="n"/>
      <c r="F21" s="15" t="n"/>
      <c r="G21" s="15" t="n"/>
      <c r="H21">
        <f>IF(AND(F21&lt;&gt;"",G21&lt;&gt;""),IF(F21=G21,"No","Yes"),"N/A")</f>
        <v/>
      </c>
      <c r="I21" s="15" t="n"/>
      <c r="J21" s="15" t="n"/>
      <c r="K21" s="15" t="n"/>
    </row>
    <row r="22">
      <c r="A22" s="15">
        <f>IF('Coverage Analysis'!A22="","",'Coverage Analysis'!A22)</f>
        <v/>
      </c>
      <c r="B22" s="15">
        <f>IF('Coverage Analysis'!B22="","",'Coverage Analysis'!B22)</f>
        <v/>
      </c>
      <c r="C22" s="15">
        <f>IF('Coverage Analysis'!C22="","",'Coverage Analysis'!C22)</f>
        <v/>
      </c>
      <c r="D22" s="15">
        <f>IF('Coverage Analysis'!D22="","",'Coverage Analysis'!D22)</f>
        <v/>
      </c>
      <c r="E22" s="15" t="n"/>
      <c r="F22" s="15" t="n"/>
      <c r="G22" s="15" t="n"/>
      <c r="H22">
        <f>IF(AND(F22&lt;&gt;"",G22&lt;&gt;""),IF(F22=G22,"No","Yes"),"N/A")</f>
        <v/>
      </c>
      <c r="I22" s="15" t="n"/>
      <c r="J22" s="15" t="n"/>
      <c r="K22" s="15" t="n"/>
    </row>
    <row r="23">
      <c r="A23" s="15">
        <f>IF('Coverage Analysis'!A23="","",'Coverage Analysis'!A23)</f>
        <v/>
      </c>
      <c r="B23" s="15">
        <f>IF('Coverage Analysis'!B23="","",'Coverage Analysis'!B23)</f>
        <v/>
      </c>
      <c r="C23" s="15">
        <f>IF('Coverage Analysis'!C23="","",'Coverage Analysis'!C23)</f>
        <v/>
      </c>
      <c r="D23" s="15">
        <f>IF('Coverage Analysis'!D23="","",'Coverage Analysis'!D23)</f>
        <v/>
      </c>
      <c r="E23" s="15" t="n"/>
      <c r="F23" s="15" t="n"/>
      <c r="G23" s="15" t="n"/>
      <c r="H23">
        <f>IF(AND(F23&lt;&gt;"",G23&lt;&gt;""),IF(F23=G23,"No","Yes"),"N/A")</f>
        <v/>
      </c>
      <c r="I23" s="15" t="n"/>
      <c r="J23" s="15" t="n"/>
      <c r="K23" s="15" t="n"/>
    </row>
    <row r="24">
      <c r="A24" s="15">
        <f>IF('Coverage Analysis'!A24="","",'Coverage Analysis'!A24)</f>
        <v/>
      </c>
      <c r="B24" s="15">
        <f>IF('Coverage Analysis'!B24="","",'Coverage Analysis'!B24)</f>
        <v/>
      </c>
      <c r="C24" s="15">
        <f>IF('Coverage Analysis'!C24="","",'Coverage Analysis'!C24)</f>
        <v/>
      </c>
      <c r="D24" s="15">
        <f>IF('Coverage Analysis'!D24="","",'Coverage Analysis'!D24)</f>
        <v/>
      </c>
      <c r="E24" s="15" t="n"/>
      <c r="F24" s="15" t="n"/>
      <c r="G24" s="15" t="n"/>
      <c r="H24">
        <f>IF(AND(F24&lt;&gt;"",G24&lt;&gt;""),IF(F24=G24,"No","Yes"),"N/A")</f>
        <v/>
      </c>
      <c r="I24" s="15" t="n"/>
      <c r="J24" s="15" t="n"/>
      <c r="K24" s="15" t="n"/>
    </row>
    <row r="25">
      <c r="A25" s="15">
        <f>IF('Coverage Analysis'!A25="","",'Coverage Analysis'!A25)</f>
        <v/>
      </c>
      <c r="B25" s="15">
        <f>IF('Coverage Analysis'!B25="","",'Coverage Analysis'!B25)</f>
        <v/>
      </c>
      <c r="C25" s="15">
        <f>IF('Coverage Analysis'!C25="","",'Coverage Analysis'!C25)</f>
        <v/>
      </c>
      <c r="D25" s="15">
        <f>IF('Coverage Analysis'!D25="","",'Coverage Analysis'!D25)</f>
        <v/>
      </c>
      <c r="E25" s="15" t="n"/>
      <c r="F25" s="15" t="n"/>
      <c r="G25" s="15" t="n"/>
      <c r="H25">
        <f>IF(AND(F25&lt;&gt;"",G25&lt;&gt;""),IF(F25=G25,"No","Yes"),"N/A")</f>
        <v/>
      </c>
      <c r="I25" s="15" t="n"/>
      <c r="J25" s="15" t="n"/>
      <c r="K25" s="15" t="n"/>
    </row>
    <row r="26">
      <c r="A26" s="15">
        <f>IF('Coverage Analysis'!A26="","",'Coverage Analysis'!A26)</f>
        <v/>
      </c>
      <c r="B26" s="15">
        <f>IF('Coverage Analysis'!B26="","",'Coverage Analysis'!B26)</f>
        <v/>
      </c>
      <c r="C26" s="15">
        <f>IF('Coverage Analysis'!C26="","",'Coverage Analysis'!C26)</f>
        <v/>
      </c>
      <c r="D26" s="15">
        <f>IF('Coverage Analysis'!D26="","",'Coverage Analysis'!D26)</f>
        <v/>
      </c>
      <c r="E26" s="15" t="n"/>
      <c r="F26" s="15" t="n"/>
      <c r="G26" s="15" t="n"/>
      <c r="H26">
        <f>IF(AND(F26&lt;&gt;"",G26&lt;&gt;""),IF(F26=G26,"No","Yes"),"N/A")</f>
        <v/>
      </c>
      <c r="I26" s="15" t="n"/>
      <c r="J26" s="15" t="n"/>
      <c r="K26" s="15" t="n"/>
    </row>
    <row r="27">
      <c r="A27" s="15">
        <f>IF('Coverage Analysis'!A27="","",'Coverage Analysis'!A27)</f>
        <v/>
      </c>
      <c r="B27" s="15">
        <f>IF('Coverage Analysis'!B27="","",'Coverage Analysis'!B27)</f>
        <v/>
      </c>
      <c r="C27" s="15">
        <f>IF('Coverage Analysis'!C27="","",'Coverage Analysis'!C27)</f>
        <v/>
      </c>
      <c r="D27" s="15">
        <f>IF('Coverage Analysis'!D27="","",'Coverage Analysis'!D27)</f>
        <v/>
      </c>
      <c r="E27" s="15" t="n"/>
      <c r="F27" s="15" t="n"/>
      <c r="G27" s="15" t="n"/>
      <c r="H27">
        <f>IF(AND(F27&lt;&gt;"",G27&lt;&gt;""),IF(F27=G27,"No","Yes"),"N/A")</f>
        <v/>
      </c>
      <c r="I27" s="15" t="n"/>
      <c r="J27" s="15" t="n"/>
      <c r="K27" s="15" t="n"/>
    </row>
    <row r="28">
      <c r="A28" s="15">
        <f>IF('Coverage Analysis'!A28="","",'Coverage Analysis'!A28)</f>
        <v/>
      </c>
      <c r="B28" s="15">
        <f>IF('Coverage Analysis'!B28="","",'Coverage Analysis'!B28)</f>
        <v/>
      </c>
      <c r="C28" s="15">
        <f>IF('Coverage Analysis'!C28="","",'Coverage Analysis'!C28)</f>
        <v/>
      </c>
      <c r="D28" s="15">
        <f>IF('Coverage Analysis'!D28="","",'Coverage Analysis'!D28)</f>
        <v/>
      </c>
      <c r="E28" s="15" t="n"/>
      <c r="F28" s="15" t="n"/>
      <c r="G28" s="15" t="n"/>
      <c r="H28">
        <f>IF(AND(F28&lt;&gt;"",G28&lt;&gt;""),IF(F28=G28,"No","Yes"),"N/A")</f>
        <v/>
      </c>
      <c r="I28" s="15" t="n"/>
      <c r="J28" s="15" t="n"/>
      <c r="K28" s="15" t="n"/>
    </row>
    <row r="29">
      <c r="A29" s="15">
        <f>IF('Coverage Analysis'!A29="","",'Coverage Analysis'!A29)</f>
        <v/>
      </c>
      <c r="B29" s="15">
        <f>IF('Coverage Analysis'!B29="","",'Coverage Analysis'!B29)</f>
        <v/>
      </c>
      <c r="C29" s="15">
        <f>IF('Coverage Analysis'!C29="","",'Coverage Analysis'!C29)</f>
        <v/>
      </c>
      <c r="D29" s="15">
        <f>IF('Coverage Analysis'!D29="","",'Coverage Analysis'!D29)</f>
        <v/>
      </c>
      <c r="E29" s="15" t="n"/>
      <c r="F29" s="15" t="n"/>
      <c r="G29" s="15" t="n"/>
      <c r="H29">
        <f>IF(AND(F29&lt;&gt;"",G29&lt;&gt;""),IF(F29=G29,"No","Yes"),"N/A")</f>
        <v/>
      </c>
      <c r="I29" s="15" t="n"/>
      <c r="J29" s="15" t="n"/>
      <c r="K29" s="15" t="n"/>
    </row>
    <row r="30">
      <c r="A30" s="15">
        <f>IF('Coverage Analysis'!A30="","",'Coverage Analysis'!A30)</f>
        <v/>
      </c>
      <c r="B30" s="15">
        <f>IF('Coverage Analysis'!B30="","",'Coverage Analysis'!B30)</f>
        <v/>
      </c>
      <c r="C30" s="15">
        <f>IF('Coverage Analysis'!C30="","",'Coverage Analysis'!C30)</f>
        <v/>
      </c>
      <c r="D30" s="15">
        <f>IF('Coverage Analysis'!D30="","",'Coverage Analysis'!D30)</f>
        <v/>
      </c>
      <c r="E30" s="15" t="n"/>
      <c r="F30" s="15" t="n"/>
      <c r="G30" s="15" t="n"/>
      <c r="H30">
        <f>IF(AND(F30&lt;&gt;"",G30&lt;&gt;""),IF(F30=G30,"No","Yes"),"N/A")</f>
        <v/>
      </c>
      <c r="I30" s="15" t="n"/>
      <c r="J30" s="15" t="n"/>
      <c r="K30" s="15" t="n"/>
    </row>
    <row r="31">
      <c r="A31" s="15">
        <f>IF('Coverage Analysis'!A31="","",'Coverage Analysis'!A31)</f>
        <v/>
      </c>
      <c r="B31" s="15">
        <f>IF('Coverage Analysis'!B31="","",'Coverage Analysis'!B31)</f>
        <v/>
      </c>
      <c r="C31" s="15">
        <f>IF('Coverage Analysis'!C31="","",'Coverage Analysis'!C31)</f>
        <v/>
      </c>
      <c r="D31" s="15">
        <f>IF('Coverage Analysis'!D31="","",'Coverage Analysis'!D31)</f>
        <v/>
      </c>
      <c r="E31" s="15" t="n"/>
      <c r="F31" s="15" t="n"/>
      <c r="G31" s="15" t="n"/>
      <c r="H31">
        <f>IF(AND(F31&lt;&gt;"",G31&lt;&gt;""),IF(F31=G31,"No","Yes"),"N/A")</f>
        <v/>
      </c>
      <c r="I31" s="15" t="n"/>
      <c r="J31" s="15" t="n"/>
      <c r="K31" s="15" t="n"/>
    </row>
    <row r="32">
      <c r="A32" s="15">
        <f>IF('Coverage Analysis'!A32="","",'Coverage Analysis'!A32)</f>
        <v/>
      </c>
      <c r="B32" s="15">
        <f>IF('Coverage Analysis'!B32="","",'Coverage Analysis'!B32)</f>
        <v/>
      </c>
      <c r="C32" s="15">
        <f>IF('Coverage Analysis'!C32="","",'Coverage Analysis'!C32)</f>
        <v/>
      </c>
      <c r="D32" s="15">
        <f>IF('Coverage Analysis'!D32="","",'Coverage Analysis'!D32)</f>
        <v/>
      </c>
      <c r="E32" s="15" t="n"/>
      <c r="F32" s="15" t="n"/>
      <c r="G32" s="15" t="n"/>
      <c r="H32">
        <f>IF(AND(F32&lt;&gt;"",G32&lt;&gt;""),IF(F32=G32,"No","Yes"),"N/A")</f>
        <v/>
      </c>
      <c r="I32" s="15" t="n"/>
      <c r="J32" s="15" t="n"/>
      <c r="K32" s="15" t="n"/>
    </row>
    <row r="33">
      <c r="A33" s="15">
        <f>IF('Coverage Analysis'!A33="","",'Coverage Analysis'!A33)</f>
        <v/>
      </c>
      <c r="B33" s="15">
        <f>IF('Coverage Analysis'!B33="","",'Coverage Analysis'!B33)</f>
        <v/>
      </c>
      <c r="C33" s="15">
        <f>IF('Coverage Analysis'!C33="","",'Coverage Analysis'!C33)</f>
        <v/>
      </c>
      <c r="D33" s="15">
        <f>IF('Coverage Analysis'!D33="","",'Coverage Analysis'!D33)</f>
        <v/>
      </c>
      <c r="E33" s="15" t="n"/>
      <c r="F33" s="15" t="n"/>
      <c r="G33" s="15" t="n"/>
      <c r="H33">
        <f>IF(AND(F33&lt;&gt;"",G33&lt;&gt;""),IF(F33=G33,"No","Yes"),"N/A")</f>
        <v/>
      </c>
      <c r="I33" s="15" t="n"/>
      <c r="J33" s="15" t="n"/>
      <c r="K33" s="15" t="n"/>
    </row>
    <row r="34">
      <c r="A34" s="15">
        <f>IF('Coverage Analysis'!A34="","",'Coverage Analysis'!A34)</f>
        <v/>
      </c>
      <c r="B34" s="15">
        <f>IF('Coverage Analysis'!B34="","",'Coverage Analysis'!B34)</f>
        <v/>
      </c>
      <c r="C34" s="15">
        <f>IF('Coverage Analysis'!C34="","",'Coverage Analysis'!C34)</f>
        <v/>
      </c>
      <c r="D34" s="15">
        <f>IF('Coverage Analysis'!D34="","",'Coverage Analysis'!D34)</f>
        <v/>
      </c>
      <c r="E34" s="15" t="n"/>
      <c r="F34" s="15" t="n"/>
      <c r="G34" s="15" t="n"/>
      <c r="H34">
        <f>IF(AND(F34&lt;&gt;"",G34&lt;&gt;""),IF(F34=G34,"No","Yes"),"N/A")</f>
        <v/>
      </c>
      <c r="I34" s="15" t="n"/>
      <c r="J34" s="15" t="n"/>
      <c r="K34" s="15" t="n"/>
    </row>
    <row r="35">
      <c r="A35" s="15">
        <f>IF('Coverage Analysis'!A35="","",'Coverage Analysis'!A35)</f>
        <v/>
      </c>
      <c r="B35" s="15">
        <f>IF('Coverage Analysis'!B35="","",'Coverage Analysis'!B35)</f>
        <v/>
      </c>
      <c r="C35" s="15">
        <f>IF('Coverage Analysis'!C35="","",'Coverage Analysis'!C35)</f>
        <v/>
      </c>
      <c r="D35" s="15">
        <f>IF('Coverage Analysis'!D35="","",'Coverage Analysis'!D35)</f>
        <v/>
      </c>
      <c r="E35" s="15" t="n"/>
      <c r="F35" s="15" t="n"/>
      <c r="G35" s="15" t="n"/>
      <c r="H35">
        <f>IF(AND(F35&lt;&gt;"",G35&lt;&gt;""),IF(F35=G35,"No","Yes"),"N/A")</f>
        <v/>
      </c>
      <c r="I35" s="15" t="n"/>
      <c r="J35" s="15" t="n"/>
      <c r="K35" s="15" t="n"/>
    </row>
    <row r="36">
      <c r="A36" s="15">
        <f>IF('Coverage Analysis'!A36="","",'Coverage Analysis'!A36)</f>
        <v/>
      </c>
      <c r="B36" s="15">
        <f>IF('Coverage Analysis'!B36="","",'Coverage Analysis'!B36)</f>
        <v/>
      </c>
      <c r="C36" s="15">
        <f>IF('Coverage Analysis'!C36="","",'Coverage Analysis'!C36)</f>
        <v/>
      </c>
      <c r="D36" s="15">
        <f>IF('Coverage Analysis'!D36="","",'Coverage Analysis'!D36)</f>
        <v/>
      </c>
      <c r="E36" s="15" t="n"/>
      <c r="F36" s="15" t="n"/>
      <c r="G36" s="15" t="n"/>
      <c r="H36">
        <f>IF(AND(F36&lt;&gt;"",G36&lt;&gt;""),IF(F36=G36,"No","Yes"),"N/A")</f>
        <v/>
      </c>
      <c r="I36" s="15" t="n"/>
      <c r="J36" s="15" t="n"/>
      <c r="K36" s="15" t="n"/>
    </row>
    <row r="37">
      <c r="A37" s="15">
        <f>IF('Coverage Analysis'!A37="","",'Coverage Analysis'!A37)</f>
        <v/>
      </c>
      <c r="B37" s="15">
        <f>IF('Coverage Analysis'!B37="","",'Coverage Analysis'!B37)</f>
        <v/>
      </c>
      <c r="C37" s="15">
        <f>IF('Coverage Analysis'!C37="","",'Coverage Analysis'!C37)</f>
        <v/>
      </c>
      <c r="D37" s="15">
        <f>IF('Coverage Analysis'!D37="","",'Coverage Analysis'!D37)</f>
        <v/>
      </c>
      <c r="E37" s="15" t="n"/>
      <c r="F37" s="15" t="n"/>
      <c r="G37" s="15" t="n"/>
      <c r="H37">
        <f>IF(AND(F37&lt;&gt;"",G37&lt;&gt;""),IF(F37=G37,"No","Yes"),"N/A")</f>
        <v/>
      </c>
      <c r="I37" s="15" t="n"/>
      <c r="J37" s="15" t="n"/>
      <c r="K37" s="15" t="n"/>
    </row>
    <row r="38">
      <c r="A38" s="15">
        <f>IF('Coverage Analysis'!A38="","",'Coverage Analysis'!A38)</f>
        <v/>
      </c>
      <c r="B38" s="15">
        <f>IF('Coverage Analysis'!B38="","",'Coverage Analysis'!B38)</f>
        <v/>
      </c>
      <c r="C38" s="15">
        <f>IF('Coverage Analysis'!C38="","",'Coverage Analysis'!C38)</f>
        <v/>
      </c>
      <c r="D38" s="15">
        <f>IF('Coverage Analysis'!D38="","",'Coverage Analysis'!D38)</f>
        <v/>
      </c>
      <c r="E38" s="15" t="n"/>
      <c r="F38" s="15" t="n"/>
      <c r="G38" s="15" t="n"/>
      <c r="H38">
        <f>IF(AND(F38&lt;&gt;"",G38&lt;&gt;""),IF(F38=G38,"No","Yes"),"N/A")</f>
        <v/>
      </c>
      <c r="I38" s="15" t="n"/>
      <c r="J38" s="15" t="n"/>
      <c r="K38" s="15" t="n"/>
    </row>
    <row r="39">
      <c r="A39" s="15">
        <f>IF('Coverage Analysis'!A39="","",'Coverage Analysis'!A39)</f>
        <v/>
      </c>
      <c r="B39" s="15">
        <f>IF('Coverage Analysis'!B39="","",'Coverage Analysis'!B39)</f>
        <v/>
      </c>
      <c r="C39" s="15">
        <f>IF('Coverage Analysis'!C39="","",'Coverage Analysis'!C39)</f>
        <v/>
      </c>
      <c r="D39" s="15">
        <f>IF('Coverage Analysis'!D39="","",'Coverage Analysis'!D39)</f>
        <v/>
      </c>
      <c r="E39" s="15" t="n"/>
      <c r="F39" s="15" t="n"/>
      <c r="G39" s="15" t="n"/>
      <c r="H39">
        <f>IF(AND(F39&lt;&gt;"",G39&lt;&gt;""),IF(F39=G39,"No","Yes"),"N/A")</f>
        <v/>
      </c>
      <c r="I39" s="15" t="n"/>
      <c r="J39" s="15" t="n"/>
      <c r="K39" s="15" t="n"/>
    </row>
    <row r="40">
      <c r="A40" s="15">
        <f>IF('Coverage Analysis'!A40="","",'Coverage Analysis'!A40)</f>
        <v/>
      </c>
      <c r="B40" s="15">
        <f>IF('Coverage Analysis'!B40="","",'Coverage Analysis'!B40)</f>
        <v/>
      </c>
      <c r="C40" s="15">
        <f>IF('Coverage Analysis'!C40="","",'Coverage Analysis'!C40)</f>
        <v/>
      </c>
      <c r="D40" s="15">
        <f>IF('Coverage Analysis'!D40="","",'Coverage Analysis'!D40)</f>
        <v/>
      </c>
      <c r="E40" s="15" t="n"/>
      <c r="F40" s="15" t="n"/>
      <c r="G40" s="15" t="n"/>
      <c r="H40">
        <f>IF(AND(F40&lt;&gt;"",G40&lt;&gt;""),IF(F40=G40,"No","Yes"),"N/A")</f>
        <v/>
      </c>
      <c r="I40" s="15" t="n"/>
      <c r="J40" s="15" t="n"/>
      <c r="K40" s="15" t="n"/>
    </row>
    <row r="41">
      <c r="A41" s="15">
        <f>IF('Coverage Analysis'!A41="","",'Coverage Analysis'!A41)</f>
        <v/>
      </c>
      <c r="B41" s="15">
        <f>IF('Coverage Analysis'!B41="","",'Coverage Analysis'!B41)</f>
        <v/>
      </c>
      <c r="C41" s="15">
        <f>IF('Coverage Analysis'!C41="","",'Coverage Analysis'!C41)</f>
        <v/>
      </c>
      <c r="D41" s="15">
        <f>IF('Coverage Analysis'!D41="","",'Coverage Analysis'!D41)</f>
        <v/>
      </c>
      <c r="E41" s="15" t="n"/>
      <c r="F41" s="15" t="n"/>
      <c r="G41" s="15" t="n"/>
      <c r="H41">
        <f>IF(AND(F41&lt;&gt;"",G41&lt;&gt;""),IF(F41=G41,"No","Yes"),"N/A")</f>
        <v/>
      </c>
      <c r="I41" s="15" t="n"/>
      <c r="J41" s="15" t="n"/>
      <c r="K41" s="15" t="n"/>
    </row>
    <row r="42">
      <c r="A42" s="15">
        <f>IF('Coverage Analysis'!A42="","",'Coverage Analysis'!A42)</f>
        <v/>
      </c>
      <c r="B42" s="15">
        <f>IF('Coverage Analysis'!B42="","",'Coverage Analysis'!B42)</f>
        <v/>
      </c>
      <c r="C42" s="15">
        <f>IF('Coverage Analysis'!C42="","",'Coverage Analysis'!C42)</f>
        <v/>
      </c>
      <c r="D42" s="15">
        <f>IF('Coverage Analysis'!D42="","",'Coverage Analysis'!D42)</f>
        <v/>
      </c>
      <c r="E42" s="15" t="n"/>
      <c r="F42" s="15" t="n"/>
      <c r="G42" s="15" t="n"/>
      <c r="H42">
        <f>IF(AND(F42&lt;&gt;"",G42&lt;&gt;""),IF(F42=G42,"No","Yes"),"N/A")</f>
        <v/>
      </c>
      <c r="I42" s="15" t="n"/>
      <c r="J42" s="15" t="n"/>
      <c r="K42" s="15" t="n"/>
    </row>
    <row r="43">
      <c r="A43" s="15">
        <f>IF('Coverage Analysis'!A43="","",'Coverage Analysis'!A43)</f>
        <v/>
      </c>
      <c r="B43" s="15">
        <f>IF('Coverage Analysis'!B43="","",'Coverage Analysis'!B43)</f>
        <v/>
      </c>
      <c r="C43" s="15">
        <f>IF('Coverage Analysis'!C43="","",'Coverage Analysis'!C43)</f>
        <v/>
      </c>
      <c r="D43" s="15">
        <f>IF('Coverage Analysis'!D43="","",'Coverage Analysis'!D43)</f>
        <v/>
      </c>
      <c r="E43" s="15" t="n"/>
      <c r="F43" s="15" t="n"/>
      <c r="G43" s="15" t="n"/>
      <c r="H43">
        <f>IF(AND(F43&lt;&gt;"",G43&lt;&gt;""),IF(F43=G43,"No","Yes"),"N/A")</f>
        <v/>
      </c>
      <c r="I43" s="15" t="n"/>
      <c r="J43" s="15" t="n"/>
      <c r="K43" s="15" t="n"/>
    </row>
    <row r="44">
      <c r="A44" s="15">
        <f>IF('Coverage Analysis'!A44="","",'Coverage Analysis'!A44)</f>
        <v/>
      </c>
      <c r="B44" s="15">
        <f>IF('Coverage Analysis'!B44="","",'Coverage Analysis'!B44)</f>
        <v/>
      </c>
      <c r="C44" s="15">
        <f>IF('Coverage Analysis'!C44="","",'Coverage Analysis'!C44)</f>
        <v/>
      </c>
      <c r="D44" s="15">
        <f>IF('Coverage Analysis'!D44="","",'Coverage Analysis'!D44)</f>
        <v/>
      </c>
      <c r="E44" s="15" t="n"/>
      <c r="F44" s="15" t="n"/>
      <c r="G44" s="15" t="n"/>
      <c r="H44">
        <f>IF(AND(F44&lt;&gt;"",G44&lt;&gt;""),IF(F44=G44,"No","Yes"),"N/A")</f>
        <v/>
      </c>
      <c r="I44" s="15" t="n"/>
      <c r="J44" s="15" t="n"/>
      <c r="K44" s="15" t="n"/>
    </row>
    <row r="45">
      <c r="A45" s="15">
        <f>IF('Coverage Analysis'!A45="","",'Coverage Analysis'!A45)</f>
        <v/>
      </c>
      <c r="B45" s="15">
        <f>IF('Coverage Analysis'!B45="","",'Coverage Analysis'!B45)</f>
        <v/>
      </c>
      <c r="C45" s="15">
        <f>IF('Coverage Analysis'!C45="","",'Coverage Analysis'!C45)</f>
        <v/>
      </c>
      <c r="D45" s="15">
        <f>IF('Coverage Analysis'!D45="","",'Coverage Analysis'!D45)</f>
        <v/>
      </c>
      <c r="E45" s="15" t="n"/>
      <c r="F45" s="15" t="n"/>
      <c r="G45" s="15" t="n"/>
      <c r="H45">
        <f>IF(AND(F45&lt;&gt;"",G45&lt;&gt;""),IF(F45=G45,"No","Yes"),"N/A")</f>
        <v/>
      </c>
      <c r="I45" s="15" t="n"/>
      <c r="J45" s="15" t="n"/>
      <c r="K45" s="15" t="n"/>
    </row>
    <row r="46">
      <c r="A46" s="15">
        <f>IF('Coverage Analysis'!A46="","",'Coverage Analysis'!A46)</f>
        <v/>
      </c>
      <c r="B46" s="15">
        <f>IF('Coverage Analysis'!B46="","",'Coverage Analysis'!B46)</f>
        <v/>
      </c>
      <c r="C46" s="15">
        <f>IF('Coverage Analysis'!C46="","",'Coverage Analysis'!C46)</f>
        <v/>
      </c>
      <c r="D46" s="15">
        <f>IF('Coverage Analysis'!D46="","",'Coverage Analysis'!D46)</f>
        <v/>
      </c>
      <c r="E46" s="15" t="n"/>
      <c r="F46" s="15" t="n"/>
      <c r="G46" s="15" t="n"/>
      <c r="H46">
        <f>IF(AND(F46&lt;&gt;"",G46&lt;&gt;""),IF(F46=G46,"No","Yes"),"N/A")</f>
        <v/>
      </c>
      <c r="I46" s="15" t="n"/>
      <c r="J46" s="15" t="n"/>
      <c r="K46" s="15" t="n"/>
    </row>
    <row r="47">
      <c r="A47" s="15">
        <f>IF('Coverage Analysis'!A47="","",'Coverage Analysis'!A47)</f>
        <v/>
      </c>
      <c r="B47" s="15">
        <f>IF('Coverage Analysis'!B47="","",'Coverage Analysis'!B47)</f>
        <v/>
      </c>
      <c r="C47" s="15">
        <f>IF('Coverage Analysis'!C47="","",'Coverage Analysis'!C47)</f>
        <v/>
      </c>
      <c r="D47" s="15">
        <f>IF('Coverage Analysis'!D47="","",'Coverage Analysis'!D47)</f>
        <v/>
      </c>
      <c r="E47" s="15" t="n"/>
      <c r="F47" s="15" t="n"/>
      <c r="G47" s="15" t="n"/>
      <c r="H47">
        <f>IF(AND(F47&lt;&gt;"",G47&lt;&gt;""),IF(F47=G47,"No","Yes"),"N/A")</f>
        <v/>
      </c>
      <c r="I47" s="15" t="n"/>
      <c r="J47" s="15" t="n"/>
      <c r="K47" s="15" t="n"/>
    </row>
    <row r="48">
      <c r="A48" s="15">
        <f>IF('Coverage Analysis'!A48="","",'Coverage Analysis'!A48)</f>
        <v/>
      </c>
      <c r="B48" s="15">
        <f>IF('Coverage Analysis'!B48="","",'Coverage Analysis'!B48)</f>
        <v/>
      </c>
      <c r="C48" s="15">
        <f>IF('Coverage Analysis'!C48="","",'Coverage Analysis'!C48)</f>
        <v/>
      </c>
      <c r="D48" s="15">
        <f>IF('Coverage Analysis'!D48="","",'Coverage Analysis'!D48)</f>
        <v/>
      </c>
      <c r="E48" s="15" t="n"/>
      <c r="F48" s="15" t="n"/>
      <c r="G48" s="15" t="n"/>
      <c r="H48">
        <f>IF(AND(F48&lt;&gt;"",G48&lt;&gt;""),IF(F48=G48,"No","Yes"),"N/A")</f>
        <v/>
      </c>
      <c r="I48" s="15" t="n"/>
      <c r="J48" s="15" t="n"/>
      <c r="K48" s="15" t="n"/>
    </row>
    <row r="49">
      <c r="A49" s="15">
        <f>IF('Coverage Analysis'!A49="","",'Coverage Analysis'!A49)</f>
        <v/>
      </c>
      <c r="B49" s="15">
        <f>IF('Coverage Analysis'!B49="","",'Coverage Analysis'!B49)</f>
        <v/>
      </c>
      <c r="C49" s="15">
        <f>IF('Coverage Analysis'!C49="","",'Coverage Analysis'!C49)</f>
        <v/>
      </c>
      <c r="D49" s="15">
        <f>IF('Coverage Analysis'!D49="","",'Coverage Analysis'!D49)</f>
        <v/>
      </c>
      <c r="E49" s="15" t="n"/>
      <c r="F49" s="15" t="n"/>
      <c r="G49" s="15" t="n"/>
      <c r="H49">
        <f>IF(AND(F49&lt;&gt;"",G49&lt;&gt;""),IF(F49=G49,"No","Yes"),"N/A")</f>
        <v/>
      </c>
      <c r="I49" s="15" t="n"/>
      <c r="J49" s="15" t="n"/>
      <c r="K49" s="15" t="n"/>
    </row>
    <row r="50">
      <c r="A50" s="15">
        <f>IF('Coverage Analysis'!A50="","",'Coverage Analysis'!A50)</f>
        <v/>
      </c>
      <c r="B50" s="15">
        <f>IF('Coverage Analysis'!B50="","",'Coverage Analysis'!B50)</f>
        <v/>
      </c>
      <c r="C50" s="15">
        <f>IF('Coverage Analysis'!C50="","",'Coverage Analysis'!C50)</f>
        <v/>
      </c>
      <c r="D50" s="15">
        <f>IF('Coverage Analysis'!D50="","",'Coverage Analysis'!D50)</f>
        <v/>
      </c>
      <c r="E50" s="15" t="n"/>
      <c r="F50" s="15" t="n"/>
      <c r="G50" s="15" t="n"/>
      <c r="H50">
        <f>IF(AND(F50&lt;&gt;"",G50&lt;&gt;""),IF(F50=G50,"No","Yes"),"N/A")</f>
        <v/>
      </c>
      <c r="I50" s="15" t="n"/>
      <c r="J50" s="15" t="n"/>
      <c r="K50" s="15" t="n"/>
    </row>
    <row r="51">
      <c r="A51" s="15">
        <f>IF('Coverage Analysis'!A51="","",'Coverage Analysis'!A51)</f>
        <v/>
      </c>
      <c r="B51" s="15">
        <f>IF('Coverage Analysis'!B51="","",'Coverage Analysis'!B51)</f>
        <v/>
      </c>
      <c r="C51" s="15">
        <f>IF('Coverage Analysis'!C51="","",'Coverage Analysis'!C51)</f>
        <v/>
      </c>
      <c r="D51" s="15">
        <f>IF('Coverage Analysis'!D51="","",'Coverage Analysis'!D51)</f>
        <v/>
      </c>
      <c r="E51" s="15" t="n"/>
      <c r="F51" s="15" t="n"/>
      <c r="G51" s="15" t="n"/>
      <c r="H51">
        <f>IF(AND(F51&lt;&gt;"",G51&lt;&gt;""),IF(F51=G51,"No","Yes"),"N/A")</f>
        <v/>
      </c>
      <c r="I51" s="15" t="n"/>
      <c r="J51" s="15" t="n"/>
      <c r="K51" s="15" t="n"/>
    </row>
    <row r="52">
      <c r="A52" s="15">
        <f>IF('Coverage Analysis'!A52="","",'Coverage Analysis'!A52)</f>
        <v/>
      </c>
      <c r="B52" s="15">
        <f>IF('Coverage Analysis'!B52="","",'Coverage Analysis'!B52)</f>
        <v/>
      </c>
      <c r="C52" s="15">
        <f>IF('Coverage Analysis'!C52="","",'Coverage Analysis'!C52)</f>
        <v/>
      </c>
      <c r="D52" s="15">
        <f>IF('Coverage Analysis'!D52="","",'Coverage Analysis'!D52)</f>
        <v/>
      </c>
      <c r="E52" s="15" t="n"/>
      <c r="F52" s="15" t="n"/>
      <c r="G52" s="15" t="n"/>
      <c r="H52">
        <f>IF(AND(F52&lt;&gt;"",G52&lt;&gt;""),IF(F52=G52,"No","Yes"),"N/A")</f>
        <v/>
      </c>
      <c r="I52" s="15" t="n"/>
      <c r="J52" s="15" t="n"/>
      <c r="K52" s="15" t="n"/>
    </row>
    <row r="53">
      <c r="A53" s="15">
        <f>IF('Coverage Analysis'!A53="","",'Coverage Analysis'!A53)</f>
        <v/>
      </c>
      <c r="B53" s="15">
        <f>IF('Coverage Analysis'!B53="","",'Coverage Analysis'!B53)</f>
        <v/>
      </c>
      <c r="C53" s="15">
        <f>IF('Coverage Analysis'!C53="","",'Coverage Analysis'!C53)</f>
        <v/>
      </c>
      <c r="D53" s="15">
        <f>IF('Coverage Analysis'!D53="","",'Coverage Analysis'!D53)</f>
        <v/>
      </c>
      <c r="E53" s="15" t="n"/>
      <c r="F53" s="15" t="n"/>
      <c r="G53" s="15" t="n"/>
      <c r="H53">
        <f>IF(AND(F53&lt;&gt;"",G53&lt;&gt;""),IF(F53=G53,"No","Yes"),"N/A")</f>
        <v/>
      </c>
      <c r="I53" s="15" t="n"/>
      <c r="J53" s="15" t="n"/>
      <c r="K53" s="15" t="n"/>
    </row>
    <row r="54">
      <c r="A54" s="15">
        <f>IF('Coverage Analysis'!A54="","",'Coverage Analysis'!A54)</f>
        <v/>
      </c>
      <c r="B54" s="15">
        <f>IF('Coverage Analysis'!B54="","",'Coverage Analysis'!B54)</f>
        <v/>
      </c>
      <c r="C54" s="15">
        <f>IF('Coverage Analysis'!C54="","",'Coverage Analysis'!C54)</f>
        <v/>
      </c>
      <c r="D54" s="15">
        <f>IF('Coverage Analysis'!D54="","",'Coverage Analysis'!D54)</f>
        <v/>
      </c>
      <c r="E54" s="15" t="n"/>
      <c r="F54" s="15" t="n"/>
      <c r="G54" s="15" t="n"/>
      <c r="H54">
        <f>IF(AND(F54&lt;&gt;"",G54&lt;&gt;""),IF(F54=G54,"No","Yes"),"N/A")</f>
        <v/>
      </c>
      <c r="I54" s="15" t="n"/>
      <c r="J54" s="15" t="n"/>
      <c r="K54" s="15" t="n"/>
    </row>
    <row r="55">
      <c r="A55" s="15">
        <f>IF('Coverage Analysis'!A55="","",'Coverage Analysis'!A55)</f>
        <v/>
      </c>
      <c r="B55" s="15">
        <f>IF('Coverage Analysis'!B55="","",'Coverage Analysis'!B55)</f>
        <v/>
      </c>
      <c r="C55" s="15">
        <f>IF('Coverage Analysis'!C55="","",'Coverage Analysis'!C55)</f>
        <v/>
      </c>
      <c r="D55" s="15">
        <f>IF('Coverage Analysis'!D55="","",'Coverage Analysis'!D55)</f>
        <v/>
      </c>
      <c r="E55" s="15" t="n"/>
      <c r="F55" s="15" t="n"/>
      <c r="G55" s="15" t="n"/>
      <c r="H55">
        <f>IF(AND(F55&lt;&gt;"",G55&lt;&gt;""),IF(F55=G55,"No","Yes"),"N/A")</f>
        <v/>
      </c>
      <c r="I55" s="15" t="n"/>
      <c r="J55" s="15" t="n"/>
      <c r="K55" s="15" t="n"/>
    </row>
    <row r="58">
      <c r="A58" s="12" t="inlineStr">
        <is>
          <t>[CHART] AGENT STATUS SUMMARY</t>
        </is>
      </c>
    </row>
    <row r="59">
      <c r="A59" t="inlineStr">
        <is>
          <t>Groups — ✅ Full:</t>
        </is>
      </c>
      <c r="B59">
        <f>COUNTIF(E6:E55,"✅ Full")</f>
        <v/>
      </c>
    </row>
    <row r="60">
      <c r="A60" t="inlineStr">
        <is>
          <t>Groups — ❌ Not Deployed:</t>
        </is>
      </c>
      <c r="B60">
        <f>COUNTIF(E6:E55,"❌ Not Deployed")</f>
        <v/>
      </c>
    </row>
    <row r="61">
      <c r="A61" t="inlineStr">
        <is>
          <t>Groups with Outdated Agent:</t>
        </is>
      </c>
      <c r="B61">
        <f>COUNTIF(H6:H55,"Yes")</f>
        <v/>
      </c>
    </row>
    <row r="62">
      <c r="A62" t="inlineStr">
        <is>
          <t>Communication Issues:</t>
        </is>
      </c>
      <c r="B62">
        <f>COUNTIF(J6:J55,"❌ No Communication")+COUNTIF(J6:J55,"⚠ Delayed")</f>
        <v/>
      </c>
    </row>
  </sheetData>
  <mergeCells count="3">
    <mergeCell ref="A2:K2"/>
    <mergeCell ref="A1:K1"/>
    <mergeCell ref="A58:C58"/>
  </mergeCells>
  <dataValidations count="2">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 Full,⚠ Partial,❌ Not Deployed,Unknown"</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0" type="list">
      <formula1>"✅ Active,⚠ Delayed,❌ No Communication,Unknown"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3"/>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30" customWidth="1" min="11" max="11"/>
  </cols>
  <sheetData>
    <row r="1" ht="35" customHeight="1">
      <c r="A1" s="11" t="inlineStr">
        <is>
          <t>MALWARE SCAN COMPLIANCE</t>
        </is>
      </c>
    </row>
    <row r="2">
      <c r="A2" s="12" t="inlineStr">
        <is>
          <t>Full scan compliance (weekly), quick scan compliance (daily), scan failure tracking</t>
        </is>
      </c>
    </row>
    <row r="4">
      <c r="A4" s="13" t="inlineStr">
        <is>
          <t>Group ID</t>
        </is>
      </c>
      <c r="B4" s="13" t="inlineStr">
        <is>
          <t>Device Group Name</t>
        </is>
      </c>
      <c r="C4" s="13" t="inlineStr">
        <is>
          <t>Last Full Scan Date</t>
        </is>
      </c>
      <c r="D4" s="13" t="inlineStr">
        <is>
          <t>Full Scan Status</t>
        </is>
      </c>
      <c r="E4" s="13" t="inlineStr">
        <is>
          <t>Days Since Full Scan</t>
        </is>
      </c>
      <c r="F4" s="13" t="inlineStr">
        <is>
          <t>Full Scan Compliant</t>
        </is>
      </c>
      <c r="G4" s="13" t="inlineStr">
        <is>
          <t>Last Quick Scan Date</t>
        </is>
      </c>
      <c r="H4" s="13" t="inlineStr">
        <is>
          <t>Quick Scan Status</t>
        </is>
      </c>
      <c r="I4" s="13" t="inlineStr">
        <is>
          <t>Days Since Quick Scan</t>
        </is>
      </c>
      <c r="J4" s="13" t="inlineStr">
        <is>
          <t>Quick Scan Compliant</t>
        </is>
      </c>
      <c r="K4" s="13" t="inlineStr">
        <is>
          <t>Notes</t>
        </is>
      </c>
    </row>
    <row r="5">
      <c r="A5" s="14" t="inlineStr">
        <is>
          <t>GRP-001</t>
        </is>
      </c>
      <c r="B5" s="14" t="inlineStr">
        <is>
          <t>SG-Windows-Endpoints</t>
        </is>
      </c>
      <c r="C5" s="14" t="inlineStr">
        <is>
          <t>18.02.2026</t>
        </is>
      </c>
      <c r="D5" s="14" t="inlineStr">
        <is>
          <t>✅ Compliant</t>
        </is>
      </c>
      <c r="E5" s="14">
        <f>IF(C5&lt;&gt;"",TODAY()-C5,"")</f>
        <v/>
      </c>
      <c r="F5" s="14">
        <f>IF(E5&lt;=7,"Yes",IF(E5&gt;7,"No","Unknown"))</f>
        <v/>
      </c>
      <c r="G5" s="14" t="inlineStr">
        <is>
          <t>21.02.2024</t>
        </is>
      </c>
      <c r="H5" s="14" t="inlineStr">
        <is>
          <t>✅ Compliant</t>
        </is>
      </c>
      <c r="I5" s="14">
        <f>IF(G5&lt;&gt;"",TODAY()-G5,"")</f>
        <v/>
      </c>
      <c r="J5" s="14">
        <f>IF(I5&lt;=1,"Yes",IF(I5&gt;1,"No","Unknown"))</f>
        <v/>
      </c>
      <c r="K5" s="14" t="inlineStr">
        <is>
          <t>Example row</t>
        </is>
      </c>
    </row>
    <row r="6">
      <c r="A6" s="15" t="n"/>
      <c r="B6" s="15" t="n"/>
      <c r="C6" s="15" t="n"/>
      <c r="D6" s="15" t="n"/>
      <c r="E6">
        <f>IF(C6&lt;&gt;"",TODAY()-C6,"")</f>
        <v/>
      </c>
      <c r="F6">
        <f>IF(E6&lt;=7,"Yes",IF(E6&gt;7,"No","Unknown"))</f>
        <v/>
      </c>
      <c r="G6" s="15" t="n"/>
      <c r="H6" s="15" t="n"/>
      <c r="I6">
        <f>IF(G6&lt;&gt;"",TODAY()-G6,"")</f>
        <v/>
      </c>
      <c r="J6">
        <f>IF(I6&lt;=1,"Yes",IF(I6&gt;1,"No","Unknown"))</f>
        <v/>
      </c>
      <c r="K6" s="15" t="n"/>
    </row>
    <row r="7">
      <c r="A7" s="15" t="n"/>
      <c r="B7" s="15" t="n"/>
      <c r="C7" s="15" t="n"/>
      <c r="D7" s="15" t="n"/>
      <c r="E7">
        <f>IF(C7&lt;&gt;"",TODAY()-C7,"")</f>
        <v/>
      </c>
      <c r="F7">
        <f>IF(E7&lt;=7,"Yes",IF(E7&gt;7,"No","Unknown"))</f>
        <v/>
      </c>
      <c r="G7" s="15" t="n"/>
      <c r="H7" s="15" t="n"/>
      <c r="I7">
        <f>IF(G7&lt;&gt;"",TODAY()-G7,"")</f>
        <v/>
      </c>
      <c r="J7">
        <f>IF(I7&lt;=1,"Yes",IF(I7&gt;1,"No","Unknown"))</f>
        <v/>
      </c>
      <c r="K7" s="15" t="n"/>
    </row>
    <row r="8">
      <c r="A8" s="15" t="n"/>
      <c r="B8" s="15" t="n"/>
      <c r="C8" s="15" t="n"/>
      <c r="D8" s="15" t="n"/>
      <c r="E8">
        <f>IF(C8&lt;&gt;"",TODAY()-C8,"")</f>
        <v/>
      </c>
      <c r="F8">
        <f>IF(E8&lt;=7,"Yes",IF(E8&gt;7,"No","Unknown"))</f>
        <v/>
      </c>
      <c r="G8" s="15" t="n"/>
      <c r="H8" s="15" t="n"/>
      <c r="I8">
        <f>IF(G8&lt;&gt;"",TODAY()-G8,"")</f>
        <v/>
      </c>
      <c r="J8">
        <f>IF(I8&lt;=1,"Yes",IF(I8&gt;1,"No","Unknown"))</f>
        <v/>
      </c>
      <c r="K8" s="15" t="n"/>
    </row>
    <row r="9">
      <c r="A9" s="15" t="n"/>
      <c r="B9" s="15" t="n"/>
      <c r="C9" s="15" t="n"/>
      <c r="D9" s="15" t="n"/>
      <c r="E9">
        <f>IF(C9&lt;&gt;"",TODAY()-C9,"")</f>
        <v/>
      </c>
      <c r="F9">
        <f>IF(E9&lt;=7,"Yes",IF(E9&gt;7,"No","Unknown"))</f>
        <v/>
      </c>
      <c r="G9" s="15" t="n"/>
      <c r="H9" s="15" t="n"/>
      <c r="I9">
        <f>IF(G9&lt;&gt;"",TODAY()-G9,"")</f>
        <v/>
      </c>
      <c r="J9">
        <f>IF(I9&lt;=1,"Yes",IF(I9&gt;1,"No","Unknown"))</f>
        <v/>
      </c>
      <c r="K9" s="15" t="n"/>
    </row>
    <row r="10">
      <c r="A10" s="15" t="n"/>
      <c r="B10" s="15" t="n"/>
      <c r="C10" s="15" t="n"/>
      <c r="D10" s="15" t="n"/>
      <c r="E10">
        <f>IF(C10&lt;&gt;"",TODAY()-C10,"")</f>
        <v/>
      </c>
      <c r="F10">
        <f>IF(E10&lt;=7,"Yes",IF(E10&gt;7,"No","Unknown"))</f>
        <v/>
      </c>
      <c r="G10" s="15" t="n"/>
      <c r="H10" s="15" t="n"/>
      <c r="I10">
        <f>IF(G10&lt;&gt;"",TODAY()-G10,"")</f>
        <v/>
      </c>
      <c r="J10">
        <f>IF(I10&lt;=1,"Yes",IF(I10&gt;1,"No","Unknown"))</f>
        <v/>
      </c>
      <c r="K10" s="15" t="n"/>
    </row>
    <row r="11">
      <c r="A11" s="15" t="n"/>
      <c r="B11" s="15" t="n"/>
      <c r="C11" s="15" t="n"/>
      <c r="D11" s="15" t="n"/>
      <c r="E11">
        <f>IF(C11&lt;&gt;"",TODAY()-C11,"")</f>
        <v/>
      </c>
      <c r="F11">
        <f>IF(E11&lt;=7,"Yes",IF(E11&gt;7,"No","Unknown"))</f>
        <v/>
      </c>
      <c r="G11" s="15" t="n"/>
      <c r="H11" s="15" t="n"/>
      <c r="I11">
        <f>IF(G11&lt;&gt;"",TODAY()-G11,"")</f>
        <v/>
      </c>
      <c r="J11">
        <f>IF(I11&lt;=1,"Yes",IF(I11&gt;1,"No","Unknown"))</f>
        <v/>
      </c>
      <c r="K11" s="15" t="n"/>
    </row>
    <row r="12">
      <c r="A12" s="15" t="n"/>
      <c r="B12" s="15" t="n"/>
      <c r="C12" s="15" t="n"/>
      <c r="D12" s="15" t="n"/>
      <c r="E12">
        <f>IF(C12&lt;&gt;"",TODAY()-C12,"")</f>
        <v/>
      </c>
      <c r="F12">
        <f>IF(E12&lt;=7,"Yes",IF(E12&gt;7,"No","Unknown"))</f>
        <v/>
      </c>
      <c r="G12" s="15" t="n"/>
      <c r="H12" s="15" t="n"/>
      <c r="I12">
        <f>IF(G12&lt;&gt;"",TODAY()-G12,"")</f>
        <v/>
      </c>
      <c r="J12">
        <f>IF(I12&lt;=1,"Yes",IF(I12&gt;1,"No","Unknown"))</f>
        <v/>
      </c>
      <c r="K12" s="15" t="n"/>
    </row>
    <row r="13">
      <c r="A13" s="15" t="n"/>
      <c r="B13" s="15" t="n"/>
      <c r="C13" s="15" t="n"/>
      <c r="D13" s="15" t="n"/>
      <c r="E13">
        <f>IF(C13&lt;&gt;"",TODAY()-C13,"")</f>
        <v/>
      </c>
      <c r="F13">
        <f>IF(E13&lt;=7,"Yes",IF(E13&gt;7,"No","Unknown"))</f>
        <v/>
      </c>
      <c r="G13" s="15" t="n"/>
      <c r="H13" s="15" t="n"/>
      <c r="I13">
        <f>IF(G13&lt;&gt;"",TODAY()-G13,"")</f>
        <v/>
      </c>
      <c r="J13">
        <f>IF(I13&lt;=1,"Yes",IF(I13&gt;1,"No","Unknown"))</f>
        <v/>
      </c>
      <c r="K13" s="15" t="n"/>
    </row>
    <row r="14">
      <c r="A14" s="15" t="n"/>
      <c r="B14" s="15" t="n"/>
      <c r="C14" s="15" t="n"/>
      <c r="D14" s="15" t="n"/>
      <c r="E14">
        <f>IF(C14&lt;&gt;"",TODAY()-C14,"")</f>
        <v/>
      </c>
      <c r="F14">
        <f>IF(E14&lt;=7,"Yes",IF(E14&gt;7,"No","Unknown"))</f>
        <v/>
      </c>
      <c r="G14" s="15" t="n"/>
      <c r="H14" s="15" t="n"/>
      <c r="I14">
        <f>IF(G14&lt;&gt;"",TODAY()-G14,"")</f>
        <v/>
      </c>
      <c r="J14">
        <f>IF(I14&lt;=1,"Yes",IF(I14&gt;1,"No","Unknown"))</f>
        <v/>
      </c>
      <c r="K14" s="15" t="n"/>
    </row>
    <row r="15">
      <c r="A15" s="15" t="n"/>
      <c r="B15" s="15" t="n"/>
      <c r="C15" s="15" t="n"/>
      <c r="D15" s="15" t="n"/>
      <c r="E15">
        <f>IF(C15&lt;&gt;"",TODAY()-C15,"")</f>
        <v/>
      </c>
      <c r="F15">
        <f>IF(E15&lt;=7,"Yes",IF(E15&gt;7,"No","Unknown"))</f>
        <v/>
      </c>
      <c r="G15" s="15" t="n"/>
      <c r="H15" s="15" t="n"/>
      <c r="I15">
        <f>IF(G15&lt;&gt;"",TODAY()-G15,"")</f>
        <v/>
      </c>
      <c r="J15">
        <f>IF(I15&lt;=1,"Yes",IF(I15&gt;1,"No","Unknown"))</f>
        <v/>
      </c>
      <c r="K15" s="15" t="n"/>
    </row>
    <row r="16">
      <c r="A16" s="15" t="n"/>
      <c r="B16" s="15" t="n"/>
      <c r="C16" s="15" t="n"/>
      <c r="D16" s="15" t="n"/>
      <c r="E16">
        <f>IF(C16&lt;&gt;"",TODAY()-C16,"")</f>
        <v/>
      </c>
      <c r="F16">
        <f>IF(E16&lt;=7,"Yes",IF(E16&gt;7,"No","Unknown"))</f>
        <v/>
      </c>
      <c r="G16" s="15" t="n"/>
      <c r="H16" s="15" t="n"/>
      <c r="I16">
        <f>IF(G16&lt;&gt;"",TODAY()-G16,"")</f>
        <v/>
      </c>
      <c r="J16">
        <f>IF(I16&lt;=1,"Yes",IF(I16&gt;1,"No","Unknown"))</f>
        <v/>
      </c>
      <c r="K16" s="15" t="n"/>
    </row>
    <row r="17">
      <c r="A17" s="15" t="n"/>
      <c r="B17" s="15" t="n"/>
      <c r="C17" s="15" t="n"/>
      <c r="D17" s="15" t="n"/>
      <c r="E17">
        <f>IF(C17&lt;&gt;"",TODAY()-C17,"")</f>
        <v/>
      </c>
      <c r="F17">
        <f>IF(E17&lt;=7,"Yes",IF(E17&gt;7,"No","Unknown"))</f>
        <v/>
      </c>
      <c r="G17" s="15" t="n"/>
      <c r="H17" s="15" t="n"/>
      <c r="I17">
        <f>IF(G17&lt;&gt;"",TODAY()-G17,"")</f>
        <v/>
      </c>
      <c r="J17">
        <f>IF(I17&lt;=1,"Yes",IF(I17&gt;1,"No","Unknown"))</f>
        <v/>
      </c>
      <c r="K17" s="15" t="n"/>
    </row>
    <row r="18">
      <c r="A18" s="15" t="n"/>
      <c r="B18" s="15" t="n"/>
      <c r="C18" s="15" t="n"/>
      <c r="D18" s="15" t="n"/>
      <c r="E18">
        <f>IF(C18&lt;&gt;"",TODAY()-C18,"")</f>
        <v/>
      </c>
      <c r="F18">
        <f>IF(E18&lt;=7,"Yes",IF(E18&gt;7,"No","Unknown"))</f>
        <v/>
      </c>
      <c r="G18" s="15" t="n"/>
      <c r="H18" s="15" t="n"/>
      <c r="I18">
        <f>IF(G18&lt;&gt;"",TODAY()-G18,"")</f>
        <v/>
      </c>
      <c r="J18">
        <f>IF(I18&lt;=1,"Yes",IF(I18&gt;1,"No","Unknown"))</f>
        <v/>
      </c>
      <c r="K18" s="15" t="n"/>
    </row>
    <row r="19">
      <c r="A19" s="15" t="n"/>
      <c r="B19" s="15" t="n"/>
      <c r="C19" s="15" t="n"/>
      <c r="D19" s="15" t="n"/>
      <c r="E19">
        <f>IF(C19&lt;&gt;"",TODAY()-C19,"")</f>
        <v/>
      </c>
      <c r="F19">
        <f>IF(E19&lt;=7,"Yes",IF(E19&gt;7,"No","Unknown"))</f>
        <v/>
      </c>
      <c r="G19" s="15" t="n"/>
      <c r="H19" s="15" t="n"/>
      <c r="I19">
        <f>IF(G19&lt;&gt;"",TODAY()-G19,"")</f>
        <v/>
      </c>
      <c r="J19">
        <f>IF(I19&lt;=1,"Yes",IF(I19&gt;1,"No","Unknown"))</f>
        <v/>
      </c>
      <c r="K19" s="15" t="n"/>
    </row>
    <row r="20">
      <c r="A20" s="15" t="n"/>
      <c r="B20" s="15" t="n"/>
      <c r="C20" s="15" t="n"/>
      <c r="D20" s="15" t="n"/>
      <c r="E20">
        <f>IF(C20&lt;&gt;"",TODAY()-C20,"")</f>
        <v/>
      </c>
      <c r="F20">
        <f>IF(E20&lt;=7,"Yes",IF(E20&gt;7,"No","Unknown"))</f>
        <v/>
      </c>
      <c r="G20" s="15" t="n"/>
      <c r="H20" s="15" t="n"/>
      <c r="I20">
        <f>IF(G20&lt;&gt;"",TODAY()-G20,"")</f>
        <v/>
      </c>
      <c r="J20">
        <f>IF(I20&lt;=1,"Yes",IF(I20&gt;1,"No","Unknown"))</f>
        <v/>
      </c>
      <c r="K20" s="15" t="n"/>
    </row>
    <row r="21">
      <c r="A21" s="15" t="n"/>
      <c r="B21" s="15" t="n"/>
      <c r="C21" s="15" t="n"/>
      <c r="D21" s="15" t="n"/>
      <c r="E21">
        <f>IF(C21&lt;&gt;"",TODAY()-C21,"")</f>
        <v/>
      </c>
      <c r="F21">
        <f>IF(E21&lt;=7,"Yes",IF(E21&gt;7,"No","Unknown"))</f>
        <v/>
      </c>
      <c r="G21" s="15" t="n"/>
      <c r="H21" s="15" t="n"/>
      <c r="I21">
        <f>IF(G21&lt;&gt;"",TODAY()-G21,"")</f>
        <v/>
      </c>
      <c r="J21">
        <f>IF(I21&lt;=1,"Yes",IF(I21&gt;1,"No","Unknown"))</f>
        <v/>
      </c>
      <c r="K21" s="15" t="n"/>
    </row>
    <row r="22">
      <c r="A22" s="15" t="n"/>
      <c r="B22" s="15" t="n"/>
      <c r="C22" s="15" t="n"/>
      <c r="D22" s="15" t="n"/>
      <c r="E22">
        <f>IF(C22&lt;&gt;"",TODAY()-C22,"")</f>
        <v/>
      </c>
      <c r="F22">
        <f>IF(E22&lt;=7,"Yes",IF(E22&gt;7,"No","Unknown"))</f>
        <v/>
      </c>
      <c r="G22" s="15" t="n"/>
      <c r="H22" s="15" t="n"/>
      <c r="I22">
        <f>IF(G22&lt;&gt;"",TODAY()-G22,"")</f>
        <v/>
      </c>
      <c r="J22">
        <f>IF(I22&lt;=1,"Yes",IF(I22&gt;1,"No","Unknown"))</f>
        <v/>
      </c>
      <c r="K22" s="15" t="n"/>
    </row>
    <row r="23">
      <c r="A23" s="15" t="n"/>
      <c r="B23" s="15" t="n"/>
      <c r="C23" s="15" t="n"/>
      <c r="D23" s="15" t="n"/>
      <c r="E23">
        <f>IF(C23&lt;&gt;"",TODAY()-C23,"")</f>
        <v/>
      </c>
      <c r="F23">
        <f>IF(E23&lt;=7,"Yes",IF(E23&gt;7,"No","Unknown"))</f>
        <v/>
      </c>
      <c r="G23" s="15" t="n"/>
      <c r="H23" s="15" t="n"/>
      <c r="I23">
        <f>IF(G23&lt;&gt;"",TODAY()-G23,"")</f>
        <v/>
      </c>
      <c r="J23">
        <f>IF(I23&lt;=1,"Yes",IF(I23&gt;1,"No","Unknown"))</f>
        <v/>
      </c>
      <c r="K23" s="15" t="n"/>
    </row>
    <row r="24">
      <c r="A24" s="15" t="n"/>
      <c r="B24" s="15" t="n"/>
      <c r="C24" s="15" t="n"/>
      <c r="D24" s="15" t="n"/>
      <c r="E24">
        <f>IF(C24&lt;&gt;"",TODAY()-C24,"")</f>
        <v/>
      </c>
      <c r="F24">
        <f>IF(E24&lt;=7,"Yes",IF(E24&gt;7,"No","Unknown"))</f>
        <v/>
      </c>
      <c r="G24" s="15" t="n"/>
      <c r="H24" s="15" t="n"/>
      <c r="I24">
        <f>IF(G24&lt;&gt;"",TODAY()-G24,"")</f>
        <v/>
      </c>
      <c r="J24">
        <f>IF(I24&lt;=1,"Yes",IF(I24&gt;1,"No","Unknown"))</f>
        <v/>
      </c>
      <c r="K24" s="15" t="n"/>
    </row>
    <row r="25">
      <c r="A25" s="15" t="n"/>
      <c r="B25" s="15" t="n"/>
      <c r="C25" s="15" t="n"/>
      <c r="D25" s="15" t="n"/>
      <c r="E25">
        <f>IF(C25&lt;&gt;"",TODAY()-C25,"")</f>
        <v/>
      </c>
      <c r="F25">
        <f>IF(E25&lt;=7,"Yes",IF(E25&gt;7,"No","Unknown"))</f>
        <v/>
      </c>
      <c r="G25" s="15" t="n"/>
      <c r="H25" s="15" t="n"/>
      <c r="I25">
        <f>IF(G25&lt;&gt;"",TODAY()-G25,"")</f>
        <v/>
      </c>
      <c r="J25">
        <f>IF(I25&lt;=1,"Yes",IF(I25&gt;1,"No","Unknown"))</f>
        <v/>
      </c>
      <c r="K25" s="15" t="n"/>
    </row>
    <row r="26">
      <c r="A26" s="15" t="n"/>
      <c r="B26" s="15" t="n"/>
      <c r="C26" s="15" t="n"/>
      <c r="D26" s="15" t="n"/>
      <c r="E26">
        <f>IF(C26&lt;&gt;"",TODAY()-C26,"")</f>
        <v/>
      </c>
      <c r="F26">
        <f>IF(E26&lt;=7,"Yes",IF(E26&gt;7,"No","Unknown"))</f>
        <v/>
      </c>
      <c r="G26" s="15" t="n"/>
      <c r="H26" s="15" t="n"/>
      <c r="I26">
        <f>IF(G26&lt;&gt;"",TODAY()-G26,"")</f>
        <v/>
      </c>
      <c r="J26">
        <f>IF(I26&lt;=1,"Yes",IF(I26&gt;1,"No","Unknown"))</f>
        <v/>
      </c>
      <c r="K26" s="15" t="n"/>
    </row>
    <row r="27">
      <c r="A27" s="15" t="n"/>
      <c r="B27" s="15" t="n"/>
      <c r="C27" s="15" t="n"/>
      <c r="D27" s="15" t="n"/>
      <c r="E27">
        <f>IF(C27&lt;&gt;"",TODAY()-C27,"")</f>
        <v/>
      </c>
      <c r="F27">
        <f>IF(E27&lt;=7,"Yes",IF(E27&gt;7,"No","Unknown"))</f>
        <v/>
      </c>
      <c r="G27" s="15" t="n"/>
      <c r="H27" s="15" t="n"/>
      <c r="I27">
        <f>IF(G27&lt;&gt;"",TODAY()-G27,"")</f>
        <v/>
      </c>
      <c r="J27">
        <f>IF(I27&lt;=1,"Yes",IF(I27&gt;1,"No","Unknown"))</f>
        <v/>
      </c>
      <c r="K27" s="15" t="n"/>
    </row>
    <row r="28">
      <c r="A28" s="15" t="n"/>
      <c r="B28" s="15" t="n"/>
      <c r="C28" s="15" t="n"/>
      <c r="D28" s="15" t="n"/>
      <c r="E28">
        <f>IF(C28&lt;&gt;"",TODAY()-C28,"")</f>
        <v/>
      </c>
      <c r="F28">
        <f>IF(E28&lt;=7,"Yes",IF(E28&gt;7,"No","Unknown"))</f>
        <v/>
      </c>
      <c r="G28" s="15" t="n"/>
      <c r="H28" s="15" t="n"/>
      <c r="I28">
        <f>IF(G28&lt;&gt;"",TODAY()-G28,"")</f>
        <v/>
      </c>
      <c r="J28">
        <f>IF(I28&lt;=1,"Yes",IF(I28&gt;1,"No","Unknown"))</f>
        <v/>
      </c>
      <c r="K28" s="15" t="n"/>
    </row>
    <row r="29">
      <c r="A29" s="15" t="n"/>
      <c r="B29" s="15" t="n"/>
      <c r="C29" s="15" t="n"/>
      <c r="D29" s="15" t="n"/>
      <c r="E29">
        <f>IF(C29&lt;&gt;"",TODAY()-C29,"")</f>
        <v/>
      </c>
      <c r="F29">
        <f>IF(E29&lt;=7,"Yes",IF(E29&gt;7,"No","Unknown"))</f>
        <v/>
      </c>
      <c r="G29" s="15" t="n"/>
      <c r="H29" s="15" t="n"/>
      <c r="I29">
        <f>IF(G29&lt;&gt;"",TODAY()-G29,"")</f>
        <v/>
      </c>
      <c r="J29">
        <f>IF(I29&lt;=1,"Yes",IF(I29&gt;1,"No","Unknown"))</f>
        <v/>
      </c>
      <c r="K29" s="15" t="n"/>
    </row>
    <row r="30">
      <c r="A30" s="15" t="n"/>
      <c r="B30" s="15" t="n"/>
      <c r="C30" s="15" t="n"/>
      <c r="D30" s="15" t="n"/>
      <c r="E30">
        <f>IF(C30&lt;&gt;"",TODAY()-C30,"")</f>
        <v/>
      </c>
      <c r="F30">
        <f>IF(E30&lt;=7,"Yes",IF(E30&gt;7,"No","Unknown"))</f>
        <v/>
      </c>
      <c r="G30" s="15" t="n"/>
      <c r="H30" s="15" t="n"/>
      <c r="I30">
        <f>IF(G30&lt;&gt;"",TODAY()-G30,"")</f>
        <v/>
      </c>
      <c r="J30">
        <f>IF(I30&lt;=1,"Yes",IF(I30&gt;1,"No","Unknown"))</f>
        <v/>
      </c>
      <c r="K30" s="15" t="n"/>
    </row>
    <row r="31">
      <c r="A31" s="15" t="n"/>
      <c r="B31" s="15" t="n"/>
      <c r="C31" s="15" t="n"/>
      <c r="D31" s="15" t="n"/>
      <c r="E31">
        <f>IF(C31&lt;&gt;"",TODAY()-C31,"")</f>
        <v/>
      </c>
      <c r="F31">
        <f>IF(E31&lt;=7,"Yes",IF(E31&gt;7,"No","Unknown"))</f>
        <v/>
      </c>
      <c r="G31" s="15" t="n"/>
      <c r="H31" s="15" t="n"/>
      <c r="I31">
        <f>IF(G31&lt;&gt;"",TODAY()-G31,"")</f>
        <v/>
      </c>
      <c r="J31">
        <f>IF(I31&lt;=1,"Yes",IF(I31&gt;1,"No","Unknown"))</f>
        <v/>
      </c>
      <c r="K31" s="15" t="n"/>
    </row>
    <row r="32">
      <c r="A32" s="15" t="n"/>
      <c r="B32" s="15" t="n"/>
      <c r="C32" s="15" t="n"/>
      <c r="D32" s="15" t="n"/>
      <c r="E32">
        <f>IF(C32&lt;&gt;"",TODAY()-C32,"")</f>
        <v/>
      </c>
      <c r="F32">
        <f>IF(E32&lt;=7,"Yes",IF(E32&gt;7,"No","Unknown"))</f>
        <v/>
      </c>
      <c r="G32" s="15" t="n"/>
      <c r="H32" s="15" t="n"/>
      <c r="I32">
        <f>IF(G32&lt;&gt;"",TODAY()-G32,"")</f>
        <v/>
      </c>
      <c r="J32">
        <f>IF(I32&lt;=1,"Yes",IF(I32&gt;1,"No","Unknown"))</f>
        <v/>
      </c>
      <c r="K32" s="15" t="n"/>
    </row>
    <row r="33">
      <c r="A33" s="15" t="n"/>
      <c r="B33" s="15" t="n"/>
      <c r="C33" s="15" t="n"/>
      <c r="D33" s="15" t="n"/>
      <c r="E33">
        <f>IF(C33&lt;&gt;"",TODAY()-C33,"")</f>
        <v/>
      </c>
      <c r="F33">
        <f>IF(E33&lt;=7,"Yes",IF(E33&gt;7,"No","Unknown"))</f>
        <v/>
      </c>
      <c r="G33" s="15" t="n"/>
      <c r="H33" s="15" t="n"/>
      <c r="I33">
        <f>IF(G33&lt;&gt;"",TODAY()-G33,"")</f>
        <v/>
      </c>
      <c r="J33">
        <f>IF(I33&lt;=1,"Yes",IF(I33&gt;1,"No","Unknown"))</f>
        <v/>
      </c>
      <c r="K33" s="15" t="n"/>
    </row>
    <row r="34">
      <c r="A34" s="15" t="n"/>
      <c r="B34" s="15" t="n"/>
      <c r="C34" s="15" t="n"/>
      <c r="D34" s="15" t="n"/>
      <c r="E34">
        <f>IF(C34&lt;&gt;"",TODAY()-C34,"")</f>
        <v/>
      </c>
      <c r="F34">
        <f>IF(E34&lt;=7,"Yes",IF(E34&gt;7,"No","Unknown"))</f>
        <v/>
      </c>
      <c r="G34" s="15" t="n"/>
      <c r="H34" s="15" t="n"/>
      <c r="I34">
        <f>IF(G34&lt;&gt;"",TODAY()-G34,"")</f>
        <v/>
      </c>
      <c r="J34">
        <f>IF(I34&lt;=1,"Yes",IF(I34&gt;1,"No","Unknown"))</f>
        <v/>
      </c>
      <c r="K34" s="15" t="n"/>
    </row>
    <row r="35">
      <c r="A35" s="15" t="n"/>
      <c r="B35" s="15" t="n"/>
      <c r="C35" s="15" t="n"/>
      <c r="D35" s="15" t="n"/>
      <c r="E35">
        <f>IF(C35&lt;&gt;"",TODAY()-C35,"")</f>
        <v/>
      </c>
      <c r="F35">
        <f>IF(E35&lt;=7,"Yes",IF(E35&gt;7,"No","Unknown"))</f>
        <v/>
      </c>
      <c r="G35" s="15" t="n"/>
      <c r="H35" s="15" t="n"/>
      <c r="I35">
        <f>IF(G35&lt;&gt;"",TODAY()-G35,"")</f>
        <v/>
      </c>
      <c r="J35">
        <f>IF(I35&lt;=1,"Yes",IF(I35&gt;1,"No","Unknown"))</f>
        <v/>
      </c>
      <c r="K35" s="15" t="n"/>
    </row>
    <row r="36">
      <c r="A36" s="15" t="n"/>
      <c r="B36" s="15" t="n"/>
      <c r="C36" s="15" t="n"/>
      <c r="D36" s="15" t="n"/>
      <c r="E36">
        <f>IF(C36&lt;&gt;"",TODAY()-C36,"")</f>
        <v/>
      </c>
      <c r="F36">
        <f>IF(E36&lt;=7,"Yes",IF(E36&gt;7,"No","Unknown"))</f>
        <v/>
      </c>
      <c r="G36" s="15" t="n"/>
      <c r="H36" s="15" t="n"/>
      <c r="I36">
        <f>IF(G36&lt;&gt;"",TODAY()-G36,"")</f>
        <v/>
      </c>
      <c r="J36">
        <f>IF(I36&lt;=1,"Yes",IF(I36&gt;1,"No","Unknown"))</f>
        <v/>
      </c>
      <c r="K36" s="15" t="n"/>
    </row>
    <row r="37">
      <c r="A37" s="15" t="n"/>
      <c r="B37" s="15" t="n"/>
      <c r="C37" s="15" t="n"/>
      <c r="D37" s="15" t="n"/>
      <c r="E37">
        <f>IF(C37&lt;&gt;"",TODAY()-C37,"")</f>
        <v/>
      </c>
      <c r="F37">
        <f>IF(E37&lt;=7,"Yes",IF(E37&gt;7,"No","Unknown"))</f>
        <v/>
      </c>
      <c r="G37" s="15" t="n"/>
      <c r="H37" s="15" t="n"/>
      <c r="I37">
        <f>IF(G37&lt;&gt;"",TODAY()-G37,"")</f>
        <v/>
      </c>
      <c r="J37">
        <f>IF(I37&lt;=1,"Yes",IF(I37&gt;1,"No","Unknown"))</f>
        <v/>
      </c>
      <c r="K37" s="15" t="n"/>
    </row>
    <row r="38">
      <c r="A38" s="15" t="n"/>
      <c r="B38" s="15" t="n"/>
      <c r="C38" s="15" t="n"/>
      <c r="D38" s="15" t="n"/>
      <c r="E38">
        <f>IF(C38&lt;&gt;"",TODAY()-C38,"")</f>
        <v/>
      </c>
      <c r="F38">
        <f>IF(E38&lt;=7,"Yes",IF(E38&gt;7,"No","Unknown"))</f>
        <v/>
      </c>
      <c r="G38" s="15" t="n"/>
      <c r="H38" s="15" t="n"/>
      <c r="I38">
        <f>IF(G38&lt;&gt;"",TODAY()-G38,"")</f>
        <v/>
      </c>
      <c r="J38">
        <f>IF(I38&lt;=1,"Yes",IF(I38&gt;1,"No","Unknown"))</f>
        <v/>
      </c>
      <c r="K38" s="15" t="n"/>
    </row>
    <row r="39">
      <c r="A39" s="15" t="n"/>
      <c r="B39" s="15" t="n"/>
      <c r="C39" s="15" t="n"/>
      <c r="D39" s="15" t="n"/>
      <c r="E39">
        <f>IF(C39&lt;&gt;"",TODAY()-C39,"")</f>
        <v/>
      </c>
      <c r="F39">
        <f>IF(E39&lt;=7,"Yes",IF(E39&gt;7,"No","Unknown"))</f>
        <v/>
      </c>
      <c r="G39" s="15" t="n"/>
      <c r="H39" s="15" t="n"/>
      <c r="I39">
        <f>IF(G39&lt;&gt;"",TODAY()-G39,"")</f>
        <v/>
      </c>
      <c r="J39">
        <f>IF(I39&lt;=1,"Yes",IF(I39&gt;1,"No","Unknown"))</f>
        <v/>
      </c>
      <c r="K39" s="15" t="n"/>
    </row>
    <row r="40">
      <c r="A40" s="15" t="n"/>
      <c r="B40" s="15" t="n"/>
      <c r="C40" s="15" t="n"/>
      <c r="D40" s="15" t="n"/>
      <c r="E40">
        <f>IF(C40&lt;&gt;"",TODAY()-C40,"")</f>
        <v/>
      </c>
      <c r="F40">
        <f>IF(E40&lt;=7,"Yes",IF(E40&gt;7,"No","Unknown"))</f>
        <v/>
      </c>
      <c r="G40" s="15" t="n"/>
      <c r="H40" s="15" t="n"/>
      <c r="I40">
        <f>IF(G40&lt;&gt;"",TODAY()-G40,"")</f>
        <v/>
      </c>
      <c r="J40">
        <f>IF(I40&lt;=1,"Yes",IF(I40&gt;1,"No","Unknown"))</f>
        <v/>
      </c>
      <c r="K40" s="15" t="n"/>
    </row>
    <row r="41">
      <c r="A41" s="15" t="n"/>
      <c r="B41" s="15" t="n"/>
      <c r="C41" s="15" t="n"/>
      <c r="D41" s="15" t="n"/>
      <c r="E41">
        <f>IF(C41&lt;&gt;"",TODAY()-C41,"")</f>
        <v/>
      </c>
      <c r="F41">
        <f>IF(E41&lt;=7,"Yes",IF(E41&gt;7,"No","Unknown"))</f>
        <v/>
      </c>
      <c r="G41" s="15" t="n"/>
      <c r="H41" s="15" t="n"/>
      <c r="I41">
        <f>IF(G41&lt;&gt;"",TODAY()-G41,"")</f>
        <v/>
      </c>
      <c r="J41">
        <f>IF(I41&lt;=1,"Yes",IF(I41&gt;1,"No","Unknown"))</f>
        <v/>
      </c>
      <c r="K41" s="15" t="n"/>
    </row>
    <row r="42">
      <c r="A42" s="15" t="n"/>
      <c r="B42" s="15" t="n"/>
      <c r="C42" s="15" t="n"/>
      <c r="D42" s="15" t="n"/>
      <c r="E42">
        <f>IF(C42&lt;&gt;"",TODAY()-C42,"")</f>
        <v/>
      </c>
      <c r="F42">
        <f>IF(E42&lt;=7,"Yes",IF(E42&gt;7,"No","Unknown"))</f>
        <v/>
      </c>
      <c r="G42" s="15" t="n"/>
      <c r="H42" s="15" t="n"/>
      <c r="I42">
        <f>IF(G42&lt;&gt;"",TODAY()-G42,"")</f>
        <v/>
      </c>
      <c r="J42">
        <f>IF(I42&lt;=1,"Yes",IF(I42&gt;1,"No","Unknown"))</f>
        <v/>
      </c>
      <c r="K42" s="15" t="n"/>
    </row>
    <row r="43">
      <c r="A43" s="15" t="n"/>
      <c r="B43" s="15" t="n"/>
      <c r="C43" s="15" t="n"/>
      <c r="D43" s="15" t="n"/>
      <c r="E43">
        <f>IF(C43&lt;&gt;"",TODAY()-C43,"")</f>
        <v/>
      </c>
      <c r="F43">
        <f>IF(E43&lt;=7,"Yes",IF(E43&gt;7,"No","Unknown"))</f>
        <v/>
      </c>
      <c r="G43" s="15" t="n"/>
      <c r="H43" s="15" t="n"/>
      <c r="I43">
        <f>IF(G43&lt;&gt;"",TODAY()-G43,"")</f>
        <v/>
      </c>
      <c r="J43">
        <f>IF(I43&lt;=1,"Yes",IF(I43&gt;1,"No","Unknown"))</f>
        <v/>
      </c>
      <c r="K43" s="15" t="n"/>
    </row>
    <row r="44">
      <c r="A44" s="15" t="n"/>
      <c r="B44" s="15" t="n"/>
      <c r="C44" s="15" t="n"/>
      <c r="D44" s="15" t="n"/>
      <c r="E44">
        <f>IF(C44&lt;&gt;"",TODAY()-C44,"")</f>
        <v/>
      </c>
      <c r="F44">
        <f>IF(E44&lt;=7,"Yes",IF(E44&gt;7,"No","Unknown"))</f>
        <v/>
      </c>
      <c r="G44" s="15" t="n"/>
      <c r="H44" s="15" t="n"/>
      <c r="I44">
        <f>IF(G44&lt;&gt;"",TODAY()-G44,"")</f>
        <v/>
      </c>
      <c r="J44">
        <f>IF(I44&lt;=1,"Yes",IF(I44&gt;1,"No","Unknown"))</f>
        <v/>
      </c>
      <c r="K44" s="15" t="n"/>
    </row>
    <row r="45">
      <c r="A45" s="15" t="n"/>
      <c r="B45" s="15" t="n"/>
      <c r="C45" s="15" t="n"/>
      <c r="D45" s="15" t="n"/>
      <c r="E45">
        <f>IF(C45&lt;&gt;"",TODAY()-C45,"")</f>
        <v/>
      </c>
      <c r="F45">
        <f>IF(E45&lt;=7,"Yes",IF(E45&gt;7,"No","Unknown"))</f>
        <v/>
      </c>
      <c r="G45" s="15" t="n"/>
      <c r="H45" s="15" t="n"/>
      <c r="I45">
        <f>IF(G45&lt;&gt;"",TODAY()-G45,"")</f>
        <v/>
      </c>
      <c r="J45">
        <f>IF(I45&lt;=1,"Yes",IF(I45&gt;1,"No","Unknown"))</f>
        <v/>
      </c>
      <c r="K45" s="15" t="n"/>
    </row>
    <row r="46">
      <c r="A46" s="15" t="n"/>
      <c r="B46" s="15" t="n"/>
      <c r="C46" s="15" t="n"/>
      <c r="D46" s="15" t="n"/>
      <c r="E46">
        <f>IF(C46&lt;&gt;"",TODAY()-C46,"")</f>
        <v/>
      </c>
      <c r="F46">
        <f>IF(E46&lt;=7,"Yes",IF(E46&gt;7,"No","Unknown"))</f>
        <v/>
      </c>
      <c r="G46" s="15" t="n"/>
      <c r="H46" s="15" t="n"/>
      <c r="I46">
        <f>IF(G46&lt;&gt;"",TODAY()-G46,"")</f>
        <v/>
      </c>
      <c r="J46">
        <f>IF(I46&lt;=1,"Yes",IF(I46&gt;1,"No","Unknown"))</f>
        <v/>
      </c>
      <c r="K46" s="15" t="n"/>
    </row>
    <row r="47">
      <c r="A47" s="15" t="n"/>
      <c r="B47" s="15" t="n"/>
      <c r="C47" s="15" t="n"/>
      <c r="D47" s="15" t="n"/>
      <c r="E47">
        <f>IF(C47&lt;&gt;"",TODAY()-C47,"")</f>
        <v/>
      </c>
      <c r="F47">
        <f>IF(E47&lt;=7,"Yes",IF(E47&gt;7,"No","Unknown"))</f>
        <v/>
      </c>
      <c r="G47" s="15" t="n"/>
      <c r="H47" s="15" t="n"/>
      <c r="I47">
        <f>IF(G47&lt;&gt;"",TODAY()-G47,"")</f>
        <v/>
      </c>
      <c r="J47">
        <f>IF(I47&lt;=1,"Yes",IF(I47&gt;1,"No","Unknown"))</f>
        <v/>
      </c>
      <c r="K47" s="15" t="n"/>
    </row>
    <row r="48">
      <c r="A48" s="15" t="n"/>
      <c r="B48" s="15" t="n"/>
      <c r="C48" s="15" t="n"/>
      <c r="D48" s="15" t="n"/>
      <c r="E48">
        <f>IF(C48&lt;&gt;"",TODAY()-C48,"")</f>
        <v/>
      </c>
      <c r="F48">
        <f>IF(E48&lt;=7,"Yes",IF(E48&gt;7,"No","Unknown"))</f>
        <v/>
      </c>
      <c r="G48" s="15" t="n"/>
      <c r="H48" s="15" t="n"/>
      <c r="I48">
        <f>IF(G48&lt;&gt;"",TODAY()-G48,"")</f>
        <v/>
      </c>
      <c r="J48">
        <f>IF(I48&lt;=1,"Yes",IF(I48&gt;1,"No","Unknown"))</f>
        <v/>
      </c>
      <c r="K48" s="15" t="n"/>
    </row>
    <row r="49">
      <c r="A49" s="15" t="n"/>
      <c r="B49" s="15" t="n"/>
      <c r="C49" s="15" t="n"/>
      <c r="D49" s="15" t="n"/>
      <c r="E49">
        <f>IF(C49&lt;&gt;"",TODAY()-C49,"")</f>
        <v/>
      </c>
      <c r="F49">
        <f>IF(E49&lt;=7,"Yes",IF(E49&gt;7,"No","Unknown"))</f>
        <v/>
      </c>
      <c r="G49" s="15" t="n"/>
      <c r="H49" s="15" t="n"/>
      <c r="I49">
        <f>IF(G49&lt;&gt;"",TODAY()-G49,"")</f>
        <v/>
      </c>
      <c r="J49">
        <f>IF(I49&lt;=1,"Yes",IF(I49&gt;1,"No","Unknown"))</f>
        <v/>
      </c>
      <c r="K49" s="15" t="n"/>
    </row>
    <row r="50">
      <c r="A50" s="15" t="n"/>
      <c r="B50" s="15" t="n"/>
      <c r="C50" s="15" t="n"/>
      <c r="D50" s="15" t="n"/>
      <c r="E50">
        <f>IF(C50&lt;&gt;"",TODAY()-C50,"")</f>
        <v/>
      </c>
      <c r="F50">
        <f>IF(E50&lt;=7,"Yes",IF(E50&gt;7,"No","Unknown"))</f>
        <v/>
      </c>
      <c r="G50" s="15" t="n"/>
      <c r="H50" s="15" t="n"/>
      <c r="I50">
        <f>IF(G50&lt;&gt;"",TODAY()-G50,"")</f>
        <v/>
      </c>
      <c r="J50">
        <f>IF(I50&lt;=1,"Yes",IF(I50&gt;1,"No","Unknown"))</f>
        <v/>
      </c>
      <c r="K50" s="15" t="n"/>
    </row>
    <row r="51">
      <c r="A51" s="15" t="n"/>
      <c r="B51" s="15" t="n"/>
      <c r="C51" s="15" t="n"/>
      <c r="D51" s="15" t="n"/>
      <c r="E51">
        <f>IF(C51&lt;&gt;"",TODAY()-C51,"")</f>
        <v/>
      </c>
      <c r="F51">
        <f>IF(E51&lt;=7,"Yes",IF(E51&gt;7,"No","Unknown"))</f>
        <v/>
      </c>
      <c r="G51" s="15" t="n"/>
      <c r="H51" s="15" t="n"/>
      <c r="I51">
        <f>IF(G51&lt;&gt;"",TODAY()-G51,"")</f>
        <v/>
      </c>
      <c r="J51">
        <f>IF(I51&lt;=1,"Yes",IF(I51&gt;1,"No","Unknown"))</f>
        <v/>
      </c>
      <c r="K51" s="15" t="n"/>
    </row>
    <row r="52">
      <c r="A52" s="15" t="n"/>
      <c r="B52" s="15" t="n"/>
      <c r="C52" s="15" t="n"/>
      <c r="D52" s="15" t="n"/>
      <c r="E52">
        <f>IF(C52&lt;&gt;"",TODAY()-C52,"")</f>
        <v/>
      </c>
      <c r="F52">
        <f>IF(E52&lt;=7,"Yes",IF(E52&gt;7,"No","Unknown"))</f>
        <v/>
      </c>
      <c r="G52" s="15" t="n"/>
      <c r="H52" s="15" t="n"/>
      <c r="I52">
        <f>IF(G52&lt;&gt;"",TODAY()-G52,"")</f>
        <v/>
      </c>
      <c r="J52">
        <f>IF(I52&lt;=1,"Yes",IF(I52&gt;1,"No","Unknown"))</f>
        <v/>
      </c>
      <c r="K52" s="15" t="n"/>
    </row>
    <row r="53">
      <c r="A53" s="15" t="n"/>
      <c r="B53" s="15" t="n"/>
      <c r="C53" s="15" t="n"/>
      <c r="D53" s="15" t="n"/>
      <c r="E53">
        <f>IF(C53&lt;&gt;"",TODAY()-C53,"")</f>
        <v/>
      </c>
      <c r="F53">
        <f>IF(E53&lt;=7,"Yes",IF(E53&gt;7,"No","Unknown"))</f>
        <v/>
      </c>
      <c r="G53" s="15" t="n"/>
      <c r="H53" s="15" t="n"/>
      <c r="I53">
        <f>IF(G53&lt;&gt;"",TODAY()-G53,"")</f>
        <v/>
      </c>
      <c r="J53">
        <f>IF(I53&lt;=1,"Yes",IF(I53&gt;1,"No","Unknown"))</f>
        <v/>
      </c>
      <c r="K53" s="15" t="n"/>
    </row>
    <row r="54">
      <c r="A54" s="15" t="n"/>
      <c r="B54" s="15" t="n"/>
      <c r="C54" s="15" t="n"/>
      <c r="D54" s="15" t="n"/>
      <c r="E54">
        <f>IF(C54&lt;&gt;"",TODAY()-C54,"")</f>
        <v/>
      </c>
      <c r="F54">
        <f>IF(E54&lt;=7,"Yes",IF(E54&gt;7,"No","Unknown"))</f>
        <v/>
      </c>
      <c r="G54" s="15" t="n"/>
      <c r="H54" s="15" t="n"/>
      <c r="I54">
        <f>IF(G54&lt;&gt;"",TODAY()-G54,"")</f>
        <v/>
      </c>
      <c r="J54">
        <f>IF(I54&lt;=1,"Yes",IF(I54&gt;1,"No","Unknown"))</f>
        <v/>
      </c>
      <c r="K54" s="15" t="n"/>
    </row>
    <row r="55">
      <c r="A55" s="15" t="n"/>
      <c r="B55" s="15" t="n"/>
      <c r="C55" s="15" t="n"/>
      <c r="D55" s="15" t="n"/>
      <c r="E55">
        <f>IF(C55&lt;&gt;"",TODAY()-C55,"")</f>
        <v/>
      </c>
      <c r="F55">
        <f>IF(E55&lt;=7,"Yes",IF(E55&gt;7,"No","Unknown"))</f>
        <v/>
      </c>
      <c r="G55" s="15" t="n"/>
      <c r="H55" s="15" t="n"/>
      <c r="I55">
        <f>IF(G55&lt;&gt;"",TODAY()-G55,"")</f>
        <v/>
      </c>
      <c r="J55">
        <f>IF(I55&lt;=1,"Yes",IF(I55&gt;1,"No","Unknown"))</f>
        <v/>
      </c>
      <c r="K55" s="15" t="n"/>
    </row>
    <row r="58">
      <c r="A58" s="12" t="inlineStr">
        <is>
          <t>[CHART] SCAN COMPLIANCE SUMMARY</t>
        </is>
      </c>
    </row>
    <row r="59">
      <c r="A59" t="inlineStr">
        <is>
          <t>Full Scan Compliant (≤7 days):</t>
        </is>
      </c>
      <c r="B59">
        <f>COUNTIF(F6:F55,"Yes")</f>
        <v/>
      </c>
    </row>
    <row r="60">
      <c r="A60" t="inlineStr">
        <is>
          <t>Full Scan Compliance Rate:</t>
        </is>
      </c>
      <c r="B60" s="18">
        <f>IF(COUNTA(F6:F55)&gt;0,B59/COUNTA(F6:F55)*100,0)&amp;"%"</f>
        <v/>
      </c>
    </row>
    <row r="62">
      <c r="A62" t="inlineStr">
        <is>
          <t>Quick Scan Compliant (≤1 day):</t>
        </is>
      </c>
      <c r="B62">
        <f>COUNTIF(J6:J55,"Yes")</f>
        <v/>
      </c>
    </row>
    <row r="63">
      <c r="A63" t="inlineStr">
        <is>
          <t>Quick Scan Compliance Rate:</t>
        </is>
      </c>
      <c r="B63" s="18">
        <f>IF(COUNTA(J6:J55)&gt;0,B62/COUNTA(J6:J55)*100,0)&amp;"%"</f>
        <v/>
      </c>
    </row>
  </sheetData>
  <mergeCells count="3">
    <mergeCell ref="A2:K2"/>
    <mergeCell ref="A1:K1"/>
    <mergeCell ref="A58:C58"/>
  </mergeCells>
  <dataValidations count="1">
    <dataValidation sqref="D6 D7 D8 D9 D10 D11 D12 D13 D14 D15 D16 D17 D18 D19 D20 D21 D22 D23 D24 D25 D26 D27 D28 D29 D30 D31 D32 D33 D34 D35 D36 D37 D38 D39 D40 D41 D42 D43 D44 D45 D46 D47 D48 D49 D50 D51 D52 D53 D54 D55 H6 H7 H8 H9 H10 H11 H12 H13 H14 H15 H16 H17 H18 H19 H20 H21 H22 H23 H24 H25 H26 H27 H28 H29 H30 H31 H32 H33 H34 H35 H36 H37 H38 H39 H40 H41 H42 H43 H44 H45 H46 H47 H48 H49 H50 H51 H52 H53 H54 H55" showDropDown="0" showInputMessage="0" showErrorMessage="0" allowBlank="0" type="list">
      <formula1>"✅ Compliant,Overdue,Failed,In Progress,Unknown"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1"/>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2" customWidth="1" min="3" max="3"/>
    <col width="20" customWidth="1" min="4" max="4"/>
    <col width="18" customWidth="1" min="5" max="5"/>
    <col width="30" customWidth="1" min="6" max="6"/>
    <col width="15" customWidth="1" min="7" max="7"/>
    <col width="20" customWidth="1" min="8" max="8"/>
    <col width="15" customWidth="1" min="9" max="9"/>
    <col width="20" customWidth="1" min="10" max="10"/>
    <col width="15" customWidth="1" min="11" max="11"/>
    <col width="30" customWidth="1" min="12" max="12"/>
  </cols>
  <sheetData>
    <row r="1" ht="35" customHeight="1">
      <c r="A1" s="11" t="inlineStr">
        <is>
          <t>MALWARE DETECTION &amp; REMEDIATION METRICS</t>
        </is>
      </c>
    </row>
    <row r="2">
      <c r="A2" s="12" t="inlineStr">
        <is>
          <t>Malware detections by type, severity, remediation status, and effectiveness (last 90 days)</t>
        </is>
      </c>
    </row>
    <row r="4">
      <c r="A4" s="13" t="inlineStr">
        <is>
          <t>Detection ID</t>
        </is>
      </c>
      <c r="B4" s="13" t="inlineStr">
        <is>
          <t>Detection Date</t>
        </is>
      </c>
      <c r="C4" s="13" t="inlineStr">
        <is>
          <t>Device ID</t>
        </is>
      </c>
      <c r="D4" s="13" t="inlineStr">
        <is>
          <t>Hostname</t>
        </is>
      </c>
      <c r="E4" s="13" t="inlineStr">
        <is>
          <t>Detection Type</t>
        </is>
      </c>
      <c r="F4" s="13" t="inlineStr">
        <is>
          <t>Threat Name</t>
        </is>
      </c>
      <c r="G4" s="13" t="inlineStr">
        <is>
          <t>Severity</t>
        </is>
      </c>
      <c r="H4" s="13" t="inlineStr">
        <is>
          <t>Remediation Status</t>
        </is>
      </c>
      <c r="I4" s="13" t="inlineStr">
        <is>
          <t>Remediation Date</t>
        </is>
      </c>
      <c r="J4" s="13" t="inlineStr">
        <is>
          <t>Remediation Time (Hours)</t>
        </is>
      </c>
      <c r="K4" s="13" t="inlineStr">
        <is>
          <t>Re-Infection</t>
        </is>
      </c>
      <c r="L4" s="13" t="inlineStr">
        <is>
          <t>Notes</t>
        </is>
      </c>
    </row>
    <row r="5">
      <c r="A5" s="14" t="inlineStr">
        <is>
          <t>DET-0001</t>
        </is>
      </c>
      <c r="B5" s="14" t="inlineStr">
        <is>
          <t>15.02.2024</t>
        </is>
      </c>
      <c r="C5" s="14" t="inlineStr">
        <is>
          <t>EP-1001</t>
        </is>
      </c>
      <c r="D5" s="14" t="inlineStr">
        <is>
          <t>LAPTOP-GREG-01</t>
        </is>
      </c>
      <c r="E5" s="14" t="inlineStr">
        <is>
          <t>[VIRUS] Malware</t>
        </is>
      </c>
      <c r="F5" s="14" t="inlineStr">
        <is>
          <t>Trojan.GenericKD.12345</t>
        </is>
      </c>
      <c r="G5" s="14" t="inlineStr">
        <is>
          <t>High</t>
        </is>
      </c>
      <c r="H5" s="14" t="inlineStr">
        <is>
          <t>✅ Remediated</t>
        </is>
      </c>
      <c r="I5" s="14" t="inlineStr">
        <is>
          <t>15.02.2024</t>
        </is>
      </c>
      <c r="J5" s="14">
        <f>IF(AND(B5&lt;&gt;"",I5&lt;&gt;""),(I5-B5)*24,"")</f>
        <v/>
      </c>
      <c r="K5" s="14" t="inlineStr">
        <is>
          <t>No</t>
        </is>
      </c>
      <c r="L5" s="14" t="inlineStr">
        <is>
          <t>Example row</t>
        </is>
      </c>
    </row>
    <row r="6">
      <c r="A6" s="16" t="inlineStr">
        <is>
          <t>DET-0002</t>
        </is>
      </c>
      <c r="B6" s="15" t="n"/>
      <c r="C6" s="15" t="n"/>
      <c r="D6" s="15" t="n"/>
      <c r="E6" s="15" t="n"/>
      <c r="F6" s="15" t="n"/>
      <c r="G6" s="15" t="n"/>
      <c r="H6" s="15" t="n"/>
      <c r="I6" s="15" t="n"/>
      <c r="J6">
        <f>IF(AND(B6&lt;&gt;"",I6&lt;&gt;""),(I6-B6)*24,"")</f>
        <v/>
      </c>
      <c r="K6" s="15" t="n"/>
      <c r="L6" s="15" t="n"/>
    </row>
    <row r="7">
      <c r="A7" s="16" t="inlineStr">
        <is>
          <t>DET-0003</t>
        </is>
      </c>
      <c r="B7" s="15" t="n"/>
      <c r="C7" s="15" t="n"/>
      <c r="D7" s="15" t="n"/>
      <c r="E7" s="15" t="n"/>
      <c r="F7" s="15" t="n"/>
      <c r="G7" s="15" t="n"/>
      <c r="H7" s="15" t="n"/>
      <c r="I7" s="15" t="n"/>
      <c r="J7">
        <f>IF(AND(B7&lt;&gt;"",I7&lt;&gt;""),(I7-B7)*24,"")</f>
        <v/>
      </c>
      <c r="K7" s="15" t="n"/>
      <c r="L7" s="15" t="n"/>
    </row>
    <row r="8">
      <c r="A8" s="16" t="inlineStr">
        <is>
          <t>DET-0004</t>
        </is>
      </c>
      <c r="B8" s="15" t="n"/>
      <c r="C8" s="15" t="n"/>
      <c r="D8" s="15" t="n"/>
      <c r="E8" s="15" t="n"/>
      <c r="F8" s="15" t="n"/>
      <c r="G8" s="15" t="n"/>
      <c r="H8" s="15" t="n"/>
      <c r="I8" s="15" t="n"/>
      <c r="J8">
        <f>IF(AND(B8&lt;&gt;"",I8&lt;&gt;""),(I8-B8)*24,"")</f>
        <v/>
      </c>
      <c r="K8" s="15" t="n"/>
      <c r="L8" s="15" t="n"/>
    </row>
    <row r="9">
      <c r="A9" s="16" t="inlineStr">
        <is>
          <t>DET-0005</t>
        </is>
      </c>
      <c r="B9" s="15" t="n"/>
      <c r="C9" s="15" t="n"/>
      <c r="D9" s="15" t="n"/>
      <c r="E9" s="15" t="n"/>
      <c r="F9" s="15" t="n"/>
      <c r="G9" s="15" t="n"/>
      <c r="H9" s="15" t="n"/>
      <c r="I9" s="15" t="n"/>
      <c r="J9">
        <f>IF(AND(B9&lt;&gt;"",I9&lt;&gt;""),(I9-B9)*24,"")</f>
        <v/>
      </c>
      <c r="K9" s="15" t="n"/>
      <c r="L9" s="15" t="n"/>
    </row>
    <row r="10">
      <c r="A10" s="16" t="inlineStr">
        <is>
          <t>DET-0006</t>
        </is>
      </c>
      <c r="B10" s="15" t="n"/>
      <c r="C10" s="15" t="n"/>
      <c r="D10" s="15" t="n"/>
      <c r="E10" s="15" t="n"/>
      <c r="F10" s="15" t="n"/>
      <c r="G10" s="15" t="n"/>
      <c r="H10" s="15" t="n"/>
      <c r="I10" s="15" t="n"/>
      <c r="J10">
        <f>IF(AND(B10&lt;&gt;"",I10&lt;&gt;""),(I10-B10)*24,"")</f>
        <v/>
      </c>
      <c r="K10" s="15" t="n"/>
      <c r="L10" s="15" t="n"/>
    </row>
    <row r="11">
      <c r="A11" s="16" t="inlineStr">
        <is>
          <t>DET-0007</t>
        </is>
      </c>
      <c r="B11" s="15" t="n"/>
      <c r="C11" s="15" t="n"/>
      <c r="D11" s="15" t="n"/>
      <c r="E11" s="15" t="n"/>
      <c r="F11" s="15" t="n"/>
      <c r="G11" s="15" t="n"/>
      <c r="H11" s="15" t="n"/>
      <c r="I11" s="15" t="n"/>
      <c r="J11">
        <f>IF(AND(B11&lt;&gt;"",I11&lt;&gt;""),(I11-B11)*24,"")</f>
        <v/>
      </c>
      <c r="K11" s="15" t="n"/>
      <c r="L11" s="15" t="n"/>
    </row>
    <row r="12">
      <c r="A12" s="16" t="inlineStr">
        <is>
          <t>DET-0008</t>
        </is>
      </c>
      <c r="B12" s="15" t="n"/>
      <c r="C12" s="15" t="n"/>
      <c r="D12" s="15" t="n"/>
      <c r="E12" s="15" t="n"/>
      <c r="F12" s="15" t="n"/>
      <c r="G12" s="15" t="n"/>
      <c r="H12" s="15" t="n"/>
      <c r="I12" s="15" t="n"/>
      <c r="J12">
        <f>IF(AND(B12&lt;&gt;"",I12&lt;&gt;""),(I12-B12)*24,"")</f>
        <v/>
      </c>
      <c r="K12" s="15" t="n"/>
      <c r="L12" s="15" t="n"/>
    </row>
    <row r="13">
      <c r="A13" s="16" t="inlineStr">
        <is>
          <t>DET-0009</t>
        </is>
      </c>
      <c r="B13" s="15" t="n"/>
      <c r="C13" s="15" t="n"/>
      <c r="D13" s="15" t="n"/>
      <c r="E13" s="15" t="n"/>
      <c r="F13" s="15" t="n"/>
      <c r="G13" s="15" t="n"/>
      <c r="H13" s="15" t="n"/>
      <c r="I13" s="15" t="n"/>
      <c r="J13">
        <f>IF(AND(B13&lt;&gt;"",I13&lt;&gt;""),(I13-B13)*24,"")</f>
        <v/>
      </c>
      <c r="K13" s="15" t="n"/>
      <c r="L13" s="15" t="n"/>
    </row>
    <row r="14">
      <c r="A14" s="16" t="inlineStr">
        <is>
          <t>DET-0010</t>
        </is>
      </c>
      <c r="B14" s="15" t="n"/>
      <c r="C14" s="15" t="n"/>
      <c r="D14" s="15" t="n"/>
      <c r="E14" s="15" t="n"/>
      <c r="F14" s="15" t="n"/>
      <c r="G14" s="15" t="n"/>
      <c r="H14" s="15" t="n"/>
      <c r="I14" s="15" t="n"/>
      <c r="J14">
        <f>IF(AND(B14&lt;&gt;"",I14&lt;&gt;""),(I14-B14)*24,"")</f>
        <v/>
      </c>
      <c r="K14" s="15" t="n"/>
      <c r="L14" s="15" t="n"/>
    </row>
    <row r="15">
      <c r="A15" s="16" t="inlineStr">
        <is>
          <t>DET-0011</t>
        </is>
      </c>
      <c r="B15" s="15" t="n"/>
      <c r="C15" s="15" t="n"/>
      <c r="D15" s="15" t="n"/>
      <c r="E15" s="15" t="n"/>
      <c r="F15" s="15" t="n"/>
      <c r="G15" s="15" t="n"/>
      <c r="H15" s="15" t="n"/>
      <c r="I15" s="15" t="n"/>
      <c r="J15">
        <f>IF(AND(B15&lt;&gt;"",I15&lt;&gt;""),(I15-B15)*24,"")</f>
        <v/>
      </c>
      <c r="K15" s="15" t="n"/>
      <c r="L15" s="15" t="n"/>
    </row>
    <row r="16">
      <c r="A16" s="16" t="inlineStr">
        <is>
          <t>DET-0012</t>
        </is>
      </c>
      <c r="B16" s="15" t="n"/>
      <c r="C16" s="15" t="n"/>
      <c r="D16" s="15" t="n"/>
      <c r="E16" s="15" t="n"/>
      <c r="F16" s="15" t="n"/>
      <c r="G16" s="15" t="n"/>
      <c r="H16" s="15" t="n"/>
      <c r="I16" s="15" t="n"/>
      <c r="J16">
        <f>IF(AND(B16&lt;&gt;"",I16&lt;&gt;""),(I16-B16)*24,"")</f>
        <v/>
      </c>
      <c r="K16" s="15" t="n"/>
      <c r="L16" s="15" t="n"/>
    </row>
    <row r="17">
      <c r="A17" s="16" t="inlineStr">
        <is>
          <t>DET-0013</t>
        </is>
      </c>
      <c r="B17" s="15" t="n"/>
      <c r="C17" s="15" t="n"/>
      <c r="D17" s="15" t="n"/>
      <c r="E17" s="15" t="n"/>
      <c r="F17" s="15" t="n"/>
      <c r="G17" s="15" t="n"/>
      <c r="H17" s="15" t="n"/>
      <c r="I17" s="15" t="n"/>
      <c r="J17">
        <f>IF(AND(B17&lt;&gt;"",I17&lt;&gt;""),(I17-B17)*24,"")</f>
        <v/>
      </c>
      <c r="K17" s="15" t="n"/>
      <c r="L17" s="15" t="n"/>
    </row>
    <row r="18">
      <c r="A18" s="16" t="inlineStr">
        <is>
          <t>DET-0014</t>
        </is>
      </c>
      <c r="B18" s="15" t="n"/>
      <c r="C18" s="15" t="n"/>
      <c r="D18" s="15" t="n"/>
      <c r="E18" s="15" t="n"/>
      <c r="F18" s="15" t="n"/>
      <c r="G18" s="15" t="n"/>
      <c r="H18" s="15" t="n"/>
      <c r="I18" s="15" t="n"/>
      <c r="J18">
        <f>IF(AND(B18&lt;&gt;"",I18&lt;&gt;""),(I18-B18)*24,"")</f>
        <v/>
      </c>
      <c r="K18" s="15" t="n"/>
      <c r="L18" s="15" t="n"/>
    </row>
    <row r="19">
      <c r="A19" s="16" t="inlineStr">
        <is>
          <t>DET-0015</t>
        </is>
      </c>
      <c r="B19" s="15" t="n"/>
      <c r="C19" s="15" t="n"/>
      <c r="D19" s="15" t="n"/>
      <c r="E19" s="15" t="n"/>
      <c r="F19" s="15" t="n"/>
      <c r="G19" s="15" t="n"/>
      <c r="H19" s="15" t="n"/>
      <c r="I19" s="15" t="n"/>
      <c r="J19">
        <f>IF(AND(B19&lt;&gt;"",I19&lt;&gt;""),(I19-B19)*24,"")</f>
        <v/>
      </c>
      <c r="K19" s="15" t="n"/>
      <c r="L19" s="15" t="n"/>
    </row>
    <row r="20">
      <c r="A20" s="16" t="inlineStr">
        <is>
          <t>DET-0016</t>
        </is>
      </c>
      <c r="B20" s="15" t="n"/>
      <c r="C20" s="15" t="n"/>
      <c r="D20" s="15" t="n"/>
      <c r="E20" s="15" t="n"/>
      <c r="F20" s="15" t="n"/>
      <c r="G20" s="15" t="n"/>
      <c r="H20" s="15" t="n"/>
      <c r="I20" s="15" t="n"/>
      <c r="J20">
        <f>IF(AND(B20&lt;&gt;"",I20&lt;&gt;""),(I20-B20)*24,"")</f>
        <v/>
      </c>
      <c r="K20" s="15" t="n"/>
      <c r="L20" s="15" t="n"/>
    </row>
    <row r="21">
      <c r="A21" s="16" t="inlineStr">
        <is>
          <t>DET-0017</t>
        </is>
      </c>
      <c r="B21" s="15" t="n"/>
      <c r="C21" s="15" t="n"/>
      <c r="D21" s="15" t="n"/>
      <c r="E21" s="15" t="n"/>
      <c r="F21" s="15" t="n"/>
      <c r="G21" s="15" t="n"/>
      <c r="H21" s="15" t="n"/>
      <c r="I21" s="15" t="n"/>
      <c r="J21">
        <f>IF(AND(B21&lt;&gt;"",I21&lt;&gt;""),(I21-B21)*24,"")</f>
        <v/>
      </c>
      <c r="K21" s="15" t="n"/>
      <c r="L21" s="15" t="n"/>
    </row>
    <row r="22">
      <c r="A22" s="16" t="inlineStr">
        <is>
          <t>DET-0018</t>
        </is>
      </c>
      <c r="B22" s="15" t="n"/>
      <c r="C22" s="15" t="n"/>
      <c r="D22" s="15" t="n"/>
      <c r="E22" s="15" t="n"/>
      <c r="F22" s="15" t="n"/>
      <c r="G22" s="15" t="n"/>
      <c r="H22" s="15" t="n"/>
      <c r="I22" s="15" t="n"/>
      <c r="J22">
        <f>IF(AND(B22&lt;&gt;"",I22&lt;&gt;""),(I22-B22)*24,"")</f>
        <v/>
      </c>
      <c r="K22" s="15" t="n"/>
      <c r="L22" s="15" t="n"/>
    </row>
    <row r="23">
      <c r="A23" s="16" t="inlineStr">
        <is>
          <t>DET-0019</t>
        </is>
      </c>
      <c r="B23" s="15" t="n"/>
      <c r="C23" s="15" t="n"/>
      <c r="D23" s="15" t="n"/>
      <c r="E23" s="15" t="n"/>
      <c r="F23" s="15" t="n"/>
      <c r="G23" s="15" t="n"/>
      <c r="H23" s="15" t="n"/>
      <c r="I23" s="15" t="n"/>
      <c r="J23">
        <f>IF(AND(B23&lt;&gt;"",I23&lt;&gt;""),(I23-B23)*24,"")</f>
        <v/>
      </c>
      <c r="K23" s="15" t="n"/>
      <c r="L23" s="15" t="n"/>
    </row>
    <row r="24">
      <c r="A24" s="16" t="inlineStr">
        <is>
          <t>DET-0020</t>
        </is>
      </c>
      <c r="B24" s="15" t="n"/>
      <c r="C24" s="15" t="n"/>
      <c r="D24" s="15" t="n"/>
      <c r="E24" s="15" t="n"/>
      <c r="F24" s="15" t="n"/>
      <c r="G24" s="15" t="n"/>
      <c r="H24" s="15" t="n"/>
      <c r="I24" s="15" t="n"/>
      <c r="J24">
        <f>IF(AND(B24&lt;&gt;"",I24&lt;&gt;""),(I24-B24)*24,"")</f>
        <v/>
      </c>
      <c r="K24" s="15" t="n"/>
      <c r="L24" s="15" t="n"/>
    </row>
    <row r="25">
      <c r="A25" s="16" t="inlineStr">
        <is>
          <t>DET-0021</t>
        </is>
      </c>
      <c r="B25" s="15" t="n"/>
      <c r="C25" s="15" t="n"/>
      <c r="D25" s="15" t="n"/>
      <c r="E25" s="15" t="n"/>
      <c r="F25" s="15" t="n"/>
      <c r="G25" s="15" t="n"/>
      <c r="H25" s="15" t="n"/>
      <c r="I25" s="15" t="n"/>
      <c r="J25">
        <f>IF(AND(B25&lt;&gt;"",I25&lt;&gt;""),(I25-B25)*24,"")</f>
        <v/>
      </c>
      <c r="K25" s="15" t="n"/>
      <c r="L25" s="15" t="n"/>
    </row>
    <row r="26">
      <c r="A26" s="16" t="inlineStr">
        <is>
          <t>DET-0022</t>
        </is>
      </c>
      <c r="B26" s="15" t="n"/>
      <c r="C26" s="15" t="n"/>
      <c r="D26" s="15" t="n"/>
      <c r="E26" s="15" t="n"/>
      <c r="F26" s="15" t="n"/>
      <c r="G26" s="15" t="n"/>
      <c r="H26" s="15" t="n"/>
      <c r="I26" s="15" t="n"/>
      <c r="J26">
        <f>IF(AND(B26&lt;&gt;"",I26&lt;&gt;""),(I26-B26)*24,"")</f>
        <v/>
      </c>
      <c r="K26" s="15" t="n"/>
      <c r="L26" s="15" t="n"/>
    </row>
    <row r="27">
      <c r="A27" s="16" t="inlineStr">
        <is>
          <t>DET-0023</t>
        </is>
      </c>
      <c r="B27" s="15" t="n"/>
      <c r="C27" s="15" t="n"/>
      <c r="D27" s="15" t="n"/>
      <c r="E27" s="15" t="n"/>
      <c r="F27" s="15" t="n"/>
      <c r="G27" s="15" t="n"/>
      <c r="H27" s="15" t="n"/>
      <c r="I27" s="15" t="n"/>
      <c r="J27">
        <f>IF(AND(B27&lt;&gt;"",I27&lt;&gt;""),(I27-B27)*24,"")</f>
        <v/>
      </c>
      <c r="K27" s="15" t="n"/>
      <c r="L27" s="15" t="n"/>
    </row>
    <row r="28">
      <c r="A28" s="16" t="inlineStr">
        <is>
          <t>DET-0024</t>
        </is>
      </c>
      <c r="B28" s="15" t="n"/>
      <c r="C28" s="15" t="n"/>
      <c r="D28" s="15" t="n"/>
      <c r="E28" s="15" t="n"/>
      <c r="F28" s="15" t="n"/>
      <c r="G28" s="15" t="n"/>
      <c r="H28" s="15" t="n"/>
      <c r="I28" s="15" t="n"/>
      <c r="J28">
        <f>IF(AND(B28&lt;&gt;"",I28&lt;&gt;""),(I28-B28)*24,"")</f>
        <v/>
      </c>
      <c r="K28" s="15" t="n"/>
      <c r="L28" s="15" t="n"/>
    </row>
    <row r="29">
      <c r="A29" s="16" t="inlineStr">
        <is>
          <t>DET-0025</t>
        </is>
      </c>
      <c r="B29" s="15" t="n"/>
      <c r="C29" s="15" t="n"/>
      <c r="D29" s="15" t="n"/>
      <c r="E29" s="15" t="n"/>
      <c r="F29" s="15" t="n"/>
      <c r="G29" s="15" t="n"/>
      <c r="H29" s="15" t="n"/>
      <c r="I29" s="15" t="n"/>
      <c r="J29">
        <f>IF(AND(B29&lt;&gt;"",I29&lt;&gt;""),(I29-B29)*24,"")</f>
        <v/>
      </c>
      <c r="K29" s="15" t="n"/>
      <c r="L29" s="15" t="n"/>
    </row>
    <row r="30">
      <c r="A30" s="16" t="inlineStr">
        <is>
          <t>DET-0026</t>
        </is>
      </c>
      <c r="B30" s="15" t="n"/>
      <c r="C30" s="15" t="n"/>
      <c r="D30" s="15" t="n"/>
      <c r="E30" s="15" t="n"/>
      <c r="F30" s="15" t="n"/>
      <c r="G30" s="15" t="n"/>
      <c r="H30" s="15" t="n"/>
      <c r="I30" s="15" t="n"/>
      <c r="J30">
        <f>IF(AND(B30&lt;&gt;"",I30&lt;&gt;""),(I30-B30)*24,"")</f>
        <v/>
      </c>
      <c r="K30" s="15" t="n"/>
      <c r="L30" s="15" t="n"/>
    </row>
    <row r="31">
      <c r="A31" s="16" t="inlineStr">
        <is>
          <t>DET-0027</t>
        </is>
      </c>
      <c r="B31" s="15" t="n"/>
      <c r="C31" s="15" t="n"/>
      <c r="D31" s="15" t="n"/>
      <c r="E31" s="15" t="n"/>
      <c r="F31" s="15" t="n"/>
      <c r="G31" s="15" t="n"/>
      <c r="H31" s="15" t="n"/>
      <c r="I31" s="15" t="n"/>
      <c r="J31">
        <f>IF(AND(B31&lt;&gt;"",I31&lt;&gt;""),(I31-B31)*24,"")</f>
        <v/>
      </c>
      <c r="K31" s="15" t="n"/>
      <c r="L31" s="15" t="n"/>
    </row>
    <row r="32">
      <c r="A32" s="16" t="inlineStr">
        <is>
          <t>DET-0028</t>
        </is>
      </c>
      <c r="B32" s="15" t="n"/>
      <c r="C32" s="15" t="n"/>
      <c r="D32" s="15" t="n"/>
      <c r="E32" s="15" t="n"/>
      <c r="F32" s="15" t="n"/>
      <c r="G32" s="15" t="n"/>
      <c r="H32" s="15" t="n"/>
      <c r="I32" s="15" t="n"/>
      <c r="J32">
        <f>IF(AND(B32&lt;&gt;"",I32&lt;&gt;""),(I32-B32)*24,"")</f>
        <v/>
      </c>
      <c r="K32" s="15" t="n"/>
      <c r="L32" s="15" t="n"/>
    </row>
    <row r="33">
      <c r="A33" s="16" t="inlineStr">
        <is>
          <t>DET-0029</t>
        </is>
      </c>
      <c r="B33" s="15" t="n"/>
      <c r="C33" s="15" t="n"/>
      <c r="D33" s="15" t="n"/>
      <c r="E33" s="15" t="n"/>
      <c r="F33" s="15" t="n"/>
      <c r="G33" s="15" t="n"/>
      <c r="H33" s="15" t="n"/>
      <c r="I33" s="15" t="n"/>
      <c r="J33">
        <f>IF(AND(B33&lt;&gt;"",I33&lt;&gt;""),(I33-B33)*24,"")</f>
        <v/>
      </c>
      <c r="K33" s="15" t="n"/>
      <c r="L33" s="15" t="n"/>
    </row>
    <row r="34">
      <c r="A34" s="16" t="inlineStr">
        <is>
          <t>DET-0030</t>
        </is>
      </c>
      <c r="B34" s="15" t="n"/>
      <c r="C34" s="15" t="n"/>
      <c r="D34" s="15" t="n"/>
      <c r="E34" s="15" t="n"/>
      <c r="F34" s="15" t="n"/>
      <c r="G34" s="15" t="n"/>
      <c r="H34" s="15" t="n"/>
      <c r="I34" s="15" t="n"/>
      <c r="J34">
        <f>IF(AND(B34&lt;&gt;"",I34&lt;&gt;""),(I34-B34)*24,"")</f>
        <v/>
      </c>
      <c r="K34" s="15" t="n"/>
      <c r="L34" s="15" t="n"/>
    </row>
    <row r="35">
      <c r="A35" s="16" t="inlineStr">
        <is>
          <t>DET-0031</t>
        </is>
      </c>
      <c r="B35" s="15" t="n"/>
      <c r="C35" s="15" t="n"/>
      <c r="D35" s="15" t="n"/>
      <c r="E35" s="15" t="n"/>
      <c r="F35" s="15" t="n"/>
      <c r="G35" s="15" t="n"/>
      <c r="H35" s="15" t="n"/>
      <c r="I35" s="15" t="n"/>
      <c r="J35">
        <f>IF(AND(B35&lt;&gt;"",I35&lt;&gt;""),(I35-B35)*24,"")</f>
        <v/>
      </c>
      <c r="K35" s="15" t="n"/>
      <c r="L35" s="15" t="n"/>
    </row>
    <row r="36">
      <c r="A36" s="16" t="inlineStr">
        <is>
          <t>DET-0032</t>
        </is>
      </c>
      <c r="B36" s="15" t="n"/>
      <c r="C36" s="15" t="n"/>
      <c r="D36" s="15" t="n"/>
      <c r="E36" s="15" t="n"/>
      <c r="F36" s="15" t="n"/>
      <c r="G36" s="15" t="n"/>
      <c r="H36" s="15" t="n"/>
      <c r="I36" s="15" t="n"/>
      <c r="J36">
        <f>IF(AND(B36&lt;&gt;"",I36&lt;&gt;""),(I36-B36)*24,"")</f>
        <v/>
      </c>
      <c r="K36" s="15" t="n"/>
      <c r="L36" s="15" t="n"/>
    </row>
    <row r="37">
      <c r="A37" s="16" t="inlineStr">
        <is>
          <t>DET-0033</t>
        </is>
      </c>
      <c r="B37" s="15" t="n"/>
      <c r="C37" s="15" t="n"/>
      <c r="D37" s="15" t="n"/>
      <c r="E37" s="15" t="n"/>
      <c r="F37" s="15" t="n"/>
      <c r="G37" s="15" t="n"/>
      <c r="H37" s="15" t="n"/>
      <c r="I37" s="15" t="n"/>
      <c r="J37">
        <f>IF(AND(B37&lt;&gt;"",I37&lt;&gt;""),(I37-B37)*24,"")</f>
        <v/>
      </c>
      <c r="K37" s="15" t="n"/>
      <c r="L37" s="15" t="n"/>
    </row>
    <row r="38">
      <c r="A38" s="16" t="inlineStr">
        <is>
          <t>DET-0034</t>
        </is>
      </c>
      <c r="B38" s="15" t="n"/>
      <c r="C38" s="15" t="n"/>
      <c r="D38" s="15" t="n"/>
      <c r="E38" s="15" t="n"/>
      <c r="F38" s="15" t="n"/>
      <c r="G38" s="15" t="n"/>
      <c r="H38" s="15" t="n"/>
      <c r="I38" s="15" t="n"/>
      <c r="J38">
        <f>IF(AND(B38&lt;&gt;"",I38&lt;&gt;""),(I38-B38)*24,"")</f>
        <v/>
      </c>
      <c r="K38" s="15" t="n"/>
      <c r="L38" s="15" t="n"/>
    </row>
    <row r="39">
      <c r="A39" s="16" t="inlineStr">
        <is>
          <t>DET-0035</t>
        </is>
      </c>
      <c r="B39" s="15" t="n"/>
      <c r="C39" s="15" t="n"/>
      <c r="D39" s="15" t="n"/>
      <c r="E39" s="15" t="n"/>
      <c r="F39" s="15" t="n"/>
      <c r="G39" s="15" t="n"/>
      <c r="H39" s="15" t="n"/>
      <c r="I39" s="15" t="n"/>
      <c r="J39">
        <f>IF(AND(B39&lt;&gt;"",I39&lt;&gt;""),(I39-B39)*24,"")</f>
        <v/>
      </c>
      <c r="K39" s="15" t="n"/>
      <c r="L39" s="15" t="n"/>
    </row>
    <row r="40">
      <c r="A40" s="16" t="inlineStr">
        <is>
          <t>DET-0036</t>
        </is>
      </c>
      <c r="B40" s="15" t="n"/>
      <c r="C40" s="15" t="n"/>
      <c r="D40" s="15" t="n"/>
      <c r="E40" s="15" t="n"/>
      <c r="F40" s="15" t="n"/>
      <c r="G40" s="15" t="n"/>
      <c r="H40" s="15" t="n"/>
      <c r="I40" s="15" t="n"/>
      <c r="J40">
        <f>IF(AND(B40&lt;&gt;"",I40&lt;&gt;""),(I40-B40)*24,"")</f>
        <v/>
      </c>
      <c r="K40" s="15" t="n"/>
      <c r="L40" s="15" t="n"/>
    </row>
    <row r="41">
      <c r="A41" s="16" t="inlineStr">
        <is>
          <t>DET-0037</t>
        </is>
      </c>
      <c r="B41" s="15" t="n"/>
      <c r="C41" s="15" t="n"/>
      <c r="D41" s="15" t="n"/>
      <c r="E41" s="15" t="n"/>
      <c r="F41" s="15" t="n"/>
      <c r="G41" s="15" t="n"/>
      <c r="H41" s="15" t="n"/>
      <c r="I41" s="15" t="n"/>
      <c r="J41">
        <f>IF(AND(B41&lt;&gt;"",I41&lt;&gt;""),(I41-B41)*24,"")</f>
        <v/>
      </c>
      <c r="K41" s="15" t="n"/>
      <c r="L41" s="15" t="n"/>
    </row>
    <row r="42">
      <c r="A42" s="16" t="inlineStr">
        <is>
          <t>DET-0038</t>
        </is>
      </c>
      <c r="B42" s="15" t="n"/>
      <c r="C42" s="15" t="n"/>
      <c r="D42" s="15" t="n"/>
      <c r="E42" s="15" t="n"/>
      <c r="F42" s="15" t="n"/>
      <c r="G42" s="15" t="n"/>
      <c r="H42" s="15" t="n"/>
      <c r="I42" s="15" t="n"/>
      <c r="J42">
        <f>IF(AND(B42&lt;&gt;"",I42&lt;&gt;""),(I42-B42)*24,"")</f>
        <v/>
      </c>
      <c r="K42" s="15" t="n"/>
      <c r="L42" s="15" t="n"/>
    </row>
    <row r="43">
      <c r="A43" s="16" t="inlineStr">
        <is>
          <t>DET-0039</t>
        </is>
      </c>
      <c r="B43" s="15" t="n"/>
      <c r="C43" s="15" t="n"/>
      <c r="D43" s="15" t="n"/>
      <c r="E43" s="15" t="n"/>
      <c r="F43" s="15" t="n"/>
      <c r="G43" s="15" t="n"/>
      <c r="H43" s="15" t="n"/>
      <c r="I43" s="15" t="n"/>
      <c r="J43">
        <f>IF(AND(B43&lt;&gt;"",I43&lt;&gt;""),(I43-B43)*24,"")</f>
        <v/>
      </c>
      <c r="K43" s="15" t="n"/>
      <c r="L43" s="15" t="n"/>
    </row>
    <row r="44">
      <c r="A44" s="16" t="inlineStr">
        <is>
          <t>DET-0040</t>
        </is>
      </c>
      <c r="B44" s="15" t="n"/>
      <c r="C44" s="15" t="n"/>
      <c r="D44" s="15" t="n"/>
      <c r="E44" s="15" t="n"/>
      <c r="F44" s="15" t="n"/>
      <c r="G44" s="15" t="n"/>
      <c r="H44" s="15" t="n"/>
      <c r="I44" s="15" t="n"/>
      <c r="J44">
        <f>IF(AND(B44&lt;&gt;"",I44&lt;&gt;""),(I44-B44)*24,"")</f>
        <v/>
      </c>
      <c r="K44" s="15" t="n"/>
      <c r="L44" s="15" t="n"/>
    </row>
    <row r="45">
      <c r="A45" s="16" t="inlineStr">
        <is>
          <t>DET-0041</t>
        </is>
      </c>
      <c r="B45" s="15" t="n"/>
      <c r="C45" s="15" t="n"/>
      <c r="D45" s="15" t="n"/>
      <c r="E45" s="15" t="n"/>
      <c r="F45" s="15" t="n"/>
      <c r="G45" s="15" t="n"/>
      <c r="H45" s="15" t="n"/>
      <c r="I45" s="15" t="n"/>
      <c r="J45">
        <f>IF(AND(B45&lt;&gt;"",I45&lt;&gt;""),(I45-B45)*24,"")</f>
        <v/>
      </c>
      <c r="K45" s="15" t="n"/>
      <c r="L45" s="15" t="n"/>
    </row>
    <row r="46">
      <c r="A46" s="16" t="inlineStr">
        <is>
          <t>DET-0042</t>
        </is>
      </c>
      <c r="B46" s="15" t="n"/>
      <c r="C46" s="15" t="n"/>
      <c r="D46" s="15" t="n"/>
      <c r="E46" s="15" t="n"/>
      <c r="F46" s="15" t="n"/>
      <c r="G46" s="15" t="n"/>
      <c r="H46" s="15" t="n"/>
      <c r="I46" s="15" t="n"/>
      <c r="J46">
        <f>IF(AND(B46&lt;&gt;"",I46&lt;&gt;""),(I46-B46)*24,"")</f>
        <v/>
      </c>
      <c r="K46" s="15" t="n"/>
      <c r="L46" s="15" t="n"/>
    </row>
    <row r="47">
      <c r="A47" s="16" t="inlineStr">
        <is>
          <t>DET-0043</t>
        </is>
      </c>
      <c r="B47" s="15" t="n"/>
      <c r="C47" s="15" t="n"/>
      <c r="D47" s="15" t="n"/>
      <c r="E47" s="15" t="n"/>
      <c r="F47" s="15" t="n"/>
      <c r="G47" s="15" t="n"/>
      <c r="H47" s="15" t="n"/>
      <c r="I47" s="15" t="n"/>
      <c r="J47">
        <f>IF(AND(B47&lt;&gt;"",I47&lt;&gt;""),(I47-B47)*24,"")</f>
        <v/>
      </c>
      <c r="K47" s="15" t="n"/>
      <c r="L47" s="15" t="n"/>
    </row>
    <row r="48">
      <c r="A48" s="16" t="inlineStr">
        <is>
          <t>DET-0044</t>
        </is>
      </c>
      <c r="B48" s="15" t="n"/>
      <c r="C48" s="15" t="n"/>
      <c r="D48" s="15" t="n"/>
      <c r="E48" s="15" t="n"/>
      <c r="F48" s="15" t="n"/>
      <c r="G48" s="15" t="n"/>
      <c r="H48" s="15" t="n"/>
      <c r="I48" s="15" t="n"/>
      <c r="J48">
        <f>IF(AND(B48&lt;&gt;"",I48&lt;&gt;""),(I48-B48)*24,"")</f>
        <v/>
      </c>
      <c r="K48" s="15" t="n"/>
      <c r="L48" s="15" t="n"/>
    </row>
    <row r="49">
      <c r="A49" s="16" t="inlineStr">
        <is>
          <t>DET-0045</t>
        </is>
      </c>
      <c r="B49" s="15" t="n"/>
      <c r="C49" s="15" t="n"/>
      <c r="D49" s="15" t="n"/>
      <c r="E49" s="15" t="n"/>
      <c r="F49" s="15" t="n"/>
      <c r="G49" s="15" t="n"/>
      <c r="H49" s="15" t="n"/>
      <c r="I49" s="15" t="n"/>
      <c r="J49">
        <f>IF(AND(B49&lt;&gt;"",I49&lt;&gt;""),(I49-B49)*24,"")</f>
        <v/>
      </c>
      <c r="K49" s="15" t="n"/>
      <c r="L49" s="15" t="n"/>
    </row>
    <row r="50">
      <c r="A50" s="16" t="inlineStr">
        <is>
          <t>DET-0046</t>
        </is>
      </c>
      <c r="B50" s="15" t="n"/>
      <c r="C50" s="15" t="n"/>
      <c r="D50" s="15" t="n"/>
      <c r="E50" s="15" t="n"/>
      <c r="F50" s="15" t="n"/>
      <c r="G50" s="15" t="n"/>
      <c r="H50" s="15" t="n"/>
      <c r="I50" s="15" t="n"/>
      <c r="J50">
        <f>IF(AND(B50&lt;&gt;"",I50&lt;&gt;""),(I50-B50)*24,"")</f>
        <v/>
      </c>
      <c r="K50" s="15" t="n"/>
      <c r="L50" s="15" t="n"/>
    </row>
    <row r="51">
      <c r="A51" s="16" t="inlineStr">
        <is>
          <t>DET-0047</t>
        </is>
      </c>
      <c r="B51" s="15" t="n"/>
      <c r="C51" s="15" t="n"/>
      <c r="D51" s="15" t="n"/>
      <c r="E51" s="15" t="n"/>
      <c r="F51" s="15" t="n"/>
      <c r="G51" s="15" t="n"/>
      <c r="H51" s="15" t="n"/>
      <c r="I51" s="15" t="n"/>
      <c r="J51">
        <f>IF(AND(B51&lt;&gt;"",I51&lt;&gt;""),(I51-B51)*24,"")</f>
        <v/>
      </c>
      <c r="K51" s="15" t="n"/>
      <c r="L51" s="15" t="n"/>
    </row>
    <row r="52">
      <c r="A52" s="16" t="inlineStr">
        <is>
          <t>DET-0048</t>
        </is>
      </c>
      <c r="B52" s="15" t="n"/>
      <c r="C52" s="15" t="n"/>
      <c r="D52" s="15" t="n"/>
      <c r="E52" s="15" t="n"/>
      <c r="F52" s="15" t="n"/>
      <c r="G52" s="15" t="n"/>
      <c r="H52" s="15" t="n"/>
      <c r="I52" s="15" t="n"/>
      <c r="J52">
        <f>IF(AND(B52&lt;&gt;"",I52&lt;&gt;""),(I52-B52)*24,"")</f>
        <v/>
      </c>
      <c r="K52" s="15" t="n"/>
      <c r="L52" s="15" t="n"/>
    </row>
    <row r="53">
      <c r="A53" s="16" t="inlineStr">
        <is>
          <t>DET-0049</t>
        </is>
      </c>
      <c r="B53" s="15" t="n"/>
      <c r="C53" s="15" t="n"/>
      <c r="D53" s="15" t="n"/>
      <c r="E53" s="15" t="n"/>
      <c r="F53" s="15" t="n"/>
      <c r="G53" s="15" t="n"/>
      <c r="H53" s="15" t="n"/>
      <c r="I53" s="15" t="n"/>
      <c r="J53">
        <f>IF(AND(B53&lt;&gt;"",I53&lt;&gt;""),(I53-B53)*24,"")</f>
        <v/>
      </c>
      <c r="K53" s="15" t="n"/>
      <c r="L53" s="15" t="n"/>
    </row>
    <row r="54">
      <c r="A54" s="16" t="inlineStr">
        <is>
          <t>DET-0050</t>
        </is>
      </c>
      <c r="B54" s="15" t="n"/>
      <c r="C54" s="15" t="n"/>
      <c r="D54" s="15" t="n"/>
      <c r="E54" s="15" t="n"/>
      <c r="F54" s="15" t="n"/>
      <c r="G54" s="15" t="n"/>
      <c r="H54" s="15" t="n"/>
      <c r="I54" s="15" t="n"/>
      <c r="J54">
        <f>IF(AND(B54&lt;&gt;"",I54&lt;&gt;""),(I54-B54)*24,"")</f>
        <v/>
      </c>
      <c r="K54" s="15" t="n"/>
      <c r="L54" s="15" t="n"/>
    </row>
    <row r="55">
      <c r="A55" s="16" t="inlineStr">
        <is>
          <t>DET-0051</t>
        </is>
      </c>
      <c r="B55" s="15" t="n"/>
      <c r="C55" s="15" t="n"/>
      <c r="D55" s="15" t="n"/>
      <c r="E55" s="15" t="n"/>
      <c r="F55" s="15" t="n"/>
      <c r="G55" s="15" t="n"/>
      <c r="H55" s="15" t="n"/>
      <c r="I55" s="15" t="n"/>
      <c r="J55">
        <f>IF(AND(B55&lt;&gt;"",I55&lt;&gt;""),(I55-B55)*24,"")</f>
        <v/>
      </c>
      <c r="K55" s="15" t="n"/>
      <c r="L55" s="15" t="n"/>
    </row>
    <row r="56">
      <c r="A56" s="16" t="inlineStr">
        <is>
          <t>DET-0052</t>
        </is>
      </c>
      <c r="B56" s="15" t="n"/>
      <c r="C56" s="15" t="n"/>
      <c r="D56" s="15" t="n"/>
      <c r="E56" s="15" t="n"/>
      <c r="F56" s="15" t="n"/>
      <c r="G56" s="15" t="n"/>
      <c r="H56" s="15" t="n"/>
      <c r="I56" s="15" t="n"/>
      <c r="J56">
        <f>IF(AND(B56&lt;&gt;"",I56&lt;&gt;""),(I56-B56)*24,"")</f>
        <v/>
      </c>
      <c r="K56" s="15" t="n"/>
      <c r="L56" s="15" t="n"/>
    </row>
    <row r="57">
      <c r="A57" s="16" t="inlineStr">
        <is>
          <t>DET-0053</t>
        </is>
      </c>
      <c r="B57" s="15" t="n"/>
      <c r="C57" s="15" t="n"/>
      <c r="D57" s="15" t="n"/>
      <c r="E57" s="15" t="n"/>
      <c r="F57" s="15" t="n"/>
      <c r="G57" s="15" t="n"/>
      <c r="H57" s="15" t="n"/>
      <c r="I57" s="15" t="n"/>
      <c r="J57">
        <f>IF(AND(B57&lt;&gt;"",I57&lt;&gt;""),(I57-B57)*24,"")</f>
        <v/>
      </c>
      <c r="K57" s="15" t="n"/>
      <c r="L57" s="15" t="n"/>
    </row>
    <row r="58">
      <c r="A58" s="16" t="inlineStr">
        <is>
          <t>DET-0054</t>
        </is>
      </c>
      <c r="B58" s="15" t="n"/>
      <c r="C58" s="15" t="n"/>
      <c r="D58" s="15" t="n"/>
      <c r="E58" s="15" t="n"/>
      <c r="F58" s="15" t="n"/>
      <c r="G58" s="15" t="n"/>
      <c r="H58" s="15" t="n"/>
      <c r="I58" s="15" t="n"/>
      <c r="J58">
        <f>IF(AND(B58&lt;&gt;"",I58&lt;&gt;""),(I58-B58)*24,"")</f>
        <v/>
      </c>
      <c r="K58" s="15" t="n"/>
      <c r="L58" s="15" t="n"/>
    </row>
    <row r="59">
      <c r="A59" s="16" t="inlineStr">
        <is>
          <t>DET-0055</t>
        </is>
      </c>
      <c r="B59" s="15" t="n"/>
      <c r="C59" s="15" t="n"/>
      <c r="D59" s="15" t="n"/>
      <c r="E59" s="15" t="n"/>
      <c r="F59" s="15" t="n"/>
      <c r="G59" s="15" t="n"/>
      <c r="H59" s="15" t="n"/>
      <c r="I59" s="15" t="n"/>
      <c r="J59">
        <f>IF(AND(B59&lt;&gt;"",I59&lt;&gt;""),(I59-B59)*24,"")</f>
        <v/>
      </c>
      <c r="K59" s="15" t="n"/>
      <c r="L59" s="15" t="n"/>
    </row>
    <row r="60">
      <c r="A60" s="16" t="inlineStr">
        <is>
          <t>DET-0056</t>
        </is>
      </c>
      <c r="B60" s="15" t="n"/>
      <c r="C60" s="15" t="n"/>
      <c r="D60" s="15" t="n"/>
      <c r="E60" s="15" t="n"/>
      <c r="F60" s="15" t="n"/>
      <c r="G60" s="15" t="n"/>
      <c r="H60" s="15" t="n"/>
      <c r="I60" s="15" t="n"/>
      <c r="J60">
        <f>IF(AND(B60&lt;&gt;"",I60&lt;&gt;""),(I60-B60)*24,"")</f>
        <v/>
      </c>
      <c r="K60" s="15" t="n"/>
      <c r="L60" s="15" t="n"/>
    </row>
    <row r="61">
      <c r="A61" s="16" t="inlineStr">
        <is>
          <t>DET-0057</t>
        </is>
      </c>
      <c r="B61" s="15" t="n"/>
      <c r="C61" s="15" t="n"/>
      <c r="D61" s="15" t="n"/>
      <c r="E61" s="15" t="n"/>
      <c r="F61" s="15" t="n"/>
      <c r="G61" s="15" t="n"/>
      <c r="H61" s="15" t="n"/>
      <c r="I61" s="15" t="n"/>
      <c r="J61">
        <f>IF(AND(B61&lt;&gt;"",I61&lt;&gt;""),(I61-B61)*24,"")</f>
        <v/>
      </c>
      <c r="K61" s="15" t="n"/>
      <c r="L61" s="15" t="n"/>
    </row>
    <row r="62">
      <c r="A62" s="16" t="inlineStr">
        <is>
          <t>DET-0058</t>
        </is>
      </c>
      <c r="B62" s="15" t="n"/>
      <c r="C62" s="15" t="n"/>
      <c r="D62" s="15" t="n"/>
      <c r="E62" s="15" t="n"/>
      <c r="F62" s="15" t="n"/>
      <c r="G62" s="15" t="n"/>
      <c r="H62" s="15" t="n"/>
      <c r="I62" s="15" t="n"/>
      <c r="J62">
        <f>IF(AND(B62&lt;&gt;"",I62&lt;&gt;""),(I62-B62)*24,"")</f>
        <v/>
      </c>
      <c r="K62" s="15" t="n"/>
      <c r="L62" s="15" t="n"/>
    </row>
    <row r="63">
      <c r="A63" s="16" t="inlineStr">
        <is>
          <t>DET-0059</t>
        </is>
      </c>
      <c r="B63" s="15" t="n"/>
      <c r="C63" s="15" t="n"/>
      <c r="D63" s="15" t="n"/>
      <c r="E63" s="15" t="n"/>
      <c r="F63" s="15" t="n"/>
      <c r="G63" s="15" t="n"/>
      <c r="H63" s="15" t="n"/>
      <c r="I63" s="15" t="n"/>
      <c r="J63">
        <f>IF(AND(B63&lt;&gt;"",I63&lt;&gt;""),(I63-B63)*24,"")</f>
        <v/>
      </c>
      <c r="K63" s="15" t="n"/>
      <c r="L63" s="15" t="n"/>
    </row>
    <row r="64">
      <c r="A64" s="16" t="inlineStr">
        <is>
          <t>DET-0060</t>
        </is>
      </c>
      <c r="B64" s="15" t="n"/>
      <c r="C64" s="15" t="n"/>
      <c r="D64" s="15" t="n"/>
      <c r="E64" s="15" t="n"/>
      <c r="F64" s="15" t="n"/>
      <c r="G64" s="15" t="n"/>
      <c r="H64" s="15" t="n"/>
      <c r="I64" s="15" t="n"/>
      <c r="J64">
        <f>IF(AND(B64&lt;&gt;"",I64&lt;&gt;""),(I64-B64)*24,"")</f>
        <v/>
      </c>
      <c r="K64" s="15" t="n"/>
      <c r="L64" s="15" t="n"/>
    </row>
    <row r="65">
      <c r="A65" s="16" t="inlineStr">
        <is>
          <t>DET-0061</t>
        </is>
      </c>
      <c r="B65" s="15" t="n"/>
      <c r="C65" s="15" t="n"/>
      <c r="D65" s="15" t="n"/>
      <c r="E65" s="15" t="n"/>
      <c r="F65" s="15" t="n"/>
      <c r="G65" s="15" t="n"/>
      <c r="H65" s="15" t="n"/>
      <c r="I65" s="15" t="n"/>
      <c r="J65">
        <f>IF(AND(B65&lt;&gt;"",I65&lt;&gt;""),(I65-B65)*24,"")</f>
        <v/>
      </c>
      <c r="K65" s="15" t="n"/>
      <c r="L65" s="15" t="n"/>
    </row>
    <row r="66">
      <c r="A66" s="16" t="inlineStr">
        <is>
          <t>DET-0062</t>
        </is>
      </c>
      <c r="B66" s="15" t="n"/>
      <c r="C66" s="15" t="n"/>
      <c r="D66" s="15" t="n"/>
      <c r="E66" s="15" t="n"/>
      <c r="F66" s="15" t="n"/>
      <c r="G66" s="15" t="n"/>
      <c r="H66" s="15" t="n"/>
      <c r="I66" s="15" t="n"/>
      <c r="J66">
        <f>IF(AND(B66&lt;&gt;"",I66&lt;&gt;""),(I66-B66)*24,"")</f>
        <v/>
      </c>
      <c r="K66" s="15" t="n"/>
      <c r="L66" s="15" t="n"/>
    </row>
    <row r="67">
      <c r="A67" s="16" t="inlineStr">
        <is>
          <t>DET-0063</t>
        </is>
      </c>
      <c r="B67" s="15" t="n"/>
      <c r="C67" s="15" t="n"/>
      <c r="D67" s="15" t="n"/>
      <c r="E67" s="15" t="n"/>
      <c r="F67" s="15" t="n"/>
      <c r="G67" s="15" t="n"/>
      <c r="H67" s="15" t="n"/>
      <c r="I67" s="15" t="n"/>
      <c r="J67">
        <f>IF(AND(B67&lt;&gt;"",I67&lt;&gt;""),(I67-B67)*24,"")</f>
        <v/>
      </c>
      <c r="K67" s="15" t="n"/>
      <c r="L67" s="15" t="n"/>
    </row>
    <row r="68">
      <c r="A68" s="16" t="inlineStr">
        <is>
          <t>DET-0064</t>
        </is>
      </c>
      <c r="B68" s="15" t="n"/>
      <c r="C68" s="15" t="n"/>
      <c r="D68" s="15" t="n"/>
      <c r="E68" s="15" t="n"/>
      <c r="F68" s="15" t="n"/>
      <c r="G68" s="15" t="n"/>
      <c r="H68" s="15" t="n"/>
      <c r="I68" s="15" t="n"/>
      <c r="J68">
        <f>IF(AND(B68&lt;&gt;"",I68&lt;&gt;""),(I68-B68)*24,"")</f>
        <v/>
      </c>
      <c r="K68" s="15" t="n"/>
      <c r="L68" s="15" t="n"/>
    </row>
    <row r="69">
      <c r="A69" s="16" t="inlineStr">
        <is>
          <t>DET-0065</t>
        </is>
      </c>
      <c r="B69" s="15" t="n"/>
      <c r="C69" s="15" t="n"/>
      <c r="D69" s="15" t="n"/>
      <c r="E69" s="15" t="n"/>
      <c r="F69" s="15" t="n"/>
      <c r="G69" s="15" t="n"/>
      <c r="H69" s="15" t="n"/>
      <c r="I69" s="15" t="n"/>
      <c r="J69">
        <f>IF(AND(B69&lt;&gt;"",I69&lt;&gt;""),(I69-B69)*24,"")</f>
        <v/>
      </c>
      <c r="K69" s="15" t="n"/>
      <c r="L69" s="15" t="n"/>
    </row>
    <row r="70">
      <c r="A70" s="16" t="inlineStr">
        <is>
          <t>DET-0066</t>
        </is>
      </c>
      <c r="B70" s="15" t="n"/>
      <c r="C70" s="15" t="n"/>
      <c r="D70" s="15" t="n"/>
      <c r="E70" s="15" t="n"/>
      <c r="F70" s="15" t="n"/>
      <c r="G70" s="15" t="n"/>
      <c r="H70" s="15" t="n"/>
      <c r="I70" s="15" t="n"/>
      <c r="J70">
        <f>IF(AND(B70&lt;&gt;"",I70&lt;&gt;""),(I70-B70)*24,"")</f>
        <v/>
      </c>
      <c r="K70" s="15" t="n"/>
      <c r="L70" s="15" t="n"/>
    </row>
    <row r="71">
      <c r="A71" s="16" t="inlineStr">
        <is>
          <t>DET-0067</t>
        </is>
      </c>
      <c r="B71" s="15" t="n"/>
      <c r="C71" s="15" t="n"/>
      <c r="D71" s="15" t="n"/>
      <c r="E71" s="15" t="n"/>
      <c r="F71" s="15" t="n"/>
      <c r="G71" s="15" t="n"/>
      <c r="H71" s="15" t="n"/>
      <c r="I71" s="15" t="n"/>
      <c r="J71">
        <f>IF(AND(B71&lt;&gt;"",I71&lt;&gt;""),(I71-B71)*24,"")</f>
        <v/>
      </c>
      <c r="K71" s="15" t="n"/>
      <c r="L71" s="15" t="n"/>
    </row>
    <row r="72">
      <c r="A72" s="16" t="inlineStr">
        <is>
          <t>DET-0068</t>
        </is>
      </c>
      <c r="B72" s="15" t="n"/>
      <c r="C72" s="15" t="n"/>
      <c r="D72" s="15" t="n"/>
      <c r="E72" s="15" t="n"/>
      <c r="F72" s="15" t="n"/>
      <c r="G72" s="15" t="n"/>
      <c r="H72" s="15" t="n"/>
      <c r="I72" s="15" t="n"/>
      <c r="J72">
        <f>IF(AND(B72&lt;&gt;"",I72&lt;&gt;""),(I72-B72)*24,"")</f>
        <v/>
      </c>
      <c r="K72" s="15" t="n"/>
      <c r="L72" s="15" t="n"/>
    </row>
    <row r="73">
      <c r="A73" s="16" t="inlineStr">
        <is>
          <t>DET-0069</t>
        </is>
      </c>
      <c r="B73" s="15" t="n"/>
      <c r="C73" s="15" t="n"/>
      <c r="D73" s="15" t="n"/>
      <c r="E73" s="15" t="n"/>
      <c r="F73" s="15" t="n"/>
      <c r="G73" s="15" t="n"/>
      <c r="H73" s="15" t="n"/>
      <c r="I73" s="15" t="n"/>
      <c r="J73">
        <f>IF(AND(B73&lt;&gt;"",I73&lt;&gt;""),(I73-B73)*24,"")</f>
        <v/>
      </c>
      <c r="K73" s="15" t="n"/>
      <c r="L73" s="15" t="n"/>
    </row>
    <row r="74">
      <c r="A74" s="16" t="inlineStr">
        <is>
          <t>DET-0070</t>
        </is>
      </c>
      <c r="B74" s="15" t="n"/>
      <c r="C74" s="15" t="n"/>
      <c r="D74" s="15" t="n"/>
      <c r="E74" s="15" t="n"/>
      <c r="F74" s="15" t="n"/>
      <c r="G74" s="15" t="n"/>
      <c r="H74" s="15" t="n"/>
      <c r="I74" s="15" t="n"/>
      <c r="J74">
        <f>IF(AND(B74&lt;&gt;"",I74&lt;&gt;""),(I74-B74)*24,"")</f>
        <v/>
      </c>
      <c r="K74" s="15" t="n"/>
      <c r="L74" s="15" t="n"/>
    </row>
    <row r="75">
      <c r="A75" s="16" t="inlineStr">
        <is>
          <t>DET-0071</t>
        </is>
      </c>
      <c r="B75" s="15" t="n"/>
      <c r="C75" s="15" t="n"/>
      <c r="D75" s="15" t="n"/>
      <c r="E75" s="15" t="n"/>
      <c r="F75" s="15" t="n"/>
      <c r="G75" s="15" t="n"/>
      <c r="H75" s="15" t="n"/>
      <c r="I75" s="15" t="n"/>
      <c r="J75">
        <f>IF(AND(B75&lt;&gt;"",I75&lt;&gt;""),(I75-B75)*24,"")</f>
        <v/>
      </c>
      <c r="K75" s="15" t="n"/>
      <c r="L75" s="15" t="n"/>
    </row>
    <row r="76">
      <c r="A76" s="16" t="inlineStr">
        <is>
          <t>DET-0072</t>
        </is>
      </c>
      <c r="B76" s="15" t="n"/>
      <c r="C76" s="15" t="n"/>
      <c r="D76" s="15" t="n"/>
      <c r="E76" s="15" t="n"/>
      <c r="F76" s="15" t="n"/>
      <c r="G76" s="15" t="n"/>
      <c r="H76" s="15" t="n"/>
      <c r="I76" s="15" t="n"/>
      <c r="J76">
        <f>IF(AND(B76&lt;&gt;"",I76&lt;&gt;""),(I76-B76)*24,"")</f>
        <v/>
      </c>
      <c r="K76" s="15" t="n"/>
      <c r="L76" s="15" t="n"/>
    </row>
    <row r="77">
      <c r="A77" s="16" t="inlineStr">
        <is>
          <t>DET-0073</t>
        </is>
      </c>
      <c r="B77" s="15" t="n"/>
      <c r="C77" s="15" t="n"/>
      <c r="D77" s="15" t="n"/>
      <c r="E77" s="15" t="n"/>
      <c r="F77" s="15" t="n"/>
      <c r="G77" s="15" t="n"/>
      <c r="H77" s="15" t="n"/>
      <c r="I77" s="15" t="n"/>
      <c r="J77">
        <f>IF(AND(B77&lt;&gt;"",I77&lt;&gt;""),(I77-B77)*24,"")</f>
        <v/>
      </c>
      <c r="K77" s="15" t="n"/>
      <c r="L77" s="15" t="n"/>
    </row>
    <row r="78">
      <c r="A78" s="16" t="inlineStr">
        <is>
          <t>DET-0074</t>
        </is>
      </c>
      <c r="B78" s="15" t="n"/>
      <c r="C78" s="15" t="n"/>
      <c r="D78" s="15" t="n"/>
      <c r="E78" s="15" t="n"/>
      <c r="F78" s="15" t="n"/>
      <c r="G78" s="15" t="n"/>
      <c r="H78" s="15" t="n"/>
      <c r="I78" s="15" t="n"/>
      <c r="J78">
        <f>IF(AND(B78&lt;&gt;"",I78&lt;&gt;""),(I78-B78)*24,"")</f>
        <v/>
      </c>
      <c r="K78" s="15" t="n"/>
      <c r="L78" s="15" t="n"/>
    </row>
    <row r="79">
      <c r="A79" s="16" t="inlineStr">
        <is>
          <t>DET-0075</t>
        </is>
      </c>
      <c r="B79" s="15" t="n"/>
      <c r="C79" s="15" t="n"/>
      <c r="D79" s="15" t="n"/>
      <c r="E79" s="15" t="n"/>
      <c r="F79" s="15" t="n"/>
      <c r="G79" s="15" t="n"/>
      <c r="H79" s="15" t="n"/>
      <c r="I79" s="15" t="n"/>
      <c r="J79">
        <f>IF(AND(B79&lt;&gt;"",I79&lt;&gt;""),(I79-B79)*24,"")</f>
        <v/>
      </c>
      <c r="K79" s="15" t="n"/>
      <c r="L79" s="15" t="n"/>
    </row>
    <row r="80">
      <c r="A80" s="16" t="inlineStr">
        <is>
          <t>DET-0076</t>
        </is>
      </c>
      <c r="B80" s="15" t="n"/>
      <c r="C80" s="15" t="n"/>
      <c r="D80" s="15" t="n"/>
      <c r="E80" s="15" t="n"/>
      <c r="F80" s="15" t="n"/>
      <c r="G80" s="15" t="n"/>
      <c r="H80" s="15" t="n"/>
      <c r="I80" s="15" t="n"/>
      <c r="J80">
        <f>IF(AND(B80&lt;&gt;"",I80&lt;&gt;""),(I80-B80)*24,"")</f>
        <v/>
      </c>
      <c r="K80" s="15" t="n"/>
      <c r="L80" s="15" t="n"/>
    </row>
    <row r="81">
      <c r="A81" s="16" t="inlineStr">
        <is>
          <t>DET-0077</t>
        </is>
      </c>
      <c r="B81" s="15" t="n"/>
      <c r="C81" s="15" t="n"/>
      <c r="D81" s="15" t="n"/>
      <c r="E81" s="15" t="n"/>
      <c r="F81" s="15" t="n"/>
      <c r="G81" s="15" t="n"/>
      <c r="H81" s="15" t="n"/>
      <c r="I81" s="15" t="n"/>
      <c r="J81">
        <f>IF(AND(B81&lt;&gt;"",I81&lt;&gt;""),(I81-B81)*24,"")</f>
        <v/>
      </c>
      <c r="K81" s="15" t="n"/>
      <c r="L81" s="15" t="n"/>
    </row>
    <row r="82">
      <c r="A82" s="16" t="inlineStr">
        <is>
          <t>DET-0078</t>
        </is>
      </c>
      <c r="B82" s="15" t="n"/>
      <c r="C82" s="15" t="n"/>
      <c r="D82" s="15" t="n"/>
      <c r="E82" s="15" t="n"/>
      <c r="F82" s="15" t="n"/>
      <c r="G82" s="15" t="n"/>
      <c r="H82" s="15" t="n"/>
      <c r="I82" s="15" t="n"/>
      <c r="J82">
        <f>IF(AND(B82&lt;&gt;"",I82&lt;&gt;""),(I82-B82)*24,"")</f>
        <v/>
      </c>
      <c r="K82" s="15" t="n"/>
      <c r="L82" s="15" t="n"/>
    </row>
    <row r="83">
      <c r="A83" s="16" t="inlineStr">
        <is>
          <t>DET-0079</t>
        </is>
      </c>
      <c r="B83" s="15" t="n"/>
      <c r="C83" s="15" t="n"/>
      <c r="D83" s="15" t="n"/>
      <c r="E83" s="15" t="n"/>
      <c r="F83" s="15" t="n"/>
      <c r="G83" s="15" t="n"/>
      <c r="H83" s="15" t="n"/>
      <c r="I83" s="15" t="n"/>
      <c r="J83">
        <f>IF(AND(B83&lt;&gt;"",I83&lt;&gt;""),(I83-B83)*24,"")</f>
        <v/>
      </c>
      <c r="K83" s="15" t="n"/>
      <c r="L83" s="15" t="n"/>
    </row>
    <row r="84">
      <c r="A84" s="16" t="inlineStr">
        <is>
          <t>DET-0080</t>
        </is>
      </c>
      <c r="B84" s="15" t="n"/>
      <c r="C84" s="15" t="n"/>
      <c r="D84" s="15" t="n"/>
      <c r="E84" s="15" t="n"/>
      <c r="F84" s="15" t="n"/>
      <c r="G84" s="15" t="n"/>
      <c r="H84" s="15" t="n"/>
      <c r="I84" s="15" t="n"/>
      <c r="J84">
        <f>IF(AND(B84&lt;&gt;"",I84&lt;&gt;""),(I84-B84)*24,"")</f>
        <v/>
      </c>
      <c r="K84" s="15" t="n"/>
      <c r="L84" s="15" t="n"/>
    </row>
    <row r="85">
      <c r="A85" s="16" t="inlineStr">
        <is>
          <t>DET-0081</t>
        </is>
      </c>
      <c r="B85" s="15" t="n"/>
      <c r="C85" s="15" t="n"/>
      <c r="D85" s="15" t="n"/>
      <c r="E85" s="15" t="n"/>
      <c r="F85" s="15" t="n"/>
      <c r="G85" s="15" t="n"/>
      <c r="H85" s="15" t="n"/>
      <c r="I85" s="15" t="n"/>
      <c r="J85">
        <f>IF(AND(B85&lt;&gt;"",I85&lt;&gt;""),(I85-B85)*24,"")</f>
        <v/>
      </c>
      <c r="K85" s="15" t="n"/>
      <c r="L85" s="15" t="n"/>
    </row>
    <row r="86">
      <c r="A86" s="16" t="inlineStr">
        <is>
          <t>DET-0082</t>
        </is>
      </c>
      <c r="B86" s="15" t="n"/>
      <c r="C86" s="15" t="n"/>
      <c r="D86" s="15" t="n"/>
      <c r="E86" s="15" t="n"/>
      <c r="F86" s="15" t="n"/>
      <c r="G86" s="15" t="n"/>
      <c r="H86" s="15" t="n"/>
      <c r="I86" s="15" t="n"/>
      <c r="J86">
        <f>IF(AND(B86&lt;&gt;"",I86&lt;&gt;""),(I86-B86)*24,"")</f>
        <v/>
      </c>
      <c r="K86" s="15" t="n"/>
      <c r="L86" s="15" t="n"/>
    </row>
    <row r="87">
      <c r="A87" s="16" t="inlineStr">
        <is>
          <t>DET-0083</t>
        </is>
      </c>
      <c r="B87" s="15" t="n"/>
      <c r="C87" s="15" t="n"/>
      <c r="D87" s="15" t="n"/>
      <c r="E87" s="15" t="n"/>
      <c r="F87" s="15" t="n"/>
      <c r="G87" s="15" t="n"/>
      <c r="H87" s="15" t="n"/>
      <c r="I87" s="15" t="n"/>
      <c r="J87">
        <f>IF(AND(B87&lt;&gt;"",I87&lt;&gt;""),(I87-B87)*24,"")</f>
        <v/>
      </c>
      <c r="K87" s="15" t="n"/>
      <c r="L87" s="15" t="n"/>
    </row>
    <row r="88">
      <c r="A88" s="16" t="inlineStr">
        <is>
          <t>DET-0084</t>
        </is>
      </c>
      <c r="B88" s="15" t="n"/>
      <c r="C88" s="15" t="n"/>
      <c r="D88" s="15" t="n"/>
      <c r="E88" s="15" t="n"/>
      <c r="F88" s="15" t="n"/>
      <c r="G88" s="15" t="n"/>
      <c r="H88" s="15" t="n"/>
      <c r="I88" s="15" t="n"/>
      <c r="J88">
        <f>IF(AND(B88&lt;&gt;"",I88&lt;&gt;""),(I88-B88)*24,"")</f>
        <v/>
      </c>
      <c r="K88" s="15" t="n"/>
      <c r="L88" s="15" t="n"/>
    </row>
    <row r="89">
      <c r="A89" s="16" t="inlineStr">
        <is>
          <t>DET-0085</t>
        </is>
      </c>
      <c r="B89" s="15" t="n"/>
      <c r="C89" s="15" t="n"/>
      <c r="D89" s="15" t="n"/>
      <c r="E89" s="15" t="n"/>
      <c r="F89" s="15" t="n"/>
      <c r="G89" s="15" t="n"/>
      <c r="H89" s="15" t="n"/>
      <c r="I89" s="15" t="n"/>
      <c r="J89">
        <f>IF(AND(B89&lt;&gt;"",I89&lt;&gt;""),(I89-B89)*24,"")</f>
        <v/>
      </c>
      <c r="K89" s="15" t="n"/>
      <c r="L89" s="15" t="n"/>
    </row>
    <row r="90">
      <c r="A90" s="16" t="inlineStr">
        <is>
          <t>DET-0086</t>
        </is>
      </c>
      <c r="B90" s="15" t="n"/>
      <c r="C90" s="15" t="n"/>
      <c r="D90" s="15" t="n"/>
      <c r="E90" s="15" t="n"/>
      <c r="F90" s="15" t="n"/>
      <c r="G90" s="15" t="n"/>
      <c r="H90" s="15" t="n"/>
      <c r="I90" s="15" t="n"/>
      <c r="J90">
        <f>IF(AND(B90&lt;&gt;"",I90&lt;&gt;""),(I90-B90)*24,"")</f>
        <v/>
      </c>
      <c r="K90" s="15" t="n"/>
      <c r="L90" s="15" t="n"/>
    </row>
    <row r="91">
      <c r="A91" s="16" t="inlineStr">
        <is>
          <t>DET-0087</t>
        </is>
      </c>
      <c r="B91" s="15" t="n"/>
      <c r="C91" s="15" t="n"/>
      <c r="D91" s="15" t="n"/>
      <c r="E91" s="15" t="n"/>
      <c r="F91" s="15" t="n"/>
      <c r="G91" s="15" t="n"/>
      <c r="H91" s="15" t="n"/>
      <c r="I91" s="15" t="n"/>
      <c r="J91">
        <f>IF(AND(B91&lt;&gt;"",I91&lt;&gt;""),(I91-B91)*24,"")</f>
        <v/>
      </c>
      <c r="K91" s="15" t="n"/>
      <c r="L91" s="15" t="n"/>
    </row>
    <row r="92">
      <c r="A92" s="16" t="inlineStr">
        <is>
          <t>DET-0088</t>
        </is>
      </c>
      <c r="B92" s="15" t="n"/>
      <c r="C92" s="15" t="n"/>
      <c r="D92" s="15" t="n"/>
      <c r="E92" s="15" t="n"/>
      <c r="F92" s="15" t="n"/>
      <c r="G92" s="15" t="n"/>
      <c r="H92" s="15" t="n"/>
      <c r="I92" s="15" t="n"/>
      <c r="J92">
        <f>IF(AND(B92&lt;&gt;"",I92&lt;&gt;""),(I92-B92)*24,"")</f>
        <v/>
      </c>
      <c r="K92" s="15" t="n"/>
      <c r="L92" s="15" t="n"/>
    </row>
    <row r="93">
      <c r="A93" s="16" t="inlineStr">
        <is>
          <t>DET-0089</t>
        </is>
      </c>
      <c r="B93" s="15" t="n"/>
      <c r="C93" s="15" t="n"/>
      <c r="D93" s="15" t="n"/>
      <c r="E93" s="15" t="n"/>
      <c r="F93" s="15" t="n"/>
      <c r="G93" s="15" t="n"/>
      <c r="H93" s="15" t="n"/>
      <c r="I93" s="15" t="n"/>
      <c r="J93">
        <f>IF(AND(B93&lt;&gt;"",I93&lt;&gt;""),(I93-B93)*24,"")</f>
        <v/>
      </c>
      <c r="K93" s="15" t="n"/>
      <c r="L93" s="15" t="n"/>
    </row>
    <row r="94">
      <c r="A94" s="16" t="inlineStr">
        <is>
          <t>DET-0090</t>
        </is>
      </c>
      <c r="B94" s="15" t="n"/>
      <c r="C94" s="15" t="n"/>
      <c r="D94" s="15" t="n"/>
      <c r="E94" s="15" t="n"/>
      <c r="F94" s="15" t="n"/>
      <c r="G94" s="15" t="n"/>
      <c r="H94" s="15" t="n"/>
      <c r="I94" s="15" t="n"/>
      <c r="J94">
        <f>IF(AND(B94&lt;&gt;"",I94&lt;&gt;""),(I94-B94)*24,"")</f>
        <v/>
      </c>
      <c r="K94" s="15" t="n"/>
      <c r="L94" s="15" t="n"/>
    </row>
    <row r="95">
      <c r="A95" s="16" t="inlineStr">
        <is>
          <t>DET-0091</t>
        </is>
      </c>
      <c r="B95" s="15" t="n"/>
      <c r="C95" s="15" t="n"/>
      <c r="D95" s="15" t="n"/>
      <c r="E95" s="15" t="n"/>
      <c r="F95" s="15" t="n"/>
      <c r="G95" s="15" t="n"/>
      <c r="H95" s="15" t="n"/>
      <c r="I95" s="15" t="n"/>
      <c r="J95">
        <f>IF(AND(B95&lt;&gt;"",I95&lt;&gt;""),(I95-B95)*24,"")</f>
        <v/>
      </c>
      <c r="K95" s="15" t="n"/>
      <c r="L95" s="15" t="n"/>
    </row>
    <row r="96">
      <c r="A96" s="16" t="inlineStr">
        <is>
          <t>DET-0092</t>
        </is>
      </c>
      <c r="B96" s="15" t="n"/>
      <c r="C96" s="15" t="n"/>
      <c r="D96" s="15" t="n"/>
      <c r="E96" s="15" t="n"/>
      <c r="F96" s="15" t="n"/>
      <c r="G96" s="15" t="n"/>
      <c r="H96" s="15" t="n"/>
      <c r="I96" s="15" t="n"/>
      <c r="J96">
        <f>IF(AND(B96&lt;&gt;"",I96&lt;&gt;""),(I96-B96)*24,"")</f>
        <v/>
      </c>
      <c r="K96" s="15" t="n"/>
      <c r="L96" s="15" t="n"/>
    </row>
    <row r="97">
      <c r="A97" s="16" t="inlineStr">
        <is>
          <t>DET-0093</t>
        </is>
      </c>
      <c r="B97" s="15" t="n"/>
      <c r="C97" s="15" t="n"/>
      <c r="D97" s="15" t="n"/>
      <c r="E97" s="15" t="n"/>
      <c r="F97" s="15" t="n"/>
      <c r="G97" s="15" t="n"/>
      <c r="H97" s="15" t="n"/>
      <c r="I97" s="15" t="n"/>
      <c r="J97">
        <f>IF(AND(B97&lt;&gt;"",I97&lt;&gt;""),(I97-B97)*24,"")</f>
        <v/>
      </c>
      <c r="K97" s="15" t="n"/>
      <c r="L97" s="15" t="n"/>
    </row>
    <row r="98">
      <c r="A98" s="16" t="inlineStr">
        <is>
          <t>DET-0094</t>
        </is>
      </c>
      <c r="B98" s="15" t="n"/>
      <c r="C98" s="15" t="n"/>
      <c r="D98" s="15" t="n"/>
      <c r="E98" s="15" t="n"/>
      <c r="F98" s="15" t="n"/>
      <c r="G98" s="15" t="n"/>
      <c r="H98" s="15" t="n"/>
      <c r="I98" s="15" t="n"/>
      <c r="J98">
        <f>IF(AND(B98&lt;&gt;"",I98&lt;&gt;""),(I98-B98)*24,"")</f>
        <v/>
      </c>
      <c r="K98" s="15" t="n"/>
      <c r="L98" s="15" t="n"/>
    </row>
    <row r="99">
      <c r="A99" s="16" t="inlineStr">
        <is>
          <t>DET-0095</t>
        </is>
      </c>
      <c r="B99" s="15" t="n"/>
      <c r="C99" s="15" t="n"/>
      <c r="D99" s="15" t="n"/>
      <c r="E99" s="15" t="n"/>
      <c r="F99" s="15" t="n"/>
      <c r="G99" s="15" t="n"/>
      <c r="H99" s="15" t="n"/>
      <c r="I99" s="15" t="n"/>
      <c r="J99">
        <f>IF(AND(B99&lt;&gt;"",I99&lt;&gt;""),(I99-B99)*24,"")</f>
        <v/>
      </c>
      <c r="K99" s="15" t="n"/>
      <c r="L99" s="15" t="n"/>
    </row>
    <row r="100">
      <c r="A100" s="16" t="inlineStr">
        <is>
          <t>DET-0096</t>
        </is>
      </c>
      <c r="B100" s="15" t="n"/>
      <c r="C100" s="15" t="n"/>
      <c r="D100" s="15" t="n"/>
      <c r="E100" s="15" t="n"/>
      <c r="F100" s="15" t="n"/>
      <c r="G100" s="15" t="n"/>
      <c r="H100" s="15" t="n"/>
      <c r="I100" s="15" t="n"/>
      <c r="J100">
        <f>IF(AND(B100&lt;&gt;"",I100&lt;&gt;""),(I100-B100)*24,"")</f>
        <v/>
      </c>
      <c r="K100" s="15" t="n"/>
      <c r="L100" s="15" t="n"/>
    </row>
    <row r="101">
      <c r="A101" s="16" t="inlineStr">
        <is>
          <t>DET-0097</t>
        </is>
      </c>
      <c r="B101" s="15" t="n"/>
      <c r="C101" s="15" t="n"/>
      <c r="D101" s="15" t="n"/>
      <c r="E101" s="15" t="n"/>
      <c r="F101" s="15" t="n"/>
      <c r="G101" s="15" t="n"/>
      <c r="H101" s="15" t="n"/>
      <c r="I101" s="15" t="n"/>
      <c r="J101">
        <f>IF(AND(B101&lt;&gt;"",I101&lt;&gt;""),(I101-B101)*24,"")</f>
        <v/>
      </c>
      <c r="K101" s="15" t="n"/>
      <c r="L101" s="15" t="n"/>
    </row>
    <row r="102">
      <c r="A102" s="16" t="inlineStr">
        <is>
          <t>DET-0098</t>
        </is>
      </c>
      <c r="B102" s="15" t="n"/>
      <c r="C102" s="15" t="n"/>
      <c r="D102" s="15" t="n"/>
      <c r="E102" s="15" t="n"/>
      <c r="F102" s="15" t="n"/>
      <c r="G102" s="15" t="n"/>
      <c r="H102" s="15" t="n"/>
      <c r="I102" s="15" t="n"/>
      <c r="J102">
        <f>IF(AND(B102&lt;&gt;"",I102&lt;&gt;""),(I102-B102)*24,"")</f>
        <v/>
      </c>
      <c r="K102" s="15" t="n"/>
      <c r="L102" s="15" t="n"/>
    </row>
    <row r="103">
      <c r="A103" s="16" t="inlineStr">
        <is>
          <t>DET-0099</t>
        </is>
      </c>
      <c r="B103" s="15" t="n"/>
      <c r="C103" s="15" t="n"/>
      <c r="D103" s="15" t="n"/>
      <c r="E103" s="15" t="n"/>
      <c r="F103" s="15" t="n"/>
      <c r="G103" s="15" t="n"/>
      <c r="H103" s="15" t="n"/>
      <c r="I103" s="15" t="n"/>
      <c r="J103">
        <f>IF(AND(B103&lt;&gt;"",I103&lt;&gt;""),(I103-B103)*24,"")</f>
        <v/>
      </c>
      <c r="K103" s="15" t="n"/>
      <c r="L103" s="15" t="n"/>
    </row>
    <row r="104">
      <c r="A104" s="16" t="inlineStr">
        <is>
          <t>DET-0100</t>
        </is>
      </c>
      <c r="B104" s="15" t="n"/>
      <c r="C104" s="15" t="n"/>
      <c r="D104" s="15" t="n"/>
      <c r="E104" s="15" t="n"/>
      <c r="F104" s="15" t="n"/>
      <c r="G104" s="15" t="n"/>
      <c r="H104" s="15" t="n"/>
      <c r="I104" s="15" t="n"/>
      <c r="J104">
        <f>IF(AND(B104&lt;&gt;"",I104&lt;&gt;""),(I104-B104)*24,"")</f>
        <v/>
      </c>
      <c r="K104" s="15" t="n"/>
      <c r="L104" s="15" t="n"/>
    </row>
    <row r="105">
      <c r="A105" s="16" t="inlineStr">
        <is>
          <t>DET-0101</t>
        </is>
      </c>
      <c r="B105" s="15" t="n"/>
      <c r="C105" s="15" t="n"/>
      <c r="D105" s="15" t="n"/>
      <c r="E105" s="15" t="n"/>
      <c r="F105" s="15" t="n"/>
      <c r="G105" s="15" t="n"/>
      <c r="H105" s="15" t="n"/>
      <c r="I105" s="15" t="n"/>
      <c r="J105">
        <f>IF(AND(B105&lt;&gt;"",I105&lt;&gt;""),(I105-B105)*24,"")</f>
        <v/>
      </c>
      <c r="K105" s="15" t="n"/>
      <c r="L105" s="15" t="n"/>
    </row>
    <row r="108">
      <c r="A108" s="12" t="inlineStr">
        <is>
          <t>[CHART] DETECTION METRICS SUMMARY (Last 90 Days)</t>
        </is>
      </c>
    </row>
    <row r="109">
      <c r="A109" t="inlineStr">
        <is>
          <t>Total Detections:</t>
        </is>
      </c>
      <c r="B109">
        <f>COUNTA(B6:B105)</f>
        <v/>
      </c>
    </row>
    <row r="110">
      <c r="A110" t="inlineStr">
        <is>
          <t>✅ Remediated:</t>
        </is>
      </c>
      <c r="B110">
        <f>COUNTIF(H6:H105,"✅ Remediated")</f>
        <v/>
      </c>
    </row>
    <row r="111">
      <c r="A111" t="inlineStr">
        <is>
          <t>Remediation Success Rate:</t>
        </is>
      </c>
      <c r="B111" s="18">
        <f>IF(B109&gt;0,B110/B109*100,0)&amp;"%"</f>
        <v/>
      </c>
    </row>
    <row r="113">
      <c r="A113" s="16" t="inlineStr">
        <is>
          <t>By Detection Type:</t>
        </is>
      </c>
    </row>
    <row r="114">
      <c r="A114" t="inlineStr">
        <is>
          <t>[VIRUS] Malware:</t>
        </is>
      </c>
      <c r="B114">
        <f>COUNTIF(E6:E105,"[VIRUS] Malware")</f>
        <v/>
      </c>
    </row>
    <row r="115">
      <c r="A115" t="inlineStr">
        <is>
          <t>[PHISH] Phishing:</t>
        </is>
      </c>
      <c r="B115">
        <f>COUNTIF(E6:E105,"[PHISH] Phishing")</f>
        <v/>
      </c>
    </row>
    <row r="116">
      <c r="A116" t="inlineStr">
        <is>
          <t>[WORM] Ransomware:</t>
        </is>
      </c>
      <c r="B116">
        <f>COUNTIF(E6:E105,"[WORM] Ransomware")</f>
        <v/>
      </c>
    </row>
    <row r="117">
      <c r="A117" t="inlineStr">
        <is>
          <t>[SPY] Spyware:</t>
        </is>
      </c>
      <c r="B117">
        <f>COUNTIF(E6:E105,"[SPY] Spyware")</f>
        <v/>
      </c>
    </row>
    <row r="118">
      <c r="A118" t="inlineStr">
        <is>
          <t>⚠ PUA:</t>
        </is>
      </c>
      <c r="B118">
        <f>COUNTIF(E6:E105,"⚠ PUA")</f>
        <v/>
      </c>
    </row>
    <row r="119">
      <c r="A119" t="inlineStr">
        <is>
          <t>Exploit:</t>
        </is>
      </c>
      <c r="B119">
        <f>COUNTIF(E6:E105,"Exploit")</f>
        <v/>
      </c>
    </row>
    <row r="120">
      <c r="A120" t="inlineStr">
        <is>
          <t>[MAIL] Spam:</t>
        </is>
      </c>
      <c r="B120">
        <f>COUNTIF(E6:E105,"[MAIL] Spam")</f>
        <v/>
      </c>
    </row>
    <row r="121">
      <c r="A121" t="inlineStr">
        <is>
          <t>⚿ Blocked:</t>
        </is>
      </c>
      <c r="B121">
        <f>COUNTIF(E6:E105,"⚿ Blocked")</f>
        <v/>
      </c>
    </row>
  </sheetData>
  <mergeCells count="3">
    <mergeCell ref="A2:L2"/>
    <mergeCell ref="A108:D108"/>
    <mergeCell ref="A1:L1"/>
  </mergeCells>
  <dataValidations count="4">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showDropDown="0" showInputMessage="0" showErrorMessage="0" allowBlank="0" type="list">
      <formula1>"Yes,No,N/A"</formula1>
    </dataValidation>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0" type="list">
      <formula1>"Critical,High,Medium,Low"</formula1>
    </dataValidation>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showDropDown="0" showInputMessage="0" showErrorMessage="0" allowBlank="0" type="list">
      <formula1>"[VIRUS] Malware,[PHISH] Phishing,[WORM] Ransomware,[SPY] Spyware,PUA,Exploit,[MAIL] Spam,Blocked,Other"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Remediated,In Progress,Pending,Failed,Reinfection,Unknown"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4"/>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18" customWidth="1" min="4" max="4"/>
    <col width="25"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20" customWidth="1" min="13" max="13"/>
  </cols>
  <sheetData>
    <row r="1" ht="35" customHeight="1">
      <c r="A1" s="11" t="inlineStr">
        <is>
          <t>MALWARE INCIDENT RESPONSE &amp; SLA COMPLIANCE</t>
        </is>
      </c>
    </row>
    <row r="2">
      <c r="A2" s="12" t="inlineStr">
        <is>
          <t>Major malware incidents, response times, SLA compliance, post-incident review</t>
        </is>
      </c>
    </row>
    <row r="4">
      <c r="A4" s="13" t="inlineStr">
        <is>
          <t>Incident ID</t>
        </is>
      </c>
      <c r="B4" s="13" t="inlineStr">
        <is>
          <t>Incident Date</t>
        </is>
      </c>
      <c r="C4" s="13" t="inlineStr">
        <is>
          <t>Severity</t>
        </is>
      </c>
      <c r="D4" s="13" t="inlineStr">
        <is>
          <t>Affected Devices</t>
        </is>
      </c>
      <c r="E4" s="13" t="inlineStr">
        <is>
          <t>Incident Type</t>
        </is>
      </c>
      <c r="F4" s="13" t="inlineStr">
        <is>
          <t>Investigation Time (H)</t>
        </is>
      </c>
      <c r="G4" s="13" t="inlineStr">
        <is>
          <t>Investigation SLA</t>
        </is>
      </c>
      <c r="H4" s="13" t="inlineStr">
        <is>
          <t>Containment Time (H)</t>
        </is>
      </c>
      <c r="I4" s="13" t="inlineStr">
        <is>
          <t>Containment SLA</t>
        </is>
      </c>
      <c r="J4" s="13" t="inlineStr">
        <is>
          <t>Remediation Time (H)</t>
        </is>
      </c>
      <c r="K4" s="13" t="inlineStr">
        <is>
          <t>Remediation SLA</t>
        </is>
      </c>
      <c r="L4" s="13" t="inlineStr">
        <is>
          <t>Incident Status</t>
        </is>
      </c>
      <c r="M4" s="13" t="inlineStr">
        <is>
          <t>Post-Incident Review</t>
        </is>
      </c>
    </row>
    <row r="5">
      <c r="A5" s="14" t="inlineStr">
        <is>
          <t>INC-0001</t>
        </is>
      </c>
      <c r="B5" s="14" t="inlineStr">
        <is>
          <t>10.01.2024</t>
        </is>
      </c>
      <c r="C5" s="14" t="inlineStr">
        <is>
          <t>High</t>
        </is>
      </c>
      <c r="D5" s="14" t="inlineStr">
        <is>
          <t>3</t>
        </is>
      </c>
      <c r="E5" s="14" t="inlineStr">
        <is>
          <t>Ransomware attempt</t>
        </is>
      </c>
      <c r="F5" s="14" t="inlineStr">
        <is>
          <t>6</t>
        </is>
      </c>
      <c r="G5" s="14">
        <f>IF(C5="Critical",IF(F5&lt;=4,"✅ Met",IF(F5&gt;4,"❌ Missed","N/A")),IF(C5="High",IF(F5&lt;=8,"✅ Met",IF(F5&gt;8,"❌ Missed","N/A")),"N/A"))</f>
        <v/>
      </c>
      <c r="H5" s="14" t="inlineStr">
        <is>
          <t>36</t>
        </is>
      </c>
      <c r="I5" s="14">
        <f>IF(C5="Critical",IF(H5&lt;=24,"✅ Met",IF(H5&gt;24,"❌ Missed","N/A")),IF(C5="High",IF(H5&lt;=48,"✅ Met",IF(H5&gt;48,"❌ Missed","N/A")),"N/A"))</f>
        <v/>
      </c>
      <c r="J5" s="14" t="inlineStr">
        <is>
          <t>120</t>
        </is>
      </c>
      <c r="K5" s="14">
        <f>IF(C5="Critical",IF(J5&lt;=72,"✅ Met",IF(J5&gt;72,"❌ Missed","N/A")),IF(C5="High",IF(J5&lt;=168,"✅ Met",IF(J5&gt;168,"❌ Missed","N/A")),"N/A"))</f>
        <v/>
      </c>
      <c r="L5" s="14" t="inlineStr">
        <is>
          <t>Resolved</t>
        </is>
      </c>
      <c r="M5" s="14" t="inlineStr">
        <is>
          <t>Yes</t>
        </is>
      </c>
    </row>
    <row r="6">
      <c r="A6" s="16" t="inlineStr">
        <is>
          <t>INC-0002</t>
        </is>
      </c>
      <c r="B6" s="15" t="n"/>
      <c r="C6" s="15" t="n"/>
      <c r="D6" s="15" t="n"/>
      <c r="E6" s="15" t="n"/>
      <c r="F6" s="15" t="n"/>
      <c r="G6">
        <f>IF(C6="Critical",IF(F6&lt;=4,"✅ Met",IF(F6&gt;4,"❌ Missed","N/A")),IF(C6="High",IF(F6&lt;=8,"✅ Met",IF(F6&gt;8,"❌ Missed","N/A")),"N/A"))</f>
        <v/>
      </c>
      <c r="H6" s="15" t="n"/>
      <c r="I6">
        <f>IF(C6="Critical",IF(H6&lt;=24,"✅ Met",IF(H6&gt;24,"❌ Missed","N/A")),IF(C6="High",IF(H6&lt;=48,"✅ Met",IF(H6&gt;48,"❌ Missed","N/A")),"N/A"))</f>
        <v/>
      </c>
      <c r="J6" s="15" t="n"/>
      <c r="K6">
        <f>IF(C6="Critical",IF(J6&lt;=72,"✅ Met",IF(J6&gt;72,"❌ Missed","N/A")),IF(C6="High",IF(J6&lt;=168,"✅ Met",IF(J6&gt;168,"❌ Missed","N/A")),"N/A"))</f>
        <v/>
      </c>
      <c r="L6" s="15" t="n"/>
      <c r="M6" s="15" t="n"/>
    </row>
    <row r="7">
      <c r="A7" s="16" t="inlineStr">
        <is>
          <t>INC-0003</t>
        </is>
      </c>
      <c r="B7" s="15" t="n"/>
      <c r="C7" s="15" t="n"/>
      <c r="D7" s="15" t="n"/>
      <c r="E7" s="15" t="n"/>
      <c r="F7" s="15" t="n"/>
      <c r="G7">
        <f>IF(C7="Critical",IF(F7&lt;=4,"✅ Met",IF(F7&gt;4,"❌ Missed","N/A")),IF(C7="High",IF(F7&lt;=8,"✅ Met",IF(F7&gt;8,"❌ Missed","N/A")),"N/A"))</f>
        <v/>
      </c>
      <c r="H7" s="15" t="n"/>
      <c r="I7">
        <f>IF(C7="Critical",IF(H7&lt;=24,"✅ Met",IF(H7&gt;24,"❌ Missed","N/A")),IF(C7="High",IF(H7&lt;=48,"✅ Met",IF(H7&gt;48,"❌ Missed","N/A")),"N/A"))</f>
        <v/>
      </c>
      <c r="J7" s="15" t="n"/>
      <c r="K7">
        <f>IF(C7="Critical",IF(J7&lt;=72,"✅ Met",IF(J7&gt;72,"❌ Missed","N/A")),IF(C7="High",IF(J7&lt;=168,"✅ Met",IF(J7&gt;168,"❌ Missed","N/A")),"N/A"))</f>
        <v/>
      </c>
      <c r="L7" s="15" t="n"/>
      <c r="M7" s="15" t="n"/>
    </row>
    <row r="8">
      <c r="A8" s="16" t="inlineStr">
        <is>
          <t>INC-0004</t>
        </is>
      </c>
      <c r="B8" s="15" t="n"/>
      <c r="C8" s="15" t="n"/>
      <c r="D8" s="15" t="n"/>
      <c r="E8" s="15" t="n"/>
      <c r="F8" s="15" t="n"/>
      <c r="G8">
        <f>IF(C8="Critical",IF(F8&lt;=4,"✅ Met",IF(F8&gt;4,"❌ Missed","N/A")),IF(C8="High",IF(F8&lt;=8,"✅ Met",IF(F8&gt;8,"❌ Missed","N/A")),"N/A"))</f>
        <v/>
      </c>
      <c r="H8" s="15" t="n"/>
      <c r="I8">
        <f>IF(C8="Critical",IF(H8&lt;=24,"✅ Met",IF(H8&gt;24,"❌ Missed","N/A")),IF(C8="High",IF(H8&lt;=48,"✅ Met",IF(H8&gt;48,"❌ Missed","N/A")),"N/A"))</f>
        <v/>
      </c>
      <c r="J8" s="15" t="n"/>
      <c r="K8">
        <f>IF(C8="Critical",IF(J8&lt;=72,"✅ Met",IF(J8&gt;72,"❌ Missed","N/A")),IF(C8="High",IF(J8&lt;=168,"✅ Met",IF(J8&gt;168,"❌ Missed","N/A")),"N/A"))</f>
        <v/>
      </c>
      <c r="L8" s="15" t="n"/>
      <c r="M8" s="15" t="n"/>
    </row>
    <row r="9">
      <c r="A9" s="16" t="inlineStr">
        <is>
          <t>INC-0005</t>
        </is>
      </c>
      <c r="B9" s="15" t="n"/>
      <c r="C9" s="15" t="n"/>
      <c r="D9" s="15" t="n"/>
      <c r="E9" s="15" t="n"/>
      <c r="F9" s="15" t="n"/>
      <c r="G9">
        <f>IF(C9="Critical",IF(F9&lt;=4,"✅ Met",IF(F9&gt;4,"❌ Missed","N/A")),IF(C9="High",IF(F9&lt;=8,"✅ Met",IF(F9&gt;8,"❌ Missed","N/A")),"N/A"))</f>
        <v/>
      </c>
      <c r="H9" s="15" t="n"/>
      <c r="I9">
        <f>IF(C9="Critical",IF(H9&lt;=24,"✅ Met",IF(H9&gt;24,"❌ Missed","N/A")),IF(C9="High",IF(H9&lt;=48,"✅ Met",IF(H9&gt;48,"❌ Missed","N/A")),"N/A"))</f>
        <v/>
      </c>
      <c r="J9" s="15" t="n"/>
      <c r="K9">
        <f>IF(C9="Critical",IF(J9&lt;=72,"✅ Met",IF(J9&gt;72,"❌ Missed","N/A")),IF(C9="High",IF(J9&lt;=168,"✅ Met",IF(J9&gt;168,"❌ Missed","N/A")),"N/A"))</f>
        <v/>
      </c>
      <c r="L9" s="15" t="n"/>
      <c r="M9" s="15" t="n"/>
    </row>
    <row r="10">
      <c r="A10" s="16" t="inlineStr">
        <is>
          <t>INC-0006</t>
        </is>
      </c>
      <c r="B10" s="15" t="n"/>
      <c r="C10" s="15" t="n"/>
      <c r="D10" s="15" t="n"/>
      <c r="E10" s="15" t="n"/>
      <c r="F10" s="15" t="n"/>
      <c r="G10">
        <f>IF(C10="Critical",IF(F10&lt;=4,"✅ Met",IF(F10&gt;4,"❌ Missed","N/A")),IF(C10="High",IF(F10&lt;=8,"✅ Met",IF(F10&gt;8,"❌ Missed","N/A")),"N/A"))</f>
        <v/>
      </c>
      <c r="H10" s="15" t="n"/>
      <c r="I10">
        <f>IF(C10="Critical",IF(H10&lt;=24,"✅ Met",IF(H10&gt;24,"❌ Missed","N/A")),IF(C10="High",IF(H10&lt;=48,"✅ Met",IF(H10&gt;48,"❌ Missed","N/A")),"N/A"))</f>
        <v/>
      </c>
      <c r="J10" s="15" t="n"/>
      <c r="K10">
        <f>IF(C10="Critical",IF(J10&lt;=72,"✅ Met",IF(J10&gt;72,"❌ Missed","N/A")),IF(C10="High",IF(J10&lt;=168,"✅ Met",IF(J10&gt;168,"❌ Missed","N/A")),"N/A"))</f>
        <v/>
      </c>
      <c r="L10" s="15" t="n"/>
      <c r="M10" s="15" t="n"/>
    </row>
    <row r="11">
      <c r="A11" s="16" t="inlineStr">
        <is>
          <t>INC-0007</t>
        </is>
      </c>
      <c r="B11" s="15" t="n"/>
      <c r="C11" s="15" t="n"/>
      <c r="D11" s="15" t="n"/>
      <c r="E11" s="15" t="n"/>
      <c r="F11" s="15" t="n"/>
      <c r="G11">
        <f>IF(C11="Critical",IF(F11&lt;=4,"✅ Met",IF(F11&gt;4,"❌ Missed","N/A")),IF(C11="High",IF(F11&lt;=8,"✅ Met",IF(F11&gt;8,"❌ Missed","N/A")),"N/A"))</f>
        <v/>
      </c>
      <c r="H11" s="15" t="n"/>
      <c r="I11">
        <f>IF(C11="Critical",IF(H11&lt;=24,"✅ Met",IF(H11&gt;24,"❌ Missed","N/A")),IF(C11="High",IF(H11&lt;=48,"✅ Met",IF(H11&gt;48,"❌ Missed","N/A")),"N/A"))</f>
        <v/>
      </c>
      <c r="J11" s="15" t="n"/>
      <c r="K11">
        <f>IF(C11="Critical",IF(J11&lt;=72,"✅ Met",IF(J11&gt;72,"❌ Missed","N/A")),IF(C11="High",IF(J11&lt;=168,"✅ Met",IF(J11&gt;168,"❌ Missed","N/A")),"N/A"))</f>
        <v/>
      </c>
      <c r="L11" s="15" t="n"/>
      <c r="M11" s="15" t="n"/>
    </row>
    <row r="12">
      <c r="A12" s="16" t="inlineStr">
        <is>
          <t>INC-0008</t>
        </is>
      </c>
      <c r="B12" s="15" t="n"/>
      <c r="C12" s="15" t="n"/>
      <c r="D12" s="15" t="n"/>
      <c r="E12" s="15" t="n"/>
      <c r="F12" s="15" t="n"/>
      <c r="G12">
        <f>IF(C12="Critical",IF(F12&lt;=4,"✅ Met",IF(F12&gt;4,"❌ Missed","N/A")),IF(C12="High",IF(F12&lt;=8,"✅ Met",IF(F12&gt;8,"❌ Missed","N/A")),"N/A"))</f>
        <v/>
      </c>
      <c r="H12" s="15" t="n"/>
      <c r="I12">
        <f>IF(C12="Critical",IF(H12&lt;=24,"✅ Met",IF(H12&gt;24,"❌ Missed","N/A")),IF(C12="High",IF(H12&lt;=48,"✅ Met",IF(H12&gt;48,"❌ Missed","N/A")),"N/A"))</f>
        <v/>
      </c>
      <c r="J12" s="15" t="n"/>
      <c r="K12">
        <f>IF(C12="Critical",IF(J12&lt;=72,"✅ Met",IF(J12&gt;72,"❌ Missed","N/A")),IF(C12="High",IF(J12&lt;=168,"✅ Met",IF(J12&gt;168,"❌ Missed","N/A")),"N/A"))</f>
        <v/>
      </c>
      <c r="L12" s="15" t="n"/>
      <c r="M12" s="15" t="n"/>
    </row>
    <row r="13">
      <c r="A13" s="16" t="inlineStr">
        <is>
          <t>INC-0009</t>
        </is>
      </c>
      <c r="B13" s="15" t="n"/>
      <c r="C13" s="15" t="n"/>
      <c r="D13" s="15" t="n"/>
      <c r="E13" s="15" t="n"/>
      <c r="F13" s="15" t="n"/>
      <c r="G13">
        <f>IF(C13="Critical",IF(F13&lt;=4,"✅ Met",IF(F13&gt;4,"❌ Missed","N/A")),IF(C13="High",IF(F13&lt;=8,"✅ Met",IF(F13&gt;8,"❌ Missed","N/A")),"N/A"))</f>
        <v/>
      </c>
      <c r="H13" s="15" t="n"/>
      <c r="I13">
        <f>IF(C13="Critical",IF(H13&lt;=24,"✅ Met",IF(H13&gt;24,"❌ Missed","N/A")),IF(C13="High",IF(H13&lt;=48,"✅ Met",IF(H13&gt;48,"❌ Missed","N/A")),"N/A"))</f>
        <v/>
      </c>
      <c r="J13" s="15" t="n"/>
      <c r="K13">
        <f>IF(C13="Critical",IF(J13&lt;=72,"✅ Met",IF(J13&gt;72,"❌ Missed","N/A")),IF(C13="High",IF(J13&lt;=168,"✅ Met",IF(J13&gt;168,"❌ Missed","N/A")),"N/A"))</f>
        <v/>
      </c>
      <c r="L13" s="15" t="n"/>
      <c r="M13" s="15" t="n"/>
    </row>
    <row r="14">
      <c r="A14" s="16" t="inlineStr">
        <is>
          <t>INC-0010</t>
        </is>
      </c>
      <c r="B14" s="15" t="n"/>
      <c r="C14" s="15" t="n"/>
      <c r="D14" s="15" t="n"/>
      <c r="E14" s="15" t="n"/>
      <c r="F14" s="15" t="n"/>
      <c r="G14">
        <f>IF(C14="Critical",IF(F14&lt;=4,"✅ Met",IF(F14&gt;4,"❌ Missed","N/A")),IF(C14="High",IF(F14&lt;=8,"✅ Met",IF(F14&gt;8,"❌ Missed","N/A")),"N/A"))</f>
        <v/>
      </c>
      <c r="H14" s="15" t="n"/>
      <c r="I14">
        <f>IF(C14="Critical",IF(H14&lt;=24,"✅ Met",IF(H14&gt;24,"❌ Missed","N/A")),IF(C14="High",IF(H14&lt;=48,"✅ Met",IF(H14&gt;48,"❌ Missed","N/A")),"N/A"))</f>
        <v/>
      </c>
      <c r="J14" s="15" t="n"/>
      <c r="K14">
        <f>IF(C14="Critical",IF(J14&lt;=72,"✅ Met",IF(J14&gt;72,"❌ Missed","N/A")),IF(C14="High",IF(J14&lt;=168,"✅ Met",IF(J14&gt;168,"❌ Missed","N/A")),"N/A"))</f>
        <v/>
      </c>
      <c r="L14" s="15" t="n"/>
      <c r="M14" s="15" t="n"/>
    </row>
    <row r="15">
      <c r="A15" s="16" t="inlineStr">
        <is>
          <t>INC-0011</t>
        </is>
      </c>
      <c r="B15" s="15" t="n"/>
      <c r="C15" s="15" t="n"/>
      <c r="D15" s="15" t="n"/>
      <c r="E15" s="15" t="n"/>
      <c r="F15" s="15" t="n"/>
      <c r="G15">
        <f>IF(C15="Critical",IF(F15&lt;=4,"✅ Met",IF(F15&gt;4,"❌ Missed","N/A")),IF(C15="High",IF(F15&lt;=8,"✅ Met",IF(F15&gt;8,"❌ Missed","N/A")),"N/A"))</f>
        <v/>
      </c>
      <c r="H15" s="15" t="n"/>
      <c r="I15">
        <f>IF(C15="Critical",IF(H15&lt;=24,"✅ Met",IF(H15&gt;24,"❌ Missed","N/A")),IF(C15="High",IF(H15&lt;=48,"✅ Met",IF(H15&gt;48,"❌ Missed","N/A")),"N/A"))</f>
        <v/>
      </c>
      <c r="J15" s="15" t="n"/>
      <c r="K15">
        <f>IF(C15="Critical",IF(J15&lt;=72,"✅ Met",IF(J15&gt;72,"❌ Missed","N/A")),IF(C15="High",IF(J15&lt;=168,"✅ Met",IF(J15&gt;168,"❌ Missed","N/A")),"N/A"))</f>
        <v/>
      </c>
      <c r="L15" s="15" t="n"/>
      <c r="M15" s="15" t="n"/>
    </row>
    <row r="16">
      <c r="A16" s="16" t="inlineStr">
        <is>
          <t>INC-0012</t>
        </is>
      </c>
      <c r="B16" s="15" t="n"/>
      <c r="C16" s="15" t="n"/>
      <c r="D16" s="15" t="n"/>
      <c r="E16" s="15" t="n"/>
      <c r="F16" s="15" t="n"/>
      <c r="G16">
        <f>IF(C16="Critical",IF(F16&lt;=4,"✅ Met",IF(F16&gt;4,"❌ Missed","N/A")),IF(C16="High",IF(F16&lt;=8,"✅ Met",IF(F16&gt;8,"❌ Missed","N/A")),"N/A"))</f>
        <v/>
      </c>
      <c r="H16" s="15" t="n"/>
      <c r="I16">
        <f>IF(C16="Critical",IF(H16&lt;=24,"✅ Met",IF(H16&gt;24,"❌ Missed","N/A")),IF(C16="High",IF(H16&lt;=48,"✅ Met",IF(H16&gt;48,"❌ Missed","N/A")),"N/A"))</f>
        <v/>
      </c>
      <c r="J16" s="15" t="n"/>
      <c r="K16">
        <f>IF(C16="Critical",IF(J16&lt;=72,"✅ Met",IF(J16&gt;72,"❌ Missed","N/A")),IF(C16="High",IF(J16&lt;=168,"✅ Met",IF(J16&gt;168,"❌ Missed","N/A")),"N/A"))</f>
        <v/>
      </c>
      <c r="L16" s="15" t="n"/>
      <c r="M16" s="15" t="n"/>
    </row>
    <row r="17">
      <c r="A17" s="16" t="inlineStr">
        <is>
          <t>INC-0013</t>
        </is>
      </c>
      <c r="B17" s="15" t="n"/>
      <c r="C17" s="15" t="n"/>
      <c r="D17" s="15" t="n"/>
      <c r="E17" s="15" t="n"/>
      <c r="F17" s="15" t="n"/>
      <c r="G17">
        <f>IF(C17="Critical",IF(F17&lt;=4,"✅ Met",IF(F17&gt;4,"❌ Missed","N/A")),IF(C17="High",IF(F17&lt;=8,"✅ Met",IF(F17&gt;8,"❌ Missed","N/A")),"N/A"))</f>
        <v/>
      </c>
      <c r="H17" s="15" t="n"/>
      <c r="I17">
        <f>IF(C17="Critical",IF(H17&lt;=24,"✅ Met",IF(H17&gt;24,"❌ Missed","N/A")),IF(C17="High",IF(H17&lt;=48,"✅ Met",IF(H17&gt;48,"❌ Missed","N/A")),"N/A"))</f>
        <v/>
      </c>
      <c r="J17" s="15" t="n"/>
      <c r="K17">
        <f>IF(C17="Critical",IF(J17&lt;=72,"✅ Met",IF(J17&gt;72,"❌ Missed","N/A")),IF(C17="High",IF(J17&lt;=168,"✅ Met",IF(J17&gt;168,"❌ Missed","N/A")),"N/A"))</f>
        <v/>
      </c>
      <c r="L17" s="15" t="n"/>
      <c r="M17" s="15" t="n"/>
    </row>
    <row r="18">
      <c r="A18" s="16" t="inlineStr">
        <is>
          <t>INC-0014</t>
        </is>
      </c>
      <c r="B18" s="15" t="n"/>
      <c r="C18" s="15" t="n"/>
      <c r="D18" s="15" t="n"/>
      <c r="E18" s="15" t="n"/>
      <c r="F18" s="15" t="n"/>
      <c r="G18">
        <f>IF(C18="Critical",IF(F18&lt;=4,"✅ Met",IF(F18&gt;4,"❌ Missed","N/A")),IF(C18="High",IF(F18&lt;=8,"✅ Met",IF(F18&gt;8,"❌ Missed","N/A")),"N/A"))</f>
        <v/>
      </c>
      <c r="H18" s="15" t="n"/>
      <c r="I18">
        <f>IF(C18="Critical",IF(H18&lt;=24,"✅ Met",IF(H18&gt;24,"❌ Missed","N/A")),IF(C18="High",IF(H18&lt;=48,"✅ Met",IF(H18&gt;48,"❌ Missed","N/A")),"N/A"))</f>
        <v/>
      </c>
      <c r="J18" s="15" t="n"/>
      <c r="K18">
        <f>IF(C18="Critical",IF(J18&lt;=72,"✅ Met",IF(J18&gt;72,"❌ Missed","N/A")),IF(C18="High",IF(J18&lt;=168,"✅ Met",IF(J18&gt;168,"❌ Missed","N/A")),"N/A"))</f>
        <v/>
      </c>
      <c r="L18" s="15" t="n"/>
      <c r="M18" s="15" t="n"/>
    </row>
    <row r="19">
      <c r="A19" s="16" t="inlineStr">
        <is>
          <t>INC-0015</t>
        </is>
      </c>
      <c r="B19" s="15" t="n"/>
      <c r="C19" s="15" t="n"/>
      <c r="D19" s="15" t="n"/>
      <c r="E19" s="15" t="n"/>
      <c r="F19" s="15" t="n"/>
      <c r="G19">
        <f>IF(C19="Critical",IF(F19&lt;=4,"✅ Met",IF(F19&gt;4,"❌ Missed","N/A")),IF(C19="High",IF(F19&lt;=8,"✅ Met",IF(F19&gt;8,"❌ Missed","N/A")),"N/A"))</f>
        <v/>
      </c>
      <c r="H19" s="15" t="n"/>
      <c r="I19">
        <f>IF(C19="Critical",IF(H19&lt;=24,"✅ Met",IF(H19&gt;24,"❌ Missed","N/A")),IF(C19="High",IF(H19&lt;=48,"✅ Met",IF(H19&gt;48,"❌ Missed","N/A")),"N/A"))</f>
        <v/>
      </c>
      <c r="J19" s="15" t="n"/>
      <c r="K19">
        <f>IF(C19="Critical",IF(J19&lt;=72,"✅ Met",IF(J19&gt;72,"❌ Missed","N/A")),IF(C19="High",IF(J19&lt;=168,"✅ Met",IF(J19&gt;168,"❌ Missed","N/A")),"N/A"))</f>
        <v/>
      </c>
      <c r="L19" s="15" t="n"/>
      <c r="M19" s="15" t="n"/>
    </row>
    <row r="20">
      <c r="A20" s="16" t="inlineStr">
        <is>
          <t>INC-0016</t>
        </is>
      </c>
      <c r="B20" s="15" t="n"/>
      <c r="C20" s="15" t="n"/>
      <c r="D20" s="15" t="n"/>
      <c r="E20" s="15" t="n"/>
      <c r="F20" s="15" t="n"/>
      <c r="G20">
        <f>IF(C20="Critical",IF(F20&lt;=4,"✅ Met",IF(F20&gt;4,"❌ Missed","N/A")),IF(C20="High",IF(F20&lt;=8,"✅ Met",IF(F20&gt;8,"❌ Missed","N/A")),"N/A"))</f>
        <v/>
      </c>
      <c r="H20" s="15" t="n"/>
      <c r="I20">
        <f>IF(C20="Critical",IF(H20&lt;=24,"✅ Met",IF(H20&gt;24,"❌ Missed","N/A")),IF(C20="High",IF(H20&lt;=48,"✅ Met",IF(H20&gt;48,"❌ Missed","N/A")),"N/A"))</f>
        <v/>
      </c>
      <c r="J20" s="15" t="n"/>
      <c r="K20">
        <f>IF(C20="Critical",IF(J20&lt;=72,"✅ Met",IF(J20&gt;72,"❌ Missed","N/A")),IF(C20="High",IF(J20&lt;=168,"✅ Met",IF(J20&gt;168,"❌ Missed","N/A")),"N/A"))</f>
        <v/>
      </c>
      <c r="L20" s="15" t="n"/>
      <c r="M20" s="15" t="n"/>
    </row>
    <row r="21">
      <c r="A21" s="16" t="inlineStr">
        <is>
          <t>INC-0017</t>
        </is>
      </c>
      <c r="B21" s="15" t="n"/>
      <c r="C21" s="15" t="n"/>
      <c r="D21" s="15" t="n"/>
      <c r="E21" s="15" t="n"/>
      <c r="F21" s="15" t="n"/>
      <c r="G21">
        <f>IF(C21="Critical",IF(F21&lt;=4,"✅ Met",IF(F21&gt;4,"❌ Missed","N/A")),IF(C21="High",IF(F21&lt;=8,"✅ Met",IF(F21&gt;8,"❌ Missed","N/A")),"N/A"))</f>
        <v/>
      </c>
      <c r="H21" s="15" t="n"/>
      <c r="I21">
        <f>IF(C21="Critical",IF(H21&lt;=24,"✅ Met",IF(H21&gt;24,"❌ Missed","N/A")),IF(C21="High",IF(H21&lt;=48,"✅ Met",IF(H21&gt;48,"❌ Missed","N/A")),"N/A"))</f>
        <v/>
      </c>
      <c r="J21" s="15" t="n"/>
      <c r="K21">
        <f>IF(C21="Critical",IF(J21&lt;=72,"✅ Met",IF(J21&gt;72,"❌ Missed","N/A")),IF(C21="High",IF(J21&lt;=168,"✅ Met",IF(J21&gt;168,"❌ Missed","N/A")),"N/A"))</f>
        <v/>
      </c>
      <c r="L21" s="15" t="n"/>
      <c r="M21" s="15" t="n"/>
    </row>
    <row r="22">
      <c r="A22" s="16" t="inlineStr">
        <is>
          <t>INC-0018</t>
        </is>
      </c>
      <c r="B22" s="15" t="n"/>
      <c r="C22" s="15" t="n"/>
      <c r="D22" s="15" t="n"/>
      <c r="E22" s="15" t="n"/>
      <c r="F22" s="15" t="n"/>
      <c r="G22">
        <f>IF(C22="Critical",IF(F22&lt;=4,"✅ Met",IF(F22&gt;4,"❌ Missed","N/A")),IF(C22="High",IF(F22&lt;=8,"✅ Met",IF(F22&gt;8,"❌ Missed","N/A")),"N/A"))</f>
        <v/>
      </c>
      <c r="H22" s="15" t="n"/>
      <c r="I22">
        <f>IF(C22="Critical",IF(H22&lt;=24,"✅ Met",IF(H22&gt;24,"❌ Missed","N/A")),IF(C22="High",IF(H22&lt;=48,"✅ Met",IF(H22&gt;48,"❌ Missed","N/A")),"N/A"))</f>
        <v/>
      </c>
      <c r="J22" s="15" t="n"/>
      <c r="K22">
        <f>IF(C22="Critical",IF(J22&lt;=72,"✅ Met",IF(J22&gt;72,"❌ Missed","N/A")),IF(C22="High",IF(J22&lt;=168,"✅ Met",IF(J22&gt;168,"❌ Missed","N/A")),"N/A"))</f>
        <v/>
      </c>
      <c r="L22" s="15" t="n"/>
      <c r="M22" s="15" t="n"/>
    </row>
    <row r="23">
      <c r="A23" s="16" t="inlineStr">
        <is>
          <t>INC-0019</t>
        </is>
      </c>
      <c r="B23" s="15" t="n"/>
      <c r="C23" s="15" t="n"/>
      <c r="D23" s="15" t="n"/>
      <c r="E23" s="15" t="n"/>
      <c r="F23" s="15" t="n"/>
      <c r="G23">
        <f>IF(C23="Critical",IF(F23&lt;=4,"✅ Met",IF(F23&gt;4,"❌ Missed","N/A")),IF(C23="High",IF(F23&lt;=8,"✅ Met",IF(F23&gt;8,"❌ Missed","N/A")),"N/A"))</f>
        <v/>
      </c>
      <c r="H23" s="15" t="n"/>
      <c r="I23">
        <f>IF(C23="Critical",IF(H23&lt;=24,"✅ Met",IF(H23&gt;24,"❌ Missed","N/A")),IF(C23="High",IF(H23&lt;=48,"✅ Met",IF(H23&gt;48,"❌ Missed","N/A")),"N/A"))</f>
        <v/>
      </c>
      <c r="J23" s="15" t="n"/>
      <c r="K23">
        <f>IF(C23="Critical",IF(J23&lt;=72,"✅ Met",IF(J23&gt;72,"❌ Missed","N/A")),IF(C23="High",IF(J23&lt;=168,"✅ Met",IF(J23&gt;168,"❌ Missed","N/A")),"N/A"))</f>
        <v/>
      </c>
      <c r="L23" s="15" t="n"/>
      <c r="M23" s="15" t="n"/>
    </row>
    <row r="24">
      <c r="A24" s="16" t="inlineStr">
        <is>
          <t>INC-0020</t>
        </is>
      </c>
      <c r="B24" s="15" t="n"/>
      <c r="C24" s="15" t="n"/>
      <c r="D24" s="15" t="n"/>
      <c r="E24" s="15" t="n"/>
      <c r="F24" s="15" t="n"/>
      <c r="G24">
        <f>IF(C24="Critical",IF(F24&lt;=4,"✅ Met",IF(F24&gt;4,"❌ Missed","N/A")),IF(C24="High",IF(F24&lt;=8,"✅ Met",IF(F24&gt;8,"❌ Missed","N/A")),"N/A"))</f>
        <v/>
      </c>
      <c r="H24" s="15" t="n"/>
      <c r="I24">
        <f>IF(C24="Critical",IF(H24&lt;=24,"✅ Met",IF(H24&gt;24,"❌ Missed","N/A")),IF(C24="High",IF(H24&lt;=48,"✅ Met",IF(H24&gt;48,"❌ Missed","N/A")),"N/A"))</f>
        <v/>
      </c>
      <c r="J24" s="15" t="n"/>
      <c r="K24">
        <f>IF(C24="Critical",IF(J24&lt;=72,"✅ Met",IF(J24&gt;72,"❌ Missed","N/A")),IF(C24="High",IF(J24&lt;=168,"✅ Met",IF(J24&gt;168,"❌ Missed","N/A")),"N/A"))</f>
        <v/>
      </c>
      <c r="L24" s="15" t="n"/>
      <c r="M24" s="15" t="n"/>
    </row>
    <row r="25">
      <c r="A25" s="16" t="inlineStr">
        <is>
          <t>INC-0021</t>
        </is>
      </c>
      <c r="B25" s="15" t="n"/>
      <c r="C25" s="15" t="n"/>
      <c r="D25" s="15" t="n"/>
      <c r="E25" s="15" t="n"/>
      <c r="F25" s="15" t="n"/>
      <c r="G25">
        <f>IF(C25="Critical",IF(F25&lt;=4,"✅ Met",IF(F25&gt;4,"❌ Missed","N/A")),IF(C25="High",IF(F25&lt;=8,"✅ Met",IF(F25&gt;8,"❌ Missed","N/A")),"N/A"))</f>
        <v/>
      </c>
      <c r="H25" s="15" t="n"/>
      <c r="I25">
        <f>IF(C25="Critical",IF(H25&lt;=24,"✅ Met",IF(H25&gt;24,"❌ Missed","N/A")),IF(C25="High",IF(H25&lt;=48,"✅ Met",IF(H25&gt;48,"❌ Missed","N/A")),"N/A"))</f>
        <v/>
      </c>
      <c r="J25" s="15" t="n"/>
      <c r="K25">
        <f>IF(C25="Critical",IF(J25&lt;=72,"✅ Met",IF(J25&gt;72,"❌ Missed","N/A")),IF(C25="High",IF(J25&lt;=168,"✅ Met",IF(J25&gt;168,"❌ Missed","N/A")),"N/A"))</f>
        <v/>
      </c>
      <c r="L25" s="15" t="n"/>
      <c r="M25" s="15" t="n"/>
    </row>
    <row r="26">
      <c r="A26" s="16" t="inlineStr">
        <is>
          <t>INC-0022</t>
        </is>
      </c>
      <c r="B26" s="15" t="n"/>
      <c r="C26" s="15" t="n"/>
      <c r="D26" s="15" t="n"/>
      <c r="E26" s="15" t="n"/>
      <c r="F26" s="15" t="n"/>
      <c r="G26">
        <f>IF(C26="Critical",IF(F26&lt;=4,"✅ Met",IF(F26&gt;4,"❌ Missed","N/A")),IF(C26="High",IF(F26&lt;=8,"✅ Met",IF(F26&gt;8,"❌ Missed","N/A")),"N/A"))</f>
        <v/>
      </c>
      <c r="H26" s="15" t="n"/>
      <c r="I26">
        <f>IF(C26="Critical",IF(H26&lt;=24,"✅ Met",IF(H26&gt;24,"❌ Missed","N/A")),IF(C26="High",IF(H26&lt;=48,"✅ Met",IF(H26&gt;48,"❌ Missed","N/A")),"N/A"))</f>
        <v/>
      </c>
      <c r="J26" s="15" t="n"/>
      <c r="K26">
        <f>IF(C26="Critical",IF(J26&lt;=72,"✅ Met",IF(J26&gt;72,"❌ Missed","N/A")),IF(C26="High",IF(J26&lt;=168,"✅ Met",IF(J26&gt;168,"❌ Missed","N/A")),"N/A"))</f>
        <v/>
      </c>
      <c r="L26" s="15" t="n"/>
      <c r="M26" s="15" t="n"/>
    </row>
    <row r="27">
      <c r="A27" s="16" t="inlineStr">
        <is>
          <t>INC-0023</t>
        </is>
      </c>
      <c r="B27" s="15" t="n"/>
      <c r="C27" s="15" t="n"/>
      <c r="D27" s="15" t="n"/>
      <c r="E27" s="15" t="n"/>
      <c r="F27" s="15" t="n"/>
      <c r="G27">
        <f>IF(C27="Critical",IF(F27&lt;=4,"✅ Met",IF(F27&gt;4,"❌ Missed","N/A")),IF(C27="High",IF(F27&lt;=8,"✅ Met",IF(F27&gt;8,"❌ Missed","N/A")),"N/A"))</f>
        <v/>
      </c>
      <c r="H27" s="15" t="n"/>
      <c r="I27">
        <f>IF(C27="Critical",IF(H27&lt;=24,"✅ Met",IF(H27&gt;24,"❌ Missed","N/A")),IF(C27="High",IF(H27&lt;=48,"✅ Met",IF(H27&gt;48,"❌ Missed","N/A")),"N/A"))</f>
        <v/>
      </c>
      <c r="J27" s="15" t="n"/>
      <c r="K27">
        <f>IF(C27="Critical",IF(J27&lt;=72,"✅ Met",IF(J27&gt;72,"❌ Missed","N/A")),IF(C27="High",IF(J27&lt;=168,"✅ Met",IF(J27&gt;168,"❌ Missed","N/A")),"N/A"))</f>
        <v/>
      </c>
      <c r="L27" s="15" t="n"/>
      <c r="M27" s="15" t="n"/>
    </row>
    <row r="28">
      <c r="A28" s="16" t="inlineStr">
        <is>
          <t>INC-0024</t>
        </is>
      </c>
      <c r="B28" s="15" t="n"/>
      <c r="C28" s="15" t="n"/>
      <c r="D28" s="15" t="n"/>
      <c r="E28" s="15" t="n"/>
      <c r="F28" s="15" t="n"/>
      <c r="G28">
        <f>IF(C28="Critical",IF(F28&lt;=4,"✅ Met",IF(F28&gt;4,"❌ Missed","N/A")),IF(C28="High",IF(F28&lt;=8,"✅ Met",IF(F28&gt;8,"❌ Missed","N/A")),"N/A"))</f>
        <v/>
      </c>
      <c r="H28" s="15" t="n"/>
      <c r="I28">
        <f>IF(C28="Critical",IF(H28&lt;=24,"✅ Met",IF(H28&gt;24,"❌ Missed","N/A")),IF(C28="High",IF(H28&lt;=48,"✅ Met",IF(H28&gt;48,"❌ Missed","N/A")),"N/A"))</f>
        <v/>
      </c>
      <c r="J28" s="15" t="n"/>
      <c r="K28">
        <f>IF(C28="Critical",IF(J28&lt;=72,"✅ Met",IF(J28&gt;72,"❌ Missed","N/A")),IF(C28="High",IF(J28&lt;=168,"✅ Met",IF(J28&gt;168,"❌ Missed","N/A")),"N/A"))</f>
        <v/>
      </c>
      <c r="L28" s="15" t="n"/>
      <c r="M28" s="15" t="n"/>
    </row>
    <row r="29">
      <c r="A29" s="16" t="inlineStr">
        <is>
          <t>INC-0025</t>
        </is>
      </c>
      <c r="B29" s="15" t="n"/>
      <c r="C29" s="15" t="n"/>
      <c r="D29" s="15" t="n"/>
      <c r="E29" s="15" t="n"/>
      <c r="F29" s="15" t="n"/>
      <c r="G29">
        <f>IF(C29="Critical",IF(F29&lt;=4,"✅ Met",IF(F29&gt;4,"❌ Missed","N/A")),IF(C29="High",IF(F29&lt;=8,"✅ Met",IF(F29&gt;8,"❌ Missed","N/A")),"N/A"))</f>
        <v/>
      </c>
      <c r="H29" s="15" t="n"/>
      <c r="I29">
        <f>IF(C29="Critical",IF(H29&lt;=24,"✅ Met",IF(H29&gt;24,"❌ Missed","N/A")),IF(C29="High",IF(H29&lt;=48,"✅ Met",IF(H29&gt;48,"❌ Missed","N/A")),"N/A"))</f>
        <v/>
      </c>
      <c r="J29" s="15" t="n"/>
      <c r="K29">
        <f>IF(C29="Critical",IF(J29&lt;=72,"✅ Met",IF(J29&gt;72,"❌ Missed","N/A")),IF(C29="High",IF(J29&lt;=168,"✅ Met",IF(J29&gt;168,"❌ Missed","N/A")),"N/A"))</f>
        <v/>
      </c>
      <c r="L29" s="15" t="n"/>
      <c r="M29" s="15" t="n"/>
    </row>
    <row r="30">
      <c r="A30" s="16" t="inlineStr">
        <is>
          <t>INC-0026</t>
        </is>
      </c>
      <c r="B30" s="15" t="n"/>
      <c r="C30" s="15" t="n"/>
      <c r="D30" s="15" t="n"/>
      <c r="E30" s="15" t="n"/>
      <c r="F30" s="15" t="n"/>
      <c r="G30">
        <f>IF(C30="Critical",IF(F30&lt;=4,"✅ Met",IF(F30&gt;4,"❌ Missed","N/A")),IF(C30="High",IF(F30&lt;=8,"✅ Met",IF(F30&gt;8,"❌ Missed","N/A")),"N/A"))</f>
        <v/>
      </c>
      <c r="H30" s="15" t="n"/>
      <c r="I30">
        <f>IF(C30="Critical",IF(H30&lt;=24,"✅ Met",IF(H30&gt;24,"❌ Missed","N/A")),IF(C30="High",IF(H30&lt;=48,"✅ Met",IF(H30&gt;48,"❌ Missed","N/A")),"N/A"))</f>
        <v/>
      </c>
      <c r="J30" s="15" t="n"/>
      <c r="K30">
        <f>IF(C30="Critical",IF(J30&lt;=72,"✅ Met",IF(J30&gt;72,"❌ Missed","N/A")),IF(C30="High",IF(J30&lt;=168,"✅ Met",IF(J30&gt;168,"❌ Missed","N/A")),"N/A"))</f>
        <v/>
      </c>
      <c r="L30" s="15" t="n"/>
      <c r="M30" s="15" t="n"/>
    </row>
    <row r="31">
      <c r="A31" s="16" t="inlineStr">
        <is>
          <t>INC-0027</t>
        </is>
      </c>
      <c r="B31" s="15" t="n"/>
      <c r="C31" s="15" t="n"/>
      <c r="D31" s="15" t="n"/>
      <c r="E31" s="15" t="n"/>
      <c r="F31" s="15" t="n"/>
      <c r="G31">
        <f>IF(C31="Critical",IF(F31&lt;=4,"✅ Met",IF(F31&gt;4,"❌ Missed","N/A")),IF(C31="High",IF(F31&lt;=8,"✅ Met",IF(F31&gt;8,"❌ Missed","N/A")),"N/A"))</f>
        <v/>
      </c>
      <c r="H31" s="15" t="n"/>
      <c r="I31">
        <f>IF(C31="Critical",IF(H31&lt;=24,"✅ Met",IF(H31&gt;24,"❌ Missed","N/A")),IF(C31="High",IF(H31&lt;=48,"✅ Met",IF(H31&gt;48,"❌ Missed","N/A")),"N/A"))</f>
        <v/>
      </c>
      <c r="J31" s="15" t="n"/>
      <c r="K31">
        <f>IF(C31="Critical",IF(J31&lt;=72,"✅ Met",IF(J31&gt;72,"❌ Missed","N/A")),IF(C31="High",IF(J31&lt;=168,"✅ Met",IF(J31&gt;168,"❌ Missed","N/A")),"N/A"))</f>
        <v/>
      </c>
      <c r="L31" s="15" t="n"/>
      <c r="M31" s="15" t="n"/>
    </row>
    <row r="32">
      <c r="A32" s="16" t="inlineStr">
        <is>
          <t>INC-0028</t>
        </is>
      </c>
      <c r="B32" s="15" t="n"/>
      <c r="C32" s="15" t="n"/>
      <c r="D32" s="15" t="n"/>
      <c r="E32" s="15" t="n"/>
      <c r="F32" s="15" t="n"/>
      <c r="G32">
        <f>IF(C32="Critical",IF(F32&lt;=4,"✅ Met",IF(F32&gt;4,"❌ Missed","N/A")),IF(C32="High",IF(F32&lt;=8,"✅ Met",IF(F32&gt;8,"❌ Missed","N/A")),"N/A"))</f>
        <v/>
      </c>
      <c r="H32" s="15" t="n"/>
      <c r="I32">
        <f>IF(C32="Critical",IF(H32&lt;=24,"✅ Met",IF(H32&gt;24,"❌ Missed","N/A")),IF(C32="High",IF(H32&lt;=48,"✅ Met",IF(H32&gt;48,"❌ Missed","N/A")),"N/A"))</f>
        <v/>
      </c>
      <c r="J32" s="15" t="n"/>
      <c r="K32">
        <f>IF(C32="Critical",IF(J32&lt;=72,"✅ Met",IF(J32&gt;72,"❌ Missed","N/A")),IF(C32="High",IF(J32&lt;=168,"✅ Met",IF(J32&gt;168,"❌ Missed","N/A")),"N/A"))</f>
        <v/>
      </c>
      <c r="L32" s="15" t="n"/>
      <c r="M32" s="15" t="n"/>
    </row>
    <row r="33">
      <c r="A33" s="16" t="inlineStr">
        <is>
          <t>INC-0029</t>
        </is>
      </c>
      <c r="B33" s="15" t="n"/>
      <c r="C33" s="15" t="n"/>
      <c r="D33" s="15" t="n"/>
      <c r="E33" s="15" t="n"/>
      <c r="F33" s="15" t="n"/>
      <c r="G33">
        <f>IF(C33="Critical",IF(F33&lt;=4,"✅ Met",IF(F33&gt;4,"❌ Missed","N/A")),IF(C33="High",IF(F33&lt;=8,"✅ Met",IF(F33&gt;8,"❌ Missed","N/A")),"N/A"))</f>
        <v/>
      </c>
      <c r="H33" s="15" t="n"/>
      <c r="I33">
        <f>IF(C33="Critical",IF(H33&lt;=24,"✅ Met",IF(H33&gt;24,"❌ Missed","N/A")),IF(C33="High",IF(H33&lt;=48,"✅ Met",IF(H33&gt;48,"❌ Missed","N/A")),"N/A"))</f>
        <v/>
      </c>
      <c r="J33" s="15" t="n"/>
      <c r="K33">
        <f>IF(C33="Critical",IF(J33&lt;=72,"✅ Met",IF(J33&gt;72,"❌ Missed","N/A")),IF(C33="High",IF(J33&lt;=168,"✅ Met",IF(J33&gt;168,"❌ Missed","N/A")),"N/A"))</f>
        <v/>
      </c>
      <c r="L33" s="15" t="n"/>
      <c r="M33" s="15" t="n"/>
    </row>
    <row r="34">
      <c r="A34" s="16" t="inlineStr">
        <is>
          <t>INC-0030</t>
        </is>
      </c>
      <c r="B34" s="15" t="n"/>
      <c r="C34" s="15" t="n"/>
      <c r="D34" s="15" t="n"/>
      <c r="E34" s="15" t="n"/>
      <c r="F34" s="15" t="n"/>
      <c r="G34">
        <f>IF(C34="Critical",IF(F34&lt;=4,"✅ Met",IF(F34&gt;4,"❌ Missed","N/A")),IF(C34="High",IF(F34&lt;=8,"✅ Met",IF(F34&gt;8,"❌ Missed","N/A")),"N/A"))</f>
        <v/>
      </c>
      <c r="H34" s="15" t="n"/>
      <c r="I34">
        <f>IF(C34="Critical",IF(H34&lt;=24,"✅ Met",IF(H34&gt;24,"❌ Missed","N/A")),IF(C34="High",IF(H34&lt;=48,"✅ Met",IF(H34&gt;48,"❌ Missed","N/A")),"N/A"))</f>
        <v/>
      </c>
      <c r="J34" s="15" t="n"/>
      <c r="K34">
        <f>IF(C34="Critical",IF(J34&lt;=72,"✅ Met",IF(J34&gt;72,"❌ Missed","N/A")),IF(C34="High",IF(J34&lt;=168,"✅ Met",IF(J34&gt;168,"❌ Missed","N/A")),"N/A"))</f>
        <v/>
      </c>
      <c r="L34" s="15" t="n"/>
      <c r="M34" s="15" t="n"/>
    </row>
    <row r="35">
      <c r="A35" s="16" t="inlineStr">
        <is>
          <t>INC-0031</t>
        </is>
      </c>
      <c r="B35" s="15" t="n"/>
      <c r="C35" s="15" t="n"/>
      <c r="D35" s="15" t="n"/>
      <c r="E35" s="15" t="n"/>
      <c r="F35" s="15" t="n"/>
      <c r="G35">
        <f>IF(C35="Critical",IF(F35&lt;=4,"✅ Met",IF(F35&gt;4,"❌ Missed","N/A")),IF(C35="High",IF(F35&lt;=8,"✅ Met",IF(F35&gt;8,"❌ Missed","N/A")),"N/A"))</f>
        <v/>
      </c>
      <c r="H35" s="15" t="n"/>
      <c r="I35">
        <f>IF(C35="Critical",IF(H35&lt;=24,"✅ Met",IF(H35&gt;24,"❌ Missed","N/A")),IF(C35="High",IF(H35&lt;=48,"✅ Met",IF(H35&gt;48,"❌ Missed","N/A")),"N/A"))</f>
        <v/>
      </c>
      <c r="J35" s="15" t="n"/>
      <c r="K35">
        <f>IF(C35="Critical",IF(J35&lt;=72,"✅ Met",IF(J35&gt;72,"❌ Missed","N/A")),IF(C35="High",IF(J35&lt;=168,"✅ Met",IF(J35&gt;168,"❌ Missed","N/A")),"N/A"))</f>
        <v/>
      </c>
      <c r="L35" s="15" t="n"/>
      <c r="M35" s="15" t="n"/>
    </row>
    <row r="36">
      <c r="A36" s="16" t="inlineStr">
        <is>
          <t>INC-0032</t>
        </is>
      </c>
      <c r="B36" s="15" t="n"/>
      <c r="C36" s="15" t="n"/>
      <c r="D36" s="15" t="n"/>
      <c r="E36" s="15" t="n"/>
      <c r="F36" s="15" t="n"/>
      <c r="G36">
        <f>IF(C36="Critical",IF(F36&lt;=4,"✅ Met",IF(F36&gt;4,"❌ Missed","N/A")),IF(C36="High",IF(F36&lt;=8,"✅ Met",IF(F36&gt;8,"❌ Missed","N/A")),"N/A"))</f>
        <v/>
      </c>
      <c r="H36" s="15" t="n"/>
      <c r="I36">
        <f>IF(C36="Critical",IF(H36&lt;=24,"✅ Met",IF(H36&gt;24,"❌ Missed","N/A")),IF(C36="High",IF(H36&lt;=48,"✅ Met",IF(H36&gt;48,"❌ Missed","N/A")),"N/A"))</f>
        <v/>
      </c>
      <c r="J36" s="15" t="n"/>
      <c r="K36">
        <f>IF(C36="Critical",IF(J36&lt;=72,"✅ Met",IF(J36&gt;72,"❌ Missed","N/A")),IF(C36="High",IF(J36&lt;=168,"✅ Met",IF(J36&gt;168,"❌ Missed","N/A")),"N/A"))</f>
        <v/>
      </c>
      <c r="L36" s="15" t="n"/>
      <c r="M36" s="15" t="n"/>
    </row>
    <row r="37">
      <c r="A37" s="16" t="inlineStr">
        <is>
          <t>INC-0033</t>
        </is>
      </c>
      <c r="B37" s="15" t="n"/>
      <c r="C37" s="15" t="n"/>
      <c r="D37" s="15" t="n"/>
      <c r="E37" s="15" t="n"/>
      <c r="F37" s="15" t="n"/>
      <c r="G37">
        <f>IF(C37="Critical",IF(F37&lt;=4,"✅ Met",IF(F37&gt;4,"❌ Missed","N/A")),IF(C37="High",IF(F37&lt;=8,"✅ Met",IF(F37&gt;8,"❌ Missed","N/A")),"N/A"))</f>
        <v/>
      </c>
      <c r="H37" s="15" t="n"/>
      <c r="I37">
        <f>IF(C37="Critical",IF(H37&lt;=24,"✅ Met",IF(H37&gt;24,"❌ Missed","N/A")),IF(C37="High",IF(H37&lt;=48,"✅ Met",IF(H37&gt;48,"❌ Missed","N/A")),"N/A"))</f>
        <v/>
      </c>
      <c r="J37" s="15" t="n"/>
      <c r="K37">
        <f>IF(C37="Critical",IF(J37&lt;=72,"✅ Met",IF(J37&gt;72,"❌ Missed","N/A")),IF(C37="High",IF(J37&lt;=168,"✅ Met",IF(J37&gt;168,"❌ Missed","N/A")),"N/A"))</f>
        <v/>
      </c>
      <c r="L37" s="15" t="n"/>
      <c r="M37" s="15" t="n"/>
    </row>
    <row r="38">
      <c r="A38" s="16" t="inlineStr">
        <is>
          <t>INC-0034</t>
        </is>
      </c>
      <c r="B38" s="15" t="n"/>
      <c r="C38" s="15" t="n"/>
      <c r="D38" s="15" t="n"/>
      <c r="E38" s="15" t="n"/>
      <c r="F38" s="15" t="n"/>
      <c r="G38">
        <f>IF(C38="Critical",IF(F38&lt;=4,"✅ Met",IF(F38&gt;4,"❌ Missed","N/A")),IF(C38="High",IF(F38&lt;=8,"✅ Met",IF(F38&gt;8,"❌ Missed","N/A")),"N/A"))</f>
        <v/>
      </c>
      <c r="H38" s="15" t="n"/>
      <c r="I38">
        <f>IF(C38="Critical",IF(H38&lt;=24,"✅ Met",IF(H38&gt;24,"❌ Missed","N/A")),IF(C38="High",IF(H38&lt;=48,"✅ Met",IF(H38&gt;48,"❌ Missed","N/A")),"N/A"))</f>
        <v/>
      </c>
      <c r="J38" s="15" t="n"/>
      <c r="K38">
        <f>IF(C38="Critical",IF(J38&lt;=72,"✅ Met",IF(J38&gt;72,"❌ Missed","N/A")),IF(C38="High",IF(J38&lt;=168,"✅ Met",IF(J38&gt;168,"❌ Missed","N/A")),"N/A"))</f>
        <v/>
      </c>
      <c r="L38" s="15" t="n"/>
      <c r="M38" s="15" t="n"/>
    </row>
    <row r="39">
      <c r="A39" s="16" t="inlineStr">
        <is>
          <t>INC-0035</t>
        </is>
      </c>
      <c r="B39" s="15" t="n"/>
      <c r="C39" s="15" t="n"/>
      <c r="D39" s="15" t="n"/>
      <c r="E39" s="15" t="n"/>
      <c r="F39" s="15" t="n"/>
      <c r="G39">
        <f>IF(C39="Critical",IF(F39&lt;=4,"✅ Met",IF(F39&gt;4,"❌ Missed","N/A")),IF(C39="High",IF(F39&lt;=8,"✅ Met",IF(F39&gt;8,"❌ Missed","N/A")),"N/A"))</f>
        <v/>
      </c>
      <c r="H39" s="15" t="n"/>
      <c r="I39">
        <f>IF(C39="Critical",IF(H39&lt;=24,"✅ Met",IF(H39&gt;24,"❌ Missed","N/A")),IF(C39="High",IF(H39&lt;=48,"✅ Met",IF(H39&gt;48,"❌ Missed","N/A")),"N/A"))</f>
        <v/>
      </c>
      <c r="J39" s="15" t="n"/>
      <c r="K39">
        <f>IF(C39="Critical",IF(J39&lt;=72,"✅ Met",IF(J39&gt;72,"❌ Missed","N/A")),IF(C39="High",IF(J39&lt;=168,"✅ Met",IF(J39&gt;168,"❌ Missed","N/A")),"N/A"))</f>
        <v/>
      </c>
      <c r="L39" s="15" t="n"/>
      <c r="M39" s="15" t="n"/>
    </row>
    <row r="40">
      <c r="A40" s="16" t="inlineStr">
        <is>
          <t>INC-0036</t>
        </is>
      </c>
      <c r="B40" s="15" t="n"/>
      <c r="C40" s="15" t="n"/>
      <c r="D40" s="15" t="n"/>
      <c r="E40" s="15" t="n"/>
      <c r="F40" s="15" t="n"/>
      <c r="G40">
        <f>IF(C40="Critical",IF(F40&lt;=4,"✅ Met",IF(F40&gt;4,"❌ Missed","N/A")),IF(C40="High",IF(F40&lt;=8,"✅ Met",IF(F40&gt;8,"❌ Missed","N/A")),"N/A"))</f>
        <v/>
      </c>
      <c r="H40" s="15" t="n"/>
      <c r="I40">
        <f>IF(C40="Critical",IF(H40&lt;=24,"✅ Met",IF(H40&gt;24,"❌ Missed","N/A")),IF(C40="High",IF(H40&lt;=48,"✅ Met",IF(H40&gt;48,"❌ Missed","N/A")),"N/A"))</f>
        <v/>
      </c>
      <c r="J40" s="15" t="n"/>
      <c r="K40">
        <f>IF(C40="Critical",IF(J40&lt;=72,"✅ Met",IF(J40&gt;72,"❌ Missed","N/A")),IF(C40="High",IF(J40&lt;=168,"✅ Met",IF(J40&gt;168,"❌ Missed","N/A")),"N/A"))</f>
        <v/>
      </c>
      <c r="L40" s="15" t="n"/>
      <c r="M40" s="15" t="n"/>
    </row>
    <row r="41">
      <c r="A41" s="16" t="inlineStr">
        <is>
          <t>INC-0037</t>
        </is>
      </c>
      <c r="B41" s="15" t="n"/>
      <c r="C41" s="15" t="n"/>
      <c r="D41" s="15" t="n"/>
      <c r="E41" s="15" t="n"/>
      <c r="F41" s="15" t="n"/>
      <c r="G41">
        <f>IF(C41="Critical",IF(F41&lt;=4,"✅ Met",IF(F41&gt;4,"❌ Missed","N/A")),IF(C41="High",IF(F41&lt;=8,"✅ Met",IF(F41&gt;8,"❌ Missed","N/A")),"N/A"))</f>
        <v/>
      </c>
      <c r="H41" s="15" t="n"/>
      <c r="I41">
        <f>IF(C41="Critical",IF(H41&lt;=24,"✅ Met",IF(H41&gt;24,"❌ Missed","N/A")),IF(C41="High",IF(H41&lt;=48,"✅ Met",IF(H41&gt;48,"❌ Missed","N/A")),"N/A"))</f>
        <v/>
      </c>
      <c r="J41" s="15" t="n"/>
      <c r="K41">
        <f>IF(C41="Critical",IF(J41&lt;=72,"✅ Met",IF(J41&gt;72,"❌ Missed","N/A")),IF(C41="High",IF(J41&lt;=168,"✅ Met",IF(J41&gt;168,"❌ Missed","N/A")),"N/A"))</f>
        <v/>
      </c>
      <c r="L41" s="15" t="n"/>
      <c r="M41" s="15" t="n"/>
    </row>
    <row r="42">
      <c r="A42" s="16" t="inlineStr">
        <is>
          <t>INC-0038</t>
        </is>
      </c>
      <c r="B42" s="15" t="n"/>
      <c r="C42" s="15" t="n"/>
      <c r="D42" s="15" t="n"/>
      <c r="E42" s="15" t="n"/>
      <c r="F42" s="15" t="n"/>
      <c r="G42">
        <f>IF(C42="Critical",IF(F42&lt;=4,"✅ Met",IF(F42&gt;4,"❌ Missed","N/A")),IF(C42="High",IF(F42&lt;=8,"✅ Met",IF(F42&gt;8,"❌ Missed","N/A")),"N/A"))</f>
        <v/>
      </c>
      <c r="H42" s="15" t="n"/>
      <c r="I42">
        <f>IF(C42="Critical",IF(H42&lt;=24,"✅ Met",IF(H42&gt;24,"❌ Missed","N/A")),IF(C42="High",IF(H42&lt;=48,"✅ Met",IF(H42&gt;48,"❌ Missed","N/A")),"N/A"))</f>
        <v/>
      </c>
      <c r="J42" s="15" t="n"/>
      <c r="K42">
        <f>IF(C42="Critical",IF(J42&lt;=72,"✅ Met",IF(J42&gt;72,"❌ Missed","N/A")),IF(C42="High",IF(J42&lt;=168,"✅ Met",IF(J42&gt;168,"❌ Missed","N/A")),"N/A"))</f>
        <v/>
      </c>
      <c r="L42" s="15" t="n"/>
      <c r="M42" s="15" t="n"/>
    </row>
    <row r="43">
      <c r="A43" s="16" t="inlineStr">
        <is>
          <t>INC-0039</t>
        </is>
      </c>
      <c r="B43" s="15" t="n"/>
      <c r="C43" s="15" t="n"/>
      <c r="D43" s="15" t="n"/>
      <c r="E43" s="15" t="n"/>
      <c r="F43" s="15" t="n"/>
      <c r="G43">
        <f>IF(C43="Critical",IF(F43&lt;=4,"✅ Met",IF(F43&gt;4,"❌ Missed","N/A")),IF(C43="High",IF(F43&lt;=8,"✅ Met",IF(F43&gt;8,"❌ Missed","N/A")),"N/A"))</f>
        <v/>
      </c>
      <c r="H43" s="15" t="n"/>
      <c r="I43">
        <f>IF(C43="Critical",IF(H43&lt;=24,"✅ Met",IF(H43&gt;24,"❌ Missed","N/A")),IF(C43="High",IF(H43&lt;=48,"✅ Met",IF(H43&gt;48,"❌ Missed","N/A")),"N/A"))</f>
        <v/>
      </c>
      <c r="J43" s="15" t="n"/>
      <c r="K43">
        <f>IF(C43="Critical",IF(J43&lt;=72,"✅ Met",IF(J43&gt;72,"❌ Missed","N/A")),IF(C43="High",IF(J43&lt;=168,"✅ Met",IF(J43&gt;168,"❌ Missed","N/A")),"N/A"))</f>
        <v/>
      </c>
      <c r="L43" s="15" t="n"/>
      <c r="M43" s="15" t="n"/>
    </row>
    <row r="44">
      <c r="A44" s="16" t="inlineStr">
        <is>
          <t>INC-0040</t>
        </is>
      </c>
      <c r="B44" s="15" t="n"/>
      <c r="C44" s="15" t="n"/>
      <c r="D44" s="15" t="n"/>
      <c r="E44" s="15" t="n"/>
      <c r="F44" s="15" t="n"/>
      <c r="G44">
        <f>IF(C44="Critical",IF(F44&lt;=4,"✅ Met",IF(F44&gt;4,"❌ Missed","N/A")),IF(C44="High",IF(F44&lt;=8,"✅ Met",IF(F44&gt;8,"❌ Missed","N/A")),"N/A"))</f>
        <v/>
      </c>
      <c r="H44" s="15" t="n"/>
      <c r="I44">
        <f>IF(C44="Critical",IF(H44&lt;=24,"✅ Met",IF(H44&gt;24,"❌ Missed","N/A")),IF(C44="High",IF(H44&lt;=48,"✅ Met",IF(H44&gt;48,"❌ Missed","N/A")),"N/A"))</f>
        <v/>
      </c>
      <c r="J44" s="15" t="n"/>
      <c r="K44">
        <f>IF(C44="Critical",IF(J44&lt;=72,"✅ Met",IF(J44&gt;72,"❌ Missed","N/A")),IF(C44="High",IF(J44&lt;=168,"✅ Met",IF(J44&gt;168,"❌ Missed","N/A")),"N/A"))</f>
        <v/>
      </c>
      <c r="L44" s="15" t="n"/>
      <c r="M44" s="15" t="n"/>
    </row>
    <row r="45">
      <c r="A45" s="16" t="inlineStr">
        <is>
          <t>INC-0041</t>
        </is>
      </c>
      <c r="B45" s="15" t="n"/>
      <c r="C45" s="15" t="n"/>
      <c r="D45" s="15" t="n"/>
      <c r="E45" s="15" t="n"/>
      <c r="F45" s="15" t="n"/>
      <c r="G45">
        <f>IF(C45="Critical",IF(F45&lt;=4,"✅ Met",IF(F45&gt;4,"❌ Missed","N/A")),IF(C45="High",IF(F45&lt;=8,"✅ Met",IF(F45&gt;8,"❌ Missed","N/A")),"N/A"))</f>
        <v/>
      </c>
      <c r="H45" s="15" t="n"/>
      <c r="I45">
        <f>IF(C45="Critical",IF(H45&lt;=24,"✅ Met",IF(H45&gt;24,"❌ Missed","N/A")),IF(C45="High",IF(H45&lt;=48,"✅ Met",IF(H45&gt;48,"❌ Missed","N/A")),"N/A"))</f>
        <v/>
      </c>
      <c r="J45" s="15" t="n"/>
      <c r="K45">
        <f>IF(C45="Critical",IF(J45&lt;=72,"✅ Met",IF(J45&gt;72,"❌ Missed","N/A")),IF(C45="High",IF(J45&lt;=168,"✅ Met",IF(J45&gt;168,"❌ Missed","N/A")),"N/A"))</f>
        <v/>
      </c>
      <c r="L45" s="15" t="n"/>
      <c r="M45" s="15" t="n"/>
    </row>
    <row r="46">
      <c r="A46" s="16" t="inlineStr">
        <is>
          <t>INC-0042</t>
        </is>
      </c>
      <c r="B46" s="15" t="n"/>
      <c r="C46" s="15" t="n"/>
      <c r="D46" s="15" t="n"/>
      <c r="E46" s="15" t="n"/>
      <c r="F46" s="15" t="n"/>
      <c r="G46">
        <f>IF(C46="Critical",IF(F46&lt;=4,"✅ Met",IF(F46&gt;4,"❌ Missed","N/A")),IF(C46="High",IF(F46&lt;=8,"✅ Met",IF(F46&gt;8,"❌ Missed","N/A")),"N/A"))</f>
        <v/>
      </c>
      <c r="H46" s="15" t="n"/>
      <c r="I46">
        <f>IF(C46="Critical",IF(H46&lt;=24,"✅ Met",IF(H46&gt;24,"❌ Missed","N/A")),IF(C46="High",IF(H46&lt;=48,"✅ Met",IF(H46&gt;48,"❌ Missed","N/A")),"N/A"))</f>
        <v/>
      </c>
      <c r="J46" s="15" t="n"/>
      <c r="K46">
        <f>IF(C46="Critical",IF(J46&lt;=72,"✅ Met",IF(J46&gt;72,"❌ Missed","N/A")),IF(C46="High",IF(J46&lt;=168,"✅ Met",IF(J46&gt;168,"❌ Missed","N/A")),"N/A"))</f>
        <v/>
      </c>
      <c r="L46" s="15" t="n"/>
      <c r="M46" s="15" t="n"/>
    </row>
    <row r="47">
      <c r="A47" s="16" t="inlineStr">
        <is>
          <t>INC-0043</t>
        </is>
      </c>
      <c r="B47" s="15" t="n"/>
      <c r="C47" s="15" t="n"/>
      <c r="D47" s="15" t="n"/>
      <c r="E47" s="15" t="n"/>
      <c r="F47" s="15" t="n"/>
      <c r="G47">
        <f>IF(C47="Critical",IF(F47&lt;=4,"✅ Met",IF(F47&gt;4,"❌ Missed","N/A")),IF(C47="High",IF(F47&lt;=8,"✅ Met",IF(F47&gt;8,"❌ Missed","N/A")),"N/A"))</f>
        <v/>
      </c>
      <c r="H47" s="15" t="n"/>
      <c r="I47">
        <f>IF(C47="Critical",IF(H47&lt;=24,"✅ Met",IF(H47&gt;24,"❌ Missed","N/A")),IF(C47="High",IF(H47&lt;=48,"✅ Met",IF(H47&gt;48,"❌ Missed","N/A")),"N/A"))</f>
        <v/>
      </c>
      <c r="J47" s="15" t="n"/>
      <c r="K47">
        <f>IF(C47="Critical",IF(J47&lt;=72,"✅ Met",IF(J47&gt;72,"❌ Missed","N/A")),IF(C47="High",IF(J47&lt;=168,"✅ Met",IF(J47&gt;168,"❌ Missed","N/A")),"N/A"))</f>
        <v/>
      </c>
      <c r="L47" s="15" t="n"/>
      <c r="M47" s="15" t="n"/>
    </row>
    <row r="48">
      <c r="A48" s="16" t="inlineStr">
        <is>
          <t>INC-0044</t>
        </is>
      </c>
      <c r="B48" s="15" t="n"/>
      <c r="C48" s="15" t="n"/>
      <c r="D48" s="15" t="n"/>
      <c r="E48" s="15" t="n"/>
      <c r="F48" s="15" t="n"/>
      <c r="G48">
        <f>IF(C48="Critical",IF(F48&lt;=4,"✅ Met",IF(F48&gt;4,"❌ Missed","N/A")),IF(C48="High",IF(F48&lt;=8,"✅ Met",IF(F48&gt;8,"❌ Missed","N/A")),"N/A"))</f>
        <v/>
      </c>
      <c r="H48" s="15" t="n"/>
      <c r="I48">
        <f>IF(C48="Critical",IF(H48&lt;=24,"✅ Met",IF(H48&gt;24,"❌ Missed","N/A")),IF(C48="High",IF(H48&lt;=48,"✅ Met",IF(H48&gt;48,"❌ Missed","N/A")),"N/A"))</f>
        <v/>
      </c>
      <c r="J48" s="15" t="n"/>
      <c r="K48">
        <f>IF(C48="Critical",IF(J48&lt;=72,"✅ Met",IF(J48&gt;72,"❌ Missed","N/A")),IF(C48="High",IF(J48&lt;=168,"✅ Met",IF(J48&gt;168,"❌ Missed","N/A")),"N/A"))</f>
        <v/>
      </c>
      <c r="L48" s="15" t="n"/>
      <c r="M48" s="15" t="n"/>
    </row>
    <row r="49">
      <c r="A49" s="16" t="inlineStr">
        <is>
          <t>INC-0045</t>
        </is>
      </c>
      <c r="B49" s="15" t="n"/>
      <c r="C49" s="15" t="n"/>
      <c r="D49" s="15" t="n"/>
      <c r="E49" s="15" t="n"/>
      <c r="F49" s="15" t="n"/>
      <c r="G49">
        <f>IF(C49="Critical",IF(F49&lt;=4,"✅ Met",IF(F49&gt;4,"❌ Missed","N/A")),IF(C49="High",IF(F49&lt;=8,"✅ Met",IF(F49&gt;8,"❌ Missed","N/A")),"N/A"))</f>
        <v/>
      </c>
      <c r="H49" s="15" t="n"/>
      <c r="I49">
        <f>IF(C49="Critical",IF(H49&lt;=24,"✅ Met",IF(H49&gt;24,"❌ Missed","N/A")),IF(C49="High",IF(H49&lt;=48,"✅ Met",IF(H49&gt;48,"❌ Missed","N/A")),"N/A"))</f>
        <v/>
      </c>
      <c r="J49" s="15" t="n"/>
      <c r="K49">
        <f>IF(C49="Critical",IF(J49&lt;=72,"✅ Met",IF(J49&gt;72,"❌ Missed","N/A")),IF(C49="High",IF(J49&lt;=168,"✅ Met",IF(J49&gt;168,"❌ Missed","N/A")),"N/A"))</f>
        <v/>
      </c>
      <c r="L49" s="15" t="n"/>
      <c r="M49" s="15" t="n"/>
    </row>
    <row r="50">
      <c r="A50" s="16" t="inlineStr">
        <is>
          <t>INC-0046</t>
        </is>
      </c>
      <c r="B50" s="15" t="n"/>
      <c r="C50" s="15" t="n"/>
      <c r="D50" s="15" t="n"/>
      <c r="E50" s="15" t="n"/>
      <c r="F50" s="15" t="n"/>
      <c r="G50">
        <f>IF(C50="Critical",IF(F50&lt;=4,"✅ Met",IF(F50&gt;4,"❌ Missed","N/A")),IF(C50="High",IF(F50&lt;=8,"✅ Met",IF(F50&gt;8,"❌ Missed","N/A")),"N/A"))</f>
        <v/>
      </c>
      <c r="H50" s="15" t="n"/>
      <c r="I50">
        <f>IF(C50="Critical",IF(H50&lt;=24,"✅ Met",IF(H50&gt;24,"❌ Missed","N/A")),IF(C50="High",IF(H50&lt;=48,"✅ Met",IF(H50&gt;48,"❌ Missed","N/A")),"N/A"))</f>
        <v/>
      </c>
      <c r="J50" s="15" t="n"/>
      <c r="K50">
        <f>IF(C50="Critical",IF(J50&lt;=72,"✅ Met",IF(J50&gt;72,"❌ Missed","N/A")),IF(C50="High",IF(J50&lt;=168,"✅ Met",IF(J50&gt;168,"❌ Missed","N/A")),"N/A"))</f>
        <v/>
      </c>
      <c r="L50" s="15" t="n"/>
      <c r="M50" s="15" t="n"/>
    </row>
    <row r="51">
      <c r="A51" s="16" t="inlineStr">
        <is>
          <t>INC-0047</t>
        </is>
      </c>
      <c r="B51" s="15" t="n"/>
      <c r="C51" s="15" t="n"/>
      <c r="D51" s="15" t="n"/>
      <c r="E51" s="15" t="n"/>
      <c r="F51" s="15" t="n"/>
      <c r="G51">
        <f>IF(C51="Critical",IF(F51&lt;=4,"✅ Met",IF(F51&gt;4,"❌ Missed","N/A")),IF(C51="High",IF(F51&lt;=8,"✅ Met",IF(F51&gt;8,"❌ Missed","N/A")),"N/A"))</f>
        <v/>
      </c>
      <c r="H51" s="15" t="n"/>
      <c r="I51">
        <f>IF(C51="Critical",IF(H51&lt;=24,"✅ Met",IF(H51&gt;24,"❌ Missed","N/A")),IF(C51="High",IF(H51&lt;=48,"✅ Met",IF(H51&gt;48,"❌ Missed","N/A")),"N/A"))</f>
        <v/>
      </c>
      <c r="J51" s="15" t="n"/>
      <c r="K51">
        <f>IF(C51="Critical",IF(J51&lt;=72,"✅ Met",IF(J51&gt;72,"❌ Missed","N/A")),IF(C51="High",IF(J51&lt;=168,"✅ Met",IF(J51&gt;168,"❌ Missed","N/A")),"N/A"))</f>
        <v/>
      </c>
      <c r="L51" s="15" t="n"/>
      <c r="M51" s="15" t="n"/>
    </row>
    <row r="52">
      <c r="A52" s="16" t="inlineStr">
        <is>
          <t>INC-0048</t>
        </is>
      </c>
      <c r="B52" s="15" t="n"/>
      <c r="C52" s="15" t="n"/>
      <c r="D52" s="15" t="n"/>
      <c r="E52" s="15" t="n"/>
      <c r="F52" s="15" t="n"/>
      <c r="G52">
        <f>IF(C52="Critical",IF(F52&lt;=4,"✅ Met",IF(F52&gt;4,"❌ Missed","N/A")),IF(C52="High",IF(F52&lt;=8,"✅ Met",IF(F52&gt;8,"❌ Missed","N/A")),"N/A"))</f>
        <v/>
      </c>
      <c r="H52" s="15" t="n"/>
      <c r="I52">
        <f>IF(C52="Critical",IF(H52&lt;=24,"✅ Met",IF(H52&gt;24,"❌ Missed","N/A")),IF(C52="High",IF(H52&lt;=48,"✅ Met",IF(H52&gt;48,"❌ Missed","N/A")),"N/A"))</f>
        <v/>
      </c>
      <c r="J52" s="15" t="n"/>
      <c r="K52">
        <f>IF(C52="Critical",IF(J52&lt;=72,"✅ Met",IF(J52&gt;72,"❌ Missed","N/A")),IF(C52="High",IF(J52&lt;=168,"✅ Met",IF(J52&gt;168,"❌ Missed","N/A")),"N/A"))</f>
        <v/>
      </c>
      <c r="L52" s="15" t="n"/>
      <c r="M52" s="15" t="n"/>
    </row>
    <row r="53">
      <c r="A53" s="16" t="inlineStr">
        <is>
          <t>INC-0049</t>
        </is>
      </c>
      <c r="B53" s="15" t="n"/>
      <c r="C53" s="15" t="n"/>
      <c r="D53" s="15" t="n"/>
      <c r="E53" s="15" t="n"/>
      <c r="F53" s="15" t="n"/>
      <c r="G53">
        <f>IF(C53="Critical",IF(F53&lt;=4,"✅ Met",IF(F53&gt;4,"❌ Missed","N/A")),IF(C53="High",IF(F53&lt;=8,"✅ Met",IF(F53&gt;8,"❌ Missed","N/A")),"N/A"))</f>
        <v/>
      </c>
      <c r="H53" s="15" t="n"/>
      <c r="I53">
        <f>IF(C53="Critical",IF(H53&lt;=24,"✅ Met",IF(H53&gt;24,"❌ Missed","N/A")),IF(C53="High",IF(H53&lt;=48,"✅ Met",IF(H53&gt;48,"❌ Missed","N/A")),"N/A"))</f>
        <v/>
      </c>
      <c r="J53" s="15" t="n"/>
      <c r="K53">
        <f>IF(C53="Critical",IF(J53&lt;=72,"✅ Met",IF(J53&gt;72,"❌ Missed","N/A")),IF(C53="High",IF(J53&lt;=168,"✅ Met",IF(J53&gt;168,"❌ Missed","N/A")),"N/A"))</f>
        <v/>
      </c>
      <c r="L53" s="15" t="n"/>
      <c r="M53" s="15" t="n"/>
    </row>
    <row r="54">
      <c r="A54" s="16" t="inlineStr">
        <is>
          <t>INC-0050</t>
        </is>
      </c>
      <c r="B54" s="15" t="n"/>
      <c r="C54" s="15" t="n"/>
      <c r="D54" s="15" t="n"/>
      <c r="E54" s="15" t="n"/>
      <c r="F54" s="15" t="n"/>
      <c r="G54">
        <f>IF(C54="Critical",IF(F54&lt;=4,"✅ Met",IF(F54&gt;4,"❌ Missed","N/A")),IF(C54="High",IF(F54&lt;=8,"✅ Met",IF(F54&gt;8,"❌ Missed","N/A")),"N/A"))</f>
        <v/>
      </c>
      <c r="H54" s="15" t="n"/>
      <c r="I54">
        <f>IF(C54="Critical",IF(H54&lt;=24,"✅ Met",IF(H54&gt;24,"❌ Missed","N/A")),IF(C54="High",IF(H54&lt;=48,"✅ Met",IF(H54&gt;48,"❌ Missed","N/A")),"N/A"))</f>
        <v/>
      </c>
      <c r="J54" s="15" t="n"/>
      <c r="K54">
        <f>IF(C54="Critical",IF(J54&lt;=72,"✅ Met",IF(J54&gt;72,"❌ Missed","N/A")),IF(C54="High",IF(J54&lt;=168,"✅ Met",IF(J54&gt;168,"❌ Missed","N/A")),"N/A"))</f>
        <v/>
      </c>
      <c r="L54" s="15" t="n"/>
      <c r="M54" s="15" t="n"/>
    </row>
    <row r="55">
      <c r="A55" s="16" t="inlineStr">
        <is>
          <t>INC-0051</t>
        </is>
      </c>
      <c r="B55" s="15" t="n"/>
      <c r="C55" s="15" t="n"/>
      <c r="D55" s="15" t="n"/>
      <c r="E55" s="15" t="n"/>
      <c r="F55" s="15" t="n"/>
      <c r="G55">
        <f>IF(C55="Critical",IF(F55&lt;=4,"✅ Met",IF(F55&gt;4,"❌ Missed","N/A")),IF(C55="High",IF(F55&lt;=8,"✅ Met",IF(F55&gt;8,"❌ Missed","N/A")),"N/A"))</f>
        <v/>
      </c>
      <c r="H55" s="15" t="n"/>
      <c r="I55">
        <f>IF(C55="Critical",IF(H55&lt;=24,"✅ Met",IF(H55&gt;24,"❌ Missed","N/A")),IF(C55="High",IF(H55&lt;=48,"✅ Met",IF(H55&gt;48,"❌ Missed","N/A")),"N/A"))</f>
        <v/>
      </c>
      <c r="J55" s="15" t="n"/>
      <c r="K55">
        <f>IF(C55="Critical",IF(J55&lt;=72,"✅ Met",IF(J55&gt;72,"❌ Missed","N/A")),IF(C55="High",IF(J55&lt;=168,"✅ Met",IF(J55&gt;168,"❌ Missed","N/A")),"N/A"))</f>
        <v/>
      </c>
      <c r="L55" s="15" t="n"/>
      <c r="M55" s="15" t="n"/>
    </row>
    <row r="58">
      <c r="A58" s="12" t="inlineStr">
        <is>
          <t>[CHART] INCIDENT RESPONSE SUMMARY</t>
        </is>
      </c>
    </row>
    <row r="59">
      <c r="A59" t="inlineStr">
        <is>
          <t>Total Incidents:</t>
        </is>
      </c>
      <c r="B59">
        <f>COUNTA(B6:B55)</f>
        <v/>
      </c>
    </row>
    <row r="60">
      <c r="A60" t="inlineStr">
        <is>
          <t>Critical:</t>
        </is>
      </c>
      <c r="B60">
        <f>COUNTIF(C6:C55,"Critical")</f>
        <v/>
      </c>
    </row>
    <row r="61">
      <c r="A61" t="inlineStr">
        <is>
          <t>High:</t>
        </is>
      </c>
      <c r="B61">
        <f>COUNTIF(C6:C55,"High")</f>
        <v/>
      </c>
    </row>
    <row r="63">
      <c r="A63" t="inlineStr">
        <is>
          <t>Investigation SLA Met:</t>
        </is>
      </c>
      <c r="B63">
        <f>COUNTIF(G6:G55,"✅ Met")</f>
        <v/>
      </c>
    </row>
    <row r="64">
      <c r="A64" t="inlineStr">
        <is>
          <t>Investigation SLA Compliance:</t>
        </is>
      </c>
      <c r="B64">
        <f>IF(COUNTA(G6:G55)&gt;0,B63/COUNTA(G6:G55)*100,0)&amp;"%"</f>
        <v/>
      </c>
    </row>
  </sheetData>
  <mergeCells count="3">
    <mergeCell ref="A2:M2"/>
    <mergeCell ref="A1:M1"/>
    <mergeCell ref="A58:D58"/>
  </mergeCells>
  <dataValidations count="3">
    <dataValidation sqref="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"Yes,No,N/A"</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"Critical,High,Medium,Low"</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0" type="list">
      <formula1>"Open,Investigating,[BLUE] Contained,Resolved,Closed"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3"/>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8" customWidth="1" min="5" max="5"/>
    <col width="15" customWidth="1" min="6" max="6"/>
    <col width="15" customWidth="1" min="7" max="7"/>
    <col width="15" customWidth="1" min="8" max="8"/>
  </cols>
  <sheetData>
    <row r="1" ht="35" customHeight="1">
      <c r="A1" s="11" t="inlineStr">
        <is>
          <t>SECURITY AWARENESS TRAINING &amp; PHISHING SIMULATIONS</t>
        </is>
      </c>
    </row>
    <row r="2">
      <c r="A2" s="12" t="inlineStr">
        <is>
          <t>Annual training completion, quarterly phishing simulation results, click rate trends</t>
        </is>
      </c>
    </row>
    <row r="4">
      <c r="A4" s="12" t="inlineStr">
        <is>
          <t>[BOOKS] ANNUAL SECURITY AWARENESS TRAINING</t>
        </is>
      </c>
    </row>
    <row r="5">
      <c r="A5" s="13" t="inlineStr">
        <is>
          <t>User</t>
        </is>
      </c>
      <c r="B5" s="13" t="inlineStr">
        <is>
          <t>Department</t>
        </is>
      </c>
      <c r="C5" s="13" t="inlineStr">
        <is>
          <t>Training Assigned</t>
        </is>
      </c>
      <c r="D5" s="13" t="inlineStr">
        <is>
          <t>Training Completed</t>
        </is>
      </c>
      <c r="E5" s="13" t="inlineStr">
        <is>
          <t>Training Status</t>
        </is>
      </c>
      <c r="F5" s="13" t="inlineStr">
        <is>
          <t>Completion Date</t>
        </is>
      </c>
      <c r="G5" s="13" t="inlineStr">
        <is>
          <t>Score</t>
        </is>
      </c>
      <c r="H5" s="13" t="inlineStr">
        <is>
          <t>Notes</t>
        </is>
      </c>
    </row>
    <row r="6">
      <c r="A6" s="14" t="inlineStr">
        <is>
          <t>Jane Smith</t>
        </is>
      </c>
      <c r="B6" s="14" t="inlineStr">
        <is>
          <t>IT Department</t>
        </is>
      </c>
      <c r="C6" s="14" t="inlineStr">
        <is>
          <t>Yes</t>
        </is>
      </c>
      <c r="D6" s="14" t="inlineStr">
        <is>
          <t>Yes</t>
        </is>
      </c>
      <c r="E6" s="14" t="inlineStr">
        <is>
          <t>✅ Completed</t>
        </is>
      </c>
      <c r="F6" s="14" t="inlineStr">
        <is>
          <t>15.01.2024</t>
        </is>
      </c>
      <c r="G6" s="14" t="inlineStr">
        <is>
          <t>92</t>
        </is>
      </c>
      <c r="H6" s="14" t="inlineStr">
        <is>
          <t>Example row</t>
        </is>
      </c>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9">
      <c r="A59" s="12" t="inlineStr">
        <is>
          <t>[CHART] TRAINING SUMMARY</t>
        </is>
      </c>
    </row>
    <row r="60">
      <c r="A60" t="inlineStr">
        <is>
          <t>Total Users:</t>
        </is>
      </c>
      <c r="B60">
        <f>COUNTA(A7:A56)</f>
        <v/>
      </c>
    </row>
    <row r="61">
      <c r="A61" t="inlineStr">
        <is>
          <t>✅ Completed:</t>
        </is>
      </c>
      <c r="B61">
        <f>COUNTIF(E7:E56,"✅ Completed")</f>
        <v/>
      </c>
    </row>
    <row r="62">
      <c r="A62" t="inlineStr">
        <is>
          <t>Training Completion Rate:</t>
        </is>
      </c>
      <c r="B62" s="18">
        <f>IF(B60&gt;0,B61/B60*100,0)&amp;"%"</f>
        <v/>
      </c>
    </row>
    <row r="64">
      <c r="A64" s="12" t="inlineStr">
        <is>
          <t>[PHISH] QUARTERLY PHISHING SIMULATIONS</t>
        </is>
      </c>
    </row>
    <row r="65">
      <c r="A65" s="13" t="inlineStr">
        <is>
          <t>Simulation ID</t>
        </is>
      </c>
      <c r="B65" s="13" t="inlineStr">
        <is>
          <t>Quarter</t>
        </is>
      </c>
      <c r="C65" s="13" t="inlineStr">
        <is>
          <t>Users Targeted</t>
        </is>
      </c>
      <c r="D65" s="13" t="inlineStr">
        <is>
          <t>Emails Delivered</t>
        </is>
      </c>
      <c r="E65" s="13" t="inlineStr">
        <is>
          <t>Links Clicked</t>
        </is>
      </c>
      <c r="F65" s="13" t="inlineStr">
        <is>
          <t>Credentials Submitted</t>
        </is>
      </c>
      <c r="G65" s="13" t="inlineStr">
        <is>
          <t>Reported Phishing</t>
        </is>
      </c>
      <c r="H65" s="13" t="inlineStr">
        <is>
          <t>Click Rate (%)</t>
        </is>
      </c>
    </row>
    <row r="66">
      <c r="A66" s="19" t="inlineStr">
        <is>
          <t>PHISH-01</t>
        </is>
      </c>
      <c r="B66" s="20" t="inlineStr">
        <is>
          <t>Q1 2024</t>
        </is>
      </c>
      <c r="C66" s="21" t="n"/>
      <c r="D66" s="21" t="n"/>
      <c r="E66" s="21" t="n"/>
      <c r="F66" s="21" t="n"/>
      <c r="G66" s="21" t="n"/>
      <c r="H66" s="20">
        <f>IF(D66&gt;0,E66/D66*100,0)</f>
        <v/>
      </c>
    </row>
    <row r="67">
      <c r="A67" s="19" t="inlineStr">
        <is>
          <t>PHISH-02</t>
        </is>
      </c>
      <c r="B67" s="20" t="inlineStr">
        <is>
          <t>Q2 2024</t>
        </is>
      </c>
      <c r="C67" s="21" t="n"/>
      <c r="D67" s="21" t="n"/>
      <c r="E67" s="21" t="n"/>
      <c r="F67" s="21" t="n"/>
      <c r="G67" s="21" t="n"/>
      <c r="H67" s="20">
        <f>IF(D67&gt;0,E67/D67*100,0)</f>
        <v/>
      </c>
    </row>
    <row r="68">
      <c r="A68" s="19" t="inlineStr">
        <is>
          <t>PHISH-03</t>
        </is>
      </c>
      <c r="B68" s="20" t="inlineStr">
        <is>
          <t>Q3 2024</t>
        </is>
      </c>
      <c r="C68" s="21" t="n"/>
      <c r="D68" s="21" t="n"/>
      <c r="E68" s="21" t="n"/>
      <c r="F68" s="21" t="n"/>
      <c r="G68" s="21" t="n"/>
      <c r="H68" s="20">
        <f>IF(D68&gt;0,E68/D68*100,0)</f>
        <v/>
      </c>
    </row>
    <row r="69">
      <c r="A69" s="19" t="inlineStr">
        <is>
          <t>PHISH-04</t>
        </is>
      </c>
      <c r="B69" s="20" t="inlineStr">
        <is>
          <t>Q4 2024</t>
        </is>
      </c>
      <c r="C69" s="21" t="n"/>
      <c r="D69" s="21" t="n"/>
      <c r="E69" s="21" t="n"/>
      <c r="F69" s="21" t="n"/>
      <c r="G69" s="21" t="n"/>
      <c r="H69" s="20">
        <f>IF(D69&gt;0,E69/D69*100,0)</f>
        <v/>
      </c>
    </row>
    <row r="70">
      <c r="A70" s="19" t="inlineStr">
        <is>
          <t>PHISH-05</t>
        </is>
      </c>
      <c r="B70" s="20" t="inlineStr">
        <is>
          <t>Q1 2025</t>
        </is>
      </c>
      <c r="C70" s="21" t="n"/>
      <c r="D70" s="21" t="n"/>
      <c r="E70" s="21" t="n"/>
      <c r="F70" s="21" t="n"/>
      <c r="G70" s="21" t="n"/>
      <c r="H70" s="20">
        <f>IF(D70&gt;0,E70/D70*100,0)</f>
        <v/>
      </c>
    </row>
    <row r="71">
      <c r="A71" s="19" t="inlineStr">
        <is>
          <t>PHISH-06</t>
        </is>
      </c>
      <c r="B71" s="20" t="inlineStr">
        <is>
          <t>Q2 2025</t>
        </is>
      </c>
      <c r="C71" s="21" t="n"/>
      <c r="D71" s="21" t="n"/>
      <c r="E71" s="21" t="n"/>
      <c r="F71" s="21" t="n"/>
      <c r="G71" s="21" t="n"/>
      <c r="H71" s="20">
        <f>IF(D71&gt;0,E71/D71*100,0)</f>
        <v/>
      </c>
    </row>
    <row r="72">
      <c r="A72" s="19" t="inlineStr">
        <is>
          <t>PHISH-07</t>
        </is>
      </c>
      <c r="B72" s="20" t="inlineStr">
        <is>
          <t>Q3 2025</t>
        </is>
      </c>
      <c r="C72" s="21" t="n"/>
      <c r="D72" s="21" t="n"/>
      <c r="E72" s="21" t="n"/>
      <c r="F72" s="21" t="n"/>
      <c r="G72" s="21" t="n"/>
      <c r="H72" s="20">
        <f>IF(D72&gt;0,E72/D72*100,0)</f>
        <v/>
      </c>
    </row>
    <row r="73">
      <c r="A73" s="19" t="inlineStr">
        <is>
          <t>PHISH-08</t>
        </is>
      </c>
      <c r="B73" s="20" t="inlineStr">
        <is>
          <t>Q4 2025</t>
        </is>
      </c>
      <c r="C73" s="21" t="n"/>
      <c r="D73" s="21" t="n"/>
      <c r="E73" s="21" t="n"/>
      <c r="F73" s="21" t="n"/>
      <c r="G73" s="21" t="n"/>
      <c r="H73" s="20">
        <f>IF(D73&gt;0,E73/D73*100,0)</f>
        <v/>
      </c>
    </row>
    <row r="74">
      <c r="A74" s="19" t="inlineStr">
        <is>
          <t>PHISH-09</t>
        </is>
      </c>
      <c r="B74" s="20" t="inlineStr">
        <is>
          <t>Q1 2026</t>
        </is>
      </c>
      <c r="C74" s="21" t="n"/>
      <c r="D74" s="21" t="n"/>
      <c r="E74" s="21" t="n"/>
      <c r="F74" s="21" t="n"/>
      <c r="G74" s="21" t="n"/>
      <c r="H74" s="20">
        <f>IF(D74&gt;0,E74/D74*100,0)</f>
        <v/>
      </c>
    </row>
    <row r="75">
      <c r="A75" s="19" t="inlineStr">
        <is>
          <t>PHISH-10</t>
        </is>
      </c>
      <c r="B75" s="20" t="inlineStr">
        <is>
          <t>Q2 2026</t>
        </is>
      </c>
      <c r="C75" s="21" t="n"/>
      <c r="D75" s="21" t="n"/>
      <c r="E75" s="21" t="n"/>
      <c r="F75" s="21" t="n"/>
      <c r="G75" s="21" t="n"/>
      <c r="H75" s="20">
        <f>IF(D75&gt;0,E75/D75*100,0)</f>
        <v/>
      </c>
    </row>
    <row r="76">
      <c r="A76" s="19" t="inlineStr">
        <is>
          <t>PHISH-11</t>
        </is>
      </c>
      <c r="B76" s="20" t="inlineStr">
        <is>
          <t>Q3 2026</t>
        </is>
      </c>
      <c r="C76" s="21" t="n"/>
      <c r="D76" s="21" t="n"/>
      <c r="E76" s="21" t="n"/>
      <c r="F76" s="21" t="n"/>
      <c r="G76" s="21" t="n"/>
      <c r="H76" s="20">
        <f>IF(D76&gt;0,E76/D76*100,0)</f>
        <v/>
      </c>
    </row>
    <row r="77">
      <c r="A77" s="19" t="inlineStr">
        <is>
          <t>PHISH-12</t>
        </is>
      </c>
      <c r="B77" s="20" t="inlineStr">
        <is>
          <t>Q4 2026</t>
        </is>
      </c>
      <c r="C77" s="21" t="n"/>
      <c r="D77" s="21" t="n"/>
      <c r="E77" s="21" t="n"/>
      <c r="F77" s="21" t="n"/>
      <c r="G77" s="21" t="n"/>
      <c r="H77" s="20">
        <f>IF(D77&gt;0,E77/D77*100,0)</f>
        <v/>
      </c>
    </row>
    <row r="80">
      <c r="A80" s="12" t="inlineStr">
        <is>
          <t>[CHART] PHISHING SIMULATION SUMMARY</t>
        </is>
      </c>
    </row>
    <row r="81">
      <c r="A81" t="inlineStr">
        <is>
          <t>Average Click Rate:</t>
        </is>
      </c>
      <c r="B81" s="18">
        <f>AVERAGE(H66:H77)</f>
        <v/>
      </c>
    </row>
    <row r="82">
      <c r="A82" t="inlineStr">
        <is>
          <t>Latest Click Rate:</t>
        </is>
      </c>
      <c r="B82">
        <f>H77</f>
        <v/>
      </c>
    </row>
    <row r="83">
      <c r="A83" t="inlineStr">
        <is>
          <t>Trend:</t>
        </is>
      </c>
      <c r="B83">
        <f>IF(H77&lt;H76,"[DOWN] Improving","[TREND] Degrading")</f>
        <v/>
      </c>
    </row>
  </sheetData>
  <mergeCells count="6">
    <mergeCell ref="A4:H4"/>
    <mergeCell ref="A80:C80"/>
    <mergeCell ref="A2:H2"/>
    <mergeCell ref="A64:H64"/>
    <mergeCell ref="A1:H1"/>
    <mergeCell ref="A59:C59"/>
  </mergeCells>
  <dataValidations count="2">
    <dataValidation sqref="C7 C8 C9 C10 C11 C12 C13 C14 C15 C16 C17 C18 C19 C20 C21 C22 C23 C24 C25 C26 C27 C28 C29 C30 C31 C32 C33 C34 C35 C36 C37 C38 C39 C40 C41 C42 C43 C44 C45 C46 C47 C48 C49 C50 C51 C52 C53 C54 C55 C56 D7 D8 D9 D10 D11 D12 D13 D14 D15 D16 D17 D18 D19 D20 D21 D22 D23 D24 D25 D26 D27 D28 D29 D30 D31 D32 D33 D34 D35 D36 D37 D38 D39 D40 D41 D42 D43 D44 D45 D46 D47 D48 D49 D50 D51 D52 D53 D54 D55 D56" showDropDown="0" showInputMessage="0" showErrorMessage="0" allowBlank="0" type="list">
      <formula1>"Yes,No"</formula1>
    </dataValidation>
    <dataValidation sqref="E7 E8 E9 E10 E11 E12 E13 E14 E15 E16 E17 E18 E19 E20 E21 E22 E23 E24 E25 E26 E27 E28 E29 E30 E31 E32 E33 E34 E35 E36 E37 E38 E39 E40 E41 E42 E43 E44 E45 E46 E47 E48 E49 E50 E51 E52 E53 E54 E55 E56" showDropDown="0" showInputMessage="0" showErrorMessage="0" allowBlank="0" type="list">
      <formula1>"✅ Completed,In Progress,Not Started,⏰ Overdue"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4"/>
  <sheetViews>
    <sheetView showGridLines="0" workbookViewId="0">
      <pane ySplit="4" topLeftCell="A5" activePane="bottomLeft" state="frozen"/>
      <selection pane="bottomLeft" activeCell="A1" sqref="A1"/>
    </sheetView>
  </sheetViews>
  <sheetFormatPr baseColWidth="8" defaultRowHeight="15"/>
  <cols>
    <col width="15" customWidth="1" min="1" max="1"/>
    <col width="18" customWidth="1" min="2" max="2"/>
    <col width="18" customWidth="1" min="3" max="3"/>
    <col width="15" customWidth="1" min="4" max="4"/>
    <col width="20" customWidth="1" min="5" max="5"/>
    <col width="22" customWidth="1" min="6" max="6"/>
  </cols>
  <sheetData>
    <row r="1" ht="35" customHeight="1">
      <c r="A1" s="11" t="inlineStr">
        <is>
          <t>MALWARE PROTECTION PERFORMANCE METRICS</t>
        </is>
      </c>
    </row>
    <row r="2">
      <c r="A2" s="12" t="inlineStr">
        <is>
          <t>False positives/negatives, scan performance impact, monthly tracking (12 months)</t>
        </is>
      </c>
    </row>
    <row r="4">
      <c r="A4" s="12" t="inlineStr">
        <is>
          <t>[TREND] MONTHLY PERFORMANCE METRICS</t>
        </is>
      </c>
    </row>
    <row r="5">
      <c r="A5" s="13" t="inlineStr">
        <is>
          <t>Month</t>
        </is>
      </c>
      <c r="B5" s="13" t="inlineStr">
        <is>
          <t>False Positives</t>
        </is>
      </c>
      <c r="C5" s="13" t="inlineStr">
        <is>
          <t>False Negatives</t>
        </is>
      </c>
      <c r="D5" s="13" t="inlineStr">
        <is>
          <t>FP Rate (%)</t>
        </is>
      </c>
      <c r="E5" s="13" t="inlineStr">
        <is>
          <t>Avg Scan Time (min)</t>
        </is>
      </c>
      <c r="F5" s="13" t="inlineStr">
        <is>
          <t>Performance Complaints</t>
        </is>
      </c>
    </row>
    <row r="6">
      <c r="A6" s="16" t="inlineStr">
        <is>
          <t>Jan 2025</t>
        </is>
      </c>
      <c r="B6" s="15" t="n"/>
      <c r="C6" s="15" t="n"/>
      <c r="D6" s="15" t="n"/>
      <c r="E6" s="15" t="n"/>
      <c r="F6" s="15" t="n"/>
    </row>
    <row r="7">
      <c r="A7" s="16" t="inlineStr">
        <is>
          <t>Feb 2025</t>
        </is>
      </c>
      <c r="B7" s="15" t="n"/>
      <c r="C7" s="15" t="n"/>
      <c r="D7" s="15" t="n"/>
      <c r="E7" s="15" t="n"/>
      <c r="F7" s="15" t="n"/>
    </row>
    <row r="8">
      <c r="A8" s="16" t="inlineStr">
        <is>
          <t>Mar 2025</t>
        </is>
      </c>
      <c r="B8" s="15" t="n"/>
      <c r="C8" s="15" t="n"/>
      <c r="D8" s="15" t="n"/>
      <c r="E8" s="15" t="n"/>
      <c r="F8" s="15" t="n"/>
    </row>
    <row r="9">
      <c r="A9" s="16" t="inlineStr">
        <is>
          <t>Apr 2025</t>
        </is>
      </c>
      <c r="B9" s="15" t="n"/>
      <c r="C9" s="15" t="n"/>
      <c r="D9" s="15" t="n"/>
      <c r="E9" s="15" t="n"/>
      <c r="F9" s="15" t="n"/>
    </row>
    <row r="10">
      <c r="A10" s="16" t="inlineStr">
        <is>
          <t>May 2025</t>
        </is>
      </c>
      <c r="B10" s="15" t="n"/>
      <c r="C10" s="15" t="n"/>
      <c r="D10" s="15" t="n"/>
      <c r="E10" s="15" t="n"/>
      <c r="F10" s="15" t="n"/>
    </row>
    <row r="11">
      <c r="A11" s="16" t="inlineStr">
        <is>
          <t>Jun 2025</t>
        </is>
      </c>
      <c r="B11" s="15" t="n"/>
      <c r="C11" s="15" t="n"/>
      <c r="D11" s="15" t="n"/>
      <c r="E11" s="15" t="n"/>
      <c r="F11" s="15" t="n"/>
    </row>
    <row r="12">
      <c r="A12" s="16" t="inlineStr">
        <is>
          <t>Jul 2025</t>
        </is>
      </c>
      <c r="B12" s="15" t="n"/>
      <c r="C12" s="15" t="n"/>
      <c r="D12" s="15" t="n"/>
      <c r="E12" s="15" t="n"/>
      <c r="F12" s="15" t="n"/>
    </row>
    <row r="13">
      <c r="A13" s="16" t="inlineStr">
        <is>
          <t>Aug 2025</t>
        </is>
      </c>
      <c r="B13" s="15" t="n"/>
      <c r="C13" s="15" t="n"/>
      <c r="D13" s="15" t="n"/>
      <c r="E13" s="15" t="n"/>
      <c r="F13" s="15" t="n"/>
    </row>
    <row r="14">
      <c r="A14" s="16" t="inlineStr">
        <is>
          <t>Sep 2025</t>
        </is>
      </c>
      <c r="B14" s="15" t="n"/>
      <c r="C14" s="15" t="n"/>
      <c r="D14" s="15" t="n"/>
      <c r="E14" s="15" t="n"/>
      <c r="F14" s="15" t="n"/>
    </row>
    <row r="15">
      <c r="A15" s="16" t="inlineStr">
        <is>
          <t>Oct 2025</t>
        </is>
      </c>
      <c r="B15" s="15" t="n"/>
      <c r="C15" s="15" t="n"/>
      <c r="D15" s="15" t="n"/>
      <c r="E15" s="15" t="n"/>
      <c r="F15" s="15" t="n"/>
    </row>
    <row r="16">
      <c r="A16" s="16" t="inlineStr">
        <is>
          <t>Nov 2025</t>
        </is>
      </c>
      <c r="B16" s="15" t="n"/>
      <c r="C16" s="15" t="n"/>
      <c r="D16" s="15" t="n"/>
      <c r="E16" s="15" t="n"/>
      <c r="F16" s="15" t="n"/>
    </row>
    <row r="17">
      <c r="A17" s="16" t="inlineStr">
        <is>
          <t>Dec 2025</t>
        </is>
      </c>
      <c r="B17" s="15" t="n"/>
      <c r="C17" s="15" t="n"/>
      <c r="D17" s="15" t="n"/>
      <c r="E17" s="15" t="n"/>
      <c r="F17" s="15" t="n"/>
    </row>
    <row r="20">
      <c r="A20" s="12" t="inlineStr">
        <is>
          <t>[CHART] PERFORMANCE SUMMARY (12 Months)</t>
        </is>
      </c>
    </row>
    <row r="21">
      <c r="A21" t="inlineStr">
        <is>
          <t>Total False Positives:</t>
        </is>
      </c>
      <c r="B21">
        <f>SUM(B6:B17)</f>
        <v/>
      </c>
    </row>
    <row r="22">
      <c r="A22" t="inlineStr">
        <is>
          <t>Total False Negatives:</t>
        </is>
      </c>
      <c r="B22">
        <f>SUM(C6:C17)</f>
        <v/>
      </c>
    </row>
    <row r="23">
      <c r="A23" t="inlineStr">
        <is>
          <t>Avg FP Rate:</t>
        </is>
      </c>
      <c r="B23">
        <f>AVERAGE(D6:D17)</f>
        <v/>
      </c>
    </row>
    <row r="24">
      <c r="A24" t="inlineStr">
        <is>
          <t>Total Performance Complaints:</t>
        </is>
      </c>
      <c r="B24">
        <f>SUM(F6:F17)</f>
        <v/>
      </c>
    </row>
  </sheetData>
  <mergeCells count="4">
    <mergeCell ref="A2:F2"/>
    <mergeCell ref="A20:C20"/>
    <mergeCell ref="A1:F1"/>
    <mergeCell ref="A4:F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2"/>
  <sheetViews>
    <sheetView showGridLines="0" workbookViewId="0">
      <pane ySplit="4" topLeftCell="A5" activePane="bottomLeft" state="frozen"/>
      <selection pane="bottomLeft" activeCell="A1" sqref="A1"/>
    </sheetView>
  </sheetViews>
  <sheetFormatPr baseColWidth="8" defaultRowHeight="15"/>
  <cols>
    <col width="25" customWidth="1" min="1" max="1"/>
    <col width="20" customWidth="1" min="2" max="2"/>
    <col width="15" customWidth="1" min="3" max="3"/>
    <col width="15" customWidth="1" min="4" max="4"/>
    <col width="15" customWidth="1" min="5" max="5"/>
    <col width="18" customWidth="1" min="6" max="6"/>
    <col width="18" customWidth="1" min="7" max="7"/>
    <col width="20" customWidth="1" min="8" max="8"/>
    <col width="15" customWidth="1" min="9" max="9"/>
    <col width="30" customWidth="1" min="10" max="10"/>
  </cols>
  <sheetData>
    <row r="1" ht="35" customHeight="1">
      <c r="A1" s="11" t="inlineStr">
        <is>
          <t>LICENSING &amp; SUPPORT CONTRACT TRACKING</t>
        </is>
      </c>
    </row>
    <row r="2">
      <c r="A2" s="12" t="inlineStr">
        <is>
          <t>Anti-malware/EDR licensing, support contracts, renewal tracking, cost management</t>
        </is>
      </c>
    </row>
    <row r="4">
      <c r="A4" s="13" t="inlineStr">
        <is>
          <t>Product Name</t>
        </is>
      </c>
      <c r="B4" s="13" t="inlineStr">
        <is>
          <t>Vendor</t>
        </is>
      </c>
      <c r="C4" s="13" t="inlineStr">
        <is>
          <t>License Type</t>
        </is>
      </c>
      <c r="D4" s="13" t="inlineStr">
        <is>
          <t>License Count</t>
        </is>
      </c>
      <c r="E4" s="13" t="inlineStr">
        <is>
          <t>Deployed Count</t>
        </is>
      </c>
      <c r="F4" s="13" t="inlineStr">
        <is>
          <t>Support Status</t>
        </is>
      </c>
      <c r="G4" s="13" t="inlineStr">
        <is>
          <t>Support Expiration</t>
        </is>
      </c>
      <c r="H4" s="13" t="inlineStr">
        <is>
          <t>Days Until Expiration</t>
        </is>
      </c>
      <c r="I4" s="13" t="inlineStr">
        <is>
          <t>Annual Cost</t>
        </is>
      </c>
      <c r="J4" s="13" t="inlineStr">
        <is>
          <t>Notes</t>
        </is>
      </c>
    </row>
    <row r="5">
      <c r="A5" s="14" t="inlineStr">
        <is>
          <t>Symantec Endpoint Protection</t>
        </is>
      </c>
      <c r="B5" s="14" t="inlineStr">
        <is>
          <t>Broadcom</t>
        </is>
      </c>
      <c r="C5" s="14" t="inlineStr">
        <is>
          <t>Subscription</t>
        </is>
      </c>
      <c r="D5" s="14" t="inlineStr">
        <is>
          <t>500</t>
        </is>
      </c>
      <c r="E5" s="14" t="inlineStr">
        <is>
          <t>487</t>
        </is>
      </c>
      <c r="F5" s="14" t="inlineStr">
        <is>
          <t>✅ Active</t>
        </is>
      </c>
      <c r="G5" s="14" t="inlineStr">
        <is>
          <t>31.12.2026</t>
        </is>
      </c>
      <c r="H5" s="14">
        <f>IF(G5&lt;&gt;"",G5-TODAY(),"")</f>
        <v/>
      </c>
      <c r="I5" s="14" t="inlineStr">
        <is>
          <t>25000</t>
        </is>
      </c>
      <c r="J5" s="14" t="inlineStr">
        <is>
          <t>Example row</t>
        </is>
      </c>
    </row>
    <row r="6">
      <c r="A6" s="15" t="n"/>
      <c r="B6" s="15" t="n"/>
      <c r="C6" s="15" t="n"/>
      <c r="D6" s="15" t="n"/>
      <c r="E6" s="15" t="n"/>
      <c r="F6" s="15" t="n"/>
      <c r="G6" s="15" t="n"/>
      <c r="H6">
        <f>IF(G6&lt;&gt;"",G6-TODAY(),"")</f>
        <v/>
      </c>
      <c r="I6" s="15" t="n"/>
      <c r="J6" s="15" t="n"/>
    </row>
    <row r="7">
      <c r="A7" s="15" t="n"/>
      <c r="B7" s="15" t="n"/>
      <c r="C7" s="15" t="n"/>
      <c r="D7" s="15" t="n"/>
      <c r="E7" s="15" t="n"/>
      <c r="F7" s="15" t="n"/>
      <c r="G7" s="15" t="n"/>
      <c r="H7">
        <f>IF(G7&lt;&gt;"",G7-TODAY(),"")</f>
        <v/>
      </c>
      <c r="I7" s="15" t="n"/>
      <c r="J7" s="15" t="n"/>
    </row>
    <row r="8">
      <c r="A8" s="15" t="n"/>
      <c r="B8" s="15" t="n"/>
      <c r="C8" s="15" t="n"/>
      <c r="D8" s="15" t="n"/>
      <c r="E8" s="15" t="n"/>
      <c r="F8" s="15" t="n"/>
      <c r="G8" s="15" t="n"/>
      <c r="H8">
        <f>IF(G8&lt;&gt;"",G8-TODAY(),"")</f>
        <v/>
      </c>
      <c r="I8" s="15" t="n"/>
      <c r="J8" s="15" t="n"/>
    </row>
    <row r="9">
      <c r="A9" s="15" t="n"/>
      <c r="B9" s="15" t="n"/>
      <c r="C9" s="15" t="n"/>
      <c r="D9" s="15" t="n"/>
      <c r="E9" s="15" t="n"/>
      <c r="F9" s="15" t="n"/>
      <c r="G9" s="15" t="n"/>
      <c r="H9">
        <f>IF(G9&lt;&gt;"",G9-TODAY(),"")</f>
        <v/>
      </c>
      <c r="I9" s="15" t="n"/>
      <c r="J9" s="15" t="n"/>
    </row>
    <row r="10">
      <c r="A10" s="15" t="n"/>
      <c r="B10" s="15" t="n"/>
      <c r="C10" s="15" t="n"/>
      <c r="D10" s="15" t="n"/>
      <c r="E10" s="15" t="n"/>
      <c r="F10" s="15" t="n"/>
      <c r="G10" s="15" t="n"/>
      <c r="H10">
        <f>IF(G10&lt;&gt;"",G10-TODAY(),"")</f>
        <v/>
      </c>
      <c r="I10" s="15" t="n"/>
      <c r="J10" s="15" t="n"/>
    </row>
    <row r="11">
      <c r="A11" s="15" t="n"/>
      <c r="B11" s="15" t="n"/>
      <c r="C11" s="15" t="n"/>
      <c r="D11" s="15" t="n"/>
      <c r="E11" s="15" t="n"/>
      <c r="F11" s="15" t="n"/>
      <c r="G11" s="15" t="n"/>
      <c r="H11">
        <f>IF(G11&lt;&gt;"",G11-TODAY(),"")</f>
        <v/>
      </c>
      <c r="I11" s="15" t="n"/>
      <c r="J11" s="15" t="n"/>
    </row>
    <row r="12">
      <c r="A12" s="15" t="n"/>
      <c r="B12" s="15" t="n"/>
      <c r="C12" s="15" t="n"/>
      <c r="D12" s="15" t="n"/>
      <c r="E12" s="15" t="n"/>
      <c r="F12" s="15" t="n"/>
      <c r="G12" s="15" t="n"/>
      <c r="H12">
        <f>IF(G12&lt;&gt;"",G12-TODAY(),"")</f>
        <v/>
      </c>
      <c r="I12" s="15" t="n"/>
      <c r="J12" s="15" t="n"/>
    </row>
    <row r="13">
      <c r="A13" s="15" t="n"/>
      <c r="B13" s="15" t="n"/>
      <c r="C13" s="15" t="n"/>
      <c r="D13" s="15" t="n"/>
      <c r="E13" s="15" t="n"/>
      <c r="F13" s="15" t="n"/>
      <c r="G13" s="15" t="n"/>
      <c r="H13">
        <f>IF(G13&lt;&gt;"",G13-TODAY(),"")</f>
        <v/>
      </c>
      <c r="I13" s="15" t="n"/>
      <c r="J13" s="15" t="n"/>
    </row>
    <row r="14">
      <c r="A14" s="15" t="n"/>
      <c r="B14" s="15" t="n"/>
      <c r="C14" s="15" t="n"/>
      <c r="D14" s="15" t="n"/>
      <c r="E14" s="15" t="n"/>
      <c r="F14" s="15" t="n"/>
      <c r="G14" s="15" t="n"/>
      <c r="H14">
        <f>IF(G14&lt;&gt;"",G14-TODAY(),"")</f>
        <v/>
      </c>
      <c r="I14" s="15" t="n"/>
      <c r="J14" s="15" t="n"/>
    </row>
    <row r="15">
      <c r="A15" s="15" t="n"/>
      <c r="B15" s="15" t="n"/>
      <c r="C15" s="15" t="n"/>
      <c r="D15" s="15" t="n"/>
      <c r="E15" s="15" t="n"/>
      <c r="F15" s="15" t="n"/>
      <c r="G15" s="15" t="n"/>
      <c r="H15">
        <f>IF(G15&lt;&gt;"",G15-TODAY(),"")</f>
        <v/>
      </c>
      <c r="I15" s="15" t="n"/>
      <c r="J15" s="15" t="n"/>
    </row>
    <row r="16">
      <c r="A16" s="15" t="n"/>
      <c r="B16" s="15" t="n"/>
      <c r="C16" s="15" t="n"/>
      <c r="D16" s="15" t="n"/>
      <c r="E16" s="15" t="n"/>
      <c r="F16" s="15" t="n"/>
      <c r="G16" s="15" t="n"/>
      <c r="H16">
        <f>IF(G16&lt;&gt;"",G16-TODAY(),"")</f>
        <v/>
      </c>
      <c r="I16" s="15" t="n"/>
      <c r="J16" s="15" t="n"/>
    </row>
    <row r="17">
      <c r="A17" s="15" t="n"/>
      <c r="B17" s="15" t="n"/>
      <c r="C17" s="15" t="n"/>
      <c r="D17" s="15" t="n"/>
      <c r="E17" s="15" t="n"/>
      <c r="F17" s="15" t="n"/>
      <c r="G17" s="15" t="n"/>
      <c r="H17">
        <f>IF(G17&lt;&gt;"",G17-TODAY(),"")</f>
        <v/>
      </c>
      <c r="I17" s="15" t="n"/>
      <c r="J17" s="15" t="n"/>
    </row>
    <row r="18">
      <c r="A18" s="15" t="n"/>
      <c r="B18" s="15" t="n"/>
      <c r="C18" s="15" t="n"/>
      <c r="D18" s="15" t="n"/>
      <c r="E18" s="15" t="n"/>
      <c r="F18" s="15" t="n"/>
      <c r="G18" s="15" t="n"/>
      <c r="H18">
        <f>IF(G18&lt;&gt;"",G18-TODAY(),"")</f>
        <v/>
      </c>
      <c r="I18" s="15" t="n"/>
      <c r="J18" s="15" t="n"/>
    </row>
    <row r="19">
      <c r="A19" s="15" t="n"/>
      <c r="B19" s="15" t="n"/>
      <c r="C19" s="15" t="n"/>
      <c r="D19" s="15" t="n"/>
      <c r="E19" s="15" t="n"/>
      <c r="F19" s="15" t="n"/>
      <c r="G19" s="15" t="n"/>
      <c r="H19">
        <f>IF(G19&lt;&gt;"",G19-TODAY(),"")</f>
        <v/>
      </c>
      <c r="I19" s="15" t="n"/>
      <c r="J19" s="15" t="n"/>
    </row>
    <row r="20">
      <c r="A20" s="15" t="n"/>
      <c r="B20" s="15" t="n"/>
      <c r="C20" s="15" t="n"/>
      <c r="D20" s="15" t="n"/>
      <c r="E20" s="15" t="n"/>
      <c r="F20" s="15" t="n"/>
      <c r="G20" s="15" t="n"/>
      <c r="H20">
        <f>IF(G20&lt;&gt;"",G20-TODAY(),"")</f>
        <v/>
      </c>
      <c r="I20" s="15" t="n"/>
      <c r="J20" s="15" t="n"/>
    </row>
    <row r="21">
      <c r="A21" s="15" t="n"/>
      <c r="B21" s="15" t="n"/>
      <c r="C21" s="15" t="n"/>
      <c r="D21" s="15" t="n"/>
      <c r="E21" s="15" t="n"/>
      <c r="F21" s="15" t="n"/>
      <c r="G21" s="15" t="n"/>
      <c r="H21">
        <f>IF(G21&lt;&gt;"",G21-TODAY(),"")</f>
        <v/>
      </c>
      <c r="I21" s="15" t="n"/>
      <c r="J21" s="15" t="n"/>
    </row>
    <row r="22">
      <c r="A22" s="15" t="n"/>
      <c r="B22" s="15" t="n"/>
      <c r="C22" s="15" t="n"/>
      <c r="D22" s="15" t="n"/>
      <c r="E22" s="15" t="n"/>
      <c r="F22" s="15" t="n"/>
      <c r="G22" s="15" t="n"/>
      <c r="H22">
        <f>IF(G22&lt;&gt;"",G22-TODAY(),"")</f>
        <v/>
      </c>
      <c r="I22" s="15" t="n"/>
      <c r="J22" s="15" t="n"/>
    </row>
    <row r="23">
      <c r="A23" s="15" t="n"/>
      <c r="B23" s="15" t="n"/>
      <c r="C23" s="15" t="n"/>
      <c r="D23" s="15" t="n"/>
      <c r="E23" s="15" t="n"/>
      <c r="F23" s="15" t="n"/>
      <c r="G23" s="15" t="n"/>
      <c r="H23">
        <f>IF(G23&lt;&gt;"",G23-TODAY(),"")</f>
        <v/>
      </c>
      <c r="I23" s="15" t="n"/>
      <c r="J23" s="15" t="n"/>
    </row>
    <row r="24">
      <c r="A24" s="15" t="n"/>
      <c r="B24" s="15" t="n"/>
      <c r="C24" s="15" t="n"/>
      <c r="D24" s="15" t="n"/>
      <c r="E24" s="15" t="n"/>
      <c r="F24" s="15" t="n"/>
      <c r="G24" s="15" t="n"/>
      <c r="H24">
        <f>IF(G24&lt;&gt;"",G24-TODAY(),"")</f>
        <v/>
      </c>
      <c r="I24" s="15" t="n"/>
      <c r="J24" s="15" t="n"/>
    </row>
    <row r="25">
      <c r="A25" s="15" t="n"/>
      <c r="B25" s="15" t="n"/>
      <c r="C25" s="15" t="n"/>
      <c r="D25" s="15" t="n"/>
      <c r="E25" s="15" t="n"/>
      <c r="F25" s="15" t="n"/>
      <c r="G25" s="15" t="n"/>
      <c r="H25">
        <f>IF(G25&lt;&gt;"",G25-TODAY(),"")</f>
        <v/>
      </c>
      <c r="I25" s="15" t="n"/>
      <c r="J25" s="15" t="n"/>
    </row>
    <row r="26">
      <c r="A26" s="15" t="n"/>
      <c r="B26" s="15" t="n"/>
      <c r="C26" s="15" t="n"/>
      <c r="D26" s="15" t="n"/>
      <c r="E26" s="15" t="n"/>
      <c r="F26" s="15" t="n"/>
      <c r="G26" s="15" t="n"/>
      <c r="H26">
        <f>IF(G26&lt;&gt;"",G26-TODAY(),"")</f>
        <v/>
      </c>
      <c r="I26" s="15" t="n"/>
      <c r="J26" s="15" t="n"/>
    </row>
    <row r="27">
      <c r="A27" s="15" t="n"/>
      <c r="B27" s="15" t="n"/>
      <c r="C27" s="15" t="n"/>
      <c r="D27" s="15" t="n"/>
      <c r="E27" s="15" t="n"/>
      <c r="F27" s="15" t="n"/>
      <c r="G27" s="15" t="n"/>
      <c r="H27">
        <f>IF(G27&lt;&gt;"",G27-TODAY(),"")</f>
        <v/>
      </c>
      <c r="I27" s="15" t="n"/>
      <c r="J27" s="15" t="n"/>
    </row>
    <row r="28">
      <c r="A28" s="15" t="n"/>
      <c r="B28" s="15" t="n"/>
      <c r="C28" s="15" t="n"/>
      <c r="D28" s="15" t="n"/>
      <c r="E28" s="15" t="n"/>
      <c r="F28" s="15" t="n"/>
      <c r="G28" s="15" t="n"/>
      <c r="H28">
        <f>IF(G28&lt;&gt;"",G28-TODAY(),"")</f>
        <v/>
      </c>
      <c r="I28" s="15" t="n"/>
      <c r="J28" s="15" t="n"/>
    </row>
    <row r="29">
      <c r="A29" s="15" t="n"/>
      <c r="B29" s="15" t="n"/>
      <c r="C29" s="15" t="n"/>
      <c r="D29" s="15" t="n"/>
      <c r="E29" s="15" t="n"/>
      <c r="F29" s="15" t="n"/>
      <c r="G29" s="15" t="n"/>
      <c r="H29">
        <f>IF(G29&lt;&gt;"",G29-TODAY(),"")</f>
        <v/>
      </c>
      <c r="I29" s="15" t="n"/>
      <c r="J29" s="15" t="n"/>
    </row>
    <row r="30">
      <c r="A30" s="15" t="n"/>
      <c r="B30" s="15" t="n"/>
      <c r="C30" s="15" t="n"/>
      <c r="D30" s="15" t="n"/>
      <c r="E30" s="15" t="n"/>
      <c r="F30" s="15" t="n"/>
      <c r="G30" s="15" t="n"/>
      <c r="H30">
        <f>IF(G30&lt;&gt;"",G30-TODAY(),"")</f>
        <v/>
      </c>
      <c r="I30" s="15" t="n"/>
      <c r="J30" s="15" t="n"/>
    </row>
    <row r="31">
      <c r="A31" s="15" t="n"/>
      <c r="B31" s="15" t="n"/>
      <c r="C31" s="15" t="n"/>
      <c r="D31" s="15" t="n"/>
      <c r="E31" s="15" t="n"/>
      <c r="F31" s="15" t="n"/>
      <c r="G31" s="15" t="n"/>
      <c r="H31">
        <f>IF(G31&lt;&gt;"",G31-TODAY(),"")</f>
        <v/>
      </c>
      <c r="I31" s="15" t="n"/>
      <c r="J31" s="15" t="n"/>
    </row>
    <row r="32">
      <c r="A32" s="15" t="n"/>
      <c r="B32" s="15" t="n"/>
      <c r="C32" s="15" t="n"/>
      <c r="D32" s="15" t="n"/>
      <c r="E32" s="15" t="n"/>
      <c r="F32" s="15" t="n"/>
      <c r="G32" s="15" t="n"/>
      <c r="H32">
        <f>IF(G32&lt;&gt;"",G32-TODAY(),"")</f>
        <v/>
      </c>
      <c r="I32" s="15" t="n"/>
      <c r="J32" s="15" t="n"/>
    </row>
    <row r="33">
      <c r="A33" s="15" t="n"/>
      <c r="B33" s="15" t="n"/>
      <c r="C33" s="15" t="n"/>
      <c r="D33" s="15" t="n"/>
      <c r="E33" s="15" t="n"/>
      <c r="F33" s="15" t="n"/>
      <c r="G33" s="15" t="n"/>
      <c r="H33">
        <f>IF(G33&lt;&gt;"",G33-TODAY(),"")</f>
        <v/>
      </c>
      <c r="I33" s="15" t="n"/>
      <c r="J33" s="15" t="n"/>
    </row>
    <row r="34">
      <c r="A34" s="15" t="n"/>
      <c r="B34" s="15" t="n"/>
      <c r="C34" s="15" t="n"/>
      <c r="D34" s="15" t="n"/>
      <c r="E34" s="15" t="n"/>
      <c r="F34" s="15" t="n"/>
      <c r="G34" s="15" t="n"/>
      <c r="H34">
        <f>IF(G34&lt;&gt;"",G34-TODAY(),"")</f>
        <v/>
      </c>
      <c r="I34" s="15" t="n"/>
      <c r="J34" s="15" t="n"/>
    </row>
    <row r="35">
      <c r="A35" s="15" t="n"/>
      <c r="B35" s="15" t="n"/>
      <c r="C35" s="15" t="n"/>
      <c r="D35" s="15" t="n"/>
      <c r="E35" s="15" t="n"/>
      <c r="F35" s="15" t="n"/>
      <c r="G35" s="15" t="n"/>
      <c r="H35">
        <f>IF(G35&lt;&gt;"",G35-TODAY(),"")</f>
        <v/>
      </c>
      <c r="I35" s="15" t="n"/>
      <c r="J35" s="15" t="n"/>
    </row>
    <row r="36">
      <c r="A36" s="15" t="n"/>
      <c r="B36" s="15" t="n"/>
      <c r="C36" s="15" t="n"/>
      <c r="D36" s="15" t="n"/>
      <c r="E36" s="15" t="n"/>
      <c r="F36" s="15" t="n"/>
      <c r="G36" s="15" t="n"/>
      <c r="H36">
        <f>IF(G36&lt;&gt;"",G36-TODAY(),"")</f>
        <v/>
      </c>
      <c r="I36" s="15" t="n"/>
      <c r="J36" s="15" t="n"/>
    </row>
    <row r="37">
      <c r="A37" s="15" t="n"/>
      <c r="B37" s="15" t="n"/>
      <c r="C37" s="15" t="n"/>
      <c r="D37" s="15" t="n"/>
      <c r="E37" s="15" t="n"/>
      <c r="F37" s="15" t="n"/>
      <c r="G37" s="15" t="n"/>
      <c r="H37">
        <f>IF(G37&lt;&gt;"",G37-TODAY(),"")</f>
        <v/>
      </c>
      <c r="I37" s="15" t="n"/>
      <c r="J37" s="15" t="n"/>
    </row>
    <row r="38">
      <c r="A38" s="15" t="n"/>
      <c r="B38" s="15" t="n"/>
      <c r="C38" s="15" t="n"/>
      <c r="D38" s="15" t="n"/>
      <c r="E38" s="15" t="n"/>
      <c r="F38" s="15" t="n"/>
      <c r="G38" s="15" t="n"/>
      <c r="H38">
        <f>IF(G38&lt;&gt;"",G38-TODAY(),"")</f>
        <v/>
      </c>
      <c r="I38" s="15" t="n"/>
      <c r="J38" s="15" t="n"/>
    </row>
    <row r="39">
      <c r="A39" s="15" t="n"/>
      <c r="B39" s="15" t="n"/>
      <c r="C39" s="15" t="n"/>
      <c r="D39" s="15" t="n"/>
      <c r="E39" s="15" t="n"/>
      <c r="F39" s="15" t="n"/>
      <c r="G39" s="15" t="n"/>
      <c r="H39">
        <f>IF(G39&lt;&gt;"",G39-TODAY(),"")</f>
        <v/>
      </c>
      <c r="I39" s="15" t="n"/>
      <c r="J39" s="15" t="n"/>
    </row>
    <row r="40">
      <c r="A40" s="15" t="n"/>
      <c r="B40" s="15" t="n"/>
      <c r="C40" s="15" t="n"/>
      <c r="D40" s="15" t="n"/>
      <c r="E40" s="15" t="n"/>
      <c r="F40" s="15" t="n"/>
      <c r="G40" s="15" t="n"/>
      <c r="H40">
        <f>IF(G40&lt;&gt;"",G40-TODAY(),"")</f>
        <v/>
      </c>
      <c r="I40" s="15" t="n"/>
      <c r="J40" s="15" t="n"/>
    </row>
    <row r="41">
      <c r="A41" s="15" t="n"/>
      <c r="B41" s="15" t="n"/>
      <c r="C41" s="15" t="n"/>
      <c r="D41" s="15" t="n"/>
      <c r="E41" s="15" t="n"/>
      <c r="F41" s="15" t="n"/>
      <c r="G41" s="15" t="n"/>
      <c r="H41">
        <f>IF(G41&lt;&gt;"",G41-TODAY(),"")</f>
        <v/>
      </c>
      <c r="I41" s="15" t="n"/>
      <c r="J41" s="15" t="n"/>
    </row>
    <row r="42">
      <c r="A42" s="15" t="n"/>
      <c r="B42" s="15" t="n"/>
      <c r="C42" s="15" t="n"/>
      <c r="D42" s="15" t="n"/>
      <c r="E42" s="15" t="n"/>
      <c r="F42" s="15" t="n"/>
      <c r="G42" s="15" t="n"/>
      <c r="H42">
        <f>IF(G42&lt;&gt;"",G42-TODAY(),"")</f>
        <v/>
      </c>
      <c r="I42" s="15" t="n"/>
      <c r="J42" s="15" t="n"/>
    </row>
    <row r="43">
      <c r="A43" s="15" t="n"/>
      <c r="B43" s="15" t="n"/>
      <c r="C43" s="15" t="n"/>
      <c r="D43" s="15" t="n"/>
      <c r="E43" s="15" t="n"/>
      <c r="F43" s="15" t="n"/>
      <c r="G43" s="15" t="n"/>
      <c r="H43">
        <f>IF(G43&lt;&gt;"",G43-TODAY(),"")</f>
        <v/>
      </c>
      <c r="I43" s="15" t="n"/>
      <c r="J43" s="15" t="n"/>
    </row>
    <row r="44">
      <c r="A44" s="15" t="n"/>
      <c r="B44" s="15" t="n"/>
      <c r="C44" s="15" t="n"/>
      <c r="D44" s="15" t="n"/>
      <c r="E44" s="15" t="n"/>
      <c r="F44" s="15" t="n"/>
      <c r="G44" s="15" t="n"/>
      <c r="H44">
        <f>IF(G44&lt;&gt;"",G44-TODAY(),"")</f>
        <v/>
      </c>
      <c r="I44" s="15" t="n"/>
      <c r="J44" s="15" t="n"/>
    </row>
    <row r="45">
      <c r="A45" s="15" t="n"/>
      <c r="B45" s="15" t="n"/>
      <c r="C45" s="15" t="n"/>
      <c r="D45" s="15" t="n"/>
      <c r="E45" s="15" t="n"/>
      <c r="F45" s="15" t="n"/>
      <c r="G45" s="15" t="n"/>
      <c r="H45">
        <f>IF(G45&lt;&gt;"",G45-TODAY(),"")</f>
        <v/>
      </c>
      <c r="I45" s="15" t="n"/>
      <c r="J45" s="15" t="n"/>
    </row>
    <row r="46">
      <c r="A46" s="15" t="n"/>
      <c r="B46" s="15" t="n"/>
      <c r="C46" s="15" t="n"/>
      <c r="D46" s="15" t="n"/>
      <c r="E46" s="15" t="n"/>
      <c r="F46" s="15" t="n"/>
      <c r="G46" s="15" t="n"/>
      <c r="H46">
        <f>IF(G46&lt;&gt;"",G46-TODAY(),"")</f>
        <v/>
      </c>
      <c r="I46" s="15" t="n"/>
      <c r="J46" s="15" t="n"/>
    </row>
    <row r="47">
      <c r="A47" s="15" t="n"/>
      <c r="B47" s="15" t="n"/>
      <c r="C47" s="15" t="n"/>
      <c r="D47" s="15" t="n"/>
      <c r="E47" s="15" t="n"/>
      <c r="F47" s="15" t="n"/>
      <c r="G47" s="15" t="n"/>
      <c r="H47">
        <f>IF(G47&lt;&gt;"",G47-TODAY(),"")</f>
        <v/>
      </c>
      <c r="I47" s="15" t="n"/>
      <c r="J47" s="15" t="n"/>
    </row>
    <row r="48">
      <c r="A48" s="15" t="n"/>
      <c r="B48" s="15" t="n"/>
      <c r="C48" s="15" t="n"/>
      <c r="D48" s="15" t="n"/>
      <c r="E48" s="15" t="n"/>
      <c r="F48" s="15" t="n"/>
      <c r="G48" s="15" t="n"/>
      <c r="H48">
        <f>IF(G48&lt;&gt;"",G48-TODAY(),"")</f>
        <v/>
      </c>
      <c r="I48" s="15" t="n"/>
      <c r="J48" s="15" t="n"/>
    </row>
    <row r="49">
      <c r="A49" s="15" t="n"/>
      <c r="B49" s="15" t="n"/>
      <c r="C49" s="15" t="n"/>
      <c r="D49" s="15" t="n"/>
      <c r="E49" s="15" t="n"/>
      <c r="F49" s="15" t="n"/>
      <c r="G49" s="15" t="n"/>
      <c r="H49">
        <f>IF(G49&lt;&gt;"",G49-TODAY(),"")</f>
        <v/>
      </c>
      <c r="I49" s="15" t="n"/>
      <c r="J49" s="15" t="n"/>
    </row>
    <row r="50">
      <c r="A50" s="15" t="n"/>
      <c r="B50" s="15" t="n"/>
      <c r="C50" s="15" t="n"/>
      <c r="D50" s="15" t="n"/>
      <c r="E50" s="15" t="n"/>
      <c r="F50" s="15" t="n"/>
      <c r="G50" s="15" t="n"/>
      <c r="H50">
        <f>IF(G50&lt;&gt;"",G50-TODAY(),"")</f>
        <v/>
      </c>
      <c r="I50" s="15" t="n"/>
      <c r="J50" s="15" t="n"/>
    </row>
    <row r="51">
      <c r="A51" s="15" t="n"/>
      <c r="B51" s="15" t="n"/>
      <c r="C51" s="15" t="n"/>
      <c r="D51" s="15" t="n"/>
      <c r="E51" s="15" t="n"/>
      <c r="F51" s="15" t="n"/>
      <c r="G51" s="15" t="n"/>
      <c r="H51">
        <f>IF(G51&lt;&gt;"",G51-TODAY(),"")</f>
        <v/>
      </c>
      <c r="I51" s="15" t="n"/>
      <c r="J51" s="15" t="n"/>
    </row>
    <row r="52">
      <c r="A52" s="15" t="n"/>
      <c r="B52" s="15" t="n"/>
      <c r="C52" s="15" t="n"/>
      <c r="D52" s="15" t="n"/>
      <c r="E52" s="15" t="n"/>
      <c r="F52" s="15" t="n"/>
      <c r="G52" s="15" t="n"/>
      <c r="H52">
        <f>IF(G52&lt;&gt;"",G52-TODAY(),"")</f>
        <v/>
      </c>
      <c r="I52" s="15" t="n"/>
      <c r="J52" s="15" t="n"/>
    </row>
    <row r="53">
      <c r="A53" s="15" t="n"/>
      <c r="B53" s="15" t="n"/>
      <c r="C53" s="15" t="n"/>
      <c r="D53" s="15" t="n"/>
      <c r="E53" s="15" t="n"/>
      <c r="F53" s="15" t="n"/>
      <c r="G53" s="15" t="n"/>
      <c r="H53">
        <f>IF(G53&lt;&gt;"",G53-TODAY(),"")</f>
        <v/>
      </c>
      <c r="I53" s="15" t="n"/>
      <c r="J53" s="15" t="n"/>
    </row>
    <row r="54">
      <c r="A54" s="15" t="n"/>
      <c r="B54" s="15" t="n"/>
      <c r="C54" s="15" t="n"/>
      <c r="D54" s="15" t="n"/>
      <c r="E54" s="15" t="n"/>
      <c r="F54" s="15" t="n"/>
      <c r="G54" s="15" t="n"/>
      <c r="H54">
        <f>IF(G54&lt;&gt;"",G54-TODAY(),"")</f>
        <v/>
      </c>
      <c r="I54" s="15" t="n"/>
      <c r="J54" s="15" t="n"/>
    </row>
    <row r="55">
      <c r="A55" s="15" t="n"/>
      <c r="B55" s="15" t="n"/>
      <c r="C55" s="15" t="n"/>
      <c r="D55" s="15" t="n"/>
      <c r="E55" s="15" t="n"/>
      <c r="F55" s="15" t="n"/>
      <c r="G55" s="15" t="n"/>
      <c r="H55">
        <f>IF(G55&lt;&gt;"",G55-TODAY(),"")</f>
        <v/>
      </c>
      <c r="I55" s="15" t="n"/>
      <c r="J55" s="15" t="n"/>
    </row>
    <row r="58">
      <c r="A58" s="12" t="inlineStr">
        <is>
          <t>[CHART] LICENSE &amp; SUPPORT SUMMARY</t>
        </is>
      </c>
    </row>
    <row r="59">
      <c r="A59" t="inlineStr">
        <is>
          <t>Total License Cost:</t>
        </is>
      </c>
      <c r="B59" s="16">
        <f>SUM(I6:I55)</f>
        <v/>
      </c>
    </row>
    <row r="60">
      <c r="A60" t="inlineStr">
        <is>
          <t>Expiring Soon (&lt;90 days):</t>
        </is>
      </c>
      <c r="B60">
        <f>COUNTIF(H6:H55,"&lt;90")</f>
        <v/>
      </c>
    </row>
    <row r="61">
      <c r="A61" t="inlineStr">
        <is>
          <t>✅ Active Support:</t>
        </is>
      </c>
      <c r="B61">
        <f>COUNTIF(F6:F55,"✅ Active")</f>
        <v/>
      </c>
    </row>
    <row r="62">
      <c r="A62" t="inlineStr">
        <is>
          <t>❌ Expired Support:</t>
        </is>
      </c>
      <c r="B62">
        <f>COUNTIF(F6:F55,"❌ Expired")</f>
        <v/>
      </c>
    </row>
  </sheetData>
  <mergeCells count="3">
    <mergeCell ref="A1:J1"/>
    <mergeCell ref="A58:C58"/>
    <mergeCell ref="A2:J2"/>
  </mergeCells>
  <dataValidations count="2">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"Subscription,Perpetual,Bundled,Trial,Open Source,Unknown"</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 Active,Expiring Soon,Expired,Unknown"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6"/>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ht="35" customHeight="1">
      <c r="A1" s="11" t="inlineStr">
        <is>
          <t>CAPABILITY REQUIREMENTS MAPPING</t>
        </is>
      </c>
    </row>
    <row r="2">
      <c r="A2" s="12" t="inlineStr">
        <is>
          <t>A.8.7 Policy Requirements → Implementation Verification (25 requirements)</t>
        </is>
      </c>
    </row>
    <row r="4">
      <c r="A4" s="13" t="inlineStr">
        <is>
          <t>Req ID</t>
        </is>
      </c>
      <c r="B4" s="13" t="inlineStr">
        <is>
          <t>Policy Requirement</t>
        </is>
      </c>
      <c r="C4" s="13" t="inlineStr">
        <is>
          <t>Implemented</t>
        </is>
      </c>
      <c r="D4" s="13" t="inlineStr">
        <is>
          <t>Evidence Reference</t>
        </is>
      </c>
      <c r="E4" s="13" t="inlineStr">
        <is>
          <t>Notes</t>
        </is>
      </c>
      <c r="F4" s="13" t="inlineStr">
        <is>
          <t>Status</t>
        </is>
      </c>
    </row>
    <row r="5">
      <c r="A5" s="14" t="inlineStr">
        <is>
          <t>REQ-A87-XXX</t>
        </is>
      </c>
      <c r="B5" s="14" t="inlineStr">
        <is>
          <t>Example: Anti-malware/EDR deployed on ≥98% corporate endpoints</t>
        </is>
      </c>
      <c r="C5" s="14" t="inlineStr">
        <is>
          <t>Yes</t>
        </is>
      </c>
      <c r="D5" s="14" t="inlineStr">
        <is>
          <t>/evidence/A.8.7/av-coverage-report.pdf</t>
        </is>
      </c>
      <c r="E5" s="14" t="inlineStr">
        <is>
          <t>Example row</t>
        </is>
      </c>
      <c r="F5" s="14">
        <f>IF(C5="Yes","✅ Compliant",IF(C5="N/A","N/A","❌ Gap"))</f>
        <v/>
      </c>
    </row>
    <row r="6">
      <c r="A6" s="22" t="inlineStr">
        <is>
          <t>REQ-A87-001</t>
        </is>
      </c>
      <c r="B6" s="23" t="inlineStr">
        <is>
          <t>Anti-malware/EDR deployed on ≥98% corporate endpoints</t>
        </is>
      </c>
      <c r="C6" s="15" t="n"/>
      <c r="D6" s="15" t="n"/>
      <c r="E6" s="15" t="n"/>
      <c r="F6" s="6">
        <f>IF(C6="Yes","✅ Compliant",IF(C6="N/A","N/A","❌ Gap"))</f>
        <v/>
      </c>
    </row>
    <row r="7">
      <c r="A7" s="22" t="inlineStr">
        <is>
          <t>REQ-A87-002</t>
        </is>
      </c>
      <c r="B7" s="23" t="inlineStr">
        <is>
          <t>Anti-malware/EDR deployed on ≥80% BYOD devices</t>
        </is>
      </c>
      <c r="C7" s="15" t="n"/>
      <c r="D7" s="15" t="n"/>
      <c r="E7" s="15" t="n"/>
      <c r="F7" s="6">
        <f>IF(C7="Yes","✅ Compliant",IF(C7="N/A","N/A","❌ Gap"))</f>
        <v/>
      </c>
    </row>
    <row r="8">
      <c r="A8" s="22" t="inlineStr">
        <is>
          <t>REQ-A87-003</t>
        </is>
      </c>
      <c r="B8" s="23" t="inlineStr">
        <is>
          <t>Signature updates automatic and daily</t>
        </is>
      </c>
      <c r="C8" s="15" t="n"/>
      <c r="D8" s="15" t="n"/>
      <c r="E8" s="15" t="n"/>
      <c r="F8" s="6">
        <f>IF(C8="Yes","✅ Compliant",IF(C8="N/A","N/A","❌ Gap"))</f>
        <v/>
      </c>
    </row>
    <row r="9">
      <c r="A9" s="22" t="inlineStr">
        <is>
          <t>REQ-A87-004</t>
        </is>
      </c>
      <c r="B9" s="23" t="inlineStr">
        <is>
          <t>Signatures current (&lt;24 hours) on ≥98% endpoints</t>
        </is>
      </c>
      <c r="C9" s="15" t="n"/>
      <c r="D9" s="15" t="n"/>
      <c r="E9" s="15" t="n"/>
      <c r="F9" s="6">
        <f>IF(C9="Yes","✅ Compliant",IF(C9="N/A","N/A","❌ Gap"))</f>
        <v/>
      </c>
    </row>
    <row r="10">
      <c r="A10" s="22" t="inlineStr">
        <is>
          <t>REQ-A87-005</t>
        </is>
      </c>
      <c r="B10" s="23" t="inlineStr">
        <is>
          <t>Real-time scanning enabled on all endpoints</t>
        </is>
      </c>
      <c r="C10" s="15" t="n"/>
      <c r="D10" s="15" t="n"/>
      <c r="E10" s="15" t="n"/>
      <c r="F10" s="6">
        <f>IF(C10="Yes","✅ Compliant",IF(C10="N/A","N/A","❌ Gap"))</f>
        <v/>
      </c>
    </row>
    <row r="11">
      <c r="A11" s="22" t="inlineStr">
        <is>
          <t>REQ-A87-006</t>
        </is>
      </c>
      <c r="B11" s="23" t="inlineStr">
        <is>
          <t>Weekly full scans on ≥95% endpoints</t>
        </is>
      </c>
      <c r="C11" s="15" t="n"/>
      <c r="D11" s="15" t="n"/>
      <c r="E11" s="15" t="n"/>
      <c r="F11" s="6">
        <f>IF(C11="Yes","✅ Compliant",IF(C11="N/A","N/A","❌ Gap"))</f>
        <v/>
      </c>
    </row>
    <row r="12">
      <c r="A12" s="22" t="inlineStr">
        <is>
          <t>REQ-A87-007</t>
        </is>
      </c>
      <c r="B12" s="23" t="inlineStr">
        <is>
          <t>Daily quick scans on ≥90% endpoints</t>
        </is>
      </c>
      <c r="C12" s="15" t="n"/>
      <c r="D12" s="15" t="n"/>
      <c r="E12" s="15" t="n"/>
      <c r="F12" s="6">
        <f>IF(C12="Yes","✅ Compliant",IF(C12="N/A","N/A","❌ Gap"))</f>
        <v/>
      </c>
    </row>
    <row r="13">
      <c r="A13" s="22" t="inlineStr">
        <is>
          <t>REQ-A87-008</t>
        </is>
      </c>
      <c r="B13" s="23" t="inlineStr">
        <is>
          <t>Malware detection alerts to security team</t>
        </is>
      </c>
      <c r="C13" s="15" t="n"/>
      <c r="D13" s="15" t="n"/>
      <c r="E13" s="15" t="n"/>
      <c r="F13" s="6">
        <f>IF(C13="Yes","✅ Compliant",IF(C13="N/A","N/A","❌ Gap"))</f>
        <v/>
      </c>
    </row>
    <row r="14">
      <c r="A14" s="22" t="inlineStr">
        <is>
          <t>REQ-A87-009</t>
        </is>
      </c>
      <c r="B14" s="23" t="inlineStr">
        <is>
          <t>Quarantine/remediation automatic where possible</t>
        </is>
      </c>
      <c r="C14" s="15" t="n"/>
      <c r="D14" s="15" t="n"/>
      <c r="E14" s="15" t="n"/>
      <c r="F14" s="6">
        <f>IF(C14="Yes","✅ Compliant",IF(C14="N/A","N/A","❌ Gap"))</f>
        <v/>
      </c>
    </row>
    <row r="15">
      <c r="A15" s="22" t="inlineStr">
        <is>
          <t>REQ-A87-010</t>
        </is>
      </c>
      <c r="B15" s="23" t="inlineStr">
        <is>
          <t>Remediation success rate ≥95%</t>
        </is>
      </c>
      <c r="C15" s="15" t="n"/>
      <c r="D15" s="15" t="n"/>
      <c r="E15" s="15" t="n"/>
      <c r="F15" s="6">
        <f>IF(C15="Yes","✅ Compliant",IF(C15="N/A","N/A","❌ Gap"))</f>
        <v/>
      </c>
    </row>
    <row r="16">
      <c r="A16" s="22" t="inlineStr">
        <is>
          <t>REQ-A87-011</t>
        </is>
      </c>
      <c r="B16" s="23" t="inlineStr">
        <is>
          <t>Re-infection rate &lt;5%</t>
        </is>
      </c>
      <c r="C16" s="15" t="n"/>
      <c r="D16" s="15" t="n"/>
      <c r="E16" s="15" t="n"/>
      <c r="F16" s="6">
        <f>IF(C16="Yes","✅ Compliant",IF(C16="N/A","N/A","❌ Gap"))</f>
        <v/>
      </c>
    </row>
    <row r="17">
      <c r="A17" s="22" t="inlineStr">
        <is>
          <t>REQ-A87-012</t>
        </is>
      </c>
      <c r="B17" s="23" t="inlineStr">
        <is>
          <t>False positive rate &lt;10%</t>
        </is>
      </c>
      <c r="C17" s="15" t="n"/>
      <c r="D17" s="15" t="n"/>
      <c r="E17" s="15" t="n"/>
      <c r="F17" s="6">
        <f>IF(C17="Yes","✅ Compliant",IF(C17="N/A","N/A","❌ Gap"))</f>
        <v/>
      </c>
    </row>
    <row r="18">
      <c r="A18" s="22" t="inlineStr">
        <is>
          <t>REQ-A87-013</t>
        </is>
      </c>
      <c r="B18" s="23" t="inlineStr">
        <is>
          <t>Critical malware incidents investigated within 4 hours</t>
        </is>
      </c>
      <c r="C18" s="15" t="n"/>
      <c r="D18" s="15" t="n"/>
      <c r="E18" s="15" t="n"/>
      <c r="F18" s="6">
        <f>IF(C18="Yes","✅ Compliant",IF(C18="N/A","N/A","❌ Gap"))</f>
        <v/>
      </c>
    </row>
    <row r="19">
      <c r="A19" s="22" t="inlineStr">
        <is>
          <t>REQ-A87-014</t>
        </is>
      </c>
      <c r="B19" s="23" t="inlineStr">
        <is>
          <t>High malware incidents investigated within 8 hours</t>
        </is>
      </c>
      <c r="C19" s="15" t="n"/>
      <c r="D19" s="15" t="n"/>
      <c r="E19" s="15" t="n"/>
      <c r="F19" s="6">
        <f>IF(C19="Yes","✅ Compliant",IF(C19="N/A","N/A","❌ Gap"))</f>
        <v/>
      </c>
    </row>
    <row r="20">
      <c r="A20" s="22" t="inlineStr">
        <is>
          <t>REQ-A87-015</t>
        </is>
      </c>
      <c r="B20" s="23" t="inlineStr">
        <is>
          <t>Critical malware contained within 24 hours</t>
        </is>
      </c>
      <c r="C20" s="15" t="n"/>
      <c r="D20" s="15" t="n"/>
      <c r="E20" s="15" t="n"/>
      <c r="F20" s="6">
        <f>IF(C20="Yes","✅ Compliant",IF(C20="N/A","N/A","❌ Gap"))</f>
        <v/>
      </c>
    </row>
    <row r="21">
      <c r="A21" s="22" t="inlineStr">
        <is>
          <t>REQ-A87-016</t>
        </is>
      </c>
      <c r="B21" s="23" t="inlineStr">
        <is>
          <t>High malware contained within 48 hours</t>
        </is>
      </c>
      <c r="C21" s="15" t="n"/>
      <c r="D21" s="15" t="n"/>
      <c r="E21" s="15" t="n"/>
      <c r="F21" s="6">
        <f>IF(C21="Yes","✅ Compliant",IF(C21="N/A","N/A","❌ Gap"))</f>
        <v/>
      </c>
    </row>
    <row r="22">
      <c r="A22" s="22" t="inlineStr">
        <is>
          <t>REQ-A87-017</t>
        </is>
      </c>
      <c r="B22" s="23" t="inlineStr">
        <is>
          <t>Annual security awareness training ≥98% completion</t>
        </is>
      </c>
      <c r="C22" s="15" t="n"/>
      <c r="D22" s="15" t="n"/>
      <c r="E22" s="15" t="n"/>
      <c r="F22" s="6">
        <f>IF(C22="Yes","✅ Compliant",IF(C22="N/A","N/A","❌ Gap"))</f>
        <v/>
      </c>
    </row>
    <row r="23">
      <c r="A23" s="22" t="inlineStr">
        <is>
          <t>REQ-A87-018</t>
        </is>
      </c>
      <c r="B23" s="23" t="inlineStr">
        <is>
          <t>Quarterly phishing simulations conducted</t>
        </is>
      </c>
      <c r="C23" s="15" t="n"/>
      <c r="D23" s="15" t="n"/>
      <c r="E23" s="15" t="n"/>
      <c r="F23" s="6">
        <f>IF(C23="Yes","✅ Compliant",IF(C23="N/A","N/A","❌ Gap"))</f>
        <v/>
      </c>
    </row>
    <row r="24">
      <c r="A24" s="22" t="inlineStr">
        <is>
          <t>REQ-A87-019</t>
        </is>
      </c>
      <c r="B24" s="23" t="inlineStr">
        <is>
          <t>Phishing click rate &lt;10% or improving trend</t>
        </is>
      </c>
      <c r="C24" s="15" t="n"/>
      <c r="D24" s="15" t="n"/>
      <c r="E24" s="15" t="n"/>
      <c r="F24" s="6">
        <f>IF(C24="Yes","✅ Compliant",IF(C24="N/A","N/A","❌ Gap"))</f>
        <v/>
      </c>
    </row>
    <row r="25">
      <c r="A25" s="22" t="inlineStr">
        <is>
          <t>REQ-A87-020</t>
        </is>
      </c>
      <c r="B25" s="23" t="inlineStr">
        <is>
          <t>Malware protection integrated with SIEM</t>
        </is>
      </c>
      <c r="C25" s="15" t="n"/>
      <c r="D25" s="15" t="n"/>
      <c r="E25" s="15" t="n"/>
      <c r="F25" s="6">
        <f>IF(C25="Yes","✅ Compliant",IF(C25="N/A","N/A","❌ Gap"))</f>
        <v/>
      </c>
    </row>
    <row r="26">
      <c r="A26" s="22" t="inlineStr">
        <is>
          <t>REQ-A87-021</t>
        </is>
      </c>
      <c r="B26" s="23" t="inlineStr">
        <is>
          <t>Malware incidents logged and tracked</t>
        </is>
      </c>
      <c r="C26" s="15" t="n"/>
      <c r="D26" s="15" t="n"/>
      <c r="E26" s="15" t="n"/>
      <c r="F26" s="6">
        <f>IF(C26="Yes","✅ Compliant",IF(C26="N/A","N/A","❌ Gap"))</f>
        <v/>
      </c>
    </row>
    <row r="27">
      <c r="A27" s="22" t="inlineStr">
        <is>
          <t>REQ-A87-022</t>
        </is>
      </c>
      <c r="B27" s="23" t="inlineStr">
        <is>
          <t>Post-incident reviews for critical incidents</t>
        </is>
      </c>
      <c r="C27" s="15" t="n"/>
      <c r="D27" s="15" t="n"/>
      <c r="E27" s="15" t="n"/>
      <c r="F27" s="6">
        <f>IF(C27="Yes","✅ Compliant",IF(C27="N/A","N/A","❌ Gap"))</f>
        <v/>
      </c>
    </row>
    <row r="28">
      <c r="A28" s="22" t="inlineStr">
        <is>
          <t>REQ-A87-023</t>
        </is>
      </c>
      <c r="B28" s="23" t="inlineStr">
        <is>
          <t>Malware protection licenses current</t>
        </is>
      </c>
      <c r="C28" s="15" t="n"/>
      <c r="D28" s="15" t="n"/>
      <c r="E28" s="15" t="n"/>
      <c r="F28" s="6">
        <f>IF(C28="Yes","✅ Compliant",IF(C28="N/A","N/A","❌ Gap"))</f>
        <v/>
      </c>
    </row>
    <row r="29">
      <c r="A29" s="22" t="inlineStr">
        <is>
          <t>REQ-A87-024</t>
        </is>
      </c>
      <c r="B29" s="23" t="inlineStr">
        <is>
          <t>Support contracts active</t>
        </is>
      </c>
      <c r="C29" s="15" t="n"/>
      <c r="D29" s="15" t="n"/>
      <c r="E29" s="15" t="n"/>
      <c r="F29" s="6">
        <f>IF(C29="Yes","✅ Compliant",IF(C29="N/A","N/A","❌ Gap"))</f>
        <v/>
      </c>
    </row>
    <row r="30">
      <c r="A30" s="22" t="inlineStr">
        <is>
          <t>REQ-A87-025</t>
        </is>
      </c>
      <c r="B30" s="23" t="inlineStr">
        <is>
          <t>Quarterly protection effectiveness assessment</t>
        </is>
      </c>
      <c r="C30" s="15" t="n"/>
      <c r="D30" s="15" t="n"/>
      <c r="E30" s="15" t="n"/>
      <c r="F30" s="6">
        <f>IF(C30="Yes","✅ Compliant",IF(C30="N/A","N/A","❌ Gap"))</f>
        <v/>
      </c>
    </row>
    <row r="33">
      <c r="A33" s="12" t="inlineStr">
        <is>
          <t>[CHART] REQUIREMENTS COMPLIANCE SUMMARY</t>
        </is>
      </c>
    </row>
    <row r="34">
      <c r="A34" t="inlineStr">
        <is>
          <t>Total Requirements:</t>
        </is>
      </c>
      <c r="B34" t="n">
        <v>25</v>
      </c>
    </row>
    <row r="35">
      <c r="A35" t="inlineStr">
        <is>
          <t>Implemented:</t>
        </is>
      </c>
      <c r="B35">
        <f>COUNTIF(C6:C30,"Yes")</f>
        <v/>
      </c>
    </row>
    <row r="36">
      <c r="A36" t="inlineStr">
        <is>
          <t>Compliance Rate:</t>
        </is>
      </c>
      <c r="B36" s="18">
        <f>IF(B34&gt;0,B35/B34*100,0)&amp;"%"</f>
        <v/>
      </c>
    </row>
  </sheetData>
  <mergeCells count="3">
    <mergeCell ref="A2:F2"/>
    <mergeCell ref="A33:C33"/>
    <mergeCell ref="A1:F1"/>
  </mergeCells>
  <dataValidations count="1">
    <dataValidation sqref="C6 C7 C8 C9 C10 C11 C12 C13 C14 C15 C16 C17 C18 C19 C20 C21 C22 C23 C24 C25 C26 C27 C28 C29 C30" showDropDown="0" showInputMessage="0" showErrorMessage="0" allowBlank="0" type="list">
      <formula1>"Yes,No,N/A"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58"/>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ht="35" customHeight="1">
      <c r="A1" s="11" t="inlineStr">
        <is>
          <t>GAP ANALYSIS &amp; REMEDIATION TRACKING</t>
        </is>
      </c>
    </row>
    <row r="2">
      <c r="A2" s="12" t="inlineStr">
        <is>
          <t>Gap identification, severity classification, remediation planning (50 entries)</t>
        </is>
      </c>
    </row>
    <row r="4">
      <c r="A4" s="13" t="inlineStr">
        <is>
          <t>Gap ID</t>
        </is>
      </c>
      <c r="B4" s="13" t="inlineStr">
        <is>
          <t>Gap Description</t>
        </is>
      </c>
      <c r="C4" s="13" t="inlineStr">
        <is>
          <t>Affected Devices/Count</t>
        </is>
      </c>
      <c r="D4" s="13" t="inlineStr">
        <is>
          <t>Related Requirement</t>
        </is>
      </c>
      <c r="E4" s="13" t="inlineStr">
        <is>
          <t>Severity</t>
        </is>
      </c>
      <c r="F4" s="13" t="inlineStr">
        <is>
          <t>Risk</t>
        </is>
      </c>
      <c r="G4" s="13" t="inlineStr">
        <is>
          <t>Root Cause</t>
        </is>
      </c>
      <c r="H4" s="13" t="inlineStr">
        <is>
          <t>Remediation Plan</t>
        </is>
      </c>
      <c r="I4" s="13" t="inlineStr">
        <is>
          <t>Owner</t>
        </is>
      </c>
      <c r="J4" s="13" t="inlineStr">
        <is>
          <t>Due Date</t>
        </is>
      </c>
      <c r="K4" s="13" t="inlineStr">
        <is>
          <t>Status</t>
        </is>
      </c>
      <c r="L4" s="13" t="inlineStr">
        <is>
          <t>Budget Required</t>
        </is>
      </c>
      <c r="M4" s="13" t="inlineStr">
        <is>
          <t>Notes</t>
        </is>
      </c>
    </row>
    <row r="5">
      <c r="A5" s="24" t="inlineStr">
        <is>
          <t>GAP-001</t>
        </is>
      </c>
      <c r="B5" s="25" t="inlineStr">
        <is>
          <t>Example: AV/EDR agent not installed on endpoint</t>
        </is>
      </c>
      <c r="C5" s="25" t="inlineStr">
        <is>
          <t>5 endpoints (IT Department)</t>
        </is>
      </c>
      <c r="D5" s="25" t="inlineStr">
        <is>
          <t>REQ-A87-001</t>
        </is>
      </c>
      <c r="E5" s="25" t="inlineStr">
        <is>
          <t>High</t>
        </is>
      </c>
      <c r="F5" s="25" t="inlineStr">
        <is>
          <t>High — unprotected endpoints exposed to malware</t>
        </is>
      </c>
      <c r="G5" s="25" t="inlineStr">
        <is>
          <t>Imaging process does not include AV agent</t>
        </is>
      </c>
      <c r="H5" s="25" t="inlineStr">
        <is>
          <t>Update imaging template to include AV agent pre-install</t>
        </is>
      </c>
      <c r="I5" s="25" t="inlineStr">
        <is>
          <t>IT Operations</t>
        </is>
      </c>
      <c r="J5" s="25" t="inlineStr">
        <is>
          <t>28.02.2026</t>
        </is>
      </c>
      <c r="K5" s="25" t="inlineStr">
        <is>
          <t>Open</t>
        </is>
      </c>
      <c r="L5" s="25" t="inlineStr">
        <is>
          <t>CHF 0</t>
        </is>
      </c>
      <c r="M5" s="25" t="inlineStr">
        <is>
          <t>Example row — do not use for compliance calculations</t>
        </is>
      </c>
    </row>
    <row r="6">
      <c r="A6" s="26" t="n"/>
      <c r="B6" s="15" t="n"/>
      <c r="C6" s="15" t="n"/>
      <c r="D6" s="15" t="n"/>
      <c r="E6" s="15" t="n"/>
      <c r="F6" s="15" t="n"/>
      <c r="G6" s="15" t="n"/>
      <c r="H6" s="15" t="n"/>
      <c r="I6" s="15" t="n"/>
      <c r="J6" s="15" t="n"/>
      <c r="K6" s="15" t="n"/>
      <c r="L6" s="15" t="n"/>
      <c r="M6" s="15" t="n"/>
    </row>
    <row r="7">
      <c r="A7" s="26" t="n"/>
      <c r="B7" s="15" t="n"/>
      <c r="C7" s="15" t="n"/>
      <c r="D7" s="15" t="n"/>
      <c r="E7" s="15" t="n"/>
      <c r="F7" s="15" t="n"/>
      <c r="G7" s="15" t="n"/>
      <c r="H7" s="15" t="n"/>
      <c r="I7" s="15" t="n"/>
      <c r="J7" s="15" t="n"/>
      <c r="K7" s="15" t="n"/>
      <c r="L7" s="15" t="n"/>
      <c r="M7" s="15" t="n"/>
    </row>
    <row r="8">
      <c r="A8" s="26" t="n"/>
      <c r="B8" s="15" t="n"/>
      <c r="C8" s="15" t="n"/>
      <c r="D8" s="15" t="n"/>
      <c r="E8" s="15" t="n"/>
      <c r="F8" s="15" t="n"/>
      <c r="G8" s="15" t="n"/>
      <c r="H8" s="15" t="n"/>
      <c r="I8" s="15" t="n"/>
      <c r="J8" s="15" t="n"/>
      <c r="K8" s="15" t="n"/>
      <c r="L8" s="15" t="n"/>
      <c r="M8" s="15" t="n"/>
    </row>
    <row r="9">
      <c r="A9" s="26" t="n"/>
      <c r="B9" s="15" t="n"/>
      <c r="C9" s="15" t="n"/>
      <c r="D9" s="15" t="n"/>
      <c r="E9" s="15" t="n"/>
      <c r="F9" s="15" t="n"/>
      <c r="G9" s="15" t="n"/>
      <c r="H9" s="15" t="n"/>
      <c r="I9" s="15" t="n"/>
      <c r="J9" s="15" t="n"/>
      <c r="K9" s="15" t="n"/>
      <c r="L9" s="15" t="n"/>
      <c r="M9" s="15" t="n"/>
    </row>
    <row r="10">
      <c r="A10" s="26" t="n"/>
      <c r="B10" s="15" t="n"/>
      <c r="C10" s="15" t="n"/>
      <c r="D10" s="15" t="n"/>
      <c r="E10" s="15" t="n"/>
      <c r="F10" s="15" t="n"/>
      <c r="G10" s="15" t="n"/>
      <c r="H10" s="15" t="n"/>
      <c r="I10" s="15" t="n"/>
      <c r="J10" s="15" t="n"/>
      <c r="K10" s="15" t="n"/>
      <c r="L10" s="15" t="n"/>
      <c r="M10" s="15" t="n"/>
    </row>
    <row r="11">
      <c r="A11" s="26" t="n"/>
      <c r="B11" s="15" t="n"/>
      <c r="C11" s="15" t="n"/>
      <c r="D11" s="15" t="n"/>
      <c r="E11" s="15" t="n"/>
      <c r="F11" s="15" t="n"/>
      <c r="G11" s="15" t="n"/>
      <c r="H11" s="15" t="n"/>
      <c r="I11" s="15" t="n"/>
      <c r="J11" s="15" t="n"/>
      <c r="K11" s="15" t="n"/>
      <c r="L11" s="15" t="n"/>
      <c r="M11" s="15" t="n"/>
    </row>
    <row r="12">
      <c r="A12" s="26" t="n"/>
      <c r="B12" s="15" t="n"/>
      <c r="C12" s="15" t="n"/>
      <c r="D12" s="15" t="n"/>
      <c r="E12" s="15" t="n"/>
      <c r="F12" s="15" t="n"/>
      <c r="G12" s="15" t="n"/>
      <c r="H12" s="15" t="n"/>
      <c r="I12" s="15" t="n"/>
      <c r="J12" s="15" t="n"/>
      <c r="K12" s="15" t="n"/>
      <c r="L12" s="15" t="n"/>
      <c r="M12" s="15" t="n"/>
    </row>
    <row r="13">
      <c r="A13" s="26" t="n"/>
      <c r="B13" s="15" t="n"/>
      <c r="C13" s="15" t="n"/>
      <c r="D13" s="15" t="n"/>
      <c r="E13" s="15" t="n"/>
      <c r="F13" s="15" t="n"/>
      <c r="G13" s="15" t="n"/>
      <c r="H13" s="15" t="n"/>
      <c r="I13" s="15" t="n"/>
      <c r="J13" s="15" t="n"/>
      <c r="K13" s="15" t="n"/>
      <c r="L13" s="15" t="n"/>
      <c r="M13" s="15" t="n"/>
    </row>
    <row r="14">
      <c r="A14" s="26" t="n"/>
      <c r="B14" s="15" t="n"/>
      <c r="C14" s="15" t="n"/>
      <c r="D14" s="15" t="n"/>
      <c r="E14" s="15" t="n"/>
      <c r="F14" s="15" t="n"/>
      <c r="G14" s="15" t="n"/>
      <c r="H14" s="15" t="n"/>
      <c r="I14" s="15" t="n"/>
      <c r="J14" s="15" t="n"/>
      <c r="K14" s="15" t="n"/>
      <c r="L14" s="15" t="n"/>
      <c r="M14" s="15" t="n"/>
    </row>
    <row r="15">
      <c r="A15" s="26" t="n"/>
      <c r="B15" s="15" t="n"/>
      <c r="C15" s="15" t="n"/>
      <c r="D15" s="15" t="n"/>
      <c r="E15" s="15" t="n"/>
      <c r="F15" s="15" t="n"/>
      <c r="G15" s="15" t="n"/>
      <c r="H15" s="15" t="n"/>
      <c r="I15" s="15" t="n"/>
      <c r="J15" s="15" t="n"/>
      <c r="K15" s="15" t="n"/>
      <c r="L15" s="15" t="n"/>
      <c r="M15" s="15" t="n"/>
    </row>
    <row r="16">
      <c r="A16" s="26" t="n"/>
      <c r="B16" s="15" t="n"/>
      <c r="C16" s="15" t="n"/>
      <c r="D16" s="15" t="n"/>
      <c r="E16" s="15" t="n"/>
      <c r="F16" s="15" t="n"/>
      <c r="G16" s="15" t="n"/>
      <c r="H16" s="15" t="n"/>
      <c r="I16" s="15" t="n"/>
      <c r="J16" s="15" t="n"/>
      <c r="K16" s="15" t="n"/>
      <c r="L16" s="15" t="n"/>
      <c r="M16" s="15" t="n"/>
    </row>
    <row r="17">
      <c r="A17" s="26" t="n"/>
      <c r="B17" s="15" t="n"/>
      <c r="C17" s="15" t="n"/>
      <c r="D17" s="15" t="n"/>
      <c r="E17" s="15" t="n"/>
      <c r="F17" s="15" t="n"/>
      <c r="G17" s="15" t="n"/>
      <c r="H17" s="15" t="n"/>
      <c r="I17" s="15" t="n"/>
      <c r="J17" s="15" t="n"/>
      <c r="K17" s="15" t="n"/>
      <c r="L17" s="15" t="n"/>
      <c r="M17" s="15" t="n"/>
    </row>
    <row r="18">
      <c r="A18" s="26" t="n"/>
      <c r="B18" s="15" t="n"/>
      <c r="C18" s="15" t="n"/>
      <c r="D18" s="15" t="n"/>
      <c r="E18" s="15" t="n"/>
      <c r="F18" s="15" t="n"/>
      <c r="G18" s="15" t="n"/>
      <c r="H18" s="15" t="n"/>
      <c r="I18" s="15" t="n"/>
      <c r="J18" s="15" t="n"/>
      <c r="K18" s="15" t="n"/>
      <c r="L18" s="15" t="n"/>
      <c r="M18" s="15" t="n"/>
    </row>
    <row r="19">
      <c r="A19" s="26" t="n"/>
      <c r="B19" s="15" t="n"/>
      <c r="C19" s="15" t="n"/>
      <c r="D19" s="15" t="n"/>
      <c r="E19" s="15" t="n"/>
      <c r="F19" s="15" t="n"/>
      <c r="G19" s="15" t="n"/>
      <c r="H19" s="15" t="n"/>
      <c r="I19" s="15" t="n"/>
      <c r="J19" s="15" t="n"/>
      <c r="K19" s="15" t="n"/>
      <c r="L19" s="15" t="n"/>
      <c r="M19" s="15" t="n"/>
    </row>
    <row r="20">
      <c r="A20" s="26" t="n"/>
      <c r="B20" s="15" t="n"/>
      <c r="C20" s="15" t="n"/>
      <c r="D20" s="15" t="n"/>
      <c r="E20" s="15" t="n"/>
      <c r="F20" s="15" t="n"/>
      <c r="G20" s="15" t="n"/>
      <c r="H20" s="15" t="n"/>
      <c r="I20" s="15" t="n"/>
      <c r="J20" s="15" t="n"/>
      <c r="K20" s="15" t="n"/>
      <c r="L20" s="15" t="n"/>
      <c r="M20" s="15" t="n"/>
    </row>
    <row r="21">
      <c r="A21" s="26" t="n"/>
      <c r="B21" s="15" t="n"/>
      <c r="C21" s="15" t="n"/>
      <c r="D21" s="15" t="n"/>
      <c r="E21" s="15" t="n"/>
      <c r="F21" s="15" t="n"/>
      <c r="G21" s="15" t="n"/>
      <c r="H21" s="15" t="n"/>
      <c r="I21" s="15" t="n"/>
      <c r="J21" s="15" t="n"/>
      <c r="K21" s="15" t="n"/>
      <c r="L21" s="15" t="n"/>
      <c r="M21" s="15" t="n"/>
    </row>
    <row r="22">
      <c r="A22" s="26" t="n"/>
      <c r="B22" s="15" t="n"/>
      <c r="C22" s="15" t="n"/>
      <c r="D22" s="15" t="n"/>
      <c r="E22" s="15" t="n"/>
      <c r="F22" s="15" t="n"/>
      <c r="G22" s="15" t="n"/>
      <c r="H22" s="15" t="n"/>
      <c r="I22" s="15" t="n"/>
      <c r="J22" s="15" t="n"/>
      <c r="K22" s="15" t="n"/>
      <c r="L22" s="15" t="n"/>
      <c r="M22" s="15" t="n"/>
    </row>
    <row r="23">
      <c r="A23" s="26" t="n"/>
      <c r="B23" s="15" t="n"/>
      <c r="C23" s="15" t="n"/>
      <c r="D23" s="15" t="n"/>
      <c r="E23" s="15" t="n"/>
      <c r="F23" s="15" t="n"/>
      <c r="G23" s="15" t="n"/>
      <c r="H23" s="15" t="n"/>
      <c r="I23" s="15" t="n"/>
      <c r="J23" s="15" t="n"/>
      <c r="K23" s="15" t="n"/>
      <c r="L23" s="15" t="n"/>
      <c r="M23" s="15" t="n"/>
    </row>
    <row r="24">
      <c r="A24" s="26" t="n"/>
      <c r="B24" s="15" t="n"/>
      <c r="C24" s="15" t="n"/>
      <c r="D24" s="15" t="n"/>
      <c r="E24" s="15" t="n"/>
      <c r="F24" s="15" t="n"/>
      <c r="G24" s="15" t="n"/>
      <c r="H24" s="15" t="n"/>
      <c r="I24" s="15" t="n"/>
      <c r="J24" s="15" t="n"/>
      <c r="K24" s="15" t="n"/>
      <c r="L24" s="15" t="n"/>
      <c r="M24" s="15" t="n"/>
    </row>
    <row r="25">
      <c r="A25" s="26" t="n"/>
      <c r="B25" s="15" t="n"/>
      <c r="C25" s="15" t="n"/>
      <c r="D25" s="15" t="n"/>
      <c r="E25" s="15" t="n"/>
      <c r="F25" s="15" t="n"/>
      <c r="G25" s="15" t="n"/>
      <c r="H25" s="15" t="n"/>
      <c r="I25" s="15" t="n"/>
      <c r="J25" s="15" t="n"/>
      <c r="K25" s="15" t="n"/>
      <c r="L25" s="15" t="n"/>
      <c r="M25" s="15" t="n"/>
    </row>
    <row r="26">
      <c r="A26" s="26" t="n"/>
      <c r="B26" s="15" t="n"/>
      <c r="C26" s="15" t="n"/>
      <c r="D26" s="15" t="n"/>
      <c r="E26" s="15" t="n"/>
      <c r="F26" s="15" t="n"/>
      <c r="G26" s="15" t="n"/>
      <c r="H26" s="15" t="n"/>
      <c r="I26" s="15" t="n"/>
      <c r="J26" s="15" t="n"/>
      <c r="K26" s="15" t="n"/>
      <c r="L26" s="15" t="n"/>
      <c r="M26" s="15" t="n"/>
    </row>
    <row r="27">
      <c r="A27" s="26" t="n"/>
      <c r="B27" s="15" t="n"/>
      <c r="C27" s="15" t="n"/>
      <c r="D27" s="15" t="n"/>
      <c r="E27" s="15" t="n"/>
      <c r="F27" s="15" t="n"/>
      <c r="G27" s="15" t="n"/>
      <c r="H27" s="15" t="n"/>
      <c r="I27" s="15" t="n"/>
      <c r="J27" s="15" t="n"/>
      <c r="K27" s="15" t="n"/>
      <c r="L27" s="15" t="n"/>
      <c r="M27" s="15" t="n"/>
    </row>
    <row r="28">
      <c r="A28" s="26" t="n"/>
      <c r="B28" s="15" t="n"/>
      <c r="C28" s="15" t="n"/>
      <c r="D28" s="15" t="n"/>
      <c r="E28" s="15" t="n"/>
      <c r="F28" s="15" t="n"/>
      <c r="G28" s="15" t="n"/>
      <c r="H28" s="15" t="n"/>
      <c r="I28" s="15" t="n"/>
      <c r="J28" s="15" t="n"/>
      <c r="K28" s="15" t="n"/>
      <c r="L28" s="15" t="n"/>
      <c r="M28" s="15" t="n"/>
    </row>
    <row r="29">
      <c r="A29" s="26" t="n"/>
      <c r="B29" s="15" t="n"/>
      <c r="C29" s="15" t="n"/>
      <c r="D29" s="15" t="n"/>
      <c r="E29" s="15" t="n"/>
      <c r="F29" s="15" t="n"/>
      <c r="G29" s="15" t="n"/>
      <c r="H29" s="15" t="n"/>
      <c r="I29" s="15" t="n"/>
      <c r="J29" s="15" t="n"/>
      <c r="K29" s="15" t="n"/>
      <c r="L29" s="15" t="n"/>
      <c r="M29" s="15" t="n"/>
    </row>
    <row r="30">
      <c r="A30" s="26" t="n"/>
      <c r="B30" s="15" t="n"/>
      <c r="C30" s="15" t="n"/>
      <c r="D30" s="15" t="n"/>
      <c r="E30" s="15" t="n"/>
      <c r="F30" s="15" t="n"/>
      <c r="G30" s="15" t="n"/>
      <c r="H30" s="15" t="n"/>
      <c r="I30" s="15" t="n"/>
      <c r="J30" s="15" t="n"/>
      <c r="K30" s="15" t="n"/>
      <c r="L30" s="15" t="n"/>
      <c r="M30" s="15" t="n"/>
    </row>
    <row r="31">
      <c r="A31" s="26" t="n"/>
      <c r="B31" s="15" t="n"/>
      <c r="C31" s="15" t="n"/>
      <c r="D31" s="15" t="n"/>
      <c r="E31" s="15" t="n"/>
      <c r="F31" s="15" t="n"/>
      <c r="G31" s="15" t="n"/>
      <c r="H31" s="15" t="n"/>
      <c r="I31" s="15" t="n"/>
      <c r="J31" s="15" t="n"/>
      <c r="K31" s="15" t="n"/>
      <c r="L31" s="15" t="n"/>
      <c r="M31" s="15" t="n"/>
    </row>
    <row r="32">
      <c r="A32" s="26" t="n"/>
      <c r="B32" s="15" t="n"/>
      <c r="C32" s="15" t="n"/>
      <c r="D32" s="15" t="n"/>
      <c r="E32" s="15" t="n"/>
      <c r="F32" s="15" t="n"/>
      <c r="G32" s="15" t="n"/>
      <c r="H32" s="15" t="n"/>
      <c r="I32" s="15" t="n"/>
      <c r="J32" s="15" t="n"/>
      <c r="K32" s="15" t="n"/>
      <c r="L32" s="15" t="n"/>
      <c r="M32" s="15" t="n"/>
    </row>
    <row r="33">
      <c r="A33" s="26" t="n"/>
      <c r="B33" s="15" t="n"/>
      <c r="C33" s="15" t="n"/>
      <c r="D33" s="15" t="n"/>
      <c r="E33" s="15" t="n"/>
      <c r="F33" s="15" t="n"/>
      <c r="G33" s="15" t="n"/>
      <c r="H33" s="15" t="n"/>
      <c r="I33" s="15" t="n"/>
      <c r="J33" s="15" t="n"/>
      <c r="K33" s="15" t="n"/>
      <c r="L33" s="15" t="n"/>
      <c r="M33" s="15" t="n"/>
    </row>
    <row r="34">
      <c r="A34" s="26" t="n"/>
      <c r="B34" s="15" t="n"/>
      <c r="C34" s="15" t="n"/>
      <c r="D34" s="15" t="n"/>
      <c r="E34" s="15" t="n"/>
      <c r="F34" s="15" t="n"/>
      <c r="G34" s="15" t="n"/>
      <c r="H34" s="15" t="n"/>
      <c r="I34" s="15" t="n"/>
      <c r="J34" s="15" t="n"/>
      <c r="K34" s="15" t="n"/>
      <c r="L34" s="15" t="n"/>
      <c r="M34" s="15" t="n"/>
    </row>
    <row r="35">
      <c r="A35" s="26" t="n"/>
      <c r="B35" s="15" t="n"/>
      <c r="C35" s="15" t="n"/>
      <c r="D35" s="15" t="n"/>
      <c r="E35" s="15" t="n"/>
      <c r="F35" s="15" t="n"/>
      <c r="G35" s="15" t="n"/>
      <c r="H35" s="15" t="n"/>
      <c r="I35" s="15" t="n"/>
      <c r="J35" s="15" t="n"/>
      <c r="K35" s="15" t="n"/>
      <c r="L35" s="15" t="n"/>
      <c r="M35" s="15" t="n"/>
    </row>
    <row r="36">
      <c r="A36" s="26" t="n"/>
      <c r="B36" s="15" t="n"/>
      <c r="C36" s="15" t="n"/>
      <c r="D36" s="15" t="n"/>
      <c r="E36" s="15" t="n"/>
      <c r="F36" s="15" t="n"/>
      <c r="G36" s="15" t="n"/>
      <c r="H36" s="15" t="n"/>
      <c r="I36" s="15" t="n"/>
      <c r="J36" s="15" t="n"/>
      <c r="K36" s="15" t="n"/>
      <c r="L36" s="15" t="n"/>
      <c r="M36" s="15" t="n"/>
    </row>
    <row r="37">
      <c r="A37" s="26" t="n"/>
      <c r="B37" s="15" t="n"/>
      <c r="C37" s="15" t="n"/>
      <c r="D37" s="15" t="n"/>
      <c r="E37" s="15" t="n"/>
      <c r="F37" s="15" t="n"/>
      <c r="G37" s="15" t="n"/>
      <c r="H37" s="15" t="n"/>
      <c r="I37" s="15" t="n"/>
      <c r="J37" s="15" t="n"/>
      <c r="K37" s="15" t="n"/>
      <c r="L37" s="15" t="n"/>
      <c r="M37" s="15" t="n"/>
    </row>
    <row r="38">
      <c r="A38" s="26" t="n"/>
      <c r="B38" s="15" t="n"/>
      <c r="C38" s="15" t="n"/>
      <c r="D38" s="15" t="n"/>
      <c r="E38" s="15" t="n"/>
      <c r="F38" s="15" t="n"/>
      <c r="G38" s="15" t="n"/>
      <c r="H38" s="15" t="n"/>
      <c r="I38" s="15" t="n"/>
      <c r="J38" s="15" t="n"/>
      <c r="K38" s="15" t="n"/>
      <c r="L38" s="15" t="n"/>
      <c r="M38" s="15" t="n"/>
    </row>
    <row r="39">
      <c r="A39" s="26" t="n"/>
      <c r="B39" s="15" t="n"/>
      <c r="C39" s="15" t="n"/>
      <c r="D39" s="15" t="n"/>
      <c r="E39" s="15" t="n"/>
      <c r="F39" s="15" t="n"/>
      <c r="G39" s="15" t="n"/>
      <c r="H39" s="15" t="n"/>
      <c r="I39" s="15" t="n"/>
      <c r="J39" s="15" t="n"/>
      <c r="K39" s="15" t="n"/>
      <c r="L39" s="15" t="n"/>
      <c r="M39" s="15" t="n"/>
    </row>
    <row r="40">
      <c r="A40" s="26" t="n"/>
      <c r="B40" s="15" t="n"/>
      <c r="C40" s="15" t="n"/>
      <c r="D40" s="15" t="n"/>
      <c r="E40" s="15" t="n"/>
      <c r="F40" s="15" t="n"/>
      <c r="G40" s="15" t="n"/>
      <c r="H40" s="15" t="n"/>
      <c r="I40" s="15" t="n"/>
      <c r="J40" s="15" t="n"/>
      <c r="K40" s="15" t="n"/>
      <c r="L40" s="15" t="n"/>
      <c r="M40" s="15" t="n"/>
    </row>
    <row r="41">
      <c r="A41" s="26" t="n"/>
      <c r="B41" s="15" t="n"/>
      <c r="C41" s="15" t="n"/>
      <c r="D41" s="15" t="n"/>
      <c r="E41" s="15" t="n"/>
      <c r="F41" s="15" t="n"/>
      <c r="G41" s="15" t="n"/>
      <c r="H41" s="15" t="n"/>
      <c r="I41" s="15" t="n"/>
      <c r="J41" s="15" t="n"/>
      <c r="K41" s="15" t="n"/>
      <c r="L41" s="15" t="n"/>
      <c r="M41" s="15" t="n"/>
    </row>
    <row r="42">
      <c r="A42" s="26" t="n"/>
      <c r="B42" s="15" t="n"/>
      <c r="C42" s="15" t="n"/>
      <c r="D42" s="15" t="n"/>
      <c r="E42" s="15" t="n"/>
      <c r="F42" s="15" t="n"/>
      <c r="G42" s="15" t="n"/>
      <c r="H42" s="15" t="n"/>
      <c r="I42" s="15" t="n"/>
      <c r="J42" s="15" t="n"/>
      <c r="K42" s="15" t="n"/>
      <c r="L42" s="15" t="n"/>
      <c r="M42" s="15" t="n"/>
    </row>
    <row r="43">
      <c r="A43" s="26" t="n"/>
      <c r="B43" s="15" t="n"/>
      <c r="C43" s="15" t="n"/>
      <c r="D43" s="15" t="n"/>
      <c r="E43" s="15" t="n"/>
      <c r="F43" s="15" t="n"/>
      <c r="G43" s="15" t="n"/>
      <c r="H43" s="15" t="n"/>
      <c r="I43" s="15" t="n"/>
      <c r="J43" s="15" t="n"/>
      <c r="K43" s="15" t="n"/>
      <c r="L43" s="15" t="n"/>
      <c r="M43" s="15" t="n"/>
    </row>
    <row r="44">
      <c r="A44" s="26" t="n"/>
      <c r="B44" s="15" t="n"/>
      <c r="C44" s="15" t="n"/>
      <c r="D44" s="15" t="n"/>
      <c r="E44" s="15" t="n"/>
      <c r="F44" s="15" t="n"/>
      <c r="G44" s="15" t="n"/>
      <c r="H44" s="15" t="n"/>
      <c r="I44" s="15" t="n"/>
      <c r="J44" s="15" t="n"/>
      <c r="K44" s="15" t="n"/>
      <c r="L44" s="15" t="n"/>
      <c r="M44" s="15" t="n"/>
    </row>
    <row r="45">
      <c r="A45" s="26" t="n"/>
      <c r="B45" s="15" t="n"/>
      <c r="C45" s="15" t="n"/>
      <c r="D45" s="15" t="n"/>
      <c r="E45" s="15" t="n"/>
      <c r="F45" s="15" t="n"/>
      <c r="G45" s="15" t="n"/>
      <c r="H45" s="15" t="n"/>
      <c r="I45" s="15" t="n"/>
      <c r="J45" s="15" t="n"/>
      <c r="K45" s="15" t="n"/>
      <c r="L45" s="15" t="n"/>
      <c r="M45" s="15" t="n"/>
    </row>
    <row r="46">
      <c r="A46" s="26" t="n"/>
      <c r="B46" s="15" t="n"/>
      <c r="C46" s="15" t="n"/>
      <c r="D46" s="15" t="n"/>
      <c r="E46" s="15" t="n"/>
      <c r="F46" s="15" t="n"/>
      <c r="G46" s="15" t="n"/>
      <c r="H46" s="15" t="n"/>
      <c r="I46" s="15" t="n"/>
      <c r="J46" s="15" t="n"/>
      <c r="K46" s="15" t="n"/>
      <c r="L46" s="15" t="n"/>
      <c r="M46" s="15" t="n"/>
    </row>
    <row r="47">
      <c r="A47" s="26" t="n"/>
      <c r="B47" s="15" t="n"/>
      <c r="C47" s="15" t="n"/>
      <c r="D47" s="15" t="n"/>
      <c r="E47" s="15" t="n"/>
      <c r="F47" s="15" t="n"/>
      <c r="G47" s="15" t="n"/>
      <c r="H47" s="15" t="n"/>
      <c r="I47" s="15" t="n"/>
      <c r="J47" s="15" t="n"/>
      <c r="K47" s="15" t="n"/>
      <c r="L47" s="15" t="n"/>
      <c r="M47" s="15" t="n"/>
    </row>
    <row r="48">
      <c r="A48" s="26" t="n"/>
      <c r="B48" s="15" t="n"/>
      <c r="C48" s="15" t="n"/>
      <c r="D48" s="15" t="n"/>
      <c r="E48" s="15" t="n"/>
      <c r="F48" s="15" t="n"/>
      <c r="G48" s="15" t="n"/>
      <c r="H48" s="15" t="n"/>
      <c r="I48" s="15" t="n"/>
      <c r="J48" s="15" t="n"/>
      <c r="K48" s="15" t="n"/>
      <c r="L48" s="15" t="n"/>
      <c r="M48" s="15" t="n"/>
    </row>
    <row r="49">
      <c r="A49" s="26" t="n"/>
      <c r="B49" s="15" t="n"/>
      <c r="C49" s="15" t="n"/>
      <c r="D49" s="15" t="n"/>
      <c r="E49" s="15" t="n"/>
      <c r="F49" s="15" t="n"/>
      <c r="G49" s="15" t="n"/>
      <c r="H49" s="15" t="n"/>
      <c r="I49" s="15" t="n"/>
      <c r="J49" s="15" t="n"/>
      <c r="K49" s="15" t="n"/>
      <c r="L49" s="15" t="n"/>
      <c r="M49" s="15" t="n"/>
    </row>
    <row r="50">
      <c r="A50" s="26" t="n"/>
      <c r="B50" s="15" t="n"/>
      <c r="C50" s="15" t="n"/>
      <c r="D50" s="15" t="n"/>
      <c r="E50" s="15" t="n"/>
      <c r="F50" s="15" t="n"/>
      <c r="G50" s="15" t="n"/>
      <c r="H50" s="15" t="n"/>
      <c r="I50" s="15" t="n"/>
      <c r="J50" s="15" t="n"/>
      <c r="K50" s="15" t="n"/>
      <c r="L50" s="15" t="n"/>
      <c r="M50" s="15" t="n"/>
    </row>
    <row r="51">
      <c r="A51" s="26" t="n"/>
      <c r="B51" s="15" t="n"/>
      <c r="C51" s="15" t="n"/>
      <c r="D51" s="15" t="n"/>
      <c r="E51" s="15" t="n"/>
      <c r="F51" s="15" t="n"/>
      <c r="G51" s="15" t="n"/>
      <c r="H51" s="15" t="n"/>
      <c r="I51" s="15" t="n"/>
      <c r="J51" s="15" t="n"/>
      <c r="K51" s="15" t="n"/>
      <c r="L51" s="15" t="n"/>
      <c r="M51" s="15" t="n"/>
    </row>
    <row r="52">
      <c r="A52" s="26" t="n"/>
      <c r="B52" s="15" t="n"/>
      <c r="C52" s="15" t="n"/>
      <c r="D52" s="15" t="n"/>
      <c r="E52" s="15" t="n"/>
      <c r="F52" s="15" t="n"/>
      <c r="G52" s="15" t="n"/>
      <c r="H52" s="15" t="n"/>
      <c r="I52" s="15" t="n"/>
      <c r="J52" s="15" t="n"/>
      <c r="K52" s="15" t="n"/>
      <c r="L52" s="15" t="n"/>
      <c r="M52" s="15" t="n"/>
    </row>
    <row r="53">
      <c r="A53" s="26" t="n"/>
      <c r="B53" s="15" t="n"/>
      <c r="C53" s="15" t="n"/>
      <c r="D53" s="15" t="n"/>
      <c r="E53" s="15" t="n"/>
      <c r="F53" s="15" t="n"/>
      <c r="G53" s="15" t="n"/>
      <c r="H53" s="15" t="n"/>
      <c r="I53" s="15" t="n"/>
      <c r="J53" s="15" t="n"/>
      <c r="K53" s="15" t="n"/>
      <c r="L53" s="15" t="n"/>
      <c r="M53" s="15" t="n"/>
    </row>
    <row r="54">
      <c r="A54" s="26" t="n"/>
      <c r="B54" s="15" t="n"/>
      <c r="C54" s="15" t="n"/>
      <c r="D54" s="15" t="n"/>
      <c r="E54" s="15" t="n"/>
      <c r="F54" s="15" t="n"/>
      <c r="G54" s="15" t="n"/>
      <c r="H54" s="15" t="n"/>
      <c r="I54" s="15" t="n"/>
      <c r="J54" s="15" t="n"/>
      <c r="K54" s="15" t="n"/>
      <c r="L54" s="15" t="n"/>
      <c r="M54" s="15" t="n"/>
    </row>
    <row r="55">
      <c r="A55" s="26" t="n"/>
      <c r="B55" s="15" t="n"/>
      <c r="C55" s="15" t="n"/>
      <c r="D55" s="15" t="n"/>
      <c r="E55" s="15" t="n"/>
      <c r="F55" s="15" t="n"/>
      <c r="G55" s="15" t="n"/>
      <c r="H55" s="15" t="n"/>
      <c r="I55" s="15" t="n"/>
      <c r="J55" s="15" t="n"/>
      <c r="K55" s="15" t="n"/>
      <c r="L55" s="15" t="n"/>
      <c r="M55" s="15" t="n"/>
    </row>
    <row r="58">
      <c r="A58" t="inlineStr">
        <is>
          <t>Critical:</t>
        </is>
      </c>
      <c r="B58">
        <f>COUNTIF(E6:E55,"Critical")</f>
        <v/>
      </c>
    </row>
  </sheetData>
  <mergeCells count="2">
    <mergeCell ref="A2:M2"/>
    <mergeCell ref="A1:M1"/>
  </mergeCells>
  <dataValidations count="2">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Progress,Resolved,Closed,On Hold"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27" t="inlineStr">
        <is>
          <t>EVIDENCE REGISTER</t>
        </is>
      </c>
    </row>
    <row r="2">
      <c r="A2" s="28" t="inlineStr">
        <is>
          <t>Comprehensive evidence documentation for malware protection assessment (100 evidence entries)</t>
        </is>
      </c>
    </row>
    <row r="4">
      <c r="A4" s="29" t="inlineStr">
        <is>
          <t>Evidence ID</t>
        </is>
      </c>
      <c r="B4" s="29" t="inlineStr">
        <is>
          <t>Evidence Type</t>
        </is>
      </c>
      <c r="C4" s="29" t="inlineStr">
        <is>
          <t>Description</t>
        </is>
      </c>
      <c r="D4" s="29" t="inlineStr">
        <is>
          <t>Related Requirement</t>
        </is>
      </c>
      <c r="E4" s="29" t="inlineStr">
        <is>
          <t>Related Worksheet/Device</t>
        </is>
      </c>
      <c r="F4" s="29" t="inlineStr">
        <is>
          <t>File Location</t>
        </is>
      </c>
      <c r="G4" s="29" t="inlineStr">
        <is>
          <t>Collection Date</t>
        </is>
      </c>
      <c r="H4" s="29" t="inlineStr">
        <is>
          <t>Collected By</t>
        </is>
      </c>
    </row>
    <row r="5">
      <c r="A5" s="21" t="inlineStr">
        <is>
          <t>EV-001</t>
        </is>
      </c>
      <c r="B5" s="21" t="inlineStr">
        <is>
          <t>Report</t>
        </is>
      </c>
      <c r="C5" s="21" t="inlineStr">
        <is>
          <t>Example: AV/EDR coverage report showing 98% protection</t>
        </is>
      </c>
      <c r="D5" s="21" t="inlineStr">
        <is>
          <t>A.8.7 Coverage Analysis</t>
        </is>
      </c>
      <c r="E5" s="21" t="inlineStr">
        <is>
          <t>Coverage Analysis sheet row 6</t>
        </is>
      </c>
      <c r="F5" s="21" t="inlineStr">
        <is>
          <t>/evidence/A.8.7/av-coverage-report.pdf</t>
        </is>
      </c>
      <c r="G5" s="21" t="inlineStr">
        <is>
          <t>20.02.2026</t>
        </is>
      </c>
      <c r="H5" s="21" t="inlineStr">
        <is>
          <t>IT Security Team</t>
        </is>
      </c>
    </row>
    <row r="6">
      <c r="A6" s="30" t="n"/>
      <c r="B6" s="15" t="n"/>
      <c r="C6" s="15" t="n"/>
      <c r="D6" s="15" t="n"/>
      <c r="E6" s="15" t="n"/>
      <c r="F6" s="15" t="n"/>
      <c r="G6" s="15" t="n"/>
      <c r="H6" s="15" t="n"/>
    </row>
    <row r="7">
      <c r="A7" s="30" t="n"/>
      <c r="B7" s="15" t="n"/>
      <c r="C7" s="15" t="n"/>
      <c r="D7" s="15" t="n"/>
      <c r="E7" s="15" t="n"/>
      <c r="F7" s="15" t="n"/>
      <c r="G7" s="15" t="n"/>
      <c r="H7" s="15" t="n"/>
    </row>
    <row r="8">
      <c r="A8" s="30" t="n"/>
      <c r="B8" s="15" t="n"/>
      <c r="C8" s="15" t="n"/>
      <c r="D8" s="15" t="n"/>
      <c r="E8" s="15" t="n"/>
      <c r="F8" s="15" t="n"/>
      <c r="G8" s="15" t="n"/>
      <c r="H8" s="15" t="n"/>
    </row>
    <row r="9">
      <c r="A9" s="30" t="n"/>
      <c r="B9" s="15" t="n"/>
      <c r="C9" s="15" t="n"/>
      <c r="D9" s="15" t="n"/>
      <c r="E9" s="15" t="n"/>
      <c r="F9" s="15" t="n"/>
      <c r="G9" s="15" t="n"/>
      <c r="H9" s="15" t="n"/>
    </row>
    <row r="10">
      <c r="A10" s="30" t="n"/>
      <c r="B10" s="15" t="n"/>
      <c r="C10" s="15" t="n"/>
      <c r="D10" s="15" t="n"/>
      <c r="E10" s="15" t="n"/>
      <c r="F10" s="15" t="n"/>
      <c r="G10" s="15" t="n"/>
      <c r="H10" s="15" t="n"/>
    </row>
    <row r="11">
      <c r="A11" s="30" t="n"/>
      <c r="B11" s="15" t="n"/>
      <c r="C11" s="15" t="n"/>
      <c r="D11" s="15" t="n"/>
      <c r="E11" s="15" t="n"/>
      <c r="F11" s="15" t="n"/>
      <c r="G11" s="15" t="n"/>
      <c r="H11" s="15" t="n"/>
    </row>
    <row r="12">
      <c r="A12" s="30" t="n"/>
      <c r="B12" s="15" t="n"/>
      <c r="C12" s="15" t="n"/>
      <c r="D12" s="15" t="n"/>
      <c r="E12" s="15" t="n"/>
      <c r="F12" s="15" t="n"/>
      <c r="G12" s="15" t="n"/>
      <c r="H12" s="15" t="n"/>
    </row>
    <row r="13">
      <c r="A13" s="30" t="n"/>
      <c r="B13" s="15" t="n"/>
      <c r="C13" s="15" t="n"/>
      <c r="D13" s="15" t="n"/>
      <c r="E13" s="15" t="n"/>
      <c r="F13" s="15" t="n"/>
      <c r="G13" s="15" t="n"/>
      <c r="H13" s="15" t="n"/>
    </row>
    <row r="14">
      <c r="A14" s="30" t="n"/>
      <c r="B14" s="15" t="n"/>
      <c r="C14" s="15" t="n"/>
      <c r="D14" s="15" t="n"/>
      <c r="E14" s="15" t="n"/>
      <c r="F14" s="15" t="n"/>
      <c r="G14" s="15" t="n"/>
      <c r="H14" s="15" t="n"/>
    </row>
    <row r="15">
      <c r="A15" s="30" t="n"/>
      <c r="B15" s="15" t="n"/>
      <c r="C15" s="15" t="n"/>
      <c r="D15" s="15" t="n"/>
      <c r="E15" s="15" t="n"/>
      <c r="F15" s="15" t="n"/>
      <c r="G15" s="15" t="n"/>
      <c r="H15" s="15" t="n"/>
    </row>
    <row r="16">
      <c r="A16" s="30" t="n"/>
      <c r="B16" s="15" t="n"/>
      <c r="C16" s="15" t="n"/>
      <c r="D16" s="15" t="n"/>
      <c r="E16" s="15" t="n"/>
      <c r="F16" s="15" t="n"/>
      <c r="G16" s="15" t="n"/>
      <c r="H16" s="15" t="n"/>
    </row>
    <row r="17">
      <c r="A17" s="30" t="n"/>
      <c r="B17" s="15" t="n"/>
      <c r="C17" s="15" t="n"/>
      <c r="D17" s="15" t="n"/>
      <c r="E17" s="15" t="n"/>
      <c r="F17" s="15" t="n"/>
      <c r="G17" s="15" t="n"/>
      <c r="H17" s="15" t="n"/>
    </row>
    <row r="18">
      <c r="A18" s="30" t="n"/>
      <c r="B18" s="15" t="n"/>
      <c r="C18" s="15" t="n"/>
      <c r="D18" s="15" t="n"/>
      <c r="E18" s="15" t="n"/>
      <c r="F18" s="15" t="n"/>
      <c r="G18" s="15" t="n"/>
      <c r="H18" s="15" t="n"/>
    </row>
    <row r="19">
      <c r="A19" s="30" t="n"/>
      <c r="B19" s="15" t="n"/>
      <c r="C19" s="15" t="n"/>
      <c r="D19" s="15" t="n"/>
      <c r="E19" s="15" t="n"/>
      <c r="F19" s="15" t="n"/>
      <c r="G19" s="15" t="n"/>
      <c r="H19" s="15" t="n"/>
    </row>
    <row r="20">
      <c r="A20" s="30" t="n"/>
      <c r="B20" s="15" t="n"/>
      <c r="C20" s="15" t="n"/>
      <c r="D20" s="15" t="n"/>
      <c r="E20" s="15" t="n"/>
      <c r="F20" s="15" t="n"/>
      <c r="G20" s="15" t="n"/>
      <c r="H20" s="15" t="n"/>
    </row>
    <row r="21">
      <c r="A21" s="30" t="n"/>
      <c r="B21" s="15" t="n"/>
      <c r="C21" s="15" t="n"/>
      <c r="D21" s="15" t="n"/>
      <c r="E21" s="15" t="n"/>
      <c r="F21" s="15" t="n"/>
      <c r="G21" s="15" t="n"/>
      <c r="H21" s="15" t="n"/>
    </row>
    <row r="22">
      <c r="A22" s="30" t="n"/>
      <c r="B22" s="15" t="n"/>
      <c r="C22" s="15" t="n"/>
      <c r="D22" s="15" t="n"/>
      <c r="E22" s="15" t="n"/>
      <c r="F22" s="15" t="n"/>
      <c r="G22" s="15" t="n"/>
      <c r="H22" s="15" t="n"/>
    </row>
    <row r="23">
      <c r="A23" s="30" t="n"/>
      <c r="B23" s="15" t="n"/>
      <c r="C23" s="15" t="n"/>
      <c r="D23" s="15" t="n"/>
      <c r="E23" s="15" t="n"/>
      <c r="F23" s="15" t="n"/>
      <c r="G23" s="15" t="n"/>
      <c r="H23" s="15" t="n"/>
    </row>
    <row r="24">
      <c r="A24" s="30" t="n"/>
      <c r="B24" s="15" t="n"/>
      <c r="C24" s="15" t="n"/>
      <c r="D24" s="15" t="n"/>
      <c r="E24" s="15" t="n"/>
      <c r="F24" s="15" t="n"/>
      <c r="G24" s="15" t="n"/>
      <c r="H24" s="15" t="n"/>
    </row>
    <row r="25">
      <c r="A25" s="30" t="n"/>
      <c r="B25" s="15" t="n"/>
      <c r="C25" s="15" t="n"/>
      <c r="D25" s="15" t="n"/>
      <c r="E25" s="15" t="n"/>
      <c r="F25" s="15" t="n"/>
      <c r="G25" s="15" t="n"/>
      <c r="H25" s="15" t="n"/>
    </row>
    <row r="26">
      <c r="A26" s="30" t="n"/>
      <c r="B26" s="15" t="n"/>
      <c r="C26" s="15" t="n"/>
      <c r="D26" s="15" t="n"/>
      <c r="E26" s="15" t="n"/>
      <c r="F26" s="15" t="n"/>
      <c r="G26" s="15" t="n"/>
      <c r="H26" s="15" t="n"/>
    </row>
    <row r="27">
      <c r="A27" s="30" t="n"/>
      <c r="B27" s="15" t="n"/>
      <c r="C27" s="15" t="n"/>
      <c r="D27" s="15" t="n"/>
      <c r="E27" s="15" t="n"/>
      <c r="F27" s="15" t="n"/>
      <c r="G27" s="15" t="n"/>
      <c r="H27" s="15" t="n"/>
    </row>
    <row r="28">
      <c r="A28" s="30" t="n"/>
      <c r="B28" s="15" t="n"/>
      <c r="C28" s="15" t="n"/>
      <c r="D28" s="15" t="n"/>
      <c r="E28" s="15" t="n"/>
      <c r="F28" s="15" t="n"/>
      <c r="G28" s="15" t="n"/>
      <c r="H28" s="15" t="n"/>
    </row>
    <row r="29">
      <c r="A29" s="30" t="n"/>
      <c r="B29" s="15" t="n"/>
      <c r="C29" s="15" t="n"/>
      <c r="D29" s="15" t="n"/>
      <c r="E29" s="15" t="n"/>
      <c r="F29" s="15" t="n"/>
      <c r="G29" s="15" t="n"/>
      <c r="H29" s="15" t="n"/>
    </row>
    <row r="30">
      <c r="A30" s="30" t="n"/>
      <c r="B30" s="15" t="n"/>
      <c r="C30" s="15" t="n"/>
      <c r="D30" s="15" t="n"/>
      <c r="E30" s="15" t="n"/>
      <c r="F30" s="15" t="n"/>
      <c r="G30" s="15" t="n"/>
      <c r="H30" s="15" t="n"/>
    </row>
    <row r="31">
      <c r="A31" s="30" t="n"/>
      <c r="B31" s="15" t="n"/>
      <c r="C31" s="15" t="n"/>
      <c r="D31" s="15" t="n"/>
      <c r="E31" s="15" t="n"/>
      <c r="F31" s="15" t="n"/>
      <c r="G31" s="15" t="n"/>
      <c r="H31" s="15" t="n"/>
    </row>
    <row r="32">
      <c r="A32" s="30" t="n"/>
      <c r="B32" s="15" t="n"/>
      <c r="C32" s="15" t="n"/>
      <c r="D32" s="15" t="n"/>
      <c r="E32" s="15" t="n"/>
      <c r="F32" s="15" t="n"/>
      <c r="G32" s="15" t="n"/>
      <c r="H32" s="15" t="n"/>
    </row>
    <row r="33">
      <c r="A33" s="30" t="n"/>
      <c r="B33" s="15" t="n"/>
      <c r="C33" s="15" t="n"/>
      <c r="D33" s="15" t="n"/>
      <c r="E33" s="15" t="n"/>
      <c r="F33" s="15" t="n"/>
      <c r="G33" s="15" t="n"/>
      <c r="H33" s="15" t="n"/>
    </row>
    <row r="34">
      <c r="A34" s="30" t="n"/>
      <c r="B34" s="15" t="n"/>
      <c r="C34" s="15" t="n"/>
      <c r="D34" s="15" t="n"/>
      <c r="E34" s="15" t="n"/>
      <c r="F34" s="15" t="n"/>
      <c r="G34" s="15" t="n"/>
      <c r="H34" s="15" t="n"/>
    </row>
    <row r="35">
      <c r="A35" s="30" t="n"/>
      <c r="B35" s="15" t="n"/>
      <c r="C35" s="15" t="n"/>
      <c r="D35" s="15" t="n"/>
      <c r="E35" s="15" t="n"/>
      <c r="F35" s="15" t="n"/>
      <c r="G35" s="15" t="n"/>
      <c r="H35" s="15" t="n"/>
    </row>
    <row r="36">
      <c r="A36" s="30" t="n"/>
      <c r="B36" s="15" t="n"/>
      <c r="C36" s="15" t="n"/>
      <c r="D36" s="15" t="n"/>
      <c r="E36" s="15" t="n"/>
      <c r="F36" s="15" t="n"/>
      <c r="G36" s="15" t="n"/>
      <c r="H36" s="15" t="n"/>
    </row>
    <row r="37">
      <c r="A37" s="30" t="n"/>
      <c r="B37" s="15" t="n"/>
      <c r="C37" s="15" t="n"/>
      <c r="D37" s="15" t="n"/>
      <c r="E37" s="15" t="n"/>
      <c r="F37" s="15" t="n"/>
      <c r="G37" s="15" t="n"/>
      <c r="H37" s="15" t="n"/>
    </row>
    <row r="38">
      <c r="A38" s="30" t="n"/>
      <c r="B38" s="15" t="n"/>
      <c r="C38" s="15" t="n"/>
      <c r="D38" s="15" t="n"/>
      <c r="E38" s="15" t="n"/>
      <c r="F38" s="15" t="n"/>
      <c r="G38" s="15" t="n"/>
      <c r="H38" s="15" t="n"/>
    </row>
    <row r="39">
      <c r="A39" s="30" t="n"/>
      <c r="B39" s="15" t="n"/>
      <c r="C39" s="15" t="n"/>
      <c r="D39" s="15" t="n"/>
      <c r="E39" s="15" t="n"/>
      <c r="F39" s="15" t="n"/>
      <c r="G39" s="15" t="n"/>
      <c r="H39" s="15" t="n"/>
    </row>
    <row r="40">
      <c r="A40" s="30" t="n"/>
      <c r="B40" s="15" t="n"/>
      <c r="C40" s="15" t="n"/>
      <c r="D40" s="15" t="n"/>
      <c r="E40" s="15" t="n"/>
      <c r="F40" s="15" t="n"/>
      <c r="G40" s="15" t="n"/>
      <c r="H40" s="15" t="n"/>
    </row>
    <row r="41">
      <c r="A41" s="30" t="n"/>
      <c r="B41" s="15" t="n"/>
      <c r="C41" s="15" t="n"/>
      <c r="D41" s="15" t="n"/>
      <c r="E41" s="15" t="n"/>
      <c r="F41" s="15" t="n"/>
      <c r="G41" s="15" t="n"/>
      <c r="H41" s="15" t="n"/>
    </row>
    <row r="42">
      <c r="A42" s="30" t="n"/>
      <c r="B42" s="15" t="n"/>
      <c r="C42" s="15" t="n"/>
      <c r="D42" s="15" t="n"/>
      <c r="E42" s="15" t="n"/>
      <c r="F42" s="15" t="n"/>
      <c r="G42" s="15" t="n"/>
      <c r="H42" s="15" t="n"/>
    </row>
    <row r="43">
      <c r="A43" s="30" t="n"/>
      <c r="B43" s="15" t="n"/>
      <c r="C43" s="15" t="n"/>
      <c r="D43" s="15" t="n"/>
      <c r="E43" s="15" t="n"/>
      <c r="F43" s="15" t="n"/>
      <c r="G43" s="15" t="n"/>
      <c r="H43" s="15" t="n"/>
    </row>
    <row r="44">
      <c r="A44" s="30" t="n"/>
      <c r="B44" s="15" t="n"/>
      <c r="C44" s="15" t="n"/>
      <c r="D44" s="15" t="n"/>
      <c r="E44" s="15" t="n"/>
      <c r="F44" s="15" t="n"/>
      <c r="G44" s="15" t="n"/>
      <c r="H44" s="15" t="n"/>
    </row>
    <row r="45">
      <c r="A45" s="30" t="n"/>
      <c r="B45" s="15" t="n"/>
      <c r="C45" s="15" t="n"/>
      <c r="D45" s="15" t="n"/>
      <c r="E45" s="15" t="n"/>
      <c r="F45" s="15" t="n"/>
      <c r="G45" s="15" t="n"/>
      <c r="H45" s="15" t="n"/>
    </row>
    <row r="46">
      <c r="A46" s="30" t="n"/>
      <c r="B46" s="15" t="n"/>
      <c r="C46" s="15" t="n"/>
      <c r="D46" s="15" t="n"/>
      <c r="E46" s="15" t="n"/>
      <c r="F46" s="15" t="n"/>
      <c r="G46" s="15" t="n"/>
      <c r="H46" s="15" t="n"/>
    </row>
    <row r="47">
      <c r="A47" s="30" t="n"/>
      <c r="B47" s="15" t="n"/>
      <c r="C47" s="15" t="n"/>
      <c r="D47" s="15" t="n"/>
      <c r="E47" s="15" t="n"/>
      <c r="F47" s="15" t="n"/>
      <c r="G47" s="15" t="n"/>
      <c r="H47" s="15" t="n"/>
    </row>
    <row r="48">
      <c r="A48" s="30" t="n"/>
      <c r="B48" s="15" t="n"/>
      <c r="C48" s="15" t="n"/>
      <c r="D48" s="15" t="n"/>
      <c r="E48" s="15" t="n"/>
      <c r="F48" s="15" t="n"/>
      <c r="G48" s="15" t="n"/>
      <c r="H48" s="15" t="n"/>
    </row>
    <row r="49">
      <c r="A49" s="30" t="n"/>
      <c r="B49" s="15" t="n"/>
      <c r="C49" s="15" t="n"/>
      <c r="D49" s="15" t="n"/>
      <c r="E49" s="15" t="n"/>
      <c r="F49" s="15" t="n"/>
      <c r="G49" s="15" t="n"/>
      <c r="H49" s="15" t="n"/>
    </row>
    <row r="50">
      <c r="A50" s="30" t="n"/>
      <c r="B50" s="15" t="n"/>
      <c r="C50" s="15" t="n"/>
      <c r="D50" s="15" t="n"/>
      <c r="E50" s="15" t="n"/>
      <c r="F50" s="15" t="n"/>
      <c r="G50" s="15" t="n"/>
      <c r="H50" s="15" t="n"/>
    </row>
    <row r="51">
      <c r="A51" s="30" t="n"/>
      <c r="B51" s="15" t="n"/>
      <c r="C51" s="15" t="n"/>
      <c r="D51" s="15" t="n"/>
      <c r="E51" s="15" t="n"/>
      <c r="F51" s="15" t="n"/>
      <c r="G51" s="15" t="n"/>
      <c r="H51" s="15" t="n"/>
    </row>
    <row r="52">
      <c r="A52" s="30" t="n"/>
      <c r="B52" s="15" t="n"/>
      <c r="C52" s="15" t="n"/>
      <c r="D52" s="15" t="n"/>
      <c r="E52" s="15" t="n"/>
      <c r="F52" s="15" t="n"/>
      <c r="G52" s="15" t="n"/>
      <c r="H52" s="15" t="n"/>
    </row>
    <row r="53">
      <c r="A53" s="30" t="n"/>
      <c r="B53" s="15" t="n"/>
      <c r="C53" s="15" t="n"/>
      <c r="D53" s="15" t="n"/>
      <c r="E53" s="15" t="n"/>
      <c r="F53" s="15" t="n"/>
      <c r="G53" s="15" t="n"/>
      <c r="H53" s="15" t="n"/>
    </row>
    <row r="54">
      <c r="A54" s="30" t="n"/>
      <c r="B54" s="15" t="n"/>
      <c r="C54" s="15" t="n"/>
      <c r="D54" s="15" t="n"/>
      <c r="E54" s="15" t="n"/>
      <c r="F54" s="15" t="n"/>
      <c r="G54" s="15" t="n"/>
      <c r="H54" s="15" t="n"/>
    </row>
    <row r="55">
      <c r="A55" s="30" t="n"/>
      <c r="B55" s="15" t="n"/>
      <c r="C55" s="15" t="n"/>
      <c r="D55" s="15" t="n"/>
      <c r="E55" s="15" t="n"/>
      <c r="F55" s="15" t="n"/>
      <c r="G55" s="15" t="n"/>
      <c r="H55" s="15" t="n"/>
    </row>
    <row r="56">
      <c r="A56" s="30" t="n"/>
      <c r="B56" s="15" t="n"/>
      <c r="C56" s="15" t="n"/>
      <c r="D56" s="15" t="n"/>
      <c r="E56" s="15" t="n"/>
      <c r="F56" s="15" t="n"/>
      <c r="G56" s="15" t="n"/>
      <c r="H56" s="15" t="n"/>
    </row>
    <row r="57">
      <c r="A57" s="30" t="n"/>
      <c r="B57" s="15" t="n"/>
      <c r="C57" s="15" t="n"/>
      <c r="D57" s="15" t="n"/>
      <c r="E57" s="15" t="n"/>
      <c r="F57" s="15" t="n"/>
      <c r="G57" s="15" t="n"/>
      <c r="H57" s="15" t="n"/>
    </row>
    <row r="58">
      <c r="A58" s="30" t="n"/>
      <c r="B58" s="15" t="n"/>
      <c r="C58" s="15" t="n"/>
      <c r="D58" s="15" t="n"/>
      <c r="E58" s="15" t="n"/>
      <c r="F58" s="15" t="n"/>
      <c r="G58" s="15" t="n"/>
      <c r="H58" s="15" t="n"/>
    </row>
    <row r="59">
      <c r="A59" s="30" t="n"/>
      <c r="B59" s="15" t="n"/>
      <c r="C59" s="15" t="n"/>
      <c r="D59" s="15" t="n"/>
      <c r="E59" s="15" t="n"/>
      <c r="F59" s="15" t="n"/>
      <c r="G59" s="15" t="n"/>
      <c r="H59" s="15" t="n"/>
    </row>
    <row r="60">
      <c r="A60" s="30" t="n"/>
      <c r="B60" s="15" t="n"/>
      <c r="C60" s="15" t="n"/>
      <c r="D60" s="15" t="n"/>
      <c r="E60" s="15" t="n"/>
      <c r="F60" s="15" t="n"/>
      <c r="G60" s="15" t="n"/>
      <c r="H60" s="15" t="n"/>
    </row>
    <row r="61">
      <c r="A61" s="30" t="n"/>
      <c r="B61" s="15" t="n"/>
      <c r="C61" s="15" t="n"/>
      <c r="D61" s="15" t="n"/>
      <c r="E61" s="15" t="n"/>
      <c r="F61" s="15" t="n"/>
      <c r="G61" s="15" t="n"/>
      <c r="H61" s="15" t="n"/>
    </row>
    <row r="62">
      <c r="A62" s="30" t="n"/>
      <c r="B62" s="15" t="n"/>
      <c r="C62" s="15" t="n"/>
      <c r="D62" s="15" t="n"/>
      <c r="E62" s="15" t="n"/>
      <c r="F62" s="15" t="n"/>
      <c r="G62" s="15" t="n"/>
      <c r="H62" s="15" t="n"/>
    </row>
    <row r="63">
      <c r="A63" s="30" t="n"/>
      <c r="B63" s="15" t="n"/>
      <c r="C63" s="15" t="n"/>
      <c r="D63" s="15" t="n"/>
      <c r="E63" s="15" t="n"/>
      <c r="F63" s="15" t="n"/>
      <c r="G63" s="15" t="n"/>
      <c r="H63" s="15" t="n"/>
    </row>
    <row r="64">
      <c r="A64" s="30" t="n"/>
      <c r="B64" s="15" t="n"/>
      <c r="C64" s="15" t="n"/>
      <c r="D64" s="15" t="n"/>
      <c r="E64" s="15" t="n"/>
      <c r="F64" s="15" t="n"/>
      <c r="G64" s="15" t="n"/>
      <c r="H64" s="15" t="n"/>
    </row>
    <row r="65">
      <c r="A65" s="30" t="n"/>
      <c r="B65" s="15" t="n"/>
      <c r="C65" s="15" t="n"/>
      <c r="D65" s="15" t="n"/>
      <c r="E65" s="15" t="n"/>
      <c r="F65" s="15" t="n"/>
      <c r="G65" s="15" t="n"/>
      <c r="H65" s="15" t="n"/>
    </row>
    <row r="66">
      <c r="A66" s="30" t="n"/>
      <c r="B66" s="15" t="n"/>
      <c r="C66" s="15" t="n"/>
      <c r="D66" s="15" t="n"/>
      <c r="E66" s="15" t="n"/>
      <c r="F66" s="15" t="n"/>
      <c r="G66" s="15" t="n"/>
      <c r="H66" s="15" t="n"/>
    </row>
    <row r="67">
      <c r="A67" s="30" t="n"/>
      <c r="B67" s="15" t="n"/>
      <c r="C67" s="15" t="n"/>
      <c r="D67" s="15" t="n"/>
      <c r="E67" s="15" t="n"/>
      <c r="F67" s="15" t="n"/>
      <c r="G67" s="15" t="n"/>
      <c r="H67" s="15" t="n"/>
    </row>
    <row r="68">
      <c r="A68" s="30" t="n"/>
      <c r="B68" s="15" t="n"/>
      <c r="C68" s="15" t="n"/>
      <c r="D68" s="15" t="n"/>
      <c r="E68" s="15" t="n"/>
      <c r="F68" s="15" t="n"/>
      <c r="G68" s="15" t="n"/>
      <c r="H68" s="15" t="n"/>
    </row>
    <row r="69">
      <c r="A69" s="30" t="n"/>
      <c r="B69" s="15" t="n"/>
      <c r="C69" s="15" t="n"/>
      <c r="D69" s="15" t="n"/>
      <c r="E69" s="15" t="n"/>
      <c r="F69" s="15" t="n"/>
      <c r="G69" s="15" t="n"/>
      <c r="H69" s="15" t="n"/>
    </row>
    <row r="70">
      <c r="A70" s="30" t="n"/>
      <c r="B70" s="15" t="n"/>
      <c r="C70" s="15" t="n"/>
      <c r="D70" s="15" t="n"/>
      <c r="E70" s="15" t="n"/>
      <c r="F70" s="15" t="n"/>
      <c r="G70" s="15" t="n"/>
      <c r="H70" s="15" t="n"/>
    </row>
    <row r="71">
      <c r="A71" s="30" t="n"/>
      <c r="B71" s="15" t="n"/>
      <c r="C71" s="15" t="n"/>
      <c r="D71" s="15" t="n"/>
      <c r="E71" s="15" t="n"/>
      <c r="F71" s="15" t="n"/>
      <c r="G71" s="15" t="n"/>
      <c r="H71" s="15" t="n"/>
    </row>
    <row r="72">
      <c r="A72" s="30" t="n"/>
      <c r="B72" s="15" t="n"/>
      <c r="C72" s="15" t="n"/>
      <c r="D72" s="15" t="n"/>
      <c r="E72" s="15" t="n"/>
      <c r="F72" s="15" t="n"/>
      <c r="G72" s="15" t="n"/>
      <c r="H72" s="15" t="n"/>
    </row>
    <row r="73">
      <c r="A73" s="30" t="n"/>
      <c r="B73" s="15" t="n"/>
      <c r="C73" s="15" t="n"/>
      <c r="D73" s="15" t="n"/>
      <c r="E73" s="15" t="n"/>
      <c r="F73" s="15" t="n"/>
      <c r="G73" s="15" t="n"/>
      <c r="H73" s="15" t="n"/>
    </row>
    <row r="74">
      <c r="A74" s="30" t="n"/>
      <c r="B74" s="15" t="n"/>
      <c r="C74" s="15" t="n"/>
      <c r="D74" s="15" t="n"/>
      <c r="E74" s="15" t="n"/>
      <c r="F74" s="15" t="n"/>
      <c r="G74" s="15" t="n"/>
      <c r="H74" s="15" t="n"/>
    </row>
    <row r="75">
      <c r="A75" s="30" t="n"/>
      <c r="B75" s="15" t="n"/>
      <c r="C75" s="15" t="n"/>
      <c r="D75" s="15" t="n"/>
      <c r="E75" s="15" t="n"/>
      <c r="F75" s="15" t="n"/>
      <c r="G75" s="15" t="n"/>
      <c r="H75" s="15" t="n"/>
    </row>
    <row r="76">
      <c r="A76" s="30" t="n"/>
      <c r="B76" s="15" t="n"/>
      <c r="C76" s="15" t="n"/>
      <c r="D76" s="15" t="n"/>
      <c r="E76" s="15" t="n"/>
      <c r="F76" s="15" t="n"/>
      <c r="G76" s="15" t="n"/>
      <c r="H76" s="15" t="n"/>
    </row>
    <row r="77">
      <c r="A77" s="30" t="n"/>
      <c r="B77" s="15" t="n"/>
      <c r="C77" s="15" t="n"/>
      <c r="D77" s="15" t="n"/>
      <c r="E77" s="15" t="n"/>
      <c r="F77" s="15" t="n"/>
      <c r="G77" s="15" t="n"/>
      <c r="H77" s="15" t="n"/>
    </row>
    <row r="78">
      <c r="A78" s="30" t="n"/>
      <c r="B78" s="15" t="n"/>
      <c r="C78" s="15" t="n"/>
      <c r="D78" s="15" t="n"/>
      <c r="E78" s="15" t="n"/>
      <c r="F78" s="15" t="n"/>
      <c r="G78" s="15" t="n"/>
      <c r="H78" s="15" t="n"/>
    </row>
    <row r="79">
      <c r="A79" s="30" t="n"/>
      <c r="B79" s="15" t="n"/>
      <c r="C79" s="15" t="n"/>
      <c r="D79" s="15" t="n"/>
      <c r="E79" s="15" t="n"/>
      <c r="F79" s="15" t="n"/>
      <c r="G79" s="15" t="n"/>
      <c r="H79" s="15" t="n"/>
    </row>
    <row r="80">
      <c r="A80" s="30" t="n"/>
      <c r="B80" s="15" t="n"/>
      <c r="C80" s="15" t="n"/>
      <c r="D80" s="15" t="n"/>
      <c r="E80" s="15" t="n"/>
      <c r="F80" s="15" t="n"/>
      <c r="G80" s="15" t="n"/>
      <c r="H80" s="15" t="n"/>
    </row>
    <row r="81">
      <c r="A81" s="30" t="n"/>
      <c r="B81" s="15" t="n"/>
      <c r="C81" s="15" t="n"/>
      <c r="D81" s="15" t="n"/>
      <c r="E81" s="15" t="n"/>
      <c r="F81" s="15" t="n"/>
      <c r="G81" s="15" t="n"/>
      <c r="H81" s="15" t="n"/>
    </row>
    <row r="82">
      <c r="A82" s="30" t="n"/>
      <c r="B82" s="15" t="n"/>
      <c r="C82" s="15" t="n"/>
      <c r="D82" s="15" t="n"/>
      <c r="E82" s="15" t="n"/>
      <c r="F82" s="15" t="n"/>
      <c r="G82" s="15" t="n"/>
      <c r="H82" s="15" t="n"/>
    </row>
    <row r="83">
      <c r="A83" s="30" t="n"/>
      <c r="B83" s="15" t="n"/>
      <c r="C83" s="15" t="n"/>
      <c r="D83" s="15" t="n"/>
      <c r="E83" s="15" t="n"/>
      <c r="F83" s="15" t="n"/>
      <c r="G83" s="15" t="n"/>
      <c r="H83" s="15" t="n"/>
    </row>
    <row r="84">
      <c r="A84" s="30" t="n"/>
      <c r="B84" s="15" t="n"/>
      <c r="C84" s="15" t="n"/>
      <c r="D84" s="15" t="n"/>
      <c r="E84" s="15" t="n"/>
      <c r="F84" s="15" t="n"/>
      <c r="G84" s="15" t="n"/>
      <c r="H84" s="15" t="n"/>
    </row>
    <row r="85">
      <c r="A85" s="30" t="n"/>
      <c r="B85" s="15" t="n"/>
      <c r="C85" s="15" t="n"/>
      <c r="D85" s="15" t="n"/>
      <c r="E85" s="15" t="n"/>
      <c r="F85" s="15" t="n"/>
      <c r="G85" s="15" t="n"/>
      <c r="H85" s="15" t="n"/>
    </row>
    <row r="86">
      <c r="A86" s="30" t="n"/>
      <c r="B86" s="15" t="n"/>
      <c r="C86" s="15" t="n"/>
      <c r="D86" s="15" t="n"/>
      <c r="E86" s="15" t="n"/>
      <c r="F86" s="15" t="n"/>
      <c r="G86" s="15" t="n"/>
      <c r="H86" s="15" t="n"/>
    </row>
    <row r="87">
      <c r="A87" s="30" t="n"/>
      <c r="B87" s="15" t="n"/>
      <c r="C87" s="15" t="n"/>
      <c r="D87" s="15" t="n"/>
      <c r="E87" s="15" t="n"/>
      <c r="F87" s="15" t="n"/>
      <c r="G87" s="15" t="n"/>
      <c r="H87" s="15" t="n"/>
    </row>
    <row r="88">
      <c r="A88" s="30" t="n"/>
      <c r="B88" s="15" t="n"/>
      <c r="C88" s="15" t="n"/>
      <c r="D88" s="15" t="n"/>
      <c r="E88" s="15" t="n"/>
      <c r="F88" s="15" t="n"/>
      <c r="G88" s="15" t="n"/>
      <c r="H88" s="15" t="n"/>
    </row>
    <row r="89">
      <c r="A89" s="30" t="n"/>
      <c r="B89" s="15" t="n"/>
      <c r="C89" s="15" t="n"/>
      <c r="D89" s="15" t="n"/>
      <c r="E89" s="15" t="n"/>
      <c r="F89" s="15" t="n"/>
      <c r="G89" s="15" t="n"/>
      <c r="H89" s="15" t="n"/>
    </row>
    <row r="90">
      <c r="A90" s="30" t="n"/>
      <c r="B90" s="15" t="n"/>
      <c r="C90" s="15" t="n"/>
      <c r="D90" s="15" t="n"/>
      <c r="E90" s="15" t="n"/>
      <c r="F90" s="15" t="n"/>
      <c r="G90" s="15" t="n"/>
      <c r="H90" s="15" t="n"/>
    </row>
    <row r="91">
      <c r="A91" s="30" t="n"/>
      <c r="B91" s="15" t="n"/>
      <c r="C91" s="15" t="n"/>
      <c r="D91" s="15" t="n"/>
      <c r="E91" s="15" t="n"/>
      <c r="F91" s="15" t="n"/>
      <c r="G91" s="15" t="n"/>
      <c r="H91" s="15" t="n"/>
    </row>
    <row r="92">
      <c r="A92" s="30" t="n"/>
      <c r="B92" s="15" t="n"/>
      <c r="C92" s="15" t="n"/>
      <c r="D92" s="15" t="n"/>
      <c r="E92" s="15" t="n"/>
      <c r="F92" s="15" t="n"/>
      <c r="G92" s="15" t="n"/>
      <c r="H92" s="15" t="n"/>
    </row>
    <row r="93">
      <c r="A93" s="30" t="n"/>
      <c r="B93" s="15" t="n"/>
      <c r="C93" s="15" t="n"/>
      <c r="D93" s="15" t="n"/>
      <c r="E93" s="15" t="n"/>
      <c r="F93" s="15" t="n"/>
      <c r="G93" s="15" t="n"/>
      <c r="H93" s="15" t="n"/>
    </row>
    <row r="94">
      <c r="A94" s="30" t="n"/>
      <c r="B94" s="15" t="n"/>
      <c r="C94" s="15" t="n"/>
      <c r="D94" s="15" t="n"/>
      <c r="E94" s="15" t="n"/>
      <c r="F94" s="15" t="n"/>
      <c r="G94" s="15" t="n"/>
      <c r="H94" s="15" t="n"/>
    </row>
    <row r="95">
      <c r="A95" s="30" t="n"/>
      <c r="B95" s="15" t="n"/>
      <c r="C95" s="15" t="n"/>
      <c r="D95" s="15" t="n"/>
      <c r="E95" s="15" t="n"/>
      <c r="F95" s="15" t="n"/>
      <c r="G95" s="15" t="n"/>
      <c r="H95" s="15" t="n"/>
    </row>
    <row r="96">
      <c r="A96" s="30" t="n"/>
      <c r="B96" s="15" t="n"/>
      <c r="C96" s="15" t="n"/>
      <c r="D96" s="15" t="n"/>
      <c r="E96" s="15" t="n"/>
      <c r="F96" s="15" t="n"/>
      <c r="G96" s="15" t="n"/>
      <c r="H96" s="15" t="n"/>
    </row>
    <row r="97">
      <c r="A97" s="30" t="n"/>
      <c r="B97" s="15" t="n"/>
      <c r="C97" s="15" t="n"/>
      <c r="D97" s="15" t="n"/>
      <c r="E97" s="15" t="n"/>
      <c r="F97" s="15" t="n"/>
      <c r="G97" s="15" t="n"/>
      <c r="H97" s="15" t="n"/>
    </row>
    <row r="98">
      <c r="A98" s="30" t="n"/>
      <c r="B98" s="15" t="n"/>
      <c r="C98" s="15" t="n"/>
      <c r="D98" s="15" t="n"/>
      <c r="E98" s="15" t="n"/>
      <c r="F98" s="15" t="n"/>
      <c r="G98" s="15" t="n"/>
      <c r="H98" s="15" t="n"/>
    </row>
    <row r="99">
      <c r="A99" s="30" t="n"/>
      <c r="B99" s="15" t="n"/>
      <c r="C99" s="15" t="n"/>
      <c r="D99" s="15" t="n"/>
      <c r="E99" s="15" t="n"/>
      <c r="F99" s="15" t="n"/>
      <c r="G99" s="15" t="n"/>
      <c r="H99" s="15" t="n"/>
    </row>
    <row r="100">
      <c r="A100" s="30" t="n"/>
      <c r="B100" s="15" t="n"/>
      <c r="C100" s="15" t="n"/>
      <c r="D100" s="15" t="n"/>
      <c r="E100" s="15" t="n"/>
      <c r="F100" s="15" t="n"/>
      <c r="G100" s="15" t="n"/>
      <c r="H100" s="15" t="n"/>
    </row>
    <row r="101">
      <c r="A101" s="30" t="n"/>
      <c r="B101" s="15" t="n"/>
      <c r="C101" s="15" t="n"/>
      <c r="D101" s="15" t="n"/>
      <c r="E101" s="15" t="n"/>
      <c r="F101" s="15" t="n"/>
      <c r="G101" s="15" t="n"/>
      <c r="H101" s="15" t="n"/>
    </row>
    <row r="102">
      <c r="A102" s="30" t="n"/>
      <c r="B102" s="15" t="n"/>
      <c r="C102" s="15" t="n"/>
      <c r="D102" s="15" t="n"/>
      <c r="E102" s="15" t="n"/>
      <c r="F102" s="15" t="n"/>
      <c r="G102" s="15" t="n"/>
      <c r="H102" s="15" t="n"/>
    </row>
    <row r="103">
      <c r="A103" s="30" t="n"/>
      <c r="B103" s="15" t="n"/>
      <c r="C103" s="15" t="n"/>
      <c r="D103" s="15" t="n"/>
      <c r="E103" s="15" t="n"/>
      <c r="F103" s="15" t="n"/>
      <c r="G103" s="15" t="n"/>
      <c r="H103" s="15" t="n"/>
    </row>
    <row r="104">
      <c r="A104" s="30" t="n"/>
      <c r="B104" s="15" t="n"/>
      <c r="C104" s="15" t="n"/>
      <c r="D104" s="15" t="n"/>
      <c r="E104" s="15" t="n"/>
      <c r="F104" s="15" t="n"/>
      <c r="G104" s="15" t="n"/>
      <c r="H104" s="15" t="n"/>
    </row>
    <row r="105">
      <c r="A105" s="30" t="n"/>
      <c r="B105" s="15" t="n"/>
      <c r="C105" s="15" t="n"/>
      <c r="D105" s="15" t="n"/>
      <c r="E105" s="15" t="n"/>
      <c r="F105" s="15" t="n"/>
      <c r="G105" s="15" t="n"/>
      <c r="H105" s="15" t="n"/>
    </row>
    <row r="107">
      <c r="A107" s="16" t="inlineStr">
        <is>
          <t>Total Evidence Entries:</t>
        </is>
      </c>
      <c r="B107">
        <f>COUNTA(C6:C105)</f>
        <v/>
      </c>
    </row>
  </sheetData>
  <mergeCells count="2">
    <mergeCell ref="A2:H2"/>
    <mergeCell ref="A1:H1"/>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"Config Export,Screenshot,Report,License,Policy,Log File,ὐd Scan Result,Other"</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0"/>
  <sheetViews>
    <sheetView showGridLines="0" workbookViewId="0">
      <pane ySplit="2" topLeftCell="A3" activePane="bottomLeft" state="frozen"/>
      <selection pane="bottomLeft"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1" t="inlineStr">
        <is>
          <t>PROTECTION COVERAGE — SUMMARY DASHBOARD</t>
        </is>
      </c>
    </row>
    <row r="2">
      <c r="A2" s="28" t="inlineStr">
        <is>
          <t>Consolidated compliance metrics for malware protection coverage assessment</t>
        </is>
      </c>
    </row>
    <row r="3">
      <c r="A3" s="31" t="inlineStr">
        <is>
          <t>TABLE 1 — Assessment Area Compliance</t>
        </is>
      </c>
    </row>
    <row r="4">
      <c r="A4" s="13" t="inlineStr">
        <is>
          <t>Assessment Area</t>
        </is>
      </c>
      <c r="B4" s="13" t="inlineStr">
        <is>
          <t>Total Items</t>
        </is>
      </c>
      <c r="C4" s="13" t="inlineStr">
        <is>
          <t>Compliant</t>
        </is>
      </c>
      <c r="D4" s="13" t="inlineStr">
        <is>
          <t>Partial</t>
        </is>
      </c>
      <c r="E4" s="13" t="inlineStr">
        <is>
          <t>Non-Compliant</t>
        </is>
      </c>
      <c r="F4" s="13" t="inlineStr">
        <is>
          <t>N/A</t>
        </is>
      </c>
      <c r="G4" s="13" t="inlineStr">
        <is>
          <t>Compliance %</t>
        </is>
      </c>
    </row>
    <row r="5">
      <c r="A5" s="32" t="inlineStr">
        <is>
          <t>AV/EDR Coverage</t>
        </is>
      </c>
      <c r="B5" s="32">
        <f>SUM(C5:F5)</f>
        <v/>
      </c>
      <c r="C5" s="32">
        <f>COUNTIF('Coverage Analysis'!L6:L55,"✅ Protected")</f>
        <v/>
      </c>
      <c r="D5" s="32">
        <f>COUNTIF('Coverage Analysis'!L6:L55,"⚠ Outdated")+COUNTIF('Coverage Analysis'!L6:L55,"⚠ Partial")</f>
        <v/>
      </c>
      <c r="E5" s="32">
        <f>COUNTIF('Coverage Analysis'!L6:L55,"❌ Not Protected")</f>
        <v/>
      </c>
      <c r="F5" s="32" t="n">
        <v>0</v>
      </c>
      <c r="G5" s="33">
        <f>IF((B5-F5)=0,0,C5/(B5-F5))</f>
        <v/>
      </c>
    </row>
    <row r="6">
      <c r="A6" s="32" t="inlineStr">
        <is>
          <t>Agent Deployment</t>
        </is>
      </c>
      <c r="B6" s="32">
        <f>SUM(C6:F6)</f>
        <v/>
      </c>
      <c r="C6" s="32">
        <f>COUNTIF('Agent Status'!E6:E55,"✅ Full")</f>
        <v/>
      </c>
      <c r="D6" s="32">
        <f>COUNTIF('Agent Status'!E6:E55,"⚠ Partial")</f>
        <v/>
      </c>
      <c r="E6" s="32">
        <f>COUNTIF('Agent Status'!E6:E55,"❌ Not Deployed")</f>
        <v/>
      </c>
      <c r="F6" s="32" t="n">
        <v>0</v>
      </c>
      <c r="G6" s="33">
        <f>IF((B6-F6)=0,0,C6/(B6-F6))</f>
        <v/>
      </c>
    </row>
    <row r="7">
      <c r="A7" s="32" t="inlineStr">
        <is>
          <t>Scan Schedule Compliance</t>
        </is>
      </c>
      <c r="B7" s="32">
        <f>SUM(C7:F7)</f>
        <v/>
      </c>
      <c r="C7" s="32">
        <f>COUNTIF('Scan Compliance'!F6:F55,"Yes")</f>
        <v/>
      </c>
      <c r="D7" s="32" t="n">
        <v>0</v>
      </c>
      <c r="E7" s="32">
        <f>COUNTIF('Scan Compliance'!F6:F55,"No")</f>
        <v/>
      </c>
      <c r="F7" s="32" t="n">
        <v>0</v>
      </c>
      <c r="G7" s="33">
        <f>IF((B7-F7)=0,0,C7/(B7-F7))</f>
        <v/>
      </c>
    </row>
    <row r="8">
      <c r="A8" s="32" t="inlineStr">
        <is>
          <t>Malware Detection/Response</t>
        </is>
      </c>
      <c r="B8" s="32">
        <f>SUM(C8:F8)</f>
        <v/>
      </c>
      <c r="C8" s="32">
        <f>COUNTIF('Detection Metrics'!H6:H105,"✅ Remediated")</f>
        <v/>
      </c>
      <c r="D8" s="32" t="n">
        <v>0</v>
      </c>
      <c r="E8" s="32">
        <f>COUNTA('Detection Metrics'!B6:B105)-COUNTIF('Detection Metrics'!H6:H105,"✅ Remediated")</f>
        <v/>
      </c>
      <c r="F8" s="32" t="n">
        <v>0</v>
      </c>
      <c r="G8" s="33">
        <f>IF((B8-F8)=0,0,C8/(B8-F8))</f>
        <v/>
      </c>
    </row>
    <row r="9">
      <c r="A9" s="32" t="inlineStr">
        <is>
          <t>Capability Requirements</t>
        </is>
      </c>
      <c r="B9" s="32">
        <f>SUM(C9:F9)</f>
        <v/>
      </c>
      <c r="C9" s="32">
        <f>COUNTIF('Capability Requirements'!F6:F30,"✅ Compliant")</f>
        <v/>
      </c>
      <c r="D9" s="32" t="n">
        <v>0</v>
      </c>
      <c r="E9" s="32">
        <f>COUNTIF('Capability Requirements'!F6:F30,"❌ Gap")</f>
        <v/>
      </c>
      <c r="F9" s="32">
        <f>COUNTIF('Capability Requirements'!F6:F30,"N/A")</f>
        <v/>
      </c>
      <c r="G9" s="33">
        <f>IF((B9-F9)=0,0,C9/(B9-F9))</f>
        <v/>
      </c>
    </row>
    <row r="10">
      <c r="A10" s="34" t="inlineStr">
        <is>
          <t>TOTAL</t>
        </is>
      </c>
      <c r="B10" s="34">
        <f>SUM(B5:B9)</f>
        <v/>
      </c>
      <c r="C10" s="34">
        <f>SUM(C5:C9)</f>
        <v/>
      </c>
      <c r="D10" s="34">
        <f>SUM(D5:D9)</f>
        <v/>
      </c>
      <c r="E10" s="34">
        <f>SUM(E5:E9)</f>
        <v/>
      </c>
      <c r="F10" s="34">
        <f>SUM(F5:F9)</f>
        <v/>
      </c>
      <c r="G10" s="35">
        <f>IF((B10-F10)=0,0,C10/(B10-F10))</f>
        <v/>
      </c>
    </row>
    <row r="12">
      <c r="A12" s="31" t="inlineStr">
        <is>
          <t>TABLE 2 — Key Performance Indicators</t>
        </is>
      </c>
    </row>
    <row r="13">
      <c r="A13" s="13" t="inlineStr">
        <is>
          <t>KPI</t>
        </is>
      </c>
      <c r="B13" s="13" t="inlineStr">
        <is>
          <t>Current Value</t>
        </is>
      </c>
      <c r="C13" s="13" t="inlineStr">
        <is>
          <t>Target</t>
        </is>
      </c>
      <c r="D13" s="13" t="inlineStr">
        <is>
          <t>Status</t>
        </is>
      </c>
      <c r="E13" s="13" t="inlineStr">
        <is>
          <t>Last Updated</t>
        </is>
      </c>
      <c r="F13" s="13" t="inlineStr">
        <is>
          <t>Owner</t>
        </is>
      </c>
      <c r="G13" s="13" t="inlineStr">
        <is>
          <t>Notes</t>
        </is>
      </c>
    </row>
    <row r="14">
      <c r="A14" s="32" t="inlineStr">
        <is>
          <t>AV/EDR Coverage Rate</t>
        </is>
      </c>
      <c r="B14" s="33">
        <f>IF(COUNTA('Coverage Analysis'!B6:B55)=0,0,COUNTIF('Coverage Analysis'!L6:L55,"✅ Protected")/COUNTA('Coverage Analysis'!B6:B55))</f>
        <v/>
      </c>
      <c r="C14" s="32" t="inlineStr">
        <is>
          <t>≥98%</t>
        </is>
      </c>
      <c r="D14" s="30" t="n"/>
      <c r="E14" s="30" t="n"/>
      <c r="F14" s="30" t="n"/>
      <c r="G14" s="30" t="n"/>
    </row>
    <row r="15">
      <c r="A15" s="32" t="inlineStr">
        <is>
          <t>Agent Groups: Not Deployed</t>
        </is>
      </c>
      <c r="B15" s="32">
        <f>COUNTIF('Agent Status'!E6:E55,"❌ Not Deployed")</f>
        <v/>
      </c>
      <c r="C15" s="32" t="inlineStr">
        <is>
          <t>0</t>
        </is>
      </c>
      <c r="D15" s="30" t="n"/>
      <c r="E15" s="30" t="n"/>
      <c r="F15" s="30" t="n"/>
      <c r="G15" s="30" t="n"/>
    </row>
    <row r="16">
      <c r="A16" s="32" t="inlineStr">
        <is>
          <t>Full Scan Compliance Rate</t>
        </is>
      </c>
      <c r="B16" s="33">
        <f>IF(COUNTA('Scan Compliance'!B6:B55)=0,0,COUNTIF('Scan Compliance'!F6:F55,"Yes")/COUNTA('Scan Compliance'!B6:B55))</f>
        <v/>
      </c>
      <c r="C16" s="32" t="inlineStr">
        <is>
          <t>≥95%</t>
        </is>
      </c>
      <c r="D16" s="30" t="n"/>
      <c r="E16" s="30" t="n"/>
      <c r="F16" s="30" t="n"/>
      <c r="G16" s="30" t="n"/>
    </row>
    <row r="17">
      <c r="A17" s="32" t="inlineStr">
        <is>
          <t>Quick Scan Compliance Rate</t>
        </is>
      </c>
      <c r="B17" s="33">
        <f>IF(COUNTA('Scan Compliance'!B6:B55)=0,0,COUNTIF('Scan Compliance'!J6:J55,"Yes")/COUNTA('Scan Compliance'!B6:B55))</f>
        <v/>
      </c>
      <c r="C17" s="32" t="inlineStr">
        <is>
          <t>≥90%</t>
        </is>
      </c>
      <c r="D17" s="30" t="n"/>
      <c r="E17" s="30" t="n"/>
      <c r="F17" s="30" t="n"/>
      <c r="G17" s="30" t="n"/>
    </row>
    <row r="18">
      <c r="A18" s="32" t="inlineStr">
        <is>
          <t>Total Malware Detections</t>
        </is>
      </c>
      <c r="B18" s="32">
        <f>COUNTA('Detection Metrics'!B6:B105)</f>
        <v/>
      </c>
      <c r="C18" s="32" t="inlineStr">
        <is>
          <t>—</t>
        </is>
      </c>
      <c r="D18" s="30" t="n"/>
      <c r="E18" s="30" t="n"/>
      <c r="F18" s="30" t="n"/>
      <c r="G18" s="30" t="n"/>
    </row>
    <row r="19">
      <c r="A19" s="32" t="inlineStr">
        <is>
          <t>Malware Remediation Rate</t>
        </is>
      </c>
      <c r="B19" s="33">
        <f>IF(COUNTA('Detection Metrics'!B6:B105)=0,0,COUNTIF('Detection Metrics'!H6:H105,"✅ Remediated")/COUNTA('Detection Metrics'!B6:B105))</f>
        <v/>
      </c>
      <c r="C19" s="32" t="inlineStr">
        <is>
          <t>≥95%</t>
        </is>
      </c>
      <c r="D19" s="30" t="n"/>
      <c r="E19" s="30" t="n"/>
      <c r="F19" s="30" t="n"/>
      <c r="G19" s="30" t="n"/>
    </row>
    <row r="20">
      <c r="A20" s="32" t="inlineStr">
        <is>
          <t>Policy Req Compliance</t>
        </is>
      </c>
      <c r="B20" s="33">
        <f>IF(COUNTA('Capability Requirements'!C6:C30)=0,0,COUNTIF('Capability Requirements'!F6:F30,"✅ Compliant")/COUNTA('Capability Requirements'!C6:C30))</f>
        <v/>
      </c>
      <c r="C20" s="32" t="inlineStr">
        <is>
          <t>100%</t>
        </is>
      </c>
      <c r="D20" s="30" t="n"/>
      <c r="E20" s="30" t="n"/>
      <c r="F20" s="30" t="n"/>
      <c r="G20" s="30" t="n"/>
    </row>
    <row r="21">
      <c r="A21" s="32" t="inlineStr">
        <is>
          <t>Open Gaps</t>
        </is>
      </c>
      <c r="B21" s="32">
        <f>COUNTIF('Gap Analysis'!K6:K55,"Open")+COUNTIF('Gap Analysis'!K6:K55,"In Progress")</f>
        <v/>
      </c>
      <c r="C21" s="32" t="inlineStr">
        <is>
          <t>0</t>
        </is>
      </c>
      <c r="D21" s="30" t="n"/>
      <c r="E21" s="30" t="n"/>
      <c r="F21" s="30" t="n"/>
      <c r="G21" s="30" t="n"/>
    </row>
    <row r="22">
      <c r="A22" s="32" t="inlineStr">
        <is>
          <t>Critical/High Gaps</t>
        </is>
      </c>
      <c r="B22" s="32">
        <f>COUNTIF('Gap Analysis'!E6:E55,"Critical")+COUNTIF('Gap Analysis'!E6:E55,"High")</f>
        <v/>
      </c>
      <c r="C22" s="32" t="inlineStr">
        <is>
          <t>0</t>
        </is>
      </c>
      <c r="D22" s="30" t="n"/>
      <c r="E22" s="30" t="n"/>
      <c r="F22" s="30" t="n"/>
      <c r="G22" s="30" t="n"/>
    </row>
    <row r="23">
      <c r="A23" s="6" t="n"/>
      <c r="B23" s="6" t="n"/>
      <c r="C23" s="6" t="n"/>
      <c r="D23" s="30" t="n"/>
      <c r="E23" s="30" t="n"/>
      <c r="F23" s="30" t="n"/>
      <c r="G23" s="30" t="n"/>
    </row>
    <row r="24">
      <c r="A24" s="6" t="n"/>
      <c r="B24" s="6" t="n"/>
      <c r="C24" s="6" t="n"/>
      <c r="D24" s="30" t="n"/>
      <c r="E24" s="30" t="n"/>
      <c r="F24" s="30" t="n"/>
      <c r="G24" s="30" t="n"/>
    </row>
    <row r="26">
      <c r="A26" s="36" t="inlineStr">
        <is>
          <t>TABLE 3 — Critical / High Priority Findings</t>
        </is>
      </c>
    </row>
    <row r="27">
      <c r="A27" s="13" t="inlineStr">
        <is>
          <t>Finding ID</t>
        </is>
      </c>
      <c r="B27" s="13" t="inlineStr">
        <is>
          <t>Description</t>
        </is>
      </c>
      <c r="C27" s="13" t="inlineStr">
        <is>
          <t>Affected Area</t>
        </is>
      </c>
      <c r="D27" s="13" t="inlineStr">
        <is>
          <t>Severity</t>
        </is>
      </c>
      <c r="E27" s="13" t="inlineStr">
        <is>
          <t>Status</t>
        </is>
      </c>
      <c r="F27" s="13" t="inlineStr">
        <is>
          <t>Owner</t>
        </is>
      </c>
      <c r="G27" s="13" t="inlineStr">
        <is>
          <t>Due Date</t>
        </is>
      </c>
    </row>
    <row r="28">
      <c r="A28" s="15">
        <f>IFERROR(INDEX('Gap Analysis'!A$6:A$55,SMALL(IF(('Gap Analysis'!E$6:E$55="Critical")+('Gap Analysis'!E$6:E$55="High"),ROW('Gap Analysis'!A$6:A$55)-ROW('Gap Analysis'!A$6)+1),ROWS($A$1:A1))),"")</f>
        <v/>
      </c>
      <c r="B28" s="15">
        <f>IFERROR(INDEX('Gap Analysis'!B$6:B$55,SMALL(IF(('Gap Analysis'!E$6:E$55="Critical")+('Gap Analysis'!E$6:E$55="High"),ROW('Gap Analysis'!A$6:A$55)-ROW('Gap Analysis'!A$6)+1),ROWS($A$1:A1))),"")</f>
        <v/>
      </c>
      <c r="C28" s="15">
        <f>IFERROR(INDEX('Gap Analysis'!D$6:D$55,SMALL(IF(('Gap Analysis'!E$6:E$55="Critical")+('Gap Analysis'!E$6:E$55="High"),ROW('Gap Analysis'!A$6:A$55)-ROW('Gap Analysis'!A$6)+1),ROWS($A$1:A1))),"")</f>
        <v/>
      </c>
      <c r="D28" s="15">
        <f>IFERROR(INDEX('Gap Analysis'!E$6:E$55,SMALL(IF(('Gap Analysis'!E$6:E$55="Critical")+('Gap Analysis'!E$6:E$55="High"),ROW('Gap Analysis'!A$6:A$55)-ROW('Gap Analysis'!A$6)+1),ROWS($A$1:A1))),"")</f>
        <v/>
      </c>
      <c r="E28" s="15">
        <f>IFERROR(INDEX('Gap Analysis'!K$6:K$55,SMALL(IF(('Gap Analysis'!E$6:E$55="Critical")+('Gap Analysis'!E$6:E$55="High"),ROW('Gap Analysis'!A$6:A$55)-ROW('Gap Analysis'!A$6)+1),ROWS($A$1:A1))),"")</f>
        <v/>
      </c>
      <c r="F28" s="15">
        <f>IFERROR(INDEX('Gap Analysis'!I$6:I$55,SMALL(IF(('Gap Analysis'!E$6:E$55="Critical")+('Gap Analysis'!E$6:E$55="High"),ROW('Gap Analysis'!A$6:A$55)-ROW('Gap Analysis'!A$6)+1),ROWS($A$1:A1))),"")</f>
        <v/>
      </c>
      <c r="G28" s="15">
        <f>IFERROR(INDEX('Gap Analysis'!J$6:J$55,SMALL(IF(('Gap Analysis'!E$6:E$55="Critical")+('Gap Analysis'!E$6:E$55="High"),ROW('Gap Analysis'!A$6:A$55)-ROW('Gap Analysis'!A$6)+1),ROWS($A$1:A1))),"")</f>
        <v/>
      </c>
    </row>
    <row r="29">
      <c r="A29" s="15">
        <f>IFERROR(INDEX('Gap Analysis'!A$6:A$55,SMALL(IF(('Gap Analysis'!E$6:E$55="Critical")+('Gap Analysis'!E$6:E$55="High"),ROW('Gap Analysis'!A$6:A$55)-ROW('Gap Analysis'!A$6)+1),ROWS($A$1:A2))),"")</f>
        <v/>
      </c>
      <c r="B29" s="15">
        <f>IFERROR(INDEX('Gap Analysis'!B$6:B$55,SMALL(IF(('Gap Analysis'!E$6:E$55="Critical")+('Gap Analysis'!E$6:E$55="High"),ROW('Gap Analysis'!A$6:A$55)-ROW('Gap Analysis'!A$6)+1),ROWS($A$1:A2))),"")</f>
        <v/>
      </c>
      <c r="C29" s="15">
        <f>IFERROR(INDEX('Gap Analysis'!D$6:D$55,SMALL(IF(('Gap Analysis'!E$6:E$55="Critical")+('Gap Analysis'!E$6:E$55="High"),ROW('Gap Analysis'!A$6:A$55)-ROW('Gap Analysis'!A$6)+1),ROWS($A$1:A2))),"")</f>
        <v/>
      </c>
      <c r="D29" s="15">
        <f>IFERROR(INDEX('Gap Analysis'!E$6:E$55,SMALL(IF(('Gap Analysis'!E$6:E$55="Critical")+('Gap Analysis'!E$6:E$55="High"),ROW('Gap Analysis'!A$6:A$55)-ROW('Gap Analysis'!A$6)+1),ROWS($A$1:A2))),"")</f>
        <v/>
      </c>
      <c r="E29" s="15">
        <f>IFERROR(INDEX('Gap Analysis'!K$6:K$55,SMALL(IF(('Gap Analysis'!E$6:E$55="Critical")+('Gap Analysis'!E$6:E$55="High"),ROW('Gap Analysis'!A$6:A$55)-ROW('Gap Analysis'!A$6)+1),ROWS($A$1:A2))),"")</f>
        <v/>
      </c>
      <c r="F29" s="15">
        <f>IFERROR(INDEX('Gap Analysis'!I$6:I$55,SMALL(IF(('Gap Analysis'!E$6:E$55="Critical")+('Gap Analysis'!E$6:E$55="High"),ROW('Gap Analysis'!A$6:A$55)-ROW('Gap Analysis'!A$6)+1),ROWS($A$1:A2))),"")</f>
        <v/>
      </c>
      <c r="G29" s="15">
        <f>IFERROR(INDEX('Gap Analysis'!J$6:J$55,SMALL(IF(('Gap Analysis'!E$6:E$55="Critical")+('Gap Analysis'!E$6:E$55="High"),ROW('Gap Analysis'!A$6:A$55)-ROW('Gap Analysis'!A$6)+1),ROWS($A$1:A2))),"")</f>
        <v/>
      </c>
    </row>
    <row r="30">
      <c r="A30" s="15">
        <f>IFERROR(INDEX('Gap Analysis'!A$6:A$55,SMALL(IF(('Gap Analysis'!E$6:E$55="Critical")+('Gap Analysis'!E$6:E$55="High"),ROW('Gap Analysis'!A$6:A$55)-ROW('Gap Analysis'!A$6)+1),ROWS($A$1:A3))),"")</f>
        <v/>
      </c>
      <c r="B30" s="15">
        <f>IFERROR(INDEX('Gap Analysis'!B$6:B$55,SMALL(IF(('Gap Analysis'!E$6:E$55="Critical")+('Gap Analysis'!E$6:E$55="High"),ROW('Gap Analysis'!A$6:A$55)-ROW('Gap Analysis'!A$6)+1),ROWS($A$1:A3))),"")</f>
        <v/>
      </c>
      <c r="C30" s="15">
        <f>IFERROR(INDEX('Gap Analysis'!D$6:D$55,SMALL(IF(('Gap Analysis'!E$6:E$55="Critical")+('Gap Analysis'!E$6:E$55="High"),ROW('Gap Analysis'!A$6:A$55)-ROW('Gap Analysis'!A$6)+1),ROWS($A$1:A3))),"")</f>
        <v/>
      </c>
      <c r="D30" s="15">
        <f>IFERROR(INDEX('Gap Analysis'!E$6:E$55,SMALL(IF(('Gap Analysis'!E$6:E$55="Critical")+('Gap Analysis'!E$6:E$55="High"),ROW('Gap Analysis'!A$6:A$55)-ROW('Gap Analysis'!A$6)+1),ROWS($A$1:A3))),"")</f>
        <v/>
      </c>
      <c r="E30" s="15">
        <f>IFERROR(INDEX('Gap Analysis'!K$6:K$55,SMALL(IF(('Gap Analysis'!E$6:E$55="Critical")+('Gap Analysis'!E$6:E$55="High"),ROW('Gap Analysis'!A$6:A$55)-ROW('Gap Analysis'!A$6)+1),ROWS($A$1:A3))),"")</f>
        <v/>
      </c>
      <c r="F30" s="15">
        <f>IFERROR(INDEX('Gap Analysis'!I$6:I$55,SMALL(IF(('Gap Analysis'!E$6:E$55="Critical")+('Gap Analysis'!E$6:E$55="High"),ROW('Gap Analysis'!A$6:A$55)-ROW('Gap Analysis'!A$6)+1),ROWS($A$1:A3))),"")</f>
        <v/>
      </c>
      <c r="G30" s="15">
        <f>IFERROR(INDEX('Gap Analysis'!J$6:J$55,SMALL(IF(('Gap Analysis'!E$6:E$55="Critical")+('Gap Analysis'!E$6:E$55="High"),ROW('Gap Analysis'!A$6:A$55)-ROW('Gap Analysis'!A$6)+1),ROWS($A$1:A3))),"")</f>
        <v/>
      </c>
    </row>
    <row r="31">
      <c r="A31" s="15">
        <f>IFERROR(INDEX('Gap Analysis'!A$6:A$55,SMALL(IF(('Gap Analysis'!E$6:E$55="Critical")+('Gap Analysis'!E$6:E$55="High"),ROW('Gap Analysis'!A$6:A$55)-ROW('Gap Analysis'!A$6)+1),ROWS($A$1:A4))),"")</f>
        <v/>
      </c>
      <c r="B31" s="15">
        <f>IFERROR(INDEX('Gap Analysis'!B$6:B$55,SMALL(IF(('Gap Analysis'!E$6:E$55="Critical")+('Gap Analysis'!E$6:E$55="High"),ROW('Gap Analysis'!A$6:A$55)-ROW('Gap Analysis'!A$6)+1),ROWS($A$1:A4))),"")</f>
        <v/>
      </c>
      <c r="C31" s="15">
        <f>IFERROR(INDEX('Gap Analysis'!D$6:D$55,SMALL(IF(('Gap Analysis'!E$6:E$55="Critical")+('Gap Analysis'!E$6:E$55="High"),ROW('Gap Analysis'!A$6:A$55)-ROW('Gap Analysis'!A$6)+1),ROWS($A$1:A4))),"")</f>
        <v/>
      </c>
      <c r="D31" s="15">
        <f>IFERROR(INDEX('Gap Analysis'!E$6:E$55,SMALL(IF(('Gap Analysis'!E$6:E$55="Critical")+('Gap Analysis'!E$6:E$55="High"),ROW('Gap Analysis'!A$6:A$55)-ROW('Gap Analysis'!A$6)+1),ROWS($A$1:A4))),"")</f>
        <v/>
      </c>
      <c r="E31" s="15">
        <f>IFERROR(INDEX('Gap Analysis'!K$6:K$55,SMALL(IF(('Gap Analysis'!E$6:E$55="Critical")+('Gap Analysis'!E$6:E$55="High"),ROW('Gap Analysis'!A$6:A$55)-ROW('Gap Analysis'!A$6)+1),ROWS($A$1:A4))),"")</f>
        <v/>
      </c>
      <c r="F31" s="15">
        <f>IFERROR(INDEX('Gap Analysis'!I$6:I$55,SMALL(IF(('Gap Analysis'!E$6:E$55="Critical")+('Gap Analysis'!E$6:E$55="High"),ROW('Gap Analysis'!A$6:A$55)-ROW('Gap Analysis'!A$6)+1),ROWS($A$1:A4))),"")</f>
        <v/>
      </c>
      <c r="G31" s="15">
        <f>IFERROR(INDEX('Gap Analysis'!J$6:J$55,SMALL(IF(('Gap Analysis'!E$6:E$55="Critical")+('Gap Analysis'!E$6:E$55="High"),ROW('Gap Analysis'!A$6:A$55)-ROW('Gap Analysis'!A$6)+1),ROWS($A$1:A4))),"")</f>
        <v/>
      </c>
    </row>
    <row r="32">
      <c r="A32" s="15">
        <f>IFERROR(INDEX('Gap Analysis'!A$6:A$55,SMALL(IF(('Gap Analysis'!E$6:E$55="Critical")+('Gap Analysis'!E$6:E$55="High"),ROW('Gap Analysis'!A$6:A$55)-ROW('Gap Analysis'!A$6)+1),ROWS($A$1:A5))),"")</f>
        <v/>
      </c>
      <c r="B32" s="15">
        <f>IFERROR(INDEX('Gap Analysis'!B$6:B$55,SMALL(IF(('Gap Analysis'!E$6:E$55="Critical")+('Gap Analysis'!E$6:E$55="High"),ROW('Gap Analysis'!A$6:A$55)-ROW('Gap Analysis'!A$6)+1),ROWS($A$1:A5))),"")</f>
        <v/>
      </c>
      <c r="C32" s="15">
        <f>IFERROR(INDEX('Gap Analysis'!D$6:D$55,SMALL(IF(('Gap Analysis'!E$6:E$55="Critical")+('Gap Analysis'!E$6:E$55="High"),ROW('Gap Analysis'!A$6:A$55)-ROW('Gap Analysis'!A$6)+1),ROWS($A$1:A5))),"")</f>
        <v/>
      </c>
      <c r="D32" s="15">
        <f>IFERROR(INDEX('Gap Analysis'!E$6:E$55,SMALL(IF(('Gap Analysis'!E$6:E$55="Critical")+('Gap Analysis'!E$6:E$55="High"),ROW('Gap Analysis'!A$6:A$55)-ROW('Gap Analysis'!A$6)+1),ROWS($A$1:A5))),"")</f>
        <v/>
      </c>
      <c r="E32" s="15">
        <f>IFERROR(INDEX('Gap Analysis'!K$6:K$55,SMALL(IF(('Gap Analysis'!E$6:E$55="Critical")+('Gap Analysis'!E$6:E$55="High"),ROW('Gap Analysis'!A$6:A$55)-ROW('Gap Analysis'!A$6)+1),ROWS($A$1:A5))),"")</f>
        <v/>
      </c>
      <c r="F32" s="15">
        <f>IFERROR(INDEX('Gap Analysis'!I$6:I$55,SMALL(IF(('Gap Analysis'!E$6:E$55="Critical")+('Gap Analysis'!E$6:E$55="High"),ROW('Gap Analysis'!A$6:A$55)-ROW('Gap Analysis'!A$6)+1),ROWS($A$1:A5))),"")</f>
        <v/>
      </c>
      <c r="G32" s="15">
        <f>IFERROR(INDEX('Gap Analysis'!J$6:J$55,SMALL(IF(('Gap Analysis'!E$6:E$55="Critical")+('Gap Analysis'!E$6:E$55="High"),ROW('Gap Analysis'!A$6:A$55)-ROW('Gap Analysis'!A$6)+1),ROWS($A$1:A5))),"")</f>
        <v/>
      </c>
    </row>
    <row r="33">
      <c r="A33" s="15">
        <f>IFERROR(INDEX('Gap Analysis'!A$6:A$55,SMALL(IF(('Gap Analysis'!E$6:E$55="Critical")+('Gap Analysis'!E$6:E$55="High"),ROW('Gap Analysis'!A$6:A$55)-ROW('Gap Analysis'!A$6)+1),ROWS($A$1:A6))),"")</f>
        <v/>
      </c>
      <c r="B33" s="15">
        <f>IFERROR(INDEX('Gap Analysis'!B$6:B$55,SMALL(IF(('Gap Analysis'!E$6:E$55="Critical")+('Gap Analysis'!E$6:E$55="High"),ROW('Gap Analysis'!A$6:A$55)-ROW('Gap Analysis'!A$6)+1),ROWS($A$1:A6))),"")</f>
        <v/>
      </c>
      <c r="C33" s="15">
        <f>IFERROR(INDEX('Gap Analysis'!D$6:D$55,SMALL(IF(('Gap Analysis'!E$6:E$55="Critical")+('Gap Analysis'!E$6:E$55="High"),ROW('Gap Analysis'!A$6:A$55)-ROW('Gap Analysis'!A$6)+1),ROWS($A$1:A6))),"")</f>
        <v/>
      </c>
      <c r="D33" s="15">
        <f>IFERROR(INDEX('Gap Analysis'!E$6:E$55,SMALL(IF(('Gap Analysis'!E$6:E$55="Critical")+('Gap Analysis'!E$6:E$55="High"),ROW('Gap Analysis'!A$6:A$55)-ROW('Gap Analysis'!A$6)+1),ROWS($A$1:A6))),"")</f>
        <v/>
      </c>
      <c r="E33" s="15">
        <f>IFERROR(INDEX('Gap Analysis'!K$6:K$55,SMALL(IF(('Gap Analysis'!E$6:E$55="Critical")+('Gap Analysis'!E$6:E$55="High"),ROW('Gap Analysis'!A$6:A$55)-ROW('Gap Analysis'!A$6)+1),ROWS($A$1:A6))),"")</f>
        <v/>
      </c>
      <c r="F33" s="15">
        <f>IFERROR(INDEX('Gap Analysis'!I$6:I$55,SMALL(IF(('Gap Analysis'!E$6:E$55="Critical")+('Gap Analysis'!E$6:E$55="High"),ROW('Gap Analysis'!A$6:A$55)-ROW('Gap Analysis'!A$6)+1),ROWS($A$1:A6))),"")</f>
        <v/>
      </c>
      <c r="G33" s="15">
        <f>IFERROR(INDEX('Gap Analysis'!J$6:J$55,SMALL(IF(('Gap Analysis'!E$6:E$55="Critical")+('Gap Analysis'!E$6:E$55="High"),ROW('Gap Analysis'!A$6:A$55)-ROW('Gap Analysis'!A$6)+1),ROWS($A$1:A6))),"")</f>
        <v/>
      </c>
    </row>
    <row r="34">
      <c r="A34" s="15">
        <f>IFERROR(INDEX('Gap Analysis'!A$6:A$55,SMALL(IF(('Gap Analysis'!E$6:E$55="Critical")+('Gap Analysis'!E$6:E$55="High"),ROW('Gap Analysis'!A$6:A$55)-ROW('Gap Analysis'!A$6)+1),ROWS($A$1:A7))),"")</f>
        <v/>
      </c>
      <c r="B34" s="15">
        <f>IFERROR(INDEX('Gap Analysis'!B$6:B$55,SMALL(IF(('Gap Analysis'!E$6:E$55="Critical")+('Gap Analysis'!E$6:E$55="High"),ROW('Gap Analysis'!A$6:A$55)-ROW('Gap Analysis'!A$6)+1),ROWS($A$1:A7))),"")</f>
        <v/>
      </c>
      <c r="C34" s="15">
        <f>IFERROR(INDEX('Gap Analysis'!D$6:D$55,SMALL(IF(('Gap Analysis'!E$6:E$55="Critical")+('Gap Analysis'!E$6:E$55="High"),ROW('Gap Analysis'!A$6:A$55)-ROW('Gap Analysis'!A$6)+1),ROWS($A$1:A7))),"")</f>
        <v/>
      </c>
      <c r="D34" s="15">
        <f>IFERROR(INDEX('Gap Analysis'!E$6:E$55,SMALL(IF(('Gap Analysis'!E$6:E$55="Critical")+('Gap Analysis'!E$6:E$55="High"),ROW('Gap Analysis'!A$6:A$55)-ROW('Gap Analysis'!A$6)+1),ROWS($A$1:A7))),"")</f>
        <v/>
      </c>
      <c r="E34" s="15">
        <f>IFERROR(INDEX('Gap Analysis'!K$6:K$55,SMALL(IF(('Gap Analysis'!E$6:E$55="Critical")+('Gap Analysis'!E$6:E$55="High"),ROW('Gap Analysis'!A$6:A$55)-ROW('Gap Analysis'!A$6)+1),ROWS($A$1:A7))),"")</f>
        <v/>
      </c>
      <c r="F34" s="15">
        <f>IFERROR(INDEX('Gap Analysis'!I$6:I$55,SMALL(IF(('Gap Analysis'!E$6:E$55="Critical")+('Gap Analysis'!E$6:E$55="High"),ROW('Gap Analysis'!A$6:A$55)-ROW('Gap Analysis'!A$6)+1),ROWS($A$1:A7))),"")</f>
        <v/>
      </c>
      <c r="G34" s="15">
        <f>IFERROR(INDEX('Gap Analysis'!J$6:J$55,SMALL(IF(('Gap Analysis'!E$6:E$55="Critical")+('Gap Analysis'!E$6:E$55="High"),ROW('Gap Analysis'!A$6:A$55)-ROW('Gap Analysis'!A$6)+1),ROWS($A$1:A7))),"")</f>
        <v/>
      </c>
    </row>
    <row r="35">
      <c r="A35" s="15">
        <f>IFERROR(INDEX('Gap Analysis'!A$6:A$55,SMALL(IF(('Gap Analysis'!E$6:E$55="Critical")+('Gap Analysis'!E$6:E$55="High"),ROW('Gap Analysis'!A$6:A$55)-ROW('Gap Analysis'!A$6)+1),ROWS($A$1:A8))),"")</f>
        <v/>
      </c>
      <c r="B35" s="15">
        <f>IFERROR(INDEX('Gap Analysis'!B$6:B$55,SMALL(IF(('Gap Analysis'!E$6:E$55="Critical")+('Gap Analysis'!E$6:E$55="High"),ROW('Gap Analysis'!A$6:A$55)-ROW('Gap Analysis'!A$6)+1),ROWS($A$1:A8))),"")</f>
        <v/>
      </c>
      <c r="C35" s="15">
        <f>IFERROR(INDEX('Gap Analysis'!D$6:D$55,SMALL(IF(('Gap Analysis'!E$6:E$55="Critical")+('Gap Analysis'!E$6:E$55="High"),ROW('Gap Analysis'!A$6:A$55)-ROW('Gap Analysis'!A$6)+1),ROWS($A$1:A8))),"")</f>
        <v/>
      </c>
      <c r="D35" s="15">
        <f>IFERROR(INDEX('Gap Analysis'!E$6:E$55,SMALL(IF(('Gap Analysis'!E$6:E$55="Critical")+('Gap Analysis'!E$6:E$55="High"),ROW('Gap Analysis'!A$6:A$55)-ROW('Gap Analysis'!A$6)+1),ROWS($A$1:A8))),"")</f>
        <v/>
      </c>
      <c r="E35" s="15">
        <f>IFERROR(INDEX('Gap Analysis'!K$6:K$55,SMALL(IF(('Gap Analysis'!E$6:E$55="Critical")+('Gap Analysis'!E$6:E$55="High"),ROW('Gap Analysis'!A$6:A$55)-ROW('Gap Analysis'!A$6)+1),ROWS($A$1:A8))),"")</f>
        <v/>
      </c>
      <c r="F35" s="15">
        <f>IFERROR(INDEX('Gap Analysis'!I$6:I$55,SMALL(IF(('Gap Analysis'!E$6:E$55="Critical")+('Gap Analysis'!E$6:E$55="High"),ROW('Gap Analysis'!A$6:A$55)-ROW('Gap Analysis'!A$6)+1),ROWS($A$1:A8))),"")</f>
        <v/>
      </c>
      <c r="G35" s="15">
        <f>IFERROR(INDEX('Gap Analysis'!J$6:J$55,SMALL(IF(('Gap Analysis'!E$6:E$55="Critical")+('Gap Analysis'!E$6:E$55="High"),ROW('Gap Analysis'!A$6:A$55)-ROW('Gap Analysis'!A$6)+1),ROWS($A$1:A8))),"")</f>
        <v/>
      </c>
    </row>
    <row r="36">
      <c r="A36" s="15">
        <f>IFERROR(INDEX('Gap Analysis'!A$6:A$55,SMALL(IF(('Gap Analysis'!E$6:E$55="Critical")+('Gap Analysis'!E$6:E$55="High"),ROW('Gap Analysis'!A$6:A$55)-ROW('Gap Analysis'!A$6)+1),ROWS($A$1:A9))),"")</f>
        <v/>
      </c>
      <c r="B36" s="15">
        <f>IFERROR(INDEX('Gap Analysis'!B$6:B$55,SMALL(IF(('Gap Analysis'!E$6:E$55="Critical")+('Gap Analysis'!E$6:E$55="High"),ROW('Gap Analysis'!A$6:A$55)-ROW('Gap Analysis'!A$6)+1),ROWS($A$1:A9))),"")</f>
        <v/>
      </c>
      <c r="C36" s="15">
        <f>IFERROR(INDEX('Gap Analysis'!D$6:D$55,SMALL(IF(('Gap Analysis'!E$6:E$55="Critical")+('Gap Analysis'!E$6:E$55="High"),ROW('Gap Analysis'!A$6:A$55)-ROW('Gap Analysis'!A$6)+1),ROWS($A$1:A9))),"")</f>
        <v/>
      </c>
      <c r="D36" s="15">
        <f>IFERROR(INDEX('Gap Analysis'!E$6:E$55,SMALL(IF(('Gap Analysis'!E$6:E$55="Critical")+('Gap Analysis'!E$6:E$55="High"),ROW('Gap Analysis'!A$6:A$55)-ROW('Gap Analysis'!A$6)+1),ROWS($A$1:A9))),"")</f>
        <v/>
      </c>
      <c r="E36" s="15">
        <f>IFERROR(INDEX('Gap Analysis'!K$6:K$55,SMALL(IF(('Gap Analysis'!E$6:E$55="Critical")+('Gap Analysis'!E$6:E$55="High"),ROW('Gap Analysis'!A$6:A$55)-ROW('Gap Analysis'!A$6)+1),ROWS($A$1:A9))),"")</f>
        <v/>
      </c>
      <c r="F36" s="15">
        <f>IFERROR(INDEX('Gap Analysis'!I$6:I$55,SMALL(IF(('Gap Analysis'!E$6:E$55="Critical")+('Gap Analysis'!E$6:E$55="High"),ROW('Gap Analysis'!A$6:A$55)-ROW('Gap Analysis'!A$6)+1),ROWS($A$1:A9))),"")</f>
        <v/>
      </c>
      <c r="G36" s="15">
        <f>IFERROR(INDEX('Gap Analysis'!J$6:J$55,SMALL(IF(('Gap Analysis'!E$6:E$55="Critical")+('Gap Analysis'!E$6:E$55="High"),ROW('Gap Analysis'!A$6:A$55)-ROW('Gap Analysis'!A$6)+1),ROWS($A$1:A9))),"")</f>
        <v/>
      </c>
    </row>
    <row r="37">
      <c r="A37" s="15">
        <f>IFERROR(INDEX('Gap Analysis'!A$6:A$55,SMALL(IF(('Gap Analysis'!E$6:E$55="Critical")+('Gap Analysis'!E$6:E$55="High"),ROW('Gap Analysis'!A$6:A$55)-ROW('Gap Analysis'!A$6)+1),ROWS($A$1:A10))),"")</f>
        <v/>
      </c>
      <c r="B37" s="15">
        <f>IFERROR(INDEX('Gap Analysis'!B$6:B$55,SMALL(IF(('Gap Analysis'!E$6:E$55="Critical")+('Gap Analysis'!E$6:E$55="High"),ROW('Gap Analysis'!A$6:A$55)-ROW('Gap Analysis'!A$6)+1),ROWS($A$1:A10))),"")</f>
        <v/>
      </c>
      <c r="C37" s="15">
        <f>IFERROR(INDEX('Gap Analysis'!D$6:D$55,SMALL(IF(('Gap Analysis'!E$6:E$55="Critical")+('Gap Analysis'!E$6:E$55="High"),ROW('Gap Analysis'!A$6:A$55)-ROW('Gap Analysis'!A$6)+1),ROWS($A$1:A10))),"")</f>
        <v/>
      </c>
      <c r="D37" s="15">
        <f>IFERROR(INDEX('Gap Analysis'!E$6:E$55,SMALL(IF(('Gap Analysis'!E$6:E$55="Critical")+('Gap Analysis'!E$6:E$55="High"),ROW('Gap Analysis'!A$6:A$55)-ROW('Gap Analysis'!A$6)+1),ROWS($A$1:A10))),"")</f>
        <v/>
      </c>
      <c r="E37" s="15">
        <f>IFERROR(INDEX('Gap Analysis'!K$6:K$55,SMALL(IF(('Gap Analysis'!E$6:E$55="Critical")+('Gap Analysis'!E$6:E$55="High"),ROW('Gap Analysis'!A$6:A$55)-ROW('Gap Analysis'!A$6)+1),ROWS($A$1:A10))),"")</f>
        <v/>
      </c>
      <c r="F37" s="15">
        <f>IFERROR(INDEX('Gap Analysis'!I$6:I$55,SMALL(IF(('Gap Analysis'!E$6:E$55="Critical")+('Gap Analysis'!E$6:E$55="High"),ROW('Gap Analysis'!A$6:A$55)-ROW('Gap Analysis'!A$6)+1),ROWS($A$1:A10))),"")</f>
        <v/>
      </c>
      <c r="G37" s="15">
        <f>IFERROR(INDEX('Gap Analysis'!J$6:J$55,SMALL(IF(('Gap Analysis'!E$6:E$55="Critical")+('Gap Analysis'!E$6:E$55="High"),ROW('Gap Analysis'!A$6:A$55)-ROW('Gap Analysis'!A$6)+1),ROWS($A$1:A10))),"")</f>
        <v/>
      </c>
    </row>
    <row r="38">
      <c r="A38" s="30" t="n"/>
      <c r="B38" s="30" t="n"/>
      <c r="C38" s="30" t="n"/>
      <c r="D38" s="30" t="n"/>
      <c r="E38" s="30" t="n"/>
      <c r="F38" s="30" t="n"/>
      <c r="G38" s="30" t="n"/>
    </row>
    <row r="39">
      <c r="A39" s="30" t="n"/>
      <c r="B39" s="30" t="n"/>
      <c r="C39" s="30" t="n"/>
      <c r="D39" s="30" t="n"/>
      <c r="E39" s="30" t="n"/>
      <c r="F39" s="30" t="n"/>
      <c r="G39" s="30" t="n"/>
    </row>
    <row r="40">
      <c r="A40" s="34" t="inlineStr">
        <is>
          <t>Total Critical/High Findings:</t>
        </is>
      </c>
      <c r="B40" s="34">
        <f>COUNTIF('Gap Analysis'!E6:E55,"Critical")+COUNTIF('Gap Analysis'!E6:E55,"High")</f>
        <v/>
      </c>
      <c r="C40" s="6" t="n"/>
      <c r="D40" s="6" t="n"/>
      <c r="E40" s="6" t="n"/>
      <c r="F40" s="6" t="n"/>
      <c r="G40" s="6" t="n"/>
    </row>
  </sheetData>
  <mergeCells count="4">
    <mergeCell ref="A26:G26"/>
    <mergeCell ref="A3:G3"/>
    <mergeCell ref="A1:G1"/>
    <mergeCell ref="A12:G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A.8.1-7-18-19: Endpoint and Device Security</t>
        </is>
      </c>
      <c r="B2" s="6" t="n"/>
      <c r="C2" s="6" t="n"/>
      <c r="D2" s="6" t="n"/>
      <c r="E2" s="6" t="n"/>
    </row>
    <row r="3">
      <c r="A3" s="39" t="inlineStr">
        <is>
          <t>ASSESSMENT SUMMARY</t>
        </is>
      </c>
      <c r="B3" s="6" t="n"/>
      <c r="C3" s="6" t="n"/>
      <c r="D3" s="6" t="n"/>
      <c r="E3" s="6" t="n"/>
    </row>
    <row r="4">
      <c r="A4" s="22" t="inlineStr">
        <is>
          <t>Document:</t>
        </is>
      </c>
      <c r="B4" s="6" t="inlineStr">
        <is>
          <t>ISMS-IMP-A.8.1-7-18-19.2 - Protection Coverage</t>
        </is>
      </c>
      <c r="C4" s="6" t="n"/>
      <c r="D4" s="6" t="n"/>
      <c r="E4" s="6" t="n"/>
    </row>
    <row r="5">
      <c r="A5" s="22" t="inlineStr">
        <is>
          <t>Assessment Period:</t>
        </is>
      </c>
      <c r="B5" s="30" t="inlineStr"/>
      <c r="C5" s="6" t="n"/>
      <c r="D5" s="6" t="n"/>
      <c r="E5" s="6" t="n"/>
    </row>
    <row r="6">
      <c r="A6" s="22" t="inlineStr">
        <is>
          <t>Overall Compliance Rating:</t>
        </is>
      </c>
      <c r="B6" s="40">
        <f>'Summary Dashboard'!G10</f>
        <v/>
      </c>
      <c r="C6" s="6" t="n"/>
      <c r="D6" s="6" t="n"/>
      <c r="E6" s="6" t="n"/>
    </row>
    <row r="7">
      <c r="A7" s="22" t="inlineStr">
        <is>
          <t>Assessment Status:</t>
        </is>
      </c>
      <c r="B7" s="30" t="inlineStr"/>
      <c r="C7" s="6" t="n"/>
      <c r="D7" s="6" t="n"/>
      <c r="E7" s="6" t="n"/>
    </row>
    <row r="8">
      <c r="A8" s="22" t="inlineStr">
        <is>
          <t>Assessed By:</t>
        </is>
      </c>
      <c r="B8" s="30" t="inlineStr"/>
      <c r="C8" s="6" t="n"/>
      <c r="D8" s="6" t="n"/>
      <c r="E8" s="6" t="n"/>
    </row>
    <row r="11">
      <c r="A11" s="39" t="inlineStr">
        <is>
          <t>COMPLETED BY (ASSESSOR)</t>
        </is>
      </c>
      <c r="B11" s="6" t="n"/>
      <c r="C11" s="6" t="n"/>
      <c r="D11" s="6" t="n"/>
      <c r="E11" s="6" t="n"/>
    </row>
    <row r="12">
      <c r="A12" s="22" t="inlineStr">
        <is>
          <t>Name:</t>
        </is>
      </c>
      <c r="B12" s="30" t="n"/>
      <c r="C12" s="6" t="n"/>
      <c r="D12" s="6" t="n"/>
      <c r="E12" s="6" t="n"/>
    </row>
    <row r="13">
      <c r="A13" s="22" t="inlineStr">
        <is>
          <t>Title:</t>
        </is>
      </c>
      <c r="B13" s="30" t="n"/>
      <c r="C13" s="6" t="n"/>
      <c r="D13" s="6" t="n"/>
      <c r="E13" s="6" t="n"/>
    </row>
    <row r="14">
      <c r="A14" s="22" t="inlineStr">
        <is>
          <t>Date:</t>
        </is>
      </c>
      <c r="B14" s="30" t="n"/>
      <c r="C14" s="6" t="n"/>
      <c r="D14" s="6" t="n"/>
      <c r="E14" s="6" t="n"/>
    </row>
    <row r="15">
      <c r="A15" s="22" t="inlineStr">
        <is>
          <t>Signature:</t>
        </is>
      </c>
      <c r="B15" s="30" t="n"/>
      <c r="C15" s="6" t="n"/>
      <c r="D15" s="6" t="n"/>
      <c r="E15" s="6" t="n"/>
    </row>
    <row r="16">
      <c r="A16" s="22" t="inlineStr">
        <is>
          <t>Comments:</t>
        </is>
      </c>
      <c r="B16" s="30" t="n"/>
      <c r="C16" s="6" t="n"/>
      <c r="D16" s="6" t="n"/>
      <c r="E16" s="6" t="n"/>
    </row>
    <row r="18">
      <c r="A18" s="39" t="inlineStr">
        <is>
          <t>REVIEWED BY (INFORMATION SECURITY OFFICER)</t>
        </is>
      </c>
      <c r="B18" s="6" t="n"/>
      <c r="C18" s="6" t="n"/>
      <c r="D18" s="6" t="n"/>
      <c r="E18" s="6" t="n"/>
    </row>
    <row r="19">
      <c r="A19" s="22" t="inlineStr">
        <is>
          <t>Name:</t>
        </is>
      </c>
      <c r="B19" s="30" t="n"/>
      <c r="C19" s="6" t="n"/>
      <c r="D19" s="6" t="n"/>
      <c r="E19" s="6" t="n"/>
    </row>
    <row r="20">
      <c r="A20" s="22" t="inlineStr">
        <is>
          <t>Title:</t>
        </is>
      </c>
      <c r="B20" s="30" t="n"/>
      <c r="C20" s="6" t="n"/>
      <c r="D20" s="6" t="n"/>
      <c r="E20" s="6" t="n"/>
    </row>
    <row r="21">
      <c r="A21" s="22" t="inlineStr">
        <is>
          <t>Date:</t>
        </is>
      </c>
      <c r="B21" s="30" t="n"/>
      <c r="C21" s="6" t="n"/>
      <c r="D21" s="6" t="n"/>
      <c r="E21" s="6" t="n"/>
    </row>
    <row r="22">
      <c r="A22" s="22" t="inlineStr">
        <is>
          <t>Signature:</t>
        </is>
      </c>
      <c r="B22" s="30" t="n"/>
      <c r="C22" s="6" t="n"/>
      <c r="D22" s="6" t="n"/>
      <c r="E22" s="6" t="n"/>
    </row>
    <row r="23">
      <c r="A23" s="22" t="inlineStr">
        <is>
          <t>Comments:</t>
        </is>
      </c>
      <c r="B23" s="30" t="n"/>
      <c r="C23" s="6" t="n"/>
      <c r="D23" s="6" t="n"/>
      <c r="E23" s="6" t="n"/>
    </row>
    <row r="25">
      <c r="A25" s="41" t="inlineStr">
        <is>
          <t>APPROVED BY (CISO)</t>
        </is>
      </c>
      <c r="B25" s="6" t="n"/>
      <c r="C25" s="6" t="n"/>
      <c r="D25" s="6" t="n"/>
      <c r="E25" s="6" t="n"/>
    </row>
    <row r="26">
      <c r="A26" s="22" t="inlineStr">
        <is>
          <t>Name:</t>
        </is>
      </c>
      <c r="B26" s="30" t="n"/>
      <c r="C26" s="6" t="n"/>
      <c r="D26" s="6" t="n"/>
      <c r="E26" s="6" t="n"/>
    </row>
    <row r="27">
      <c r="A27" s="22" t="inlineStr">
        <is>
          <t>Title:</t>
        </is>
      </c>
      <c r="B27" s="30" t="n"/>
      <c r="C27" s="6" t="n"/>
      <c r="D27" s="6" t="n"/>
      <c r="E27" s="6" t="n"/>
    </row>
    <row r="28">
      <c r="A28" s="22" t="inlineStr">
        <is>
          <t>Date:</t>
        </is>
      </c>
      <c r="B28" s="30" t="n"/>
      <c r="C28" s="6" t="n"/>
      <c r="D28" s="6" t="n"/>
      <c r="E28" s="6" t="n"/>
    </row>
    <row r="29">
      <c r="A29" s="22" t="inlineStr">
        <is>
          <t>Signature:</t>
        </is>
      </c>
      <c r="B29" s="30" t="n"/>
      <c r="C29" s="6" t="n"/>
      <c r="D29" s="6" t="n"/>
      <c r="E29" s="6" t="n"/>
    </row>
    <row r="30">
      <c r="A30" s="22" t="inlineStr">
        <is>
          <t>Comments:</t>
        </is>
      </c>
      <c r="B30" s="30" t="n"/>
      <c r="C30" s="6" t="n"/>
      <c r="D30" s="6" t="n"/>
      <c r="E30" s="6" t="n"/>
    </row>
    <row r="32">
      <c r="A32" s="22" t="inlineStr">
        <is>
          <t>FINAL DECISION:</t>
        </is>
      </c>
      <c r="B32" s="30" t="n"/>
      <c r="C32" s="6" t="n"/>
      <c r="D32" s="6" t="n"/>
      <c r="E32" s="6" t="n"/>
    </row>
    <row r="35">
      <c r="A35" s="39" t="inlineStr">
        <is>
          <t>NEXT REVIEW DETAILS</t>
        </is>
      </c>
      <c r="B35" s="6" t="n"/>
      <c r="C35" s="6" t="n"/>
      <c r="D35" s="6" t="n"/>
      <c r="E35" s="6" t="n"/>
    </row>
    <row r="36">
      <c r="A36" s="22" t="inlineStr">
        <is>
          <t>Next Review Date:</t>
        </is>
      </c>
      <c r="B36" s="30" t="n"/>
      <c r="C36" s="6" t="n"/>
      <c r="D36" s="6" t="n"/>
      <c r="E36" s="6" t="n"/>
    </row>
    <row r="37">
      <c r="A37" s="22" t="inlineStr">
        <is>
          <t>Review Responsible:</t>
        </is>
      </c>
      <c r="B37" s="30" t="n"/>
      <c r="C37" s="6" t="n"/>
      <c r="D37" s="6" t="n"/>
      <c r="E37" s="6" t="n"/>
    </row>
    <row r="38">
      <c r="A38" s="22" t="inlineStr">
        <is>
          <t>Special Considerations:</t>
        </is>
      </c>
      <c r="B38" s="3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ISMS-IMP-A.8.1-7-18-19.2 — Protection Coverage</dc:title>
  <dc:description xmlns:dc="http://purl.org/dc/elements/1.1/">ISMS Implementation Workbook — ISMS-IMP-A.8.1-7-18-19.2</dc:description>
  <dc:subject xmlns:dc="http://purl.org/dc/elements/1.1/">ISO/IEC 27001:2022 — Control A.8.1-7-18-19: Endpoint and Device Security</dc:subject>
  <dcterms:created xmlns:dcterms="http://purl.org/dc/terms/" xmlns:xsi="http://www.w3.org/2001/XMLSchema-instance" xsi:type="dcterms:W3CDTF">2026-03-07T11:27:59Z</dcterms:created>
  <dcterms:modified xmlns:dcterms="http://purl.org/dc/terms/" xmlns:xsi="http://www.w3.org/2001/XMLSchema-instance" xsi:type="dcterms:W3CDTF">2026-03-07T11:28:00Z</dcterms:modified>
</cp:coreProperties>
</file>