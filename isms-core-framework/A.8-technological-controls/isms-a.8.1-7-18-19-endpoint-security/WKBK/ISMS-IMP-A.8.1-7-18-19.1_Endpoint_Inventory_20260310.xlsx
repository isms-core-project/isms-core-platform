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Baseline Compliance" sheetId="3" state="visible" r:id="rId3"/>
    <sheet xmlns:r="http://schemas.openxmlformats.org/officeDocument/2006/relationships" name="Encryption Status" sheetId="4" state="visible" r:id="rId4"/>
    <sheet xmlns:r="http://schemas.openxmlformats.org/officeDocument/2006/relationships" name="Management Enrollment" sheetId="5" state="visible" r:id="rId5"/>
    <sheet xmlns:r="http://schemas.openxmlformats.org/officeDocument/2006/relationships" name="Capability Requirement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9"/>
    </font>
    <font>
      <b val="1"/>
    </font>
    <font>
      <name val="Calibri"/>
      <i val="1"/>
      <color rgb="00000000"/>
      <sz val="10"/>
    </font>
    <font>
      <name val="Calibri"/>
      <b val="1"/>
      <color rgb="00000000"/>
      <sz val="10"/>
    </font>
    <font>
      <name val="Calibri"/>
      <color rgb="00000000"/>
      <sz val="10"/>
    </font>
    <font>
      <name val="Calibri"/>
      <i val="1"/>
      <sz val="10"/>
    </font>
    <font>
      <name val="Calibri"/>
      <b val="1"/>
      <color rgb="00FFFFFF"/>
      <sz val="10"/>
    </font>
    <font>
      <color rgb="00808080"/>
    </font>
    <font/>
    <font>
      <b val="1"/>
      <color rgb="00FFFFFF"/>
      <sz val="14"/>
    </font>
    <font>
      <name val="Calibri"/>
      <i val="1"/>
      <color rgb="00003366"/>
      <sz val="10"/>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xf>
    <xf numFmtId="0" fontId="0" fillId="11" borderId="1" applyAlignment="1" pivotButton="0" quotePrefix="0" xfId="0">
      <alignment horizontal="left" vertical="center" wrapText="1"/>
    </xf>
    <xf numFmtId="0" fontId="7" fillId="0" borderId="0" pivotButton="0" quotePrefix="0" xfId="0"/>
    <xf numFmtId="0" fontId="0" fillId="11" borderId="1" applyAlignment="1" pivotButton="0" quotePrefix="0" xfId="0">
      <alignment horizontal="left" vertical="center"/>
    </xf>
    <xf numFmtId="0" fontId="0" fillId="10" borderId="1" applyAlignment="1" pivotButton="0" quotePrefix="0" xfId="0">
      <alignment horizontal="left" vertical="center" wrapText="1"/>
    </xf>
    <xf numFmtId="0" fontId="0" fillId="0" borderId="1" applyAlignment="1" pivotButton="0" quotePrefix="0" xfId="0">
      <alignment wrapText="1"/>
    </xf>
    <xf numFmtId="0" fontId="13" fillId="10" borderId="1" pivotButton="0" quotePrefix="0" xfId="0"/>
    <xf numFmtId="0" fontId="13" fillId="10" borderId="1" applyAlignment="1" pivotButton="0" quotePrefix="0" xfId="0">
      <alignment horizontal="left" vertical="center" wrapText="1"/>
    </xf>
    <xf numFmtId="0" fontId="14" fillId="11" borderId="1" pivotButton="0" quotePrefix="0" xfId="0"/>
    <xf numFmtId="0" fontId="12" fillId="12" borderId="0" pivotButton="0" quotePrefix="0" xfId="0"/>
    <xf numFmtId="0" fontId="7" fillId="13" borderId="0" pivotButton="0" quotePrefix="0" xfId="0"/>
    <xf numFmtId="0" fontId="7" fillId="14" borderId="0" pivotButton="0" quotePrefix="0" xfId="0"/>
    <xf numFmtId="0" fontId="7" fillId="15" borderId="0" pivotButton="0" quotePrefix="0" xfId="0"/>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8" fillId="0" borderId="0" applyAlignment="1" pivotButton="0" quotePrefix="0" xfId="0">
      <alignment horizontal="left" vertical="center"/>
    </xf>
    <xf numFmtId="0" fontId="5" fillId="8" borderId="1" pivotButton="0" quotePrefix="0" xfId="0"/>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left" vertical="center"/>
    </xf>
    <xf numFmtId="0" fontId="9" fillId="9" borderId="1" applyAlignment="1" pivotButton="0" quotePrefix="0" xfId="0">
      <alignment horizontal="center" vertical="center"/>
    </xf>
    <xf numFmtId="164" fontId="9" fillId="9" borderId="1" applyAlignment="1" pivotButton="0" quotePrefix="0" xfId="0">
      <alignment horizontal="center" vertical="center"/>
    </xf>
    <xf numFmtId="0" fontId="5" fillId="12" borderId="1" pivotButton="0" quotePrefix="0" xfId="0"/>
    <xf numFmtId="0" fontId="10" fillId="11" borderId="1" applyAlignment="1" pivotButton="0" quotePrefix="0" xfId="0">
      <alignment horizontal="left" vertical="center"/>
    </xf>
    <xf numFmtId="0" fontId="4" fillId="0" borderId="1" pivotButton="0" quotePrefix="0" xfId="0"/>
    <xf numFmtId="0" fontId="9" fillId="0" borderId="1" pivotButton="0" quotePrefix="0" xfId="0"/>
    <xf numFmtId="0" fontId="15"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16" borderId="1" pivotButton="0" quotePrefix="0" xfId="0"/>
    <xf numFmtId="0" fontId="7" fillId="0" borderId="1" pivotButton="0" quotePrefix="0" xfId="0"/>
    <xf numFmtId="164" fontId="0" fillId="0" borderId="1" pivotButton="0" quotePrefix="0" xfId="0"/>
    <xf numFmtId="0" fontId="1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ISMS-IMP-A.8.1-7-18-19.1  -  Endpoint Inventory
ISO/IEC 27001:2022 - Control A.8.1-7-18-19: Endpoint and Device Security</t>
        </is>
      </c>
    </row>
    <row r="3">
      <c r="A3" s="2" t="inlineStr">
        <is>
          <t>Document Information</t>
        </is>
      </c>
    </row>
    <row r="4">
      <c r="A4" s="3" t="inlineStr">
        <is>
          <t>Document ID</t>
        </is>
      </c>
      <c r="B4" t="inlineStr">
        <is>
          <t>ISMS-IMP-A.8.1-7-18-19.1</t>
        </is>
      </c>
    </row>
    <row r="5">
      <c r="A5" s="3" t="inlineStr">
        <is>
          <t>Workbook Title</t>
        </is>
      </c>
      <c r="B5" t="inlineStr">
        <is>
          <t>Endpoint Inventory</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Inventory Sheet — Complete endpoint inventory from MDM/SCCM/Jamf exports. Populate Device ID, Hostname, Type, OS, User, Location, Status for ALL endpoints.</t>
        </is>
      </c>
    </row>
    <row r="14">
      <c r="A14" t="inlineStr">
        <is>
          <t>2. Baseline Compliance — Assess each endpoint against security baseline (OS hardening, firewall, encryption, antivirus). Use compliance status dropdowns.</t>
        </is>
      </c>
    </row>
    <row r="15">
      <c r="A15" t="inlineStr">
        <is>
          <t>3. Encryption Status — Document encryption technology per endpoint (BitLocker, FileVault, LUKS, built-in). Verify encryption is active.</t>
        </is>
      </c>
    </row>
    <row r="16">
      <c r="A16" t="inlineStr">
        <is>
          <t>4. Management Enrollment — Document MDM platform enrollment status. Identify unmanaged devices.</t>
        </is>
      </c>
    </row>
    <row r="17">
      <c r="A17" t="inlineStr">
        <is>
          <t>5. Capability Requirements — Map policy requirements to implementation. Verify all requirements are addressed.</t>
        </is>
      </c>
    </row>
    <row r="18">
      <c r="A18" t="inlineStr">
        <is>
          <t>6. Evidence Register — Document ALL evidence (config exports, screenshots, reports, certificates). Minimum 20 evidence entries.</t>
        </is>
      </c>
    </row>
    <row r="19">
      <c r="A19" t="inlineStr">
        <is>
          <t>7. Gap Analysis — Document identified gaps with severity, root cause, and remediation plan. Track remediation progress.</t>
        </is>
      </c>
    </row>
    <row r="20">
      <c r="A20" t="inlineStr">
        <is>
          <t>8. Approval Sign-Off — Obtain approvals: Assessor → IT Operations Manager → CISO. Final approval required for assessment closure.</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8" customWidth="1" min="4" max="4"/>
    <col width="15" customWidth="1" min="5" max="5"/>
    <col width="14" customWidth="1" min="6" max="6"/>
    <col width="18" customWidth="1" min="7" max="7"/>
    <col width="20" customWidth="1" min="8" max="8"/>
    <col width="15" customWidth="1" min="9" max="9"/>
    <col width="28" customWidth="1" min="10" max="10"/>
    <col width="20" customWidth="1" min="11" max="11"/>
    <col width="15" customWidth="1" min="12" max="12"/>
    <col width="15" customWidth="1" min="13" max="13"/>
    <col width="35" customWidth="1" min="14" max="14"/>
  </cols>
  <sheetData>
    <row r="1" ht="35" customHeight="1">
      <c r="A1" s="11" t="inlineStr">
        <is>
          <t>ENDPOINT DEVICE GROUP INVENTORY</t>
        </is>
      </c>
    </row>
    <row r="2">
      <c r="A2" s="12" t="inlineStr">
        <is>
          <t>Group-based inventory — each row represents a device group (AD OU, Entra ID group, department group, or device type)</t>
        </is>
      </c>
    </row>
    <row r="3" ht="20" customHeight="1">
      <c r="A3" s="13" t="inlineStr">
        <is>
          <t>NOTE: To add more device groups, insert rows within the yellow range (rows 6–55) — do not insert above row 6 or below row 55 to preserve formula integrity.</t>
        </is>
      </c>
    </row>
    <row r="4">
      <c r="A4" s="14" t="inlineStr">
        <is>
          <t>Group ID</t>
        </is>
      </c>
      <c r="B4" s="14" t="inlineStr">
        <is>
          <t>Device Group Name</t>
        </is>
      </c>
      <c r="C4" s="14" t="inlineStr">
        <is>
          <t>Group Type</t>
        </is>
      </c>
      <c r="D4" s="14" t="inlineStr">
        <is>
          <t>Device Type</t>
        </is>
      </c>
      <c r="E4" s="14" t="inlineStr">
        <is>
          <t>OS Platform</t>
        </is>
      </c>
      <c r="F4" s="14" t="inlineStr">
        <is>
          <t>Device Count</t>
        </is>
      </c>
      <c r="G4" s="14" t="inlineStr">
        <is>
          <t>Department</t>
        </is>
      </c>
      <c r="H4" s="14" t="inlineStr">
        <is>
          <t>Ownership Model</t>
        </is>
      </c>
      <c r="I4" s="14" t="inlineStr">
        <is>
          <t>Location</t>
        </is>
      </c>
      <c r="J4" s="14" t="inlineStr">
        <is>
          <t>Management Platform</t>
        </is>
      </c>
      <c r="K4" s="14" t="inlineStr">
        <is>
          <t>Compliance Status</t>
        </is>
      </c>
      <c r="L4" s="14" t="inlineStr">
        <is>
          <t>Last Assessed</t>
        </is>
      </c>
      <c r="M4" s="14" t="inlineStr">
        <is>
          <t>Criticality</t>
        </is>
      </c>
      <c r="N4" s="14" t="inlineStr">
        <is>
          <t>Notes</t>
        </is>
      </c>
    </row>
    <row r="5">
      <c r="A5" s="15" t="inlineStr">
        <is>
          <t>GRP-001</t>
        </is>
      </c>
      <c r="B5" s="15" t="inlineStr">
        <is>
          <t>SG-Windows-Endpoints</t>
        </is>
      </c>
      <c r="C5" s="15" t="inlineStr">
        <is>
          <t>Entra ID Group</t>
        </is>
      </c>
      <c r="D5" s="15" t="inlineStr">
        <is>
          <t>Workstations</t>
        </is>
      </c>
      <c r="E5" s="15" t="inlineStr">
        <is>
          <t>Windows</t>
        </is>
      </c>
      <c r="F5" s="15" t="n">
        <v>312</v>
      </c>
      <c r="G5" s="15" t="inlineStr">
        <is>
          <t>IT</t>
        </is>
      </c>
      <c r="H5" s="15" t="inlineStr">
        <is>
          <t>Corporate-Owned</t>
        </is>
      </c>
      <c r="I5" s="15" t="inlineStr">
        <is>
          <t>Office</t>
        </is>
      </c>
      <c r="J5" s="15" t="inlineStr">
        <is>
          <t>Microsoft Intune</t>
        </is>
      </c>
      <c r="K5" s="15" t="inlineStr">
        <is>
          <t>✅ Compliant</t>
        </is>
      </c>
      <c r="L5" s="15" t="inlineStr">
        <is>
          <t>20.02.2026</t>
        </is>
      </c>
      <c r="M5" s="15" t="inlineStr">
        <is>
          <t>High</t>
        </is>
      </c>
      <c r="N5" s="15" t="inlineStr">
        <is>
          <t>Production Windows workstations — Intune managed. See evidence ER-001.</t>
        </is>
      </c>
    </row>
    <row r="6">
      <c r="A6" s="16" t="n"/>
      <c r="B6" s="16" t="n"/>
      <c r="C6" s="16" t="n"/>
      <c r="D6" s="16" t="n"/>
      <c r="E6" s="16" t="n"/>
      <c r="F6" s="16" t="n"/>
      <c r="G6" s="16" t="n"/>
      <c r="H6" s="16" t="n"/>
      <c r="I6" s="16" t="n"/>
      <c r="J6" s="16" t="n"/>
      <c r="K6" s="16" t="n"/>
      <c r="L6" s="16" t="n"/>
      <c r="M6" s="16" t="n"/>
      <c r="N6" s="16" t="n"/>
    </row>
    <row r="7">
      <c r="A7" s="16" t="n"/>
      <c r="B7" s="16" t="n"/>
      <c r="C7" s="16" t="n"/>
      <c r="D7" s="16" t="n"/>
      <c r="E7" s="16" t="n"/>
      <c r="F7" s="16" t="n"/>
      <c r="G7" s="16" t="n"/>
      <c r="H7" s="16" t="n"/>
      <c r="I7" s="16" t="n"/>
      <c r="J7" s="16" t="n"/>
      <c r="K7" s="16" t="n"/>
      <c r="L7" s="16" t="n"/>
      <c r="M7" s="16" t="n"/>
      <c r="N7" s="16" t="n"/>
    </row>
    <row r="8">
      <c r="A8" s="16" t="n"/>
      <c r="B8" s="16" t="n"/>
      <c r="C8" s="16" t="n"/>
      <c r="D8" s="16" t="n"/>
      <c r="E8" s="16" t="n"/>
      <c r="F8" s="16" t="n"/>
      <c r="G8" s="16" t="n"/>
      <c r="H8" s="16" t="n"/>
      <c r="I8" s="16" t="n"/>
      <c r="J8" s="16" t="n"/>
      <c r="K8" s="16" t="n"/>
      <c r="L8" s="16" t="n"/>
      <c r="M8" s="16" t="n"/>
      <c r="N8" s="16" t="n"/>
    </row>
    <row r="9">
      <c r="A9" s="16" t="n"/>
      <c r="B9" s="16" t="n"/>
      <c r="C9" s="16" t="n"/>
      <c r="D9" s="16" t="n"/>
      <c r="E9" s="16" t="n"/>
      <c r="F9" s="16" t="n"/>
      <c r="G9" s="16" t="n"/>
      <c r="H9" s="16" t="n"/>
      <c r="I9" s="16" t="n"/>
      <c r="J9" s="16" t="n"/>
      <c r="K9" s="16" t="n"/>
      <c r="L9" s="16" t="n"/>
      <c r="M9" s="16" t="n"/>
      <c r="N9" s="16" t="n"/>
    </row>
    <row r="10">
      <c r="A10" s="16" t="n"/>
      <c r="B10" s="16" t="n"/>
      <c r="C10" s="16" t="n"/>
      <c r="D10" s="16" t="n"/>
      <c r="E10" s="16" t="n"/>
      <c r="F10" s="16" t="n"/>
      <c r="G10" s="16" t="n"/>
      <c r="H10" s="16" t="n"/>
      <c r="I10" s="16" t="n"/>
      <c r="J10" s="16" t="n"/>
      <c r="K10" s="16" t="n"/>
      <c r="L10" s="16" t="n"/>
      <c r="M10" s="16" t="n"/>
      <c r="N10" s="16" t="n"/>
    </row>
    <row r="11">
      <c r="A11" s="16" t="n"/>
      <c r="B11" s="16" t="n"/>
      <c r="C11" s="16" t="n"/>
      <c r="D11" s="16" t="n"/>
      <c r="E11" s="16" t="n"/>
      <c r="F11" s="16" t="n"/>
      <c r="G11" s="16" t="n"/>
      <c r="H11" s="16" t="n"/>
      <c r="I11" s="16" t="n"/>
      <c r="J11" s="16" t="n"/>
      <c r="K11" s="16" t="n"/>
      <c r="L11" s="16" t="n"/>
      <c r="M11" s="16" t="n"/>
      <c r="N11" s="16" t="n"/>
    </row>
    <row r="12">
      <c r="A12" s="16" t="n"/>
      <c r="B12" s="16" t="n"/>
      <c r="C12" s="16" t="n"/>
      <c r="D12" s="16" t="n"/>
      <c r="E12" s="16" t="n"/>
      <c r="F12" s="16" t="n"/>
      <c r="G12" s="16" t="n"/>
      <c r="H12" s="16" t="n"/>
      <c r="I12" s="16" t="n"/>
      <c r="J12" s="16" t="n"/>
      <c r="K12" s="16" t="n"/>
      <c r="L12" s="16" t="n"/>
      <c r="M12" s="16" t="n"/>
      <c r="N12" s="16" t="n"/>
    </row>
    <row r="13">
      <c r="A13" s="16" t="n"/>
      <c r="B13" s="16" t="n"/>
      <c r="C13" s="16" t="n"/>
      <c r="D13" s="16" t="n"/>
      <c r="E13" s="16" t="n"/>
      <c r="F13" s="16" t="n"/>
      <c r="G13" s="16" t="n"/>
      <c r="H13" s="16" t="n"/>
      <c r="I13" s="16" t="n"/>
      <c r="J13" s="16" t="n"/>
      <c r="K13" s="16" t="n"/>
      <c r="L13" s="16" t="n"/>
      <c r="M13" s="16" t="n"/>
      <c r="N13" s="16" t="n"/>
    </row>
    <row r="14">
      <c r="A14" s="16" t="n"/>
      <c r="B14" s="16" t="n"/>
      <c r="C14" s="16" t="n"/>
      <c r="D14" s="16" t="n"/>
      <c r="E14" s="16" t="n"/>
      <c r="F14" s="16" t="n"/>
      <c r="G14" s="16" t="n"/>
      <c r="H14" s="16" t="n"/>
      <c r="I14" s="16" t="n"/>
      <c r="J14" s="16" t="n"/>
      <c r="K14" s="16" t="n"/>
      <c r="L14" s="16" t="n"/>
      <c r="M14" s="16" t="n"/>
      <c r="N14" s="16" t="n"/>
    </row>
    <row r="15">
      <c r="A15" s="16" t="n"/>
      <c r="B15" s="16" t="n"/>
      <c r="C15" s="16" t="n"/>
      <c r="D15" s="16" t="n"/>
      <c r="E15" s="16" t="n"/>
      <c r="F15" s="16" t="n"/>
      <c r="G15" s="16" t="n"/>
      <c r="H15" s="16" t="n"/>
      <c r="I15" s="16" t="n"/>
      <c r="J15" s="16" t="n"/>
      <c r="K15" s="16" t="n"/>
      <c r="L15" s="16" t="n"/>
      <c r="M15" s="16" t="n"/>
      <c r="N15" s="16" t="n"/>
    </row>
    <row r="16">
      <c r="A16" s="16" t="n"/>
      <c r="B16" s="16" t="n"/>
      <c r="C16" s="16" t="n"/>
      <c r="D16" s="16" t="n"/>
      <c r="E16" s="16" t="n"/>
      <c r="F16" s="16" t="n"/>
      <c r="G16" s="16" t="n"/>
      <c r="H16" s="16" t="n"/>
      <c r="I16" s="16" t="n"/>
      <c r="J16" s="16" t="n"/>
      <c r="K16" s="16" t="n"/>
      <c r="L16" s="16" t="n"/>
      <c r="M16" s="16" t="n"/>
      <c r="N16" s="16" t="n"/>
    </row>
    <row r="17">
      <c r="A17" s="16" t="n"/>
      <c r="B17" s="16" t="n"/>
      <c r="C17" s="16" t="n"/>
      <c r="D17" s="16" t="n"/>
      <c r="E17" s="16" t="n"/>
      <c r="F17" s="16" t="n"/>
      <c r="G17" s="16" t="n"/>
      <c r="H17" s="16" t="n"/>
      <c r="I17" s="16" t="n"/>
      <c r="J17" s="16" t="n"/>
      <c r="K17" s="16" t="n"/>
      <c r="L17" s="16" t="n"/>
      <c r="M17" s="16" t="n"/>
      <c r="N17" s="16" t="n"/>
    </row>
    <row r="18">
      <c r="A18" s="16" t="n"/>
      <c r="B18" s="16" t="n"/>
      <c r="C18" s="16" t="n"/>
      <c r="D18" s="16" t="n"/>
      <c r="E18" s="16" t="n"/>
      <c r="F18" s="16" t="n"/>
      <c r="G18" s="16" t="n"/>
      <c r="H18" s="16" t="n"/>
      <c r="I18" s="16" t="n"/>
      <c r="J18" s="16" t="n"/>
      <c r="K18" s="16" t="n"/>
      <c r="L18" s="16" t="n"/>
      <c r="M18" s="16" t="n"/>
      <c r="N18" s="16" t="n"/>
    </row>
    <row r="19">
      <c r="A19" s="16" t="n"/>
      <c r="B19" s="16" t="n"/>
      <c r="C19" s="16" t="n"/>
      <c r="D19" s="16" t="n"/>
      <c r="E19" s="16" t="n"/>
      <c r="F19" s="16" t="n"/>
      <c r="G19" s="16" t="n"/>
      <c r="H19" s="16" t="n"/>
      <c r="I19" s="16" t="n"/>
      <c r="J19" s="16" t="n"/>
      <c r="K19" s="16" t="n"/>
      <c r="L19" s="16" t="n"/>
      <c r="M19" s="16" t="n"/>
      <c r="N19" s="16" t="n"/>
    </row>
    <row r="20">
      <c r="A20" s="16" t="n"/>
      <c r="B20" s="16" t="n"/>
      <c r="C20" s="16" t="n"/>
      <c r="D20" s="16" t="n"/>
      <c r="E20" s="16" t="n"/>
      <c r="F20" s="16" t="n"/>
      <c r="G20" s="16" t="n"/>
      <c r="H20" s="16" t="n"/>
      <c r="I20" s="16" t="n"/>
      <c r="J20" s="16" t="n"/>
      <c r="K20" s="16" t="n"/>
      <c r="L20" s="16" t="n"/>
      <c r="M20" s="16" t="n"/>
      <c r="N20" s="16" t="n"/>
    </row>
    <row r="21">
      <c r="A21" s="16" t="n"/>
      <c r="B21" s="16" t="n"/>
      <c r="C21" s="16" t="n"/>
      <c r="D21" s="16" t="n"/>
      <c r="E21" s="16" t="n"/>
      <c r="F21" s="16" t="n"/>
      <c r="G21" s="16" t="n"/>
      <c r="H21" s="16" t="n"/>
      <c r="I21" s="16" t="n"/>
      <c r="J21" s="16" t="n"/>
      <c r="K21" s="16" t="n"/>
      <c r="L21" s="16" t="n"/>
      <c r="M21" s="16" t="n"/>
      <c r="N21" s="16" t="n"/>
    </row>
    <row r="22">
      <c r="A22" s="16" t="n"/>
      <c r="B22" s="16" t="n"/>
      <c r="C22" s="16" t="n"/>
      <c r="D22" s="16" t="n"/>
      <c r="E22" s="16" t="n"/>
      <c r="F22" s="16" t="n"/>
      <c r="G22" s="16" t="n"/>
      <c r="H22" s="16" t="n"/>
      <c r="I22" s="16" t="n"/>
      <c r="J22" s="16" t="n"/>
      <c r="K22" s="16" t="n"/>
      <c r="L22" s="16" t="n"/>
      <c r="M22" s="16" t="n"/>
      <c r="N22" s="16" t="n"/>
    </row>
    <row r="23">
      <c r="A23" s="16" t="n"/>
      <c r="B23" s="16" t="n"/>
      <c r="C23" s="16" t="n"/>
      <c r="D23" s="16" t="n"/>
      <c r="E23" s="16" t="n"/>
      <c r="F23" s="16" t="n"/>
      <c r="G23" s="16" t="n"/>
      <c r="H23" s="16" t="n"/>
      <c r="I23" s="16" t="n"/>
      <c r="J23" s="16" t="n"/>
      <c r="K23" s="16" t="n"/>
      <c r="L23" s="16" t="n"/>
      <c r="M23" s="16" t="n"/>
      <c r="N23" s="16" t="n"/>
    </row>
    <row r="24">
      <c r="A24" s="16" t="n"/>
      <c r="B24" s="16" t="n"/>
      <c r="C24" s="16" t="n"/>
      <c r="D24" s="16" t="n"/>
      <c r="E24" s="16" t="n"/>
      <c r="F24" s="16" t="n"/>
      <c r="G24" s="16" t="n"/>
      <c r="H24" s="16" t="n"/>
      <c r="I24" s="16" t="n"/>
      <c r="J24" s="16" t="n"/>
      <c r="K24" s="16" t="n"/>
      <c r="L24" s="16" t="n"/>
      <c r="M24" s="16" t="n"/>
      <c r="N24" s="16" t="n"/>
    </row>
    <row r="25">
      <c r="A25" s="16" t="n"/>
      <c r="B25" s="16" t="n"/>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8">
      <c r="A58" s="12" t="inlineStr">
        <is>
          <t>[CHART] INVENTORY SUMMARY</t>
        </is>
      </c>
    </row>
    <row r="59">
      <c r="A59" s="17" t="inlineStr">
        <is>
          <t>Total Device Groups:</t>
        </is>
      </c>
      <c r="B59">
        <f>COUNTA(B6:B55)</f>
        <v/>
      </c>
    </row>
    <row r="60">
      <c r="A60" s="17" t="inlineStr">
        <is>
          <t>✅ Compliant Groups:</t>
        </is>
      </c>
      <c r="B60">
        <f>COUNTIF(K6:K55,"✅ Compliant")</f>
        <v/>
      </c>
    </row>
    <row r="61">
      <c r="A61" s="17" t="inlineStr">
        <is>
          <t>⚠ Partial Compliance:</t>
        </is>
      </c>
      <c r="B61">
        <f>COUNTIF(K6:K55,"⚠ Partial")</f>
        <v/>
      </c>
    </row>
    <row r="62">
      <c r="A62" s="17" t="inlineStr">
        <is>
          <t>❌ Non-Compliant Groups:</t>
        </is>
      </c>
      <c r="B62">
        <f>COUNTIF(K6:K55,"❌ Non-Compliant")</f>
        <v/>
      </c>
    </row>
  </sheetData>
  <mergeCells count="4">
    <mergeCell ref="A3:N3"/>
    <mergeCell ref="A2:N2"/>
    <mergeCell ref="A58:C58"/>
    <mergeCell ref="A1:N1"/>
  </mergeCells>
  <dataValidations count="8">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"Laptop,Desktop,Mobile (iOS),Mobile (Android),Tablet,Workstation,Other"</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"Corporate-Owned,BYOD,Contractor,Shared Device,Other"</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"Microsoft Intune,Jamf Pro,SCCM,VMware Workspace ONE,MobileIron,Citrix Endpoint Management,Kandji,Google Workspace,None,Other"</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"Office,Remote,Mobile,International,Unknown"</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"AD OU,Entra ID Group,Department Group,Location Group,Other"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"Windows,macOS,Linux,iOS,Android,Mixed,Other"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35" customHeight="1">
      <c r="A1" s="11" t="inlineStr">
        <is>
          <t>ENDPOINT BASELINE COMPLIANCE ASSESSMENT</t>
        </is>
      </c>
    </row>
    <row r="2">
      <c r="A2" s="12" t="inlineStr">
        <is>
          <t>Per-endpoint security baseline compliance (OS hardening, firewall, antivirus, configuration)</t>
        </is>
      </c>
    </row>
    <row r="4">
      <c r="A4" s="14" t="inlineStr">
        <is>
          <t>Group ID</t>
        </is>
      </c>
      <c r="B4" s="14" t="inlineStr">
        <is>
          <t>Device Group Name</t>
        </is>
      </c>
      <c r="C4" s="14" t="inlineStr">
        <is>
          <t>Device Type</t>
        </is>
      </c>
      <c r="D4" s="14" t="inlineStr">
        <is>
          <t>OS Hardening</t>
        </is>
      </c>
      <c r="E4" s="14" t="inlineStr">
        <is>
          <t>Firewall Status</t>
        </is>
      </c>
      <c r="F4" s="14" t="inlineStr">
        <is>
          <t>Antivirus / EDR</t>
        </is>
      </c>
      <c r="G4" s="14" t="inlineStr">
        <is>
          <t>Screen Lock</t>
        </is>
      </c>
      <c r="H4" s="14" t="inlineStr">
        <is>
          <t>Patch Compliance</t>
        </is>
      </c>
      <c r="I4" s="14" t="inlineStr">
        <is>
          <t>Password Policy</t>
        </is>
      </c>
      <c r="J4" s="14" t="inlineStr">
        <is>
          <t>Baseline Profile</t>
        </is>
      </c>
      <c r="K4" s="14" t="inlineStr">
        <is>
          <t>Compliance Status</t>
        </is>
      </c>
      <c r="L4" s="14" t="inlineStr">
        <is>
          <t>Notes</t>
        </is>
      </c>
    </row>
    <row r="5">
      <c r="A5" s="15" t="inlineStr">
        <is>
          <t>GRP-001</t>
        </is>
      </c>
      <c r="B5" s="15" t="inlineStr">
        <is>
          <t>SG-Windows-Endpoints</t>
        </is>
      </c>
      <c r="C5" s="15" t="inlineStr">
        <is>
          <t>Workstations</t>
        </is>
      </c>
      <c r="D5" s="15" t="inlineStr">
        <is>
          <t>✅ Compliant</t>
        </is>
      </c>
      <c r="E5" s="15" t="inlineStr">
        <is>
          <t>✅ Enabled</t>
        </is>
      </c>
      <c r="F5" s="15" t="inlineStr">
        <is>
          <t>✅ Active</t>
        </is>
      </c>
      <c r="G5" s="15" t="inlineStr">
        <is>
          <t>Yes</t>
        </is>
      </c>
      <c r="H5" s="15" t="inlineStr">
        <is>
          <t>✅ Current</t>
        </is>
      </c>
      <c r="I5" s="15" t="inlineStr">
        <is>
          <t>✅ Compliant</t>
        </is>
      </c>
      <c r="J5" s="15" t="inlineStr">
        <is>
          <t>CIS Level 1</t>
        </is>
      </c>
      <c r="K5" s="15" t="inlineStr">
        <is>
          <t>✅ Compliant</t>
        </is>
      </c>
      <c r="L5" s="15" t="inlineStr">
        <is>
          <t>Example group row — CIS L1 baseline applied via Intune. See ER-002.</t>
        </is>
      </c>
    </row>
    <row r="6">
      <c r="A6" s="18">
        <f>IF(Inventory!A6="","",Inventory!A6)</f>
        <v/>
      </c>
      <c r="B6" s="18">
        <f>IF(Inventory!B6="","",Inventory!B6)</f>
        <v/>
      </c>
      <c r="C6" s="18">
        <f>IF(Inventory!D6="","",Inventory!D6)</f>
        <v/>
      </c>
      <c r="D6" s="16" t="n"/>
      <c r="E6" s="16" t="n"/>
      <c r="F6" s="16" t="n"/>
      <c r="G6" s="16" t="n"/>
      <c r="H6" s="16" t="n"/>
      <c r="I6" s="16" t="n"/>
      <c r="J6" s="16" t="n"/>
      <c r="K6">
        <f>IF(COUNTA(D6:I6)=0,"",IF(COUNTIF(D6:I6,"❌*")+COUNTIF(G6:G6,"No")&gt;0,"❌ Non-Compliant",IF(COUNTIF(D6:I6,"⚠*")&gt;0,"⚠ Partial","✅ Compliant")))</f>
        <v/>
      </c>
      <c r="L6" s="16" t="n"/>
    </row>
    <row r="7">
      <c r="A7" s="18">
        <f>IF(Inventory!A7="","",Inventory!A7)</f>
        <v/>
      </c>
      <c r="B7" s="18">
        <f>IF(Inventory!B7="","",Inventory!B7)</f>
        <v/>
      </c>
      <c r="C7" s="18">
        <f>IF(Inventory!D7="","",Inventory!D7)</f>
        <v/>
      </c>
      <c r="D7" s="16" t="n"/>
      <c r="E7" s="16" t="n"/>
      <c r="F7" s="16" t="n"/>
      <c r="G7" s="16" t="n"/>
      <c r="H7" s="16" t="n"/>
      <c r="I7" s="16" t="n"/>
      <c r="J7" s="16" t="n"/>
      <c r="K7">
        <f>IF(COUNTA(D7:I7)=0,"",IF(COUNTIF(D7:I7,"❌*")+COUNTIF(G7:G7,"No")&gt;0,"❌ Non-Compliant",IF(COUNTIF(D7:I7,"⚠*")&gt;0,"⚠ Partial","✅ Compliant")))</f>
        <v/>
      </c>
      <c r="L7" s="16" t="n"/>
    </row>
    <row r="8">
      <c r="A8" s="18">
        <f>IF(Inventory!A8="","",Inventory!A8)</f>
        <v/>
      </c>
      <c r="B8" s="18">
        <f>IF(Inventory!B8="","",Inventory!B8)</f>
        <v/>
      </c>
      <c r="C8" s="18">
        <f>IF(Inventory!D8="","",Inventory!D8)</f>
        <v/>
      </c>
      <c r="D8" s="16" t="n"/>
      <c r="E8" s="16" t="n"/>
      <c r="F8" s="16" t="n"/>
      <c r="G8" s="16" t="n"/>
      <c r="H8" s="16" t="n"/>
      <c r="I8" s="16" t="n"/>
      <c r="J8" s="16" t="n"/>
      <c r="K8">
        <f>IF(COUNTA(D8:I8)=0,"",IF(COUNTIF(D8:I8,"❌*")+COUNTIF(G8:G8,"No")&gt;0,"❌ Non-Compliant",IF(COUNTIF(D8:I8,"⚠*")&gt;0,"⚠ Partial","✅ Compliant")))</f>
        <v/>
      </c>
      <c r="L8" s="16" t="n"/>
    </row>
    <row r="9">
      <c r="A9" s="18">
        <f>IF(Inventory!A9="","",Inventory!A9)</f>
        <v/>
      </c>
      <c r="B9" s="18">
        <f>IF(Inventory!B9="","",Inventory!B9)</f>
        <v/>
      </c>
      <c r="C9" s="18">
        <f>IF(Inventory!D9="","",Inventory!D9)</f>
        <v/>
      </c>
      <c r="D9" s="16" t="n"/>
      <c r="E9" s="16" t="n"/>
      <c r="F9" s="16" t="n"/>
      <c r="G9" s="16" t="n"/>
      <c r="H9" s="16" t="n"/>
      <c r="I9" s="16" t="n"/>
      <c r="J9" s="16" t="n"/>
      <c r="K9">
        <f>IF(COUNTA(D9:I9)=0,"",IF(COUNTIF(D9:I9,"❌*")+COUNTIF(G9:G9,"No")&gt;0,"❌ Non-Compliant",IF(COUNTIF(D9:I9,"⚠*")&gt;0,"⚠ Partial","✅ Compliant")))</f>
        <v/>
      </c>
      <c r="L9" s="16" t="n"/>
    </row>
    <row r="10">
      <c r="A10" s="18">
        <f>IF(Inventory!A10="","",Inventory!A10)</f>
        <v/>
      </c>
      <c r="B10" s="18">
        <f>IF(Inventory!B10="","",Inventory!B10)</f>
        <v/>
      </c>
      <c r="C10" s="18">
        <f>IF(Inventory!D10="","",Inventory!D10)</f>
        <v/>
      </c>
      <c r="D10" s="16" t="n"/>
      <c r="E10" s="16" t="n"/>
      <c r="F10" s="16" t="n"/>
      <c r="G10" s="16" t="n"/>
      <c r="H10" s="16" t="n"/>
      <c r="I10" s="16" t="n"/>
      <c r="J10" s="16" t="n"/>
      <c r="K10">
        <f>IF(COUNTA(D10:I10)=0,"",IF(COUNTIF(D10:I10,"❌*")+COUNTIF(G10:G10,"No")&gt;0,"❌ Non-Compliant",IF(COUNTIF(D10:I10,"⚠*")&gt;0,"⚠ Partial","✅ Compliant")))</f>
        <v/>
      </c>
      <c r="L10" s="16" t="n"/>
    </row>
    <row r="11">
      <c r="A11" s="18">
        <f>IF(Inventory!A11="","",Inventory!A11)</f>
        <v/>
      </c>
      <c r="B11" s="18">
        <f>IF(Inventory!B11="","",Inventory!B11)</f>
        <v/>
      </c>
      <c r="C11" s="18">
        <f>IF(Inventory!D11="","",Inventory!D11)</f>
        <v/>
      </c>
      <c r="D11" s="16" t="n"/>
      <c r="E11" s="16" t="n"/>
      <c r="F11" s="16" t="n"/>
      <c r="G11" s="16" t="n"/>
      <c r="H11" s="16" t="n"/>
      <c r="I11" s="16" t="n"/>
      <c r="J11" s="16" t="n"/>
      <c r="K11">
        <f>IF(COUNTA(D11:I11)=0,"",IF(COUNTIF(D11:I11,"❌*")+COUNTIF(G11:G11,"No")&gt;0,"❌ Non-Compliant",IF(COUNTIF(D11:I11,"⚠*")&gt;0,"⚠ Partial","✅ Compliant")))</f>
        <v/>
      </c>
      <c r="L11" s="16" t="n"/>
    </row>
    <row r="12">
      <c r="A12" s="18">
        <f>IF(Inventory!A12="","",Inventory!A12)</f>
        <v/>
      </c>
      <c r="B12" s="18">
        <f>IF(Inventory!B12="","",Inventory!B12)</f>
        <v/>
      </c>
      <c r="C12" s="18">
        <f>IF(Inventory!D12="","",Inventory!D12)</f>
        <v/>
      </c>
      <c r="D12" s="16" t="n"/>
      <c r="E12" s="16" t="n"/>
      <c r="F12" s="16" t="n"/>
      <c r="G12" s="16" t="n"/>
      <c r="H12" s="16" t="n"/>
      <c r="I12" s="16" t="n"/>
      <c r="J12" s="16" t="n"/>
      <c r="K12">
        <f>IF(COUNTA(D12:I12)=0,"",IF(COUNTIF(D12:I12,"❌*")+COUNTIF(G12:G12,"No")&gt;0,"❌ Non-Compliant",IF(COUNTIF(D12:I12,"⚠*")&gt;0,"⚠ Partial","✅ Compliant")))</f>
        <v/>
      </c>
      <c r="L12" s="16" t="n"/>
    </row>
    <row r="13">
      <c r="A13" s="18">
        <f>IF(Inventory!A13="","",Inventory!A13)</f>
        <v/>
      </c>
      <c r="B13" s="18">
        <f>IF(Inventory!B13="","",Inventory!B13)</f>
        <v/>
      </c>
      <c r="C13" s="18">
        <f>IF(Inventory!D13="","",Inventory!D13)</f>
        <v/>
      </c>
      <c r="D13" s="16" t="n"/>
      <c r="E13" s="16" t="n"/>
      <c r="F13" s="16" t="n"/>
      <c r="G13" s="16" t="n"/>
      <c r="H13" s="16" t="n"/>
      <c r="I13" s="16" t="n"/>
      <c r="J13" s="16" t="n"/>
      <c r="K13">
        <f>IF(COUNTA(D13:I13)=0,"",IF(COUNTIF(D13:I13,"❌*")+COUNTIF(G13:G13,"No")&gt;0,"❌ Non-Compliant",IF(COUNTIF(D13:I13,"⚠*")&gt;0,"⚠ Partial","✅ Compliant")))</f>
        <v/>
      </c>
      <c r="L13" s="16" t="n"/>
    </row>
    <row r="14">
      <c r="A14" s="18">
        <f>IF(Inventory!A14="","",Inventory!A14)</f>
        <v/>
      </c>
      <c r="B14" s="18">
        <f>IF(Inventory!B14="","",Inventory!B14)</f>
        <v/>
      </c>
      <c r="C14" s="18">
        <f>IF(Inventory!D14="","",Inventory!D14)</f>
        <v/>
      </c>
      <c r="D14" s="16" t="n"/>
      <c r="E14" s="16" t="n"/>
      <c r="F14" s="16" t="n"/>
      <c r="G14" s="16" t="n"/>
      <c r="H14" s="16" t="n"/>
      <c r="I14" s="16" t="n"/>
      <c r="J14" s="16" t="n"/>
      <c r="K14">
        <f>IF(COUNTA(D14:I14)=0,"",IF(COUNTIF(D14:I14,"❌*")+COUNTIF(G14:G14,"No")&gt;0,"❌ Non-Compliant",IF(COUNTIF(D14:I14,"⚠*")&gt;0,"⚠ Partial","✅ Compliant")))</f>
        <v/>
      </c>
      <c r="L14" s="16" t="n"/>
    </row>
    <row r="15">
      <c r="A15" s="18">
        <f>IF(Inventory!A15="","",Inventory!A15)</f>
        <v/>
      </c>
      <c r="B15" s="18">
        <f>IF(Inventory!B15="","",Inventory!B15)</f>
        <v/>
      </c>
      <c r="C15" s="18">
        <f>IF(Inventory!D15="","",Inventory!D15)</f>
        <v/>
      </c>
      <c r="D15" s="16" t="n"/>
      <c r="E15" s="16" t="n"/>
      <c r="F15" s="16" t="n"/>
      <c r="G15" s="16" t="n"/>
      <c r="H15" s="16" t="n"/>
      <c r="I15" s="16" t="n"/>
      <c r="J15" s="16" t="n"/>
      <c r="K15">
        <f>IF(COUNTA(D15:I15)=0,"",IF(COUNTIF(D15:I15,"❌*")+COUNTIF(G15:G15,"No")&gt;0,"❌ Non-Compliant",IF(COUNTIF(D15:I15,"⚠*")&gt;0,"⚠ Partial","✅ Compliant")))</f>
        <v/>
      </c>
      <c r="L15" s="16" t="n"/>
    </row>
    <row r="16">
      <c r="A16" s="18">
        <f>IF(Inventory!A16="","",Inventory!A16)</f>
        <v/>
      </c>
      <c r="B16" s="18">
        <f>IF(Inventory!B16="","",Inventory!B16)</f>
        <v/>
      </c>
      <c r="C16" s="18">
        <f>IF(Inventory!D16="","",Inventory!D16)</f>
        <v/>
      </c>
      <c r="D16" s="16" t="n"/>
      <c r="E16" s="16" t="n"/>
      <c r="F16" s="16" t="n"/>
      <c r="G16" s="16" t="n"/>
      <c r="H16" s="16" t="n"/>
      <c r="I16" s="16" t="n"/>
      <c r="J16" s="16" t="n"/>
      <c r="K16">
        <f>IF(COUNTA(D16:I16)=0,"",IF(COUNTIF(D16:I16,"❌*")+COUNTIF(G16:G16,"No")&gt;0,"❌ Non-Compliant",IF(COUNTIF(D16:I16,"⚠*")&gt;0,"⚠ Partial","✅ Compliant")))</f>
        <v/>
      </c>
      <c r="L16" s="16" t="n"/>
    </row>
    <row r="17">
      <c r="A17" s="18">
        <f>IF(Inventory!A17="","",Inventory!A17)</f>
        <v/>
      </c>
      <c r="B17" s="18">
        <f>IF(Inventory!B17="","",Inventory!B17)</f>
        <v/>
      </c>
      <c r="C17" s="18">
        <f>IF(Inventory!D17="","",Inventory!D17)</f>
        <v/>
      </c>
      <c r="D17" s="16" t="n"/>
      <c r="E17" s="16" t="n"/>
      <c r="F17" s="16" t="n"/>
      <c r="G17" s="16" t="n"/>
      <c r="H17" s="16" t="n"/>
      <c r="I17" s="16" t="n"/>
      <c r="J17" s="16" t="n"/>
      <c r="K17">
        <f>IF(COUNTA(D17:I17)=0,"",IF(COUNTIF(D17:I17,"❌*")+COUNTIF(G17:G17,"No")&gt;0,"❌ Non-Compliant",IF(COUNTIF(D17:I17,"⚠*")&gt;0,"⚠ Partial","✅ Compliant")))</f>
        <v/>
      </c>
      <c r="L17" s="16" t="n"/>
    </row>
    <row r="18">
      <c r="A18" s="18">
        <f>IF(Inventory!A18="","",Inventory!A18)</f>
        <v/>
      </c>
      <c r="B18" s="18">
        <f>IF(Inventory!B18="","",Inventory!B18)</f>
        <v/>
      </c>
      <c r="C18" s="18">
        <f>IF(Inventory!D18="","",Inventory!D18)</f>
        <v/>
      </c>
      <c r="D18" s="16" t="n"/>
      <c r="E18" s="16" t="n"/>
      <c r="F18" s="16" t="n"/>
      <c r="G18" s="16" t="n"/>
      <c r="H18" s="16" t="n"/>
      <c r="I18" s="16" t="n"/>
      <c r="J18" s="16" t="n"/>
      <c r="K18">
        <f>IF(COUNTA(D18:I18)=0,"",IF(COUNTIF(D18:I18,"❌*")+COUNTIF(G18:G18,"No")&gt;0,"❌ Non-Compliant",IF(COUNTIF(D18:I18,"⚠*")&gt;0,"⚠ Partial","✅ Compliant")))</f>
        <v/>
      </c>
      <c r="L18" s="16" t="n"/>
    </row>
    <row r="19">
      <c r="A19" s="18">
        <f>IF(Inventory!A19="","",Inventory!A19)</f>
        <v/>
      </c>
      <c r="B19" s="18">
        <f>IF(Inventory!B19="","",Inventory!B19)</f>
        <v/>
      </c>
      <c r="C19" s="18">
        <f>IF(Inventory!D19="","",Inventory!D19)</f>
        <v/>
      </c>
      <c r="D19" s="16" t="n"/>
      <c r="E19" s="16" t="n"/>
      <c r="F19" s="16" t="n"/>
      <c r="G19" s="16" t="n"/>
      <c r="H19" s="16" t="n"/>
      <c r="I19" s="16" t="n"/>
      <c r="J19" s="16" t="n"/>
      <c r="K19">
        <f>IF(COUNTA(D19:I19)=0,"",IF(COUNTIF(D19:I19,"❌*")+COUNTIF(G19:G19,"No")&gt;0,"❌ Non-Compliant",IF(COUNTIF(D19:I19,"⚠*")&gt;0,"⚠ Partial","✅ Compliant")))</f>
        <v/>
      </c>
      <c r="L19" s="16" t="n"/>
    </row>
    <row r="20">
      <c r="A20" s="18">
        <f>IF(Inventory!A20="","",Inventory!A20)</f>
        <v/>
      </c>
      <c r="B20" s="18">
        <f>IF(Inventory!B20="","",Inventory!B20)</f>
        <v/>
      </c>
      <c r="C20" s="18">
        <f>IF(Inventory!D20="","",Inventory!D20)</f>
        <v/>
      </c>
      <c r="D20" s="16" t="n"/>
      <c r="E20" s="16" t="n"/>
      <c r="F20" s="16" t="n"/>
      <c r="G20" s="16" t="n"/>
      <c r="H20" s="16" t="n"/>
      <c r="I20" s="16" t="n"/>
      <c r="J20" s="16" t="n"/>
      <c r="K20">
        <f>IF(COUNTA(D20:I20)=0,"",IF(COUNTIF(D20:I20,"❌*")+COUNTIF(G20:G20,"No")&gt;0,"❌ Non-Compliant",IF(COUNTIF(D20:I20,"⚠*")&gt;0,"⚠ Partial","✅ Compliant")))</f>
        <v/>
      </c>
      <c r="L20" s="16" t="n"/>
    </row>
    <row r="21">
      <c r="A21" s="18">
        <f>IF(Inventory!A21="","",Inventory!A21)</f>
        <v/>
      </c>
      <c r="B21" s="18">
        <f>IF(Inventory!B21="","",Inventory!B21)</f>
        <v/>
      </c>
      <c r="C21" s="18">
        <f>IF(Inventory!D21="","",Inventory!D21)</f>
        <v/>
      </c>
      <c r="D21" s="16" t="n"/>
      <c r="E21" s="16" t="n"/>
      <c r="F21" s="16" t="n"/>
      <c r="G21" s="16" t="n"/>
      <c r="H21" s="16" t="n"/>
      <c r="I21" s="16" t="n"/>
      <c r="J21" s="16" t="n"/>
      <c r="K21">
        <f>IF(COUNTA(D21:I21)=0,"",IF(COUNTIF(D21:I21,"❌*")+COUNTIF(G21:G21,"No")&gt;0,"❌ Non-Compliant",IF(COUNTIF(D21:I21,"⚠*")&gt;0,"⚠ Partial","✅ Compliant")))</f>
        <v/>
      </c>
      <c r="L21" s="16" t="n"/>
    </row>
    <row r="22">
      <c r="A22" s="18">
        <f>IF(Inventory!A22="","",Inventory!A22)</f>
        <v/>
      </c>
      <c r="B22" s="18">
        <f>IF(Inventory!B22="","",Inventory!B22)</f>
        <v/>
      </c>
      <c r="C22" s="18">
        <f>IF(Inventory!D22="","",Inventory!D22)</f>
        <v/>
      </c>
      <c r="D22" s="16" t="n"/>
      <c r="E22" s="16" t="n"/>
      <c r="F22" s="16" t="n"/>
      <c r="G22" s="16" t="n"/>
      <c r="H22" s="16" t="n"/>
      <c r="I22" s="16" t="n"/>
      <c r="J22" s="16" t="n"/>
      <c r="K22">
        <f>IF(COUNTA(D22:I22)=0,"",IF(COUNTIF(D22:I22,"❌*")+COUNTIF(G22:G22,"No")&gt;0,"❌ Non-Compliant",IF(COUNTIF(D22:I22,"⚠*")&gt;0,"⚠ Partial","✅ Compliant")))</f>
        <v/>
      </c>
      <c r="L22" s="16" t="n"/>
    </row>
    <row r="23">
      <c r="A23" s="18">
        <f>IF(Inventory!A23="","",Inventory!A23)</f>
        <v/>
      </c>
      <c r="B23" s="18">
        <f>IF(Inventory!B23="","",Inventory!B23)</f>
        <v/>
      </c>
      <c r="C23" s="18">
        <f>IF(Inventory!D23="","",Inventory!D23)</f>
        <v/>
      </c>
      <c r="D23" s="16" t="n"/>
      <c r="E23" s="16" t="n"/>
      <c r="F23" s="16" t="n"/>
      <c r="G23" s="16" t="n"/>
      <c r="H23" s="16" t="n"/>
      <c r="I23" s="16" t="n"/>
      <c r="J23" s="16" t="n"/>
      <c r="K23">
        <f>IF(COUNTA(D23:I23)=0,"",IF(COUNTIF(D23:I23,"❌*")+COUNTIF(G23:G23,"No")&gt;0,"❌ Non-Compliant",IF(COUNTIF(D23:I23,"⚠*")&gt;0,"⚠ Partial","✅ Compliant")))</f>
        <v/>
      </c>
      <c r="L23" s="16" t="n"/>
    </row>
    <row r="24">
      <c r="A24" s="18">
        <f>IF(Inventory!A24="","",Inventory!A24)</f>
        <v/>
      </c>
      <c r="B24" s="18">
        <f>IF(Inventory!B24="","",Inventory!B24)</f>
        <v/>
      </c>
      <c r="C24" s="18">
        <f>IF(Inventory!D24="","",Inventory!D24)</f>
        <v/>
      </c>
      <c r="D24" s="16" t="n"/>
      <c r="E24" s="16" t="n"/>
      <c r="F24" s="16" t="n"/>
      <c r="G24" s="16" t="n"/>
      <c r="H24" s="16" t="n"/>
      <c r="I24" s="16" t="n"/>
      <c r="J24" s="16" t="n"/>
      <c r="K24">
        <f>IF(COUNTA(D24:I24)=0,"",IF(COUNTIF(D24:I24,"❌*")+COUNTIF(G24:G24,"No")&gt;0,"❌ Non-Compliant",IF(COUNTIF(D24:I24,"⚠*")&gt;0,"⚠ Partial","✅ Compliant")))</f>
        <v/>
      </c>
      <c r="L24" s="16" t="n"/>
    </row>
    <row r="25">
      <c r="A25" s="18">
        <f>IF(Inventory!A25="","",Inventory!A25)</f>
        <v/>
      </c>
      <c r="B25" s="18">
        <f>IF(Inventory!B25="","",Inventory!B25)</f>
        <v/>
      </c>
      <c r="C25" s="18">
        <f>IF(Inventory!D25="","",Inventory!D25)</f>
        <v/>
      </c>
      <c r="D25" s="16" t="n"/>
      <c r="E25" s="16" t="n"/>
      <c r="F25" s="16" t="n"/>
      <c r="G25" s="16" t="n"/>
      <c r="H25" s="16" t="n"/>
      <c r="I25" s="16" t="n"/>
      <c r="J25" s="16" t="n"/>
      <c r="K25">
        <f>IF(COUNTA(D25:I25)=0,"",IF(COUNTIF(D25:I25,"❌*")+COUNTIF(G25:G25,"No")&gt;0,"❌ Non-Compliant",IF(COUNTIF(D25:I25,"⚠*")&gt;0,"⚠ Partial","✅ Compliant")))</f>
        <v/>
      </c>
      <c r="L25" s="16" t="n"/>
    </row>
    <row r="26">
      <c r="A26" s="18">
        <f>IF(Inventory!A26="","",Inventory!A26)</f>
        <v/>
      </c>
      <c r="B26" s="18">
        <f>IF(Inventory!B26="","",Inventory!B26)</f>
        <v/>
      </c>
      <c r="C26" s="18">
        <f>IF(Inventory!D26="","",Inventory!D26)</f>
        <v/>
      </c>
      <c r="D26" s="16" t="n"/>
      <c r="E26" s="16" t="n"/>
      <c r="F26" s="16" t="n"/>
      <c r="G26" s="16" t="n"/>
      <c r="H26" s="16" t="n"/>
      <c r="I26" s="16" t="n"/>
      <c r="J26" s="16" t="n"/>
      <c r="K26">
        <f>IF(COUNTA(D26:I26)=0,"",IF(COUNTIF(D26:I26,"❌*")+COUNTIF(G26:G26,"No")&gt;0,"❌ Non-Compliant",IF(COUNTIF(D26:I26,"⚠*")&gt;0,"⚠ Partial","✅ Compliant")))</f>
        <v/>
      </c>
      <c r="L26" s="16" t="n"/>
    </row>
    <row r="27">
      <c r="A27" s="18">
        <f>IF(Inventory!A27="","",Inventory!A27)</f>
        <v/>
      </c>
      <c r="B27" s="18">
        <f>IF(Inventory!B27="","",Inventory!B27)</f>
        <v/>
      </c>
      <c r="C27" s="18">
        <f>IF(Inventory!D27="","",Inventory!D27)</f>
        <v/>
      </c>
      <c r="D27" s="16" t="n"/>
      <c r="E27" s="16" t="n"/>
      <c r="F27" s="16" t="n"/>
      <c r="G27" s="16" t="n"/>
      <c r="H27" s="16" t="n"/>
      <c r="I27" s="16" t="n"/>
      <c r="J27" s="16" t="n"/>
      <c r="K27">
        <f>IF(COUNTA(D27:I27)=0,"",IF(COUNTIF(D27:I27,"❌*")+COUNTIF(G27:G27,"No")&gt;0,"❌ Non-Compliant",IF(COUNTIF(D27:I27,"⚠*")&gt;0,"⚠ Partial","✅ Compliant")))</f>
        <v/>
      </c>
      <c r="L27" s="16" t="n"/>
    </row>
    <row r="28">
      <c r="A28" s="18">
        <f>IF(Inventory!A28="","",Inventory!A28)</f>
        <v/>
      </c>
      <c r="B28" s="18">
        <f>IF(Inventory!B28="","",Inventory!B28)</f>
        <v/>
      </c>
      <c r="C28" s="18">
        <f>IF(Inventory!D28="","",Inventory!D28)</f>
        <v/>
      </c>
      <c r="D28" s="16" t="n"/>
      <c r="E28" s="16" t="n"/>
      <c r="F28" s="16" t="n"/>
      <c r="G28" s="16" t="n"/>
      <c r="H28" s="16" t="n"/>
      <c r="I28" s="16" t="n"/>
      <c r="J28" s="16" t="n"/>
      <c r="K28">
        <f>IF(COUNTA(D28:I28)=0,"",IF(COUNTIF(D28:I28,"❌*")+COUNTIF(G28:G28,"No")&gt;0,"❌ Non-Compliant",IF(COUNTIF(D28:I28,"⚠*")&gt;0,"⚠ Partial","✅ Compliant")))</f>
        <v/>
      </c>
      <c r="L28" s="16" t="n"/>
    </row>
    <row r="29">
      <c r="A29" s="18">
        <f>IF(Inventory!A29="","",Inventory!A29)</f>
        <v/>
      </c>
      <c r="B29" s="18">
        <f>IF(Inventory!B29="","",Inventory!B29)</f>
        <v/>
      </c>
      <c r="C29" s="18">
        <f>IF(Inventory!D29="","",Inventory!D29)</f>
        <v/>
      </c>
      <c r="D29" s="16" t="n"/>
      <c r="E29" s="16" t="n"/>
      <c r="F29" s="16" t="n"/>
      <c r="G29" s="16" t="n"/>
      <c r="H29" s="16" t="n"/>
      <c r="I29" s="16" t="n"/>
      <c r="J29" s="16" t="n"/>
      <c r="K29">
        <f>IF(COUNTA(D29:I29)=0,"",IF(COUNTIF(D29:I29,"❌*")+COUNTIF(G29:G29,"No")&gt;0,"❌ Non-Compliant",IF(COUNTIF(D29:I29,"⚠*")&gt;0,"⚠ Partial","✅ Compliant")))</f>
        <v/>
      </c>
      <c r="L29" s="16" t="n"/>
    </row>
    <row r="30">
      <c r="A30" s="18">
        <f>IF(Inventory!A30="","",Inventory!A30)</f>
        <v/>
      </c>
      <c r="B30" s="18">
        <f>IF(Inventory!B30="","",Inventory!B30)</f>
        <v/>
      </c>
      <c r="C30" s="18">
        <f>IF(Inventory!D30="","",Inventory!D30)</f>
        <v/>
      </c>
      <c r="D30" s="16" t="n"/>
      <c r="E30" s="16" t="n"/>
      <c r="F30" s="16" t="n"/>
      <c r="G30" s="16" t="n"/>
      <c r="H30" s="16" t="n"/>
      <c r="I30" s="16" t="n"/>
      <c r="J30" s="16" t="n"/>
      <c r="K30">
        <f>IF(COUNTA(D30:I30)=0,"",IF(COUNTIF(D30:I30,"❌*")+COUNTIF(G30:G30,"No")&gt;0,"❌ Non-Compliant",IF(COUNTIF(D30:I30,"⚠*")&gt;0,"⚠ Partial","✅ Compliant")))</f>
        <v/>
      </c>
      <c r="L30" s="16" t="n"/>
    </row>
    <row r="31">
      <c r="A31" s="18">
        <f>IF(Inventory!A31="","",Inventory!A31)</f>
        <v/>
      </c>
      <c r="B31" s="18">
        <f>IF(Inventory!B31="","",Inventory!B31)</f>
        <v/>
      </c>
      <c r="C31" s="18">
        <f>IF(Inventory!D31="","",Inventory!D31)</f>
        <v/>
      </c>
      <c r="D31" s="16" t="n"/>
      <c r="E31" s="16" t="n"/>
      <c r="F31" s="16" t="n"/>
      <c r="G31" s="16" t="n"/>
      <c r="H31" s="16" t="n"/>
      <c r="I31" s="16" t="n"/>
      <c r="J31" s="16" t="n"/>
      <c r="K31">
        <f>IF(COUNTA(D31:I31)=0,"",IF(COUNTIF(D31:I31,"❌*")+COUNTIF(G31:G31,"No")&gt;0,"❌ Non-Compliant",IF(COUNTIF(D31:I31,"⚠*")&gt;0,"⚠ Partial","✅ Compliant")))</f>
        <v/>
      </c>
      <c r="L31" s="16" t="n"/>
    </row>
    <row r="32">
      <c r="A32" s="18">
        <f>IF(Inventory!A32="","",Inventory!A32)</f>
        <v/>
      </c>
      <c r="B32" s="18">
        <f>IF(Inventory!B32="","",Inventory!B32)</f>
        <v/>
      </c>
      <c r="C32" s="18">
        <f>IF(Inventory!D32="","",Inventory!D32)</f>
        <v/>
      </c>
      <c r="D32" s="16" t="n"/>
      <c r="E32" s="16" t="n"/>
      <c r="F32" s="16" t="n"/>
      <c r="G32" s="16" t="n"/>
      <c r="H32" s="16" t="n"/>
      <c r="I32" s="16" t="n"/>
      <c r="J32" s="16" t="n"/>
      <c r="K32">
        <f>IF(COUNTA(D32:I32)=0,"",IF(COUNTIF(D32:I32,"❌*")+COUNTIF(G32:G32,"No")&gt;0,"❌ Non-Compliant",IF(COUNTIF(D32:I32,"⚠*")&gt;0,"⚠ Partial","✅ Compliant")))</f>
        <v/>
      </c>
      <c r="L32" s="16" t="n"/>
    </row>
    <row r="33">
      <c r="A33" s="18">
        <f>IF(Inventory!A33="","",Inventory!A33)</f>
        <v/>
      </c>
      <c r="B33" s="18">
        <f>IF(Inventory!B33="","",Inventory!B33)</f>
        <v/>
      </c>
      <c r="C33" s="18">
        <f>IF(Inventory!D33="","",Inventory!D33)</f>
        <v/>
      </c>
      <c r="D33" s="16" t="n"/>
      <c r="E33" s="16" t="n"/>
      <c r="F33" s="16" t="n"/>
      <c r="G33" s="16" t="n"/>
      <c r="H33" s="16" t="n"/>
      <c r="I33" s="16" t="n"/>
      <c r="J33" s="16" t="n"/>
      <c r="K33">
        <f>IF(COUNTA(D33:I33)=0,"",IF(COUNTIF(D33:I33,"❌*")+COUNTIF(G33:G33,"No")&gt;0,"❌ Non-Compliant",IF(COUNTIF(D33:I33,"⚠*")&gt;0,"⚠ Partial","✅ Compliant")))</f>
        <v/>
      </c>
      <c r="L33" s="16" t="n"/>
    </row>
    <row r="34">
      <c r="A34" s="18">
        <f>IF(Inventory!A34="","",Inventory!A34)</f>
        <v/>
      </c>
      <c r="B34" s="18">
        <f>IF(Inventory!B34="","",Inventory!B34)</f>
        <v/>
      </c>
      <c r="C34" s="18">
        <f>IF(Inventory!D34="","",Inventory!D34)</f>
        <v/>
      </c>
      <c r="D34" s="16" t="n"/>
      <c r="E34" s="16" t="n"/>
      <c r="F34" s="16" t="n"/>
      <c r="G34" s="16" t="n"/>
      <c r="H34" s="16" t="n"/>
      <c r="I34" s="16" t="n"/>
      <c r="J34" s="16" t="n"/>
      <c r="K34">
        <f>IF(COUNTA(D34:I34)=0,"",IF(COUNTIF(D34:I34,"❌*")+COUNTIF(G34:G34,"No")&gt;0,"❌ Non-Compliant",IF(COUNTIF(D34:I34,"⚠*")&gt;0,"⚠ Partial","✅ Compliant")))</f>
        <v/>
      </c>
      <c r="L34" s="16" t="n"/>
    </row>
    <row r="35">
      <c r="A35" s="18">
        <f>IF(Inventory!A35="","",Inventory!A35)</f>
        <v/>
      </c>
      <c r="B35" s="18">
        <f>IF(Inventory!B35="","",Inventory!B35)</f>
        <v/>
      </c>
      <c r="C35" s="18">
        <f>IF(Inventory!D35="","",Inventory!D35)</f>
        <v/>
      </c>
      <c r="D35" s="16" t="n"/>
      <c r="E35" s="16" t="n"/>
      <c r="F35" s="16" t="n"/>
      <c r="G35" s="16" t="n"/>
      <c r="H35" s="16" t="n"/>
      <c r="I35" s="16" t="n"/>
      <c r="J35" s="16" t="n"/>
      <c r="K35">
        <f>IF(COUNTA(D35:I35)=0,"",IF(COUNTIF(D35:I35,"❌*")+COUNTIF(G35:G35,"No")&gt;0,"❌ Non-Compliant",IF(COUNTIF(D35:I35,"⚠*")&gt;0,"⚠ Partial","✅ Compliant")))</f>
        <v/>
      </c>
      <c r="L35" s="16" t="n"/>
    </row>
    <row r="36">
      <c r="A36" s="18">
        <f>IF(Inventory!A36="","",Inventory!A36)</f>
        <v/>
      </c>
      <c r="B36" s="18">
        <f>IF(Inventory!B36="","",Inventory!B36)</f>
        <v/>
      </c>
      <c r="C36" s="18">
        <f>IF(Inventory!D36="","",Inventory!D36)</f>
        <v/>
      </c>
      <c r="D36" s="16" t="n"/>
      <c r="E36" s="16" t="n"/>
      <c r="F36" s="16" t="n"/>
      <c r="G36" s="16" t="n"/>
      <c r="H36" s="16" t="n"/>
      <c r="I36" s="16" t="n"/>
      <c r="J36" s="16" t="n"/>
      <c r="K36">
        <f>IF(COUNTA(D36:I36)=0,"",IF(COUNTIF(D36:I36,"❌*")+COUNTIF(G36:G36,"No")&gt;0,"❌ Non-Compliant",IF(COUNTIF(D36:I36,"⚠*")&gt;0,"⚠ Partial","✅ Compliant")))</f>
        <v/>
      </c>
      <c r="L36" s="16" t="n"/>
    </row>
    <row r="37">
      <c r="A37" s="18">
        <f>IF(Inventory!A37="","",Inventory!A37)</f>
        <v/>
      </c>
      <c r="B37" s="18">
        <f>IF(Inventory!B37="","",Inventory!B37)</f>
        <v/>
      </c>
      <c r="C37" s="18">
        <f>IF(Inventory!D37="","",Inventory!D37)</f>
        <v/>
      </c>
      <c r="D37" s="16" t="n"/>
      <c r="E37" s="16" t="n"/>
      <c r="F37" s="16" t="n"/>
      <c r="G37" s="16" t="n"/>
      <c r="H37" s="16" t="n"/>
      <c r="I37" s="16" t="n"/>
      <c r="J37" s="16" t="n"/>
      <c r="K37">
        <f>IF(COUNTA(D37:I37)=0,"",IF(COUNTIF(D37:I37,"❌*")+COUNTIF(G37:G37,"No")&gt;0,"❌ Non-Compliant",IF(COUNTIF(D37:I37,"⚠*")&gt;0,"⚠ Partial","✅ Compliant")))</f>
        <v/>
      </c>
      <c r="L37" s="16" t="n"/>
    </row>
    <row r="38">
      <c r="A38" s="18">
        <f>IF(Inventory!A38="","",Inventory!A38)</f>
        <v/>
      </c>
      <c r="B38" s="18">
        <f>IF(Inventory!B38="","",Inventory!B38)</f>
        <v/>
      </c>
      <c r="C38" s="18">
        <f>IF(Inventory!D38="","",Inventory!D38)</f>
        <v/>
      </c>
      <c r="D38" s="16" t="n"/>
      <c r="E38" s="16" t="n"/>
      <c r="F38" s="16" t="n"/>
      <c r="G38" s="16" t="n"/>
      <c r="H38" s="16" t="n"/>
      <c r="I38" s="16" t="n"/>
      <c r="J38" s="16" t="n"/>
      <c r="K38">
        <f>IF(COUNTA(D38:I38)=0,"",IF(COUNTIF(D38:I38,"❌*")+COUNTIF(G38:G38,"No")&gt;0,"❌ Non-Compliant",IF(COUNTIF(D38:I38,"⚠*")&gt;0,"⚠ Partial","✅ Compliant")))</f>
        <v/>
      </c>
      <c r="L38" s="16" t="n"/>
    </row>
    <row r="39">
      <c r="A39" s="18">
        <f>IF(Inventory!A39="","",Inventory!A39)</f>
        <v/>
      </c>
      <c r="B39" s="18">
        <f>IF(Inventory!B39="","",Inventory!B39)</f>
        <v/>
      </c>
      <c r="C39" s="18">
        <f>IF(Inventory!D39="","",Inventory!D39)</f>
        <v/>
      </c>
      <c r="D39" s="16" t="n"/>
      <c r="E39" s="16" t="n"/>
      <c r="F39" s="16" t="n"/>
      <c r="G39" s="16" t="n"/>
      <c r="H39" s="16" t="n"/>
      <c r="I39" s="16" t="n"/>
      <c r="J39" s="16" t="n"/>
      <c r="K39">
        <f>IF(COUNTA(D39:I39)=0,"",IF(COUNTIF(D39:I39,"❌*")+COUNTIF(G39:G39,"No")&gt;0,"❌ Non-Compliant",IF(COUNTIF(D39:I39,"⚠*")&gt;0,"⚠ Partial","✅ Compliant")))</f>
        <v/>
      </c>
      <c r="L39" s="16" t="n"/>
    </row>
    <row r="40">
      <c r="A40" s="18">
        <f>IF(Inventory!A40="","",Inventory!A40)</f>
        <v/>
      </c>
      <c r="B40" s="18">
        <f>IF(Inventory!B40="","",Inventory!B40)</f>
        <v/>
      </c>
      <c r="C40" s="18">
        <f>IF(Inventory!D40="","",Inventory!D40)</f>
        <v/>
      </c>
      <c r="D40" s="16" t="n"/>
      <c r="E40" s="16" t="n"/>
      <c r="F40" s="16" t="n"/>
      <c r="G40" s="16" t="n"/>
      <c r="H40" s="16" t="n"/>
      <c r="I40" s="16" t="n"/>
      <c r="J40" s="16" t="n"/>
      <c r="K40">
        <f>IF(COUNTA(D40:I40)=0,"",IF(COUNTIF(D40:I40,"❌*")+COUNTIF(G40:G40,"No")&gt;0,"❌ Non-Compliant",IF(COUNTIF(D40:I40,"⚠*")&gt;0,"⚠ Partial","✅ Compliant")))</f>
        <v/>
      </c>
      <c r="L40" s="16" t="n"/>
    </row>
    <row r="41">
      <c r="A41" s="18">
        <f>IF(Inventory!A41="","",Inventory!A41)</f>
        <v/>
      </c>
      <c r="B41" s="18">
        <f>IF(Inventory!B41="","",Inventory!B41)</f>
        <v/>
      </c>
      <c r="C41" s="18">
        <f>IF(Inventory!D41="","",Inventory!D41)</f>
        <v/>
      </c>
      <c r="D41" s="16" t="n"/>
      <c r="E41" s="16" t="n"/>
      <c r="F41" s="16" t="n"/>
      <c r="G41" s="16" t="n"/>
      <c r="H41" s="16" t="n"/>
      <c r="I41" s="16" t="n"/>
      <c r="J41" s="16" t="n"/>
      <c r="K41">
        <f>IF(COUNTA(D41:I41)=0,"",IF(COUNTIF(D41:I41,"❌*")+COUNTIF(G41:G41,"No")&gt;0,"❌ Non-Compliant",IF(COUNTIF(D41:I41,"⚠*")&gt;0,"⚠ Partial","✅ Compliant")))</f>
        <v/>
      </c>
      <c r="L41" s="16" t="n"/>
    </row>
    <row r="42">
      <c r="A42" s="18">
        <f>IF(Inventory!A42="","",Inventory!A42)</f>
        <v/>
      </c>
      <c r="B42" s="18">
        <f>IF(Inventory!B42="","",Inventory!B42)</f>
        <v/>
      </c>
      <c r="C42" s="18">
        <f>IF(Inventory!D42="","",Inventory!D42)</f>
        <v/>
      </c>
      <c r="D42" s="16" t="n"/>
      <c r="E42" s="16" t="n"/>
      <c r="F42" s="16" t="n"/>
      <c r="G42" s="16" t="n"/>
      <c r="H42" s="16" t="n"/>
      <c r="I42" s="16" t="n"/>
      <c r="J42" s="16" t="n"/>
      <c r="K42">
        <f>IF(COUNTA(D42:I42)=0,"",IF(COUNTIF(D42:I42,"❌*")+COUNTIF(G42:G42,"No")&gt;0,"❌ Non-Compliant",IF(COUNTIF(D42:I42,"⚠*")&gt;0,"⚠ Partial","✅ Compliant")))</f>
        <v/>
      </c>
      <c r="L42" s="16" t="n"/>
    </row>
    <row r="43">
      <c r="A43" s="18">
        <f>IF(Inventory!A43="","",Inventory!A43)</f>
        <v/>
      </c>
      <c r="B43" s="18">
        <f>IF(Inventory!B43="","",Inventory!B43)</f>
        <v/>
      </c>
      <c r="C43" s="18">
        <f>IF(Inventory!D43="","",Inventory!D43)</f>
        <v/>
      </c>
      <c r="D43" s="16" t="n"/>
      <c r="E43" s="16" t="n"/>
      <c r="F43" s="16" t="n"/>
      <c r="G43" s="16" t="n"/>
      <c r="H43" s="16" t="n"/>
      <c r="I43" s="16" t="n"/>
      <c r="J43" s="16" t="n"/>
      <c r="K43">
        <f>IF(COUNTA(D43:I43)=0,"",IF(COUNTIF(D43:I43,"❌*")+COUNTIF(G43:G43,"No")&gt;0,"❌ Non-Compliant",IF(COUNTIF(D43:I43,"⚠*")&gt;0,"⚠ Partial","✅ Compliant")))</f>
        <v/>
      </c>
      <c r="L43" s="16" t="n"/>
    </row>
    <row r="44">
      <c r="A44" s="18">
        <f>IF(Inventory!A44="","",Inventory!A44)</f>
        <v/>
      </c>
      <c r="B44" s="18">
        <f>IF(Inventory!B44="","",Inventory!B44)</f>
        <v/>
      </c>
      <c r="C44" s="18">
        <f>IF(Inventory!D44="","",Inventory!D44)</f>
        <v/>
      </c>
      <c r="D44" s="16" t="n"/>
      <c r="E44" s="16" t="n"/>
      <c r="F44" s="16" t="n"/>
      <c r="G44" s="16" t="n"/>
      <c r="H44" s="16" t="n"/>
      <c r="I44" s="16" t="n"/>
      <c r="J44" s="16" t="n"/>
      <c r="K44">
        <f>IF(COUNTA(D44:I44)=0,"",IF(COUNTIF(D44:I44,"❌*")+COUNTIF(G44:G44,"No")&gt;0,"❌ Non-Compliant",IF(COUNTIF(D44:I44,"⚠*")&gt;0,"⚠ Partial","✅ Compliant")))</f>
        <v/>
      </c>
      <c r="L44" s="16" t="n"/>
    </row>
    <row r="45">
      <c r="A45" s="18">
        <f>IF(Inventory!A45="","",Inventory!A45)</f>
        <v/>
      </c>
      <c r="B45" s="18">
        <f>IF(Inventory!B45="","",Inventory!B45)</f>
        <v/>
      </c>
      <c r="C45" s="18">
        <f>IF(Inventory!D45="","",Inventory!D45)</f>
        <v/>
      </c>
      <c r="D45" s="16" t="n"/>
      <c r="E45" s="16" t="n"/>
      <c r="F45" s="16" t="n"/>
      <c r="G45" s="16" t="n"/>
      <c r="H45" s="16" t="n"/>
      <c r="I45" s="16" t="n"/>
      <c r="J45" s="16" t="n"/>
      <c r="K45">
        <f>IF(COUNTA(D45:I45)=0,"",IF(COUNTIF(D45:I45,"❌*")+COUNTIF(G45:G45,"No")&gt;0,"❌ Non-Compliant",IF(COUNTIF(D45:I45,"⚠*")&gt;0,"⚠ Partial","✅ Compliant")))</f>
        <v/>
      </c>
      <c r="L45" s="16" t="n"/>
    </row>
    <row r="46">
      <c r="A46" s="18">
        <f>IF(Inventory!A46="","",Inventory!A46)</f>
        <v/>
      </c>
      <c r="B46" s="18">
        <f>IF(Inventory!B46="","",Inventory!B46)</f>
        <v/>
      </c>
      <c r="C46" s="18">
        <f>IF(Inventory!D46="","",Inventory!D46)</f>
        <v/>
      </c>
      <c r="D46" s="16" t="n"/>
      <c r="E46" s="16" t="n"/>
      <c r="F46" s="16" t="n"/>
      <c r="G46" s="16" t="n"/>
      <c r="H46" s="16" t="n"/>
      <c r="I46" s="16" t="n"/>
      <c r="J46" s="16" t="n"/>
      <c r="K46">
        <f>IF(COUNTA(D46:I46)=0,"",IF(COUNTIF(D46:I46,"❌*")+COUNTIF(G46:G46,"No")&gt;0,"❌ Non-Compliant",IF(COUNTIF(D46:I46,"⚠*")&gt;0,"⚠ Partial","✅ Compliant")))</f>
        <v/>
      </c>
      <c r="L46" s="16" t="n"/>
    </row>
    <row r="47">
      <c r="A47" s="18">
        <f>IF(Inventory!A47="","",Inventory!A47)</f>
        <v/>
      </c>
      <c r="B47" s="18">
        <f>IF(Inventory!B47="","",Inventory!B47)</f>
        <v/>
      </c>
      <c r="C47" s="18">
        <f>IF(Inventory!D47="","",Inventory!D47)</f>
        <v/>
      </c>
      <c r="D47" s="16" t="n"/>
      <c r="E47" s="16" t="n"/>
      <c r="F47" s="16" t="n"/>
      <c r="G47" s="16" t="n"/>
      <c r="H47" s="16" t="n"/>
      <c r="I47" s="16" t="n"/>
      <c r="J47" s="16" t="n"/>
      <c r="K47">
        <f>IF(COUNTA(D47:I47)=0,"",IF(COUNTIF(D47:I47,"❌*")+COUNTIF(G47:G47,"No")&gt;0,"❌ Non-Compliant",IF(COUNTIF(D47:I47,"⚠*")&gt;0,"⚠ Partial","✅ Compliant")))</f>
        <v/>
      </c>
      <c r="L47" s="16" t="n"/>
    </row>
    <row r="48">
      <c r="A48" s="18">
        <f>IF(Inventory!A48="","",Inventory!A48)</f>
        <v/>
      </c>
      <c r="B48" s="18">
        <f>IF(Inventory!B48="","",Inventory!B48)</f>
        <v/>
      </c>
      <c r="C48" s="18">
        <f>IF(Inventory!D48="","",Inventory!D48)</f>
        <v/>
      </c>
      <c r="D48" s="16" t="n"/>
      <c r="E48" s="16" t="n"/>
      <c r="F48" s="16" t="n"/>
      <c r="G48" s="16" t="n"/>
      <c r="H48" s="16" t="n"/>
      <c r="I48" s="16" t="n"/>
      <c r="J48" s="16" t="n"/>
      <c r="K48">
        <f>IF(COUNTA(D48:I48)=0,"",IF(COUNTIF(D48:I48,"❌*")+COUNTIF(G48:G48,"No")&gt;0,"❌ Non-Compliant",IF(COUNTIF(D48:I48,"⚠*")&gt;0,"⚠ Partial","✅ Compliant")))</f>
        <v/>
      </c>
      <c r="L48" s="16" t="n"/>
    </row>
    <row r="49">
      <c r="A49" s="18">
        <f>IF(Inventory!A49="","",Inventory!A49)</f>
        <v/>
      </c>
      <c r="B49" s="18">
        <f>IF(Inventory!B49="","",Inventory!B49)</f>
        <v/>
      </c>
      <c r="C49" s="18">
        <f>IF(Inventory!D49="","",Inventory!D49)</f>
        <v/>
      </c>
      <c r="D49" s="16" t="n"/>
      <c r="E49" s="16" t="n"/>
      <c r="F49" s="16" t="n"/>
      <c r="G49" s="16" t="n"/>
      <c r="H49" s="16" t="n"/>
      <c r="I49" s="16" t="n"/>
      <c r="J49" s="16" t="n"/>
      <c r="K49">
        <f>IF(COUNTA(D49:I49)=0,"",IF(COUNTIF(D49:I49,"❌*")+COUNTIF(G49:G49,"No")&gt;0,"❌ Non-Compliant",IF(COUNTIF(D49:I49,"⚠*")&gt;0,"⚠ Partial","✅ Compliant")))</f>
        <v/>
      </c>
      <c r="L49" s="16" t="n"/>
    </row>
    <row r="50">
      <c r="A50" s="18">
        <f>IF(Inventory!A50="","",Inventory!A50)</f>
        <v/>
      </c>
      <c r="B50" s="18">
        <f>IF(Inventory!B50="","",Inventory!B50)</f>
        <v/>
      </c>
      <c r="C50" s="18">
        <f>IF(Inventory!D50="","",Inventory!D50)</f>
        <v/>
      </c>
      <c r="D50" s="16" t="n"/>
      <c r="E50" s="16" t="n"/>
      <c r="F50" s="16" t="n"/>
      <c r="G50" s="16" t="n"/>
      <c r="H50" s="16" t="n"/>
      <c r="I50" s="16" t="n"/>
      <c r="J50" s="16" t="n"/>
      <c r="K50">
        <f>IF(COUNTA(D50:I50)=0,"",IF(COUNTIF(D50:I50,"❌*")+COUNTIF(G50:G50,"No")&gt;0,"❌ Non-Compliant",IF(COUNTIF(D50:I50,"⚠*")&gt;0,"⚠ Partial","✅ Compliant")))</f>
        <v/>
      </c>
      <c r="L50" s="16" t="n"/>
    </row>
    <row r="51">
      <c r="A51" s="18">
        <f>IF(Inventory!A51="","",Inventory!A51)</f>
        <v/>
      </c>
      <c r="B51" s="18">
        <f>IF(Inventory!B51="","",Inventory!B51)</f>
        <v/>
      </c>
      <c r="C51" s="18">
        <f>IF(Inventory!D51="","",Inventory!D51)</f>
        <v/>
      </c>
      <c r="D51" s="16" t="n"/>
      <c r="E51" s="16" t="n"/>
      <c r="F51" s="16" t="n"/>
      <c r="G51" s="16" t="n"/>
      <c r="H51" s="16" t="n"/>
      <c r="I51" s="16" t="n"/>
      <c r="J51" s="16" t="n"/>
      <c r="K51">
        <f>IF(COUNTA(D51:I51)=0,"",IF(COUNTIF(D51:I51,"❌*")+COUNTIF(G51:G51,"No")&gt;0,"❌ Non-Compliant",IF(COUNTIF(D51:I51,"⚠*")&gt;0,"⚠ Partial","✅ Compliant")))</f>
        <v/>
      </c>
      <c r="L51" s="16" t="n"/>
    </row>
    <row r="52">
      <c r="A52" s="18">
        <f>IF(Inventory!A52="","",Inventory!A52)</f>
        <v/>
      </c>
      <c r="B52" s="18">
        <f>IF(Inventory!B52="","",Inventory!B52)</f>
        <v/>
      </c>
      <c r="C52" s="18">
        <f>IF(Inventory!D52="","",Inventory!D52)</f>
        <v/>
      </c>
      <c r="D52" s="16" t="n"/>
      <c r="E52" s="16" t="n"/>
      <c r="F52" s="16" t="n"/>
      <c r="G52" s="16" t="n"/>
      <c r="H52" s="16" t="n"/>
      <c r="I52" s="16" t="n"/>
      <c r="J52" s="16" t="n"/>
      <c r="K52">
        <f>IF(COUNTA(D52:I52)=0,"",IF(COUNTIF(D52:I52,"❌*")+COUNTIF(G52:G52,"No")&gt;0,"❌ Non-Compliant",IF(COUNTIF(D52:I52,"⚠*")&gt;0,"⚠ Partial","✅ Compliant")))</f>
        <v/>
      </c>
      <c r="L52" s="16" t="n"/>
    </row>
    <row r="53">
      <c r="A53" s="18">
        <f>IF(Inventory!A53="","",Inventory!A53)</f>
        <v/>
      </c>
      <c r="B53" s="18">
        <f>IF(Inventory!B53="","",Inventory!B53)</f>
        <v/>
      </c>
      <c r="C53" s="18">
        <f>IF(Inventory!D53="","",Inventory!D53)</f>
        <v/>
      </c>
      <c r="D53" s="16" t="n"/>
      <c r="E53" s="16" t="n"/>
      <c r="F53" s="16" t="n"/>
      <c r="G53" s="16" t="n"/>
      <c r="H53" s="16" t="n"/>
      <c r="I53" s="16" t="n"/>
      <c r="J53" s="16" t="n"/>
      <c r="K53">
        <f>IF(COUNTA(D53:I53)=0,"",IF(COUNTIF(D53:I53,"❌*")+COUNTIF(G53:G53,"No")&gt;0,"❌ Non-Compliant",IF(COUNTIF(D53:I53,"⚠*")&gt;0,"⚠ Partial","✅ Compliant")))</f>
        <v/>
      </c>
      <c r="L53" s="16" t="n"/>
    </row>
    <row r="54">
      <c r="A54" s="18">
        <f>IF(Inventory!A54="","",Inventory!A54)</f>
        <v/>
      </c>
      <c r="B54" s="18">
        <f>IF(Inventory!B54="","",Inventory!B54)</f>
        <v/>
      </c>
      <c r="C54" s="18">
        <f>IF(Inventory!D54="","",Inventory!D54)</f>
        <v/>
      </c>
      <c r="D54" s="16" t="n"/>
      <c r="E54" s="16" t="n"/>
      <c r="F54" s="16" t="n"/>
      <c r="G54" s="16" t="n"/>
      <c r="H54" s="16" t="n"/>
      <c r="I54" s="16" t="n"/>
      <c r="J54" s="16" t="n"/>
      <c r="K54">
        <f>IF(COUNTA(D54:I54)=0,"",IF(COUNTIF(D54:I54,"❌*")+COUNTIF(G54:G54,"No")&gt;0,"❌ Non-Compliant",IF(COUNTIF(D54:I54,"⚠*")&gt;0,"⚠ Partial","✅ Compliant")))</f>
        <v/>
      </c>
      <c r="L54" s="16" t="n"/>
    </row>
    <row r="55">
      <c r="A55" s="18">
        <f>IF(Inventory!A55="","",Inventory!A55)</f>
        <v/>
      </c>
      <c r="B55" s="18">
        <f>IF(Inventory!B55="","",Inventory!B55)</f>
        <v/>
      </c>
      <c r="C55" s="18">
        <f>IF(Inventory!D55="","",Inventory!D55)</f>
        <v/>
      </c>
      <c r="D55" s="16" t="n"/>
      <c r="E55" s="16" t="n"/>
      <c r="F55" s="16" t="n"/>
      <c r="G55" s="16" t="n"/>
      <c r="H55" s="16" t="n"/>
      <c r="I55" s="16" t="n"/>
      <c r="J55" s="16" t="n"/>
      <c r="K55">
        <f>IF(COUNTA(D55:I55)=0,"",IF(COUNTIF(D55:I55,"❌*")+COUNTIF(G55:G55,"No")&gt;0,"❌ Non-Compliant",IF(COUNTIF(D55:I55,"⚠*")&gt;0,"⚠ Partial","✅ Compliant")))</f>
        <v/>
      </c>
      <c r="L55" s="16" t="n"/>
    </row>
    <row r="58">
      <c r="A58" s="12" t="inlineStr">
        <is>
          <t>[CHART] BASELINE COMPLIANCE SUMMARY</t>
        </is>
      </c>
    </row>
    <row r="59">
      <c r="A59" s="17" t="inlineStr">
        <is>
          <t>✅ Compliant Groups:</t>
        </is>
      </c>
      <c r="B59">
        <f>COUNTIF(K6:K55,"✅ Compliant")</f>
        <v/>
      </c>
    </row>
    <row r="60">
      <c r="A60" s="17" t="inlineStr">
        <is>
          <t>⚠ Partial Compliance:</t>
        </is>
      </c>
      <c r="B60">
        <f>COUNTIF(K6:K55,"⚠ Partial")</f>
        <v/>
      </c>
    </row>
    <row r="61">
      <c r="A61" s="17" t="inlineStr">
        <is>
          <t>❌ Non-Compliant Groups:</t>
        </is>
      </c>
      <c r="B61">
        <f>COUNTIF(K6:K55,"❌ Non-Compliant")</f>
        <v/>
      </c>
    </row>
    <row r="62">
      <c r="A62" s="17" t="inlineStr">
        <is>
          <t>Compliance Rate:</t>
        </is>
      </c>
      <c r="B62">
        <f>IF((COUNTIF(K6:K55,"✅ Compliant")+COUNTIF(K6:K55,"⚠ Partial")+COUNTIF(K6:K55,"❌ Non-Compliant"))=0,0,COUNTIF(K6:K55,"✅ Compliant")/(COUNTIF(K6:K55,"✅ Compliant")+COUNTIF(K6:K55,"⚠ Partial")+COUNTIF(K6:K55,"❌ Non-Compliant")))&amp;"%"</f>
        <v/>
      </c>
    </row>
  </sheetData>
  <mergeCells count="3">
    <mergeCell ref="A2:L2"/>
    <mergeCell ref="A1:L1"/>
    <mergeCell ref="A58:D58"/>
  </mergeCells>
  <dataValidations count="5">
    <dataValidation sqref="D6 D7 D8 D9 D10 D11 D12 D13 D14 D15 D16 D17 D18 D19 D20 D21 D22 D23 D24 D25 D26 D27 D28 D29 D30 D31 D32 D33 D34 D35 D36 D37 D38 D39 D40 D41 D42 D43 D44 D45 D46 D47 D48 D49 D50 D51 D52 D53 D54 D55 I6 I7 I8 I9 I10 I11 I12 I13 I14 I15 I16 I17 I18 I19 I20 I21 I22 I23 I24 I25 I26 I27 I28 I29 I30 I31 I32 I33 I34 I35 I36 I37 I38 I39 I40 I41 I42 I43 I44 I45 I46 I47 I48 I49 I50 I51 I52 I53 I54 I55" showDropDown="0" showInputMessage="0" showErrorMessage="0" allowBlank="1" type="list">
      <formula1>"✅ Compliant,⚠ Partial,❌ Non-Compliant,N/A"</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Enabled,⚠ Partial,❌ Disabled,N/A"</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 Active,⚠ Outdated,❌ Not Installed,N/A"</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 Current,⚠ Partial,❌ Outdated,Unknown"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35" customHeight="1">
      <c r="A1" s="11" t="inlineStr">
        <is>
          <t>ENDPOINT ENCRYPTION STATUS</t>
        </is>
      </c>
    </row>
    <row r="2">
      <c r="A2" s="12" t="inlineStr">
        <is>
          <t>Encryption technology, status, key management, and recovery procedures per endpoint</t>
        </is>
      </c>
    </row>
    <row r="4">
      <c r="A4" s="14" t="inlineStr">
        <is>
          <t>Device ID</t>
        </is>
      </c>
      <c r="B4" s="14" t="inlineStr">
        <is>
          <t>Hostname</t>
        </is>
      </c>
      <c r="C4" s="14" t="inlineStr">
        <is>
          <t>Device Type</t>
        </is>
      </c>
      <c r="D4" s="14" t="inlineStr">
        <is>
          <t>Encryption Technology</t>
        </is>
      </c>
      <c r="E4" s="14" t="inlineStr">
        <is>
          <t>Encryption Status</t>
        </is>
      </c>
      <c r="F4" s="14" t="inlineStr">
        <is>
          <t>Full Disk Encryption</t>
        </is>
      </c>
      <c r="G4" s="14" t="inlineStr">
        <is>
          <t>Key Escrow/Recovery</t>
        </is>
      </c>
      <c r="H4" s="14" t="inlineStr">
        <is>
          <t>Recovery Key Location</t>
        </is>
      </c>
      <c r="I4" s="14" t="inlineStr">
        <is>
          <t>Last Verified Date</t>
        </is>
      </c>
      <c r="J4" s="14" t="inlineStr">
        <is>
          <t>Notes</t>
        </is>
      </c>
    </row>
    <row r="5">
      <c r="A5" s="15" t="inlineStr">
        <is>
          <t>GRP-001</t>
        </is>
      </c>
      <c r="B5" s="15" t="inlineStr">
        <is>
          <t>SG-Windows-Endpoints</t>
        </is>
      </c>
      <c r="C5" s="15" t="inlineStr">
        <is>
          <t>Workstations</t>
        </is>
      </c>
      <c r="D5" s="15" t="inlineStr">
        <is>
          <t>BitLocker</t>
        </is>
      </c>
      <c r="E5" s="15" t="inlineStr">
        <is>
          <t>✅ Encrypted</t>
        </is>
      </c>
      <c r="F5" s="15" t="inlineStr">
        <is>
          <t>Yes</t>
        </is>
      </c>
      <c r="G5" s="15" t="inlineStr">
        <is>
          <t>Microsoft Intune</t>
        </is>
      </c>
      <c r="H5" s="15" t="inlineStr">
        <is>
          <t>Azure AD / Intune portal</t>
        </is>
      </c>
      <c r="I5" s="15" t="inlineStr">
        <is>
          <t>20.02.2026</t>
        </is>
      </c>
      <c r="J5" s="15" t="inlineStr">
        <is>
          <t>Enforced via Intune policy — BitLocker recovery keys in Entra ID.</t>
        </is>
      </c>
    </row>
    <row r="6">
      <c r="A6" s="18">
        <f>IF(Inventory!A6="","",Inventory!A6)</f>
        <v/>
      </c>
      <c r="B6" s="18">
        <f>IF(Inventory!B6="","",Inventory!B6)</f>
        <v/>
      </c>
      <c r="C6" s="18">
        <f>IF(Inventory!D6="","",Inventory!D6)</f>
        <v/>
      </c>
      <c r="D6" s="16" t="n"/>
      <c r="E6" s="16" t="n"/>
      <c r="F6" s="16" t="n"/>
      <c r="G6" s="16" t="n"/>
      <c r="H6" s="16" t="n"/>
      <c r="I6" s="16" t="n"/>
      <c r="J6" s="16" t="n"/>
    </row>
    <row r="7">
      <c r="A7" s="18">
        <f>IF(Inventory!A7="","",Inventory!A7)</f>
        <v/>
      </c>
      <c r="B7" s="18">
        <f>IF(Inventory!B7="","",Inventory!B7)</f>
        <v/>
      </c>
      <c r="C7" s="18">
        <f>IF(Inventory!D7="","",Inventory!D7)</f>
        <v/>
      </c>
      <c r="D7" s="16" t="n"/>
      <c r="E7" s="16" t="n"/>
      <c r="F7" s="16" t="n"/>
      <c r="G7" s="16" t="n"/>
      <c r="H7" s="16" t="n"/>
      <c r="I7" s="16" t="n"/>
      <c r="J7" s="16" t="n"/>
    </row>
    <row r="8">
      <c r="A8" s="18">
        <f>IF(Inventory!A8="","",Inventory!A8)</f>
        <v/>
      </c>
      <c r="B8" s="18">
        <f>IF(Inventory!B8="","",Inventory!B8)</f>
        <v/>
      </c>
      <c r="C8" s="18">
        <f>IF(Inventory!D8="","",Inventory!D8)</f>
        <v/>
      </c>
      <c r="D8" s="16" t="n"/>
      <c r="E8" s="16" t="n"/>
      <c r="F8" s="16" t="n"/>
      <c r="G8" s="16" t="n"/>
      <c r="H8" s="16" t="n"/>
      <c r="I8" s="16" t="n"/>
      <c r="J8" s="16" t="n"/>
    </row>
    <row r="9">
      <c r="A9" s="18">
        <f>IF(Inventory!A9="","",Inventory!A9)</f>
        <v/>
      </c>
      <c r="B9" s="18">
        <f>IF(Inventory!B9="","",Inventory!B9)</f>
        <v/>
      </c>
      <c r="C9" s="18">
        <f>IF(Inventory!D9="","",Inventory!D9)</f>
        <v/>
      </c>
      <c r="D9" s="16" t="n"/>
      <c r="E9" s="16" t="n"/>
      <c r="F9" s="16" t="n"/>
      <c r="G9" s="16" t="n"/>
      <c r="H9" s="16" t="n"/>
      <c r="I9" s="16" t="n"/>
      <c r="J9" s="16" t="n"/>
    </row>
    <row r="10">
      <c r="A10" s="18">
        <f>IF(Inventory!A10="","",Inventory!A10)</f>
        <v/>
      </c>
      <c r="B10" s="18">
        <f>IF(Inventory!B10="","",Inventory!B10)</f>
        <v/>
      </c>
      <c r="C10" s="18">
        <f>IF(Inventory!D10="","",Inventory!D10)</f>
        <v/>
      </c>
      <c r="D10" s="16" t="n"/>
      <c r="E10" s="16" t="n"/>
      <c r="F10" s="16" t="n"/>
      <c r="G10" s="16" t="n"/>
      <c r="H10" s="16" t="n"/>
      <c r="I10" s="16" t="n"/>
      <c r="J10" s="16" t="n"/>
    </row>
    <row r="11">
      <c r="A11" s="18">
        <f>IF(Inventory!A11="","",Inventory!A11)</f>
        <v/>
      </c>
      <c r="B11" s="18">
        <f>IF(Inventory!B11="","",Inventory!B11)</f>
        <v/>
      </c>
      <c r="C11" s="18">
        <f>IF(Inventory!D11="","",Inventory!D11)</f>
        <v/>
      </c>
      <c r="D11" s="16" t="n"/>
      <c r="E11" s="16" t="n"/>
      <c r="F11" s="16" t="n"/>
      <c r="G11" s="16" t="n"/>
      <c r="H11" s="16" t="n"/>
      <c r="I11" s="16" t="n"/>
      <c r="J11" s="16" t="n"/>
    </row>
    <row r="12">
      <c r="A12" s="18">
        <f>IF(Inventory!A12="","",Inventory!A12)</f>
        <v/>
      </c>
      <c r="B12" s="18">
        <f>IF(Inventory!B12="","",Inventory!B12)</f>
        <v/>
      </c>
      <c r="C12" s="18">
        <f>IF(Inventory!D12="","",Inventory!D12)</f>
        <v/>
      </c>
      <c r="D12" s="16" t="n"/>
      <c r="E12" s="16" t="n"/>
      <c r="F12" s="16" t="n"/>
      <c r="G12" s="16" t="n"/>
      <c r="H12" s="16" t="n"/>
      <c r="I12" s="16" t="n"/>
      <c r="J12" s="16" t="n"/>
    </row>
    <row r="13">
      <c r="A13" s="18">
        <f>IF(Inventory!A13="","",Inventory!A13)</f>
        <v/>
      </c>
      <c r="B13" s="18">
        <f>IF(Inventory!B13="","",Inventory!B13)</f>
        <v/>
      </c>
      <c r="C13" s="18">
        <f>IF(Inventory!D13="","",Inventory!D13)</f>
        <v/>
      </c>
      <c r="D13" s="16" t="n"/>
      <c r="E13" s="16" t="n"/>
      <c r="F13" s="16" t="n"/>
      <c r="G13" s="16" t="n"/>
      <c r="H13" s="16" t="n"/>
      <c r="I13" s="16" t="n"/>
      <c r="J13" s="16" t="n"/>
    </row>
    <row r="14">
      <c r="A14" s="18">
        <f>IF(Inventory!A14="","",Inventory!A14)</f>
        <v/>
      </c>
      <c r="B14" s="18">
        <f>IF(Inventory!B14="","",Inventory!B14)</f>
        <v/>
      </c>
      <c r="C14" s="18">
        <f>IF(Inventory!D14="","",Inventory!D14)</f>
        <v/>
      </c>
      <c r="D14" s="16" t="n"/>
      <c r="E14" s="16" t="n"/>
      <c r="F14" s="16" t="n"/>
      <c r="G14" s="16" t="n"/>
      <c r="H14" s="16" t="n"/>
      <c r="I14" s="16" t="n"/>
      <c r="J14" s="16" t="n"/>
    </row>
    <row r="15">
      <c r="A15" s="18">
        <f>IF(Inventory!A15="","",Inventory!A15)</f>
        <v/>
      </c>
      <c r="B15" s="18">
        <f>IF(Inventory!B15="","",Inventory!B15)</f>
        <v/>
      </c>
      <c r="C15" s="18">
        <f>IF(Inventory!D15="","",Inventory!D15)</f>
        <v/>
      </c>
      <c r="D15" s="16" t="n"/>
      <c r="E15" s="16" t="n"/>
      <c r="F15" s="16" t="n"/>
      <c r="G15" s="16" t="n"/>
      <c r="H15" s="16" t="n"/>
      <c r="I15" s="16" t="n"/>
      <c r="J15" s="16" t="n"/>
    </row>
    <row r="16">
      <c r="A16" s="18">
        <f>IF(Inventory!A16="","",Inventory!A16)</f>
        <v/>
      </c>
      <c r="B16" s="18">
        <f>IF(Inventory!B16="","",Inventory!B16)</f>
        <v/>
      </c>
      <c r="C16" s="18">
        <f>IF(Inventory!D16="","",Inventory!D16)</f>
        <v/>
      </c>
      <c r="D16" s="16" t="n"/>
      <c r="E16" s="16" t="n"/>
      <c r="F16" s="16" t="n"/>
      <c r="G16" s="16" t="n"/>
      <c r="H16" s="16" t="n"/>
      <c r="I16" s="16" t="n"/>
      <c r="J16" s="16" t="n"/>
    </row>
    <row r="17">
      <c r="A17" s="18">
        <f>IF(Inventory!A17="","",Inventory!A17)</f>
        <v/>
      </c>
      <c r="B17" s="18">
        <f>IF(Inventory!B17="","",Inventory!B17)</f>
        <v/>
      </c>
      <c r="C17" s="18">
        <f>IF(Inventory!D17="","",Inventory!D17)</f>
        <v/>
      </c>
      <c r="D17" s="16" t="n"/>
      <c r="E17" s="16" t="n"/>
      <c r="F17" s="16" t="n"/>
      <c r="G17" s="16" t="n"/>
      <c r="H17" s="16" t="n"/>
      <c r="I17" s="16" t="n"/>
      <c r="J17" s="16" t="n"/>
    </row>
    <row r="18">
      <c r="A18" s="18">
        <f>IF(Inventory!A18="","",Inventory!A18)</f>
        <v/>
      </c>
      <c r="B18" s="18">
        <f>IF(Inventory!B18="","",Inventory!B18)</f>
        <v/>
      </c>
      <c r="C18" s="18">
        <f>IF(Inventory!D18="","",Inventory!D18)</f>
        <v/>
      </c>
      <c r="D18" s="16" t="n"/>
      <c r="E18" s="16" t="n"/>
      <c r="F18" s="16" t="n"/>
      <c r="G18" s="16" t="n"/>
      <c r="H18" s="16" t="n"/>
      <c r="I18" s="16" t="n"/>
      <c r="J18" s="16" t="n"/>
    </row>
    <row r="19">
      <c r="A19" s="18">
        <f>IF(Inventory!A19="","",Inventory!A19)</f>
        <v/>
      </c>
      <c r="B19" s="18">
        <f>IF(Inventory!B19="","",Inventory!B19)</f>
        <v/>
      </c>
      <c r="C19" s="18">
        <f>IF(Inventory!D19="","",Inventory!D19)</f>
        <v/>
      </c>
      <c r="D19" s="16" t="n"/>
      <c r="E19" s="16" t="n"/>
      <c r="F19" s="16" t="n"/>
      <c r="G19" s="16" t="n"/>
      <c r="H19" s="16" t="n"/>
      <c r="I19" s="16" t="n"/>
      <c r="J19" s="16" t="n"/>
    </row>
    <row r="20">
      <c r="A20" s="18">
        <f>IF(Inventory!A20="","",Inventory!A20)</f>
        <v/>
      </c>
      <c r="B20" s="18">
        <f>IF(Inventory!B20="","",Inventory!B20)</f>
        <v/>
      </c>
      <c r="C20" s="18">
        <f>IF(Inventory!D20="","",Inventory!D20)</f>
        <v/>
      </c>
      <c r="D20" s="16" t="n"/>
      <c r="E20" s="16" t="n"/>
      <c r="F20" s="16" t="n"/>
      <c r="G20" s="16" t="n"/>
      <c r="H20" s="16" t="n"/>
      <c r="I20" s="16" t="n"/>
      <c r="J20" s="16" t="n"/>
    </row>
    <row r="21">
      <c r="A21" s="18">
        <f>IF(Inventory!A21="","",Inventory!A21)</f>
        <v/>
      </c>
      <c r="B21" s="18">
        <f>IF(Inventory!B21="","",Inventory!B21)</f>
        <v/>
      </c>
      <c r="C21" s="18">
        <f>IF(Inventory!D21="","",Inventory!D21)</f>
        <v/>
      </c>
      <c r="D21" s="16" t="n"/>
      <c r="E21" s="16" t="n"/>
      <c r="F21" s="16" t="n"/>
      <c r="G21" s="16" t="n"/>
      <c r="H21" s="16" t="n"/>
      <c r="I21" s="16" t="n"/>
      <c r="J21" s="16" t="n"/>
    </row>
    <row r="22">
      <c r="A22" s="18">
        <f>IF(Inventory!A22="","",Inventory!A22)</f>
        <v/>
      </c>
      <c r="B22" s="18">
        <f>IF(Inventory!B22="","",Inventory!B22)</f>
        <v/>
      </c>
      <c r="C22" s="18">
        <f>IF(Inventory!D22="","",Inventory!D22)</f>
        <v/>
      </c>
      <c r="D22" s="16" t="n"/>
      <c r="E22" s="16" t="n"/>
      <c r="F22" s="16" t="n"/>
      <c r="G22" s="16" t="n"/>
      <c r="H22" s="16" t="n"/>
      <c r="I22" s="16" t="n"/>
      <c r="J22" s="16" t="n"/>
    </row>
    <row r="23">
      <c r="A23" s="18">
        <f>IF(Inventory!A23="","",Inventory!A23)</f>
        <v/>
      </c>
      <c r="B23" s="18">
        <f>IF(Inventory!B23="","",Inventory!B23)</f>
        <v/>
      </c>
      <c r="C23" s="18">
        <f>IF(Inventory!D23="","",Inventory!D23)</f>
        <v/>
      </c>
      <c r="D23" s="16" t="n"/>
      <c r="E23" s="16" t="n"/>
      <c r="F23" s="16" t="n"/>
      <c r="G23" s="16" t="n"/>
      <c r="H23" s="16" t="n"/>
      <c r="I23" s="16" t="n"/>
      <c r="J23" s="16" t="n"/>
    </row>
    <row r="24">
      <c r="A24" s="18">
        <f>IF(Inventory!A24="","",Inventory!A24)</f>
        <v/>
      </c>
      <c r="B24" s="18">
        <f>IF(Inventory!B24="","",Inventory!B24)</f>
        <v/>
      </c>
      <c r="C24" s="18">
        <f>IF(Inventory!D24="","",Inventory!D24)</f>
        <v/>
      </c>
      <c r="D24" s="16" t="n"/>
      <c r="E24" s="16" t="n"/>
      <c r="F24" s="16" t="n"/>
      <c r="G24" s="16" t="n"/>
      <c r="H24" s="16" t="n"/>
      <c r="I24" s="16" t="n"/>
      <c r="J24" s="16" t="n"/>
    </row>
    <row r="25">
      <c r="A25" s="18">
        <f>IF(Inventory!A25="","",Inventory!A25)</f>
        <v/>
      </c>
      <c r="B25" s="18">
        <f>IF(Inventory!B25="","",Inventory!B25)</f>
        <v/>
      </c>
      <c r="C25" s="18">
        <f>IF(Inventory!D25="","",Inventory!D25)</f>
        <v/>
      </c>
      <c r="D25" s="16" t="n"/>
      <c r="E25" s="16" t="n"/>
      <c r="F25" s="16" t="n"/>
      <c r="G25" s="16" t="n"/>
      <c r="H25" s="16" t="n"/>
      <c r="I25" s="16" t="n"/>
      <c r="J25" s="16" t="n"/>
    </row>
    <row r="26">
      <c r="A26" s="18">
        <f>IF(Inventory!A26="","",Inventory!A26)</f>
        <v/>
      </c>
      <c r="B26" s="18">
        <f>IF(Inventory!B26="","",Inventory!B26)</f>
        <v/>
      </c>
      <c r="C26" s="18">
        <f>IF(Inventory!D26="","",Inventory!D26)</f>
        <v/>
      </c>
      <c r="D26" s="16" t="n"/>
      <c r="E26" s="16" t="n"/>
      <c r="F26" s="16" t="n"/>
      <c r="G26" s="16" t="n"/>
      <c r="H26" s="16" t="n"/>
      <c r="I26" s="16" t="n"/>
      <c r="J26" s="16" t="n"/>
    </row>
    <row r="27">
      <c r="A27" s="18">
        <f>IF(Inventory!A27="","",Inventory!A27)</f>
        <v/>
      </c>
      <c r="B27" s="18">
        <f>IF(Inventory!B27="","",Inventory!B27)</f>
        <v/>
      </c>
      <c r="C27" s="18">
        <f>IF(Inventory!D27="","",Inventory!D27)</f>
        <v/>
      </c>
      <c r="D27" s="16" t="n"/>
      <c r="E27" s="16" t="n"/>
      <c r="F27" s="16" t="n"/>
      <c r="G27" s="16" t="n"/>
      <c r="H27" s="16" t="n"/>
      <c r="I27" s="16" t="n"/>
      <c r="J27" s="16" t="n"/>
    </row>
    <row r="28">
      <c r="A28" s="18">
        <f>IF(Inventory!A28="","",Inventory!A28)</f>
        <v/>
      </c>
      <c r="B28" s="18">
        <f>IF(Inventory!B28="","",Inventory!B28)</f>
        <v/>
      </c>
      <c r="C28" s="18">
        <f>IF(Inventory!D28="","",Inventory!D28)</f>
        <v/>
      </c>
      <c r="D28" s="16" t="n"/>
      <c r="E28" s="16" t="n"/>
      <c r="F28" s="16" t="n"/>
      <c r="G28" s="16" t="n"/>
      <c r="H28" s="16" t="n"/>
      <c r="I28" s="16" t="n"/>
      <c r="J28" s="16" t="n"/>
    </row>
    <row r="29">
      <c r="A29" s="18">
        <f>IF(Inventory!A29="","",Inventory!A29)</f>
        <v/>
      </c>
      <c r="B29" s="18">
        <f>IF(Inventory!B29="","",Inventory!B29)</f>
        <v/>
      </c>
      <c r="C29" s="18">
        <f>IF(Inventory!D29="","",Inventory!D29)</f>
        <v/>
      </c>
      <c r="D29" s="16" t="n"/>
      <c r="E29" s="16" t="n"/>
      <c r="F29" s="16" t="n"/>
      <c r="G29" s="16" t="n"/>
      <c r="H29" s="16" t="n"/>
      <c r="I29" s="16" t="n"/>
      <c r="J29" s="16" t="n"/>
    </row>
    <row r="30">
      <c r="A30" s="18">
        <f>IF(Inventory!A30="","",Inventory!A30)</f>
        <v/>
      </c>
      <c r="B30" s="18">
        <f>IF(Inventory!B30="","",Inventory!B30)</f>
        <v/>
      </c>
      <c r="C30" s="18">
        <f>IF(Inventory!D30="","",Inventory!D30)</f>
        <v/>
      </c>
      <c r="D30" s="16" t="n"/>
      <c r="E30" s="16" t="n"/>
      <c r="F30" s="16" t="n"/>
      <c r="G30" s="16" t="n"/>
      <c r="H30" s="16" t="n"/>
      <c r="I30" s="16" t="n"/>
      <c r="J30" s="16" t="n"/>
    </row>
    <row r="31">
      <c r="A31" s="18">
        <f>IF(Inventory!A31="","",Inventory!A31)</f>
        <v/>
      </c>
      <c r="B31" s="18">
        <f>IF(Inventory!B31="","",Inventory!B31)</f>
        <v/>
      </c>
      <c r="C31" s="18">
        <f>IF(Inventory!D31="","",Inventory!D31)</f>
        <v/>
      </c>
      <c r="D31" s="16" t="n"/>
      <c r="E31" s="16" t="n"/>
      <c r="F31" s="16" t="n"/>
      <c r="G31" s="16" t="n"/>
      <c r="H31" s="16" t="n"/>
      <c r="I31" s="16" t="n"/>
      <c r="J31" s="16" t="n"/>
    </row>
    <row r="32">
      <c r="A32" s="18">
        <f>IF(Inventory!A32="","",Inventory!A32)</f>
        <v/>
      </c>
      <c r="B32" s="18">
        <f>IF(Inventory!B32="","",Inventory!B32)</f>
        <v/>
      </c>
      <c r="C32" s="18">
        <f>IF(Inventory!D32="","",Inventory!D32)</f>
        <v/>
      </c>
      <c r="D32" s="16" t="n"/>
      <c r="E32" s="16" t="n"/>
      <c r="F32" s="16" t="n"/>
      <c r="G32" s="16" t="n"/>
      <c r="H32" s="16" t="n"/>
      <c r="I32" s="16" t="n"/>
      <c r="J32" s="16" t="n"/>
    </row>
    <row r="33">
      <c r="A33" s="18">
        <f>IF(Inventory!A33="","",Inventory!A33)</f>
        <v/>
      </c>
      <c r="B33" s="18">
        <f>IF(Inventory!B33="","",Inventory!B33)</f>
        <v/>
      </c>
      <c r="C33" s="18">
        <f>IF(Inventory!D33="","",Inventory!D33)</f>
        <v/>
      </c>
      <c r="D33" s="16" t="n"/>
      <c r="E33" s="16" t="n"/>
      <c r="F33" s="16" t="n"/>
      <c r="G33" s="16" t="n"/>
      <c r="H33" s="16" t="n"/>
      <c r="I33" s="16" t="n"/>
      <c r="J33" s="16" t="n"/>
    </row>
    <row r="34">
      <c r="A34" s="18">
        <f>IF(Inventory!A34="","",Inventory!A34)</f>
        <v/>
      </c>
      <c r="B34" s="18">
        <f>IF(Inventory!B34="","",Inventory!B34)</f>
        <v/>
      </c>
      <c r="C34" s="18">
        <f>IF(Inventory!D34="","",Inventory!D34)</f>
        <v/>
      </c>
      <c r="D34" s="16" t="n"/>
      <c r="E34" s="16" t="n"/>
      <c r="F34" s="16" t="n"/>
      <c r="G34" s="16" t="n"/>
      <c r="H34" s="16" t="n"/>
      <c r="I34" s="16" t="n"/>
      <c r="J34" s="16" t="n"/>
    </row>
    <row r="35">
      <c r="A35" s="18">
        <f>IF(Inventory!A35="","",Inventory!A35)</f>
        <v/>
      </c>
      <c r="B35" s="18">
        <f>IF(Inventory!B35="","",Inventory!B35)</f>
        <v/>
      </c>
      <c r="C35" s="18">
        <f>IF(Inventory!D35="","",Inventory!D35)</f>
        <v/>
      </c>
      <c r="D35" s="16" t="n"/>
      <c r="E35" s="16" t="n"/>
      <c r="F35" s="16" t="n"/>
      <c r="G35" s="16" t="n"/>
      <c r="H35" s="16" t="n"/>
      <c r="I35" s="16" t="n"/>
      <c r="J35" s="16" t="n"/>
    </row>
    <row r="36">
      <c r="A36" s="18">
        <f>IF(Inventory!A36="","",Inventory!A36)</f>
        <v/>
      </c>
      <c r="B36" s="18">
        <f>IF(Inventory!B36="","",Inventory!B36)</f>
        <v/>
      </c>
      <c r="C36" s="18">
        <f>IF(Inventory!D36="","",Inventory!D36)</f>
        <v/>
      </c>
      <c r="D36" s="16" t="n"/>
      <c r="E36" s="16" t="n"/>
      <c r="F36" s="16" t="n"/>
      <c r="G36" s="16" t="n"/>
      <c r="H36" s="16" t="n"/>
      <c r="I36" s="16" t="n"/>
      <c r="J36" s="16" t="n"/>
    </row>
    <row r="37">
      <c r="A37" s="18">
        <f>IF(Inventory!A37="","",Inventory!A37)</f>
        <v/>
      </c>
      <c r="B37" s="18">
        <f>IF(Inventory!B37="","",Inventory!B37)</f>
        <v/>
      </c>
      <c r="C37" s="18">
        <f>IF(Inventory!D37="","",Inventory!D37)</f>
        <v/>
      </c>
      <c r="D37" s="16" t="n"/>
      <c r="E37" s="16" t="n"/>
      <c r="F37" s="16" t="n"/>
      <c r="G37" s="16" t="n"/>
      <c r="H37" s="16" t="n"/>
      <c r="I37" s="16" t="n"/>
      <c r="J37" s="16" t="n"/>
    </row>
    <row r="38">
      <c r="A38" s="18">
        <f>IF(Inventory!A38="","",Inventory!A38)</f>
        <v/>
      </c>
      <c r="B38" s="18">
        <f>IF(Inventory!B38="","",Inventory!B38)</f>
        <v/>
      </c>
      <c r="C38" s="18">
        <f>IF(Inventory!D38="","",Inventory!D38)</f>
        <v/>
      </c>
      <c r="D38" s="16" t="n"/>
      <c r="E38" s="16" t="n"/>
      <c r="F38" s="16" t="n"/>
      <c r="G38" s="16" t="n"/>
      <c r="H38" s="16" t="n"/>
      <c r="I38" s="16" t="n"/>
      <c r="J38" s="16" t="n"/>
    </row>
    <row r="39">
      <c r="A39" s="18">
        <f>IF(Inventory!A39="","",Inventory!A39)</f>
        <v/>
      </c>
      <c r="B39" s="18">
        <f>IF(Inventory!B39="","",Inventory!B39)</f>
        <v/>
      </c>
      <c r="C39" s="18">
        <f>IF(Inventory!D39="","",Inventory!D39)</f>
        <v/>
      </c>
      <c r="D39" s="16" t="n"/>
      <c r="E39" s="16" t="n"/>
      <c r="F39" s="16" t="n"/>
      <c r="G39" s="16" t="n"/>
      <c r="H39" s="16" t="n"/>
      <c r="I39" s="16" t="n"/>
      <c r="J39" s="16" t="n"/>
    </row>
    <row r="40">
      <c r="A40" s="18">
        <f>IF(Inventory!A40="","",Inventory!A40)</f>
        <v/>
      </c>
      <c r="B40" s="18">
        <f>IF(Inventory!B40="","",Inventory!B40)</f>
        <v/>
      </c>
      <c r="C40" s="18">
        <f>IF(Inventory!D40="","",Inventory!D40)</f>
        <v/>
      </c>
      <c r="D40" s="16" t="n"/>
      <c r="E40" s="16" t="n"/>
      <c r="F40" s="16" t="n"/>
      <c r="G40" s="16" t="n"/>
      <c r="H40" s="16" t="n"/>
      <c r="I40" s="16" t="n"/>
      <c r="J40" s="16" t="n"/>
    </row>
    <row r="41">
      <c r="A41" s="18">
        <f>IF(Inventory!A41="","",Inventory!A41)</f>
        <v/>
      </c>
      <c r="B41" s="18">
        <f>IF(Inventory!B41="","",Inventory!B41)</f>
        <v/>
      </c>
      <c r="C41" s="18">
        <f>IF(Inventory!D41="","",Inventory!D41)</f>
        <v/>
      </c>
      <c r="D41" s="16" t="n"/>
      <c r="E41" s="16" t="n"/>
      <c r="F41" s="16" t="n"/>
      <c r="G41" s="16" t="n"/>
      <c r="H41" s="16" t="n"/>
      <c r="I41" s="16" t="n"/>
      <c r="J41" s="16" t="n"/>
    </row>
    <row r="42">
      <c r="A42" s="18">
        <f>IF(Inventory!A42="","",Inventory!A42)</f>
        <v/>
      </c>
      <c r="B42" s="18">
        <f>IF(Inventory!B42="","",Inventory!B42)</f>
        <v/>
      </c>
      <c r="C42" s="18">
        <f>IF(Inventory!D42="","",Inventory!D42)</f>
        <v/>
      </c>
      <c r="D42" s="16" t="n"/>
      <c r="E42" s="16" t="n"/>
      <c r="F42" s="16" t="n"/>
      <c r="G42" s="16" t="n"/>
      <c r="H42" s="16" t="n"/>
      <c r="I42" s="16" t="n"/>
      <c r="J42" s="16" t="n"/>
    </row>
    <row r="43">
      <c r="A43" s="18">
        <f>IF(Inventory!A43="","",Inventory!A43)</f>
        <v/>
      </c>
      <c r="B43" s="18">
        <f>IF(Inventory!B43="","",Inventory!B43)</f>
        <v/>
      </c>
      <c r="C43" s="18">
        <f>IF(Inventory!D43="","",Inventory!D43)</f>
        <v/>
      </c>
      <c r="D43" s="16" t="n"/>
      <c r="E43" s="16" t="n"/>
      <c r="F43" s="16" t="n"/>
      <c r="G43" s="16" t="n"/>
      <c r="H43" s="16" t="n"/>
      <c r="I43" s="16" t="n"/>
      <c r="J43" s="16" t="n"/>
    </row>
    <row r="44">
      <c r="A44" s="18">
        <f>IF(Inventory!A44="","",Inventory!A44)</f>
        <v/>
      </c>
      <c r="B44" s="18">
        <f>IF(Inventory!B44="","",Inventory!B44)</f>
        <v/>
      </c>
      <c r="C44" s="18">
        <f>IF(Inventory!D44="","",Inventory!D44)</f>
        <v/>
      </c>
      <c r="D44" s="16" t="n"/>
      <c r="E44" s="16" t="n"/>
      <c r="F44" s="16" t="n"/>
      <c r="G44" s="16" t="n"/>
      <c r="H44" s="16" t="n"/>
      <c r="I44" s="16" t="n"/>
      <c r="J44" s="16" t="n"/>
    </row>
    <row r="45">
      <c r="A45" s="18">
        <f>IF(Inventory!A45="","",Inventory!A45)</f>
        <v/>
      </c>
      <c r="B45" s="18">
        <f>IF(Inventory!B45="","",Inventory!B45)</f>
        <v/>
      </c>
      <c r="C45" s="18">
        <f>IF(Inventory!D45="","",Inventory!D45)</f>
        <v/>
      </c>
      <c r="D45" s="16" t="n"/>
      <c r="E45" s="16" t="n"/>
      <c r="F45" s="16" t="n"/>
      <c r="G45" s="16" t="n"/>
      <c r="H45" s="16" t="n"/>
      <c r="I45" s="16" t="n"/>
      <c r="J45" s="16" t="n"/>
    </row>
    <row r="46">
      <c r="A46" s="18">
        <f>IF(Inventory!A46="","",Inventory!A46)</f>
        <v/>
      </c>
      <c r="B46" s="18">
        <f>IF(Inventory!B46="","",Inventory!B46)</f>
        <v/>
      </c>
      <c r="C46" s="18">
        <f>IF(Inventory!D46="","",Inventory!D46)</f>
        <v/>
      </c>
      <c r="D46" s="16" t="n"/>
      <c r="E46" s="16" t="n"/>
      <c r="F46" s="16" t="n"/>
      <c r="G46" s="16" t="n"/>
      <c r="H46" s="16" t="n"/>
      <c r="I46" s="16" t="n"/>
      <c r="J46" s="16" t="n"/>
    </row>
    <row r="47">
      <c r="A47" s="18">
        <f>IF(Inventory!A47="","",Inventory!A47)</f>
        <v/>
      </c>
      <c r="B47" s="18">
        <f>IF(Inventory!B47="","",Inventory!B47)</f>
        <v/>
      </c>
      <c r="C47" s="18">
        <f>IF(Inventory!D47="","",Inventory!D47)</f>
        <v/>
      </c>
      <c r="D47" s="16" t="n"/>
      <c r="E47" s="16" t="n"/>
      <c r="F47" s="16" t="n"/>
      <c r="G47" s="16" t="n"/>
      <c r="H47" s="16" t="n"/>
      <c r="I47" s="16" t="n"/>
      <c r="J47" s="16" t="n"/>
    </row>
    <row r="48">
      <c r="A48" s="18">
        <f>IF(Inventory!A48="","",Inventory!A48)</f>
        <v/>
      </c>
      <c r="B48" s="18">
        <f>IF(Inventory!B48="","",Inventory!B48)</f>
        <v/>
      </c>
      <c r="C48" s="18">
        <f>IF(Inventory!D48="","",Inventory!D48)</f>
        <v/>
      </c>
      <c r="D48" s="16" t="n"/>
      <c r="E48" s="16" t="n"/>
      <c r="F48" s="16" t="n"/>
      <c r="G48" s="16" t="n"/>
      <c r="H48" s="16" t="n"/>
      <c r="I48" s="16" t="n"/>
      <c r="J48" s="16" t="n"/>
    </row>
    <row r="49">
      <c r="A49" s="18">
        <f>IF(Inventory!A49="","",Inventory!A49)</f>
        <v/>
      </c>
      <c r="B49" s="18">
        <f>IF(Inventory!B49="","",Inventory!B49)</f>
        <v/>
      </c>
      <c r="C49" s="18">
        <f>IF(Inventory!D49="","",Inventory!D49)</f>
        <v/>
      </c>
      <c r="D49" s="16" t="n"/>
      <c r="E49" s="16" t="n"/>
      <c r="F49" s="16" t="n"/>
      <c r="G49" s="16" t="n"/>
      <c r="H49" s="16" t="n"/>
      <c r="I49" s="16" t="n"/>
      <c r="J49" s="16" t="n"/>
    </row>
    <row r="50">
      <c r="A50" s="18">
        <f>IF(Inventory!A50="","",Inventory!A50)</f>
        <v/>
      </c>
      <c r="B50" s="18">
        <f>IF(Inventory!B50="","",Inventory!B50)</f>
        <v/>
      </c>
      <c r="C50" s="18">
        <f>IF(Inventory!D50="","",Inventory!D50)</f>
        <v/>
      </c>
      <c r="D50" s="16" t="n"/>
      <c r="E50" s="16" t="n"/>
      <c r="F50" s="16" t="n"/>
      <c r="G50" s="16" t="n"/>
      <c r="H50" s="16" t="n"/>
      <c r="I50" s="16" t="n"/>
      <c r="J50" s="16" t="n"/>
    </row>
    <row r="51">
      <c r="A51" s="18">
        <f>IF(Inventory!A51="","",Inventory!A51)</f>
        <v/>
      </c>
      <c r="B51" s="18">
        <f>IF(Inventory!B51="","",Inventory!B51)</f>
        <v/>
      </c>
      <c r="C51" s="18">
        <f>IF(Inventory!D51="","",Inventory!D51)</f>
        <v/>
      </c>
      <c r="D51" s="16" t="n"/>
      <c r="E51" s="16" t="n"/>
      <c r="F51" s="16" t="n"/>
      <c r="G51" s="16" t="n"/>
      <c r="H51" s="16" t="n"/>
      <c r="I51" s="16" t="n"/>
      <c r="J51" s="16" t="n"/>
    </row>
    <row r="52">
      <c r="A52" s="18">
        <f>IF(Inventory!A52="","",Inventory!A52)</f>
        <v/>
      </c>
      <c r="B52" s="18">
        <f>IF(Inventory!B52="","",Inventory!B52)</f>
        <v/>
      </c>
      <c r="C52" s="18">
        <f>IF(Inventory!D52="","",Inventory!D52)</f>
        <v/>
      </c>
      <c r="D52" s="16" t="n"/>
      <c r="E52" s="16" t="n"/>
      <c r="F52" s="16" t="n"/>
      <c r="G52" s="16" t="n"/>
      <c r="H52" s="16" t="n"/>
      <c r="I52" s="16" t="n"/>
      <c r="J52" s="16" t="n"/>
    </row>
    <row r="53">
      <c r="A53" s="18">
        <f>IF(Inventory!A53="","",Inventory!A53)</f>
        <v/>
      </c>
      <c r="B53" s="18">
        <f>IF(Inventory!B53="","",Inventory!B53)</f>
        <v/>
      </c>
      <c r="C53" s="18">
        <f>IF(Inventory!D53="","",Inventory!D53)</f>
        <v/>
      </c>
      <c r="D53" s="16" t="n"/>
      <c r="E53" s="16" t="n"/>
      <c r="F53" s="16" t="n"/>
      <c r="G53" s="16" t="n"/>
      <c r="H53" s="16" t="n"/>
      <c r="I53" s="16" t="n"/>
      <c r="J53" s="16" t="n"/>
    </row>
    <row r="54">
      <c r="A54" s="18">
        <f>IF(Inventory!A54="","",Inventory!A54)</f>
        <v/>
      </c>
      <c r="B54" s="18">
        <f>IF(Inventory!B54="","",Inventory!B54)</f>
        <v/>
      </c>
      <c r="C54" s="18">
        <f>IF(Inventory!D54="","",Inventory!D54)</f>
        <v/>
      </c>
      <c r="D54" s="16" t="n"/>
      <c r="E54" s="16" t="n"/>
      <c r="F54" s="16" t="n"/>
      <c r="G54" s="16" t="n"/>
      <c r="H54" s="16" t="n"/>
      <c r="I54" s="16" t="n"/>
      <c r="J54" s="16" t="n"/>
    </row>
    <row r="55">
      <c r="A55" s="18">
        <f>IF(Inventory!A55="","",Inventory!A55)</f>
        <v/>
      </c>
      <c r="B55" s="18">
        <f>IF(Inventory!B55="","",Inventory!B55)</f>
        <v/>
      </c>
      <c r="C55" s="18">
        <f>IF(Inventory!D55="","",Inventory!D55)</f>
        <v/>
      </c>
      <c r="D55" s="16" t="n"/>
      <c r="E55" s="16" t="n"/>
      <c r="F55" s="16" t="n"/>
      <c r="G55" s="16" t="n"/>
      <c r="H55" s="16" t="n"/>
      <c r="I55" s="16" t="n"/>
      <c r="J55" s="16" t="n"/>
    </row>
    <row r="58">
      <c r="A58" s="12" t="inlineStr">
        <is>
          <t>[CHART] ENCRYPTION COVERAGE SUMMARY</t>
        </is>
      </c>
    </row>
    <row r="59">
      <c r="A59" s="17" t="inlineStr">
        <is>
          <t>✅ Encrypted Groups:</t>
        </is>
      </c>
      <c r="B59">
        <f>COUNTIF(E6:E55,"✅ Encrypted")</f>
        <v/>
      </c>
    </row>
    <row r="60">
      <c r="A60" s="17" t="inlineStr">
        <is>
          <t>❌ Not Encrypted:</t>
        </is>
      </c>
      <c r="B60">
        <f>COUNTIF(E6:E55,"❌ Not Encrypted")</f>
        <v/>
      </c>
    </row>
    <row r="61">
      <c r="A61" s="17" t="inlineStr">
        <is>
          <t>Encryption Coverage Rate:</t>
        </is>
      </c>
      <c r="B61">
        <f>IF((COUNTIF(E6:E55,"✅ Encrypted")+COUNTIF(E6:E55,"⚠ Partial")+COUNTIF(E6:E55,"❌ Not Encrypted"))=0,0,COUNTIF(E6:E55,"✅ Encrypted")/(COUNTIF(E6:E55,"✅ Encrypted")+COUNTIF(E6:E55,"⚠ Partial")+COUNTIF(E6:E55,"❌ Not Encrypted")))&amp;"%"</f>
        <v/>
      </c>
    </row>
    <row r="63">
      <c r="A63" t="inlineStr">
        <is>
          <t>BitLocker (Windows):</t>
        </is>
      </c>
      <c r="B63">
        <f>COUNTIF(D6:D55,"BitLocker")</f>
        <v/>
      </c>
    </row>
    <row r="64">
      <c r="A64" t="inlineStr">
        <is>
          <t>FileVault (macOS):</t>
        </is>
      </c>
      <c r="B64">
        <f>COUNTIF(D6:D55,"FileVault")</f>
        <v/>
      </c>
    </row>
    <row r="65">
      <c r="A65" t="inlineStr">
        <is>
          <t>Built-in (iOS/Android):</t>
        </is>
      </c>
      <c r="B65">
        <f>COUNTIF(D6:D55,"Built-in (iOS/Android)")</f>
        <v/>
      </c>
    </row>
    <row r="66">
      <c r="A66" t="inlineStr">
        <is>
          <t>LUKS (Linux):</t>
        </is>
      </c>
      <c r="B66">
        <f>COUNTIF(D6:D55,"LUKS")</f>
        <v/>
      </c>
    </row>
  </sheetData>
  <mergeCells count="3">
    <mergeCell ref="A1:J1"/>
    <mergeCell ref="A58:D58"/>
    <mergeCell ref="A2:J2"/>
  </mergeCells>
  <dataValidations count="4">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"BitLocker,FileVault,LUKS,Built-in (iOS/Android),Third-Party,None,Unknown"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Encrypted,⚠ Partial,❌ Not Encrypted,Unknown"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"Yes,No,Partial,N/A"</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"Microsoft Intune,Azure AD,On-premise AD,HashiCorp Vault,Manual,None"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35" customHeight="1">
      <c r="A1" s="11" t="inlineStr">
        <is>
          <t>ENDPOINT MANAGEMENT ENROLLMENT</t>
        </is>
      </c>
    </row>
    <row r="2">
      <c r="A2" s="12" t="inlineStr">
        <is>
          <t>MDM platform enrollment status, capabilities, and management coverage</t>
        </is>
      </c>
    </row>
    <row r="4">
      <c r="A4" s="14" t="inlineStr">
        <is>
          <t>Group ID</t>
        </is>
      </c>
      <c r="B4" s="14" t="inlineStr">
        <is>
          <t>Device Group Name</t>
        </is>
      </c>
      <c r="C4" s="14" t="inlineStr">
        <is>
          <t>Device Type</t>
        </is>
      </c>
      <c r="D4" s="14" t="inlineStr">
        <is>
          <t>MDM Platform</t>
        </is>
      </c>
      <c r="E4" s="14" t="inlineStr">
        <is>
          <t>Enrollment Status</t>
        </is>
      </c>
      <c r="F4" s="14" t="inlineStr">
        <is>
          <t>Remote Wipe Capable</t>
        </is>
      </c>
      <c r="G4" s="14" t="inlineStr">
        <is>
          <t>Policy Enforcement</t>
        </is>
      </c>
      <c r="H4" s="14" t="inlineStr">
        <is>
          <t>Compliance Policy Applied</t>
        </is>
      </c>
      <c r="I4" s="14" t="inlineStr">
        <is>
          <t>Last Check-In</t>
        </is>
      </c>
      <c r="J4" s="14" t="inlineStr">
        <is>
          <t>MDM Compliance Status</t>
        </is>
      </c>
      <c r="K4" s="14" t="inlineStr">
        <is>
          <t>Notes</t>
        </is>
      </c>
    </row>
    <row r="5">
      <c r="A5" s="15" t="inlineStr">
        <is>
          <t>GRP-001</t>
        </is>
      </c>
      <c r="B5" s="15" t="inlineStr">
        <is>
          <t>SG-Windows-Endpoints</t>
        </is>
      </c>
      <c r="C5" s="15" t="inlineStr">
        <is>
          <t>Workstations</t>
        </is>
      </c>
      <c r="D5" s="15" t="inlineStr">
        <is>
          <t>Microsoft Intune</t>
        </is>
      </c>
      <c r="E5" s="15" t="inlineStr">
        <is>
          <t>✅ Enrolled</t>
        </is>
      </c>
      <c r="F5" s="15" t="inlineStr">
        <is>
          <t>Yes</t>
        </is>
      </c>
      <c r="G5" s="15" t="inlineStr">
        <is>
          <t>Yes</t>
        </is>
      </c>
      <c r="H5" s="15" t="inlineStr">
        <is>
          <t>Windows Compliance Policy v3</t>
        </is>
      </c>
      <c r="I5" s="15" t="inlineStr">
        <is>
          <t>20.02.2026</t>
        </is>
      </c>
      <c r="J5" s="15" t="inlineStr">
        <is>
          <t>✅ Compliant</t>
        </is>
      </c>
      <c r="K5" s="15" t="inlineStr">
        <is>
          <t>All enrolled via Autopilot — see evidence ER-003.</t>
        </is>
      </c>
    </row>
    <row r="6">
      <c r="A6" s="18">
        <f>IF(Inventory!A6="","",Inventory!A6)</f>
        <v/>
      </c>
      <c r="B6" s="18">
        <f>IF(Inventory!B6="","",Inventory!B6)</f>
        <v/>
      </c>
      <c r="C6" s="18">
        <f>IF(Inventory!D6="","",Inventory!D6)</f>
        <v/>
      </c>
      <c r="D6" s="16" t="n"/>
      <c r="E6" s="16" t="n"/>
      <c r="F6" s="16" t="n"/>
      <c r="G6" s="16" t="n"/>
      <c r="H6" s="16" t="n"/>
      <c r="I6" s="16" t="n"/>
      <c r="J6" s="16" t="n"/>
      <c r="K6" s="16" t="n"/>
    </row>
    <row r="7">
      <c r="A7" s="18">
        <f>IF(Inventory!A7="","",Inventory!A7)</f>
        <v/>
      </c>
      <c r="B7" s="18">
        <f>IF(Inventory!B7="","",Inventory!B7)</f>
        <v/>
      </c>
      <c r="C7" s="18">
        <f>IF(Inventory!D7="","",Inventory!D7)</f>
        <v/>
      </c>
      <c r="D7" s="16" t="n"/>
      <c r="E7" s="16" t="n"/>
      <c r="F7" s="16" t="n"/>
      <c r="G7" s="16" t="n"/>
      <c r="H7" s="16" t="n"/>
      <c r="I7" s="16" t="n"/>
      <c r="J7" s="16" t="n"/>
      <c r="K7" s="16" t="n"/>
    </row>
    <row r="8">
      <c r="A8" s="18">
        <f>IF(Inventory!A8="","",Inventory!A8)</f>
        <v/>
      </c>
      <c r="B8" s="18">
        <f>IF(Inventory!B8="","",Inventory!B8)</f>
        <v/>
      </c>
      <c r="C8" s="18">
        <f>IF(Inventory!D8="","",Inventory!D8)</f>
        <v/>
      </c>
      <c r="D8" s="16" t="n"/>
      <c r="E8" s="16" t="n"/>
      <c r="F8" s="16" t="n"/>
      <c r="G8" s="16" t="n"/>
      <c r="H8" s="16" t="n"/>
      <c r="I8" s="16" t="n"/>
      <c r="J8" s="16" t="n"/>
      <c r="K8" s="16" t="n"/>
    </row>
    <row r="9">
      <c r="A9" s="18">
        <f>IF(Inventory!A9="","",Inventory!A9)</f>
        <v/>
      </c>
      <c r="B9" s="18">
        <f>IF(Inventory!B9="","",Inventory!B9)</f>
        <v/>
      </c>
      <c r="C9" s="18">
        <f>IF(Inventory!D9="","",Inventory!D9)</f>
        <v/>
      </c>
      <c r="D9" s="16" t="n"/>
      <c r="E9" s="16" t="n"/>
      <c r="F9" s="16" t="n"/>
      <c r="G9" s="16" t="n"/>
      <c r="H9" s="16" t="n"/>
      <c r="I9" s="16" t="n"/>
      <c r="J9" s="16" t="n"/>
      <c r="K9" s="16" t="n"/>
    </row>
    <row r="10">
      <c r="A10" s="18">
        <f>IF(Inventory!A10="","",Inventory!A10)</f>
        <v/>
      </c>
      <c r="B10" s="18">
        <f>IF(Inventory!B10="","",Inventory!B10)</f>
        <v/>
      </c>
      <c r="C10" s="18">
        <f>IF(Inventory!D10="","",Inventory!D10)</f>
        <v/>
      </c>
      <c r="D10" s="16" t="n"/>
      <c r="E10" s="16" t="n"/>
      <c r="F10" s="16" t="n"/>
      <c r="G10" s="16" t="n"/>
      <c r="H10" s="16" t="n"/>
      <c r="I10" s="16" t="n"/>
      <c r="J10" s="16" t="n"/>
      <c r="K10" s="16" t="n"/>
    </row>
    <row r="11">
      <c r="A11" s="18">
        <f>IF(Inventory!A11="","",Inventory!A11)</f>
        <v/>
      </c>
      <c r="B11" s="18">
        <f>IF(Inventory!B11="","",Inventory!B11)</f>
        <v/>
      </c>
      <c r="C11" s="18">
        <f>IF(Inventory!D11="","",Inventory!D11)</f>
        <v/>
      </c>
      <c r="D11" s="16" t="n"/>
      <c r="E11" s="16" t="n"/>
      <c r="F11" s="16" t="n"/>
      <c r="G11" s="16" t="n"/>
      <c r="H11" s="16" t="n"/>
      <c r="I11" s="16" t="n"/>
      <c r="J11" s="16" t="n"/>
      <c r="K11" s="16" t="n"/>
    </row>
    <row r="12">
      <c r="A12" s="18">
        <f>IF(Inventory!A12="","",Inventory!A12)</f>
        <v/>
      </c>
      <c r="B12" s="18">
        <f>IF(Inventory!B12="","",Inventory!B12)</f>
        <v/>
      </c>
      <c r="C12" s="18">
        <f>IF(Inventory!D12="","",Inventory!D12)</f>
        <v/>
      </c>
      <c r="D12" s="16" t="n"/>
      <c r="E12" s="16" t="n"/>
      <c r="F12" s="16" t="n"/>
      <c r="G12" s="16" t="n"/>
      <c r="H12" s="16" t="n"/>
      <c r="I12" s="16" t="n"/>
      <c r="J12" s="16" t="n"/>
      <c r="K12" s="16" t="n"/>
    </row>
    <row r="13">
      <c r="A13" s="18">
        <f>IF(Inventory!A13="","",Inventory!A13)</f>
        <v/>
      </c>
      <c r="B13" s="18">
        <f>IF(Inventory!B13="","",Inventory!B13)</f>
        <v/>
      </c>
      <c r="C13" s="18">
        <f>IF(Inventory!D13="","",Inventory!D13)</f>
        <v/>
      </c>
      <c r="D13" s="16" t="n"/>
      <c r="E13" s="16" t="n"/>
      <c r="F13" s="16" t="n"/>
      <c r="G13" s="16" t="n"/>
      <c r="H13" s="16" t="n"/>
      <c r="I13" s="16" t="n"/>
      <c r="J13" s="16" t="n"/>
      <c r="K13" s="16" t="n"/>
    </row>
    <row r="14">
      <c r="A14" s="18">
        <f>IF(Inventory!A14="","",Inventory!A14)</f>
        <v/>
      </c>
      <c r="B14" s="18">
        <f>IF(Inventory!B14="","",Inventory!B14)</f>
        <v/>
      </c>
      <c r="C14" s="18">
        <f>IF(Inventory!D14="","",Inventory!D14)</f>
        <v/>
      </c>
      <c r="D14" s="16" t="n"/>
      <c r="E14" s="16" t="n"/>
      <c r="F14" s="16" t="n"/>
      <c r="G14" s="16" t="n"/>
      <c r="H14" s="16" t="n"/>
      <c r="I14" s="16" t="n"/>
      <c r="J14" s="16" t="n"/>
      <c r="K14" s="16" t="n"/>
    </row>
    <row r="15">
      <c r="A15" s="18">
        <f>IF(Inventory!A15="","",Inventory!A15)</f>
        <v/>
      </c>
      <c r="B15" s="18">
        <f>IF(Inventory!B15="","",Inventory!B15)</f>
        <v/>
      </c>
      <c r="C15" s="18">
        <f>IF(Inventory!D15="","",Inventory!D15)</f>
        <v/>
      </c>
      <c r="D15" s="16" t="n"/>
      <c r="E15" s="16" t="n"/>
      <c r="F15" s="16" t="n"/>
      <c r="G15" s="16" t="n"/>
      <c r="H15" s="16" t="n"/>
      <c r="I15" s="16" t="n"/>
      <c r="J15" s="16" t="n"/>
      <c r="K15" s="16" t="n"/>
    </row>
    <row r="16">
      <c r="A16" s="18">
        <f>IF(Inventory!A16="","",Inventory!A16)</f>
        <v/>
      </c>
      <c r="B16" s="18">
        <f>IF(Inventory!B16="","",Inventory!B16)</f>
        <v/>
      </c>
      <c r="C16" s="18">
        <f>IF(Inventory!D16="","",Inventory!D16)</f>
        <v/>
      </c>
      <c r="D16" s="16" t="n"/>
      <c r="E16" s="16" t="n"/>
      <c r="F16" s="16" t="n"/>
      <c r="G16" s="16" t="n"/>
      <c r="H16" s="16" t="n"/>
      <c r="I16" s="16" t="n"/>
      <c r="J16" s="16" t="n"/>
      <c r="K16" s="16" t="n"/>
    </row>
    <row r="17">
      <c r="A17" s="18">
        <f>IF(Inventory!A17="","",Inventory!A17)</f>
        <v/>
      </c>
      <c r="B17" s="18">
        <f>IF(Inventory!B17="","",Inventory!B17)</f>
        <v/>
      </c>
      <c r="C17" s="18">
        <f>IF(Inventory!D17="","",Inventory!D17)</f>
        <v/>
      </c>
      <c r="D17" s="16" t="n"/>
      <c r="E17" s="16" t="n"/>
      <c r="F17" s="16" t="n"/>
      <c r="G17" s="16" t="n"/>
      <c r="H17" s="16" t="n"/>
      <c r="I17" s="16" t="n"/>
      <c r="J17" s="16" t="n"/>
      <c r="K17" s="16" t="n"/>
    </row>
    <row r="18">
      <c r="A18" s="18">
        <f>IF(Inventory!A18="","",Inventory!A18)</f>
        <v/>
      </c>
      <c r="B18" s="18">
        <f>IF(Inventory!B18="","",Inventory!B18)</f>
        <v/>
      </c>
      <c r="C18" s="18">
        <f>IF(Inventory!D18="","",Inventory!D18)</f>
        <v/>
      </c>
      <c r="D18" s="16" t="n"/>
      <c r="E18" s="16" t="n"/>
      <c r="F18" s="16" t="n"/>
      <c r="G18" s="16" t="n"/>
      <c r="H18" s="16" t="n"/>
      <c r="I18" s="16" t="n"/>
      <c r="J18" s="16" t="n"/>
      <c r="K18" s="16" t="n"/>
    </row>
    <row r="19">
      <c r="A19" s="18">
        <f>IF(Inventory!A19="","",Inventory!A19)</f>
        <v/>
      </c>
      <c r="B19" s="18">
        <f>IF(Inventory!B19="","",Inventory!B19)</f>
        <v/>
      </c>
      <c r="C19" s="18">
        <f>IF(Inventory!D19="","",Inventory!D19)</f>
        <v/>
      </c>
      <c r="D19" s="16" t="n"/>
      <c r="E19" s="16" t="n"/>
      <c r="F19" s="16" t="n"/>
      <c r="G19" s="16" t="n"/>
      <c r="H19" s="16" t="n"/>
      <c r="I19" s="16" t="n"/>
      <c r="J19" s="16" t="n"/>
      <c r="K19" s="16" t="n"/>
    </row>
    <row r="20">
      <c r="A20" s="18">
        <f>IF(Inventory!A20="","",Inventory!A20)</f>
        <v/>
      </c>
      <c r="B20" s="18">
        <f>IF(Inventory!B20="","",Inventory!B20)</f>
        <v/>
      </c>
      <c r="C20" s="18">
        <f>IF(Inventory!D20="","",Inventory!D20)</f>
        <v/>
      </c>
      <c r="D20" s="16" t="n"/>
      <c r="E20" s="16" t="n"/>
      <c r="F20" s="16" t="n"/>
      <c r="G20" s="16" t="n"/>
      <c r="H20" s="16" t="n"/>
      <c r="I20" s="16" t="n"/>
      <c r="J20" s="16" t="n"/>
      <c r="K20" s="16" t="n"/>
    </row>
    <row r="21">
      <c r="A21" s="18">
        <f>IF(Inventory!A21="","",Inventory!A21)</f>
        <v/>
      </c>
      <c r="B21" s="18">
        <f>IF(Inventory!B21="","",Inventory!B21)</f>
        <v/>
      </c>
      <c r="C21" s="18">
        <f>IF(Inventory!D21="","",Inventory!D21)</f>
        <v/>
      </c>
      <c r="D21" s="16" t="n"/>
      <c r="E21" s="16" t="n"/>
      <c r="F21" s="16" t="n"/>
      <c r="G21" s="16" t="n"/>
      <c r="H21" s="16" t="n"/>
      <c r="I21" s="16" t="n"/>
      <c r="J21" s="16" t="n"/>
      <c r="K21" s="16" t="n"/>
    </row>
    <row r="22">
      <c r="A22" s="18">
        <f>IF(Inventory!A22="","",Inventory!A22)</f>
        <v/>
      </c>
      <c r="B22" s="18">
        <f>IF(Inventory!B22="","",Inventory!B22)</f>
        <v/>
      </c>
      <c r="C22" s="18">
        <f>IF(Inventory!D22="","",Inventory!D22)</f>
        <v/>
      </c>
      <c r="D22" s="16" t="n"/>
      <c r="E22" s="16" t="n"/>
      <c r="F22" s="16" t="n"/>
      <c r="G22" s="16" t="n"/>
      <c r="H22" s="16" t="n"/>
      <c r="I22" s="16" t="n"/>
      <c r="J22" s="16" t="n"/>
      <c r="K22" s="16" t="n"/>
    </row>
    <row r="23">
      <c r="A23" s="18">
        <f>IF(Inventory!A23="","",Inventory!A23)</f>
        <v/>
      </c>
      <c r="B23" s="18">
        <f>IF(Inventory!B23="","",Inventory!B23)</f>
        <v/>
      </c>
      <c r="C23" s="18">
        <f>IF(Inventory!D23="","",Inventory!D23)</f>
        <v/>
      </c>
      <c r="D23" s="16" t="n"/>
      <c r="E23" s="16" t="n"/>
      <c r="F23" s="16" t="n"/>
      <c r="G23" s="16" t="n"/>
      <c r="H23" s="16" t="n"/>
      <c r="I23" s="16" t="n"/>
      <c r="J23" s="16" t="n"/>
      <c r="K23" s="16" t="n"/>
    </row>
    <row r="24">
      <c r="A24" s="18">
        <f>IF(Inventory!A24="","",Inventory!A24)</f>
        <v/>
      </c>
      <c r="B24" s="18">
        <f>IF(Inventory!B24="","",Inventory!B24)</f>
        <v/>
      </c>
      <c r="C24" s="18">
        <f>IF(Inventory!D24="","",Inventory!D24)</f>
        <v/>
      </c>
      <c r="D24" s="16" t="n"/>
      <c r="E24" s="16" t="n"/>
      <c r="F24" s="16" t="n"/>
      <c r="G24" s="16" t="n"/>
      <c r="H24" s="16" t="n"/>
      <c r="I24" s="16" t="n"/>
      <c r="J24" s="16" t="n"/>
      <c r="K24" s="16" t="n"/>
    </row>
    <row r="25">
      <c r="A25" s="18">
        <f>IF(Inventory!A25="","",Inventory!A25)</f>
        <v/>
      </c>
      <c r="B25" s="18">
        <f>IF(Inventory!B25="","",Inventory!B25)</f>
        <v/>
      </c>
      <c r="C25" s="18">
        <f>IF(Inventory!D25="","",Inventory!D25)</f>
        <v/>
      </c>
      <c r="D25" s="16" t="n"/>
      <c r="E25" s="16" t="n"/>
      <c r="F25" s="16" t="n"/>
      <c r="G25" s="16" t="n"/>
      <c r="H25" s="16" t="n"/>
      <c r="I25" s="16" t="n"/>
      <c r="J25" s="16" t="n"/>
      <c r="K25" s="16" t="n"/>
    </row>
    <row r="26">
      <c r="A26" s="18">
        <f>IF(Inventory!A26="","",Inventory!A26)</f>
        <v/>
      </c>
      <c r="B26" s="18">
        <f>IF(Inventory!B26="","",Inventory!B26)</f>
        <v/>
      </c>
      <c r="C26" s="18">
        <f>IF(Inventory!D26="","",Inventory!D26)</f>
        <v/>
      </c>
      <c r="D26" s="16" t="n"/>
      <c r="E26" s="16" t="n"/>
      <c r="F26" s="16" t="n"/>
      <c r="G26" s="16" t="n"/>
      <c r="H26" s="16" t="n"/>
      <c r="I26" s="16" t="n"/>
      <c r="J26" s="16" t="n"/>
      <c r="K26" s="16" t="n"/>
    </row>
    <row r="27">
      <c r="A27" s="18">
        <f>IF(Inventory!A27="","",Inventory!A27)</f>
        <v/>
      </c>
      <c r="B27" s="18">
        <f>IF(Inventory!B27="","",Inventory!B27)</f>
        <v/>
      </c>
      <c r="C27" s="18">
        <f>IF(Inventory!D27="","",Inventory!D27)</f>
        <v/>
      </c>
      <c r="D27" s="16" t="n"/>
      <c r="E27" s="16" t="n"/>
      <c r="F27" s="16" t="n"/>
      <c r="G27" s="16" t="n"/>
      <c r="H27" s="16" t="n"/>
      <c r="I27" s="16" t="n"/>
      <c r="J27" s="16" t="n"/>
      <c r="K27" s="16" t="n"/>
    </row>
    <row r="28">
      <c r="A28" s="18">
        <f>IF(Inventory!A28="","",Inventory!A28)</f>
        <v/>
      </c>
      <c r="B28" s="18">
        <f>IF(Inventory!B28="","",Inventory!B28)</f>
        <v/>
      </c>
      <c r="C28" s="18">
        <f>IF(Inventory!D28="","",Inventory!D28)</f>
        <v/>
      </c>
      <c r="D28" s="16" t="n"/>
      <c r="E28" s="16" t="n"/>
      <c r="F28" s="16" t="n"/>
      <c r="G28" s="16" t="n"/>
      <c r="H28" s="16" t="n"/>
      <c r="I28" s="16" t="n"/>
      <c r="J28" s="16" t="n"/>
      <c r="K28" s="16" t="n"/>
    </row>
    <row r="29">
      <c r="A29" s="18">
        <f>IF(Inventory!A29="","",Inventory!A29)</f>
        <v/>
      </c>
      <c r="B29" s="18">
        <f>IF(Inventory!B29="","",Inventory!B29)</f>
        <v/>
      </c>
      <c r="C29" s="18">
        <f>IF(Inventory!D29="","",Inventory!D29)</f>
        <v/>
      </c>
      <c r="D29" s="16" t="n"/>
      <c r="E29" s="16" t="n"/>
      <c r="F29" s="16" t="n"/>
      <c r="G29" s="16" t="n"/>
      <c r="H29" s="16" t="n"/>
      <c r="I29" s="16" t="n"/>
      <c r="J29" s="16" t="n"/>
      <c r="K29" s="16" t="n"/>
    </row>
    <row r="30">
      <c r="A30" s="18">
        <f>IF(Inventory!A30="","",Inventory!A30)</f>
        <v/>
      </c>
      <c r="B30" s="18">
        <f>IF(Inventory!B30="","",Inventory!B30)</f>
        <v/>
      </c>
      <c r="C30" s="18">
        <f>IF(Inventory!D30="","",Inventory!D30)</f>
        <v/>
      </c>
      <c r="D30" s="16" t="n"/>
      <c r="E30" s="16" t="n"/>
      <c r="F30" s="16" t="n"/>
      <c r="G30" s="16" t="n"/>
      <c r="H30" s="16" t="n"/>
      <c r="I30" s="16" t="n"/>
      <c r="J30" s="16" t="n"/>
      <c r="K30" s="16" t="n"/>
    </row>
    <row r="31">
      <c r="A31" s="18">
        <f>IF(Inventory!A31="","",Inventory!A31)</f>
        <v/>
      </c>
      <c r="B31" s="18">
        <f>IF(Inventory!B31="","",Inventory!B31)</f>
        <v/>
      </c>
      <c r="C31" s="18">
        <f>IF(Inventory!D31="","",Inventory!D31)</f>
        <v/>
      </c>
      <c r="D31" s="16" t="n"/>
      <c r="E31" s="16" t="n"/>
      <c r="F31" s="16" t="n"/>
      <c r="G31" s="16" t="n"/>
      <c r="H31" s="16" t="n"/>
      <c r="I31" s="16" t="n"/>
      <c r="J31" s="16" t="n"/>
      <c r="K31" s="16" t="n"/>
    </row>
    <row r="32">
      <c r="A32" s="18">
        <f>IF(Inventory!A32="","",Inventory!A32)</f>
        <v/>
      </c>
      <c r="B32" s="18">
        <f>IF(Inventory!B32="","",Inventory!B32)</f>
        <v/>
      </c>
      <c r="C32" s="18">
        <f>IF(Inventory!D32="","",Inventory!D32)</f>
        <v/>
      </c>
      <c r="D32" s="16" t="n"/>
      <c r="E32" s="16" t="n"/>
      <c r="F32" s="16" t="n"/>
      <c r="G32" s="16" t="n"/>
      <c r="H32" s="16" t="n"/>
      <c r="I32" s="16" t="n"/>
      <c r="J32" s="16" t="n"/>
      <c r="K32" s="16" t="n"/>
    </row>
    <row r="33">
      <c r="A33" s="18">
        <f>IF(Inventory!A33="","",Inventory!A33)</f>
        <v/>
      </c>
      <c r="B33" s="18">
        <f>IF(Inventory!B33="","",Inventory!B33)</f>
        <v/>
      </c>
      <c r="C33" s="18">
        <f>IF(Inventory!D33="","",Inventory!D33)</f>
        <v/>
      </c>
      <c r="D33" s="16" t="n"/>
      <c r="E33" s="16" t="n"/>
      <c r="F33" s="16" t="n"/>
      <c r="G33" s="16" t="n"/>
      <c r="H33" s="16" t="n"/>
      <c r="I33" s="16" t="n"/>
      <c r="J33" s="16" t="n"/>
      <c r="K33" s="16" t="n"/>
    </row>
    <row r="34">
      <c r="A34" s="18">
        <f>IF(Inventory!A34="","",Inventory!A34)</f>
        <v/>
      </c>
      <c r="B34" s="18">
        <f>IF(Inventory!B34="","",Inventory!B34)</f>
        <v/>
      </c>
      <c r="C34" s="18">
        <f>IF(Inventory!D34="","",Inventory!D34)</f>
        <v/>
      </c>
      <c r="D34" s="16" t="n"/>
      <c r="E34" s="16" t="n"/>
      <c r="F34" s="16" t="n"/>
      <c r="G34" s="16" t="n"/>
      <c r="H34" s="16" t="n"/>
      <c r="I34" s="16" t="n"/>
      <c r="J34" s="16" t="n"/>
      <c r="K34" s="16" t="n"/>
    </row>
    <row r="35">
      <c r="A35" s="18">
        <f>IF(Inventory!A35="","",Inventory!A35)</f>
        <v/>
      </c>
      <c r="B35" s="18">
        <f>IF(Inventory!B35="","",Inventory!B35)</f>
        <v/>
      </c>
      <c r="C35" s="18">
        <f>IF(Inventory!D35="","",Inventory!D35)</f>
        <v/>
      </c>
      <c r="D35" s="16" t="n"/>
      <c r="E35" s="16" t="n"/>
      <c r="F35" s="16" t="n"/>
      <c r="G35" s="16" t="n"/>
      <c r="H35" s="16" t="n"/>
      <c r="I35" s="16" t="n"/>
      <c r="J35" s="16" t="n"/>
      <c r="K35" s="16" t="n"/>
    </row>
    <row r="36">
      <c r="A36" s="18">
        <f>IF(Inventory!A36="","",Inventory!A36)</f>
        <v/>
      </c>
      <c r="B36" s="18">
        <f>IF(Inventory!B36="","",Inventory!B36)</f>
        <v/>
      </c>
      <c r="C36" s="18">
        <f>IF(Inventory!D36="","",Inventory!D36)</f>
        <v/>
      </c>
      <c r="D36" s="16" t="n"/>
      <c r="E36" s="16" t="n"/>
      <c r="F36" s="16" t="n"/>
      <c r="G36" s="16" t="n"/>
      <c r="H36" s="16" t="n"/>
      <c r="I36" s="16" t="n"/>
      <c r="J36" s="16" t="n"/>
      <c r="K36" s="16" t="n"/>
    </row>
    <row r="37">
      <c r="A37" s="18">
        <f>IF(Inventory!A37="","",Inventory!A37)</f>
        <v/>
      </c>
      <c r="B37" s="18">
        <f>IF(Inventory!B37="","",Inventory!B37)</f>
        <v/>
      </c>
      <c r="C37" s="18">
        <f>IF(Inventory!D37="","",Inventory!D37)</f>
        <v/>
      </c>
      <c r="D37" s="16" t="n"/>
      <c r="E37" s="16" t="n"/>
      <c r="F37" s="16" t="n"/>
      <c r="G37" s="16" t="n"/>
      <c r="H37" s="16" t="n"/>
      <c r="I37" s="16" t="n"/>
      <c r="J37" s="16" t="n"/>
      <c r="K37" s="16" t="n"/>
    </row>
    <row r="38">
      <c r="A38" s="18">
        <f>IF(Inventory!A38="","",Inventory!A38)</f>
        <v/>
      </c>
      <c r="B38" s="18">
        <f>IF(Inventory!B38="","",Inventory!B38)</f>
        <v/>
      </c>
      <c r="C38" s="18">
        <f>IF(Inventory!D38="","",Inventory!D38)</f>
        <v/>
      </c>
      <c r="D38" s="16" t="n"/>
      <c r="E38" s="16" t="n"/>
      <c r="F38" s="16" t="n"/>
      <c r="G38" s="16" t="n"/>
      <c r="H38" s="16" t="n"/>
      <c r="I38" s="16" t="n"/>
      <c r="J38" s="16" t="n"/>
      <c r="K38" s="16" t="n"/>
    </row>
    <row r="39">
      <c r="A39" s="18">
        <f>IF(Inventory!A39="","",Inventory!A39)</f>
        <v/>
      </c>
      <c r="B39" s="18">
        <f>IF(Inventory!B39="","",Inventory!B39)</f>
        <v/>
      </c>
      <c r="C39" s="18">
        <f>IF(Inventory!D39="","",Inventory!D39)</f>
        <v/>
      </c>
      <c r="D39" s="16" t="n"/>
      <c r="E39" s="16" t="n"/>
      <c r="F39" s="16" t="n"/>
      <c r="G39" s="16" t="n"/>
      <c r="H39" s="16" t="n"/>
      <c r="I39" s="16" t="n"/>
      <c r="J39" s="16" t="n"/>
      <c r="K39" s="16" t="n"/>
    </row>
    <row r="40">
      <c r="A40" s="18">
        <f>IF(Inventory!A40="","",Inventory!A40)</f>
        <v/>
      </c>
      <c r="B40" s="18">
        <f>IF(Inventory!B40="","",Inventory!B40)</f>
        <v/>
      </c>
      <c r="C40" s="18">
        <f>IF(Inventory!D40="","",Inventory!D40)</f>
        <v/>
      </c>
      <c r="D40" s="16" t="n"/>
      <c r="E40" s="16" t="n"/>
      <c r="F40" s="16" t="n"/>
      <c r="G40" s="16" t="n"/>
      <c r="H40" s="16" t="n"/>
      <c r="I40" s="16" t="n"/>
      <c r="J40" s="16" t="n"/>
      <c r="K40" s="16" t="n"/>
    </row>
    <row r="41">
      <c r="A41" s="18">
        <f>IF(Inventory!A41="","",Inventory!A41)</f>
        <v/>
      </c>
      <c r="B41" s="18">
        <f>IF(Inventory!B41="","",Inventory!B41)</f>
        <v/>
      </c>
      <c r="C41" s="18">
        <f>IF(Inventory!D41="","",Inventory!D41)</f>
        <v/>
      </c>
      <c r="D41" s="16" t="n"/>
      <c r="E41" s="16" t="n"/>
      <c r="F41" s="16" t="n"/>
      <c r="G41" s="16" t="n"/>
      <c r="H41" s="16" t="n"/>
      <c r="I41" s="16" t="n"/>
      <c r="J41" s="16" t="n"/>
      <c r="K41" s="16" t="n"/>
    </row>
    <row r="42">
      <c r="A42" s="18">
        <f>IF(Inventory!A42="","",Inventory!A42)</f>
        <v/>
      </c>
      <c r="B42" s="18">
        <f>IF(Inventory!B42="","",Inventory!B42)</f>
        <v/>
      </c>
      <c r="C42" s="18">
        <f>IF(Inventory!D42="","",Inventory!D42)</f>
        <v/>
      </c>
      <c r="D42" s="16" t="n"/>
      <c r="E42" s="16" t="n"/>
      <c r="F42" s="16" t="n"/>
      <c r="G42" s="16" t="n"/>
      <c r="H42" s="16" t="n"/>
      <c r="I42" s="16" t="n"/>
      <c r="J42" s="16" t="n"/>
      <c r="K42" s="16" t="n"/>
    </row>
    <row r="43">
      <c r="A43" s="18">
        <f>IF(Inventory!A43="","",Inventory!A43)</f>
        <v/>
      </c>
      <c r="B43" s="18">
        <f>IF(Inventory!B43="","",Inventory!B43)</f>
        <v/>
      </c>
      <c r="C43" s="18">
        <f>IF(Inventory!D43="","",Inventory!D43)</f>
        <v/>
      </c>
      <c r="D43" s="16" t="n"/>
      <c r="E43" s="16" t="n"/>
      <c r="F43" s="16" t="n"/>
      <c r="G43" s="16" t="n"/>
      <c r="H43" s="16" t="n"/>
      <c r="I43" s="16" t="n"/>
      <c r="J43" s="16" t="n"/>
      <c r="K43" s="16" t="n"/>
    </row>
    <row r="44">
      <c r="A44" s="18">
        <f>IF(Inventory!A44="","",Inventory!A44)</f>
        <v/>
      </c>
      <c r="B44" s="18">
        <f>IF(Inventory!B44="","",Inventory!B44)</f>
        <v/>
      </c>
      <c r="C44" s="18">
        <f>IF(Inventory!D44="","",Inventory!D44)</f>
        <v/>
      </c>
      <c r="D44" s="16" t="n"/>
      <c r="E44" s="16" t="n"/>
      <c r="F44" s="16" t="n"/>
      <c r="G44" s="16" t="n"/>
      <c r="H44" s="16" t="n"/>
      <c r="I44" s="16" t="n"/>
      <c r="J44" s="16" t="n"/>
      <c r="K44" s="16" t="n"/>
    </row>
    <row r="45">
      <c r="A45" s="18">
        <f>IF(Inventory!A45="","",Inventory!A45)</f>
        <v/>
      </c>
      <c r="B45" s="18">
        <f>IF(Inventory!B45="","",Inventory!B45)</f>
        <v/>
      </c>
      <c r="C45" s="18">
        <f>IF(Inventory!D45="","",Inventory!D45)</f>
        <v/>
      </c>
      <c r="D45" s="16" t="n"/>
      <c r="E45" s="16" t="n"/>
      <c r="F45" s="16" t="n"/>
      <c r="G45" s="16" t="n"/>
      <c r="H45" s="16" t="n"/>
      <c r="I45" s="16" t="n"/>
      <c r="J45" s="16" t="n"/>
      <c r="K45" s="16" t="n"/>
    </row>
    <row r="46">
      <c r="A46" s="18">
        <f>IF(Inventory!A46="","",Inventory!A46)</f>
        <v/>
      </c>
      <c r="B46" s="18">
        <f>IF(Inventory!B46="","",Inventory!B46)</f>
        <v/>
      </c>
      <c r="C46" s="18">
        <f>IF(Inventory!D46="","",Inventory!D46)</f>
        <v/>
      </c>
      <c r="D46" s="16" t="n"/>
      <c r="E46" s="16" t="n"/>
      <c r="F46" s="16" t="n"/>
      <c r="G46" s="16" t="n"/>
      <c r="H46" s="16" t="n"/>
      <c r="I46" s="16" t="n"/>
      <c r="J46" s="16" t="n"/>
      <c r="K46" s="16" t="n"/>
    </row>
    <row r="47">
      <c r="A47" s="18">
        <f>IF(Inventory!A47="","",Inventory!A47)</f>
        <v/>
      </c>
      <c r="B47" s="18">
        <f>IF(Inventory!B47="","",Inventory!B47)</f>
        <v/>
      </c>
      <c r="C47" s="18">
        <f>IF(Inventory!D47="","",Inventory!D47)</f>
        <v/>
      </c>
      <c r="D47" s="16" t="n"/>
      <c r="E47" s="16" t="n"/>
      <c r="F47" s="16" t="n"/>
      <c r="G47" s="16" t="n"/>
      <c r="H47" s="16" t="n"/>
      <c r="I47" s="16" t="n"/>
      <c r="J47" s="16" t="n"/>
      <c r="K47" s="16" t="n"/>
    </row>
    <row r="48">
      <c r="A48" s="18">
        <f>IF(Inventory!A48="","",Inventory!A48)</f>
        <v/>
      </c>
      <c r="B48" s="18">
        <f>IF(Inventory!B48="","",Inventory!B48)</f>
        <v/>
      </c>
      <c r="C48" s="18">
        <f>IF(Inventory!D48="","",Inventory!D48)</f>
        <v/>
      </c>
      <c r="D48" s="16" t="n"/>
      <c r="E48" s="16" t="n"/>
      <c r="F48" s="16" t="n"/>
      <c r="G48" s="16" t="n"/>
      <c r="H48" s="16" t="n"/>
      <c r="I48" s="16" t="n"/>
      <c r="J48" s="16" t="n"/>
      <c r="K48" s="16" t="n"/>
    </row>
    <row r="49">
      <c r="A49" s="18">
        <f>IF(Inventory!A49="","",Inventory!A49)</f>
        <v/>
      </c>
      <c r="B49" s="18">
        <f>IF(Inventory!B49="","",Inventory!B49)</f>
        <v/>
      </c>
      <c r="C49" s="18">
        <f>IF(Inventory!D49="","",Inventory!D49)</f>
        <v/>
      </c>
      <c r="D49" s="16" t="n"/>
      <c r="E49" s="16" t="n"/>
      <c r="F49" s="16" t="n"/>
      <c r="G49" s="16" t="n"/>
      <c r="H49" s="16" t="n"/>
      <c r="I49" s="16" t="n"/>
      <c r="J49" s="16" t="n"/>
      <c r="K49" s="16" t="n"/>
    </row>
    <row r="50">
      <c r="A50" s="18">
        <f>IF(Inventory!A50="","",Inventory!A50)</f>
        <v/>
      </c>
      <c r="B50" s="18">
        <f>IF(Inventory!B50="","",Inventory!B50)</f>
        <v/>
      </c>
      <c r="C50" s="18">
        <f>IF(Inventory!D50="","",Inventory!D50)</f>
        <v/>
      </c>
      <c r="D50" s="16" t="n"/>
      <c r="E50" s="16" t="n"/>
      <c r="F50" s="16" t="n"/>
      <c r="G50" s="16" t="n"/>
      <c r="H50" s="16" t="n"/>
      <c r="I50" s="16" t="n"/>
      <c r="J50" s="16" t="n"/>
      <c r="K50" s="16" t="n"/>
    </row>
    <row r="51">
      <c r="A51" s="18">
        <f>IF(Inventory!A51="","",Inventory!A51)</f>
        <v/>
      </c>
      <c r="B51" s="18">
        <f>IF(Inventory!B51="","",Inventory!B51)</f>
        <v/>
      </c>
      <c r="C51" s="18">
        <f>IF(Inventory!D51="","",Inventory!D51)</f>
        <v/>
      </c>
      <c r="D51" s="16" t="n"/>
      <c r="E51" s="16" t="n"/>
      <c r="F51" s="16" t="n"/>
      <c r="G51" s="16" t="n"/>
      <c r="H51" s="16" t="n"/>
      <c r="I51" s="16" t="n"/>
      <c r="J51" s="16" t="n"/>
      <c r="K51" s="16" t="n"/>
    </row>
    <row r="52">
      <c r="A52" s="18">
        <f>IF(Inventory!A52="","",Inventory!A52)</f>
        <v/>
      </c>
      <c r="B52" s="18">
        <f>IF(Inventory!B52="","",Inventory!B52)</f>
        <v/>
      </c>
      <c r="C52" s="18">
        <f>IF(Inventory!D52="","",Inventory!D52)</f>
        <v/>
      </c>
      <c r="D52" s="16" t="n"/>
      <c r="E52" s="16" t="n"/>
      <c r="F52" s="16" t="n"/>
      <c r="G52" s="16" t="n"/>
      <c r="H52" s="16" t="n"/>
      <c r="I52" s="16" t="n"/>
      <c r="J52" s="16" t="n"/>
      <c r="K52" s="16" t="n"/>
    </row>
    <row r="53">
      <c r="A53" s="18">
        <f>IF(Inventory!A53="","",Inventory!A53)</f>
        <v/>
      </c>
      <c r="B53" s="18">
        <f>IF(Inventory!B53="","",Inventory!B53)</f>
        <v/>
      </c>
      <c r="C53" s="18">
        <f>IF(Inventory!D53="","",Inventory!D53)</f>
        <v/>
      </c>
      <c r="D53" s="16" t="n"/>
      <c r="E53" s="16" t="n"/>
      <c r="F53" s="16" t="n"/>
      <c r="G53" s="16" t="n"/>
      <c r="H53" s="16" t="n"/>
      <c r="I53" s="16" t="n"/>
      <c r="J53" s="16" t="n"/>
      <c r="K53" s="16" t="n"/>
    </row>
    <row r="54">
      <c r="A54" s="18">
        <f>IF(Inventory!A54="","",Inventory!A54)</f>
        <v/>
      </c>
      <c r="B54" s="18">
        <f>IF(Inventory!B54="","",Inventory!B54)</f>
        <v/>
      </c>
      <c r="C54" s="18">
        <f>IF(Inventory!D54="","",Inventory!D54)</f>
        <v/>
      </c>
      <c r="D54" s="16" t="n"/>
      <c r="E54" s="16" t="n"/>
      <c r="F54" s="16" t="n"/>
      <c r="G54" s="16" t="n"/>
      <c r="H54" s="16" t="n"/>
      <c r="I54" s="16" t="n"/>
      <c r="J54" s="16" t="n"/>
      <c r="K54" s="16" t="n"/>
    </row>
    <row r="55">
      <c r="A55" s="18">
        <f>IF(Inventory!A55="","",Inventory!A55)</f>
        <v/>
      </c>
      <c r="B55" s="18">
        <f>IF(Inventory!B55="","",Inventory!B55)</f>
        <v/>
      </c>
      <c r="C55" s="18">
        <f>IF(Inventory!D55="","",Inventory!D55)</f>
        <v/>
      </c>
      <c r="D55" s="16" t="n"/>
      <c r="E55" s="16" t="n"/>
      <c r="F55" s="16" t="n"/>
      <c r="G55" s="16" t="n"/>
      <c r="H55" s="16" t="n"/>
      <c r="I55" s="16" t="n"/>
      <c r="J55" s="16" t="n"/>
      <c r="K55" s="16" t="n"/>
    </row>
    <row r="58">
      <c r="A58" s="12" t="inlineStr">
        <is>
          <t>[CHART] MANAGEMENT ENROLLMENT SUMMARY</t>
        </is>
      </c>
    </row>
    <row r="59">
      <c r="A59" s="17" t="inlineStr">
        <is>
          <t>✅ Enrolled Groups:</t>
        </is>
      </c>
      <c r="B59">
        <f>COUNTIF(E6:E55,"✅ Enrolled")</f>
        <v/>
      </c>
    </row>
    <row r="60">
      <c r="A60" s="17" t="inlineStr">
        <is>
          <t>❌ Not Enrolled:</t>
        </is>
      </c>
      <c r="B60">
        <f>COUNTIF(E6:E55,"❌ Not Enrolled")</f>
        <v/>
      </c>
    </row>
    <row r="61">
      <c r="A61" s="17" t="inlineStr">
        <is>
          <t>Enrollment Rate:</t>
        </is>
      </c>
      <c r="B61">
        <f>IF((COUNTIF(E6:E55,"✅ Enrolled")+COUNTIF(E6:E55,"⚠ Partial")+COUNTIF(E6:E55,"❌ Not Enrolled"))=0,0,COUNTIF(E6:E55,"✅ Enrolled")/(COUNTIF(E6:E55,"✅ Enrolled")+COUNTIF(E6:E55,"⚠ Partial")+COUNTIF(E6:E55,"❌ Not Enrolled")))&amp;"%"</f>
        <v/>
      </c>
    </row>
    <row r="63">
      <c r="A63" s="17" t="inlineStr">
        <is>
          <t>By MDM Platform:</t>
        </is>
      </c>
    </row>
    <row r="64">
      <c r="A64" t="inlineStr">
        <is>
          <t>Microsoft Intune:</t>
        </is>
      </c>
      <c r="B64">
        <f>COUNTIF(D6:D55,"Microsoft Intune")</f>
        <v/>
      </c>
    </row>
    <row r="65">
      <c r="A65" t="inlineStr">
        <is>
          <t>Jamf Pro:</t>
        </is>
      </c>
      <c r="B65">
        <f>COUNTIF(D6:D55,"Jamf Pro")</f>
        <v/>
      </c>
    </row>
    <row r="66">
      <c r="A66" t="inlineStr">
        <is>
          <t>SCCM:</t>
        </is>
      </c>
      <c r="B66">
        <f>COUNTIF(D6:D55,"SCCM")</f>
        <v/>
      </c>
    </row>
    <row r="67">
      <c r="A67" t="inlineStr">
        <is>
          <t>None:</t>
        </is>
      </c>
      <c r="B67">
        <f>COUNTIF(D6:D55,"None")</f>
        <v/>
      </c>
    </row>
  </sheetData>
  <mergeCells count="3">
    <mergeCell ref="A2:K2"/>
    <mergeCell ref="A1:K1"/>
    <mergeCell ref="A58:D58"/>
  </mergeCells>
  <dataValidations count="5">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"Yes,No,N/A"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"Microsoft Intune,Jamf Pro,SCCM,VMware Workspace ONE,MobileIron,Citrix Endpoint Management,Kandji,Google Workspace,None,Other"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Enrolled,⚠ Partial,❌ Not Enrolled,Pending,Unknown"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"Yes,No,Partial"</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 Compliant,❌ Non-Compliant,Unknown"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 Policy Requirements → Implementation Verification (30 requirements)</t>
        </is>
      </c>
    </row>
    <row r="4">
      <c r="A4" s="14" t="inlineStr">
        <is>
          <t>Req ID</t>
        </is>
      </c>
      <c r="B4" s="14" t="inlineStr">
        <is>
          <t>Policy Requirement</t>
        </is>
      </c>
      <c r="C4" s="14" t="inlineStr">
        <is>
          <t>Implemented</t>
        </is>
      </c>
      <c r="D4" s="14" t="inlineStr">
        <is>
          <t>Evidence Reference</t>
        </is>
      </c>
      <c r="E4" s="14" t="inlineStr">
        <is>
          <t>Notes</t>
        </is>
      </c>
      <c r="F4" s="14" t="inlineStr">
        <is>
          <t>Status</t>
        </is>
      </c>
    </row>
    <row r="5">
      <c r="A5" s="19" t="inlineStr">
        <is>
          <t>REQ-A81-000</t>
        </is>
      </c>
      <c r="B5" s="19" t="inlineStr">
        <is>
          <t>Complete endpoint inventory maintained (example sample row)</t>
        </is>
      </c>
      <c r="C5" s="19" t="inlineStr">
        <is>
          <t>Yes</t>
        </is>
      </c>
      <c r="D5" s="19" t="inlineStr">
        <is>
          <t>/evidence/A.8.1/example.png</t>
        </is>
      </c>
      <c r="E5" s="19" t="inlineStr">
        <is>
          <t>Sample row — do not edit</t>
        </is>
      </c>
      <c r="F5" s="19">
        <f>IF(C5="Yes","✅ Compliant",IF(C5="N/A","N/A","❌ Gap"))</f>
        <v/>
      </c>
    </row>
    <row r="6">
      <c r="A6" s="6" t="inlineStr">
        <is>
          <t>REQ-A81-001</t>
        </is>
      </c>
      <c r="B6" s="20" t="inlineStr">
        <is>
          <t>Complete endpoint inventory maintained</t>
        </is>
      </c>
      <c r="C6" s="16" t="n"/>
      <c r="D6" s="16" t="n"/>
      <c r="E6" s="16" t="n"/>
      <c r="F6" s="6">
        <f>IF(C6="Yes","✅ Compliant",IF(C6="N/A","N/A","❌ Gap"))</f>
        <v/>
      </c>
    </row>
    <row r="7">
      <c r="A7" s="6" t="inlineStr">
        <is>
          <t>REQ-A81-002</t>
        </is>
      </c>
      <c r="B7" s="20" t="inlineStr">
        <is>
          <t>Endpoints classified by type, ownership, criticality</t>
        </is>
      </c>
      <c r="C7" s="16" t="n"/>
      <c r="D7" s="16" t="n"/>
      <c r="E7" s="16" t="n"/>
      <c r="F7" s="6">
        <f>IF(C7="Yes","✅ Compliant",IF(C7="N/A","N/A","❌ Gap"))</f>
        <v/>
      </c>
    </row>
    <row r="8">
      <c r="A8" s="6" t="inlineStr">
        <is>
          <t>REQ-A81-003</t>
        </is>
      </c>
      <c r="B8" s="20" t="inlineStr">
        <is>
          <t>Security baselines defined per endpoint type</t>
        </is>
      </c>
      <c r="C8" s="16" t="n"/>
      <c r="D8" s="16" t="n"/>
      <c r="E8" s="16" t="n"/>
      <c r="F8" s="6">
        <f>IF(C8="Yes","✅ Compliant",IF(C8="N/A","N/A","❌ Gap"))</f>
        <v/>
      </c>
    </row>
    <row r="9">
      <c r="A9" s="6" t="inlineStr">
        <is>
          <t>REQ-A81-004</t>
        </is>
      </c>
      <c r="B9" s="20" t="inlineStr">
        <is>
          <t>Baseline compliance ≥95% for corporate endpoints</t>
        </is>
      </c>
      <c r="C9" s="16" t="n"/>
      <c r="D9" s="16" t="n"/>
      <c r="E9" s="16" t="n"/>
      <c r="F9" s="6">
        <f>IF(C9="Yes","✅ Compliant",IF(C9="N/A","N/A","❌ Gap"))</f>
        <v/>
      </c>
    </row>
    <row r="10">
      <c r="A10" s="6" t="inlineStr">
        <is>
          <t>REQ-A81-005</t>
        </is>
      </c>
      <c r="B10" s="20" t="inlineStr">
        <is>
          <t>Full disk encryption for laptops (≥95%)</t>
        </is>
      </c>
      <c r="C10" s="16" t="n"/>
      <c r="D10" s="16" t="n"/>
      <c r="E10" s="16" t="n"/>
      <c r="F10" s="6">
        <f>IF(C10="Yes","✅ Compliant",IF(C10="N/A","N/A","❌ Gap"))</f>
        <v/>
      </c>
    </row>
    <row r="11">
      <c r="A11" s="6" t="inlineStr">
        <is>
          <t>REQ-A81-006</t>
        </is>
      </c>
      <c r="B11" s="20" t="inlineStr">
        <is>
          <t>Full disk encryption for desktops (≥90%)</t>
        </is>
      </c>
      <c r="C11" s="16" t="n"/>
      <c r="D11" s="16" t="n"/>
      <c r="E11" s="16" t="n"/>
      <c r="F11" s="6">
        <f>IF(C11="Yes","✅ Compliant",IF(C11="N/A","N/A","❌ Gap"))</f>
        <v/>
      </c>
    </row>
    <row r="12">
      <c r="A12" s="6" t="inlineStr">
        <is>
          <t>REQ-A81-007</t>
        </is>
      </c>
      <c r="B12" s="20" t="inlineStr">
        <is>
          <t>Mobile devices encrypted (≥95%)</t>
        </is>
      </c>
      <c r="C12" s="16" t="n"/>
      <c r="D12" s="16" t="n"/>
      <c r="E12" s="16" t="n"/>
      <c r="F12" s="6">
        <f>IF(C12="Yes","✅ Compliant",IF(C12="N/A","N/A","❌ Gap"))</f>
        <v/>
      </c>
    </row>
    <row r="13">
      <c r="A13" s="6" t="inlineStr">
        <is>
          <t>REQ-A81-008</t>
        </is>
      </c>
      <c r="B13" s="20" t="inlineStr">
        <is>
          <t>Encryption key escrow/recovery implemented</t>
        </is>
      </c>
      <c r="C13" s="16" t="n"/>
      <c r="D13" s="16" t="n"/>
      <c r="E13" s="16" t="n"/>
      <c r="F13" s="6">
        <f>IF(C13="Yes","✅ Compliant",IF(C13="N/A","N/A","❌ Gap"))</f>
        <v/>
      </c>
    </row>
    <row r="14">
      <c r="A14" s="6" t="inlineStr">
        <is>
          <t>REQ-A81-009</t>
        </is>
      </c>
      <c r="B14" s="20" t="inlineStr">
        <is>
          <t>MDM enrollment ≥95% corporate endpoints</t>
        </is>
      </c>
      <c r="C14" s="16" t="n"/>
      <c r="D14" s="16" t="n"/>
      <c r="E14" s="16" t="n"/>
      <c r="F14" s="6">
        <f>IF(C14="Yes","✅ Compliant",IF(C14="N/A","N/A","❌ Gap"))</f>
        <v/>
      </c>
    </row>
    <row r="15">
      <c r="A15" s="6" t="inlineStr">
        <is>
          <t>REQ-A81-010</t>
        </is>
      </c>
      <c r="B15" s="20" t="inlineStr">
        <is>
          <t>MDM enrollment ≥80% BYOD (if BYOD allowed)</t>
        </is>
      </c>
      <c r="C15" s="16" t="n"/>
      <c r="D15" s="16" t="n"/>
      <c r="E15" s="16" t="n"/>
      <c r="F15" s="6">
        <f>IF(C15="Yes","✅ Compliant",IF(C15="N/A","N/A","❌ Gap"))</f>
        <v/>
      </c>
    </row>
    <row r="16">
      <c r="A16" s="6" t="inlineStr">
        <is>
          <t>REQ-A81-011</t>
        </is>
      </c>
      <c r="B16" s="20" t="inlineStr">
        <is>
          <t>Remote wipe capability for all corporate mobile devices</t>
        </is>
      </c>
      <c r="C16" s="16" t="n"/>
      <c r="D16" s="16" t="n"/>
      <c r="E16" s="16" t="n"/>
      <c r="F16" s="6">
        <f>IF(C16="Yes","✅ Compliant",IF(C16="N/A","N/A","❌ Gap"))</f>
        <v/>
      </c>
    </row>
    <row r="17">
      <c r="A17" s="6" t="inlineStr">
        <is>
          <t>REQ-A81-012</t>
        </is>
      </c>
      <c r="B17" s="20" t="inlineStr">
        <is>
          <t>Screen lock enforced (max 15 minutes)</t>
        </is>
      </c>
      <c r="C17" s="16" t="n"/>
      <c r="D17" s="16" t="n"/>
      <c r="E17" s="16" t="n"/>
      <c r="F17" s="6">
        <f>IF(C17="Yes","✅ Compliant",IF(C17="N/A","N/A","❌ Gap"))</f>
        <v/>
      </c>
    </row>
    <row r="18">
      <c r="A18" s="6" t="inlineStr">
        <is>
          <t>REQ-A81-013</t>
        </is>
      </c>
      <c r="B18" s="20" t="inlineStr">
        <is>
          <t>Strong password policy enforced</t>
        </is>
      </c>
      <c r="C18" s="16" t="n"/>
      <c r="D18" s="16" t="n"/>
      <c r="E18" s="16" t="n"/>
      <c r="F18" s="6">
        <f>IF(C18="Yes","✅ Compliant",IF(C18="N/A","N/A","❌ Gap"))</f>
        <v/>
      </c>
    </row>
    <row r="19">
      <c r="A19" s="6" t="inlineStr">
        <is>
          <t>REQ-A81-014</t>
        </is>
      </c>
      <c r="B19" s="20" t="inlineStr">
        <is>
          <t>Firewall enabled on all endpoints</t>
        </is>
      </c>
      <c r="C19" s="16" t="n"/>
      <c r="D19" s="16" t="n"/>
      <c r="E19" s="16" t="n"/>
      <c r="F19" s="6">
        <f>IF(C19="Yes","✅ Compliant",IF(C19="N/A","N/A","❌ Gap"))</f>
        <v/>
      </c>
    </row>
    <row r="20">
      <c r="A20" s="6" t="inlineStr">
        <is>
          <t>REQ-A81-015</t>
        </is>
      </c>
      <c r="B20" s="20" t="inlineStr">
        <is>
          <t>Anti-malware deployed (see A.8.7)</t>
        </is>
      </c>
      <c r="C20" s="16" t="n"/>
      <c r="D20" s="16" t="n"/>
      <c r="E20" s="16" t="n"/>
      <c r="F20" s="6">
        <f>IF(C20="Yes","✅ Compliant",IF(C20="N/A","N/A","❌ Gap"))</f>
        <v/>
      </c>
    </row>
    <row r="21">
      <c r="A21" s="6" t="inlineStr">
        <is>
          <t>REQ-A81-016</t>
        </is>
      </c>
      <c r="B21" s="20" t="inlineStr">
        <is>
          <t>Automatic security updates enabled</t>
        </is>
      </c>
      <c r="C21" s="16" t="n"/>
      <c r="D21" s="16" t="n"/>
      <c r="E21" s="16" t="n"/>
      <c r="F21" s="6">
        <f>IF(C21="Yes","✅ Compliant",IF(C21="N/A","N/A","❌ Gap"))</f>
        <v/>
      </c>
    </row>
    <row r="22">
      <c r="A22" s="6" t="inlineStr">
        <is>
          <t>REQ-A81-017</t>
        </is>
      </c>
      <c r="B22" s="20" t="inlineStr">
        <is>
          <t>Quarterly endpoint inventory reconciliation</t>
        </is>
      </c>
      <c r="C22" s="16" t="n"/>
      <c r="D22" s="16" t="n"/>
      <c r="E22" s="16" t="n"/>
      <c r="F22" s="6">
        <f>IF(C22="Yes","✅ Compliant",IF(C22="N/A","N/A","❌ Gap"))</f>
        <v/>
      </c>
    </row>
    <row r="23">
      <c r="A23" s="6" t="inlineStr">
        <is>
          <t>REQ-A81-018</t>
        </is>
      </c>
      <c r="B23" s="20" t="inlineStr">
        <is>
          <t>Lost/stolen device procedure documented</t>
        </is>
      </c>
      <c r="C23" s="16" t="n"/>
      <c r="D23" s="16" t="n"/>
      <c r="E23" s="16" t="n"/>
      <c r="F23" s="6">
        <f>IF(C23="Yes","✅ Compliant",IF(C23="N/A","N/A","❌ Gap"))</f>
        <v/>
      </c>
    </row>
    <row r="24">
      <c r="A24" s="6" t="inlineStr">
        <is>
          <t>REQ-A81-019</t>
        </is>
      </c>
      <c r="B24" s="20" t="inlineStr">
        <is>
          <t>Lost/stolen incidents responded to within 24 hours</t>
        </is>
      </c>
      <c r="C24" s="16" t="n"/>
      <c r="D24" s="16" t="n"/>
      <c r="E24" s="16" t="n"/>
      <c r="F24" s="6">
        <f>IF(C24="Yes","✅ Compliant",IF(C24="N/A","N/A","❌ Gap"))</f>
        <v/>
      </c>
    </row>
    <row r="25">
      <c r="A25" s="6" t="inlineStr">
        <is>
          <t>REQ-A81-020</t>
        </is>
      </c>
      <c r="B25" s="20" t="inlineStr">
        <is>
          <t>Remote wipe initiated within 24 hours (if device not recovered)</t>
        </is>
      </c>
      <c r="C25" s="16" t="n"/>
      <c r="D25" s="16" t="n"/>
      <c r="E25" s="16" t="n"/>
      <c r="F25" s="6">
        <f>IF(C25="Yes","✅ Compliant",IF(C25="N/A","N/A","❌ Gap"))</f>
        <v/>
      </c>
    </row>
    <row r="26">
      <c r="A26" s="6" t="inlineStr">
        <is>
          <t>REQ-A81-021</t>
        </is>
      </c>
      <c r="B26" s="20" t="inlineStr">
        <is>
          <t>Secure disposal procedure for all endpoints</t>
        </is>
      </c>
      <c r="C26" s="16" t="n"/>
      <c r="D26" s="16" t="n"/>
      <c r="E26" s="16" t="n"/>
      <c r="F26" s="6">
        <f>IF(C26="Yes","✅ Compliant",IF(C26="N/A","N/A","❌ Gap"))</f>
        <v/>
      </c>
    </row>
    <row r="27">
      <c r="A27" s="6" t="inlineStr">
        <is>
          <t>REQ-A81-022</t>
        </is>
      </c>
      <c r="B27" s="20" t="inlineStr">
        <is>
          <t>Disposal certificates retained</t>
        </is>
      </c>
      <c r="C27" s="16" t="n"/>
      <c r="D27" s="16" t="n"/>
      <c r="E27" s="16" t="n"/>
      <c r="F27" s="6">
        <f>IF(C27="Yes","✅ Compliant",IF(C27="N/A","N/A","❌ Gap"))</f>
        <v/>
      </c>
    </row>
    <row r="28">
      <c r="A28" s="6" t="inlineStr">
        <is>
          <t>REQ-A81-023</t>
        </is>
      </c>
      <c r="B28" s="20" t="inlineStr">
        <is>
          <t>BYOD user agreements signed (if BYOD allowed)</t>
        </is>
      </c>
      <c r="C28" s="16" t="n"/>
      <c r="D28" s="16" t="n"/>
      <c r="E28" s="16" t="n"/>
      <c r="F28" s="6">
        <f>IF(C28="Yes","✅ Compliant",IF(C28="N/A","N/A","❌ Gap"))</f>
        <v/>
      </c>
    </row>
    <row r="29">
      <c r="A29" s="6" t="inlineStr">
        <is>
          <t>REQ-A81-024</t>
        </is>
      </c>
      <c r="B29" s="20" t="inlineStr">
        <is>
          <t>BYOD devices containerized (corporate data separated)</t>
        </is>
      </c>
      <c r="C29" s="16" t="n"/>
      <c r="D29" s="16" t="n"/>
      <c r="E29" s="16" t="n"/>
      <c r="F29" s="6">
        <f>IF(C29="Yes","✅ Compliant",IF(C29="N/A","N/A","❌ Gap"))</f>
        <v/>
      </c>
    </row>
    <row r="30">
      <c r="A30" s="6" t="inlineStr">
        <is>
          <t>REQ-A81-025</t>
        </is>
      </c>
      <c r="B30" s="20" t="inlineStr">
        <is>
          <t>Unmanaged endpoints identified quarterly</t>
        </is>
      </c>
      <c r="C30" s="16" t="n"/>
      <c r="D30" s="16" t="n"/>
      <c r="E30" s="16" t="n"/>
      <c r="F30" s="6">
        <f>IF(C30="Yes","✅ Compliant",IF(C30="N/A","N/A","❌ Gap"))</f>
        <v/>
      </c>
    </row>
    <row r="31">
      <c r="A31" s="6" t="inlineStr">
        <is>
          <t>REQ-A81-026</t>
        </is>
      </c>
      <c r="B31" s="20" t="inlineStr">
        <is>
          <t>Endpoint lifecycle management process</t>
        </is>
      </c>
      <c r="C31" s="16" t="n"/>
      <c r="D31" s="16" t="n"/>
      <c r="E31" s="16" t="n"/>
      <c r="F31" s="6">
        <f>IF(C31="Yes","✅ Compliant",IF(C31="N/A","N/A","❌ Gap"))</f>
        <v/>
      </c>
    </row>
    <row r="32">
      <c r="A32" s="6" t="inlineStr">
        <is>
          <t>REQ-A81-027</t>
        </is>
      </c>
      <c r="B32" s="20" t="inlineStr">
        <is>
          <t>Endpoint procurement includes security requirements</t>
        </is>
      </c>
      <c r="C32" s="16" t="n"/>
      <c r="D32" s="16" t="n"/>
      <c r="E32" s="16" t="n"/>
      <c r="F32" s="6">
        <f>IF(C32="Yes","✅ Compliant",IF(C32="N/A","N/A","❌ Gap"))</f>
        <v/>
      </c>
    </row>
    <row r="33">
      <c r="A33" s="6" t="inlineStr">
        <is>
          <t>REQ-A81-028</t>
        </is>
      </c>
      <c r="B33" s="20" t="inlineStr">
        <is>
          <t>Endpoints configured before user deployment</t>
        </is>
      </c>
      <c r="C33" s="16" t="n"/>
      <c r="D33" s="16" t="n"/>
      <c r="E33" s="16" t="n"/>
      <c r="F33" s="6">
        <f>IF(C33="Yes","✅ Compliant",IF(C33="N/A","N/A","❌ Gap"))</f>
        <v/>
      </c>
    </row>
    <row r="34">
      <c r="A34" s="6" t="inlineStr">
        <is>
          <t>REQ-A81-029</t>
        </is>
      </c>
      <c r="B34" s="20" t="inlineStr">
        <is>
          <t>Endpoint decommissioning includes data sanitization</t>
        </is>
      </c>
      <c r="C34" s="16" t="n"/>
      <c r="D34" s="16" t="n"/>
      <c r="E34" s="16" t="n"/>
      <c r="F34" s="6">
        <f>IF(C34="Yes","✅ Compliant",IF(C34="N/A","N/A","❌ Gap"))</f>
        <v/>
      </c>
    </row>
    <row r="35">
      <c r="A35" s="6" t="inlineStr">
        <is>
          <t>REQ-A81-030</t>
        </is>
      </c>
      <c r="B35" s="20" t="inlineStr">
        <is>
          <t>Annual endpoint security assessment</t>
        </is>
      </c>
      <c r="C35" s="16" t="n"/>
      <c r="D35" s="16" t="n"/>
      <c r="E35" s="16" t="n"/>
      <c r="F35" s="6">
        <f>IF(C35="Yes","✅ Compliant",IF(C35="N/A","N/A","❌ Gap"))</f>
        <v/>
      </c>
    </row>
    <row r="38">
      <c r="A38" s="12" t="inlineStr">
        <is>
          <t>[CHART] REQUIREMENTS COMPLIANCE SUMMARY</t>
        </is>
      </c>
    </row>
    <row r="39">
      <c r="A39" s="17" t="inlineStr">
        <is>
          <t>Total Requirements:</t>
        </is>
      </c>
      <c r="B39" t="n">
        <v>30</v>
      </c>
    </row>
    <row r="40">
      <c r="A40" s="17" t="inlineStr">
        <is>
          <t>Implemented:</t>
        </is>
      </c>
      <c r="B40">
        <f>COUNTIF(C6:C35,"Yes")</f>
        <v/>
      </c>
    </row>
    <row r="41">
      <c r="A41" s="17" t="inlineStr">
        <is>
          <t>Not Implemented:</t>
        </is>
      </c>
      <c r="B41">
        <f>COUNTIF(C6:C35,"No")</f>
        <v/>
      </c>
    </row>
    <row r="42">
      <c r="A42" s="17" t="inlineStr">
        <is>
          <t>Compliance Rate:</t>
        </is>
      </c>
      <c r="B42">
        <f>IF(COUNT(B40:B41)&gt;0,B40/B39*100,0)&amp;"%"</f>
        <v/>
      </c>
    </row>
  </sheetData>
  <mergeCells count="3">
    <mergeCell ref="A2:F2"/>
    <mergeCell ref="A38:C38"/>
    <mergeCell ref="A1:F1"/>
  </mergeCells>
  <dataValidations count="1">
    <dataValidation sqref="C6 C7 C8 C9 C10 C11 C12 C13 C14 C15 C16 C17 C18 C19 C20 C21 C22 C23 C24 C25 C26 C27 C28 C29 C30 C31 C32 C33 C34 C35"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4" t="inlineStr">
        <is>
          <t>Gap ID</t>
        </is>
      </c>
      <c r="B4" s="14" t="inlineStr">
        <is>
          <t>Gap Description</t>
        </is>
      </c>
      <c r="C4" s="14" t="inlineStr">
        <is>
          <t>Affected Devices/Count</t>
        </is>
      </c>
      <c r="D4" s="14" t="inlineStr">
        <is>
          <t>Related Requirement</t>
        </is>
      </c>
      <c r="E4" s="14" t="inlineStr">
        <is>
          <t>Severity</t>
        </is>
      </c>
      <c r="F4" s="14" t="inlineStr">
        <is>
          <t>Risk</t>
        </is>
      </c>
      <c r="G4" s="14" t="inlineStr">
        <is>
          <t>Root Cause</t>
        </is>
      </c>
      <c r="H4" s="14" t="inlineStr">
        <is>
          <t>Remediation Plan</t>
        </is>
      </c>
      <c r="I4" s="14" t="inlineStr">
        <is>
          <t>Owner</t>
        </is>
      </c>
      <c r="J4" s="14" t="inlineStr">
        <is>
          <t>Due Date</t>
        </is>
      </c>
      <c r="K4" s="14" t="inlineStr">
        <is>
          <t>Status</t>
        </is>
      </c>
      <c r="L4" s="14" t="inlineStr">
        <is>
          <t>Budget Required</t>
        </is>
      </c>
      <c r="M4" s="14" t="inlineStr">
        <is>
          <t>Notes</t>
        </is>
      </c>
    </row>
    <row r="5">
      <c r="A5" s="21" t="inlineStr">
        <is>
          <t>GAP-001</t>
        </is>
      </c>
      <c r="B5" s="22" t="inlineStr">
        <is>
          <t>Example: AV/EDR agent not installed on endpoint</t>
        </is>
      </c>
      <c r="C5" s="22" t="inlineStr">
        <is>
          <t>5 endpoints (IT Department)</t>
        </is>
      </c>
      <c r="D5" s="22" t="inlineStr">
        <is>
          <t>REQ-A81-001</t>
        </is>
      </c>
      <c r="E5" s="22" t="inlineStr">
        <is>
          <t>High</t>
        </is>
      </c>
      <c r="F5" s="22" t="inlineStr">
        <is>
          <t>High — unprotected endpoints exposed to malware</t>
        </is>
      </c>
      <c r="G5" s="22" t="inlineStr">
        <is>
          <t>Imaging process does not include AV agent</t>
        </is>
      </c>
      <c r="H5" s="22" t="inlineStr">
        <is>
          <t>Update imaging template to include AV agent pre-install</t>
        </is>
      </c>
      <c r="I5" s="22" t="inlineStr">
        <is>
          <t>IT Operations</t>
        </is>
      </c>
      <c r="J5" s="22" t="inlineStr">
        <is>
          <t>28.02.2026</t>
        </is>
      </c>
      <c r="K5" s="22" t="inlineStr">
        <is>
          <t>Open</t>
        </is>
      </c>
      <c r="L5" s="22" t="inlineStr">
        <is>
          <t>CHF 0</t>
        </is>
      </c>
      <c r="M5" s="22" t="inlineStr">
        <is>
          <t>Example row — do not use for compliance calculations</t>
        </is>
      </c>
    </row>
    <row r="6">
      <c r="A6" s="23" t="n"/>
      <c r="B6" s="16" t="n"/>
      <c r="C6" s="16" t="n"/>
      <c r="D6" s="16" t="n"/>
      <c r="E6" s="16" t="n"/>
      <c r="F6" s="16" t="n"/>
      <c r="G6" s="16" t="n"/>
      <c r="H6" s="16" t="n"/>
      <c r="I6" s="16" t="n"/>
      <c r="J6" s="16" t="n"/>
      <c r="K6" s="16" t="n"/>
      <c r="L6" s="16" t="n"/>
      <c r="M6" s="16"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7">
      <c r="A37" s="23" t="n"/>
      <c r="B37" s="16" t="n"/>
      <c r="C37" s="16" t="n"/>
      <c r="D37" s="16" t="n"/>
      <c r="E37" s="16" t="n"/>
      <c r="F37" s="16" t="n"/>
      <c r="G37" s="16" t="n"/>
      <c r="H37" s="16" t="n"/>
      <c r="I37" s="16" t="n"/>
      <c r="J37" s="16" t="n"/>
      <c r="K37" s="16" t="n"/>
      <c r="L37" s="16" t="n"/>
      <c r="M37" s="16" t="n"/>
    </row>
    <row r="38">
      <c r="A38" s="23" t="n"/>
      <c r="B38" s="16" t="n"/>
      <c r="C38" s="16" t="n"/>
      <c r="D38" s="16" t="n"/>
      <c r="E38" s="16" t="n"/>
      <c r="F38" s="16" t="n"/>
      <c r="G38" s="16" t="n"/>
      <c r="H38" s="16" t="n"/>
      <c r="I38" s="16" t="n"/>
      <c r="J38" s="16" t="n"/>
      <c r="K38" s="16" t="n"/>
      <c r="L38" s="16" t="n"/>
      <c r="M38" s="16" t="n"/>
    </row>
    <row r="39">
      <c r="A39" s="23" t="n"/>
      <c r="B39" s="16" t="n"/>
      <c r="C39" s="16" t="n"/>
      <c r="D39" s="16" t="n"/>
      <c r="E39" s="16" t="n"/>
      <c r="F39" s="16" t="n"/>
      <c r="G39" s="16" t="n"/>
      <c r="H39" s="16" t="n"/>
      <c r="I39" s="16" t="n"/>
      <c r="J39" s="16" t="n"/>
      <c r="K39" s="16" t="n"/>
      <c r="L39" s="16" t="n"/>
      <c r="M39" s="16" t="n"/>
    </row>
    <row r="40">
      <c r="A40" s="23" t="n"/>
      <c r="B40" s="16" t="n"/>
      <c r="C40" s="16" t="n"/>
      <c r="D40" s="16" t="n"/>
      <c r="E40" s="16" t="n"/>
      <c r="F40" s="16" t="n"/>
      <c r="G40" s="16" t="n"/>
      <c r="H40" s="16" t="n"/>
      <c r="I40" s="16" t="n"/>
      <c r="J40" s="16" t="n"/>
      <c r="K40" s="16" t="n"/>
      <c r="L40" s="16" t="n"/>
      <c r="M40" s="16" t="n"/>
    </row>
    <row r="41">
      <c r="A41" s="23" t="n"/>
      <c r="B41" s="16" t="n"/>
      <c r="C41" s="16" t="n"/>
      <c r="D41" s="16" t="n"/>
      <c r="E41" s="16" t="n"/>
      <c r="F41" s="16" t="n"/>
      <c r="G41" s="16" t="n"/>
      <c r="H41" s="16" t="n"/>
      <c r="I41" s="16" t="n"/>
      <c r="J41" s="16" t="n"/>
      <c r="K41" s="16" t="n"/>
      <c r="L41" s="16" t="n"/>
      <c r="M41" s="16" t="n"/>
    </row>
    <row r="42">
      <c r="A42" s="23" t="n"/>
      <c r="B42" s="16" t="n"/>
      <c r="C42" s="16" t="n"/>
      <c r="D42" s="16" t="n"/>
      <c r="E42" s="16" t="n"/>
      <c r="F42" s="16" t="n"/>
      <c r="G42" s="16" t="n"/>
      <c r="H42" s="16" t="n"/>
      <c r="I42" s="16" t="n"/>
      <c r="J42" s="16" t="n"/>
      <c r="K42" s="16" t="n"/>
      <c r="L42" s="16" t="n"/>
      <c r="M42" s="16" t="n"/>
    </row>
    <row r="43">
      <c r="A43" s="23" t="n"/>
      <c r="B43" s="16" t="n"/>
      <c r="C43" s="16" t="n"/>
      <c r="D43" s="16" t="n"/>
      <c r="E43" s="16" t="n"/>
      <c r="F43" s="16" t="n"/>
      <c r="G43" s="16" t="n"/>
      <c r="H43" s="16" t="n"/>
      <c r="I43" s="16" t="n"/>
      <c r="J43" s="16" t="n"/>
      <c r="K43" s="16" t="n"/>
      <c r="L43" s="16" t="n"/>
      <c r="M43" s="16" t="n"/>
    </row>
    <row r="44">
      <c r="A44" s="23" t="n"/>
      <c r="B44" s="16" t="n"/>
      <c r="C44" s="16" t="n"/>
      <c r="D44" s="16" t="n"/>
      <c r="E44" s="16" t="n"/>
      <c r="F44" s="16" t="n"/>
      <c r="G44" s="16" t="n"/>
      <c r="H44" s="16" t="n"/>
      <c r="I44" s="16" t="n"/>
      <c r="J44" s="16" t="n"/>
      <c r="K44" s="16" t="n"/>
      <c r="L44" s="16" t="n"/>
      <c r="M44" s="16" t="n"/>
    </row>
    <row r="45">
      <c r="A45" s="23" t="n"/>
      <c r="B45" s="16" t="n"/>
      <c r="C45" s="16" t="n"/>
      <c r="D45" s="16" t="n"/>
      <c r="E45" s="16" t="n"/>
      <c r="F45" s="16" t="n"/>
      <c r="G45" s="16" t="n"/>
      <c r="H45" s="16" t="n"/>
      <c r="I45" s="16" t="n"/>
      <c r="J45" s="16" t="n"/>
      <c r="K45" s="16" t="n"/>
      <c r="L45" s="16" t="n"/>
      <c r="M45" s="16" t="n"/>
    </row>
    <row r="46">
      <c r="A46" s="23" t="n"/>
      <c r="B46" s="16" t="n"/>
      <c r="C46" s="16" t="n"/>
      <c r="D46" s="16" t="n"/>
      <c r="E46" s="16" t="n"/>
      <c r="F46" s="16" t="n"/>
      <c r="G46" s="16" t="n"/>
      <c r="H46" s="16" t="n"/>
      <c r="I46" s="16" t="n"/>
      <c r="J46" s="16" t="n"/>
      <c r="K46" s="16" t="n"/>
      <c r="L46" s="16" t="n"/>
      <c r="M46" s="16" t="n"/>
    </row>
    <row r="47">
      <c r="A47" s="23" t="n"/>
      <c r="B47" s="16" t="n"/>
      <c r="C47" s="16" t="n"/>
      <c r="D47" s="16" t="n"/>
      <c r="E47" s="16" t="n"/>
      <c r="F47" s="16" t="n"/>
      <c r="G47" s="16" t="n"/>
      <c r="H47" s="16" t="n"/>
      <c r="I47" s="16" t="n"/>
      <c r="J47" s="16" t="n"/>
      <c r="K47" s="16" t="n"/>
      <c r="L47" s="16" t="n"/>
      <c r="M47" s="16" t="n"/>
    </row>
    <row r="48">
      <c r="A48" s="23" t="n"/>
      <c r="B48" s="16" t="n"/>
      <c r="C48" s="16" t="n"/>
      <c r="D48" s="16" t="n"/>
      <c r="E48" s="16" t="n"/>
      <c r="F48" s="16" t="n"/>
      <c r="G48" s="16" t="n"/>
      <c r="H48" s="16" t="n"/>
      <c r="I48" s="16" t="n"/>
      <c r="J48" s="16" t="n"/>
      <c r="K48" s="16" t="n"/>
      <c r="L48" s="16" t="n"/>
      <c r="M48" s="16" t="n"/>
    </row>
    <row r="49">
      <c r="A49" s="23" t="n"/>
      <c r="B49" s="16" t="n"/>
      <c r="C49" s="16" t="n"/>
      <c r="D49" s="16" t="n"/>
      <c r="E49" s="16" t="n"/>
      <c r="F49" s="16" t="n"/>
      <c r="G49" s="16" t="n"/>
      <c r="H49" s="16" t="n"/>
      <c r="I49" s="16" t="n"/>
      <c r="J49" s="16" t="n"/>
      <c r="K49" s="16" t="n"/>
      <c r="L49" s="16" t="n"/>
      <c r="M49" s="16" t="n"/>
    </row>
    <row r="50">
      <c r="A50" s="23" t="n"/>
      <c r="B50" s="16" t="n"/>
      <c r="C50" s="16" t="n"/>
      <c r="D50" s="16" t="n"/>
      <c r="E50" s="16" t="n"/>
      <c r="F50" s="16" t="n"/>
      <c r="G50" s="16" t="n"/>
      <c r="H50" s="16" t="n"/>
      <c r="I50" s="16" t="n"/>
      <c r="J50" s="16" t="n"/>
      <c r="K50" s="16" t="n"/>
      <c r="L50" s="16" t="n"/>
      <c r="M50" s="16" t="n"/>
    </row>
    <row r="51">
      <c r="A51" s="23" t="n"/>
      <c r="B51" s="16" t="n"/>
      <c r="C51" s="16" t="n"/>
      <c r="D51" s="16" t="n"/>
      <c r="E51" s="16" t="n"/>
      <c r="F51" s="16" t="n"/>
      <c r="G51" s="16" t="n"/>
      <c r="H51" s="16" t="n"/>
      <c r="I51" s="16" t="n"/>
      <c r="J51" s="16" t="n"/>
      <c r="K51" s="16" t="n"/>
      <c r="L51" s="16" t="n"/>
      <c r="M51" s="16" t="n"/>
    </row>
    <row r="52">
      <c r="A52" s="23" t="n"/>
      <c r="B52" s="16" t="n"/>
      <c r="C52" s="16" t="n"/>
      <c r="D52" s="16" t="n"/>
      <c r="E52" s="16" t="n"/>
      <c r="F52" s="16" t="n"/>
      <c r="G52" s="16" t="n"/>
      <c r="H52" s="16" t="n"/>
      <c r="I52" s="16" t="n"/>
      <c r="J52" s="16" t="n"/>
      <c r="K52" s="16" t="n"/>
      <c r="L52" s="16" t="n"/>
      <c r="M52" s="16" t="n"/>
    </row>
    <row r="53">
      <c r="A53" s="23" t="n"/>
      <c r="B53" s="16" t="n"/>
      <c r="C53" s="16" t="n"/>
      <c r="D53" s="16" t="n"/>
      <c r="E53" s="16" t="n"/>
      <c r="F53" s="16" t="n"/>
      <c r="G53" s="16" t="n"/>
      <c r="H53" s="16" t="n"/>
      <c r="I53" s="16" t="n"/>
      <c r="J53" s="16" t="n"/>
      <c r="K53" s="16" t="n"/>
      <c r="L53" s="16" t="n"/>
      <c r="M53" s="16" t="n"/>
    </row>
    <row r="54">
      <c r="A54" s="23" t="n"/>
      <c r="B54" s="16" t="n"/>
      <c r="C54" s="16" t="n"/>
      <c r="D54" s="16" t="n"/>
      <c r="E54" s="16" t="n"/>
      <c r="F54" s="16" t="n"/>
      <c r="G54" s="16" t="n"/>
      <c r="H54" s="16" t="n"/>
      <c r="I54" s="16" t="n"/>
      <c r="J54" s="16" t="n"/>
      <c r="K54" s="16" t="n"/>
      <c r="L54" s="16" t="n"/>
      <c r="M54" s="16" t="n"/>
    </row>
    <row r="55">
      <c r="A55" s="23" t="n"/>
      <c r="B55" s="16" t="n"/>
      <c r="C55" s="16" t="n"/>
      <c r="D55" s="16" t="n"/>
      <c r="E55" s="16" t="n"/>
      <c r="F55" s="16" t="n"/>
      <c r="G55" s="16" t="n"/>
      <c r="H55" s="16" t="n"/>
      <c r="I55" s="16" t="n"/>
      <c r="J55" s="16" t="n"/>
      <c r="K55" s="16" t="n"/>
      <c r="L55" s="16" t="n"/>
      <c r="M55" s="16" t="n"/>
    </row>
    <row r="58">
      <c r="A58" s="12" t="inlineStr">
        <is>
          <t>[CHART] GAP SUMMARY BY SEVERITY</t>
        </is>
      </c>
    </row>
    <row r="59">
      <c r="A59" s="24" t="inlineStr">
        <is>
          <t>Critical:</t>
        </is>
      </c>
      <c r="B59">
        <f>COUNTIF(E6:E55,"Critical")</f>
        <v/>
      </c>
    </row>
    <row r="60">
      <c r="A60" s="25" t="inlineStr">
        <is>
          <t>High:</t>
        </is>
      </c>
      <c r="B60">
        <f>COUNTIF(E6:E55,"High")</f>
        <v/>
      </c>
    </row>
    <row r="61">
      <c r="A61" s="26" t="inlineStr">
        <is>
          <t>Medium:</t>
        </is>
      </c>
      <c r="B61">
        <f>COUNTIF(E6:E55,"Medium")</f>
        <v/>
      </c>
    </row>
    <row r="62">
      <c r="A62" s="27" t="inlineStr">
        <is>
          <t>Low:</t>
        </is>
      </c>
      <c r="B62">
        <f>COUNTIF(E6:E55,"Low")</f>
        <v/>
      </c>
    </row>
    <row r="64">
      <c r="A64" s="12" t="inlineStr">
        <is>
          <t>[CHART] GAP SUMMARY BY STATUS</t>
        </is>
      </c>
    </row>
    <row r="65">
      <c r="A65" s="17" t="inlineStr">
        <is>
          <t>Open:</t>
        </is>
      </c>
      <c r="B65">
        <f>COUNTIF(K6:K55,"Open")</f>
        <v/>
      </c>
    </row>
    <row r="66">
      <c r="A66" s="17" t="inlineStr">
        <is>
          <t>In Progress:</t>
        </is>
      </c>
      <c r="B66">
        <f>COUNTIF(K6:K55,"In Progress")</f>
        <v/>
      </c>
    </row>
    <row r="67">
      <c r="A67" s="17" t="inlineStr">
        <is>
          <t>✅ Closed:</t>
        </is>
      </c>
      <c r="B67">
        <f>COUNTIF(K6:K55,"✅ Closed")</f>
        <v/>
      </c>
    </row>
  </sheetData>
  <mergeCells count="4">
    <mergeCell ref="A64:D64"/>
    <mergeCell ref="A2:M2"/>
    <mergeCell ref="A1:M1"/>
    <mergeCell ref="A58:D58"/>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endpoint inventory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9" t="inlineStr">
        <is>
          <t>EV-001</t>
        </is>
      </c>
      <c r="B5" s="19" t="inlineStr">
        <is>
          <t>Screenshot</t>
        </is>
      </c>
      <c r="C5" s="19" t="inlineStr">
        <is>
          <t>Example: Screenshot of endpoint encryption status</t>
        </is>
      </c>
      <c r="D5" s="19" t="inlineStr">
        <is>
          <t>A.8.1 Baseline Compliance</t>
        </is>
      </c>
      <c r="E5" s="19" t="inlineStr">
        <is>
          <t>Encryption Status sheet row 5</t>
        </is>
      </c>
      <c r="F5" s="19" t="inlineStr">
        <is>
          <t>/evidence/A.8.1/enc-screenshot.png</t>
        </is>
      </c>
      <c r="G5" s="19" t="inlineStr">
        <is>
          <t>20.02.2026</t>
        </is>
      </c>
      <c r="H5" s="19" t="inlineStr">
        <is>
          <t>IT Security Team</t>
        </is>
      </c>
    </row>
    <row r="6">
      <c r="A6" s="31" t="n"/>
      <c r="B6" s="16" t="n"/>
      <c r="C6" s="16" t="n"/>
      <c r="D6" s="16" t="n"/>
      <c r="E6" s="16" t="n"/>
      <c r="F6" s="16" t="n"/>
      <c r="G6" s="16" t="n"/>
      <c r="H6" s="16" t="n"/>
    </row>
    <row r="7">
      <c r="A7" s="31" t="n"/>
      <c r="B7" s="16" t="n"/>
      <c r="C7" s="16" t="n"/>
      <c r="D7" s="16" t="n"/>
      <c r="E7" s="16" t="n"/>
      <c r="F7" s="16" t="n"/>
      <c r="G7" s="16" t="n"/>
      <c r="H7" s="16" t="n"/>
    </row>
    <row r="8">
      <c r="A8" s="31" t="n"/>
      <c r="B8" s="16" t="n"/>
      <c r="C8" s="16" t="n"/>
      <c r="D8" s="16" t="n"/>
      <c r="E8" s="16" t="n"/>
      <c r="F8" s="16" t="n"/>
      <c r="G8" s="16" t="n"/>
      <c r="H8" s="16" t="n"/>
    </row>
    <row r="9">
      <c r="A9" s="31" t="n"/>
      <c r="B9" s="16" t="n"/>
      <c r="C9" s="16" t="n"/>
      <c r="D9" s="16" t="n"/>
      <c r="E9" s="16" t="n"/>
      <c r="F9" s="16" t="n"/>
      <c r="G9" s="16" t="n"/>
      <c r="H9" s="16" t="n"/>
    </row>
    <row r="10">
      <c r="A10" s="31" t="n"/>
      <c r="B10" s="16" t="n"/>
      <c r="C10" s="16" t="n"/>
      <c r="D10" s="16" t="n"/>
      <c r="E10" s="16" t="n"/>
      <c r="F10" s="16" t="n"/>
      <c r="G10" s="16" t="n"/>
      <c r="H10" s="16" t="n"/>
    </row>
    <row r="11">
      <c r="A11" s="31" t="n"/>
      <c r="B11" s="16" t="n"/>
      <c r="C11" s="16" t="n"/>
      <c r="D11" s="16" t="n"/>
      <c r="E11" s="16" t="n"/>
      <c r="F11" s="16" t="n"/>
      <c r="G11" s="16" t="n"/>
      <c r="H11" s="16" t="n"/>
    </row>
    <row r="12">
      <c r="A12" s="31" t="n"/>
      <c r="B12" s="16" t="n"/>
      <c r="C12" s="16" t="n"/>
      <c r="D12" s="16" t="n"/>
      <c r="E12" s="16" t="n"/>
      <c r="F12" s="16" t="n"/>
      <c r="G12" s="16" t="n"/>
      <c r="H12" s="16" t="n"/>
    </row>
    <row r="13">
      <c r="A13" s="31" t="n"/>
      <c r="B13" s="16" t="n"/>
      <c r="C13" s="16" t="n"/>
      <c r="D13" s="16" t="n"/>
      <c r="E13" s="16" t="n"/>
      <c r="F13" s="16" t="n"/>
      <c r="G13" s="16" t="n"/>
      <c r="H13" s="16" t="n"/>
    </row>
    <row r="14">
      <c r="A14" s="31" t="n"/>
      <c r="B14" s="16" t="n"/>
      <c r="C14" s="16" t="n"/>
      <c r="D14" s="16" t="n"/>
      <c r="E14" s="16" t="n"/>
      <c r="F14" s="16" t="n"/>
      <c r="G14" s="16" t="n"/>
      <c r="H14" s="16" t="n"/>
    </row>
    <row r="15">
      <c r="A15" s="31" t="n"/>
      <c r="B15" s="16" t="n"/>
      <c r="C15" s="16" t="n"/>
      <c r="D15" s="16" t="n"/>
      <c r="E15" s="16" t="n"/>
      <c r="F15" s="16" t="n"/>
      <c r="G15" s="16" t="n"/>
      <c r="H15" s="16" t="n"/>
    </row>
    <row r="16">
      <c r="A16" s="31" t="n"/>
      <c r="B16" s="16" t="n"/>
      <c r="C16" s="16" t="n"/>
      <c r="D16" s="16" t="n"/>
      <c r="E16" s="16" t="n"/>
      <c r="F16" s="16" t="n"/>
      <c r="G16" s="16" t="n"/>
      <c r="H16" s="16" t="n"/>
    </row>
    <row r="17">
      <c r="A17" s="31" t="n"/>
      <c r="B17" s="16" t="n"/>
      <c r="C17" s="16" t="n"/>
      <c r="D17" s="16" t="n"/>
      <c r="E17" s="16" t="n"/>
      <c r="F17" s="16" t="n"/>
      <c r="G17" s="16" t="n"/>
      <c r="H17" s="16" t="n"/>
    </row>
    <row r="18">
      <c r="A18" s="31" t="n"/>
      <c r="B18" s="16" t="n"/>
      <c r="C18" s="16" t="n"/>
      <c r="D18" s="16" t="n"/>
      <c r="E18" s="16" t="n"/>
      <c r="F18" s="16" t="n"/>
      <c r="G18" s="16" t="n"/>
      <c r="H18" s="16" t="n"/>
    </row>
    <row r="19">
      <c r="A19" s="31" t="n"/>
      <c r="B19" s="16" t="n"/>
      <c r="C19" s="16" t="n"/>
      <c r="D19" s="16" t="n"/>
      <c r="E19" s="16" t="n"/>
      <c r="F19" s="16" t="n"/>
      <c r="G19" s="16" t="n"/>
      <c r="H19" s="16" t="n"/>
    </row>
    <row r="20">
      <c r="A20" s="31" t="n"/>
      <c r="B20" s="16" t="n"/>
      <c r="C20" s="16" t="n"/>
      <c r="D20" s="16" t="n"/>
      <c r="E20" s="16" t="n"/>
      <c r="F20" s="16" t="n"/>
      <c r="G20" s="16" t="n"/>
      <c r="H20" s="16" t="n"/>
    </row>
    <row r="21">
      <c r="A21" s="31" t="n"/>
      <c r="B21" s="16" t="n"/>
      <c r="C21" s="16" t="n"/>
      <c r="D21" s="16" t="n"/>
      <c r="E21" s="16" t="n"/>
      <c r="F21" s="16" t="n"/>
      <c r="G21" s="16" t="n"/>
      <c r="H21" s="16" t="n"/>
    </row>
    <row r="22">
      <c r="A22" s="31" t="n"/>
      <c r="B22" s="16" t="n"/>
      <c r="C22" s="16" t="n"/>
      <c r="D22" s="16" t="n"/>
      <c r="E22" s="16" t="n"/>
      <c r="F22" s="16" t="n"/>
      <c r="G22" s="16" t="n"/>
      <c r="H22" s="16" t="n"/>
    </row>
    <row r="23">
      <c r="A23" s="31" t="n"/>
      <c r="B23" s="16" t="n"/>
      <c r="C23" s="16" t="n"/>
      <c r="D23" s="16" t="n"/>
      <c r="E23" s="16" t="n"/>
      <c r="F23" s="16" t="n"/>
      <c r="G23" s="16" t="n"/>
      <c r="H23" s="16" t="n"/>
    </row>
    <row r="24">
      <c r="A24" s="31" t="n"/>
      <c r="B24" s="16" t="n"/>
      <c r="C24" s="16" t="n"/>
      <c r="D24" s="16" t="n"/>
      <c r="E24" s="16" t="n"/>
      <c r="F24" s="16" t="n"/>
      <c r="G24" s="16" t="n"/>
      <c r="H24" s="16" t="n"/>
    </row>
    <row r="25">
      <c r="A25" s="31" t="n"/>
      <c r="B25" s="16" t="n"/>
      <c r="C25" s="16" t="n"/>
      <c r="D25" s="16" t="n"/>
      <c r="E25" s="16" t="n"/>
      <c r="F25" s="16" t="n"/>
      <c r="G25" s="16" t="n"/>
      <c r="H25" s="16" t="n"/>
    </row>
    <row r="26">
      <c r="A26" s="31" t="n"/>
      <c r="B26" s="16" t="n"/>
      <c r="C26" s="16" t="n"/>
      <c r="D26" s="16" t="n"/>
      <c r="E26" s="16" t="n"/>
      <c r="F26" s="16" t="n"/>
      <c r="G26" s="16" t="n"/>
      <c r="H26" s="16" t="n"/>
    </row>
    <row r="27">
      <c r="A27" s="31" t="n"/>
      <c r="B27" s="16" t="n"/>
      <c r="C27" s="16" t="n"/>
      <c r="D27" s="16" t="n"/>
      <c r="E27" s="16" t="n"/>
      <c r="F27" s="16" t="n"/>
      <c r="G27" s="16" t="n"/>
      <c r="H27" s="16" t="n"/>
    </row>
    <row r="28">
      <c r="A28" s="31" t="n"/>
      <c r="B28" s="16" t="n"/>
      <c r="C28" s="16" t="n"/>
      <c r="D28" s="16" t="n"/>
      <c r="E28" s="16" t="n"/>
      <c r="F28" s="16" t="n"/>
      <c r="G28" s="16" t="n"/>
      <c r="H28" s="16" t="n"/>
    </row>
    <row r="29">
      <c r="A29" s="31" t="n"/>
      <c r="B29" s="16" t="n"/>
      <c r="C29" s="16" t="n"/>
      <c r="D29" s="16" t="n"/>
      <c r="E29" s="16" t="n"/>
      <c r="F29" s="16" t="n"/>
      <c r="G29" s="16" t="n"/>
      <c r="H29" s="16" t="n"/>
    </row>
    <row r="30">
      <c r="A30" s="31" t="n"/>
      <c r="B30" s="16" t="n"/>
      <c r="C30" s="16" t="n"/>
      <c r="D30" s="16" t="n"/>
      <c r="E30" s="16" t="n"/>
      <c r="F30" s="16" t="n"/>
      <c r="G30" s="16" t="n"/>
      <c r="H30" s="16" t="n"/>
    </row>
    <row r="31">
      <c r="A31" s="31" t="n"/>
      <c r="B31" s="16" t="n"/>
      <c r="C31" s="16" t="n"/>
      <c r="D31" s="16" t="n"/>
      <c r="E31" s="16" t="n"/>
      <c r="F31" s="16" t="n"/>
      <c r="G31" s="16" t="n"/>
      <c r="H31" s="16" t="n"/>
    </row>
    <row r="32">
      <c r="A32" s="31" t="n"/>
      <c r="B32" s="16" t="n"/>
      <c r="C32" s="16" t="n"/>
      <c r="D32" s="16" t="n"/>
      <c r="E32" s="16" t="n"/>
      <c r="F32" s="16" t="n"/>
      <c r="G32" s="16" t="n"/>
      <c r="H32" s="16" t="n"/>
    </row>
    <row r="33">
      <c r="A33" s="31" t="n"/>
      <c r="B33" s="16" t="n"/>
      <c r="C33" s="16" t="n"/>
      <c r="D33" s="16" t="n"/>
      <c r="E33" s="16" t="n"/>
      <c r="F33" s="16" t="n"/>
      <c r="G33" s="16" t="n"/>
      <c r="H33" s="16" t="n"/>
    </row>
    <row r="34">
      <c r="A34" s="31" t="n"/>
      <c r="B34" s="16" t="n"/>
      <c r="C34" s="16" t="n"/>
      <c r="D34" s="16" t="n"/>
      <c r="E34" s="16" t="n"/>
      <c r="F34" s="16" t="n"/>
      <c r="G34" s="16" t="n"/>
      <c r="H34" s="16" t="n"/>
    </row>
    <row r="35">
      <c r="A35" s="31" t="n"/>
      <c r="B35" s="16" t="n"/>
      <c r="C35" s="16" t="n"/>
      <c r="D35" s="16" t="n"/>
      <c r="E35" s="16" t="n"/>
      <c r="F35" s="16" t="n"/>
      <c r="G35" s="16" t="n"/>
      <c r="H35" s="16" t="n"/>
    </row>
    <row r="36">
      <c r="A36" s="31" t="n"/>
      <c r="B36" s="16" t="n"/>
      <c r="C36" s="16" t="n"/>
      <c r="D36" s="16" t="n"/>
      <c r="E36" s="16" t="n"/>
      <c r="F36" s="16" t="n"/>
      <c r="G36" s="16" t="n"/>
      <c r="H36" s="16" t="n"/>
    </row>
    <row r="37">
      <c r="A37" s="31" t="n"/>
      <c r="B37" s="16" t="n"/>
      <c r="C37" s="16" t="n"/>
      <c r="D37" s="16" t="n"/>
      <c r="E37" s="16" t="n"/>
      <c r="F37" s="16" t="n"/>
      <c r="G37" s="16" t="n"/>
      <c r="H37" s="16" t="n"/>
    </row>
    <row r="38">
      <c r="A38" s="31" t="n"/>
      <c r="B38" s="16" t="n"/>
      <c r="C38" s="16" t="n"/>
      <c r="D38" s="16" t="n"/>
      <c r="E38" s="16" t="n"/>
      <c r="F38" s="16" t="n"/>
      <c r="G38" s="16" t="n"/>
      <c r="H38" s="16" t="n"/>
    </row>
    <row r="39">
      <c r="A39" s="31" t="n"/>
      <c r="B39" s="16" t="n"/>
      <c r="C39" s="16" t="n"/>
      <c r="D39" s="16" t="n"/>
      <c r="E39" s="16" t="n"/>
      <c r="F39" s="16" t="n"/>
      <c r="G39" s="16" t="n"/>
      <c r="H39" s="16" t="n"/>
    </row>
    <row r="40">
      <c r="A40" s="31" t="n"/>
      <c r="B40" s="16" t="n"/>
      <c r="C40" s="16" t="n"/>
      <c r="D40" s="16" t="n"/>
      <c r="E40" s="16" t="n"/>
      <c r="F40" s="16" t="n"/>
      <c r="G40" s="16" t="n"/>
      <c r="H40" s="16" t="n"/>
    </row>
    <row r="41">
      <c r="A41" s="31" t="n"/>
      <c r="B41" s="16" t="n"/>
      <c r="C41" s="16" t="n"/>
      <c r="D41" s="16" t="n"/>
      <c r="E41" s="16" t="n"/>
      <c r="F41" s="16" t="n"/>
      <c r="G41" s="16" t="n"/>
      <c r="H41" s="16" t="n"/>
    </row>
    <row r="42">
      <c r="A42" s="31" t="n"/>
      <c r="B42" s="16" t="n"/>
      <c r="C42" s="16" t="n"/>
      <c r="D42" s="16" t="n"/>
      <c r="E42" s="16" t="n"/>
      <c r="F42" s="16" t="n"/>
      <c r="G42" s="16" t="n"/>
      <c r="H42" s="16" t="n"/>
    </row>
    <row r="43">
      <c r="A43" s="31" t="n"/>
      <c r="B43" s="16" t="n"/>
      <c r="C43" s="16" t="n"/>
      <c r="D43" s="16" t="n"/>
      <c r="E43" s="16" t="n"/>
      <c r="F43" s="16" t="n"/>
      <c r="G43" s="16" t="n"/>
      <c r="H43" s="16" t="n"/>
    </row>
    <row r="44">
      <c r="A44" s="31" t="n"/>
      <c r="B44" s="16" t="n"/>
      <c r="C44" s="16" t="n"/>
      <c r="D44" s="16" t="n"/>
      <c r="E44" s="16" t="n"/>
      <c r="F44" s="16" t="n"/>
      <c r="G44" s="16" t="n"/>
      <c r="H44" s="16" t="n"/>
    </row>
    <row r="45">
      <c r="A45" s="31" t="n"/>
      <c r="B45" s="16" t="n"/>
      <c r="C45" s="16" t="n"/>
      <c r="D45" s="16" t="n"/>
      <c r="E45" s="16" t="n"/>
      <c r="F45" s="16" t="n"/>
      <c r="G45" s="16" t="n"/>
      <c r="H45" s="16" t="n"/>
    </row>
    <row r="46">
      <c r="A46" s="31" t="n"/>
      <c r="B46" s="16" t="n"/>
      <c r="C46" s="16" t="n"/>
      <c r="D46" s="16" t="n"/>
      <c r="E46" s="16" t="n"/>
      <c r="F46" s="16" t="n"/>
      <c r="G46" s="16" t="n"/>
      <c r="H46" s="16" t="n"/>
    </row>
    <row r="47">
      <c r="A47" s="31" t="n"/>
      <c r="B47" s="16" t="n"/>
      <c r="C47" s="16" t="n"/>
      <c r="D47" s="16" t="n"/>
      <c r="E47" s="16" t="n"/>
      <c r="F47" s="16" t="n"/>
      <c r="G47" s="16" t="n"/>
      <c r="H47" s="16" t="n"/>
    </row>
    <row r="48">
      <c r="A48" s="31" t="n"/>
      <c r="B48" s="16" t="n"/>
      <c r="C48" s="16" t="n"/>
      <c r="D48" s="16" t="n"/>
      <c r="E48" s="16" t="n"/>
      <c r="F48" s="16" t="n"/>
      <c r="G48" s="16" t="n"/>
      <c r="H48" s="16" t="n"/>
    </row>
    <row r="49">
      <c r="A49" s="31" t="n"/>
      <c r="B49" s="16" t="n"/>
      <c r="C49" s="16" t="n"/>
      <c r="D49" s="16" t="n"/>
      <c r="E49" s="16" t="n"/>
      <c r="F49" s="16" t="n"/>
      <c r="G49" s="16" t="n"/>
      <c r="H49" s="16" t="n"/>
    </row>
    <row r="50">
      <c r="A50" s="31" t="n"/>
      <c r="B50" s="16" t="n"/>
      <c r="C50" s="16" t="n"/>
      <c r="D50" s="16" t="n"/>
      <c r="E50" s="16" t="n"/>
      <c r="F50" s="16" t="n"/>
      <c r="G50" s="16" t="n"/>
      <c r="H50" s="16" t="n"/>
    </row>
    <row r="51">
      <c r="A51" s="31" t="n"/>
      <c r="B51" s="16" t="n"/>
      <c r="C51" s="16" t="n"/>
      <c r="D51" s="16" t="n"/>
      <c r="E51" s="16" t="n"/>
      <c r="F51" s="16" t="n"/>
      <c r="G51" s="16" t="n"/>
      <c r="H51" s="16" t="n"/>
    </row>
    <row r="52">
      <c r="A52" s="31" t="n"/>
      <c r="B52" s="16" t="n"/>
      <c r="C52" s="16" t="n"/>
      <c r="D52" s="16" t="n"/>
      <c r="E52" s="16" t="n"/>
      <c r="F52" s="16" t="n"/>
      <c r="G52" s="16" t="n"/>
      <c r="H52" s="16" t="n"/>
    </row>
    <row r="53">
      <c r="A53" s="31" t="n"/>
      <c r="B53" s="16" t="n"/>
      <c r="C53" s="16" t="n"/>
      <c r="D53" s="16" t="n"/>
      <c r="E53" s="16" t="n"/>
      <c r="F53" s="16" t="n"/>
      <c r="G53" s="16" t="n"/>
      <c r="H53" s="16" t="n"/>
    </row>
    <row r="54">
      <c r="A54" s="31" t="n"/>
      <c r="B54" s="16" t="n"/>
      <c r="C54" s="16" t="n"/>
      <c r="D54" s="16" t="n"/>
      <c r="E54" s="16" t="n"/>
      <c r="F54" s="16" t="n"/>
      <c r="G54" s="16" t="n"/>
      <c r="H54" s="16" t="n"/>
    </row>
    <row r="55">
      <c r="A55" s="31" t="n"/>
      <c r="B55" s="16" t="n"/>
      <c r="C55" s="16" t="n"/>
      <c r="D55" s="16" t="n"/>
      <c r="E55" s="16" t="n"/>
      <c r="F55" s="16" t="n"/>
      <c r="G55" s="16" t="n"/>
      <c r="H55" s="16" t="n"/>
    </row>
    <row r="56">
      <c r="A56" s="31" t="n"/>
      <c r="B56" s="16" t="n"/>
      <c r="C56" s="16" t="n"/>
      <c r="D56" s="16" t="n"/>
      <c r="E56" s="16" t="n"/>
      <c r="F56" s="16" t="n"/>
      <c r="G56" s="16" t="n"/>
      <c r="H56" s="16" t="n"/>
    </row>
    <row r="57">
      <c r="A57" s="31" t="n"/>
      <c r="B57" s="16" t="n"/>
      <c r="C57" s="16" t="n"/>
      <c r="D57" s="16" t="n"/>
      <c r="E57" s="16" t="n"/>
      <c r="F57" s="16" t="n"/>
      <c r="G57" s="16" t="n"/>
      <c r="H57" s="16" t="n"/>
    </row>
    <row r="58">
      <c r="A58" s="31" t="n"/>
      <c r="B58" s="16" t="n"/>
      <c r="C58" s="16" t="n"/>
      <c r="D58" s="16" t="n"/>
      <c r="E58" s="16" t="n"/>
      <c r="F58" s="16" t="n"/>
      <c r="G58" s="16" t="n"/>
      <c r="H58" s="16" t="n"/>
    </row>
    <row r="59">
      <c r="A59" s="31" t="n"/>
      <c r="B59" s="16" t="n"/>
      <c r="C59" s="16" t="n"/>
      <c r="D59" s="16" t="n"/>
      <c r="E59" s="16" t="n"/>
      <c r="F59" s="16" t="n"/>
      <c r="G59" s="16" t="n"/>
      <c r="H59" s="16" t="n"/>
    </row>
    <row r="60">
      <c r="A60" s="31" t="n"/>
      <c r="B60" s="16" t="n"/>
      <c r="C60" s="16" t="n"/>
      <c r="D60" s="16" t="n"/>
      <c r="E60" s="16" t="n"/>
      <c r="F60" s="16" t="n"/>
      <c r="G60" s="16" t="n"/>
      <c r="H60" s="16" t="n"/>
    </row>
    <row r="61">
      <c r="A61" s="31" t="n"/>
      <c r="B61" s="16" t="n"/>
      <c r="C61" s="16" t="n"/>
      <c r="D61" s="16" t="n"/>
      <c r="E61" s="16" t="n"/>
      <c r="F61" s="16" t="n"/>
      <c r="G61" s="16" t="n"/>
      <c r="H61" s="16" t="n"/>
    </row>
    <row r="62">
      <c r="A62" s="31" t="n"/>
      <c r="B62" s="16" t="n"/>
      <c r="C62" s="16" t="n"/>
      <c r="D62" s="16" t="n"/>
      <c r="E62" s="16" t="n"/>
      <c r="F62" s="16" t="n"/>
      <c r="G62" s="16" t="n"/>
      <c r="H62" s="16" t="n"/>
    </row>
    <row r="63">
      <c r="A63" s="31" t="n"/>
      <c r="B63" s="16" t="n"/>
      <c r="C63" s="16" t="n"/>
      <c r="D63" s="16" t="n"/>
      <c r="E63" s="16" t="n"/>
      <c r="F63" s="16" t="n"/>
      <c r="G63" s="16" t="n"/>
      <c r="H63" s="16" t="n"/>
    </row>
    <row r="64">
      <c r="A64" s="31" t="n"/>
      <c r="B64" s="16" t="n"/>
      <c r="C64" s="16" t="n"/>
      <c r="D64" s="16" t="n"/>
      <c r="E64" s="16" t="n"/>
      <c r="F64" s="16" t="n"/>
      <c r="G64" s="16" t="n"/>
      <c r="H64" s="16" t="n"/>
    </row>
    <row r="65">
      <c r="A65" s="31" t="n"/>
      <c r="B65" s="16" t="n"/>
      <c r="C65" s="16" t="n"/>
      <c r="D65" s="16" t="n"/>
      <c r="E65" s="16" t="n"/>
      <c r="F65" s="16" t="n"/>
      <c r="G65" s="16" t="n"/>
      <c r="H65" s="16" t="n"/>
    </row>
    <row r="66">
      <c r="A66" s="31" t="n"/>
      <c r="B66" s="16" t="n"/>
      <c r="C66" s="16" t="n"/>
      <c r="D66" s="16" t="n"/>
      <c r="E66" s="16" t="n"/>
      <c r="F66" s="16" t="n"/>
      <c r="G66" s="16" t="n"/>
      <c r="H66" s="16" t="n"/>
    </row>
    <row r="67">
      <c r="A67" s="31" t="n"/>
      <c r="B67" s="16" t="n"/>
      <c r="C67" s="16" t="n"/>
      <c r="D67" s="16" t="n"/>
      <c r="E67" s="16" t="n"/>
      <c r="F67" s="16" t="n"/>
      <c r="G67" s="16" t="n"/>
      <c r="H67" s="16" t="n"/>
    </row>
    <row r="68">
      <c r="A68" s="31" t="n"/>
      <c r="B68" s="16" t="n"/>
      <c r="C68" s="16" t="n"/>
      <c r="D68" s="16" t="n"/>
      <c r="E68" s="16" t="n"/>
      <c r="F68" s="16" t="n"/>
      <c r="G68" s="16" t="n"/>
      <c r="H68" s="16" t="n"/>
    </row>
    <row r="69">
      <c r="A69" s="31" t="n"/>
      <c r="B69" s="16" t="n"/>
      <c r="C69" s="16" t="n"/>
      <c r="D69" s="16" t="n"/>
      <c r="E69" s="16" t="n"/>
      <c r="F69" s="16" t="n"/>
      <c r="G69" s="16" t="n"/>
      <c r="H69" s="16" t="n"/>
    </row>
    <row r="70">
      <c r="A70" s="31" t="n"/>
      <c r="B70" s="16" t="n"/>
      <c r="C70" s="16" t="n"/>
      <c r="D70" s="16" t="n"/>
      <c r="E70" s="16" t="n"/>
      <c r="F70" s="16" t="n"/>
      <c r="G70" s="16" t="n"/>
      <c r="H70" s="16" t="n"/>
    </row>
    <row r="71">
      <c r="A71" s="31" t="n"/>
      <c r="B71" s="16" t="n"/>
      <c r="C71" s="16" t="n"/>
      <c r="D71" s="16" t="n"/>
      <c r="E71" s="16" t="n"/>
      <c r="F71" s="16" t="n"/>
      <c r="G71" s="16" t="n"/>
      <c r="H71" s="16" t="n"/>
    </row>
    <row r="72">
      <c r="A72" s="31" t="n"/>
      <c r="B72" s="16" t="n"/>
      <c r="C72" s="16" t="n"/>
      <c r="D72" s="16" t="n"/>
      <c r="E72" s="16" t="n"/>
      <c r="F72" s="16" t="n"/>
      <c r="G72" s="16" t="n"/>
      <c r="H72" s="16" t="n"/>
    </row>
    <row r="73">
      <c r="A73" s="31" t="n"/>
      <c r="B73" s="16" t="n"/>
      <c r="C73" s="16" t="n"/>
      <c r="D73" s="16" t="n"/>
      <c r="E73" s="16" t="n"/>
      <c r="F73" s="16" t="n"/>
      <c r="G73" s="16" t="n"/>
      <c r="H73" s="16" t="n"/>
    </row>
    <row r="74">
      <c r="A74" s="31" t="n"/>
      <c r="B74" s="16" t="n"/>
      <c r="C74" s="16" t="n"/>
      <c r="D74" s="16" t="n"/>
      <c r="E74" s="16" t="n"/>
      <c r="F74" s="16" t="n"/>
      <c r="G74" s="16" t="n"/>
      <c r="H74" s="16" t="n"/>
    </row>
    <row r="75">
      <c r="A75" s="31" t="n"/>
      <c r="B75" s="16" t="n"/>
      <c r="C75" s="16" t="n"/>
      <c r="D75" s="16" t="n"/>
      <c r="E75" s="16" t="n"/>
      <c r="F75" s="16" t="n"/>
      <c r="G75" s="16" t="n"/>
      <c r="H75" s="16" t="n"/>
    </row>
    <row r="76">
      <c r="A76" s="31" t="n"/>
      <c r="B76" s="16" t="n"/>
      <c r="C76" s="16" t="n"/>
      <c r="D76" s="16" t="n"/>
      <c r="E76" s="16" t="n"/>
      <c r="F76" s="16" t="n"/>
      <c r="G76" s="16" t="n"/>
      <c r="H76" s="16" t="n"/>
    </row>
    <row r="77">
      <c r="A77" s="31" t="n"/>
      <c r="B77" s="16" t="n"/>
      <c r="C77" s="16" t="n"/>
      <c r="D77" s="16" t="n"/>
      <c r="E77" s="16" t="n"/>
      <c r="F77" s="16" t="n"/>
      <c r="G77" s="16" t="n"/>
      <c r="H77" s="16" t="n"/>
    </row>
    <row r="78">
      <c r="A78" s="31" t="n"/>
      <c r="B78" s="16" t="n"/>
      <c r="C78" s="16" t="n"/>
      <c r="D78" s="16" t="n"/>
      <c r="E78" s="16" t="n"/>
      <c r="F78" s="16" t="n"/>
      <c r="G78" s="16" t="n"/>
      <c r="H78" s="16" t="n"/>
    </row>
    <row r="79">
      <c r="A79" s="31" t="n"/>
      <c r="B79" s="16" t="n"/>
      <c r="C79" s="16" t="n"/>
      <c r="D79" s="16" t="n"/>
      <c r="E79" s="16" t="n"/>
      <c r="F79" s="16" t="n"/>
      <c r="G79" s="16" t="n"/>
      <c r="H79" s="16" t="n"/>
    </row>
    <row r="80">
      <c r="A80" s="31" t="n"/>
      <c r="B80" s="16" t="n"/>
      <c r="C80" s="16" t="n"/>
      <c r="D80" s="16" t="n"/>
      <c r="E80" s="16" t="n"/>
      <c r="F80" s="16" t="n"/>
      <c r="G80" s="16" t="n"/>
      <c r="H80" s="16" t="n"/>
    </row>
    <row r="81">
      <c r="A81" s="31" t="n"/>
      <c r="B81" s="16" t="n"/>
      <c r="C81" s="16" t="n"/>
      <c r="D81" s="16" t="n"/>
      <c r="E81" s="16" t="n"/>
      <c r="F81" s="16" t="n"/>
      <c r="G81" s="16" t="n"/>
      <c r="H81" s="16" t="n"/>
    </row>
    <row r="82">
      <c r="A82" s="31" t="n"/>
      <c r="B82" s="16" t="n"/>
      <c r="C82" s="16" t="n"/>
      <c r="D82" s="16" t="n"/>
      <c r="E82" s="16" t="n"/>
      <c r="F82" s="16" t="n"/>
      <c r="G82" s="16" t="n"/>
      <c r="H82" s="16" t="n"/>
    </row>
    <row r="83">
      <c r="A83" s="31" t="n"/>
      <c r="B83" s="16" t="n"/>
      <c r="C83" s="16" t="n"/>
      <c r="D83" s="16" t="n"/>
      <c r="E83" s="16" t="n"/>
      <c r="F83" s="16" t="n"/>
      <c r="G83" s="16" t="n"/>
      <c r="H83" s="16" t="n"/>
    </row>
    <row r="84">
      <c r="A84" s="31" t="n"/>
      <c r="B84" s="16" t="n"/>
      <c r="C84" s="16" t="n"/>
      <c r="D84" s="16" t="n"/>
      <c r="E84" s="16" t="n"/>
      <c r="F84" s="16" t="n"/>
      <c r="G84" s="16" t="n"/>
      <c r="H84" s="16" t="n"/>
    </row>
    <row r="85">
      <c r="A85" s="31" t="n"/>
      <c r="B85" s="16" t="n"/>
      <c r="C85" s="16" t="n"/>
      <c r="D85" s="16" t="n"/>
      <c r="E85" s="16" t="n"/>
      <c r="F85" s="16" t="n"/>
      <c r="G85" s="16" t="n"/>
      <c r="H85" s="16" t="n"/>
    </row>
    <row r="86">
      <c r="A86" s="31" t="n"/>
      <c r="B86" s="16" t="n"/>
      <c r="C86" s="16" t="n"/>
      <c r="D86" s="16" t="n"/>
      <c r="E86" s="16" t="n"/>
      <c r="F86" s="16" t="n"/>
      <c r="G86" s="16" t="n"/>
      <c r="H86" s="16" t="n"/>
    </row>
    <row r="87">
      <c r="A87" s="31" t="n"/>
      <c r="B87" s="16" t="n"/>
      <c r="C87" s="16" t="n"/>
      <c r="D87" s="16" t="n"/>
      <c r="E87" s="16" t="n"/>
      <c r="F87" s="16" t="n"/>
      <c r="G87" s="16" t="n"/>
      <c r="H87" s="16" t="n"/>
    </row>
    <row r="88">
      <c r="A88" s="31" t="n"/>
      <c r="B88" s="16" t="n"/>
      <c r="C88" s="16" t="n"/>
      <c r="D88" s="16" t="n"/>
      <c r="E88" s="16" t="n"/>
      <c r="F88" s="16" t="n"/>
      <c r="G88" s="16" t="n"/>
      <c r="H88" s="16" t="n"/>
    </row>
    <row r="89">
      <c r="A89" s="31" t="n"/>
      <c r="B89" s="16" t="n"/>
      <c r="C89" s="16" t="n"/>
      <c r="D89" s="16" t="n"/>
      <c r="E89" s="16" t="n"/>
      <c r="F89" s="16" t="n"/>
      <c r="G89" s="16" t="n"/>
      <c r="H89" s="16" t="n"/>
    </row>
    <row r="90">
      <c r="A90" s="31" t="n"/>
      <c r="B90" s="16" t="n"/>
      <c r="C90" s="16" t="n"/>
      <c r="D90" s="16" t="n"/>
      <c r="E90" s="16" t="n"/>
      <c r="F90" s="16" t="n"/>
      <c r="G90" s="16" t="n"/>
      <c r="H90" s="16" t="n"/>
    </row>
    <row r="91">
      <c r="A91" s="31" t="n"/>
      <c r="B91" s="16" t="n"/>
      <c r="C91" s="16" t="n"/>
      <c r="D91" s="16" t="n"/>
      <c r="E91" s="16" t="n"/>
      <c r="F91" s="16" t="n"/>
      <c r="G91" s="16" t="n"/>
      <c r="H91" s="16" t="n"/>
    </row>
    <row r="92">
      <c r="A92" s="31" t="n"/>
      <c r="B92" s="16" t="n"/>
      <c r="C92" s="16" t="n"/>
      <c r="D92" s="16" t="n"/>
      <c r="E92" s="16" t="n"/>
      <c r="F92" s="16" t="n"/>
      <c r="G92" s="16" t="n"/>
      <c r="H92" s="16" t="n"/>
    </row>
    <row r="93">
      <c r="A93" s="31" t="n"/>
      <c r="B93" s="16" t="n"/>
      <c r="C93" s="16" t="n"/>
      <c r="D93" s="16" t="n"/>
      <c r="E93" s="16" t="n"/>
      <c r="F93" s="16" t="n"/>
      <c r="G93" s="16" t="n"/>
      <c r="H93" s="16" t="n"/>
    </row>
    <row r="94">
      <c r="A94" s="31" t="n"/>
      <c r="B94" s="16" t="n"/>
      <c r="C94" s="16" t="n"/>
      <c r="D94" s="16" t="n"/>
      <c r="E94" s="16" t="n"/>
      <c r="F94" s="16" t="n"/>
      <c r="G94" s="16" t="n"/>
      <c r="H94" s="16" t="n"/>
    </row>
    <row r="95">
      <c r="A95" s="31" t="n"/>
      <c r="B95" s="16" t="n"/>
      <c r="C95" s="16" t="n"/>
      <c r="D95" s="16" t="n"/>
      <c r="E95" s="16" t="n"/>
      <c r="F95" s="16" t="n"/>
      <c r="G95" s="16" t="n"/>
      <c r="H95" s="16" t="n"/>
    </row>
    <row r="96">
      <c r="A96" s="31" t="n"/>
      <c r="B96" s="16" t="n"/>
      <c r="C96" s="16" t="n"/>
      <c r="D96" s="16" t="n"/>
      <c r="E96" s="16" t="n"/>
      <c r="F96" s="16" t="n"/>
      <c r="G96" s="16" t="n"/>
      <c r="H96" s="16" t="n"/>
    </row>
    <row r="97">
      <c r="A97" s="31" t="n"/>
      <c r="B97" s="16" t="n"/>
      <c r="C97" s="16" t="n"/>
      <c r="D97" s="16" t="n"/>
      <c r="E97" s="16" t="n"/>
      <c r="F97" s="16" t="n"/>
      <c r="G97" s="16" t="n"/>
      <c r="H97" s="16" t="n"/>
    </row>
    <row r="98">
      <c r="A98" s="31" t="n"/>
      <c r="B98" s="16" t="n"/>
      <c r="C98" s="16" t="n"/>
      <c r="D98" s="16" t="n"/>
      <c r="E98" s="16" t="n"/>
      <c r="F98" s="16" t="n"/>
      <c r="G98" s="16" t="n"/>
      <c r="H98" s="16" t="n"/>
    </row>
    <row r="99">
      <c r="A99" s="31" t="n"/>
      <c r="B99" s="16" t="n"/>
      <c r="C99" s="16" t="n"/>
      <c r="D99" s="16" t="n"/>
      <c r="E99" s="16" t="n"/>
      <c r="F99" s="16" t="n"/>
      <c r="G99" s="16" t="n"/>
      <c r="H99" s="16" t="n"/>
    </row>
    <row r="100">
      <c r="A100" s="31" t="n"/>
      <c r="B100" s="16" t="n"/>
      <c r="C100" s="16" t="n"/>
      <c r="D100" s="16" t="n"/>
      <c r="E100" s="16" t="n"/>
      <c r="F100" s="16" t="n"/>
      <c r="G100" s="16" t="n"/>
      <c r="H100" s="16" t="n"/>
    </row>
    <row r="101">
      <c r="A101" s="31" t="n"/>
      <c r="B101" s="16" t="n"/>
      <c r="C101" s="16" t="n"/>
      <c r="D101" s="16" t="n"/>
      <c r="E101" s="16" t="n"/>
      <c r="F101" s="16" t="n"/>
      <c r="G101" s="16" t="n"/>
      <c r="H101" s="16" t="n"/>
    </row>
    <row r="102">
      <c r="A102" s="31" t="n"/>
      <c r="B102" s="16" t="n"/>
      <c r="C102" s="16" t="n"/>
      <c r="D102" s="16" t="n"/>
      <c r="E102" s="16" t="n"/>
      <c r="F102" s="16" t="n"/>
      <c r="G102" s="16" t="n"/>
      <c r="H102" s="16" t="n"/>
    </row>
    <row r="103">
      <c r="A103" s="31" t="n"/>
      <c r="B103" s="16" t="n"/>
      <c r="C103" s="16" t="n"/>
      <c r="D103" s="16" t="n"/>
      <c r="E103" s="16" t="n"/>
      <c r="F103" s="16" t="n"/>
      <c r="G103" s="16" t="n"/>
      <c r="H103" s="16" t="n"/>
    </row>
    <row r="104">
      <c r="A104" s="31" t="n"/>
      <c r="B104" s="16" t="n"/>
      <c r="C104" s="16" t="n"/>
      <c r="D104" s="16" t="n"/>
      <c r="E104" s="16" t="n"/>
      <c r="F104" s="16" t="n"/>
      <c r="G104" s="16" t="n"/>
      <c r="H104" s="16" t="n"/>
    </row>
    <row r="105">
      <c r="A105" s="31" t="n"/>
      <c r="B105" s="16" t="n"/>
      <c r="C105" s="16" t="n"/>
      <c r="D105" s="16" t="n"/>
      <c r="E105" s="16" t="n"/>
      <c r="F105" s="16" t="n"/>
      <c r="G105" s="16" t="n"/>
      <c r="H105" s="16" t="n"/>
    </row>
    <row r="107">
      <c r="A107" s="17" t="inlineStr">
        <is>
          <t>Total Evidence Entries:</t>
        </is>
      </c>
      <c r="B107">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Export,Screenshot,Report,Certificate,Policy,Log File,Encryption Key Backup,Other"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ENDPOINT INVENTORY — SUMMARY DASHBOARD</t>
        </is>
      </c>
    </row>
    <row r="2">
      <c r="A2" s="32" t="inlineStr">
        <is>
          <t>Consolidated compliance metrics for endpoint device security assessment</t>
        </is>
      </c>
    </row>
    <row r="3">
      <c r="A3" s="33" t="inlineStr">
        <is>
          <t>TABLE 1 — COMPLIANCE ASSESSMENT SUMMARY</t>
        </is>
      </c>
    </row>
    <row r="4">
      <c r="A4" s="34" t="inlineStr">
        <is>
          <t>Assessment Area</t>
        </is>
      </c>
      <c r="B4" s="34" t="inlineStr">
        <is>
          <t>Total Items</t>
        </is>
      </c>
      <c r="C4" s="34" t="inlineStr">
        <is>
          <t>Compliant</t>
        </is>
      </c>
      <c r="D4" s="34" t="inlineStr">
        <is>
          <t>Partial</t>
        </is>
      </c>
      <c r="E4" s="34" t="inlineStr">
        <is>
          <t>Non-Compliant</t>
        </is>
      </c>
      <c r="F4" s="34" t="inlineStr">
        <is>
          <t>N/A</t>
        </is>
      </c>
      <c r="G4" s="34" t="inlineStr">
        <is>
          <t>Compliance %</t>
        </is>
      </c>
    </row>
    <row r="5">
      <c r="A5" s="35" t="inlineStr">
        <is>
          <t>Baseline Compliance</t>
        </is>
      </c>
      <c r="B5" s="36">
        <f>SUM(C5:F5)</f>
        <v/>
      </c>
      <c r="C5" s="36">
        <f>COUNTIF('Baseline Compliance'!K6:K55,"✅ Compliant")</f>
        <v/>
      </c>
      <c r="D5" s="36">
        <f>COUNTIF('Baseline Compliance'!K6:K55,"⚠ Partial")</f>
        <v/>
      </c>
      <c r="E5" s="36">
        <f>COUNTIF('Baseline Compliance'!K6:K55,"❌ Non-Compliant")</f>
        <v/>
      </c>
      <c r="F5" s="36">
        <f>COUNTIF('Baseline Compliance'!K6:K55,"N/A")</f>
        <v/>
      </c>
      <c r="G5" s="37">
        <f>IF((B5-F5)=0,0,C5/(B5-F5))</f>
        <v/>
      </c>
    </row>
    <row r="6">
      <c r="A6" s="35" t="inlineStr">
        <is>
          <t>Encryption (Full-Disk)</t>
        </is>
      </c>
      <c r="B6" s="36">
        <f>SUM(C6:F6)</f>
        <v/>
      </c>
      <c r="C6" s="36">
        <f>COUNTIF('Encryption Status'!E6:E55,"✅ Encrypted")</f>
        <v/>
      </c>
      <c r="D6" s="36">
        <f>COUNTIF('Encryption Status'!E6:E55,"⚠ Partial")</f>
        <v/>
      </c>
      <c r="E6" s="36">
        <f>COUNTIF('Encryption Status'!E6:E55,"❌ Not Encrypted")</f>
        <v/>
      </c>
      <c r="F6" s="36" t="inlineStr">
        <is>
          <t>0</t>
        </is>
      </c>
      <c r="G6" s="37">
        <f>IF((B6-F6)=0,0,C6/(B6-F6))</f>
        <v/>
      </c>
    </row>
    <row r="7">
      <c r="A7" s="35" t="inlineStr">
        <is>
          <t>MDM / UEM Enrollment</t>
        </is>
      </c>
      <c r="B7" s="36">
        <f>SUM(C7:F7)</f>
        <v/>
      </c>
      <c r="C7" s="36">
        <f>COUNTIF('Management Enrollment'!E6:E55,"✅ Enrolled")</f>
        <v/>
      </c>
      <c r="D7" s="36">
        <f>COUNTIF('Management Enrollment'!E6:E55,"⚠ Partial")</f>
        <v/>
      </c>
      <c r="E7" s="36">
        <f>COUNTIF('Management Enrollment'!E6:E55,"❌ Not Enrolled")</f>
        <v/>
      </c>
      <c r="F7" s="36" t="inlineStr">
        <is>
          <t>0</t>
        </is>
      </c>
      <c r="G7" s="37">
        <f>IF((B7-F7)=0,0,C7/(B7-F7))</f>
        <v/>
      </c>
    </row>
    <row r="8">
      <c r="A8" s="35" t="inlineStr">
        <is>
          <t>Capability Requirements</t>
        </is>
      </c>
      <c r="B8" s="36">
        <f>SUM(C8:F8)</f>
        <v/>
      </c>
      <c r="C8" s="36">
        <f>COUNTIF('Capability Requirements'!F6:F35,"✅ Compliant")</f>
        <v/>
      </c>
      <c r="D8" s="36" t="inlineStr">
        <is>
          <t>0</t>
        </is>
      </c>
      <c r="E8" s="36">
        <f>COUNTIF('Capability Requirements'!F6:F35,"❌ Gap")</f>
        <v/>
      </c>
      <c r="F8" s="36">
        <f>COUNTIF('Capability Requirements'!F6:F35,"N/A")</f>
        <v/>
      </c>
      <c r="G8" s="37">
        <f>IF((B8-F8)=0,0,C8/(B8-F8))</f>
        <v/>
      </c>
    </row>
    <row r="9">
      <c r="A9" s="38" t="inlineStr">
        <is>
          <t>TOTAL</t>
        </is>
      </c>
      <c r="B9" s="39">
        <f>SUM(B5:B8)</f>
        <v/>
      </c>
      <c r="C9" s="39">
        <f>SUM(C5:C8)</f>
        <v/>
      </c>
      <c r="D9" s="39">
        <f>SUM(D5:D8)</f>
        <v/>
      </c>
      <c r="E9" s="39">
        <f>SUM(E5:E8)</f>
        <v/>
      </c>
      <c r="F9" s="39">
        <f>SUM(F5:F8)</f>
        <v/>
      </c>
      <c r="G9" s="40">
        <f>IF((B9-F9)=0,0,C9/(B9-F9))</f>
        <v/>
      </c>
    </row>
    <row r="10"/>
    <row r="11">
      <c r="A11" s="33" t="inlineStr">
        <is>
          <t>TABLE 2 — KEY PERFORMANCE INDICATORS</t>
        </is>
      </c>
    </row>
    <row r="12">
      <c r="A12" s="34" t="inlineStr">
        <is>
          <t>KPI</t>
        </is>
      </c>
      <c r="B12" s="34" t="inlineStr">
        <is>
          <t>Current Value</t>
        </is>
      </c>
      <c r="C12" s="34" t="inlineStr">
        <is>
          <t>Target</t>
        </is>
      </c>
      <c r="D12" s="34" t="inlineStr">
        <is>
          <t>Status</t>
        </is>
      </c>
      <c r="E12" s="34" t="inlineStr">
        <is>
          <t>Last Updated</t>
        </is>
      </c>
      <c r="F12" s="34" t="inlineStr">
        <is>
          <t>Owner</t>
        </is>
      </c>
      <c r="G12" s="34" t="inlineStr">
        <is>
          <t>Notes</t>
        </is>
      </c>
    </row>
    <row r="13">
      <c r="A13" s="35" t="inlineStr">
        <is>
          <t>Total Endpoints</t>
        </is>
      </c>
      <c r="B13" s="36">
        <f>COUNTA('Inventory'!B6:B55)</f>
        <v/>
      </c>
      <c r="C13" s="36" t="inlineStr">
        <is>
          <t>&gt;=50</t>
        </is>
      </c>
      <c r="D13" s="18" t="n"/>
      <c r="E13" s="18" t="n"/>
      <c r="F13" s="18" t="n"/>
      <c r="G13" s="18" t="n"/>
    </row>
    <row r="14">
      <c r="A14" s="35" t="inlineStr">
        <is>
          <t>Baseline Compliance Rate</t>
        </is>
      </c>
      <c r="B14" s="37">
        <f>IF((COUNTIF('Baseline Compliance'!K6:K55,"✅ Compliant")+COUNTIF('Baseline Compliance'!K6:K55,"⚠ Partial")+COUNTIF('Baseline Compliance'!K6:K55,"❌ Non-Compliant"))=0,0,COUNTIF('Baseline Compliance'!K6:K55,"✅ Compliant")/(COUNTIF('Baseline Compliance'!K6:K55,"✅ Compliant")+COUNTIF('Baseline Compliance'!K6:K55,"⚠ Partial")+COUNTIF('Baseline Compliance'!K6:K55,"❌ Non-Compliant")))</f>
        <v/>
      </c>
      <c r="C14" s="36" t="inlineStr">
        <is>
          <t>&gt;=95%</t>
        </is>
      </c>
      <c r="D14" s="18" t="n"/>
      <c r="E14" s="18" t="n"/>
      <c r="F14" s="18" t="n"/>
      <c r="G14" s="18" t="n"/>
    </row>
    <row r="15">
      <c r="A15" s="35" t="inlineStr">
        <is>
          <t>Encryption Coverage</t>
        </is>
      </c>
      <c r="B15" s="37">
        <f>IF(COUNTA('Encryption Status'!E6:E55)=0,0,COUNTIF('Encryption Status'!E6:E55,"✅ Encrypted")/COUNTA('Encryption Status'!E6:E55))</f>
        <v/>
      </c>
      <c r="C15" s="36" t="inlineStr">
        <is>
          <t>100%</t>
        </is>
      </c>
      <c r="D15" s="18" t="n"/>
      <c r="E15" s="18" t="n"/>
      <c r="F15" s="18" t="n"/>
      <c r="G15" s="18" t="n"/>
    </row>
    <row r="16">
      <c r="A16" s="35" t="inlineStr">
        <is>
          <t>MDM/UEM Enrollment Rate</t>
        </is>
      </c>
      <c r="B16" s="37">
        <f>IF(COUNTA('Management Enrollment'!E6:E55)=0,0,COUNTIF('Management Enrollment'!E6:E55,"✅ Enrolled")/COUNTA('Management Enrollment'!E6:E55))</f>
        <v/>
      </c>
      <c r="C16" s="36" t="inlineStr">
        <is>
          <t>&gt;=95%</t>
        </is>
      </c>
      <c r="D16" s="18" t="n"/>
      <c r="E16" s="18" t="n"/>
      <c r="F16" s="18" t="n"/>
      <c r="G16" s="18" t="n"/>
    </row>
    <row r="17">
      <c r="A17" s="35" t="inlineStr">
        <is>
          <t>Critical Endpoints</t>
        </is>
      </c>
      <c r="B17" s="36">
        <f>COUNTIF('Inventory'!M6:M55,"Critical")</f>
        <v/>
      </c>
      <c r="C17" s="36" t="inlineStr">
        <is>
          <t>—</t>
        </is>
      </c>
      <c r="D17" s="18" t="n"/>
      <c r="E17" s="18" t="n"/>
      <c r="F17" s="18" t="n"/>
      <c r="G17" s="18" t="n"/>
    </row>
    <row r="18">
      <c r="A18" s="35" t="inlineStr">
        <is>
          <t>Unencrypted Critical Endpoints</t>
        </is>
      </c>
      <c r="B18" s="36">
        <f>COUNTIFS('Inventory'!M6:M55,"Critical",'Encryption Status'!E6:E55,"❌ Not Encrypted")</f>
        <v/>
      </c>
      <c r="C18" s="36" t="inlineStr">
        <is>
          <t>0</t>
        </is>
      </c>
      <c r="D18" s="18" t="n"/>
      <c r="E18" s="18" t="n"/>
      <c r="F18" s="18" t="n"/>
      <c r="G18" s="18" t="n"/>
    </row>
    <row r="19">
      <c r="A19" s="35" t="inlineStr">
        <is>
          <t>Policy Requirements Implemented</t>
        </is>
      </c>
      <c r="B19" s="37">
        <f>IF((COUNTIF('Capability Requirements'!C6:C35,"Yes")+COUNTIF('Capability Requirements'!C6:C35,"No")+COUNTIF('Capability Requirements'!C6:C35,"N/A"))=0,0,COUNTIF('Capability Requirements'!C6:C35,"Yes")/(COUNTIF('Capability Requirements'!C6:C35,"Yes")+COUNTIF('Capability Requirements'!C6:C35,"No")+COUNTIF('Capability Requirements'!C6:C35,"N/A")))</f>
        <v/>
      </c>
      <c r="C19" s="36" t="inlineStr">
        <is>
          <t>100%</t>
        </is>
      </c>
      <c r="D19" s="18" t="n"/>
      <c r="E19" s="18" t="n"/>
      <c r="F19" s="18" t="n"/>
      <c r="G19" s="18" t="n"/>
    </row>
    <row r="20">
      <c r="A20" s="35" t="inlineStr">
        <is>
          <t>Open Gaps</t>
        </is>
      </c>
      <c r="B20" s="36">
        <f>COUNTIF('Gap Analysis'!K6:K55,"Open")+COUNTIF('Gap Analysis'!K6:K55,"In Progress")</f>
        <v/>
      </c>
      <c r="C20" s="36" t="inlineStr">
        <is>
          <t>0</t>
        </is>
      </c>
      <c r="D20" s="18" t="n"/>
      <c r="E20" s="18" t="n"/>
      <c r="F20" s="18" t="n"/>
      <c r="G20" s="18" t="n"/>
    </row>
    <row r="21">
      <c r="A21" s="35" t="inlineStr">
        <is>
          <t>Critical/High Gaps</t>
        </is>
      </c>
      <c r="B21" s="36">
        <f>COUNTIF('Gap Analysis'!E6:E55,"Critical")+COUNTIF('Gap Analysis'!E6:E55,"High")</f>
        <v/>
      </c>
      <c r="C21" s="36" t="inlineStr">
        <is>
          <t>0</t>
        </is>
      </c>
      <c r="D21" s="18" t="n"/>
      <c r="E21" s="18" t="n"/>
      <c r="F21" s="18" t="n"/>
      <c r="G21" s="18" t="n"/>
    </row>
    <row r="22">
      <c r="A22" s="35" t="inlineStr">
        <is>
          <t>Corporate-Owned Device Groups</t>
        </is>
      </c>
      <c r="B22" s="36">
        <f>COUNTIF('Inventory'!H6:H55,"Corporate-Owned")</f>
        <v/>
      </c>
      <c r="C22" s="36" t="inlineStr">
        <is>
          <t>—</t>
        </is>
      </c>
      <c r="D22" s="18" t="n"/>
      <c r="E22" s="18" t="n"/>
      <c r="F22" s="18" t="n"/>
      <c r="G22" s="18" t="n"/>
    </row>
    <row r="23">
      <c r="A23" s="35" t="inlineStr">
        <is>
          <t>BYOD Device Groups</t>
        </is>
      </c>
      <c r="B23" s="36">
        <f>COUNTIF('Inventory'!H6:H55,"BYOD")</f>
        <v/>
      </c>
      <c r="C23" s="36" t="inlineStr">
        <is>
          <t>0 preferred</t>
        </is>
      </c>
      <c r="D23" s="18" t="n"/>
      <c r="E23" s="18" t="n"/>
      <c r="F23" s="18" t="n"/>
      <c r="G23" s="18" t="n"/>
    </row>
    <row r="24">
      <c r="A24" s="35" t="inlineStr">
        <is>
          <t>High-Criticality Device Groups</t>
        </is>
      </c>
      <c r="B24" s="36">
        <f>COUNTIF('Inventory'!M6:M55,"High")</f>
        <v/>
      </c>
      <c r="C24" s="36" t="inlineStr">
        <is>
          <t>—</t>
        </is>
      </c>
      <c r="D24" s="18" t="n"/>
      <c r="E24" s="18" t="n"/>
      <c r="F24" s="18" t="n"/>
      <c r="G24" s="18" t="n"/>
    </row>
    <row r="25">
      <c r="A25" s="6" t="n"/>
      <c r="B25" s="6" t="n"/>
      <c r="C25" s="6" t="n"/>
      <c r="D25" s="31" t="n"/>
      <c r="E25" s="31" t="n"/>
      <c r="F25" s="31" t="n"/>
      <c r="G25" s="31" t="n"/>
    </row>
    <row r="26">
      <c r="A26" s="6" t="n"/>
      <c r="B26" s="6" t="n"/>
      <c r="C26" s="6" t="n"/>
      <c r="D26" s="31" t="n"/>
      <c r="E26" s="31" t="n"/>
      <c r="F26" s="31" t="n"/>
      <c r="G26" s="31" t="n"/>
    </row>
    <row r="27"/>
    <row r="28">
      <c r="A28" s="41" t="inlineStr">
        <is>
          <t>TABLE 3 — CRITICAL FINDINGS</t>
        </is>
      </c>
    </row>
    <row r="29">
      <c r="A29" s="34" t="inlineStr">
        <is>
          <t>Finding ID</t>
        </is>
      </c>
      <c r="B29" s="34" t="inlineStr">
        <is>
          <t>Description</t>
        </is>
      </c>
      <c r="C29" s="34" t="inlineStr">
        <is>
          <t>Affected Area</t>
        </is>
      </c>
      <c r="D29" s="34" t="inlineStr">
        <is>
          <t>Severity</t>
        </is>
      </c>
      <c r="E29" s="34" t="inlineStr">
        <is>
          <t>Status</t>
        </is>
      </c>
      <c r="F29" s="34" t="inlineStr">
        <is>
          <t>Owner</t>
        </is>
      </c>
      <c r="G29" s="34" t="inlineStr">
        <is>
          <t>Due Date</t>
        </is>
      </c>
    </row>
    <row r="30">
      <c r="A30" s="42">
        <f>IFERROR(INDEX('Gap Analysis'!A$6:A$55,SMALL(IF(('Gap Analysis'!E$6:E$55="Critical")+('Gap Analysis'!E$6:E$55="High"),ROW('Gap Analysis'!A$6:A$55)-ROW('Gap Analysis'!A$6)+1),ROWS($A$1:$A1)),1),"")</f>
        <v/>
      </c>
      <c r="B30" s="42">
        <f>IFERROR(INDEX('Gap Analysis'!B$6:B$55,SMALL(IF(('Gap Analysis'!E$6:E$55="Critical")+('Gap Analysis'!E$6:E$55="High"),ROW('Gap Analysis'!A$6:A$55)-ROW('Gap Analysis'!A$6)+1),ROWS($A$1:$A1)),1),"")</f>
        <v/>
      </c>
      <c r="C30" s="42">
        <f>IFERROR(INDEX('Gap Analysis'!D$6:D$55,SMALL(IF(('Gap Analysis'!E$6:E$55="Critical")+('Gap Analysis'!E$6:E$55="High"),ROW('Gap Analysis'!A$6:A$55)-ROW('Gap Analysis'!A$6)+1),ROWS($A$1:$A1)),1),"")</f>
        <v/>
      </c>
      <c r="D30" s="42">
        <f>IFERROR(INDEX('Gap Analysis'!E$6:E$55,SMALL(IF(('Gap Analysis'!E$6:E$55="Critical")+('Gap Analysis'!E$6:E$55="High"),ROW('Gap Analysis'!A$6:A$55)-ROW('Gap Analysis'!A$6)+1),ROWS($A$1:$A1)),1),"")</f>
        <v/>
      </c>
      <c r="E30" s="42">
        <f>IFERROR(INDEX('Gap Analysis'!K$6:K$55,SMALL(IF(('Gap Analysis'!E$6:E$55="Critical")+('Gap Analysis'!E$6:E$55="High"),ROW('Gap Analysis'!A$6:A$55)-ROW('Gap Analysis'!A$6)+1),ROWS($A$1:$A1)),1),"")</f>
        <v/>
      </c>
      <c r="F30" s="42">
        <f>IFERROR(INDEX('Gap Analysis'!I$6:I$55,SMALL(IF(('Gap Analysis'!E$6:E$55="Critical")+('Gap Analysis'!E$6:E$55="High"),ROW('Gap Analysis'!A$6:A$55)-ROW('Gap Analysis'!A$6)+1),ROWS($A$1:$A1)),1),"")</f>
        <v/>
      </c>
      <c r="G30" s="42">
        <f>IFERROR(INDEX('Gap Analysis'!J$6:J$55,SMALL(IF(('Gap Analysis'!E$6:E$55="Critical")+('Gap Analysis'!E$6:E$55="High"),ROW('Gap Analysis'!A$6:A$55)-ROW('Gap Analysis'!A$6)+1),ROWS($A$1:$A1)),1),"")</f>
        <v/>
      </c>
    </row>
    <row r="31">
      <c r="A31" s="42">
        <f>IFERROR(INDEX('Gap Analysis'!A$6:A$55,SMALL(IF(('Gap Analysis'!E$6:E$55="Critical")+('Gap Analysis'!E$6:E$55="High"),ROW('Gap Analysis'!A$6:A$55)-ROW('Gap Analysis'!A$6)+1),ROWS($A$1:$A2)),1),"")</f>
        <v/>
      </c>
      <c r="B31" s="42">
        <f>IFERROR(INDEX('Gap Analysis'!B$6:B$55,SMALL(IF(('Gap Analysis'!E$6:E$55="Critical")+('Gap Analysis'!E$6:E$55="High"),ROW('Gap Analysis'!A$6:A$55)-ROW('Gap Analysis'!A$6)+1),ROWS($A$1:$A2)),1),"")</f>
        <v/>
      </c>
      <c r="C31" s="42">
        <f>IFERROR(INDEX('Gap Analysis'!D$6:D$55,SMALL(IF(('Gap Analysis'!E$6:E$55="Critical")+('Gap Analysis'!E$6:E$55="High"),ROW('Gap Analysis'!A$6:A$55)-ROW('Gap Analysis'!A$6)+1),ROWS($A$1:$A2)),1),"")</f>
        <v/>
      </c>
      <c r="D31" s="42">
        <f>IFERROR(INDEX('Gap Analysis'!E$6:E$55,SMALL(IF(('Gap Analysis'!E$6:E$55="Critical")+('Gap Analysis'!E$6:E$55="High"),ROW('Gap Analysis'!A$6:A$55)-ROW('Gap Analysis'!A$6)+1),ROWS($A$1:$A2)),1),"")</f>
        <v/>
      </c>
      <c r="E31" s="42">
        <f>IFERROR(INDEX('Gap Analysis'!K$6:K$55,SMALL(IF(('Gap Analysis'!E$6:E$55="Critical")+('Gap Analysis'!E$6:E$55="High"),ROW('Gap Analysis'!A$6:A$55)-ROW('Gap Analysis'!A$6)+1),ROWS($A$1:$A2)),1),"")</f>
        <v/>
      </c>
      <c r="F31" s="42">
        <f>IFERROR(INDEX('Gap Analysis'!I$6:I$55,SMALL(IF(('Gap Analysis'!E$6:E$55="Critical")+('Gap Analysis'!E$6:E$55="High"),ROW('Gap Analysis'!A$6:A$55)-ROW('Gap Analysis'!A$6)+1),ROWS($A$1:$A2)),1),"")</f>
        <v/>
      </c>
      <c r="G31" s="42">
        <f>IFERROR(INDEX('Gap Analysis'!J$6:J$55,SMALL(IF(('Gap Analysis'!E$6:E$55="Critical")+('Gap Analysis'!E$6:E$55="High"),ROW('Gap Analysis'!A$6:A$55)-ROW('Gap Analysis'!A$6)+1),ROWS($A$1:$A2)),1),"")</f>
        <v/>
      </c>
    </row>
    <row r="32">
      <c r="A32" s="42">
        <f>IFERROR(INDEX('Gap Analysis'!A$6:A$55,SMALL(IF(('Gap Analysis'!E$6:E$55="Critical")+('Gap Analysis'!E$6:E$55="High"),ROW('Gap Analysis'!A$6:A$55)-ROW('Gap Analysis'!A$6)+1),ROWS($A$1:$A3)),1),"")</f>
        <v/>
      </c>
      <c r="B32" s="42">
        <f>IFERROR(INDEX('Gap Analysis'!B$6:B$55,SMALL(IF(('Gap Analysis'!E$6:E$55="Critical")+('Gap Analysis'!E$6:E$55="High"),ROW('Gap Analysis'!A$6:A$55)-ROW('Gap Analysis'!A$6)+1),ROWS($A$1:$A3)),1),"")</f>
        <v/>
      </c>
      <c r="C32" s="42">
        <f>IFERROR(INDEX('Gap Analysis'!D$6:D$55,SMALL(IF(('Gap Analysis'!E$6:E$55="Critical")+('Gap Analysis'!E$6:E$55="High"),ROW('Gap Analysis'!A$6:A$55)-ROW('Gap Analysis'!A$6)+1),ROWS($A$1:$A3)),1),"")</f>
        <v/>
      </c>
      <c r="D32" s="42">
        <f>IFERROR(INDEX('Gap Analysis'!E$6:E$55,SMALL(IF(('Gap Analysis'!E$6:E$55="Critical")+('Gap Analysis'!E$6:E$55="High"),ROW('Gap Analysis'!A$6:A$55)-ROW('Gap Analysis'!A$6)+1),ROWS($A$1:$A3)),1),"")</f>
        <v/>
      </c>
      <c r="E32" s="42">
        <f>IFERROR(INDEX('Gap Analysis'!K$6:K$55,SMALL(IF(('Gap Analysis'!E$6:E$55="Critical")+('Gap Analysis'!E$6:E$55="High"),ROW('Gap Analysis'!A$6:A$55)-ROW('Gap Analysis'!A$6)+1),ROWS($A$1:$A3)),1),"")</f>
        <v/>
      </c>
      <c r="F32" s="42">
        <f>IFERROR(INDEX('Gap Analysis'!I$6:I$55,SMALL(IF(('Gap Analysis'!E$6:E$55="Critical")+('Gap Analysis'!E$6:E$55="High"),ROW('Gap Analysis'!A$6:A$55)-ROW('Gap Analysis'!A$6)+1),ROWS($A$1:$A3)),1),"")</f>
        <v/>
      </c>
      <c r="G32" s="42">
        <f>IFERROR(INDEX('Gap Analysis'!J$6:J$55,SMALL(IF(('Gap Analysis'!E$6:E$55="Critical")+('Gap Analysis'!E$6:E$55="High"),ROW('Gap Analysis'!A$6:A$55)-ROW('Gap Analysis'!A$6)+1),ROWS($A$1:$A3)),1),"")</f>
        <v/>
      </c>
    </row>
    <row r="33">
      <c r="A33" s="42">
        <f>IFERROR(INDEX('Gap Analysis'!A$6:A$55,SMALL(IF(('Gap Analysis'!E$6:E$55="Critical")+('Gap Analysis'!E$6:E$55="High"),ROW('Gap Analysis'!A$6:A$55)-ROW('Gap Analysis'!A$6)+1),ROWS($A$1:$A4)),1),"")</f>
        <v/>
      </c>
      <c r="B33" s="42">
        <f>IFERROR(INDEX('Gap Analysis'!B$6:B$55,SMALL(IF(('Gap Analysis'!E$6:E$55="Critical")+('Gap Analysis'!E$6:E$55="High"),ROW('Gap Analysis'!A$6:A$55)-ROW('Gap Analysis'!A$6)+1),ROWS($A$1:$A4)),1),"")</f>
        <v/>
      </c>
      <c r="C33" s="42">
        <f>IFERROR(INDEX('Gap Analysis'!D$6:D$55,SMALL(IF(('Gap Analysis'!E$6:E$55="Critical")+('Gap Analysis'!E$6:E$55="High"),ROW('Gap Analysis'!A$6:A$55)-ROW('Gap Analysis'!A$6)+1),ROWS($A$1:$A4)),1),"")</f>
        <v/>
      </c>
      <c r="D33" s="42">
        <f>IFERROR(INDEX('Gap Analysis'!E$6:E$55,SMALL(IF(('Gap Analysis'!E$6:E$55="Critical")+('Gap Analysis'!E$6:E$55="High"),ROW('Gap Analysis'!A$6:A$55)-ROW('Gap Analysis'!A$6)+1),ROWS($A$1:$A4)),1),"")</f>
        <v/>
      </c>
      <c r="E33" s="42">
        <f>IFERROR(INDEX('Gap Analysis'!K$6:K$55,SMALL(IF(('Gap Analysis'!E$6:E$55="Critical")+('Gap Analysis'!E$6:E$55="High"),ROW('Gap Analysis'!A$6:A$55)-ROW('Gap Analysis'!A$6)+1),ROWS($A$1:$A4)),1),"")</f>
        <v/>
      </c>
      <c r="F33" s="42">
        <f>IFERROR(INDEX('Gap Analysis'!I$6:I$55,SMALL(IF(('Gap Analysis'!E$6:E$55="Critical")+('Gap Analysis'!E$6:E$55="High"),ROW('Gap Analysis'!A$6:A$55)-ROW('Gap Analysis'!A$6)+1),ROWS($A$1:$A4)),1),"")</f>
        <v/>
      </c>
      <c r="G33" s="42">
        <f>IFERROR(INDEX('Gap Analysis'!J$6:J$55,SMALL(IF(('Gap Analysis'!E$6:E$55="Critical")+('Gap Analysis'!E$6:E$55="High"),ROW('Gap Analysis'!A$6:A$55)-ROW('Gap Analysis'!A$6)+1),ROWS($A$1:$A4)),1),"")</f>
        <v/>
      </c>
    </row>
    <row r="34">
      <c r="A34" s="42">
        <f>IFERROR(INDEX('Gap Analysis'!A$6:A$55,SMALL(IF(('Gap Analysis'!E$6:E$55="Critical")+('Gap Analysis'!E$6:E$55="High"),ROW('Gap Analysis'!A$6:A$55)-ROW('Gap Analysis'!A$6)+1),ROWS($A$1:$A5)),1),"")</f>
        <v/>
      </c>
      <c r="B34" s="42">
        <f>IFERROR(INDEX('Gap Analysis'!B$6:B$55,SMALL(IF(('Gap Analysis'!E$6:E$55="Critical")+('Gap Analysis'!E$6:E$55="High"),ROW('Gap Analysis'!A$6:A$55)-ROW('Gap Analysis'!A$6)+1),ROWS($A$1:$A5)),1),"")</f>
        <v/>
      </c>
      <c r="C34" s="42">
        <f>IFERROR(INDEX('Gap Analysis'!D$6:D$55,SMALL(IF(('Gap Analysis'!E$6:E$55="Critical")+('Gap Analysis'!E$6:E$55="High"),ROW('Gap Analysis'!A$6:A$55)-ROW('Gap Analysis'!A$6)+1),ROWS($A$1:$A5)),1),"")</f>
        <v/>
      </c>
      <c r="D34" s="42">
        <f>IFERROR(INDEX('Gap Analysis'!E$6:E$55,SMALL(IF(('Gap Analysis'!E$6:E$55="Critical")+('Gap Analysis'!E$6:E$55="High"),ROW('Gap Analysis'!A$6:A$55)-ROW('Gap Analysis'!A$6)+1),ROWS($A$1:$A5)),1),"")</f>
        <v/>
      </c>
      <c r="E34" s="42">
        <f>IFERROR(INDEX('Gap Analysis'!K$6:K$55,SMALL(IF(('Gap Analysis'!E$6:E$55="Critical")+('Gap Analysis'!E$6:E$55="High"),ROW('Gap Analysis'!A$6:A$55)-ROW('Gap Analysis'!A$6)+1),ROWS($A$1:$A5)),1),"")</f>
        <v/>
      </c>
      <c r="F34" s="42">
        <f>IFERROR(INDEX('Gap Analysis'!I$6:I$55,SMALL(IF(('Gap Analysis'!E$6:E$55="Critical")+('Gap Analysis'!E$6:E$55="High"),ROW('Gap Analysis'!A$6:A$55)-ROW('Gap Analysis'!A$6)+1),ROWS($A$1:$A5)),1),"")</f>
        <v/>
      </c>
      <c r="G34" s="42">
        <f>IFERROR(INDEX('Gap Analysis'!J$6:J$55,SMALL(IF(('Gap Analysis'!E$6:E$55="Critical")+('Gap Analysis'!E$6:E$55="High"),ROW('Gap Analysis'!A$6:A$55)-ROW('Gap Analysis'!A$6)+1),ROWS($A$1:$A5)),1),"")</f>
        <v/>
      </c>
    </row>
    <row r="35">
      <c r="A35" s="42">
        <f>IFERROR(INDEX('Gap Analysis'!A$6:A$55,SMALL(IF(('Gap Analysis'!E$6:E$55="Critical")+('Gap Analysis'!E$6:E$55="High"),ROW('Gap Analysis'!A$6:A$55)-ROW('Gap Analysis'!A$6)+1),ROWS($A$1:$A6)),1),"")</f>
        <v/>
      </c>
      <c r="B35" s="42">
        <f>IFERROR(INDEX('Gap Analysis'!B$6:B$55,SMALL(IF(('Gap Analysis'!E$6:E$55="Critical")+('Gap Analysis'!E$6:E$55="High"),ROW('Gap Analysis'!A$6:A$55)-ROW('Gap Analysis'!A$6)+1),ROWS($A$1:$A6)),1),"")</f>
        <v/>
      </c>
      <c r="C35" s="42">
        <f>IFERROR(INDEX('Gap Analysis'!D$6:D$55,SMALL(IF(('Gap Analysis'!E$6:E$55="Critical")+('Gap Analysis'!E$6:E$55="High"),ROW('Gap Analysis'!A$6:A$55)-ROW('Gap Analysis'!A$6)+1),ROWS($A$1:$A6)),1),"")</f>
        <v/>
      </c>
      <c r="D35" s="42">
        <f>IFERROR(INDEX('Gap Analysis'!E$6:E$55,SMALL(IF(('Gap Analysis'!E$6:E$55="Critical")+('Gap Analysis'!E$6:E$55="High"),ROW('Gap Analysis'!A$6:A$55)-ROW('Gap Analysis'!A$6)+1),ROWS($A$1:$A6)),1),"")</f>
        <v/>
      </c>
      <c r="E35" s="42">
        <f>IFERROR(INDEX('Gap Analysis'!K$6:K$55,SMALL(IF(('Gap Analysis'!E$6:E$55="Critical")+('Gap Analysis'!E$6:E$55="High"),ROW('Gap Analysis'!A$6:A$55)-ROW('Gap Analysis'!A$6)+1),ROWS($A$1:$A6)),1),"")</f>
        <v/>
      </c>
      <c r="F35" s="42">
        <f>IFERROR(INDEX('Gap Analysis'!I$6:I$55,SMALL(IF(('Gap Analysis'!E$6:E$55="Critical")+('Gap Analysis'!E$6:E$55="High"),ROW('Gap Analysis'!A$6:A$55)-ROW('Gap Analysis'!A$6)+1),ROWS($A$1:$A6)),1),"")</f>
        <v/>
      </c>
      <c r="G35" s="42">
        <f>IFERROR(INDEX('Gap Analysis'!J$6:J$55,SMALL(IF(('Gap Analysis'!E$6:E$55="Critical")+('Gap Analysis'!E$6:E$55="High"),ROW('Gap Analysis'!A$6:A$55)-ROW('Gap Analysis'!A$6)+1),ROWS($A$1:$A6)),1),"")</f>
        <v/>
      </c>
    </row>
    <row r="36">
      <c r="A36" s="42">
        <f>IFERROR(INDEX('Gap Analysis'!A$6:A$55,SMALL(IF(('Gap Analysis'!E$6:E$55="Critical")+('Gap Analysis'!E$6:E$55="High"),ROW('Gap Analysis'!A$6:A$55)-ROW('Gap Analysis'!A$6)+1),ROWS($A$1:$A7)),1),"")</f>
        <v/>
      </c>
      <c r="B36" s="42">
        <f>IFERROR(INDEX('Gap Analysis'!B$6:B$55,SMALL(IF(('Gap Analysis'!E$6:E$55="Critical")+('Gap Analysis'!E$6:E$55="High"),ROW('Gap Analysis'!A$6:A$55)-ROW('Gap Analysis'!A$6)+1),ROWS($A$1:$A7)),1),"")</f>
        <v/>
      </c>
      <c r="C36" s="42">
        <f>IFERROR(INDEX('Gap Analysis'!D$6:D$55,SMALL(IF(('Gap Analysis'!E$6:E$55="Critical")+('Gap Analysis'!E$6:E$55="High"),ROW('Gap Analysis'!A$6:A$55)-ROW('Gap Analysis'!A$6)+1),ROWS($A$1:$A7)),1),"")</f>
        <v/>
      </c>
      <c r="D36" s="42">
        <f>IFERROR(INDEX('Gap Analysis'!E$6:E$55,SMALL(IF(('Gap Analysis'!E$6:E$55="Critical")+('Gap Analysis'!E$6:E$55="High"),ROW('Gap Analysis'!A$6:A$55)-ROW('Gap Analysis'!A$6)+1),ROWS($A$1:$A7)),1),"")</f>
        <v/>
      </c>
      <c r="E36" s="42">
        <f>IFERROR(INDEX('Gap Analysis'!K$6:K$55,SMALL(IF(('Gap Analysis'!E$6:E$55="Critical")+('Gap Analysis'!E$6:E$55="High"),ROW('Gap Analysis'!A$6:A$55)-ROW('Gap Analysis'!A$6)+1),ROWS($A$1:$A7)),1),"")</f>
        <v/>
      </c>
      <c r="F36" s="42">
        <f>IFERROR(INDEX('Gap Analysis'!I$6:I$55,SMALL(IF(('Gap Analysis'!E$6:E$55="Critical")+('Gap Analysis'!E$6:E$55="High"),ROW('Gap Analysis'!A$6:A$55)-ROW('Gap Analysis'!A$6)+1),ROWS($A$1:$A7)),1),"")</f>
        <v/>
      </c>
      <c r="G36" s="42">
        <f>IFERROR(INDEX('Gap Analysis'!J$6:J$55,SMALL(IF(('Gap Analysis'!E$6:E$55="Critical")+('Gap Analysis'!E$6:E$55="High"),ROW('Gap Analysis'!A$6:A$55)-ROW('Gap Analysis'!A$6)+1),ROWS($A$1:$A7)),1),"")</f>
        <v/>
      </c>
    </row>
    <row r="37">
      <c r="A37" s="42">
        <f>IFERROR(INDEX('Gap Analysis'!A$6:A$55,SMALL(IF(('Gap Analysis'!E$6:E$55="Critical")+('Gap Analysis'!E$6:E$55="High"),ROW('Gap Analysis'!A$6:A$55)-ROW('Gap Analysis'!A$6)+1),ROWS($A$1:$A8)),1),"")</f>
        <v/>
      </c>
      <c r="B37" s="42">
        <f>IFERROR(INDEX('Gap Analysis'!B$6:B$55,SMALL(IF(('Gap Analysis'!E$6:E$55="Critical")+('Gap Analysis'!E$6:E$55="High"),ROW('Gap Analysis'!A$6:A$55)-ROW('Gap Analysis'!A$6)+1),ROWS($A$1:$A8)),1),"")</f>
        <v/>
      </c>
      <c r="C37" s="42">
        <f>IFERROR(INDEX('Gap Analysis'!D$6:D$55,SMALL(IF(('Gap Analysis'!E$6:E$55="Critical")+('Gap Analysis'!E$6:E$55="High"),ROW('Gap Analysis'!A$6:A$55)-ROW('Gap Analysis'!A$6)+1),ROWS($A$1:$A8)),1),"")</f>
        <v/>
      </c>
      <c r="D37" s="42">
        <f>IFERROR(INDEX('Gap Analysis'!E$6:E$55,SMALL(IF(('Gap Analysis'!E$6:E$55="Critical")+('Gap Analysis'!E$6:E$55="High"),ROW('Gap Analysis'!A$6:A$55)-ROW('Gap Analysis'!A$6)+1),ROWS($A$1:$A8)),1),"")</f>
        <v/>
      </c>
      <c r="E37" s="42">
        <f>IFERROR(INDEX('Gap Analysis'!K$6:K$55,SMALL(IF(('Gap Analysis'!E$6:E$55="Critical")+('Gap Analysis'!E$6:E$55="High"),ROW('Gap Analysis'!A$6:A$55)-ROW('Gap Analysis'!A$6)+1),ROWS($A$1:$A8)),1),"")</f>
        <v/>
      </c>
      <c r="F37" s="42">
        <f>IFERROR(INDEX('Gap Analysis'!I$6:I$55,SMALL(IF(('Gap Analysis'!E$6:E$55="Critical")+('Gap Analysis'!E$6:E$55="High"),ROW('Gap Analysis'!A$6:A$55)-ROW('Gap Analysis'!A$6)+1),ROWS($A$1:$A8)),1),"")</f>
        <v/>
      </c>
      <c r="G37" s="42">
        <f>IFERROR(INDEX('Gap Analysis'!J$6:J$55,SMALL(IF(('Gap Analysis'!E$6:E$55="Critical")+('Gap Analysis'!E$6:E$55="High"),ROW('Gap Analysis'!A$6:A$55)-ROW('Gap Analysis'!A$6)+1),ROWS($A$1:$A8)),1),"")</f>
        <v/>
      </c>
    </row>
    <row r="38">
      <c r="A38" s="42">
        <f>IFERROR(INDEX('Gap Analysis'!A$6:A$55,SMALL(IF(('Gap Analysis'!E$6:E$55="Critical")+('Gap Analysis'!E$6:E$55="High"),ROW('Gap Analysis'!A$6:A$55)-ROW('Gap Analysis'!A$6)+1),ROWS($A$1:$A9)),1),"")</f>
        <v/>
      </c>
      <c r="B38" s="42">
        <f>IFERROR(INDEX('Gap Analysis'!B$6:B$55,SMALL(IF(('Gap Analysis'!E$6:E$55="Critical")+('Gap Analysis'!E$6:E$55="High"),ROW('Gap Analysis'!A$6:A$55)-ROW('Gap Analysis'!A$6)+1),ROWS($A$1:$A9)),1),"")</f>
        <v/>
      </c>
      <c r="C38" s="42">
        <f>IFERROR(INDEX('Gap Analysis'!D$6:D$55,SMALL(IF(('Gap Analysis'!E$6:E$55="Critical")+('Gap Analysis'!E$6:E$55="High"),ROW('Gap Analysis'!A$6:A$55)-ROW('Gap Analysis'!A$6)+1),ROWS($A$1:$A9)),1),"")</f>
        <v/>
      </c>
      <c r="D38" s="42">
        <f>IFERROR(INDEX('Gap Analysis'!E$6:E$55,SMALL(IF(('Gap Analysis'!E$6:E$55="Critical")+('Gap Analysis'!E$6:E$55="High"),ROW('Gap Analysis'!A$6:A$55)-ROW('Gap Analysis'!A$6)+1),ROWS($A$1:$A9)),1),"")</f>
        <v/>
      </c>
      <c r="E38" s="42">
        <f>IFERROR(INDEX('Gap Analysis'!K$6:K$55,SMALL(IF(('Gap Analysis'!E$6:E$55="Critical")+('Gap Analysis'!E$6:E$55="High"),ROW('Gap Analysis'!A$6:A$55)-ROW('Gap Analysis'!A$6)+1),ROWS($A$1:$A9)),1),"")</f>
        <v/>
      </c>
      <c r="F38" s="42">
        <f>IFERROR(INDEX('Gap Analysis'!I$6:I$55,SMALL(IF(('Gap Analysis'!E$6:E$55="Critical")+('Gap Analysis'!E$6:E$55="High"),ROW('Gap Analysis'!A$6:A$55)-ROW('Gap Analysis'!A$6)+1),ROWS($A$1:$A9)),1),"")</f>
        <v/>
      </c>
      <c r="G38" s="42">
        <f>IFERROR(INDEX('Gap Analysis'!J$6:J$55,SMALL(IF(('Gap Analysis'!E$6:E$55="Critical")+('Gap Analysis'!E$6:E$55="High"),ROW('Gap Analysis'!A$6:A$55)-ROW('Gap Analysis'!A$6)+1),ROWS($A$1:$A9)),1),"")</f>
        <v/>
      </c>
    </row>
    <row r="39">
      <c r="A39" s="42">
        <f>IFERROR(INDEX('Gap Analysis'!A$6:A$55,SMALL(IF(('Gap Analysis'!E$6:E$55="Critical")+('Gap Analysis'!E$6:E$55="High"),ROW('Gap Analysis'!A$6:A$55)-ROW('Gap Analysis'!A$6)+1),ROWS($A$1:$A10)),1),"")</f>
        <v/>
      </c>
      <c r="B39" s="42">
        <f>IFERROR(INDEX('Gap Analysis'!B$6:B$55,SMALL(IF(('Gap Analysis'!E$6:E$55="Critical")+('Gap Analysis'!E$6:E$55="High"),ROW('Gap Analysis'!A$6:A$55)-ROW('Gap Analysis'!A$6)+1),ROWS($A$1:$A10)),1),"")</f>
        <v/>
      </c>
      <c r="C39" s="42">
        <f>IFERROR(INDEX('Gap Analysis'!D$6:D$55,SMALL(IF(('Gap Analysis'!E$6:E$55="Critical")+('Gap Analysis'!E$6:E$55="High"),ROW('Gap Analysis'!A$6:A$55)-ROW('Gap Analysis'!A$6)+1),ROWS($A$1:$A10)),1),"")</f>
        <v/>
      </c>
      <c r="D39" s="42">
        <f>IFERROR(INDEX('Gap Analysis'!E$6:E$55,SMALL(IF(('Gap Analysis'!E$6:E$55="Critical")+('Gap Analysis'!E$6:E$55="High"),ROW('Gap Analysis'!A$6:A$55)-ROW('Gap Analysis'!A$6)+1),ROWS($A$1:$A10)),1),"")</f>
        <v/>
      </c>
      <c r="E39" s="42">
        <f>IFERROR(INDEX('Gap Analysis'!K$6:K$55,SMALL(IF(('Gap Analysis'!E$6:E$55="Critical")+('Gap Analysis'!E$6:E$55="High"),ROW('Gap Analysis'!A$6:A$55)-ROW('Gap Analysis'!A$6)+1),ROWS($A$1:$A10)),1),"")</f>
        <v/>
      </c>
      <c r="F39" s="42">
        <f>IFERROR(INDEX('Gap Analysis'!I$6:I$55,SMALL(IF(('Gap Analysis'!E$6:E$55="Critical")+('Gap Analysis'!E$6:E$55="High"),ROW('Gap Analysis'!A$6:A$55)-ROW('Gap Analysis'!A$6)+1),ROWS($A$1:$A10)),1),"")</f>
        <v/>
      </c>
      <c r="G39" s="42">
        <f>IFERROR(INDEX('Gap Analysis'!J$6:J$55,SMALL(IF(('Gap Analysis'!E$6:E$55="Critical")+('Gap Analysis'!E$6:E$55="High"),ROW('Gap Analysis'!A$6:A$55)-ROW('Gap Analysis'!A$6)+1),ROWS($A$1:$A10)),1),"")</f>
        <v/>
      </c>
    </row>
    <row r="40">
      <c r="A40" s="31" t="n"/>
      <c r="B40" s="31" t="n"/>
      <c r="C40" s="31" t="n"/>
      <c r="D40" s="31" t="n"/>
      <c r="E40" s="31" t="n"/>
      <c r="F40" s="31" t="n"/>
      <c r="G40" s="31" t="n"/>
    </row>
    <row r="41">
      <c r="A41" s="31" t="n"/>
      <c r="B41" s="31" t="n"/>
      <c r="C41" s="31" t="n"/>
      <c r="D41" s="31" t="n"/>
      <c r="E41" s="31" t="n"/>
      <c r="F41" s="31" t="n"/>
      <c r="G41" s="31" t="n"/>
    </row>
    <row r="42">
      <c r="A42" s="43" t="inlineStr">
        <is>
          <t>Total Critical/High Findings:</t>
        </is>
      </c>
      <c r="B42" s="44">
        <f>COUNTIF('Gap Analysis'!E6:E55,"Critical")+COUNTIF('Gap Analysis'!E6:E55,"High")</f>
        <v/>
      </c>
      <c r="C42" s="6" t="n"/>
      <c r="D42" s="6" t="n"/>
      <c r="E42" s="6" t="n"/>
      <c r="F42" s="6" t="n"/>
      <c r="G42" s="6" t="n"/>
    </row>
  </sheetData>
  <mergeCells count="5">
    <mergeCell ref="A1:G1"/>
    <mergeCell ref="A3:G3"/>
    <mergeCell ref="A2:G2"/>
    <mergeCell ref="A11:G11"/>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A.8.1-7-18-19: Endpoint and Device Security</t>
        </is>
      </c>
      <c r="B2" s="6" t="n"/>
      <c r="C2" s="6" t="n"/>
      <c r="D2" s="6" t="n"/>
      <c r="E2" s="6" t="n"/>
    </row>
    <row r="3">
      <c r="A3" s="47" t="inlineStr">
        <is>
          <t>ASSESSMENT SUMMARY</t>
        </is>
      </c>
      <c r="B3" s="6" t="n"/>
      <c r="C3" s="6" t="n"/>
      <c r="D3" s="6" t="n"/>
      <c r="E3" s="6" t="n"/>
    </row>
    <row r="4">
      <c r="A4" s="48" t="inlineStr">
        <is>
          <t>Document:</t>
        </is>
      </c>
      <c r="B4" s="6" t="inlineStr">
        <is>
          <t>ISMS-IMP-A.8.1-7-18-19.1 - Endpoint Inventory</t>
        </is>
      </c>
      <c r="C4" s="6" t="n"/>
      <c r="D4" s="6" t="n"/>
      <c r="E4" s="6" t="n"/>
    </row>
    <row r="5">
      <c r="A5" s="48" t="inlineStr">
        <is>
          <t>Assessment Period:</t>
        </is>
      </c>
      <c r="B5" s="31" t="inlineStr"/>
      <c r="C5" s="6" t="n"/>
      <c r="D5" s="6" t="n"/>
      <c r="E5" s="6" t="n"/>
    </row>
    <row r="6">
      <c r="A6" s="48" t="inlineStr">
        <is>
          <t>Overall Compliance Rating:</t>
        </is>
      </c>
      <c r="B6" s="49">
        <f>'Summary Dashboard'!G9</f>
        <v/>
      </c>
      <c r="C6" s="6" t="n"/>
      <c r="D6" s="6" t="n"/>
      <c r="E6" s="6" t="n"/>
    </row>
    <row r="7">
      <c r="A7" s="48" t="inlineStr">
        <is>
          <t>Assessment Status:</t>
        </is>
      </c>
      <c r="B7" s="31" t="inlineStr"/>
      <c r="C7" s="6" t="n"/>
      <c r="D7" s="6" t="n"/>
      <c r="E7" s="6" t="n"/>
    </row>
    <row r="8">
      <c r="A8" s="48" t="inlineStr">
        <is>
          <t>Assessed By:</t>
        </is>
      </c>
      <c r="B8" s="31" t="inlineStr"/>
      <c r="C8" s="6" t="n"/>
      <c r="D8" s="6" t="n"/>
      <c r="E8" s="6" t="n"/>
    </row>
    <row r="11">
      <c r="A11" s="47" t="inlineStr">
        <is>
          <t>COMPLETED BY (ASSESSOR)</t>
        </is>
      </c>
      <c r="B11" s="6" t="n"/>
      <c r="C11" s="6" t="n"/>
      <c r="D11" s="6" t="n"/>
      <c r="E11" s="6" t="n"/>
    </row>
    <row r="12">
      <c r="A12" s="48" t="inlineStr">
        <is>
          <t>Name:</t>
        </is>
      </c>
      <c r="B12" s="31" t="n"/>
      <c r="C12" s="6" t="n"/>
      <c r="D12" s="6" t="n"/>
      <c r="E12" s="6" t="n"/>
    </row>
    <row r="13">
      <c r="A13" s="48" t="inlineStr">
        <is>
          <t>Title:</t>
        </is>
      </c>
      <c r="B13" s="31" t="n"/>
      <c r="C13" s="6" t="n"/>
      <c r="D13" s="6" t="n"/>
      <c r="E13" s="6" t="n"/>
    </row>
    <row r="14">
      <c r="A14" s="48" t="inlineStr">
        <is>
          <t>Date:</t>
        </is>
      </c>
      <c r="B14" s="31" t="n"/>
      <c r="C14" s="6" t="n"/>
      <c r="D14" s="6" t="n"/>
      <c r="E14" s="6" t="n"/>
    </row>
    <row r="15">
      <c r="A15" s="48" t="inlineStr">
        <is>
          <t>Signature:</t>
        </is>
      </c>
      <c r="B15" s="31" t="n"/>
      <c r="C15" s="6" t="n"/>
      <c r="D15" s="6" t="n"/>
      <c r="E15" s="6" t="n"/>
    </row>
    <row r="16">
      <c r="A16" s="48" t="inlineStr">
        <is>
          <t>Comments:</t>
        </is>
      </c>
      <c r="B16" s="31" t="n"/>
      <c r="C16" s="6" t="n"/>
      <c r="D16" s="6" t="n"/>
      <c r="E16" s="6" t="n"/>
    </row>
    <row r="18">
      <c r="A18" s="47" t="inlineStr">
        <is>
          <t>REVIEWED BY (INFORMATION SECURITY OFFICER)</t>
        </is>
      </c>
      <c r="B18" s="6" t="n"/>
      <c r="C18" s="6" t="n"/>
      <c r="D18" s="6" t="n"/>
      <c r="E18" s="6" t="n"/>
    </row>
    <row r="19">
      <c r="A19" s="48" t="inlineStr">
        <is>
          <t>Name:</t>
        </is>
      </c>
      <c r="B19" s="31" t="n"/>
      <c r="C19" s="6" t="n"/>
      <c r="D19" s="6" t="n"/>
      <c r="E19" s="6" t="n"/>
    </row>
    <row r="20">
      <c r="A20" s="48" t="inlineStr">
        <is>
          <t>Title:</t>
        </is>
      </c>
      <c r="B20" s="31" t="n"/>
      <c r="C20" s="6" t="n"/>
      <c r="D20" s="6" t="n"/>
      <c r="E20" s="6" t="n"/>
    </row>
    <row r="21">
      <c r="A21" s="48" t="inlineStr">
        <is>
          <t>Date:</t>
        </is>
      </c>
      <c r="B21" s="31" t="n"/>
      <c r="C21" s="6" t="n"/>
      <c r="D21" s="6" t="n"/>
      <c r="E21" s="6" t="n"/>
    </row>
    <row r="22">
      <c r="A22" s="48" t="inlineStr">
        <is>
          <t>Signature:</t>
        </is>
      </c>
      <c r="B22" s="31" t="n"/>
      <c r="C22" s="6" t="n"/>
      <c r="D22" s="6" t="n"/>
      <c r="E22" s="6" t="n"/>
    </row>
    <row r="23">
      <c r="A23" s="48" t="inlineStr">
        <is>
          <t>Comments:</t>
        </is>
      </c>
      <c r="B23" s="31" t="n"/>
      <c r="C23" s="6" t="n"/>
      <c r="D23" s="6" t="n"/>
      <c r="E23" s="6" t="n"/>
    </row>
    <row r="25">
      <c r="A25" s="50" t="inlineStr">
        <is>
          <t>APPROVED BY (CISO)</t>
        </is>
      </c>
      <c r="B25" s="6" t="n"/>
      <c r="C25" s="6" t="n"/>
      <c r="D25" s="6" t="n"/>
      <c r="E25" s="6" t="n"/>
    </row>
    <row r="26">
      <c r="A26" s="48" t="inlineStr">
        <is>
          <t>Name:</t>
        </is>
      </c>
      <c r="B26" s="31" t="n"/>
      <c r="C26" s="6" t="n"/>
      <c r="D26" s="6" t="n"/>
      <c r="E26" s="6" t="n"/>
    </row>
    <row r="27">
      <c r="A27" s="48" t="inlineStr">
        <is>
          <t>Title:</t>
        </is>
      </c>
      <c r="B27" s="31" t="n"/>
      <c r="C27" s="6" t="n"/>
      <c r="D27" s="6" t="n"/>
      <c r="E27" s="6" t="n"/>
    </row>
    <row r="28">
      <c r="A28" s="48" t="inlineStr">
        <is>
          <t>Date:</t>
        </is>
      </c>
      <c r="B28" s="31" t="n"/>
      <c r="C28" s="6" t="n"/>
      <c r="D28" s="6" t="n"/>
      <c r="E28" s="6" t="n"/>
    </row>
    <row r="29">
      <c r="A29" s="48" t="inlineStr">
        <is>
          <t>Signature:</t>
        </is>
      </c>
      <c r="B29" s="31" t="n"/>
      <c r="C29" s="6" t="n"/>
      <c r="D29" s="6" t="n"/>
      <c r="E29" s="6" t="n"/>
    </row>
    <row r="30">
      <c r="A30" s="48" t="inlineStr">
        <is>
          <t>Comments:</t>
        </is>
      </c>
      <c r="B30" s="31" t="n"/>
      <c r="C30" s="6" t="n"/>
      <c r="D30" s="6" t="n"/>
      <c r="E30" s="6" t="n"/>
    </row>
    <row r="32">
      <c r="A32" s="48" t="inlineStr">
        <is>
          <t>FINAL DECISION:</t>
        </is>
      </c>
      <c r="B32" s="31" t="n"/>
      <c r="C32" s="6" t="n"/>
      <c r="D32" s="6" t="n"/>
      <c r="E32" s="6" t="n"/>
    </row>
    <row r="35">
      <c r="A35" s="47" t="inlineStr">
        <is>
          <t>NEXT REVIEW DETAILS</t>
        </is>
      </c>
      <c r="B35" s="6" t="n"/>
      <c r="C35" s="6" t="n"/>
      <c r="D35" s="6" t="n"/>
      <c r="E35" s="6" t="n"/>
    </row>
    <row r="36">
      <c r="A36" s="48" t="inlineStr">
        <is>
          <t>Next Review Date:</t>
        </is>
      </c>
      <c r="B36" s="31" t="n"/>
      <c r="C36" s="6" t="n"/>
      <c r="D36" s="6" t="n"/>
      <c r="E36" s="6" t="n"/>
    </row>
    <row r="37">
      <c r="A37" s="48" t="inlineStr">
        <is>
          <t>Review Responsible:</t>
        </is>
      </c>
      <c r="B37" s="31" t="n"/>
      <c r="C37" s="6" t="n"/>
      <c r="D37" s="6" t="n"/>
      <c r="E37" s="6" t="n"/>
    </row>
    <row r="38">
      <c r="A38" s="48"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ISMS-IMP-A.8.1-7-18-19.1 — Endpoint Inventory</dc:title>
  <dc:description xmlns:dc="http://purl.org/dc/elements/1.1/">ISMS Implementation Workbook — ISMS-IMP-A.8.1-7-18-19.1</dc:description>
  <dc:subject xmlns:dc="http://purl.org/dc/elements/1.1/">ISO/IEC 27001:2022 — Control A.8.1-7-18-19: Endpoint and Device Security</dc:subject>
  <dcterms:created xmlns:dcterms="http://purl.org/dc/terms/" xmlns:xsi="http://www.w3.org/2001/XMLSchema-instance" xsi:type="dcterms:W3CDTF">2026-03-10T18:49:11Z</dcterms:created>
  <dcterms:modified xmlns:dcterms="http://purl.org/dc/terms/" xmlns:xsi="http://www.w3.org/2001/XMLSchema-instance" xsi:type="dcterms:W3CDTF">2026-03-10T18:49:12Z</dcterms:modified>
</cp:coreProperties>
</file>