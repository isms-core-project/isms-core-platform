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Utility Inventory" sheetId="2" state="visible" r:id="rId2"/>
    <sheet xmlns:r="http://schemas.openxmlformats.org/officeDocument/2006/relationships" name="Access Controls" sheetId="3" state="visible" r:id="rId3"/>
    <sheet xmlns:r="http://schemas.openxmlformats.org/officeDocument/2006/relationships" name="Approval Workflow" sheetId="4" state="visible" r:id="rId4"/>
    <sheet xmlns:r="http://schemas.openxmlformats.org/officeDocument/2006/relationships" name="Usage Audit" sheetId="5" state="visible" r:id="rId5"/>
    <sheet xmlns:r="http://schemas.openxmlformats.org/officeDocument/2006/relationships" name="MFA Compliance" sheetId="6" state="visible" r:id="rId6"/>
    <sheet xmlns:r="http://schemas.openxmlformats.org/officeDocument/2006/relationships" name="Quarterly Reviews" sheetId="7" state="visible" r:id="rId7"/>
    <sheet xmlns:r="http://schemas.openxmlformats.org/officeDocument/2006/relationships" name="Capability Requirements"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b val="1"/>
      <color rgb="00FFFFFF"/>
      <sz val="14"/>
    </font>
    <font>
      <name val="Calibri"/>
      <i val="1"/>
      <color rgb="00003366"/>
      <sz val="10"/>
    </font>
    <font>
      <b val="1"/>
      <color rgb="00FFFFFF"/>
      <sz val="11"/>
    </font>
    <font>
      <color rgb="00808080"/>
    </font>
    <font/>
    <font>
      <name val="Calibri"/>
      <i val="1"/>
      <sz val="10"/>
    </font>
    <font>
      <name val="Calibri"/>
      <b val="1"/>
      <color rgb="00FFFFFF"/>
      <sz val="10"/>
    </font>
    <font>
      <name val="Calibri"/>
      <color rgb="00000000"/>
      <sz val="10"/>
    </font>
    <font>
      <name val="Calibri"/>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0" borderId="0" pivotButton="0" quotePrefix="0" xfId="0"/>
    <xf numFmtId="0" fontId="7" fillId="8" borderId="1" applyAlignment="1" pivotButton="0" quotePrefix="0" xfId="0">
      <alignment horizontal="center" vertical="center" wrapText="1"/>
    </xf>
    <xf numFmtId="0" fontId="8" fillId="0" borderId="1" applyAlignment="1" pivotButton="0" quotePrefix="0" xfId="0">
      <alignment horizontal="center" vertical="center"/>
    </xf>
    <xf numFmtId="0" fontId="9" fillId="12" borderId="1" pivotButton="0" quotePrefix="0" xfId="0"/>
    <xf numFmtId="0" fontId="6" fillId="0" borderId="1" pivotButton="0" quotePrefix="0" xfId="0"/>
    <xf numFmtId="0" fontId="0" fillId="11" borderId="1" pivotButton="0" quotePrefix="0" xfId="0"/>
    <xf numFmtId="164" fontId="0" fillId="0" borderId="1" pivotButton="0" quotePrefix="0" xfId="0"/>
    <xf numFmtId="0" fontId="9" fillId="8" borderId="1" pivotButton="0" quotePrefix="0" xfId="0"/>
    <xf numFmtId="0" fontId="0" fillId="11" borderId="1" applyAlignment="1" pivotButton="0" quotePrefix="0" xfId="0">
      <alignment wrapText="1"/>
    </xf>
    <xf numFmtId="0" fontId="10" fillId="10" borderId="1" pivotButton="0" quotePrefix="0" xfId="0"/>
    <xf numFmtId="0" fontId="10" fillId="10" borderId="1" applyAlignment="1" pivotButton="0" quotePrefix="0" xfId="0">
      <alignment horizontal="left" vertical="center" wrapText="1"/>
    </xf>
    <xf numFmtId="0" fontId="11" fillId="11" borderId="1" pivotButton="0" quotePrefix="0" xfId="0"/>
    <xf numFmtId="0" fontId="1" fillId="8" borderId="0" applyAlignment="1" pivotButton="0" quotePrefix="0" xfId="0">
      <alignment horizontal="center" vertical="center"/>
    </xf>
    <xf numFmtId="0" fontId="12" fillId="0" borderId="0" applyAlignment="1" pivotButton="0" quotePrefix="0" xfId="0">
      <alignment horizontal="left" vertical="center"/>
    </xf>
    <xf numFmtId="0" fontId="13" fillId="8" borderId="1" applyAlignment="1" pivotButton="0" quotePrefix="0" xfId="0">
      <alignment horizontal="center" vertical="center" wrapText="1"/>
    </xf>
    <xf numFmtId="0" fontId="5" fillId="8" borderId="0" pivotButton="0" quotePrefix="0" xfId="0"/>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4" fillId="9" borderId="1" pivotButton="0" quotePrefix="0" xfId="0"/>
    <xf numFmtId="0" fontId="4" fillId="9" borderId="1" applyAlignment="1" pivotButton="0" quotePrefix="0" xfId="0">
      <alignment horizontal="center"/>
    </xf>
    <xf numFmtId="164" fontId="4" fillId="9" borderId="1" applyAlignment="1" pivotButton="0" quotePrefix="0" xfId="0">
      <alignment horizontal="center"/>
    </xf>
    <xf numFmtId="164" fontId="14" fillId="0" borderId="1" pivotButton="0" quotePrefix="0" xfId="0"/>
    <xf numFmtId="0" fontId="5" fillId="13" borderId="0" pivotButton="0" quotePrefix="0" xfId="0"/>
    <xf numFmtId="0" fontId="15" fillId="11" borderId="1" applyAlignment="1" pivotButton="0" quotePrefix="0" xfId="0">
      <alignment horizontal="left" vertical="center" wrapText="1"/>
    </xf>
    <xf numFmtId="0" fontId="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ISMS-IMP-A.8.1-7-18-19.4  -  Privileged Utilities
ISO/IEC 27001:2022 - Control A.8.1-7-18-19: Endpoint and Device Security</t>
        </is>
      </c>
    </row>
    <row r="3">
      <c r="A3" s="2" t="inlineStr">
        <is>
          <t>Document Information</t>
        </is>
      </c>
    </row>
    <row r="4">
      <c r="A4" s="3" t="inlineStr">
        <is>
          <t>Document ID</t>
        </is>
      </c>
      <c r="B4" t="inlineStr">
        <is>
          <t>ISMS-IMP-A.8.1-7-18-19.4</t>
        </is>
      </c>
    </row>
    <row r="5">
      <c r="A5" s="3" t="inlineStr">
        <is>
          <t>Workbook Title</t>
        </is>
      </c>
      <c r="B5" t="inlineStr">
        <is>
          <t>Privileged Utilities</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Utility Inventory — list all privileged utilities, admin tools, and diagnostic software.</t>
        </is>
      </c>
    </row>
    <row r="14">
      <c r="A14" t="inlineStr">
        <is>
          <t>2. Complete Access Controls — verify privileged utilities are restricted to authorised personnel.</t>
        </is>
      </c>
    </row>
    <row r="15">
      <c r="A15" t="inlineStr">
        <is>
          <t>3. Complete Approval Workflow — document the approval process for privileged utility usage.</t>
        </is>
      </c>
    </row>
    <row r="16">
      <c r="A16" t="inlineStr">
        <is>
          <t>4. Complete Usage Audit — review audit logs of privileged utility execution.</t>
        </is>
      </c>
    </row>
    <row r="17">
      <c r="A17" t="inlineStr">
        <is>
          <t>5. Complete MFA Compliance — verify MFA is required to access privileged utilities.</t>
        </is>
      </c>
    </row>
    <row r="18">
      <c r="A18" t="inlineStr">
        <is>
          <t>6. Complete Quarterly Reviews — confirm access lists for privileged utilities are reviewed quarterly.</t>
        </is>
      </c>
    </row>
    <row r="19">
      <c r="A19" t="inlineStr">
        <is>
          <t>7. Complete Capability Requirements — map policy requirements to utility controls.</t>
        </is>
      </c>
    </row>
    <row r="20">
      <c r="A20" t="inlineStr">
        <is>
          <t>8. Complete Gap Analysis — identify access control gaps and create remediation plans.</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8"/>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15" customWidth="1" min="3" max="3"/>
    <col width="25" customWidth="1" min="4" max="4"/>
    <col width="15" customWidth="1" min="5" max="5"/>
    <col width="35" customWidth="1" min="6" max="6"/>
    <col width="25" customWidth="1" min="7" max="7"/>
    <col width="25" customWidth="1" min="8" max="8"/>
    <col width="15" customWidth="1" min="9" max="9"/>
    <col width="15" customWidth="1" min="10" max="10"/>
    <col width="30" customWidth="1" min="11" max="11"/>
  </cols>
  <sheetData>
    <row r="1" ht="35" customHeight="1">
      <c r="A1" s="11" t="inlineStr">
        <is>
          <t>PRIVILEGED UTILITY INVENTORY</t>
        </is>
      </c>
    </row>
    <row r="2">
      <c r="A2" s="12" t="inlineStr">
        <is>
          <t>Use this sheet to record all privileged utility programs and administrative tools in scope</t>
        </is>
      </c>
    </row>
    <row r="4">
      <c r="A4" s="13" t="inlineStr">
        <is>
          <t>Utility ID</t>
        </is>
      </c>
      <c r="B4" s="13" t="inlineStr">
        <is>
          <t>Utility Name</t>
        </is>
      </c>
      <c r="C4" s="13" t="inlineStr">
        <is>
          <t>Platform</t>
        </is>
      </c>
      <c r="D4" s="13" t="inlineStr">
        <is>
          <t>Category</t>
        </is>
      </c>
      <c r="E4" s="13" t="inlineStr">
        <is>
          <t>Risk Level</t>
        </is>
      </c>
      <c r="F4" s="13" t="inlineStr">
        <is>
          <t>Business Justification</t>
        </is>
      </c>
      <c r="G4" s="13" t="inlineStr">
        <is>
          <t>Authorised Roles</t>
        </is>
      </c>
      <c r="H4" s="13" t="inlineStr">
        <is>
          <t>Access Control Method</t>
        </is>
      </c>
      <c r="I4" s="13" t="inlineStr">
        <is>
          <t>MFA Required</t>
        </is>
      </c>
      <c r="J4" s="13" t="inlineStr">
        <is>
          <t>Logging Enabled</t>
        </is>
      </c>
      <c r="K4" s="13" t="inlineStr">
        <is>
          <t>Notes</t>
        </is>
      </c>
    </row>
    <row r="5">
      <c r="A5" s="14" t="inlineStr">
        <is>
          <t>UTIL-001</t>
        </is>
      </c>
      <c r="B5" s="14" t="inlineStr">
        <is>
          <t>PsExec</t>
        </is>
      </c>
      <c r="C5" s="14" t="inlineStr">
        <is>
          <t>Windows</t>
        </is>
      </c>
      <c r="D5" s="14" t="inlineStr">
        <is>
          <t>[TOOL] System Admin</t>
        </is>
      </c>
      <c r="E5" s="14" t="inlineStr">
        <is>
          <t>Critical</t>
        </is>
      </c>
      <c r="F5" s="14" t="inlineStr">
        <is>
          <t>Remote process execution for incident response</t>
        </is>
      </c>
      <c r="G5" s="14" t="inlineStr">
        <is>
          <t>IT Administrators</t>
        </is>
      </c>
      <c r="H5" s="14" t="inlineStr">
        <is>
          <t>AD Group + AppLocker</t>
        </is>
      </c>
      <c r="I5" s="14" t="inlineStr">
        <is>
          <t>Yes</t>
        </is>
      </c>
      <c r="J5" s="14" t="inlineStr">
        <is>
          <t>Yes</t>
        </is>
      </c>
      <c r="K5" s="14" t="inlineStr">
        <is>
          <t>Approved for emergency use only</t>
        </is>
      </c>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6" t="inlineStr">
        <is>
          <t>Total Utilities:</t>
        </is>
      </c>
      <c r="B58">
        <f>COUNTA(B6:B55)</f>
        <v/>
      </c>
    </row>
  </sheetData>
  <mergeCells count="2">
    <mergeCell ref="A2:K2"/>
    <mergeCell ref="A1:K1"/>
  </mergeCells>
  <dataValidations count="3">
    <dataValidation sqref="I5 I6 I7 I8 I9 I10 I11 I12 I13 I14 I15 I16 I17 I18 I19 I20 I21 I22 I23 I24 I25 I26 I27 I28 I29 I30 I31 I32 I33 I34 I35 I36 I37 I38 I39 I40 I41 I42 I43 I44 I45 I46 I47 I48 I49 I50 I51 I52 I53 I54 I55 J5 J6 J7 J8 J9 J10 J11 J12 J13 J14 J15 J16 J17 J18 J19 J20 J21 J22 J23 J24 J25 J26 J27 J28 J29 J30 J31 J32 J33 J34 J35 J36 J37 J38 J39 J40 J41 J42 J43 J44 J45 J46 J47 J48 J49 J50 J51 J52 J53 J54 J5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"[TOOL] System Admin,[BUG] Debugging,[UNLOCK] Security Bypass,[WEB] Network Tools,[DISK] Disk/File,Third-Party Admin,Other"</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5" customHeight="1">
      <c r="A1" s="11" t="inlineStr">
        <is>
          <t>ACCESS CONTROL CONFIGURATION</t>
        </is>
      </c>
    </row>
    <row r="2">
      <c r="A2" s="12" t="inlineStr">
        <is>
          <t>Use this sheet to document access control mechanisms applied to each privileged utility</t>
        </is>
      </c>
    </row>
    <row r="4">
      <c r="A4" s="13" t="inlineStr">
        <is>
          <t>Utility ID</t>
        </is>
      </c>
      <c r="B4" s="13" t="inlineStr">
        <is>
          <t>Utility Name</t>
        </is>
      </c>
      <c r="C4" s="13" t="inlineStr">
        <is>
          <t>File Permissions Set</t>
        </is>
      </c>
      <c r="D4" s="13" t="inlineStr">
        <is>
          <t>AD Group Restriction</t>
        </is>
      </c>
      <c r="E4" s="13" t="inlineStr">
        <is>
          <t>AppLocker Rule</t>
        </is>
      </c>
      <c r="F4" s="13" t="inlineStr">
        <is>
          <t>Control Status</t>
        </is>
      </c>
      <c r="G4" s="13" t="inlineStr">
        <is>
          <t>Last Verified</t>
        </is>
      </c>
      <c r="H4" s="13" t="inlineStr">
        <is>
          <t>Verified By</t>
        </is>
      </c>
      <c r="I4" s="13" t="inlineStr">
        <is>
          <t>Issues</t>
        </is>
      </c>
      <c r="J4" s="13" t="inlineStr">
        <is>
          <t>Notes</t>
        </is>
      </c>
    </row>
    <row r="5">
      <c r="A5" s="14" t="inlineStr">
        <is>
          <t>UTIL-001</t>
        </is>
      </c>
      <c r="B5" s="14" t="inlineStr">
        <is>
          <t>PsExec</t>
        </is>
      </c>
      <c r="C5" s="14" t="inlineStr">
        <is>
          <t>Yes</t>
        </is>
      </c>
      <c r="D5" s="14" t="inlineStr">
        <is>
          <t>Yes</t>
        </is>
      </c>
      <c r="E5" s="14" t="inlineStr">
        <is>
          <t>Yes</t>
        </is>
      </c>
      <c r="F5" s="14" t="inlineStr">
        <is>
          <t>✅ Controlled</t>
        </is>
      </c>
      <c r="G5" s="14" t="inlineStr">
        <is>
          <t>20.02.2026</t>
        </is>
      </c>
      <c r="H5" s="14" t="inlineStr">
        <is>
          <t>IT Security Team</t>
        </is>
      </c>
      <c r="I5" s="14" t="inlineStr">
        <is>
          <t>None</t>
        </is>
      </c>
      <c r="J5" s="14" t="inlineStr">
        <is>
          <t>Access restricted to IT Admins group</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dataValidations count="2">
    <dataValidation sqref="C5 C6 C7 C8 C9 C10 C11 C12 C13 C14 C15 C16 C17 C18 C19 C20 C21 C22 C23 C24 C25 C26 C27 C28 C29 C30 C31 C32 C33 C34 C35 C36 C37 C38 C39 C40 C41 C42 C43 C44 C45 C46 C47 C48 C49 C50 C51 C52 C53 C54 C55 D5 D6 D7 D8 D9 D10 D11 D12 D13 D14 D15 D16 D17 D18 D19 D20 D21 D22 D23 D24 D25 D26 D27 D28 D29 D30 D31 D32 D33 D34 D35 D36 D37 D38 D39 D40 D41 D42 D43 D44 D45 D46 D47 D48 D49 D50 D51 D52 D53 D54 D55 E5 E6 E7 E8 E9 E10 E11 E12 E13 E14 E15 E16 E17 E18 E19 E20 E21 E22 E23 E24 E25 E26 E27 E28 E29 E30 E31 E32 E33 E34 E35 E36 E37 E38 E39 E40 E41 E42 E43 E44 E45 E46 E47 E48 E49 E50 E51 E52 E53 E54 E55" showDropDown="0" showInputMessage="0" showErrorMessage="0" allowBlank="0" type="list">
      <formula1>"Yes,No,N/A"</formula1>
    </dataValidation>
    <dataValidation sqref="F5 F6 F7 F8 F9 F10 F11 F12 F13 F14 F15 F16 F17 F18 F19 F20 F21 F22 F23 F24 F25 F26 F27 F28 F29 F30 F31 F32 F33 F34 F35 F36 F37 F38 F39 F40 F41 F42 F43 F44 F45 F46 F47 F48 F49 F50 F51 F52 F53 F54 F55" showDropDown="0" showInputMessage="0" showErrorMessage="0" allowBlank="0" type="list">
      <formula1>"✅ Controlled,Partial,Uncontrolled,Unknown"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18" t="inlineStr">
        <is>
          <t>ISO/IEC 27001:2022 - Control A.8.1-7-18-19: Endpoint and Device Security</t>
        </is>
      </c>
      <c r="B2" s="6" t="n"/>
      <c r="C2" s="6" t="n"/>
      <c r="D2" s="6" t="n"/>
      <c r="E2" s="6" t="n"/>
    </row>
    <row r="3">
      <c r="A3" s="19" t="inlineStr">
        <is>
          <t>ASSESSMENT SUMMARY</t>
        </is>
      </c>
      <c r="B3" s="6" t="n"/>
      <c r="C3" s="6" t="n"/>
      <c r="D3" s="6" t="n"/>
      <c r="E3" s="6" t="n"/>
    </row>
    <row r="4">
      <c r="A4" s="20" t="inlineStr">
        <is>
          <t>Document:</t>
        </is>
      </c>
      <c r="B4" s="6" t="inlineStr">
        <is>
          <t>ISMS-IMP-A.8.1-7-18-19.4 - Privileged Utilities</t>
        </is>
      </c>
      <c r="C4" s="6" t="n"/>
      <c r="D4" s="6" t="n"/>
      <c r="E4" s="6" t="n"/>
    </row>
    <row r="5">
      <c r="A5" s="20" t="inlineStr">
        <is>
          <t>Assessment Period:</t>
        </is>
      </c>
      <c r="B5" s="21" t="inlineStr"/>
      <c r="C5" s="6" t="n"/>
      <c r="D5" s="6" t="n"/>
      <c r="E5" s="6" t="n"/>
    </row>
    <row r="6">
      <c r="A6" s="20" t="inlineStr">
        <is>
          <t>Overall Compliance Rating:</t>
        </is>
      </c>
      <c r="B6" s="22">
        <f>'Summary Dashboard'!G10</f>
        <v/>
      </c>
      <c r="C6" s="6" t="n"/>
      <c r="D6" s="6" t="n"/>
      <c r="E6" s="6" t="n"/>
    </row>
    <row r="7">
      <c r="A7" s="20" t="inlineStr">
        <is>
          <t>Assessment Status:</t>
        </is>
      </c>
      <c r="B7" s="21" t="inlineStr"/>
      <c r="C7" s="6" t="n"/>
      <c r="D7" s="6" t="n"/>
      <c r="E7" s="6" t="n"/>
    </row>
    <row r="8">
      <c r="A8" s="20" t="inlineStr">
        <is>
          <t>Assessed By:</t>
        </is>
      </c>
      <c r="B8" s="21" t="inlineStr"/>
      <c r="C8" s="6" t="n"/>
      <c r="D8" s="6" t="n"/>
      <c r="E8" s="6" t="n"/>
    </row>
    <row r="11">
      <c r="A11" s="19" t="inlineStr">
        <is>
          <t>COMPLETED BY (ASSESSOR)</t>
        </is>
      </c>
      <c r="B11" s="6" t="n"/>
      <c r="C11" s="6" t="n"/>
      <c r="D11" s="6" t="n"/>
      <c r="E11" s="6" t="n"/>
    </row>
    <row r="12">
      <c r="A12" s="20" t="inlineStr">
        <is>
          <t>Name:</t>
        </is>
      </c>
      <c r="B12" s="21" t="n"/>
      <c r="C12" s="6" t="n"/>
      <c r="D12" s="6" t="n"/>
      <c r="E12" s="6" t="n"/>
    </row>
    <row r="13">
      <c r="A13" s="20" t="inlineStr">
        <is>
          <t>Title:</t>
        </is>
      </c>
      <c r="B13" s="21" t="n"/>
      <c r="C13" s="6" t="n"/>
      <c r="D13" s="6" t="n"/>
      <c r="E13" s="6" t="n"/>
    </row>
    <row r="14">
      <c r="A14" s="20" t="inlineStr">
        <is>
          <t>Date:</t>
        </is>
      </c>
      <c r="B14" s="21" t="n"/>
      <c r="C14" s="6" t="n"/>
      <c r="D14" s="6" t="n"/>
      <c r="E14" s="6" t="n"/>
    </row>
    <row r="15">
      <c r="A15" s="20" t="inlineStr">
        <is>
          <t>Signature:</t>
        </is>
      </c>
      <c r="B15" s="21" t="n"/>
      <c r="C15" s="6" t="n"/>
      <c r="D15" s="6" t="n"/>
      <c r="E15" s="6" t="n"/>
    </row>
    <row r="16">
      <c r="A16" s="20" t="inlineStr">
        <is>
          <t>Comments:</t>
        </is>
      </c>
      <c r="B16" s="21" t="n"/>
      <c r="C16" s="6" t="n"/>
      <c r="D16" s="6" t="n"/>
      <c r="E16" s="6" t="n"/>
    </row>
    <row r="18">
      <c r="A18" s="19" t="inlineStr">
        <is>
          <t>REVIEWED BY (INFORMATION SECURITY OFFICER)</t>
        </is>
      </c>
      <c r="B18" s="6" t="n"/>
      <c r="C18" s="6" t="n"/>
      <c r="D18" s="6" t="n"/>
      <c r="E18" s="6" t="n"/>
    </row>
    <row r="19">
      <c r="A19" s="20" t="inlineStr">
        <is>
          <t>Name:</t>
        </is>
      </c>
      <c r="B19" s="21" t="n"/>
      <c r="C19" s="6" t="n"/>
      <c r="D19" s="6" t="n"/>
      <c r="E19" s="6" t="n"/>
    </row>
    <row r="20">
      <c r="A20" s="20" t="inlineStr">
        <is>
          <t>Title:</t>
        </is>
      </c>
      <c r="B20" s="21" t="n"/>
      <c r="C20" s="6" t="n"/>
      <c r="D20" s="6" t="n"/>
      <c r="E20" s="6" t="n"/>
    </row>
    <row r="21">
      <c r="A21" s="20" t="inlineStr">
        <is>
          <t>Date:</t>
        </is>
      </c>
      <c r="B21" s="21" t="n"/>
      <c r="C21" s="6" t="n"/>
      <c r="D21" s="6" t="n"/>
      <c r="E21" s="6" t="n"/>
    </row>
    <row r="22">
      <c r="A22" s="20" t="inlineStr">
        <is>
          <t>Signature:</t>
        </is>
      </c>
      <c r="B22" s="21" t="n"/>
      <c r="C22" s="6" t="n"/>
      <c r="D22" s="6" t="n"/>
      <c r="E22" s="6" t="n"/>
    </row>
    <row r="23">
      <c r="A23" s="20" t="inlineStr">
        <is>
          <t>Comments:</t>
        </is>
      </c>
      <c r="B23" s="21" t="n"/>
      <c r="C23" s="6" t="n"/>
      <c r="D23" s="6" t="n"/>
      <c r="E23" s="6" t="n"/>
    </row>
    <row r="25">
      <c r="A25" s="23" t="inlineStr">
        <is>
          <t>APPROVED BY (CISO)</t>
        </is>
      </c>
      <c r="B25" s="6" t="n"/>
      <c r="C25" s="6" t="n"/>
      <c r="D25" s="6" t="n"/>
      <c r="E25" s="6" t="n"/>
    </row>
    <row r="26">
      <c r="A26" s="20" t="inlineStr">
        <is>
          <t>Name:</t>
        </is>
      </c>
      <c r="B26" s="21" t="n"/>
      <c r="C26" s="6" t="n"/>
      <c r="D26" s="6" t="n"/>
      <c r="E26" s="6" t="n"/>
    </row>
    <row r="27">
      <c r="A27" s="20" t="inlineStr">
        <is>
          <t>Title:</t>
        </is>
      </c>
      <c r="B27" s="21" t="n"/>
      <c r="C27" s="6" t="n"/>
      <c r="D27" s="6" t="n"/>
      <c r="E27" s="6" t="n"/>
    </row>
    <row r="28">
      <c r="A28" s="20" t="inlineStr">
        <is>
          <t>Date:</t>
        </is>
      </c>
      <c r="B28" s="21" t="n"/>
      <c r="C28" s="6" t="n"/>
      <c r="D28" s="6" t="n"/>
      <c r="E28" s="6" t="n"/>
    </row>
    <row r="29">
      <c r="A29" s="20" t="inlineStr">
        <is>
          <t>Signature:</t>
        </is>
      </c>
      <c r="B29" s="21" t="n"/>
      <c r="C29" s="6" t="n"/>
      <c r="D29" s="6" t="n"/>
      <c r="E29" s="6" t="n"/>
    </row>
    <row r="30">
      <c r="A30" s="20" t="inlineStr">
        <is>
          <t>Comments:</t>
        </is>
      </c>
      <c r="B30" s="21" t="n"/>
      <c r="C30" s="6" t="n"/>
      <c r="D30" s="6" t="n"/>
      <c r="E30" s="6" t="n"/>
    </row>
    <row r="32">
      <c r="A32" s="20" t="inlineStr">
        <is>
          <t>FINAL DECISION:</t>
        </is>
      </c>
      <c r="B32" s="21" t="n"/>
      <c r="C32" s="6" t="n"/>
      <c r="D32" s="6" t="n"/>
      <c r="E32" s="6" t="n"/>
    </row>
    <row r="35">
      <c r="A35" s="19" t="inlineStr">
        <is>
          <t>NEXT REVIEW DETAILS</t>
        </is>
      </c>
      <c r="B35" s="6" t="n"/>
      <c r="C35" s="6" t="n"/>
      <c r="D35" s="6" t="n"/>
      <c r="E35" s="6" t="n"/>
    </row>
    <row r="36">
      <c r="A36" s="20" t="inlineStr">
        <is>
          <t>Next Review Date:</t>
        </is>
      </c>
      <c r="B36" s="21" t="n"/>
      <c r="C36" s="6" t="n"/>
      <c r="D36" s="6" t="n"/>
      <c r="E36" s="6" t="n"/>
    </row>
    <row r="37">
      <c r="A37" s="20" t="inlineStr">
        <is>
          <t>Review Responsible:</t>
        </is>
      </c>
      <c r="B37" s="21" t="n"/>
      <c r="C37" s="6" t="n"/>
      <c r="D37" s="6" t="n"/>
      <c r="E37" s="6" t="n"/>
    </row>
    <row r="38">
      <c r="A38" s="20" t="inlineStr">
        <is>
          <t>Special Considerations:</t>
        </is>
      </c>
      <c r="B38" s="2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5" customHeight="1">
      <c r="A1" s="11" t="inlineStr">
        <is>
          <t>PRIVILEGED UTILITY USAGE AUDIT LOG</t>
        </is>
      </c>
    </row>
    <row r="2">
      <c r="A2" s="12" t="inlineStr">
        <is>
          <t>Use this sheet to log all privileged utility usage events for audit and monitoring purposes</t>
        </is>
      </c>
    </row>
    <row r="4">
      <c r="A4" s="13" t="inlineStr">
        <is>
          <t>Log ID</t>
        </is>
      </c>
      <c r="B4" s="13" t="inlineStr">
        <is>
          <t>Timestamp</t>
        </is>
      </c>
      <c r="C4" s="13" t="inlineStr">
        <is>
          <t>User</t>
        </is>
      </c>
      <c r="D4" s="13" t="inlineStr">
        <is>
          <t>Utility</t>
        </is>
      </c>
      <c r="E4" s="13" t="inlineStr">
        <is>
          <t>Device</t>
        </is>
      </c>
      <c r="F4" s="13" t="inlineStr">
        <is>
          <t>Action</t>
        </is>
      </c>
      <c r="G4" s="13" t="inlineStr">
        <is>
          <t>Duration</t>
        </is>
      </c>
      <c r="H4" s="13" t="inlineStr">
        <is>
          <t>Authorised</t>
        </is>
      </c>
      <c r="I4" s="13" t="inlineStr">
        <is>
          <t>Flagged</t>
        </is>
      </c>
      <c r="J4" s="13" t="inlineStr">
        <is>
          <t>Notes</t>
        </is>
      </c>
    </row>
    <row r="5">
      <c r="A5" s="14" t="inlineStr">
        <is>
          <t>LOG-00001</t>
        </is>
      </c>
      <c r="B5" s="14" t="inlineStr">
        <is>
          <t>21.02.2026 12:00</t>
        </is>
      </c>
      <c r="C5" s="14" t="inlineStr">
        <is>
          <t>greg.smith</t>
        </is>
      </c>
      <c r="D5" s="14" t="inlineStr">
        <is>
          <t>PsExec</t>
        </is>
      </c>
      <c r="E5" s="14" t="inlineStr">
        <is>
          <t>LAPTOP-GREG-01</t>
        </is>
      </c>
      <c r="F5" s="14" t="inlineStr">
        <is>
          <t>User account audit</t>
        </is>
      </c>
      <c r="G5" s="14" t="inlineStr">
        <is>
          <t>00:15:00</t>
        </is>
      </c>
      <c r="H5" s="14" t="inlineStr">
        <is>
          <t>Yes</t>
        </is>
      </c>
      <c r="I5" s="14" t="inlineStr">
        <is>
          <t>No</t>
        </is>
      </c>
      <c r="J5" s="14" t="inlineStr">
        <is>
          <t>Routine audit</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row r="57">
      <c r="A57" s="15" t="n"/>
      <c r="B57" s="15" t="n"/>
      <c r="C57" s="15" t="n"/>
      <c r="D57" s="15" t="n"/>
      <c r="E57" s="15" t="n"/>
      <c r="F57" s="15" t="n"/>
      <c r="G57" s="15" t="n"/>
      <c r="H57" s="15" t="n"/>
      <c r="I57" s="15" t="n"/>
      <c r="J57" s="15" t="n"/>
    </row>
    <row r="58">
      <c r="A58" s="15" t="n"/>
      <c r="B58" s="15" t="n"/>
      <c r="C58" s="15" t="n"/>
      <c r="D58" s="15" t="n"/>
      <c r="E58" s="15" t="n"/>
      <c r="F58" s="15" t="n"/>
      <c r="G58" s="15" t="n"/>
      <c r="H58" s="15" t="n"/>
      <c r="I58" s="15" t="n"/>
      <c r="J58" s="15" t="n"/>
    </row>
    <row r="59">
      <c r="A59" s="15" t="n"/>
      <c r="B59" s="15" t="n"/>
      <c r="C59" s="15" t="n"/>
      <c r="D59" s="15" t="n"/>
      <c r="E59" s="15" t="n"/>
      <c r="F59" s="15" t="n"/>
      <c r="G59" s="15" t="n"/>
      <c r="H59" s="15" t="n"/>
      <c r="I59" s="15" t="n"/>
      <c r="J59" s="15" t="n"/>
    </row>
    <row r="60">
      <c r="A60" s="15" t="n"/>
      <c r="B60" s="15" t="n"/>
      <c r="C60" s="15" t="n"/>
      <c r="D60" s="15" t="n"/>
      <c r="E60" s="15" t="n"/>
      <c r="F60" s="15" t="n"/>
      <c r="G60" s="15" t="n"/>
      <c r="H60" s="15" t="n"/>
      <c r="I60" s="15" t="n"/>
      <c r="J60" s="15" t="n"/>
    </row>
    <row r="61">
      <c r="A61" s="15" t="n"/>
      <c r="B61" s="15" t="n"/>
      <c r="C61" s="15" t="n"/>
      <c r="D61" s="15" t="n"/>
      <c r="E61" s="15" t="n"/>
      <c r="F61" s="15" t="n"/>
      <c r="G61" s="15" t="n"/>
      <c r="H61" s="15" t="n"/>
      <c r="I61" s="15" t="n"/>
      <c r="J61" s="15" t="n"/>
    </row>
    <row r="62">
      <c r="A62" s="15" t="n"/>
      <c r="B62" s="15" t="n"/>
      <c r="C62" s="15" t="n"/>
      <c r="D62" s="15" t="n"/>
      <c r="E62" s="15" t="n"/>
      <c r="F62" s="15" t="n"/>
      <c r="G62" s="15" t="n"/>
      <c r="H62" s="15" t="n"/>
      <c r="I62" s="15" t="n"/>
      <c r="J62" s="15" t="n"/>
    </row>
    <row r="63">
      <c r="A63" s="15" t="n"/>
      <c r="B63" s="15" t="n"/>
      <c r="C63" s="15" t="n"/>
      <c r="D63" s="15" t="n"/>
      <c r="E63" s="15" t="n"/>
      <c r="F63" s="15" t="n"/>
      <c r="G63" s="15" t="n"/>
      <c r="H63" s="15" t="n"/>
      <c r="I63" s="15" t="n"/>
      <c r="J63" s="15" t="n"/>
    </row>
    <row r="64">
      <c r="A64" s="15" t="n"/>
      <c r="B64" s="15" t="n"/>
      <c r="C64" s="15" t="n"/>
      <c r="D64" s="15" t="n"/>
      <c r="E64" s="15" t="n"/>
      <c r="F64" s="15" t="n"/>
      <c r="G64" s="15" t="n"/>
      <c r="H64" s="15" t="n"/>
      <c r="I64" s="15" t="n"/>
      <c r="J64" s="15" t="n"/>
    </row>
    <row r="65">
      <c r="A65" s="15" t="n"/>
      <c r="B65" s="15" t="n"/>
      <c r="C65" s="15" t="n"/>
      <c r="D65" s="15" t="n"/>
      <c r="E65" s="15" t="n"/>
      <c r="F65" s="15" t="n"/>
      <c r="G65" s="15" t="n"/>
      <c r="H65" s="15" t="n"/>
      <c r="I65" s="15" t="n"/>
      <c r="J65" s="15" t="n"/>
    </row>
    <row r="66">
      <c r="A66" s="15" t="n"/>
      <c r="B66" s="15" t="n"/>
      <c r="C66" s="15" t="n"/>
      <c r="D66" s="15" t="n"/>
      <c r="E66" s="15" t="n"/>
      <c r="F66" s="15" t="n"/>
      <c r="G66" s="15" t="n"/>
      <c r="H66" s="15" t="n"/>
      <c r="I66" s="15" t="n"/>
      <c r="J66" s="15" t="n"/>
    </row>
    <row r="67">
      <c r="A67" s="15" t="n"/>
      <c r="B67" s="15" t="n"/>
      <c r="C67" s="15" t="n"/>
      <c r="D67" s="15" t="n"/>
      <c r="E67" s="15" t="n"/>
      <c r="F67" s="15" t="n"/>
      <c r="G67" s="15" t="n"/>
      <c r="H67" s="15" t="n"/>
      <c r="I67" s="15" t="n"/>
      <c r="J67" s="15" t="n"/>
    </row>
    <row r="68">
      <c r="A68" s="15" t="n"/>
      <c r="B68" s="15" t="n"/>
      <c r="C68" s="15" t="n"/>
      <c r="D68" s="15" t="n"/>
      <c r="E68" s="15" t="n"/>
      <c r="F68" s="15" t="n"/>
      <c r="G68" s="15" t="n"/>
      <c r="H68" s="15" t="n"/>
      <c r="I68" s="15" t="n"/>
      <c r="J68" s="15" t="n"/>
    </row>
    <row r="69">
      <c r="A69" s="15" t="n"/>
      <c r="B69" s="15" t="n"/>
      <c r="C69" s="15" t="n"/>
      <c r="D69" s="15" t="n"/>
      <c r="E69" s="15" t="n"/>
      <c r="F69" s="15" t="n"/>
      <c r="G69" s="15" t="n"/>
      <c r="H69" s="15" t="n"/>
      <c r="I69" s="15" t="n"/>
      <c r="J69" s="15" t="n"/>
    </row>
    <row r="70">
      <c r="A70" s="15" t="n"/>
      <c r="B70" s="15" t="n"/>
      <c r="C70" s="15" t="n"/>
      <c r="D70" s="15" t="n"/>
      <c r="E70" s="15" t="n"/>
      <c r="F70" s="15" t="n"/>
      <c r="G70" s="15" t="n"/>
      <c r="H70" s="15" t="n"/>
      <c r="I70" s="15" t="n"/>
      <c r="J70" s="15" t="n"/>
    </row>
    <row r="71">
      <c r="A71" s="15" t="n"/>
      <c r="B71" s="15" t="n"/>
      <c r="C71" s="15" t="n"/>
      <c r="D71" s="15" t="n"/>
      <c r="E71" s="15" t="n"/>
      <c r="F71" s="15" t="n"/>
      <c r="G71" s="15" t="n"/>
      <c r="H71" s="15" t="n"/>
      <c r="I71" s="15" t="n"/>
      <c r="J71" s="15" t="n"/>
    </row>
    <row r="72">
      <c r="A72" s="15" t="n"/>
      <c r="B72" s="15" t="n"/>
      <c r="C72" s="15" t="n"/>
      <c r="D72" s="15" t="n"/>
      <c r="E72" s="15" t="n"/>
      <c r="F72" s="15" t="n"/>
      <c r="G72" s="15" t="n"/>
      <c r="H72" s="15" t="n"/>
      <c r="I72" s="15" t="n"/>
      <c r="J72" s="15" t="n"/>
    </row>
    <row r="73">
      <c r="A73" s="15" t="n"/>
      <c r="B73" s="15" t="n"/>
      <c r="C73" s="15" t="n"/>
      <c r="D73" s="15" t="n"/>
      <c r="E73" s="15" t="n"/>
      <c r="F73" s="15" t="n"/>
      <c r="G73" s="15" t="n"/>
      <c r="H73" s="15" t="n"/>
      <c r="I73" s="15" t="n"/>
      <c r="J73" s="15" t="n"/>
    </row>
    <row r="74">
      <c r="A74" s="15" t="n"/>
      <c r="B74" s="15" t="n"/>
      <c r="C74" s="15" t="n"/>
      <c r="D74" s="15" t="n"/>
      <c r="E74" s="15" t="n"/>
      <c r="F74" s="15" t="n"/>
      <c r="G74" s="15" t="n"/>
      <c r="H74" s="15" t="n"/>
      <c r="I74" s="15" t="n"/>
      <c r="J74" s="15" t="n"/>
    </row>
    <row r="75">
      <c r="A75" s="15" t="n"/>
      <c r="B75" s="15" t="n"/>
      <c r="C75" s="15" t="n"/>
      <c r="D75" s="15" t="n"/>
      <c r="E75" s="15" t="n"/>
      <c r="F75" s="15" t="n"/>
      <c r="G75" s="15" t="n"/>
      <c r="H75" s="15" t="n"/>
      <c r="I75" s="15" t="n"/>
      <c r="J75" s="15" t="n"/>
    </row>
    <row r="76">
      <c r="A76" s="15" t="n"/>
      <c r="B76" s="15" t="n"/>
      <c r="C76" s="15" t="n"/>
      <c r="D76" s="15" t="n"/>
      <c r="E76" s="15" t="n"/>
      <c r="F76" s="15" t="n"/>
      <c r="G76" s="15" t="n"/>
      <c r="H76" s="15" t="n"/>
      <c r="I76" s="15" t="n"/>
      <c r="J76" s="15" t="n"/>
    </row>
    <row r="77">
      <c r="A77" s="15" t="n"/>
      <c r="B77" s="15" t="n"/>
      <c r="C77" s="15" t="n"/>
      <c r="D77" s="15" t="n"/>
      <c r="E77" s="15" t="n"/>
      <c r="F77" s="15" t="n"/>
      <c r="G77" s="15" t="n"/>
      <c r="H77" s="15" t="n"/>
      <c r="I77" s="15" t="n"/>
      <c r="J77" s="15" t="n"/>
    </row>
    <row r="78">
      <c r="A78" s="15" t="n"/>
      <c r="B78" s="15" t="n"/>
      <c r="C78" s="15" t="n"/>
      <c r="D78" s="15" t="n"/>
      <c r="E78" s="15" t="n"/>
      <c r="F78" s="15" t="n"/>
      <c r="G78" s="15" t="n"/>
      <c r="H78" s="15" t="n"/>
      <c r="I78" s="15" t="n"/>
      <c r="J78" s="15" t="n"/>
    </row>
    <row r="79">
      <c r="A79" s="15" t="n"/>
      <c r="B79" s="15" t="n"/>
      <c r="C79" s="15" t="n"/>
      <c r="D79" s="15" t="n"/>
      <c r="E79" s="15" t="n"/>
      <c r="F79" s="15" t="n"/>
      <c r="G79" s="15" t="n"/>
      <c r="H79" s="15" t="n"/>
      <c r="I79" s="15" t="n"/>
      <c r="J79" s="15" t="n"/>
    </row>
    <row r="80">
      <c r="A80" s="15" t="n"/>
      <c r="B80" s="15" t="n"/>
      <c r="C80" s="15" t="n"/>
      <c r="D80" s="15" t="n"/>
      <c r="E80" s="15" t="n"/>
      <c r="F80" s="15" t="n"/>
      <c r="G80" s="15" t="n"/>
      <c r="H80" s="15" t="n"/>
      <c r="I80" s="15" t="n"/>
      <c r="J80" s="15" t="n"/>
    </row>
    <row r="81">
      <c r="A81" s="15" t="n"/>
      <c r="B81" s="15" t="n"/>
      <c r="C81" s="15" t="n"/>
      <c r="D81" s="15" t="n"/>
      <c r="E81" s="15" t="n"/>
      <c r="F81" s="15" t="n"/>
      <c r="G81" s="15" t="n"/>
      <c r="H81" s="15" t="n"/>
      <c r="I81" s="15" t="n"/>
      <c r="J81" s="15" t="n"/>
    </row>
    <row r="82">
      <c r="A82" s="15" t="n"/>
      <c r="B82" s="15" t="n"/>
      <c r="C82" s="15" t="n"/>
      <c r="D82" s="15" t="n"/>
      <c r="E82" s="15" t="n"/>
      <c r="F82" s="15" t="n"/>
      <c r="G82" s="15" t="n"/>
      <c r="H82" s="15" t="n"/>
      <c r="I82" s="15" t="n"/>
      <c r="J82" s="15" t="n"/>
    </row>
    <row r="83">
      <c r="A83" s="15" t="n"/>
      <c r="B83" s="15" t="n"/>
      <c r="C83" s="15" t="n"/>
      <c r="D83" s="15" t="n"/>
      <c r="E83" s="15" t="n"/>
      <c r="F83" s="15" t="n"/>
      <c r="G83" s="15" t="n"/>
      <c r="H83" s="15" t="n"/>
      <c r="I83" s="15" t="n"/>
      <c r="J83" s="15" t="n"/>
    </row>
    <row r="84">
      <c r="A84" s="15" t="n"/>
      <c r="B84" s="15" t="n"/>
      <c r="C84" s="15" t="n"/>
      <c r="D84" s="15" t="n"/>
      <c r="E84" s="15" t="n"/>
      <c r="F84" s="15" t="n"/>
      <c r="G84" s="15" t="n"/>
      <c r="H84" s="15" t="n"/>
      <c r="I84" s="15" t="n"/>
      <c r="J84" s="15" t="n"/>
    </row>
    <row r="85">
      <c r="A85" s="15" t="n"/>
      <c r="B85" s="15" t="n"/>
      <c r="C85" s="15" t="n"/>
      <c r="D85" s="15" t="n"/>
      <c r="E85" s="15" t="n"/>
      <c r="F85" s="15" t="n"/>
      <c r="G85" s="15" t="n"/>
      <c r="H85" s="15" t="n"/>
      <c r="I85" s="15" t="n"/>
      <c r="J85" s="15" t="n"/>
    </row>
    <row r="86">
      <c r="A86" s="15" t="n"/>
      <c r="B86" s="15" t="n"/>
      <c r="C86" s="15" t="n"/>
      <c r="D86" s="15" t="n"/>
      <c r="E86" s="15" t="n"/>
      <c r="F86" s="15" t="n"/>
      <c r="G86" s="15" t="n"/>
      <c r="H86" s="15" t="n"/>
      <c r="I86" s="15" t="n"/>
      <c r="J86" s="15" t="n"/>
    </row>
    <row r="87">
      <c r="A87" s="15" t="n"/>
      <c r="B87" s="15" t="n"/>
      <c r="C87" s="15" t="n"/>
      <c r="D87" s="15" t="n"/>
      <c r="E87" s="15" t="n"/>
      <c r="F87" s="15" t="n"/>
      <c r="G87" s="15" t="n"/>
      <c r="H87" s="15" t="n"/>
      <c r="I87" s="15" t="n"/>
      <c r="J87" s="15" t="n"/>
    </row>
    <row r="88">
      <c r="A88" s="15" t="n"/>
      <c r="B88" s="15" t="n"/>
      <c r="C88" s="15" t="n"/>
      <c r="D88" s="15" t="n"/>
      <c r="E88" s="15" t="n"/>
      <c r="F88" s="15" t="n"/>
      <c r="G88" s="15" t="n"/>
      <c r="H88" s="15" t="n"/>
      <c r="I88" s="15" t="n"/>
      <c r="J88" s="15" t="n"/>
    </row>
    <row r="89">
      <c r="A89" s="15" t="n"/>
      <c r="B89" s="15" t="n"/>
      <c r="C89" s="15" t="n"/>
      <c r="D89" s="15" t="n"/>
      <c r="E89" s="15" t="n"/>
      <c r="F89" s="15" t="n"/>
      <c r="G89" s="15" t="n"/>
      <c r="H89" s="15" t="n"/>
      <c r="I89" s="15" t="n"/>
      <c r="J89" s="15" t="n"/>
    </row>
    <row r="90">
      <c r="A90" s="15" t="n"/>
      <c r="B90" s="15" t="n"/>
      <c r="C90" s="15" t="n"/>
      <c r="D90" s="15" t="n"/>
      <c r="E90" s="15" t="n"/>
      <c r="F90" s="15" t="n"/>
      <c r="G90" s="15" t="n"/>
      <c r="H90" s="15" t="n"/>
      <c r="I90" s="15" t="n"/>
      <c r="J90" s="15" t="n"/>
    </row>
    <row r="91">
      <c r="A91" s="15" t="n"/>
      <c r="B91" s="15" t="n"/>
      <c r="C91" s="15" t="n"/>
      <c r="D91" s="15" t="n"/>
      <c r="E91" s="15" t="n"/>
      <c r="F91" s="15" t="n"/>
      <c r="G91" s="15" t="n"/>
      <c r="H91" s="15" t="n"/>
      <c r="I91" s="15" t="n"/>
      <c r="J91" s="15" t="n"/>
    </row>
    <row r="92">
      <c r="A92" s="15" t="n"/>
      <c r="B92" s="15" t="n"/>
      <c r="C92" s="15" t="n"/>
      <c r="D92" s="15" t="n"/>
      <c r="E92" s="15" t="n"/>
      <c r="F92" s="15" t="n"/>
      <c r="G92" s="15" t="n"/>
      <c r="H92" s="15" t="n"/>
      <c r="I92" s="15" t="n"/>
      <c r="J92" s="15" t="n"/>
    </row>
    <row r="93">
      <c r="A93" s="15" t="n"/>
      <c r="B93" s="15" t="n"/>
      <c r="C93" s="15" t="n"/>
      <c r="D93" s="15" t="n"/>
      <c r="E93" s="15" t="n"/>
      <c r="F93" s="15" t="n"/>
      <c r="G93" s="15" t="n"/>
      <c r="H93" s="15" t="n"/>
      <c r="I93" s="15" t="n"/>
      <c r="J93" s="15" t="n"/>
    </row>
    <row r="94">
      <c r="A94" s="15" t="n"/>
      <c r="B94" s="15" t="n"/>
      <c r="C94" s="15" t="n"/>
      <c r="D94" s="15" t="n"/>
      <c r="E94" s="15" t="n"/>
      <c r="F94" s="15" t="n"/>
      <c r="G94" s="15" t="n"/>
      <c r="H94" s="15" t="n"/>
      <c r="I94" s="15" t="n"/>
      <c r="J94" s="15" t="n"/>
    </row>
    <row r="95">
      <c r="A95" s="15" t="n"/>
      <c r="B95" s="15" t="n"/>
      <c r="C95" s="15" t="n"/>
      <c r="D95" s="15" t="n"/>
      <c r="E95" s="15" t="n"/>
      <c r="F95" s="15" t="n"/>
      <c r="G95" s="15" t="n"/>
      <c r="H95" s="15" t="n"/>
      <c r="I95" s="15" t="n"/>
      <c r="J95" s="15" t="n"/>
    </row>
    <row r="96">
      <c r="A96" s="15" t="n"/>
      <c r="B96" s="15" t="n"/>
      <c r="C96" s="15" t="n"/>
      <c r="D96" s="15" t="n"/>
      <c r="E96" s="15" t="n"/>
      <c r="F96" s="15" t="n"/>
      <c r="G96" s="15" t="n"/>
      <c r="H96" s="15" t="n"/>
      <c r="I96" s="15" t="n"/>
      <c r="J96" s="15" t="n"/>
    </row>
    <row r="97">
      <c r="A97" s="15" t="n"/>
      <c r="B97" s="15" t="n"/>
      <c r="C97" s="15" t="n"/>
      <c r="D97" s="15" t="n"/>
      <c r="E97" s="15" t="n"/>
      <c r="F97" s="15" t="n"/>
      <c r="G97" s="15" t="n"/>
      <c r="H97" s="15" t="n"/>
      <c r="I97" s="15" t="n"/>
      <c r="J97" s="15" t="n"/>
    </row>
    <row r="98">
      <c r="A98" s="15" t="n"/>
      <c r="B98" s="15" t="n"/>
      <c r="C98" s="15" t="n"/>
      <c r="D98" s="15" t="n"/>
      <c r="E98" s="15" t="n"/>
      <c r="F98" s="15" t="n"/>
      <c r="G98" s="15" t="n"/>
      <c r="H98" s="15" t="n"/>
      <c r="I98" s="15" t="n"/>
      <c r="J98" s="15" t="n"/>
    </row>
    <row r="99">
      <c r="A99" s="15" t="n"/>
      <c r="B99" s="15" t="n"/>
      <c r="C99" s="15" t="n"/>
      <c r="D99" s="15" t="n"/>
      <c r="E99" s="15" t="n"/>
      <c r="F99" s="15" t="n"/>
      <c r="G99" s="15" t="n"/>
      <c r="H99" s="15" t="n"/>
      <c r="I99" s="15" t="n"/>
      <c r="J99" s="15" t="n"/>
    </row>
    <row r="100">
      <c r="A100" s="15" t="n"/>
      <c r="B100" s="15" t="n"/>
      <c r="C100" s="15" t="n"/>
      <c r="D100" s="15" t="n"/>
      <c r="E100" s="15" t="n"/>
      <c r="F100" s="15" t="n"/>
      <c r="G100" s="15" t="n"/>
      <c r="H100" s="15" t="n"/>
      <c r="I100" s="15" t="n"/>
      <c r="J100" s="15" t="n"/>
    </row>
    <row r="101">
      <c r="A101" s="15" t="n"/>
      <c r="B101" s="15" t="n"/>
      <c r="C101" s="15" t="n"/>
      <c r="D101" s="15" t="n"/>
      <c r="E101" s="15" t="n"/>
      <c r="F101" s="15" t="n"/>
      <c r="G101" s="15" t="n"/>
      <c r="H101" s="15" t="n"/>
      <c r="I101" s="15" t="n"/>
      <c r="J101" s="15" t="n"/>
    </row>
    <row r="102">
      <c r="A102" s="15" t="n"/>
      <c r="B102" s="15" t="n"/>
      <c r="C102" s="15" t="n"/>
      <c r="D102" s="15" t="n"/>
      <c r="E102" s="15" t="n"/>
      <c r="F102" s="15" t="n"/>
      <c r="G102" s="15" t="n"/>
      <c r="H102" s="15" t="n"/>
      <c r="I102" s="15" t="n"/>
      <c r="J102" s="15" t="n"/>
    </row>
    <row r="103">
      <c r="A103" s="15" t="n"/>
      <c r="B103" s="15" t="n"/>
      <c r="C103" s="15" t="n"/>
      <c r="D103" s="15" t="n"/>
      <c r="E103" s="15" t="n"/>
      <c r="F103" s="15" t="n"/>
      <c r="G103" s="15" t="n"/>
      <c r="H103" s="15" t="n"/>
      <c r="I103" s="15" t="n"/>
      <c r="J103" s="15" t="n"/>
    </row>
    <row r="104">
      <c r="A104" s="15" t="n"/>
      <c r="B104" s="15" t="n"/>
      <c r="C104" s="15" t="n"/>
      <c r="D104" s="15" t="n"/>
      <c r="E104" s="15" t="n"/>
      <c r="F104" s="15" t="n"/>
      <c r="G104" s="15" t="n"/>
      <c r="H104" s="15" t="n"/>
      <c r="I104" s="15" t="n"/>
      <c r="J104" s="15" t="n"/>
    </row>
    <row r="105">
      <c r="A105" s="15" t="n"/>
      <c r="B105" s="15" t="n"/>
      <c r="C105" s="15" t="n"/>
      <c r="D105" s="15" t="n"/>
      <c r="E105" s="15" t="n"/>
      <c r="F105" s="15" t="n"/>
      <c r="G105" s="15" t="n"/>
      <c r="H105" s="15" t="n"/>
      <c r="I105" s="15" t="n"/>
      <c r="J105" s="15" t="n"/>
    </row>
    <row r="106">
      <c r="A106" s="15" t="n"/>
      <c r="B106" s="15" t="n"/>
      <c r="C106" s="15" t="n"/>
      <c r="D106" s="15" t="n"/>
      <c r="E106" s="15" t="n"/>
      <c r="F106" s="15" t="n"/>
      <c r="G106" s="15" t="n"/>
      <c r="H106" s="15" t="n"/>
      <c r="I106" s="15" t="n"/>
      <c r="J106" s="15" t="n"/>
    </row>
    <row r="107">
      <c r="A107" s="15" t="n"/>
      <c r="B107" s="15" t="n"/>
      <c r="C107" s="15" t="n"/>
      <c r="D107" s="15" t="n"/>
      <c r="E107" s="15" t="n"/>
      <c r="F107" s="15" t="n"/>
      <c r="G107" s="15" t="n"/>
      <c r="H107" s="15" t="n"/>
      <c r="I107" s="15" t="n"/>
      <c r="J107" s="15" t="n"/>
    </row>
    <row r="108">
      <c r="A108" s="15" t="n"/>
      <c r="B108" s="15" t="n"/>
      <c r="C108" s="15" t="n"/>
      <c r="D108" s="15" t="n"/>
      <c r="E108" s="15" t="n"/>
      <c r="F108" s="15" t="n"/>
      <c r="G108" s="15" t="n"/>
      <c r="H108" s="15" t="n"/>
      <c r="I108" s="15" t="n"/>
      <c r="J108" s="15" t="n"/>
    </row>
    <row r="109">
      <c r="A109" s="15" t="n"/>
      <c r="B109" s="15" t="n"/>
      <c r="C109" s="15" t="n"/>
      <c r="D109" s="15" t="n"/>
      <c r="E109" s="15" t="n"/>
      <c r="F109" s="15" t="n"/>
      <c r="G109" s="15" t="n"/>
      <c r="H109" s="15" t="n"/>
      <c r="I109" s="15" t="n"/>
      <c r="J109" s="15" t="n"/>
    </row>
    <row r="110">
      <c r="A110" s="15" t="n"/>
      <c r="B110" s="15" t="n"/>
      <c r="C110" s="15" t="n"/>
      <c r="D110" s="15" t="n"/>
      <c r="E110" s="15" t="n"/>
      <c r="F110" s="15" t="n"/>
      <c r="G110" s="15" t="n"/>
      <c r="H110" s="15" t="n"/>
      <c r="I110" s="15" t="n"/>
      <c r="J110" s="15" t="n"/>
    </row>
    <row r="111">
      <c r="A111" s="15" t="n"/>
      <c r="B111" s="15" t="n"/>
      <c r="C111" s="15" t="n"/>
      <c r="D111" s="15" t="n"/>
      <c r="E111" s="15" t="n"/>
      <c r="F111" s="15" t="n"/>
      <c r="G111" s="15" t="n"/>
      <c r="H111" s="15" t="n"/>
      <c r="I111" s="15" t="n"/>
      <c r="J111" s="15" t="n"/>
    </row>
    <row r="112">
      <c r="A112" s="15" t="n"/>
      <c r="B112" s="15" t="n"/>
      <c r="C112" s="15" t="n"/>
      <c r="D112" s="15" t="n"/>
      <c r="E112" s="15" t="n"/>
      <c r="F112" s="15" t="n"/>
      <c r="G112" s="15" t="n"/>
      <c r="H112" s="15" t="n"/>
      <c r="I112" s="15" t="n"/>
      <c r="J112" s="15" t="n"/>
    </row>
    <row r="113">
      <c r="A113" s="15" t="n"/>
      <c r="B113" s="15" t="n"/>
      <c r="C113" s="15" t="n"/>
      <c r="D113" s="15" t="n"/>
      <c r="E113" s="15" t="n"/>
      <c r="F113" s="15" t="n"/>
      <c r="G113" s="15" t="n"/>
      <c r="H113" s="15" t="n"/>
      <c r="I113" s="15" t="n"/>
      <c r="J113" s="15" t="n"/>
    </row>
    <row r="114">
      <c r="A114" s="15" t="n"/>
      <c r="B114" s="15" t="n"/>
      <c r="C114" s="15" t="n"/>
      <c r="D114" s="15" t="n"/>
      <c r="E114" s="15" t="n"/>
      <c r="F114" s="15" t="n"/>
      <c r="G114" s="15" t="n"/>
      <c r="H114" s="15" t="n"/>
      <c r="I114" s="15" t="n"/>
      <c r="J114" s="15" t="n"/>
    </row>
    <row r="115">
      <c r="A115" s="15" t="n"/>
      <c r="B115" s="15" t="n"/>
      <c r="C115" s="15" t="n"/>
      <c r="D115" s="15" t="n"/>
      <c r="E115" s="15" t="n"/>
      <c r="F115" s="15" t="n"/>
      <c r="G115" s="15" t="n"/>
      <c r="H115" s="15" t="n"/>
      <c r="I115" s="15" t="n"/>
      <c r="J115" s="15" t="n"/>
    </row>
    <row r="116">
      <c r="A116" s="15" t="n"/>
      <c r="B116" s="15" t="n"/>
      <c r="C116" s="15" t="n"/>
      <c r="D116" s="15" t="n"/>
      <c r="E116" s="15" t="n"/>
      <c r="F116" s="15" t="n"/>
      <c r="G116" s="15" t="n"/>
      <c r="H116" s="15" t="n"/>
      <c r="I116" s="15" t="n"/>
      <c r="J116" s="15" t="n"/>
    </row>
    <row r="117">
      <c r="A117" s="15" t="n"/>
      <c r="B117" s="15" t="n"/>
      <c r="C117" s="15" t="n"/>
      <c r="D117" s="15" t="n"/>
      <c r="E117" s="15" t="n"/>
      <c r="F117" s="15" t="n"/>
      <c r="G117" s="15" t="n"/>
      <c r="H117" s="15" t="n"/>
      <c r="I117" s="15" t="n"/>
      <c r="J117" s="15" t="n"/>
    </row>
    <row r="118">
      <c r="A118" s="15" t="n"/>
      <c r="B118" s="15" t="n"/>
      <c r="C118" s="15" t="n"/>
      <c r="D118" s="15" t="n"/>
      <c r="E118" s="15" t="n"/>
      <c r="F118" s="15" t="n"/>
      <c r="G118" s="15" t="n"/>
      <c r="H118" s="15" t="n"/>
      <c r="I118" s="15" t="n"/>
      <c r="J118" s="15" t="n"/>
    </row>
    <row r="119">
      <c r="A119" s="15" t="n"/>
      <c r="B119" s="15" t="n"/>
      <c r="C119" s="15" t="n"/>
      <c r="D119" s="15" t="n"/>
      <c r="E119" s="15" t="n"/>
      <c r="F119" s="15" t="n"/>
      <c r="G119" s="15" t="n"/>
      <c r="H119" s="15" t="n"/>
      <c r="I119" s="15" t="n"/>
      <c r="J119" s="15" t="n"/>
    </row>
    <row r="120">
      <c r="A120" s="15" t="n"/>
      <c r="B120" s="15" t="n"/>
      <c r="C120" s="15" t="n"/>
      <c r="D120" s="15" t="n"/>
      <c r="E120" s="15" t="n"/>
      <c r="F120" s="15" t="n"/>
      <c r="G120" s="15" t="n"/>
      <c r="H120" s="15" t="n"/>
      <c r="I120" s="15" t="n"/>
      <c r="J120" s="15" t="n"/>
    </row>
    <row r="121">
      <c r="A121" s="15" t="n"/>
      <c r="B121" s="15" t="n"/>
      <c r="C121" s="15" t="n"/>
      <c r="D121" s="15" t="n"/>
      <c r="E121" s="15" t="n"/>
      <c r="F121" s="15" t="n"/>
      <c r="G121" s="15" t="n"/>
      <c r="H121" s="15" t="n"/>
      <c r="I121" s="15" t="n"/>
      <c r="J121" s="15" t="n"/>
    </row>
    <row r="122">
      <c r="A122" s="15" t="n"/>
      <c r="B122" s="15" t="n"/>
      <c r="C122" s="15" t="n"/>
      <c r="D122" s="15" t="n"/>
      <c r="E122" s="15" t="n"/>
      <c r="F122" s="15" t="n"/>
      <c r="G122" s="15" t="n"/>
      <c r="H122" s="15" t="n"/>
      <c r="I122" s="15" t="n"/>
      <c r="J122" s="15" t="n"/>
    </row>
    <row r="123">
      <c r="A123" s="15" t="n"/>
      <c r="B123" s="15" t="n"/>
      <c r="C123" s="15" t="n"/>
      <c r="D123" s="15" t="n"/>
      <c r="E123" s="15" t="n"/>
      <c r="F123" s="15" t="n"/>
      <c r="G123" s="15" t="n"/>
      <c r="H123" s="15" t="n"/>
      <c r="I123" s="15" t="n"/>
      <c r="J123" s="15" t="n"/>
    </row>
    <row r="124">
      <c r="A124" s="15" t="n"/>
      <c r="B124" s="15" t="n"/>
      <c r="C124" s="15" t="n"/>
      <c r="D124" s="15" t="n"/>
      <c r="E124" s="15" t="n"/>
      <c r="F124" s="15" t="n"/>
      <c r="G124" s="15" t="n"/>
      <c r="H124" s="15" t="n"/>
      <c r="I124" s="15" t="n"/>
      <c r="J124" s="15" t="n"/>
    </row>
    <row r="125">
      <c r="A125" s="15" t="n"/>
      <c r="B125" s="15" t="n"/>
      <c r="C125" s="15" t="n"/>
      <c r="D125" s="15" t="n"/>
      <c r="E125" s="15" t="n"/>
      <c r="F125" s="15" t="n"/>
      <c r="G125" s="15" t="n"/>
      <c r="H125" s="15" t="n"/>
      <c r="I125" s="15" t="n"/>
      <c r="J125" s="15" t="n"/>
    </row>
    <row r="126">
      <c r="A126" s="15" t="n"/>
      <c r="B126" s="15" t="n"/>
      <c r="C126" s="15" t="n"/>
      <c r="D126" s="15" t="n"/>
      <c r="E126" s="15" t="n"/>
      <c r="F126" s="15" t="n"/>
      <c r="G126" s="15" t="n"/>
      <c r="H126" s="15" t="n"/>
      <c r="I126" s="15" t="n"/>
      <c r="J126" s="15" t="n"/>
    </row>
    <row r="127">
      <c r="A127" s="15" t="n"/>
      <c r="B127" s="15" t="n"/>
      <c r="C127" s="15" t="n"/>
      <c r="D127" s="15" t="n"/>
      <c r="E127" s="15" t="n"/>
      <c r="F127" s="15" t="n"/>
      <c r="G127" s="15" t="n"/>
      <c r="H127" s="15" t="n"/>
      <c r="I127" s="15" t="n"/>
      <c r="J127" s="15" t="n"/>
    </row>
    <row r="128">
      <c r="A128" s="15" t="n"/>
      <c r="B128" s="15" t="n"/>
      <c r="C128" s="15" t="n"/>
      <c r="D128" s="15" t="n"/>
      <c r="E128" s="15" t="n"/>
      <c r="F128" s="15" t="n"/>
      <c r="G128" s="15" t="n"/>
      <c r="H128" s="15" t="n"/>
      <c r="I128" s="15" t="n"/>
      <c r="J128" s="15" t="n"/>
    </row>
    <row r="129">
      <c r="A129" s="15" t="n"/>
      <c r="B129" s="15" t="n"/>
      <c r="C129" s="15" t="n"/>
      <c r="D129" s="15" t="n"/>
      <c r="E129" s="15" t="n"/>
      <c r="F129" s="15" t="n"/>
      <c r="G129" s="15" t="n"/>
      <c r="H129" s="15" t="n"/>
      <c r="I129" s="15" t="n"/>
      <c r="J129" s="15" t="n"/>
    </row>
    <row r="130">
      <c r="A130" s="15" t="n"/>
      <c r="B130" s="15" t="n"/>
      <c r="C130" s="15" t="n"/>
      <c r="D130" s="15" t="n"/>
      <c r="E130" s="15" t="n"/>
      <c r="F130" s="15" t="n"/>
      <c r="G130" s="15" t="n"/>
      <c r="H130" s="15" t="n"/>
      <c r="I130" s="15" t="n"/>
      <c r="J130" s="15" t="n"/>
    </row>
    <row r="131">
      <c r="A131" s="15" t="n"/>
      <c r="B131" s="15" t="n"/>
      <c r="C131" s="15" t="n"/>
      <c r="D131" s="15" t="n"/>
      <c r="E131" s="15" t="n"/>
      <c r="F131" s="15" t="n"/>
      <c r="G131" s="15" t="n"/>
      <c r="H131" s="15" t="n"/>
      <c r="I131" s="15" t="n"/>
      <c r="J131" s="15" t="n"/>
    </row>
    <row r="132">
      <c r="A132" s="15" t="n"/>
      <c r="B132" s="15" t="n"/>
      <c r="C132" s="15" t="n"/>
      <c r="D132" s="15" t="n"/>
      <c r="E132" s="15" t="n"/>
      <c r="F132" s="15" t="n"/>
      <c r="G132" s="15" t="n"/>
      <c r="H132" s="15" t="n"/>
      <c r="I132" s="15" t="n"/>
      <c r="J132" s="15" t="n"/>
    </row>
    <row r="133">
      <c r="A133" s="15" t="n"/>
      <c r="B133" s="15" t="n"/>
      <c r="C133" s="15" t="n"/>
      <c r="D133" s="15" t="n"/>
      <c r="E133" s="15" t="n"/>
      <c r="F133" s="15" t="n"/>
      <c r="G133" s="15" t="n"/>
      <c r="H133" s="15" t="n"/>
      <c r="I133" s="15" t="n"/>
      <c r="J133" s="15" t="n"/>
    </row>
    <row r="134">
      <c r="A134" s="15" t="n"/>
      <c r="B134" s="15" t="n"/>
      <c r="C134" s="15" t="n"/>
      <c r="D134" s="15" t="n"/>
      <c r="E134" s="15" t="n"/>
      <c r="F134" s="15" t="n"/>
      <c r="G134" s="15" t="n"/>
      <c r="H134" s="15" t="n"/>
      <c r="I134" s="15" t="n"/>
      <c r="J134" s="15" t="n"/>
    </row>
    <row r="135">
      <c r="A135" s="15" t="n"/>
      <c r="B135" s="15" t="n"/>
      <c r="C135" s="15" t="n"/>
      <c r="D135" s="15" t="n"/>
      <c r="E135" s="15" t="n"/>
      <c r="F135" s="15" t="n"/>
      <c r="G135" s="15" t="n"/>
      <c r="H135" s="15" t="n"/>
      <c r="I135" s="15" t="n"/>
      <c r="J135" s="15" t="n"/>
    </row>
    <row r="136">
      <c r="A136" s="15" t="n"/>
      <c r="B136" s="15" t="n"/>
      <c r="C136" s="15" t="n"/>
      <c r="D136" s="15" t="n"/>
      <c r="E136" s="15" t="n"/>
      <c r="F136" s="15" t="n"/>
      <c r="G136" s="15" t="n"/>
      <c r="H136" s="15" t="n"/>
      <c r="I136" s="15" t="n"/>
      <c r="J136" s="15" t="n"/>
    </row>
    <row r="137">
      <c r="A137" s="15" t="n"/>
      <c r="B137" s="15" t="n"/>
      <c r="C137" s="15" t="n"/>
      <c r="D137" s="15" t="n"/>
      <c r="E137" s="15" t="n"/>
      <c r="F137" s="15" t="n"/>
      <c r="G137" s="15" t="n"/>
      <c r="H137" s="15" t="n"/>
      <c r="I137" s="15" t="n"/>
      <c r="J137" s="15" t="n"/>
    </row>
    <row r="138">
      <c r="A138" s="15" t="n"/>
      <c r="B138" s="15" t="n"/>
      <c r="C138" s="15" t="n"/>
      <c r="D138" s="15" t="n"/>
      <c r="E138" s="15" t="n"/>
      <c r="F138" s="15" t="n"/>
      <c r="G138" s="15" t="n"/>
      <c r="H138" s="15" t="n"/>
      <c r="I138" s="15" t="n"/>
      <c r="J138" s="15" t="n"/>
    </row>
    <row r="139">
      <c r="A139" s="15" t="n"/>
      <c r="B139" s="15" t="n"/>
      <c r="C139" s="15" t="n"/>
      <c r="D139" s="15" t="n"/>
      <c r="E139" s="15" t="n"/>
      <c r="F139" s="15" t="n"/>
      <c r="G139" s="15" t="n"/>
      <c r="H139" s="15" t="n"/>
      <c r="I139" s="15" t="n"/>
      <c r="J139" s="15" t="n"/>
    </row>
    <row r="140">
      <c r="A140" s="15" t="n"/>
      <c r="B140" s="15" t="n"/>
      <c r="C140" s="15" t="n"/>
      <c r="D140" s="15" t="n"/>
      <c r="E140" s="15" t="n"/>
      <c r="F140" s="15" t="n"/>
      <c r="G140" s="15" t="n"/>
      <c r="H140" s="15" t="n"/>
      <c r="I140" s="15" t="n"/>
      <c r="J140" s="15" t="n"/>
    </row>
    <row r="141">
      <c r="A141" s="15" t="n"/>
      <c r="B141" s="15" t="n"/>
      <c r="C141" s="15" t="n"/>
      <c r="D141" s="15" t="n"/>
      <c r="E141" s="15" t="n"/>
      <c r="F141" s="15" t="n"/>
      <c r="G141" s="15" t="n"/>
      <c r="H141" s="15" t="n"/>
      <c r="I141" s="15" t="n"/>
      <c r="J141" s="15" t="n"/>
    </row>
    <row r="142">
      <c r="A142" s="15" t="n"/>
      <c r="B142" s="15" t="n"/>
      <c r="C142" s="15" t="n"/>
      <c r="D142" s="15" t="n"/>
      <c r="E142" s="15" t="n"/>
      <c r="F142" s="15" t="n"/>
      <c r="G142" s="15" t="n"/>
      <c r="H142" s="15" t="n"/>
      <c r="I142" s="15" t="n"/>
      <c r="J142" s="15" t="n"/>
    </row>
    <row r="143">
      <c r="A143" s="15" t="n"/>
      <c r="B143" s="15" t="n"/>
      <c r="C143" s="15" t="n"/>
      <c r="D143" s="15" t="n"/>
      <c r="E143" s="15" t="n"/>
      <c r="F143" s="15" t="n"/>
      <c r="G143" s="15" t="n"/>
      <c r="H143" s="15" t="n"/>
      <c r="I143" s="15" t="n"/>
      <c r="J143" s="15" t="n"/>
    </row>
    <row r="144">
      <c r="A144" s="15" t="n"/>
      <c r="B144" s="15" t="n"/>
      <c r="C144" s="15" t="n"/>
      <c r="D144" s="15" t="n"/>
      <c r="E144" s="15" t="n"/>
      <c r="F144" s="15" t="n"/>
      <c r="G144" s="15" t="n"/>
      <c r="H144" s="15" t="n"/>
      <c r="I144" s="15" t="n"/>
      <c r="J144" s="15" t="n"/>
    </row>
    <row r="145">
      <c r="A145" s="15" t="n"/>
      <c r="B145" s="15" t="n"/>
      <c r="C145" s="15" t="n"/>
      <c r="D145" s="15" t="n"/>
      <c r="E145" s="15" t="n"/>
      <c r="F145" s="15" t="n"/>
      <c r="G145" s="15" t="n"/>
      <c r="H145" s="15" t="n"/>
      <c r="I145" s="15" t="n"/>
      <c r="J145" s="15" t="n"/>
    </row>
    <row r="146">
      <c r="A146" s="15" t="n"/>
      <c r="B146" s="15" t="n"/>
      <c r="C146" s="15" t="n"/>
      <c r="D146" s="15" t="n"/>
      <c r="E146" s="15" t="n"/>
      <c r="F146" s="15" t="n"/>
      <c r="G146" s="15" t="n"/>
      <c r="H146" s="15" t="n"/>
      <c r="I146" s="15" t="n"/>
      <c r="J146" s="15" t="n"/>
    </row>
    <row r="147">
      <c r="A147" s="15" t="n"/>
      <c r="B147" s="15" t="n"/>
      <c r="C147" s="15" t="n"/>
      <c r="D147" s="15" t="n"/>
      <c r="E147" s="15" t="n"/>
      <c r="F147" s="15" t="n"/>
      <c r="G147" s="15" t="n"/>
      <c r="H147" s="15" t="n"/>
      <c r="I147" s="15" t="n"/>
      <c r="J147" s="15" t="n"/>
    </row>
    <row r="148">
      <c r="A148" s="15" t="n"/>
      <c r="B148" s="15" t="n"/>
      <c r="C148" s="15" t="n"/>
      <c r="D148" s="15" t="n"/>
      <c r="E148" s="15" t="n"/>
      <c r="F148" s="15" t="n"/>
      <c r="G148" s="15" t="n"/>
      <c r="H148" s="15" t="n"/>
      <c r="I148" s="15" t="n"/>
      <c r="J148" s="15" t="n"/>
    </row>
    <row r="149">
      <c r="A149" s="15" t="n"/>
      <c r="B149" s="15" t="n"/>
      <c r="C149" s="15" t="n"/>
      <c r="D149" s="15" t="n"/>
      <c r="E149" s="15" t="n"/>
      <c r="F149" s="15" t="n"/>
      <c r="G149" s="15" t="n"/>
      <c r="H149" s="15" t="n"/>
      <c r="I149" s="15" t="n"/>
      <c r="J149" s="15" t="n"/>
    </row>
    <row r="150">
      <c r="A150" s="15" t="n"/>
      <c r="B150" s="15" t="n"/>
      <c r="C150" s="15" t="n"/>
      <c r="D150" s="15" t="n"/>
      <c r="E150" s="15" t="n"/>
      <c r="F150" s="15" t="n"/>
      <c r="G150" s="15" t="n"/>
      <c r="H150" s="15" t="n"/>
      <c r="I150" s="15" t="n"/>
      <c r="J150" s="15" t="n"/>
    </row>
    <row r="151">
      <c r="A151" s="15" t="n"/>
      <c r="B151" s="15" t="n"/>
      <c r="C151" s="15" t="n"/>
      <c r="D151" s="15" t="n"/>
      <c r="E151" s="15" t="n"/>
      <c r="F151" s="15" t="n"/>
      <c r="G151" s="15" t="n"/>
      <c r="H151" s="15" t="n"/>
      <c r="I151" s="15" t="n"/>
      <c r="J151" s="15" t="n"/>
    </row>
    <row r="152">
      <c r="A152" s="15" t="n"/>
      <c r="B152" s="15" t="n"/>
      <c r="C152" s="15" t="n"/>
      <c r="D152" s="15" t="n"/>
      <c r="E152" s="15" t="n"/>
      <c r="F152" s="15" t="n"/>
      <c r="G152" s="15" t="n"/>
      <c r="H152" s="15" t="n"/>
      <c r="I152" s="15" t="n"/>
      <c r="J152" s="15" t="n"/>
    </row>
    <row r="153">
      <c r="A153" s="15" t="n"/>
      <c r="B153" s="15" t="n"/>
      <c r="C153" s="15" t="n"/>
      <c r="D153" s="15" t="n"/>
      <c r="E153" s="15" t="n"/>
      <c r="F153" s="15" t="n"/>
      <c r="G153" s="15" t="n"/>
      <c r="H153" s="15" t="n"/>
      <c r="I153" s="15" t="n"/>
      <c r="J153" s="15" t="n"/>
    </row>
    <row r="154">
      <c r="A154" s="15" t="n"/>
      <c r="B154" s="15" t="n"/>
      <c r="C154" s="15" t="n"/>
      <c r="D154" s="15" t="n"/>
      <c r="E154" s="15" t="n"/>
      <c r="F154" s="15" t="n"/>
      <c r="G154" s="15" t="n"/>
      <c r="H154" s="15" t="n"/>
      <c r="I154" s="15" t="n"/>
      <c r="J154" s="15" t="n"/>
    </row>
    <row r="155">
      <c r="A155" s="15" t="n"/>
      <c r="B155" s="15" t="n"/>
      <c r="C155" s="15" t="n"/>
      <c r="D155" s="15" t="n"/>
      <c r="E155" s="15" t="n"/>
      <c r="F155" s="15" t="n"/>
      <c r="G155" s="15" t="n"/>
      <c r="H155" s="15" t="n"/>
      <c r="I155" s="15" t="n"/>
      <c r="J155" s="15" t="n"/>
    </row>
    <row r="156">
      <c r="A156" s="15" t="n"/>
      <c r="B156" s="15" t="n"/>
      <c r="C156" s="15" t="n"/>
      <c r="D156" s="15" t="n"/>
      <c r="E156" s="15" t="n"/>
      <c r="F156" s="15" t="n"/>
      <c r="G156" s="15" t="n"/>
      <c r="H156" s="15" t="n"/>
      <c r="I156" s="15" t="n"/>
      <c r="J156" s="15" t="n"/>
    </row>
    <row r="157">
      <c r="A157" s="15" t="n"/>
      <c r="B157" s="15" t="n"/>
      <c r="C157" s="15" t="n"/>
      <c r="D157" s="15" t="n"/>
      <c r="E157" s="15" t="n"/>
      <c r="F157" s="15" t="n"/>
      <c r="G157" s="15" t="n"/>
      <c r="H157" s="15" t="n"/>
      <c r="I157" s="15" t="n"/>
      <c r="J157" s="15" t="n"/>
    </row>
    <row r="158">
      <c r="A158" s="15" t="n"/>
      <c r="B158" s="15" t="n"/>
      <c r="C158" s="15" t="n"/>
      <c r="D158" s="15" t="n"/>
      <c r="E158" s="15" t="n"/>
      <c r="F158" s="15" t="n"/>
      <c r="G158" s="15" t="n"/>
      <c r="H158" s="15" t="n"/>
      <c r="I158" s="15" t="n"/>
      <c r="J158" s="15" t="n"/>
    </row>
    <row r="159">
      <c r="A159" s="15" t="n"/>
      <c r="B159" s="15" t="n"/>
      <c r="C159" s="15" t="n"/>
      <c r="D159" s="15" t="n"/>
      <c r="E159" s="15" t="n"/>
      <c r="F159" s="15" t="n"/>
      <c r="G159" s="15" t="n"/>
      <c r="H159" s="15" t="n"/>
      <c r="I159" s="15" t="n"/>
      <c r="J159" s="15" t="n"/>
    </row>
    <row r="160">
      <c r="A160" s="15" t="n"/>
      <c r="B160" s="15" t="n"/>
      <c r="C160" s="15" t="n"/>
      <c r="D160" s="15" t="n"/>
      <c r="E160" s="15" t="n"/>
      <c r="F160" s="15" t="n"/>
      <c r="G160" s="15" t="n"/>
      <c r="H160" s="15" t="n"/>
      <c r="I160" s="15" t="n"/>
      <c r="J160" s="15" t="n"/>
    </row>
    <row r="161">
      <c r="A161" s="15" t="n"/>
      <c r="B161" s="15" t="n"/>
      <c r="C161" s="15" t="n"/>
      <c r="D161" s="15" t="n"/>
      <c r="E161" s="15" t="n"/>
      <c r="F161" s="15" t="n"/>
      <c r="G161" s="15" t="n"/>
      <c r="H161" s="15" t="n"/>
      <c r="I161" s="15" t="n"/>
      <c r="J161" s="15" t="n"/>
    </row>
    <row r="162">
      <c r="A162" s="15" t="n"/>
      <c r="B162" s="15" t="n"/>
      <c r="C162" s="15" t="n"/>
      <c r="D162" s="15" t="n"/>
      <c r="E162" s="15" t="n"/>
      <c r="F162" s="15" t="n"/>
      <c r="G162" s="15" t="n"/>
      <c r="H162" s="15" t="n"/>
      <c r="I162" s="15" t="n"/>
      <c r="J162" s="15" t="n"/>
    </row>
    <row r="163">
      <c r="A163" s="15" t="n"/>
      <c r="B163" s="15" t="n"/>
      <c r="C163" s="15" t="n"/>
      <c r="D163" s="15" t="n"/>
      <c r="E163" s="15" t="n"/>
      <c r="F163" s="15" t="n"/>
      <c r="G163" s="15" t="n"/>
      <c r="H163" s="15" t="n"/>
      <c r="I163" s="15" t="n"/>
      <c r="J163" s="15" t="n"/>
    </row>
    <row r="164">
      <c r="A164" s="15" t="n"/>
      <c r="B164" s="15" t="n"/>
      <c r="C164" s="15" t="n"/>
      <c r="D164" s="15" t="n"/>
      <c r="E164" s="15" t="n"/>
      <c r="F164" s="15" t="n"/>
      <c r="G164" s="15" t="n"/>
      <c r="H164" s="15" t="n"/>
      <c r="I164" s="15" t="n"/>
      <c r="J164" s="15" t="n"/>
    </row>
    <row r="165">
      <c r="A165" s="15" t="n"/>
      <c r="B165" s="15" t="n"/>
      <c r="C165" s="15" t="n"/>
      <c r="D165" s="15" t="n"/>
      <c r="E165" s="15" t="n"/>
      <c r="F165" s="15" t="n"/>
      <c r="G165" s="15" t="n"/>
      <c r="H165" s="15" t="n"/>
      <c r="I165" s="15" t="n"/>
      <c r="J165" s="15" t="n"/>
    </row>
    <row r="166">
      <c r="A166" s="15" t="n"/>
      <c r="B166" s="15" t="n"/>
      <c r="C166" s="15" t="n"/>
      <c r="D166" s="15" t="n"/>
      <c r="E166" s="15" t="n"/>
      <c r="F166" s="15" t="n"/>
      <c r="G166" s="15" t="n"/>
      <c r="H166" s="15" t="n"/>
      <c r="I166" s="15" t="n"/>
      <c r="J166" s="15" t="n"/>
    </row>
    <row r="167">
      <c r="A167" s="15" t="n"/>
      <c r="B167" s="15" t="n"/>
      <c r="C167" s="15" t="n"/>
      <c r="D167" s="15" t="n"/>
      <c r="E167" s="15" t="n"/>
      <c r="F167" s="15" t="n"/>
      <c r="G167" s="15" t="n"/>
      <c r="H167" s="15" t="n"/>
      <c r="I167" s="15" t="n"/>
      <c r="J167" s="15" t="n"/>
    </row>
    <row r="168">
      <c r="A168" s="15" t="n"/>
      <c r="B168" s="15" t="n"/>
      <c r="C168" s="15" t="n"/>
      <c r="D168" s="15" t="n"/>
      <c r="E168" s="15" t="n"/>
      <c r="F168" s="15" t="n"/>
      <c r="G168" s="15" t="n"/>
      <c r="H168" s="15" t="n"/>
      <c r="I168" s="15" t="n"/>
      <c r="J168" s="15" t="n"/>
    </row>
    <row r="169">
      <c r="A169" s="15" t="n"/>
      <c r="B169" s="15" t="n"/>
      <c r="C169" s="15" t="n"/>
      <c r="D169" s="15" t="n"/>
      <c r="E169" s="15" t="n"/>
      <c r="F169" s="15" t="n"/>
      <c r="G169" s="15" t="n"/>
      <c r="H169" s="15" t="n"/>
      <c r="I169" s="15" t="n"/>
      <c r="J169" s="15" t="n"/>
    </row>
    <row r="170">
      <c r="A170" s="15" t="n"/>
      <c r="B170" s="15" t="n"/>
      <c r="C170" s="15" t="n"/>
      <c r="D170" s="15" t="n"/>
      <c r="E170" s="15" t="n"/>
      <c r="F170" s="15" t="n"/>
      <c r="G170" s="15" t="n"/>
      <c r="H170" s="15" t="n"/>
      <c r="I170" s="15" t="n"/>
      <c r="J170" s="15" t="n"/>
    </row>
    <row r="171">
      <c r="A171" s="15" t="n"/>
      <c r="B171" s="15" t="n"/>
      <c r="C171" s="15" t="n"/>
      <c r="D171" s="15" t="n"/>
      <c r="E171" s="15" t="n"/>
      <c r="F171" s="15" t="n"/>
      <c r="G171" s="15" t="n"/>
      <c r="H171" s="15" t="n"/>
      <c r="I171" s="15" t="n"/>
      <c r="J171" s="15" t="n"/>
    </row>
    <row r="172">
      <c r="A172" s="15" t="n"/>
      <c r="B172" s="15" t="n"/>
      <c r="C172" s="15" t="n"/>
      <c r="D172" s="15" t="n"/>
      <c r="E172" s="15" t="n"/>
      <c r="F172" s="15" t="n"/>
      <c r="G172" s="15" t="n"/>
      <c r="H172" s="15" t="n"/>
      <c r="I172" s="15" t="n"/>
      <c r="J172" s="15" t="n"/>
    </row>
    <row r="173">
      <c r="A173" s="15" t="n"/>
      <c r="B173" s="15" t="n"/>
      <c r="C173" s="15" t="n"/>
      <c r="D173" s="15" t="n"/>
      <c r="E173" s="15" t="n"/>
      <c r="F173" s="15" t="n"/>
      <c r="G173" s="15" t="n"/>
      <c r="H173" s="15" t="n"/>
      <c r="I173" s="15" t="n"/>
      <c r="J173" s="15" t="n"/>
    </row>
    <row r="174">
      <c r="A174" s="15" t="n"/>
      <c r="B174" s="15" t="n"/>
      <c r="C174" s="15" t="n"/>
      <c r="D174" s="15" t="n"/>
      <c r="E174" s="15" t="n"/>
      <c r="F174" s="15" t="n"/>
      <c r="G174" s="15" t="n"/>
      <c r="H174" s="15" t="n"/>
      <c r="I174" s="15" t="n"/>
      <c r="J174" s="15" t="n"/>
    </row>
    <row r="175">
      <c r="A175" s="15" t="n"/>
      <c r="B175" s="15" t="n"/>
      <c r="C175" s="15" t="n"/>
      <c r="D175" s="15" t="n"/>
      <c r="E175" s="15" t="n"/>
      <c r="F175" s="15" t="n"/>
      <c r="G175" s="15" t="n"/>
      <c r="H175" s="15" t="n"/>
      <c r="I175" s="15" t="n"/>
      <c r="J175" s="15" t="n"/>
    </row>
    <row r="176">
      <c r="A176" s="15" t="n"/>
      <c r="B176" s="15" t="n"/>
      <c r="C176" s="15" t="n"/>
      <c r="D176" s="15" t="n"/>
      <c r="E176" s="15" t="n"/>
      <c r="F176" s="15" t="n"/>
      <c r="G176" s="15" t="n"/>
      <c r="H176" s="15" t="n"/>
      <c r="I176" s="15" t="n"/>
      <c r="J176" s="15" t="n"/>
    </row>
    <row r="177">
      <c r="A177" s="15" t="n"/>
      <c r="B177" s="15" t="n"/>
      <c r="C177" s="15" t="n"/>
      <c r="D177" s="15" t="n"/>
      <c r="E177" s="15" t="n"/>
      <c r="F177" s="15" t="n"/>
      <c r="G177" s="15" t="n"/>
      <c r="H177" s="15" t="n"/>
      <c r="I177" s="15" t="n"/>
      <c r="J177" s="15" t="n"/>
    </row>
    <row r="178">
      <c r="A178" s="15" t="n"/>
      <c r="B178" s="15" t="n"/>
      <c r="C178" s="15" t="n"/>
      <c r="D178" s="15" t="n"/>
      <c r="E178" s="15" t="n"/>
      <c r="F178" s="15" t="n"/>
      <c r="G178" s="15" t="n"/>
      <c r="H178" s="15" t="n"/>
      <c r="I178" s="15" t="n"/>
      <c r="J178" s="15" t="n"/>
    </row>
    <row r="179">
      <c r="A179" s="15" t="n"/>
      <c r="B179" s="15" t="n"/>
      <c r="C179" s="15" t="n"/>
      <c r="D179" s="15" t="n"/>
      <c r="E179" s="15" t="n"/>
      <c r="F179" s="15" t="n"/>
      <c r="G179" s="15" t="n"/>
      <c r="H179" s="15" t="n"/>
      <c r="I179" s="15" t="n"/>
      <c r="J179" s="15" t="n"/>
    </row>
    <row r="180">
      <c r="A180" s="15" t="n"/>
      <c r="B180" s="15" t="n"/>
      <c r="C180" s="15" t="n"/>
      <c r="D180" s="15" t="n"/>
      <c r="E180" s="15" t="n"/>
      <c r="F180" s="15" t="n"/>
      <c r="G180" s="15" t="n"/>
      <c r="H180" s="15" t="n"/>
      <c r="I180" s="15" t="n"/>
      <c r="J180" s="15" t="n"/>
    </row>
    <row r="181">
      <c r="A181" s="15" t="n"/>
      <c r="B181" s="15" t="n"/>
      <c r="C181" s="15" t="n"/>
      <c r="D181" s="15" t="n"/>
      <c r="E181" s="15" t="n"/>
      <c r="F181" s="15" t="n"/>
      <c r="G181" s="15" t="n"/>
      <c r="H181" s="15" t="n"/>
      <c r="I181" s="15" t="n"/>
      <c r="J181" s="15" t="n"/>
    </row>
    <row r="182">
      <c r="A182" s="15" t="n"/>
      <c r="B182" s="15" t="n"/>
      <c r="C182" s="15" t="n"/>
      <c r="D182" s="15" t="n"/>
      <c r="E182" s="15" t="n"/>
      <c r="F182" s="15" t="n"/>
      <c r="G182" s="15" t="n"/>
      <c r="H182" s="15" t="n"/>
      <c r="I182" s="15" t="n"/>
      <c r="J182" s="15" t="n"/>
    </row>
    <row r="183">
      <c r="A183" s="15" t="n"/>
      <c r="B183" s="15" t="n"/>
      <c r="C183" s="15" t="n"/>
      <c r="D183" s="15" t="n"/>
      <c r="E183" s="15" t="n"/>
      <c r="F183" s="15" t="n"/>
      <c r="G183" s="15" t="n"/>
      <c r="H183" s="15" t="n"/>
      <c r="I183" s="15" t="n"/>
      <c r="J183" s="15" t="n"/>
    </row>
    <row r="184">
      <c r="A184" s="15" t="n"/>
      <c r="B184" s="15" t="n"/>
      <c r="C184" s="15" t="n"/>
      <c r="D184" s="15" t="n"/>
      <c r="E184" s="15" t="n"/>
      <c r="F184" s="15" t="n"/>
      <c r="G184" s="15" t="n"/>
      <c r="H184" s="15" t="n"/>
      <c r="I184" s="15" t="n"/>
      <c r="J184" s="15" t="n"/>
    </row>
    <row r="185">
      <c r="A185" s="15" t="n"/>
      <c r="B185" s="15" t="n"/>
      <c r="C185" s="15" t="n"/>
      <c r="D185" s="15" t="n"/>
      <c r="E185" s="15" t="n"/>
      <c r="F185" s="15" t="n"/>
      <c r="G185" s="15" t="n"/>
      <c r="H185" s="15" t="n"/>
      <c r="I185" s="15" t="n"/>
      <c r="J185" s="15" t="n"/>
    </row>
    <row r="186">
      <c r="A186" s="15" t="n"/>
      <c r="B186" s="15" t="n"/>
      <c r="C186" s="15" t="n"/>
      <c r="D186" s="15" t="n"/>
      <c r="E186" s="15" t="n"/>
      <c r="F186" s="15" t="n"/>
      <c r="G186" s="15" t="n"/>
      <c r="H186" s="15" t="n"/>
      <c r="I186" s="15" t="n"/>
      <c r="J186" s="15" t="n"/>
    </row>
    <row r="187">
      <c r="A187" s="15" t="n"/>
      <c r="B187" s="15" t="n"/>
      <c r="C187" s="15" t="n"/>
      <c r="D187" s="15" t="n"/>
      <c r="E187" s="15" t="n"/>
      <c r="F187" s="15" t="n"/>
      <c r="G187" s="15" t="n"/>
      <c r="H187" s="15" t="n"/>
      <c r="I187" s="15" t="n"/>
      <c r="J187" s="15" t="n"/>
    </row>
    <row r="188">
      <c r="A188" s="15" t="n"/>
      <c r="B188" s="15" t="n"/>
      <c r="C188" s="15" t="n"/>
      <c r="D188" s="15" t="n"/>
      <c r="E188" s="15" t="n"/>
      <c r="F188" s="15" t="n"/>
      <c r="G188" s="15" t="n"/>
      <c r="H188" s="15" t="n"/>
      <c r="I188" s="15" t="n"/>
      <c r="J188" s="15" t="n"/>
    </row>
    <row r="189">
      <c r="A189" s="15" t="n"/>
      <c r="B189" s="15" t="n"/>
      <c r="C189" s="15" t="n"/>
      <c r="D189" s="15" t="n"/>
      <c r="E189" s="15" t="n"/>
      <c r="F189" s="15" t="n"/>
      <c r="G189" s="15" t="n"/>
      <c r="H189" s="15" t="n"/>
      <c r="I189" s="15" t="n"/>
      <c r="J189" s="15" t="n"/>
    </row>
    <row r="190">
      <c r="A190" s="15" t="n"/>
      <c r="B190" s="15" t="n"/>
      <c r="C190" s="15" t="n"/>
      <c r="D190" s="15" t="n"/>
      <c r="E190" s="15" t="n"/>
      <c r="F190" s="15" t="n"/>
      <c r="G190" s="15" t="n"/>
      <c r="H190" s="15" t="n"/>
      <c r="I190" s="15" t="n"/>
      <c r="J190" s="15" t="n"/>
    </row>
    <row r="191">
      <c r="A191" s="15" t="n"/>
      <c r="B191" s="15" t="n"/>
      <c r="C191" s="15" t="n"/>
      <c r="D191" s="15" t="n"/>
      <c r="E191" s="15" t="n"/>
      <c r="F191" s="15" t="n"/>
      <c r="G191" s="15" t="n"/>
      <c r="H191" s="15" t="n"/>
      <c r="I191" s="15" t="n"/>
      <c r="J191" s="15" t="n"/>
    </row>
    <row r="192">
      <c r="A192" s="15" t="n"/>
      <c r="B192" s="15" t="n"/>
      <c r="C192" s="15" t="n"/>
      <c r="D192" s="15" t="n"/>
      <c r="E192" s="15" t="n"/>
      <c r="F192" s="15" t="n"/>
      <c r="G192" s="15" t="n"/>
      <c r="H192" s="15" t="n"/>
      <c r="I192" s="15" t="n"/>
      <c r="J192" s="15" t="n"/>
    </row>
    <row r="193">
      <c r="A193" s="15" t="n"/>
      <c r="B193" s="15" t="n"/>
      <c r="C193" s="15" t="n"/>
      <c r="D193" s="15" t="n"/>
      <c r="E193" s="15" t="n"/>
      <c r="F193" s="15" t="n"/>
      <c r="G193" s="15" t="n"/>
      <c r="H193" s="15" t="n"/>
      <c r="I193" s="15" t="n"/>
      <c r="J193" s="15" t="n"/>
    </row>
    <row r="194">
      <c r="A194" s="15" t="n"/>
      <c r="B194" s="15" t="n"/>
      <c r="C194" s="15" t="n"/>
      <c r="D194" s="15" t="n"/>
      <c r="E194" s="15" t="n"/>
      <c r="F194" s="15" t="n"/>
      <c r="G194" s="15" t="n"/>
      <c r="H194" s="15" t="n"/>
      <c r="I194" s="15" t="n"/>
      <c r="J194" s="15" t="n"/>
    </row>
    <row r="195">
      <c r="A195" s="15" t="n"/>
      <c r="B195" s="15" t="n"/>
      <c r="C195" s="15" t="n"/>
      <c r="D195" s="15" t="n"/>
      <c r="E195" s="15" t="n"/>
      <c r="F195" s="15" t="n"/>
      <c r="G195" s="15" t="n"/>
      <c r="H195" s="15" t="n"/>
      <c r="I195" s="15" t="n"/>
      <c r="J195" s="15" t="n"/>
    </row>
    <row r="196">
      <c r="A196" s="15" t="n"/>
      <c r="B196" s="15" t="n"/>
      <c r="C196" s="15" t="n"/>
      <c r="D196" s="15" t="n"/>
      <c r="E196" s="15" t="n"/>
      <c r="F196" s="15" t="n"/>
      <c r="G196" s="15" t="n"/>
      <c r="H196" s="15" t="n"/>
      <c r="I196" s="15" t="n"/>
      <c r="J196" s="15" t="n"/>
    </row>
    <row r="197">
      <c r="A197" s="15" t="n"/>
      <c r="B197" s="15" t="n"/>
      <c r="C197" s="15" t="n"/>
      <c r="D197" s="15" t="n"/>
      <c r="E197" s="15" t="n"/>
      <c r="F197" s="15" t="n"/>
      <c r="G197" s="15" t="n"/>
      <c r="H197" s="15" t="n"/>
      <c r="I197" s="15" t="n"/>
      <c r="J197" s="15" t="n"/>
    </row>
    <row r="198">
      <c r="A198" s="15" t="n"/>
      <c r="B198" s="15" t="n"/>
      <c r="C198" s="15" t="n"/>
      <c r="D198" s="15" t="n"/>
      <c r="E198" s="15" t="n"/>
      <c r="F198" s="15" t="n"/>
      <c r="G198" s="15" t="n"/>
      <c r="H198" s="15" t="n"/>
      <c r="I198" s="15" t="n"/>
      <c r="J198" s="15" t="n"/>
    </row>
    <row r="199">
      <c r="A199" s="15" t="n"/>
      <c r="B199" s="15" t="n"/>
      <c r="C199" s="15" t="n"/>
      <c r="D199" s="15" t="n"/>
      <c r="E199" s="15" t="n"/>
      <c r="F199" s="15" t="n"/>
      <c r="G199" s="15" t="n"/>
      <c r="H199" s="15" t="n"/>
      <c r="I199" s="15" t="n"/>
      <c r="J199" s="15" t="n"/>
    </row>
    <row r="200">
      <c r="A200" s="15" t="n"/>
      <c r="B200" s="15" t="n"/>
      <c r="C200" s="15" t="n"/>
      <c r="D200" s="15" t="n"/>
      <c r="E200" s="15" t="n"/>
      <c r="F200" s="15" t="n"/>
      <c r="G200" s="15" t="n"/>
      <c r="H200" s="15" t="n"/>
      <c r="I200" s="15" t="n"/>
      <c r="J200" s="15" t="n"/>
    </row>
    <row r="201">
      <c r="A201" s="15" t="n"/>
      <c r="B201" s="15" t="n"/>
      <c r="C201" s="15" t="n"/>
      <c r="D201" s="15" t="n"/>
      <c r="E201" s="15" t="n"/>
      <c r="F201" s="15" t="n"/>
      <c r="G201" s="15" t="n"/>
      <c r="H201" s="15" t="n"/>
      <c r="I201" s="15" t="n"/>
      <c r="J201" s="15" t="n"/>
    </row>
    <row r="202">
      <c r="A202" s="15" t="n"/>
      <c r="B202" s="15" t="n"/>
      <c r="C202" s="15" t="n"/>
      <c r="D202" s="15" t="n"/>
      <c r="E202" s="15" t="n"/>
      <c r="F202" s="15" t="n"/>
      <c r="G202" s="15" t="n"/>
      <c r="H202" s="15" t="n"/>
      <c r="I202" s="15" t="n"/>
      <c r="J202" s="15" t="n"/>
    </row>
    <row r="203">
      <c r="A203" s="15" t="n"/>
      <c r="B203" s="15" t="n"/>
      <c r="C203" s="15" t="n"/>
      <c r="D203" s="15" t="n"/>
      <c r="E203" s="15" t="n"/>
      <c r="F203" s="15" t="n"/>
      <c r="G203" s="15" t="n"/>
      <c r="H203" s="15" t="n"/>
      <c r="I203" s="15" t="n"/>
      <c r="J203" s="15" t="n"/>
    </row>
    <row r="204">
      <c r="A204" s="15" t="n"/>
      <c r="B204" s="15" t="n"/>
      <c r="C204" s="15" t="n"/>
      <c r="D204" s="15" t="n"/>
      <c r="E204" s="15" t="n"/>
      <c r="F204" s="15" t="n"/>
      <c r="G204" s="15" t="n"/>
      <c r="H204" s="15" t="n"/>
      <c r="I204" s="15" t="n"/>
      <c r="J204" s="15" t="n"/>
    </row>
    <row r="205">
      <c r="A205" s="15" t="n"/>
      <c r="B205" s="15" t="n"/>
      <c r="C205" s="15" t="n"/>
      <c r="D205" s="15" t="n"/>
      <c r="E205" s="15" t="n"/>
      <c r="F205" s="15" t="n"/>
      <c r="G205" s="15" t="n"/>
      <c r="H205" s="15" t="n"/>
      <c r="I205" s="15" t="n"/>
      <c r="J205" s="15" t="n"/>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1" t="inlineStr">
        <is>
          <t>MFA COMPLIANCE FOR PRIVILEGED ACCESS</t>
        </is>
      </c>
    </row>
    <row r="2">
      <c r="A2" s="12" t="inlineStr">
        <is>
          <t>Use this sheet to track MFA compliance status for all users with privileged utility access</t>
        </is>
      </c>
    </row>
    <row r="4">
      <c r="A4" s="13" t="inlineStr">
        <is>
          <t>User</t>
        </is>
      </c>
      <c r="B4" s="13" t="inlineStr">
        <is>
          <t>Role</t>
        </is>
      </c>
      <c r="C4" s="13" t="inlineStr">
        <is>
          <t>Utility Access</t>
        </is>
      </c>
      <c r="D4" s="13" t="inlineStr">
        <is>
          <t>MFA Technology</t>
        </is>
      </c>
      <c r="E4" s="13" t="inlineStr">
        <is>
          <t>MFA Status</t>
        </is>
      </c>
      <c r="F4" s="13" t="inlineStr">
        <is>
          <t>Last MFA Setup</t>
        </is>
      </c>
      <c r="G4" s="13" t="inlineStr">
        <is>
          <t>Compliance</t>
        </is>
      </c>
      <c r="H4" s="13" t="inlineStr">
        <is>
          <t>Notes</t>
        </is>
      </c>
    </row>
    <row r="5">
      <c r="A5" s="14" t="inlineStr">
        <is>
          <t>greg.smith</t>
        </is>
      </c>
      <c r="B5" s="14" t="inlineStr">
        <is>
          <t>IT Administrator</t>
        </is>
      </c>
      <c r="C5" s="14" t="inlineStr">
        <is>
          <t>PsExec</t>
        </is>
      </c>
      <c r="D5" s="14" t="inlineStr">
        <is>
          <t>Microsoft Authenticator</t>
        </is>
      </c>
      <c r="E5" s="14" t="inlineStr">
        <is>
          <t>✅ Enabled</t>
        </is>
      </c>
      <c r="F5" s="14" t="inlineStr">
        <is>
          <t>01.01.2024</t>
        </is>
      </c>
      <c r="G5" s="14" t="inlineStr">
        <is>
          <t>Yes</t>
        </is>
      </c>
      <c r="H5" s="14" t="inlineStr">
        <is>
          <t>MFA verified active</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2">
    <mergeCell ref="A2:H2"/>
    <mergeCell ref="A1:H1"/>
  </mergeCells>
  <dataValidations count="1">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 Enabled,Not Enabled,N/A"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5" customHeight="1">
      <c r="A1" s="11" t="inlineStr">
        <is>
          <t>QUARTERLY PRIVILEGED ACCESS REVIEWS</t>
        </is>
      </c>
    </row>
    <row r="2">
      <c r="A2" s="12" t="inlineStr">
        <is>
          <t>Use this sheet to record quarterly access reviews for all privileged utility users</t>
        </is>
      </c>
    </row>
    <row r="4">
      <c r="A4" s="13" t="inlineStr">
        <is>
          <t>Review Quarter</t>
        </is>
      </c>
      <c r="B4" s="13" t="inlineStr">
        <is>
          <t>User</t>
        </is>
      </c>
      <c r="C4" s="13" t="inlineStr">
        <is>
          <t>Utility Access</t>
        </is>
      </c>
      <c r="D4" s="13" t="inlineStr">
        <is>
          <t>Last Used</t>
        </is>
      </c>
      <c r="E4" s="13" t="inlineStr">
        <is>
          <t>Manager Review</t>
        </is>
      </c>
      <c r="F4" s="13" t="inlineStr">
        <is>
          <t>Decision</t>
        </is>
      </c>
      <c r="G4" s="13" t="inlineStr">
        <is>
          <t>Action Taken</t>
        </is>
      </c>
      <c r="H4" s="13" t="inlineStr">
        <is>
          <t>Completion Date</t>
        </is>
      </c>
      <c r="I4" s="13" t="inlineStr">
        <is>
          <t>Reviewer</t>
        </is>
      </c>
      <c r="J4" s="13" t="inlineStr">
        <is>
          <t>Notes</t>
        </is>
      </c>
    </row>
    <row r="5">
      <c r="A5" s="14" t="inlineStr">
        <is>
          <t>Q1 2026</t>
        </is>
      </c>
      <c r="B5" s="14" t="inlineStr">
        <is>
          <t>greg.smith</t>
        </is>
      </c>
      <c r="C5" s="14" t="inlineStr">
        <is>
          <t>PsExec</t>
        </is>
      </c>
      <c r="D5" s="14" t="inlineStr">
        <is>
          <t>15.01.2026</t>
        </is>
      </c>
      <c r="E5" s="14" t="inlineStr">
        <is>
          <t>IT Manager</t>
        </is>
      </c>
      <c r="F5" s="14" t="inlineStr">
        <is>
          <t>✅ Continue</t>
        </is>
      </c>
      <c r="G5" s="14" t="inlineStr">
        <is>
          <t>No action required</t>
        </is>
      </c>
      <c r="H5" s="14" t="inlineStr">
        <is>
          <t>21.02.2026</t>
        </is>
      </c>
      <c r="I5" s="14" t="inlineStr">
        <is>
          <t>IT Manager</t>
        </is>
      </c>
      <c r="J5" s="14" t="inlineStr">
        <is>
          <t>Access appropriate</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row r="57">
      <c r="A57" s="15" t="n"/>
      <c r="B57" s="15" t="n"/>
      <c r="C57" s="15" t="n"/>
      <c r="D57" s="15" t="n"/>
      <c r="E57" s="15" t="n"/>
      <c r="F57" s="15" t="n"/>
      <c r="G57" s="15" t="n"/>
      <c r="H57" s="15" t="n"/>
      <c r="I57" s="15" t="n"/>
      <c r="J57" s="15" t="n"/>
    </row>
    <row r="58">
      <c r="A58" s="15" t="n"/>
      <c r="B58" s="15" t="n"/>
      <c r="C58" s="15" t="n"/>
      <c r="D58" s="15" t="n"/>
      <c r="E58" s="15" t="n"/>
      <c r="F58" s="15" t="n"/>
      <c r="G58" s="15" t="n"/>
      <c r="H58" s="15" t="n"/>
      <c r="I58" s="15" t="n"/>
      <c r="J58" s="15" t="n"/>
    </row>
    <row r="59">
      <c r="A59" s="15" t="n"/>
      <c r="B59" s="15" t="n"/>
      <c r="C59" s="15" t="n"/>
      <c r="D59" s="15" t="n"/>
      <c r="E59" s="15" t="n"/>
      <c r="F59" s="15" t="n"/>
      <c r="G59" s="15" t="n"/>
      <c r="H59" s="15" t="n"/>
      <c r="I59" s="15" t="n"/>
      <c r="J59" s="15" t="n"/>
    </row>
    <row r="60">
      <c r="A60" s="15" t="n"/>
      <c r="B60" s="15" t="n"/>
      <c r="C60" s="15" t="n"/>
      <c r="D60" s="15" t="n"/>
      <c r="E60" s="15" t="n"/>
      <c r="F60" s="15" t="n"/>
      <c r="G60" s="15" t="n"/>
      <c r="H60" s="15" t="n"/>
      <c r="I60" s="15" t="n"/>
      <c r="J60" s="15" t="n"/>
    </row>
    <row r="61">
      <c r="A61" s="15" t="n"/>
      <c r="B61" s="15" t="n"/>
      <c r="C61" s="15" t="n"/>
      <c r="D61" s="15" t="n"/>
      <c r="E61" s="15" t="n"/>
      <c r="F61" s="15" t="n"/>
      <c r="G61" s="15" t="n"/>
      <c r="H61" s="15" t="n"/>
      <c r="I61" s="15" t="n"/>
      <c r="J61" s="15" t="n"/>
    </row>
    <row r="62">
      <c r="A62" s="15" t="n"/>
      <c r="B62" s="15" t="n"/>
      <c r="C62" s="15" t="n"/>
      <c r="D62" s="15" t="n"/>
      <c r="E62" s="15" t="n"/>
      <c r="F62" s="15" t="n"/>
      <c r="G62" s="15" t="n"/>
      <c r="H62" s="15" t="n"/>
      <c r="I62" s="15" t="n"/>
      <c r="J62" s="15" t="n"/>
    </row>
    <row r="63">
      <c r="A63" s="15" t="n"/>
      <c r="B63" s="15" t="n"/>
      <c r="C63" s="15" t="n"/>
      <c r="D63" s="15" t="n"/>
      <c r="E63" s="15" t="n"/>
      <c r="F63" s="15" t="n"/>
      <c r="G63" s="15" t="n"/>
      <c r="H63" s="15" t="n"/>
      <c r="I63" s="15" t="n"/>
      <c r="J63" s="15" t="n"/>
    </row>
    <row r="64">
      <c r="A64" s="15" t="n"/>
      <c r="B64" s="15" t="n"/>
      <c r="C64" s="15" t="n"/>
      <c r="D64" s="15" t="n"/>
      <c r="E64" s="15" t="n"/>
      <c r="F64" s="15" t="n"/>
      <c r="G64" s="15" t="n"/>
      <c r="H64" s="15" t="n"/>
      <c r="I64" s="15" t="n"/>
      <c r="J64" s="15" t="n"/>
    </row>
    <row r="65">
      <c r="A65" s="15" t="n"/>
      <c r="B65" s="15" t="n"/>
      <c r="C65" s="15" t="n"/>
      <c r="D65" s="15" t="n"/>
      <c r="E65" s="15" t="n"/>
      <c r="F65" s="15" t="n"/>
      <c r="G65" s="15" t="n"/>
      <c r="H65" s="15" t="n"/>
      <c r="I65" s="15" t="n"/>
      <c r="J65" s="15" t="n"/>
    </row>
    <row r="66">
      <c r="A66" s="15" t="n"/>
      <c r="B66" s="15" t="n"/>
      <c r="C66" s="15" t="n"/>
      <c r="D66" s="15" t="n"/>
      <c r="E66" s="15" t="n"/>
      <c r="F66" s="15" t="n"/>
      <c r="G66" s="15" t="n"/>
      <c r="H66" s="15" t="n"/>
      <c r="I66" s="15" t="n"/>
      <c r="J66" s="15" t="n"/>
    </row>
    <row r="67">
      <c r="A67" s="15" t="n"/>
      <c r="B67" s="15" t="n"/>
      <c r="C67" s="15" t="n"/>
      <c r="D67" s="15" t="n"/>
      <c r="E67" s="15" t="n"/>
      <c r="F67" s="15" t="n"/>
      <c r="G67" s="15" t="n"/>
      <c r="H67" s="15" t="n"/>
      <c r="I67" s="15" t="n"/>
      <c r="J67" s="15" t="n"/>
    </row>
    <row r="68">
      <c r="A68" s="15" t="n"/>
      <c r="B68" s="15" t="n"/>
      <c r="C68" s="15" t="n"/>
      <c r="D68" s="15" t="n"/>
      <c r="E68" s="15" t="n"/>
      <c r="F68" s="15" t="n"/>
      <c r="G68" s="15" t="n"/>
      <c r="H68" s="15" t="n"/>
      <c r="I68" s="15" t="n"/>
      <c r="J68" s="15" t="n"/>
    </row>
    <row r="69">
      <c r="A69" s="15" t="n"/>
      <c r="B69" s="15" t="n"/>
      <c r="C69" s="15" t="n"/>
      <c r="D69" s="15" t="n"/>
      <c r="E69" s="15" t="n"/>
      <c r="F69" s="15" t="n"/>
      <c r="G69" s="15" t="n"/>
      <c r="H69" s="15" t="n"/>
      <c r="I69" s="15" t="n"/>
      <c r="J69" s="15" t="n"/>
    </row>
    <row r="70">
      <c r="A70" s="15" t="n"/>
      <c r="B70" s="15" t="n"/>
      <c r="C70" s="15" t="n"/>
      <c r="D70" s="15" t="n"/>
      <c r="E70" s="15" t="n"/>
      <c r="F70" s="15" t="n"/>
      <c r="G70" s="15" t="n"/>
      <c r="H70" s="15" t="n"/>
      <c r="I70" s="15" t="n"/>
      <c r="J70" s="15" t="n"/>
    </row>
    <row r="71">
      <c r="A71" s="15" t="n"/>
      <c r="B71" s="15" t="n"/>
      <c r="C71" s="15" t="n"/>
      <c r="D71" s="15" t="n"/>
      <c r="E71" s="15" t="n"/>
      <c r="F71" s="15" t="n"/>
      <c r="G71" s="15" t="n"/>
      <c r="H71" s="15" t="n"/>
      <c r="I71" s="15" t="n"/>
      <c r="J71" s="15" t="n"/>
    </row>
    <row r="72">
      <c r="A72" s="15" t="n"/>
      <c r="B72" s="15" t="n"/>
      <c r="C72" s="15" t="n"/>
      <c r="D72" s="15" t="n"/>
      <c r="E72" s="15" t="n"/>
      <c r="F72" s="15" t="n"/>
      <c r="G72" s="15" t="n"/>
      <c r="H72" s="15" t="n"/>
      <c r="I72" s="15" t="n"/>
      <c r="J72" s="15" t="n"/>
    </row>
    <row r="73">
      <c r="A73" s="15" t="n"/>
      <c r="B73" s="15" t="n"/>
      <c r="C73" s="15" t="n"/>
      <c r="D73" s="15" t="n"/>
      <c r="E73" s="15" t="n"/>
      <c r="F73" s="15" t="n"/>
      <c r="G73" s="15" t="n"/>
      <c r="H73" s="15" t="n"/>
      <c r="I73" s="15" t="n"/>
      <c r="J73" s="15" t="n"/>
    </row>
    <row r="74">
      <c r="A74" s="15" t="n"/>
      <c r="B74" s="15" t="n"/>
      <c r="C74" s="15" t="n"/>
      <c r="D74" s="15" t="n"/>
      <c r="E74" s="15" t="n"/>
      <c r="F74" s="15" t="n"/>
      <c r="G74" s="15" t="n"/>
      <c r="H74" s="15" t="n"/>
      <c r="I74" s="15" t="n"/>
      <c r="J74" s="15" t="n"/>
    </row>
    <row r="75">
      <c r="A75" s="15" t="n"/>
      <c r="B75" s="15" t="n"/>
      <c r="C75" s="15" t="n"/>
      <c r="D75" s="15" t="n"/>
      <c r="E75" s="15" t="n"/>
      <c r="F75" s="15" t="n"/>
      <c r="G75" s="15" t="n"/>
      <c r="H75" s="15" t="n"/>
      <c r="I75" s="15" t="n"/>
      <c r="J75" s="15" t="n"/>
    </row>
    <row r="76">
      <c r="A76" s="15" t="n"/>
      <c r="B76" s="15" t="n"/>
      <c r="C76" s="15" t="n"/>
      <c r="D76" s="15" t="n"/>
      <c r="E76" s="15" t="n"/>
      <c r="F76" s="15" t="n"/>
      <c r="G76" s="15" t="n"/>
      <c r="H76" s="15" t="n"/>
      <c r="I76" s="15" t="n"/>
      <c r="J76" s="15" t="n"/>
    </row>
    <row r="77">
      <c r="A77" s="15" t="n"/>
      <c r="B77" s="15" t="n"/>
      <c r="C77" s="15" t="n"/>
      <c r="D77" s="15" t="n"/>
      <c r="E77" s="15" t="n"/>
      <c r="F77" s="15" t="n"/>
      <c r="G77" s="15" t="n"/>
      <c r="H77" s="15" t="n"/>
      <c r="I77" s="15" t="n"/>
      <c r="J77" s="15" t="n"/>
    </row>
    <row r="78">
      <c r="A78" s="15" t="n"/>
      <c r="B78" s="15" t="n"/>
      <c r="C78" s="15" t="n"/>
      <c r="D78" s="15" t="n"/>
      <c r="E78" s="15" t="n"/>
      <c r="F78" s="15" t="n"/>
      <c r="G78" s="15" t="n"/>
      <c r="H78" s="15" t="n"/>
      <c r="I78" s="15" t="n"/>
      <c r="J78" s="15" t="n"/>
    </row>
    <row r="79">
      <c r="A79" s="15" t="n"/>
      <c r="B79" s="15" t="n"/>
      <c r="C79" s="15" t="n"/>
      <c r="D79" s="15" t="n"/>
      <c r="E79" s="15" t="n"/>
      <c r="F79" s="15" t="n"/>
      <c r="G79" s="15" t="n"/>
      <c r="H79" s="15" t="n"/>
      <c r="I79" s="15" t="n"/>
      <c r="J79" s="15" t="n"/>
    </row>
    <row r="80">
      <c r="A80" s="15" t="n"/>
      <c r="B80" s="15" t="n"/>
      <c r="C80" s="15" t="n"/>
      <c r="D80" s="15" t="n"/>
      <c r="E80" s="15" t="n"/>
      <c r="F80" s="15" t="n"/>
      <c r="G80" s="15" t="n"/>
      <c r="H80" s="15" t="n"/>
      <c r="I80" s="15" t="n"/>
      <c r="J80" s="15" t="n"/>
    </row>
    <row r="81">
      <c r="A81" s="15" t="n"/>
      <c r="B81" s="15" t="n"/>
      <c r="C81" s="15" t="n"/>
      <c r="D81" s="15" t="n"/>
      <c r="E81" s="15" t="n"/>
      <c r="F81" s="15" t="n"/>
      <c r="G81" s="15" t="n"/>
      <c r="H81" s="15" t="n"/>
      <c r="I81" s="15" t="n"/>
      <c r="J81" s="15" t="n"/>
    </row>
    <row r="82">
      <c r="A82" s="15" t="n"/>
      <c r="B82" s="15" t="n"/>
      <c r="C82" s="15" t="n"/>
      <c r="D82" s="15" t="n"/>
      <c r="E82" s="15" t="n"/>
      <c r="F82" s="15" t="n"/>
      <c r="G82" s="15" t="n"/>
      <c r="H82" s="15" t="n"/>
      <c r="I82" s="15" t="n"/>
      <c r="J82" s="15" t="n"/>
    </row>
    <row r="83">
      <c r="A83" s="15" t="n"/>
      <c r="B83" s="15" t="n"/>
      <c r="C83" s="15" t="n"/>
      <c r="D83" s="15" t="n"/>
      <c r="E83" s="15" t="n"/>
      <c r="F83" s="15" t="n"/>
      <c r="G83" s="15" t="n"/>
      <c r="H83" s="15" t="n"/>
      <c r="I83" s="15" t="n"/>
      <c r="J83" s="15" t="n"/>
    </row>
    <row r="84">
      <c r="A84" s="15" t="n"/>
      <c r="B84" s="15" t="n"/>
      <c r="C84" s="15" t="n"/>
      <c r="D84" s="15" t="n"/>
      <c r="E84" s="15" t="n"/>
      <c r="F84" s="15" t="n"/>
      <c r="G84" s="15" t="n"/>
      <c r="H84" s="15" t="n"/>
      <c r="I84" s="15" t="n"/>
      <c r="J84" s="15" t="n"/>
    </row>
    <row r="85">
      <c r="A85" s="15" t="n"/>
      <c r="B85" s="15" t="n"/>
      <c r="C85" s="15" t="n"/>
      <c r="D85" s="15" t="n"/>
      <c r="E85" s="15" t="n"/>
      <c r="F85" s="15" t="n"/>
      <c r="G85" s="15" t="n"/>
      <c r="H85" s="15" t="n"/>
      <c r="I85" s="15" t="n"/>
      <c r="J85" s="15" t="n"/>
    </row>
    <row r="86">
      <c r="A86" s="15" t="n"/>
      <c r="B86" s="15" t="n"/>
      <c r="C86" s="15" t="n"/>
      <c r="D86" s="15" t="n"/>
      <c r="E86" s="15" t="n"/>
      <c r="F86" s="15" t="n"/>
      <c r="G86" s="15" t="n"/>
      <c r="H86" s="15" t="n"/>
      <c r="I86" s="15" t="n"/>
      <c r="J86" s="15" t="n"/>
    </row>
    <row r="87">
      <c r="A87" s="15" t="n"/>
      <c r="B87" s="15" t="n"/>
      <c r="C87" s="15" t="n"/>
      <c r="D87" s="15" t="n"/>
      <c r="E87" s="15" t="n"/>
      <c r="F87" s="15" t="n"/>
      <c r="G87" s="15" t="n"/>
      <c r="H87" s="15" t="n"/>
      <c r="I87" s="15" t="n"/>
      <c r="J87" s="15" t="n"/>
    </row>
    <row r="88">
      <c r="A88" s="15" t="n"/>
      <c r="B88" s="15" t="n"/>
      <c r="C88" s="15" t="n"/>
      <c r="D88" s="15" t="n"/>
      <c r="E88" s="15" t="n"/>
      <c r="F88" s="15" t="n"/>
      <c r="G88" s="15" t="n"/>
      <c r="H88" s="15" t="n"/>
      <c r="I88" s="15" t="n"/>
      <c r="J88" s="15" t="n"/>
    </row>
    <row r="89">
      <c r="A89" s="15" t="n"/>
      <c r="B89" s="15" t="n"/>
      <c r="C89" s="15" t="n"/>
      <c r="D89" s="15" t="n"/>
      <c r="E89" s="15" t="n"/>
      <c r="F89" s="15" t="n"/>
      <c r="G89" s="15" t="n"/>
      <c r="H89" s="15" t="n"/>
      <c r="I89" s="15" t="n"/>
      <c r="J89" s="15" t="n"/>
    </row>
    <row r="90">
      <c r="A90" s="15" t="n"/>
      <c r="B90" s="15" t="n"/>
      <c r="C90" s="15" t="n"/>
      <c r="D90" s="15" t="n"/>
      <c r="E90" s="15" t="n"/>
      <c r="F90" s="15" t="n"/>
      <c r="G90" s="15" t="n"/>
      <c r="H90" s="15" t="n"/>
      <c r="I90" s="15" t="n"/>
      <c r="J90" s="15" t="n"/>
    </row>
    <row r="91">
      <c r="A91" s="15" t="n"/>
      <c r="B91" s="15" t="n"/>
      <c r="C91" s="15" t="n"/>
      <c r="D91" s="15" t="n"/>
      <c r="E91" s="15" t="n"/>
      <c r="F91" s="15" t="n"/>
      <c r="G91" s="15" t="n"/>
      <c r="H91" s="15" t="n"/>
      <c r="I91" s="15" t="n"/>
      <c r="J91" s="15" t="n"/>
    </row>
    <row r="92">
      <c r="A92" s="15" t="n"/>
      <c r="B92" s="15" t="n"/>
      <c r="C92" s="15" t="n"/>
      <c r="D92" s="15" t="n"/>
      <c r="E92" s="15" t="n"/>
      <c r="F92" s="15" t="n"/>
      <c r="G92" s="15" t="n"/>
      <c r="H92" s="15" t="n"/>
      <c r="I92" s="15" t="n"/>
      <c r="J92" s="15" t="n"/>
    </row>
    <row r="93">
      <c r="A93" s="15" t="n"/>
      <c r="B93" s="15" t="n"/>
      <c r="C93" s="15" t="n"/>
      <c r="D93" s="15" t="n"/>
      <c r="E93" s="15" t="n"/>
      <c r="F93" s="15" t="n"/>
      <c r="G93" s="15" t="n"/>
      <c r="H93" s="15" t="n"/>
      <c r="I93" s="15" t="n"/>
      <c r="J93" s="15" t="n"/>
    </row>
    <row r="94">
      <c r="A94" s="15" t="n"/>
      <c r="B94" s="15" t="n"/>
      <c r="C94" s="15" t="n"/>
      <c r="D94" s="15" t="n"/>
      <c r="E94" s="15" t="n"/>
      <c r="F94" s="15" t="n"/>
      <c r="G94" s="15" t="n"/>
      <c r="H94" s="15" t="n"/>
      <c r="I94" s="15" t="n"/>
      <c r="J94" s="15" t="n"/>
    </row>
    <row r="95">
      <c r="A95" s="15" t="n"/>
      <c r="B95" s="15" t="n"/>
      <c r="C95" s="15" t="n"/>
      <c r="D95" s="15" t="n"/>
      <c r="E95" s="15" t="n"/>
      <c r="F95" s="15" t="n"/>
      <c r="G95" s="15" t="n"/>
      <c r="H95" s="15" t="n"/>
      <c r="I95" s="15" t="n"/>
      <c r="J95" s="15" t="n"/>
    </row>
    <row r="96">
      <c r="A96" s="15" t="n"/>
      <c r="B96" s="15" t="n"/>
      <c r="C96" s="15" t="n"/>
      <c r="D96" s="15" t="n"/>
      <c r="E96" s="15" t="n"/>
      <c r="F96" s="15" t="n"/>
      <c r="G96" s="15" t="n"/>
      <c r="H96" s="15" t="n"/>
      <c r="I96" s="15" t="n"/>
      <c r="J96" s="15" t="n"/>
    </row>
    <row r="97">
      <c r="A97" s="15" t="n"/>
      <c r="B97" s="15" t="n"/>
      <c r="C97" s="15" t="n"/>
      <c r="D97" s="15" t="n"/>
      <c r="E97" s="15" t="n"/>
      <c r="F97" s="15" t="n"/>
      <c r="G97" s="15" t="n"/>
      <c r="H97" s="15" t="n"/>
      <c r="I97" s="15" t="n"/>
      <c r="J97" s="15" t="n"/>
    </row>
    <row r="98">
      <c r="A98" s="15" t="n"/>
      <c r="B98" s="15" t="n"/>
      <c r="C98" s="15" t="n"/>
      <c r="D98" s="15" t="n"/>
      <c r="E98" s="15" t="n"/>
      <c r="F98" s="15" t="n"/>
      <c r="G98" s="15" t="n"/>
      <c r="H98" s="15" t="n"/>
      <c r="I98" s="15" t="n"/>
      <c r="J98" s="15" t="n"/>
    </row>
    <row r="99">
      <c r="A99" s="15" t="n"/>
      <c r="B99" s="15" t="n"/>
      <c r="C99" s="15" t="n"/>
      <c r="D99" s="15" t="n"/>
      <c r="E99" s="15" t="n"/>
      <c r="F99" s="15" t="n"/>
      <c r="G99" s="15" t="n"/>
      <c r="H99" s="15" t="n"/>
      <c r="I99" s="15" t="n"/>
      <c r="J99" s="15" t="n"/>
    </row>
    <row r="100">
      <c r="A100" s="15" t="n"/>
      <c r="B100" s="15" t="n"/>
      <c r="C100" s="15" t="n"/>
      <c r="D100" s="15" t="n"/>
      <c r="E100" s="15" t="n"/>
      <c r="F100" s="15" t="n"/>
      <c r="G100" s="15" t="n"/>
      <c r="H100" s="15" t="n"/>
      <c r="I100" s="15" t="n"/>
      <c r="J100" s="15" t="n"/>
    </row>
    <row r="101">
      <c r="A101" s="15" t="n"/>
      <c r="B101" s="15" t="n"/>
      <c r="C101" s="15" t="n"/>
      <c r="D101" s="15" t="n"/>
      <c r="E101" s="15" t="n"/>
      <c r="F101" s="15" t="n"/>
      <c r="G101" s="15" t="n"/>
      <c r="H101" s="15" t="n"/>
      <c r="I101" s="15" t="n"/>
      <c r="J101" s="15" t="n"/>
    </row>
    <row r="102">
      <c r="A102" s="15" t="n"/>
      <c r="B102" s="15" t="n"/>
      <c r="C102" s="15" t="n"/>
      <c r="D102" s="15" t="n"/>
      <c r="E102" s="15" t="n"/>
      <c r="F102" s="15" t="n"/>
      <c r="G102" s="15" t="n"/>
      <c r="H102" s="15" t="n"/>
      <c r="I102" s="15" t="n"/>
      <c r="J102" s="15" t="n"/>
    </row>
    <row r="103">
      <c r="A103" s="15" t="n"/>
      <c r="B103" s="15" t="n"/>
      <c r="C103" s="15" t="n"/>
      <c r="D103" s="15" t="n"/>
      <c r="E103" s="15" t="n"/>
      <c r="F103" s="15" t="n"/>
      <c r="G103" s="15" t="n"/>
      <c r="H103" s="15" t="n"/>
      <c r="I103" s="15" t="n"/>
      <c r="J103" s="15" t="n"/>
    </row>
    <row r="104">
      <c r="A104" s="15" t="n"/>
      <c r="B104" s="15" t="n"/>
      <c r="C104" s="15" t="n"/>
      <c r="D104" s="15" t="n"/>
      <c r="E104" s="15" t="n"/>
      <c r="F104" s="15" t="n"/>
      <c r="G104" s="15" t="n"/>
      <c r="H104" s="15" t="n"/>
      <c r="I104" s="15" t="n"/>
      <c r="J104" s="15" t="n"/>
    </row>
    <row r="105">
      <c r="A105" s="15" t="n"/>
      <c r="B105" s="15" t="n"/>
      <c r="C105" s="15" t="n"/>
      <c r="D105" s="15" t="n"/>
      <c r="E105" s="15" t="n"/>
      <c r="F105" s="15" t="n"/>
      <c r="G105" s="15" t="n"/>
      <c r="H105" s="15" t="n"/>
      <c r="I105" s="15" t="n"/>
      <c r="J105" s="15" t="n"/>
    </row>
  </sheetData>
  <mergeCells count="2">
    <mergeCell ref="A1:J1"/>
    <mergeCell ref="A2:J2"/>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showDropDown="0" showInputMessage="0" showErrorMessage="0" allowBlank="0" type="list">
      <formula1>"✅ Continue,Revoke,Modify"</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5"/>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35" customHeight="1">
      <c r="A1" s="11" t="inlineStr">
        <is>
          <t>CAPABILITY REQUIREMENTS MAPPING (A.8.18)</t>
        </is>
      </c>
    </row>
    <row r="2">
      <c r="A2" s="12" t="inlineStr">
        <is>
          <t>Use this sheet to map A.8.18 policy requirements to implemented controls and evidence</t>
        </is>
      </c>
    </row>
    <row r="4">
      <c r="A4" s="13" t="inlineStr">
        <is>
          <t>Req ID</t>
        </is>
      </c>
      <c r="B4" s="13" t="inlineStr">
        <is>
          <t>Policy Requirement</t>
        </is>
      </c>
      <c r="C4" s="13" t="inlineStr">
        <is>
          <t>Implemented</t>
        </is>
      </c>
      <c r="D4" s="13" t="inlineStr">
        <is>
          <t>Evidence Reference</t>
        </is>
      </c>
      <c r="E4" s="13" t="inlineStr">
        <is>
          <t>Notes</t>
        </is>
      </c>
      <c r="F4" s="13" t="inlineStr">
        <is>
          <t>Status</t>
        </is>
      </c>
    </row>
    <row r="5">
      <c r="A5" s="14" t="inlineStr">
        <is>
          <t>REQ-A818-000</t>
        </is>
      </c>
      <c r="B5" s="14" t="inlineStr">
        <is>
          <t>Example: Review this sample row and populate requirement rows below with actual assessment data</t>
        </is>
      </c>
      <c r="C5" s="14" t="inlineStr">
        <is>
          <t>Yes</t>
        </is>
      </c>
      <c r="D5" s="14" t="inlineStr">
        <is>
          <t>/evidence/A.8.18/sample-evidence.pdf</t>
        </is>
      </c>
      <c r="E5" s="14" t="inlineStr">
        <is>
          <t>Sample row — do not include in compliance calculations</t>
        </is>
      </c>
      <c r="F5" s="14" t="inlineStr">
        <is>
          <t>✅ Compliant</t>
        </is>
      </c>
    </row>
    <row r="6">
      <c r="A6" s="21" t="inlineStr">
        <is>
          <t>REQ-A818-001</t>
        </is>
      </c>
      <c r="B6" s="24" t="inlineStr">
        <is>
          <t>Privileged utility inventory maintained</t>
        </is>
      </c>
      <c r="C6" s="15" t="n"/>
      <c r="D6" s="15" t="n"/>
      <c r="E6" s="15" t="n"/>
      <c r="F6" s="15">
        <f>IF(C6="Yes","✅ Compliant","❌ Gap")</f>
        <v/>
      </c>
    </row>
    <row r="7">
      <c r="A7" s="21" t="inlineStr">
        <is>
          <t>REQ-A818-002</t>
        </is>
      </c>
      <c r="B7" s="24" t="inlineStr">
        <is>
          <t>Utilities classified by risk level</t>
        </is>
      </c>
      <c r="C7" s="15" t="n"/>
      <c r="D7" s="15" t="n"/>
      <c r="E7" s="15" t="n"/>
      <c r="F7" s="15">
        <f>IF(C7="Yes","✅ Compliant","❌ Gap")</f>
        <v/>
      </c>
    </row>
    <row r="8">
      <c r="A8" s="21" t="inlineStr">
        <is>
          <t>REQ-A818-003</t>
        </is>
      </c>
      <c r="B8" s="24" t="inlineStr">
        <is>
          <t>Access controls implemented for all privileged utilities</t>
        </is>
      </c>
      <c r="C8" s="15" t="n"/>
      <c r="D8" s="15" t="n"/>
      <c r="E8" s="15" t="n"/>
      <c r="F8" s="15">
        <f>IF(C8="Yes","✅ Compliant","❌ Gap")</f>
        <v/>
      </c>
    </row>
    <row r="9">
      <c r="A9" s="21" t="inlineStr">
        <is>
          <t>REQ-A818-004</t>
        </is>
      </c>
      <c r="B9" s="24" t="inlineStr">
        <is>
          <t>Approval workflow for privileged access</t>
        </is>
      </c>
      <c r="C9" s="15" t="n"/>
      <c r="D9" s="15" t="n"/>
      <c r="E9" s="15" t="n"/>
      <c r="F9" s="15">
        <f>IF(C9="Yes","✅ Compliant","❌ Gap")</f>
        <v/>
      </c>
    </row>
    <row r="10">
      <c r="A10" s="21" t="inlineStr">
        <is>
          <t>REQ-A818-005</t>
        </is>
      </c>
      <c r="B10" s="24" t="inlineStr">
        <is>
          <t>MFA required for high-risk utilities ≥90%</t>
        </is>
      </c>
      <c r="C10" s="15" t="n"/>
      <c r="D10" s="15" t="n"/>
      <c r="E10" s="15" t="n"/>
      <c r="F10" s="15">
        <f>IF(C10="Yes","✅ Compliant","❌ Gap")</f>
        <v/>
      </c>
    </row>
    <row r="11">
      <c r="A11" s="21" t="inlineStr">
        <is>
          <t>REQ-A818-006</t>
        </is>
      </c>
      <c r="B11" s="24" t="inlineStr">
        <is>
          <t>Logging enabled for all privileged utility usage</t>
        </is>
      </c>
      <c r="C11" s="15" t="n"/>
      <c r="D11" s="15" t="n"/>
      <c r="E11" s="15" t="n"/>
      <c r="F11" s="15">
        <f>IF(C11="Yes","✅ Compliant","❌ Gap")</f>
        <v/>
      </c>
    </row>
    <row r="12">
      <c r="A12" s="21" t="inlineStr">
        <is>
          <t>REQ-A818-007</t>
        </is>
      </c>
      <c r="B12" s="24" t="inlineStr">
        <is>
          <t>SIEM integration for privileged utility logs</t>
        </is>
      </c>
      <c r="C12" s="15" t="n"/>
      <c r="D12" s="15" t="n"/>
      <c r="E12" s="15" t="n"/>
      <c r="F12" s="15">
        <f>IF(C12="Yes","✅ Compliant","❌ Gap")</f>
        <v/>
      </c>
    </row>
    <row r="13">
      <c r="A13" s="21" t="inlineStr">
        <is>
          <t>REQ-A818-008</t>
        </is>
      </c>
      <c r="B13" s="24" t="inlineStr">
        <is>
          <t>Quarterly access reviews conducted</t>
        </is>
      </c>
      <c r="C13" s="15" t="n"/>
      <c r="D13" s="15" t="n"/>
      <c r="E13" s="15" t="n"/>
      <c r="F13" s="15">
        <f>IF(C13="Yes","✅ Compliant","❌ Gap")</f>
        <v/>
      </c>
    </row>
    <row r="14">
      <c r="A14" s="21" t="inlineStr">
        <is>
          <t>REQ-A818-009</t>
        </is>
      </c>
      <c r="B14" s="24" t="inlineStr">
        <is>
          <t>JIT access for critical utilities</t>
        </is>
      </c>
      <c r="C14" s="15" t="n"/>
      <c r="D14" s="15" t="n"/>
      <c r="E14" s="15" t="n"/>
      <c r="F14" s="15">
        <f>IF(C14="Yes","✅ Compliant","❌ Gap")</f>
        <v/>
      </c>
    </row>
    <row r="15">
      <c r="A15" s="21" t="inlineStr">
        <is>
          <t>REQ-A818-010</t>
        </is>
      </c>
      <c r="B15" s="24" t="inlineStr">
        <is>
          <t>Security bypass tools restricted</t>
        </is>
      </c>
      <c r="C15" s="15" t="n"/>
      <c r="D15" s="15" t="n"/>
      <c r="E15" s="15" t="n"/>
      <c r="F15" s="15">
        <f>IF(C15="Yes","✅ Compliant","❌ Gap")</f>
        <v/>
      </c>
    </row>
    <row r="16">
      <c r="A16" s="15" t="n"/>
      <c r="B16" s="15" t="n"/>
      <c r="C16" s="15" t="n"/>
      <c r="D16" s="15" t="n"/>
      <c r="E16" s="15" t="n"/>
      <c r="F16" s="15" t="n"/>
    </row>
    <row r="17">
      <c r="A17" s="15" t="n"/>
      <c r="B17" s="15" t="n"/>
      <c r="C17" s="15" t="n"/>
      <c r="D17" s="15" t="n"/>
      <c r="E17" s="15" t="n"/>
      <c r="F17" s="15" t="n"/>
    </row>
    <row r="18">
      <c r="A18" s="15" t="n"/>
      <c r="B18" s="15" t="n"/>
      <c r="C18" s="15" t="n"/>
      <c r="D18" s="15" t="n"/>
      <c r="E18" s="15" t="n"/>
      <c r="F18" s="15" t="n"/>
    </row>
    <row r="19">
      <c r="A19" s="15" t="n"/>
      <c r="B19" s="15" t="n"/>
      <c r="C19" s="15" t="n"/>
      <c r="D19" s="15" t="n"/>
      <c r="E19" s="15" t="n"/>
      <c r="F19" s="15" t="n"/>
    </row>
    <row r="20">
      <c r="A20" s="15" t="n"/>
      <c r="B20" s="15" t="n"/>
      <c r="C20" s="15" t="n"/>
      <c r="D20" s="15" t="n"/>
      <c r="E20" s="15" t="n"/>
      <c r="F20" s="15" t="n"/>
    </row>
    <row r="21">
      <c r="A21" s="15" t="n"/>
      <c r="B21" s="15" t="n"/>
      <c r="C21" s="15" t="n"/>
      <c r="D21" s="15" t="n"/>
      <c r="E21" s="15" t="n"/>
      <c r="F21" s="15" t="n"/>
    </row>
    <row r="22">
      <c r="A22" s="15" t="n"/>
      <c r="B22" s="15" t="n"/>
      <c r="C22" s="15" t="n"/>
      <c r="D22" s="15" t="n"/>
      <c r="E22" s="15" t="n"/>
      <c r="F22" s="15" t="n"/>
    </row>
    <row r="23">
      <c r="A23" s="15" t="n"/>
      <c r="B23" s="15" t="n"/>
      <c r="C23" s="15" t="n"/>
      <c r="D23" s="15" t="n"/>
      <c r="E23" s="15" t="n"/>
      <c r="F23" s="15" t="n"/>
    </row>
    <row r="24">
      <c r="A24" s="15" t="n"/>
      <c r="B24" s="15" t="n"/>
      <c r="C24" s="15" t="n"/>
      <c r="D24" s="15" t="n"/>
      <c r="E24" s="15" t="n"/>
      <c r="F24" s="15" t="n"/>
    </row>
    <row r="25">
      <c r="A25" s="15" t="n"/>
      <c r="B25" s="15" t="n"/>
      <c r="C25" s="15" t="n"/>
      <c r="D25" s="15" t="n"/>
      <c r="E25" s="15" t="n"/>
      <c r="F25" s="15" t="n"/>
    </row>
    <row r="26">
      <c r="A26" s="15" t="n"/>
      <c r="B26" s="15" t="n"/>
      <c r="C26" s="15" t="n"/>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row r="55">
      <c r="A55" s="15" t="n"/>
      <c r="B55" s="15" t="n"/>
      <c r="C55" s="15" t="n"/>
      <c r="D55" s="15" t="n"/>
      <c r="E55" s="15" t="n"/>
      <c r="F55" s="15" t="n"/>
    </row>
  </sheetData>
  <mergeCells count="2">
    <mergeCell ref="A2:F2"/>
    <mergeCell ref="A1:F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ht="35" customHeight="1">
      <c r="A1" s="11" t="inlineStr">
        <is>
          <t>GAP ANALYSIS &amp; REMEDIATION TRACKING</t>
        </is>
      </c>
    </row>
    <row r="2">
      <c r="A2" s="12" t="inlineStr">
        <is>
          <t>Gap identification, severity classification, remediation planning and tracking (50 entries)</t>
        </is>
      </c>
    </row>
    <row r="4">
      <c r="A4" s="13" t="inlineStr">
        <is>
          <t>Gap ID</t>
        </is>
      </c>
      <c r="B4" s="13" t="inlineStr">
        <is>
          <t>Description</t>
        </is>
      </c>
      <c r="C4" s="13" t="inlineStr">
        <is>
          <t>Affected Utilities</t>
        </is>
      </c>
      <c r="D4" s="13" t="inlineStr">
        <is>
          <t>Requirement</t>
        </is>
      </c>
      <c r="E4" s="13" t="inlineStr">
        <is>
          <t>Severity</t>
        </is>
      </c>
      <c r="F4" s="13" t="inlineStr">
        <is>
          <t>Risk</t>
        </is>
      </c>
      <c r="G4" s="13" t="inlineStr">
        <is>
          <t>Root Cause</t>
        </is>
      </c>
      <c r="H4" s="13" t="inlineStr">
        <is>
          <t>Remediation</t>
        </is>
      </c>
      <c r="I4" s="13" t="inlineStr">
        <is>
          <t>Owner</t>
        </is>
      </c>
      <c r="J4" s="13" t="inlineStr">
        <is>
          <t>Due Date</t>
        </is>
      </c>
      <c r="K4" s="13" t="inlineStr">
        <is>
          <t>Status</t>
        </is>
      </c>
      <c r="L4" s="13" t="inlineStr">
        <is>
          <t>Budget Required</t>
        </is>
      </c>
      <c r="M4" s="13" t="inlineStr">
        <is>
          <t>Notes</t>
        </is>
      </c>
    </row>
    <row r="5">
      <c r="A5" s="25" t="inlineStr">
        <is>
          <t>GAP-001</t>
        </is>
      </c>
      <c r="B5" s="26" t="inlineStr">
        <is>
          <t>Example: Admin tools accessible to standard users</t>
        </is>
      </c>
      <c r="C5" s="26" t="inlineStr">
        <is>
          <t>Regedit, PowerShell</t>
        </is>
      </c>
      <c r="D5" s="26" t="inlineStr">
        <is>
          <t>REQ-A818-001</t>
        </is>
      </c>
      <c r="E5" s="26" t="inlineStr">
        <is>
          <t>High</t>
        </is>
      </c>
      <c r="F5" s="26" t="inlineStr">
        <is>
          <t>High — unauthorised access to system utilities</t>
        </is>
      </c>
      <c r="G5" s="26" t="inlineStr">
        <is>
          <t>No application whitelisting for privileged tools</t>
        </is>
      </c>
      <c r="H5" s="26" t="inlineStr">
        <is>
          <t>Restrict privileged utility access via GPO/AppLocker</t>
        </is>
      </c>
      <c r="I5" s="26" t="inlineStr">
        <is>
          <t>IT Operations</t>
        </is>
      </c>
      <c r="J5" s="26" t="inlineStr">
        <is>
          <t>28.02.2026</t>
        </is>
      </c>
      <c r="K5" s="26" t="inlineStr">
        <is>
          <t>Open</t>
        </is>
      </c>
      <c r="L5" s="26" t="inlineStr">
        <is>
          <t>CHF 0</t>
        </is>
      </c>
      <c r="M5" s="26" t="inlineStr">
        <is>
          <t>Example row — do not use for compliance calculations</t>
        </is>
      </c>
    </row>
    <row r="6">
      <c r="A6" s="27" t="n"/>
      <c r="B6" s="15" t="n"/>
      <c r="C6" s="15" t="n"/>
      <c r="D6" s="15" t="n"/>
      <c r="E6" s="15" t="n"/>
      <c r="F6" s="15" t="n"/>
      <c r="G6" s="15" t="n"/>
      <c r="H6" s="15" t="n"/>
      <c r="I6" s="15" t="n"/>
      <c r="J6" s="15" t="n"/>
      <c r="K6" s="15" t="n"/>
      <c r="L6" s="15" t="n"/>
      <c r="M6" s="15" t="n"/>
    </row>
    <row r="7">
      <c r="A7" s="27" t="n"/>
      <c r="B7" s="15" t="n"/>
      <c r="C7" s="15" t="n"/>
      <c r="D7" s="15" t="n"/>
      <c r="E7" s="15" t="n"/>
      <c r="F7" s="15" t="n"/>
      <c r="G7" s="15" t="n"/>
      <c r="H7" s="15" t="n"/>
      <c r="I7" s="15" t="n"/>
      <c r="J7" s="15" t="n"/>
      <c r="K7" s="15" t="n"/>
      <c r="L7" s="15" t="n"/>
      <c r="M7" s="15" t="n"/>
    </row>
    <row r="8">
      <c r="A8" s="27" t="n"/>
      <c r="B8" s="15" t="n"/>
      <c r="C8" s="15" t="n"/>
      <c r="D8" s="15" t="n"/>
      <c r="E8" s="15" t="n"/>
      <c r="F8" s="15" t="n"/>
      <c r="G8" s="15" t="n"/>
      <c r="H8" s="15" t="n"/>
      <c r="I8" s="15" t="n"/>
      <c r="J8" s="15" t="n"/>
      <c r="K8" s="15" t="n"/>
      <c r="L8" s="15" t="n"/>
      <c r="M8" s="15" t="n"/>
    </row>
    <row r="9">
      <c r="A9" s="27" t="n"/>
      <c r="B9" s="15" t="n"/>
      <c r="C9" s="15" t="n"/>
      <c r="D9" s="15" t="n"/>
      <c r="E9" s="15" t="n"/>
      <c r="F9" s="15" t="n"/>
      <c r="G9" s="15" t="n"/>
      <c r="H9" s="15" t="n"/>
      <c r="I9" s="15" t="n"/>
      <c r="J9" s="15" t="n"/>
      <c r="K9" s="15" t="n"/>
      <c r="L9" s="15" t="n"/>
      <c r="M9" s="15" t="n"/>
    </row>
    <row r="10">
      <c r="A10" s="27" t="n"/>
      <c r="B10" s="15" t="n"/>
      <c r="C10" s="15" t="n"/>
      <c r="D10" s="15" t="n"/>
      <c r="E10" s="15" t="n"/>
      <c r="F10" s="15" t="n"/>
      <c r="G10" s="15" t="n"/>
      <c r="H10" s="15" t="n"/>
      <c r="I10" s="15" t="n"/>
      <c r="J10" s="15" t="n"/>
      <c r="K10" s="15" t="n"/>
      <c r="L10" s="15" t="n"/>
      <c r="M10" s="15" t="n"/>
    </row>
    <row r="11">
      <c r="A11" s="27" t="n"/>
      <c r="B11" s="15" t="n"/>
      <c r="C11" s="15" t="n"/>
      <c r="D11" s="15" t="n"/>
      <c r="E11" s="15" t="n"/>
      <c r="F11" s="15" t="n"/>
      <c r="G11" s="15" t="n"/>
      <c r="H11" s="15" t="n"/>
      <c r="I11" s="15" t="n"/>
      <c r="J11" s="15" t="n"/>
      <c r="K11" s="15" t="n"/>
      <c r="L11" s="15" t="n"/>
      <c r="M11" s="15" t="n"/>
    </row>
    <row r="12">
      <c r="A12" s="27" t="n"/>
      <c r="B12" s="15" t="n"/>
      <c r="C12" s="15" t="n"/>
      <c r="D12" s="15" t="n"/>
      <c r="E12" s="15" t="n"/>
      <c r="F12" s="15" t="n"/>
      <c r="G12" s="15" t="n"/>
      <c r="H12" s="15" t="n"/>
      <c r="I12" s="15" t="n"/>
      <c r="J12" s="15" t="n"/>
      <c r="K12" s="15" t="n"/>
      <c r="L12" s="15" t="n"/>
      <c r="M12" s="15" t="n"/>
    </row>
    <row r="13">
      <c r="A13" s="27" t="n"/>
      <c r="B13" s="15" t="n"/>
      <c r="C13" s="15" t="n"/>
      <c r="D13" s="15" t="n"/>
      <c r="E13" s="15" t="n"/>
      <c r="F13" s="15" t="n"/>
      <c r="G13" s="15" t="n"/>
      <c r="H13" s="15" t="n"/>
      <c r="I13" s="15" t="n"/>
      <c r="J13" s="15" t="n"/>
      <c r="K13" s="15" t="n"/>
      <c r="L13" s="15" t="n"/>
      <c r="M13" s="15" t="n"/>
    </row>
    <row r="14">
      <c r="A14" s="27" t="n"/>
      <c r="B14" s="15" t="n"/>
      <c r="C14" s="15" t="n"/>
      <c r="D14" s="15" t="n"/>
      <c r="E14" s="15" t="n"/>
      <c r="F14" s="15" t="n"/>
      <c r="G14" s="15" t="n"/>
      <c r="H14" s="15" t="n"/>
      <c r="I14" s="15" t="n"/>
      <c r="J14" s="15" t="n"/>
      <c r="K14" s="15" t="n"/>
      <c r="L14" s="15" t="n"/>
      <c r="M14" s="15" t="n"/>
    </row>
    <row r="15">
      <c r="A15" s="27" t="n"/>
      <c r="B15" s="15" t="n"/>
      <c r="C15" s="15" t="n"/>
      <c r="D15" s="15" t="n"/>
      <c r="E15" s="15" t="n"/>
      <c r="F15" s="15" t="n"/>
      <c r="G15" s="15" t="n"/>
      <c r="H15" s="15" t="n"/>
      <c r="I15" s="15" t="n"/>
      <c r="J15" s="15" t="n"/>
      <c r="K15" s="15" t="n"/>
      <c r="L15" s="15" t="n"/>
      <c r="M15" s="15" t="n"/>
    </row>
    <row r="16">
      <c r="A16" s="27" t="n"/>
      <c r="B16" s="15" t="n"/>
      <c r="C16" s="15" t="n"/>
      <c r="D16" s="15" t="n"/>
      <c r="E16" s="15" t="n"/>
      <c r="F16" s="15" t="n"/>
      <c r="G16" s="15" t="n"/>
      <c r="H16" s="15" t="n"/>
      <c r="I16" s="15" t="n"/>
      <c r="J16" s="15" t="n"/>
      <c r="K16" s="15" t="n"/>
      <c r="L16" s="15" t="n"/>
      <c r="M16" s="15" t="n"/>
    </row>
    <row r="17">
      <c r="A17" s="27" t="n"/>
      <c r="B17" s="15" t="n"/>
      <c r="C17" s="15" t="n"/>
      <c r="D17" s="15" t="n"/>
      <c r="E17" s="15" t="n"/>
      <c r="F17" s="15" t="n"/>
      <c r="G17" s="15" t="n"/>
      <c r="H17" s="15" t="n"/>
      <c r="I17" s="15" t="n"/>
      <c r="J17" s="15" t="n"/>
      <c r="K17" s="15" t="n"/>
      <c r="L17" s="15" t="n"/>
      <c r="M17" s="15" t="n"/>
    </row>
    <row r="18">
      <c r="A18" s="27" t="n"/>
      <c r="B18" s="15" t="n"/>
      <c r="C18" s="15" t="n"/>
      <c r="D18" s="15" t="n"/>
      <c r="E18" s="15" t="n"/>
      <c r="F18" s="15" t="n"/>
      <c r="G18" s="15" t="n"/>
      <c r="H18" s="15" t="n"/>
      <c r="I18" s="15" t="n"/>
      <c r="J18" s="15" t="n"/>
      <c r="K18" s="15" t="n"/>
      <c r="L18" s="15" t="n"/>
      <c r="M18" s="15" t="n"/>
    </row>
    <row r="19">
      <c r="A19" s="27" t="n"/>
      <c r="B19" s="15" t="n"/>
      <c r="C19" s="15" t="n"/>
      <c r="D19" s="15" t="n"/>
      <c r="E19" s="15" t="n"/>
      <c r="F19" s="15" t="n"/>
      <c r="G19" s="15" t="n"/>
      <c r="H19" s="15" t="n"/>
      <c r="I19" s="15" t="n"/>
      <c r="J19" s="15" t="n"/>
      <c r="K19" s="15" t="n"/>
      <c r="L19" s="15" t="n"/>
      <c r="M19" s="15" t="n"/>
    </row>
    <row r="20">
      <c r="A20" s="27" t="n"/>
      <c r="B20" s="15" t="n"/>
      <c r="C20" s="15" t="n"/>
      <c r="D20" s="15" t="n"/>
      <c r="E20" s="15" t="n"/>
      <c r="F20" s="15" t="n"/>
      <c r="G20" s="15" t="n"/>
      <c r="H20" s="15" t="n"/>
      <c r="I20" s="15" t="n"/>
      <c r="J20" s="15" t="n"/>
      <c r="K20" s="15" t="n"/>
      <c r="L20" s="15" t="n"/>
      <c r="M20" s="15" t="n"/>
    </row>
    <row r="21">
      <c r="A21" s="27" t="n"/>
      <c r="B21" s="15" t="n"/>
      <c r="C21" s="15" t="n"/>
      <c r="D21" s="15" t="n"/>
      <c r="E21" s="15" t="n"/>
      <c r="F21" s="15" t="n"/>
      <c r="G21" s="15" t="n"/>
      <c r="H21" s="15" t="n"/>
      <c r="I21" s="15" t="n"/>
      <c r="J21" s="15" t="n"/>
      <c r="K21" s="15" t="n"/>
      <c r="L21" s="15" t="n"/>
      <c r="M21" s="15" t="n"/>
    </row>
    <row r="22">
      <c r="A22" s="27" t="n"/>
      <c r="B22" s="15" t="n"/>
      <c r="C22" s="15" t="n"/>
      <c r="D22" s="15" t="n"/>
      <c r="E22" s="15" t="n"/>
      <c r="F22" s="15" t="n"/>
      <c r="G22" s="15" t="n"/>
      <c r="H22" s="15" t="n"/>
      <c r="I22" s="15" t="n"/>
      <c r="J22" s="15" t="n"/>
      <c r="K22" s="15" t="n"/>
      <c r="L22" s="15" t="n"/>
      <c r="M22" s="15" t="n"/>
    </row>
    <row r="23">
      <c r="A23" s="27" t="n"/>
      <c r="B23" s="15" t="n"/>
      <c r="C23" s="15" t="n"/>
      <c r="D23" s="15" t="n"/>
      <c r="E23" s="15" t="n"/>
      <c r="F23" s="15" t="n"/>
      <c r="G23" s="15" t="n"/>
      <c r="H23" s="15" t="n"/>
      <c r="I23" s="15" t="n"/>
      <c r="J23" s="15" t="n"/>
      <c r="K23" s="15" t="n"/>
      <c r="L23" s="15" t="n"/>
      <c r="M23" s="15" t="n"/>
    </row>
    <row r="24">
      <c r="A24" s="27" t="n"/>
      <c r="B24" s="15" t="n"/>
      <c r="C24" s="15" t="n"/>
      <c r="D24" s="15" t="n"/>
      <c r="E24" s="15" t="n"/>
      <c r="F24" s="15" t="n"/>
      <c r="G24" s="15" t="n"/>
      <c r="H24" s="15" t="n"/>
      <c r="I24" s="15" t="n"/>
      <c r="J24" s="15" t="n"/>
      <c r="K24" s="15" t="n"/>
      <c r="L24" s="15" t="n"/>
      <c r="M24" s="15" t="n"/>
    </row>
    <row r="25">
      <c r="A25" s="27" t="n"/>
      <c r="B25" s="15" t="n"/>
      <c r="C25" s="15" t="n"/>
      <c r="D25" s="15" t="n"/>
      <c r="E25" s="15" t="n"/>
      <c r="F25" s="15" t="n"/>
      <c r="G25" s="15" t="n"/>
      <c r="H25" s="15" t="n"/>
      <c r="I25" s="15" t="n"/>
      <c r="J25" s="15" t="n"/>
      <c r="K25" s="15" t="n"/>
      <c r="L25" s="15" t="n"/>
      <c r="M25" s="15" t="n"/>
    </row>
    <row r="26">
      <c r="A26" s="27" t="n"/>
      <c r="B26" s="15" t="n"/>
      <c r="C26" s="15" t="n"/>
      <c r="D26" s="15" t="n"/>
      <c r="E26" s="15" t="n"/>
      <c r="F26" s="15" t="n"/>
      <c r="G26" s="15" t="n"/>
      <c r="H26" s="15" t="n"/>
      <c r="I26" s="15" t="n"/>
      <c r="J26" s="15" t="n"/>
      <c r="K26" s="15" t="n"/>
      <c r="L26" s="15" t="n"/>
      <c r="M26" s="15" t="n"/>
    </row>
    <row r="27">
      <c r="A27" s="27" t="n"/>
      <c r="B27" s="15" t="n"/>
      <c r="C27" s="15" t="n"/>
      <c r="D27" s="15" t="n"/>
      <c r="E27" s="15" t="n"/>
      <c r="F27" s="15" t="n"/>
      <c r="G27" s="15" t="n"/>
      <c r="H27" s="15" t="n"/>
      <c r="I27" s="15" t="n"/>
      <c r="J27" s="15" t="n"/>
      <c r="K27" s="15" t="n"/>
      <c r="L27" s="15" t="n"/>
      <c r="M27" s="15" t="n"/>
    </row>
    <row r="28">
      <c r="A28" s="27" t="n"/>
      <c r="B28" s="15" t="n"/>
      <c r="C28" s="15" t="n"/>
      <c r="D28" s="15" t="n"/>
      <c r="E28" s="15" t="n"/>
      <c r="F28" s="15" t="n"/>
      <c r="G28" s="15" t="n"/>
      <c r="H28" s="15" t="n"/>
      <c r="I28" s="15" t="n"/>
      <c r="J28" s="15" t="n"/>
      <c r="K28" s="15" t="n"/>
      <c r="L28" s="15" t="n"/>
      <c r="M28" s="15" t="n"/>
    </row>
    <row r="29">
      <c r="A29" s="27" t="n"/>
      <c r="B29" s="15" t="n"/>
      <c r="C29" s="15" t="n"/>
      <c r="D29" s="15" t="n"/>
      <c r="E29" s="15" t="n"/>
      <c r="F29" s="15" t="n"/>
      <c r="G29" s="15" t="n"/>
      <c r="H29" s="15" t="n"/>
      <c r="I29" s="15" t="n"/>
      <c r="J29" s="15" t="n"/>
      <c r="K29" s="15" t="n"/>
      <c r="L29" s="15" t="n"/>
      <c r="M29" s="15" t="n"/>
    </row>
    <row r="30">
      <c r="A30" s="27" t="n"/>
      <c r="B30" s="15" t="n"/>
      <c r="C30" s="15" t="n"/>
      <c r="D30" s="15" t="n"/>
      <c r="E30" s="15" t="n"/>
      <c r="F30" s="15" t="n"/>
      <c r="G30" s="15" t="n"/>
      <c r="H30" s="15" t="n"/>
      <c r="I30" s="15" t="n"/>
      <c r="J30" s="15" t="n"/>
      <c r="K30" s="15" t="n"/>
      <c r="L30" s="15" t="n"/>
      <c r="M30" s="15" t="n"/>
    </row>
    <row r="31">
      <c r="A31" s="27" t="n"/>
      <c r="B31" s="15" t="n"/>
      <c r="C31" s="15" t="n"/>
      <c r="D31" s="15" t="n"/>
      <c r="E31" s="15" t="n"/>
      <c r="F31" s="15" t="n"/>
      <c r="G31" s="15" t="n"/>
      <c r="H31" s="15" t="n"/>
      <c r="I31" s="15" t="n"/>
      <c r="J31" s="15" t="n"/>
      <c r="K31" s="15" t="n"/>
      <c r="L31" s="15" t="n"/>
      <c r="M31" s="15" t="n"/>
    </row>
    <row r="32">
      <c r="A32" s="27" t="n"/>
      <c r="B32" s="15" t="n"/>
      <c r="C32" s="15" t="n"/>
      <c r="D32" s="15" t="n"/>
      <c r="E32" s="15" t="n"/>
      <c r="F32" s="15" t="n"/>
      <c r="G32" s="15" t="n"/>
      <c r="H32" s="15" t="n"/>
      <c r="I32" s="15" t="n"/>
      <c r="J32" s="15" t="n"/>
      <c r="K32" s="15" t="n"/>
      <c r="L32" s="15" t="n"/>
      <c r="M32" s="15" t="n"/>
    </row>
    <row r="33">
      <c r="A33" s="27" t="n"/>
      <c r="B33" s="15" t="n"/>
      <c r="C33" s="15" t="n"/>
      <c r="D33" s="15" t="n"/>
      <c r="E33" s="15" t="n"/>
      <c r="F33" s="15" t="n"/>
      <c r="G33" s="15" t="n"/>
      <c r="H33" s="15" t="n"/>
      <c r="I33" s="15" t="n"/>
      <c r="J33" s="15" t="n"/>
      <c r="K33" s="15" t="n"/>
      <c r="L33" s="15" t="n"/>
      <c r="M33" s="15" t="n"/>
    </row>
    <row r="34">
      <c r="A34" s="27" t="n"/>
      <c r="B34" s="15" t="n"/>
      <c r="C34" s="15" t="n"/>
      <c r="D34" s="15" t="n"/>
      <c r="E34" s="15" t="n"/>
      <c r="F34" s="15" t="n"/>
      <c r="G34" s="15" t="n"/>
      <c r="H34" s="15" t="n"/>
      <c r="I34" s="15" t="n"/>
      <c r="J34" s="15" t="n"/>
      <c r="K34" s="15" t="n"/>
      <c r="L34" s="15" t="n"/>
      <c r="M34" s="15" t="n"/>
    </row>
    <row r="35">
      <c r="A35" s="27" t="n"/>
      <c r="B35" s="15" t="n"/>
      <c r="C35" s="15" t="n"/>
      <c r="D35" s="15" t="n"/>
      <c r="E35" s="15" t="n"/>
      <c r="F35" s="15" t="n"/>
      <c r="G35" s="15" t="n"/>
      <c r="H35" s="15" t="n"/>
      <c r="I35" s="15" t="n"/>
      <c r="J35" s="15" t="n"/>
      <c r="K35" s="15" t="n"/>
      <c r="L35" s="15" t="n"/>
      <c r="M35" s="15" t="n"/>
    </row>
    <row r="36">
      <c r="A36" s="27" t="n"/>
      <c r="B36" s="15" t="n"/>
      <c r="C36" s="15" t="n"/>
      <c r="D36" s="15" t="n"/>
      <c r="E36" s="15" t="n"/>
      <c r="F36" s="15" t="n"/>
      <c r="G36" s="15" t="n"/>
      <c r="H36" s="15" t="n"/>
      <c r="I36" s="15" t="n"/>
      <c r="J36" s="15" t="n"/>
      <c r="K36" s="15" t="n"/>
      <c r="L36" s="15" t="n"/>
      <c r="M36" s="15" t="n"/>
    </row>
    <row r="37">
      <c r="A37" s="27" t="n"/>
      <c r="B37" s="15" t="n"/>
      <c r="C37" s="15" t="n"/>
      <c r="D37" s="15" t="n"/>
      <c r="E37" s="15" t="n"/>
      <c r="F37" s="15" t="n"/>
      <c r="G37" s="15" t="n"/>
      <c r="H37" s="15" t="n"/>
      <c r="I37" s="15" t="n"/>
      <c r="J37" s="15" t="n"/>
      <c r="K37" s="15" t="n"/>
      <c r="L37" s="15" t="n"/>
      <c r="M37" s="15" t="n"/>
    </row>
    <row r="38">
      <c r="A38" s="27" t="n"/>
      <c r="B38" s="15" t="n"/>
      <c r="C38" s="15" t="n"/>
      <c r="D38" s="15" t="n"/>
      <c r="E38" s="15" t="n"/>
      <c r="F38" s="15" t="n"/>
      <c r="G38" s="15" t="n"/>
      <c r="H38" s="15" t="n"/>
      <c r="I38" s="15" t="n"/>
      <c r="J38" s="15" t="n"/>
      <c r="K38" s="15" t="n"/>
      <c r="L38" s="15" t="n"/>
      <c r="M38" s="15" t="n"/>
    </row>
    <row r="39">
      <c r="A39" s="27" t="n"/>
      <c r="B39" s="15" t="n"/>
      <c r="C39" s="15" t="n"/>
      <c r="D39" s="15" t="n"/>
      <c r="E39" s="15" t="n"/>
      <c r="F39" s="15" t="n"/>
      <c r="G39" s="15" t="n"/>
      <c r="H39" s="15" t="n"/>
      <c r="I39" s="15" t="n"/>
      <c r="J39" s="15" t="n"/>
      <c r="K39" s="15" t="n"/>
      <c r="L39" s="15" t="n"/>
      <c r="M39" s="15" t="n"/>
    </row>
    <row r="40">
      <c r="A40" s="27" t="n"/>
      <c r="B40" s="15" t="n"/>
      <c r="C40" s="15" t="n"/>
      <c r="D40" s="15" t="n"/>
      <c r="E40" s="15" t="n"/>
      <c r="F40" s="15" t="n"/>
      <c r="G40" s="15" t="n"/>
      <c r="H40" s="15" t="n"/>
      <c r="I40" s="15" t="n"/>
      <c r="J40" s="15" t="n"/>
      <c r="K40" s="15" t="n"/>
      <c r="L40" s="15" t="n"/>
      <c r="M40" s="15" t="n"/>
    </row>
    <row r="41">
      <c r="A41" s="27" t="n"/>
      <c r="B41" s="15" t="n"/>
      <c r="C41" s="15" t="n"/>
      <c r="D41" s="15" t="n"/>
      <c r="E41" s="15" t="n"/>
      <c r="F41" s="15" t="n"/>
      <c r="G41" s="15" t="n"/>
      <c r="H41" s="15" t="n"/>
      <c r="I41" s="15" t="n"/>
      <c r="J41" s="15" t="n"/>
      <c r="K41" s="15" t="n"/>
      <c r="L41" s="15" t="n"/>
      <c r="M41" s="15" t="n"/>
    </row>
    <row r="42">
      <c r="A42" s="27" t="n"/>
      <c r="B42" s="15" t="n"/>
      <c r="C42" s="15" t="n"/>
      <c r="D42" s="15" t="n"/>
      <c r="E42" s="15" t="n"/>
      <c r="F42" s="15" t="n"/>
      <c r="G42" s="15" t="n"/>
      <c r="H42" s="15" t="n"/>
      <c r="I42" s="15" t="n"/>
      <c r="J42" s="15" t="n"/>
      <c r="K42" s="15" t="n"/>
      <c r="L42" s="15" t="n"/>
      <c r="M42" s="15" t="n"/>
    </row>
    <row r="43">
      <c r="A43" s="27" t="n"/>
      <c r="B43" s="15" t="n"/>
      <c r="C43" s="15" t="n"/>
      <c r="D43" s="15" t="n"/>
      <c r="E43" s="15" t="n"/>
      <c r="F43" s="15" t="n"/>
      <c r="G43" s="15" t="n"/>
      <c r="H43" s="15" t="n"/>
      <c r="I43" s="15" t="n"/>
      <c r="J43" s="15" t="n"/>
      <c r="K43" s="15" t="n"/>
      <c r="L43" s="15" t="n"/>
      <c r="M43" s="15" t="n"/>
    </row>
    <row r="44">
      <c r="A44" s="27" t="n"/>
      <c r="B44" s="15" t="n"/>
      <c r="C44" s="15" t="n"/>
      <c r="D44" s="15" t="n"/>
      <c r="E44" s="15" t="n"/>
      <c r="F44" s="15" t="n"/>
      <c r="G44" s="15" t="n"/>
      <c r="H44" s="15" t="n"/>
      <c r="I44" s="15" t="n"/>
      <c r="J44" s="15" t="n"/>
      <c r="K44" s="15" t="n"/>
      <c r="L44" s="15" t="n"/>
      <c r="M44" s="15" t="n"/>
    </row>
    <row r="45">
      <c r="A45" s="27" t="n"/>
      <c r="B45" s="15" t="n"/>
      <c r="C45" s="15" t="n"/>
      <c r="D45" s="15" t="n"/>
      <c r="E45" s="15" t="n"/>
      <c r="F45" s="15" t="n"/>
      <c r="G45" s="15" t="n"/>
      <c r="H45" s="15" t="n"/>
      <c r="I45" s="15" t="n"/>
      <c r="J45" s="15" t="n"/>
      <c r="K45" s="15" t="n"/>
      <c r="L45" s="15" t="n"/>
      <c r="M45" s="15" t="n"/>
    </row>
    <row r="46">
      <c r="A46" s="27" t="n"/>
      <c r="B46" s="15" t="n"/>
      <c r="C46" s="15" t="n"/>
      <c r="D46" s="15" t="n"/>
      <c r="E46" s="15" t="n"/>
      <c r="F46" s="15" t="n"/>
      <c r="G46" s="15" t="n"/>
      <c r="H46" s="15" t="n"/>
      <c r="I46" s="15" t="n"/>
      <c r="J46" s="15" t="n"/>
      <c r="K46" s="15" t="n"/>
      <c r="L46" s="15" t="n"/>
      <c r="M46" s="15" t="n"/>
    </row>
    <row r="47">
      <c r="A47" s="27" t="n"/>
      <c r="B47" s="15" t="n"/>
      <c r="C47" s="15" t="n"/>
      <c r="D47" s="15" t="n"/>
      <c r="E47" s="15" t="n"/>
      <c r="F47" s="15" t="n"/>
      <c r="G47" s="15" t="n"/>
      <c r="H47" s="15" t="n"/>
      <c r="I47" s="15" t="n"/>
      <c r="J47" s="15" t="n"/>
      <c r="K47" s="15" t="n"/>
      <c r="L47" s="15" t="n"/>
      <c r="M47" s="15" t="n"/>
    </row>
    <row r="48">
      <c r="A48" s="27" t="n"/>
      <c r="B48" s="15" t="n"/>
      <c r="C48" s="15" t="n"/>
      <c r="D48" s="15" t="n"/>
      <c r="E48" s="15" t="n"/>
      <c r="F48" s="15" t="n"/>
      <c r="G48" s="15" t="n"/>
      <c r="H48" s="15" t="n"/>
      <c r="I48" s="15" t="n"/>
      <c r="J48" s="15" t="n"/>
      <c r="K48" s="15" t="n"/>
      <c r="L48" s="15" t="n"/>
      <c r="M48" s="15" t="n"/>
    </row>
    <row r="49">
      <c r="A49" s="27" t="n"/>
      <c r="B49" s="15" t="n"/>
      <c r="C49" s="15" t="n"/>
      <c r="D49" s="15" t="n"/>
      <c r="E49" s="15" t="n"/>
      <c r="F49" s="15" t="n"/>
      <c r="G49" s="15" t="n"/>
      <c r="H49" s="15" t="n"/>
      <c r="I49" s="15" t="n"/>
      <c r="J49" s="15" t="n"/>
      <c r="K49" s="15" t="n"/>
      <c r="L49" s="15" t="n"/>
      <c r="M49" s="15" t="n"/>
    </row>
    <row r="50">
      <c r="A50" s="27" t="n"/>
      <c r="B50" s="15" t="n"/>
      <c r="C50" s="15" t="n"/>
      <c r="D50" s="15" t="n"/>
      <c r="E50" s="15" t="n"/>
      <c r="F50" s="15" t="n"/>
      <c r="G50" s="15" t="n"/>
      <c r="H50" s="15" t="n"/>
      <c r="I50" s="15" t="n"/>
      <c r="J50" s="15" t="n"/>
      <c r="K50" s="15" t="n"/>
      <c r="L50" s="15" t="n"/>
      <c r="M50" s="15" t="n"/>
    </row>
    <row r="51">
      <c r="A51" s="27" t="n"/>
      <c r="B51" s="15" t="n"/>
      <c r="C51" s="15" t="n"/>
      <c r="D51" s="15" t="n"/>
      <c r="E51" s="15" t="n"/>
      <c r="F51" s="15" t="n"/>
      <c r="G51" s="15" t="n"/>
      <c r="H51" s="15" t="n"/>
      <c r="I51" s="15" t="n"/>
      <c r="J51" s="15" t="n"/>
      <c r="K51" s="15" t="n"/>
      <c r="L51" s="15" t="n"/>
      <c r="M51" s="15" t="n"/>
    </row>
    <row r="52">
      <c r="A52" s="27" t="n"/>
      <c r="B52" s="15" t="n"/>
      <c r="C52" s="15" t="n"/>
      <c r="D52" s="15" t="n"/>
      <c r="E52" s="15" t="n"/>
      <c r="F52" s="15" t="n"/>
      <c r="G52" s="15" t="n"/>
      <c r="H52" s="15" t="n"/>
      <c r="I52" s="15" t="n"/>
      <c r="J52" s="15" t="n"/>
      <c r="K52" s="15" t="n"/>
      <c r="L52" s="15" t="n"/>
      <c r="M52" s="15" t="n"/>
    </row>
    <row r="53">
      <c r="A53" s="27" t="n"/>
      <c r="B53" s="15" t="n"/>
      <c r="C53" s="15" t="n"/>
      <c r="D53" s="15" t="n"/>
      <c r="E53" s="15" t="n"/>
      <c r="F53" s="15" t="n"/>
      <c r="G53" s="15" t="n"/>
      <c r="H53" s="15" t="n"/>
      <c r="I53" s="15" t="n"/>
      <c r="J53" s="15" t="n"/>
      <c r="K53" s="15" t="n"/>
      <c r="L53" s="15" t="n"/>
      <c r="M53" s="15" t="n"/>
    </row>
    <row r="54">
      <c r="A54" s="27" t="n"/>
      <c r="B54" s="15" t="n"/>
      <c r="C54" s="15" t="n"/>
      <c r="D54" s="15" t="n"/>
      <c r="E54" s="15" t="n"/>
      <c r="F54" s="15" t="n"/>
      <c r="G54" s="15" t="n"/>
      <c r="H54" s="15" t="n"/>
      <c r="I54" s="15" t="n"/>
      <c r="J54" s="15" t="n"/>
      <c r="K54" s="15" t="n"/>
      <c r="L54" s="15" t="n"/>
      <c r="M54" s="15" t="n"/>
    </row>
    <row r="55">
      <c r="A55" s="27" t="n"/>
      <c r="B55" s="15" t="n"/>
      <c r="C55" s="15" t="n"/>
      <c r="D55" s="15" t="n"/>
      <c r="E55" s="15" t="n"/>
      <c r="F55" s="15" t="n"/>
      <c r="G55" s="15" t="n"/>
      <c r="H55" s="15" t="n"/>
      <c r="I55" s="15" t="n"/>
      <c r="J55" s="15" t="n"/>
      <c r="K55" s="15" t="n"/>
      <c r="L55" s="15" t="n"/>
      <c r="M55" s="15" t="n"/>
    </row>
  </sheetData>
  <mergeCells count="2">
    <mergeCell ref="A2:M2"/>
    <mergeCell ref="A1:M1"/>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8" t="inlineStr">
        <is>
          <t>EVIDENCE REGISTER</t>
        </is>
      </c>
    </row>
    <row r="2">
      <c r="A2" s="29" t="inlineStr">
        <is>
          <t>Comprehensive evidence documentation for privileged utilities assessment (100 evidence entries)</t>
        </is>
      </c>
    </row>
    <row r="4">
      <c r="A4" s="30" t="inlineStr">
        <is>
          <t>Evidence ID</t>
        </is>
      </c>
      <c r="B4" s="30" t="inlineStr">
        <is>
          <t>Evidence Type</t>
        </is>
      </c>
      <c r="C4" s="30" t="inlineStr">
        <is>
          <t>Description</t>
        </is>
      </c>
      <c r="D4" s="30" t="inlineStr">
        <is>
          <t>Related Requirement</t>
        </is>
      </c>
      <c r="E4" s="30" t="inlineStr">
        <is>
          <t>Related Worksheet/Device</t>
        </is>
      </c>
      <c r="F4" s="30" t="inlineStr">
        <is>
          <t>File Location</t>
        </is>
      </c>
      <c r="G4" s="30" t="inlineStr">
        <is>
          <t>Collection Date</t>
        </is>
      </c>
      <c r="H4" s="30" t="inlineStr">
        <is>
          <t>Collected By</t>
        </is>
      </c>
    </row>
    <row r="5">
      <c r="A5" s="14" t="inlineStr">
        <is>
          <t>EV-001</t>
        </is>
      </c>
      <c r="B5" s="14" t="inlineStr">
        <is>
          <t>Config</t>
        </is>
      </c>
      <c r="C5" s="14" t="inlineStr">
        <is>
          <t>Example: Access control configuration report for PsExec</t>
        </is>
      </c>
      <c r="D5" s="14" t="inlineStr">
        <is>
          <t>A.8.18 Access Controls</t>
        </is>
      </c>
      <c r="E5" s="14" t="inlineStr">
        <is>
          <t>Access Controls sheet row 6</t>
        </is>
      </c>
      <c r="F5" s="14" t="inlineStr">
        <is>
          <t>/evidence/A.8.18/access-ctrl-config.pdf</t>
        </is>
      </c>
      <c r="G5" s="14" t="inlineStr">
        <is>
          <t>20.02.2026</t>
        </is>
      </c>
      <c r="H5" s="14" t="inlineStr">
        <is>
          <t>IT Security Team</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row r="107">
      <c r="A107" s="16" t="inlineStr">
        <is>
          <t>Total Evidence Entries:</t>
        </is>
      </c>
      <c r="B107">
        <f>COUNTA(C6:C105)</f>
        <v/>
      </c>
    </row>
  </sheetData>
  <mergeCells count="2">
    <mergeCell ref="A2:H2"/>
    <mergeCell ref="A1:H1"/>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"Config,Screenshot,Report,Policy,Log,Other"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2"/>
  <sheetViews>
    <sheetView showGridLines="0"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PRIVILEGED UTILITIES — SUMMARY DASHBOARD</t>
        </is>
      </c>
    </row>
    <row r="2">
      <c r="A2" s="29" t="inlineStr">
        <is>
          <t>Consolidated compliance metrics for privileged utility program management assessment</t>
        </is>
      </c>
    </row>
    <row r="3" ht="15" customHeight="1">
      <c r="A3" s="31" t="inlineStr">
        <is>
          <t>TABLE 1 — Compliance Summary by Assessment Area</t>
        </is>
      </c>
    </row>
    <row r="4">
      <c r="A4" s="13" t="inlineStr">
        <is>
          <t>Assessment Area</t>
        </is>
      </c>
      <c r="B4" s="13" t="inlineStr">
        <is>
          <t>Total Items</t>
        </is>
      </c>
      <c r="C4" s="13" t="inlineStr">
        <is>
          <t>Compliant</t>
        </is>
      </c>
      <c r="D4" s="13" t="inlineStr">
        <is>
          <t>Partial</t>
        </is>
      </c>
      <c r="E4" s="13" t="inlineStr">
        <is>
          <t>Non-Compliant</t>
        </is>
      </c>
      <c r="F4" s="13" t="inlineStr">
        <is>
          <t>N/A</t>
        </is>
      </c>
      <c r="G4" s="13" t="inlineStr">
        <is>
          <t>Compliance %</t>
        </is>
      </c>
    </row>
    <row r="5">
      <c r="A5" s="32" t="inlineStr">
        <is>
          <t>Access Control Config</t>
        </is>
      </c>
      <c r="B5" s="33">
        <f>SUM(C5:F5)</f>
        <v/>
      </c>
      <c r="C5" s="33">
        <f>COUNTIF('Access Controls'!F6:F55,"✅ Controlled")</f>
        <v/>
      </c>
      <c r="D5" s="33">
        <f>COUNTIF('Access Controls'!F6:F55,"Partial")</f>
        <v/>
      </c>
      <c r="E5" s="33">
        <f>COUNTIF('Access Controls'!F6:F55,"Uncontrolled")+COUNTIF('Access Controls'!F6:F55,"Unknown")</f>
        <v/>
      </c>
      <c r="F5" s="33" t="inlineStr">
        <is>
          <t>0</t>
        </is>
      </c>
      <c r="G5" s="34">
        <f>IF((B5-F5)=0,0,C5/(B5-F5))</f>
        <v/>
      </c>
    </row>
    <row r="6">
      <c r="A6" s="32" t="inlineStr">
        <is>
          <t>Access Approval Workflow</t>
        </is>
      </c>
      <c r="B6" s="33">
        <f>SUM(C6:F6)</f>
        <v/>
      </c>
      <c r="C6" s="33">
        <f>COUNTIF('Approval Workflow'!J6:J105,"✅ Approved")</f>
        <v/>
      </c>
      <c r="D6" s="33">
        <f>COUNTIF('Approval Workflow'!J6:J105,"Pending")</f>
        <v/>
      </c>
      <c r="E6" s="33">
        <f>COUNTIF('Approval Workflow'!J6:J105,"Rejected")</f>
        <v/>
      </c>
      <c r="F6" s="33" t="inlineStr">
        <is>
          <t>0</t>
        </is>
      </c>
      <c r="G6" s="34">
        <f>IF((B6-F6)=0,0,C6/(B6-F6))</f>
        <v/>
      </c>
    </row>
    <row r="7">
      <c r="A7" s="32" t="inlineStr">
        <is>
          <t>MFA Compliance</t>
        </is>
      </c>
      <c r="B7" s="33">
        <f>SUM(C7:F7)</f>
        <v/>
      </c>
      <c r="C7" s="33">
        <f>COUNTIF('MFA Compliance'!E6:E55,"✅ Enabled")</f>
        <v/>
      </c>
      <c r="D7" s="33" t="inlineStr">
        <is>
          <t>0</t>
        </is>
      </c>
      <c r="E7" s="33">
        <f>COUNTIF('MFA Compliance'!E6:E55,"Not Enabled")</f>
        <v/>
      </c>
      <c r="F7" s="33">
        <f>COUNTIF('MFA Compliance'!E6:E55,"N/A")</f>
        <v/>
      </c>
      <c r="G7" s="34">
        <f>IF((B7-F7)=0,0,C7/(B7-F7))</f>
        <v/>
      </c>
    </row>
    <row r="8">
      <c r="A8" s="32" t="inlineStr">
        <is>
          <t>Quarterly Access Reviews</t>
        </is>
      </c>
      <c r="B8" s="33">
        <f>SUM(C8:F8)</f>
        <v/>
      </c>
      <c r="C8" s="33">
        <f>COUNTIF('Quarterly Reviews'!F6:F105,"✅ Continue")+COUNTIF('Quarterly Reviews'!F6:F105,"Modify")</f>
        <v/>
      </c>
      <c r="D8" s="33" t="inlineStr">
        <is>
          <t>0</t>
        </is>
      </c>
      <c r="E8" s="33">
        <f>COUNTIF('Quarterly Reviews'!F6:F105,"Revoke")</f>
        <v/>
      </c>
      <c r="F8" s="33" t="inlineStr">
        <is>
          <t>0</t>
        </is>
      </c>
      <c r="G8" s="34">
        <f>IF((B8-F8)=0,0,C8/(B8-F8))</f>
        <v/>
      </c>
    </row>
    <row r="9">
      <c r="A9" s="32" t="inlineStr">
        <is>
          <t>Capability Requirements</t>
        </is>
      </c>
      <c r="B9" s="33">
        <f>SUM(C9:F9)</f>
        <v/>
      </c>
      <c r="C9" s="33">
        <f>COUNTIF('Capability Requirements'!F6:F55,"✅ Compliant")</f>
        <v/>
      </c>
      <c r="D9" s="33" t="inlineStr">
        <is>
          <t>0</t>
        </is>
      </c>
      <c r="E9" s="33">
        <f>COUNTIF('Capability Requirements'!F6:F55,"❌ Gap")</f>
        <v/>
      </c>
      <c r="F9" s="33" t="inlineStr">
        <is>
          <t>0</t>
        </is>
      </c>
      <c r="G9" s="34">
        <f>IF((B9-F9)=0,0,C9/(B9-F9))</f>
        <v/>
      </c>
    </row>
    <row r="10">
      <c r="A10" s="35" t="inlineStr">
        <is>
          <t>TOTAL</t>
        </is>
      </c>
      <c r="B10" s="36">
        <f>SUM(B5:B9)</f>
        <v/>
      </c>
      <c r="C10" s="36">
        <f>SUM(C5:C9)</f>
        <v/>
      </c>
      <c r="D10" s="36">
        <f>SUM(D5:D9)</f>
        <v/>
      </c>
      <c r="E10" s="36">
        <f>SUM(E5:E9)</f>
        <v/>
      </c>
      <c r="F10" s="36">
        <f>SUM(F5:F9)</f>
        <v/>
      </c>
      <c r="G10" s="37">
        <f>IF((B10-F10)=0,0,C10/(B10-F10))</f>
        <v/>
      </c>
    </row>
    <row r="12" ht="15" customHeight="1">
      <c r="A12" s="31" t="inlineStr">
        <is>
          <t>TABLE 2 — Key Performance Indicators</t>
        </is>
      </c>
    </row>
    <row r="13">
      <c r="A13" s="13" t="inlineStr">
        <is>
          <t>KPI</t>
        </is>
      </c>
      <c r="B13" s="13" t="inlineStr">
        <is>
          <t>Current Value</t>
        </is>
      </c>
      <c r="C13" s="13" t="inlineStr">
        <is>
          <t>Target</t>
        </is>
      </c>
      <c r="D13" s="13" t="inlineStr">
        <is>
          <t>Status</t>
        </is>
      </c>
      <c r="E13" s="13" t="inlineStr">
        <is>
          <t>Last Updated</t>
        </is>
      </c>
      <c r="F13" s="13" t="inlineStr">
        <is>
          <t>Owner</t>
        </is>
      </c>
      <c r="G13" s="13" t="inlineStr">
        <is>
          <t>Notes</t>
        </is>
      </c>
    </row>
    <row r="14">
      <c r="A14" s="32" t="inlineStr">
        <is>
          <t>Total Utilities in Inventory</t>
        </is>
      </c>
      <c r="B14" s="32">
        <f>COUNTA('Utility Inventory'!B6:B55)</f>
        <v/>
      </c>
      <c r="C14" s="32" t="inlineStr">
        <is>
          <t>—</t>
        </is>
      </c>
      <c r="D14" s="21" t="n"/>
      <c r="E14" s="21" t="n"/>
      <c r="F14" s="21" t="n"/>
      <c r="G14" s="21" t="n"/>
    </row>
    <row r="15">
      <c r="A15" s="32" t="inlineStr">
        <is>
          <t>Critical/High Risk Utilities</t>
        </is>
      </c>
      <c r="B15" s="32">
        <f>COUNTIF('Utility Inventory'!E6:E55,"Critical")+COUNTIF('Utility Inventory'!E6:E55,"High")</f>
        <v/>
      </c>
      <c r="C15" s="32" t="inlineStr">
        <is>
          <t>0</t>
        </is>
      </c>
      <c r="D15" s="21" t="n"/>
      <c r="E15" s="21" t="n"/>
      <c r="F15" s="21" t="n"/>
      <c r="G15" s="21" t="n"/>
    </row>
    <row r="16">
      <c r="A16" s="32" t="inlineStr">
        <is>
          <t>MFA Required (Inventory)</t>
        </is>
      </c>
      <c r="B16" s="38">
        <f>IF(COUNTA('Utility Inventory'!I6:I55)=0,0,COUNTIF('Utility Inventory'!I6:I55,"Yes")/COUNTA('Utility Inventory'!I6:I55))</f>
        <v/>
      </c>
      <c r="C16" s="32" t="inlineStr">
        <is>
          <t>100%</t>
        </is>
      </c>
      <c r="D16" s="21" t="n"/>
      <c r="E16" s="21" t="n"/>
      <c r="F16" s="21" t="n"/>
      <c r="G16" s="21" t="n"/>
    </row>
    <row r="17">
      <c r="A17" s="32" t="inlineStr">
        <is>
          <t>Logging Enabled (Inventory)</t>
        </is>
      </c>
      <c r="B17" s="38">
        <f>IF(COUNTA('Utility Inventory'!J6:J55)=0,0,COUNTIF('Utility Inventory'!J6:J55,"Yes")/COUNTA('Utility Inventory'!J6:J55))</f>
        <v/>
      </c>
      <c r="C17" s="32" t="inlineStr">
        <is>
          <t>100%</t>
        </is>
      </c>
      <c r="D17" s="21" t="n"/>
      <c r="E17" s="21" t="n"/>
      <c r="F17" s="21" t="n"/>
      <c r="G17" s="21" t="n"/>
    </row>
    <row r="18">
      <c r="A18" s="32" t="inlineStr">
        <is>
          <t>Access Controlled Rate</t>
        </is>
      </c>
      <c r="B18" s="38">
        <f>IF(COUNTA('Access Controls'!F6:F55)=0,0,COUNTIF('Access Controls'!F6:F55,"✅ Controlled")/COUNTA('Access Controls'!F6:F55))</f>
        <v/>
      </c>
      <c r="C18" s="32" t="inlineStr">
        <is>
          <t>≥95%</t>
        </is>
      </c>
      <c r="D18" s="21" t="n"/>
      <c r="E18" s="21" t="n"/>
      <c r="F18" s="21" t="n"/>
      <c r="G18" s="21" t="n"/>
    </row>
    <row r="19">
      <c r="A19" s="32" t="inlineStr">
        <is>
          <t>MFA Compliance Rate</t>
        </is>
      </c>
      <c r="B19" s="38">
        <f>IF(COUNTA('MFA Compliance'!E6:E55)=0,0,COUNTIF('MFA Compliance'!E6:E55,"✅ Enabled")/COUNTA('MFA Compliance'!E6:E55))</f>
        <v/>
      </c>
      <c r="C19" s="32" t="inlineStr">
        <is>
          <t>≥95%</t>
        </is>
      </c>
      <c r="D19" s="21" t="n"/>
      <c r="E19" s="21" t="n"/>
      <c r="F19" s="21" t="n"/>
      <c r="G19" s="21" t="n"/>
    </row>
    <row r="20">
      <c r="A20" s="32" t="inlineStr">
        <is>
          <t>Approvals Granted Rate</t>
        </is>
      </c>
      <c r="B20" s="38">
        <f>IF(COUNTA('Approval Workflow'!J6:J105)=0,0,COUNTIF('Approval Workflow'!J6:J105,"✅ Approved")/COUNTA('Approval Workflow'!J6:J105))</f>
        <v/>
      </c>
      <c r="C20" s="32" t="inlineStr">
        <is>
          <t>≥95%</t>
        </is>
      </c>
      <c r="D20" s="21" t="n"/>
      <c r="E20" s="21" t="n"/>
      <c r="F20" s="21" t="n"/>
      <c r="G20" s="21" t="n"/>
    </row>
    <row r="21">
      <c r="A21" s="32" t="inlineStr">
        <is>
          <t>Reviews Completed</t>
        </is>
      </c>
      <c r="B21" s="32">
        <f>COUNTA('Quarterly Reviews'!F6:F105)</f>
        <v/>
      </c>
      <c r="C21" s="32" t="inlineStr">
        <is>
          <t>—</t>
        </is>
      </c>
      <c r="D21" s="21" t="n"/>
      <c r="E21" s="21" t="n"/>
      <c r="F21" s="21" t="n"/>
      <c r="G21" s="21" t="n"/>
    </row>
    <row r="22">
      <c r="A22" s="32" t="inlineStr">
        <is>
          <t>Access Revocations</t>
        </is>
      </c>
      <c r="B22" s="32">
        <f>COUNTIF('Quarterly Reviews'!F6:F105,"Revoke")</f>
        <v/>
      </c>
      <c r="C22" s="32" t="inlineStr">
        <is>
          <t>—</t>
        </is>
      </c>
      <c r="D22" s="21" t="n"/>
      <c r="E22" s="21" t="n"/>
      <c r="F22" s="21" t="n"/>
      <c r="G22" s="21" t="n"/>
    </row>
    <row r="23">
      <c r="A23" s="32" t="inlineStr">
        <is>
          <t>Policy Req Implemented</t>
        </is>
      </c>
      <c r="B23" s="38">
        <f>IF(COUNTA('Capability Requirements'!C6:C55)=0,0,COUNTIF('Capability Requirements'!C6:C55,"Yes")/COUNTA('Capability Requirements'!C6:C55))</f>
        <v/>
      </c>
      <c r="C23" s="32" t="inlineStr">
        <is>
          <t>100%</t>
        </is>
      </c>
      <c r="D23" s="21" t="n"/>
      <c r="E23" s="21" t="n"/>
      <c r="F23" s="21" t="n"/>
      <c r="G23" s="21" t="n"/>
    </row>
    <row r="24">
      <c r="A24" s="32" t="inlineStr">
        <is>
          <t>Critical/High Gaps</t>
        </is>
      </c>
      <c r="B24" s="32">
        <f>COUNTIF('Gap Analysis'!E6:E55,"Critical")+COUNTIF('Gap Analysis'!E6:E55,"High")</f>
        <v/>
      </c>
      <c r="C24" s="32" t="inlineStr">
        <is>
          <t>0</t>
        </is>
      </c>
      <c r="D24" s="21" t="n"/>
      <c r="E24" s="21" t="n"/>
      <c r="F24" s="21" t="n"/>
      <c r="G24" s="21" t="n"/>
    </row>
    <row r="25">
      <c r="A25" s="6" t="n"/>
      <c r="B25" s="6" t="n"/>
      <c r="C25" s="6" t="n"/>
      <c r="D25" s="21" t="n"/>
      <c r="E25" s="21" t="n"/>
      <c r="F25" s="21" t="n"/>
      <c r="G25" s="21" t="n"/>
    </row>
    <row r="26">
      <c r="A26" s="6" t="n"/>
      <c r="B26" s="6" t="n"/>
      <c r="C26" s="6" t="n"/>
      <c r="D26" s="21" t="n"/>
      <c r="E26" s="21" t="n"/>
      <c r="F26" s="21" t="n"/>
      <c r="G26" s="21" t="n"/>
    </row>
    <row r="28" ht="15" customHeight="1">
      <c r="A28" s="39" t="inlineStr">
        <is>
          <t>TABLE 3 — Critical &amp; High Priority Findings</t>
        </is>
      </c>
    </row>
    <row r="29">
      <c r="A29" s="13" t="inlineStr">
        <is>
          <t>Finding ID</t>
        </is>
      </c>
      <c r="B29" s="13" t="inlineStr">
        <is>
          <t>Description</t>
        </is>
      </c>
      <c r="C29" s="13" t="inlineStr">
        <is>
          <t>Affected Area</t>
        </is>
      </c>
      <c r="D29" s="13" t="inlineStr">
        <is>
          <t>Severity</t>
        </is>
      </c>
      <c r="E29" s="13" t="inlineStr">
        <is>
          <t>Status</t>
        </is>
      </c>
      <c r="F29" s="13" t="inlineStr">
        <is>
          <t>Owner</t>
        </is>
      </c>
      <c r="G29" s="13" t="inlineStr">
        <is>
          <t>Due Date</t>
        </is>
      </c>
    </row>
    <row r="30">
      <c r="A30" s="40">
        <f>IFERROR(INDEX('Gap Analysis'!A$6:A$55,SMALL(IF(('Gap Analysis'!E$6:E$55="Critical")+('Gap Analysis'!E$6:E$55="High"),ROW('Gap Analysis'!A$6:A$55)-ROW('Gap Analysis'!A$6)+1),ROWS($A$1:A1))),"")</f>
        <v/>
      </c>
      <c r="B30" s="40">
        <f>IFERROR(INDEX('Gap Analysis'!B$6:B$55,SMALL(IF(('Gap Analysis'!E$6:E$55="Critical")+('Gap Analysis'!E$6:E$55="High"),ROW('Gap Analysis'!A$6:A$55)-ROW('Gap Analysis'!A$6)+1),ROWS($A$1:A1))),"")</f>
        <v/>
      </c>
      <c r="C30" s="40">
        <f>IFERROR(INDEX('Gap Analysis'!D$6:D$55,SMALL(IF(('Gap Analysis'!E$6:E$55="Critical")+('Gap Analysis'!E$6:E$55="High"),ROW('Gap Analysis'!A$6:A$55)-ROW('Gap Analysis'!A$6)+1),ROWS($A$1:A1))),"")</f>
        <v/>
      </c>
      <c r="D30" s="40">
        <f>IFERROR(INDEX('Gap Analysis'!E$6:E$55,SMALL(IF(('Gap Analysis'!E$6:E$55="Critical")+('Gap Analysis'!E$6:E$55="High"),ROW('Gap Analysis'!A$6:A$55)-ROW('Gap Analysis'!A$6)+1),ROWS($A$1:A1))),"")</f>
        <v/>
      </c>
      <c r="E30" s="40">
        <f>IFERROR(INDEX('Gap Analysis'!K$6:K$55,SMALL(IF(('Gap Analysis'!E$6:E$55="Critical")+('Gap Analysis'!E$6:E$55="High"),ROW('Gap Analysis'!A$6:A$55)-ROW('Gap Analysis'!A$6)+1),ROWS($A$1:A1))),"")</f>
        <v/>
      </c>
      <c r="F30" s="40">
        <f>IFERROR(INDEX('Gap Analysis'!I$6:I$55,SMALL(IF(('Gap Analysis'!E$6:E$55="Critical")+('Gap Analysis'!E$6:E$55="High"),ROW('Gap Analysis'!A$6:A$55)-ROW('Gap Analysis'!A$6)+1),ROWS($A$1:A1))),"")</f>
        <v/>
      </c>
      <c r="G30" s="40">
        <f>IFERROR(INDEX('Gap Analysis'!J$6:J$55,SMALL(IF(('Gap Analysis'!E$6:E$55="Critical")+('Gap Analysis'!E$6:E$55="High"),ROW('Gap Analysis'!A$6:A$55)-ROW('Gap Analysis'!A$6)+1),ROWS($A$1:A1))),"")</f>
        <v/>
      </c>
    </row>
    <row r="31">
      <c r="A31" s="40">
        <f>IFERROR(INDEX('Gap Analysis'!A$6:A$55,SMALL(IF(('Gap Analysis'!E$6:E$55="Critical")+('Gap Analysis'!E$6:E$55="High"),ROW('Gap Analysis'!A$6:A$55)-ROW('Gap Analysis'!A$6)+1),ROWS($A$1:A2))),"")</f>
        <v/>
      </c>
      <c r="B31" s="40">
        <f>IFERROR(INDEX('Gap Analysis'!B$6:B$55,SMALL(IF(('Gap Analysis'!E$6:E$55="Critical")+('Gap Analysis'!E$6:E$55="High"),ROW('Gap Analysis'!A$6:A$55)-ROW('Gap Analysis'!A$6)+1),ROWS($A$1:A2))),"")</f>
        <v/>
      </c>
      <c r="C31" s="40">
        <f>IFERROR(INDEX('Gap Analysis'!D$6:D$55,SMALL(IF(('Gap Analysis'!E$6:E$55="Critical")+('Gap Analysis'!E$6:E$55="High"),ROW('Gap Analysis'!A$6:A$55)-ROW('Gap Analysis'!A$6)+1),ROWS($A$1:A2))),"")</f>
        <v/>
      </c>
      <c r="D31" s="40">
        <f>IFERROR(INDEX('Gap Analysis'!E$6:E$55,SMALL(IF(('Gap Analysis'!E$6:E$55="Critical")+('Gap Analysis'!E$6:E$55="High"),ROW('Gap Analysis'!A$6:A$55)-ROW('Gap Analysis'!A$6)+1),ROWS($A$1:A2))),"")</f>
        <v/>
      </c>
      <c r="E31" s="40">
        <f>IFERROR(INDEX('Gap Analysis'!K$6:K$55,SMALL(IF(('Gap Analysis'!E$6:E$55="Critical")+('Gap Analysis'!E$6:E$55="High"),ROW('Gap Analysis'!A$6:A$55)-ROW('Gap Analysis'!A$6)+1),ROWS($A$1:A2))),"")</f>
        <v/>
      </c>
      <c r="F31" s="40">
        <f>IFERROR(INDEX('Gap Analysis'!I$6:I$55,SMALL(IF(('Gap Analysis'!E$6:E$55="Critical")+('Gap Analysis'!E$6:E$55="High"),ROW('Gap Analysis'!A$6:A$55)-ROW('Gap Analysis'!A$6)+1),ROWS($A$1:A2))),"")</f>
        <v/>
      </c>
      <c r="G31" s="40">
        <f>IFERROR(INDEX('Gap Analysis'!J$6:J$55,SMALL(IF(('Gap Analysis'!E$6:E$55="Critical")+('Gap Analysis'!E$6:E$55="High"),ROW('Gap Analysis'!A$6:A$55)-ROW('Gap Analysis'!A$6)+1),ROWS($A$1:A2))),"")</f>
        <v/>
      </c>
    </row>
    <row r="32">
      <c r="A32" s="40">
        <f>IFERROR(INDEX('Gap Analysis'!A$6:A$55,SMALL(IF(('Gap Analysis'!E$6:E$55="Critical")+('Gap Analysis'!E$6:E$55="High"),ROW('Gap Analysis'!A$6:A$55)-ROW('Gap Analysis'!A$6)+1),ROWS($A$1:A3))),"")</f>
        <v/>
      </c>
      <c r="B32" s="40">
        <f>IFERROR(INDEX('Gap Analysis'!B$6:B$55,SMALL(IF(('Gap Analysis'!E$6:E$55="Critical")+('Gap Analysis'!E$6:E$55="High"),ROW('Gap Analysis'!A$6:A$55)-ROW('Gap Analysis'!A$6)+1),ROWS($A$1:A3))),"")</f>
        <v/>
      </c>
      <c r="C32" s="40">
        <f>IFERROR(INDEX('Gap Analysis'!D$6:D$55,SMALL(IF(('Gap Analysis'!E$6:E$55="Critical")+('Gap Analysis'!E$6:E$55="High"),ROW('Gap Analysis'!A$6:A$55)-ROW('Gap Analysis'!A$6)+1),ROWS($A$1:A3))),"")</f>
        <v/>
      </c>
      <c r="D32" s="40">
        <f>IFERROR(INDEX('Gap Analysis'!E$6:E$55,SMALL(IF(('Gap Analysis'!E$6:E$55="Critical")+('Gap Analysis'!E$6:E$55="High"),ROW('Gap Analysis'!A$6:A$55)-ROW('Gap Analysis'!A$6)+1),ROWS($A$1:A3))),"")</f>
        <v/>
      </c>
      <c r="E32" s="40">
        <f>IFERROR(INDEX('Gap Analysis'!K$6:K$55,SMALL(IF(('Gap Analysis'!E$6:E$55="Critical")+('Gap Analysis'!E$6:E$55="High"),ROW('Gap Analysis'!A$6:A$55)-ROW('Gap Analysis'!A$6)+1),ROWS($A$1:A3))),"")</f>
        <v/>
      </c>
      <c r="F32" s="40">
        <f>IFERROR(INDEX('Gap Analysis'!I$6:I$55,SMALL(IF(('Gap Analysis'!E$6:E$55="Critical")+('Gap Analysis'!E$6:E$55="High"),ROW('Gap Analysis'!A$6:A$55)-ROW('Gap Analysis'!A$6)+1),ROWS($A$1:A3))),"")</f>
        <v/>
      </c>
      <c r="G32" s="40">
        <f>IFERROR(INDEX('Gap Analysis'!J$6:J$55,SMALL(IF(('Gap Analysis'!E$6:E$55="Critical")+('Gap Analysis'!E$6:E$55="High"),ROW('Gap Analysis'!A$6:A$55)-ROW('Gap Analysis'!A$6)+1),ROWS($A$1:A3))),"")</f>
        <v/>
      </c>
    </row>
    <row r="33">
      <c r="A33" s="40">
        <f>IFERROR(INDEX('Gap Analysis'!A$6:A$55,SMALL(IF(('Gap Analysis'!E$6:E$55="Critical")+('Gap Analysis'!E$6:E$55="High"),ROW('Gap Analysis'!A$6:A$55)-ROW('Gap Analysis'!A$6)+1),ROWS($A$1:A4))),"")</f>
        <v/>
      </c>
      <c r="B33" s="40">
        <f>IFERROR(INDEX('Gap Analysis'!B$6:B$55,SMALL(IF(('Gap Analysis'!E$6:E$55="Critical")+('Gap Analysis'!E$6:E$55="High"),ROW('Gap Analysis'!A$6:A$55)-ROW('Gap Analysis'!A$6)+1),ROWS($A$1:A4))),"")</f>
        <v/>
      </c>
      <c r="C33" s="40">
        <f>IFERROR(INDEX('Gap Analysis'!D$6:D$55,SMALL(IF(('Gap Analysis'!E$6:E$55="Critical")+('Gap Analysis'!E$6:E$55="High"),ROW('Gap Analysis'!A$6:A$55)-ROW('Gap Analysis'!A$6)+1),ROWS($A$1:A4))),"")</f>
        <v/>
      </c>
      <c r="D33" s="40">
        <f>IFERROR(INDEX('Gap Analysis'!E$6:E$55,SMALL(IF(('Gap Analysis'!E$6:E$55="Critical")+('Gap Analysis'!E$6:E$55="High"),ROW('Gap Analysis'!A$6:A$55)-ROW('Gap Analysis'!A$6)+1),ROWS($A$1:A4))),"")</f>
        <v/>
      </c>
      <c r="E33" s="40">
        <f>IFERROR(INDEX('Gap Analysis'!K$6:K$55,SMALL(IF(('Gap Analysis'!E$6:E$55="Critical")+('Gap Analysis'!E$6:E$55="High"),ROW('Gap Analysis'!A$6:A$55)-ROW('Gap Analysis'!A$6)+1),ROWS($A$1:A4))),"")</f>
        <v/>
      </c>
      <c r="F33" s="40">
        <f>IFERROR(INDEX('Gap Analysis'!I$6:I$55,SMALL(IF(('Gap Analysis'!E$6:E$55="Critical")+('Gap Analysis'!E$6:E$55="High"),ROW('Gap Analysis'!A$6:A$55)-ROW('Gap Analysis'!A$6)+1),ROWS($A$1:A4))),"")</f>
        <v/>
      </c>
      <c r="G33" s="40">
        <f>IFERROR(INDEX('Gap Analysis'!J$6:J$55,SMALL(IF(('Gap Analysis'!E$6:E$55="Critical")+('Gap Analysis'!E$6:E$55="High"),ROW('Gap Analysis'!A$6:A$55)-ROW('Gap Analysis'!A$6)+1),ROWS($A$1:A4))),"")</f>
        <v/>
      </c>
    </row>
    <row r="34">
      <c r="A34" s="40">
        <f>IFERROR(INDEX('Gap Analysis'!A$6:A$55,SMALL(IF(('Gap Analysis'!E$6:E$55="Critical")+('Gap Analysis'!E$6:E$55="High"),ROW('Gap Analysis'!A$6:A$55)-ROW('Gap Analysis'!A$6)+1),ROWS($A$1:A5))),"")</f>
        <v/>
      </c>
      <c r="B34" s="40">
        <f>IFERROR(INDEX('Gap Analysis'!B$6:B$55,SMALL(IF(('Gap Analysis'!E$6:E$55="Critical")+('Gap Analysis'!E$6:E$55="High"),ROW('Gap Analysis'!A$6:A$55)-ROW('Gap Analysis'!A$6)+1),ROWS($A$1:A5))),"")</f>
        <v/>
      </c>
      <c r="C34" s="40">
        <f>IFERROR(INDEX('Gap Analysis'!D$6:D$55,SMALL(IF(('Gap Analysis'!E$6:E$55="Critical")+('Gap Analysis'!E$6:E$55="High"),ROW('Gap Analysis'!A$6:A$55)-ROW('Gap Analysis'!A$6)+1),ROWS($A$1:A5))),"")</f>
        <v/>
      </c>
      <c r="D34" s="40">
        <f>IFERROR(INDEX('Gap Analysis'!E$6:E$55,SMALL(IF(('Gap Analysis'!E$6:E$55="Critical")+('Gap Analysis'!E$6:E$55="High"),ROW('Gap Analysis'!A$6:A$55)-ROW('Gap Analysis'!A$6)+1),ROWS($A$1:A5))),"")</f>
        <v/>
      </c>
      <c r="E34" s="40">
        <f>IFERROR(INDEX('Gap Analysis'!K$6:K$55,SMALL(IF(('Gap Analysis'!E$6:E$55="Critical")+('Gap Analysis'!E$6:E$55="High"),ROW('Gap Analysis'!A$6:A$55)-ROW('Gap Analysis'!A$6)+1),ROWS($A$1:A5))),"")</f>
        <v/>
      </c>
      <c r="F34" s="40">
        <f>IFERROR(INDEX('Gap Analysis'!I$6:I$55,SMALL(IF(('Gap Analysis'!E$6:E$55="Critical")+('Gap Analysis'!E$6:E$55="High"),ROW('Gap Analysis'!A$6:A$55)-ROW('Gap Analysis'!A$6)+1),ROWS($A$1:A5))),"")</f>
        <v/>
      </c>
      <c r="G34" s="40">
        <f>IFERROR(INDEX('Gap Analysis'!J$6:J$55,SMALL(IF(('Gap Analysis'!E$6:E$55="Critical")+('Gap Analysis'!E$6:E$55="High"),ROW('Gap Analysis'!A$6:A$55)-ROW('Gap Analysis'!A$6)+1),ROWS($A$1:A5))),"")</f>
        <v/>
      </c>
    </row>
    <row r="35">
      <c r="A35" s="40">
        <f>IFERROR(INDEX('Gap Analysis'!A$6:A$55,SMALL(IF(('Gap Analysis'!E$6:E$55="Critical")+('Gap Analysis'!E$6:E$55="High"),ROW('Gap Analysis'!A$6:A$55)-ROW('Gap Analysis'!A$6)+1),ROWS($A$1:A6))),"")</f>
        <v/>
      </c>
      <c r="B35" s="40">
        <f>IFERROR(INDEX('Gap Analysis'!B$6:B$55,SMALL(IF(('Gap Analysis'!E$6:E$55="Critical")+('Gap Analysis'!E$6:E$55="High"),ROW('Gap Analysis'!A$6:A$55)-ROW('Gap Analysis'!A$6)+1),ROWS($A$1:A6))),"")</f>
        <v/>
      </c>
      <c r="C35" s="40">
        <f>IFERROR(INDEX('Gap Analysis'!D$6:D$55,SMALL(IF(('Gap Analysis'!E$6:E$55="Critical")+('Gap Analysis'!E$6:E$55="High"),ROW('Gap Analysis'!A$6:A$55)-ROW('Gap Analysis'!A$6)+1),ROWS($A$1:A6))),"")</f>
        <v/>
      </c>
      <c r="D35" s="40">
        <f>IFERROR(INDEX('Gap Analysis'!E$6:E$55,SMALL(IF(('Gap Analysis'!E$6:E$55="Critical")+('Gap Analysis'!E$6:E$55="High"),ROW('Gap Analysis'!A$6:A$55)-ROW('Gap Analysis'!A$6)+1),ROWS($A$1:A6))),"")</f>
        <v/>
      </c>
      <c r="E35" s="40">
        <f>IFERROR(INDEX('Gap Analysis'!K$6:K$55,SMALL(IF(('Gap Analysis'!E$6:E$55="Critical")+('Gap Analysis'!E$6:E$55="High"),ROW('Gap Analysis'!A$6:A$55)-ROW('Gap Analysis'!A$6)+1),ROWS($A$1:A6))),"")</f>
        <v/>
      </c>
      <c r="F35" s="40">
        <f>IFERROR(INDEX('Gap Analysis'!I$6:I$55,SMALL(IF(('Gap Analysis'!E$6:E$55="Critical")+('Gap Analysis'!E$6:E$55="High"),ROW('Gap Analysis'!A$6:A$55)-ROW('Gap Analysis'!A$6)+1),ROWS($A$1:A6))),"")</f>
        <v/>
      </c>
      <c r="G35" s="40">
        <f>IFERROR(INDEX('Gap Analysis'!J$6:J$55,SMALL(IF(('Gap Analysis'!E$6:E$55="Critical")+('Gap Analysis'!E$6:E$55="High"),ROW('Gap Analysis'!A$6:A$55)-ROW('Gap Analysis'!A$6)+1),ROWS($A$1:A6))),"")</f>
        <v/>
      </c>
    </row>
    <row r="36">
      <c r="A36" s="40">
        <f>IFERROR(INDEX('Gap Analysis'!A$6:A$55,SMALL(IF(('Gap Analysis'!E$6:E$55="Critical")+('Gap Analysis'!E$6:E$55="High"),ROW('Gap Analysis'!A$6:A$55)-ROW('Gap Analysis'!A$6)+1),ROWS($A$1:A7))),"")</f>
        <v/>
      </c>
      <c r="B36" s="40">
        <f>IFERROR(INDEX('Gap Analysis'!B$6:B$55,SMALL(IF(('Gap Analysis'!E$6:E$55="Critical")+('Gap Analysis'!E$6:E$55="High"),ROW('Gap Analysis'!A$6:A$55)-ROW('Gap Analysis'!A$6)+1),ROWS($A$1:A7))),"")</f>
        <v/>
      </c>
      <c r="C36" s="40">
        <f>IFERROR(INDEX('Gap Analysis'!D$6:D$55,SMALL(IF(('Gap Analysis'!E$6:E$55="Critical")+('Gap Analysis'!E$6:E$55="High"),ROW('Gap Analysis'!A$6:A$55)-ROW('Gap Analysis'!A$6)+1),ROWS($A$1:A7))),"")</f>
        <v/>
      </c>
      <c r="D36" s="40">
        <f>IFERROR(INDEX('Gap Analysis'!E$6:E$55,SMALL(IF(('Gap Analysis'!E$6:E$55="Critical")+('Gap Analysis'!E$6:E$55="High"),ROW('Gap Analysis'!A$6:A$55)-ROW('Gap Analysis'!A$6)+1),ROWS($A$1:A7))),"")</f>
        <v/>
      </c>
      <c r="E36" s="40">
        <f>IFERROR(INDEX('Gap Analysis'!K$6:K$55,SMALL(IF(('Gap Analysis'!E$6:E$55="Critical")+('Gap Analysis'!E$6:E$55="High"),ROW('Gap Analysis'!A$6:A$55)-ROW('Gap Analysis'!A$6)+1),ROWS($A$1:A7))),"")</f>
        <v/>
      </c>
      <c r="F36" s="40">
        <f>IFERROR(INDEX('Gap Analysis'!I$6:I$55,SMALL(IF(('Gap Analysis'!E$6:E$55="Critical")+('Gap Analysis'!E$6:E$55="High"),ROW('Gap Analysis'!A$6:A$55)-ROW('Gap Analysis'!A$6)+1),ROWS($A$1:A7))),"")</f>
        <v/>
      </c>
      <c r="G36" s="40">
        <f>IFERROR(INDEX('Gap Analysis'!J$6:J$55,SMALL(IF(('Gap Analysis'!E$6:E$55="Critical")+('Gap Analysis'!E$6:E$55="High"),ROW('Gap Analysis'!A$6:A$55)-ROW('Gap Analysis'!A$6)+1),ROWS($A$1:A7))),"")</f>
        <v/>
      </c>
    </row>
    <row r="37">
      <c r="A37" s="40">
        <f>IFERROR(INDEX('Gap Analysis'!A$6:A$55,SMALL(IF(('Gap Analysis'!E$6:E$55="Critical")+('Gap Analysis'!E$6:E$55="High"),ROW('Gap Analysis'!A$6:A$55)-ROW('Gap Analysis'!A$6)+1),ROWS($A$1:A8))),"")</f>
        <v/>
      </c>
      <c r="B37" s="40">
        <f>IFERROR(INDEX('Gap Analysis'!B$6:B$55,SMALL(IF(('Gap Analysis'!E$6:E$55="Critical")+('Gap Analysis'!E$6:E$55="High"),ROW('Gap Analysis'!A$6:A$55)-ROW('Gap Analysis'!A$6)+1),ROWS($A$1:A8))),"")</f>
        <v/>
      </c>
      <c r="C37" s="40">
        <f>IFERROR(INDEX('Gap Analysis'!D$6:D$55,SMALL(IF(('Gap Analysis'!E$6:E$55="Critical")+('Gap Analysis'!E$6:E$55="High"),ROW('Gap Analysis'!A$6:A$55)-ROW('Gap Analysis'!A$6)+1),ROWS($A$1:A8))),"")</f>
        <v/>
      </c>
      <c r="D37" s="40">
        <f>IFERROR(INDEX('Gap Analysis'!E$6:E$55,SMALL(IF(('Gap Analysis'!E$6:E$55="Critical")+('Gap Analysis'!E$6:E$55="High"),ROW('Gap Analysis'!A$6:A$55)-ROW('Gap Analysis'!A$6)+1),ROWS($A$1:A8))),"")</f>
        <v/>
      </c>
      <c r="E37" s="40">
        <f>IFERROR(INDEX('Gap Analysis'!K$6:K$55,SMALL(IF(('Gap Analysis'!E$6:E$55="Critical")+('Gap Analysis'!E$6:E$55="High"),ROW('Gap Analysis'!A$6:A$55)-ROW('Gap Analysis'!A$6)+1),ROWS($A$1:A8))),"")</f>
        <v/>
      </c>
      <c r="F37" s="40">
        <f>IFERROR(INDEX('Gap Analysis'!I$6:I$55,SMALL(IF(('Gap Analysis'!E$6:E$55="Critical")+('Gap Analysis'!E$6:E$55="High"),ROW('Gap Analysis'!A$6:A$55)-ROW('Gap Analysis'!A$6)+1),ROWS($A$1:A8))),"")</f>
        <v/>
      </c>
      <c r="G37" s="40">
        <f>IFERROR(INDEX('Gap Analysis'!J$6:J$55,SMALL(IF(('Gap Analysis'!E$6:E$55="Critical")+('Gap Analysis'!E$6:E$55="High"),ROW('Gap Analysis'!A$6:A$55)-ROW('Gap Analysis'!A$6)+1),ROWS($A$1:A8))),"")</f>
        <v/>
      </c>
    </row>
    <row r="38">
      <c r="A38" s="40">
        <f>IFERROR(INDEX('Gap Analysis'!A$6:A$55,SMALL(IF(('Gap Analysis'!E$6:E$55="Critical")+('Gap Analysis'!E$6:E$55="High"),ROW('Gap Analysis'!A$6:A$55)-ROW('Gap Analysis'!A$6)+1),ROWS($A$1:A9))),"")</f>
        <v/>
      </c>
      <c r="B38" s="40">
        <f>IFERROR(INDEX('Gap Analysis'!B$6:B$55,SMALL(IF(('Gap Analysis'!E$6:E$55="Critical")+('Gap Analysis'!E$6:E$55="High"),ROW('Gap Analysis'!A$6:A$55)-ROW('Gap Analysis'!A$6)+1),ROWS($A$1:A9))),"")</f>
        <v/>
      </c>
      <c r="C38" s="40">
        <f>IFERROR(INDEX('Gap Analysis'!D$6:D$55,SMALL(IF(('Gap Analysis'!E$6:E$55="Critical")+('Gap Analysis'!E$6:E$55="High"),ROW('Gap Analysis'!A$6:A$55)-ROW('Gap Analysis'!A$6)+1),ROWS($A$1:A9))),"")</f>
        <v/>
      </c>
      <c r="D38" s="40">
        <f>IFERROR(INDEX('Gap Analysis'!E$6:E$55,SMALL(IF(('Gap Analysis'!E$6:E$55="Critical")+('Gap Analysis'!E$6:E$55="High"),ROW('Gap Analysis'!A$6:A$55)-ROW('Gap Analysis'!A$6)+1),ROWS($A$1:A9))),"")</f>
        <v/>
      </c>
      <c r="E38" s="40">
        <f>IFERROR(INDEX('Gap Analysis'!K$6:K$55,SMALL(IF(('Gap Analysis'!E$6:E$55="Critical")+('Gap Analysis'!E$6:E$55="High"),ROW('Gap Analysis'!A$6:A$55)-ROW('Gap Analysis'!A$6)+1),ROWS($A$1:A9))),"")</f>
        <v/>
      </c>
      <c r="F38" s="40">
        <f>IFERROR(INDEX('Gap Analysis'!I$6:I$55,SMALL(IF(('Gap Analysis'!E$6:E$55="Critical")+('Gap Analysis'!E$6:E$55="High"),ROW('Gap Analysis'!A$6:A$55)-ROW('Gap Analysis'!A$6)+1),ROWS($A$1:A9))),"")</f>
        <v/>
      </c>
      <c r="G38" s="40">
        <f>IFERROR(INDEX('Gap Analysis'!J$6:J$55,SMALL(IF(('Gap Analysis'!E$6:E$55="Critical")+('Gap Analysis'!E$6:E$55="High"),ROW('Gap Analysis'!A$6:A$55)-ROW('Gap Analysis'!A$6)+1),ROWS($A$1:A9))),"")</f>
        <v/>
      </c>
    </row>
    <row r="39">
      <c r="A39" s="40">
        <f>IFERROR(INDEX('Gap Analysis'!A$6:A$55,SMALL(IF(('Gap Analysis'!E$6:E$55="Critical")+('Gap Analysis'!E$6:E$55="High"),ROW('Gap Analysis'!A$6:A$55)-ROW('Gap Analysis'!A$6)+1),ROWS($A$1:A10))),"")</f>
        <v/>
      </c>
      <c r="B39" s="40">
        <f>IFERROR(INDEX('Gap Analysis'!B$6:B$55,SMALL(IF(('Gap Analysis'!E$6:E$55="Critical")+('Gap Analysis'!E$6:E$55="High"),ROW('Gap Analysis'!A$6:A$55)-ROW('Gap Analysis'!A$6)+1),ROWS($A$1:A10))),"")</f>
        <v/>
      </c>
      <c r="C39" s="40">
        <f>IFERROR(INDEX('Gap Analysis'!D$6:D$55,SMALL(IF(('Gap Analysis'!E$6:E$55="Critical")+('Gap Analysis'!E$6:E$55="High"),ROW('Gap Analysis'!A$6:A$55)-ROW('Gap Analysis'!A$6)+1),ROWS($A$1:A10))),"")</f>
        <v/>
      </c>
      <c r="D39" s="40">
        <f>IFERROR(INDEX('Gap Analysis'!E$6:E$55,SMALL(IF(('Gap Analysis'!E$6:E$55="Critical")+('Gap Analysis'!E$6:E$55="High"),ROW('Gap Analysis'!A$6:A$55)-ROW('Gap Analysis'!A$6)+1),ROWS($A$1:A10))),"")</f>
        <v/>
      </c>
      <c r="E39" s="40">
        <f>IFERROR(INDEX('Gap Analysis'!K$6:K$55,SMALL(IF(('Gap Analysis'!E$6:E$55="Critical")+('Gap Analysis'!E$6:E$55="High"),ROW('Gap Analysis'!A$6:A$55)-ROW('Gap Analysis'!A$6)+1),ROWS($A$1:A10))),"")</f>
        <v/>
      </c>
      <c r="F39" s="40">
        <f>IFERROR(INDEX('Gap Analysis'!I$6:I$55,SMALL(IF(('Gap Analysis'!E$6:E$55="Critical")+('Gap Analysis'!E$6:E$55="High"),ROW('Gap Analysis'!A$6:A$55)-ROW('Gap Analysis'!A$6)+1),ROWS($A$1:A10))),"")</f>
        <v/>
      </c>
      <c r="G39" s="40">
        <f>IFERROR(INDEX('Gap Analysis'!J$6:J$55,SMALL(IF(('Gap Analysis'!E$6:E$55="Critical")+('Gap Analysis'!E$6:E$55="High"),ROW('Gap Analysis'!A$6:A$55)-ROW('Gap Analysis'!A$6)+1),ROWS($A$1:A10))),"")</f>
        <v/>
      </c>
    </row>
    <row r="40">
      <c r="A40" s="21" t="n"/>
      <c r="B40" s="21" t="n"/>
      <c r="C40" s="21" t="n"/>
      <c r="D40" s="21" t="n"/>
      <c r="E40" s="21" t="n"/>
      <c r="F40" s="21" t="n"/>
      <c r="G40" s="21" t="n"/>
    </row>
    <row r="41">
      <c r="A41" s="21" t="n"/>
      <c r="B41" s="21" t="n"/>
      <c r="C41" s="21" t="n"/>
      <c r="D41" s="21" t="n"/>
      <c r="E41" s="21" t="n"/>
      <c r="F41" s="21" t="n"/>
      <c r="G41" s="21" t="n"/>
    </row>
    <row r="42">
      <c r="A42" s="35" t="inlineStr">
        <is>
          <t>Total Critical/High Findings:</t>
        </is>
      </c>
      <c r="B42" s="36">
        <f>COUNTIF('Gap Analysis'!E6:E55,"Critical")+COUNTIF('Gap Analysis'!E6:E55,"High")</f>
        <v/>
      </c>
      <c r="C42" s="41" t="n"/>
      <c r="D42" s="41" t="n"/>
      <c r="E42" s="41" t="n"/>
      <c r="F42" s="41" t="n"/>
      <c r="G42" s="41" t="n"/>
    </row>
  </sheetData>
  <mergeCells count="4">
    <mergeCell ref="A3:G3"/>
    <mergeCell ref="A1:G1"/>
    <mergeCell ref="A12:G12"/>
    <mergeCell ref="A28:G2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18" t="inlineStr">
        <is>
          <t>ISO/IEC 27001:2022 - Control A.8.1-7-18-19: Endpoint and Device Security</t>
        </is>
      </c>
      <c r="B2" s="6" t="n"/>
      <c r="C2" s="6" t="n"/>
      <c r="D2" s="6" t="n"/>
      <c r="E2" s="6" t="n"/>
    </row>
    <row r="3">
      <c r="A3" s="19" t="inlineStr">
        <is>
          <t>ASSESSMENT SUMMARY</t>
        </is>
      </c>
      <c r="B3" s="6" t="n"/>
      <c r="C3" s="6" t="n"/>
      <c r="D3" s="6" t="n"/>
      <c r="E3" s="6" t="n"/>
    </row>
    <row r="4">
      <c r="A4" s="20" t="inlineStr">
        <is>
          <t>Document:</t>
        </is>
      </c>
      <c r="B4" s="6" t="inlineStr">
        <is>
          <t>ISMS-IMP-A.8.1-7-18-19.4 - Privileged Utilities</t>
        </is>
      </c>
      <c r="C4" s="6" t="n"/>
      <c r="D4" s="6" t="n"/>
      <c r="E4" s="6" t="n"/>
    </row>
    <row r="5">
      <c r="A5" s="20" t="inlineStr">
        <is>
          <t>Assessment Period:</t>
        </is>
      </c>
      <c r="B5" s="21" t="inlineStr"/>
      <c r="C5" s="6" t="n"/>
      <c r="D5" s="6" t="n"/>
      <c r="E5" s="6" t="n"/>
    </row>
    <row r="6">
      <c r="A6" s="20" t="inlineStr">
        <is>
          <t>Overall Compliance Rating:</t>
        </is>
      </c>
      <c r="B6" s="22">
        <f>'Summary Dashboard'!G10</f>
        <v/>
      </c>
      <c r="C6" s="6" t="n"/>
      <c r="D6" s="6" t="n"/>
      <c r="E6" s="6" t="n"/>
    </row>
    <row r="7">
      <c r="A7" s="20" t="inlineStr">
        <is>
          <t>Assessment Status:</t>
        </is>
      </c>
      <c r="B7" s="21" t="inlineStr"/>
      <c r="C7" s="6" t="n"/>
      <c r="D7" s="6" t="n"/>
      <c r="E7" s="6" t="n"/>
    </row>
    <row r="8">
      <c r="A8" s="20" t="inlineStr">
        <is>
          <t>Assessed By:</t>
        </is>
      </c>
      <c r="B8" s="21" t="inlineStr"/>
      <c r="C8" s="6" t="n"/>
      <c r="D8" s="6" t="n"/>
      <c r="E8" s="6" t="n"/>
    </row>
    <row r="11">
      <c r="A11" s="19" t="inlineStr">
        <is>
          <t>COMPLETED BY (ASSESSOR)</t>
        </is>
      </c>
      <c r="B11" s="6" t="n"/>
      <c r="C11" s="6" t="n"/>
      <c r="D11" s="6" t="n"/>
      <c r="E11" s="6" t="n"/>
    </row>
    <row r="12">
      <c r="A12" s="20" t="inlineStr">
        <is>
          <t>Name:</t>
        </is>
      </c>
      <c r="B12" s="21" t="n"/>
      <c r="C12" s="6" t="n"/>
      <c r="D12" s="6" t="n"/>
      <c r="E12" s="6" t="n"/>
    </row>
    <row r="13">
      <c r="A13" s="20" t="inlineStr">
        <is>
          <t>Title:</t>
        </is>
      </c>
      <c r="B13" s="21" t="n"/>
      <c r="C13" s="6" t="n"/>
      <c r="D13" s="6" t="n"/>
      <c r="E13" s="6" t="n"/>
    </row>
    <row r="14">
      <c r="A14" s="20" t="inlineStr">
        <is>
          <t>Date:</t>
        </is>
      </c>
      <c r="B14" s="21" t="n"/>
      <c r="C14" s="6" t="n"/>
      <c r="D14" s="6" t="n"/>
      <c r="E14" s="6" t="n"/>
    </row>
    <row r="15">
      <c r="A15" s="20" t="inlineStr">
        <is>
          <t>Signature:</t>
        </is>
      </c>
      <c r="B15" s="21" t="n"/>
      <c r="C15" s="6" t="n"/>
      <c r="D15" s="6" t="n"/>
      <c r="E15" s="6" t="n"/>
    </row>
    <row r="16">
      <c r="A16" s="20" t="inlineStr">
        <is>
          <t>Comments:</t>
        </is>
      </c>
      <c r="B16" s="21" t="n"/>
      <c r="C16" s="6" t="n"/>
      <c r="D16" s="6" t="n"/>
      <c r="E16" s="6" t="n"/>
    </row>
    <row r="18">
      <c r="A18" s="19" t="inlineStr">
        <is>
          <t>REVIEWED BY (INFORMATION SECURITY OFFICER)</t>
        </is>
      </c>
      <c r="B18" s="6" t="n"/>
      <c r="C18" s="6" t="n"/>
      <c r="D18" s="6" t="n"/>
      <c r="E18" s="6" t="n"/>
    </row>
    <row r="19">
      <c r="A19" s="20" t="inlineStr">
        <is>
          <t>Name:</t>
        </is>
      </c>
      <c r="B19" s="21" t="n"/>
      <c r="C19" s="6" t="n"/>
      <c r="D19" s="6" t="n"/>
      <c r="E19" s="6" t="n"/>
    </row>
    <row r="20">
      <c r="A20" s="20" t="inlineStr">
        <is>
          <t>Title:</t>
        </is>
      </c>
      <c r="B20" s="21" t="n"/>
      <c r="C20" s="6" t="n"/>
      <c r="D20" s="6" t="n"/>
      <c r="E20" s="6" t="n"/>
    </row>
    <row r="21">
      <c r="A21" s="20" t="inlineStr">
        <is>
          <t>Date:</t>
        </is>
      </c>
      <c r="B21" s="21" t="n"/>
      <c r="C21" s="6" t="n"/>
      <c r="D21" s="6" t="n"/>
      <c r="E21" s="6" t="n"/>
    </row>
    <row r="22">
      <c r="A22" s="20" t="inlineStr">
        <is>
          <t>Signature:</t>
        </is>
      </c>
      <c r="B22" s="21" t="n"/>
      <c r="C22" s="6" t="n"/>
      <c r="D22" s="6" t="n"/>
      <c r="E22" s="6" t="n"/>
    </row>
    <row r="23">
      <c r="A23" s="20" t="inlineStr">
        <is>
          <t>Comments:</t>
        </is>
      </c>
      <c r="B23" s="21" t="n"/>
      <c r="C23" s="6" t="n"/>
      <c r="D23" s="6" t="n"/>
      <c r="E23" s="6" t="n"/>
    </row>
    <row r="25">
      <c r="A25" s="23" t="inlineStr">
        <is>
          <t>APPROVED BY (CISO)</t>
        </is>
      </c>
      <c r="B25" s="6" t="n"/>
      <c r="C25" s="6" t="n"/>
      <c r="D25" s="6" t="n"/>
      <c r="E25" s="6" t="n"/>
    </row>
    <row r="26">
      <c r="A26" s="20" t="inlineStr">
        <is>
          <t>Name:</t>
        </is>
      </c>
      <c r="B26" s="21" t="n"/>
      <c r="C26" s="6" t="n"/>
      <c r="D26" s="6" t="n"/>
      <c r="E26" s="6" t="n"/>
    </row>
    <row r="27">
      <c r="A27" s="20" t="inlineStr">
        <is>
          <t>Title:</t>
        </is>
      </c>
      <c r="B27" s="21" t="n"/>
      <c r="C27" s="6" t="n"/>
      <c r="D27" s="6" t="n"/>
      <c r="E27" s="6" t="n"/>
    </row>
    <row r="28">
      <c r="A28" s="20" t="inlineStr">
        <is>
          <t>Date:</t>
        </is>
      </c>
      <c r="B28" s="21" t="n"/>
      <c r="C28" s="6" t="n"/>
      <c r="D28" s="6" t="n"/>
      <c r="E28" s="6" t="n"/>
    </row>
    <row r="29">
      <c r="A29" s="20" t="inlineStr">
        <is>
          <t>Signature:</t>
        </is>
      </c>
      <c r="B29" s="21" t="n"/>
      <c r="C29" s="6" t="n"/>
      <c r="D29" s="6" t="n"/>
      <c r="E29" s="6" t="n"/>
    </row>
    <row r="30">
      <c r="A30" s="20" t="inlineStr">
        <is>
          <t>Comments:</t>
        </is>
      </c>
      <c r="B30" s="21" t="n"/>
      <c r="C30" s="6" t="n"/>
      <c r="D30" s="6" t="n"/>
      <c r="E30" s="6" t="n"/>
    </row>
    <row r="32">
      <c r="A32" s="20" t="inlineStr">
        <is>
          <t>FINAL DECISION:</t>
        </is>
      </c>
      <c r="B32" s="21" t="n"/>
      <c r="C32" s="6" t="n"/>
      <c r="D32" s="6" t="n"/>
      <c r="E32" s="6" t="n"/>
    </row>
    <row r="35">
      <c r="A35" s="19" t="inlineStr">
        <is>
          <t>NEXT REVIEW DETAILS</t>
        </is>
      </c>
      <c r="B35" s="6" t="n"/>
      <c r="C35" s="6" t="n"/>
      <c r="D35" s="6" t="n"/>
      <c r="E35" s="6" t="n"/>
    </row>
    <row r="36">
      <c r="A36" s="20" t="inlineStr">
        <is>
          <t>Next Review Date:</t>
        </is>
      </c>
      <c r="B36" s="21" t="n"/>
      <c r="C36" s="6" t="n"/>
      <c r="D36" s="6" t="n"/>
      <c r="E36" s="6" t="n"/>
    </row>
    <row r="37">
      <c r="A37" s="20" t="inlineStr">
        <is>
          <t>Review Responsible:</t>
        </is>
      </c>
      <c r="B37" s="21" t="n"/>
      <c r="C37" s="6" t="n"/>
      <c r="D37" s="6" t="n"/>
      <c r="E37" s="6" t="n"/>
    </row>
    <row r="38">
      <c r="A38" s="20" t="inlineStr">
        <is>
          <t>Special Considerations:</t>
        </is>
      </c>
      <c r="B38" s="2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ISMS-IMP-A.8.1-7-18-19.4 — Privileged Utilities</dc:title>
  <dc:description xmlns:dc="http://purl.org/dc/elements/1.1/">ISMS Implementation Workbook — ISMS-IMP-A.8.1-7-18-19.4</dc:description>
  <dc:subject xmlns:dc="http://purl.org/dc/elements/1.1/">ISO/IEC 27001:2022 — Control A.8.1-7-18-19: Endpoint and Device Security</dc:subject>
  <dcterms:created xmlns:dcterms="http://purl.org/dc/terms/" xmlns:xsi="http://www.w3.org/2001/XMLSchema-instance" xsi:type="dcterms:W3CDTF">2026-03-01T11:12:19Z</dcterms:created>
  <dcterms:modified xmlns:dcterms="http://purl.org/dc/terms/" xmlns:xsi="http://www.w3.org/2001/XMLSchema-instance" xsi:type="dcterms:W3CDTF">2026-03-01T11:12:20Z</dcterms:modified>
</cp:coreProperties>
</file>