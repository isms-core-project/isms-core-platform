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sset Coverage" sheetId="2" state="visible" r:id="rId2"/>
    <sheet xmlns:r="http://schemas.openxmlformats.org/officeDocument/2006/relationships" name="2. Network Coverage" sheetId="3" state="visible" r:id="rId3"/>
    <sheet xmlns:r="http://schemas.openxmlformats.org/officeDocument/2006/relationships" name="3. User Identity Coverage" sheetId="4" state="visible" r:id="rId4"/>
    <sheet xmlns:r="http://schemas.openxmlformats.org/officeDocument/2006/relationships" name="4. Application Coverage" sheetId="5" state="visible" r:id="rId5"/>
    <sheet xmlns:r="http://schemas.openxmlformats.org/officeDocument/2006/relationships" name="5. 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i val="1"/>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0" applyAlignment="1" pivotButton="0" quotePrefix="0" xfId="0">
      <alignment vertical="center" wrapText="1"/>
    </xf>
    <xf numFmtId="0" fontId="9" fillId="0" borderId="0" pivotButton="0" quotePrefix="0" xfId="0"/>
    <xf numFmtId="0" fontId="10" fillId="0" borderId="0" pivotButton="0" quotePrefix="0" xfId="0"/>
    <xf numFmtId="0" fontId="0" fillId="11" borderId="1" applyAlignment="1" pivotButton="0" quotePrefix="0" xfId="0">
      <alignmen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0" borderId="1" pivotButton="0" quotePrefix="0" xfId="0"/>
    <xf numFmtId="0" fontId="14" fillId="0" borderId="0" applyAlignment="1" pivotButton="0" quotePrefix="0" xfId="0">
      <alignment horizontal="left"/>
    </xf>
    <xf numFmtId="0" fontId="5" fillId="8" borderId="1" applyAlignment="1" pivotButton="0" quotePrefix="0" xfId="0">
      <alignment horizontal="left" vertical="center"/>
    </xf>
    <xf numFmtId="0" fontId="15" fillId="9"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xf>
    <xf numFmtId="164" fontId="16"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left" vertical="center"/>
    </xf>
    <xf numFmtId="0" fontId="16"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6" fillId="11" borderId="1" applyAlignment="1" pivotButton="0" quotePrefix="0" xfId="0">
      <alignment horizontal="center" vertical="center"/>
    </xf>
    <xf numFmtId="0" fontId="17" fillId="0" borderId="0" applyAlignment="1" pivotButton="0" quotePrefix="0" xfId="0">
      <alignment horizontal="left" vertical="center"/>
    </xf>
    <xf numFmtId="0" fontId="1" fillId="8" borderId="1" applyAlignment="1" pivotButton="0" quotePrefix="0" xfId="0">
      <alignment horizontal="center" vertical="center"/>
    </xf>
    <xf numFmtId="0" fontId="18" fillId="0" borderId="1" applyAlignment="1" pivotButton="0" quotePrefix="0" xfId="0">
      <alignment horizontal="left" vertical="center"/>
    </xf>
    <xf numFmtId="0" fontId="19" fillId="12" borderId="1" pivotButton="0" quotePrefix="0" xfId="0"/>
    <xf numFmtId="0" fontId="20" fillId="0" borderId="0" pivotButton="0" quotePrefix="0" xfId="0"/>
    <xf numFmtId="0" fontId="19" fillId="8"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ISMS-IMP-A.8.16.3  -  Coverage Assessment
ISO/IEC 27001:2022 - Control A.8.16: Monitoring Activities</t>
        </is>
      </c>
    </row>
    <row r="3">
      <c r="A3" s="2" t="inlineStr">
        <is>
          <t>Document Information</t>
        </is>
      </c>
    </row>
    <row r="4">
      <c r="A4" s="3" t="inlineStr">
        <is>
          <t>Document ID</t>
        </is>
      </c>
      <c r="B4" t="inlineStr">
        <is>
          <t>ISMS-IMP-A.8.16.3</t>
        </is>
      </c>
    </row>
    <row r="5">
      <c r="A5" s="3" t="inlineStr">
        <is>
          <t>Workbook Title</t>
        </is>
      </c>
      <c r="B5" t="inlineStr">
        <is>
          <t>Coverage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comprehensive asset inventory (Sheet 1).</t>
        </is>
      </c>
    </row>
    <row r="14">
      <c r="A14" t="inlineStr">
        <is>
          <t>2. Document all network segments and coverage (Sheet 2).</t>
        </is>
      </c>
    </row>
    <row r="15">
      <c r="A15" t="inlineStr">
        <is>
          <t>3. Assess user and identity system monitoring (Sheet 3).</t>
        </is>
      </c>
    </row>
    <row r="16">
      <c r="A16" t="inlineStr">
        <is>
          <t>4. Inventory application monitoring coverage (Sheet 4).</t>
        </is>
      </c>
    </row>
    <row r="17">
      <c r="A17" t="inlineStr">
        <is>
          <t>5. Identify and document all coverage gaps (Sheet 5).</t>
        </is>
      </c>
    </row>
    <row r="18">
      <c r="A18" t="inlineStr">
        <is>
          <t>6. Review Summary Dashboard for overall coverage status.</t>
        </is>
      </c>
    </row>
    <row r="19">
      <c r="A19" t="inlineStr">
        <is>
          <t>7. Prioritise gaps by criticality and regulatory requirements.</t>
        </is>
      </c>
    </row>
    <row r="20">
      <c r="A20" t="inlineStr">
        <is>
          <t>8. Document evidence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6"/>
  <sheetViews>
    <sheetView showGridLines="0" workbookViewId="0">
      <selection activeCell="A1" sqref="A1"/>
    </sheetView>
  </sheetViews>
  <sheetFormatPr baseColWidth="8" defaultRowHeight="15"/>
  <cols>
    <col width="15" customWidth="1" min="1" max="1"/>
    <col width="28" customWidth="1" min="2" max="2"/>
    <col width="22" customWidth="1" min="3" max="3"/>
    <col width="22" customWidth="1" min="4" max="4"/>
    <col width="18" customWidth="1" min="5" max="5"/>
    <col width="20" customWidth="1" min="6" max="6"/>
    <col width="20" customWidth="1" min="7" max="7"/>
    <col width="18" customWidth="1" min="8" max="8"/>
    <col width="15" customWidth="1" min="9" max="9"/>
    <col width="22" customWidth="1" min="10" max="10"/>
    <col width="16" customWidth="1" min="11" max="11"/>
    <col width="16" customWidth="1" min="12" max="12"/>
    <col width="30" customWidth="1" min="13" max="13"/>
    <col width="22" customWidth="1" min="14" max="14"/>
    <col width="16" customWidth="1" min="15" max="15"/>
    <col width="18" customWidth="1" min="16" max="16"/>
    <col width="14" customWidth="1" min="17" max="17"/>
    <col width="18" customWidth="1" min="18" max="18"/>
    <col width="30" customWidth="1" min="19" max="19"/>
    <col width="16" customWidth="1" min="20" max="20"/>
    <col width="14" customWidth="1" min="21" max="21"/>
    <col width="20" customWidth="1" min="22" max="22"/>
    <col width="25" customWidth="1" min="23" max="23"/>
  </cols>
  <sheetData>
    <row r="1" ht="35" customHeight="1">
      <c r="A1" s="11" t="inlineStr">
        <is>
          <t>1. ASSET INVENTORY &amp; MONITORING COVERAGE</t>
        </is>
      </c>
    </row>
    <row r="2">
      <c r="A2" s="12" t="inlineStr">
        <is>
          <t>Policy Reference: ISMS-POL-A.8.16-S2.1.1 - Assess asset coverage</t>
        </is>
      </c>
    </row>
    <row r="3">
      <c r="A3" s="13" t="inlineStr">
        <is>
          <t>Are all organisational assets inventoried and appropriate assets monitored?</t>
        </is>
      </c>
    </row>
    <row r="6">
      <c r="A6" s="14" t="inlineStr">
        <is>
          <t>Asset ID</t>
        </is>
      </c>
      <c r="B6" s="14" t="inlineStr">
        <is>
          <t>Asset Name</t>
        </is>
      </c>
      <c r="C6" s="14" t="inlineStr">
        <is>
          <t>Asset Type</t>
        </is>
      </c>
      <c r="D6" s="14" t="inlineStr">
        <is>
          <t>Operating System</t>
        </is>
      </c>
      <c r="E6" s="14" t="inlineStr">
        <is>
          <t>Location</t>
        </is>
      </c>
      <c r="F6" s="14" t="inlineStr">
        <is>
          <t>Business Unit</t>
        </is>
      </c>
      <c r="G6" s="14" t="inlineStr">
        <is>
          <t>Asset Owner</t>
        </is>
      </c>
      <c r="H6" s="14" t="inlineStr">
        <is>
          <t>Data Classification</t>
        </is>
      </c>
      <c r="I6" s="14" t="inlineStr">
        <is>
          <t>Criticality</t>
        </is>
      </c>
      <c r="J6" s="14" t="inlineStr">
        <is>
          <t>Regulatory Scope</t>
        </is>
      </c>
      <c r="K6" s="14" t="inlineStr">
        <is>
          <t>Monitoring Required</t>
        </is>
      </c>
      <c r="L6" s="14" t="inlineStr">
        <is>
          <t>Currently Monitored</t>
        </is>
      </c>
      <c r="M6" s="14" t="inlineStr">
        <is>
          <t>Log Types Collected</t>
        </is>
      </c>
      <c r="N6" s="14" t="inlineStr">
        <is>
          <t>Monitoring Platform</t>
        </is>
      </c>
      <c r="O6" s="14" t="inlineStr">
        <is>
          <t>Baseline Established</t>
        </is>
      </c>
      <c r="P6" s="14" t="inlineStr">
        <is>
          <t>Detection Rules Active</t>
        </is>
      </c>
      <c r="Q6" s="14" t="inlineStr">
        <is>
          <t>Last Log Verified</t>
        </is>
      </c>
      <c r="R6" s="14" t="inlineStr">
        <is>
          <t>Coverage Status</t>
        </is>
      </c>
      <c r="S6" s="14" t="inlineStr">
        <is>
          <t>Gap Reason</t>
        </is>
      </c>
      <c r="T6" s="14" t="inlineStr">
        <is>
          <t>Exception Approved</t>
        </is>
      </c>
      <c r="U6" s="14" t="inlineStr">
        <is>
          <t>Target Coverage Date</t>
        </is>
      </c>
      <c r="V6" s="14" t="inlineStr">
        <is>
          <t>Responsible Party</t>
        </is>
      </c>
      <c r="W6" s="14" t="inlineStr">
        <is>
          <t>Notes</t>
        </is>
      </c>
    </row>
    <row r="7">
      <c r="A7" s="15" t="inlineStr">
        <is>
          <t>SRV-001</t>
        </is>
      </c>
      <c r="B7" s="15" t="inlineStr">
        <is>
          <t>DC01-Primary</t>
        </is>
      </c>
      <c r="C7" s="15" t="inlineStr">
        <is>
          <t>Server</t>
        </is>
      </c>
      <c r="D7" s="15" t="inlineStr">
        <is>
          <t>Windows Server 2022</t>
        </is>
      </c>
      <c r="E7" s="15" t="inlineStr">
        <is>
          <t>DataCenter-1</t>
        </is>
      </c>
      <c r="F7" s="15" t="inlineStr">
        <is>
          <t>IT Operations</t>
        </is>
      </c>
      <c r="G7" s="15" t="inlineStr">
        <is>
          <t>J. Smith</t>
        </is>
      </c>
      <c r="H7" s="15" t="inlineStr">
        <is>
          <t>Confidential</t>
        </is>
      </c>
      <c r="I7" s="15" t="inlineStr">
        <is>
          <t>Critical</t>
        </is>
      </c>
      <c r="J7" s="15" t="inlineStr">
        <is>
          <t>Multiple</t>
        </is>
      </c>
      <c r="K7" s="15" t="inlineStr">
        <is>
          <t>Mandatory</t>
        </is>
      </c>
      <c r="L7" s="15" t="inlineStr">
        <is>
          <t>Yes</t>
        </is>
      </c>
      <c r="M7" s="15" t="inlineStr">
        <is>
          <t>Security, System, Application</t>
        </is>
      </c>
      <c r="N7" s="15" t="inlineStr">
        <is>
          <t>Splunk</t>
        </is>
      </c>
      <c r="O7" s="15" t="inlineStr">
        <is>
          <t>Yes</t>
        </is>
      </c>
      <c r="P7" s="15" t="inlineStr">
        <is>
          <t>15</t>
        </is>
      </c>
      <c r="Q7" s="15" t="inlineStr">
        <is>
          <t>05.01.2025</t>
        </is>
      </c>
      <c r="R7" s="15" t="inlineStr">
        <is>
          <t>✅ Full Coverage</t>
        </is>
      </c>
      <c r="S7" s="15" t="inlineStr">
        <is>
          <t>None</t>
        </is>
      </c>
      <c r="T7" s="15" t="inlineStr">
        <is>
          <t>N/A</t>
        </is>
      </c>
      <c r="U7" s="15" t="inlineStr">
        <is>
          <t>N/A</t>
        </is>
      </c>
      <c r="V7" s="15" t="inlineStr">
        <is>
          <t>SOC Team</t>
        </is>
      </c>
      <c r="W7" s="15" t="inlineStr">
        <is>
          <t>Production DC</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row>
    <row r="59">
      <c r="A59" s="17" t="inlineStr">
        <is>
          <t>ASSET COVERAGE COMPLIANCE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8" t="n"/>
      <c r="T60" s="18" t="n"/>
      <c r="U60" s="18" t="n"/>
      <c r="V60" s="19" t="n"/>
    </row>
    <row r="61">
      <c r="A61" t="n">
        <v>1</v>
      </c>
      <c r="B61" s="20" t="inlineStr">
        <is>
          <t>Complete asset inventory maintained</t>
        </is>
      </c>
      <c r="W61" s="16" t="n"/>
    </row>
    <row r="62">
      <c r="A62" t="n">
        <v>2</v>
      </c>
      <c r="B62" s="20" t="inlineStr">
        <is>
          <t>Asset inventory updated at least quarterly</t>
        </is>
      </c>
      <c r="W62" s="16" t="n"/>
    </row>
    <row r="63">
      <c r="A63" t="n">
        <v>3</v>
      </c>
      <c r="B63" s="20" t="inlineStr">
        <is>
          <t>All assets classified by criticality</t>
        </is>
      </c>
      <c r="W63" s="16" t="n"/>
    </row>
    <row r="64">
      <c r="A64" t="n">
        <v>4</v>
      </c>
      <c r="B64" s="20" t="inlineStr">
        <is>
          <t>All Critical assets monitored (100%)</t>
        </is>
      </c>
      <c r="W64" s="16" t="n"/>
    </row>
    <row r="65">
      <c r="A65" t="n">
        <v>5</v>
      </c>
      <c r="B65" s="20" t="inlineStr">
        <is>
          <t>&gt;80% of High priority assets monitored</t>
        </is>
      </c>
      <c r="W65" s="16" t="n"/>
    </row>
    <row r="66">
      <c r="A66" t="n">
        <v>6</v>
      </c>
      <c r="B66" s="20" t="inlineStr">
        <is>
          <t>&gt;60% of Medium priority assets monitored</t>
        </is>
      </c>
      <c r="W66" s="16" t="n"/>
    </row>
    <row r="67">
      <c r="A67" t="n">
        <v>7</v>
      </c>
      <c r="B67" s="20" t="inlineStr">
        <is>
          <t>All PCI-DSS scope systems monitored</t>
        </is>
      </c>
      <c r="W67" s="16" t="n"/>
    </row>
    <row r="68">
      <c r="A68" t="n">
        <v>8</v>
      </c>
      <c r="B68" s="20" t="inlineStr">
        <is>
          <t>All HIPAA scope systems monitored</t>
        </is>
      </c>
      <c r="W68" s="16" t="n"/>
    </row>
    <row r="69">
      <c r="A69" t="n">
        <v>9</v>
      </c>
      <c r="B69" s="20" t="inlineStr">
        <is>
          <t>All systems handling confidential data monitored</t>
        </is>
      </c>
      <c r="W69" s="16" t="n"/>
    </row>
    <row r="70">
      <c r="A70" t="n">
        <v>10</v>
      </c>
      <c r="B70" s="20" t="inlineStr">
        <is>
          <t>Monitoring coverage gaps documented</t>
        </is>
      </c>
      <c r="W70" s="16" t="n"/>
    </row>
    <row r="71">
      <c r="A71" t="n">
        <v>11</v>
      </c>
      <c r="B71" s="20" t="inlineStr">
        <is>
          <t>Exceptions formally approved</t>
        </is>
      </c>
      <c r="W71" s="16" t="n"/>
    </row>
    <row r="72">
      <c r="A72" t="n">
        <v>12</v>
      </c>
      <c r="B72" s="20" t="inlineStr">
        <is>
          <t>Gap remediation plans exist</t>
        </is>
      </c>
      <c r="W72" s="16" t="n"/>
    </row>
    <row r="73">
      <c r="A73" t="n">
        <v>13</v>
      </c>
      <c r="B73" s="20" t="inlineStr">
        <is>
          <t>Coverage status reported monthly</t>
        </is>
      </c>
      <c r="W73" s="16" t="n"/>
    </row>
    <row r="74">
      <c r="A74" t="n">
        <v>14</v>
      </c>
      <c r="B74" s="20" t="inlineStr">
        <is>
          <t>Asset decommissioning process includes monitoring removal</t>
        </is>
      </c>
      <c r="W74" s="16" t="n"/>
    </row>
    <row r="75">
      <c r="A75" t="n">
        <v>15</v>
      </c>
      <c r="B75" s="20" t="inlineStr">
        <is>
          <t>New assets onboarded to monitoring within 30 days</t>
        </is>
      </c>
      <c r="W75" s="16" t="n"/>
    </row>
    <row r="76">
      <c r="A76" s="21" t="inlineStr">
        <is>
          <t>SCORE:</t>
        </is>
      </c>
      <c r="B76" s="22">
        <f>COUNTIF(W61:W75,"✅ Compliant")&amp;" / 15"</f>
        <v/>
      </c>
    </row>
  </sheetData>
  <mergeCells count="21">
    <mergeCell ref="B70:V70"/>
    <mergeCell ref="B60:V60"/>
    <mergeCell ref="B67:V67"/>
    <mergeCell ref="B61:V61"/>
    <mergeCell ref="A59:W59"/>
    <mergeCell ref="B76:E76"/>
    <mergeCell ref="B73:V73"/>
    <mergeCell ref="A1:W1"/>
    <mergeCell ref="B69:V69"/>
    <mergeCell ref="B65:V65"/>
    <mergeCell ref="B74:V74"/>
    <mergeCell ref="B68:V68"/>
    <mergeCell ref="B64:V64"/>
    <mergeCell ref="A3:W3"/>
    <mergeCell ref="B63:V63"/>
    <mergeCell ref="A2:W2"/>
    <mergeCell ref="B75:V75"/>
    <mergeCell ref="B62:V62"/>
    <mergeCell ref="B72:V72"/>
    <mergeCell ref="B66:V66"/>
    <mergeCell ref="B71:V71"/>
  </mergeCells>
  <dataValidations count="9">
    <dataValidation sqref="O8 O9 O10 O11 O12 O13 O14 O15 O16 O17 O18 O19 O20 O21 O22 O23 O24 O25 O26 O27 O28 O29 O30 O31 O32 O33 O34 O35 O36 O37 O38 O39 O40 O41 O42 O43 O44 O45 O46 O47 O48 O49 O50 O51 O52 O53 O54 O55 O56 O57 T8 T9 T10 T11 T12 T13 T14 T15 T16 T17 T18 T19 T20 T21 T22 T23 T24 T25 T26 T27 T28 T29 T30 T31 T32 T33 T34 T35 T36 T37 T38 T39 T40 T41 T42 T43 T44 T45 T46 T47 T48 T49 T50 T51 T52 T53 T54 T55 T56 T57" showDropDown="0" showInputMessage="0" showErrorMessage="0" allowBlank="0" type="list">
      <formula1>"Yes,No,N/A"</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"Yes,No,Partial"</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"Server,Network Device,Security Device,Endpoint,Cloud Resource,Database,Application,Container,IoT Device,Other"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"Confidential,Internal,Public"</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"PCI-DSS,HIPAA,GDPR,SOX,Multiple,None"</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"Mandatory,Recommended,Optional,N/A"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Full Coverage,⚠️ Partial Coverage,❌ No Coverage,N/A"</formula1>
    </dataValidation>
    <dataValidation sqref="W61 W62 W63 W64 W65 W66 W67 W68 W69 W70 W71 W72 W73 W74 W75"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
  <sheetViews>
    <sheetView showGridLines="0" workbookViewId="0">
      <selection activeCell="A1" sqref="A1"/>
    </sheetView>
  </sheetViews>
  <sheetFormatPr baseColWidth="8" defaultRowHeight="15"/>
  <cols>
    <col width="28" customWidth="1" min="1" max="1"/>
    <col width="22" customWidth="1" min="2" max="2"/>
    <col width="20" customWidth="1" min="3" max="3"/>
    <col width="12" customWidth="1" min="4" max="4"/>
    <col width="15" customWidth="1" min="5" max="5"/>
    <col width="15" customWidth="1" min="6" max="6"/>
    <col width="18" customWidth="1" min="7" max="7"/>
    <col width="18" customWidth="1" min="8" max="8"/>
    <col width="16" customWidth="1" min="9" max="9"/>
    <col width="16" customWidth="1" min="10" max="10"/>
    <col width="18" customWidth="1" min="11" max="11"/>
    <col width="18" customWidth="1" min="12" max="12"/>
    <col width="16" customWidth="1" min="13" max="13"/>
    <col width="16" customWidth="1" min="14" max="14"/>
    <col width="18" customWidth="1" min="15" max="15"/>
    <col width="30" customWidth="1" min="16" max="16"/>
    <col width="16" customWidth="1" min="17" max="17"/>
    <col width="14" customWidth="1" min="18" max="18"/>
    <col width="20" customWidth="1" min="19" max="19"/>
    <col width="25" customWidth="1" min="20" max="20"/>
  </cols>
  <sheetData>
    <row r="1" ht="35" customHeight="1">
      <c r="A1" s="11" t="inlineStr">
        <is>
          <t>2. NETWORK SEGMENT COVERAGE ASSESSMENT</t>
        </is>
      </c>
    </row>
    <row r="2">
      <c r="A2" s="12" t="inlineStr">
        <is>
          <t>Policy Reference: ISMS-POL-A.8.16-S2.1.1 - Assess network coverage</t>
        </is>
      </c>
    </row>
    <row r="6">
      <c r="A6" s="14" t="inlineStr">
        <is>
          <t>Network Segment/Zone</t>
        </is>
      </c>
      <c r="B6" s="14" t="inlineStr">
        <is>
          <t>Segment Type</t>
        </is>
      </c>
      <c r="C6" s="14" t="inlineStr">
        <is>
          <t>IP Range/CIDR</t>
        </is>
      </c>
      <c r="D6" s="14" t="inlineStr">
        <is>
          <t>VLAN ID</t>
        </is>
      </c>
      <c r="E6" s="14" t="inlineStr">
        <is>
          <t>Number of Assets</t>
        </is>
      </c>
      <c r="F6" s="14" t="inlineStr">
        <is>
          <t>Criticality</t>
        </is>
      </c>
      <c r="G6" s="14" t="inlineStr">
        <is>
          <t>Data Classification</t>
        </is>
      </c>
      <c r="H6" s="14" t="inlineStr">
        <is>
          <t>Perimeter Monitoring</t>
        </is>
      </c>
      <c r="I6" s="14" t="inlineStr">
        <is>
          <t>Flow Monitoring</t>
        </is>
      </c>
      <c r="J6" s="14" t="inlineStr">
        <is>
          <t>DNS Monitoring</t>
        </is>
      </c>
      <c r="K6" s="14" t="inlineStr">
        <is>
          <t>Endpoint Monitoring</t>
        </is>
      </c>
      <c r="L6" s="14" t="inlineStr">
        <is>
          <t>Log Collection Active</t>
        </is>
      </c>
      <c r="M6" s="14" t="inlineStr">
        <is>
          <t>Network Tap/SPAN</t>
        </is>
      </c>
      <c r="N6" s="14" t="inlineStr">
        <is>
          <t>Isolation Status</t>
        </is>
      </c>
      <c r="O6" s="14" t="inlineStr">
        <is>
          <t>Coverage Status</t>
        </is>
      </c>
      <c r="P6" s="14" t="inlineStr">
        <is>
          <t>Gaps Identified</t>
        </is>
      </c>
      <c r="Q6" s="14" t="inlineStr">
        <is>
          <t>Exception Approved</t>
        </is>
      </c>
      <c r="R6" s="14" t="inlineStr">
        <is>
          <t>Target Date</t>
        </is>
      </c>
      <c r="S6" s="14" t="inlineStr">
        <is>
          <t>Responsible Party</t>
        </is>
      </c>
      <c r="T6" s="14" t="inlineStr">
        <is>
          <t>Notes</t>
        </is>
      </c>
    </row>
    <row r="7">
      <c r="A7" s="15" t="inlineStr">
        <is>
          <t>Production LAN</t>
        </is>
      </c>
      <c r="B7" s="15" t="inlineStr">
        <is>
          <t>Internal LAN</t>
        </is>
      </c>
      <c r="C7" s="15" t="inlineStr">
        <is>
          <t>10.0.1.0/24</t>
        </is>
      </c>
      <c r="D7" s="15" t="inlineStr">
        <is>
          <t>VLAN-10</t>
        </is>
      </c>
      <c r="E7" s="15" t="inlineStr">
        <is>
          <t>45</t>
        </is>
      </c>
      <c r="F7" s="15" t="inlineStr">
        <is>
          <t>Critical</t>
        </is>
      </c>
      <c r="G7" s="15" t="inlineStr">
        <is>
          <t>Confidential</t>
        </is>
      </c>
      <c r="H7" s="15" t="inlineStr">
        <is>
          <t>Yes</t>
        </is>
      </c>
      <c r="I7" s="15" t="inlineStr">
        <is>
          <t>Yes</t>
        </is>
      </c>
      <c r="J7" s="15" t="inlineStr">
        <is>
          <t>Yes</t>
        </is>
      </c>
      <c r="K7" s="15" t="inlineStr">
        <is>
          <t>Yes (EDR)</t>
        </is>
      </c>
      <c r="L7" s="15" t="inlineStr">
        <is>
          <t>Yes</t>
        </is>
      </c>
      <c r="M7" s="15" t="inlineStr">
        <is>
          <t>Yes</t>
        </is>
      </c>
      <c r="N7" s="15" t="inlineStr">
        <is>
          <t>Active</t>
        </is>
      </c>
      <c r="O7" s="15" t="inlineStr">
        <is>
          <t>✅ Full</t>
        </is>
      </c>
      <c r="P7" s="15" t="inlineStr">
        <is>
          <t>None</t>
        </is>
      </c>
      <c r="Q7" s="15" t="inlineStr">
        <is>
          <t>N/A</t>
        </is>
      </c>
      <c r="R7" s="15" t="inlineStr">
        <is>
          <t>N/A</t>
        </is>
      </c>
      <c r="S7" s="15" t="inlineStr">
        <is>
          <t>SOC Team</t>
        </is>
      </c>
      <c r="T7" s="15" t="inlineStr">
        <is>
          <t>Core production segment</t>
        </is>
      </c>
    </row>
    <row r="8">
      <c r="A8" s="16" t="n"/>
      <c r="B8" s="16" t="n"/>
      <c r="C8" s="16" t="n"/>
      <c r="D8" s="16" t="n"/>
      <c r="E8" s="16" t="n"/>
      <c r="F8" s="16" t="n"/>
      <c r="G8" s="16" t="n"/>
      <c r="H8" s="16" t="n"/>
      <c r="I8" s="16" t="n"/>
      <c r="J8" s="16" t="n"/>
      <c r="K8" s="16" t="n"/>
      <c r="L8" s="16" t="n"/>
      <c r="M8" s="16" t="n"/>
      <c r="N8" s="16" t="n"/>
      <c r="O8" s="16" t="n"/>
      <c r="P8" s="16" t="n"/>
      <c r="Q8" s="16" t="n"/>
      <c r="R8" s="16" t="n"/>
      <c r="S8" s="16" t="n"/>
      <c r="T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row>
    <row r="59">
      <c r="A59" s="17" t="inlineStr">
        <is>
          <t>NETWORK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9" t="n"/>
    </row>
    <row r="61">
      <c r="A61" t="n">
        <v>1</v>
      </c>
      <c r="B61" s="20" t="inlineStr">
        <is>
          <t>All network segments inventoried</t>
        </is>
      </c>
      <c r="T61" s="16" t="n"/>
    </row>
    <row r="62">
      <c r="A62" t="n">
        <v>2</v>
      </c>
      <c r="B62" s="20" t="inlineStr">
        <is>
          <t>All production segments monitored</t>
        </is>
      </c>
      <c r="T62" s="16" t="n"/>
    </row>
    <row r="63">
      <c r="A63" t="n">
        <v>3</v>
      </c>
      <c r="B63" s="20" t="inlineStr">
        <is>
          <t>All DMZ segments monitored</t>
        </is>
      </c>
      <c r="T63" s="16" t="n"/>
    </row>
    <row r="64">
      <c r="A64" t="n">
        <v>4</v>
      </c>
      <c r="B64" s="20" t="inlineStr">
        <is>
          <t>Critical segments have redundant monitoring</t>
        </is>
      </c>
      <c r="T64" s="16" t="n"/>
    </row>
    <row r="65">
      <c r="A65" t="n">
        <v>5</v>
      </c>
      <c r="B65" s="20" t="inlineStr">
        <is>
          <t>Perimeter traffic monitored (firewall + IDS/IPS)</t>
        </is>
      </c>
      <c r="T65" s="16" t="n"/>
    </row>
    <row r="66">
      <c r="A66" t="n">
        <v>6</v>
      </c>
      <c r="B66" s="20" t="inlineStr">
        <is>
          <t>Internal traffic monitored (flow data)</t>
        </is>
      </c>
      <c r="T66" s="16" t="n"/>
    </row>
    <row r="67">
      <c r="A67" t="n">
        <v>7</v>
      </c>
      <c r="B67" s="20" t="inlineStr">
        <is>
          <t>DNS queries monitored</t>
        </is>
      </c>
      <c r="T67" s="16" t="n"/>
    </row>
    <row r="68">
      <c r="A68" t="n">
        <v>8</v>
      </c>
      <c r="B68" s="20" t="inlineStr">
        <is>
          <t>Endpoints monitored (EDR/AV integration)</t>
        </is>
      </c>
      <c r="T68" s="16" t="n"/>
    </row>
    <row r="69">
      <c r="A69" t="n">
        <v>9</v>
      </c>
      <c r="B69" s="20" t="inlineStr">
        <is>
          <t>East-west traffic visibility (lateral movement detection)</t>
        </is>
      </c>
      <c r="T69" s="16" t="n"/>
    </row>
    <row r="70">
      <c r="A70" t="n">
        <v>10</v>
      </c>
      <c r="B70" s="20" t="inlineStr">
        <is>
          <t>Cloud network segments included</t>
        </is>
      </c>
      <c r="T70" s="16" t="n"/>
    </row>
    <row r="71">
      <c r="A71" s="21" t="inlineStr">
        <is>
          <t>SCORE:</t>
        </is>
      </c>
      <c r="B71" s="22">
        <f>COUNTIF(T61:T70,"✅ Compliant")&amp;" / 10"</f>
        <v/>
      </c>
    </row>
  </sheetData>
  <mergeCells count="15">
    <mergeCell ref="A1:T1"/>
    <mergeCell ref="B70:S70"/>
    <mergeCell ref="B68:S68"/>
    <mergeCell ref="B62:S62"/>
    <mergeCell ref="B64:S64"/>
    <mergeCell ref="B71:E71"/>
    <mergeCell ref="B69:S69"/>
    <mergeCell ref="A59:T59"/>
    <mergeCell ref="B60:S60"/>
    <mergeCell ref="B66:S66"/>
    <mergeCell ref="B67:S67"/>
    <mergeCell ref="A2:T2"/>
    <mergeCell ref="B61:S61"/>
    <mergeCell ref="B63:S63"/>
    <mergeCell ref="B65:S65"/>
  </mergeCells>
  <dataValidations count="11">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"Yes,No,N/A"</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"Yes,Partial,No"</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"Production,DMZ,Internal,Management,Guest,Partner,Development,Test,Cloud VPC,Other"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"Firewall,IDS/IPS,Both,None"</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"Isolated,Semi-Isolated,Open"</formula1>
    </dataValidation>
    <dataValidation sqref="T61 T62 T63 T64 T65 T66 T67 T68 T69 T70" showDropDown="0" showInputMessage="0" showErrorMessage="0" allowBlank="0"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 (EDR),Partial,No"</formula1>
    </dataValidation>
    <dataValidation sqref="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Full,⚠️ Partial,❌ None,N/A"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6"/>
  <sheetViews>
    <sheetView showGridLines="0" workbookViewId="0">
      <selection activeCell="A1" sqref="A1"/>
    </sheetView>
  </sheetViews>
  <sheetFormatPr baseColWidth="8" defaultRowHeight="15"/>
  <cols>
    <col width="25" customWidth="1" min="1" max="1"/>
    <col width="22" customWidth="1" min="2" max="2"/>
    <col width="15" customWidth="1" min="3" max="3"/>
    <col width="20" customWidth="1" min="4" max="4"/>
    <col width="20" customWidth="1" min="5" max="5"/>
    <col width="22" customWidth="1" min="6" max="6"/>
    <col width="22" customWidth="1" min="7" max="7"/>
    <col width="20" customWidth="1" min="8" max="8"/>
    <col width="22" customWidth="1" min="9" max="9"/>
    <col width="18" customWidth="1" min="10" max="10"/>
    <col width="18" customWidth="1" min="11" max="11"/>
    <col width="20" customWidth="1" min="12" max="12"/>
    <col width="22" customWidth="1" min="13" max="13"/>
    <col width="22" customWidth="1" min="14" max="14"/>
    <col width="22" customWidth="1" min="15" max="15"/>
    <col width="22" customWidth="1" min="16" max="16"/>
    <col width="18" customWidth="1" min="17" max="17"/>
    <col width="30" customWidth="1" min="18" max="18"/>
    <col width="16" customWidth="1" min="19" max="19"/>
  </cols>
  <sheetData>
    <row r="1" ht="35" customHeight="1">
      <c r="A1" s="11" t="inlineStr">
        <is>
          <t>3. USER &amp; IDENTITY MONITORING COVERAGE</t>
        </is>
      </c>
    </row>
    <row r="2">
      <c r="A2" s="12" t="inlineStr">
        <is>
          <t>Policy Reference: ISMS-POL-A.8.16-S2.1.2 - Assess user monitoring</t>
        </is>
      </c>
    </row>
    <row r="6">
      <c r="A6" s="14" t="inlineStr">
        <is>
          <t>Identity System</t>
        </is>
      </c>
      <c r="B6" s="14" t="inlineStr">
        <is>
          <t>System Type</t>
        </is>
      </c>
      <c r="C6" s="14" t="inlineStr">
        <is>
          <t>User Count</t>
        </is>
      </c>
      <c r="D6" s="14" t="inlineStr">
        <is>
          <t>Privileged Account Count</t>
        </is>
      </c>
      <c r="E6" s="14" t="inlineStr">
        <is>
          <t>Service Account Count</t>
        </is>
      </c>
      <c r="F6" s="14" t="inlineStr">
        <is>
          <t>Authentication Logs Collected</t>
        </is>
      </c>
      <c r="G6" s="14" t="inlineStr">
        <is>
          <t>Authorisation Logs Collected</t>
        </is>
      </c>
      <c r="H6" s="14" t="inlineStr">
        <is>
          <t>Password Change Logs</t>
        </is>
      </c>
      <c r="I6" s="14" t="inlineStr">
        <is>
          <t>Privilege Escalation Logs</t>
        </is>
      </c>
      <c r="J6" s="14" t="inlineStr">
        <is>
          <t>MFA Events Logged</t>
        </is>
      </c>
      <c r="K6" s="14" t="inlineStr">
        <is>
          <t>SSO Events Logged</t>
        </is>
      </c>
      <c r="L6" s="14" t="inlineStr">
        <is>
          <t>Failed Login Monitoring</t>
        </is>
      </c>
      <c r="M6" s="14" t="inlineStr">
        <is>
          <t>After-Hours Access Monitoring</t>
        </is>
      </c>
      <c r="N6" s="14" t="inlineStr">
        <is>
          <t>Geographic Anomaly Detection</t>
        </is>
      </c>
      <c r="O6" s="14" t="inlineStr">
        <is>
          <t>User Behaviour Analytics</t>
        </is>
      </c>
      <c r="P6" s="14" t="inlineStr">
        <is>
          <t>Privileged Access Monitoring</t>
        </is>
      </c>
      <c r="Q6" s="14" t="inlineStr">
        <is>
          <t>Coverage Status</t>
        </is>
      </c>
      <c r="R6" s="14" t="inlineStr">
        <is>
          <t>Gaps/Issues</t>
        </is>
      </c>
      <c r="S6" s="14" t="inlineStr">
        <is>
          <t>Priority</t>
        </is>
      </c>
    </row>
    <row r="7">
      <c r="A7" s="15" t="inlineStr">
        <is>
          <t>Microsoft Entra ID</t>
        </is>
      </c>
      <c r="B7" s="15" t="inlineStr">
        <is>
          <t>Cloud IdP</t>
        </is>
      </c>
      <c r="C7" s="15" t="inlineStr">
        <is>
          <t>2500</t>
        </is>
      </c>
      <c r="D7" s="15" t="inlineStr">
        <is>
          <t>45</t>
        </is>
      </c>
      <c r="E7" s="15" t="inlineStr">
        <is>
          <t>120</t>
        </is>
      </c>
      <c r="F7" s="15" t="inlineStr">
        <is>
          <t>Yes</t>
        </is>
      </c>
      <c r="G7" s="15" t="inlineStr">
        <is>
          <t>Yes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 (UEBA)</t>
        </is>
      </c>
      <c r="P7" s="15" t="inlineStr">
        <is>
          <t>Yes (PAM integrated)</t>
        </is>
      </c>
      <c r="Q7" s="15" t="inlineStr">
        <is>
          <t>✅ Compliant</t>
        </is>
      </c>
      <c r="R7" s="15" t="inlineStr">
        <is>
          <t>None</t>
        </is>
      </c>
      <c r="S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USER &amp; IDENTITY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9" t="n"/>
    </row>
    <row r="61">
      <c r="A61" t="n">
        <v>1</v>
      </c>
      <c r="B61" s="20" t="inlineStr">
        <is>
          <t>Primary identity system (AD/Microsoft Entra ID (formerly Azure AD)) monitored</t>
        </is>
      </c>
      <c r="S61" s="16" t="n"/>
    </row>
    <row r="62">
      <c r="A62" t="n">
        <v>2</v>
      </c>
      <c r="B62" s="20" t="inlineStr">
        <is>
          <t>All authentication events logged</t>
        </is>
      </c>
      <c r="S62" s="16" t="n"/>
    </row>
    <row r="63">
      <c r="A63" t="n">
        <v>3</v>
      </c>
      <c r="B63" s="20" t="inlineStr">
        <is>
          <t>Failed login attempts monitored and alerted</t>
        </is>
      </c>
      <c r="S63" s="16" t="n"/>
    </row>
    <row r="64">
      <c r="A64" t="n">
        <v>4</v>
      </c>
      <c r="B64" s="20" t="inlineStr">
        <is>
          <t>Privileged account usage monitored</t>
        </is>
      </c>
      <c r="S64" s="16" t="n"/>
    </row>
    <row r="65">
      <c r="A65" t="n">
        <v>5</v>
      </c>
      <c r="B65" s="20" t="inlineStr">
        <is>
          <t>Service account usage monitored</t>
        </is>
      </c>
      <c r="S65" s="16" t="n"/>
    </row>
    <row r="66">
      <c r="A66" t="n">
        <v>6</v>
      </c>
      <c r="B66" s="20" t="inlineStr">
        <is>
          <t>Password changes logged</t>
        </is>
      </c>
      <c r="S66" s="16" t="n"/>
    </row>
    <row r="67">
      <c r="A67" t="n">
        <v>7</v>
      </c>
      <c r="B67" s="20" t="inlineStr">
        <is>
          <t>Privilege escalation logged</t>
        </is>
      </c>
      <c r="S67" s="16" t="n"/>
    </row>
    <row r="68">
      <c r="A68" t="n">
        <v>8</v>
      </c>
      <c r="B68" s="20" t="inlineStr">
        <is>
          <t>MFA events logged (if MFA deployed)</t>
        </is>
      </c>
      <c r="S68" s="16" t="n"/>
    </row>
    <row r="69">
      <c r="A69" t="n">
        <v>9</v>
      </c>
      <c r="B69" s="20" t="inlineStr">
        <is>
          <t>SSO events logged (if SSO deployed)</t>
        </is>
      </c>
      <c r="S69" s="16" t="n"/>
    </row>
    <row r="70">
      <c r="A70" t="n">
        <v>10</v>
      </c>
      <c r="B70" s="20" t="inlineStr">
        <is>
          <t>After-hours access monitored</t>
        </is>
      </c>
      <c r="S70" s="16" t="n"/>
    </row>
    <row r="71">
      <c r="A71" t="n">
        <v>11</v>
      </c>
      <c r="B71" s="20" t="inlineStr">
        <is>
          <t>Geographic anomalies detected</t>
        </is>
      </c>
      <c r="S71" s="16" t="n"/>
    </row>
    <row r="72">
      <c r="A72" t="n">
        <v>12</v>
      </c>
      <c r="B72" s="20" t="inlineStr">
        <is>
          <t>User behaviour baselines established</t>
        </is>
      </c>
      <c r="S72" s="16" t="n"/>
    </row>
    <row r="73">
      <c r="A73" t="n">
        <v>13</v>
      </c>
      <c r="B73" s="20" t="inlineStr">
        <is>
          <t>Dormant accounts identified</t>
        </is>
      </c>
      <c r="S73" s="16" t="n"/>
    </row>
    <row r="74">
      <c r="A74" t="n">
        <v>14</v>
      </c>
      <c r="B74" s="20" t="inlineStr">
        <is>
          <t>Privileged access sessions recorded (PAM)</t>
        </is>
      </c>
      <c r="S74" s="16" t="n"/>
    </row>
    <row r="75">
      <c r="A75" t="n">
        <v>15</v>
      </c>
      <c r="B75" s="20" t="inlineStr">
        <is>
          <t>Identity correlation across systems</t>
        </is>
      </c>
      <c r="S75" s="16" t="n"/>
    </row>
    <row r="76">
      <c r="A76" s="21" t="inlineStr">
        <is>
          <t>SCORE:</t>
        </is>
      </c>
      <c r="B76" s="22">
        <f>COUNTIF(S61:S75,"✅ Compliant")&amp;" / 15"</f>
        <v/>
      </c>
    </row>
  </sheetData>
  <mergeCells count="20">
    <mergeCell ref="B75:R75"/>
    <mergeCell ref="B62:R62"/>
    <mergeCell ref="B72:R72"/>
    <mergeCell ref="B66:R66"/>
    <mergeCell ref="B71:R71"/>
    <mergeCell ref="B76:E76"/>
    <mergeCell ref="B70:R70"/>
    <mergeCell ref="A59:S59"/>
    <mergeCell ref="B60:R60"/>
    <mergeCell ref="B67:R67"/>
    <mergeCell ref="B61:R61"/>
    <mergeCell ref="A2:S2"/>
    <mergeCell ref="B73:R73"/>
    <mergeCell ref="A1:S1"/>
    <mergeCell ref="B69:R69"/>
    <mergeCell ref="B74:R74"/>
    <mergeCell ref="B65:R65"/>
    <mergeCell ref="B68:R68"/>
    <mergeCell ref="B64:R64"/>
    <mergeCell ref="B63:R63"/>
  </mergeCells>
  <dataValidations count="9">
    <dataValidation sqref="H8 H9 H10 H11 H12 H13 H14 H15 H16 H17 H18 H19 H20 H21 H22 H23 H24 H25 H26 H27 H28 H29 H30 H31 H32 H33 H34 H35 H36 H37 H38 H39 H40 H41 H42 H43 H44 H45 H46 H47 H48 H49 H50 H51 H52 H53 H54 H55 H56 H57 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formula1>
    </dataValidation>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"Yes,No,N/A"</formula1>
    </dataValidation>
    <dataValidation sqref="F8 F9 F10 F11 F12 F13 F14 F15 F16 F17 F18 F19 F20 F21 F22 F23 F24 F25 F26 F27 F28 F29 F30 F31 F32 F33 F34 F35 F36 F37 F38 F39 F40 F41 F42 F43 F44 F45 F46 F47 F48 F49 F50 F51 F52 F53 F54 F55 F56 F5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"Yes,Partial,No"</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"Active Directory,Microsoft Entra ID (formerly Azure AD),LDAP,SAML IdP,OAuth Provider,Database Auth,Application-Specific,Other"</formula1>
    </dataValidation>
    <dataValidation sqref="Q8 Q9 Q10 Q11 Q12 Q13 Q14 Q15 Q16 Q17 Q18 Q19 Q20 Q21 Q22 Q23 Q24 Q25 Q26 Q27 Q28 Q29 Q30 Q31 Q32 Q33 Q34 Q35 Q36 Q37 Q38 Q39 Q40 Q41 Q42 Q43 Q44 Q45 Q46 Q47 Q48 Q49 Q50 Q51 Q52 Q53 Q54 Q55 Q56 Q57 S61 S62 S63 S64 S65 S66 S67 S68 S69 S70 S71 S72 S73 S74 S75"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 (UEBA),Planned,No"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 (PAM integrated),Partial,No"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77"/>
  <sheetViews>
    <sheetView showGridLines="0" workbookViewId="0">
      <selection activeCell="A1" sqref="A1"/>
    </sheetView>
  </sheetViews>
  <sheetFormatPr baseColWidth="8" defaultRowHeight="15"/>
  <cols>
    <col width="28" customWidth="1" min="1" max="1"/>
    <col width="22" customWidth="1" min="2" max="2"/>
    <col width="20" customWidth="1" min="3" max="3"/>
    <col width="20" customWidth="1" min="4" max="4"/>
    <col width="18" customWidth="1" min="5" max="5"/>
    <col width="15" customWidth="1" min="6" max="6"/>
    <col width="18" customWidth="1" min="7" max="7"/>
    <col width="22" customWidth="1" min="8" max="8"/>
    <col width="18" customWidth="1" min="9" max="9"/>
    <col width="22" customWidth="1" min="10" max="10"/>
    <col width="20" customWidth="1" min="11" max="11"/>
    <col width="18" customWidth="1" min="12" max="12"/>
    <col width="20" customWidth="1" min="13" max="13"/>
    <col width="20" customWidth="1" min="14" max="14"/>
    <col width="20" customWidth="1" min="15" max="15"/>
    <col width="16" customWidth="1" min="16" max="16"/>
    <col width="16" customWidth="1" min="17" max="17"/>
    <col width="18" customWidth="1" min="18" max="18"/>
    <col width="30" customWidth="1" min="19" max="19"/>
    <col width="14" customWidth="1" min="20" max="20"/>
    <col width="16" customWidth="1" min="21" max="21"/>
  </cols>
  <sheetData>
    <row r="1" ht="35" customHeight="1">
      <c r="A1" s="11" t="inlineStr">
        <is>
          <t>4. APPLICATION &amp; SERVICE MONITORING COVERAGE</t>
        </is>
      </c>
    </row>
    <row r="2">
      <c r="A2" s="12" t="inlineStr">
        <is>
          <t>Policy Reference: ISMS-POL-A.8.16-S2.1.2 - Assess application coverage</t>
        </is>
      </c>
    </row>
    <row r="6">
      <c r="A6" s="14" t="inlineStr">
        <is>
          <t>Application/Service Name</t>
        </is>
      </c>
      <c r="B6" s="14" t="inlineStr">
        <is>
          <t>Application Type</t>
        </is>
      </c>
      <c r="C6" s="14" t="inlineStr">
        <is>
          <t>Business Unit</t>
        </is>
      </c>
      <c r="D6" s="14" t="inlineStr">
        <is>
          <t>Application Owner</t>
        </is>
      </c>
      <c r="E6" s="14" t="inlineStr">
        <is>
          <t>Data Classification</t>
        </is>
      </c>
      <c r="F6" s="14" t="inlineStr">
        <is>
          <t>Criticality</t>
        </is>
      </c>
      <c r="G6" s="14" t="inlineStr">
        <is>
          <t>User Base</t>
        </is>
      </c>
      <c r="H6" s="14" t="inlineStr">
        <is>
          <t>Application Logs Collected</t>
        </is>
      </c>
      <c r="I6" s="14" t="inlineStr">
        <is>
          <t>API Logs Collected</t>
        </is>
      </c>
      <c r="J6" s="14" t="inlineStr">
        <is>
          <t>Database Logs Collected</t>
        </is>
      </c>
      <c r="K6" s="14" t="inlineStr">
        <is>
          <t>Error/Exception Logging</t>
        </is>
      </c>
      <c r="L6" s="14" t="inlineStr">
        <is>
          <t>Transaction Logging</t>
        </is>
      </c>
      <c r="M6" s="14" t="inlineStr">
        <is>
          <t>Access Control Logs</t>
        </is>
      </c>
      <c r="N6" s="14" t="inlineStr">
        <is>
          <t>Data Export Monitoring</t>
        </is>
      </c>
      <c r="O6" s="14" t="inlineStr">
        <is>
          <t>Performance Monitoring</t>
        </is>
      </c>
      <c r="P6" s="14" t="inlineStr">
        <is>
          <t>WAF Integration</t>
        </is>
      </c>
      <c r="Q6" s="14" t="inlineStr">
        <is>
          <t>APM Integration</t>
        </is>
      </c>
      <c r="R6" s="14" t="inlineStr">
        <is>
          <t>Coverage Status</t>
        </is>
      </c>
      <c r="S6" s="14" t="inlineStr">
        <is>
          <t>Gaps</t>
        </is>
      </c>
      <c r="T6" s="14" t="inlineStr">
        <is>
          <t>Target Date</t>
        </is>
      </c>
      <c r="U6" s="14" t="inlineStr">
        <is>
          <t>Priority</t>
        </is>
      </c>
    </row>
    <row r="7">
      <c r="A7" s="15" t="inlineStr">
        <is>
          <t>Customer Portal</t>
        </is>
      </c>
      <c r="B7" s="15" t="inlineStr">
        <is>
          <t>Web Application</t>
        </is>
      </c>
      <c r="C7" s="15" t="inlineStr">
        <is>
          <t>Sales</t>
        </is>
      </c>
      <c r="D7" s="15" t="inlineStr">
        <is>
          <t>M. Johnson</t>
        </is>
      </c>
      <c r="E7" s="15" t="inlineStr">
        <is>
          <t>Confidential</t>
        </is>
      </c>
      <c r="F7" s="15" t="inlineStr">
        <is>
          <t>High</t>
        </is>
      </c>
      <c r="G7" s="15" t="inlineStr">
        <is>
          <t>5000 users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t>
        </is>
      </c>
      <c r="P7" s="15" t="inlineStr">
        <is>
          <t>Yes</t>
        </is>
      </c>
      <c r="Q7" s="15" t="inlineStr">
        <is>
          <t>Yes</t>
        </is>
      </c>
      <c r="R7" s="15" t="inlineStr">
        <is>
          <t>✅ Compliant</t>
        </is>
      </c>
      <c r="S7" s="15" t="inlineStr">
        <is>
          <t>None</t>
        </is>
      </c>
      <c r="T7" s="15" t="inlineStr">
        <is>
          <t>N/A</t>
        </is>
      </c>
      <c r="U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60">
      <c r="A60" s="17" t="inlineStr">
        <is>
          <t>APPLICATION COVERAGE CHECKLIST</t>
        </is>
      </c>
    </row>
    <row r="61">
      <c r="A61" s="14" t="inlineStr">
        <is>
          <t>#</t>
        </is>
      </c>
      <c r="B61" s="14" t="inlineStr">
        <is>
          <t>Requirement</t>
        </is>
      </c>
      <c r="C61" s="18" t="n"/>
      <c r="D61" s="18" t="n"/>
      <c r="E61" s="18" t="n"/>
      <c r="F61" s="18" t="n"/>
      <c r="G61" s="18" t="n"/>
      <c r="H61" s="18" t="n"/>
      <c r="I61" s="18" t="n"/>
      <c r="J61" s="18" t="n"/>
      <c r="K61" s="18" t="n"/>
      <c r="L61" s="18" t="n"/>
      <c r="M61" s="18" t="n"/>
      <c r="N61" s="18" t="n"/>
      <c r="O61" s="18" t="n"/>
      <c r="P61" s="18" t="n"/>
      <c r="Q61" s="18" t="n"/>
      <c r="R61" s="18" t="n"/>
      <c r="S61" s="18" t="n"/>
      <c r="T61" s="19" t="n"/>
    </row>
    <row r="62">
      <c r="A62" t="n">
        <v>1</v>
      </c>
      <c r="B62" s="20" t="inlineStr">
        <is>
          <t>All critical applications monitored</t>
        </is>
      </c>
      <c r="U62" s="16" t="n"/>
    </row>
    <row r="63">
      <c r="A63" t="n">
        <v>2</v>
      </c>
      <c r="B63" s="20" t="inlineStr">
        <is>
          <t>&gt;80% of high-priority applications monitored</t>
        </is>
      </c>
      <c r="U63" s="16" t="n"/>
    </row>
    <row r="64">
      <c r="A64" t="n">
        <v>3</v>
      </c>
      <c r="B64" s="20" t="inlineStr">
        <is>
          <t>Application error/exception logs collected</t>
        </is>
      </c>
      <c r="U64" s="16" t="n"/>
    </row>
    <row r="65">
      <c r="A65" t="n">
        <v>4</v>
      </c>
      <c r="B65" s="20" t="inlineStr">
        <is>
          <t>API calls logged (if API-based)</t>
        </is>
      </c>
      <c r="U65" s="16" t="n"/>
    </row>
    <row r="66">
      <c r="A66" t="n">
        <v>5</v>
      </c>
      <c r="B66" s="20" t="inlineStr">
        <is>
          <t>Database queries logged (if database-backed)</t>
        </is>
      </c>
      <c r="U66" s="16" t="n"/>
    </row>
    <row r="67">
      <c r="A67" t="n">
        <v>6</v>
      </c>
      <c r="B67" s="20" t="inlineStr">
        <is>
          <t>User access logged</t>
        </is>
      </c>
      <c r="U67" s="16" t="n"/>
    </row>
    <row r="68">
      <c r="A68" t="n">
        <v>7</v>
      </c>
      <c r="B68" s="20" t="inlineStr">
        <is>
          <t>Data exports/downloads monitored</t>
        </is>
      </c>
      <c r="U68" s="16" t="n"/>
    </row>
    <row r="69">
      <c r="A69" t="n">
        <v>8</v>
      </c>
      <c r="B69" s="20" t="inlineStr">
        <is>
          <t>File uploads monitored</t>
        </is>
      </c>
      <c r="U69" s="16" t="n"/>
    </row>
    <row r="70">
      <c r="A70" t="n">
        <v>9</v>
      </c>
      <c r="B70" s="20" t="inlineStr">
        <is>
          <t>Configuration changes logged</t>
        </is>
      </c>
      <c r="U70" s="16" t="n"/>
    </row>
    <row r="71">
      <c r="A71" t="n">
        <v>10</v>
      </c>
      <c r="B71" s="20" t="inlineStr">
        <is>
          <t>WAF deployed for internet-facing apps</t>
        </is>
      </c>
      <c r="U71" s="16" t="n"/>
    </row>
    <row r="72">
      <c r="A72" t="n">
        <v>11</v>
      </c>
      <c r="B72" s="20" t="inlineStr">
        <is>
          <t>APM integrated for performance visibility</t>
        </is>
      </c>
      <c r="U72" s="16" t="n"/>
    </row>
    <row r="73">
      <c r="A73" t="n">
        <v>12</v>
      </c>
      <c r="B73" s="20" t="inlineStr">
        <is>
          <t>Cloud application logs collected (SaaS)</t>
        </is>
      </c>
      <c r="U73" s="16" t="n"/>
    </row>
    <row r="74">
      <c r="A74" t="n">
        <v>13</v>
      </c>
      <c r="B74" s="20" t="inlineStr">
        <is>
          <t>Mobile app backend logs collected</t>
        </is>
      </c>
      <c r="U74" s="16" t="n"/>
    </row>
    <row r="75">
      <c r="A75" t="n">
        <v>14</v>
      </c>
      <c r="B75" s="20" t="inlineStr">
        <is>
          <t>Third-party integrations monitored</t>
        </is>
      </c>
      <c r="U75" s="16" t="n"/>
    </row>
    <row r="76">
      <c r="A76" t="n">
        <v>15</v>
      </c>
      <c r="B76" s="20" t="inlineStr">
        <is>
          <t>Application security events forwarded to SIEM</t>
        </is>
      </c>
      <c r="U76" s="16" t="n"/>
    </row>
    <row r="77">
      <c r="A77" s="21" t="inlineStr">
        <is>
          <t>SCORE:</t>
        </is>
      </c>
      <c r="B77" s="22">
        <f>COUNTIF(U62:U76,"✅ Compliant")&amp;" / 15"</f>
        <v/>
      </c>
    </row>
  </sheetData>
  <mergeCells count="20">
    <mergeCell ref="B74:T74"/>
    <mergeCell ref="B65:T65"/>
    <mergeCell ref="B68:T68"/>
    <mergeCell ref="B64:T64"/>
    <mergeCell ref="B76:T76"/>
    <mergeCell ref="A2:U2"/>
    <mergeCell ref="B63:T63"/>
    <mergeCell ref="B75:T75"/>
    <mergeCell ref="B62:T62"/>
    <mergeCell ref="B72:T72"/>
    <mergeCell ref="B66:T66"/>
    <mergeCell ref="B71:T71"/>
    <mergeCell ref="B77:E77"/>
    <mergeCell ref="B70:T70"/>
    <mergeCell ref="A1:U1"/>
    <mergeCell ref="B67:T67"/>
    <mergeCell ref="B61:T61"/>
    <mergeCell ref="A60:U60"/>
    <mergeCell ref="B73:T73"/>
    <mergeCell ref="B69:T69"/>
  </mergeCells>
  <dataValidations count="8">
    <dataValidation sqref="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O8 O9 O10 O11 O12 O13 O14 O15 O16 O17 O18 O19 O20 O21 O22 O23 O24 O25 O26 O27 O28 O29 O30 O31 O32 O33 O34 O35 O36 O37 O38 O39 O40 O41 O42 O43 O44 O45 O46 O47 O48 O49 O50 O51 O52 O53 O54 O55 O56 O57 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H8 H9 H10 H11 H12 H13 H14 H15 H16 H17 H18 H19 H20 H21 H22 H23 H24 H25 H26 H27 H28 H29 H30 H31 H32 H33 H34 H35 H36 H37 H38 H39 H40 H41 H42 H43 H44 H45 H46 H47 H48 H49 H50 H51 H52 H53 H54 H55 H56 H57 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"Web Application,Database,API,Microservice,SaaS,Mobile App,Desktop App,Other"</formula1>
    </dataValidation>
    <dataValidation sqref="R8 R9 R10 R11 R12 R13 R14 R15 R16 R17 R18 R19 R20 R21 R22 R23 R24 R25 R26 R27 R28 R29 R30 R31 R32 R33 R34 R35 R36 R37 R38 R39 R40 R41 R42 R43 R44 R45 R46 R47 R48 R49 R50 R51 R52 R53 R54 R55 R56 R57 U62 U63 U64 U65 U66 U67 U68 U69 U70 U71 U72 U73 U74 U75 U76"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showGridLines="0" workbookViewId="0">
      <selection activeCell="A1" sqref="A1"/>
    </sheetView>
  </sheetViews>
  <sheetFormatPr baseColWidth="8" defaultRowHeight="15"/>
  <cols>
    <col width="12" customWidth="1" min="1" max="1"/>
    <col width="22" customWidth="1" min="2" max="2"/>
    <col width="28" customWidth="1" min="3" max="3"/>
    <col width="35" customWidth="1" min="4" max="4"/>
    <col width="30" customWidth="1" min="5" max="5"/>
    <col width="15" customWidth="1" min="6" max="6"/>
    <col width="30" customWidth="1" min="7" max="7"/>
    <col width="16" customWidth="1" min="8" max="8"/>
    <col width="15" customWidth="1" min="9" max="9"/>
    <col width="30" customWidth="1" min="10" max="10"/>
    <col width="35" customWidth="1" min="11" max="11"/>
    <col width="20" customWidth="1" min="12" max="12"/>
    <col width="14" customWidth="1" min="13" max="13"/>
    <col width="15" customWidth="1" min="14" max="14"/>
    <col width="18" customWidth="1" min="15" max="15"/>
    <col width="14" customWidth="1" min="16" max="16"/>
    <col width="25" customWidth="1" min="17" max="17"/>
    <col width="30" customWidth="1" min="18" max="18"/>
  </cols>
  <sheetData>
    <row r="1" ht="35" customHeight="1">
      <c r="A1" s="11" t="inlineStr">
        <is>
          <t>5. COVERAGE GAP ANALYSIS</t>
        </is>
      </c>
    </row>
    <row r="2">
      <c r="A2" s="12" t="inlineStr">
        <is>
          <t>Policy Reference: ISMS-POL-A.8.16-S2.1 - Document and remediate coverage gaps</t>
        </is>
      </c>
    </row>
    <row r="3">
      <c r="A3" s="13" t="inlineStr">
        <is>
          <t>Are all monitoring coverage gaps identified, documented, and tracked to remediation?</t>
        </is>
      </c>
    </row>
    <row r="6">
      <c r="A6" s="14" t="inlineStr">
        <is>
          <t>Gap ID</t>
        </is>
      </c>
      <c r="B6" s="14" t="inlineStr">
        <is>
          <t>Gap Category</t>
        </is>
      </c>
      <c r="C6" s="14" t="inlineStr">
        <is>
          <t>Affected Asset/System</t>
        </is>
      </c>
      <c r="D6" s="14" t="inlineStr">
        <is>
          <t>Gap Description</t>
        </is>
      </c>
      <c r="E6" s="14" t="inlineStr">
        <is>
          <t>Business Impact</t>
        </is>
      </c>
      <c r="F6" s="14" t="inlineStr">
        <is>
          <t>Risk Level</t>
        </is>
      </c>
      <c r="G6" s="14" t="inlineStr">
        <is>
          <t>Root Cause</t>
        </is>
      </c>
      <c r="H6" s="14" t="inlineStr">
        <is>
          <t>Exception Approved</t>
        </is>
      </c>
      <c r="I6" s="14" t="inlineStr">
        <is>
          <t>Exception ID</t>
        </is>
      </c>
      <c r="J6" s="14" t="inlineStr">
        <is>
          <t>Compensating Controls</t>
        </is>
      </c>
      <c r="K6" s="14" t="inlineStr">
        <is>
          <t>Remediation Plan</t>
        </is>
      </c>
      <c r="L6" s="14" t="inlineStr">
        <is>
          <t>Remediation Owner</t>
        </is>
      </c>
      <c r="M6" s="14" t="inlineStr">
        <is>
          <t>Target Date</t>
        </is>
      </c>
      <c r="N6" s="14" t="inlineStr">
        <is>
          <t>Budget Required</t>
        </is>
      </c>
      <c r="O6" s="14" t="inlineStr">
        <is>
          <t>Status</t>
        </is>
      </c>
      <c r="P6" s="14" t="inlineStr">
        <is>
          <t>Status Date</t>
        </is>
      </c>
      <c r="Q6" s="14" t="inlineStr">
        <is>
          <t>Verification Method</t>
        </is>
      </c>
      <c r="R6" s="14" t="inlineStr">
        <is>
          <t>Notes</t>
        </is>
      </c>
    </row>
    <row r="7">
      <c r="A7" s="15" t="inlineStr">
        <is>
          <t>GAP-001</t>
        </is>
      </c>
      <c r="B7" s="15" t="inlineStr">
        <is>
          <t>Asset Not Monitored</t>
        </is>
      </c>
      <c r="C7" s="15" t="inlineStr">
        <is>
          <t>Legacy File Server</t>
        </is>
      </c>
      <c r="D7" s="15" t="inlineStr">
        <is>
          <t>No log collection configured</t>
        </is>
      </c>
      <c r="E7" s="15" t="inlineStr">
        <is>
          <t>Medium - non-critical legacy system</t>
        </is>
      </c>
      <c r="F7" s="15" t="inlineStr">
        <is>
          <t>Medium</t>
        </is>
      </c>
      <c r="G7" s="15" t="inlineStr">
        <is>
          <t>End-of-life system, no agent support</t>
        </is>
      </c>
      <c r="H7" s="15" t="inlineStr">
        <is>
          <t>Yes</t>
        </is>
      </c>
      <c r="I7" s="15" t="inlineStr">
        <is>
          <t>EXC-2024-015</t>
        </is>
      </c>
      <c r="J7" s="15" t="inlineStr">
        <is>
          <t>Network-level monitoring via firewall</t>
        </is>
      </c>
      <c r="K7" s="15" t="inlineStr">
        <is>
          <t>Migrate to new storage platform</t>
        </is>
      </c>
      <c r="L7" s="15" t="inlineStr">
        <is>
          <t>Infrastructure Team</t>
        </is>
      </c>
      <c r="M7" s="15" t="inlineStr">
        <is>
          <t>31.03.2025</t>
        </is>
      </c>
      <c r="N7" s="15" t="inlineStr">
        <is>
          <t>Yes</t>
        </is>
      </c>
      <c r="O7" s="15" t="inlineStr">
        <is>
          <t>In Progress</t>
        </is>
      </c>
      <c r="P7" s="15" t="inlineStr">
        <is>
          <t>15.12.2024</t>
        </is>
      </c>
      <c r="Q7" s="15" t="inlineStr">
        <is>
          <t>Post-migration verification</t>
        </is>
      </c>
      <c r="R7" s="15" t="inlineStr">
        <is>
          <t>Budget approved Q1</t>
        </is>
      </c>
    </row>
    <row r="8">
      <c r="A8" s="16">
        <f>"GAP-"&amp;TEXT(ROW()-7,"000")</f>
        <v/>
      </c>
      <c r="B8" s="23" t="n"/>
      <c r="C8" s="23" t="n"/>
      <c r="D8" s="23" t="n"/>
      <c r="E8" s="23" t="n"/>
      <c r="F8" s="23" t="n"/>
      <c r="G8" s="23" t="n"/>
      <c r="H8" s="23" t="n"/>
      <c r="I8" s="23" t="n"/>
      <c r="J8" s="23" t="n"/>
      <c r="K8" s="23" t="n"/>
      <c r="L8" s="23" t="n"/>
      <c r="M8" s="23" t="n"/>
      <c r="N8" s="23" t="n"/>
      <c r="O8" s="23" t="n"/>
      <c r="P8" s="23" t="n"/>
      <c r="Q8" s="23" t="n"/>
      <c r="R8" s="23" t="n"/>
    </row>
    <row r="9">
      <c r="A9" s="16">
        <f>"GAP-"&amp;TEXT(ROW()-7,"000")</f>
        <v/>
      </c>
      <c r="B9" s="23" t="n"/>
      <c r="C9" s="23" t="n"/>
      <c r="D9" s="23" t="n"/>
      <c r="E9" s="23" t="n"/>
      <c r="F9" s="23" t="n"/>
      <c r="G9" s="23" t="n"/>
      <c r="H9" s="23" t="n"/>
      <c r="I9" s="23" t="n"/>
      <c r="J9" s="23" t="n"/>
      <c r="K9" s="23" t="n"/>
      <c r="L9" s="23" t="n"/>
      <c r="M9" s="23" t="n"/>
      <c r="N9" s="23" t="n"/>
      <c r="O9" s="23" t="n"/>
      <c r="P9" s="23" t="n"/>
      <c r="Q9" s="23" t="n"/>
      <c r="R9" s="23" t="n"/>
    </row>
    <row r="10">
      <c r="A10" s="16">
        <f>"GAP-"&amp;TEXT(ROW()-7,"000")</f>
        <v/>
      </c>
      <c r="B10" s="23" t="n"/>
      <c r="C10" s="23" t="n"/>
      <c r="D10" s="23" t="n"/>
      <c r="E10" s="23" t="n"/>
      <c r="F10" s="23" t="n"/>
      <c r="G10" s="23" t="n"/>
      <c r="H10" s="23" t="n"/>
      <c r="I10" s="23" t="n"/>
      <c r="J10" s="23" t="n"/>
      <c r="K10" s="23" t="n"/>
      <c r="L10" s="23" t="n"/>
      <c r="M10" s="23" t="n"/>
      <c r="N10" s="23" t="n"/>
      <c r="O10" s="23" t="n"/>
      <c r="P10" s="23" t="n"/>
      <c r="Q10" s="23" t="n"/>
      <c r="R10" s="23" t="n"/>
    </row>
    <row r="11">
      <c r="A11" s="16">
        <f>"GAP-"&amp;TEXT(ROW()-7,"000")</f>
        <v/>
      </c>
      <c r="B11" s="23" t="n"/>
      <c r="C11" s="23" t="n"/>
      <c r="D11" s="23" t="n"/>
      <c r="E11" s="23" t="n"/>
      <c r="F11" s="23" t="n"/>
      <c r="G11" s="23" t="n"/>
      <c r="H11" s="23" t="n"/>
      <c r="I11" s="23" t="n"/>
      <c r="J11" s="23" t="n"/>
      <c r="K11" s="23" t="n"/>
      <c r="L11" s="23" t="n"/>
      <c r="M11" s="23" t="n"/>
      <c r="N11" s="23" t="n"/>
      <c r="O11" s="23" t="n"/>
      <c r="P11" s="23" t="n"/>
      <c r="Q11" s="23" t="n"/>
      <c r="R11" s="23" t="n"/>
    </row>
    <row r="12">
      <c r="A12" s="16">
        <f>"GAP-"&amp;TEXT(ROW()-7,"000")</f>
        <v/>
      </c>
      <c r="B12" s="23" t="n"/>
      <c r="C12" s="23" t="n"/>
      <c r="D12" s="23" t="n"/>
      <c r="E12" s="23" t="n"/>
      <c r="F12" s="23" t="n"/>
      <c r="G12" s="23" t="n"/>
      <c r="H12" s="23" t="n"/>
      <c r="I12" s="23" t="n"/>
      <c r="J12" s="23" t="n"/>
      <c r="K12" s="23" t="n"/>
      <c r="L12" s="23" t="n"/>
      <c r="M12" s="23" t="n"/>
      <c r="N12" s="23" t="n"/>
      <c r="O12" s="23" t="n"/>
      <c r="P12" s="23" t="n"/>
      <c r="Q12" s="23" t="n"/>
      <c r="R12" s="23" t="n"/>
    </row>
    <row r="13">
      <c r="A13" s="16">
        <f>"GAP-"&amp;TEXT(ROW()-7,"000")</f>
        <v/>
      </c>
      <c r="B13" s="23" t="n"/>
      <c r="C13" s="23" t="n"/>
      <c r="D13" s="23" t="n"/>
      <c r="E13" s="23" t="n"/>
      <c r="F13" s="23" t="n"/>
      <c r="G13" s="23" t="n"/>
      <c r="H13" s="23" t="n"/>
      <c r="I13" s="23" t="n"/>
      <c r="J13" s="23" t="n"/>
      <c r="K13" s="23" t="n"/>
      <c r="L13" s="23" t="n"/>
      <c r="M13" s="23" t="n"/>
      <c r="N13" s="23" t="n"/>
      <c r="O13" s="23" t="n"/>
      <c r="P13" s="23" t="n"/>
      <c r="Q13" s="23" t="n"/>
      <c r="R13" s="23" t="n"/>
    </row>
    <row r="14">
      <c r="A14" s="16">
        <f>"GAP-"&amp;TEXT(ROW()-7,"000")</f>
        <v/>
      </c>
      <c r="B14" s="23" t="n"/>
      <c r="C14" s="23" t="n"/>
      <c r="D14" s="23" t="n"/>
      <c r="E14" s="23" t="n"/>
      <c r="F14" s="23" t="n"/>
      <c r="G14" s="23" t="n"/>
      <c r="H14" s="23" t="n"/>
      <c r="I14" s="23" t="n"/>
      <c r="J14" s="23" t="n"/>
      <c r="K14" s="23" t="n"/>
      <c r="L14" s="23" t="n"/>
      <c r="M14" s="23" t="n"/>
      <c r="N14" s="23" t="n"/>
      <c r="O14" s="23" t="n"/>
      <c r="P14" s="23" t="n"/>
      <c r="Q14" s="23" t="n"/>
      <c r="R14" s="23" t="n"/>
    </row>
    <row r="15">
      <c r="A15" s="16">
        <f>"GAP-"&amp;TEXT(ROW()-7,"000")</f>
        <v/>
      </c>
      <c r="B15" s="23" t="n"/>
      <c r="C15" s="23" t="n"/>
      <c r="D15" s="23" t="n"/>
      <c r="E15" s="23" t="n"/>
      <c r="F15" s="23" t="n"/>
      <c r="G15" s="23" t="n"/>
      <c r="H15" s="23" t="n"/>
      <c r="I15" s="23" t="n"/>
      <c r="J15" s="23" t="n"/>
      <c r="K15" s="23" t="n"/>
      <c r="L15" s="23" t="n"/>
      <c r="M15" s="23" t="n"/>
      <c r="N15" s="23" t="n"/>
      <c r="O15" s="23" t="n"/>
      <c r="P15" s="23" t="n"/>
      <c r="Q15" s="23" t="n"/>
      <c r="R15" s="23" t="n"/>
    </row>
    <row r="16">
      <c r="A16" s="16">
        <f>"GAP-"&amp;TEXT(ROW()-7,"000")</f>
        <v/>
      </c>
      <c r="B16" s="23" t="n"/>
      <c r="C16" s="23" t="n"/>
      <c r="D16" s="23" t="n"/>
      <c r="E16" s="23" t="n"/>
      <c r="F16" s="23" t="n"/>
      <c r="G16" s="23" t="n"/>
      <c r="H16" s="23" t="n"/>
      <c r="I16" s="23" t="n"/>
      <c r="J16" s="23" t="n"/>
      <c r="K16" s="23" t="n"/>
      <c r="L16" s="23" t="n"/>
      <c r="M16" s="23" t="n"/>
      <c r="N16" s="23" t="n"/>
      <c r="O16" s="23" t="n"/>
      <c r="P16" s="23" t="n"/>
      <c r="Q16" s="23" t="n"/>
      <c r="R16" s="23" t="n"/>
    </row>
    <row r="17">
      <c r="A17" s="16">
        <f>"GAP-"&amp;TEXT(ROW()-7,"000")</f>
        <v/>
      </c>
      <c r="B17" s="23" t="n"/>
      <c r="C17" s="23" t="n"/>
      <c r="D17" s="23" t="n"/>
      <c r="E17" s="23" t="n"/>
      <c r="F17" s="23" t="n"/>
      <c r="G17" s="23" t="n"/>
      <c r="H17" s="23" t="n"/>
      <c r="I17" s="23" t="n"/>
      <c r="J17" s="23" t="n"/>
      <c r="K17" s="23" t="n"/>
      <c r="L17" s="23" t="n"/>
      <c r="M17" s="23" t="n"/>
      <c r="N17" s="23" t="n"/>
      <c r="O17" s="23" t="n"/>
      <c r="P17" s="23" t="n"/>
      <c r="Q17" s="23" t="n"/>
      <c r="R17" s="23" t="n"/>
    </row>
    <row r="18">
      <c r="A18" s="16">
        <f>"GAP-"&amp;TEXT(ROW()-7,"000")</f>
        <v/>
      </c>
      <c r="B18" s="23" t="n"/>
      <c r="C18" s="23" t="n"/>
      <c r="D18" s="23" t="n"/>
      <c r="E18" s="23" t="n"/>
      <c r="F18" s="23" t="n"/>
      <c r="G18" s="23" t="n"/>
      <c r="H18" s="23" t="n"/>
      <c r="I18" s="23" t="n"/>
      <c r="J18" s="23" t="n"/>
      <c r="K18" s="23" t="n"/>
      <c r="L18" s="23" t="n"/>
      <c r="M18" s="23" t="n"/>
      <c r="N18" s="23" t="n"/>
      <c r="O18" s="23" t="n"/>
      <c r="P18" s="23" t="n"/>
      <c r="Q18" s="23" t="n"/>
      <c r="R18" s="23" t="n"/>
    </row>
    <row r="19">
      <c r="A19" s="16">
        <f>"GAP-"&amp;TEXT(ROW()-7,"000")</f>
        <v/>
      </c>
      <c r="B19" s="23" t="n"/>
      <c r="C19" s="23" t="n"/>
      <c r="D19" s="23" t="n"/>
      <c r="E19" s="23" t="n"/>
      <c r="F19" s="23" t="n"/>
      <c r="G19" s="23" t="n"/>
      <c r="H19" s="23" t="n"/>
      <c r="I19" s="23" t="n"/>
      <c r="J19" s="23" t="n"/>
      <c r="K19" s="23" t="n"/>
      <c r="L19" s="23" t="n"/>
      <c r="M19" s="23" t="n"/>
      <c r="N19" s="23" t="n"/>
      <c r="O19" s="23" t="n"/>
      <c r="P19" s="23" t="n"/>
      <c r="Q19" s="23" t="n"/>
      <c r="R19" s="23" t="n"/>
    </row>
    <row r="20">
      <c r="A20" s="16">
        <f>"GAP-"&amp;TEXT(ROW()-7,"000")</f>
        <v/>
      </c>
      <c r="B20" s="23" t="n"/>
      <c r="C20" s="23" t="n"/>
      <c r="D20" s="23" t="n"/>
      <c r="E20" s="23" t="n"/>
      <c r="F20" s="23" t="n"/>
      <c r="G20" s="23" t="n"/>
      <c r="H20" s="23" t="n"/>
      <c r="I20" s="23" t="n"/>
      <c r="J20" s="23" t="n"/>
      <c r="K20" s="23" t="n"/>
      <c r="L20" s="23" t="n"/>
      <c r="M20" s="23" t="n"/>
      <c r="N20" s="23" t="n"/>
      <c r="O20" s="23" t="n"/>
      <c r="P20" s="23" t="n"/>
      <c r="Q20" s="23" t="n"/>
      <c r="R20" s="23" t="n"/>
    </row>
    <row r="21">
      <c r="A21" s="16">
        <f>"GAP-"&amp;TEXT(ROW()-7,"000")</f>
        <v/>
      </c>
      <c r="B21" s="23" t="n"/>
      <c r="C21" s="23" t="n"/>
      <c r="D21" s="23" t="n"/>
      <c r="E21" s="23" t="n"/>
      <c r="F21" s="23" t="n"/>
      <c r="G21" s="23" t="n"/>
      <c r="H21" s="23" t="n"/>
      <c r="I21" s="23" t="n"/>
      <c r="J21" s="23" t="n"/>
      <c r="K21" s="23" t="n"/>
      <c r="L21" s="23" t="n"/>
      <c r="M21" s="23" t="n"/>
      <c r="N21" s="23" t="n"/>
      <c r="O21" s="23" t="n"/>
      <c r="P21" s="23" t="n"/>
      <c r="Q21" s="23" t="n"/>
      <c r="R21" s="23" t="n"/>
    </row>
    <row r="22">
      <c r="A22" s="16">
        <f>"GAP-"&amp;TEXT(ROW()-7,"000")</f>
        <v/>
      </c>
      <c r="B22" s="23" t="n"/>
      <c r="C22" s="23" t="n"/>
      <c r="D22" s="23" t="n"/>
      <c r="E22" s="23" t="n"/>
      <c r="F22" s="23" t="n"/>
      <c r="G22" s="23" t="n"/>
      <c r="H22" s="23" t="n"/>
      <c r="I22" s="23" t="n"/>
      <c r="J22" s="23" t="n"/>
      <c r="K22" s="23" t="n"/>
      <c r="L22" s="23" t="n"/>
      <c r="M22" s="23" t="n"/>
      <c r="N22" s="23" t="n"/>
      <c r="O22" s="23" t="n"/>
      <c r="P22" s="23" t="n"/>
      <c r="Q22" s="23" t="n"/>
      <c r="R22" s="23" t="n"/>
    </row>
    <row r="23">
      <c r="A23" s="16">
        <f>"GAP-"&amp;TEXT(ROW()-7,"000")</f>
        <v/>
      </c>
      <c r="B23" s="23" t="n"/>
      <c r="C23" s="23" t="n"/>
      <c r="D23" s="23" t="n"/>
      <c r="E23" s="23" t="n"/>
      <c r="F23" s="23" t="n"/>
      <c r="G23" s="23" t="n"/>
      <c r="H23" s="23" t="n"/>
      <c r="I23" s="23" t="n"/>
      <c r="J23" s="23" t="n"/>
      <c r="K23" s="23" t="n"/>
      <c r="L23" s="23" t="n"/>
      <c r="M23" s="23" t="n"/>
      <c r="N23" s="23" t="n"/>
      <c r="O23" s="23" t="n"/>
      <c r="P23" s="23" t="n"/>
      <c r="Q23" s="23" t="n"/>
      <c r="R23" s="23" t="n"/>
    </row>
    <row r="24">
      <c r="A24" s="16">
        <f>"GAP-"&amp;TEXT(ROW()-7,"000")</f>
        <v/>
      </c>
      <c r="B24" s="23" t="n"/>
      <c r="C24" s="23" t="n"/>
      <c r="D24" s="23" t="n"/>
      <c r="E24" s="23" t="n"/>
      <c r="F24" s="23" t="n"/>
      <c r="G24" s="23" t="n"/>
      <c r="H24" s="23" t="n"/>
      <c r="I24" s="23" t="n"/>
      <c r="J24" s="23" t="n"/>
      <c r="K24" s="23" t="n"/>
      <c r="L24" s="23" t="n"/>
      <c r="M24" s="23" t="n"/>
      <c r="N24" s="23" t="n"/>
      <c r="O24" s="23" t="n"/>
      <c r="P24" s="23" t="n"/>
      <c r="Q24" s="23" t="n"/>
      <c r="R24" s="23" t="n"/>
    </row>
    <row r="25">
      <c r="A25" s="16">
        <f>"GAP-"&amp;TEXT(ROW()-7,"000")</f>
        <v/>
      </c>
      <c r="B25" s="23" t="n"/>
      <c r="C25" s="23" t="n"/>
      <c r="D25" s="23" t="n"/>
      <c r="E25" s="23" t="n"/>
      <c r="F25" s="23" t="n"/>
      <c r="G25" s="23" t="n"/>
      <c r="H25" s="23" t="n"/>
      <c r="I25" s="23" t="n"/>
      <c r="J25" s="23" t="n"/>
      <c r="K25" s="23" t="n"/>
      <c r="L25" s="23" t="n"/>
      <c r="M25" s="23" t="n"/>
      <c r="N25" s="23" t="n"/>
      <c r="O25" s="23" t="n"/>
      <c r="P25" s="23" t="n"/>
      <c r="Q25" s="23" t="n"/>
      <c r="R25" s="23" t="n"/>
    </row>
    <row r="26">
      <c r="A26" s="16">
        <f>"GAP-"&amp;TEXT(ROW()-7,"000")</f>
        <v/>
      </c>
      <c r="B26" s="23" t="n"/>
      <c r="C26" s="23" t="n"/>
      <c r="D26" s="23" t="n"/>
      <c r="E26" s="23" t="n"/>
      <c r="F26" s="23" t="n"/>
      <c r="G26" s="23" t="n"/>
      <c r="H26" s="23" t="n"/>
      <c r="I26" s="23" t="n"/>
      <c r="J26" s="23" t="n"/>
      <c r="K26" s="23" t="n"/>
      <c r="L26" s="23" t="n"/>
      <c r="M26" s="23" t="n"/>
      <c r="N26" s="23" t="n"/>
      <c r="O26" s="23" t="n"/>
      <c r="P26" s="23" t="n"/>
      <c r="Q26" s="23" t="n"/>
      <c r="R26" s="23" t="n"/>
    </row>
    <row r="27">
      <c r="A27" s="16">
        <f>"GAP-"&amp;TEXT(ROW()-7,"000")</f>
        <v/>
      </c>
      <c r="B27" s="23" t="n"/>
      <c r="C27" s="23" t="n"/>
      <c r="D27" s="23" t="n"/>
      <c r="E27" s="23" t="n"/>
      <c r="F27" s="23" t="n"/>
      <c r="G27" s="23" t="n"/>
      <c r="H27" s="23" t="n"/>
      <c r="I27" s="23" t="n"/>
      <c r="J27" s="23" t="n"/>
      <c r="K27" s="23" t="n"/>
      <c r="L27" s="23" t="n"/>
      <c r="M27" s="23" t="n"/>
      <c r="N27" s="23" t="n"/>
      <c r="O27" s="23" t="n"/>
      <c r="P27" s="23" t="n"/>
      <c r="Q27" s="23" t="n"/>
      <c r="R27" s="23" t="n"/>
    </row>
    <row r="28">
      <c r="A28" s="16">
        <f>"GAP-"&amp;TEXT(ROW()-7,"000")</f>
        <v/>
      </c>
      <c r="B28" s="23" t="n"/>
      <c r="C28" s="23" t="n"/>
      <c r="D28" s="23" t="n"/>
      <c r="E28" s="23" t="n"/>
      <c r="F28" s="23" t="n"/>
      <c r="G28" s="23" t="n"/>
      <c r="H28" s="23" t="n"/>
      <c r="I28" s="23" t="n"/>
      <c r="J28" s="23" t="n"/>
      <c r="K28" s="23" t="n"/>
      <c r="L28" s="23" t="n"/>
      <c r="M28" s="23" t="n"/>
      <c r="N28" s="23" t="n"/>
      <c r="O28" s="23" t="n"/>
      <c r="P28" s="23" t="n"/>
      <c r="Q28" s="23" t="n"/>
      <c r="R28" s="23" t="n"/>
    </row>
    <row r="29">
      <c r="A29" s="16">
        <f>"GAP-"&amp;TEXT(ROW()-7,"000")</f>
        <v/>
      </c>
      <c r="B29" s="23" t="n"/>
      <c r="C29" s="23" t="n"/>
      <c r="D29" s="23" t="n"/>
      <c r="E29" s="23" t="n"/>
      <c r="F29" s="23" t="n"/>
      <c r="G29" s="23" t="n"/>
      <c r="H29" s="23" t="n"/>
      <c r="I29" s="23" t="n"/>
      <c r="J29" s="23" t="n"/>
      <c r="K29" s="23" t="n"/>
      <c r="L29" s="23" t="n"/>
      <c r="M29" s="23" t="n"/>
      <c r="N29" s="23" t="n"/>
      <c r="O29" s="23" t="n"/>
      <c r="P29" s="23" t="n"/>
      <c r="Q29" s="23" t="n"/>
      <c r="R29" s="23" t="n"/>
    </row>
    <row r="30">
      <c r="A30" s="16">
        <f>"GAP-"&amp;TEXT(ROW()-7,"000")</f>
        <v/>
      </c>
      <c r="B30" s="23" t="n"/>
      <c r="C30" s="23" t="n"/>
      <c r="D30" s="23" t="n"/>
      <c r="E30" s="23" t="n"/>
      <c r="F30" s="23" t="n"/>
      <c r="G30" s="23" t="n"/>
      <c r="H30" s="23" t="n"/>
      <c r="I30" s="23" t="n"/>
      <c r="J30" s="23" t="n"/>
      <c r="K30" s="23" t="n"/>
      <c r="L30" s="23" t="n"/>
      <c r="M30" s="23" t="n"/>
      <c r="N30" s="23" t="n"/>
      <c r="O30" s="23" t="n"/>
      <c r="P30" s="23" t="n"/>
      <c r="Q30" s="23" t="n"/>
      <c r="R30" s="23" t="n"/>
    </row>
    <row r="31">
      <c r="A31" s="16">
        <f>"GAP-"&amp;TEXT(ROW()-7,"000")</f>
        <v/>
      </c>
      <c r="B31" s="23" t="n"/>
      <c r="C31" s="23" t="n"/>
      <c r="D31" s="23" t="n"/>
      <c r="E31" s="23" t="n"/>
      <c r="F31" s="23" t="n"/>
      <c r="G31" s="23" t="n"/>
      <c r="H31" s="23" t="n"/>
      <c r="I31" s="23" t="n"/>
      <c r="J31" s="23" t="n"/>
      <c r="K31" s="23" t="n"/>
      <c r="L31" s="23" t="n"/>
      <c r="M31" s="23" t="n"/>
      <c r="N31" s="23" t="n"/>
      <c r="O31" s="23" t="n"/>
      <c r="P31" s="23" t="n"/>
      <c r="Q31" s="23" t="n"/>
      <c r="R31" s="23" t="n"/>
    </row>
    <row r="32">
      <c r="A32" s="16">
        <f>"GAP-"&amp;TEXT(ROW()-7,"000")</f>
        <v/>
      </c>
      <c r="B32" s="23" t="n"/>
      <c r="C32" s="23" t="n"/>
      <c r="D32" s="23" t="n"/>
      <c r="E32" s="23" t="n"/>
      <c r="F32" s="23" t="n"/>
      <c r="G32" s="23" t="n"/>
      <c r="H32" s="23" t="n"/>
      <c r="I32" s="23" t="n"/>
      <c r="J32" s="23" t="n"/>
      <c r="K32" s="23" t="n"/>
      <c r="L32" s="23" t="n"/>
      <c r="M32" s="23" t="n"/>
      <c r="N32" s="23" t="n"/>
      <c r="O32" s="23" t="n"/>
      <c r="P32" s="23" t="n"/>
      <c r="Q32" s="23" t="n"/>
      <c r="R32" s="23" t="n"/>
    </row>
    <row r="33">
      <c r="A33" s="16">
        <f>"GAP-"&amp;TEXT(ROW()-7,"000")</f>
        <v/>
      </c>
      <c r="B33" s="23" t="n"/>
      <c r="C33" s="23" t="n"/>
      <c r="D33" s="23" t="n"/>
      <c r="E33" s="23" t="n"/>
      <c r="F33" s="23" t="n"/>
      <c r="G33" s="23" t="n"/>
      <c r="H33" s="23" t="n"/>
      <c r="I33" s="23" t="n"/>
      <c r="J33" s="23" t="n"/>
      <c r="K33" s="23" t="n"/>
      <c r="L33" s="23" t="n"/>
      <c r="M33" s="23" t="n"/>
      <c r="N33" s="23" t="n"/>
      <c r="O33" s="23" t="n"/>
      <c r="P33" s="23" t="n"/>
      <c r="Q33" s="23" t="n"/>
      <c r="R33" s="23" t="n"/>
    </row>
    <row r="34">
      <c r="A34" s="16">
        <f>"GAP-"&amp;TEXT(ROW()-7,"000")</f>
        <v/>
      </c>
      <c r="B34" s="23" t="n"/>
      <c r="C34" s="23" t="n"/>
      <c r="D34" s="23" t="n"/>
      <c r="E34" s="23" t="n"/>
      <c r="F34" s="23" t="n"/>
      <c r="G34" s="23" t="n"/>
      <c r="H34" s="23" t="n"/>
      <c r="I34" s="23" t="n"/>
      <c r="J34" s="23" t="n"/>
      <c r="K34" s="23" t="n"/>
      <c r="L34" s="23" t="n"/>
      <c r="M34" s="23" t="n"/>
      <c r="N34" s="23" t="n"/>
      <c r="O34" s="23" t="n"/>
      <c r="P34" s="23" t="n"/>
      <c r="Q34" s="23" t="n"/>
      <c r="R34" s="23" t="n"/>
    </row>
    <row r="35">
      <c r="A35" s="16">
        <f>"GAP-"&amp;TEXT(ROW()-7,"000")</f>
        <v/>
      </c>
      <c r="B35" s="23" t="n"/>
      <c r="C35" s="23" t="n"/>
      <c r="D35" s="23" t="n"/>
      <c r="E35" s="23" t="n"/>
      <c r="F35" s="23" t="n"/>
      <c r="G35" s="23" t="n"/>
      <c r="H35" s="23" t="n"/>
      <c r="I35" s="23" t="n"/>
      <c r="J35" s="23" t="n"/>
      <c r="K35" s="23" t="n"/>
      <c r="L35" s="23" t="n"/>
      <c r="M35" s="23" t="n"/>
      <c r="N35" s="23" t="n"/>
      <c r="O35" s="23" t="n"/>
      <c r="P35" s="23" t="n"/>
      <c r="Q35" s="23" t="n"/>
      <c r="R35" s="23" t="n"/>
    </row>
    <row r="36">
      <c r="A36" s="16">
        <f>"GAP-"&amp;TEXT(ROW()-7,"000")</f>
        <v/>
      </c>
      <c r="B36" s="23" t="n"/>
      <c r="C36" s="23" t="n"/>
      <c r="D36" s="23" t="n"/>
      <c r="E36" s="23" t="n"/>
      <c r="F36" s="23" t="n"/>
      <c r="G36" s="23" t="n"/>
      <c r="H36" s="23" t="n"/>
      <c r="I36" s="23" t="n"/>
      <c r="J36" s="23" t="n"/>
      <c r="K36" s="23" t="n"/>
      <c r="L36" s="23" t="n"/>
      <c r="M36" s="23" t="n"/>
      <c r="N36" s="23" t="n"/>
      <c r="O36" s="23" t="n"/>
      <c r="P36" s="23" t="n"/>
      <c r="Q36" s="23" t="n"/>
      <c r="R36" s="23" t="n"/>
    </row>
    <row r="37">
      <c r="A37" s="16">
        <f>"GAP-"&amp;TEXT(ROW()-7,"000")</f>
        <v/>
      </c>
      <c r="B37" s="23" t="n"/>
      <c r="C37" s="23" t="n"/>
      <c r="D37" s="23" t="n"/>
      <c r="E37" s="23" t="n"/>
      <c r="F37" s="23" t="n"/>
      <c r="G37" s="23" t="n"/>
      <c r="H37" s="23" t="n"/>
      <c r="I37" s="23" t="n"/>
      <c r="J37" s="23" t="n"/>
      <c r="K37" s="23" t="n"/>
      <c r="L37" s="23" t="n"/>
      <c r="M37" s="23" t="n"/>
      <c r="N37" s="23" t="n"/>
      <c r="O37" s="23" t="n"/>
      <c r="P37" s="23" t="n"/>
      <c r="Q37" s="23" t="n"/>
      <c r="R37" s="23" t="n"/>
    </row>
    <row r="38">
      <c r="A38" s="16">
        <f>"GAP-"&amp;TEXT(ROW()-7,"000")</f>
        <v/>
      </c>
      <c r="B38" s="23" t="n"/>
      <c r="C38" s="23" t="n"/>
      <c r="D38" s="23" t="n"/>
      <c r="E38" s="23" t="n"/>
      <c r="F38" s="23" t="n"/>
      <c r="G38" s="23" t="n"/>
      <c r="H38" s="23" t="n"/>
      <c r="I38" s="23" t="n"/>
      <c r="J38" s="23" t="n"/>
      <c r="K38" s="23" t="n"/>
      <c r="L38" s="23" t="n"/>
      <c r="M38" s="23" t="n"/>
      <c r="N38" s="23" t="n"/>
      <c r="O38" s="23" t="n"/>
      <c r="P38" s="23" t="n"/>
      <c r="Q38" s="23" t="n"/>
      <c r="R38" s="23" t="n"/>
    </row>
    <row r="39">
      <c r="A39" s="16">
        <f>"GAP-"&amp;TEXT(ROW()-7,"000")</f>
        <v/>
      </c>
      <c r="B39" s="23" t="n"/>
      <c r="C39" s="23" t="n"/>
      <c r="D39" s="23" t="n"/>
      <c r="E39" s="23" t="n"/>
      <c r="F39" s="23" t="n"/>
      <c r="G39" s="23" t="n"/>
      <c r="H39" s="23" t="n"/>
      <c r="I39" s="23" t="n"/>
      <c r="J39" s="23" t="n"/>
      <c r="K39" s="23" t="n"/>
      <c r="L39" s="23" t="n"/>
      <c r="M39" s="23" t="n"/>
      <c r="N39" s="23" t="n"/>
      <c r="O39" s="23" t="n"/>
      <c r="P39" s="23" t="n"/>
      <c r="Q39" s="23" t="n"/>
      <c r="R39" s="23" t="n"/>
    </row>
    <row r="40">
      <c r="A40" s="16">
        <f>"GAP-"&amp;TEXT(ROW()-7,"000")</f>
        <v/>
      </c>
      <c r="B40" s="23" t="n"/>
      <c r="C40" s="23" t="n"/>
      <c r="D40" s="23" t="n"/>
      <c r="E40" s="23" t="n"/>
      <c r="F40" s="23" t="n"/>
      <c r="G40" s="23" t="n"/>
      <c r="H40" s="23" t="n"/>
      <c r="I40" s="23" t="n"/>
      <c r="J40" s="23" t="n"/>
      <c r="K40" s="23" t="n"/>
      <c r="L40" s="23" t="n"/>
      <c r="M40" s="23" t="n"/>
      <c r="N40" s="23" t="n"/>
      <c r="O40" s="23" t="n"/>
      <c r="P40" s="23" t="n"/>
      <c r="Q40" s="23" t="n"/>
      <c r="R40" s="23" t="n"/>
    </row>
    <row r="41">
      <c r="A41" s="16">
        <f>"GAP-"&amp;TEXT(ROW()-7,"000")</f>
        <v/>
      </c>
      <c r="B41" s="23" t="n"/>
      <c r="C41" s="23" t="n"/>
      <c r="D41" s="23" t="n"/>
      <c r="E41" s="23" t="n"/>
      <c r="F41" s="23" t="n"/>
      <c r="G41" s="23" t="n"/>
      <c r="H41" s="23" t="n"/>
      <c r="I41" s="23" t="n"/>
      <c r="J41" s="23" t="n"/>
      <c r="K41" s="23" t="n"/>
      <c r="L41" s="23" t="n"/>
      <c r="M41" s="23" t="n"/>
      <c r="N41" s="23" t="n"/>
      <c r="O41" s="23" t="n"/>
      <c r="P41" s="23" t="n"/>
      <c r="Q41" s="23" t="n"/>
      <c r="R41" s="23" t="n"/>
    </row>
    <row r="42">
      <c r="A42" s="16">
        <f>"GAP-"&amp;TEXT(ROW()-7,"000")</f>
        <v/>
      </c>
      <c r="B42" s="23" t="n"/>
      <c r="C42" s="23" t="n"/>
      <c r="D42" s="23" t="n"/>
      <c r="E42" s="23" t="n"/>
      <c r="F42" s="23" t="n"/>
      <c r="G42" s="23" t="n"/>
      <c r="H42" s="23" t="n"/>
      <c r="I42" s="23" t="n"/>
      <c r="J42" s="23" t="n"/>
      <c r="K42" s="23" t="n"/>
      <c r="L42" s="23" t="n"/>
      <c r="M42" s="23" t="n"/>
      <c r="N42" s="23" t="n"/>
      <c r="O42" s="23" t="n"/>
      <c r="P42" s="23" t="n"/>
      <c r="Q42" s="23" t="n"/>
      <c r="R42" s="23" t="n"/>
    </row>
    <row r="43">
      <c r="A43" s="16">
        <f>"GAP-"&amp;TEXT(ROW()-7,"000")</f>
        <v/>
      </c>
      <c r="B43" s="23" t="n"/>
      <c r="C43" s="23" t="n"/>
      <c r="D43" s="23" t="n"/>
      <c r="E43" s="23" t="n"/>
      <c r="F43" s="23" t="n"/>
      <c r="G43" s="23" t="n"/>
      <c r="H43" s="23" t="n"/>
      <c r="I43" s="23" t="n"/>
      <c r="J43" s="23" t="n"/>
      <c r="K43" s="23" t="n"/>
      <c r="L43" s="23" t="n"/>
      <c r="M43" s="23" t="n"/>
      <c r="N43" s="23" t="n"/>
      <c r="O43" s="23" t="n"/>
      <c r="P43" s="23" t="n"/>
      <c r="Q43" s="23" t="n"/>
      <c r="R43" s="23" t="n"/>
    </row>
    <row r="44">
      <c r="A44" s="16">
        <f>"GAP-"&amp;TEXT(ROW()-7,"000")</f>
        <v/>
      </c>
      <c r="B44" s="23" t="n"/>
      <c r="C44" s="23" t="n"/>
      <c r="D44" s="23" t="n"/>
      <c r="E44" s="23" t="n"/>
      <c r="F44" s="23" t="n"/>
      <c r="G44" s="23" t="n"/>
      <c r="H44" s="23" t="n"/>
      <c r="I44" s="23" t="n"/>
      <c r="J44" s="23" t="n"/>
      <c r="K44" s="23" t="n"/>
      <c r="L44" s="23" t="n"/>
      <c r="M44" s="23" t="n"/>
      <c r="N44" s="23" t="n"/>
      <c r="O44" s="23" t="n"/>
      <c r="P44" s="23" t="n"/>
      <c r="Q44" s="23" t="n"/>
      <c r="R44" s="23" t="n"/>
    </row>
    <row r="45">
      <c r="A45" s="16">
        <f>"GAP-"&amp;TEXT(ROW()-7,"000")</f>
        <v/>
      </c>
      <c r="B45" s="23" t="n"/>
      <c r="C45" s="23" t="n"/>
      <c r="D45" s="23" t="n"/>
      <c r="E45" s="23" t="n"/>
      <c r="F45" s="23" t="n"/>
      <c r="G45" s="23" t="n"/>
      <c r="H45" s="23" t="n"/>
      <c r="I45" s="23" t="n"/>
      <c r="J45" s="23" t="n"/>
      <c r="K45" s="23" t="n"/>
      <c r="L45" s="23" t="n"/>
      <c r="M45" s="23" t="n"/>
      <c r="N45" s="23" t="n"/>
      <c r="O45" s="23" t="n"/>
      <c r="P45" s="23" t="n"/>
      <c r="Q45" s="23" t="n"/>
      <c r="R45" s="23" t="n"/>
    </row>
    <row r="46">
      <c r="A46" s="16">
        <f>"GAP-"&amp;TEXT(ROW()-7,"000")</f>
        <v/>
      </c>
      <c r="B46" s="23" t="n"/>
      <c r="C46" s="23" t="n"/>
      <c r="D46" s="23" t="n"/>
      <c r="E46" s="23" t="n"/>
      <c r="F46" s="23" t="n"/>
      <c r="G46" s="23" t="n"/>
      <c r="H46" s="23" t="n"/>
      <c r="I46" s="23" t="n"/>
      <c r="J46" s="23" t="n"/>
      <c r="K46" s="23" t="n"/>
      <c r="L46" s="23" t="n"/>
      <c r="M46" s="23" t="n"/>
      <c r="N46" s="23" t="n"/>
      <c r="O46" s="23" t="n"/>
      <c r="P46" s="23" t="n"/>
      <c r="Q46" s="23" t="n"/>
      <c r="R46" s="23" t="n"/>
    </row>
    <row r="47">
      <c r="A47" s="16">
        <f>"GAP-"&amp;TEXT(ROW()-7,"000")</f>
        <v/>
      </c>
      <c r="B47" s="23" t="n"/>
      <c r="C47" s="23" t="n"/>
      <c r="D47" s="23" t="n"/>
      <c r="E47" s="23" t="n"/>
      <c r="F47" s="23" t="n"/>
      <c r="G47" s="23" t="n"/>
      <c r="H47" s="23" t="n"/>
      <c r="I47" s="23" t="n"/>
      <c r="J47" s="23" t="n"/>
      <c r="K47" s="23" t="n"/>
      <c r="L47" s="23" t="n"/>
      <c r="M47" s="23" t="n"/>
      <c r="N47" s="23" t="n"/>
      <c r="O47" s="23" t="n"/>
      <c r="P47" s="23" t="n"/>
      <c r="Q47" s="23" t="n"/>
      <c r="R47" s="23" t="n"/>
    </row>
    <row r="50">
      <c r="A50" s="17" t="inlineStr">
        <is>
          <t>GAP SUMMARY STATISTICS</t>
        </is>
      </c>
    </row>
    <row r="51">
      <c r="A51" s="14" t="inlineStr">
        <is>
          <t>Metric</t>
        </is>
      </c>
      <c r="B51" s="18" t="n"/>
      <c r="C51" s="18" t="n"/>
      <c r="D51" s="18" t="n"/>
      <c r="E51" s="19" t="n"/>
      <c r="F51" s="14" t="inlineStr">
        <is>
          <t>Count/Value</t>
        </is>
      </c>
      <c r="G51" s="18" t="n"/>
      <c r="H51" s="18" t="n"/>
      <c r="I51" s="19" t="n"/>
      <c r="J51" s="14" t="inlineStr">
        <is>
          <t>Target</t>
        </is>
      </c>
      <c r="K51" s="18" t="n"/>
      <c r="L51" s="19" t="n"/>
      <c r="M51" s="14" t="inlineStr">
        <is>
          <t>Status</t>
        </is>
      </c>
      <c r="N51" s="18" t="n"/>
      <c r="O51" s="18" t="n"/>
      <c r="P51" s="18" t="n"/>
      <c r="Q51" s="18" t="n"/>
      <c r="R51" s="19" t="n"/>
    </row>
    <row r="52">
      <c r="A52" s="20" t="inlineStr">
        <is>
          <t>Total Gaps Identified</t>
        </is>
      </c>
      <c r="F52">
        <f>COUNTA(B8:B47)</f>
        <v/>
      </c>
      <c r="J52" t="inlineStr">
        <is>
          <t>N/A</t>
        </is>
      </c>
      <c r="M52" s="16" t="inlineStr"/>
      <c r="N52" s="18" t="n"/>
      <c r="O52" s="18" t="n"/>
      <c r="P52" s="18" t="n"/>
      <c r="Q52" s="18" t="n"/>
      <c r="R52" s="19" t="n"/>
    </row>
    <row r="53">
      <c r="A53" s="20" t="inlineStr">
        <is>
          <t>Critical Gaps</t>
        </is>
      </c>
      <c r="F53">
        <f>COUNTIF(F8:F47,"Critical")</f>
        <v/>
      </c>
      <c r="J53" t="inlineStr">
        <is>
          <t>0</t>
        </is>
      </c>
      <c r="M53" s="16" t="inlineStr"/>
      <c r="N53" s="18" t="n"/>
      <c r="O53" s="18" t="n"/>
      <c r="P53" s="18" t="n"/>
      <c r="Q53" s="18" t="n"/>
      <c r="R53" s="19" t="n"/>
    </row>
    <row r="54">
      <c r="A54" s="20" t="inlineStr">
        <is>
          <t>High Gaps</t>
        </is>
      </c>
      <c r="F54">
        <f>COUNTIF(F8:F47,"High")</f>
        <v/>
      </c>
      <c r="J54" t="inlineStr">
        <is>
          <t>&lt;5</t>
        </is>
      </c>
      <c r="M54" s="16" t="inlineStr"/>
      <c r="N54" s="18" t="n"/>
      <c r="O54" s="18" t="n"/>
      <c r="P54" s="18" t="n"/>
      <c r="Q54" s="18" t="n"/>
      <c r="R54" s="19" t="n"/>
    </row>
    <row r="55">
      <c r="A55" s="20" t="inlineStr">
        <is>
          <t>Open Gaps</t>
        </is>
      </c>
      <c r="F55">
        <f>COUNTIF(O8:O47,"Open")</f>
        <v/>
      </c>
      <c r="J55" t="inlineStr">
        <is>
          <t>Minimize</t>
        </is>
      </c>
      <c r="M55" s="16" t="inlineStr"/>
      <c r="N55" s="18" t="n"/>
      <c r="O55" s="18" t="n"/>
      <c r="P55" s="18" t="n"/>
      <c r="Q55" s="18" t="n"/>
      <c r="R55" s="19" t="n"/>
    </row>
    <row r="56">
      <c r="A56" s="20" t="inlineStr">
        <is>
          <t>In Progress</t>
        </is>
      </c>
      <c r="F56">
        <f>COUNTIF(O8:O47,"In Progress")</f>
        <v/>
      </c>
      <c r="J56" t="inlineStr">
        <is>
          <t>N/A</t>
        </is>
      </c>
      <c r="M56" s="16" t="inlineStr"/>
      <c r="N56" s="18" t="n"/>
      <c r="O56" s="18" t="n"/>
      <c r="P56" s="18" t="n"/>
      <c r="Q56" s="18" t="n"/>
      <c r="R56" s="19" t="n"/>
    </row>
    <row r="57">
      <c r="A57" s="20" t="inlineStr">
        <is>
          <t>Resolved Gaps</t>
        </is>
      </c>
      <c r="F57">
        <f>COUNTIF(O8:O47,"Resolved")</f>
        <v/>
      </c>
      <c r="J57" t="inlineStr">
        <is>
          <t>Maximize</t>
        </is>
      </c>
      <c r="M57" s="16" t="inlineStr"/>
      <c r="N57" s="18" t="n"/>
      <c r="O57" s="18" t="n"/>
      <c r="P57" s="18" t="n"/>
      <c r="Q57" s="18" t="n"/>
      <c r="R57" s="19" t="n"/>
    </row>
    <row r="58">
      <c r="A58" s="20" t="inlineStr">
        <is>
          <t>Accepted Risks</t>
        </is>
      </c>
      <c r="F58">
        <f>COUNTIF(O8:O47,"Accepted")</f>
        <v/>
      </c>
      <c r="J58" t="inlineStr">
        <is>
          <t>Document</t>
        </is>
      </c>
      <c r="M58" s="16" t="inlineStr"/>
      <c r="N58" s="18" t="n"/>
      <c r="O58" s="18" t="n"/>
      <c r="P58" s="18" t="n"/>
      <c r="Q58" s="18" t="n"/>
      <c r="R58" s="19" t="n"/>
    </row>
    <row r="59">
      <c r="A59" s="20" t="inlineStr">
        <is>
          <t>Overdue (Past Target Date)</t>
        </is>
      </c>
      <c r="F59">
        <f>SUMPRODUCT((O8:O47&lt;&gt;"Resolved")*(O8:O47&lt;&gt;"Accepted")*(M8:M47&lt;TODAY())*(M8:M47&lt;&gt;""))</f>
        <v/>
      </c>
      <c r="J59" t="inlineStr">
        <is>
          <t>0</t>
        </is>
      </c>
      <c r="M59" s="16" t="inlineStr"/>
      <c r="N59" s="18" t="n"/>
      <c r="O59" s="18" t="n"/>
      <c r="P59" s="18" t="n"/>
      <c r="Q59" s="18" t="n"/>
      <c r="R59" s="19" t="n"/>
    </row>
    <row r="62">
      <c r="A62" s="17" t="inlineStr">
        <is>
          <t>GAP MANAGEMENT CHECKLIST</t>
        </is>
      </c>
    </row>
    <row r="63">
      <c r="A63" s="14" t="inlineStr">
        <is>
          <t>#</t>
        </is>
      </c>
      <c r="B63" s="14" t="inlineStr">
        <is>
          <t>Requirement</t>
        </is>
      </c>
      <c r="C63" s="18" t="n"/>
      <c r="D63" s="18" t="n"/>
      <c r="E63" s="18" t="n"/>
      <c r="F63" s="18" t="n"/>
      <c r="G63" s="18" t="n"/>
      <c r="H63" s="18" t="n"/>
      <c r="I63" s="18" t="n"/>
      <c r="J63" s="18" t="n"/>
      <c r="K63" s="18" t="n"/>
      <c r="L63" s="18" t="n"/>
      <c r="M63" s="18" t="n"/>
      <c r="N63" s="18" t="n"/>
      <c r="O63" s="18" t="n"/>
      <c r="P63" s="18" t="n"/>
      <c r="Q63" s="19" t="n"/>
    </row>
    <row r="64">
      <c r="A64" t="n">
        <v>1</v>
      </c>
      <c r="B64" s="20" t="inlineStr">
        <is>
          <t>All coverage gaps identified</t>
        </is>
      </c>
      <c r="R64" s="16" t="n"/>
    </row>
    <row r="65">
      <c r="A65" t="n">
        <v>2</v>
      </c>
      <c r="B65" s="20" t="inlineStr">
        <is>
          <t>Gaps categorised by type</t>
        </is>
      </c>
      <c r="R65" s="16" t="n"/>
    </row>
    <row r="66">
      <c r="A66" t="n">
        <v>3</v>
      </c>
      <c r="B66" s="20" t="inlineStr">
        <is>
          <t>Risk level assessed for each gap</t>
        </is>
      </c>
      <c r="R66" s="16" t="n"/>
    </row>
    <row r="67">
      <c r="A67" t="n">
        <v>4</v>
      </c>
      <c r="B67" s="20" t="inlineStr">
        <is>
          <t>Root cause analysis conducted</t>
        </is>
      </c>
      <c r="R67" s="16" t="n"/>
    </row>
    <row r="68">
      <c r="A68" t="n">
        <v>5</v>
      </c>
      <c r="B68" s="20" t="inlineStr">
        <is>
          <t>Critical gaps remediated within 30 days</t>
        </is>
      </c>
      <c r="R68" s="16" t="n"/>
    </row>
    <row r="69">
      <c r="A69" t="n">
        <v>6</v>
      </c>
      <c r="B69" s="20" t="inlineStr">
        <is>
          <t>High gaps remediated within 90 days</t>
        </is>
      </c>
      <c r="R69" s="16" t="n"/>
    </row>
    <row r="70">
      <c r="A70" t="n">
        <v>7</v>
      </c>
      <c r="B70" s="20" t="inlineStr">
        <is>
          <t>Exceptions formally approved</t>
        </is>
      </c>
      <c r="R70" s="16" t="n"/>
    </row>
    <row r="71">
      <c r="A71" t="n">
        <v>8</v>
      </c>
      <c r="B71" s="20" t="inlineStr">
        <is>
          <t>Compensating controls documented</t>
        </is>
      </c>
      <c r="R71" s="16" t="n"/>
    </row>
    <row r="72">
      <c r="A72" t="n">
        <v>9</v>
      </c>
      <c r="B72" s="20" t="inlineStr">
        <is>
          <t>Remediation plans documented</t>
        </is>
      </c>
      <c r="R72" s="16" t="n"/>
    </row>
    <row r="73">
      <c r="A73" t="n">
        <v>10</v>
      </c>
      <c r="B73" s="20" t="inlineStr">
        <is>
          <t>Gap remediation tracked</t>
        </is>
      </c>
      <c r="R73" s="16" t="n"/>
    </row>
    <row r="74">
      <c r="A74" t="n">
        <v>11</v>
      </c>
      <c r="B74" s="20" t="inlineStr">
        <is>
          <t>Verification conducted post-remediation</t>
        </is>
      </c>
      <c r="R74" s="16" t="n"/>
    </row>
    <row r="75">
      <c r="A75" t="n">
        <v>12</v>
      </c>
      <c r="B75" s="20" t="inlineStr">
        <is>
          <t>Trends analysed (recurring gaps?)</t>
        </is>
      </c>
      <c r="R75" s="16" t="n"/>
    </row>
    <row r="76">
      <c r="A76" t="n">
        <v>13</v>
      </c>
      <c r="B76" s="20" t="inlineStr">
        <is>
          <t>Gaps reported to CISO monthly</t>
        </is>
      </c>
      <c r="R76" s="16" t="n"/>
    </row>
    <row r="77">
      <c r="A77" t="n">
        <v>14</v>
      </c>
      <c r="B77" s="20" t="inlineStr">
        <is>
          <t>Improvement actions implemented</t>
        </is>
      </c>
      <c r="R77" s="16" t="n"/>
    </row>
    <row r="78">
      <c r="A78" t="n">
        <v>15</v>
      </c>
      <c r="B78" s="20" t="inlineStr">
        <is>
          <t>Coverage metrics improving over time</t>
        </is>
      </c>
      <c r="R78" s="16" t="n"/>
    </row>
    <row r="79">
      <c r="A79" s="21" t="inlineStr">
        <is>
          <t>SCORE:</t>
        </is>
      </c>
      <c r="B79" s="22">
        <f>COUNTIF(R64:R78,"✅ Compliant")&amp;" / 15"</f>
        <v/>
      </c>
    </row>
  </sheetData>
  <mergeCells count="58">
    <mergeCell ref="M54:R54"/>
    <mergeCell ref="A59:E59"/>
    <mergeCell ref="F56:I56"/>
    <mergeCell ref="F58:I58"/>
    <mergeCell ref="F52:I52"/>
    <mergeCell ref="A51:E51"/>
    <mergeCell ref="B65:Q65"/>
    <mergeCell ref="J55:L55"/>
    <mergeCell ref="B74:Q74"/>
    <mergeCell ref="B68:Q68"/>
    <mergeCell ref="B64:Q64"/>
    <mergeCell ref="B78:Q78"/>
    <mergeCell ref="A50:R50"/>
    <mergeCell ref="A3:R3"/>
    <mergeCell ref="B79:E79"/>
    <mergeCell ref="J54:L54"/>
    <mergeCell ref="F57:I57"/>
    <mergeCell ref="A54:E54"/>
    <mergeCell ref="F53:I53"/>
    <mergeCell ref="A2:R2"/>
    <mergeCell ref="B63:Q63"/>
    <mergeCell ref="B76:Q76"/>
    <mergeCell ref="B75:Q75"/>
    <mergeCell ref="F54:I54"/>
    <mergeCell ref="J56:L56"/>
    <mergeCell ref="M57:R57"/>
    <mergeCell ref="A56:E56"/>
    <mergeCell ref="B72:Q72"/>
    <mergeCell ref="A62:R62"/>
    <mergeCell ref="J51:L51"/>
    <mergeCell ref="A55:E55"/>
    <mergeCell ref="A57:E57"/>
    <mergeCell ref="B66:Q66"/>
    <mergeCell ref="J58:L58"/>
    <mergeCell ref="J52:L52"/>
    <mergeCell ref="B71:Q71"/>
    <mergeCell ref="F55:I55"/>
    <mergeCell ref="F59:I59"/>
    <mergeCell ref="M56:R56"/>
    <mergeCell ref="M53:R53"/>
    <mergeCell ref="M58:R58"/>
    <mergeCell ref="B70:Q70"/>
    <mergeCell ref="F51:I51"/>
    <mergeCell ref="B77:Q77"/>
    <mergeCell ref="A53:E53"/>
    <mergeCell ref="M55:R55"/>
    <mergeCell ref="B67:Q67"/>
    <mergeCell ref="J57:L57"/>
    <mergeCell ref="M59:R59"/>
    <mergeCell ref="A52:E52"/>
    <mergeCell ref="M52:R52"/>
    <mergeCell ref="J59:L59"/>
    <mergeCell ref="B73:Q73"/>
    <mergeCell ref="A1:R1"/>
    <mergeCell ref="B69:Q69"/>
    <mergeCell ref="A58:E58"/>
    <mergeCell ref="M51:R51"/>
    <mergeCell ref="J53:L53"/>
  </mergeCells>
  <dataValidations count="6">
    <dataValidation sqref="B8 B9 B10 B11 B12 B13 B14 B15 B16 B17 B18 B19 B20 B21 B22 B23 B24 B25 B26 B27 B28 B29 B30 B31 B32 B33 B34 B35 B36 B37 B38 B39 B40 B41 B42 B43 B44 B45 B46 B47" showDropDown="0" showInputMessage="0" showErrorMessage="0" allowBlank="0" type="list">
      <formula1>"Asset Not Monitored,Log Source Missing,Network Segment Gap,User/Identity Gap,Application Gap,Detection Gap,Other"</formula1>
    </dataValidation>
    <dataValidation sqref="O8 O9 O10 O11 O12 O13 O14 O15 O16 O17 O18 O19 O20 O21 O22 O23 O24 O25 O26 O27 O28 O29 O30 O31 O32 O33 O34 O35 O36 O37 O38 O39 O40 O41 O42 O43 O44 O45 O46 O47" showDropDown="0" showInputMessage="0" showErrorMessage="0" allowBlank="0" type="list">
      <formula1>"Open,In Progress,Resolved,Deferred,Accepted"</formula1>
    </dataValidation>
    <dataValidation sqref="R64 R65 R66 R67 R68 R69 R70 R71 R72 R73 R74 R75 R76 R77 R78" showDropDown="0" showInputMessage="0" showErrorMessage="0" allowBlank="0" type="list">
      <formula1>"✅ Compliant,⚠️ Partial,❌ Non-Compliant,N/A"</formula1>
    </dataValidation>
    <dataValidation sqref="F8 F9 F10 F11 F12 F13 F14 F15 F16 F17 F18 F19 F20 F21 F22 F23 F24 F25 F26 F27 F28 F29 F30 F31 F32 F33 F34 F35 F36 F37 F38 F39 F40 F41 F42 F43 F44 F45 F46 F4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showDropDown="0" showInputMessage="0" showErrorMessage="0" allowBlank="0" type="list">
      <formula1>"Yes,No,Unknown"</formula1>
    </dataValidation>
    <dataValidation sqref="H8 H9 H10 H11 H12 H13 H14 H15 H16 H17 H18 H19 H20 H21 H22 H23 H24 H25 H26 H27 H28 H29 H30 H31 H32 H33 H34 H35 H36 H37 H38 H39 H40 H41 H42 H43 H44 H45 H46 H47" showDropDown="0" showInputMessage="0" showErrorMessage="0" allowBlank="0" type="list">
      <formula1>"Yes,No,Pending"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c r="B1" s="6" t="n"/>
      <c r="C1" s="6" t="n"/>
      <c r="D1" s="6" t="n"/>
      <c r="E1" s="6" t="n"/>
      <c r="F1" s="6" t="n"/>
      <c r="G1" s="6" t="n"/>
      <c r="H1" s="6" t="n"/>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Coverage Assessment</t>
        </is>
      </c>
      <c r="C5" s="27" t="inlineStr">
        <is>
          <t>Report</t>
        </is>
      </c>
      <c r="D5" s="27" t="inlineStr">
        <is>
          <t>Monitoring coverage assessment report — Q1 2024 all critical systems</t>
        </is>
      </c>
      <c r="E5" s="27" t="inlineStr">
        <is>
          <t>\\fileserver\isms\evidence\monitoring\coverage-assessment-q1-2024.pdf</t>
        </is>
      </c>
      <c r="F5" s="27" t="inlineStr">
        <is>
          <t>2024-03-01</t>
        </is>
      </c>
      <c r="G5" s="27" t="inlineStr">
        <is>
          <t>Thomas Weber</t>
        </is>
      </c>
      <c r="H5" s="27"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COVERAGE ASSESSMENT — SUMMARY DASHBOARD</t>
        </is>
      </c>
    </row>
    <row r="2">
      <c r="A2" s="28" t="inlineStr">
        <is>
          <t>Summary Dashboard — Monitoring Activities | 10.03.2026</t>
        </is>
      </c>
    </row>
    <row r="4">
      <c r="A4" s="29" t="inlineStr">
        <is>
          <t>TABLE 1: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1. Asset Coverage</t>
        </is>
      </c>
      <c r="B6" s="32">
        <f>SUM(C6:F6)</f>
        <v/>
      </c>
      <c r="C6" s="32">
        <f>COUNTIF('1. Asset Coverage'!W61:W75,"✅ Compliant")</f>
        <v/>
      </c>
      <c r="D6" s="32">
        <f>COUNTIF('1. Asset Coverage'!W61:W75,"⚠️ Partial")</f>
        <v/>
      </c>
      <c r="E6" s="32">
        <f>COUNTIF('1. Asset Coverage'!W61:W75,"❌ Non-Compliant")</f>
        <v/>
      </c>
      <c r="F6" s="32">
        <f>COUNTIF('1. Asset Coverage'!W61:W75,"N/A")</f>
        <v/>
      </c>
      <c r="G6" s="33">
        <f>IF((B6-F6)=0,0,C6/(B6-F6))</f>
        <v/>
      </c>
    </row>
    <row r="7">
      <c r="A7" s="31" t="inlineStr">
        <is>
          <t>2. Network Coverage</t>
        </is>
      </c>
      <c r="B7" s="32">
        <f>SUM(C7:F7)</f>
        <v/>
      </c>
      <c r="C7" s="32">
        <f>COUNTIF('2. Network Coverage'!T61:T70,"✅ Compliant")</f>
        <v/>
      </c>
      <c r="D7" s="32">
        <f>COUNTIF('2. Network Coverage'!T61:T70,"⚠️ Partial")</f>
        <v/>
      </c>
      <c r="E7" s="32">
        <f>COUNTIF('2. Network Coverage'!T61:T70,"❌ Non-Compliant")</f>
        <v/>
      </c>
      <c r="F7" s="32">
        <f>COUNTIF('2. Network Coverage'!T61:T70,"N/A")</f>
        <v/>
      </c>
      <c r="G7" s="33">
        <f>IF((B7-F7)=0,0,C7/(B7-F7))</f>
        <v/>
      </c>
    </row>
    <row r="8">
      <c r="A8" s="31" t="inlineStr">
        <is>
          <t>3. User Identity Coverage</t>
        </is>
      </c>
      <c r="B8" s="32">
        <f>SUM(C8:F8)</f>
        <v/>
      </c>
      <c r="C8" s="32">
        <f>COUNTIF('3. User Identity Coverage'!S61:S75,"✅ Compliant")</f>
        <v/>
      </c>
      <c r="D8" s="32">
        <f>COUNTIF('3. User Identity Coverage'!S61:S75,"⚠️ Partial")</f>
        <v/>
      </c>
      <c r="E8" s="32">
        <f>COUNTIF('3. User Identity Coverage'!S61:S75,"❌ Non-Compliant")</f>
        <v/>
      </c>
      <c r="F8" s="32">
        <f>COUNTIF('3. User Identity Coverage'!S61:S75,"N/A")</f>
        <v/>
      </c>
      <c r="G8" s="33">
        <f>IF((B8-F8)=0,0,C8/(B8-F8))</f>
        <v/>
      </c>
    </row>
    <row r="9">
      <c r="A9" s="31" t="inlineStr">
        <is>
          <t>4. Application Coverage</t>
        </is>
      </c>
      <c r="B9" s="32">
        <f>SUM(C9:F9)</f>
        <v/>
      </c>
      <c r="C9" s="32">
        <f>COUNTIF('4. Application Coverage'!U62:U76,"✅ Compliant")</f>
        <v/>
      </c>
      <c r="D9" s="32">
        <f>COUNTIF('4. Application Coverage'!U62:U76,"⚠️ Partial")</f>
        <v/>
      </c>
      <c r="E9" s="32">
        <f>COUNTIF('4. Application Coverage'!U62:U76,"❌ Non-Compliant")</f>
        <v/>
      </c>
      <c r="F9" s="32">
        <f>COUNTIF('4. Application Coverage'!U62:U76,"N/A")</f>
        <v/>
      </c>
      <c r="G9" s="33">
        <f>IF((B9-F9)=0,0,C9/(B9-F9))</f>
        <v/>
      </c>
    </row>
    <row r="10">
      <c r="A10" s="31" t="inlineStr">
        <is>
          <t>5. Gap Analysis</t>
        </is>
      </c>
      <c r="B10" s="32">
        <f>SUM(C10:F10)</f>
        <v/>
      </c>
      <c r="C10" s="32">
        <f>COUNTIF('5. Gap Analysis'!R64:R78,"✅ Compliant")</f>
        <v/>
      </c>
      <c r="D10" s="32">
        <f>COUNTIF('5. Gap Analysis'!R64:R78,"⚠️ Partial")</f>
        <v/>
      </c>
      <c r="E10" s="32">
        <f>COUNTIF('5. Gap Analysis'!R64:R78,"❌ Non-Compliant")</f>
        <v/>
      </c>
      <c r="F10" s="32">
        <f>COUNTIF('5. Gap Analysis'!R64:R78,"N/A")</f>
        <v/>
      </c>
      <c r="G10" s="33">
        <f>IF((B10-F10)=0,0,C10/(B10-F10))</f>
        <v/>
      </c>
    </row>
    <row r="11">
      <c r="A11" s="34" t="inlineStr">
        <is>
          <t>TOTAL</t>
        </is>
      </c>
      <c r="B11" s="35">
        <f>SUM(B6:B10)</f>
        <v/>
      </c>
      <c r="C11" s="35">
        <f>SUM(C6:C10)</f>
        <v/>
      </c>
      <c r="D11" s="35">
        <f>SUM(D6:D10)</f>
        <v/>
      </c>
      <c r="E11" s="35">
        <f>SUM(E6:E10)</f>
        <v/>
      </c>
      <c r="F11" s="35">
        <f>SUM(F6:F10)</f>
        <v/>
      </c>
      <c r="G11" s="36">
        <f>IF((B11-F11)=0,0,C11/(B11-F11))</f>
        <v/>
      </c>
    </row>
    <row r="13">
      <c r="A13" s="29" t="inlineStr">
        <is>
          <t>TABLE 2: KEY METRICS</t>
        </is>
      </c>
    </row>
    <row r="14">
      <c r="A14" s="37" t="inlineStr">
        <is>
          <t>Metric</t>
        </is>
      </c>
      <c r="F14" s="30" t="inlineStr">
        <is>
          <t>Value</t>
        </is>
      </c>
    </row>
    <row r="15">
      <c r="A15" s="31" t="inlineStr">
        <is>
          <t>Assets — Full Monitoring Coverage</t>
        </is>
      </c>
      <c r="B15" s="6" t="n"/>
      <c r="C15" s="6" t="n"/>
      <c r="D15" s="6" t="n"/>
      <c r="E15" s="6" t="n"/>
      <c r="F15" s="38">
        <f>COUNTIF('1. Asset Coverage'!R8:R200,"✅ Full Coverage")</f>
        <v/>
      </c>
      <c r="G15" s="6" t="n"/>
    </row>
    <row r="16">
      <c r="A16" s="31" t="inlineStr">
        <is>
          <t>Assets — No Monitoring Coverage</t>
        </is>
      </c>
      <c r="B16" s="6" t="n"/>
      <c r="C16" s="6" t="n"/>
      <c r="D16" s="6" t="n"/>
      <c r="E16" s="6" t="n"/>
      <c r="F16" s="38">
        <f>COUNTIF('1. Asset Coverage'!R8:R200,"❌ No Coverage")</f>
        <v/>
      </c>
      <c r="G16" s="6" t="n"/>
    </row>
    <row r="17">
      <c r="A17" s="31" t="inlineStr">
        <is>
          <t>Critical Assets — Not Monitored</t>
        </is>
      </c>
      <c r="B17" s="6" t="n"/>
      <c r="C17" s="6" t="n"/>
      <c r="D17" s="6" t="n"/>
      <c r="E17" s="6" t="n"/>
      <c r="F17" s="38">
        <f>COUNTIFS('1. Asset Coverage'!I8:I200,"Critical",'1. Asset Coverage'!R8:R200,"❌ No Coverage")</f>
        <v/>
      </c>
      <c r="G17" s="6" t="n"/>
    </row>
    <row r="18">
      <c r="A18" s="31" t="inlineStr">
        <is>
          <t>High Assets — Not Monitored</t>
        </is>
      </c>
      <c r="B18" s="6" t="n"/>
      <c r="C18" s="6" t="n"/>
      <c r="D18" s="6" t="n"/>
      <c r="E18" s="6" t="n"/>
      <c r="F18" s="38">
        <f>COUNTIFS('1. Asset Coverage'!I8:I200,"High",'1. Asset Coverage'!R8:R200,"❌ No Coverage")</f>
        <v/>
      </c>
      <c r="G18" s="6" t="n"/>
    </row>
    <row r="19">
      <c r="A19" s="31" t="inlineStr">
        <is>
          <t>Network Segments — Full Coverage</t>
        </is>
      </c>
      <c r="B19" s="6" t="n"/>
      <c r="C19" s="6" t="n"/>
      <c r="D19" s="6" t="n"/>
      <c r="E19" s="6" t="n"/>
      <c r="F19" s="38">
        <f>COUNTIF('2. Network Coverage'!O8:O200,"✅ Full")</f>
        <v/>
      </c>
      <c r="G19" s="6" t="n"/>
    </row>
    <row r="20">
      <c r="A20" s="31" t="inlineStr">
        <is>
          <t>Network Segments — No Coverage</t>
        </is>
      </c>
      <c r="B20" s="6" t="n"/>
      <c r="C20" s="6" t="n"/>
      <c r="D20" s="6" t="n"/>
      <c r="E20" s="6" t="n"/>
      <c r="F20" s="38">
        <f>COUNTIF('2. Network Coverage'!O8:O200,"❌ None")</f>
        <v/>
      </c>
      <c r="G20" s="6" t="n"/>
    </row>
    <row r="21">
      <c r="A21" s="31" t="inlineStr">
        <is>
          <t>Gaps Identified (Gap Analysis)</t>
        </is>
      </c>
      <c r="B21" s="6" t="n"/>
      <c r="C21" s="6" t="n"/>
      <c r="D21" s="6" t="n"/>
      <c r="E21" s="6" t="n"/>
      <c r="F21" s="38">
        <f>COUNTA('5. Gap Analysis'!B8:B200)</f>
        <v/>
      </c>
      <c r="G21" s="6" t="n"/>
    </row>
    <row r="22">
      <c r="A22" s="31" t="inlineStr">
        <is>
          <t>Mandatory Monitoring — Not Implemented</t>
        </is>
      </c>
      <c r="B22" s="6" t="n"/>
      <c r="C22" s="6" t="n"/>
      <c r="D22" s="6" t="n"/>
      <c r="E22" s="6" t="n"/>
      <c r="F22" s="38">
        <f>COUNTIFS('1. Asset Coverage'!K8:K200,"Mandatory",'1. Asset Coverage'!L8:L200,"No")</f>
        <v/>
      </c>
      <c r="G22" s="6" t="n"/>
    </row>
    <row r="24">
      <c r="A24" s="39" t="inlineStr">
        <is>
          <t>TABLE 3: CRITICAL FINDINGS</t>
        </is>
      </c>
    </row>
    <row r="25">
      <c r="A25" s="37" t="inlineStr">
        <is>
          <t>Category / Finding</t>
        </is>
      </c>
      <c r="F25" s="30" t="inlineStr">
        <is>
          <t>Count</t>
        </is>
      </c>
      <c r="G25" s="30" t="inlineStr">
        <is>
          <t>Action</t>
        </is>
      </c>
    </row>
    <row r="26">
      <c r="A26" s="40" t="inlineStr">
        <is>
          <t>Assets — No Monitoring Coverage</t>
        </is>
      </c>
      <c r="B26" s="16" t="n"/>
      <c r="C26" s="16" t="n"/>
      <c r="D26" s="16" t="n"/>
      <c r="E26" s="16" t="n"/>
      <c r="F26" s="41">
        <f>COUNTIF('1. Asset Coverage'!R8:R200,"❌ No Coverage")</f>
        <v/>
      </c>
      <c r="G26" s="16" t="inlineStr"/>
    </row>
    <row r="27">
      <c r="A27" s="40" t="inlineStr">
        <is>
          <t>Critical Assets — Not Monitored</t>
        </is>
      </c>
      <c r="B27" s="16" t="n"/>
      <c r="C27" s="16" t="n"/>
      <c r="D27" s="16" t="n"/>
      <c r="E27" s="16" t="n"/>
      <c r="F27" s="41">
        <f>COUNTIFS('1. Asset Coverage'!I8:I200,"Critical",'1. Asset Coverage'!R8:R200,"❌ No Coverage")</f>
        <v/>
      </c>
      <c r="G27" s="16" t="inlineStr"/>
    </row>
    <row r="28">
      <c r="A28" s="40" t="inlineStr">
        <is>
          <t>High Assets — Not Monitored</t>
        </is>
      </c>
      <c r="B28" s="16" t="n"/>
      <c r="C28" s="16" t="n"/>
      <c r="D28" s="16" t="n"/>
      <c r="E28" s="16" t="n"/>
      <c r="F28" s="41">
        <f>COUNTIFS('1. Asset Coverage'!I8:I200,"High",'1. Asset Coverage'!R8:R200,"❌ No Coverage")</f>
        <v/>
      </c>
      <c r="G28" s="16" t="inlineStr"/>
    </row>
    <row r="29">
      <c r="A29" s="40" t="inlineStr">
        <is>
          <t>Network Segments — No Coverage</t>
        </is>
      </c>
      <c r="B29" s="16" t="n"/>
      <c r="C29" s="16" t="n"/>
      <c r="D29" s="16" t="n"/>
      <c r="E29" s="16" t="n"/>
      <c r="F29" s="41">
        <f>COUNTIF('2. Network Coverage'!O8:O200,"❌ None")</f>
        <v/>
      </c>
      <c r="G29" s="16" t="inlineStr"/>
    </row>
    <row r="30">
      <c r="A30" s="40" t="inlineStr">
        <is>
          <t>Mandatory Monitoring Not Done</t>
        </is>
      </c>
      <c r="B30" s="16" t="n"/>
      <c r="C30" s="16" t="n"/>
      <c r="D30" s="16" t="n"/>
      <c r="E30" s="16" t="n"/>
      <c r="F30" s="41">
        <f>COUNTIFS('1. Asset Coverage'!K8:K200,"Mandatory",'1. Asset Coverage'!L8:L200,"No")</f>
        <v/>
      </c>
      <c r="G30" s="16" t="inlineStr"/>
    </row>
    <row r="31">
      <c r="A31" s="42"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Assessment approval workflow for ISMS-IMP-A.8.16.3 - Coverage Assessment</t>
        </is>
      </c>
      <c r="B2" s="6" t="n"/>
      <c r="C2" s="6" t="n"/>
      <c r="D2" s="6" t="n"/>
      <c r="E2" s="6" t="n"/>
    </row>
    <row r="3">
      <c r="A3" s="45" t="inlineStr">
        <is>
          <t>COMPLETED BY</t>
        </is>
      </c>
      <c r="B3" s="6" t="n"/>
      <c r="C3" s="6" t="n"/>
      <c r="D3" s="6" t="n"/>
      <c r="E3" s="6" t="n"/>
    </row>
    <row r="4">
      <c r="A4" s="46" t="inlineStr">
        <is>
          <t>Name:</t>
        </is>
      </c>
      <c r="B4" s="16" t="n"/>
      <c r="C4" s="6" t="n"/>
      <c r="D4" s="6" t="n"/>
      <c r="E4" s="6" t="n"/>
    </row>
    <row r="5">
      <c r="A5" s="46" t="inlineStr">
        <is>
          <t>Title:</t>
        </is>
      </c>
      <c r="B5" s="16" t="n"/>
      <c r="C5" s="6" t="n"/>
      <c r="D5" s="6" t="n"/>
      <c r="E5" s="6" t="n"/>
    </row>
    <row r="6">
      <c r="A6" s="46" t="inlineStr">
        <is>
          <t>Date:</t>
        </is>
      </c>
      <c r="B6" s="16" t="n"/>
      <c r="C6" s="6" t="n"/>
      <c r="D6" s="6" t="n"/>
      <c r="E6" s="6" t="n"/>
    </row>
    <row r="7">
      <c r="A7" s="46" t="inlineStr">
        <is>
          <t>Signature:</t>
        </is>
      </c>
      <c r="B7" s="16" t="n"/>
      <c r="C7" s="6" t="n"/>
      <c r="D7" s="6" t="n"/>
      <c r="E7" s="6" t="n"/>
    </row>
    <row r="9">
      <c r="A9" s="45" t="inlineStr">
        <is>
          <t>REVIEWED BY</t>
        </is>
      </c>
      <c r="B9" s="6" t="n"/>
      <c r="C9" s="6" t="n"/>
      <c r="D9" s="6" t="n"/>
      <c r="E9" s="6" t="n"/>
    </row>
    <row r="10">
      <c r="A10" s="46" t="inlineStr">
        <is>
          <t>Name:</t>
        </is>
      </c>
      <c r="B10" s="16" t="n"/>
      <c r="C10" s="6" t="n"/>
      <c r="D10" s="6" t="n"/>
      <c r="E10" s="6" t="n"/>
    </row>
    <row r="11">
      <c r="A11" s="46" t="inlineStr">
        <is>
          <t>Title:</t>
        </is>
      </c>
      <c r="B11" s="16" t="n"/>
      <c r="C11" s="6" t="n"/>
      <c r="D11" s="6" t="n"/>
      <c r="E11" s="6" t="n"/>
    </row>
    <row r="12">
      <c r="A12" s="46" t="inlineStr">
        <is>
          <t>Date:</t>
        </is>
      </c>
      <c r="B12" s="16" t="n"/>
      <c r="C12" s="6" t="n"/>
      <c r="D12" s="6" t="n"/>
      <c r="E12" s="6" t="n"/>
    </row>
    <row r="13">
      <c r="A13" s="46" t="inlineStr">
        <is>
          <t>Signature:</t>
        </is>
      </c>
      <c r="B13" s="16" t="n"/>
      <c r="C13" s="6" t="n"/>
      <c r="D13" s="6" t="n"/>
      <c r="E13" s="6" t="n"/>
    </row>
    <row r="14">
      <c r="A14" s="46" t="inlineStr">
        <is>
          <t>Comments:</t>
        </is>
      </c>
      <c r="B14" s="16" t="n"/>
      <c r="C14" s="6" t="n"/>
      <c r="D14" s="6" t="n"/>
      <c r="E14" s="6" t="n"/>
    </row>
    <row r="16">
      <c r="A16" s="47" t="inlineStr">
        <is>
          <t>APPROVED BY</t>
        </is>
      </c>
      <c r="B16" s="6" t="n"/>
      <c r="C16" s="6" t="n"/>
      <c r="D16" s="6" t="n"/>
      <c r="E16" s="6" t="n"/>
    </row>
    <row r="17">
      <c r="A17" s="46" t="inlineStr">
        <is>
          <t>Name:</t>
        </is>
      </c>
      <c r="B17" s="16" t="n"/>
      <c r="C17" s="6" t="n"/>
      <c r="D17" s="6" t="n"/>
      <c r="E17" s="6" t="n"/>
    </row>
    <row r="18">
      <c r="A18" s="46" t="inlineStr">
        <is>
          <t>Title:</t>
        </is>
      </c>
      <c r="B18" s="16" t="n"/>
      <c r="C18" s="6" t="n"/>
      <c r="D18" s="6" t="n"/>
      <c r="E18" s="6" t="n"/>
    </row>
    <row r="19">
      <c r="A19" s="46" t="inlineStr">
        <is>
          <t>Date:</t>
        </is>
      </c>
      <c r="B19" s="16" t="n"/>
      <c r="C19" s="6" t="n"/>
      <c r="D19" s="6" t="n"/>
      <c r="E19" s="6" t="n"/>
    </row>
    <row r="20">
      <c r="A20" s="46" t="inlineStr">
        <is>
          <t>Signature:</t>
        </is>
      </c>
      <c r="B20" s="16" t="n"/>
      <c r="C20" s="6" t="n"/>
      <c r="D20" s="6" t="n"/>
      <c r="E20" s="6" t="n"/>
    </row>
    <row r="21">
      <c r="A21" s="46" t="inlineStr">
        <is>
          <t>Comments:</t>
        </is>
      </c>
      <c r="B21" s="16" t="n"/>
      <c r="C21" s="6" t="n"/>
      <c r="D21" s="6" t="n"/>
      <c r="E21" s="6" t="n"/>
    </row>
    <row r="23">
      <c r="A23" s="48" t="inlineStr">
        <is>
          <t>FINAL DECISION</t>
        </is>
      </c>
      <c r="B23" s="6" t="n"/>
      <c r="C23" s="6" t="n"/>
      <c r="D23" s="6" t="n"/>
      <c r="E23" s="6" t="n"/>
    </row>
    <row r="24">
      <c r="A24" s="46" t="inlineStr">
        <is>
          <t>Decision:</t>
        </is>
      </c>
      <c r="B24" s="16" t="n"/>
      <c r="C24" s="6" t="n"/>
      <c r="D24" s="6" t="n"/>
      <c r="E24" s="6" t="n"/>
    </row>
    <row r="26">
      <c r="A26" s="45" t="inlineStr">
        <is>
          <t>NEXT REVIEW</t>
        </is>
      </c>
      <c r="B26" s="6" t="n"/>
      <c r="C26" s="6" t="n"/>
      <c r="D26" s="6" t="n"/>
      <c r="E26" s="6" t="n"/>
    </row>
    <row r="27">
      <c r="A27" s="46" t="inlineStr">
        <is>
          <t>Next Review Date:</t>
        </is>
      </c>
      <c r="B27" s="16" t="n"/>
      <c r="C27" s="6" t="n"/>
      <c r="D27" s="6" t="n"/>
      <c r="E27" s="6" t="n"/>
    </row>
    <row r="28">
      <c r="A28" s="46" t="inlineStr">
        <is>
          <t>Review Responsible:</t>
        </is>
      </c>
      <c r="B28" s="16" t="n"/>
      <c r="C28" s="6" t="n"/>
      <c r="D28" s="6" t="n"/>
      <c r="E28" s="6" t="n"/>
    </row>
    <row r="29">
      <c r="A29" s="46" t="inlineStr">
        <is>
          <t>Special Considerations:</t>
        </is>
      </c>
      <c r="B29" s="16"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ISMS-IMP-A.8.16.3 — Coverage Assessment</dc:title>
  <dc:description xmlns:dc="http://purl.org/dc/elements/1.1/">ISMS Implementation Workbook — ISMS-IMP-A.8.16.3</dc:description>
  <dc:subject xmlns:dc="http://purl.org/dc/elements/1.1/">ISO/IEC 27001:2022 — Control A.8.16: Monitoring Activities</dc:subject>
  <dcterms:created xmlns:dcterms="http://purl.org/dc/terms/" xmlns:xsi="http://www.w3.org/2001/XMLSchema-instance" xsi:type="dcterms:W3CDTF">2026-03-10T18:49:24Z</dcterms:created>
  <dcterms:modified xmlns:dcterms="http://purl.org/dc/terms/" xmlns:xsi="http://www.w3.org/2001/XMLSchema-instance" xsi:type="dcterms:W3CDTF">2026-03-10T18:49:24Z</dcterms:modified>
</cp:coreProperties>
</file>