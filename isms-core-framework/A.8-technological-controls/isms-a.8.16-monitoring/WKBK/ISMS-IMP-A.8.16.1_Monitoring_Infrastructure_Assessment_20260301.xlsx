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1. Monitoring Platform" sheetId="2" state="visible" r:id="rId2"/>
    <sheet xmlns:r="http://schemas.openxmlformats.org/officeDocument/2006/relationships" name="2. Log Source Coverage" sheetId="3" state="visible" r:id="rId3"/>
    <sheet xmlns:r="http://schemas.openxmlformats.org/officeDocument/2006/relationships" name="3. Data Collection Arch" sheetId="4" state="visible" r:id="rId4"/>
    <sheet xmlns:r="http://schemas.openxmlformats.org/officeDocument/2006/relationships" name="4. Integration Enrichment" sheetId="5" state="visible" r:id="rId5"/>
    <sheet xmlns:r="http://schemas.openxmlformats.org/officeDocument/2006/relationships" name="5. Performance Scale"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21">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1"/>
    </font>
    <font>
      <b val="1"/>
      <sz val="11"/>
    </font>
    <font>
      <b val="1"/>
    </font>
    <font>
      <name val="Calibri"/>
      <i val="1"/>
      <color rgb="00808080"/>
      <sz val="9"/>
    </font>
    <font>
      <b val="1"/>
      <color rgb="00FFFFFF"/>
      <sz val="12"/>
    </font>
    <font>
      <b val="1"/>
      <sz val="12"/>
    </font>
    <font>
      <b val="1"/>
      <color rgb="00003366"/>
      <sz val="12"/>
    </font>
    <font>
      <b val="1"/>
      <color rgb="00003366"/>
      <sz val="11"/>
    </font>
    <font>
      <name val="Calibri"/>
      <i val="1"/>
    </font>
    <font>
      <name val="Calibri"/>
      <b val="1"/>
      <color rgb="00FFFFFF"/>
      <sz val="10"/>
    </font>
    <font>
      <name val="Calibri"/>
      <sz val="10"/>
    </font>
    <font>
      <name val="Calibri"/>
      <i val="1"/>
      <color rgb="00003366"/>
      <sz val="10"/>
    </font>
    <font>
      <name val="Calibri"/>
      <b val="1"/>
      <color rgb="00000000"/>
      <sz val="10"/>
    </font>
    <font>
      <name val="Calibri"/>
      <color rgb="00000000"/>
      <sz val="10"/>
    </font>
    <font>
      <name val="Calibri"/>
      <i val="1"/>
      <color rgb="00003366"/>
      <sz val="9"/>
    </font>
    <font>
      <name val="Calibri"/>
      <i val="1"/>
      <sz val="10"/>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F2F2F2"/>
        <bgColor rgb="00F2F2F2"/>
      </patternFill>
    </fill>
    <fill>
      <patternFill patternType="solid">
        <fgColor rgb="004472C4"/>
        <bgColor rgb="004472C4"/>
      </patternFill>
    </fill>
    <fill>
      <patternFill patternType="solid">
        <fgColor rgb="00C00000"/>
        <bgColor rgb="00C00000"/>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8" borderId="0" applyAlignment="1" pivotButton="0" quotePrefix="0" xfId="0">
      <alignment horizontal="center" vertical="center" wrapText="1"/>
    </xf>
    <xf numFmtId="0" fontId="6" fillId="0" borderId="0" applyAlignment="1" pivotButton="0" quotePrefix="0" xfId="0">
      <alignment vertical="center" wrapText="1"/>
    </xf>
    <xf numFmtId="0" fontId="7" fillId="0" borderId="0" pivotButton="0" quotePrefix="0" xfId="0"/>
    <xf numFmtId="0" fontId="0" fillId="9" borderId="1" pivotButton="0" quotePrefix="0" xfId="0"/>
    <xf numFmtId="0" fontId="0" fillId="0" borderId="4" pivotButton="0" quotePrefix="0" xfId="0"/>
    <xf numFmtId="0" fontId="0" fillId="0" borderId="5" pivotButton="0" quotePrefix="0" xfId="0"/>
    <xf numFmtId="0" fontId="4" fillId="10" borderId="1" applyAlignment="1" pivotButton="0" quotePrefix="0" xfId="0">
      <alignment horizontal="center" vertical="center" wrapText="1"/>
    </xf>
    <xf numFmtId="0" fontId="8" fillId="11" borderId="0" applyAlignment="1" pivotButton="0" quotePrefix="0" xfId="0">
      <alignment horizontal="left" vertical="center" wrapText="1"/>
    </xf>
    <xf numFmtId="0" fontId="9" fillId="12" borderId="0" applyAlignment="1" pivotButton="0" quotePrefix="0" xfId="0">
      <alignment horizontal="center" vertical="center"/>
    </xf>
    <xf numFmtId="0" fontId="0" fillId="0" borderId="0" applyAlignment="1" pivotButton="0" quotePrefix="0" xfId="0">
      <alignment vertical="center" wrapText="1"/>
    </xf>
    <xf numFmtId="0" fontId="10" fillId="0" borderId="0" pivotButton="0" quotePrefix="0" xfId="0"/>
    <xf numFmtId="0" fontId="11" fillId="0" borderId="0" pivotButton="0" quotePrefix="0" xfId="0"/>
    <xf numFmtId="0" fontId="12" fillId="0" borderId="0" pivotButton="0" quotePrefix="0" xfId="0"/>
    <xf numFmtId="0" fontId="9" fillId="13" borderId="0" applyAlignment="1" pivotButton="0" quotePrefix="0" xfId="0">
      <alignment horizontal="center" vertical="center"/>
    </xf>
    <xf numFmtId="0" fontId="9" fillId="12" borderId="1" applyAlignment="1" pivotButton="0" quotePrefix="0" xfId="0">
      <alignment horizontal="center" vertical="center"/>
    </xf>
    <xf numFmtId="0" fontId="0" fillId="9" borderId="1" applyAlignment="1" pivotButton="0" quotePrefix="0" xfId="0">
      <alignment vertical="center" wrapText="1"/>
    </xf>
    <xf numFmtId="0" fontId="12" fillId="0" borderId="0" applyAlignment="1" pivotButton="0" quotePrefix="0" xfId="0">
      <alignment horizontal="center" vertical="center"/>
    </xf>
    <xf numFmtId="0" fontId="7" fillId="0" borderId="0" applyAlignment="1" pivotButton="0" quotePrefix="0" xfId="0">
      <alignment vertical="center" wrapText="1"/>
    </xf>
    <xf numFmtId="0" fontId="7" fillId="0" borderId="1" applyAlignment="1" pivotButton="0" quotePrefix="0" xfId="0">
      <alignment vertical="center" wrapText="1"/>
    </xf>
    <xf numFmtId="0" fontId="1" fillId="8" borderId="1" applyAlignment="1" pivotButton="0" quotePrefix="0" xfId="0">
      <alignment horizontal="center" vertical="center" wrapText="1"/>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11" borderId="1" pivotButton="0" quotePrefix="0" xfId="0"/>
    <xf numFmtId="0" fontId="16" fillId="0" borderId="0" applyAlignment="1" pivotButton="0" quotePrefix="0" xfId="0">
      <alignment horizontal="left"/>
    </xf>
    <xf numFmtId="0" fontId="5" fillId="8" borderId="1" applyAlignment="1" pivotButton="0" quotePrefix="0" xfId="0">
      <alignment horizontal="left" vertical="center"/>
    </xf>
    <xf numFmtId="0" fontId="17" fillId="10" borderId="1" applyAlignment="1" pivotButton="0" quotePrefix="0" xfId="0">
      <alignment horizontal="center" vertical="center"/>
    </xf>
    <xf numFmtId="0" fontId="18" fillId="0" borderId="1" applyAlignment="1" pivotButton="0" quotePrefix="0" xfId="0">
      <alignment horizontal="left" vertical="center"/>
    </xf>
    <xf numFmtId="0" fontId="18" fillId="0" borderId="1" applyAlignment="1" pivotButton="0" quotePrefix="0" xfId="0">
      <alignment horizontal="center"/>
    </xf>
    <xf numFmtId="164" fontId="18" fillId="0" borderId="1" applyAlignment="1" pivotButton="0" quotePrefix="0" xfId="0">
      <alignment horizontal="center"/>
    </xf>
    <xf numFmtId="0" fontId="4" fillId="10" borderId="1" pivotButton="0" quotePrefix="0" xfId="0"/>
    <xf numFmtId="0" fontId="4" fillId="10" borderId="1" applyAlignment="1" pivotButton="0" quotePrefix="0" xfId="0">
      <alignment horizontal="center"/>
    </xf>
    <xf numFmtId="164" fontId="4" fillId="10" borderId="1" applyAlignment="1" pivotButton="0" quotePrefix="0" xfId="0">
      <alignment horizontal="center"/>
    </xf>
    <xf numFmtId="0" fontId="17" fillId="10" borderId="1" applyAlignment="1" pivotButton="0" quotePrefix="0" xfId="0">
      <alignment horizontal="left" vertical="center"/>
    </xf>
    <xf numFmtId="0" fontId="18" fillId="0" borderId="1" applyAlignment="1" pivotButton="0" quotePrefix="0" xfId="0">
      <alignment horizontal="center" vertical="center"/>
    </xf>
    <xf numFmtId="0" fontId="5" fillId="13" borderId="1" applyAlignment="1" pivotButton="0" quotePrefix="0" xfId="0">
      <alignment horizontal="left" vertical="center"/>
    </xf>
    <xf numFmtId="0" fontId="0" fillId="9" borderId="1" applyAlignment="1" pivotButton="0" quotePrefix="0" xfId="0">
      <alignment horizontal="left" vertical="center"/>
    </xf>
    <xf numFmtId="0" fontId="18" fillId="9" borderId="1" applyAlignment="1" pivotButton="0" quotePrefix="0" xfId="0">
      <alignment horizontal="center" vertical="center"/>
    </xf>
    <xf numFmtId="0" fontId="19" fillId="0" borderId="0" applyAlignment="1" pivotButton="0" quotePrefix="0" xfId="0">
      <alignment horizontal="left" vertical="center"/>
    </xf>
    <xf numFmtId="0" fontId="20" fillId="0" borderId="1" applyAlignment="1" pivotButton="0" quotePrefix="0" xfId="0">
      <alignment horizontal="center" vertical="center"/>
    </xf>
    <xf numFmtId="0" fontId="7" fillId="0" borderId="1" pivotButton="0" quotePrefix="0" xfId="0"/>
    <xf numFmtId="0" fontId="0" fillId="9" borderId="1" applyAlignment="1" pivotButton="0" quotePrefix="0" xfId="0">
      <alignment vertical="top" wrapText="1"/>
    </xf>
    <xf numFmtId="0" fontId="10" fillId="0" borderId="1" applyAlignment="1" pivotButton="0" quotePrefix="0" xfId="0">
      <alignment horizontal="center" vertical="center"/>
    </xf>
    <xf numFmtId="0" fontId="9"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ISMS-IMP-A.8.16.1  -  Monitoring Infrastructure Assessment
ISO/IEC 27001:2022 - Control A.8.16: Monitoring Activities</t>
        </is>
      </c>
    </row>
    <row r="3">
      <c r="A3" s="2" t="inlineStr">
        <is>
          <t>Document Information</t>
        </is>
      </c>
    </row>
    <row r="4">
      <c r="A4" s="3" t="inlineStr">
        <is>
          <t>Document ID</t>
        </is>
      </c>
      <c r="B4" t="inlineStr">
        <is>
          <t>ISMS-IMP-A.8.16.1</t>
        </is>
      </c>
    </row>
    <row r="5">
      <c r="A5" s="3" t="inlineStr">
        <is>
          <t>Workbook Title</t>
        </is>
      </c>
      <c r="B5" t="inlineStr">
        <is>
          <t>Monitoring Infrastructure Assessment</t>
        </is>
      </c>
    </row>
    <row r="6">
      <c r="A6" s="3" t="inlineStr">
        <is>
          <t>Control Reference</t>
        </is>
      </c>
      <c r="B6" t="inlineStr">
        <is>
          <t>ISO/IEC 27001:2022 - Control A.8.16: Monitoring Activities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each worksheet tab in sequence (1–5).</t>
        </is>
      </c>
    </row>
    <row r="14">
      <c r="A14" t="inlineStr">
        <is>
          <t>2. Use dropdown menus where provided — do not type directly.</t>
        </is>
      </c>
    </row>
    <row r="15">
      <c r="A15" t="inlineStr">
        <is>
          <t>3. Fill all yellow-highlighted cells with your organisation’s information.</t>
        </is>
      </c>
    </row>
    <row r="16">
      <c r="A16" t="inlineStr">
        <is>
          <t>4. Refer to reference tables on each sheet for guidance.</t>
        </is>
      </c>
    </row>
    <row r="17">
      <c r="A17" t="inlineStr">
        <is>
          <t>5. Complete compliance checklists on each assessment sheet.</t>
        </is>
      </c>
    </row>
    <row r="18">
      <c r="A18" t="inlineStr">
        <is>
          <t>6. Document exceptions in the Exception/Deviation blocks.</t>
        </is>
      </c>
    </row>
    <row r="19">
      <c r="A19" t="inlineStr">
        <is>
          <t>7. Gather evidence and list in Evidence Register.</t>
        </is>
      </c>
    </row>
    <row r="20">
      <c r="A20" t="inlineStr">
        <is>
          <t>8. Review Summary Dashboard for compliance gaps.</t>
        </is>
      </c>
    </row>
    <row r="21">
      <c r="A21" t="inlineStr">
        <is>
          <t>9. Obtain approvals via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76"/>
  <sheetViews>
    <sheetView showGridLines="0" workbookViewId="0">
      <selection activeCell="A1" sqref="A1"/>
    </sheetView>
  </sheetViews>
  <sheetFormatPr baseColWidth="8" defaultRowHeight="15"/>
  <cols>
    <col width="28" customWidth="1" min="1" max="1"/>
    <col width="60" customWidth="1" min="2" max="2"/>
    <col width="20" customWidth="1" min="3" max="3"/>
    <col width="18" customWidth="1" min="4" max="4"/>
    <col width="24" customWidth="1" min="5" max="5"/>
    <col width="20" customWidth="1" min="6" max="6"/>
    <col width="20" customWidth="1" min="7" max="7"/>
    <col width="18" customWidth="1" min="8" max="8"/>
    <col width="18" customWidth="1" min="9" max="9"/>
    <col width="18" customWidth="1" min="10" max="10"/>
    <col width="22" customWidth="1" min="11" max="11"/>
    <col width="18" customWidth="1" min="12" max="12"/>
    <col width="20" customWidth="1" min="13" max="13"/>
    <col width="18" customWidth="1" min="14" max="14"/>
    <col width="18" customWidth="1" min="15" max="15"/>
    <col width="18" customWidth="1" min="16" max="16"/>
    <col width="20" customWidth="1" min="17" max="17"/>
    <col width="16" customWidth="1" min="18" max="18"/>
    <col width="18" customWidth="1" min="19" max="19"/>
    <col width="30" customWidth="1" min="20" max="20"/>
    <col width="18" customWidth="1" min="21" max="21"/>
  </cols>
  <sheetData>
    <row r="1" ht="35" customHeight="1">
      <c r="A1" s="11" t="inlineStr">
        <is>
          <t>1. MONITORING PLATFORM CAPABILITIES ASSESSMENT</t>
        </is>
      </c>
    </row>
    <row r="2">
      <c r="A2" s="12" t="inlineStr">
        <is>
          <t>Policy Reference: ISMS-POL-A.8.16-S2.1.4 - Assess SIEM/monitoring platform capabilities</t>
        </is>
      </c>
    </row>
    <row r="3">
      <c r="A3" s="13" t="inlineStr">
        <is>
          <t>Does your organisation have monitoring platforms (SIEM, IDS/IPS, EDR, NDR) with adequate capabilities?</t>
        </is>
      </c>
    </row>
    <row r="4">
      <c r="A4" s="14" t="inlineStr">
        <is>
          <t>Overall Status:</t>
        </is>
      </c>
      <c r="B4" s="15" t="n"/>
      <c r="C4" s="16" t="n"/>
      <c r="D4" s="16" t="n"/>
      <c r="E4" s="17" t="n"/>
    </row>
    <row r="6">
      <c r="A6" s="18" t="inlineStr">
        <is>
          <t>Platform/Tool Name</t>
        </is>
      </c>
      <c r="B6" s="18" t="inlineStr">
        <is>
          <t>Platform Type</t>
        </is>
      </c>
      <c r="C6" s="18" t="inlineStr">
        <is>
          <t>Vendor/Solution</t>
        </is>
      </c>
      <c r="D6" s="18" t="inlineStr">
        <is>
          <t>Deployment Model</t>
        </is>
      </c>
      <c r="E6" s="18" t="inlineStr">
        <is>
          <t>Log Collection Methods</t>
        </is>
      </c>
      <c r="F6" s="18" t="inlineStr">
        <is>
          <t>Parsing Capabilities</t>
        </is>
      </c>
      <c r="G6" s="18" t="inlineStr">
        <is>
          <t>Storage &amp; Indexing</t>
        </is>
      </c>
      <c r="H6" s="18" t="inlineStr">
        <is>
          <t>Search Performance</t>
        </is>
      </c>
      <c r="I6" s="18" t="inlineStr">
        <is>
          <t>Real-Time Alerting</t>
        </is>
      </c>
      <c r="J6" s="18" t="inlineStr">
        <is>
          <t>Correlation Engine</t>
        </is>
      </c>
      <c r="K6" s="18" t="inlineStr">
        <is>
          <t>Threat Intel Integration</t>
        </is>
      </c>
      <c r="L6" s="18" t="inlineStr">
        <is>
          <t>SOAR Integration</t>
        </is>
      </c>
      <c r="M6" s="18" t="inlineStr">
        <is>
          <t>Visualization/Dashboards</t>
        </is>
      </c>
      <c r="N6" s="18" t="inlineStr">
        <is>
          <t>High Availability</t>
        </is>
      </c>
      <c r="O6" s="18" t="inlineStr">
        <is>
          <t>Disaster Recovery</t>
        </is>
      </c>
      <c r="P6" s="18" t="inlineStr">
        <is>
          <t>Current EPS Capacity</t>
        </is>
      </c>
      <c r="Q6" s="18" t="inlineStr">
        <is>
          <t>Implementation Status</t>
        </is>
      </c>
      <c r="R6" s="18" t="inlineStr">
        <is>
          <t>Last Upgrade Date</t>
        </is>
      </c>
      <c r="S6" s="18" t="inlineStr">
        <is>
          <t>Compliance Status</t>
        </is>
      </c>
      <c r="T6" s="18" t="inlineStr">
        <is>
          <t>Gaps/Issues</t>
        </is>
      </c>
      <c r="U6" s="18" t="inlineStr">
        <is>
          <t>Remediation Priority</t>
        </is>
      </c>
    </row>
    <row r="7">
      <c r="A7" s="19" t="inlineStr">
        <is>
          <t>Splunk Enterprise</t>
        </is>
      </c>
      <c r="B7" s="19" t="inlineStr">
        <is>
          <t>SIEM</t>
        </is>
      </c>
      <c r="C7" s="19" t="inlineStr">
        <is>
          <t>Splunk Inc.</t>
        </is>
      </c>
      <c r="D7" s="19" t="inlineStr">
        <is>
          <t>Cloud</t>
        </is>
      </c>
      <c r="E7" s="19" t="inlineStr">
        <is>
          <t>Agents, Syslog, API</t>
        </is>
      </c>
      <c r="F7" s="19" t="inlineStr">
        <is>
          <t>Excellent</t>
        </is>
      </c>
      <c r="G7" s="19" t="inlineStr">
        <is>
          <t>Hot/Warm/Cold Tiers</t>
        </is>
      </c>
      <c r="H7" s="19" t="inlineStr">
        <is>
          <t>&lt;10 sec</t>
        </is>
      </c>
      <c r="I7" s="19" t="inlineStr">
        <is>
          <t>Yes</t>
        </is>
      </c>
      <c r="J7" s="19" t="inlineStr">
        <is>
          <t>Advanced</t>
        </is>
      </c>
      <c r="K7" s="19" t="inlineStr">
        <is>
          <t>Yes</t>
        </is>
      </c>
      <c r="L7" s="19" t="inlineStr">
        <is>
          <t>Yes</t>
        </is>
      </c>
      <c r="M7" s="19" t="inlineStr">
        <is>
          <t>Excellent</t>
        </is>
      </c>
      <c r="N7" s="19" t="inlineStr">
        <is>
          <t>Yes</t>
        </is>
      </c>
      <c r="O7" s="19" t="inlineStr">
        <is>
          <t>Documented</t>
        </is>
      </c>
      <c r="P7" s="19" t="inlineStr">
        <is>
          <t>50'000 EPS</t>
        </is>
      </c>
      <c r="Q7" s="19" t="inlineStr">
        <is>
          <t>✅ Deployed</t>
        </is>
      </c>
      <c r="R7" s="19" t="inlineStr">
        <is>
          <t>15.03.2024</t>
        </is>
      </c>
      <c r="S7" s="19" t="inlineStr">
        <is>
          <t>✅ Compliant</t>
        </is>
      </c>
      <c r="T7" s="19" t="inlineStr">
        <is>
          <t>None</t>
        </is>
      </c>
      <c r="U7" s="19" t="inlineStr">
        <is>
          <t>None</t>
        </is>
      </c>
    </row>
    <row r="8">
      <c r="A8" s="15" t="n"/>
      <c r="B8" s="15" t="n"/>
      <c r="C8" s="15" t="n"/>
      <c r="D8" s="15" t="n"/>
      <c r="E8" s="15" t="n"/>
      <c r="F8" s="15" t="n"/>
      <c r="G8" s="15" t="n"/>
      <c r="H8" s="15" t="n"/>
      <c r="I8" s="15" t="n"/>
      <c r="J8" s="15" t="n"/>
      <c r="K8" s="15" t="n"/>
      <c r="L8" s="15" t="n"/>
      <c r="M8" s="15" t="n"/>
      <c r="N8" s="15" t="n"/>
      <c r="O8" s="15" t="n"/>
      <c r="P8" s="15" t="n"/>
      <c r="Q8" s="15" t="n"/>
      <c r="R8" s="15" t="n"/>
      <c r="S8" s="15" t="n"/>
      <c r="T8" s="15" t="n"/>
      <c r="U8" s="15" t="n"/>
    </row>
    <row r="9">
      <c r="A9" s="15" t="n"/>
      <c r="B9" s="15" t="n"/>
      <c r="C9" s="15" t="n"/>
      <c r="D9" s="15" t="n"/>
      <c r="E9" s="15" t="n"/>
      <c r="F9" s="15" t="n"/>
      <c r="G9" s="15" t="n"/>
      <c r="H9" s="15" t="n"/>
      <c r="I9" s="15" t="n"/>
      <c r="J9" s="15" t="n"/>
      <c r="K9" s="15" t="n"/>
      <c r="L9" s="15" t="n"/>
      <c r="M9" s="15" t="n"/>
      <c r="N9" s="15" t="n"/>
      <c r="O9" s="15" t="n"/>
      <c r="P9" s="15" t="n"/>
      <c r="Q9" s="15" t="n"/>
      <c r="R9" s="15" t="n"/>
      <c r="S9" s="15" t="n"/>
      <c r="T9" s="15" t="n"/>
      <c r="U9" s="15" t="n"/>
    </row>
    <row r="10">
      <c r="A10" s="15" t="n"/>
      <c r="B10" s="15" t="n"/>
      <c r="C10" s="15" t="n"/>
      <c r="D10" s="15" t="n"/>
      <c r="E10" s="15" t="n"/>
      <c r="F10" s="15" t="n"/>
      <c r="G10" s="15" t="n"/>
      <c r="H10" s="15" t="n"/>
      <c r="I10" s="15" t="n"/>
      <c r="J10" s="15" t="n"/>
      <c r="K10" s="15" t="n"/>
      <c r="L10" s="15" t="n"/>
      <c r="M10" s="15" t="n"/>
      <c r="N10" s="15" t="n"/>
      <c r="O10" s="15" t="n"/>
      <c r="P10" s="15" t="n"/>
      <c r="Q10" s="15" t="n"/>
      <c r="R10" s="15" t="n"/>
      <c r="S10" s="15" t="n"/>
      <c r="T10" s="15" t="n"/>
      <c r="U10" s="15" t="n"/>
    </row>
    <row r="11">
      <c r="A11" s="15" t="n"/>
      <c r="B11" s="15" t="n"/>
      <c r="C11" s="15" t="n"/>
      <c r="D11" s="15" t="n"/>
      <c r="E11" s="15" t="n"/>
      <c r="F11" s="15" t="n"/>
      <c r="G11" s="15" t="n"/>
      <c r="H11" s="15" t="n"/>
      <c r="I11" s="15" t="n"/>
      <c r="J11" s="15" t="n"/>
      <c r="K11" s="15" t="n"/>
      <c r="L11" s="15" t="n"/>
      <c r="M11" s="15" t="n"/>
      <c r="N11" s="15" t="n"/>
      <c r="O11" s="15" t="n"/>
      <c r="P11" s="15" t="n"/>
      <c r="Q11" s="15" t="n"/>
      <c r="R11" s="15" t="n"/>
      <c r="S11" s="15" t="n"/>
      <c r="T11" s="15" t="n"/>
      <c r="U11" s="15" t="n"/>
    </row>
    <row r="12">
      <c r="A12" s="15" t="n"/>
      <c r="B12" s="15" t="n"/>
      <c r="C12" s="15" t="n"/>
      <c r="D12" s="15" t="n"/>
      <c r="E12" s="15" t="n"/>
      <c r="F12" s="15" t="n"/>
      <c r="G12" s="15" t="n"/>
      <c r="H12" s="15" t="n"/>
      <c r="I12" s="15" t="n"/>
      <c r="J12" s="15" t="n"/>
      <c r="K12" s="15" t="n"/>
      <c r="L12" s="15" t="n"/>
      <c r="M12" s="15" t="n"/>
      <c r="N12" s="15" t="n"/>
      <c r="O12" s="15" t="n"/>
      <c r="P12" s="15" t="n"/>
      <c r="Q12" s="15" t="n"/>
      <c r="R12" s="15" t="n"/>
      <c r="S12" s="15" t="n"/>
      <c r="T12" s="15" t="n"/>
      <c r="U12" s="15" t="n"/>
    </row>
    <row r="13">
      <c r="A13" s="15" t="n"/>
      <c r="B13" s="15" t="n"/>
      <c r="C13" s="15" t="n"/>
      <c r="D13" s="15" t="n"/>
      <c r="E13" s="15" t="n"/>
      <c r="F13" s="15" t="n"/>
      <c r="G13" s="15" t="n"/>
      <c r="H13" s="15" t="n"/>
      <c r="I13" s="15" t="n"/>
      <c r="J13" s="15" t="n"/>
      <c r="K13" s="15" t="n"/>
      <c r="L13" s="15" t="n"/>
      <c r="M13" s="15" t="n"/>
      <c r="N13" s="15" t="n"/>
      <c r="O13" s="15" t="n"/>
      <c r="P13" s="15" t="n"/>
      <c r="Q13" s="15" t="n"/>
      <c r="R13" s="15" t="n"/>
      <c r="S13" s="15" t="n"/>
      <c r="T13" s="15" t="n"/>
      <c r="U13" s="15" t="n"/>
    </row>
    <row r="14">
      <c r="A14" s="15" t="n"/>
      <c r="B14" s="15" t="n"/>
      <c r="C14" s="15" t="n"/>
      <c r="D14" s="15" t="n"/>
      <c r="E14" s="15" t="n"/>
      <c r="F14" s="15" t="n"/>
      <c r="G14" s="15" t="n"/>
      <c r="H14" s="15" t="n"/>
      <c r="I14" s="15" t="n"/>
      <c r="J14" s="15" t="n"/>
      <c r="K14" s="15" t="n"/>
      <c r="L14" s="15" t="n"/>
      <c r="M14" s="15" t="n"/>
      <c r="N14" s="15" t="n"/>
      <c r="O14" s="15" t="n"/>
      <c r="P14" s="15" t="n"/>
      <c r="Q14" s="15" t="n"/>
      <c r="R14" s="15" t="n"/>
      <c r="S14" s="15" t="n"/>
      <c r="T14" s="15" t="n"/>
      <c r="U14" s="15" t="n"/>
    </row>
    <row r="15">
      <c r="A15" s="15" t="n"/>
      <c r="B15" s="15" t="n"/>
      <c r="C15" s="15" t="n"/>
      <c r="D15" s="15" t="n"/>
      <c r="E15" s="15" t="n"/>
      <c r="F15" s="15" t="n"/>
      <c r="G15" s="15" t="n"/>
      <c r="H15" s="15" t="n"/>
      <c r="I15" s="15" t="n"/>
      <c r="J15" s="15" t="n"/>
      <c r="K15" s="15" t="n"/>
      <c r="L15" s="15" t="n"/>
      <c r="M15" s="15" t="n"/>
      <c r="N15" s="15" t="n"/>
      <c r="O15" s="15" t="n"/>
      <c r="P15" s="15" t="n"/>
      <c r="Q15" s="15" t="n"/>
      <c r="R15" s="15" t="n"/>
      <c r="S15" s="15" t="n"/>
      <c r="T15" s="15" t="n"/>
      <c r="U15" s="15" t="n"/>
    </row>
    <row r="16">
      <c r="A16" s="15" t="n"/>
      <c r="B16" s="15" t="n"/>
      <c r="C16" s="15" t="n"/>
      <c r="D16" s="15" t="n"/>
      <c r="E16" s="15" t="n"/>
      <c r="F16" s="15" t="n"/>
      <c r="G16" s="15" t="n"/>
      <c r="H16" s="15" t="n"/>
      <c r="I16" s="15" t="n"/>
      <c r="J16" s="15" t="n"/>
      <c r="K16" s="15" t="n"/>
      <c r="L16" s="15" t="n"/>
      <c r="M16" s="15" t="n"/>
      <c r="N16" s="15" t="n"/>
      <c r="O16" s="15" t="n"/>
      <c r="P16" s="15" t="n"/>
      <c r="Q16" s="15" t="n"/>
      <c r="R16" s="15" t="n"/>
      <c r="S16" s="15" t="n"/>
      <c r="T16" s="15" t="n"/>
      <c r="U16" s="15" t="n"/>
    </row>
    <row r="17">
      <c r="A17" s="15" t="n"/>
      <c r="B17" s="15" t="n"/>
      <c r="C17" s="15" t="n"/>
      <c r="D17" s="15" t="n"/>
      <c r="E17" s="15" t="n"/>
      <c r="F17" s="15" t="n"/>
      <c r="G17" s="15" t="n"/>
      <c r="H17" s="15" t="n"/>
      <c r="I17" s="15" t="n"/>
      <c r="J17" s="15" t="n"/>
      <c r="K17" s="15" t="n"/>
      <c r="L17" s="15" t="n"/>
      <c r="M17" s="15" t="n"/>
      <c r="N17" s="15" t="n"/>
      <c r="O17" s="15" t="n"/>
      <c r="P17" s="15" t="n"/>
      <c r="Q17" s="15" t="n"/>
      <c r="R17" s="15" t="n"/>
      <c r="S17" s="15" t="n"/>
      <c r="T17" s="15" t="n"/>
      <c r="U17" s="15" t="n"/>
    </row>
    <row r="18">
      <c r="A18" s="15" t="n"/>
      <c r="B18" s="15" t="n"/>
      <c r="C18" s="15" t="n"/>
      <c r="D18" s="15" t="n"/>
      <c r="E18" s="15" t="n"/>
      <c r="F18" s="15" t="n"/>
      <c r="G18" s="15" t="n"/>
      <c r="H18" s="15" t="n"/>
      <c r="I18" s="15" t="n"/>
      <c r="J18" s="15" t="n"/>
      <c r="K18" s="15" t="n"/>
      <c r="L18" s="15" t="n"/>
      <c r="M18" s="15" t="n"/>
      <c r="N18" s="15" t="n"/>
      <c r="O18" s="15" t="n"/>
      <c r="P18" s="15" t="n"/>
      <c r="Q18" s="15" t="n"/>
      <c r="R18" s="15" t="n"/>
      <c r="S18" s="15" t="n"/>
      <c r="T18" s="15" t="n"/>
      <c r="U18" s="15" t="n"/>
    </row>
    <row r="19">
      <c r="A19" s="15" t="n"/>
      <c r="B19" s="15" t="n"/>
      <c r="C19" s="15" t="n"/>
      <c r="D19" s="15" t="n"/>
      <c r="E19" s="15" t="n"/>
      <c r="F19" s="15" t="n"/>
      <c r="G19" s="15" t="n"/>
      <c r="H19" s="15" t="n"/>
      <c r="I19" s="15" t="n"/>
      <c r="J19" s="15" t="n"/>
      <c r="K19" s="15" t="n"/>
      <c r="L19" s="15" t="n"/>
      <c r="M19" s="15" t="n"/>
      <c r="N19" s="15" t="n"/>
      <c r="O19" s="15" t="n"/>
      <c r="P19" s="15" t="n"/>
      <c r="Q19" s="15" t="n"/>
      <c r="R19" s="15" t="n"/>
      <c r="S19" s="15" t="n"/>
      <c r="T19" s="15" t="n"/>
      <c r="U19" s="15" t="n"/>
    </row>
    <row r="20">
      <c r="A20" s="15" t="n"/>
      <c r="B20" s="15" t="n"/>
      <c r="C20" s="15" t="n"/>
      <c r="D20" s="15" t="n"/>
      <c r="E20" s="15" t="n"/>
      <c r="F20" s="15" t="n"/>
      <c r="G20" s="15" t="n"/>
      <c r="H20" s="15" t="n"/>
      <c r="I20" s="15" t="n"/>
      <c r="J20" s="15" t="n"/>
      <c r="K20" s="15" t="n"/>
      <c r="L20" s="15" t="n"/>
      <c r="M20" s="15" t="n"/>
      <c r="N20" s="15" t="n"/>
      <c r="O20" s="15" t="n"/>
      <c r="P20" s="15" t="n"/>
      <c r="Q20" s="15" t="n"/>
      <c r="R20" s="15" t="n"/>
      <c r="S20" s="15" t="n"/>
      <c r="T20" s="15" t="n"/>
      <c r="U20" s="15" t="n"/>
    </row>
    <row r="22">
      <c r="A22" s="20" t="inlineStr">
        <is>
          <t>MONITORING PLATFORM CAPABILITIES CHECKLIST</t>
        </is>
      </c>
    </row>
    <row r="23">
      <c r="A23" s="18" t="inlineStr">
        <is>
          <t>#</t>
        </is>
      </c>
      <c r="B23" s="18" t="inlineStr">
        <is>
          <t>Requirement</t>
        </is>
      </c>
      <c r="C23" s="16" t="n"/>
      <c r="D23" s="16" t="n"/>
      <c r="E23" s="16" t="n"/>
      <c r="F23" s="16" t="n"/>
      <c r="G23" s="16" t="n"/>
      <c r="H23" s="16" t="n"/>
      <c r="I23" s="16" t="n"/>
      <c r="J23" s="16" t="n"/>
      <c r="K23" s="16" t="n"/>
      <c r="L23" s="16" t="n"/>
      <c r="M23" s="16" t="n"/>
      <c r="N23" s="16" t="n"/>
      <c r="O23" s="16" t="n"/>
      <c r="P23" s="16" t="n"/>
      <c r="Q23" s="16" t="n"/>
      <c r="R23" s="16" t="n"/>
      <c r="S23" s="16" t="n"/>
      <c r="T23" s="17" t="n"/>
    </row>
    <row r="24">
      <c r="A24" t="n">
        <v>1</v>
      </c>
      <c r="B24" s="21" t="inlineStr">
        <is>
          <t>Primary monitoring platform (SIEM) deployed</t>
        </is>
      </c>
      <c r="U24" s="15" t="n"/>
    </row>
    <row r="25">
      <c r="A25" t="n">
        <v>2</v>
      </c>
      <c r="B25" s="21" t="inlineStr">
        <is>
          <t>Log collection supports multiple methods (agents, syslog, API)</t>
        </is>
      </c>
      <c r="U25" s="15" t="n"/>
    </row>
    <row r="26">
      <c r="A26" t="n">
        <v>3</v>
      </c>
      <c r="B26" s="21" t="inlineStr">
        <is>
          <t>Parsing capabilities for common log formats (Windows, Linux, network devices)</t>
        </is>
      </c>
      <c r="U26" s="15" t="n"/>
    </row>
    <row r="27">
      <c r="A27" t="n">
        <v>4</v>
      </c>
      <c r="B27" s="21" t="inlineStr">
        <is>
          <t>Storage includes hot/warm/cold tiers for cost optimization</t>
        </is>
      </c>
      <c r="U27" s="15" t="n"/>
    </row>
    <row r="28">
      <c r="A28" t="n">
        <v>5</v>
      </c>
      <c r="B28" s="21" t="inlineStr">
        <is>
          <t>Search performance meets requirements (&lt;10 sec for typical queries)</t>
        </is>
      </c>
      <c r="U28" s="15" t="n"/>
    </row>
    <row r="29">
      <c r="A29" t="n">
        <v>6</v>
      </c>
      <c r="B29" s="21" t="inlineStr">
        <is>
          <t>Real-time alerting capability enabled</t>
        </is>
      </c>
      <c r="U29" s="15" t="n"/>
    </row>
    <row r="30">
      <c r="A30" t="n">
        <v>7</v>
      </c>
      <c r="B30" s="21" t="inlineStr">
        <is>
          <t>Correlation engine supports multi-event detection</t>
        </is>
      </c>
      <c r="U30" s="15" t="n"/>
    </row>
    <row r="31">
      <c r="A31" t="n">
        <v>8</v>
      </c>
      <c r="B31" s="21" t="inlineStr">
        <is>
          <t>Threat intelligence integration implemented</t>
        </is>
      </c>
      <c r="U31" s="15" t="n"/>
    </row>
    <row r="32">
      <c r="A32" t="n">
        <v>9</v>
      </c>
      <c r="B32" s="21" t="inlineStr">
        <is>
          <t>SOAR or ticketing integration functional</t>
        </is>
      </c>
      <c r="U32" s="15" t="n"/>
    </row>
    <row r="33">
      <c r="A33" t="n">
        <v>10</v>
      </c>
      <c r="B33" s="21" t="inlineStr">
        <is>
          <t>Dashboards configured for SOC operations</t>
        </is>
      </c>
      <c r="U33" s="15" t="n"/>
    </row>
    <row r="34">
      <c r="A34" t="n">
        <v>11</v>
      </c>
      <c r="B34" s="21" t="inlineStr">
        <is>
          <t>High availability architecture implemented</t>
        </is>
      </c>
      <c r="U34" s="15" t="n"/>
    </row>
    <row r="35">
      <c r="A35" t="n">
        <v>12</v>
      </c>
      <c r="B35" s="21" t="inlineStr">
        <is>
          <t>Disaster recovery plan documented and tested</t>
        </is>
      </c>
      <c r="U35" s="15" t="n"/>
    </row>
    <row r="36">
      <c r="A36" t="n">
        <v>13</v>
      </c>
      <c r="B36" s="21" t="inlineStr">
        <is>
          <t>Platform capacity adequate for current log volume</t>
        </is>
      </c>
      <c r="U36" s="15" t="n"/>
    </row>
    <row r="37">
      <c r="A37" t="n">
        <v>14</v>
      </c>
      <c r="B37" s="21" t="inlineStr">
        <is>
          <t>Platform upgraded within last 12 months</t>
        </is>
      </c>
      <c r="U37" s="15" t="n"/>
    </row>
    <row r="38">
      <c r="A38" t="n">
        <v>15</v>
      </c>
      <c r="B38" s="21" t="inlineStr">
        <is>
          <t>Platform security hardened (RBAC, MFA, encryption)</t>
        </is>
      </c>
      <c r="U38" s="15" t="n"/>
    </row>
    <row r="39">
      <c r="A39" s="22" t="inlineStr">
        <is>
          <t>SCORE:</t>
        </is>
      </c>
      <c r="B39" s="23">
        <f>COUNTIF(U:U,"✅ Compliant")&amp;" / 15"</f>
        <v/>
      </c>
    </row>
    <row r="40">
      <c r="A40" s="20" t="inlineStr">
        <is>
          <t>REFERENCE TABLES</t>
        </is>
      </c>
    </row>
    <row r="42">
      <c r="A42" s="24" t="inlineStr">
        <is>
          <t>Table 1: Monitoring Platform Types</t>
        </is>
      </c>
    </row>
    <row r="43">
      <c r="A43" s="18" t="inlineStr">
        <is>
          <t>Platform Type</t>
        </is>
      </c>
      <c r="B43" s="16" t="n"/>
      <c r="C43" s="16" t="n"/>
      <c r="D43" s="16" t="n"/>
      <c r="E43" s="16" t="n"/>
      <c r="F43" s="16" t="n"/>
      <c r="G43" s="17" t="n"/>
      <c r="H43" s="18" t="inlineStr">
        <is>
          <t>Primary Purpose</t>
        </is>
      </c>
      <c r="I43" s="16" t="n"/>
      <c r="J43" s="16" t="n"/>
      <c r="K43" s="16" t="n"/>
      <c r="L43" s="16" t="n"/>
      <c r="M43" s="16" t="n"/>
      <c r="N43" s="17" t="n"/>
      <c r="O43" s="18" t="inlineStr">
        <is>
          <t>Example Capabilities</t>
        </is>
      </c>
      <c r="P43" s="16" t="n"/>
      <c r="Q43" s="16" t="n"/>
      <c r="R43" s="16" t="n"/>
      <c r="S43" s="16" t="n"/>
      <c r="T43" s="16" t="n"/>
      <c r="U43" s="17" t="n"/>
    </row>
    <row r="44">
      <c r="A44" s="14" t="inlineStr">
        <is>
          <t>SIEM</t>
        </is>
      </c>
      <c r="H44" s="21" t="inlineStr">
        <is>
          <t>Centralised log aggregation &amp; correlation</t>
        </is>
      </c>
      <c r="O44" s="21" t="inlineStr">
        <is>
          <t>Search, alert, correlate, dashboards</t>
        </is>
      </c>
    </row>
    <row r="45">
      <c r="A45" s="14" t="inlineStr">
        <is>
          <t>IDS/IPS</t>
        </is>
      </c>
      <c r="H45" s="21" t="inlineStr">
        <is>
          <t>Network intrusion detection</t>
        </is>
      </c>
      <c r="O45" s="21" t="inlineStr">
        <is>
          <t>Signature matching, anomaly detection</t>
        </is>
      </c>
    </row>
    <row r="46">
      <c r="A46" s="14" t="inlineStr">
        <is>
          <t>EDR</t>
        </is>
      </c>
      <c r="H46" s="21" t="inlineStr">
        <is>
          <t>Endpoint threat detection</t>
        </is>
      </c>
      <c r="O46" s="21" t="inlineStr">
        <is>
          <t>Process monitoring, behavioural analysis</t>
        </is>
      </c>
    </row>
    <row r="47">
      <c r="A47" s="14" t="inlineStr">
        <is>
          <t>NDR</t>
        </is>
      </c>
      <c r="H47" s="21" t="inlineStr">
        <is>
          <t>Network traffic analysis</t>
        </is>
      </c>
      <c r="O47" s="21" t="inlineStr">
        <is>
          <t>Flow analysis, encrypted traffic analysis</t>
        </is>
      </c>
    </row>
    <row r="48">
      <c r="A48" s="14" t="inlineStr">
        <is>
          <t>UEBA</t>
        </is>
      </c>
      <c r="H48" s="21" t="inlineStr">
        <is>
          <t>User behaviour analytics</t>
        </is>
      </c>
      <c r="O48" s="21" t="inlineStr">
        <is>
          <t>Baseline deviation, risk scoring</t>
        </is>
      </c>
    </row>
    <row r="51">
      <c r="A51" s="24" t="inlineStr">
        <is>
          <t>Table 2: Critical SIEM Capabilities (Per S2.1.4.1)</t>
        </is>
      </c>
    </row>
    <row r="52">
      <c r="A52" s="18" t="inlineStr">
        <is>
          <t>Capability</t>
        </is>
      </c>
      <c r="B52" s="16" t="n"/>
      <c r="C52" s="16" t="n"/>
      <c r="D52" s="16" t="n"/>
      <c r="E52" s="16" t="n"/>
      <c r="F52" s="16" t="n"/>
      <c r="G52" s="17" t="n"/>
      <c r="H52" s="18" t="inlineStr">
        <is>
          <t>Requirement Level</t>
        </is>
      </c>
      <c r="I52" s="16" t="n"/>
      <c r="J52" s="16" t="n"/>
      <c r="K52" s="16" t="n"/>
      <c r="L52" s="16" t="n"/>
      <c r="M52" s="16" t="n"/>
      <c r="N52" s="17" t="n"/>
      <c r="O52" s="18" t="inlineStr">
        <is>
          <t>Validation Method</t>
        </is>
      </c>
      <c r="P52" s="16" t="n"/>
      <c r="Q52" s="16" t="n"/>
      <c r="R52" s="16" t="n"/>
      <c r="S52" s="16" t="n"/>
      <c r="T52" s="16" t="n"/>
      <c r="U52" s="17" t="n"/>
    </row>
    <row r="53">
      <c r="A53" s="14" t="inlineStr">
        <is>
          <t>Multi-format log parsing</t>
        </is>
      </c>
      <c r="H53" s="21" t="inlineStr">
        <is>
          <t>MUST HAVE</t>
        </is>
      </c>
      <c r="O53" s="21" t="inlineStr">
        <is>
          <t>Test with sample logs</t>
        </is>
      </c>
    </row>
    <row r="54">
      <c r="A54" s="14" t="inlineStr">
        <is>
          <t>Indexed storage</t>
        </is>
      </c>
      <c r="H54" s="21" t="inlineStr">
        <is>
          <t>MUST HAVE</t>
        </is>
      </c>
      <c r="O54" s="21" t="inlineStr">
        <is>
          <t>Verify search performance</t>
        </is>
      </c>
    </row>
    <row r="55">
      <c r="A55" s="14" t="inlineStr">
        <is>
          <t>Real-time alerting</t>
        </is>
      </c>
      <c r="H55" s="21" t="inlineStr">
        <is>
          <t>MUST HAVE</t>
        </is>
      </c>
      <c r="O55" s="21" t="inlineStr">
        <is>
          <t>Test alert generation</t>
        </is>
      </c>
    </row>
    <row r="56">
      <c r="A56" s="14" t="inlineStr">
        <is>
          <t>Multi-event correlation</t>
        </is>
      </c>
      <c r="H56" s="21" t="inlineStr">
        <is>
          <t>MUST HAVE</t>
        </is>
      </c>
      <c r="O56" s="21" t="inlineStr">
        <is>
          <t>Create test correlation rule</t>
        </is>
      </c>
    </row>
    <row r="57">
      <c r="A57" s="14" t="inlineStr">
        <is>
          <t>Threat intel integration</t>
        </is>
      </c>
      <c r="H57" s="21" t="inlineStr">
        <is>
          <t>MUST HAVE</t>
        </is>
      </c>
      <c r="O57" s="21" t="inlineStr">
        <is>
          <t>Verify IOC matching</t>
        </is>
      </c>
    </row>
    <row r="58">
      <c r="A58" s="14" t="inlineStr">
        <is>
          <t>Search &lt; 10 sec</t>
        </is>
      </c>
      <c r="H58" s="21" t="inlineStr">
        <is>
          <t>SHOULD HAVE</t>
        </is>
      </c>
      <c r="O58" s="21" t="inlineStr">
        <is>
          <t>Benchmark queries</t>
        </is>
      </c>
    </row>
    <row r="70">
      <c r="A70" s="25" t="inlineStr">
        <is>
          <t>EXCEPTION/DEVIATION MANAGEMENT</t>
        </is>
      </c>
    </row>
    <row r="71">
      <c r="A71" s="18" t="inlineStr">
        <is>
          <t>Exception ID</t>
        </is>
      </c>
      <c r="B71" s="18" t="inlineStr">
        <is>
          <t>Risk ID</t>
        </is>
      </c>
      <c r="C71" s="18" t="inlineStr">
        <is>
          <t>Business Justification</t>
        </is>
      </c>
      <c r="D71" s="18" t="inlineStr">
        <is>
          <t>Compensating Controls</t>
        </is>
      </c>
      <c r="E71" s="18" t="inlineStr">
        <is>
          <t>Approval Status</t>
        </is>
      </c>
      <c r="F71" s="18" t="inlineStr">
        <is>
          <t>Review Date</t>
        </is>
      </c>
    </row>
    <row r="72">
      <c r="A72" s="15" t="n"/>
      <c r="B72" s="15" t="n"/>
      <c r="C72" s="15" t="n"/>
      <c r="D72" s="15" t="n"/>
      <c r="E72" s="15" t="n"/>
      <c r="F72" s="15" t="n"/>
    </row>
    <row r="73">
      <c r="A73" s="15" t="n"/>
      <c r="B73" s="15" t="n"/>
      <c r="C73" s="15" t="n"/>
      <c r="D73" s="15" t="n"/>
      <c r="E73" s="15" t="n"/>
      <c r="F73" s="15" t="n"/>
    </row>
    <row r="74">
      <c r="A74" s="15" t="n"/>
      <c r="B74" s="15" t="n"/>
      <c r="C74" s="15" t="n"/>
      <c r="D74" s="15" t="n"/>
      <c r="E74" s="15" t="n"/>
      <c r="F74" s="15" t="n"/>
    </row>
    <row r="75">
      <c r="A75" s="15" t="n"/>
      <c r="B75" s="15" t="n"/>
      <c r="C75" s="15" t="n"/>
      <c r="D75" s="15" t="n"/>
      <c r="E75" s="15" t="n"/>
      <c r="F75" s="15" t="n"/>
    </row>
    <row r="76">
      <c r="A76" s="15" t="n"/>
      <c r="B76" s="15" t="n"/>
      <c r="C76" s="15" t="n"/>
      <c r="D76" s="15" t="n"/>
      <c r="E76" s="15" t="n"/>
      <c r="F76" s="15" t="n"/>
    </row>
  </sheetData>
  <mergeCells count="65">
    <mergeCell ref="O47:U47"/>
    <mergeCell ref="H57:N57"/>
    <mergeCell ref="B37:T37"/>
    <mergeCell ref="O56:U56"/>
    <mergeCell ref="O58:U58"/>
    <mergeCell ref="B28:T28"/>
    <mergeCell ref="H47:N47"/>
    <mergeCell ref="O52:U52"/>
    <mergeCell ref="A53:G53"/>
    <mergeCell ref="A47:G47"/>
    <mergeCell ref="O48:U48"/>
    <mergeCell ref="B30:T30"/>
    <mergeCell ref="A52:G52"/>
    <mergeCell ref="A43:G43"/>
    <mergeCell ref="H48:N48"/>
    <mergeCell ref="B24:T24"/>
    <mergeCell ref="A3:U3"/>
    <mergeCell ref="B33:T33"/>
    <mergeCell ref="A44:G44"/>
    <mergeCell ref="A58:G58"/>
    <mergeCell ref="O57:U57"/>
    <mergeCell ref="B4:E4"/>
    <mergeCell ref="A2:U2"/>
    <mergeCell ref="B36:T36"/>
    <mergeCell ref="B32:T32"/>
    <mergeCell ref="B26:T26"/>
    <mergeCell ref="A48:G48"/>
    <mergeCell ref="H53:N53"/>
    <mergeCell ref="A42:U42"/>
    <mergeCell ref="B35:T35"/>
    <mergeCell ref="H43:N43"/>
    <mergeCell ref="O43:U43"/>
    <mergeCell ref="O53:U53"/>
    <mergeCell ref="H54:N54"/>
    <mergeCell ref="A45:G45"/>
    <mergeCell ref="A22:U22"/>
    <mergeCell ref="B25:T25"/>
    <mergeCell ref="H55:N55"/>
    <mergeCell ref="B31:T31"/>
    <mergeCell ref="H44:N44"/>
    <mergeCell ref="H58:N58"/>
    <mergeCell ref="O45:U45"/>
    <mergeCell ref="H56:N56"/>
    <mergeCell ref="B27:T27"/>
    <mergeCell ref="B39:E39"/>
    <mergeCell ref="A54:G54"/>
    <mergeCell ref="H46:N46"/>
    <mergeCell ref="A40:U40"/>
    <mergeCell ref="A46:G46"/>
    <mergeCell ref="O54:U54"/>
    <mergeCell ref="O44:U44"/>
    <mergeCell ref="A56:G56"/>
    <mergeCell ref="B23:T23"/>
    <mergeCell ref="H52:N52"/>
    <mergeCell ref="A55:G55"/>
    <mergeCell ref="A51:U51"/>
    <mergeCell ref="H45:N45"/>
    <mergeCell ref="A70:U70"/>
    <mergeCell ref="O46:U46"/>
    <mergeCell ref="B29:T29"/>
    <mergeCell ref="A57:G57"/>
    <mergeCell ref="A1:U1"/>
    <mergeCell ref="O55:U55"/>
    <mergeCell ref="B38:T38"/>
    <mergeCell ref="B34:T34"/>
  </mergeCells>
  <dataValidations count="9">
    <dataValidation sqref="I8 I9 I10 I11 I12 I13 I14 I15 I16 I17 I18 I19 I20 J8 J9 J10 J11 J12 J13 J14 J15 J16 J17 J18 J19 J20 K8 K9 K10 K11 K12 K13 K14 K15 K16 K17 K18 K19 K20 L8 L9 L10 L11 L12 L13 L14 L15 L16 L17 L18 L19 L20 N8 N9 N10 N11 N12 N13 N14 N15 N16 N17 N18 N19 N20" showDropDown="0" showInputMessage="0" showErrorMessage="0" allowBlank="0" type="list">
      <formula1>"Yes,No,Planned"</formula1>
    </dataValidation>
    <dataValidation sqref="B8 B9 B10 B11 B12 B13 B14 B15 B16 B17 B18 B19 B20" showDropDown="0" showInputMessage="0" showErrorMessage="0" allowBlank="0" type="list">
      <formula1>"SIEM,IDS/IPS,EDR,NDR,UEBA,Log Management,Other"</formula1>
    </dataValidation>
    <dataValidation sqref="D8 D9 D10 D11 D12 D13 D14 D15 D16 D17 D18 D19 D20" showDropDown="0" showInputMessage="0" showErrorMessage="0" allowBlank="0" type="list">
      <formula1>"On-Premises,Cloud,Hybrid"</formula1>
    </dataValidation>
    <dataValidation sqref="F8 F9 F10 F11 F12 F13 F14 F15 F16 F17 F18 F19 F20 M8 M9 M10 M11 M12 M13 M14 M15 M16 M17 M18 M19 M20" showDropDown="0" showInputMessage="0" showErrorMessage="0" allowBlank="0" type="list">
      <formula1>"Excellent,Good,Limited,Poor"</formula1>
    </dataValidation>
    <dataValidation sqref="H8 H9 H10 H11 H12 H13 H14 H15 H16 H17 H18 H19 H20" showDropDown="0" showInputMessage="0" showErrorMessage="0" allowBlank="0" type="list">
      <formula1>"&lt;10 sec,10-60 sec,&gt;60 sec"</formula1>
    </dataValidation>
    <dataValidation sqref="O8 O9 O10 O11 O12 O13 O14 O15 O16 O17 O18 O19 O20" showDropDown="0" showInputMessage="0" showErrorMessage="0" allowBlank="0" type="list">
      <formula1>"Documented,Tested,None"</formula1>
    </dataValidation>
    <dataValidation sqref="Q8 Q9 Q10 Q11 Q12 Q13 Q14 Q15 Q16 Q17 Q18 Q19 Q20" showDropDown="0" showInputMessage="0" showErrorMessage="0" allowBlank="0" type="list">
      <formula1>"✅ Deployed,⚠️ Partial,❌ Not Deployed,Planned"</formula1>
    </dataValidation>
    <dataValidation sqref="S8 S9 S10 S11 S12 S13 S14 S15 S16 S17 S18 S19 S20 U24 U25 U26 U27 U28 U29 U30 U31 U32 U33 U34 U35 U36 U37 U38" showDropDown="0" showInputMessage="0" showErrorMessage="0" allowBlank="0" type="list">
      <formula1>"✅ Compliant,⚠️ Partial,❌ Non-Compliant,N/A"</formula1>
    </dataValidation>
    <dataValidation sqref="U8 U9 U10 U11 U12 U13 U14 U15 U16 U17 U18 U19 U20" showDropDown="0" showInputMessage="0" showErrorMessage="0" allowBlank="0" type="list">
      <formula1>"Critical,High,Medium,Low,None"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83"/>
  <sheetViews>
    <sheetView showGridLines="0" workbookViewId="0">
      <selection activeCell="A1" sqref="A1"/>
    </sheetView>
  </sheetViews>
  <sheetFormatPr baseColWidth="8" defaultRowHeight="15"/>
  <cols>
    <col width="28" customWidth="1" min="1" max="1"/>
    <col width="22" customWidth="1" min="2" max="2"/>
    <col width="15" customWidth="1" min="3" max="3"/>
    <col width="18" customWidth="1" min="4" max="4"/>
    <col width="20" customWidth="1" min="5" max="5"/>
    <col width="18" customWidth="1" min="6" max="6"/>
    <col width="30" customWidth="1" min="7" max="7"/>
    <col width="20" customWidth="1" min="8" max="8"/>
    <col width="20" customWidth="1" min="9" max="9"/>
    <col width="18" customWidth="1" min="10" max="10"/>
    <col width="20" customWidth="1" min="11" max="11"/>
    <col width="18" customWidth="1" min="12" max="12"/>
    <col width="20" customWidth="1" min="13" max="13"/>
    <col width="20" customWidth="1" min="14" max="14"/>
    <col width="16" customWidth="1" min="15" max="15"/>
    <col width="15" customWidth="1" min="16" max="16"/>
    <col width="18" customWidth="1" min="17" max="17"/>
    <col width="30" customWidth="1" min="18" max="18"/>
    <col width="30" customWidth="1" min="19" max="19"/>
    <col width="15" customWidth="1" min="20" max="20"/>
  </cols>
  <sheetData>
    <row r="1" ht="35" customHeight="1">
      <c r="A1" s="11" t="inlineStr">
        <is>
          <t>2. LOG SOURCE COVERAGE ASSESSMENT</t>
        </is>
      </c>
    </row>
    <row r="2">
      <c r="A2" s="12" t="inlineStr">
        <is>
          <t>Policy Reference: ISMS-POL-A.8.16-S2.1.2 - Assess log source coverage</t>
        </is>
      </c>
    </row>
    <row r="3">
      <c r="A3" s="13" t="inlineStr">
        <is>
          <t>Does your organisation collect logs from all critical systems and adequate coverage of standard systems?</t>
        </is>
      </c>
    </row>
    <row r="4">
      <c r="A4" s="14" t="inlineStr">
        <is>
          <t>Overall Coverage Status:</t>
        </is>
      </c>
      <c r="B4" s="15" t="n"/>
      <c r="C4" s="16" t="n"/>
      <c r="D4" s="16" t="n"/>
      <c r="E4" s="17" t="n"/>
    </row>
    <row r="6">
      <c r="A6" s="18" t="inlineStr">
        <is>
          <t>System/Asset Name</t>
        </is>
      </c>
      <c r="B6" s="18" t="inlineStr">
        <is>
          <t>System Type</t>
        </is>
      </c>
      <c r="C6" s="18" t="inlineStr">
        <is>
          <t>Criticality</t>
        </is>
      </c>
      <c r="D6" s="18" t="inlineStr">
        <is>
          <t>Location</t>
        </is>
      </c>
      <c r="E6" s="18" t="inlineStr">
        <is>
          <t>System Owner</t>
        </is>
      </c>
      <c r="F6" s="18" t="inlineStr">
        <is>
          <t>OS/Platform</t>
        </is>
      </c>
      <c r="G6" s="18" t="inlineStr">
        <is>
          <t>Log Types Collected</t>
        </is>
      </c>
      <c r="H6" s="18" t="inlineStr">
        <is>
          <t>Collection Method</t>
        </is>
      </c>
      <c r="I6" s="18" t="inlineStr">
        <is>
          <t>Collection Protocol</t>
        </is>
      </c>
      <c r="J6" s="18" t="inlineStr">
        <is>
          <t>Log Volume (GB/day)</t>
        </is>
      </c>
      <c r="K6" s="18" t="inlineStr">
        <is>
          <t>Retention Period (days)</t>
        </is>
      </c>
      <c r="L6" s="18" t="inlineStr">
        <is>
          <t>Parsing Status</t>
        </is>
      </c>
      <c r="M6" s="18" t="inlineStr">
        <is>
          <t>Integration with SIEM</t>
        </is>
      </c>
      <c r="N6" s="18" t="inlineStr">
        <is>
          <t>Collection Status</t>
        </is>
      </c>
      <c r="O6" s="18" t="inlineStr">
        <is>
          <t>Last Verified</t>
        </is>
      </c>
      <c r="P6" s="18" t="inlineStr">
        <is>
          <t>Reliability</t>
        </is>
      </c>
      <c r="Q6" s="18" t="inlineStr">
        <is>
          <t>Compliance Status</t>
        </is>
      </c>
      <c r="R6" s="18" t="inlineStr">
        <is>
          <t>Gaps/Issues</t>
        </is>
      </c>
      <c r="S6" s="18" t="inlineStr">
        <is>
          <t>Remediation Plan</t>
        </is>
      </c>
      <c r="T6" s="18" t="inlineStr">
        <is>
          <t>Priority</t>
        </is>
      </c>
    </row>
    <row r="7">
      <c r="A7" s="19" t="inlineStr">
        <is>
          <t>DC01-WinServer</t>
        </is>
      </c>
      <c r="B7" s="19" t="inlineStr">
        <is>
          <t>Server</t>
        </is>
      </c>
      <c r="C7" s="19" t="inlineStr">
        <is>
          <t>Critical</t>
        </is>
      </c>
      <c r="D7" s="19" t="inlineStr">
        <is>
          <t>Primary DC</t>
        </is>
      </c>
      <c r="E7" s="19" t="inlineStr">
        <is>
          <t>IT Operations</t>
        </is>
      </c>
      <c r="F7" s="19" t="inlineStr">
        <is>
          <t>Windows Server 2022</t>
        </is>
      </c>
      <c r="G7" s="19" t="inlineStr">
        <is>
          <t>Security, System, Application</t>
        </is>
      </c>
      <c r="H7" s="19" t="inlineStr">
        <is>
          <t>Agent</t>
        </is>
      </c>
      <c r="I7" s="19" t="inlineStr">
        <is>
          <t>HTTPS</t>
        </is>
      </c>
      <c r="J7" s="19" t="inlineStr">
        <is>
          <t>2.5</t>
        </is>
      </c>
      <c r="K7" s="19" t="inlineStr">
        <is>
          <t>365</t>
        </is>
      </c>
      <c r="L7" s="19" t="inlineStr">
        <is>
          <t>Parsed</t>
        </is>
      </c>
      <c r="M7" s="19" t="inlineStr">
        <is>
          <t>Yes</t>
        </is>
      </c>
      <c r="N7" s="19" t="inlineStr">
        <is>
          <t>✅ Collecting</t>
        </is>
      </c>
      <c r="O7" s="19" t="inlineStr">
        <is>
          <t>15.12.2024</t>
        </is>
      </c>
      <c r="P7" s="19" t="inlineStr">
        <is>
          <t>High</t>
        </is>
      </c>
      <c r="Q7" s="19" t="inlineStr">
        <is>
          <t>✅ Compliant</t>
        </is>
      </c>
      <c r="R7" s="19" t="inlineStr">
        <is>
          <t>None</t>
        </is>
      </c>
      <c r="S7" s="19" t="inlineStr">
        <is>
          <t>N/A</t>
        </is>
      </c>
      <c r="T7" s="19" t="inlineStr">
        <is>
          <t>None</t>
        </is>
      </c>
    </row>
    <row r="8">
      <c r="A8" s="15" t="n"/>
      <c r="B8" s="15" t="n"/>
      <c r="C8" s="15" t="n"/>
      <c r="D8" s="15" t="n"/>
      <c r="E8" s="15" t="n"/>
      <c r="F8" s="15" t="n"/>
      <c r="G8" s="15" t="n"/>
      <c r="H8" s="15" t="n"/>
      <c r="I8" s="15" t="n"/>
      <c r="J8" s="15" t="n"/>
      <c r="K8" s="15" t="n"/>
      <c r="L8" s="15" t="n"/>
      <c r="M8" s="15" t="n"/>
      <c r="N8" s="15" t="n"/>
      <c r="O8" s="15" t="n"/>
      <c r="P8" s="15" t="n"/>
      <c r="Q8" s="15" t="n"/>
      <c r="R8" s="15" t="n"/>
      <c r="S8" s="15" t="n"/>
      <c r="T8" s="15" t="n"/>
    </row>
    <row r="9">
      <c r="A9" s="15" t="n"/>
      <c r="B9" s="15" t="n"/>
      <c r="C9" s="15" t="n"/>
      <c r="D9" s="15" t="n"/>
      <c r="E9" s="15" t="n"/>
      <c r="F9" s="15" t="n"/>
      <c r="G9" s="15" t="n"/>
      <c r="H9" s="15" t="n"/>
      <c r="I9" s="15" t="n"/>
      <c r="J9" s="15" t="n"/>
      <c r="K9" s="15" t="n"/>
      <c r="L9" s="15" t="n"/>
      <c r="M9" s="15" t="n"/>
      <c r="N9" s="15" t="n"/>
      <c r="O9" s="15" t="n"/>
      <c r="P9" s="15" t="n"/>
      <c r="Q9" s="15" t="n"/>
      <c r="R9" s="15" t="n"/>
      <c r="S9" s="15" t="n"/>
      <c r="T9" s="15" t="n"/>
    </row>
    <row r="10">
      <c r="A10" s="15" t="n"/>
      <c r="B10" s="15" t="n"/>
      <c r="C10" s="15" t="n"/>
      <c r="D10" s="15" t="n"/>
      <c r="E10" s="15" t="n"/>
      <c r="F10" s="15" t="n"/>
      <c r="G10" s="15" t="n"/>
      <c r="H10" s="15" t="n"/>
      <c r="I10" s="15" t="n"/>
      <c r="J10" s="15" t="n"/>
      <c r="K10" s="15" t="n"/>
      <c r="L10" s="15" t="n"/>
      <c r="M10" s="15" t="n"/>
      <c r="N10" s="15" t="n"/>
      <c r="O10" s="15" t="n"/>
      <c r="P10" s="15" t="n"/>
      <c r="Q10" s="15" t="n"/>
      <c r="R10" s="15" t="n"/>
      <c r="S10" s="15" t="n"/>
      <c r="T10" s="15" t="n"/>
    </row>
    <row r="11">
      <c r="A11" s="15" t="n"/>
      <c r="B11" s="15" t="n"/>
      <c r="C11" s="15" t="n"/>
      <c r="D11" s="15" t="n"/>
      <c r="E11" s="15" t="n"/>
      <c r="F11" s="15" t="n"/>
      <c r="G11" s="15" t="n"/>
      <c r="H11" s="15" t="n"/>
      <c r="I11" s="15" t="n"/>
      <c r="J11" s="15" t="n"/>
      <c r="K11" s="15" t="n"/>
      <c r="L11" s="15" t="n"/>
      <c r="M11" s="15" t="n"/>
      <c r="N11" s="15" t="n"/>
      <c r="O11" s="15" t="n"/>
      <c r="P11" s="15" t="n"/>
      <c r="Q11" s="15" t="n"/>
      <c r="R11" s="15" t="n"/>
      <c r="S11" s="15" t="n"/>
      <c r="T11" s="15" t="n"/>
    </row>
    <row r="12">
      <c r="A12" s="15" t="n"/>
      <c r="B12" s="15" t="n"/>
      <c r="C12" s="15" t="n"/>
      <c r="D12" s="15" t="n"/>
      <c r="E12" s="15" t="n"/>
      <c r="F12" s="15" t="n"/>
      <c r="G12" s="15" t="n"/>
      <c r="H12" s="15" t="n"/>
      <c r="I12" s="15" t="n"/>
      <c r="J12" s="15" t="n"/>
      <c r="K12" s="15" t="n"/>
      <c r="L12" s="15" t="n"/>
      <c r="M12" s="15" t="n"/>
      <c r="N12" s="15" t="n"/>
      <c r="O12" s="15" t="n"/>
      <c r="P12" s="15" t="n"/>
      <c r="Q12" s="15" t="n"/>
      <c r="R12" s="15" t="n"/>
      <c r="S12" s="15" t="n"/>
      <c r="T12" s="15" t="n"/>
    </row>
    <row r="13">
      <c r="A13" s="15" t="n"/>
      <c r="B13" s="15" t="n"/>
      <c r="C13" s="15" t="n"/>
      <c r="D13" s="15" t="n"/>
      <c r="E13" s="15" t="n"/>
      <c r="F13" s="15" t="n"/>
      <c r="G13" s="15" t="n"/>
      <c r="H13" s="15" t="n"/>
      <c r="I13" s="15" t="n"/>
      <c r="J13" s="15" t="n"/>
      <c r="K13" s="15" t="n"/>
      <c r="L13" s="15" t="n"/>
      <c r="M13" s="15" t="n"/>
      <c r="N13" s="15" t="n"/>
      <c r="O13" s="15" t="n"/>
      <c r="P13" s="15" t="n"/>
      <c r="Q13" s="15" t="n"/>
      <c r="R13" s="15" t="n"/>
      <c r="S13" s="15" t="n"/>
      <c r="T13" s="15" t="n"/>
    </row>
    <row r="14">
      <c r="A14" s="15" t="n"/>
      <c r="B14" s="15" t="n"/>
      <c r="C14" s="15" t="n"/>
      <c r="D14" s="15" t="n"/>
      <c r="E14" s="15" t="n"/>
      <c r="F14" s="15" t="n"/>
      <c r="G14" s="15" t="n"/>
      <c r="H14" s="15" t="n"/>
      <c r="I14" s="15" t="n"/>
      <c r="J14" s="15" t="n"/>
      <c r="K14" s="15" t="n"/>
      <c r="L14" s="15" t="n"/>
      <c r="M14" s="15" t="n"/>
      <c r="N14" s="15" t="n"/>
      <c r="O14" s="15" t="n"/>
      <c r="P14" s="15" t="n"/>
      <c r="Q14" s="15" t="n"/>
      <c r="R14" s="15" t="n"/>
      <c r="S14" s="15" t="n"/>
      <c r="T14" s="15" t="n"/>
    </row>
    <row r="15">
      <c r="A15" s="15" t="n"/>
      <c r="B15" s="15" t="n"/>
      <c r="C15" s="15" t="n"/>
      <c r="D15" s="15" t="n"/>
      <c r="E15" s="15" t="n"/>
      <c r="F15" s="15" t="n"/>
      <c r="G15" s="15" t="n"/>
      <c r="H15" s="15" t="n"/>
      <c r="I15" s="15" t="n"/>
      <c r="J15" s="15" t="n"/>
      <c r="K15" s="15" t="n"/>
      <c r="L15" s="15" t="n"/>
      <c r="M15" s="15" t="n"/>
      <c r="N15" s="15" t="n"/>
      <c r="O15" s="15" t="n"/>
      <c r="P15" s="15" t="n"/>
      <c r="Q15" s="15" t="n"/>
      <c r="R15" s="15" t="n"/>
      <c r="S15" s="15" t="n"/>
      <c r="T15" s="15" t="n"/>
    </row>
    <row r="16">
      <c r="A16" s="15" t="n"/>
      <c r="B16" s="15" t="n"/>
      <c r="C16" s="15" t="n"/>
      <c r="D16" s="15" t="n"/>
      <c r="E16" s="15" t="n"/>
      <c r="F16" s="15" t="n"/>
      <c r="G16" s="15" t="n"/>
      <c r="H16" s="15" t="n"/>
      <c r="I16" s="15" t="n"/>
      <c r="J16" s="15" t="n"/>
      <c r="K16" s="15" t="n"/>
      <c r="L16" s="15" t="n"/>
      <c r="M16" s="15" t="n"/>
      <c r="N16" s="15" t="n"/>
      <c r="O16" s="15" t="n"/>
      <c r="P16" s="15" t="n"/>
      <c r="Q16" s="15" t="n"/>
      <c r="R16" s="15" t="n"/>
      <c r="S16" s="15" t="n"/>
      <c r="T16" s="15" t="n"/>
    </row>
    <row r="17">
      <c r="A17" s="15" t="n"/>
      <c r="B17" s="15" t="n"/>
      <c r="C17" s="15" t="n"/>
      <c r="D17" s="15" t="n"/>
      <c r="E17" s="15" t="n"/>
      <c r="F17" s="15" t="n"/>
      <c r="G17" s="15" t="n"/>
      <c r="H17" s="15" t="n"/>
      <c r="I17" s="15" t="n"/>
      <c r="J17" s="15" t="n"/>
      <c r="K17" s="15" t="n"/>
      <c r="L17" s="15" t="n"/>
      <c r="M17" s="15" t="n"/>
      <c r="N17" s="15" t="n"/>
      <c r="O17" s="15" t="n"/>
      <c r="P17" s="15" t="n"/>
      <c r="Q17" s="15" t="n"/>
      <c r="R17" s="15" t="n"/>
      <c r="S17" s="15" t="n"/>
      <c r="T17" s="15" t="n"/>
    </row>
    <row r="18">
      <c r="A18" s="15" t="n"/>
      <c r="B18" s="15" t="n"/>
      <c r="C18" s="15" t="n"/>
      <c r="D18" s="15" t="n"/>
      <c r="E18" s="15" t="n"/>
      <c r="F18" s="15" t="n"/>
      <c r="G18" s="15" t="n"/>
      <c r="H18" s="15" t="n"/>
      <c r="I18" s="15" t="n"/>
      <c r="J18" s="15" t="n"/>
      <c r="K18" s="15" t="n"/>
      <c r="L18" s="15" t="n"/>
      <c r="M18" s="15" t="n"/>
      <c r="N18" s="15" t="n"/>
      <c r="O18" s="15" t="n"/>
      <c r="P18" s="15" t="n"/>
      <c r="Q18" s="15" t="n"/>
      <c r="R18" s="15" t="n"/>
      <c r="S18" s="15" t="n"/>
      <c r="T18" s="15" t="n"/>
    </row>
    <row r="19">
      <c r="A19" s="15" t="n"/>
      <c r="B19" s="15" t="n"/>
      <c r="C19" s="15" t="n"/>
      <c r="D19" s="15" t="n"/>
      <c r="E19" s="15" t="n"/>
      <c r="F19" s="15" t="n"/>
      <c r="G19" s="15" t="n"/>
      <c r="H19" s="15" t="n"/>
      <c r="I19" s="15" t="n"/>
      <c r="J19" s="15" t="n"/>
      <c r="K19" s="15" t="n"/>
      <c r="L19" s="15" t="n"/>
      <c r="M19" s="15" t="n"/>
      <c r="N19" s="15" t="n"/>
      <c r="O19" s="15" t="n"/>
      <c r="P19" s="15" t="n"/>
      <c r="Q19" s="15" t="n"/>
      <c r="R19" s="15" t="n"/>
      <c r="S19" s="15" t="n"/>
      <c r="T19" s="15" t="n"/>
    </row>
    <row r="20">
      <c r="A20" s="15" t="n"/>
      <c r="B20" s="15" t="n"/>
      <c r="C20" s="15" t="n"/>
      <c r="D20" s="15" t="n"/>
      <c r="E20" s="15" t="n"/>
      <c r="F20" s="15" t="n"/>
      <c r="G20" s="15" t="n"/>
      <c r="H20" s="15" t="n"/>
      <c r="I20" s="15" t="n"/>
      <c r="J20" s="15" t="n"/>
      <c r="K20" s="15" t="n"/>
      <c r="L20" s="15" t="n"/>
      <c r="M20" s="15" t="n"/>
      <c r="N20" s="15" t="n"/>
      <c r="O20" s="15" t="n"/>
      <c r="P20" s="15" t="n"/>
      <c r="Q20" s="15" t="n"/>
      <c r="R20" s="15" t="n"/>
      <c r="S20" s="15" t="n"/>
      <c r="T20" s="15" t="n"/>
    </row>
    <row r="21">
      <c r="A21" s="15" t="n"/>
      <c r="B21" s="15" t="n"/>
      <c r="C21" s="15" t="n"/>
      <c r="D21" s="15" t="n"/>
      <c r="E21" s="15" t="n"/>
      <c r="F21" s="15" t="n"/>
      <c r="G21" s="15" t="n"/>
      <c r="H21" s="15" t="n"/>
      <c r="I21" s="15" t="n"/>
      <c r="J21" s="15" t="n"/>
      <c r="K21" s="15" t="n"/>
      <c r="L21" s="15" t="n"/>
      <c r="M21" s="15" t="n"/>
      <c r="N21" s="15" t="n"/>
      <c r="O21" s="15" t="n"/>
      <c r="P21" s="15" t="n"/>
      <c r="Q21" s="15" t="n"/>
      <c r="R21" s="15" t="n"/>
      <c r="S21" s="15" t="n"/>
      <c r="T21" s="15" t="n"/>
    </row>
    <row r="22">
      <c r="A22" s="15" t="n"/>
      <c r="B22" s="15" t="n"/>
      <c r="C22" s="15" t="n"/>
      <c r="D22" s="15" t="n"/>
      <c r="E22" s="15" t="n"/>
      <c r="F22" s="15" t="n"/>
      <c r="G22" s="15" t="n"/>
      <c r="H22" s="15" t="n"/>
      <c r="I22" s="15" t="n"/>
      <c r="J22" s="15" t="n"/>
      <c r="K22" s="15" t="n"/>
      <c r="L22" s="15" t="n"/>
      <c r="M22" s="15" t="n"/>
      <c r="N22" s="15" t="n"/>
      <c r="O22" s="15" t="n"/>
      <c r="P22" s="15" t="n"/>
      <c r="Q22" s="15" t="n"/>
      <c r="R22" s="15" t="n"/>
      <c r="S22" s="15" t="n"/>
      <c r="T22" s="15" t="n"/>
    </row>
    <row r="23">
      <c r="A23" s="15" t="n"/>
      <c r="B23" s="15" t="n"/>
      <c r="C23" s="15" t="n"/>
      <c r="D23" s="15" t="n"/>
      <c r="E23" s="15" t="n"/>
      <c r="F23" s="15" t="n"/>
      <c r="G23" s="15" t="n"/>
      <c r="H23" s="15" t="n"/>
      <c r="I23" s="15" t="n"/>
      <c r="J23" s="15" t="n"/>
      <c r="K23" s="15" t="n"/>
      <c r="L23" s="15" t="n"/>
      <c r="M23" s="15" t="n"/>
      <c r="N23" s="15" t="n"/>
      <c r="O23" s="15" t="n"/>
      <c r="P23" s="15" t="n"/>
      <c r="Q23" s="15" t="n"/>
      <c r="R23" s="15" t="n"/>
      <c r="S23" s="15" t="n"/>
      <c r="T23" s="15" t="n"/>
    </row>
    <row r="24">
      <c r="A24" s="15" t="n"/>
      <c r="B24" s="15" t="n"/>
      <c r="C24" s="15" t="n"/>
      <c r="D24" s="15" t="n"/>
      <c r="E24" s="15" t="n"/>
      <c r="F24" s="15" t="n"/>
      <c r="G24" s="15" t="n"/>
      <c r="H24" s="15" t="n"/>
      <c r="I24" s="15" t="n"/>
      <c r="J24" s="15" t="n"/>
      <c r="K24" s="15" t="n"/>
      <c r="L24" s="15" t="n"/>
      <c r="M24" s="15" t="n"/>
      <c r="N24" s="15" t="n"/>
      <c r="O24" s="15" t="n"/>
      <c r="P24" s="15" t="n"/>
      <c r="Q24" s="15" t="n"/>
      <c r="R24" s="15" t="n"/>
      <c r="S24" s="15" t="n"/>
      <c r="T24" s="15" t="n"/>
    </row>
    <row r="25">
      <c r="A25" s="15" t="n"/>
      <c r="B25" s="15" t="n"/>
      <c r="C25" s="15" t="n"/>
      <c r="D25" s="15" t="n"/>
      <c r="E25" s="15" t="n"/>
      <c r="F25" s="15" t="n"/>
      <c r="G25" s="15" t="n"/>
      <c r="H25" s="15" t="n"/>
      <c r="I25" s="15" t="n"/>
      <c r="J25" s="15" t="n"/>
      <c r="K25" s="15" t="n"/>
      <c r="L25" s="15" t="n"/>
      <c r="M25" s="15" t="n"/>
      <c r="N25" s="15" t="n"/>
      <c r="O25" s="15" t="n"/>
      <c r="P25" s="15" t="n"/>
      <c r="Q25" s="15" t="n"/>
      <c r="R25" s="15" t="n"/>
      <c r="S25" s="15" t="n"/>
      <c r="T25" s="15" t="n"/>
    </row>
    <row r="26">
      <c r="A26" s="15" t="n"/>
      <c r="B26" s="15" t="n"/>
      <c r="C26" s="15" t="n"/>
      <c r="D26" s="15" t="n"/>
      <c r="E26" s="15" t="n"/>
      <c r="F26" s="15" t="n"/>
      <c r="G26" s="15" t="n"/>
      <c r="H26" s="15" t="n"/>
      <c r="I26" s="15" t="n"/>
      <c r="J26" s="15" t="n"/>
      <c r="K26" s="15" t="n"/>
      <c r="L26" s="15" t="n"/>
      <c r="M26" s="15" t="n"/>
      <c r="N26" s="15" t="n"/>
      <c r="O26" s="15" t="n"/>
      <c r="P26" s="15" t="n"/>
      <c r="Q26" s="15" t="n"/>
      <c r="R26" s="15" t="n"/>
      <c r="S26" s="15" t="n"/>
      <c r="T26" s="15" t="n"/>
    </row>
    <row r="27">
      <c r="A27" s="15" t="n"/>
      <c r="B27" s="15" t="n"/>
      <c r="C27" s="15" t="n"/>
      <c r="D27" s="15" t="n"/>
      <c r="E27" s="15" t="n"/>
      <c r="F27" s="15" t="n"/>
      <c r="G27" s="15" t="n"/>
      <c r="H27" s="15" t="n"/>
      <c r="I27" s="15" t="n"/>
      <c r="J27" s="15" t="n"/>
      <c r="K27" s="15" t="n"/>
      <c r="L27" s="15" t="n"/>
      <c r="M27" s="15" t="n"/>
      <c r="N27" s="15" t="n"/>
      <c r="O27" s="15" t="n"/>
      <c r="P27" s="15" t="n"/>
      <c r="Q27" s="15" t="n"/>
      <c r="R27" s="15" t="n"/>
      <c r="S27" s="15" t="n"/>
      <c r="T27" s="15" t="n"/>
    </row>
    <row r="28">
      <c r="A28" s="15" t="n"/>
      <c r="B28" s="15" t="n"/>
      <c r="C28" s="15" t="n"/>
      <c r="D28" s="15" t="n"/>
      <c r="E28" s="15" t="n"/>
      <c r="F28" s="15" t="n"/>
      <c r="G28" s="15" t="n"/>
      <c r="H28" s="15" t="n"/>
      <c r="I28" s="15" t="n"/>
      <c r="J28" s="15" t="n"/>
      <c r="K28" s="15" t="n"/>
      <c r="L28" s="15" t="n"/>
      <c r="M28" s="15" t="n"/>
      <c r="N28" s="15" t="n"/>
      <c r="O28" s="15" t="n"/>
      <c r="P28" s="15" t="n"/>
      <c r="Q28" s="15" t="n"/>
      <c r="R28" s="15" t="n"/>
      <c r="S28" s="15" t="n"/>
      <c r="T28" s="15" t="n"/>
    </row>
    <row r="29">
      <c r="A29" s="15" t="n"/>
      <c r="B29" s="15" t="n"/>
      <c r="C29" s="15" t="n"/>
      <c r="D29" s="15" t="n"/>
      <c r="E29" s="15" t="n"/>
      <c r="F29" s="15" t="n"/>
      <c r="G29" s="15" t="n"/>
      <c r="H29" s="15" t="n"/>
      <c r="I29" s="15" t="n"/>
      <c r="J29" s="15" t="n"/>
      <c r="K29" s="15" t="n"/>
      <c r="L29" s="15" t="n"/>
      <c r="M29" s="15" t="n"/>
      <c r="N29" s="15" t="n"/>
      <c r="O29" s="15" t="n"/>
      <c r="P29" s="15" t="n"/>
      <c r="Q29" s="15" t="n"/>
      <c r="R29" s="15" t="n"/>
      <c r="S29" s="15" t="n"/>
      <c r="T29" s="15" t="n"/>
    </row>
    <row r="30">
      <c r="A30" s="15" t="n"/>
      <c r="B30" s="15" t="n"/>
      <c r="C30" s="15" t="n"/>
      <c r="D30" s="15" t="n"/>
      <c r="E30" s="15" t="n"/>
      <c r="F30" s="15" t="n"/>
      <c r="G30" s="15" t="n"/>
      <c r="H30" s="15" t="n"/>
      <c r="I30" s="15" t="n"/>
      <c r="J30" s="15" t="n"/>
      <c r="K30" s="15" t="n"/>
      <c r="L30" s="15" t="n"/>
      <c r="M30" s="15" t="n"/>
      <c r="N30" s="15" t="n"/>
      <c r="O30" s="15" t="n"/>
      <c r="P30" s="15" t="n"/>
      <c r="Q30" s="15" t="n"/>
      <c r="R30" s="15" t="n"/>
      <c r="S30" s="15" t="n"/>
      <c r="T30" s="15" t="n"/>
    </row>
    <row r="31">
      <c r="A31" s="15" t="n"/>
      <c r="B31" s="15" t="n"/>
      <c r="C31" s="15" t="n"/>
      <c r="D31" s="15" t="n"/>
      <c r="E31" s="15" t="n"/>
      <c r="F31" s="15" t="n"/>
      <c r="G31" s="15" t="n"/>
      <c r="H31" s="15" t="n"/>
      <c r="I31" s="15" t="n"/>
      <c r="J31" s="15" t="n"/>
      <c r="K31" s="15" t="n"/>
      <c r="L31" s="15" t="n"/>
      <c r="M31" s="15" t="n"/>
      <c r="N31" s="15" t="n"/>
      <c r="O31" s="15" t="n"/>
      <c r="P31" s="15" t="n"/>
      <c r="Q31" s="15" t="n"/>
      <c r="R31" s="15" t="n"/>
      <c r="S31" s="15" t="n"/>
      <c r="T31" s="15" t="n"/>
    </row>
    <row r="32">
      <c r="A32" s="15" t="n"/>
      <c r="B32" s="15" t="n"/>
      <c r="C32" s="15" t="n"/>
      <c r="D32" s="15" t="n"/>
      <c r="E32" s="15" t="n"/>
      <c r="F32" s="15" t="n"/>
      <c r="G32" s="15" t="n"/>
      <c r="H32" s="15" t="n"/>
      <c r="I32" s="15" t="n"/>
      <c r="J32" s="15" t="n"/>
      <c r="K32" s="15" t="n"/>
      <c r="L32" s="15" t="n"/>
      <c r="M32" s="15" t="n"/>
      <c r="N32" s="15" t="n"/>
      <c r="O32" s="15" t="n"/>
      <c r="P32" s="15" t="n"/>
      <c r="Q32" s="15" t="n"/>
      <c r="R32" s="15" t="n"/>
      <c r="S32" s="15" t="n"/>
      <c r="T32" s="15" t="n"/>
    </row>
    <row r="33">
      <c r="A33" s="15" t="n"/>
      <c r="B33" s="15" t="n"/>
      <c r="C33" s="15" t="n"/>
      <c r="D33" s="15" t="n"/>
      <c r="E33" s="15" t="n"/>
      <c r="F33" s="15" t="n"/>
      <c r="G33" s="15" t="n"/>
      <c r="H33" s="15" t="n"/>
      <c r="I33" s="15" t="n"/>
      <c r="J33" s="15" t="n"/>
      <c r="K33" s="15" t="n"/>
      <c r="L33" s="15" t="n"/>
      <c r="M33" s="15" t="n"/>
      <c r="N33" s="15" t="n"/>
      <c r="O33" s="15" t="n"/>
      <c r="P33" s="15" t="n"/>
      <c r="Q33" s="15" t="n"/>
      <c r="R33" s="15" t="n"/>
      <c r="S33" s="15" t="n"/>
      <c r="T33" s="15" t="n"/>
    </row>
    <row r="34">
      <c r="A34" s="15" t="n"/>
      <c r="B34" s="15" t="n"/>
      <c r="C34" s="15" t="n"/>
      <c r="D34" s="15" t="n"/>
      <c r="E34" s="15" t="n"/>
      <c r="F34" s="15" t="n"/>
      <c r="G34" s="15" t="n"/>
      <c r="H34" s="15" t="n"/>
      <c r="I34" s="15" t="n"/>
      <c r="J34" s="15" t="n"/>
      <c r="K34" s="15" t="n"/>
      <c r="L34" s="15" t="n"/>
      <c r="M34" s="15" t="n"/>
      <c r="N34" s="15" t="n"/>
      <c r="O34" s="15" t="n"/>
      <c r="P34" s="15" t="n"/>
      <c r="Q34" s="15" t="n"/>
      <c r="R34" s="15" t="n"/>
      <c r="S34" s="15" t="n"/>
      <c r="T34" s="15" t="n"/>
    </row>
    <row r="35">
      <c r="A35" s="15" t="n"/>
      <c r="B35" s="15" t="n"/>
      <c r="C35" s="15" t="n"/>
      <c r="D35" s="15" t="n"/>
      <c r="E35" s="15" t="n"/>
      <c r="F35" s="15" t="n"/>
      <c r="G35" s="15" t="n"/>
      <c r="H35" s="15" t="n"/>
      <c r="I35" s="15" t="n"/>
      <c r="J35" s="15" t="n"/>
      <c r="K35" s="15" t="n"/>
      <c r="L35" s="15" t="n"/>
      <c r="M35" s="15" t="n"/>
      <c r="N35" s="15" t="n"/>
      <c r="O35" s="15" t="n"/>
      <c r="P35" s="15" t="n"/>
      <c r="Q35" s="15" t="n"/>
      <c r="R35" s="15" t="n"/>
      <c r="S35" s="15" t="n"/>
      <c r="T35" s="15" t="n"/>
    </row>
    <row r="36">
      <c r="A36" s="15" t="n"/>
      <c r="B36" s="15" t="n"/>
      <c r="C36" s="15" t="n"/>
      <c r="D36" s="15" t="n"/>
      <c r="E36" s="15" t="n"/>
      <c r="F36" s="15" t="n"/>
      <c r="G36" s="15" t="n"/>
      <c r="H36" s="15" t="n"/>
      <c r="I36" s="15" t="n"/>
      <c r="J36" s="15" t="n"/>
      <c r="K36" s="15" t="n"/>
      <c r="L36" s="15" t="n"/>
      <c r="M36" s="15" t="n"/>
      <c r="N36" s="15" t="n"/>
      <c r="O36" s="15" t="n"/>
      <c r="P36" s="15" t="n"/>
      <c r="Q36" s="15" t="n"/>
      <c r="R36" s="15" t="n"/>
      <c r="S36" s="15" t="n"/>
      <c r="T36" s="15" t="n"/>
    </row>
    <row r="37">
      <c r="A37" s="15" t="n"/>
      <c r="B37" s="15" t="n"/>
      <c r="C37" s="15" t="n"/>
      <c r="D37" s="15" t="n"/>
      <c r="E37" s="15" t="n"/>
      <c r="F37" s="15" t="n"/>
      <c r="G37" s="15" t="n"/>
      <c r="H37" s="15" t="n"/>
      <c r="I37" s="15" t="n"/>
      <c r="J37" s="15" t="n"/>
      <c r="K37" s="15" t="n"/>
      <c r="L37" s="15" t="n"/>
      <c r="M37" s="15" t="n"/>
      <c r="N37" s="15" t="n"/>
      <c r="O37" s="15" t="n"/>
      <c r="P37" s="15" t="n"/>
      <c r="Q37" s="15" t="n"/>
      <c r="R37" s="15" t="n"/>
      <c r="S37" s="15" t="n"/>
      <c r="T37" s="15" t="n"/>
    </row>
    <row r="38">
      <c r="A38" s="15" t="n"/>
      <c r="B38" s="15" t="n"/>
      <c r="C38" s="15" t="n"/>
      <c r="D38" s="15" t="n"/>
      <c r="E38" s="15" t="n"/>
      <c r="F38" s="15" t="n"/>
      <c r="G38" s="15" t="n"/>
      <c r="H38" s="15" t="n"/>
      <c r="I38" s="15" t="n"/>
      <c r="J38" s="15" t="n"/>
      <c r="K38" s="15" t="n"/>
      <c r="L38" s="15" t="n"/>
      <c r="M38" s="15" t="n"/>
      <c r="N38" s="15" t="n"/>
      <c r="O38" s="15" t="n"/>
      <c r="P38" s="15" t="n"/>
      <c r="Q38" s="15" t="n"/>
      <c r="R38" s="15" t="n"/>
      <c r="S38" s="15" t="n"/>
      <c r="T38" s="15" t="n"/>
    </row>
    <row r="39">
      <c r="A39" s="15" t="n"/>
      <c r="B39" s="15" t="n"/>
      <c r="C39" s="15" t="n"/>
      <c r="D39" s="15" t="n"/>
      <c r="E39" s="15" t="n"/>
      <c r="F39" s="15" t="n"/>
      <c r="G39" s="15" t="n"/>
      <c r="H39" s="15" t="n"/>
      <c r="I39" s="15" t="n"/>
      <c r="J39" s="15" t="n"/>
      <c r="K39" s="15" t="n"/>
      <c r="L39" s="15" t="n"/>
      <c r="M39" s="15" t="n"/>
      <c r="N39" s="15" t="n"/>
      <c r="O39" s="15" t="n"/>
      <c r="P39" s="15" t="n"/>
      <c r="Q39" s="15" t="n"/>
      <c r="R39" s="15" t="n"/>
      <c r="S39" s="15" t="n"/>
      <c r="T39" s="15" t="n"/>
    </row>
    <row r="40">
      <c r="A40" s="15" t="n"/>
      <c r="B40" s="15" t="n"/>
      <c r="C40" s="15" t="n"/>
      <c r="D40" s="15" t="n"/>
      <c r="E40" s="15" t="n"/>
      <c r="F40" s="15" t="n"/>
      <c r="G40" s="15" t="n"/>
      <c r="H40" s="15" t="n"/>
      <c r="I40" s="15" t="n"/>
      <c r="J40" s="15" t="n"/>
      <c r="K40" s="15" t="n"/>
      <c r="L40" s="15" t="n"/>
      <c r="M40" s="15" t="n"/>
      <c r="N40" s="15" t="n"/>
      <c r="O40" s="15" t="n"/>
      <c r="P40" s="15" t="n"/>
      <c r="Q40" s="15" t="n"/>
      <c r="R40" s="15" t="n"/>
      <c r="S40" s="15" t="n"/>
      <c r="T40" s="15" t="n"/>
    </row>
    <row r="41">
      <c r="A41" s="15" t="n"/>
      <c r="B41" s="15" t="n"/>
      <c r="C41" s="15" t="n"/>
      <c r="D41" s="15" t="n"/>
      <c r="E41" s="15" t="n"/>
      <c r="F41" s="15" t="n"/>
      <c r="G41" s="15" t="n"/>
      <c r="H41" s="15" t="n"/>
      <c r="I41" s="15" t="n"/>
      <c r="J41" s="15" t="n"/>
      <c r="K41" s="15" t="n"/>
      <c r="L41" s="15" t="n"/>
      <c r="M41" s="15" t="n"/>
      <c r="N41" s="15" t="n"/>
      <c r="O41" s="15" t="n"/>
      <c r="P41" s="15" t="n"/>
      <c r="Q41" s="15" t="n"/>
      <c r="R41" s="15" t="n"/>
      <c r="S41" s="15" t="n"/>
      <c r="T41" s="15" t="n"/>
    </row>
    <row r="42">
      <c r="A42" s="15" t="n"/>
      <c r="B42" s="15" t="n"/>
      <c r="C42" s="15" t="n"/>
      <c r="D42" s="15" t="n"/>
      <c r="E42" s="15" t="n"/>
      <c r="F42" s="15" t="n"/>
      <c r="G42" s="15" t="n"/>
      <c r="H42" s="15" t="n"/>
      <c r="I42" s="15" t="n"/>
      <c r="J42" s="15" t="n"/>
      <c r="K42" s="15" t="n"/>
      <c r="L42" s="15" t="n"/>
      <c r="M42" s="15" t="n"/>
      <c r="N42" s="15" t="n"/>
      <c r="O42" s="15" t="n"/>
      <c r="P42" s="15" t="n"/>
      <c r="Q42" s="15" t="n"/>
      <c r="R42" s="15" t="n"/>
      <c r="S42" s="15" t="n"/>
      <c r="T42" s="15" t="n"/>
    </row>
    <row r="43">
      <c r="A43" s="26" t="inlineStr">
        <is>
          <t>LOG SOURCE COVERAGE STATISTICS</t>
        </is>
      </c>
      <c r="B43" s="16" t="n"/>
      <c r="C43" s="16" t="n"/>
      <c r="D43" s="16" t="n"/>
      <c r="E43" s="16" t="n"/>
      <c r="F43" s="16" t="n"/>
      <c r="G43" s="16" t="n"/>
      <c r="H43" s="16" t="n"/>
      <c r="I43" s="16" t="n"/>
      <c r="J43" s="16" t="n"/>
      <c r="K43" s="16" t="n"/>
      <c r="L43" s="16" t="n"/>
      <c r="M43" s="16" t="n"/>
      <c r="N43" s="16" t="n"/>
      <c r="O43" s="16" t="n"/>
      <c r="P43" s="16" t="n"/>
      <c r="Q43" s="16" t="n"/>
      <c r="R43" s="16" t="n"/>
      <c r="S43" s="16" t="n"/>
      <c r="T43" s="17" t="n"/>
    </row>
    <row r="44">
      <c r="A44" s="18" t="inlineStr">
        <is>
          <t>Metric</t>
        </is>
      </c>
      <c r="B44" s="16" t="n"/>
      <c r="C44" s="16" t="n"/>
      <c r="D44" s="16" t="n"/>
      <c r="E44" s="17" t="n"/>
      <c r="F44" s="18" t="inlineStr">
        <is>
          <t>Count/Value</t>
        </is>
      </c>
      <c r="G44" s="16" t="n"/>
      <c r="H44" s="16" t="n"/>
      <c r="I44" s="16" t="n"/>
      <c r="J44" s="17" t="n"/>
      <c r="K44" s="18" t="inlineStr">
        <is>
          <t>Target</t>
        </is>
      </c>
      <c r="L44" s="16" t="n"/>
      <c r="M44" s="16" t="n"/>
      <c r="N44" s="16" t="n"/>
      <c r="O44" s="17" t="n"/>
      <c r="P44" s="18" t="inlineStr">
        <is>
          <t>Status</t>
        </is>
      </c>
      <c r="Q44" s="16" t="n"/>
      <c r="R44" s="16" t="n"/>
      <c r="S44" s="16" t="n"/>
      <c r="T44" s="17" t="n"/>
    </row>
    <row r="45">
      <c r="A45" s="27" t="inlineStr">
        <is>
          <t>Total Systems Inventoried</t>
        </is>
      </c>
      <c r="B45" s="16" t="n"/>
      <c r="C45" s="16" t="n"/>
      <c r="D45" s="16" t="n"/>
      <c r="E45" s="17" t="n"/>
      <c r="F45" s="15">
        <f>COUNTA(A8:A40)</f>
        <v/>
      </c>
      <c r="G45" s="16" t="n"/>
      <c r="H45" s="16" t="n"/>
      <c r="I45" s="16" t="n"/>
      <c r="J45" s="17" t="n"/>
      <c r="K45" s="15" t="inlineStr">
        <is>
          <t>N/A</t>
        </is>
      </c>
      <c r="L45" s="16" t="n"/>
      <c r="M45" s="16" t="n"/>
      <c r="N45" s="16" t="n"/>
      <c r="O45" s="17" t="n"/>
      <c r="P45" s="15" t="inlineStr"/>
      <c r="Q45" s="16" t="n"/>
      <c r="R45" s="16" t="n"/>
      <c r="S45" s="16" t="n"/>
      <c r="T45" s="17" t="n"/>
    </row>
    <row r="46">
      <c r="A46" s="27" t="inlineStr">
        <is>
          <t>Critical Systems with Logs</t>
        </is>
      </c>
      <c r="B46" s="16" t="n"/>
      <c r="C46" s="16" t="n"/>
      <c r="D46" s="16" t="n"/>
      <c r="E46" s="17" t="n"/>
      <c r="F46" s="15">
        <f>COUNTIFS(C8:C40,"Critical",N8:N40,"✅ Collecting")</f>
        <v/>
      </c>
      <c r="G46" s="16" t="n"/>
      <c r="H46" s="16" t="n"/>
      <c r="I46" s="16" t="n"/>
      <c r="J46" s="17" t="n"/>
      <c r="K46" s="15" t="inlineStr">
        <is>
          <t>100%</t>
        </is>
      </c>
      <c r="L46" s="16" t="n"/>
      <c r="M46" s="16" t="n"/>
      <c r="N46" s="16" t="n"/>
      <c r="O46" s="17" t="n"/>
      <c r="P46" s="15" t="inlineStr"/>
      <c r="Q46" s="16" t="n"/>
      <c r="R46" s="16" t="n"/>
      <c r="S46" s="16" t="n"/>
      <c r="T46" s="17" t="n"/>
    </row>
    <row r="47">
      <c r="A47" s="27" t="inlineStr">
        <is>
          <t>High Priority Systems with Logs</t>
        </is>
      </c>
      <c r="B47" s="16" t="n"/>
      <c r="C47" s="16" t="n"/>
      <c r="D47" s="16" t="n"/>
      <c r="E47" s="17" t="n"/>
      <c r="F47" s="15">
        <f>COUNTIFS(C8:C40,"High",N8:N40,"✅ Collecting")</f>
        <v/>
      </c>
      <c r="G47" s="16" t="n"/>
      <c r="H47" s="16" t="n"/>
      <c r="I47" s="16" t="n"/>
      <c r="J47" s="17" t="n"/>
      <c r="K47" s="15" t="inlineStr">
        <is>
          <t>&gt;90%</t>
        </is>
      </c>
      <c r="L47" s="16" t="n"/>
      <c r="M47" s="16" t="n"/>
      <c r="N47" s="16" t="n"/>
      <c r="O47" s="17" t="n"/>
      <c r="P47" s="15" t="inlineStr"/>
      <c r="Q47" s="16" t="n"/>
      <c r="R47" s="16" t="n"/>
      <c r="S47" s="16" t="n"/>
      <c r="T47" s="17" t="n"/>
    </row>
    <row r="48">
      <c r="A48" s="27" t="inlineStr">
        <is>
          <t>Total Log Volume (GB/day)</t>
        </is>
      </c>
      <c r="B48" s="16" t="n"/>
      <c r="C48" s="16" t="n"/>
      <c r="D48" s="16" t="n"/>
      <c r="E48" s="17" t="n"/>
      <c r="F48" s="15">
        <f>SUM(J8:J40)</f>
        <v/>
      </c>
      <c r="G48" s="16" t="n"/>
      <c r="H48" s="16" t="n"/>
      <c r="I48" s="16" t="n"/>
      <c r="J48" s="17" t="n"/>
      <c r="K48" s="15" t="inlineStr">
        <is>
          <t>Monitor</t>
        </is>
      </c>
      <c r="L48" s="16" t="n"/>
      <c r="M48" s="16" t="n"/>
      <c r="N48" s="16" t="n"/>
      <c r="O48" s="17" t="n"/>
      <c r="P48" s="15" t="inlineStr"/>
      <c r="Q48" s="16" t="n"/>
      <c r="R48" s="16" t="n"/>
      <c r="S48" s="16" t="n"/>
      <c r="T48" s="17" t="n"/>
    </row>
    <row r="49">
      <c r="A49" s="27" t="inlineStr">
        <is>
          <t>Systems with Compliance Gaps</t>
        </is>
      </c>
      <c r="B49" s="16" t="n"/>
      <c r="C49" s="16" t="n"/>
      <c r="D49" s="16" t="n"/>
      <c r="E49" s="17" t="n"/>
      <c r="F49" s="15">
        <f>COUNTIFS(Q8:Q40,"❌ Non-Compliant")+COUNTIFS(Q8:Q40,"⚠️ Partial")</f>
        <v/>
      </c>
      <c r="G49" s="16" t="n"/>
      <c r="H49" s="16" t="n"/>
      <c r="I49" s="16" t="n"/>
      <c r="J49" s="17" t="n"/>
      <c r="K49" s="15" t="inlineStr">
        <is>
          <t>0</t>
        </is>
      </c>
      <c r="L49" s="16" t="n"/>
      <c r="M49" s="16" t="n"/>
      <c r="N49" s="16" t="n"/>
      <c r="O49" s="17" t="n"/>
      <c r="P49" s="15" t="inlineStr"/>
      <c r="Q49" s="16" t="n"/>
      <c r="R49" s="16" t="n"/>
      <c r="S49" s="16" t="n"/>
      <c r="T49" s="17" t="n"/>
    </row>
    <row r="50">
      <c r="A50" s="27" t="inlineStr">
        <is>
          <t>Collection Reliability High</t>
        </is>
      </c>
      <c r="B50" s="16" t="n"/>
      <c r="C50" s="16" t="n"/>
      <c r="D50" s="16" t="n"/>
      <c r="E50" s="17" t="n"/>
      <c r="F50" s="15">
        <f>COUNTIF(P8:P40,"High")</f>
        <v/>
      </c>
      <c r="G50" s="16" t="n"/>
      <c r="H50" s="16" t="n"/>
      <c r="I50" s="16" t="n"/>
      <c r="J50" s="17" t="n"/>
      <c r="K50" s="15" t="inlineStr">
        <is>
          <t>Target</t>
        </is>
      </c>
      <c r="L50" s="16" t="n"/>
      <c r="M50" s="16" t="n"/>
      <c r="N50" s="16" t="n"/>
      <c r="O50" s="17" t="n"/>
      <c r="P50" s="15" t="inlineStr"/>
      <c r="Q50" s="16" t="n"/>
      <c r="R50" s="16" t="n"/>
      <c r="S50" s="16" t="n"/>
      <c r="T50" s="17" t="n"/>
    </row>
    <row r="51">
      <c r="A51" s="27" t="inlineStr">
        <is>
          <t>Collection Reliability Low</t>
        </is>
      </c>
      <c r="B51" s="16" t="n"/>
      <c r="C51" s="16" t="n"/>
      <c r="D51" s="16" t="n"/>
      <c r="E51" s="17" t="n"/>
      <c r="F51" s="15">
        <f>COUNTIF(P8:P40,"Low")</f>
        <v/>
      </c>
      <c r="G51" s="16" t="n"/>
      <c r="H51" s="16" t="n"/>
      <c r="I51" s="16" t="n"/>
      <c r="J51" s="17" t="n"/>
      <c r="K51" s="15" t="inlineStr">
        <is>
          <t>0</t>
        </is>
      </c>
      <c r="L51" s="16" t="n"/>
      <c r="M51" s="16" t="n"/>
      <c r="N51" s="16" t="n"/>
      <c r="O51" s="17" t="n"/>
      <c r="P51" s="15" t="inlineStr"/>
      <c r="Q51" s="16" t="n"/>
      <c r="R51" s="16" t="n"/>
      <c r="S51" s="16" t="n"/>
      <c r="T51" s="17" t="n"/>
    </row>
    <row r="52">
      <c r="A52" s="15" t="n"/>
      <c r="B52" s="15" t="n"/>
      <c r="C52" s="15" t="n"/>
      <c r="D52" s="15" t="n"/>
      <c r="E52" s="15" t="n"/>
      <c r="F52" s="15" t="n"/>
      <c r="G52" s="15" t="n"/>
      <c r="H52" s="15" t="n"/>
      <c r="I52" s="15" t="n"/>
      <c r="J52" s="15" t="n"/>
      <c r="K52" s="15" t="n"/>
      <c r="L52" s="15" t="n"/>
      <c r="M52" s="15" t="n"/>
      <c r="N52" s="15" t="n"/>
      <c r="O52" s="15" t="n"/>
      <c r="P52" s="15" t="n"/>
      <c r="Q52" s="15" t="n"/>
      <c r="R52" s="15" t="n"/>
      <c r="S52" s="15" t="n"/>
      <c r="T52" s="15" t="n"/>
    </row>
    <row r="53">
      <c r="A53" s="26" t="inlineStr">
        <is>
          <t>LOG SOURCE COVERAGE CHECKLIST</t>
        </is>
      </c>
      <c r="B53" s="16" t="n"/>
      <c r="C53" s="16" t="n"/>
      <c r="D53" s="16" t="n"/>
      <c r="E53" s="16" t="n"/>
      <c r="F53" s="16" t="n"/>
      <c r="G53" s="16" t="n"/>
      <c r="H53" s="16" t="n"/>
      <c r="I53" s="16" t="n"/>
      <c r="J53" s="16" t="n"/>
      <c r="K53" s="16" t="n"/>
      <c r="L53" s="16" t="n"/>
      <c r="M53" s="16" t="n"/>
      <c r="N53" s="16" t="n"/>
      <c r="O53" s="16" t="n"/>
      <c r="P53" s="16" t="n"/>
      <c r="Q53" s="16" t="n"/>
      <c r="R53" s="16" t="n"/>
      <c r="S53" s="16" t="n"/>
      <c r="T53" s="17" t="n"/>
    </row>
    <row r="54">
      <c r="A54" s="18" t="inlineStr">
        <is>
          <t>#</t>
        </is>
      </c>
      <c r="B54" s="18" t="inlineStr">
        <is>
          <t>Requirement</t>
        </is>
      </c>
      <c r="C54" s="16" t="n"/>
      <c r="D54" s="16" t="n"/>
      <c r="E54" s="16" t="n"/>
      <c r="F54" s="16" t="n"/>
      <c r="G54" s="16" t="n"/>
      <c r="H54" s="16" t="n"/>
      <c r="I54" s="16" t="n"/>
      <c r="J54" s="16" t="n"/>
      <c r="K54" s="16" t="n"/>
      <c r="L54" s="16" t="n"/>
      <c r="M54" s="16" t="n"/>
      <c r="N54" s="16" t="n"/>
      <c r="O54" s="16" t="n"/>
      <c r="P54" s="16" t="n"/>
      <c r="Q54" s="16" t="n"/>
      <c r="R54" s="16" t="n"/>
      <c r="S54" s="17" t="n"/>
      <c r="T54" s="15" t="n"/>
    </row>
    <row r="55">
      <c r="A55" s="15" t="n">
        <v>1</v>
      </c>
      <c r="B55" s="27" t="inlineStr">
        <is>
          <t>All critical systems (servers, databases) generating logs</t>
        </is>
      </c>
      <c r="C55" s="16" t="n"/>
      <c r="D55" s="16" t="n"/>
      <c r="E55" s="16" t="n"/>
      <c r="F55" s="16" t="n"/>
      <c r="G55" s="16" t="n"/>
      <c r="H55" s="16" t="n"/>
      <c r="I55" s="16" t="n"/>
      <c r="J55" s="16" t="n"/>
      <c r="K55" s="16" t="n"/>
      <c r="L55" s="16" t="n"/>
      <c r="M55" s="16" t="n"/>
      <c r="N55" s="16" t="n"/>
      <c r="O55" s="16" t="n"/>
      <c r="P55" s="16" t="n"/>
      <c r="Q55" s="16" t="n"/>
      <c r="R55" s="16" t="n"/>
      <c r="S55" s="17" t="n"/>
      <c r="T55" s="15" t="n"/>
    </row>
    <row r="56">
      <c r="A56" s="15" t="n">
        <v>2</v>
      </c>
      <c r="B56" s="27" t="inlineStr">
        <is>
          <t>All network devices (firewalls, routers, switches) generating logs</t>
        </is>
      </c>
      <c r="C56" s="16" t="n"/>
      <c r="D56" s="16" t="n"/>
      <c r="E56" s="16" t="n"/>
      <c r="F56" s="16" t="n"/>
      <c r="G56" s="16" t="n"/>
      <c r="H56" s="16" t="n"/>
      <c r="I56" s="16" t="n"/>
      <c r="J56" s="16" t="n"/>
      <c r="K56" s="16" t="n"/>
      <c r="L56" s="16" t="n"/>
      <c r="M56" s="16" t="n"/>
      <c r="N56" s="16" t="n"/>
      <c r="O56" s="16" t="n"/>
      <c r="P56" s="16" t="n"/>
      <c r="Q56" s="16" t="n"/>
      <c r="R56" s="16" t="n"/>
      <c r="S56" s="17" t="n"/>
      <c r="T56" s="15" t="n"/>
    </row>
    <row r="57">
      <c r="A57" s="15" t="n">
        <v>3</v>
      </c>
      <c r="B57" s="27" t="inlineStr">
        <is>
          <t>All security appliances (IDS/IPS, proxies) generating logs</t>
        </is>
      </c>
      <c r="C57" s="16" t="n"/>
      <c r="D57" s="16" t="n"/>
      <c r="E57" s="16" t="n"/>
      <c r="F57" s="16" t="n"/>
      <c r="G57" s="16" t="n"/>
      <c r="H57" s="16" t="n"/>
      <c r="I57" s="16" t="n"/>
      <c r="J57" s="16" t="n"/>
      <c r="K57" s="16" t="n"/>
      <c r="L57" s="16" t="n"/>
      <c r="M57" s="16" t="n"/>
      <c r="N57" s="16" t="n"/>
      <c r="O57" s="16" t="n"/>
      <c r="P57" s="16" t="n"/>
      <c r="Q57" s="16" t="n"/>
      <c r="R57" s="16" t="n"/>
      <c r="S57" s="17" t="n"/>
      <c r="T57" s="15" t="n"/>
    </row>
    <row r="58">
      <c r="A58" t="n">
        <v>4</v>
      </c>
      <c r="B58" s="21" t="inlineStr">
        <is>
          <t>Authentication systems (AD, LDAP, SSO) generating logs</t>
        </is>
      </c>
      <c r="T58" s="15" t="n"/>
    </row>
    <row r="59">
      <c r="A59" t="n">
        <v>5</v>
      </c>
      <c r="B59" s="21" t="inlineStr">
        <is>
          <t>Cloud services generating logs (AWS, Azure, O365)</t>
        </is>
      </c>
      <c r="T59" s="15" t="n"/>
    </row>
    <row r="60">
      <c r="A60" t="n">
        <v>6</v>
      </c>
      <c r="B60" s="21" t="inlineStr">
        <is>
          <t>Critical applications generating logs</t>
        </is>
      </c>
      <c r="T60" s="15" t="n"/>
    </row>
    <row r="61">
      <c r="A61" t="n">
        <v>7</v>
      </c>
      <c r="B61" s="21" t="inlineStr">
        <is>
          <t>Endpoints (workstations, laptops) generating logs where required</t>
        </is>
      </c>
      <c r="T61" s="15" t="n"/>
    </row>
    <row r="62">
      <c r="A62" t="n">
        <v>8</v>
      </c>
      <c r="B62" s="21" t="inlineStr">
        <is>
          <t>Log collection methods reliable (agents, syslog, API)</t>
        </is>
      </c>
      <c r="T62" s="15" t="n"/>
    </row>
    <row r="63">
      <c r="A63" t="n">
        <v>9</v>
      </c>
      <c r="B63" s="21" t="inlineStr">
        <is>
          <t>Log volume monitored and within capacity</t>
        </is>
      </c>
      <c r="T63" s="15" t="n"/>
    </row>
    <row r="64">
      <c r="A64" t="n">
        <v>10</v>
      </c>
      <c r="B64" s="21" t="inlineStr">
        <is>
          <t>Log retention periods meet policy requirements (min 90 days for critical)</t>
        </is>
      </c>
      <c r="T64" s="15" t="n"/>
    </row>
    <row r="65">
      <c r="A65" t="n">
        <v>11</v>
      </c>
      <c r="B65" s="21" t="inlineStr">
        <is>
          <t>Parsing configured for all critical log sources</t>
        </is>
      </c>
      <c r="T65" s="15" t="n"/>
    </row>
    <row r="66">
      <c r="A66" t="n">
        <v>12</v>
      </c>
      <c r="B66" s="21" t="inlineStr">
        <is>
          <t>SIEM integration functional for all critical sources</t>
        </is>
      </c>
      <c r="T66" s="15" t="n"/>
    </row>
    <row r="67">
      <c r="A67" t="n">
        <v>13</v>
      </c>
      <c r="B67" s="21" t="inlineStr">
        <is>
          <t>Log collection verified within last 30 days</t>
        </is>
      </c>
      <c r="T67" s="15" t="n"/>
    </row>
    <row r="68">
      <c r="A68" t="n">
        <v>14</v>
      </c>
      <c r="B68" s="21" t="inlineStr">
        <is>
          <t>Gaps documented with remediation plans</t>
        </is>
      </c>
      <c r="T68" s="15" t="n"/>
    </row>
    <row r="69">
      <c r="A69" t="n">
        <v>15</v>
      </c>
      <c r="B69" s="21" t="inlineStr">
        <is>
          <t>Coverage assessed quarterly</t>
        </is>
      </c>
      <c r="T69" s="15" t="n"/>
    </row>
    <row r="70">
      <c r="A70" s="22" t="inlineStr">
        <is>
          <t>SCORE:</t>
        </is>
      </c>
      <c r="B70" s="23">
        <f>COUNTIF(T55:T69,"✅ Compliant")&amp;" / 15"</f>
        <v/>
      </c>
    </row>
    <row r="75">
      <c r="A75" s="28" t="inlineStr">
        <is>
          <t>REFERENCE: CRITICAL SYSTEM TYPES REQUIRING LOG COLLECTION</t>
        </is>
      </c>
    </row>
    <row r="76">
      <c r="A76" s="18" t="inlineStr">
        <is>
          <t>System Type</t>
        </is>
      </c>
      <c r="B76" s="16" t="n"/>
      <c r="C76" s="16" t="n"/>
      <c r="D76" s="16" t="n"/>
      <c r="E76" s="16" t="n"/>
      <c r="F76" s="16" t="n"/>
      <c r="G76" s="17" t="n"/>
      <c r="H76" s="18" t="inlineStr">
        <is>
          <t>Required Log Types</t>
        </is>
      </c>
      <c r="I76" s="16" t="n"/>
      <c r="J76" s="16" t="n"/>
      <c r="K76" s="16" t="n"/>
      <c r="L76" s="16" t="n"/>
      <c r="M76" s="16" t="n"/>
      <c r="N76" s="17" t="n"/>
      <c r="O76" s="18" t="inlineStr">
        <is>
          <t>Minimum Retention</t>
        </is>
      </c>
      <c r="P76" s="16" t="n"/>
      <c r="Q76" s="16" t="n"/>
      <c r="R76" s="16" t="n"/>
      <c r="S76" s="16" t="n"/>
      <c r="T76" s="17" t="n"/>
    </row>
    <row r="77">
      <c r="A77" s="29" t="inlineStr">
        <is>
          <t>Domain Controllers</t>
        </is>
      </c>
      <c r="H77" s="21" t="inlineStr">
        <is>
          <t>Security, System, Directory Service</t>
        </is>
      </c>
      <c r="O77" t="inlineStr">
        <is>
          <t>365 days</t>
        </is>
      </c>
    </row>
    <row r="78">
      <c r="A78" s="29" t="inlineStr">
        <is>
          <t>Database Servers</t>
        </is>
      </c>
      <c r="H78" s="21" t="inlineStr">
        <is>
          <t>Audit, Error, Query logs</t>
        </is>
      </c>
      <c r="O78" t="inlineStr">
        <is>
          <t>365 days</t>
        </is>
      </c>
    </row>
    <row r="79">
      <c r="A79" s="29" t="inlineStr">
        <is>
          <t>Web Servers</t>
        </is>
      </c>
      <c r="H79" s="21" t="inlineStr">
        <is>
          <t>Access, Error, Security</t>
        </is>
      </c>
      <c r="O79" t="inlineStr">
        <is>
          <t>180 days</t>
        </is>
      </c>
    </row>
    <row r="80">
      <c r="A80" s="29" t="inlineStr">
        <is>
          <t>Firewalls</t>
        </is>
      </c>
      <c r="H80" s="21" t="inlineStr">
        <is>
          <t>Traffic, Deny, Alert</t>
        </is>
      </c>
      <c r="O80" t="inlineStr">
        <is>
          <t>365 days</t>
        </is>
      </c>
    </row>
    <row r="81">
      <c r="A81" s="29" t="inlineStr">
        <is>
          <t>VPN Gateways</t>
        </is>
      </c>
      <c r="H81" s="21" t="inlineStr">
        <is>
          <t>Authentication, Connection, Error</t>
        </is>
      </c>
      <c r="O81" t="inlineStr">
        <is>
          <t>180 days</t>
        </is>
      </c>
    </row>
    <row r="82">
      <c r="A82" s="29" t="inlineStr">
        <is>
          <t>Email Servers</t>
        </is>
      </c>
      <c r="H82" s="21" t="inlineStr">
        <is>
          <t>Message tracking, Security</t>
        </is>
      </c>
      <c r="O82" t="inlineStr">
        <is>
          <t>180 days</t>
        </is>
      </c>
    </row>
    <row r="83">
      <c r="A83" s="29" t="inlineStr">
        <is>
          <t>Cloud Services (AWS/Azure/O365)</t>
        </is>
      </c>
      <c r="H83" s="21" t="inlineStr">
        <is>
          <t>Activity, Security, Configuration</t>
        </is>
      </c>
      <c r="O83" t="inlineStr">
        <is>
          <t>365 days</t>
        </is>
      </c>
    </row>
  </sheetData>
  <mergeCells count="80">
    <mergeCell ref="H80:N80"/>
    <mergeCell ref="A48:E48"/>
    <mergeCell ref="P51:T51"/>
    <mergeCell ref="A45:E45"/>
    <mergeCell ref="P50:T50"/>
    <mergeCell ref="K51:O51"/>
    <mergeCell ref="O80:T80"/>
    <mergeCell ref="P49:T49"/>
    <mergeCell ref="A46:E46"/>
    <mergeCell ref="F45:J45"/>
    <mergeCell ref="O79:T79"/>
    <mergeCell ref="B64:S64"/>
    <mergeCell ref="A79:G79"/>
    <mergeCell ref="F47:J47"/>
    <mergeCell ref="O81:T81"/>
    <mergeCell ref="H83:N83"/>
    <mergeCell ref="A2:T2"/>
    <mergeCell ref="F46:J46"/>
    <mergeCell ref="B63:S63"/>
    <mergeCell ref="O78:T78"/>
    <mergeCell ref="F48:J48"/>
    <mergeCell ref="B66:S66"/>
    <mergeCell ref="A49:E49"/>
    <mergeCell ref="B67:S67"/>
    <mergeCell ref="B61:S61"/>
    <mergeCell ref="K45:O45"/>
    <mergeCell ref="B69:S69"/>
    <mergeCell ref="F51:J51"/>
    <mergeCell ref="A77:G77"/>
    <mergeCell ref="A83:G83"/>
    <mergeCell ref="K47:O47"/>
    <mergeCell ref="K44:O44"/>
    <mergeCell ref="K46:O46"/>
    <mergeCell ref="F50:J50"/>
    <mergeCell ref="B55:S55"/>
    <mergeCell ref="A78:G78"/>
    <mergeCell ref="B54:S54"/>
    <mergeCell ref="A80:G80"/>
    <mergeCell ref="A53:T53"/>
    <mergeCell ref="F49:J49"/>
    <mergeCell ref="B56:S56"/>
    <mergeCell ref="B58:S58"/>
    <mergeCell ref="K49:O49"/>
    <mergeCell ref="P45:T45"/>
    <mergeCell ref="B60:S60"/>
    <mergeCell ref="H77:N77"/>
    <mergeCell ref="B57:S57"/>
    <mergeCell ref="P44:T44"/>
    <mergeCell ref="A1:T1"/>
    <mergeCell ref="A82:G82"/>
    <mergeCell ref="H78:N78"/>
    <mergeCell ref="A50:E50"/>
    <mergeCell ref="O82:T82"/>
    <mergeCell ref="A47:E47"/>
    <mergeCell ref="O77:T77"/>
    <mergeCell ref="K48:O48"/>
    <mergeCell ref="B62:S62"/>
    <mergeCell ref="H79:N79"/>
    <mergeCell ref="B59:S59"/>
    <mergeCell ref="O83:T83"/>
    <mergeCell ref="A43:T43"/>
    <mergeCell ref="A44:E44"/>
    <mergeCell ref="H81:N81"/>
    <mergeCell ref="F44:J44"/>
    <mergeCell ref="A51:E51"/>
    <mergeCell ref="A81:G81"/>
    <mergeCell ref="H76:N76"/>
    <mergeCell ref="B4:E4"/>
    <mergeCell ref="H82:N82"/>
    <mergeCell ref="P46:T46"/>
    <mergeCell ref="K50:O50"/>
    <mergeCell ref="B65:S65"/>
    <mergeCell ref="A75:T75"/>
    <mergeCell ref="B68:S68"/>
    <mergeCell ref="O76:T76"/>
    <mergeCell ref="P48:T48"/>
    <mergeCell ref="A3:T3"/>
    <mergeCell ref="B70:E70"/>
    <mergeCell ref="P47:T47"/>
    <mergeCell ref="A76:G76"/>
  </mergeCells>
  <dataValidations count="8">
    <dataValidation sqref="Q8 Q9 Q10 Q11 Q12 Q13 Q14 Q15 Q16 Q17 Q18 Q19 Q20 Q21 Q22 Q23 Q24 Q25 Q26 Q27 Q28 Q29 Q30 Q31 Q32 Q33 Q34 Q35 Q36 Q37 Q38 Q39 Q40 Q41 Q42 Q43 Q44 Q45 Q46 Q47 Q48 Q49 Q50 Q51 Q52 Q53 Q54 Q55 Q56 Q57 T55 T56 T57 T58 T59 T60 T61 T62 T63 T64 T65 T66 T67 T68 T69" showDropDown="0" showInputMessage="0" showErrorMessage="0" allowBlank="0" type="list">
      <formula1>"✅ Compliant,⚠️ Partial,❌ Non-Compliant,N/A"</formula1>
    </dataValidation>
    <dataValidation sqref="T8 T9 T10 T11 T12 T13 T14 T15 T16 T17 T18 T19 T20 T21 T22 T23 T24 T25 T26 T27 T28 T29 T30 T31 T32 T33 T34 T35 T36 T37 T38 T39 T40 T41 T42 T43 T44 T45 T46 T47 T48 T49 T50 T51 T52 T53 T54 T55 T56 T57" showDropDown="0" showInputMessage="0" showErrorMessage="0" allowBlank="0" type="list">
      <formula1>"Critical,High,Medium,Low,None"</formula1>
    </dataValidation>
    <dataValidation sqref="B8 B9 B10 B11 B12 B13 B14 B15 B16 B17 B18 B19 B20 B21 B22 B23 B24 B25 B26 B27 B28 B29 B30 B31 B32 B33 B34 B35 B36 B37 B38 B39 B40 B41 B42 B43 B44 B45 B46 B47 B48 B49 B50 B51 B52 B53 B54 B55 B56 B57" showDropDown="0" showInputMessage="0" showErrorMessage="0" allowBlank="0" type="list">
      <formula1>"Server,Network Device,Security Appliance,Endpoint,Cloud Service,Database,Application"</formula1>
    </dataValidation>
    <dataValidation sqref="C8 C9 C10 C11 C12 C13 C14 C15 C16 C17 C18 C19 C20 C21 C22 C23 C24 C25 C26 C27 C28 C29 C30 C31 C32 C33 C34 C35 C36 C37 C38 C39 C40 C41 C42 C43 C44 C45 C46 C47 C48 C49 C50 C51 C52 C53 C54 C55 C56 C57" showDropDown="0" showInputMessage="0" showErrorMessage="0" allowBlank="0" type="list">
      <formula1>"Critical,High,Medium,Low"</formula1>
    </dataValidation>
    <dataValidation sqref="N8 N9 N10 N11 N12 N13 N14 N15 N16 N17 N18 N19 N20 N21 N22 N23 N24 N25 N26 N27 N28 N29 N30 N31 N32 N33 N34 N35 N36 N37 N38 N39 N40 N41 N42 N43 N44 N45 N46 N47 N48 N49 N50 N51 N52 N53 N54 N55 N56 N57" showDropDown="0" showInputMessage="0" showErrorMessage="0" allowBlank="0" type="list">
      <formula1>"✅ Collecting,⚠️ Partial,❌ Not Collecting,↻ Planned"</formula1>
    </dataValidation>
    <dataValidation sqref="H8 H9 H10 H11 H12 H13 H14 H15 H16 H17 H18 H19 H20 H21 H22 H23 H24 H25 H26 H27 H28 H29 H30 H31 H32 H33 H34 H35 H36 H37 H38 H39 H40 H41 H42 H43 H44 H45 H46 H47 H48 H49 H50 H51 H52 H53 H54 H55 H56 H57" showDropDown="0" showInputMessage="0" showErrorMessage="0" allowBlank="0" type="list">
      <formula1>"Agent,Syslog,API,NetFlow,SNMP,WMI,Other"</formula1>
    </dataValidation>
    <dataValidation sqref="I8 I9 I10 I11 I12 I13 I14 I15 I16 I17 I18 I19 I20 I21 I22 I23 I24 I25 I26 I27 I28 I29 I30 I31 I32 I33 I34 I35 I36 I37 I38 I39 I40 I41 I42 I43 I44 I45 I46 I47 I48 I49 I50 I51 I52 I53 I54 I55 I56 I57" showDropDown="0" showInputMessage="0" showErrorMessage="0" allowBlank="0" type="list">
      <formula1>"Syslog TCP,Syslog UDP,Syslog TLS,HTTP/S,API,Agent,SNMP,NetFlow,Other"</formula1>
    </dataValidation>
    <dataValidation sqref="P8 P9 P10 P11 P12 P13 P14 P15 P16 P17 P18 P19 P20 P21 P22 P23 P24 P25 P26 P27 P28 P29 P30 P31 P32 P33 P34 P35 P36 P37 P38 P39 P40 P41 P42 P43 P44 P45 P46 P47 P48 P49 P50 P51 P52 P53 P54 P55 P56 P57" showDropDown="0" showInputMessage="0" showErrorMessage="0" allowBlank="0" type="list">
      <formula1>"High,Medium,Low,Unknown"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85"/>
  <sheetViews>
    <sheetView showGridLines="0" workbookViewId="0">
      <selection activeCell="A1" sqref="A1"/>
    </sheetView>
  </sheetViews>
  <sheetFormatPr baseColWidth="8" defaultRowHeight="15"/>
  <cols>
    <col width="28" customWidth="1" min="1" max="1"/>
    <col width="22" customWidth="1" min="2" max="2"/>
    <col width="30" customWidth="1" min="3" max="3"/>
    <col width="20" customWidth="1" min="4" max="4"/>
    <col width="18" customWidth="1" min="5" max="5"/>
    <col width="22"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6" customWidth="1" min="14" max="14"/>
    <col width="20" customWidth="1" min="15" max="15"/>
    <col width="18" customWidth="1" min="16" max="16"/>
    <col width="30" customWidth="1" min="17" max="17"/>
    <col width="15" customWidth="1" min="18" max="18"/>
  </cols>
  <sheetData>
    <row r="1" ht="35" customHeight="1">
      <c r="A1" s="11" t="inlineStr">
        <is>
          <t>3. DATA COLLECTION ARCHITECTURE ASSESSMENT</t>
        </is>
      </c>
    </row>
    <row r="2">
      <c r="A2" s="12" t="inlineStr">
        <is>
          <t>Policy Reference: ISMS-POL-A.8.16-S2.1.3 - Assess data collection architecture</t>
        </is>
      </c>
    </row>
    <row r="3">
      <c r="A3" s="13" t="inlineStr">
        <is>
          <t>Is your log collection architecture reliable, secure, and scalable?</t>
        </is>
      </c>
    </row>
    <row r="6">
      <c r="A6" s="18" t="inlineStr">
        <is>
          <t>Collection Component</t>
        </is>
      </c>
      <c r="B6" s="18" t="inlineStr">
        <is>
          <t>Component Type</t>
        </is>
      </c>
      <c r="C6" s="18" t="inlineStr">
        <is>
          <t>Purpose/Function</t>
        </is>
      </c>
      <c r="D6" s="18" t="inlineStr">
        <is>
          <t>Protocol Used</t>
        </is>
      </c>
      <c r="E6" s="18" t="inlineStr">
        <is>
          <t>Encryption Status</t>
        </is>
      </c>
      <c r="F6" s="18" t="inlineStr">
        <is>
          <t>Authentication Method</t>
        </is>
      </c>
      <c r="G6" s="18" t="inlineStr">
        <is>
          <t>Throughput Capacity</t>
        </is>
      </c>
      <c r="H6" s="18" t="inlineStr">
        <is>
          <t>Current Utilization %</t>
        </is>
      </c>
      <c r="I6" s="18" t="inlineStr">
        <is>
          <t>Buffer/Queue Size</t>
        </is>
      </c>
      <c r="J6" s="18" t="inlineStr">
        <is>
          <t>Failover Configured</t>
        </is>
      </c>
      <c r="K6" s="18" t="inlineStr">
        <is>
          <t>Load Balancing</t>
        </is>
      </c>
      <c r="L6" s="18" t="inlineStr">
        <is>
          <t>Monitoring Enabled</t>
        </is>
      </c>
      <c r="M6" s="18" t="inlineStr">
        <is>
          <t>Health Check Interval</t>
        </is>
      </c>
      <c r="N6" s="18" t="inlineStr">
        <is>
          <t>Last Maintenance</t>
        </is>
      </c>
      <c r="O6" s="18" t="inlineStr">
        <is>
          <t>Implementation Status</t>
        </is>
      </c>
      <c r="P6" s="18" t="inlineStr">
        <is>
          <t>Compliance Status</t>
        </is>
      </c>
      <c r="Q6" s="18" t="inlineStr">
        <is>
          <t>Issues/Gaps</t>
        </is>
      </c>
      <c r="R6" s="18" t="inlineStr">
        <is>
          <t>Priority</t>
        </is>
      </c>
    </row>
    <row r="7">
      <c r="A7" s="19" t="inlineStr">
        <is>
          <t>Syslog Forwarder Cluster</t>
        </is>
      </c>
      <c r="B7" s="19" t="inlineStr">
        <is>
          <t>Log Forwarder</t>
        </is>
      </c>
      <c r="C7" s="19" t="inlineStr">
        <is>
          <t>Central syslog collection</t>
        </is>
      </c>
      <c r="D7" s="19" t="inlineStr">
        <is>
          <t>Syslog TLS</t>
        </is>
      </c>
      <c r="E7" s="19" t="inlineStr">
        <is>
          <t>TLS 1.3</t>
        </is>
      </c>
      <c r="F7" s="19" t="inlineStr">
        <is>
          <t>Certificate-based</t>
        </is>
      </c>
      <c r="G7" s="19" t="inlineStr">
        <is>
          <t>100K EPS</t>
        </is>
      </c>
      <c r="H7" s="19" t="inlineStr">
        <is>
          <t>65%</t>
        </is>
      </c>
      <c r="I7" s="19" t="inlineStr">
        <is>
          <t>10GB</t>
        </is>
      </c>
      <c r="J7" s="19" t="inlineStr">
        <is>
          <t>Yes</t>
        </is>
      </c>
      <c r="K7" s="19" t="inlineStr">
        <is>
          <t>Yes</t>
        </is>
      </c>
      <c r="L7" s="19" t="inlineStr">
        <is>
          <t>Yes</t>
        </is>
      </c>
      <c r="M7" s="19" t="inlineStr">
        <is>
          <t>60 seconds</t>
        </is>
      </c>
      <c r="N7" s="19" t="inlineStr">
        <is>
          <t>10.12.2024</t>
        </is>
      </c>
      <c r="O7" s="19" t="inlineStr">
        <is>
          <t>✅ Deployed</t>
        </is>
      </c>
      <c r="P7" s="19" t="inlineStr">
        <is>
          <t>✅ Compliant</t>
        </is>
      </c>
      <c r="Q7" s="19" t="inlineStr">
        <is>
          <t>None</t>
        </is>
      </c>
      <c r="R7" s="19" t="inlineStr">
        <is>
          <t>None</t>
        </is>
      </c>
    </row>
    <row r="8">
      <c r="A8" s="15" t="n"/>
      <c r="B8" s="15" t="n"/>
      <c r="C8" s="15" t="n"/>
      <c r="D8" s="15" t="n"/>
      <c r="E8" s="15" t="n"/>
      <c r="F8" s="15" t="n"/>
      <c r="G8" s="15" t="n"/>
      <c r="H8" s="15" t="n"/>
      <c r="I8" s="15" t="n"/>
      <c r="J8" s="15" t="n"/>
      <c r="K8" s="15" t="n"/>
      <c r="L8" s="15" t="n"/>
      <c r="M8" s="15" t="n"/>
      <c r="N8" s="15" t="n"/>
      <c r="O8" s="15" t="n"/>
      <c r="P8" s="15" t="n"/>
      <c r="Q8" s="15" t="n"/>
      <c r="R8" s="15" t="n"/>
    </row>
    <row r="9">
      <c r="A9" s="15" t="n"/>
      <c r="B9" s="15" t="n"/>
      <c r="C9" s="15" t="n"/>
      <c r="D9" s="15" t="n"/>
      <c r="E9" s="15" t="n"/>
      <c r="F9" s="15" t="n"/>
      <c r="G9" s="15" t="n"/>
      <c r="H9" s="15" t="n"/>
      <c r="I9" s="15" t="n"/>
      <c r="J9" s="15" t="n"/>
      <c r="K9" s="15" t="n"/>
      <c r="L9" s="15" t="n"/>
      <c r="M9" s="15" t="n"/>
      <c r="N9" s="15" t="n"/>
      <c r="O9" s="15" t="n"/>
      <c r="P9" s="15" t="n"/>
      <c r="Q9" s="15" t="n"/>
      <c r="R9" s="15" t="n"/>
    </row>
    <row r="10">
      <c r="A10" s="15" t="n"/>
      <c r="B10" s="15" t="n"/>
      <c r="C10" s="15" t="n"/>
      <c r="D10" s="15" t="n"/>
      <c r="E10" s="15" t="n"/>
      <c r="F10" s="15" t="n"/>
      <c r="G10" s="15" t="n"/>
      <c r="H10" s="15" t="n"/>
      <c r="I10" s="15" t="n"/>
      <c r="J10" s="15" t="n"/>
      <c r="K10" s="15" t="n"/>
      <c r="L10" s="15" t="n"/>
      <c r="M10" s="15" t="n"/>
      <c r="N10" s="15" t="n"/>
      <c r="O10" s="15" t="n"/>
      <c r="P10" s="15" t="n"/>
      <c r="Q10" s="15" t="n"/>
      <c r="R10" s="15" t="n"/>
    </row>
    <row r="11">
      <c r="A11" s="15" t="n"/>
      <c r="B11" s="15" t="n"/>
      <c r="C11" s="15" t="n"/>
      <c r="D11" s="15" t="n"/>
      <c r="E11" s="15" t="n"/>
      <c r="F11" s="15" t="n"/>
      <c r="G11" s="15" t="n"/>
      <c r="H11" s="15" t="n"/>
      <c r="I11" s="15" t="n"/>
      <c r="J11" s="15" t="n"/>
      <c r="K11" s="15" t="n"/>
      <c r="L11" s="15" t="n"/>
      <c r="M11" s="15" t="n"/>
      <c r="N11" s="15" t="n"/>
      <c r="O11" s="15" t="n"/>
      <c r="P11" s="15" t="n"/>
      <c r="Q11" s="15" t="n"/>
      <c r="R11" s="15" t="n"/>
    </row>
    <row r="12">
      <c r="A12" s="15" t="n"/>
      <c r="B12" s="15" t="n"/>
      <c r="C12" s="15" t="n"/>
      <c r="D12" s="15" t="n"/>
      <c r="E12" s="15" t="n"/>
      <c r="F12" s="15" t="n"/>
      <c r="G12" s="15" t="n"/>
      <c r="H12" s="15" t="n"/>
      <c r="I12" s="15" t="n"/>
      <c r="J12" s="15" t="n"/>
      <c r="K12" s="15" t="n"/>
      <c r="L12" s="15" t="n"/>
      <c r="M12" s="15" t="n"/>
      <c r="N12" s="15" t="n"/>
      <c r="O12" s="15" t="n"/>
      <c r="P12" s="15" t="n"/>
      <c r="Q12" s="15" t="n"/>
      <c r="R12" s="15" t="n"/>
    </row>
    <row r="13">
      <c r="A13" s="15" t="n"/>
      <c r="B13" s="15" t="n"/>
      <c r="C13" s="15" t="n"/>
      <c r="D13" s="15" t="n"/>
      <c r="E13" s="15" t="n"/>
      <c r="F13" s="15" t="n"/>
      <c r="G13" s="15" t="n"/>
      <c r="H13" s="15" t="n"/>
      <c r="I13" s="15" t="n"/>
      <c r="J13" s="15" t="n"/>
      <c r="K13" s="15" t="n"/>
      <c r="L13" s="15" t="n"/>
      <c r="M13" s="15" t="n"/>
      <c r="N13" s="15" t="n"/>
      <c r="O13" s="15" t="n"/>
      <c r="P13" s="15" t="n"/>
      <c r="Q13" s="15" t="n"/>
      <c r="R13" s="15" t="n"/>
    </row>
    <row r="14">
      <c r="A14" s="15" t="n"/>
      <c r="B14" s="15" t="n"/>
      <c r="C14" s="15" t="n"/>
      <c r="D14" s="15" t="n"/>
      <c r="E14" s="15" t="n"/>
      <c r="F14" s="15" t="n"/>
      <c r="G14" s="15" t="n"/>
      <c r="H14" s="15" t="n"/>
      <c r="I14" s="15" t="n"/>
      <c r="J14" s="15" t="n"/>
      <c r="K14" s="15" t="n"/>
      <c r="L14" s="15" t="n"/>
      <c r="M14" s="15" t="n"/>
      <c r="N14" s="15" t="n"/>
      <c r="O14" s="15" t="n"/>
      <c r="P14" s="15" t="n"/>
      <c r="Q14" s="15" t="n"/>
      <c r="R14" s="15" t="n"/>
    </row>
    <row r="15">
      <c r="A15" s="15" t="n"/>
      <c r="B15" s="15" t="n"/>
      <c r="C15" s="15" t="n"/>
      <c r="D15" s="15" t="n"/>
      <c r="E15" s="15" t="n"/>
      <c r="F15" s="15" t="n"/>
      <c r="G15" s="15" t="n"/>
      <c r="H15" s="15" t="n"/>
      <c r="I15" s="15" t="n"/>
      <c r="J15" s="15" t="n"/>
      <c r="K15" s="15" t="n"/>
      <c r="L15" s="15" t="n"/>
      <c r="M15" s="15" t="n"/>
      <c r="N15" s="15" t="n"/>
      <c r="O15" s="15" t="n"/>
      <c r="P15" s="15" t="n"/>
      <c r="Q15" s="15" t="n"/>
      <c r="R15" s="15" t="n"/>
    </row>
    <row r="16">
      <c r="A16" s="15" t="n"/>
      <c r="B16" s="15" t="n"/>
      <c r="C16" s="15" t="n"/>
      <c r="D16" s="15" t="n"/>
      <c r="E16" s="15" t="n"/>
      <c r="F16" s="15" t="n"/>
      <c r="G16" s="15" t="n"/>
      <c r="H16" s="15" t="n"/>
      <c r="I16" s="15" t="n"/>
      <c r="J16" s="15" t="n"/>
      <c r="K16" s="15" t="n"/>
      <c r="L16" s="15" t="n"/>
      <c r="M16" s="15" t="n"/>
      <c r="N16" s="15" t="n"/>
      <c r="O16" s="15" t="n"/>
      <c r="P16" s="15" t="n"/>
      <c r="Q16" s="15" t="n"/>
      <c r="R16" s="15" t="n"/>
    </row>
    <row r="17">
      <c r="A17" s="15" t="n"/>
      <c r="B17" s="15" t="n"/>
      <c r="C17" s="15" t="n"/>
      <c r="D17" s="15" t="n"/>
      <c r="E17" s="15" t="n"/>
      <c r="F17" s="15" t="n"/>
      <c r="G17" s="15" t="n"/>
      <c r="H17" s="15" t="n"/>
      <c r="I17" s="15" t="n"/>
      <c r="J17" s="15" t="n"/>
      <c r="K17" s="15" t="n"/>
      <c r="L17" s="15" t="n"/>
      <c r="M17" s="15" t="n"/>
      <c r="N17" s="15" t="n"/>
      <c r="O17" s="15" t="n"/>
      <c r="P17" s="15" t="n"/>
      <c r="Q17" s="15" t="n"/>
      <c r="R17" s="15" t="n"/>
    </row>
    <row r="18">
      <c r="A18" s="15" t="n"/>
      <c r="B18" s="15" t="n"/>
      <c r="C18" s="15" t="n"/>
      <c r="D18" s="15" t="n"/>
      <c r="E18" s="15" t="n"/>
      <c r="F18" s="15" t="n"/>
      <c r="G18" s="15" t="n"/>
      <c r="H18" s="15" t="n"/>
      <c r="I18" s="15" t="n"/>
      <c r="J18" s="15" t="n"/>
      <c r="K18" s="15" t="n"/>
      <c r="L18" s="15" t="n"/>
      <c r="M18" s="15" t="n"/>
      <c r="N18" s="15" t="n"/>
      <c r="O18" s="15" t="n"/>
      <c r="P18" s="15" t="n"/>
      <c r="Q18" s="15" t="n"/>
      <c r="R18" s="15" t="n"/>
    </row>
    <row r="19">
      <c r="A19" s="15" t="n"/>
      <c r="B19" s="15" t="n"/>
      <c r="C19" s="15" t="n"/>
      <c r="D19" s="15" t="n"/>
      <c r="E19" s="15" t="n"/>
      <c r="F19" s="15" t="n"/>
      <c r="G19" s="15" t="n"/>
      <c r="H19" s="15" t="n"/>
      <c r="I19" s="15" t="n"/>
      <c r="J19" s="15" t="n"/>
      <c r="K19" s="15" t="n"/>
      <c r="L19" s="15" t="n"/>
      <c r="M19" s="15" t="n"/>
      <c r="N19" s="15" t="n"/>
      <c r="O19" s="15" t="n"/>
      <c r="P19" s="15" t="n"/>
      <c r="Q19" s="15" t="n"/>
      <c r="R19" s="15" t="n"/>
    </row>
    <row r="20">
      <c r="A20" s="15" t="n"/>
      <c r="B20" s="15" t="n"/>
      <c r="C20" s="15" t="n"/>
      <c r="D20" s="15" t="n"/>
      <c r="E20" s="15" t="n"/>
      <c r="F20" s="15" t="n"/>
      <c r="G20" s="15" t="n"/>
      <c r="H20" s="15" t="n"/>
      <c r="I20" s="15" t="n"/>
      <c r="J20" s="15" t="n"/>
      <c r="K20" s="15" t="n"/>
      <c r="L20" s="15" t="n"/>
      <c r="M20" s="15" t="n"/>
      <c r="N20" s="15" t="n"/>
      <c r="O20" s="15" t="n"/>
      <c r="P20" s="15" t="n"/>
      <c r="Q20" s="15" t="n"/>
      <c r="R20" s="15" t="n"/>
    </row>
    <row r="21">
      <c r="A21" s="15" t="n"/>
      <c r="B21" s="15" t="n"/>
      <c r="C21" s="15" t="n"/>
      <c r="D21" s="15" t="n"/>
      <c r="E21" s="15" t="n"/>
      <c r="F21" s="15" t="n"/>
      <c r="G21" s="15" t="n"/>
      <c r="H21" s="15" t="n"/>
      <c r="I21" s="15" t="n"/>
      <c r="J21" s="15" t="n"/>
      <c r="K21" s="15" t="n"/>
      <c r="L21" s="15" t="n"/>
      <c r="M21" s="15" t="n"/>
      <c r="N21" s="15" t="n"/>
      <c r="O21" s="15" t="n"/>
      <c r="P21" s="15" t="n"/>
      <c r="Q21" s="15" t="n"/>
      <c r="R21" s="15" t="n"/>
    </row>
    <row r="22">
      <c r="A22" s="15" t="n"/>
      <c r="B22" s="15" t="n"/>
      <c r="C22" s="15" t="n"/>
      <c r="D22" s="15" t="n"/>
      <c r="E22" s="15" t="n"/>
      <c r="F22" s="15" t="n"/>
      <c r="G22" s="15" t="n"/>
      <c r="H22" s="15" t="n"/>
      <c r="I22" s="15" t="n"/>
      <c r="J22" s="15" t="n"/>
      <c r="K22" s="15" t="n"/>
      <c r="L22" s="15" t="n"/>
      <c r="M22" s="15" t="n"/>
      <c r="N22" s="15" t="n"/>
      <c r="O22" s="15" t="n"/>
      <c r="P22" s="15" t="n"/>
      <c r="Q22" s="15" t="n"/>
      <c r="R22" s="15" t="n"/>
    </row>
    <row r="23">
      <c r="A23" s="15" t="n"/>
      <c r="B23" s="15" t="n"/>
      <c r="C23" s="15" t="n"/>
      <c r="D23" s="15" t="n"/>
      <c r="E23" s="15" t="n"/>
      <c r="F23" s="15" t="n"/>
      <c r="G23" s="15" t="n"/>
      <c r="H23" s="15" t="n"/>
      <c r="I23" s="15" t="n"/>
      <c r="J23" s="15" t="n"/>
      <c r="K23" s="15" t="n"/>
      <c r="L23" s="15" t="n"/>
      <c r="M23" s="15" t="n"/>
      <c r="N23" s="15" t="n"/>
      <c r="O23" s="15" t="n"/>
      <c r="P23" s="15" t="n"/>
      <c r="Q23" s="15" t="n"/>
      <c r="R23" s="15" t="n"/>
    </row>
    <row r="24">
      <c r="A24" s="15" t="n"/>
      <c r="B24" s="15" t="n"/>
      <c r="C24" s="15" t="n"/>
      <c r="D24" s="15" t="n"/>
      <c r="E24" s="15" t="n"/>
      <c r="F24" s="15" t="n"/>
      <c r="G24" s="15" t="n"/>
      <c r="H24" s="15" t="n"/>
      <c r="I24" s="15" t="n"/>
      <c r="J24" s="15" t="n"/>
      <c r="K24" s="15" t="n"/>
      <c r="L24" s="15" t="n"/>
      <c r="M24" s="15" t="n"/>
      <c r="N24" s="15" t="n"/>
      <c r="O24" s="15" t="n"/>
      <c r="P24" s="15" t="n"/>
      <c r="Q24" s="15" t="n"/>
      <c r="R24" s="15" t="n"/>
    </row>
    <row r="25">
      <c r="A25" s="15" t="n"/>
      <c r="B25" s="15" t="n"/>
      <c r="C25" s="15" t="n"/>
      <c r="D25" s="15" t="n"/>
      <c r="E25" s="15" t="n"/>
      <c r="F25" s="15" t="n"/>
      <c r="G25" s="15" t="n"/>
      <c r="H25" s="15" t="n"/>
      <c r="I25" s="15" t="n"/>
      <c r="J25" s="15" t="n"/>
      <c r="K25" s="15" t="n"/>
      <c r="L25" s="15" t="n"/>
      <c r="M25" s="15" t="n"/>
      <c r="N25" s="15" t="n"/>
      <c r="O25" s="15" t="n"/>
      <c r="P25" s="15" t="n"/>
      <c r="Q25" s="15" t="n"/>
      <c r="R25" s="15" t="n"/>
    </row>
    <row r="26">
      <c r="A26" s="15" t="n"/>
      <c r="B26" s="15" t="n"/>
      <c r="C26" s="15" t="n"/>
      <c r="D26" s="15" t="n"/>
      <c r="E26" s="15" t="n"/>
      <c r="F26" s="15" t="n"/>
      <c r="G26" s="15" t="n"/>
      <c r="H26" s="15" t="n"/>
      <c r="I26" s="15" t="n"/>
      <c r="J26" s="15" t="n"/>
      <c r="K26" s="15" t="n"/>
      <c r="L26" s="15" t="n"/>
      <c r="M26" s="15" t="n"/>
      <c r="N26" s="15" t="n"/>
      <c r="O26" s="15" t="n"/>
      <c r="P26" s="15" t="n"/>
      <c r="Q26" s="15" t="n"/>
      <c r="R26" s="15" t="n"/>
    </row>
    <row r="27">
      <c r="A27" s="15" t="n"/>
      <c r="B27" s="15" t="n"/>
      <c r="C27" s="15" t="n"/>
      <c r="D27" s="15" t="n"/>
      <c r="E27" s="15" t="n"/>
      <c r="F27" s="15" t="n"/>
      <c r="G27" s="15" t="n"/>
      <c r="H27" s="15" t="n"/>
      <c r="I27" s="15" t="n"/>
      <c r="J27" s="15" t="n"/>
      <c r="K27" s="15" t="n"/>
      <c r="L27" s="15" t="n"/>
      <c r="M27" s="15" t="n"/>
      <c r="N27" s="15" t="n"/>
      <c r="O27" s="15" t="n"/>
      <c r="P27" s="15" t="n"/>
      <c r="Q27" s="15" t="n"/>
      <c r="R27" s="15" t="n"/>
    </row>
    <row r="28">
      <c r="A28" s="15" t="n"/>
      <c r="B28" s="15" t="n"/>
      <c r="C28" s="15" t="n"/>
      <c r="D28" s="15" t="n"/>
      <c r="E28" s="15" t="n"/>
      <c r="F28" s="15" t="n"/>
      <c r="G28" s="15" t="n"/>
      <c r="H28" s="15" t="n"/>
      <c r="I28" s="15" t="n"/>
      <c r="J28" s="15" t="n"/>
      <c r="K28" s="15" t="n"/>
      <c r="L28" s="15" t="n"/>
      <c r="M28" s="15" t="n"/>
      <c r="N28" s="15" t="n"/>
      <c r="O28" s="15" t="n"/>
      <c r="P28" s="15" t="n"/>
      <c r="Q28" s="15" t="n"/>
      <c r="R28" s="15" t="n"/>
    </row>
    <row r="29">
      <c r="A29" s="15" t="n"/>
      <c r="B29" s="15" t="n"/>
      <c r="C29" s="15" t="n"/>
      <c r="D29" s="15" t="n"/>
      <c r="E29" s="15" t="n"/>
      <c r="F29" s="15" t="n"/>
      <c r="G29" s="15" t="n"/>
      <c r="H29" s="15" t="n"/>
      <c r="I29" s="15" t="n"/>
      <c r="J29" s="15" t="n"/>
      <c r="K29" s="15" t="n"/>
      <c r="L29" s="15" t="n"/>
      <c r="M29" s="15" t="n"/>
      <c r="N29" s="15" t="n"/>
      <c r="O29" s="15" t="n"/>
      <c r="P29" s="15" t="n"/>
      <c r="Q29" s="15" t="n"/>
      <c r="R29" s="15" t="n"/>
    </row>
    <row r="30">
      <c r="A30" s="15" t="n"/>
      <c r="B30" s="15" t="n"/>
      <c r="C30" s="15" t="n"/>
      <c r="D30" s="15" t="n"/>
      <c r="E30" s="15" t="n"/>
      <c r="F30" s="15" t="n"/>
      <c r="G30" s="15" t="n"/>
      <c r="H30" s="15" t="n"/>
      <c r="I30" s="15" t="n"/>
      <c r="J30" s="15" t="n"/>
      <c r="K30" s="15" t="n"/>
      <c r="L30" s="15" t="n"/>
      <c r="M30" s="15" t="n"/>
      <c r="N30" s="15" t="n"/>
      <c r="O30" s="15" t="n"/>
      <c r="P30" s="15" t="n"/>
      <c r="Q30" s="15" t="n"/>
      <c r="R30" s="15" t="n"/>
    </row>
    <row r="31">
      <c r="A31" s="15" t="n"/>
      <c r="B31" s="15" t="n"/>
      <c r="C31" s="15" t="n"/>
      <c r="D31" s="15" t="n"/>
      <c r="E31" s="15" t="n"/>
      <c r="F31" s="15" t="n"/>
      <c r="G31" s="15" t="n"/>
      <c r="H31" s="15" t="n"/>
      <c r="I31" s="15" t="n"/>
      <c r="J31" s="15" t="n"/>
      <c r="K31" s="15" t="n"/>
      <c r="L31" s="15" t="n"/>
      <c r="M31" s="15" t="n"/>
      <c r="N31" s="15" t="n"/>
      <c r="O31" s="15" t="n"/>
      <c r="P31" s="15" t="n"/>
      <c r="Q31" s="15" t="n"/>
      <c r="R31" s="15" t="n"/>
    </row>
    <row r="32">
      <c r="A32" s="15" t="n"/>
      <c r="B32" s="15" t="n"/>
      <c r="C32" s="15" t="n"/>
      <c r="D32" s="15" t="n"/>
      <c r="E32" s="15" t="n"/>
      <c r="F32" s="15" t="n"/>
      <c r="G32" s="15" t="n"/>
      <c r="H32" s="15" t="n"/>
      <c r="I32" s="15" t="n"/>
      <c r="J32" s="15" t="n"/>
      <c r="K32" s="15" t="n"/>
      <c r="L32" s="15" t="n"/>
      <c r="M32" s="15" t="n"/>
      <c r="N32" s="15" t="n"/>
      <c r="O32" s="15" t="n"/>
      <c r="P32" s="15" t="n"/>
      <c r="Q32" s="15" t="n"/>
      <c r="R32" s="15" t="n"/>
    </row>
    <row r="33">
      <c r="A33" s="15" t="n"/>
      <c r="B33" s="15" t="n"/>
      <c r="C33" s="15" t="n"/>
      <c r="D33" s="15" t="n"/>
      <c r="E33" s="15" t="n"/>
      <c r="F33" s="15" t="n"/>
      <c r="G33" s="15" t="n"/>
      <c r="H33" s="15" t="n"/>
      <c r="I33" s="15" t="n"/>
      <c r="J33" s="15" t="n"/>
      <c r="K33" s="15" t="n"/>
      <c r="L33" s="15" t="n"/>
      <c r="M33" s="15" t="n"/>
      <c r="N33" s="15" t="n"/>
      <c r="O33" s="15" t="n"/>
      <c r="P33" s="15" t="n"/>
      <c r="Q33" s="15" t="n"/>
      <c r="R33" s="15" t="n"/>
    </row>
    <row r="34">
      <c r="A34" s="15" t="n"/>
      <c r="B34" s="15" t="n"/>
      <c r="C34" s="15" t="n"/>
      <c r="D34" s="15" t="n"/>
      <c r="E34" s="15" t="n"/>
      <c r="F34" s="15" t="n"/>
      <c r="G34" s="15" t="n"/>
      <c r="H34" s="15" t="n"/>
      <c r="I34" s="15" t="n"/>
      <c r="J34" s="15" t="n"/>
      <c r="K34" s="15" t="n"/>
      <c r="L34" s="15" t="n"/>
      <c r="M34" s="15" t="n"/>
      <c r="N34" s="15" t="n"/>
      <c r="O34" s="15" t="n"/>
      <c r="P34" s="15" t="n"/>
      <c r="Q34" s="15" t="n"/>
      <c r="R34" s="15" t="n"/>
    </row>
    <row r="35">
      <c r="A35" s="15" t="n"/>
      <c r="B35" s="15" t="n"/>
      <c r="C35" s="15" t="n"/>
      <c r="D35" s="15" t="n"/>
      <c r="E35" s="15" t="n"/>
      <c r="F35" s="15" t="n"/>
      <c r="G35" s="15" t="n"/>
      <c r="H35" s="15" t="n"/>
      <c r="I35" s="15" t="n"/>
      <c r="J35" s="15" t="n"/>
      <c r="K35" s="15" t="n"/>
      <c r="L35" s="15" t="n"/>
      <c r="M35" s="15" t="n"/>
      <c r="N35" s="15" t="n"/>
      <c r="O35" s="15" t="n"/>
      <c r="P35" s="15" t="n"/>
      <c r="Q35" s="15" t="n"/>
      <c r="R35" s="15" t="n"/>
    </row>
    <row r="36">
      <c r="A36" s="15" t="n"/>
      <c r="B36" s="15" t="n"/>
      <c r="C36" s="15" t="n"/>
      <c r="D36" s="15" t="n"/>
      <c r="E36" s="15" t="n"/>
      <c r="F36" s="15" t="n"/>
      <c r="G36" s="15" t="n"/>
      <c r="H36" s="15" t="n"/>
      <c r="I36" s="15" t="n"/>
      <c r="J36" s="15" t="n"/>
      <c r="K36" s="15" t="n"/>
      <c r="L36" s="15" t="n"/>
      <c r="M36" s="15" t="n"/>
      <c r="N36" s="15" t="n"/>
      <c r="O36" s="15" t="n"/>
      <c r="P36" s="15" t="n"/>
      <c r="Q36" s="15" t="n"/>
      <c r="R36" s="15" t="n"/>
    </row>
    <row r="37">
      <c r="A37" s="15" t="n"/>
      <c r="B37" s="15" t="n"/>
      <c r="C37" s="15" t="n"/>
      <c r="D37" s="15" t="n"/>
      <c r="E37" s="15" t="n"/>
      <c r="F37" s="15" t="n"/>
      <c r="G37" s="15" t="n"/>
      <c r="H37" s="15" t="n"/>
      <c r="I37" s="15" t="n"/>
      <c r="J37" s="15" t="n"/>
      <c r="K37" s="15" t="n"/>
      <c r="L37" s="15" t="n"/>
      <c r="M37" s="15" t="n"/>
      <c r="N37" s="15" t="n"/>
      <c r="O37" s="15" t="n"/>
      <c r="P37" s="15" t="n"/>
      <c r="Q37" s="15" t="n"/>
      <c r="R37" s="15" t="n"/>
    </row>
    <row r="38">
      <c r="A38" s="15" t="n"/>
      <c r="B38" s="15" t="n"/>
      <c r="C38" s="15" t="n"/>
      <c r="D38" s="15" t="n"/>
      <c r="E38" s="15" t="n"/>
      <c r="F38" s="15" t="n"/>
      <c r="G38" s="15" t="n"/>
      <c r="H38" s="15" t="n"/>
      <c r="I38" s="15" t="n"/>
      <c r="J38" s="15" t="n"/>
      <c r="K38" s="15" t="n"/>
      <c r="L38" s="15" t="n"/>
      <c r="M38" s="15" t="n"/>
      <c r="N38" s="15" t="n"/>
      <c r="O38" s="15" t="n"/>
      <c r="P38" s="15" t="n"/>
      <c r="Q38" s="15" t="n"/>
      <c r="R38" s="15" t="n"/>
    </row>
    <row r="39">
      <c r="A39" s="15" t="n"/>
      <c r="B39" s="15" t="n"/>
      <c r="C39" s="15" t="n"/>
      <c r="D39" s="15" t="n"/>
      <c r="E39" s="15" t="n"/>
      <c r="F39" s="15" t="n"/>
      <c r="G39" s="15" t="n"/>
      <c r="H39" s="15" t="n"/>
      <c r="I39" s="15" t="n"/>
      <c r="J39" s="15" t="n"/>
      <c r="K39" s="15" t="n"/>
      <c r="L39" s="15" t="n"/>
      <c r="M39" s="15" t="n"/>
      <c r="N39" s="15" t="n"/>
      <c r="O39" s="15" t="n"/>
      <c r="P39" s="15" t="n"/>
      <c r="Q39" s="15" t="n"/>
      <c r="R39" s="15" t="n"/>
    </row>
    <row r="40">
      <c r="A40" s="15" t="n"/>
      <c r="B40" s="15" t="n"/>
      <c r="C40" s="15" t="n"/>
      <c r="D40" s="15" t="n"/>
      <c r="E40" s="15" t="n"/>
      <c r="F40" s="15" t="n"/>
      <c r="G40" s="15" t="n"/>
      <c r="H40" s="15" t="n"/>
      <c r="I40" s="15" t="n"/>
      <c r="J40" s="15" t="n"/>
      <c r="K40" s="15" t="n"/>
      <c r="L40" s="15" t="n"/>
      <c r="M40" s="15" t="n"/>
      <c r="N40" s="15" t="n"/>
      <c r="O40" s="15" t="n"/>
      <c r="P40" s="15" t="n"/>
      <c r="Q40" s="15" t="n"/>
      <c r="R40" s="15" t="n"/>
    </row>
    <row r="41">
      <c r="A41" s="15" t="n"/>
      <c r="B41" s="15" t="n"/>
      <c r="C41" s="15" t="n"/>
      <c r="D41" s="15" t="n"/>
      <c r="E41" s="15" t="n"/>
      <c r="F41" s="15" t="n"/>
      <c r="G41" s="15" t="n"/>
      <c r="H41" s="15" t="n"/>
      <c r="I41" s="15" t="n"/>
      <c r="J41" s="15" t="n"/>
      <c r="K41" s="15" t="n"/>
      <c r="L41" s="15" t="n"/>
      <c r="M41" s="15" t="n"/>
      <c r="N41" s="15" t="n"/>
      <c r="O41" s="15" t="n"/>
      <c r="P41" s="15" t="n"/>
      <c r="Q41" s="15" t="n"/>
      <c r="R41" s="15" t="n"/>
    </row>
    <row r="42">
      <c r="A42" s="15" t="n"/>
      <c r="B42" s="15" t="n"/>
      <c r="C42" s="15" t="n"/>
      <c r="D42" s="15" t="n"/>
      <c r="E42" s="15" t="n"/>
      <c r="F42" s="15" t="n"/>
      <c r="G42" s="15" t="n"/>
      <c r="H42" s="15" t="n"/>
      <c r="I42" s="15" t="n"/>
      <c r="J42" s="15" t="n"/>
      <c r="K42" s="15" t="n"/>
      <c r="L42" s="15" t="n"/>
      <c r="M42" s="15" t="n"/>
      <c r="N42" s="15" t="n"/>
      <c r="O42" s="15" t="n"/>
      <c r="P42" s="15" t="n"/>
      <c r="Q42" s="15" t="n"/>
      <c r="R42" s="15" t="n"/>
    </row>
    <row r="43">
      <c r="A43" s="15" t="n"/>
      <c r="B43" s="15" t="n"/>
      <c r="C43" s="15" t="n"/>
      <c r="D43" s="15" t="n"/>
      <c r="E43" s="15" t="n"/>
      <c r="F43" s="15" t="n"/>
      <c r="G43" s="15" t="n"/>
      <c r="H43" s="15" t="n"/>
      <c r="I43" s="15" t="n"/>
      <c r="J43" s="15" t="n"/>
      <c r="K43" s="15" t="n"/>
      <c r="L43" s="15" t="n"/>
      <c r="M43" s="15" t="n"/>
      <c r="N43" s="15" t="n"/>
      <c r="O43" s="15" t="n"/>
      <c r="P43" s="15" t="n"/>
      <c r="Q43" s="15" t="n"/>
      <c r="R43" s="15" t="n"/>
    </row>
    <row r="44">
      <c r="A44" s="15" t="n"/>
      <c r="B44" s="15" t="n"/>
      <c r="C44" s="15" t="n"/>
      <c r="D44" s="15" t="n"/>
      <c r="E44" s="15" t="n"/>
      <c r="F44" s="15" t="n"/>
      <c r="G44" s="15" t="n"/>
      <c r="H44" s="15" t="n"/>
      <c r="I44" s="15" t="n"/>
      <c r="J44" s="15" t="n"/>
      <c r="K44" s="15" t="n"/>
      <c r="L44" s="15" t="n"/>
      <c r="M44" s="15" t="n"/>
      <c r="N44" s="15" t="n"/>
      <c r="O44" s="15" t="n"/>
      <c r="P44" s="15" t="n"/>
      <c r="Q44" s="15" t="n"/>
      <c r="R44" s="15" t="n"/>
    </row>
    <row r="45">
      <c r="A45" s="15" t="n"/>
      <c r="B45" s="15" t="n"/>
      <c r="C45" s="15" t="n"/>
      <c r="D45" s="15" t="n"/>
      <c r="E45" s="15" t="n"/>
      <c r="F45" s="15" t="n"/>
      <c r="G45" s="15" t="n"/>
      <c r="H45" s="15" t="n"/>
      <c r="I45" s="15" t="n"/>
      <c r="J45" s="15" t="n"/>
      <c r="K45" s="15" t="n"/>
      <c r="L45" s="15" t="n"/>
      <c r="M45" s="15" t="n"/>
      <c r="N45" s="15" t="n"/>
      <c r="O45" s="15" t="n"/>
      <c r="P45" s="15" t="n"/>
      <c r="Q45" s="15" t="n"/>
      <c r="R45" s="15" t="n"/>
    </row>
    <row r="46">
      <c r="A46" s="15" t="n"/>
      <c r="B46" s="15" t="n"/>
      <c r="C46" s="15" t="n"/>
      <c r="D46" s="15" t="n"/>
      <c r="E46" s="15" t="n"/>
      <c r="F46" s="15" t="n"/>
      <c r="G46" s="15" t="n"/>
      <c r="H46" s="15" t="n"/>
      <c r="I46" s="15" t="n"/>
      <c r="J46" s="15" t="n"/>
      <c r="K46" s="15" t="n"/>
      <c r="L46" s="15" t="n"/>
      <c r="M46" s="15" t="n"/>
      <c r="N46" s="15" t="n"/>
      <c r="O46" s="15" t="n"/>
      <c r="P46" s="15" t="n"/>
      <c r="Q46" s="15" t="n"/>
      <c r="R46" s="15" t="n"/>
    </row>
    <row r="47">
      <c r="A47" s="15" t="n"/>
      <c r="B47" s="15" t="n"/>
      <c r="C47" s="15" t="n"/>
      <c r="D47" s="15" t="n"/>
      <c r="E47" s="15" t="n"/>
      <c r="F47" s="15" t="n"/>
      <c r="G47" s="15" t="n"/>
      <c r="H47" s="15" t="n"/>
      <c r="I47" s="15" t="n"/>
      <c r="J47" s="15" t="n"/>
      <c r="K47" s="15" t="n"/>
      <c r="L47" s="15" t="n"/>
      <c r="M47" s="15" t="n"/>
      <c r="N47" s="15" t="n"/>
      <c r="O47" s="15" t="n"/>
      <c r="P47" s="15" t="n"/>
      <c r="Q47" s="15" t="n"/>
      <c r="R47" s="15" t="n"/>
    </row>
    <row r="48">
      <c r="A48" s="15" t="n"/>
      <c r="B48" s="15" t="n"/>
      <c r="C48" s="15" t="n"/>
      <c r="D48" s="15" t="n"/>
      <c r="E48" s="15" t="n"/>
      <c r="F48" s="15" t="n"/>
      <c r="G48" s="15" t="n"/>
      <c r="H48" s="15" t="n"/>
      <c r="I48" s="15" t="n"/>
      <c r="J48" s="15" t="n"/>
      <c r="K48" s="15" t="n"/>
      <c r="L48" s="15" t="n"/>
      <c r="M48" s="15" t="n"/>
      <c r="N48" s="15" t="n"/>
      <c r="O48" s="15" t="n"/>
      <c r="P48" s="15" t="n"/>
      <c r="Q48" s="15" t="n"/>
      <c r="R48" s="15" t="n"/>
    </row>
    <row r="49">
      <c r="A49" s="15" t="n"/>
      <c r="B49" s="15" t="n"/>
      <c r="C49" s="15" t="n"/>
      <c r="D49" s="15" t="n"/>
      <c r="E49" s="15" t="n"/>
      <c r="F49" s="15" t="n"/>
      <c r="G49" s="15" t="n"/>
      <c r="H49" s="15" t="n"/>
      <c r="I49" s="15" t="n"/>
      <c r="J49" s="15" t="n"/>
      <c r="K49" s="15" t="n"/>
      <c r="L49" s="15" t="n"/>
      <c r="M49" s="15" t="n"/>
      <c r="N49" s="15" t="n"/>
      <c r="O49" s="15" t="n"/>
      <c r="P49" s="15" t="n"/>
      <c r="Q49" s="15" t="n"/>
      <c r="R49" s="15" t="n"/>
    </row>
    <row r="50">
      <c r="A50" s="15" t="n"/>
      <c r="B50" s="15" t="n"/>
      <c r="C50" s="15" t="n"/>
      <c r="D50" s="15" t="n"/>
      <c r="E50" s="15" t="n"/>
      <c r="F50" s="15" t="n"/>
      <c r="G50" s="15" t="n"/>
      <c r="H50" s="15" t="n"/>
      <c r="I50" s="15" t="n"/>
      <c r="J50" s="15" t="n"/>
      <c r="K50" s="15" t="n"/>
      <c r="L50" s="15" t="n"/>
      <c r="M50" s="15" t="n"/>
      <c r="N50" s="15" t="n"/>
      <c r="O50" s="15" t="n"/>
      <c r="P50" s="15" t="n"/>
      <c r="Q50" s="15" t="n"/>
      <c r="R50" s="15" t="n"/>
    </row>
    <row r="51">
      <c r="A51" s="15" t="n"/>
      <c r="B51" s="15" t="n"/>
      <c r="C51" s="15" t="n"/>
      <c r="D51" s="15" t="n"/>
      <c r="E51" s="15" t="n"/>
      <c r="F51" s="15" t="n"/>
      <c r="G51" s="15" t="n"/>
      <c r="H51" s="15" t="n"/>
      <c r="I51" s="15" t="n"/>
      <c r="J51" s="15" t="n"/>
      <c r="K51" s="15" t="n"/>
      <c r="L51" s="15" t="n"/>
      <c r="M51" s="15" t="n"/>
      <c r="N51" s="15" t="n"/>
      <c r="O51" s="15" t="n"/>
      <c r="P51" s="15" t="n"/>
      <c r="Q51" s="15" t="n"/>
      <c r="R51" s="15" t="n"/>
    </row>
    <row r="52">
      <c r="A52" s="15" t="n"/>
      <c r="B52" s="15" t="n"/>
      <c r="C52" s="15" t="n"/>
      <c r="D52" s="15" t="n"/>
      <c r="E52" s="15" t="n"/>
      <c r="F52" s="15" t="n"/>
      <c r="G52" s="15" t="n"/>
      <c r="H52" s="15" t="n"/>
      <c r="I52" s="15" t="n"/>
      <c r="J52" s="15" t="n"/>
      <c r="K52" s="15" t="n"/>
      <c r="L52" s="15" t="n"/>
      <c r="M52" s="15" t="n"/>
      <c r="N52" s="15" t="n"/>
      <c r="O52" s="15" t="n"/>
      <c r="P52" s="15" t="n"/>
      <c r="Q52" s="15" t="n"/>
      <c r="R52" s="15" t="n"/>
    </row>
    <row r="53">
      <c r="A53" s="15" t="n"/>
      <c r="B53" s="15" t="n"/>
      <c r="C53" s="15" t="n"/>
      <c r="D53" s="15" t="n"/>
      <c r="E53" s="15" t="n"/>
      <c r="F53" s="15" t="n"/>
      <c r="G53" s="15" t="n"/>
      <c r="H53" s="15" t="n"/>
      <c r="I53" s="15" t="n"/>
      <c r="J53" s="15" t="n"/>
      <c r="K53" s="15" t="n"/>
      <c r="L53" s="15" t="n"/>
      <c r="M53" s="15" t="n"/>
      <c r="N53" s="15" t="n"/>
      <c r="O53" s="15" t="n"/>
      <c r="P53" s="15" t="n"/>
      <c r="Q53" s="15" t="n"/>
      <c r="R53" s="15" t="n"/>
    </row>
    <row r="54">
      <c r="A54" s="15" t="n"/>
      <c r="B54" s="15" t="n"/>
      <c r="C54" s="15" t="n"/>
      <c r="D54" s="15" t="n"/>
      <c r="E54" s="15" t="n"/>
      <c r="F54" s="15" t="n"/>
      <c r="G54" s="15" t="n"/>
      <c r="H54" s="15" t="n"/>
      <c r="I54" s="15" t="n"/>
      <c r="J54" s="15" t="n"/>
      <c r="K54" s="15" t="n"/>
      <c r="L54" s="15" t="n"/>
      <c r="M54" s="15" t="n"/>
      <c r="N54" s="15" t="n"/>
      <c r="O54" s="15" t="n"/>
      <c r="P54" s="15" t="n"/>
      <c r="Q54" s="15" t="n"/>
      <c r="R54" s="15" t="n"/>
    </row>
    <row r="55">
      <c r="A55" s="15" t="n"/>
      <c r="B55" s="15" t="n"/>
      <c r="C55" s="15" t="n"/>
      <c r="D55" s="15" t="n"/>
      <c r="E55" s="15" t="n"/>
      <c r="F55" s="15" t="n"/>
      <c r="G55" s="15" t="n"/>
      <c r="H55" s="15" t="n"/>
      <c r="I55" s="15" t="n"/>
      <c r="J55" s="15" t="n"/>
      <c r="K55" s="15" t="n"/>
      <c r="L55" s="15" t="n"/>
      <c r="M55" s="15" t="n"/>
      <c r="N55" s="15" t="n"/>
      <c r="O55" s="15" t="n"/>
      <c r="P55" s="15" t="n"/>
      <c r="Q55" s="15" t="n"/>
      <c r="R55" s="15" t="n"/>
    </row>
    <row r="56">
      <c r="A56" s="15" t="n"/>
      <c r="B56" s="15" t="n"/>
      <c r="C56" s="15" t="n"/>
      <c r="D56" s="15" t="n"/>
      <c r="E56" s="15" t="n"/>
      <c r="F56" s="15" t="n"/>
      <c r="G56" s="15" t="n"/>
      <c r="H56" s="15" t="n"/>
      <c r="I56" s="15" t="n"/>
      <c r="J56" s="15" t="n"/>
      <c r="K56" s="15" t="n"/>
      <c r="L56" s="15" t="n"/>
      <c r="M56" s="15" t="n"/>
      <c r="N56" s="15" t="n"/>
      <c r="O56" s="15" t="n"/>
      <c r="P56" s="15" t="n"/>
      <c r="Q56" s="15" t="n"/>
      <c r="R56" s="15" t="n"/>
    </row>
    <row r="57">
      <c r="A57" s="15" t="n"/>
      <c r="B57" s="15" t="n"/>
      <c r="C57" s="15" t="n"/>
      <c r="D57" s="15" t="n"/>
      <c r="E57" s="15" t="n"/>
      <c r="F57" s="15" t="n"/>
      <c r="G57" s="15" t="n"/>
      <c r="H57" s="15" t="n"/>
      <c r="I57" s="15" t="n"/>
      <c r="J57" s="15" t="n"/>
      <c r="K57" s="15" t="n"/>
      <c r="L57" s="15" t="n"/>
      <c r="M57" s="15" t="n"/>
      <c r="N57" s="15" t="n"/>
      <c r="O57" s="15" t="n"/>
      <c r="P57" s="15" t="n"/>
      <c r="Q57" s="15" t="n"/>
      <c r="R57" s="15" t="n"/>
    </row>
    <row r="59">
      <c r="A59" s="20" t="inlineStr">
        <is>
          <t>DATA COLLECTION ARCHITECTURE CHECKLIST</t>
        </is>
      </c>
    </row>
    <row r="60">
      <c r="A60" s="18" t="inlineStr">
        <is>
          <t>#</t>
        </is>
      </c>
      <c r="B60" s="18" t="inlineStr">
        <is>
          <t>Requirement</t>
        </is>
      </c>
      <c r="C60" s="16" t="n"/>
      <c r="D60" s="16" t="n"/>
      <c r="E60" s="16" t="n"/>
      <c r="F60" s="16" t="n"/>
      <c r="G60" s="16" t="n"/>
      <c r="H60" s="16" t="n"/>
      <c r="I60" s="16" t="n"/>
      <c r="J60" s="16" t="n"/>
      <c r="K60" s="16" t="n"/>
      <c r="L60" s="16" t="n"/>
      <c r="M60" s="16" t="n"/>
      <c r="N60" s="16" t="n"/>
      <c r="O60" s="16" t="n"/>
      <c r="P60" s="16" t="n"/>
      <c r="Q60" s="17" t="n"/>
    </row>
    <row r="61">
      <c r="A61" t="n">
        <v>1</v>
      </c>
      <c r="B61" s="21" t="inlineStr">
        <is>
          <t>Log collection uses encrypted protocols (TLS/HTTPS)</t>
        </is>
      </c>
      <c r="R61" s="15" t="n"/>
    </row>
    <row r="62">
      <c r="A62" t="n">
        <v>2</v>
      </c>
      <c r="B62" s="21" t="inlineStr">
        <is>
          <t>Authentication required for log submission</t>
        </is>
      </c>
      <c r="R62" s="15" t="n"/>
    </row>
    <row r="63">
      <c r="A63" t="n">
        <v>3</v>
      </c>
      <c r="B63" s="21" t="inlineStr">
        <is>
          <t>Collection components have adequate throughput capacity</t>
        </is>
      </c>
      <c r="R63" s="15" t="n"/>
    </row>
    <row r="64">
      <c r="A64" t="n">
        <v>4</v>
      </c>
      <c r="B64" s="21" t="inlineStr">
        <is>
          <t>Buffering/queuing configured to prevent log loss</t>
        </is>
      </c>
      <c r="R64" s="15" t="n"/>
    </row>
    <row r="65">
      <c r="A65" t="n">
        <v>5</v>
      </c>
      <c r="B65" s="21" t="inlineStr">
        <is>
          <t>Failover mechanisms implemented for critical components</t>
        </is>
      </c>
      <c r="R65" s="15" t="n"/>
    </row>
    <row r="66">
      <c r="A66" t="n">
        <v>6</v>
      </c>
      <c r="B66" s="21" t="inlineStr">
        <is>
          <t>Load balancing configured where applicable</t>
        </is>
      </c>
      <c r="R66" s="15" t="n"/>
    </row>
    <row r="67">
      <c r="A67" t="n">
        <v>7</v>
      </c>
      <c r="B67" s="21" t="inlineStr">
        <is>
          <t>Collection infrastructure monitored (health, performance)</t>
        </is>
      </c>
      <c r="R67" s="15" t="n"/>
    </row>
    <row r="68">
      <c r="A68" t="n">
        <v>8</v>
      </c>
      <c r="B68" s="21" t="inlineStr">
        <is>
          <t>Alerts configured for collection failures</t>
        </is>
      </c>
      <c r="R68" s="15" t="n"/>
    </row>
    <row r="69">
      <c r="A69" t="n">
        <v>9</v>
      </c>
      <c r="B69" s="21" t="inlineStr">
        <is>
          <t>Collection reliability &gt;99% for critical systems</t>
        </is>
      </c>
      <c r="R69" s="15" t="n"/>
    </row>
    <row r="70">
      <c r="A70" t="n">
        <v>10</v>
      </c>
      <c r="B70" s="21" t="inlineStr">
        <is>
          <t>Time synchronization (NTP) configured across infrastructure</t>
        </is>
      </c>
      <c r="R70" s="15" t="n"/>
    </row>
    <row r="71">
      <c r="A71" t="n">
        <v>11</v>
      </c>
      <c r="B71" s="21" t="inlineStr">
        <is>
          <t>Log integrity mechanisms in place (checksums, signatures)</t>
        </is>
      </c>
      <c r="R71" s="15" t="n"/>
    </row>
    <row r="72">
      <c r="A72" t="n">
        <v>12</v>
      </c>
      <c r="B72" s="21" t="inlineStr">
        <is>
          <t>Collection infrastructure documented (architecture diagrams)</t>
        </is>
      </c>
      <c r="R72" s="15" t="n"/>
    </row>
    <row r="73">
      <c r="A73" t="n">
        <v>13</v>
      </c>
      <c r="B73" s="21" t="inlineStr">
        <is>
          <t>Capacity planning performed quarterly</t>
        </is>
      </c>
      <c r="R73" s="15" t="n"/>
    </row>
    <row r="74">
      <c r="A74" t="n">
        <v>14</v>
      </c>
      <c r="B74" s="21" t="inlineStr">
        <is>
          <t>Disaster recovery tested for collection infrastructure</t>
        </is>
      </c>
      <c r="R74" s="15" t="n"/>
    </row>
    <row r="75">
      <c r="A75" t="n">
        <v>15</v>
      </c>
      <c r="B75" s="21" t="inlineStr">
        <is>
          <t>Access to collection infrastructure restricted (RBAC)</t>
        </is>
      </c>
      <c r="R75" s="15" t="n"/>
    </row>
    <row r="76">
      <c r="A76" s="22" t="inlineStr">
        <is>
          <t>SCORE:</t>
        </is>
      </c>
      <c r="B76" s="23">
        <f>COUNTIF(R61:R75,"✅ Compliant")&amp;" / 15"</f>
        <v/>
      </c>
    </row>
    <row r="77">
      <c r="A77" s="28" t="inlineStr">
        <is>
          <t>REFERENCE: COLLECTION PROTOCOL SECURITY LEVELS</t>
        </is>
      </c>
    </row>
    <row r="78">
      <c r="A78" s="18" t="inlineStr">
        <is>
          <t>Protocol</t>
        </is>
      </c>
      <c r="B78" s="16" t="n"/>
      <c r="C78" s="16" t="n"/>
      <c r="D78" s="16" t="n"/>
      <c r="E78" s="17" t="n"/>
      <c r="F78" s="18" t="inlineStr">
        <is>
          <t>Security Level</t>
        </is>
      </c>
      <c r="G78" s="16" t="n"/>
      <c r="H78" s="16" t="n"/>
      <c r="I78" s="17" t="n"/>
      <c r="J78" s="18" t="inlineStr">
        <is>
          <t>Use Case</t>
        </is>
      </c>
      <c r="K78" s="16" t="n"/>
      <c r="L78" s="16" t="n"/>
      <c r="M78" s="16" t="n"/>
      <c r="N78" s="17" t="n"/>
      <c r="O78" s="18" t="inlineStr">
        <is>
          <t>Recommendations</t>
        </is>
      </c>
      <c r="P78" s="16" t="n"/>
      <c r="Q78" s="16" t="n"/>
      <c r="R78" s="17" t="n"/>
    </row>
    <row r="79">
      <c r="A79" s="29" t="inlineStr">
        <is>
          <t>Syslog TLS (TCP 6514)</t>
        </is>
      </c>
      <c r="F79" s="21" t="inlineStr">
        <is>
          <t>High</t>
        </is>
      </c>
      <c r="J79" s="21" t="inlineStr">
        <is>
          <t>Secure syslog</t>
        </is>
      </c>
      <c r="O79" s="21" t="inlineStr">
        <is>
          <t>Recommended for all external collection</t>
        </is>
      </c>
    </row>
    <row r="80">
      <c r="A80" s="29" t="inlineStr">
        <is>
          <t>HTTPS/API</t>
        </is>
      </c>
      <c r="F80" s="21" t="inlineStr">
        <is>
          <t>High</t>
        </is>
      </c>
      <c r="J80" s="21" t="inlineStr">
        <is>
          <t>Cloud services, REST APIs</t>
        </is>
      </c>
      <c r="O80" s="21" t="inlineStr">
        <is>
          <t>Use for cloud and API integrations</t>
        </is>
      </c>
    </row>
    <row r="81">
      <c r="A81" s="29" t="inlineStr">
        <is>
          <t>Agent-based (HTTPS)</t>
        </is>
      </c>
      <c r="F81" s="21" t="inlineStr">
        <is>
          <t>High</t>
        </is>
      </c>
      <c r="J81" s="21" t="inlineStr">
        <is>
          <t>Endpoint/server collection</t>
        </is>
      </c>
      <c r="O81" s="21" t="inlineStr">
        <is>
          <t>Preferred for servers and endpoints</t>
        </is>
      </c>
    </row>
    <row r="82">
      <c r="A82" s="29" t="inlineStr">
        <is>
          <t>Syslog TCP (TCP 514)</t>
        </is>
      </c>
      <c r="F82" s="21" t="inlineStr">
        <is>
          <t>Medium</t>
        </is>
      </c>
      <c r="J82" s="21" t="inlineStr">
        <is>
          <t>Legacy devices</t>
        </is>
      </c>
      <c r="O82" s="21" t="inlineStr">
        <is>
          <t>Use only when TLS unavailable</t>
        </is>
      </c>
    </row>
    <row r="83">
      <c r="A83" s="29" t="inlineStr">
        <is>
          <t>Syslog UDP (UDP 514)</t>
        </is>
      </c>
      <c r="F83" s="21" t="inlineStr">
        <is>
          <t>Low</t>
        </is>
      </c>
      <c r="J83" s="21" t="inlineStr">
        <is>
          <t>Legacy, low-priority</t>
        </is>
      </c>
      <c r="O83" s="21" t="inlineStr">
        <is>
          <t>Avoid for critical systems</t>
        </is>
      </c>
    </row>
    <row r="84">
      <c r="A84" s="29" t="inlineStr">
        <is>
          <t>SNMP v3</t>
        </is>
      </c>
      <c r="F84" s="21" t="inlineStr">
        <is>
          <t>Medium</t>
        </is>
      </c>
      <c r="J84" s="21" t="inlineStr">
        <is>
          <t>Network device monitoring</t>
        </is>
      </c>
      <c r="O84" s="21" t="inlineStr">
        <is>
          <t>Acceptable for network devices</t>
        </is>
      </c>
    </row>
    <row r="85">
      <c r="A85" s="29" t="inlineStr">
        <is>
          <t>NetFlow</t>
        </is>
      </c>
      <c r="F85" s="21" t="inlineStr">
        <is>
          <t>Medium</t>
        </is>
      </c>
      <c r="J85" s="21" t="inlineStr">
        <is>
          <t>Network traffic metadata</t>
        </is>
      </c>
      <c r="O85" s="21" t="inlineStr">
        <is>
          <t>Supplementary to syslog</t>
        </is>
      </c>
    </row>
  </sheetData>
  <mergeCells count="54">
    <mergeCell ref="A83:E83"/>
    <mergeCell ref="J82:N82"/>
    <mergeCell ref="A82:E82"/>
    <mergeCell ref="O79:R79"/>
    <mergeCell ref="J81:N81"/>
    <mergeCell ref="B65:Q65"/>
    <mergeCell ref="O82:R82"/>
    <mergeCell ref="B74:Q74"/>
    <mergeCell ref="B68:Q68"/>
    <mergeCell ref="F82:I82"/>
    <mergeCell ref="B64:Q64"/>
    <mergeCell ref="O81:R81"/>
    <mergeCell ref="O85:R85"/>
    <mergeCell ref="A79:E79"/>
    <mergeCell ref="B76:E76"/>
    <mergeCell ref="J84:N84"/>
    <mergeCell ref="A3:R3"/>
    <mergeCell ref="J78:N78"/>
    <mergeCell ref="A78:E78"/>
    <mergeCell ref="A2:R2"/>
    <mergeCell ref="B63:Q63"/>
    <mergeCell ref="O78:R78"/>
    <mergeCell ref="B75:Q75"/>
    <mergeCell ref="F78:I78"/>
    <mergeCell ref="A84:E84"/>
    <mergeCell ref="J80:N80"/>
    <mergeCell ref="B62:Q62"/>
    <mergeCell ref="A80:E80"/>
    <mergeCell ref="J83:N83"/>
    <mergeCell ref="B72:Q72"/>
    <mergeCell ref="J79:N79"/>
    <mergeCell ref="F84:I84"/>
    <mergeCell ref="O83:R83"/>
    <mergeCell ref="B66:Q66"/>
    <mergeCell ref="F83:I83"/>
    <mergeCell ref="B71:Q71"/>
    <mergeCell ref="J85:N85"/>
    <mergeCell ref="A85:E85"/>
    <mergeCell ref="B70:Q70"/>
    <mergeCell ref="F80:I80"/>
    <mergeCell ref="F85:I85"/>
    <mergeCell ref="B67:Q67"/>
    <mergeCell ref="A77:R77"/>
    <mergeCell ref="F79:I79"/>
    <mergeCell ref="A59:R59"/>
    <mergeCell ref="B60:Q60"/>
    <mergeCell ref="A81:E81"/>
    <mergeCell ref="O84:R84"/>
    <mergeCell ref="B61:Q61"/>
    <mergeCell ref="B73:Q73"/>
    <mergeCell ref="A1:R1"/>
    <mergeCell ref="B69:Q69"/>
    <mergeCell ref="F81:I81"/>
    <mergeCell ref="O80:R80"/>
  </mergeCells>
  <dataValidations count="5">
    <dataValidation sqref="J8 J9 J10 J11 J12 J13 J14 J15 J16 J17 J18 J19 J20 J21 J22 J23 J24 J25 J26 J27 J28 J29 J30 J31 J32 J33 J34 J35 J36 J37 J38 J39 J40 J41 J42 J43 J44 J45 J46 J47 J48 J49 J50 J51 J52 J53 J54 J55 J56 J57 K8 K9 K10 K11 K12 K13 K14 K15 K16 K17 K18 K19 K20 K21 K22 K23 K24 K25 K26 K27 K28 K29 K30 K31 K32 K33 K34 K35 K36 K37 K38 K39 K40 K41 K42 K43 K44 K45 K46 K47 K48 K49 K50 K51 K52 K53 K54 K55 K56 K57 L8 L9 L10 L11 L12 L13 L14 L15 L16 L17 L18 L19 L20 L21 L22 L23 L24 L25 L26 L27 L28 L29 L30 L31 L32 L33 L34 L35 L36 L37 L38 L39 L40 L41 L42 L43 L44 L45 L46 L47 L48 L49 L50 L51 L52 L53 L54 L55 L56 L57" showDropDown="0" showInputMessage="0" showErrorMessage="0" allowBlank="0" type="list">
      <formula1>"Yes,No"</formula1>
    </dataValidation>
    <dataValidation sqref="O8 O9 O10 O11 O12 O13 O14 O15 O16 O17 O18 O19 O20 O21 O22 O23 O24 O25 O26 O27 O28 O29 O30 O31 O32 O33 O34 O35 O36 O37 O38 O39 O40 O41 O42 O43 O44 O45 O46 O47 O48 O49 O50 O51 O52 O53 O54 O55 O56 O57" showDropDown="0" showInputMessage="0" showErrorMessage="0" allowBlank="0" type="list">
      <formula1>"✅ Deployed,⚠️ Partial,❌ Not Deployed,Planned"</formula1>
    </dataValidation>
    <dataValidation sqref="P8 P9 P10 P11 P12 P13 P14 P15 P16 P17 P18 P19 P20 P21 P22 P23 P24 P25 P26 P27 P28 P29 P30 P31 P32 P33 P34 P35 P36 P37 P38 P39 P40 P41 P42 P43 P44 P45 P46 P47 P48 P49 P50 P51 P52 P53 P54 P55 P56 P57 R61 R62 R63 R64 R65 R66 R67 R68 R69 R70 R71 R72 R73 R74 R75" showDropDown="0" showInputMessage="0" showErrorMessage="0" allowBlank="0" type="list">
      <formula1>"✅ Compliant,⚠️ Partial,❌ Non-Compliant,N/A"</formula1>
    </dataValidation>
    <dataValidation sqref="R8 R9 R10 R11 R12 R13 R14 R15 R16 R17 R18 R19 R20 R21 R22 R23 R24 R25 R26 R27 R28 R29 R30 R31 R32 R33 R34 R35 R36 R37 R38 R39 R40 R41 R42 R43 R44 R45 R46 R47 R48 R49 R50 R51 R52 R53 R54 R55 R56 R57" showDropDown="0" showInputMessage="0" showErrorMessage="0" allowBlank="0" type="list">
      <formula1>"Critical,High,Medium,Low,None"</formula1>
    </dataValidation>
    <dataValidation sqref="D8 D9 D10 D11 D12 D13 D14 D15 D16 D17 D18 D19 D20 D21 D22 D23 D24 D25 D26 D27 D28 D29 D30 D31 D32 D33 D34 D35 D36 D37 D38 D39 D40 D41 D42 D43 D44 D45 D46 D47 D48 D49 D50 D51 D52 D53 D54 D55 D56 D57" showDropDown="0" showInputMessage="0" showErrorMessage="0" allowBlank="0" type="list">
      <formula1>"Syslog TCP,Syslog UDP,Syslog TLS,HTTP/S,API,Agent,SNMP,NetFlow,Other"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84"/>
  <sheetViews>
    <sheetView showGridLines="0" workbookViewId="0">
      <selection activeCell="A1" sqref="A1"/>
    </sheetView>
  </sheetViews>
  <sheetFormatPr baseColWidth="8" defaultRowHeight="15"/>
  <cols>
    <col width="30" customWidth="1" min="1" max="1"/>
    <col width="22" customWidth="1" min="2" max="2"/>
    <col width="25" customWidth="1" min="3" max="3"/>
    <col width="22" customWidth="1" min="4" max="4"/>
    <col width="20" customWidth="1" min="5" max="5"/>
    <col width="18" customWidth="1" min="6" max="6"/>
    <col width="18" customWidth="1" min="7" max="7"/>
    <col width="15" customWidth="1" min="8" max="8"/>
    <col width="15" customWidth="1" min="9" max="9"/>
    <col width="15" customWidth="1" min="10" max="10"/>
    <col width="16" customWidth="1" min="11" max="11"/>
    <col width="20" customWidth="1" min="12" max="12"/>
    <col width="18" customWidth="1" min="13" max="13"/>
    <col width="25" customWidth="1" min="14" max="14"/>
    <col width="30" customWidth="1" min="15" max="15"/>
    <col width="15" customWidth="1" min="16" max="16"/>
  </cols>
  <sheetData>
    <row r="1" ht="35" customHeight="1">
      <c r="A1" s="11" t="inlineStr">
        <is>
          <t>4. INTEGRATION &amp; ENRICHMENT ASSESSMENT</t>
        </is>
      </c>
    </row>
    <row r="2">
      <c r="A2" s="12" t="inlineStr">
        <is>
          <t>Policy Reference: ISMS-POL-A.8.16-S2.1.5 - Assess integration and data enrichment</t>
        </is>
      </c>
    </row>
    <row r="3">
      <c r="A3" s="13" t="inlineStr">
        <is>
          <t>Are monitoring systems properly integrated with threat intelligence, asset inventory, and other context sources?</t>
        </is>
      </c>
    </row>
    <row r="6">
      <c r="A6" s="18" t="inlineStr">
        <is>
          <t>Integration/Enrichment Name</t>
        </is>
      </c>
      <c r="B6" s="18" t="inlineStr">
        <is>
          <t>Integration Type</t>
        </is>
      </c>
      <c r="C6" s="18" t="inlineStr">
        <is>
          <t>Data Source</t>
        </is>
      </c>
      <c r="D6" s="18" t="inlineStr">
        <is>
          <t>Enrichment Type</t>
        </is>
      </c>
      <c r="E6" s="18" t="inlineStr">
        <is>
          <t>Integration Method</t>
        </is>
      </c>
      <c r="F6" s="18" t="inlineStr">
        <is>
          <t>Update Frequency</t>
        </is>
      </c>
      <c r="G6" s="18" t="inlineStr">
        <is>
          <t>Data Quality</t>
        </is>
      </c>
      <c r="H6" s="18" t="inlineStr">
        <is>
          <t>Coverage %</t>
        </is>
      </c>
      <c r="I6" s="18" t="inlineStr">
        <is>
          <t>Latency</t>
        </is>
      </c>
      <c r="J6" s="18" t="inlineStr">
        <is>
          <t>Reliability</t>
        </is>
      </c>
      <c r="K6" s="18" t="inlineStr">
        <is>
          <t>Last Updated</t>
        </is>
      </c>
      <c r="L6" s="18" t="inlineStr">
        <is>
          <t>Implementation Status</t>
        </is>
      </c>
      <c r="M6" s="18" t="inlineStr">
        <is>
          <t>Compliance Status</t>
        </is>
      </c>
      <c r="N6" s="18" t="inlineStr">
        <is>
          <t>Value/Impact</t>
        </is>
      </c>
      <c r="O6" s="18" t="inlineStr">
        <is>
          <t>Issues/Gaps</t>
        </is>
      </c>
      <c r="P6" s="18" t="inlineStr">
        <is>
          <t>Priority</t>
        </is>
      </c>
    </row>
    <row r="7">
      <c r="A7" s="19" t="inlineStr">
        <is>
          <t>MISP Threat Feed</t>
        </is>
      </c>
      <c r="B7" s="19" t="inlineStr">
        <is>
          <t>Real-time</t>
        </is>
      </c>
      <c r="C7" s="19" t="inlineStr">
        <is>
          <t>MISP Community</t>
        </is>
      </c>
      <c r="D7" s="19" t="inlineStr">
        <is>
          <t>Threat Intel</t>
        </is>
      </c>
      <c r="E7" s="19" t="inlineStr">
        <is>
          <t>API</t>
        </is>
      </c>
      <c r="F7" s="19" t="inlineStr">
        <is>
          <t>Hourly</t>
        </is>
      </c>
      <c r="G7" s="19" t="inlineStr">
        <is>
          <t>Excellent</t>
        </is>
      </c>
      <c r="H7" s="19" t="inlineStr">
        <is>
          <t>95%</t>
        </is>
      </c>
      <c r="I7" s="19" t="inlineStr">
        <is>
          <t>&lt;1 min</t>
        </is>
      </c>
      <c r="J7" s="19" t="inlineStr">
        <is>
          <t>High</t>
        </is>
      </c>
      <c r="K7" s="19" t="inlineStr">
        <is>
          <t>07.01.2025</t>
        </is>
      </c>
      <c r="L7" s="19" t="inlineStr">
        <is>
          <t>✅ Deployed</t>
        </is>
      </c>
      <c r="M7" s="19" t="inlineStr">
        <is>
          <t>✅ Compliant</t>
        </is>
      </c>
      <c r="N7" s="19" t="inlineStr">
        <is>
          <t>IOC matching for alerts</t>
        </is>
      </c>
      <c r="O7" s="19" t="inlineStr">
        <is>
          <t>None</t>
        </is>
      </c>
      <c r="P7" s="19" t="inlineStr">
        <is>
          <t>High</t>
        </is>
      </c>
    </row>
    <row r="8">
      <c r="A8" s="15" t="n"/>
      <c r="B8" s="15" t="n"/>
      <c r="C8" s="15" t="n"/>
      <c r="D8" s="15" t="n"/>
      <c r="E8" s="15" t="n"/>
      <c r="F8" s="15" t="n"/>
      <c r="G8" s="15" t="n"/>
      <c r="H8" s="15" t="n"/>
      <c r="I8" s="15" t="n"/>
      <c r="J8" s="15" t="n"/>
      <c r="K8" s="15" t="n"/>
      <c r="L8" s="15" t="n"/>
      <c r="M8" s="15" t="n"/>
      <c r="N8" s="15" t="n"/>
      <c r="O8" s="15" t="n"/>
      <c r="P8" s="15" t="n"/>
    </row>
    <row r="9">
      <c r="A9" s="15" t="n"/>
      <c r="B9" s="15" t="n"/>
      <c r="C9" s="15" t="n"/>
      <c r="D9" s="15" t="n"/>
      <c r="E9" s="15" t="n"/>
      <c r="F9" s="15" t="n"/>
      <c r="G9" s="15" t="n"/>
      <c r="H9" s="15" t="n"/>
      <c r="I9" s="15" t="n"/>
      <c r="J9" s="15" t="n"/>
      <c r="K9" s="15" t="n"/>
      <c r="L9" s="15" t="n"/>
      <c r="M9" s="15" t="n"/>
      <c r="N9" s="15" t="n"/>
      <c r="O9" s="15" t="n"/>
      <c r="P9" s="15" t="n"/>
    </row>
    <row r="10">
      <c r="A10" s="15" t="n"/>
      <c r="B10" s="15" t="n"/>
      <c r="C10" s="15" t="n"/>
      <c r="D10" s="15" t="n"/>
      <c r="E10" s="15" t="n"/>
      <c r="F10" s="15" t="n"/>
      <c r="G10" s="15" t="n"/>
      <c r="H10" s="15" t="n"/>
      <c r="I10" s="15" t="n"/>
      <c r="J10" s="15" t="n"/>
      <c r="K10" s="15" t="n"/>
      <c r="L10" s="15" t="n"/>
      <c r="M10" s="15" t="n"/>
      <c r="N10" s="15" t="n"/>
      <c r="O10" s="15" t="n"/>
      <c r="P10" s="15" t="n"/>
    </row>
    <row r="11">
      <c r="A11" s="15" t="n"/>
      <c r="B11" s="15" t="n"/>
      <c r="C11" s="15" t="n"/>
      <c r="D11" s="15" t="n"/>
      <c r="E11" s="15" t="n"/>
      <c r="F11" s="15" t="n"/>
      <c r="G11" s="15" t="n"/>
      <c r="H11" s="15" t="n"/>
      <c r="I11" s="15" t="n"/>
      <c r="J11" s="15" t="n"/>
      <c r="K11" s="15" t="n"/>
      <c r="L11" s="15" t="n"/>
      <c r="M11" s="15" t="n"/>
      <c r="N11" s="15" t="n"/>
      <c r="O11" s="15" t="n"/>
      <c r="P11" s="15" t="n"/>
    </row>
    <row r="12">
      <c r="A12" s="15" t="n"/>
      <c r="B12" s="15" t="n"/>
      <c r="C12" s="15" t="n"/>
      <c r="D12" s="15" t="n"/>
      <c r="E12" s="15" t="n"/>
      <c r="F12" s="15" t="n"/>
      <c r="G12" s="15" t="n"/>
      <c r="H12" s="15" t="n"/>
      <c r="I12" s="15" t="n"/>
      <c r="J12" s="15" t="n"/>
      <c r="K12" s="15" t="n"/>
      <c r="L12" s="15" t="n"/>
      <c r="M12" s="15" t="n"/>
      <c r="N12" s="15" t="n"/>
      <c r="O12" s="15" t="n"/>
      <c r="P12" s="15" t="n"/>
    </row>
    <row r="13">
      <c r="A13" s="15" t="n"/>
      <c r="B13" s="15" t="n"/>
      <c r="C13" s="15" t="n"/>
      <c r="D13" s="15" t="n"/>
      <c r="E13" s="15" t="n"/>
      <c r="F13" s="15" t="n"/>
      <c r="G13" s="15" t="n"/>
      <c r="H13" s="15" t="n"/>
      <c r="I13" s="15" t="n"/>
      <c r="J13" s="15" t="n"/>
      <c r="K13" s="15" t="n"/>
      <c r="L13" s="15" t="n"/>
      <c r="M13" s="15" t="n"/>
      <c r="N13" s="15" t="n"/>
      <c r="O13" s="15" t="n"/>
      <c r="P13" s="15" t="n"/>
    </row>
    <row r="14">
      <c r="A14" s="15" t="n"/>
      <c r="B14" s="15" t="n"/>
      <c r="C14" s="15" t="n"/>
      <c r="D14" s="15" t="n"/>
      <c r="E14" s="15" t="n"/>
      <c r="F14" s="15" t="n"/>
      <c r="G14" s="15" t="n"/>
      <c r="H14" s="15" t="n"/>
      <c r="I14" s="15" t="n"/>
      <c r="J14" s="15" t="n"/>
      <c r="K14" s="15" t="n"/>
      <c r="L14" s="15" t="n"/>
      <c r="M14" s="15" t="n"/>
      <c r="N14" s="15" t="n"/>
      <c r="O14" s="15" t="n"/>
      <c r="P14" s="15" t="n"/>
    </row>
    <row r="15">
      <c r="A15" s="15" t="n"/>
      <c r="B15" s="15" t="n"/>
      <c r="C15" s="15" t="n"/>
      <c r="D15" s="15" t="n"/>
      <c r="E15" s="15" t="n"/>
      <c r="F15" s="15" t="n"/>
      <c r="G15" s="15" t="n"/>
      <c r="H15" s="15" t="n"/>
      <c r="I15" s="15" t="n"/>
      <c r="J15" s="15" t="n"/>
      <c r="K15" s="15" t="n"/>
      <c r="L15" s="15" t="n"/>
      <c r="M15" s="15" t="n"/>
      <c r="N15" s="15" t="n"/>
      <c r="O15" s="15" t="n"/>
      <c r="P15" s="15" t="n"/>
    </row>
    <row r="16">
      <c r="A16" s="15" t="n"/>
      <c r="B16" s="15" t="n"/>
      <c r="C16" s="15" t="n"/>
      <c r="D16" s="15" t="n"/>
      <c r="E16" s="15" t="n"/>
      <c r="F16" s="15" t="n"/>
      <c r="G16" s="15" t="n"/>
      <c r="H16" s="15" t="n"/>
      <c r="I16" s="15" t="n"/>
      <c r="J16" s="15" t="n"/>
      <c r="K16" s="15" t="n"/>
      <c r="L16" s="15" t="n"/>
      <c r="M16" s="15" t="n"/>
      <c r="N16" s="15" t="n"/>
      <c r="O16" s="15" t="n"/>
      <c r="P16" s="15" t="n"/>
    </row>
    <row r="17">
      <c r="A17" s="15" t="n"/>
      <c r="B17" s="15" t="n"/>
      <c r="C17" s="15" t="n"/>
      <c r="D17" s="15" t="n"/>
      <c r="E17" s="15" t="n"/>
      <c r="F17" s="15" t="n"/>
      <c r="G17" s="15" t="n"/>
      <c r="H17" s="15" t="n"/>
      <c r="I17" s="15" t="n"/>
      <c r="J17" s="15" t="n"/>
      <c r="K17" s="15" t="n"/>
      <c r="L17" s="15" t="n"/>
      <c r="M17" s="15" t="n"/>
      <c r="N17" s="15" t="n"/>
      <c r="O17" s="15" t="n"/>
      <c r="P17" s="15" t="n"/>
    </row>
    <row r="18">
      <c r="A18" s="15" t="n"/>
      <c r="B18" s="15" t="n"/>
      <c r="C18" s="15" t="n"/>
      <c r="D18" s="15" t="n"/>
      <c r="E18" s="15" t="n"/>
      <c r="F18" s="15" t="n"/>
      <c r="G18" s="15" t="n"/>
      <c r="H18" s="15" t="n"/>
      <c r="I18" s="15" t="n"/>
      <c r="J18" s="15" t="n"/>
      <c r="K18" s="15" t="n"/>
      <c r="L18" s="15" t="n"/>
      <c r="M18" s="15" t="n"/>
      <c r="N18" s="15" t="n"/>
      <c r="O18" s="15" t="n"/>
      <c r="P18" s="15" t="n"/>
    </row>
    <row r="19">
      <c r="A19" s="15" t="n"/>
      <c r="B19" s="15" t="n"/>
      <c r="C19" s="15" t="n"/>
      <c r="D19" s="15" t="n"/>
      <c r="E19" s="15" t="n"/>
      <c r="F19" s="15" t="n"/>
      <c r="G19" s="15" t="n"/>
      <c r="H19" s="15" t="n"/>
      <c r="I19" s="15" t="n"/>
      <c r="J19" s="15" t="n"/>
      <c r="K19" s="15" t="n"/>
      <c r="L19" s="15" t="n"/>
      <c r="M19" s="15" t="n"/>
      <c r="N19" s="15" t="n"/>
      <c r="O19" s="15" t="n"/>
      <c r="P19" s="15" t="n"/>
    </row>
    <row r="20">
      <c r="A20" s="15" t="n"/>
      <c r="B20" s="15" t="n"/>
      <c r="C20" s="15" t="n"/>
      <c r="D20" s="15" t="n"/>
      <c r="E20" s="15" t="n"/>
      <c r="F20" s="15" t="n"/>
      <c r="G20" s="15" t="n"/>
      <c r="H20" s="15" t="n"/>
      <c r="I20" s="15" t="n"/>
      <c r="J20" s="15" t="n"/>
      <c r="K20" s="15" t="n"/>
      <c r="L20" s="15" t="n"/>
      <c r="M20" s="15" t="n"/>
      <c r="N20" s="15" t="n"/>
      <c r="O20" s="15" t="n"/>
      <c r="P20" s="15" t="n"/>
    </row>
    <row r="21">
      <c r="A21" s="15" t="n"/>
      <c r="B21" s="15" t="n"/>
      <c r="C21" s="15" t="n"/>
      <c r="D21" s="15" t="n"/>
      <c r="E21" s="15" t="n"/>
      <c r="F21" s="15" t="n"/>
      <c r="G21" s="15" t="n"/>
      <c r="H21" s="15" t="n"/>
      <c r="I21" s="15" t="n"/>
      <c r="J21" s="15" t="n"/>
      <c r="K21" s="15" t="n"/>
      <c r="L21" s="15" t="n"/>
      <c r="M21" s="15" t="n"/>
      <c r="N21" s="15" t="n"/>
      <c r="O21" s="15" t="n"/>
      <c r="P21" s="15" t="n"/>
    </row>
    <row r="22">
      <c r="A22" s="15" t="n"/>
      <c r="B22" s="15" t="n"/>
      <c r="C22" s="15" t="n"/>
      <c r="D22" s="15" t="n"/>
      <c r="E22" s="15" t="n"/>
      <c r="F22" s="15" t="n"/>
      <c r="G22" s="15" t="n"/>
      <c r="H22" s="15" t="n"/>
      <c r="I22" s="15" t="n"/>
      <c r="J22" s="15" t="n"/>
      <c r="K22" s="15" t="n"/>
      <c r="L22" s="15" t="n"/>
      <c r="M22" s="15" t="n"/>
      <c r="N22" s="15" t="n"/>
      <c r="O22" s="15" t="n"/>
      <c r="P22" s="15" t="n"/>
    </row>
    <row r="23">
      <c r="A23" s="15" t="n"/>
      <c r="B23" s="15" t="n"/>
      <c r="C23" s="15" t="n"/>
      <c r="D23" s="15" t="n"/>
      <c r="E23" s="15" t="n"/>
      <c r="F23" s="15" t="n"/>
      <c r="G23" s="15" t="n"/>
      <c r="H23" s="15" t="n"/>
      <c r="I23" s="15" t="n"/>
      <c r="J23" s="15" t="n"/>
      <c r="K23" s="15" t="n"/>
      <c r="L23" s="15" t="n"/>
      <c r="M23" s="15" t="n"/>
      <c r="N23" s="15" t="n"/>
      <c r="O23" s="15" t="n"/>
      <c r="P23" s="15" t="n"/>
    </row>
    <row r="24">
      <c r="A24" s="15" t="n"/>
      <c r="B24" s="15" t="n"/>
      <c r="C24" s="15" t="n"/>
      <c r="D24" s="15" t="n"/>
      <c r="E24" s="15" t="n"/>
      <c r="F24" s="15" t="n"/>
      <c r="G24" s="15" t="n"/>
      <c r="H24" s="15" t="n"/>
      <c r="I24" s="15" t="n"/>
      <c r="J24" s="15" t="n"/>
      <c r="K24" s="15" t="n"/>
      <c r="L24" s="15" t="n"/>
      <c r="M24" s="15" t="n"/>
      <c r="N24" s="15" t="n"/>
      <c r="O24" s="15" t="n"/>
      <c r="P24" s="15" t="n"/>
    </row>
    <row r="25">
      <c r="A25" s="15" t="n"/>
      <c r="B25" s="15" t="n"/>
      <c r="C25" s="15" t="n"/>
      <c r="D25" s="15" t="n"/>
      <c r="E25" s="15" t="n"/>
      <c r="F25" s="15" t="n"/>
      <c r="G25" s="15" t="n"/>
      <c r="H25" s="15" t="n"/>
      <c r="I25" s="15" t="n"/>
      <c r="J25" s="15" t="n"/>
      <c r="K25" s="15" t="n"/>
      <c r="L25" s="15" t="n"/>
      <c r="M25" s="15" t="n"/>
      <c r="N25" s="15" t="n"/>
      <c r="O25" s="15" t="n"/>
      <c r="P25" s="15" t="n"/>
    </row>
    <row r="26">
      <c r="A26" s="15" t="n"/>
      <c r="B26" s="15" t="n"/>
      <c r="C26" s="15" t="n"/>
      <c r="D26" s="15" t="n"/>
      <c r="E26" s="15" t="n"/>
      <c r="F26" s="15" t="n"/>
      <c r="G26" s="15" t="n"/>
      <c r="H26" s="15" t="n"/>
      <c r="I26" s="15" t="n"/>
      <c r="J26" s="15" t="n"/>
      <c r="K26" s="15" t="n"/>
      <c r="L26" s="15" t="n"/>
      <c r="M26" s="15" t="n"/>
      <c r="N26" s="15" t="n"/>
      <c r="O26" s="15" t="n"/>
      <c r="P26" s="15" t="n"/>
    </row>
    <row r="27">
      <c r="A27" s="15" t="n"/>
      <c r="B27" s="15" t="n"/>
      <c r="C27" s="15" t="n"/>
      <c r="D27" s="15" t="n"/>
      <c r="E27" s="15" t="n"/>
      <c r="F27" s="15" t="n"/>
      <c r="G27" s="15" t="n"/>
      <c r="H27" s="15" t="n"/>
      <c r="I27" s="15" t="n"/>
      <c r="J27" s="15" t="n"/>
      <c r="K27" s="15" t="n"/>
      <c r="L27" s="15" t="n"/>
      <c r="M27" s="15" t="n"/>
      <c r="N27" s="15" t="n"/>
      <c r="O27" s="15" t="n"/>
      <c r="P27" s="15" t="n"/>
    </row>
    <row r="28">
      <c r="A28" s="15" t="n"/>
      <c r="B28" s="15" t="n"/>
      <c r="C28" s="15" t="n"/>
      <c r="D28" s="15" t="n"/>
      <c r="E28" s="15" t="n"/>
      <c r="F28" s="15" t="n"/>
      <c r="G28" s="15" t="n"/>
      <c r="H28" s="15" t="n"/>
      <c r="I28" s="15" t="n"/>
      <c r="J28" s="15" t="n"/>
      <c r="K28" s="15" t="n"/>
      <c r="L28" s="15" t="n"/>
      <c r="M28" s="15" t="n"/>
      <c r="N28" s="15" t="n"/>
      <c r="O28" s="15" t="n"/>
      <c r="P28" s="15" t="n"/>
    </row>
    <row r="29">
      <c r="A29" s="15" t="n"/>
      <c r="B29" s="15" t="n"/>
      <c r="C29" s="15" t="n"/>
      <c r="D29" s="15" t="n"/>
      <c r="E29" s="15" t="n"/>
      <c r="F29" s="15" t="n"/>
      <c r="G29" s="15" t="n"/>
      <c r="H29" s="15" t="n"/>
      <c r="I29" s="15" t="n"/>
      <c r="J29" s="15" t="n"/>
      <c r="K29" s="15" t="n"/>
      <c r="L29" s="15" t="n"/>
      <c r="M29" s="15" t="n"/>
      <c r="N29" s="15" t="n"/>
      <c r="O29" s="15" t="n"/>
      <c r="P29" s="15" t="n"/>
    </row>
    <row r="30">
      <c r="A30" s="15" t="n"/>
      <c r="B30" s="15" t="n"/>
      <c r="C30" s="15" t="n"/>
      <c r="D30" s="15" t="n"/>
      <c r="E30" s="15" t="n"/>
      <c r="F30" s="15" t="n"/>
      <c r="G30" s="15" t="n"/>
      <c r="H30" s="15" t="n"/>
      <c r="I30" s="15" t="n"/>
      <c r="J30" s="15" t="n"/>
      <c r="K30" s="15" t="n"/>
      <c r="L30" s="15" t="n"/>
      <c r="M30" s="15" t="n"/>
      <c r="N30" s="15" t="n"/>
      <c r="O30" s="15" t="n"/>
      <c r="P30" s="15" t="n"/>
    </row>
    <row r="31">
      <c r="A31" s="15" t="n"/>
      <c r="B31" s="15" t="n"/>
      <c r="C31" s="15" t="n"/>
      <c r="D31" s="15" t="n"/>
      <c r="E31" s="15" t="n"/>
      <c r="F31" s="15" t="n"/>
      <c r="G31" s="15" t="n"/>
      <c r="H31" s="15" t="n"/>
      <c r="I31" s="15" t="n"/>
      <c r="J31" s="15" t="n"/>
      <c r="K31" s="15" t="n"/>
      <c r="L31" s="15" t="n"/>
      <c r="M31" s="15" t="n"/>
      <c r="N31" s="15" t="n"/>
      <c r="O31" s="15" t="n"/>
      <c r="P31" s="15" t="n"/>
    </row>
    <row r="32">
      <c r="A32" s="15" t="n"/>
      <c r="B32" s="15" t="n"/>
      <c r="C32" s="15" t="n"/>
      <c r="D32" s="15" t="n"/>
      <c r="E32" s="15" t="n"/>
      <c r="F32" s="15" t="n"/>
      <c r="G32" s="15" t="n"/>
      <c r="H32" s="15" t="n"/>
      <c r="I32" s="15" t="n"/>
      <c r="J32" s="15" t="n"/>
      <c r="K32" s="15" t="n"/>
      <c r="L32" s="15" t="n"/>
      <c r="M32" s="15" t="n"/>
      <c r="N32" s="15" t="n"/>
      <c r="O32" s="15" t="n"/>
      <c r="P32" s="15" t="n"/>
    </row>
    <row r="33">
      <c r="A33" s="15" t="n"/>
      <c r="B33" s="15" t="n"/>
      <c r="C33" s="15" t="n"/>
      <c r="D33" s="15" t="n"/>
      <c r="E33" s="15" t="n"/>
      <c r="F33" s="15" t="n"/>
      <c r="G33" s="15" t="n"/>
      <c r="H33" s="15" t="n"/>
      <c r="I33" s="15" t="n"/>
      <c r="J33" s="15" t="n"/>
      <c r="K33" s="15" t="n"/>
      <c r="L33" s="15" t="n"/>
      <c r="M33" s="15" t="n"/>
      <c r="N33" s="15" t="n"/>
      <c r="O33" s="15" t="n"/>
      <c r="P33" s="15" t="n"/>
    </row>
    <row r="34">
      <c r="A34" s="15" t="n"/>
      <c r="B34" s="15" t="n"/>
      <c r="C34" s="15" t="n"/>
      <c r="D34" s="15" t="n"/>
      <c r="E34" s="15" t="n"/>
      <c r="F34" s="15" t="n"/>
      <c r="G34" s="15" t="n"/>
      <c r="H34" s="15" t="n"/>
      <c r="I34" s="15" t="n"/>
      <c r="J34" s="15" t="n"/>
      <c r="K34" s="15" t="n"/>
      <c r="L34" s="15" t="n"/>
      <c r="M34" s="15" t="n"/>
      <c r="N34" s="15" t="n"/>
      <c r="O34" s="15" t="n"/>
      <c r="P34" s="15" t="n"/>
    </row>
    <row r="35">
      <c r="A35" s="15" t="n"/>
      <c r="B35" s="15" t="n"/>
      <c r="C35" s="15" t="n"/>
      <c r="D35" s="15" t="n"/>
      <c r="E35" s="15" t="n"/>
      <c r="F35" s="15" t="n"/>
      <c r="G35" s="15" t="n"/>
      <c r="H35" s="15" t="n"/>
      <c r="I35" s="15" t="n"/>
      <c r="J35" s="15" t="n"/>
      <c r="K35" s="15" t="n"/>
      <c r="L35" s="15" t="n"/>
      <c r="M35" s="15" t="n"/>
      <c r="N35" s="15" t="n"/>
      <c r="O35" s="15" t="n"/>
      <c r="P35" s="15" t="n"/>
    </row>
    <row r="36">
      <c r="A36" s="15" t="n"/>
      <c r="B36" s="15" t="n"/>
      <c r="C36" s="15" t="n"/>
      <c r="D36" s="15" t="n"/>
      <c r="E36" s="15" t="n"/>
      <c r="F36" s="15" t="n"/>
      <c r="G36" s="15" t="n"/>
      <c r="H36" s="15" t="n"/>
      <c r="I36" s="15" t="n"/>
      <c r="J36" s="15" t="n"/>
      <c r="K36" s="15" t="n"/>
      <c r="L36" s="15" t="n"/>
      <c r="M36" s="15" t="n"/>
      <c r="N36" s="15" t="n"/>
      <c r="O36" s="15" t="n"/>
      <c r="P36" s="15" t="n"/>
    </row>
    <row r="37">
      <c r="A37" s="15" t="n"/>
      <c r="B37" s="15" t="n"/>
      <c r="C37" s="15" t="n"/>
      <c r="D37" s="15" t="n"/>
      <c r="E37" s="15" t="n"/>
      <c r="F37" s="15" t="n"/>
      <c r="G37" s="15" t="n"/>
      <c r="H37" s="15" t="n"/>
      <c r="I37" s="15" t="n"/>
      <c r="J37" s="15" t="n"/>
      <c r="K37" s="15" t="n"/>
      <c r="L37" s="15" t="n"/>
      <c r="M37" s="15" t="n"/>
      <c r="N37" s="15" t="n"/>
      <c r="O37" s="15" t="n"/>
      <c r="P37" s="15" t="n"/>
    </row>
    <row r="38">
      <c r="A38" s="15" t="n"/>
      <c r="B38" s="15" t="n"/>
      <c r="C38" s="15" t="n"/>
      <c r="D38" s="15" t="n"/>
      <c r="E38" s="15" t="n"/>
      <c r="F38" s="15" t="n"/>
      <c r="G38" s="15" t="n"/>
      <c r="H38" s="15" t="n"/>
      <c r="I38" s="15" t="n"/>
      <c r="J38" s="15" t="n"/>
      <c r="K38" s="15" t="n"/>
      <c r="L38" s="15" t="n"/>
      <c r="M38" s="15" t="n"/>
      <c r="N38" s="15" t="n"/>
      <c r="O38" s="15" t="n"/>
      <c r="P38" s="15" t="n"/>
    </row>
    <row r="39">
      <c r="A39" s="15" t="n"/>
      <c r="B39" s="15" t="n"/>
      <c r="C39" s="15" t="n"/>
      <c r="D39" s="15" t="n"/>
      <c r="E39" s="15" t="n"/>
      <c r="F39" s="15" t="n"/>
      <c r="G39" s="15" t="n"/>
      <c r="H39" s="15" t="n"/>
      <c r="I39" s="15" t="n"/>
      <c r="J39" s="15" t="n"/>
      <c r="K39" s="15" t="n"/>
      <c r="L39" s="15" t="n"/>
      <c r="M39" s="15" t="n"/>
      <c r="N39" s="15" t="n"/>
      <c r="O39" s="15" t="n"/>
      <c r="P39" s="15" t="n"/>
    </row>
    <row r="40">
      <c r="A40" s="15" t="n"/>
      <c r="B40" s="15" t="n"/>
      <c r="C40" s="15" t="n"/>
      <c r="D40" s="15" t="n"/>
      <c r="E40" s="15" t="n"/>
      <c r="F40" s="15" t="n"/>
      <c r="G40" s="15" t="n"/>
      <c r="H40" s="15" t="n"/>
      <c r="I40" s="15" t="n"/>
      <c r="J40" s="15" t="n"/>
      <c r="K40" s="15" t="n"/>
      <c r="L40" s="15" t="n"/>
      <c r="M40" s="15" t="n"/>
      <c r="N40" s="15" t="n"/>
      <c r="O40" s="15" t="n"/>
      <c r="P40" s="15" t="n"/>
    </row>
    <row r="41">
      <c r="A41" s="15" t="n"/>
      <c r="B41" s="15" t="n"/>
      <c r="C41" s="15" t="n"/>
      <c r="D41" s="15" t="n"/>
      <c r="E41" s="15" t="n"/>
      <c r="F41" s="15" t="n"/>
      <c r="G41" s="15" t="n"/>
      <c r="H41" s="15" t="n"/>
      <c r="I41" s="15" t="n"/>
      <c r="J41" s="15" t="n"/>
      <c r="K41" s="15" t="n"/>
      <c r="L41" s="15" t="n"/>
      <c r="M41" s="15" t="n"/>
      <c r="N41" s="15" t="n"/>
      <c r="O41" s="15" t="n"/>
      <c r="P41" s="15" t="n"/>
    </row>
    <row r="42">
      <c r="A42" s="15" t="n"/>
      <c r="B42" s="15" t="n"/>
      <c r="C42" s="15" t="n"/>
      <c r="D42" s="15" t="n"/>
      <c r="E42" s="15" t="n"/>
      <c r="F42" s="15" t="n"/>
      <c r="G42" s="15" t="n"/>
      <c r="H42" s="15" t="n"/>
      <c r="I42" s="15" t="n"/>
      <c r="J42" s="15" t="n"/>
      <c r="K42" s="15" t="n"/>
      <c r="L42" s="15" t="n"/>
      <c r="M42" s="15" t="n"/>
      <c r="N42" s="15" t="n"/>
      <c r="O42" s="15" t="n"/>
      <c r="P42" s="15" t="n"/>
    </row>
    <row r="43">
      <c r="A43" s="15" t="n"/>
      <c r="B43" s="15" t="n"/>
      <c r="C43" s="15" t="n"/>
      <c r="D43" s="15" t="n"/>
      <c r="E43" s="15" t="n"/>
      <c r="F43" s="15" t="n"/>
      <c r="G43" s="15" t="n"/>
      <c r="H43" s="15" t="n"/>
      <c r="I43" s="15" t="n"/>
      <c r="J43" s="15" t="n"/>
      <c r="K43" s="15" t="n"/>
      <c r="L43" s="15" t="n"/>
      <c r="M43" s="15" t="n"/>
      <c r="N43" s="15" t="n"/>
      <c r="O43" s="15" t="n"/>
      <c r="P43" s="15" t="n"/>
    </row>
    <row r="44">
      <c r="A44" s="15" t="n"/>
      <c r="B44" s="15" t="n"/>
      <c r="C44" s="15" t="n"/>
      <c r="D44" s="15" t="n"/>
      <c r="E44" s="15" t="n"/>
      <c r="F44" s="15" t="n"/>
      <c r="G44" s="15" t="n"/>
      <c r="H44" s="15" t="n"/>
      <c r="I44" s="15" t="n"/>
      <c r="J44" s="15" t="n"/>
      <c r="K44" s="15" t="n"/>
      <c r="L44" s="15" t="n"/>
      <c r="M44" s="15" t="n"/>
      <c r="N44" s="15" t="n"/>
      <c r="O44" s="15" t="n"/>
      <c r="P44" s="15" t="n"/>
    </row>
    <row r="45">
      <c r="A45" s="15" t="n"/>
      <c r="B45" s="15" t="n"/>
      <c r="C45" s="15" t="n"/>
      <c r="D45" s="15" t="n"/>
      <c r="E45" s="15" t="n"/>
      <c r="F45" s="15" t="n"/>
      <c r="G45" s="15" t="n"/>
      <c r="H45" s="15" t="n"/>
      <c r="I45" s="15" t="n"/>
      <c r="J45" s="15" t="n"/>
      <c r="K45" s="15" t="n"/>
      <c r="L45" s="15" t="n"/>
      <c r="M45" s="15" t="n"/>
      <c r="N45" s="15" t="n"/>
      <c r="O45" s="15" t="n"/>
      <c r="P45" s="15" t="n"/>
    </row>
    <row r="46">
      <c r="A46" s="15" t="n"/>
      <c r="B46" s="15" t="n"/>
      <c r="C46" s="15" t="n"/>
      <c r="D46" s="15" t="n"/>
      <c r="E46" s="15" t="n"/>
      <c r="F46" s="15" t="n"/>
      <c r="G46" s="15" t="n"/>
      <c r="H46" s="15" t="n"/>
      <c r="I46" s="15" t="n"/>
      <c r="J46" s="15" t="n"/>
      <c r="K46" s="15" t="n"/>
      <c r="L46" s="15" t="n"/>
      <c r="M46" s="15" t="n"/>
      <c r="N46" s="15" t="n"/>
      <c r="O46" s="15" t="n"/>
      <c r="P46" s="15" t="n"/>
    </row>
    <row r="47">
      <c r="A47" s="15" t="n"/>
      <c r="B47" s="15" t="n"/>
      <c r="C47" s="15" t="n"/>
      <c r="D47" s="15" t="n"/>
      <c r="E47" s="15" t="n"/>
      <c r="F47" s="15" t="n"/>
      <c r="G47" s="15" t="n"/>
      <c r="H47" s="15" t="n"/>
      <c r="I47" s="15" t="n"/>
      <c r="J47" s="15" t="n"/>
      <c r="K47" s="15" t="n"/>
      <c r="L47" s="15" t="n"/>
      <c r="M47" s="15" t="n"/>
      <c r="N47" s="15" t="n"/>
      <c r="O47" s="15" t="n"/>
      <c r="P47" s="15" t="n"/>
    </row>
    <row r="48">
      <c r="A48" s="15" t="n"/>
      <c r="B48" s="15" t="n"/>
      <c r="C48" s="15" t="n"/>
      <c r="D48" s="15" t="n"/>
      <c r="E48" s="15" t="n"/>
      <c r="F48" s="15" t="n"/>
      <c r="G48" s="15" t="n"/>
      <c r="H48" s="15" t="n"/>
      <c r="I48" s="15" t="n"/>
      <c r="J48" s="15" t="n"/>
      <c r="K48" s="15" t="n"/>
      <c r="L48" s="15" t="n"/>
      <c r="M48" s="15" t="n"/>
      <c r="N48" s="15" t="n"/>
      <c r="O48" s="15" t="n"/>
      <c r="P48" s="15" t="n"/>
    </row>
    <row r="49">
      <c r="A49" s="15" t="n"/>
      <c r="B49" s="15" t="n"/>
      <c r="C49" s="15" t="n"/>
      <c r="D49" s="15" t="n"/>
      <c r="E49" s="15" t="n"/>
      <c r="F49" s="15" t="n"/>
      <c r="G49" s="15" t="n"/>
      <c r="H49" s="15" t="n"/>
      <c r="I49" s="15" t="n"/>
      <c r="J49" s="15" t="n"/>
      <c r="K49" s="15" t="n"/>
      <c r="L49" s="15" t="n"/>
      <c r="M49" s="15" t="n"/>
      <c r="N49" s="15" t="n"/>
      <c r="O49" s="15" t="n"/>
      <c r="P49" s="15" t="n"/>
    </row>
    <row r="50">
      <c r="A50" s="15" t="n"/>
      <c r="B50" s="15" t="n"/>
      <c r="C50" s="15" t="n"/>
      <c r="D50" s="15" t="n"/>
      <c r="E50" s="15" t="n"/>
      <c r="F50" s="15" t="n"/>
      <c r="G50" s="15" t="n"/>
      <c r="H50" s="15" t="n"/>
      <c r="I50" s="15" t="n"/>
      <c r="J50" s="15" t="n"/>
      <c r="K50" s="15" t="n"/>
      <c r="L50" s="15" t="n"/>
      <c r="M50" s="15" t="n"/>
      <c r="N50" s="15" t="n"/>
      <c r="O50" s="15" t="n"/>
      <c r="P50" s="15" t="n"/>
    </row>
    <row r="51">
      <c r="A51" s="15" t="n"/>
      <c r="B51" s="15" t="n"/>
      <c r="C51" s="15" t="n"/>
      <c r="D51" s="15" t="n"/>
      <c r="E51" s="15" t="n"/>
      <c r="F51" s="15" t="n"/>
      <c r="G51" s="15" t="n"/>
      <c r="H51" s="15" t="n"/>
      <c r="I51" s="15" t="n"/>
      <c r="J51" s="15" t="n"/>
      <c r="K51" s="15" t="n"/>
      <c r="L51" s="15" t="n"/>
      <c r="M51" s="15" t="n"/>
      <c r="N51" s="15" t="n"/>
      <c r="O51" s="15" t="n"/>
      <c r="P51" s="15" t="n"/>
    </row>
    <row r="52">
      <c r="A52" s="15" t="n"/>
      <c r="B52" s="15" t="n"/>
      <c r="C52" s="15" t="n"/>
      <c r="D52" s="15" t="n"/>
      <c r="E52" s="15" t="n"/>
      <c r="F52" s="15" t="n"/>
      <c r="G52" s="15" t="n"/>
      <c r="H52" s="15" t="n"/>
      <c r="I52" s="15" t="n"/>
      <c r="J52" s="15" t="n"/>
      <c r="K52" s="15" t="n"/>
      <c r="L52" s="15" t="n"/>
      <c r="M52" s="15" t="n"/>
      <c r="N52" s="15" t="n"/>
      <c r="O52" s="15" t="n"/>
      <c r="P52" s="15" t="n"/>
    </row>
    <row r="53">
      <c r="A53" s="15" t="n"/>
      <c r="B53" s="15" t="n"/>
      <c r="C53" s="15" t="n"/>
      <c r="D53" s="15" t="n"/>
      <c r="E53" s="15" t="n"/>
      <c r="F53" s="15" t="n"/>
      <c r="G53" s="15" t="n"/>
      <c r="H53" s="15" t="n"/>
      <c r="I53" s="15" t="n"/>
      <c r="J53" s="15" t="n"/>
      <c r="K53" s="15" t="n"/>
      <c r="L53" s="15" t="n"/>
      <c r="M53" s="15" t="n"/>
      <c r="N53" s="15" t="n"/>
      <c r="O53" s="15" t="n"/>
      <c r="P53" s="15" t="n"/>
    </row>
    <row r="54">
      <c r="A54" s="15" t="n"/>
      <c r="B54" s="15" t="n"/>
      <c r="C54" s="15" t="n"/>
      <c r="D54" s="15" t="n"/>
      <c r="E54" s="15" t="n"/>
      <c r="F54" s="15" t="n"/>
      <c r="G54" s="15" t="n"/>
      <c r="H54" s="15" t="n"/>
      <c r="I54" s="15" t="n"/>
      <c r="J54" s="15" t="n"/>
      <c r="K54" s="15" t="n"/>
      <c r="L54" s="15" t="n"/>
      <c r="M54" s="15" t="n"/>
      <c r="N54" s="15" t="n"/>
      <c r="O54" s="15" t="n"/>
      <c r="P54" s="15" t="n"/>
    </row>
    <row r="55">
      <c r="A55" s="15" t="n"/>
      <c r="B55" s="15" t="n"/>
      <c r="C55" s="15" t="n"/>
      <c r="D55" s="15" t="n"/>
      <c r="E55" s="15" t="n"/>
      <c r="F55" s="15" t="n"/>
      <c r="G55" s="15" t="n"/>
      <c r="H55" s="15" t="n"/>
      <c r="I55" s="15" t="n"/>
      <c r="J55" s="15" t="n"/>
      <c r="K55" s="15" t="n"/>
      <c r="L55" s="15" t="n"/>
      <c r="M55" s="15" t="n"/>
      <c r="N55" s="15" t="n"/>
      <c r="O55" s="15" t="n"/>
      <c r="P55" s="15" t="n"/>
    </row>
    <row r="56">
      <c r="A56" s="15" t="n"/>
      <c r="B56" s="15" t="n"/>
      <c r="C56" s="15" t="n"/>
      <c r="D56" s="15" t="n"/>
      <c r="E56" s="15" t="n"/>
      <c r="F56" s="15" t="n"/>
      <c r="G56" s="15" t="n"/>
      <c r="H56" s="15" t="n"/>
      <c r="I56" s="15" t="n"/>
      <c r="J56" s="15" t="n"/>
      <c r="K56" s="15" t="n"/>
      <c r="L56" s="15" t="n"/>
      <c r="M56" s="15" t="n"/>
      <c r="N56" s="15" t="n"/>
      <c r="O56" s="15" t="n"/>
      <c r="P56" s="15" t="n"/>
    </row>
    <row r="57">
      <c r="A57" s="15" t="n"/>
      <c r="B57" s="15" t="n"/>
      <c r="C57" s="15" t="n"/>
      <c r="D57" s="15" t="n"/>
      <c r="E57" s="15" t="n"/>
      <c r="F57" s="15" t="n"/>
      <c r="G57" s="15" t="n"/>
      <c r="H57" s="15" t="n"/>
      <c r="I57" s="15" t="n"/>
      <c r="J57" s="15" t="n"/>
      <c r="K57" s="15" t="n"/>
      <c r="L57" s="15" t="n"/>
      <c r="M57" s="15" t="n"/>
      <c r="N57" s="15" t="n"/>
      <c r="O57" s="15" t="n"/>
      <c r="P57" s="15" t="n"/>
    </row>
    <row r="59">
      <c r="A59" s="20" t="inlineStr">
        <is>
          <t>INTEGRATION &amp; ENRICHMENT CHECKLIST</t>
        </is>
      </c>
    </row>
    <row r="60">
      <c r="A60" s="18" t="inlineStr">
        <is>
          <t>#</t>
        </is>
      </c>
      <c r="B60" s="18" t="inlineStr">
        <is>
          <t>Requirement</t>
        </is>
      </c>
      <c r="C60" s="16" t="n"/>
      <c r="D60" s="16" t="n"/>
      <c r="E60" s="16" t="n"/>
      <c r="F60" s="16" t="n"/>
      <c r="G60" s="16" t="n"/>
      <c r="H60" s="16" t="n"/>
      <c r="I60" s="16" t="n"/>
      <c r="J60" s="16" t="n"/>
      <c r="K60" s="16" t="n"/>
      <c r="L60" s="16" t="n"/>
      <c r="M60" s="16" t="n"/>
      <c r="N60" s="16" t="n"/>
      <c r="O60" s="17" t="n"/>
    </row>
    <row r="61">
      <c r="A61" t="n">
        <v>1</v>
      </c>
      <c r="B61" s="21" t="inlineStr">
        <is>
          <t>Threat intelligence feed(s) integrated into SIEM</t>
        </is>
      </c>
      <c r="P61" s="15" t="n"/>
    </row>
    <row r="62">
      <c r="A62" t="n">
        <v>2</v>
      </c>
      <c r="B62" s="21" t="inlineStr">
        <is>
          <t>Threat intelligence updated at least daily</t>
        </is>
      </c>
      <c r="P62" s="15" t="n"/>
    </row>
    <row r="63">
      <c r="A63" t="n">
        <v>3</v>
      </c>
      <c r="B63" s="21" t="inlineStr">
        <is>
          <t>GeoIP enrichment configured for IP addresses</t>
        </is>
      </c>
      <c r="P63" s="15" t="n"/>
    </row>
    <row r="64">
      <c r="A64" t="n">
        <v>4</v>
      </c>
      <c r="B64" s="21" t="inlineStr">
        <is>
          <t>Asset inventory integrated (hostname, owner, criticality)</t>
        </is>
      </c>
      <c r="P64" s="15" t="n"/>
    </row>
    <row r="65">
      <c r="A65" t="n">
        <v>5</v>
      </c>
      <c r="B65" s="21" t="inlineStr">
        <is>
          <t>User context enrichment (AD/LDAP integration)</t>
        </is>
      </c>
      <c r="P65" s="15" t="n"/>
    </row>
    <row r="66">
      <c r="A66" t="n">
        <v>6</v>
      </c>
      <c r="B66" s="21" t="inlineStr">
        <is>
          <t>DNS enrichment for domain resolution</t>
        </is>
      </c>
      <c r="P66" s="15" t="n"/>
    </row>
    <row r="67">
      <c r="A67" t="n">
        <v>7</v>
      </c>
      <c r="B67" s="21" t="inlineStr">
        <is>
          <t>CMDB integration for asset context</t>
        </is>
      </c>
      <c r="P67" s="15" t="n"/>
    </row>
    <row r="68">
      <c r="A68" t="n">
        <v>8</v>
      </c>
      <c r="B68" s="21" t="inlineStr">
        <is>
          <t>Vulnerability data integrated (scanner results)</t>
        </is>
      </c>
      <c r="P68" s="15" t="n"/>
    </row>
    <row r="69">
      <c r="A69" t="n">
        <v>9</v>
      </c>
      <c r="B69" s="21" t="inlineStr">
        <is>
          <t>Ticketing system integration (ServiceNow, JIRA)</t>
        </is>
      </c>
      <c r="P69" s="15" t="n"/>
    </row>
    <row r="70">
      <c r="A70" t="n">
        <v>10</v>
      </c>
      <c r="B70" s="21" t="inlineStr">
        <is>
          <t>SOAR platform integration for automated response</t>
        </is>
      </c>
      <c r="P70" s="15" t="n"/>
    </row>
    <row r="71">
      <c r="A71" t="n">
        <v>11</v>
      </c>
      <c r="B71" s="21" t="inlineStr">
        <is>
          <t>Cloud provider APIs integrated (AWS, Azure, GCP)</t>
        </is>
      </c>
      <c r="P71" s="15" t="n"/>
    </row>
    <row r="72">
      <c r="A72" t="n">
        <v>12</v>
      </c>
      <c r="B72" s="21" t="inlineStr">
        <is>
          <t>Enrichment latency acceptable (&lt;5 minutes)</t>
        </is>
      </c>
      <c r="P72" s="15" t="n"/>
    </row>
    <row r="73">
      <c r="A73" t="n">
        <v>13</v>
      </c>
      <c r="B73" s="21" t="inlineStr">
        <is>
          <t>Enrichment coverage &gt;90% for critical assets</t>
        </is>
      </c>
      <c r="P73" s="15" t="n"/>
    </row>
    <row r="74">
      <c r="A74" t="n">
        <v>14</v>
      </c>
      <c r="B74" s="21" t="inlineStr">
        <is>
          <t>Integration health monitored and alerted</t>
        </is>
      </c>
      <c r="P74" s="15" t="n"/>
    </row>
    <row r="75">
      <c r="A75" t="n">
        <v>15</v>
      </c>
      <c r="B75" s="21" t="inlineStr">
        <is>
          <t>Integration documentation maintained</t>
        </is>
      </c>
      <c r="P75" s="15" t="n"/>
    </row>
    <row r="76">
      <c r="A76" s="22" t="inlineStr">
        <is>
          <t>SCORE:</t>
        </is>
      </c>
      <c r="B76" s="23">
        <f>COUNTIF(P61:P75,"✅ Compliant")&amp;" / 15"</f>
        <v/>
      </c>
    </row>
    <row r="77">
      <c r="A77" s="28" t="inlineStr">
        <is>
          <t>REFERENCE: COMMON ENRICHMENT SOURCES</t>
        </is>
      </c>
    </row>
    <row r="78">
      <c r="A78" s="18" t="inlineStr">
        <is>
          <t>Enrichment Type</t>
        </is>
      </c>
      <c r="B78" s="16" t="n"/>
      <c r="C78" s="16" t="n"/>
      <c r="D78" s="16" t="n"/>
      <c r="E78" s="17" t="n"/>
      <c r="F78" s="18" t="inlineStr">
        <is>
          <t>Example Sources</t>
        </is>
      </c>
      <c r="G78" s="16" t="n"/>
      <c r="H78" s="16" t="n"/>
      <c r="I78" s="16" t="n"/>
      <c r="J78" s="16" t="n"/>
      <c r="K78" s="17" t="n"/>
      <c r="L78" s="18" t="inlineStr">
        <is>
          <t>Benefit to Monitoring</t>
        </is>
      </c>
      <c r="M78" s="16" t="n"/>
      <c r="N78" s="16" t="n"/>
      <c r="O78" s="16" t="n"/>
      <c r="P78" s="17" t="n"/>
    </row>
    <row r="79">
      <c r="A79" s="29" t="inlineStr">
        <is>
          <t>Threat Intelligence</t>
        </is>
      </c>
      <c r="F79" s="21" t="inlineStr">
        <is>
          <t>MISP, AlienVault OTX, VirusTotal, Abuse.ch</t>
        </is>
      </c>
      <c r="L79" s="21" t="inlineStr">
        <is>
          <t>IOC detection, malicious IP/domain identification</t>
        </is>
      </c>
    </row>
    <row r="80">
      <c r="A80" s="29" t="inlineStr">
        <is>
          <t>GeoIP</t>
        </is>
      </c>
      <c r="F80" s="21" t="inlineStr">
        <is>
          <t>MaxMind, IP2Location</t>
        </is>
      </c>
      <c r="L80" s="21" t="inlineStr">
        <is>
          <t>Geo-based anomaly detection, compliance</t>
        </is>
      </c>
    </row>
    <row r="81">
      <c r="A81" s="29" t="inlineStr">
        <is>
          <t>Asset Context</t>
        </is>
      </c>
      <c r="F81" s="21" t="inlineStr">
        <is>
          <t>CMDB, ServiceNow, Lansweeper</t>
        </is>
      </c>
      <c r="L81" s="21" t="inlineStr">
        <is>
          <t>Criticality assessment, owner identification</t>
        </is>
      </c>
    </row>
    <row r="82">
      <c r="A82" s="29" t="inlineStr">
        <is>
          <t>User Context</t>
        </is>
      </c>
      <c r="F82" s="21" t="inlineStr">
        <is>
          <t>Active Directory, Okta, Microsoft Entra ID (formerly Azure AD)</t>
        </is>
      </c>
      <c r="L82" s="21" t="inlineStr">
        <is>
          <t>User behaviour analysis, privilege context</t>
        </is>
      </c>
    </row>
    <row r="83">
      <c r="A83" s="29" t="inlineStr">
        <is>
          <t>Vulnerability Data</t>
        </is>
      </c>
      <c r="F83" s="21" t="inlineStr">
        <is>
          <t>Qualys, Tenable, Rapid7</t>
        </is>
      </c>
      <c r="L83" s="21" t="inlineStr">
        <is>
          <t>Risk scoring, exploit correlation</t>
        </is>
      </c>
    </row>
    <row r="84">
      <c r="A84" s="29" t="inlineStr">
        <is>
          <t>DNS</t>
        </is>
      </c>
      <c r="F84" s="21" t="inlineStr">
        <is>
          <t>Internal DNS, passive DNS</t>
        </is>
      </c>
      <c r="L84" s="21" t="inlineStr">
        <is>
          <t>Domain reputation, DGA detection</t>
        </is>
      </c>
    </row>
  </sheetData>
  <mergeCells count="43">
    <mergeCell ref="A83:E83"/>
    <mergeCell ref="F80:K80"/>
    <mergeCell ref="B75:O75"/>
    <mergeCell ref="L82:P82"/>
    <mergeCell ref="A82:E82"/>
    <mergeCell ref="B62:O62"/>
    <mergeCell ref="F79:K79"/>
    <mergeCell ref="B72:O72"/>
    <mergeCell ref="B66:O66"/>
    <mergeCell ref="A79:E79"/>
    <mergeCell ref="B76:E76"/>
    <mergeCell ref="B71:O71"/>
    <mergeCell ref="F81:K81"/>
    <mergeCell ref="L78:P78"/>
    <mergeCell ref="A78:E78"/>
    <mergeCell ref="B70:O70"/>
    <mergeCell ref="A77:P77"/>
    <mergeCell ref="B60:O60"/>
    <mergeCell ref="B67:O67"/>
    <mergeCell ref="A84:E84"/>
    <mergeCell ref="B61:O61"/>
    <mergeCell ref="A80:E80"/>
    <mergeCell ref="A59:P59"/>
    <mergeCell ref="L83:P83"/>
    <mergeCell ref="F82:K82"/>
    <mergeCell ref="B73:O73"/>
    <mergeCell ref="A1:P1"/>
    <mergeCell ref="B69:O69"/>
    <mergeCell ref="L79:P79"/>
    <mergeCell ref="F78:K78"/>
    <mergeCell ref="L84:P84"/>
    <mergeCell ref="B74:O74"/>
    <mergeCell ref="B65:O65"/>
    <mergeCell ref="A81:E81"/>
    <mergeCell ref="B68:O68"/>
    <mergeCell ref="L81:P81"/>
    <mergeCell ref="B64:O64"/>
    <mergeCell ref="F84:K84"/>
    <mergeCell ref="L80:P80"/>
    <mergeCell ref="A3:P3"/>
    <mergeCell ref="F83:K83"/>
    <mergeCell ref="B63:O63"/>
    <mergeCell ref="A2:P2"/>
  </mergeCells>
  <dataValidations count="7">
    <dataValidation sqref="G8 G9 G10 G11 G12 G13 G14 G15 G16 G17 G18 G19 G20 G21 G22 G23 G24 G25 G26 G27 G28 G29 G30 G31 G32 G33 G34 G35 G36 G37 G38 G39 G40 G41 G42 G43 G44 G45 G46 G47 G48 G49 G50 G51 G52 G53 G54 G55 G56 G57" showDropDown="0" showInputMessage="0" showErrorMessage="0" allowBlank="0" type="list">
      <formula1>"Excellent,Good,Limited,Poor"</formula1>
    </dataValidation>
    <dataValidation sqref="L8 L9 L10 L11 L12 L13 L14 L15 L16 L17 L18 L19 L20 L21 L22 L23 L24 L25 L26 L27 L28 L29 L30 L31 L32 L33 L34 L35 L36 L37 L38 L39 L40 L41 L42 L43 L44 L45 L46 L47 L48 L49 L50 L51 L52 L53 L54 L55 L56 L57" showDropDown="0" showInputMessage="0" showErrorMessage="0" allowBlank="0" type="list">
      <formula1>"✅ Deployed,⚠️ Partial,❌ Not Deployed,Planned"</formula1>
    </dataValidation>
    <dataValidation sqref="M8 M9 M10 M11 M12 M13 M14 M15 M16 M17 M18 M19 M20 M21 M22 M23 M24 M25 M26 M27 M28 M29 M30 M31 M32 M33 M34 M35 M36 M37 M38 M39 M40 M41 M42 M43 M44 M45 M46 M47 M48 M49 M50 M51 M52 M53 M54 M55 M56 M57 P61 P62 P63 P64 P65 P66 P67 P68 P69 P70 P71 P72 P73 P74 P75" showDropDown="0" showInputMessage="0" showErrorMessage="0" allowBlank="0" type="list">
      <formula1>"✅ Compliant,⚠️ Partial,❌ Non-Compliant,N/A"</formula1>
    </dataValidation>
    <dataValidation sqref="P8 P9 P10 P11 P12 P13 P14 P15 P16 P17 P18 P19 P20 P21 P22 P23 P24 P25 P26 P27 P28 P29 P30 P31 P32 P33 P34 P35 P36 P37 P38 P39 P40 P41 P42 P43 P44 P45 P46 P47 P48 P49 P50 P51 P52 P53 P54 P55 P56 P57" showDropDown="0" showInputMessage="0" showErrorMessage="0" allowBlank="0" type="list">
      <formula1>"Critical,High,Medium,Low,None"</formula1>
    </dataValidation>
    <dataValidation sqref="J8 J9 J10 J11 J12 J13 J14 J15 J16 J17 J18 J19 J20 J21 J22 J23 J24 J25 J26 J27 J28 J29 J30 J31 J32 J33 J34 J35 J36 J37 J38 J39 J40 J41 J42 J43 J44 J45 J46 J47 J48 J49 J50 J51 J52 J53 J54 J55 J56 J57" showDropDown="0" showInputMessage="0" showErrorMessage="0" allowBlank="0" type="list">
      <formula1>"High,Medium,Low,Unknown"</formula1>
    </dataValidation>
    <dataValidation sqref="B8 B9 B10 B11 B12 B13 B14 B15 B16 B17 B18 B19 B20 B21 B22 B23 B24 B25 B26 B27 B28 B29 B30 B31 B32 B33 B34 B35 B36 B37 B38 B39 B40 B41 B42 B43 B44 B45 B46 B47 B48 B49 B50 B51 B52 B53 B54 B55 B56 B57" showDropDown="0" showInputMessage="0" showErrorMessage="0" allowBlank="0" type="list">
      <formula1>"Real-time,Batch,Near Real-time,Manual"</formula1>
    </dataValidation>
    <dataValidation sqref="D8 D9 D10 D11 D12 D13 D14 D15 D16 D17 D18 D19 D20 D21 D22 D23 D24 D25 D26 D27 D28 D29 D30 D31 D32 D33 D34 D35 D36 D37 D38 D39 D40 D41 D42 D43 D44 D45 D46 D47 D48 D49 D50 D51 D52 D53 D54 D55 D56 D57" showDropDown="0" showInputMessage="0" showErrorMessage="0" allowBlank="0" type="list">
      <formula1>"Threat Intel,GeoIP,Asset Context,User Context,Custom,None"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54"/>
  <sheetViews>
    <sheetView showGridLines="0" workbookViewId="0">
      <selection activeCell="A1" sqref="A1"/>
    </sheetView>
  </sheetViews>
  <sheetFormatPr baseColWidth="8" defaultRowHeight="15"/>
  <cols>
    <col width="35" customWidth="1" min="1" max="1"/>
    <col width="20" customWidth="1" min="2" max="2"/>
    <col width="15" customWidth="1" min="3" max="3"/>
    <col width="20" customWidth="1" min="4" max="4"/>
    <col width="18" customWidth="1" min="5" max="5"/>
    <col width="18" customWidth="1" min="6" max="6"/>
    <col width="18" customWidth="1" min="7" max="7"/>
    <col width="35" customWidth="1" min="8" max="8"/>
  </cols>
  <sheetData>
    <row r="1" ht="35" customHeight="1">
      <c r="A1" s="11" t="inlineStr">
        <is>
          <t>5. PERFORMANCE &amp; SCALABILITY ASSESSMENT</t>
        </is>
      </c>
    </row>
    <row r="2">
      <c r="A2" s="12" t="inlineStr">
        <is>
          <t>Policy Reference: ISMS-POL-A.8.16-S2.1.6 - Assess monitoring performance and scalability</t>
        </is>
      </c>
    </row>
    <row r="3">
      <c r="A3" s="13" t="inlineStr">
        <is>
          <t>Is the monitoring infrastructure performing adequately and scalable for future growth?</t>
        </is>
      </c>
    </row>
    <row r="5">
      <c r="A5" s="20" t="inlineStr">
        <is>
          <t>CURRENT PERFORMANCE METRICS</t>
        </is>
      </c>
    </row>
    <row r="6">
      <c r="A6" s="18" t="inlineStr">
        <is>
          <t>Metric</t>
        </is>
      </c>
      <c r="B6" s="18" t="inlineStr">
        <is>
          <t>Current Value</t>
        </is>
      </c>
      <c r="C6" s="18" t="inlineStr">
        <is>
          <t>Unit</t>
        </is>
      </c>
      <c r="D6" s="18" t="inlineStr">
        <is>
          <t>Target/Threshold</t>
        </is>
      </c>
      <c r="E6" s="18" t="inlineStr">
        <is>
          <t>Status</t>
        </is>
      </c>
      <c r="F6" s="18" t="inlineStr">
        <is>
          <t>Trend</t>
        </is>
      </c>
      <c r="G6" s="18" t="inlineStr">
        <is>
          <t>Last Measured</t>
        </is>
      </c>
      <c r="H6" s="18" t="inlineStr">
        <is>
          <t>Notes</t>
        </is>
      </c>
    </row>
    <row r="7">
      <c r="A7" s="30" t="inlineStr">
        <is>
          <t>SIEM Ingestion Rate (Current)</t>
        </is>
      </c>
      <c r="B7" s="15" t="inlineStr"/>
      <c r="C7" s="6" t="inlineStr">
        <is>
          <t>EPS</t>
        </is>
      </c>
      <c r="D7" s="6" t="inlineStr">
        <is>
          <t>N/A</t>
        </is>
      </c>
      <c r="E7" s="15" t="inlineStr"/>
      <c r="F7" s="15" t="inlineStr"/>
      <c r="G7" s="15" t="inlineStr"/>
      <c r="H7" s="15" t="inlineStr"/>
      <c r="I7" s="16" t="n"/>
      <c r="J7" s="16" t="n"/>
      <c r="K7" s="16" t="n"/>
      <c r="L7" s="16" t="n"/>
      <c r="M7" s="16" t="n"/>
      <c r="N7" s="16" t="n"/>
      <c r="O7" s="16" t="n"/>
      <c r="P7" s="16" t="n"/>
      <c r="Q7" s="17" t="n"/>
    </row>
    <row r="8">
      <c r="A8" s="30" t="inlineStr">
        <is>
          <t>SIEM Ingestion Rate (Peak)</t>
        </is>
      </c>
      <c r="B8" s="15" t="inlineStr"/>
      <c r="C8" s="6" t="inlineStr">
        <is>
          <t>EPS</t>
        </is>
      </c>
      <c r="D8" s="6" t="inlineStr">
        <is>
          <t>N/A</t>
        </is>
      </c>
      <c r="E8" s="15" t="inlineStr"/>
      <c r="F8" s="15" t="inlineStr"/>
      <c r="G8" s="15" t="inlineStr"/>
      <c r="H8" s="15" t="inlineStr"/>
      <c r="I8" s="16" t="n"/>
      <c r="J8" s="16" t="n"/>
      <c r="K8" s="16" t="n"/>
      <c r="L8" s="16" t="n"/>
      <c r="M8" s="16" t="n"/>
      <c r="N8" s="16" t="n"/>
      <c r="O8" s="16" t="n"/>
      <c r="P8" s="16" t="n"/>
      <c r="Q8" s="17" t="n"/>
    </row>
    <row r="9">
      <c r="A9" s="30" t="inlineStr">
        <is>
          <t>SIEM Licensed Capacity</t>
        </is>
      </c>
      <c r="B9" s="15" t="inlineStr"/>
      <c r="C9" s="6" t="inlineStr">
        <is>
          <t>EPS</t>
        </is>
      </c>
      <c r="D9" s="6" t="inlineStr">
        <is>
          <t>N/A</t>
        </is>
      </c>
      <c r="E9" s="15" t="inlineStr"/>
      <c r="F9" s="15" t="inlineStr"/>
      <c r="G9" s="15" t="inlineStr"/>
      <c r="H9" s="15" t="inlineStr"/>
      <c r="I9" s="16" t="n"/>
      <c r="J9" s="16" t="n"/>
      <c r="K9" s="16" t="n"/>
      <c r="L9" s="16" t="n"/>
      <c r="M9" s="16" t="n"/>
      <c r="N9" s="16" t="n"/>
      <c r="O9" s="16" t="n"/>
      <c r="P9" s="16" t="n"/>
      <c r="Q9" s="17" t="n"/>
    </row>
    <row r="10">
      <c r="A10" s="30" t="inlineStr">
        <is>
          <t>Capacity Utilization</t>
        </is>
      </c>
      <c r="B10" s="15" t="inlineStr"/>
      <c r="C10" s="6" t="inlineStr">
        <is>
          <t>%</t>
        </is>
      </c>
      <c r="D10" s="6" t="inlineStr">
        <is>
          <t>&lt;80%</t>
        </is>
      </c>
      <c r="E10" s="15" t="inlineStr"/>
      <c r="F10" s="15" t="inlineStr"/>
      <c r="G10" s="15" t="inlineStr"/>
      <c r="H10" s="15" t="inlineStr"/>
      <c r="I10" s="16" t="n"/>
      <c r="J10" s="16" t="n"/>
      <c r="K10" s="16" t="n"/>
      <c r="L10" s="16" t="n"/>
      <c r="M10" s="16" t="n"/>
      <c r="N10" s="16" t="n"/>
      <c r="O10" s="16" t="n"/>
      <c r="P10" s="16" t="n"/>
      <c r="Q10" s="17" t="n"/>
    </row>
    <row r="11">
      <c r="A11" s="30" t="inlineStr">
        <is>
          <t>Average Search Response Time</t>
        </is>
      </c>
      <c r="B11" s="15" t="inlineStr"/>
      <c r="C11" s="6" t="inlineStr">
        <is>
          <t>seconds</t>
        </is>
      </c>
      <c r="D11" s="6" t="inlineStr">
        <is>
          <t>&lt;10 sec</t>
        </is>
      </c>
      <c r="E11" s="15" t="inlineStr"/>
      <c r="F11" s="15" t="inlineStr"/>
      <c r="G11" s="15" t="inlineStr"/>
      <c r="H11" s="15" t="inlineStr"/>
      <c r="I11" s="16" t="n"/>
      <c r="J11" s="16" t="n"/>
      <c r="K11" s="16" t="n"/>
      <c r="L11" s="16" t="n"/>
      <c r="M11" s="16" t="n"/>
      <c r="N11" s="16" t="n"/>
      <c r="O11" s="16" t="n"/>
      <c r="P11" s="16" t="n"/>
      <c r="Q11" s="17" t="n"/>
    </row>
    <row r="12">
      <c r="A12" s="30" t="inlineStr">
        <is>
          <t>Indexing Lag</t>
        </is>
      </c>
      <c r="B12" s="15" t="inlineStr"/>
      <c r="C12" s="6" t="inlineStr">
        <is>
          <t>minutes</t>
        </is>
      </c>
      <c r="D12" s="6" t="inlineStr">
        <is>
          <t>&lt;5 min</t>
        </is>
      </c>
      <c r="E12" s="15" t="inlineStr"/>
      <c r="F12" s="15" t="inlineStr"/>
      <c r="G12" s="15" t="inlineStr"/>
      <c r="H12" s="15" t="inlineStr"/>
      <c r="I12" s="16" t="n"/>
      <c r="J12" s="16" t="n"/>
      <c r="K12" s="16" t="n"/>
      <c r="L12" s="16" t="n"/>
      <c r="M12" s="16" t="n"/>
      <c r="N12" s="16" t="n"/>
      <c r="O12" s="16" t="n"/>
      <c r="P12" s="16" t="n"/>
      <c r="Q12" s="17" t="n"/>
    </row>
    <row r="13">
      <c r="A13" s="30" t="inlineStr">
        <is>
          <t>Storage Utilization</t>
        </is>
      </c>
      <c r="B13" s="15" t="inlineStr"/>
      <c r="C13" s="6" t="inlineStr">
        <is>
          <t>%</t>
        </is>
      </c>
      <c r="D13" s="6" t="inlineStr">
        <is>
          <t>&lt;80%</t>
        </is>
      </c>
      <c r="E13" s="15" t="inlineStr"/>
      <c r="F13" s="15" t="inlineStr"/>
      <c r="G13" s="15" t="inlineStr"/>
      <c r="H13" s="15" t="inlineStr"/>
      <c r="I13" s="16" t="n"/>
      <c r="J13" s="16" t="n"/>
      <c r="K13" s="16" t="n"/>
      <c r="L13" s="16" t="n"/>
      <c r="M13" s="16" t="n"/>
      <c r="N13" s="16" t="n"/>
      <c r="O13" s="16" t="n"/>
      <c r="P13" s="16" t="n"/>
      <c r="Q13" s="17" t="n"/>
    </row>
    <row r="14">
      <c r="A14" s="30" t="inlineStr">
        <is>
          <t>Hot Tier Storage Available</t>
        </is>
      </c>
      <c r="B14" s="15" t="inlineStr"/>
      <c r="C14" s="6" t="inlineStr">
        <is>
          <t>TB</t>
        </is>
      </c>
      <c r="D14" s="6" t="inlineStr">
        <is>
          <t>&gt;20%</t>
        </is>
      </c>
      <c r="E14" s="15" t="inlineStr"/>
      <c r="F14" s="15" t="inlineStr"/>
      <c r="G14" s="15" t="inlineStr"/>
      <c r="H14" s="15" t="inlineStr"/>
      <c r="I14" s="16" t="n"/>
      <c r="J14" s="16" t="n"/>
      <c r="K14" s="16" t="n"/>
      <c r="L14" s="16" t="n"/>
      <c r="M14" s="16" t="n"/>
      <c r="N14" s="16" t="n"/>
      <c r="O14" s="16" t="n"/>
      <c r="P14" s="16" t="n"/>
      <c r="Q14" s="17" t="n"/>
    </row>
    <row r="15">
      <c r="A15" s="30" t="inlineStr">
        <is>
          <t>Daily Log Volume</t>
        </is>
      </c>
      <c r="B15" s="15" t="inlineStr"/>
      <c r="C15" s="6" t="inlineStr">
        <is>
          <t>GB/day</t>
        </is>
      </c>
      <c r="D15" s="6" t="inlineStr">
        <is>
          <t>N/A</t>
        </is>
      </c>
      <c r="E15" s="15" t="inlineStr"/>
      <c r="F15" s="15" t="inlineStr"/>
      <c r="G15" s="15" t="inlineStr"/>
      <c r="H15" s="15" t="inlineStr"/>
      <c r="I15" s="16" t="n"/>
      <c r="J15" s="16" t="n"/>
      <c r="K15" s="16" t="n"/>
      <c r="L15" s="16" t="n"/>
      <c r="M15" s="16" t="n"/>
      <c r="N15" s="16" t="n"/>
      <c r="O15" s="16" t="n"/>
      <c r="P15" s="16" t="n"/>
      <c r="Q15" s="17" t="n"/>
    </row>
    <row r="16">
      <c r="A16" s="30" t="inlineStr">
        <is>
          <t>Data Retention Compliance</t>
        </is>
      </c>
      <c r="B16" s="15" t="inlineStr"/>
      <c r="C16" s="6" t="inlineStr">
        <is>
          <t>days</t>
        </is>
      </c>
      <c r="D16" s="6" t="inlineStr">
        <is>
          <t>&gt;=90</t>
        </is>
      </c>
      <c r="E16" s="15" t="inlineStr"/>
      <c r="F16" s="15" t="inlineStr"/>
      <c r="G16" s="15" t="inlineStr"/>
      <c r="H16" s="15" t="inlineStr"/>
      <c r="I16" s="16" t="n"/>
      <c r="J16" s="16" t="n"/>
      <c r="K16" s="16" t="n"/>
      <c r="L16" s="16" t="n"/>
      <c r="M16" s="16" t="n"/>
      <c r="N16" s="16" t="n"/>
      <c r="O16" s="16" t="n"/>
      <c r="P16" s="16" t="n"/>
      <c r="Q16" s="17" t="n"/>
    </row>
    <row r="17">
      <c r="A17" s="30" t="inlineStr">
        <is>
          <t>SIEM Availability (Last 30d)</t>
        </is>
      </c>
      <c r="B17" s="15" t="inlineStr"/>
      <c r="C17" s="6" t="inlineStr">
        <is>
          <t>%</t>
        </is>
      </c>
      <c r="D17" s="6" t="inlineStr">
        <is>
          <t>&gt;99.5%</t>
        </is>
      </c>
      <c r="E17" s="15" t="inlineStr"/>
      <c r="F17" s="15" t="inlineStr"/>
      <c r="G17" s="15" t="inlineStr"/>
      <c r="H17" s="15" t="inlineStr"/>
      <c r="I17" s="16" t="n"/>
      <c r="J17" s="16" t="n"/>
      <c r="K17" s="16" t="n"/>
      <c r="L17" s="16" t="n"/>
      <c r="M17" s="16" t="n"/>
      <c r="N17" s="16" t="n"/>
      <c r="O17" s="16" t="n"/>
      <c r="P17" s="16" t="n"/>
      <c r="Q17" s="17" t="n"/>
    </row>
    <row r="18">
      <c r="A18" s="30" t="inlineStr">
        <is>
          <t>Alert Generation Latency</t>
        </is>
      </c>
      <c r="B18" s="15" t="inlineStr"/>
      <c r="C18" s="6" t="inlineStr">
        <is>
          <t>seconds</t>
        </is>
      </c>
      <c r="D18" s="6" t="inlineStr">
        <is>
          <t>&lt;60 sec</t>
        </is>
      </c>
      <c r="E18" s="15" t="inlineStr"/>
      <c r="F18" s="15" t="inlineStr"/>
      <c r="G18" s="15" t="inlineStr"/>
      <c r="H18" s="15" t="inlineStr"/>
      <c r="I18" s="16" t="n"/>
      <c r="J18" s="16" t="n"/>
      <c r="K18" s="16" t="n"/>
      <c r="L18" s="16" t="n"/>
      <c r="M18" s="16" t="n"/>
      <c r="N18" s="16" t="n"/>
      <c r="O18" s="16" t="n"/>
      <c r="P18" s="16" t="n"/>
      <c r="Q18" s="17" t="n"/>
    </row>
    <row r="19">
      <c r="A19" s="30" t="inlineStr">
        <is>
          <t>Correlation Rule Execution Time</t>
        </is>
      </c>
      <c r="B19" s="15" t="inlineStr"/>
      <c r="C19" s="6" t="inlineStr">
        <is>
          <t>seconds</t>
        </is>
      </c>
      <c r="D19" s="6" t="inlineStr">
        <is>
          <t>&lt;5 sec</t>
        </is>
      </c>
      <c r="E19" s="15" t="inlineStr"/>
      <c r="F19" s="15" t="inlineStr"/>
      <c r="G19" s="15" t="inlineStr"/>
      <c r="H19" s="15" t="inlineStr"/>
      <c r="I19" s="16" t="n"/>
      <c r="J19" s="16" t="n"/>
      <c r="K19" s="16" t="n"/>
      <c r="L19" s="16" t="n"/>
      <c r="M19" s="16" t="n"/>
      <c r="N19" s="16" t="n"/>
      <c r="O19" s="16" t="n"/>
      <c r="P19" s="16" t="n"/>
      <c r="Q19" s="17" t="n"/>
    </row>
    <row r="20">
      <c r="A20" s="30" t="inlineStr">
        <is>
          <t>Dashboard Load Time</t>
        </is>
      </c>
      <c r="B20" s="15" t="inlineStr"/>
      <c r="C20" s="6" t="inlineStr">
        <is>
          <t>seconds</t>
        </is>
      </c>
      <c r="D20" s="6" t="inlineStr">
        <is>
          <t>&lt;3 sec</t>
        </is>
      </c>
      <c r="E20" s="15" t="inlineStr"/>
      <c r="F20" s="15" t="inlineStr"/>
      <c r="G20" s="15" t="inlineStr"/>
      <c r="H20" s="15" t="inlineStr"/>
      <c r="I20" s="16" t="n"/>
      <c r="J20" s="16" t="n"/>
      <c r="K20" s="16" t="n"/>
      <c r="L20" s="16" t="n"/>
      <c r="M20" s="16" t="n"/>
      <c r="N20" s="16" t="n"/>
      <c r="O20" s="16" t="n"/>
      <c r="P20" s="16" t="n"/>
      <c r="Q20" s="17" t="n"/>
    </row>
    <row r="21">
      <c r="A21" s="30" t="inlineStr">
        <is>
          <t>API Response Time</t>
        </is>
      </c>
      <c r="B21" s="15" t="inlineStr"/>
      <c r="C21" s="6" t="inlineStr">
        <is>
          <t>milliseconds</t>
        </is>
      </c>
      <c r="D21" s="6" t="inlineStr">
        <is>
          <t>&lt;500 ms</t>
        </is>
      </c>
      <c r="E21" s="15" t="inlineStr"/>
      <c r="F21" s="15" t="inlineStr"/>
      <c r="G21" s="15" t="inlineStr"/>
      <c r="H21" s="15" t="inlineStr"/>
      <c r="I21" s="16" t="n"/>
      <c r="J21" s="16" t="n"/>
      <c r="K21" s="16" t="n"/>
      <c r="L21" s="16" t="n"/>
      <c r="M21" s="16" t="n"/>
      <c r="N21" s="16" t="n"/>
      <c r="O21" s="16" t="n"/>
      <c r="P21" s="16" t="n"/>
      <c r="Q21" s="17" t="n"/>
    </row>
    <row r="24">
      <c r="A24" s="20" t="inlineStr">
        <is>
          <t>SCALABILITY ASSESSMENT</t>
        </is>
      </c>
    </row>
    <row r="25">
      <c r="A25" s="18" t="inlineStr">
        <is>
          <t>Scalability Factor</t>
        </is>
      </c>
      <c r="B25" s="16" t="n"/>
      <c r="C25" s="16" t="n"/>
      <c r="D25" s="16" t="n"/>
      <c r="E25" s="16" t="n"/>
      <c r="F25" s="17" t="n"/>
      <c r="G25" s="18" t="inlineStr">
        <is>
          <t>Current/Projected</t>
        </is>
      </c>
      <c r="H25" s="16" t="n"/>
      <c r="I25" s="16" t="n"/>
      <c r="J25" s="16" t="n"/>
      <c r="K25" s="16" t="n"/>
      <c r="L25" s="17" t="n"/>
      <c r="M25" s="18" t="inlineStr">
        <is>
          <t>Target</t>
        </is>
      </c>
      <c r="N25" s="16" t="n"/>
      <c r="O25" s="16" t="n"/>
      <c r="P25" s="16" t="n"/>
      <c r="Q25" s="17" t="n"/>
    </row>
    <row r="26">
      <c r="A26" s="30" t="inlineStr">
        <is>
          <t>Current log sources (count)</t>
        </is>
      </c>
      <c r="B26" s="16" t="n"/>
      <c r="C26" s="16" t="n"/>
      <c r="D26" s="16" t="n"/>
      <c r="E26" s="16" t="n"/>
      <c r="F26" s="17" t="n"/>
      <c r="G26" s="15" t="inlineStr"/>
      <c r="H26" s="16" t="n"/>
      <c r="I26" s="16" t="n"/>
      <c r="J26" s="16" t="n"/>
      <c r="K26" s="16" t="n"/>
      <c r="L26" s="17" t="n"/>
      <c r="M26" s="6" t="inlineStr">
        <is>
          <t>N/A</t>
        </is>
      </c>
      <c r="N26" s="16" t="n"/>
      <c r="O26" s="16" t="n"/>
      <c r="P26" s="16" t="n"/>
      <c r="Q26" s="17" t="n"/>
    </row>
    <row r="27">
      <c r="A27" s="30" t="inlineStr">
        <is>
          <t>Projected log sources (12 months)</t>
        </is>
      </c>
      <c r="B27" s="16" t="n"/>
      <c r="C27" s="16" t="n"/>
      <c r="D27" s="16" t="n"/>
      <c r="E27" s="16" t="n"/>
      <c r="F27" s="17" t="n"/>
      <c r="G27" s="15" t="inlineStr"/>
      <c r="H27" s="16" t="n"/>
      <c r="I27" s="16" t="n"/>
      <c r="J27" s="16" t="n"/>
      <c r="K27" s="16" t="n"/>
      <c r="L27" s="17" t="n"/>
      <c r="M27" s="6" t="inlineStr">
        <is>
          <t>N/A</t>
        </is>
      </c>
      <c r="N27" s="16" t="n"/>
      <c r="O27" s="16" t="n"/>
      <c r="P27" s="16" t="n"/>
      <c r="Q27" s="17" t="n"/>
    </row>
    <row r="28">
      <c r="A28" s="30" t="inlineStr">
        <is>
          <t>Current daily log volume (GB)</t>
        </is>
      </c>
      <c r="B28" s="16" t="n"/>
      <c r="C28" s="16" t="n"/>
      <c r="D28" s="16" t="n"/>
      <c r="E28" s="16" t="n"/>
      <c r="F28" s="17" t="n"/>
      <c r="G28" s="15" t="inlineStr"/>
      <c r="H28" s="16" t="n"/>
      <c r="I28" s="16" t="n"/>
      <c r="J28" s="16" t="n"/>
      <c r="K28" s="16" t="n"/>
      <c r="L28" s="17" t="n"/>
      <c r="M28" s="6" t="inlineStr">
        <is>
          <t>N/A</t>
        </is>
      </c>
      <c r="N28" s="16" t="n"/>
      <c r="O28" s="16" t="n"/>
      <c r="P28" s="16" t="n"/>
      <c r="Q28" s="17" t="n"/>
    </row>
    <row r="29">
      <c r="A29" s="30" t="inlineStr">
        <is>
          <t>Projected daily log volume (12 months, GB)</t>
        </is>
      </c>
      <c r="B29" s="16" t="n"/>
      <c r="C29" s="16" t="n"/>
      <c r="D29" s="16" t="n"/>
      <c r="E29" s="16" t="n"/>
      <c r="F29" s="17" t="n"/>
      <c r="G29" s="15" t="inlineStr"/>
      <c r="H29" s="16" t="n"/>
      <c r="I29" s="16" t="n"/>
      <c r="J29" s="16" t="n"/>
      <c r="K29" s="16" t="n"/>
      <c r="L29" s="17" t="n"/>
      <c r="M29" s="6" t="inlineStr">
        <is>
          <t>N/A</t>
        </is>
      </c>
      <c r="N29" s="16" t="n"/>
      <c r="O29" s="16" t="n"/>
      <c r="P29" s="16" t="n"/>
      <c r="Q29" s="17" t="n"/>
    </row>
    <row r="30">
      <c r="A30" s="30" t="inlineStr">
        <is>
          <t>Growth rate (%)</t>
        </is>
      </c>
      <c r="B30" s="16" t="n"/>
      <c r="C30" s="16" t="n"/>
      <c r="D30" s="16" t="n"/>
      <c r="E30" s="16" t="n"/>
      <c r="F30" s="17" t="n"/>
      <c r="G30" s="15" t="inlineStr"/>
      <c r="H30" s="16" t="n"/>
      <c r="I30" s="16" t="n"/>
      <c r="J30" s="16" t="n"/>
      <c r="K30" s="16" t="n"/>
      <c r="L30" s="17" t="n"/>
      <c r="M30" s="6" t="inlineStr">
        <is>
          <t>&lt;30% increase</t>
        </is>
      </c>
      <c r="N30" s="16" t="n"/>
      <c r="O30" s="16" t="n"/>
      <c r="P30" s="16" t="n"/>
      <c r="Q30" s="17" t="n"/>
    </row>
    <row r="31">
      <c r="A31" s="30" t="inlineStr">
        <is>
          <t>Available capacity for growth (%)</t>
        </is>
      </c>
      <c r="B31" s="16" t="n"/>
      <c r="C31" s="16" t="n"/>
      <c r="D31" s="16" t="n"/>
      <c r="E31" s="16" t="n"/>
      <c r="F31" s="17" t="n"/>
      <c r="G31" s="15" t="inlineStr"/>
      <c r="H31" s="16" t="n"/>
      <c r="I31" s="16" t="n"/>
      <c r="J31" s="16" t="n"/>
      <c r="K31" s="16" t="n"/>
      <c r="L31" s="17" t="n"/>
      <c r="M31" s="6" t="inlineStr">
        <is>
          <t>&gt;50%</t>
        </is>
      </c>
      <c r="N31" s="16" t="n"/>
      <c r="O31" s="16" t="n"/>
      <c r="P31" s="16" t="n"/>
      <c r="Q31" s="17" t="n"/>
    </row>
    <row r="32">
      <c r="A32" s="30" t="inlineStr">
        <is>
          <t>Time to add new log source</t>
        </is>
      </c>
      <c r="B32" s="16" t="n"/>
      <c r="C32" s="16" t="n"/>
      <c r="D32" s="16" t="n"/>
      <c r="E32" s="16" t="n"/>
      <c r="F32" s="17" t="n"/>
      <c r="G32" s="15" t="inlineStr"/>
      <c r="H32" s="16" t="n"/>
      <c r="I32" s="16" t="n"/>
      <c r="J32" s="16" t="n"/>
      <c r="K32" s="16" t="n"/>
      <c r="L32" s="17" t="n"/>
      <c r="M32" s="6" t="inlineStr">
        <is>
          <t>&lt;1 hour</t>
        </is>
      </c>
      <c r="N32" s="16" t="n"/>
      <c r="O32" s="16" t="n"/>
      <c r="P32" s="16" t="n"/>
      <c r="Q32" s="17" t="n"/>
    </row>
    <row r="33">
      <c r="A33" s="30" t="inlineStr">
        <is>
          <t>Horizontal scaling capability</t>
        </is>
      </c>
      <c r="B33" s="16" t="n"/>
      <c r="C33" s="16" t="n"/>
      <c r="D33" s="16" t="n"/>
      <c r="E33" s="16" t="n"/>
      <c r="F33" s="17" t="n"/>
      <c r="G33" s="15" t="inlineStr"/>
      <c r="H33" s="16" t="n"/>
      <c r="I33" s="16" t="n"/>
      <c r="J33" s="16" t="n"/>
      <c r="K33" s="16" t="n"/>
      <c r="L33" s="17" t="n"/>
      <c r="M33" s="6" t="inlineStr">
        <is>
          <t>Yes</t>
        </is>
      </c>
      <c r="N33" s="16" t="n"/>
      <c r="O33" s="16" t="n"/>
      <c r="P33" s="16" t="n"/>
      <c r="Q33" s="17" t="n"/>
    </row>
    <row r="34">
      <c r="A34" s="30" t="inlineStr">
        <is>
          <t>Vertical scaling capability</t>
        </is>
      </c>
      <c r="B34" s="16" t="n"/>
      <c r="C34" s="16" t="n"/>
      <c r="D34" s="16" t="n"/>
      <c r="E34" s="16" t="n"/>
      <c r="F34" s="17" t="n"/>
      <c r="G34" s="15" t="inlineStr"/>
      <c r="H34" s="16" t="n"/>
      <c r="I34" s="16" t="n"/>
      <c r="J34" s="16" t="n"/>
      <c r="K34" s="16" t="n"/>
      <c r="L34" s="17" t="n"/>
      <c r="M34" s="6" t="inlineStr">
        <is>
          <t>Yes</t>
        </is>
      </c>
      <c r="N34" s="16" t="n"/>
      <c r="O34" s="16" t="n"/>
      <c r="P34" s="16" t="n"/>
      <c r="Q34" s="17" t="n"/>
    </row>
    <row r="35">
      <c r="A35" s="30" t="inlineStr">
        <is>
          <t>Capacity planning performed</t>
        </is>
      </c>
      <c r="B35" s="16" t="n"/>
      <c r="C35" s="16" t="n"/>
      <c r="D35" s="16" t="n"/>
      <c r="E35" s="16" t="n"/>
      <c r="F35" s="17" t="n"/>
      <c r="G35" s="15" t="inlineStr"/>
      <c r="H35" s="16" t="n"/>
      <c r="I35" s="16" t="n"/>
      <c r="J35" s="16" t="n"/>
      <c r="K35" s="16" t="n"/>
      <c r="L35" s="17" t="n"/>
      <c r="M35" s="6" t="inlineStr">
        <is>
          <t>Quarterly</t>
        </is>
      </c>
      <c r="N35" s="16" t="n"/>
      <c r="O35" s="16" t="n"/>
      <c r="P35" s="16" t="n"/>
      <c r="Q35" s="17" t="n"/>
    </row>
    <row r="37">
      <c r="A37" s="20" t="inlineStr">
        <is>
          <t>PERFORMANCE &amp; SCALABILITY CHECKLIST</t>
        </is>
      </c>
    </row>
    <row r="38">
      <c r="A38" s="18" t="inlineStr">
        <is>
          <t>#</t>
        </is>
      </c>
      <c r="B38" s="18" t="inlineStr">
        <is>
          <t>Requirement</t>
        </is>
      </c>
      <c r="C38" s="16" t="n"/>
      <c r="D38" s="16" t="n"/>
      <c r="E38" s="16" t="n"/>
      <c r="F38" s="16" t="n"/>
      <c r="G38" s="16" t="n"/>
      <c r="H38" s="16" t="n"/>
      <c r="I38" s="16" t="n"/>
      <c r="J38" s="16" t="n"/>
      <c r="K38" s="16" t="n"/>
      <c r="L38" s="16" t="n"/>
      <c r="M38" s="16" t="n"/>
      <c r="N38" s="16" t="n"/>
      <c r="O38" s="16" t="n"/>
      <c r="P38" s="17" t="n"/>
    </row>
    <row r="39">
      <c r="A39" t="n">
        <v>1</v>
      </c>
      <c r="B39" s="21" t="inlineStr">
        <is>
          <t>SIEM capacity utilization &lt;80%</t>
        </is>
      </c>
      <c r="Q39" s="15" t="n"/>
    </row>
    <row r="40">
      <c r="A40" t="n">
        <v>2</v>
      </c>
      <c r="B40" s="21" t="inlineStr">
        <is>
          <t>Search performance meets &lt;10 second target</t>
        </is>
      </c>
      <c r="Q40" s="15" t="n"/>
    </row>
    <row r="41">
      <c r="A41" t="n">
        <v>3</v>
      </c>
      <c r="B41" s="21" t="inlineStr">
        <is>
          <t>Indexing lag &lt;5 minutes</t>
        </is>
      </c>
      <c r="Q41" s="15" t="n"/>
    </row>
    <row r="42">
      <c r="A42" t="n">
        <v>4</v>
      </c>
      <c r="B42" s="21" t="inlineStr">
        <is>
          <t>Storage utilization &lt;80%</t>
        </is>
      </c>
      <c r="Q42" s="15" t="n"/>
    </row>
    <row r="43">
      <c r="A43" t="n">
        <v>5</v>
      </c>
      <c r="B43" s="21" t="inlineStr">
        <is>
          <t>SIEM availability &gt;99.5%</t>
        </is>
      </c>
      <c r="Q43" s="15" t="n"/>
    </row>
    <row r="44">
      <c r="A44" t="n">
        <v>6</v>
      </c>
      <c r="B44" s="21" t="inlineStr">
        <is>
          <t>Alert latency &lt;60 seconds</t>
        </is>
      </c>
      <c r="Q44" s="15" t="n"/>
    </row>
    <row r="45">
      <c r="A45" t="n">
        <v>7</v>
      </c>
      <c r="B45" s="21" t="inlineStr">
        <is>
          <t>Capacity planning performed quarterly</t>
        </is>
      </c>
      <c r="Q45" s="15" t="n"/>
    </row>
    <row r="46">
      <c r="A46" t="n">
        <v>8</v>
      </c>
      <c r="B46" s="21" t="inlineStr">
        <is>
          <t>Growth projections documented</t>
        </is>
      </c>
      <c r="Q46" s="15" t="n"/>
    </row>
    <row r="47">
      <c r="A47" t="n">
        <v>9</v>
      </c>
      <c r="B47" s="21" t="inlineStr">
        <is>
          <t>Scalability tested (load testing)</t>
        </is>
      </c>
      <c r="Q47" s="15" t="n"/>
    </row>
    <row r="48">
      <c r="A48" t="n">
        <v>10</v>
      </c>
      <c r="B48" s="21" t="inlineStr">
        <is>
          <t>Performance baselines established</t>
        </is>
      </c>
      <c r="Q48" s="15" t="n"/>
    </row>
    <row r="49">
      <c r="A49" t="n">
        <v>11</v>
      </c>
      <c r="B49" s="21" t="inlineStr">
        <is>
          <t>Performance monitoring automated</t>
        </is>
      </c>
      <c r="Q49" s="15" t="n"/>
    </row>
    <row r="50">
      <c r="A50" t="n">
        <v>12</v>
      </c>
      <c r="B50" s="21" t="inlineStr">
        <is>
          <t>Performance metrics reviewed monthly</t>
        </is>
      </c>
      <c r="Q50" s="15" t="n"/>
    </row>
    <row r="51">
      <c r="A51" t="n">
        <v>13</v>
      </c>
      <c r="B51" s="21" t="inlineStr">
        <is>
          <t>Capacity alerts configured</t>
        </is>
      </c>
      <c r="Q51" s="15" t="n"/>
    </row>
    <row r="52">
      <c r="A52" t="n">
        <v>14</v>
      </c>
      <c r="B52" s="21" t="inlineStr">
        <is>
          <t>Retention policies optimized for cost</t>
        </is>
      </c>
      <c r="Q52" s="15" t="n"/>
    </row>
    <row r="53">
      <c r="A53" t="n">
        <v>15</v>
      </c>
      <c r="B53" s="21" t="inlineStr">
        <is>
          <t>Disaster recovery capacity validated</t>
        </is>
      </c>
      <c r="Q53" s="15" t="n"/>
    </row>
    <row r="54">
      <c r="A54" s="22" t="inlineStr">
        <is>
          <t>SCORE:</t>
        </is>
      </c>
      <c r="B54" s="23">
        <f>COUNTIF(Q39:Q53,"✅ Compliant")&amp;" / 15"</f>
        <v/>
      </c>
    </row>
  </sheetData>
  <mergeCells count="71">
    <mergeCell ref="B43:P43"/>
    <mergeCell ref="B39:P39"/>
    <mergeCell ref="M34:Q34"/>
    <mergeCell ref="H13:Q13"/>
    <mergeCell ref="H19:Q19"/>
    <mergeCell ref="B48:P48"/>
    <mergeCell ref="G28:L28"/>
    <mergeCell ref="B42:P42"/>
    <mergeCell ref="H12:Q12"/>
    <mergeCell ref="A24:Q24"/>
    <mergeCell ref="A27:F27"/>
    <mergeCell ref="A26:F26"/>
    <mergeCell ref="G34:L34"/>
    <mergeCell ref="H15:Q15"/>
    <mergeCell ref="A1:Q1"/>
    <mergeCell ref="G30:L30"/>
    <mergeCell ref="B44:P44"/>
    <mergeCell ref="B53:P53"/>
    <mergeCell ref="H18:Q18"/>
    <mergeCell ref="A33:F33"/>
    <mergeCell ref="H14:Q14"/>
    <mergeCell ref="G33:L33"/>
    <mergeCell ref="M35:Q35"/>
    <mergeCell ref="B38:P38"/>
    <mergeCell ref="H8:Q8"/>
    <mergeCell ref="A32:F32"/>
    <mergeCell ref="B54:E54"/>
    <mergeCell ref="A35:F35"/>
    <mergeCell ref="G35:L35"/>
    <mergeCell ref="B49:P49"/>
    <mergeCell ref="H20:Q20"/>
    <mergeCell ref="G26:L26"/>
    <mergeCell ref="B40:P40"/>
    <mergeCell ref="A29:F29"/>
    <mergeCell ref="G29:L29"/>
    <mergeCell ref="H10:Q10"/>
    <mergeCell ref="M31:Q31"/>
    <mergeCell ref="A37:Q37"/>
    <mergeCell ref="G25:L25"/>
    <mergeCell ref="A28:F28"/>
    <mergeCell ref="M30:Q30"/>
    <mergeCell ref="M25:Q25"/>
    <mergeCell ref="A3:Q3"/>
    <mergeCell ref="G32:L32"/>
    <mergeCell ref="B51:P51"/>
    <mergeCell ref="H9:Q9"/>
    <mergeCell ref="A31:F31"/>
    <mergeCell ref="A2:Q2"/>
    <mergeCell ref="M28:Q28"/>
    <mergeCell ref="G31:L31"/>
    <mergeCell ref="M33:Q33"/>
    <mergeCell ref="A34:F34"/>
    <mergeCell ref="B41:P41"/>
    <mergeCell ref="H21:Q21"/>
    <mergeCell ref="M27:Q27"/>
    <mergeCell ref="A30:F30"/>
    <mergeCell ref="B45:P45"/>
    <mergeCell ref="B50:P50"/>
    <mergeCell ref="A5:Q5"/>
    <mergeCell ref="M26:Q26"/>
    <mergeCell ref="G27:L27"/>
    <mergeCell ref="B47:P47"/>
    <mergeCell ref="M29:Q29"/>
    <mergeCell ref="M32:Q32"/>
    <mergeCell ref="H17:Q17"/>
    <mergeCell ref="B46:P46"/>
    <mergeCell ref="H11:Q11"/>
    <mergeCell ref="H7:Q7"/>
    <mergeCell ref="H16:Q16"/>
    <mergeCell ref="B52:P52"/>
    <mergeCell ref="A25:F25"/>
  </mergeCells>
  <dataValidations count="1">
    <dataValidation sqref="E7 E8 E9 E10 E11 E12 E13 E14 E15 E16 E17 E18 E19 E20 E21 Q39 Q40 Q41 Q42 Q43 Q44 Q45 Q46 Q47 Q48 Q49 Q50 Q51 Q52 Q53" showDropDown="0" showInputMessage="0" showErrorMessage="0" allowBlank="0" type="list">
      <formula1>"✅ Compliant,⚠️ Partial,❌ Non-Compliant,N/A"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31" t="inlineStr">
        <is>
          <t>EVIDENCE REGISTER</t>
        </is>
      </c>
      <c r="B1" s="6" t="n"/>
      <c r="C1" s="6" t="n"/>
      <c r="D1" s="6" t="n"/>
      <c r="E1" s="6" t="n"/>
      <c r="F1" s="6" t="n"/>
      <c r="G1" s="6" t="n"/>
      <c r="H1" s="6" t="n"/>
    </row>
    <row r="2">
      <c r="A2" s="32" t="inlineStr">
        <is>
          <t>List all evidence files/documents referenced in this assessment (audit traceability).</t>
        </is>
      </c>
    </row>
    <row r="4">
      <c r="A4" s="33" t="inlineStr">
        <is>
          <t>Evidence ID</t>
        </is>
      </c>
      <c r="B4" s="33" t="inlineStr">
        <is>
          <t>Assessment Area</t>
        </is>
      </c>
      <c r="C4" s="33" t="inlineStr">
        <is>
          <t>Evidence Type</t>
        </is>
      </c>
      <c r="D4" s="33" t="inlineStr">
        <is>
          <t>Description</t>
        </is>
      </c>
      <c r="E4" s="33" t="inlineStr">
        <is>
          <t>Location/Path</t>
        </is>
      </c>
      <c r="F4" s="33" t="inlineStr">
        <is>
          <t>Date Collected</t>
        </is>
      </c>
      <c r="G4" s="33" t="inlineStr">
        <is>
          <t>Collected By</t>
        </is>
      </c>
      <c r="H4" s="33" t="inlineStr">
        <is>
          <t>Verification Status</t>
        </is>
      </c>
    </row>
    <row r="5">
      <c r="A5" s="34" t="inlineStr">
        <is>
          <t>EV-001</t>
        </is>
      </c>
      <c r="B5" s="34" t="inlineStr">
        <is>
          <t>Monitoring Infrastructure</t>
        </is>
      </c>
      <c r="C5" s="34" t="inlineStr">
        <is>
          <t>Configuration file</t>
        </is>
      </c>
      <c r="D5" s="34" t="inlineStr">
        <is>
          <t>SIEM platform configuration export — Splunk Enterprise production instance</t>
        </is>
      </c>
      <c r="E5" s="34" t="inlineStr">
        <is>
          <t>\\fileserver\isms\evidence\monitoring\splunk-config-export.json</t>
        </is>
      </c>
      <c r="F5" s="34" t="inlineStr">
        <is>
          <t>2024-03-01</t>
        </is>
      </c>
      <c r="G5" s="34" t="inlineStr">
        <is>
          <t>John Davies</t>
        </is>
      </c>
      <c r="H5" s="34" t="inlineStr">
        <is>
          <t>Verified</t>
        </is>
      </c>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row r="55">
      <c r="A55" s="15" t="n"/>
      <c r="B55" s="15" t="n"/>
      <c r="C55" s="15" t="n"/>
      <c r="D55" s="15" t="n"/>
      <c r="E55" s="15" t="n"/>
      <c r="F55" s="15" t="n"/>
      <c r="G55" s="15" t="n"/>
      <c r="H55" s="15" t="n"/>
    </row>
    <row r="56">
      <c r="A56" s="15" t="n"/>
      <c r="B56" s="15" t="n"/>
      <c r="C56" s="15" t="n"/>
      <c r="D56" s="15" t="n"/>
      <c r="E56" s="15" t="n"/>
      <c r="F56" s="15" t="n"/>
      <c r="G56" s="15" t="n"/>
      <c r="H56" s="15" t="n"/>
    </row>
    <row r="57">
      <c r="A57" s="15" t="n"/>
      <c r="B57" s="15" t="n"/>
      <c r="C57" s="15" t="n"/>
      <c r="D57" s="15" t="n"/>
      <c r="E57" s="15" t="n"/>
      <c r="F57" s="15" t="n"/>
      <c r="G57" s="15" t="n"/>
      <c r="H57" s="15" t="n"/>
    </row>
    <row r="58">
      <c r="A58" s="15" t="n"/>
      <c r="B58" s="15" t="n"/>
      <c r="C58" s="15" t="n"/>
      <c r="D58" s="15" t="n"/>
      <c r="E58" s="15" t="n"/>
      <c r="F58" s="15" t="n"/>
      <c r="G58" s="15" t="n"/>
      <c r="H58" s="15" t="n"/>
    </row>
    <row r="59">
      <c r="A59" s="15" t="n"/>
      <c r="B59" s="15" t="n"/>
      <c r="C59" s="15" t="n"/>
      <c r="D59" s="15" t="n"/>
      <c r="E59" s="15" t="n"/>
      <c r="F59" s="15" t="n"/>
      <c r="G59" s="15" t="n"/>
      <c r="H59" s="15" t="n"/>
    </row>
    <row r="60">
      <c r="A60" s="15" t="n"/>
      <c r="B60" s="15" t="n"/>
      <c r="C60" s="15" t="n"/>
      <c r="D60" s="15" t="n"/>
      <c r="E60" s="15" t="n"/>
      <c r="F60" s="15" t="n"/>
      <c r="G60" s="15" t="n"/>
      <c r="H60" s="15" t="n"/>
    </row>
    <row r="61">
      <c r="A61" s="15" t="n"/>
      <c r="B61" s="15" t="n"/>
      <c r="C61" s="15" t="n"/>
      <c r="D61" s="15" t="n"/>
      <c r="E61" s="15" t="n"/>
      <c r="F61" s="15" t="n"/>
      <c r="G61" s="15" t="n"/>
      <c r="H61" s="15" t="n"/>
    </row>
    <row r="62">
      <c r="A62" s="15" t="n"/>
      <c r="B62" s="15" t="n"/>
      <c r="C62" s="15" t="n"/>
      <c r="D62" s="15" t="n"/>
      <c r="E62" s="15" t="n"/>
      <c r="F62" s="15" t="n"/>
      <c r="G62" s="15" t="n"/>
      <c r="H62" s="15" t="n"/>
    </row>
    <row r="63">
      <c r="A63" s="15" t="n"/>
      <c r="B63" s="15" t="n"/>
      <c r="C63" s="15" t="n"/>
      <c r="D63" s="15" t="n"/>
      <c r="E63" s="15" t="n"/>
      <c r="F63" s="15" t="n"/>
      <c r="G63" s="15" t="n"/>
      <c r="H63" s="15" t="n"/>
    </row>
    <row r="64">
      <c r="A64" s="15" t="n"/>
      <c r="B64" s="15" t="n"/>
      <c r="C64" s="15" t="n"/>
      <c r="D64" s="15" t="n"/>
      <c r="E64" s="15" t="n"/>
      <c r="F64" s="15" t="n"/>
      <c r="G64" s="15" t="n"/>
      <c r="H64" s="15" t="n"/>
    </row>
    <row r="65">
      <c r="A65" s="15" t="n"/>
      <c r="B65" s="15" t="n"/>
      <c r="C65" s="15" t="n"/>
      <c r="D65" s="15" t="n"/>
      <c r="E65" s="15" t="n"/>
      <c r="F65" s="15" t="n"/>
      <c r="G65" s="15" t="n"/>
      <c r="H65" s="15" t="n"/>
    </row>
    <row r="66">
      <c r="A66" s="15" t="n"/>
      <c r="B66" s="15" t="n"/>
      <c r="C66" s="15" t="n"/>
      <c r="D66" s="15" t="n"/>
      <c r="E66" s="15" t="n"/>
      <c r="F66" s="15" t="n"/>
      <c r="G66" s="15" t="n"/>
      <c r="H66" s="15" t="n"/>
    </row>
    <row r="67">
      <c r="A67" s="15" t="n"/>
      <c r="B67" s="15" t="n"/>
      <c r="C67" s="15" t="n"/>
      <c r="D67" s="15" t="n"/>
      <c r="E67" s="15" t="n"/>
      <c r="F67" s="15" t="n"/>
      <c r="G67" s="15" t="n"/>
      <c r="H67" s="15" t="n"/>
    </row>
    <row r="68">
      <c r="A68" s="15" t="n"/>
      <c r="B68" s="15" t="n"/>
      <c r="C68" s="15" t="n"/>
      <c r="D68" s="15" t="n"/>
      <c r="E68" s="15" t="n"/>
      <c r="F68" s="15" t="n"/>
      <c r="G68" s="15" t="n"/>
      <c r="H68" s="15" t="n"/>
    </row>
    <row r="69">
      <c r="A69" s="15" t="n"/>
      <c r="B69" s="15" t="n"/>
      <c r="C69" s="15" t="n"/>
      <c r="D69" s="15" t="n"/>
      <c r="E69" s="15" t="n"/>
      <c r="F69" s="15" t="n"/>
      <c r="G69" s="15" t="n"/>
      <c r="H69" s="15" t="n"/>
    </row>
    <row r="70">
      <c r="A70" s="15" t="n"/>
      <c r="B70" s="15" t="n"/>
      <c r="C70" s="15" t="n"/>
      <c r="D70" s="15" t="n"/>
      <c r="E70" s="15" t="n"/>
      <c r="F70" s="15" t="n"/>
      <c r="G70" s="15" t="n"/>
      <c r="H70" s="15" t="n"/>
    </row>
    <row r="71">
      <c r="A71" s="15" t="n"/>
      <c r="B71" s="15" t="n"/>
      <c r="C71" s="15" t="n"/>
      <c r="D71" s="15" t="n"/>
      <c r="E71" s="15" t="n"/>
      <c r="F71" s="15" t="n"/>
      <c r="G71" s="15" t="n"/>
      <c r="H71" s="15" t="n"/>
    </row>
    <row r="72">
      <c r="A72" s="15" t="n"/>
      <c r="B72" s="15" t="n"/>
      <c r="C72" s="15" t="n"/>
      <c r="D72" s="15" t="n"/>
      <c r="E72" s="15" t="n"/>
      <c r="F72" s="15" t="n"/>
      <c r="G72" s="15" t="n"/>
      <c r="H72" s="15" t="n"/>
    </row>
    <row r="73">
      <c r="A73" s="15" t="n"/>
      <c r="B73" s="15" t="n"/>
      <c r="C73" s="15" t="n"/>
      <c r="D73" s="15" t="n"/>
      <c r="E73" s="15" t="n"/>
      <c r="F73" s="15" t="n"/>
      <c r="G73" s="15" t="n"/>
      <c r="H73" s="15" t="n"/>
    </row>
    <row r="74">
      <c r="A74" s="15" t="n"/>
      <c r="B74" s="15" t="n"/>
      <c r="C74" s="15" t="n"/>
      <c r="D74" s="15" t="n"/>
      <c r="E74" s="15" t="n"/>
      <c r="F74" s="15" t="n"/>
      <c r="G74" s="15" t="n"/>
      <c r="H74" s="15" t="n"/>
    </row>
    <row r="75">
      <c r="A75" s="15" t="n"/>
      <c r="B75" s="15" t="n"/>
      <c r="C75" s="15" t="n"/>
      <c r="D75" s="15" t="n"/>
      <c r="E75" s="15" t="n"/>
      <c r="F75" s="15" t="n"/>
      <c r="G75" s="15" t="n"/>
      <c r="H75" s="15" t="n"/>
    </row>
    <row r="76">
      <c r="A76" s="15" t="n"/>
      <c r="B76" s="15" t="n"/>
      <c r="C76" s="15" t="n"/>
      <c r="D76" s="15" t="n"/>
      <c r="E76" s="15" t="n"/>
      <c r="F76" s="15" t="n"/>
      <c r="G76" s="15" t="n"/>
      <c r="H76" s="15" t="n"/>
    </row>
    <row r="77">
      <c r="A77" s="15" t="n"/>
      <c r="B77" s="15" t="n"/>
      <c r="C77" s="15" t="n"/>
      <c r="D77" s="15" t="n"/>
      <c r="E77" s="15" t="n"/>
      <c r="F77" s="15" t="n"/>
      <c r="G77" s="15" t="n"/>
      <c r="H77" s="15" t="n"/>
    </row>
    <row r="78">
      <c r="A78" s="15" t="n"/>
      <c r="B78" s="15" t="n"/>
      <c r="C78" s="15" t="n"/>
      <c r="D78" s="15" t="n"/>
      <c r="E78" s="15" t="n"/>
      <c r="F78" s="15" t="n"/>
      <c r="G78" s="15" t="n"/>
      <c r="H78" s="15" t="n"/>
    </row>
    <row r="79">
      <c r="A79" s="15" t="n"/>
      <c r="B79" s="15" t="n"/>
      <c r="C79" s="15" t="n"/>
      <c r="D79" s="15" t="n"/>
      <c r="E79" s="15" t="n"/>
      <c r="F79" s="15" t="n"/>
      <c r="G79" s="15" t="n"/>
      <c r="H79" s="15" t="n"/>
    </row>
    <row r="80">
      <c r="A80" s="15" t="n"/>
      <c r="B80" s="15" t="n"/>
      <c r="C80" s="15" t="n"/>
      <c r="D80" s="15" t="n"/>
      <c r="E80" s="15" t="n"/>
      <c r="F80" s="15" t="n"/>
      <c r="G80" s="15" t="n"/>
      <c r="H80" s="15" t="n"/>
    </row>
    <row r="81">
      <c r="A81" s="15" t="n"/>
      <c r="B81" s="15" t="n"/>
      <c r="C81" s="15" t="n"/>
      <c r="D81" s="15" t="n"/>
      <c r="E81" s="15" t="n"/>
      <c r="F81" s="15" t="n"/>
      <c r="G81" s="15" t="n"/>
      <c r="H81" s="15" t="n"/>
    </row>
    <row r="82">
      <c r="A82" s="15" t="n"/>
      <c r="B82" s="15" t="n"/>
      <c r="C82" s="15" t="n"/>
      <c r="D82" s="15" t="n"/>
      <c r="E82" s="15" t="n"/>
      <c r="F82" s="15" t="n"/>
      <c r="G82" s="15" t="n"/>
      <c r="H82" s="15" t="n"/>
    </row>
    <row r="83">
      <c r="A83" s="15" t="n"/>
      <c r="B83" s="15" t="n"/>
      <c r="C83" s="15" t="n"/>
      <c r="D83" s="15" t="n"/>
      <c r="E83" s="15" t="n"/>
      <c r="F83" s="15" t="n"/>
      <c r="G83" s="15" t="n"/>
      <c r="H83" s="15" t="n"/>
    </row>
    <row r="84">
      <c r="A84" s="15" t="n"/>
      <c r="B84" s="15" t="n"/>
      <c r="C84" s="15" t="n"/>
      <c r="D84" s="15" t="n"/>
      <c r="E84" s="15" t="n"/>
      <c r="F84" s="15" t="n"/>
      <c r="G84" s="15" t="n"/>
      <c r="H84" s="15" t="n"/>
    </row>
    <row r="85">
      <c r="A85" s="15" t="n"/>
      <c r="B85" s="15" t="n"/>
      <c r="C85" s="15" t="n"/>
      <c r="D85" s="15" t="n"/>
      <c r="E85" s="15" t="n"/>
      <c r="F85" s="15" t="n"/>
      <c r="G85" s="15" t="n"/>
      <c r="H85" s="15" t="n"/>
    </row>
    <row r="86">
      <c r="A86" s="15" t="n"/>
      <c r="B86" s="15" t="n"/>
      <c r="C86" s="15" t="n"/>
      <c r="D86" s="15" t="n"/>
      <c r="E86" s="15" t="n"/>
      <c r="F86" s="15" t="n"/>
      <c r="G86" s="15" t="n"/>
      <c r="H86" s="15" t="n"/>
    </row>
    <row r="87">
      <c r="A87" s="15" t="n"/>
      <c r="B87" s="15" t="n"/>
      <c r="C87" s="15" t="n"/>
      <c r="D87" s="15" t="n"/>
      <c r="E87" s="15" t="n"/>
      <c r="F87" s="15" t="n"/>
      <c r="G87" s="15" t="n"/>
      <c r="H87" s="15" t="n"/>
    </row>
    <row r="88">
      <c r="A88" s="15" t="n"/>
      <c r="B88" s="15" t="n"/>
      <c r="C88" s="15" t="n"/>
      <c r="D88" s="15" t="n"/>
      <c r="E88" s="15" t="n"/>
      <c r="F88" s="15" t="n"/>
      <c r="G88" s="15" t="n"/>
      <c r="H88" s="15" t="n"/>
    </row>
    <row r="89">
      <c r="A89" s="15" t="n"/>
      <c r="B89" s="15" t="n"/>
      <c r="C89" s="15" t="n"/>
      <c r="D89" s="15" t="n"/>
      <c r="E89" s="15" t="n"/>
      <c r="F89" s="15" t="n"/>
      <c r="G89" s="15" t="n"/>
      <c r="H89" s="15" t="n"/>
    </row>
    <row r="90">
      <c r="A90" s="15" t="n"/>
      <c r="B90" s="15" t="n"/>
      <c r="C90" s="15" t="n"/>
      <c r="D90" s="15" t="n"/>
      <c r="E90" s="15" t="n"/>
      <c r="F90" s="15" t="n"/>
      <c r="G90" s="15" t="n"/>
      <c r="H90" s="15" t="n"/>
    </row>
    <row r="91">
      <c r="A91" s="15" t="n"/>
      <c r="B91" s="15" t="n"/>
      <c r="C91" s="15" t="n"/>
      <c r="D91" s="15" t="n"/>
      <c r="E91" s="15" t="n"/>
      <c r="F91" s="15" t="n"/>
      <c r="G91" s="15" t="n"/>
      <c r="H91" s="15" t="n"/>
    </row>
    <row r="92">
      <c r="A92" s="15" t="n"/>
      <c r="B92" s="15" t="n"/>
      <c r="C92" s="15" t="n"/>
      <c r="D92" s="15" t="n"/>
      <c r="E92" s="15" t="n"/>
      <c r="F92" s="15" t="n"/>
      <c r="G92" s="15" t="n"/>
      <c r="H92" s="15" t="n"/>
    </row>
    <row r="93">
      <c r="A93" s="15" t="n"/>
      <c r="B93" s="15" t="n"/>
      <c r="C93" s="15" t="n"/>
      <c r="D93" s="15" t="n"/>
      <c r="E93" s="15" t="n"/>
      <c r="F93" s="15" t="n"/>
      <c r="G93" s="15" t="n"/>
      <c r="H93" s="15" t="n"/>
    </row>
    <row r="94">
      <c r="A94" s="15" t="n"/>
      <c r="B94" s="15" t="n"/>
      <c r="C94" s="15" t="n"/>
      <c r="D94" s="15" t="n"/>
      <c r="E94" s="15" t="n"/>
      <c r="F94" s="15" t="n"/>
      <c r="G94" s="15" t="n"/>
      <c r="H94" s="15" t="n"/>
    </row>
    <row r="95">
      <c r="A95" s="15" t="n"/>
      <c r="B95" s="15" t="n"/>
      <c r="C95" s="15" t="n"/>
      <c r="D95" s="15" t="n"/>
      <c r="E95" s="15" t="n"/>
      <c r="F95" s="15" t="n"/>
      <c r="G95" s="15" t="n"/>
      <c r="H95" s="15" t="n"/>
    </row>
    <row r="96">
      <c r="A96" s="15" t="n"/>
      <c r="B96" s="15" t="n"/>
      <c r="C96" s="15" t="n"/>
      <c r="D96" s="15" t="n"/>
      <c r="E96" s="15" t="n"/>
      <c r="F96" s="15" t="n"/>
      <c r="G96" s="15" t="n"/>
      <c r="H96" s="15" t="n"/>
    </row>
    <row r="97">
      <c r="A97" s="15" t="n"/>
      <c r="B97" s="15" t="n"/>
      <c r="C97" s="15" t="n"/>
      <c r="D97" s="15" t="n"/>
      <c r="E97" s="15" t="n"/>
      <c r="F97" s="15" t="n"/>
      <c r="G97" s="15" t="n"/>
      <c r="H97" s="15" t="n"/>
    </row>
    <row r="98">
      <c r="A98" s="15" t="n"/>
      <c r="B98" s="15" t="n"/>
      <c r="C98" s="15" t="n"/>
      <c r="D98" s="15" t="n"/>
      <c r="E98" s="15" t="n"/>
      <c r="F98" s="15" t="n"/>
      <c r="G98" s="15" t="n"/>
      <c r="H98" s="15" t="n"/>
    </row>
    <row r="99">
      <c r="A99" s="15" t="n"/>
      <c r="B99" s="15" t="n"/>
      <c r="C99" s="15" t="n"/>
      <c r="D99" s="15" t="n"/>
      <c r="E99" s="15" t="n"/>
      <c r="F99" s="15" t="n"/>
      <c r="G99" s="15" t="n"/>
      <c r="H99" s="15" t="n"/>
    </row>
    <row r="100">
      <c r="A100" s="15" t="n"/>
      <c r="B100" s="15" t="n"/>
      <c r="C100" s="15" t="n"/>
      <c r="D100" s="15" t="n"/>
      <c r="E100" s="15" t="n"/>
      <c r="F100" s="15" t="n"/>
      <c r="G100" s="15" t="n"/>
      <c r="H100" s="15" t="n"/>
    </row>
    <row r="101">
      <c r="A101" s="15" t="n"/>
      <c r="B101" s="15" t="n"/>
      <c r="C101" s="15" t="n"/>
      <c r="D101" s="15" t="n"/>
      <c r="E101" s="15" t="n"/>
      <c r="F101" s="15" t="n"/>
      <c r="G101" s="15" t="n"/>
      <c r="H101" s="15" t="n"/>
    </row>
    <row r="102">
      <c r="A102" s="15" t="n"/>
      <c r="B102" s="15" t="n"/>
      <c r="C102" s="15" t="n"/>
      <c r="D102" s="15" t="n"/>
      <c r="E102" s="15" t="n"/>
      <c r="F102" s="15" t="n"/>
      <c r="G102" s="15" t="n"/>
      <c r="H102" s="15" t="n"/>
    </row>
    <row r="103">
      <c r="A103" s="15" t="n"/>
      <c r="B103" s="15" t="n"/>
      <c r="C103" s="15" t="n"/>
      <c r="D103" s="15" t="n"/>
      <c r="E103" s="15" t="n"/>
      <c r="F103" s="15" t="n"/>
      <c r="G103" s="15" t="n"/>
      <c r="H103" s="15" t="n"/>
    </row>
    <row r="104">
      <c r="A104" s="15" t="n"/>
      <c r="B104" s="15" t="n"/>
      <c r="C104" s="15" t="n"/>
      <c r="D104" s="15" t="n"/>
      <c r="E104" s="15" t="n"/>
      <c r="F104" s="15" t="n"/>
      <c r="G104" s="15" t="n"/>
      <c r="H104" s="15" t="n"/>
    </row>
    <row r="105">
      <c r="A105" s="15" t="n"/>
      <c r="B105" s="15" t="n"/>
      <c r="C105" s="15" t="n"/>
      <c r="D105" s="15" t="n"/>
      <c r="E105" s="15" t="n"/>
      <c r="F105" s="15" t="n"/>
      <c r="G105" s="15" t="n"/>
      <c r="H105" s="15" t="n"/>
    </row>
  </sheetData>
  <mergeCells count="2">
    <mergeCell ref="A2:H2"/>
    <mergeCell ref="A1:H1"/>
  </mergeCells>
  <dataValidations count="2">
    <dataValidation sqref="C6:C105" showDropDown="0" showInputMessage="0" showErrorMessage="0" allowBlank="1" type="list">
      <formula1>"Configuration file,Screenshot,Log Export,Documentation,Report,Network scan,Audit log,Compliance report,Other"</formula1>
    </dataValidation>
    <dataValidation sqref="H6:H105" showDropDown="0" showInputMessage="0" showErrorMessage="0" allowBlank="1" type="list">
      <formula1>"Verified,Pending verification,Not verified,Requires update"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1"/>
  <sheetViews>
    <sheetView showGridLines="0" workbookViewId="0">
      <pane ySplit="3" topLeftCell="A4"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5" customWidth="1" min="5" max="5"/>
    <col width="12" customWidth="1" min="6" max="6"/>
    <col width="14" customWidth="1" min="7" max="7"/>
  </cols>
  <sheetData>
    <row r="1" ht="35" customHeight="1">
      <c r="A1" s="11" t="inlineStr">
        <is>
          <t>MONITORING INFRASTRUCTURE ASSESSMENT — SUMMARY DASHBOARD</t>
        </is>
      </c>
    </row>
    <row r="2">
      <c r="A2" s="35" t="inlineStr">
        <is>
          <t>Summary Dashboard — Monitoring Activities | 01.03.2026</t>
        </is>
      </c>
    </row>
    <row r="4">
      <c r="A4" s="36" t="inlineStr">
        <is>
          <t>TABLE 1: COMPLIANCE OVERVIEW</t>
        </is>
      </c>
    </row>
    <row r="5">
      <c r="A5" s="37" t="inlineStr">
        <is>
          <t>Assessment Area</t>
        </is>
      </c>
      <c r="B5" s="37" t="inlineStr">
        <is>
          <t>Total Items</t>
        </is>
      </c>
      <c r="C5" s="37" t="inlineStr">
        <is>
          <t>Compliant</t>
        </is>
      </c>
      <c r="D5" s="37" t="inlineStr">
        <is>
          <t>Partial</t>
        </is>
      </c>
      <c r="E5" s="37" t="inlineStr">
        <is>
          <t>Non-Compliant</t>
        </is>
      </c>
      <c r="F5" s="37" t="inlineStr">
        <is>
          <t>N/A</t>
        </is>
      </c>
      <c r="G5" s="37" t="inlineStr">
        <is>
          <t>Compliance %</t>
        </is>
      </c>
    </row>
    <row r="6">
      <c r="A6" s="38" t="inlineStr">
        <is>
          <t>1. Monitoring Platform</t>
        </is>
      </c>
      <c r="B6" s="39">
        <f>SUM(C6:F6)</f>
        <v/>
      </c>
      <c r="C6" s="39">
        <f>COUNTIF('1. Monitoring Platform'!U24:U200,"✅ Compliant")</f>
        <v/>
      </c>
      <c r="D6" s="39">
        <f>COUNTIF('1. Monitoring Platform'!U24:U200,"⚠️ Partial")</f>
        <v/>
      </c>
      <c r="E6" s="39">
        <f>COUNTIF('1. Monitoring Platform'!U24:U200,"❌ Non-Compliant")</f>
        <v/>
      </c>
      <c r="F6" s="39">
        <f>COUNTIF('1. Monitoring Platform'!U24:U200,"N/A")</f>
        <v/>
      </c>
      <c r="G6" s="40">
        <f>IF((B6-F6)=0,0,C6/(B6-F6))</f>
        <v/>
      </c>
    </row>
    <row r="7">
      <c r="A7" s="38" t="inlineStr">
        <is>
          <t>2. Log Source Coverage</t>
        </is>
      </c>
      <c r="B7" s="39">
        <f>SUM(C7:F7)</f>
        <v/>
      </c>
      <c r="C7" s="39">
        <f>COUNTIF('2. Log Source Coverage'!T55:T69,"✅ Compliant")</f>
        <v/>
      </c>
      <c r="D7" s="39">
        <f>COUNTIF('2. Log Source Coverage'!T55:T69,"⚠️ Partial")</f>
        <v/>
      </c>
      <c r="E7" s="39">
        <f>COUNTIF('2. Log Source Coverage'!T55:T69,"❌ Non-Compliant")</f>
        <v/>
      </c>
      <c r="F7" s="39">
        <f>COUNTIF('2. Log Source Coverage'!T55:T69,"N/A")</f>
        <v/>
      </c>
      <c r="G7" s="40">
        <f>IF((B7-F7)=0,0,C7/(B7-F7))</f>
        <v/>
      </c>
    </row>
    <row r="8">
      <c r="A8" s="38" t="inlineStr">
        <is>
          <t>3. Data Collection Arch</t>
        </is>
      </c>
      <c r="B8" s="39">
        <f>SUM(C8:F8)</f>
        <v/>
      </c>
      <c r="C8" s="39">
        <f>COUNTIF('3. Data Collection Arch'!R61:R75,"✅ Compliant")</f>
        <v/>
      </c>
      <c r="D8" s="39">
        <f>COUNTIF('3. Data Collection Arch'!R61:R75,"⚠️ Partial")</f>
        <v/>
      </c>
      <c r="E8" s="39">
        <f>COUNTIF('3. Data Collection Arch'!R61:R75,"❌ Non-Compliant")</f>
        <v/>
      </c>
      <c r="F8" s="39">
        <f>COUNTIF('3. Data Collection Arch'!R61:R75,"N/A")</f>
        <v/>
      </c>
      <c r="G8" s="40">
        <f>IF((B8-F8)=0,0,C8/(B8-F8))</f>
        <v/>
      </c>
    </row>
    <row r="9">
      <c r="A9" s="38" t="inlineStr">
        <is>
          <t>4. Integration Enrichment</t>
        </is>
      </c>
      <c r="B9" s="39">
        <f>SUM(C9:F9)</f>
        <v/>
      </c>
      <c r="C9" s="39">
        <f>COUNTIF('4. Integration Enrichment'!P61:P75,"✅ Compliant")</f>
        <v/>
      </c>
      <c r="D9" s="39">
        <f>COUNTIF('4. Integration Enrichment'!P61:P75,"⚠️ Partial")</f>
        <v/>
      </c>
      <c r="E9" s="39">
        <f>COUNTIF('4. Integration Enrichment'!P61:P75,"❌ Non-Compliant")</f>
        <v/>
      </c>
      <c r="F9" s="39">
        <f>COUNTIF('4. Integration Enrichment'!P61:P75,"N/A")</f>
        <v/>
      </c>
      <c r="G9" s="40">
        <f>IF((B9-F9)=0,0,C9/(B9-F9))</f>
        <v/>
      </c>
    </row>
    <row r="10">
      <c r="A10" s="38" t="inlineStr">
        <is>
          <t>5. Performance Scale</t>
        </is>
      </c>
      <c r="B10" s="39">
        <f>SUM(C10:F10)</f>
        <v/>
      </c>
      <c r="C10" s="39">
        <f>COUNTIF('5. Performance Scale'!Q39:Q53,"✅ Compliant")</f>
        <v/>
      </c>
      <c r="D10" s="39">
        <f>COUNTIF('5. Performance Scale'!Q39:Q53,"⚠️ Partial")</f>
        <v/>
      </c>
      <c r="E10" s="39">
        <f>COUNTIF('5. Performance Scale'!Q39:Q53,"❌ Non-Compliant")</f>
        <v/>
      </c>
      <c r="F10" s="39">
        <f>COUNTIF('5. Performance Scale'!Q39:Q53,"N/A")</f>
        <v/>
      </c>
      <c r="G10" s="40">
        <f>IF((B10-F10)=0,0,C10/(B10-F10))</f>
        <v/>
      </c>
    </row>
    <row r="11">
      <c r="A11" s="41" t="inlineStr">
        <is>
          <t>TOTAL</t>
        </is>
      </c>
      <c r="B11" s="42">
        <f>SUM(B6:B10)</f>
        <v/>
      </c>
      <c r="C11" s="42">
        <f>SUM(C6:C10)</f>
        <v/>
      </c>
      <c r="D11" s="42">
        <f>SUM(D6:D10)</f>
        <v/>
      </c>
      <c r="E11" s="42">
        <f>SUM(E6:E10)</f>
        <v/>
      </c>
      <c r="F11" s="42">
        <f>SUM(F6:F10)</f>
        <v/>
      </c>
      <c r="G11" s="43">
        <f>IF((B11-F11)=0,0,C11/(B11-F11))</f>
        <v/>
      </c>
    </row>
    <row r="13">
      <c r="A13" s="36" t="inlineStr">
        <is>
          <t>TABLE 2: KEY METRICS</t>
        </is>
      </c>
    </row>
    <row r="14">
      <c r="A14" s="44" t="inlineStr">
        <is>
          <t>Metric</t>
        </is>
      </c>
      <c r="F14" s="37" t="inlineStr">
        <is>
          <t>Value</t>
        </is>
      </c>
    </row>
    <row r="15">
      <c r="A15" s="38" t="inlineStr">
        <is>
          <t>Monitoring Platforms — Deployed</t>
        </is>
      </c>
      <c r="B15" s="6" t="n"/>
      <c r="C15" s="6" t="n"/>
      <c r="D15" s="6" t="n"/>
      <c r="E15" s="6" t="n"/>
      <c r="F15" s="45">
        <f>COUNTIF('1. Monitoring Platform'!Q8:Q200,"✅ Deployed")</f>
        <v/>
      </c>
      <c r="G15" s="6" t="n"/>
    </row>
    <row r="16">
      <c r="A16" s="38" t="inlineStr">
        <is>
          <t>Monitoring Platforms — Compliance Gaps</t>
        </is>
      </c>
      <c r="B16" s="6" t="n"/>
      <c r="C16" s="6" t="n"/>
      <c r="D16" s="6" t="n"/>
      <c r="E16" s="6" t="n"/>
      <c r="F16" s="45">
        <f>COUNTIF('1. Monitoring Platform'!S8:S200,"❌ Non-Compliant")+COUNTIF('1. Monitoring Platform'!S8:S200,"⚠️ Partial")</f>
        <v/>
      </c>
      <c r="G16" s="6" t="n"/>
    </row>
    <row r="17">
      <c r="A17" s="38" t="inlineStr">
        <is>
          <t>Log Sources — Actively Collecting</t>
        </is>
      </c>
      <c r="B17" s="6" t="n"/>
      <c r="C17" s="6" t="n"/>
      <c r="D17" s="6" t="n"/>
      <c r="E17" s="6" t="n"/>
      <c r="F17" s="45">
        <f>COUNTIF('2. Log Source Coverage'!N8:N200,"✅ Collecting")</f>
        <v/>
      </c>
      <c r="G17" s="6" t="n"/>
    </row>
    <row r="18">
      <c r="A18" s="38" t="inlineStr">
        <is>
          <t>Log Sources — Not Collecting</t>
        </is>
      </c>
      <c r="B18" s="6" t="n"/>
      <c r="C18" s="6" t="n"/>
      <c r="D18" s="6" t="n"/>
      <c r="E18" s="6" t="n"/>
      <c r="F18" s="45">
        <f>COUNTIF('2. Log Source Coverage'!N8:N200,"❌ Not Collecting")</f>
        <v/>
      </c>
      <c r="G18" s="6" t="n"/>
    </row>
    <row r="19">
      <c r="A19" s="38" t="inlineStr">
        <is>
          <t>Critical Log Sources Missing</t>
        </is>
      </c>
      <c r="B19" s="6" t="n"/>
      <c r="C19" s="6" t="n"/>
      <c r="D19" s="6" t="n"/>
      <c r="E19" s="6" t="n"/>
      <c r="F19" s="45">
        <f>COUNTIFS('2. Log Source Coverage'!C8:C200,"Critical",'2. Log Source Coverage'!N8:N200,"❌ Not Collecting")</f>
        <v/>
      </c>
      <c r="G19" s="6" t="n"/>
    </row>
    <row r="20">
      <c r="A20" s="38" t="inlineStr">
        <is>
          <t>Collection Components — Deployed</t>
        </is>
      </c>
      <c r="B20" s="6" t="n"/>
      <c r="C20" s="6" t="n"/>
      <c r="D20" s="6" t="n"/>
      <c r="E20" s="6" t="n"/>
      <c r="F20" s="45">
        <f>COUNTIF('3. Data Collection Arch'!O8:O200,"✅ Deployed")</f>
        <v/>
      </c>
      <c r="G20" s="6" t="n"/>
    </row>
    <row r="21">
      <c r="A21" s="38" t="inlineStr">
        <is>
          <t>Integrations / Enrichment — Deployed</t>
        </is>
      </c>
      <c r="B21" s="6" t="n"/>
      <c r="C21" s="6" t="n"/>
      <c r="D21" s="6" t="n"/>
      <c r="E21" s="6" t="n"/>
      <c r="F21" s="45">
        <f>COUNTIF('4. Integration Enrichment'!L8:L200,"✅ Deployed")</f>
        <v/>
      </c>
      <c r="G21" s="6" t="n"/>
    </row>
    <row r="22">
      <c r="A22" s="38" t="inlineStr">
        <is>
          <t>High-Priority Items Across All Sheets</t>
        </is>
      </c>
      <c r="B22" s="6" t="n"/>
      <c r="C22" s="6" t="n"/>
      <c r="D22" s="6" t="n"/>
      <c r="E22" s="6" t="n"/>
      <c r="F22" s="45">
        <f>COUNTIF('2. Log Source Coverage'!C8:C200,"Critical")+COUNTIF('3. Data Collection Arch'!C8:C200,"Critical")+COUNTIF('4. Integration Enrichment'!C8:C200,"Critical")</f>
        <v/>
      </c>
      <c r="G22" s="6" t="n"/>
    </row>
    <row r="24">
      <c r="A24" s="46" t="inlineStr">
        <is>
          <t>TABLE 3: CRITICAL FINDINGS</t>
        </is>
      </c>
    </row>
    <row r="25">
      <c r="A25" s="44" t="inlineStr">
        <is>
          <t>Category / Finding</t>
        </is>
      </c>
      <c r="F25" s="37" t="inlineStr">
        <is>
          <t>Count</t>
        </is>
      </c>
      <c r="G25" s="37" t="inlineStr">
        <is>
          <t>Action</t>
        </is>
      </c>
    </row>
    <row r="26">
      <c r="A26" s="47" t="inlineStr">
        <is>
          <t>Log Sources — Not Collecting</t>
        </is>
      </c>
      <c r="B26" s="15" t="n"/>
      <c r="C26" s="15" t="n"/>
      <c r="D26" s="15" t="n"/>
      <c r="E26" s="15" t="n"/>
      <c r="F26" s="48">
        <f>COUNTIF('2. Log Source Coverage'!N8:N200,"❌ Not Collecting")</f>
        <v/>
      </c>
      <c r="G26" s="15" t="inlineStr"/>
    </row>
    <row r="27">
      <c r="A27" s="47" t="inlineStr">
        <is>
          <t>Critical Log Sources Missing</t>
        </is>
      </c>
      <c r="B27" s="15" t="n"/>
      <c r="C27" s="15" t="n"/>
      <c r="D27" s="15" t="n"/>
      <c r="E27" s="15" t="n"/>
      <c r="F27" s="48">
        <f>COUNTIFS('2. Log Source Coverage'!C8:C200,"Critical",'2. Log Source Coverage'!N8:N200,"❌ Not Collecting")</f>
        <v/>
      </c>
      <c r="G27" s="15" t="inlineStr"/>
    </row>
    <row r="28">
      <c r="A28" s="47" t="inlineStr">
        <is>
          <t>Platforms — Non-Compliant</t>
        </is>
      </c>
      <c r="B28" s="15" t="n"/>
      <c r="C28" s="15" t="n"/>
      <c r="D28" s="15" t="n"/>
      <c r="E28" s="15" t="n"/>
      <c r="F28" s="48">
        <f>COUNTIF('1. Monitoring Platform'!S8:S200,"❌ Non-Compliant")</f>
        <v/>
      </c>
      <c r="G28" s="15" t="inlineStr"/>
    </row>
    <row r="29">
      <c r="A29" s="47" t="inlineStr">
        <is>
          <t>Components — Not Deployed</t>
        </is>
      </c>
      <c r="B29" s="15" t="n"/>
      <c r="C29" s="15" t="n"/>
      <c r="D29" s="15" t="n"/>
      <c r="E29" s="15" t="n"/>
      <c r="F29" s="48">
        <f>COUNTIF('3. Data Collection Arch'!O8:O200,"❌ Not Deployed")</f>
        <v/>
      </c>
      <c r="G29" s="15" t="inlineStr"/>
    </row>
    <row r="30">
      <c r="A30" s="47" t="inlineStr">
        <is>
          <t>Integrations — Not Deployed</t>
        </is>
      </c>
      <c r="B30" s="15" t="n"/>
      <c r="C30" s="15" t="n"/>
      <c r="D30" s="15" t="n"/>
      <c r="E30" s="15" t="n"/>
      <c r="F30" s="48">
        <f>COUNTIF('4. Integration Enrichment'!L8:L200,"❌ Not Deployed")</f>
        <v/>
      </c>
      <c r="G30" s="15" t="inlineStr"/>
    </row>
    <row r="31">
      <c r="A31" s="49" t="inlineStr">
        <is>
          <t>Filter source sheets using AutoFilter — see column headers above</t>
        </is>
      </c>
    </row>
  </sheetData>
  <mergeCells count="29">
    <mergeCell ref="A30:E30"/>
    <mergeCell ref="F16:G16"/>
    <mergeCell ref="A15:E15"/>
    <mergeCell ref="F19:G19"/>
    <mergeCell ref="A4:G4"/>
    <mergeCell ref="A13:G13"/>
    <mergeCell ref="F21:G21"/>
    <mergeCell ref="F15:G15"/>
    <mergeCell ref="A16:E16"/>
    <mergeCell ref="A31:G31"/>
    <mergeCell ref="A25:E25"/>
    <mergeCell ref="F20:G20"/>
    <mergeCell ref="F18:G18"/>
    <mergeCell ref="A24:G24"/>
    <mergeCell ref="A18:E18"/>
    <mergeCell ref="F17:G17"/>
    <mergeCell ref="A27:E27"/>
    <mergeCell ref="A21:E21"/>
    <mergeCell ref="A1:G1"/>
    <mergeCell ref="A26:E26"/>
    <mergeCell ref="F22:G22"/>
    <mergeCell ref="A14:E14"/>
    <mergeCell ref="A22:E22"/>
    <mergeCell ref="A17:E17"/>
    <mergeCell ref="A29:E29"/>
    <mergeCell ref="A20:E20"/>
    <mergeCell ref="A28:E28"/>
    <mergeCell ref="A19:E19"/>
    <mergeCell ref="F14:G1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3"/>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5" customWidth="1" min="3" max="3"/>
    <col width="25" customWidth="1" min="4" max="4"/>
    <col width="25" customWidth="1" min="5" max="5"/>
    <col width="25" customWidth="1" min="6" max="6"/>
  </cols>
  <sheetData>
    <row r="1" ht="35" customHeight="1">
      <c r="A1" s="31" t="inlineStr">
        <is>
          <t>ASSESSMENT APPROVAL AND SIGN-OFF</t>
        </is>
      </c>
      <c r="B1" s="6" t="n"/>
      <c r="C1" s="6" t="n"/>
      <c r="D1" s="6" t="n"/>
      <c r="E1" s="6" t="n"/>
    </row>
    <row r="2">
      <c r="A2" s="50" t="inlineStr">
        <is>
          <t>Monitoring Infrastructure Assessment Approval Workflow</t>
        </is>
      </c>
      <c r="B2" s="6" t="n"/>
      <c r="C2" s="6" t="n"/>
      <c r="D2" s="6" t="n"/>
      <c r="E2" s="6" t="n"/>
    </row>
    <row r="4">
      <c r="A4" s="26" t="inlineStr">
        <is>
          <t>COMPLETED BY</t>
        </is>
      </c>
      <c r="B4" s="6" t="n"/>
      <c r="C4" s="6" t="n"/>
      <c r="D4" s="6" t="n"/>
      <c r="E4" s="6" t="n"/>
    </row>
    <row r="5">
      <c r="A5" s="14" t="inlineStr">
        <is>
          <t>Name:</t>
        </is>
      </c>
      <c r="B5" s="15" t="inlineStr"/>
      <c r="C5" s="6" t="n"/>
      <c r="D5" s="6" t="n"/>
      <c r="E5" s="6" t="n"/>
    </row>
    <row r="6">
      <c r="A6" s="14" t="inlineStr">
        <is>
          <t>Title:</t>
        </is>
      </c>
      <c r="B6" s="15" t="inlineStr"/>
      <c r="C6" s="6" t="n"/>
      <c r="D6" s="6" t="n"/>
      <c r="E6" s="6" t="n"/>
    </row>
    <row r="7">
      <c r="A7" s="14" t="inlineStr">
        <is>
          <t>Date:</t>
        </is>
      </c>
      <c r="B7" s="15" t="inlineStr"/>
      <c r="C7" s="6" t="n"/>
      <c r="D7" s="6" t="n"/>
      <c r="E7" s="6" t="n"/>
    </row>
    <row r="8">
      <c r="A8" s="14" t="inlineStr">
        <is>
          <t>Signature:</t>
        </is>
      </c>
      <c r="B8" s="15" t="inlineStr"/>
      <c r="C8" s="6" t="n"/>
      <c r="D8" s="6" t="n"/>
      <c r="E8" s="6" t="n"/>
    </row>
    <row r="11">
      <c r="A11" s="26" t="inlineStr">
        <is>
          <t>REVIEWED BY</t>
        </is>
      </c>
      <c r="B11" s="6" t="n"/>
      <c r="C11" s="6" t="n"/>
      <c r="D11" s="6" t="n"/>
      <c r="E11" s="6" t="n"/>
    </row>
    <row r="12">
      <c r="A12" s="14" t="inlineStr">
        <is>
          <t>Name:</t>
        </is>
      </c>
      <c r="B12" s="15" t="inlineStr"/>
      <c r="C12" s="6" t="n"/>
      <c r="D12" s="6" t="n"/>
      <c r="E12" s="6" t="n"/>
    </row>
    <row r="13">
      <c r="A13" s="14" t="inlineStr">
        <is>
          <t>Title:</t>
        </is>
      </c>
      <c r="B13" s="15" t="inlineStr"/>
      <c r="C13" s="6" t="n"/>
      <c r="D13" s="6" t="n"/>
      <c r="E13" s="6" t="n"/>
    </row>
    <row r="14">
      <c r="A14" s="14" t="inlineStr">
        <is>
          <t>Date:</t>
        </is>
      </c>
      <c r="B14" s="15" t="inlineStr"/>
      <c r="C14" s="6" t="n"/>
      <c r="D14" s="6" t="n"/>
      <c r="E14" s="6" t="n"/>
    </row>
    <row r="15">
      <c r="A15" s="14" t="inlineStr">
        <is>
          <t>Signature:</t>
        </is>
      </c>
      <c r="B15" s="15" t="inlineStr"/>
      <c r="C15" s="6" t="n"/>
      <c r="D15" s="6" t="n"/>
      <c r="E15" s="6" t="n"/>
    </row>
    <row r="17">
      <c r="A17" s="51" t="inlineStr">
        <is>
          <t>Review Comments:</t>
        </is>
      </c>
      <c r="B17" s="6" t="n"/>
      <c r="C17" s="6" t="n"/>
      <c r="D17" s="6" t="n"/>
      <c r="E17" s="6" t="n"/>
    </row>
    <row r="18">
      <c r="A18" s="52" t="n"/>
      <c r="B18" s="6" t="n"/>
      <c r="C18" s="6" t="n"/>
      <c r="D18" s="6" t="n"/>
      <c r="E18" s="6" t="n"/>
    </row>
    <row r="19"/>
    <row r="20"/>
    <row r="21"/>
    <row r="24">
      <c r="A24" s="26" t="inlineStr">
        <is>
          <t>APPROVED BY</t>
        </is>
      </c>
      <c r="B24" s="6" t="n"/>
      <c r="C24" s="6" t="n"/>
      <c r="D24" s="6" t="n"/>
      <c r="E24" s="6" t="n"/>
    </row>
    <row r="25">
      <c r="A25" s="14" t="inlineStr">
        <is>
          <t>Name:</t>
        </is>
      </c>
      <c r="B25" s="15" t="inlineStr"/>
      <c r="C25" s="6" t="n"/>
      <c r="D25" s="6" t="n"/>
      <c r="E25" s="6" t="n"/>
    </row>
    <row r="26">
      <c r="A26" s="14" t="inlineStr">
        <is>
          <t>Title:</t>
        </is>
      </c>
      <c r="B26" s="15" t="inlineStr"/>
      <c r="C26" s="6" t="n"/>
      <c r="D26" s="6" t="n"/>
      <c r="E26" s="6" t="n"/>
    </row>
    <row r="27">
      <c r="A27" s="14" t="inlineStr">
        <is>
          <t>Approval Decision:</t>
        </is>
      </c>
      <c r="B27" s="15" t="inlineStr">
        <is>
          <t>[Dropdown: Approved, Approved with Conditions, Rejected]</t>
        </is>
      </c>
      <c r="C27" s="6" t="n"/>
      <c r="D27" s="6" t="n"/>
      <c r="E27" s="6" t="n"/>
    </row>
    <row r="28">
      <c r="A28" s="14" t="inlineStr">
        <is>
          <t>Date:</t>
        </is>
      </c>
      <c r="B28" s="15" t="inlineStr"/>
      <c r="C28" s="6" t="n"/>
      <c r="D28" s="6" t="n"/>
      <c r="E28" s="6" t="n"/>
    </row>
    <row r="29">
      <c r="A29" s="14" t="inlineStr">
        <is>
          <t>Signature:</t>
        </is>
      </c>
      <c r="B29" s="15" t="inlineStr"/>
      <c r="C29" s="6" t="n"/>
      <c r="D29" s="6" t="n"/>
      <c r="E29" s="6" t="n"/>
    </row>
    <row r="31">
      <c r="A31" s="51" t="inlineStr">
        <is>
          <t>Conditions/Comments:</t>
        </is>
      </c>
      <c r="B31" s="6" t="n"/>
      <c r="C31" s="6" t="n"/>
      <c r="D31" s="6" t="n"/>
      <c r="E31" s="6" t="n"/>
    </row>
    <row r="32">
      <c r="A32" s="52" t="n"/>
      <c r="B32" s="6" t="n"/>
      <c r="C32" s="6" t="n"/>
      <c r="D32" s="6" t="n"/>
      <c r="E32" s="6" t="n"/>
    </row>
    <row r="33"/>
    <row r="34"/>
    <row r="35"/>
    <row r="36"/>
    <row r="39">
      <c r="A39" s="53" t="inlineStr">
        <is>
          <t>FINAL DECISION</t>
        </is>
      </c>
      <c r="B39" s="6" t="n"/>
      <c r="C39" s="6" t="n"/>
      <c r="D39" s="6" t="n"/>
      <c r="E39" s="6" t="n"/>
    </row>
    <row r="40">
      <c r="A40" s="14" t="inlineStr">
        <is>
          <t>Decision:</t>
        </is>
      </c>
      <c r="B40" s="15" t="n"/>
      <c r="C40" s="6" t="n"/>
      <c r="D40" s="6" t="n"/>
      <c r="E40" s="6" t="n"/>
    </row>
    <row r="42">
      <c r="A42" s="54" t="inlineStr">
        <is>
          <t>NEXT REVIEW</t>
        </is>
      </c>
      <c r="B42" s="6" t="n"/>
      <c r="C42" s="6" t="n"/>
      <c r="D42" s="6" t="n"/>
      <c r="E42" s="6" t="n"/>
    </row>
    <row r="43">
      <c r="A43" s="14" t="inlineStr">
        <is>
          <t>Scheduled Review:</t>
        </is>
      </c>
      <c r="B43" s="15" t="n"/>
      <c r="C43" s="6" t="n"/>
      <c r="D43" s="6" t="n"/>
      <c r="E43" s="6" t="n"/>
    </row>
  </sheetData>
  <mergeCells count="26">
    <mergeCell ref="A39:E39"/>
    <mergeCell ref="B40:E40"/>
    <mergeCell ref="A24:E24"/>
    <mergeCell ref="B6:E6"/>
    <mergeCell ref="A11:E11"/>
    <mergeCell ref="B15:E15"/>
    <mergeCell ref="A1:E1"/>
    <mergeCell ref="B5:E5"/>
    <mergeCell ref="A18:E21"/>
    <mergeCell ref="B26:E26"/>
    <mergeCell ref="B7:E7"/>
    <mergeCell ref="B25:E25"/>
    <mergeCell ref="B27:E27"/>
    <mergeCell ref="A2:E2"/>
    <mergeCell ref="B43:E43"/>
    <mergeCell ref="B12:E12"/>
    <mergeCell ref="A42:E42"/>
    <mergeCell ref="A17:E17"/>
    <mergeCell ref="B14:E14"/>
    <mergeCell ref="A4:E4"/>
    <mergeCell ref="B8:E8"/>
    <mergeCell ref="B13:E13"/>
    <mergeCell ref="B29:E29"/>
    <mergeCell ref="A32:E36"/>
    <mergeCell ref="A31:E31"/>
    <mergeCell ref="B28:E28"/>
  </mergeCells>
  <dataValidations count="2">
    <dataValidation sqref="B27" showDropDown="0" showInputMessage="0" showErrorMessage="0" allowBlank="0" type="list">
      <formula1>"Approved,Approved with Conditions,Rejected"</formula1>
    </dataValidation>
    <dataValidation sqref="B40" showDropDown="0" showInputMessage="0" showErrorMessage="0" allowBlank="0"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ISMS-IMP-A.8.16.1 — Monitoring Infrastructure Assessment</dc:title>
  <dc:description xmlns:dc="http://purl.org/dc/elements/1.1/">ISMS Implementation Workbook — ISMS-IMP-A.8.16.1</dc:description>
  <dc:subject xmlns:dc="http://purl.org/dc/elements/1.1/">ISO/IEC 27001:2022 — Control A.8.16: Monitoring Activities</dc:subject>
  <dcterms:created xmlns:dcterms="http://purl.org/dc/terms/" xmlns:xsi="http://www.w3.org/2001/XMLSchema-instance" xsi:type="dcterms:W3CDTF">2026-03-01T16:58:04Z</dcterms:created>
  <dcterms:modified xmlns:dcterms="http://purl.org/dc/terms/" xmlns:xsi="http://www.w3.org/2001/XMLSchema-instance" xsi:type="dcterms:W3CDTF">2026-03-01T16:58:05Z</dcterms:modified>
</cp:coreProperties>
</file>