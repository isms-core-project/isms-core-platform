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Monitoring Platform" sheetId="2" state="visible" r:id="rId2"/>
    <sheet xmlns:r="http://schemas.openxmlformats.org/officeDocument/2006/relationships" name="2. Log Source Coverage" sheetId="3" state="visible" r:id="rId3"/>
    <sheet xmlns:r="http://schemas.openxmlformats.org/officeDocument/2006/relationships" name="3. Data Collection Arch" sheetId="4" state="visible" r:id="rId4"/>
    <sheet xmlns:r="http://schemas.openxmlformats.org/officeDocument/2006/relationships" name="4. Integration Enrichment" sheetId="5" state="visible" r:id="rId5"/>
    <sheet xmlns:r="http://schemas.openxmlformats.org/officeDocument/2006/relationships" name="5. Performance Scale"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21">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sz val="11"/>
    </font>
    <font>
      <b val="1"/>
    </font>
    <font>
      <name val="Calibri"/>
      <i val="1"/>
      <color rgb="00808080"/>
      <sz val="9"/>
    </font>
    <font>
      <b val="1"/>
      <color rgb="00FFFFFF"/>
      <sz val="12"/>
    </font>
    <font>
      <b val="1"/>
      <sz val="12"/>
    </font>
    <font>
      <b val="1"/>
      <color rgb="00003366"/>
      <sz val="12"/>
    </font>
    <font>
      <b val="1"/>
      <color rgb="00003366"/>
      <sz val="11"/>
    </font>
    <font>
      <name val="Calibri"/>
      <i val="1"/>
    </font>
    <font>
      <name val="Calibri"/>
      <b val="1"/>
      <color rgb="00FFFFFF"/>
      <sz val="10"/>
    </font>
    <font>
      <name val="Calibri"/>
      <sz val="10"/>
    </font>
    <font>
      <name val="Calibri"/>
      <i val="1"/>
      <color rgb="00003366"/>
      <sz val="10"/>
    </font>
    <font>
      <name val="Calibri"/>
      <b val="1"/>
      <color rgb="00000000"/>
      <sz val="10"/>
    </font>
    <font>
      <name val="Calibri"/>
      <color rgb="00000000"/>
      <sz val="10"/>
    </font>
    <font>
      <name val="Calibri"/>
      <i val="1"/>
      <color rgb="00003366"/>
      <sz val="9"/>
    </font>
    <font>
      <name val="Calibri"/>
      <i val="1"/>
      <sz val="1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4472C4"/>
        <bgColor rgb="004472C4"/>
      </patternFill>
    </fill>
    <fill>
      <patternFill patternType="solid">
        <fgColor rgb="00C00000"/>
        <b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5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6" fillId="0" borderId="0" applyAlignment="1" pivotButton="0" quotePrefix="0" xfId="0">
      <alignment vertical="center" wrapText="1"/>
    </xf>
    <xf numFmtId="0" fontId="7" fillId="0" borderId="0" pivotButton="0" quotePrefix="0" xfId="0"/>
    <xf numFmtId="0" fontId="0" fillId="9" borderId="1" pivotButton="0" quotePrefix="0" xfId="0"/>
    <xf numFmtId="0" fontId="0" fillId="0" borderId="4" pivotButton="0" quotePrefix="0" xfId="0"/>
    <xf numFmtId="0" fontId="0" fillId="0" borderId="5" pivotButton="0" quotePrefix="0" xfId="0"/>
    <xf numFmtId="0" fontId="4" fillId="10" borderId="1" applyAlignment="1" pivotButton="0" quotePrefix="0" xfId="0">
      <alignment horizontal="center" vertical="center" wrapText="1"/>
    </xf>
    <xf numFmtId="0" fontId="8" fillId="11" borderId="0" applyAlignment="1" pivotButton="0" quotePrefix="0" xfId="0">
      <alignment horizontal="left" vertical="center" wrapText="1"/>
    </xf>
    <xf numFmtId="0" fontId="9" fillId="12" borderId="0" applyAlignment="1" pivotButton="0" quotePrefix="0" xfId="0">
      <alignment horizontal="center" vertical="center"/>
    </xf>
    <xf numFmtId="0" fontId="0" fillId="0" borderId="0" applyAlignment="1" pivotButton="0" quotePrefix="0" xfId="0">
      <alignment vertical="center" wrapText="1"/>
    </xf>
    <xf numFmtId="0" fontId="10" fillId="0" borderId="0" pivotButton="0" quotePrefix="0" xfId="0"/>
    <xf numFmtId="0" fontId="11" fillId="0" borderId="0" pivotButton="0" quotePrefix="0" xfId="0"/>
    <xf numFmtId="0" fontId="12" fillId="0" borderId="0" pivotButton="0" quotePrefix="0" xfId="0"/>
    <xf numFmtId="0" fontId="9" fillId="13" borderId="0" applyAlignment="1" pivotButton="0" quotePrefix="0" xfId="0">
      <alignment horizontal="center" vertical="center"/>
    </xf>
    <xf numFmtId="0" fontId="9" fillId="12" borderId="1" applyAlignment="1" pivotButton="0" quotePrefix="0" xfId="0">
      <alignment horizontal="center" vertical="center"/>
    </xf>
    <xf numFmtId="0" fontId="0" fillId="9" borderId="1" applyAlignment="1" pivotButton="0" quotePrefix="0" xfId="0">
      <alignment vertical="center" wrapText="1"/>
    </xf>
    <xf numFmtId="0" fontId="12" fillId="0" borderId="0" applyAlignment="1" pivotButton="0" quotePrefix="0" xfId="0">
      <alignment horizontal="center" vertical="center"/>
    </xf>
    <xf numFmtId="0" fontId="7" fillId="0" borderId="0" applyAlignment="1" pivotButton="0" quotePrefix="0" xfId="0">
      <alignment vertical="center" wrapText="1"/>
    </xf>
    <xf numFmtId="0" fontId="7" fillId="0" borderId="1" applyAlignment="1" pivotButton="0" quotePrefix="0" xfId="0">
      <alignment vertical="center" wrapText="1"/>
    </xf>
    <xf numFmtId="0" fontId="1" fillId="8" borderId="1" applyAlignment="1" pivotButton="0" quotePrefix="0" xfId="0">
      <alignment horizontal="center" vertical="center" wrapText="1"/>
    </xf>
    <xf numFmtId="0" fontId="13" fillId="0" borderId="0" applyAlignment="1" pivotButton="0" quotePrefix="0" xfId="0">
      <alignment horizontal="left" vertical="center"/>
    </xf>
    <xf numFmtId="0" fontId="14" fillId="8" borderId="1" applyAlignment="1" pivotButton="0" quotePrefix="0" xfId="0">
      <alignment horizontal="center" vertical="center" wrapText="1"/>
    </xf>
    <xf numFmtId="0" fontId="15" fillId="11" borderId="1" pivotButton="0" quotePrefix="0" xfId="0"/>
    <xf numFmtId="0" fontId="16" fillId="0" borderId="0" applyAlignment="1" pivotButton="0" quotePrefix="0" xfId="0">
      <alignment horizontal="left"/>
    </xf>
    <xf numFmtId="0" fontId="5" fillId="8" borderId="1" applyAlignment="1" pivotButton="0" quotePrefix="0" xfId="0">
      <alignment horizontal="left" vertical="center"/>
    </xf>
    <xf numFmtId="0" fontId="17" fillId="10" borderId="1" applyAlignment="1" pivotButton="0" quotePrefix="0" xfId="0">
      <alignment horizontal="center" vertical="center"/>
    </xf>
    <xf numFmtId="0" fontId="18" fillId="0" borderId="1" applyAlignment="1" pivotButton="0" quotePrefix="0" xfId="0">
      <alignment horizontal="left" vertical="center"/>
    </xf>
    <xf numFmtId="0" fontId="18" fillId="0" borderId="1" applyAlignment="1" pivotButton="0" quotePrefix="0" xfId="0">
      <alignment horizontal="center"/>
    </xf>
    <xf numFmtId="164" fontId="18" fillId="0" borderId="1" applyAlignment="1" pivotButton="0" quotePrefix="0" xfId="0">
      <alignment horizontal="center"/>
    </xf>
    <xf numFmtId="0" fontId="4" fillId="10" borderId="1" pivotButton="0" quotePrefix="0" xfId="0"/>
    <xf numFmtId="0" fontId="4" fillId="10" borderId="1" applyAlignment="1" pivotButton="0" quotePrefix="0" xfId="0">
      <alignment horizontal="center"/>
    </xf>
    <xf numFmtId="164" fontId="4" fillId="10" borderId="1" applyAlignment="1" pivotButton="0" quotePrefix="0" xfId="0">
      <alignment horizontal="center"/>
    </xf>
    <xf numFmtId="0" fontId="17" fillId="10" borderId="1" applyAlignment="1" pivotButton="0" quotePrefix="0" xfId="0">
      <alignment horizontal="left" vertical="center"/>
    </xf>
    <xf numFmtId="0" fontId="18" fillId="0" borderId="1" applyAlignment="1" pivotButton="0" quotePrefix="0" xfId="0">
      <alignment horizontal="center" vertical="center"/>
    </xf>
    <xf numFmtId="0" fontId="5" fillId="13" borderId="1" applyAlignment="1" pivotButton="0" quotePrefix="0" xfId="0">
      <alignment horizontal="left" vertical="center"/>
    </xf>
    <xf numFmtId="0" fontId="0" fillId="9" borderId="1" applyAlignment="1" pivotButton="0" quotePrefix="0" xfId="0">
      <alignment horizontal="left" vertical="center"/>
    </xf>
    <xf numFmtId="0" fontId="18" fillId="9" borderId="1" applyAlignment="1" pivotButton="0" quotePrefix="0" xfId="0">
      <alignment horizontal="center" vertical="center"/>
    </xf>
    <xf numFmtId="0" fontId="19" fillId="0" borderId="0" applyAlignment="1" pivotButton="0" quotePrefix="0" xfId="0">
      <alignment horizontal="left" vertical="center"/>
    </xf>
    <xf numFmtId="0" fontId="20" fillId="0" borderId="1" applyAlignment="1" pivotButton="0" quotePrefix="0" xfId="0">
      <alignment horizontal="center" vertical="center"/>
    </xf>
    <xf numFmtId="0" fontId="7" fillId="0" borderId="1" pivotButton="0" quotePrefix="0" xfId="0"/>
    <xf numFmtId="0" fontId="0" fillId="9" borderId="1" applyAlignment="1" pivotButton="0" quotePrefix="0" xfId="0">
      <alignment vertical="top" wrapText="1"/>
    </xf>
    <xf numFmtId="0" fontId="10" fillId="0" borderId="1" applyAlignment="1" pivotButton="0" quotePrefix="0" xfId="0">
      <alignment horizontal="center" vertical="center"/>
    </xf>
    <xf numFmtId="0" fontId="9"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ISMS-IMP-A.8.16.1  -  Monitoring Infrastructure Assessment
ISO/IEC 27001:2022 - Control A.8.16: Monitoring Activities</t>
        </is>
      </c>
    </row>
    <row r="3">
      <c r="A3" s="2" t="inlineStr">
        <is>
          <t>Document Information</t>
        </is>
      </c>
    </row>
    <row r="4">
      <c r="A4" s="3" t="inlineStr">
        <is>
          <t>Document ID</t>
        </is>
      </c>
      <c r="B4" t="inlineStr">
        <is>
          <t>ISMS-IMP-A.8.16.1</t>
        </is>
      </c>
    </row>
    <row r="5">
      <c r="A5" s="3" t="inlineStr">
        <is>
          <t>Workbook Title</t>
        </is>
      </c>
      <c r="B5" t="inlineStr">
        <is>
          <t>Monitoring Infrastructure Assessment</t>
        </is>
      </c>
    </row>
    <row r="6">
      <c r="A6" s="3" t="inlineStr">
        <is>
          <t>Control Reference</t>
        </is>
      </c>
      <c r="B6" t="inlineStr">
        <is>
          <t>ISO/IEC 27001:2022 - Control A.8.16: Monitoring Activities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in sequence (1–5).</t>
        </is>
      </c>
    </row>
    <row r="14">
      <c r="A14" t="inlineStr">
        <is>
          <t>2. Use dropdown menus where provided — do not type directly.</t>
        </is>
      </c>
    </row>
    <row r="15">
      <c r="A15" t="inlineStr">
        <is>
          <t>3. Fill all yellow-highlighted cells with your organisation’s information.</t>
        </is>
      </c>
    </row>
    <row r="16">
      <c r="A16" t="inlineStr">
        <is>
          <t>4. Refer to reference tables on each sheet for guidance.</t>
        </is>
      </c>
    </row>
    <row r="17">
      <c r="A17" t="inlineStr">
        <is>
          <t>5. Complete compliance checklists on each assessment sheet.</t>
        </is>
      </c>
    </row>
    <row r="18">
      <c r="A18" t="inlineStr">
        <is>
          <t>6. Document exceptions in the Exception/Deviation blocks.</t>
        </is>
      </c>
    </row>
    <row r="19">
      <c r="A19" t="inlineStr">
        <is>
          <t>7. Gather evidence and list in Evidence Register.</t>
        </is>
      </c>
    </row>
    <row r="20">
      <c r="A20" t="inlineStr">
        <is>
          <t>8. Review Summary Dashboard for compliance gaps.</t>
        </is>
      </c>
    </row>
    <row r="21">
      <c r="A21" t="inlineStr">
        <is>
          <t>9. Obtain approvals via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6"/>
  <sheetViews>
    <sheetView showGridLines="0" workbookViewId="0">
      <selection activeCell="A1" sqref="A1"/>
    </sheetView>
  </sheetViews>
  <sheetFormatPr baseColWidth="8" defaultRowHeight="15"/>
  <cols>
    <col width="28" customWidth="1" min="1" max="1"/>
    <col width="60" customWidth="1" min="2" max="2"/>
    <col width="20" customWidth="1" min="3" max="3"/>
    <col width="18" customWidth="1" min="4" max="4"/>
    <col width="24" customWidth="1" min="5" max="5"/>
    <col width="20" customWidth="1" min="6" max="6"/>
    <col width="20" customWidth="1" min="7" max="7"/>
    <col width="18" customWidth="1" min="8" max="8"/>
    <col width="18" customWidth="1" min="9" max="9"/>
    <col width="18" customWidth="1" min="10" max="10"/>
    <col width="22" customWidth="1" min="11" max="11"/>
    <col width="18" customWidth="1" min="12" max="12"/>
    <col width="20" customWidth="1" min="13" max="13"/>
    <col width="18" customWidth="1" min="14" max="14"/>
    <col width="18" customWidth="1" min="15" max="15"/>
    <col width="18" customWidth="1" min="16" max="16"/>
    <col width="20" customWidth="1" min="17" max="17"/>
    <col width="16" customWidth="1" min="18" max="18"/>
    <col width="18" customWidth="1" min="19" max="19"/>
    <col width="30" customWidth="1" min="20" max="20"/>
    <col width="18" customWidth="1" min="21" max="21"/>
  </cols>
  <sheetData>
    <row r="1" ht="35" customHeight="1">
      <c r="A1" s="11" t="inlineStr">
        <is>
          <t>1. MONITORING PLATFORM CAPABILITIES ASSESSMENT</t>
        </is>
      </c>
    </row>
    <row r="2">
      <c r="A2" s="12" t="inlineStr">
        <is>
          <t>Policy Reference: ISMS-POL-A.8.16-S2.1.4 - Assess SIEM/monitoring platform capabilities</t>
        </is>
      </c>
    </row>
    <row r="3">
      <c r="A3" s="13" t="inlineStr">
        <is>
          <t>Does your organisation have monitoring platforms (SIEM, IDS/IPS, EDR, NDR) with adequate capabilities?</t>
        </is>
      </c>
    </row>
    <row r="4">
      <c r="A4" s="14" t="inlineStr">
        <is>
          <t>Overall Status:</t>
        </is>
      </c>
      <c r="B4" s="15" t="n"/>
      <c r="C4" s="16" t="n"/>
      <c r="D4" s="16" t="n"/>
      <c r="E4" s="17" t="n"/>
    </row>
    <row r="6">
      <c r="A6" s="18" t="inlineStr">
        <is>
          <t>Platform/Tool Name</t>
        </is>
      </c>
      <c r="B6" s="18" t="inlineStr">
        <is>
          <t>Platform Type</t>
        </is>
      </c>
      <c r="C6" s="18" t="inlineStr">
        <is>
          <t>Vendor/Solution</t>
        </is>
      </c>
      <c r="D6" s="18" t="inlineStr">
        <is>
          <t>Deployment Model</t>
        </is>
      </c>
      <c r="E6" s="18" t="inlineStr">
        <is>
          <t>Log Collection Methods</t>
        </is>
      </c>
      <c r="F6" s="18" t="inlineStr">
        <is>
          <t>Parsing Capabilities</t>
        </is>
      </c>
      <c r="G6" s="18" t="inlineStr">
        <is>
          <t>Storage &amp; Indexing</t>
        </is>
      </c>
      <c r="H6" s="18" t="inlineStr">
        <is>
          <t>Search Performance</t>
        </is>
      </c>
      <c r="I6" s="18" t="inlineStr">
        <is>
          <t>Real-Time Alerting</t>
        </is>
      </c>
      <c r="J6" s="18" t="inlineStr">
        <is>
          <t>Correlation Engine</t>
        </is>
      </c>
      <c r="K6" s="18" t="inlineStr">
        <is>
          <t>Threat Intel Integration</t>
        </is>
      </c>
      <c r="L6" s="18" t="inlineStr">
        <is>
          <t>SOAR Integration</t>
        </is>
      </c>
      <c r="M6" s="18" t="inlineStr">
        <is>
          <t>Visualization/Dashboards</t>
        </is>
      </c>
      <c r="N6" s="18" t="inlineStr">
        <is>
          <t>High Availability</t>
        </is>
      </c>
      <c r="O6" s="18" t="inlineStr">
        <is>
          <t>Disaster Recovery</t>
        </is>
      </c>
      <c r="P6" s="18" t="inlineStr">
        <is>
          <t>Current EPS Capacity</t>
        </is>
      </c>
      <c r="Q6" s="18" t="inlineStr">
        <is>
          <t>Implementation Status</t>
        </is>
      </c>
      <c r="R6" s="18" t="inlineStr">
        <is>
          <t>Last Upgrade Date</t>
        </is>
      </c>
      <c r="S6" s="18" t="inlineStr">
        <is>
          <t>Compliance Status</t>
        </is>
      </c>
      <c r="T6" s="18" t="inlineStr">
        <is>
          <t>Gaps/Issues</t>
        </is>
      </c>
      <c r="U6" s="18" t="inlineStr">
        <is>
          <t>Remediation Priority</t>
        </is>
      </c>
    </row>
    <row r="7">
      <c r="A7" s="19" t="inlineStr">
        <is>
          <t>Splunk Enterprise</t>
        </is>
      </c>
      <c r="B7" s="19" t="inlineStr">
        <is>
          <t>SIEM</t>
        </is>
      </c>
      <c r="C7" s="19" t="inlineStr">
        <is>
          <t>Splunk Inc.</t>
        </is>
      </c>
      <c r="D7" s="19" t="inlineStr">
        <is>
          <t>Cloud</t>
        </is>
      </c>
      <c r="E7" s="19" t="inlineStr">
        <is>
          <t>Agents, Syslog, API</t>
        </is>
      </c>
      <c r="F7" s="19" t="inlineStr">
        <is>
          <t>Excellent</t>
        </is>
      </c>
      <c r="G7" s="19" t="inlineStr">
        <is>
          <t>Hot/Warm/Cold Tiers</t>
        </is>
      </c>
      <c r="H7" s="19" t="inlineStr">
        <is>
          <t>&lt;10 sec</t>
        </is>
      </c>
      <c r="I7" s="19" t="inlineStr">
        <is>
          <t>Yes</t>
        </is>
      </c>
      <c r="J7" s="19" t="inlineStr">
        <is>
          <t>Advanced</t>
        </is>
      </c>
      <c r="K7" s="19" t="inlineStr">
        <is>
          <t>Yes</t>
        </is>
      </c>
      <c r="L7" s="19" t="inlineStr">
        <is>
          <t>Yes</t>
        </is>
      </c>
      <c r="M7" s="19" t="inlineStr">
        <is>
          <t>Excellent</t>
        </is>
      </c>
      <c r="N7" s="19" t="inlineStr">
        <is>
          <t>Yes</t>
        </is>
      </c>
      <c r="O7" s="19" t="inlineStr">
        <is>
          <t>Documented</t>
        </is>
      </c>
      <c r="P7" s="19" t="inlineStr">
        <is>
          <t>50'000 EPS</t>
        </is>
      </c>
      <c r="Q7" s="19" t="inlineStr">
        <is>
          <t>✅ Deployed</t>
        </is>
      </c>
      <c r="R7" s="19" t="inlineStr">
        <is>
          <t>15.03.2024</t>
        </is>
      </c>
      <c r="S7" s="19" t="inlineStr">
        <is>
          <t>✅ Compliant</t>
        </is>
      </c>
      <c r="T7" s="19" t="inlineStr">
        <is>
          <t>None</t>
        </is>
      </c>
      <c r="U7" s="19" t="inlineStr">
        <is>
          <t>None</t>
        </is>
      </c>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row>
    <row r="22">
      <c r="A22" s="20" t="inlineStr">
        <is>
          <t>MONITORING PLATFORM CAPABILITIES CHECKLIST</t>
        </is>
      </c>
    </row>
    <row r="23">
      <c r="A23" s="18" t="inlineStr">
        <is>
          <t>#</t>
        </is>
      </c>
      <c r="B23" s="18" t="inlineStr">
        <is>
          <t>Requirement</t>
        </is>
      </c>
      <c r="C23" s="16" t="n"/>
      <c r="D23" s="16" t="n"/>
      <c r="E23" s="16" t="n"/>
      <c r="F23" s="16" t="n"/>
      <c r="G23" s="16" t="n"/>
      <c r="H23" s="16" t="n"/>
      <c r="I23" s="16" t="n"/>
      <c r="J23" s="16" t="n"/>
      <c r="K23" s="16" t="n"/>
      <c r="L23" s="16" t="n"/>
      <c r="M23" s="16" t="n"/>
      <c r="N23" s="16" t="n"/>
      <c r="O23" s="16" t="n"/>
      <c r="P23" s="16" t="n"/>
      <c r="Q23" s="16" t="n"/>
      <c r="R23" s="16" t="n"/>
      <c r="S23" s="16" t="n"/>
      <c r="T23" s="17" t="n"/>
    </row>
    <row r="24">
      <c r="A24" t="n">
        <v>1</v>
      </c>
      <c r="B24" s="21" t="inlineStr">
        <is>
          <t>Primary monitoring platform (SIEM) deployed</t>
        </is>
      </c>
      <c r="U24" s="15" t="n"/>
    </row>
    <row r="25">
      <c r="A25" t="n">
        <v>2</v>
      </c>
      <c r="B25" s="21" t="inlineStr">
        <is>
          <t>Log collection supports multiple methods (agents, syslog, API)</t>
        </is>
      </c>
      <c r="U25" s="15" t="n"/>
    </row>
    <row r="26">
      <c r="A26" t="n">
        <v>3</v>
      </c>
      <c r="B26" s="21" t="inlineStr">
        <is>
          <t>Parsing capabilities for common log formats (Windows, Linux, network devices)</t>
        </is>
      </c>
      <c r="U26" s="15" t="n"/>
    </row>
    <row r="27">
      <c r="A27" t="n">
        <v>4</v>
      </c>
      <c r="B27" s="21" t="inlineStr">
        <is>
          <t>Storage includes hot/warm/cold tiers for cost optimization</t>
        </is>
      </c>
      <c r="U27" s="15" t="n"/>
    </row>
    <row r="28">
      <c r="A28" t="n">
        <v>5</v>
      </c>
      <c r="B28" s="21" t="inlineStr">
        <is>
          <t>Search performance meets requirements (&lt;10 sec for typical queries)</t>
        </is>
      </c>
      <c r="U28" s="15" t="n"/>
    </row>
    <row r="29">
      <c r="A29" t="n">
        <v>6</v>
      </c>
      <c r="B29" s="21" t="inlineStr">
        <is>
          <t>Real-time alerting capability enabled</t>
        </is>
      </c>
      <c r="U29" s="15" t="n"/>
    </row>
    <row r="30">
      <c r="A30" t="n">
        <v>7</v>
      </c>
      <c r="B30" s="21" t="inlineStr">
        <is>
          <t>Correlation engine supports multi-event detection</t>
        </is>
      </c>
      <c r="U30" s="15" t="n"/>
    </row>
    <row r="31">
      <c r="A31" t="n">
        <v>8</v>
      </c>
      <c r="B31" s="21" t="inlineStr">
        <is>
          <t>Threat intelligence integration implemented</t>
        </is>
      </c>
      <c r="U31" s="15" t="n"/>
    </row>
    <row r="32">
      <c r="A32" t="n">
        <v>9</v>
      </c>
      <c r="B32" s="21" t="inlineStr">
        <is>
          <t>SOAR or ticketing integration functional</t>
        </is>
      </c>
      <c r="U32" s="15" t="n"/>
    </row>
    <row r="33">
      <c r="A33" t="n">
        <v>10</v>
      </c>
      <c r="B33" s="21" t="inlineStr">
        <is>
          <t>Dashboards configured for SOC operations</t>
        </is>
      </c>
      <c r="U33" s="15" t="n"/>
    </row>
    <row r="34">
      <c r="A34" t="n">
        <v>11</v>
      </c>
      <c r="B34" s="21" t="inlineStr">
        <is>
          <t>High availability architecture implemented</t>
        </is>
      </c>
      <c r="U34" s="15" t="n"/>
    </row>
    <row r="35">
      <c r="A35" t="n">
        <v>12</v>
      </c>
      <c r="B35" s="21" t="inlineStr">
        <is>
          <t>Disaster recovery plan documented and tested</t>
        </is>
      </c>
      <c r="U35" s="15" t="n"/>
    </row>
    <row r="36">
      <c r="A36" t="n">
        <v>13</v>
      </c>
      <c r="B36" s="21" t="inlineStr">
        <is>
          <t>Platform capacity adequate for current log volume</t>
        </is>
      </c>
      <c r="U36" s="15" t="n"/>
    </row>
    <row r="37">
      <c r="A37" t="n">
        <v>14</v>
      </c>
      <c r="B37" s="21" t="inlineStr">
        <is>
          <t>Platform upgraded within last 12 months</t>
        </is>
      </c>
      <c r="U37" s="15" t="n"/>
    </row>
    <row r="38">
      <c r="A38" t="n">
        <v>15</v>
      </c>
      <c r="B38" s="21" t="inlineStr">
        <is>
          <t>Platform security hardened (RBAC, MFA, encryption)</t>
        </is>
      </c>
      <c r="U38" s="15" t="n"/>
    </row>
    <row r="39">
      <c r="A39" s="22" t="inlineStr">
        <is>
          <t>SCORE:</t>
        </is>
      </c>
      <c r="B39" s="23">
        <f>COUNTIF(U:U,"✅ Compliant")&amp;" / 15"</f>
        <v/>
      </c>
    </row>
    <row r="40">
      <c r="A40" s="20" t="inlineStr">
        <is>
          <t>REFERENCE TABLES</t>
        </is>
      </c>
    </row>
    <row r="42">
      <c r="A42" s="24" t="inlineStr">
        <is>
          <t>Table 1: Monitoring Platform Types</t>
        </is>
      </c>
    </row>
    <row r="43">
      <c r="A43" s="18" t="inlineStr">
        <is>
          <t>Platform Type</t>
        </is>
      </c>
      <c r="B43" s="16" t="n"/>
      <c r="C43" s="16" t="n"/>
      <c r="D43" s="16" t="n"/>
      <c r="E43" s="16" t="n"/>
      <c r="F43" s="16" t="n"/>
      <c r="G43" s="17" t="n"/>
      <c r="H43" s="18" t="inlineStr">
        <is>
          <t>Primary Purpose</t>
        </is>
      </c>
      <c r="I43" s="16" t="n"/>
      <c r="J43" s="16" t="n"/>
      <c r="K43" s="16" t="n"/>
      <c r="L43" s="16" t="n"/>
      <c r="M43" s="16" t="n"/>
      <c r="N43" s="17" t="n"/>
      <c r="O43" s="18" t="inlineStr">
        <is>
          <t>Example Capabilities</t>
        </is>
      </c>
      <c r="P43" s="16" t="n"/>
      <c r="Q43" s="16" t="n"/>
      <c r="R43" s="16" t="n"/>
      <c r="S43" s="16" t="n"/>
      <c r="T43" s="16" t="n"/>
      <c r="U43" s="17" t="n"/>
    </row>
    <row r="44">
      <c r="A44" s="14" t="inlineStr">
        <is>
          <t>SIEM</t>
        </is>
      </c>
      <c r="H44" s="21" t="inlineStr">
        <is>
          <t>Centralised log aggregation &amp; correlation</t>
        </is>
      </c>
      <c r="O44" s="21" t="inlineStr">
        <is>
          <t>Search, alert, correlate, dashboards</t>
        </is>
      </c>
    </row>
    <row r="45">
      <c r="A45" s="14" t="inlineStr">
        <is>
          <t>IDS/IPS</t>
        </is>
      </c>
      <c r="H45" s="21" t="inlineStr">
        <is>
          <t>Network intrusion detection</t>
        </is>
      </c>
      <c r="O45" s="21" t="inlineStr">
        <is>
          <t>Signature matching, anomaly detection</t>
        </is>
      </c>
    </row>
    <row r="46">
      <c r="A46" s="14" t="inlineStr">
        <is>
          <t>EDR</t>
        </is>
      </c>
      <c r="H46" s="21" t="inlineStr">
        <is>
          <t>Endpoint threat detection</t>
        </is>
      </c>
      <c r="O46" s="21" t="inlineStr">
        <is>
          <t>Process monitoring, behavioural analysis</t>
        </is>
      </c>
    </row>
    <row r="47">
      <c r="A47" s="14" t="inlineStr">
        <is>
          <t>NDR</t>
        </is>
      </c>
      <c r="H47" s="21" t="inlineStr">
        <is>
          <t>Network traffic analysis</t>
        </is>
      </c>
      <c r="O47" s="21" t="inlineStr">
        <is>
          <t>Flow analysis, encrypted traffic analysis</t>
        </is>
      </c>
    </row>
    <row r="48">
      <c r="A48" s="14" t="inlineStr">
        <is>
          <t>UEBA</t>
        </is>
      </c>
      <c r="H48" s="21" t="inlineStr">
        <is>
          <t>User behaviour analytics</t>
        </is>
      </c>
      <c r="O48" s="21" t="inlineStr">
        <is>
          <t>Baseline deviation, risk scoring</t>
        </is>
      </c>
    </row>
    <row r="51">
      <c r="A51" s="24" t="inlineStr">
        <is>
          <t>Table 2: Critical SIEM Capabilities (Per S2.1.4.1)</t>
        </is>
      </c>
    </row>
    <row r="52">
      <c r="A52" s="18" t="inlineStr">
        <is>
          <t>Capability</t>
        </is>
      </c>
      <c r="B52" s="16" t="n"/>
      <c r="C52" s="16" t="n"/>
      <c r="D52" s="16" t="n"/>
      <c r="E52" s="16" t="n"/>
      <c r="F52" s="16" t="n"/>
      <c r="G52" s="17" t="n"/>
      <c r="H52" s="18" t="inlineStr">
        <is>
          <t>Requirement Level</t>
        </is>
      </c>
      <c r="I52" s="16" t="n"/>
      <c r="J52" s="16" t="n"/>
      <c r="K52" s="16" t="n"/>
      <c r="L52" s="16" t="n"/>
      <c r="M52" s="16" t="n"/>
      <c r="N52" s="17" t="n"/>
      <c r="O52" s="18" t="inlineStr">
        <is>
          <t>Validation Method</t>
        </is>
      </c>
      <c r="P52" s="16" t="n"/>
      <c r="Q52" s="16" t="n"/>
      <c r="R52" s="16" t="n"/>
      <c r="S52" s="16" t="n"/>
      <c r="T52" s="16" t="n"/>
      <c r="U52" s="17" t="n"/>
    </row>
    <row r="53">
      <c r="A53" s="14" t="inlineStr">
        <is>
          <t>Multi-format log parsing</t>
        </is>
      </c>
      <c r="H53" s="21" t="inlineStr">
        <is>
          <t>MUST HAVE</t>
        </is>
      </c>
      <c r="O53" s="21" t="inlineStr">
        <is>
          <t>Test with sample logs</t>
        </is>
      </c>
    </row>
    <row r="54">
      <c r="A54" s="14" t="inlineStr">
        <is>
          <t>Indexed storage</t>
        </is>
      </c>
      <c r="H54" s="21" t="inlineStr">
        <is>
          <t>MUST HAVE</t>
        </is>
      </c>
      <c r="O54" s="21" t="inlineStr">
        <is>
          <t>Verify search performance</t>
        </is>
      </c>
    </row>
    <row r="55">
      <c r="A55" s="14" t="inlineStr">
        <is>
          <t>Real-time alerting</t>
        </is>
      </c>
      <c r="H55" s="21" t="inlineStr">
        <is>
          <t>MUST HAVE</t>
        </is>
      </c>
      <c r="O55" s="21" t="inlineStr">
        <is>
          <t>Test alert generation</t>
        </is>
      </c>
    </row>
    <row r="56">
      <c r="A56" s="14" t="inlineStr">
        <is>
          <t>Multi-event correlation</t>
        </is>
      </c>
      <c r="H56" s="21" t="inlineStr">
        <is>
          <t>MUST HAVE</t>
        </is>
      </c>
      <c r="O56" s="21" t="inlineStr">
        <is>
          <t>Create test correlation rule</t>
        </is>
      </c>
    </row>
    <row r="57">
      <c r="A57" s="14" t="inlineStr">
        <is>
          <t>Threat intel integration</t>
        </is>
      </c>
      <c r="H57" s="21" t="inlineStr">
        <is>
          <t>MUST HAVE</t>
        </is>
      </c>
      <c r="O57" s="21" t="inlineStr">
        <is>
          <t>Verify IOC matching</t>
        </is>
      </c>
    </row>
    <row r="58">
      <c r="A58" s="14" t="inlineStr">
        <is>
          <t>Search &lt; 10 sec</t>
        </is>
      </c>
      <c r="H58" s="21" t="inlineStr">
        <is>
          <t>SHOULD HAVE</t>
        </is>
      </c>
      <c r="O58" s="21" t="inlineStr">
        <is>
          <t>Benchmark queries</t>
        </is>
      </c>
    </row>
    <row r="70">
      <c r="A70" s="25" t="inlineStr">
        <is>
          <t>EXCEPTION/DEVIATION MANAGEMENT</t>
        </is>
      </c>
    </row>
    <row r="71">
      <c r="A71" s="18" t="inlineStr">
        <is>
          <t>Exception ID</t>
        </is>
      </c>
      <c r="B71" s="18" t="inlineStr">
        <is>
          <t>Risk ID</t>
        </is>
      </c>
      <c r="C71" s="18" t="inlineStr">
        <is>
          <t>Business Justification</t>
        </is>
      </c>
      <c r="D71" s="18" t="inlineStr">
        <is>
          <t>Compensating Controls</t>
        </is>
      </c>
      <c r="E71" s="18" t="inlineStr">
        <is>
          <t>Approval Status</t>
        </is>
      </c>
      <c r="F71" s="18" t="inlineStr">
        <is>
          <t>Review Date</t>
        </is>
      </c>
    </row>
    <row r="72">
      <c r="A72" s="15" t="n"/>
      <c r="B72" s="15" t="n"/>
      <c r="C72" s="15" t="n"/>
      <c r="D72" s="15" t="n"/>
      <c r="E72" s="15" t="n"/>
      <c r="F72" s="15" t="n"/>
    </row>
    <row r="73">
      <c r="A73" s="15" t="n"/>
      <c r="B73" s="15" t="n"/>
      <c r="C73" s="15" t="n"/>
      <c r="D73" s="15" t="n"/>
      <c r="E73" s="15" t="n"/>
      <c r="F73" s="15" t="n"/>
    </row>
    <row r="74">
      <c r="A74" s="15" t="n"/>
      <c r="B74" s="15" t="n"/>
      <c r="C74" s="15" t="n"/>
      <c r="D74" s="15" t="n"/>
      <c r="E74" s="15" t="n"/>
      <c r="F74" s="15" t="n"/>
    </row>
    <row r="75">
      <c r="A75" s="15" t="n"/>
      <c r="B75" s="15" t="n"/>
      <c r="C75" s="15" t="n"/>
      <c r="D75" s="15" t="n"/>
      <c r="E75" s="15" t="n"/>
      <c r="F75" s="15" t="n"/>
    </row>
    <row r="76">
      <c r="A76" s="15" t="n"/>
      <c r="B76" s="15" t="n"/>
      <c r="C76" s="15" t="n"/>
      <c r="D76" s="15" t="n"/>
      <c r="E76" s="15" t="n"/>
      <c r="F76" s="15" t="n"/>
    </row>
  </sheetData>
  <mergeCells count="65">
    <mergeCell ref="O47:U47"/>
    <mergeCell ref="H57:N57"/>
    <mergeCell ref="B37:T37"/>
    <mergeCell ref="O56:U56"/>
    <mergeCell ref="O58:U58"/>
    <mergeCell ref="B28:T28"/>
    <mergeCell ref="H47:N47"/>
    <mergeCell ref="O52:U52"/>
    <mergeCell ref="A53:G53"/>
    <mergeCell ref="A47:G47"/>
    <mergeCell ref="O48:U48"/>
    <mergeCell ref="B30:T30"/>
    <mergeCell ref="A52:G52"/>
    <mergeCell ref="A43:G43"/>
    <mergeCell ref="H48:N48"/>
    <mergeCell ref="B24:T24"/>
    <mergeCell ref="A3:U3"/>
    <mergeCell ref="B33:T33"/>
    <mergeCell ref="A44:G44"/>
    <mergeCell ref="A58:G58"/>
    <mergeCell ref="O57:U57"/>
    <mergeCell ref="B4:E4"/>
    <mergeCell ref="A2:U2"/>
    <mergeCell ref="B36:T36"/>
    <mergeCell ref="B32:T32"/>
    <mergeCell ref="B26:T26"/>
    <mergeCell ref="A48:G48"/>
    <mergeCell ref="H53:N53"/>
    <mergeCell ref="A42:U42"/>
    <mergeCell ref="B35:T35"/>
    <mergeCell ref="H43:N43"/>
    <mergeCell ref="O43:U43"/>
    <mergeCell ref="O53:U53"/>
    <mergeCell ref="H54:N54"/>
    <mergeCell ref="A45:G45"/>
    <mergeCell ref="A22:U22"/>
    <mergeCell ref="B25:T25"/>
    <mergeCell ref="H55:N55"/>
    <mergeCell ref="B31:T31"/>
    <mergeCell ref="H44:N44"/>
    <mergeCell ref="H58:N58"/>
    <mergeCell ref="O45:U45"/>
    <mergeCell ref="H56:N56"/>
    <mergeCell ref="B27:T27"/>
    <mergeCell ref="B39:E39"/>
    <mergeCell ref="A54:G54"/>
    <mergeCell ref="H46:N46"/>
    <mergeCell ref="A40:U40"/>
    <mergeCell ref="A46:G46"/>
    <mergeCell ref="O54:U54"/>
    <mergeCell ref="O44:U44"/>
    <mergeCell ref="A56:G56"/>
    <mergeCell ref="B23:T23"/>
    <mergeCell ref="H52:N52"/>
    <mergeCell ref="A55:G55"/>
    <mergeCell ref="A51:U51"/>
    <mergeCell ref="H45:N45"/>
    <mergeCell ref="A70:U70"/>
    <mergeCell ref="O46:U46"/>
    <mergeCell ref="B29:T29"/>
    <mergeCell ref="A57:G57"/>
    <mergeCell ref="A1:U1"/>
    <mergeCell ref="O55:U55"/>
    <mergeCell ref="B38:T38"/>
    <mergeCell ref="B34:T34"/>
  </mergeCells>
  <dataValidations count="9">
    <dataValidation sqref="I8 I9 I10 I11 I12 I13 I14 I15 I16 I17 I18 I19 I20 J8 J9 J10 J11 J12 J13 J14 J15 J16 J17 J18 J19 J20 K8 K9 K10 K11 K12 K13 K14 K15 K16 K17 K18 K19 K20 L8 L9 L10 L11 L12 L13 L14 L15 L16 L17 L18 L19 L20 N8 N9 N10 N11 N12 N13 N14 N15 N16 N17 N18 N19 N20" showDropDown="0" showInputMessage="0" showErrorMessage="0" allowBlank="0" type="list">
      <formula1>"Yes,No,Planned"</formula1>
    </dataValidation>
    <dataValidation sqref="B8 B9 B10 B11 B12 B13 B14 B15 B16 B17 B18 B19 B20" showDropDown="0" showInputMessage="0" showErrorMessage="0" allowBlank="0" type="list">
      <formula1>"SIEM,IDS/IPS,EDR,NDR,UEBA,Log Management,Other"</formula1>
    </dataValidation>
    <dataValidation sqref="D8 D9 D10 D11 D12 D13 D14 D15 D16 D17 D18 D19 D20" showDropDown="0" showInputMessage="0" showErrorMessage="0" allowBlank="0" type="list">
      <formula1>"On-Premises,Cloud,Hybrid"</formula1>
    </dataValidation>
    <dataValidation sqref="F8 F9 F10 F11 F12 F13 F14 F15 F16 F17 F18 F19 F20 M8 M9 M10 M11 M12 M13 M14 M15 M16 M17 M18 M19 M20" showDropDown="0" showInputMessage="0" showErrorMessage="0" allowBlank="0" type="list">
      <formula1>"Excellent,Good,Limited,Poor"</formula1>
    </dataValidation>
    <dataValidation sqref="H8 H9 H10 H11 H12 H13 H14 H15 H16 H17 H18 H19 H20" showDropDown="0" showInputMessage="0" showErrorMessage="0" allowBlank="0" type="list">
      <formula1>"&lt;10 sec,10-60 sec,&gt;60 sec"</formula1>
    </dataValidation>
    <dataValidation sqref="O8 O9 O10 O11 O12 O13 O14 O15 O16 O17 O18 O19 O20" showDropDown="0" showInputMessage="0" showErrorMessage="0" allowBlank="0" type="list">
      <formula1>"Documented,Tested,None"</formula1>
    </dataValidation>
    <dataValidation sqref="Q8 Q9 Q10 Q11 Q12 Q13 Q14 Q15 Q16 Q17 Q18 Q19 Q20" showDropDown="0" showInputMessage="0" showErrorMessage="0" allowBlank="0" type="list">
      <formula1>"✅ Deployed,⚠️ Partial,❌ Not Deployed,Planned"</formula1>
    </dataValidation>
    <dataValidation sqref="S8 S9 S10 S11 S12 S13 S14 S15 S16 S17 S18 S19 S20 U24 U25 U26 U27 U28 U29 U30 U31 U32 U33 U34 U35 U36 U37 U38" showDropDown="0" showInputMessage="0" showErrorMessage="0" allowBlank="0" type="list">
      <formula1>"✅ Compliant,⚠️ Partial,❌ Non-Compliant,N/A"</formula1>
    </dataValidation>
    <dataValidation sqref="U8 U9 U10 U11 U12 U13 U14 U15 U16 U17 U18 U19 U20" showDropDown="0" showInputMessage="0" showErrorMessage="0" allowBlank="0" type="list">
      <formula1>"Critical,High,Medium,Low,None"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3"/>
  <sheetViews>
    <sheetView showGridLines="0" workbookViewId="0">
      <selection activeCell="A1" sqref="A1"/>
    </sheetView>
  </sheetViews>
  <sheetFormatPr baseColWidth="8" defaultRowHeight="15"/>
  <cols>
    <col width="28" customWidth="1" min="1" max="1"/>
    <col width="22" customWidth="1" min="2" max="2"/>
    <col width="15" customWidth="1" min="3" max="3"/>
    <col width="18" customWidth="1" min="4" max="4"/>
    <col width="20" customWidth="1" min="5" max="5"/>
    <col width="18" customWidth="1" min="6" max="6"/>
    <col width="30" customWidth="1" min="7" max="7"/>
    <col width="20" customWidth="1" min="8" max="8"/>
    <col width="20" customWidth="1" min="9" max="9"/>
    <col width="18" customWidth="1" min="10" max="10"/>
    <col width="20" customWidth="1" min="11" max="11"/>
    <col width="18" customWidth="1" min="12" max="12"/>
    <col width="20" customWidth="1" min="13" max="13"/>
    <col width="20" customWidth="1" min="14" max="14"/>
    <col width="16" customWidth="1" min="15" max="15"/>
    <col width="15" customWidth="1" min="16" max="16"/>
    <col width="18" customWidth="1" min="17" max="17"/>
    <col width="30" customWidth="1" min="18" max="18"/>
    <col width="30" customWidth="1" min="19" max="19"/>
    <col width="15" customWidth="1" min="20" max="20"/>
  </cols>
  <sheetData>
    <row r="1" ht="35" customHeight="1">
      <c r="A1" s="11" t="inlineStr">
        <is>
          <t>2. LOG SOURCE COVERAGE ASSESSMENT</t>
        </is>
      </c>
    </row>
    <row r="2">
      <c r="A2" s="12" t="inlineStr">
        <is>
          <t>Policy Reference: ISMS-POL-A.8.16-S2.1.2 - Assess log source coverage</t>
        </is>
      </c>
    </row>
    <row r="3">
      <c r="A3" s="13" t="inlineStr">
        <is>
          <t>Does your organisation collect logs from all critical systems and adequate coverage of standard systems?</t>
        </is>
      </c>
    </row>
    <row r="4">
      <c r="A4" s="14" t="inlineStr">
        <is>
          <t>Overall Coverage Status:</t>
        </is>
      </c>
      <c r="B4" s="15" t="n"/>
      <c r="C4" s="16" t="n"/>
      <c r="D4" s="16" t="n"/>
      <c r="E4" s="17" t="n"/>
    </row>
    <row r="6">
      <c r="A6" s="18" t="inlineStr">
        <is>
          <t>System/Asset Name</t>
        </is>
      </c>
      <c r="B6" s="18" t="inlineStr">
        <is>
          <t>System Type</t>
        </is>
      </c>
      <c r="C6" s="18" t="inlineStr">
        <is>
          <t>Criticality</t>
        </is>
      </c>
      <c r="D6" s="18" t="inlineStr">
        <is>
          <t>Location</t>
        </is>
      </c>
      <c r="E6" s="18" t="inlineStr">
        <is>
          <t>System Owner</t>
        </is>
      </c>
      <c r="F6" s="18" t="inlineStr">
        <is>
          <t>OS/Platform</t>
        </is>
      </c>
      <c r="G6" s="18" t="inlineStr">
        <is>
          <t>Log Types Collected</t>
        </is>
      </c>
      <c r="H6" s="18" t="inlineStr">
        <is>
          <t>Collection Method</t>
        </is>
      </c>
      <c r="I6" s="18" t="inlineStr">
        <is>
          <t>Collection Protocol</t>
        </is>
      </c>
      <c r="J6" s="18" t="inlineStr">
        <is>
          <t>Log Volume (GB/day)</t>
        </is>
      </c>
      <c r="K6" s="18" t="inlineStr">
        <is>
          <t>Retention Period (days)</t>
        </is>
      </c>
      <c r="L6" s="18" t="inlineStr">
        <is>
          <t>Parsing Status</t>
        </is>
      </c>
      <c r="M6" s="18" t="inlineStr">
        <is>
          <t>Integration with SIEM</t>
        </is>
      </c>
      <c r="N6" s="18" t="inlineStr">
        <is>
          <t>Collection Status</t>
        </is>
      </c>
      <c r="O6" s="18" t="inlineStr">
        <is>
          <t>Last Verified</t>
        </is>
      </c>
      <c r="P6" s="18" t="inlineStr">
        <is>
          <t>Reliability</t>
        </is>
      </c>
      <c r="Q6" s="18" t="inlineStr">
        <is>
          <t>Compliance Status</t>
        </is>
      </c>
      <c r="R6" s="18" t="inlineStr">
        <is>
          <t>Gaps/Issues</t>
        </is>
      </c>
      <c r="S6" s="18" t="inlineStr">
        <is>
          <t>Remediation Plan</t>
        </is>
      </c>
      <c r="T6" s="18" t="inlineStr">
        <is>
          <t>Priority</t>
        </is>
      </c>
    </row>
    <row r="7">
      <c r="A7" s="19" t="inlineStr">
        <is>
          <t>DC01-WinServer</t>
        </is>
      </c>
      <c r="B7" s="19" t="inlineStr">
        <is>
          <t>Server</t>
        </is>
      </c>
      <c r="C7" s="19" t="inlineStr">
        <is>
          <t>Critical</t>
        </is>
      </c>
      <c r="D7" s="19" t="inlineStr">
        <is>
          <t>Primary DC</t>
        </is>
      </c>
      <c r="E7" s="19" t="inlineStr">
        <is>
          <t>IT Operations</t>
        </is>
      </c>
      <c r="F7" s="19" t="inlineStr">
        <is>
          <t>Windows Server 2022</t>
        </is>
      </c>
      <c r="G7" s="19" t="inlineStr">
        <is>
          <t>Security, System, Application</t>
        </is>
      </c>
      <c r="H7" s="19" t="inlineStr">
        <is>
          <t>Agent</t>
        </is>
      </c>
      <c r="I7" s="19" t="inlineStr">
        <is>
          <t>HTTPS</t>
        </is>
      </c>
      <c r="J7" s="19" t="inlineStr">
        <is>
          <t>2.5</t>
        </is>
      </c>
      <c r="K7" s="19" t="inlineStr">
        <is>
          <t>365</t>
        </is>
      </c>
      <c r="L7" s="19" t="inlineStr">
        <is>
          <t>Parsed</t>
        </is>
      </c>
      <c r="M7" s="19" t="inlineStr">
        <is>
          <t>Yes</t>
        </is>
      </c>
      <c r="N7" s="19" t="inlineStr">
        <is>
          <t>✅ Collecting</t>
        </is>
      </c>
      <c r="O7" s="19" t="inlineStr">
        <is>
          <t>15.12.2024</t>
        </is>
      </c>
      <c r="P7" s="19" t="inlineStr">
        <is>
          <t>High</t>
        </is>
      </c>
      <c r="Q7" s="19" t="inlineStr">
        <is>
          <t>✅ Compliant</t>
        </is>
      </c>
      <c r="R7" s="19" t="inlineStr">
        <is>
          <t>None</t>
        </is>
      </c>
      <c r="S7" s="19" t="inlineStr">
        <is>
          <t>N/A</t>
        </is>
      </c>
      <c r="T7" s="19" t="inlineStr">
        <is>
          <t>None</t>
        </is>
      </c>
    </row>
    <row r="8">
      <c r="A8" s="15" t="n"/>
      <c r="B8" s="15" t="n"/>
      <c r="C8" s="15" t="n"/>
      <c r="D8" s="15" t="n"/>
      <c r="E8" s="15" t="n"/>
      <c r="F8" s="15" t="n"/>
      <c r="G8" s="15" t="n"/>
      <c r="H8" s="15" t="n"/>
      <c r="I8" s="15" t="n"/>
      <c r="J8" s="15" t="n"/>
      <c r="K8" s="15" t="n"/>
      <c r="L8" s="15" t="n"/>
      <c r="M8" s="15" t="n"/>
      <c r="N8" s="15" t="n"/>
      <c r="O8" s="15" t="n"/>
      <c r="P8" s="15" t="n"/>
      <c r="Q8" s="15" t="n"/>
      <c r="R8" s="15" t="n"/>
      <c r="S8" s="15" t="n"/>
      <c r="T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row>
    <row r="43">
      <c r="A43" s="26" t="inlineStr">
        <is>
          <t>LOG SOURCE COVERAGE STATISTICS</t>
        </is>
      </c>
      <c r="B43" s="16" t="n"/>
      <c r="C43" s="16" t="n"/>
      <c r="D43" s="16" t="n"/>
      <c r="E43" s="16" t="n"/>
      <c r="F43" s="16" t="n"/>
      <c r="G43" s="16" t="n"/>
      <c r="H43" s="16" t="n"/>
      <c r="I43" s="16" t="n"/>
      <c r="J43" s="16" t="n"/>
      <c r="K43" s="16" t="n"/>
      <c r="L43" s="16" t="n"/>
      <c r="M43" s="16" t="n"/>
      <c r="N43" s="16" t="n"/>
      <c r="O43" s="16" t="n"/>
      <c r="P43" s="16" t="n"/>
      <c r="Q43" s="16" t="n"/>
      <c r="R43" s="16" t="n"/>
      <c r="S43" s="16" t="n"/>
      <c r="T43" s="17" t="n"/>
    </row>
    <row r="44">
      <c r="A44" s="18" t="inlineStr">
        <is>
          <t>Metric</t>
        </is>
      </c>
      <c r="B44" s="16" t="n"/>
      <c r="C44" s="16" t="n"/>
      <c r="D44" s="16" t="n"/>
      <c r="E44" s="17" t="n"/>
      <c r="F44" s="18" t="inlineStr">
        <is>
          <t>Count/Value</t>
        </is>
      </c>
      <c r="G44" s="16" t="n"/>
      <c r="H44" s="16" t="n"/>
      <c r="I44" s="16" t="n"/>
      <c r="J44" s="17" t="n"/>
      <c r="K44" s="18" t="inlineStr">
        <is>
          <t>Target</t>
        </is>
      </c>
      <c r="L44" s="16" t="n"/>
      <c r="M44" s="16" t="n"/>
      <c r="N44" s="16" t="n"/>
      <c r="O44" s="17" t="n"/>
      <c r="P44" s="18" t="inlineStr">
        <is>
          <t>Status</t>
        </is>
      </c>
      <c r="Q44" s="16" t="n"/>
      <c r="R44" s="16" t="n"/>
      <c r="S44" s="16" t="n"/>
      <c r="T44" s="17" t="n"/>
    </row>
    <row r="45">
      <c r="A45" s="27" t="inlineStr">
        <is>
          <t>Total Systems Inventoried</t>
        </is>
      </c>
      <c r="B45" s="16" t="n"/>
      <c r="C45" s="16" t="n"/>
      <c r="D45" s="16" t="n"/>
      <c r="E45" s="17" t="n"/>
      <c r="F45" s="15">
        <f>COUNTA(A8:A40)</f>
        <v/>
      </c>
      <c r="G45" s="16" t="n"/>
      <c r="H45" s="16" t="n"/>
      <c r="I45" s="16" t="n"/>
      <c r="J45" s="17" t="n"/>
      <c r="K45" s="15" t="inlineStr">
        <is>
          <t>N/A</t>
        </is>
      </c>
      <c r="L45" s="16" t="n"/>
      <c r="M45" s="16" t="n"/>
      <c r="N45" s="16" t="n"/>
      <c r="O45" s="17" t="n"/>
      <c r="P45" s="15" t="inlineStr"/>
      <c r="Q45" s="16" t="n"/>
      <c r="R45" s="16" t="n"/>
      <c r="S45" s="16" t="n"/>
      <c r="T45" s="17" t="n"/>
    </row>
    <row r="46">
      <c r="A46" s="27" t="inlineStr">
        <is>
          <t>Critical Systems with Logs</t>
        </is>
      </c>
      <c r="B46" s="16" t="n"/>
      <c r="C46" s="16" t="n"/>
      <c r="D46" s="16" t="n"/>
      <c r="E46" s="17" t="n"/>
      <c r="F46" s="15">
        <f>COUNTIFS(C8:C40,"Critical",N8:N40,"✅ Collecting")</f>
        <v/>
      </c>
      <c r="G46" s="16" t="n"/>
      <c r="H46" s="16" t="n"/>
      <c r="I46" s="16" t="n"/>
      <c r="J46" s="17" t="n"/>
      <c r="K46" s="15" t="inlineStr">
        <is>
          <t>100%</t>
        </is>
      </c>
      <c r="L46" s="16" t="n"/>
      <c r="M46" s="16" t="n"/>
      <c r="N46" s="16" t="n"/>
      <c r="O46" s="17" t="n"/>
      <c r="P46" s="15" t="inlineStr"/>
      <c r="Q46" s="16" t="n"/>
      <c r="R46" s="16" t="n"/>
      <c r="S46" s="16" t="n"/>
      <c r="T46" s="17" t="n"/>
    </row>
    <row r="47">
      <c r="A47" s="27" t="inlineStr">
        <is>
          <t>High Priority Systems with Logs</t>
        </is>
      </c>
      <c r="B47" s="16" t="n"/>
      <c r="C47" s="16" t="n"/>
      <c r="D47" s="16" t="n"/>
      <c r="E47" s="17" t="n"/>
      <c r="F47" s="15">
        <f>COUNTIFS(C8:C40,"High",N8:N40,"✅ Collecting")</f>
        <v/>
      </c>
      <c r="G47" s="16" t="n"/>
      <c r="H47" s="16" t="n"/>
      <c r="I47" s="16" t="n"/>
      <c r="J47" s="17" t="n"/>
      <c r="K47" s="15" t="inlineStr">
        <is>
          <t>&gt;90%</t>
        </is>
      </c>
      <c r="L47" s="16" t="n"/>
      <c r="M47" s="16" t="n"/>
      <c r="N47" s="16" t="n"/>
      <c r="O47" s="17" t="n"/>
      <c r="P47" s="15" t="inlineStr"/>
      <c r="Q47" s="16" t="n"/>
      <c r="R47" s="16" t="n"/>
      <c r="S47" s="16" t="n"/>
      <c r="T47" s="17" t="n"/>
    </row>
    <row r="48">
      <c r="A48" s="27" t="inlineStr">
        <is>
          <t>Total Log Volume (GB/day)</t>
        </is>
      </c>
      <c r="B48" s="16" t="n"/>
      <c r="C48" s="16" t="n"/>
      <c r="D48" s="16" t="n"/>
      <c r="E48" s="17" t="n"/>
      <c r="F48" s="15">
        <f>SUM(J8:J40)</f>
        <v/>
      </c>
      <c r="G48" s="16" t="n"/>
      <c r="H48" s="16" t="n"/>
      <c r="I48" s="16" t="n"/>
      <c r="J48" s="17" t="n"/>
      <c r="K48" s="15" t="inlineStr">
        <is>
          <t>Monitor</t>
        </is>
      </c>
      <c r="L48" s="16" t="n"/>
      <c r="M48" s="16" t="n"/>
      <c r="N48" s="16" t="n"/>
      <c r="O48" s="17" t="n"/>
      <c r="P48" s="15" t="inlineStr"/>
      <c r="Q48" s="16" t="n"/>
      <c r="R48" s="16" t="n"/>
      <c r="S48" s="16" t="n"/>
      <c r="T48" s="17" t="n"/>
    </row>
    <row r="49">
      <c r="A49" s="27" t="inlineStr">
        <is>
          <t>Systems with Compliance Gaps</t>
        </is>
      </c>
      <c r="B49" s="16" t="n"/>
      <c r="C49" s="16" t="n"/>
      <c r="D49" s="16" t="n"/>
      <c r="E49" s="17" t="n"/>
      <c r="F49" s="15">
        <f>COUNTIFS(Q8:Q40,"❌ Non-Compliant")+COUNTIFS(Q8:Q40,"⚠️ Partial")</f>
        <v/>
      </c>
      <c r="G49" s="16" t="n"/>
      <c r="H49" s="16" t="n"/>
      <c r="I49" s="16" t="n"/>
      <c r="J49" s="17" t="n"/>
      <c r="K49" s="15" t="inlineStr">
        <is>
          <t>0</t>
        </is>
      </c>
      <c r="L49" s="16" t="n"/>
      <c r="M49" s="16" t="n"/>
      <c r="N49" s="16" t="n"/>
      <c r="O49" s="17" t="n"/>
      <c r="P49" s="15" t="inlineStr"/>
      <c r="Q49" s="16" t="n"/>
      <c r="R49" s="16" t="n"/>
      <c r="S49" s="16" t="n"/>
      <c r="T49" s="17" t="n"/>
    </row>
    <row r="50">
      <c r="A50" s="27" t="inlineStr">
        <is>
          <t>Collection Reliability High</t>
        </is>
      </c>
      <c r="B50" s="16" t="n"/>
      <c r="C50" s="16" t="n"/>
      <c r="D50" s="16" t="n"/>
      <c r="E50" s="17" t="n"/>
      <c r="F50" s="15">
        <f>COUNTIF(P8:P40,"High")</f>
        <v/>
      </c>
      <c r="G50" s="16" t="n"/>
      <c r="H50" s="16" t="n"/>
      <c r="I50" s="16" t="n"/>
      <c r="J50" s="17" t="n"/>
      <c r="K50" s="15" t="inlineStr">
        <is>
          <t>Target</t>
        </is>
      </c>
      <c r="L50" s="16" t="n"/>
      <c r="M50" s="16" t="n"/>
      <c r="N50" s="16" t="n"/>
      <c r="O50" s="17" t="n"/>
      <c r="P50" s="15" t="inlineStr"/>
      <c r="Q50" s="16" t="n"/>
      <c r="R50" s="16" t="n"/>
      <c r="S50" s="16" t="n"/>
      <c r="T50" s="17" t="n"/>
    </row>
    <row r="51">
      <c r="A51" s="27" t="inlineStr">
        <is>
          <t>Collection Reliability Low</t>
        </is>
      </c>
      <c r="B51" s="16" t="n"/>
      <c r="C51" s="16" t="n"/>
      <c r="D51" s="16" t="n"/>
      <c r="E51" s="17" t="n"/>
      <c r="F51" s="15">
        <f>COUNTIF(P8:P40,"Low")</f>
        <v/>
      </c>
      <c r="G51" s="16" t="n"/>
      <c r="H51" s="16" t="n"/>
      <c r="I51" s="16" t="n"/>
      <c r="J51" s="17" t="n"/>
      <c r="K51" s="15" t="inlineStr">
        <is>
          <t>0</t>
        </is>
      </c>
      <c r="L51" s="16" t="n"/>
      <c r="M51" s="16" t="n"/>
      <c r="N51" s="16" t="n"/>
      <c r="O51" s="17" t="n"/>
      <c r="P51" s="15" t="inlineStr"/>
      <c r="Q51" s="16" t="n"/>
      <c r="R51" s="16" t="n"/>
      <c r="S51" s="16" t="n"/>
      <c r="T51" s="17"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row>
    <row r="53">
      <c r="A53" s="26" t="inlineStr">
        <is>
          <t>LOG SOURCE COVERAGE CHECKLIST</t>
        </is>
      </c>
      <c r="B53" s="16" t="n"/>
      <c r="C53" s="16" t="n"/>
      <c r="D53" s="16" t="n"/>
      <c r="E53" s="16" t="n"/>
      <c r="F53" s="16" t="n"/>
      <c r="G53" s="16" t="n"/>
      <c r="H53" s="16" t="n"/>
      <c r="I53" s="16" t="n"/>
      <c r="J53" s="16" t="n"/>
      <c r="K53" s="16" t="n"/>
      <c r="L53" s="16" t="n"/>
      <c r="M53" s="16" t="n"/>
      <c r="N53" s="16" t="n"/>
      <c r="O53" s="16" t="n"/>
      <c r="P53" s="16" t="n"/>
      <c r="Q53" s="16" t="n"/>
      <c r="R53" s="16" t="n"/>
      <c r="S53" s="16" t="n"/>
      <c r="T53" s="17" t="n"/>
    </row>
    <row r="54">
      <c r="A54" s="18" t="inlineStr">
        <is>
          <t>#</t>
        </is>
      </c>
      <c r="B54" s="18" t="inlineStr">
        <is>
          <t>Requirement</t>
        </is>
      </c>
      <c r="C54" s="16" t="n"/>
      <c r="D54" s="16" t="n"/>
      <c r="E54" s="16" t="n"/>
      <c r="F54" s="16" t="n"/>
      <c r="G54" s="16" t="n"/>
      <c r="H54" s="16" t="n"/>
      <c r="I54" s="16" t="n"/>
      <c r="J54" s="16" t="n"/>
      <c r="K54" s="16" t="n"/>
      <c r="L54" s="16" t="n"/>
      <c r="M54" s="16" t="n"/>
      <c r="N54" s="16" t="n"/>
      <c r="O54" s="16" t="n"/>
      <c r="P54" s="16" t="n"/>
      <c r="Q54" s="16" t="n"/>
      <c r="R54" s="16" t="n"/>
      <c r="S54" s="17" t="n"/>
      <c r="T54" s="15" t="n"/>
    </row>
    <row r="55">
      <c r="A55" s="15" t="n">
        <v>1</v>
      </c>
      <c r="B55" s="27" t="inlineStr">
        <is>
          <t>All critical systems (servers, databases) generating logs</t>
        </is>
      </c>
      <c r="C55" s="16" t="n"/>
      <c r="D55" s="16" t="n"/>
      <c r="E55" s="16" t="n"/>
      <c r="F55" s="16" t="n"/>
      <c r="G55" s="16" t="n"/>
      <c r="H55" s="16" t="n"/>
      <c r="I55" s="16" t="n"/>
      <c r="J55" s="16" t="n"/>
      <c r="K55" s="16" t="n"/>
      <c r="L55" s="16" t="n"/>
      <c r="M55" s="16" t="n"/>
      <c r="N55" s="16" t="n"/>
      <c r="O55" s="16" t="n"/>
      <c r="P55" s="16" t="n"/>
      <c r="Q55" s="16" t="n"/>
      <c r="R55" s="16" t="n"/>
      <c r="S55" s="17" t="n"/>
      <c r="T55" s="15" t="n"/>
    </row>
    <row r="56">
      <c r="A56" s="15" t="n">
        <v>2</v>
      </c>
      <c r="B56" s="27" t="inlineStr">
        <is>
          <t>All network devices (firewalls, routers, switches) generating logs</t>
        </is>
      </c>
      <c r="C56" s="16" t="n"/>
      <c r="D56" s="16" t="n"/>
      <c r="E56" s="16" t="n"/>
      <c r="F56" s="16" t="n"/>
      <c r="G56" s="16" t="n"/>
      <c r="H56" s="16" t="n"/>
      <c r="I56" s="16" t="n"/>
      <c r="J56" s="16" t="n"/>
      <c r="K56" s="16" t="n"/>
      <c r="L56" s="16" t="n"/>
      <c r="M56" s="16" t="n"/>
      <c r="N56" s="16" t="n"/>
      <c r="O56" s="16" t="n"/>
      <c r="P56" s="16" t="n"/>
      <c r="Q56" s="16" t="n"/>
      <c r="R56" s="16" t="n"/>
      <c r="S56" s="17" t="n"/>
      <c r="T56" s="15" t="n"/>
    </row>
    <row r="57">
      <c r="A57" s="15" t="n">
        <v>3</v>
      </c>
      <c r="B57" s="27" t="inlineStr">
        <is>
          <t>All security appliances (IDS/IPS, proxies) generating logs</t>
        </is>
      </c>
      <c r="C57" s="16" t="n"/>
      <c r="D57" s="16" t="n"/>
      <c r="E57" s="16" t="n"/>
      <c r="F57" s="16" t="n"/>
      <c r="G57" s="16" t="n"/>
      <c r="H57" s="16" t="n"/>
      <c r="I57" s="16" t="n"/>
      <c r="J57" s="16" t="n"/>
      <c r="K57" s="16" t="n"/>
      <c r="L57" s="16" t="n"/>
      <c r="M57" s="16" t="n"/>
      <c r="N57" s="16" t="n"/>
      <c r="O57" s="16" t="n"/>
      <c r="P57" s="16" t="n"/>
      <c r="Q57" s="16" t="n"/>
      <c r="R57" s="16" t="n"/>
      <c r="S57" s="17" t="n"/>
      <c r="T57" s="15" t="n"/>
    </row>
    <row r="58">
      <c r="A58" t="n">
        <v>4</v>
      </c>
      <c r="B58" s="21" t="inlineStr">
        <is>
          <t>Authentication systems (AD, LDAP, SSO) generating logs</t>
        </is>
      </c>
      <c r="T58" s="15" t="n"/>
    </row>
    <row r="59">
      <c r="A59" t="n">
        <v>5</v>
      </c>
      <c r="B59" s="21" t="inlineStr">
        <is>
          <t>Cloud services generating logs (AWS, Azure, O365)</t>
        </is>
      </c>
      <c r="T59" s="15" t="n"/>
    </row>
    <row r="60">
      <c r="A60" t="n">
        <v>6</v>
      </c>
      <c r="B60" s="21" t="inlineStr">
        <is>
          <t>Critical applications generating logs</t>
        </is>
      </c>
      <c r="T60" s="15" t="n"/>
    </row>
    <row r="61">
      <c r="A61" t="n">
        <v>7</v>
      </c>
      <c r="B61" s="21" t="inlineStr">
        <is>
          <t>Endpoints (workstations, laptops) generating logs where required</t>
        </is>
      </c>
      <c r="T61" s="15" t="n"/>
    </row>
    <row r="62">
      <c r="A62" t="n">
        <v>8</v>
      </c>
      <c r="B62" s="21" t="inlineStr">
        <is>
          <t>Log collection methods reliable (agents, syslog, API)</t>
        </is>
      </c>
      <c r="T62" s="15" t="n"/>
    </row>
    <row r="63">
      <c r="A63" t="n">
        <v>9</v>
      </c>
      <c r="B63" s="21" t="inlineStr">
        <is>
          <t>Log volume monitored and within capacity</t>
        </is>
      </c>
      <c r="T63" s="15" t="n"/>
    </row>
    <row r="64">
      <c r="A64" t="n">
        <v>10</v>
      </c>
      <c r="B64" s="21" t="inlineStr">
        <is>
          <t>Log retention periods meet policy requirements (min 90 days for critical)</t>
        </is>
      </c>
      <c r="T64" s="15" t="n"/>
    </row>
    <row r="65">
      <c r="A65" t="n">
        <v>11</v>
      </c>
      <c r="B65" s="21" t="inlineStr">
        <is>
          <t>Parsing configured for all critical log sources</t>
        </is>
      </c>
      <c r="T65" s="15" t="n"/>
    </row>
    <row r="66">
      <c r="A66" t="n">
        <v>12</v>
      </c>
      <c r="B66" s="21" t="inlineStr">
        <is>
          <t>SIEM integration functional for all critical sources</t>
        </is>
      </c>
      <c r="T66" s="15" t="n"/>
    </row>
    <row r="67">
      <c r="A67" t="n">
        <v>13</v>
      </c>
      <c r="B67" s="21" t="inlineStr">
        <is>
          <t>Log collection verified within last 30 days</t>
        </is>
      </c>
      <c r="T67" s="15" t="n"/>
    </row>
    <row r="68">
      <c r="A68" t="n">
        <v>14</v>
      </c>
      <c r="B68" s="21" t="inlineStr">
        <is>
          <t>Gaps documented with remediation plans</t>
        </is>
      </c>
      <c r="T68" s="15" t="n"/>
    </row>
    <row r="69">
      <c r="A69" t="n">
        <v>15</v>
      </c>
      <c r="B69" s="21" t="inlineStr">
        <is>
          <t>Coverage assessed quarterly</t>
        </is>
      </c>
      <c r="T69" s="15" t="n"/>
    </row>
    <row r="70">
      <c r="A70" s="22" t="inlineStr">
        <is>
          <t>SCORE:</t>
        </is>
      </c>
      <c r="B70" s="23">
        <f>COUNTIF(T55:T69,"✅ Compliant")&amp;" / 15"</f>
        <v/>
      </c>
    </row>
    <row r="75">
      <c r="A75" s="28" t="inlineStr">
        <is>
          <t>REFERENCE: CRITICAL SYSTEM TYPES REQUIRING LOG COLLECTION</t>
        </is>
      </c>
    </row>
    <row r="76">
      <c r="A76" s="18" t="inlineStr">
        <is>
          <t>System Type</t>
        </is>
      </c>
      <c r="B76" s="16" t="n"/>
      <c r="C76" s="16" t="n"/>
      <c r="D76" s="16" t="n"/>
      <c r="E76" s="16" t="n"/>
      <c r="F76" s="16" t="n"/>
      <c r="G76" s="17" t="n"/>
      <c r="H76" s="18" t="inlineStr">
        <is>
          <t>Required Log Types</t>
        </is>
      </c>
      <c r="I76" s="16" t="n"/>
      <c r="J76" s="16" t="n"/>
      <c r="K76" s="16" t="n"/>
      <c r="L76" s="16" t="n"/>
      <c r="M76" s="16" t="n"/>
      <c r="N76" s="17" t="n"/>
      <c r="O76" s="18" t="inlineStr">
        <is>
          <t>Minimum Retention</t>
        </is>
      </c>
      <c r="P76" s="16" t="n"/>
      <c r="Q76" s="16" t="n"/>
      <c r="R76" s="16" t="n"/>
      <c r="S76" s="16" t="n"/>
      <c r="T76" s="17" t="n"/>
    </row>
    <row r="77">
      <c r="A77" s="29" t="inlineStr">
        <is>
          <t>Domain Controllers</t>
        </is>
      </c>
      <c r="H77" s="21" t="inlineStr">
        <is>
          <t>Security, System, Directory Service</t>
        </is>
      </c>
      <c r="O77" t="inlineStr">
        <is>
          <t>365 days</t>
        </is>
      </c>
    </row>
    <row r="78">
      <c r="A78" s="29" t="inlineStr">
        <is>
          <t>Database Servers</t>
        </is>
      </c>
      <c r="H78" s="21" t="inlineStr">
        <is>
          <t>Audit, Error, Query logs</t>
        </is>
      </c>
      <c r="O78" t="inlineStr">
        <is>
          <t>365 days</t>
        </is>
      </c>
    </row>
    <row r="79">
      <c r="A79" s="29" t="inlineStr">
        <is>
          <t>Web Servers</t>
        </is>
      </c>
      <c r="H79" s="21" t="inlineStr">
        <is>
          <t>Access, Error, Security</t>
        </is>
      </c>
      <c r="O79" t="inlineStr">
        <is>
          <t>180 days</t>
        </is>
      </c>
    </row>
    <row r="80">
      <c r="A80" s="29" t="inlineStr">
        <is>
          <t>Firewalls</t>
        </is>
      </c>
      <c r="H80" s="21" t="inlineStr">
        <is>
          <t>Traffic, Deny, Alert</t>
        </is>
      </c>
      <c r="O80" t="inlineStr">
        <is>
          <t>365 days</t>
        </is>
      </c>
    </row>
    <row r="81">
      <c r="A81" s="29" t="inlineStr">
        <is>
          <t>VPN Gateways</t>
        </is>
      </c>
      <c r="H81" s="21" t="inlineStr">
        <is>
          <t>Authentication, Connection, Error</t>
        </is>
      </c>
      <c r="O81" t="inlineStr">
        <is>
          <t>180 days</t>
        </is>
      </c>
    </row>
    <row r="82">
      <c r="A82" s="29" t="inlineStr">
        <is>
          <t>Email Servers</t>
        </is>
      </c>
      <c r="H82" s="21" t="inlineStr">
        <is>
          <t>Message tracking, Security</t>
        </is>
      </c>
      <c r="O82" t="inlineStr">
        <is>
          <t>180 days</t>
        </is>
      </c>
    </row>
    <row r="83">
      <c r="A83" s="29" t="inlineStr">
        <is>
          <t>Cloud Services (AWS/Azure/O365)</t>
        </is>
      </c>
      <c r="H83" s="21" t="inlineStr">
        <is>
          <t>Activity, Security, Configuration</t>
        </is>
      </c>
      <c r="O83" t="inlineStr">
        <is>
          <t>365 days</t>
        </is>
      </c>
    </row>
  </sheetData>
  <mergeCells count="80">
    <mergeCell ref="H80:N80"/>
    <mergeCell ref="A48:E48"/>
    <mergeCell ref="P51:T51"/>
    <mergeCell ref="A45:E45"/>
    <mergeCell ref="P50:T50"/>
    <mergeCell ref="K51:O51"/>
    <mergeCell ref="O80:T80"/>
    <mergeCell ref="P49:T49"/>
    <mergeCell ref="A46:E46"/>
    <mergeCell ref="F45:J45"/>
    <mergeCell ref="O79:T79"/>
    <mergeCell ref="B64:S64"/>
    <mergeCell ref="A79:G79"/>
    <mergeCell ref="F47:J47"/>
    <mergeCell ref="O81:T81"/>
    <mergeCell ref="H83:N83"/>
    <mergeCell ref="A2:T2"/>
    <mergeCell ref="F46:J46"/>
    <mergeCell ref="B63:S63"/>
    <mergeCell ref="O78:T78"/>
    <mergeCell ref="F48:J48"/>
    <mergeCell ref="B66:S66"/>
    <mergeCell ref="A49:E49"/>
    <mergeCell ref="B67:S67"/>
    <mergeCell ref="B61:S61"/>
    <mergeCell ref="K45:O45"/>
    <mergeCell ref="B69:S69"/>
    <mergeCell ref="F51:J51"/>
    <mergeCell ref="A77:G77"/>
    <mergeCell ref="A83:G83"/>
    <mergeCell ref="K47:O47"/>
    <mergeCell ref="K44:O44"/>
    <mergeCell ref="K46:O46"/>
    <mergeCell ref="F50:J50"/>
    <mergeCell ref="B55:S55"/>
    <mergeCell ref="A78:G78"/>
    <mergeCell ref="B54:S54"/>
    <mergeCell ref="A80:G80"/>
    <mergeCell ref="A53:T53"/>
    <mergeCell ref="F49:J49"/>
    <mergeCell ref="B56:S56"/>
    <mergeCell ref="B58:S58"/>
    <mergeCell ref="K49:O49"/>
    <mergeCell ref="P45:T45"/>
    <mergeCell ref="B60:S60"/>
    <mergeCell ref="H77:N77"/>
    <mergeCell ref="B57:S57"/>
    <mergeCell ref="P44:T44"/>
    <mergeCell ref="A1:T1"/>
    <mergeCell ref="A82:G82"/>
    <mergeCell ref="H78:N78"/>
    <mergeCell ref="A50:E50"/>
    <mergeCell ref="O82:T82"/>
    <mergeCell ref="A47:E47"/>
    <mergeCell ref="O77:T77"/>
    <mergeCell ref="K48:O48"/>
    <mergeCell ref="B62:S62"/>
    <mergeCell ref="H79:N79"/>
    <mergeCell ref="B59:S59"/>
    <mergeCell ref="O83:T83"/>
    <mergeCell ref="A43:T43"/>
    <mergeCell ref="A44:E44"/>
    <mergeCell ref="H81:N81"/>
    <mergeCell ref="F44:J44"/>
    <mergeCell ref="A51:E51"/>
    <mergeCell ref="A81:G81"/>
    <mergeCell ref="H76:N76"/>
    <mergeCell ref="B4:E4"/>
    <mergeCell ref="H82:N82"/>
    <mergeCell ref="P46:T46"/>
    <mergeCell ref="K50:O50"/>
    <mergeCell ref="B65:S65"/>
    <mergeCell ref="A75:T75"/>
    <mergeCell ref="B68:S68"/>
    <mergeCell ref="O76:T76"/>
    <mergeCell ref="P48:T48"/>
    <mergeCell ref="A3:T3"/>
    <mergeCell ref="B70:E70"/>
    <mergeCell ref="P47:T47"/>
    <mergeCell ref="A76:G76"/>
  </mergeCells>
  <dataValidations count="8">
    <dataValidation sqref="Q8 Q9 Q10 Q11 Q12 Q13 Q14 Q15 Q16 Q17 Q18 Q19 Q20 Q21 Q22 Q23 Q24 Q25 Q26 Q27 Q28 Q29 Q30 Q31 Q32 Q33 Q34 Q35 Q36 Q37 Q38 Q39 Q40 Q41 Q42 Q43 Q44 Q45 Q46 Q47 Q48 Q49 Q50 Q51 Q52 Q53 Q54 Q55 Q56 Q57 T55 T56 T57 T58 T59 T60 T61 T62 T63 T64 T65 T66 T67 T68 T69" showDropDown="0" showInputMessage="0" showErrorMessage="0" allowBlank="0" type="list">
      <formula1>"✅ Compliant,⚠️ Partial,❌ Non-Compliant,N/A"</formula1>
    </dataValidation>
    <dataValidation sqref="T8 T9 T10 T11 T12 T13 T14 T15 T16 T17 T18 T19 T20 T21 T22 T23 T24 T25 T26 T27 T28 T29 T30 T31 T32 T33 T34 T35 T36 T37 T38 T39 T40 T41 T42 T43 T44 T45 T46 T47 T48 T49 T50 T51 T52 T53 T54 T55 T56 T57" showDropDown="0" showInputMessage="0" showErrorMessage="0" allowBlank="0" type="list">
      <formula1>"Critical,High,Medium,Low,None"</formula1>
    </dataValidation>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"Server,Network Device,Security Appliance,Endpoint,Cloud Service,Database,Application"</formula1>
    </dataValidation>
    <dataValidation sqref="C8 C9 C10 C11 C12 C13 C14 C15 C16 C17 C18 C19 C20 C21 C22 C23 C24 C25 C26 C27 C28 C29 C30 C31 C32 C33 C34 C35 C36 C37 C38 C39 C40 C41 C42 C43 C44 C45 C46 C47 C48 C49 C50 C51 C52 C53 C54 C55 C56 C57" showDropDown="0" showInputMessage="0" showErrorMessage="0" allowBlank="0" type="list">
      <formula1>"Critical,High,Medium,Low"</formula1>
    </dataValidation>
    <dataValidation sqref="N8 N9 N10 N11 N12 N13 N14 N15 N16 N17 N18 N19 N20 N21 N22 N23 N24 N25 N26 N27 N28 N29 N30 N31 N32 N33 N34 N35 N36 N37 N38 N39 N40 N41 N42 N43 N44 N45 N46 N47 N48 N49 N50 N51 N52 N53 N54 N55 N56 N57" showDropDown="0" showInputMessage="0" showErrorMessage="0" allowBlank="0" type="list">
      <formula1>"✅ Collecting,⚠️ Partial,❌ Not Collecting,↻ Planned"</formula1>
    </dataValidation>
    <dataValidation sqref="H8 H9 H10 H11 H12 H13 H14 H15 H16 H17 H18 H19 H20 H21 H22 H23 H24 H25 H26 H27 H28 H29 H30 H31 H32 H33 H34 H35 H36 H37 H38 H39 H40 H41 H42 H43 H44 H45 H46 H47 H48 H49 H50 H51 H52 H53 H54 H55 H56 H57" showDropDown="0" showInputMessage="0" showErrorMessage="0" allowBlank="0" type="list">
      <formula1>"Agent,Syslog,API,NetFlow,SNMP,WMI,Other"</formula1>
    </dataValidation>
    <dataValidation sqref="I8 I9 I10 I11 I12 I13 I14 I15 I16 I17 I18 I19 I20 I21 I22 I23 I24 I25 I26 I27 I28 I29 I30 I31 I32 I33 I34 I35 I36 I37 I38 I39 I40 I41 I42 I43 I44 I45 I46 I47 I48 I49 I50 I51 I52 I53 I54 I55 I56 I57" showDropDown="0" showInputMessage="0" showErrorMessage="0" allowBlank="0" type="list">
      <formula1>"Syslog TCP,Syslog UDP,Syslog TLS,HTTP/S,API,Agent,SNMP,NetFlow,Other"</formula1>
    </dataValidation>
    <dataValidation sqref="P8 P9 P10 P11 P12 P13 P14 P15 P16 P17 P18 P19 P20 P21 P22 P23 P24 P25 P26 P27 P28 P29 P30 P31 P32 P33 P34 P35 P36 P37 P38 P39 P40 P41 P42 P43 P44 P45 P46 P47 P48 P49 P50 P51 P52 P53 P54 P55 P56 P57" showDropDown="0" showInputMessage="0" showErrorMessage="0" allowBlank="0" type="list">
      <formula1>"High,Medium,Low,Unknown"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85"/>
  <sheetViews>
    <sheetView showGridLines="0" workbookViewId="0">
      <selection activeCell="A1" sqref="A1"/>
    </sheetView>
  </sheetViews>
  <sheetFormatPr baseColWidth="8" defaultRowHeight="15"/>
  <cols>
    <col width="28" customWidth="1" min="1" max="1"/>
    <col width="22" customWidth="1" min="2" max="2"/>
    <col width="30" customWidth="1" min="3" max="3"/>
    <col width="20" customWidth="1" min="4" max="4"/>
    <col width="18" customWidth="1" min="5" max="5"/>
    <col width="22"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6" customWidth="1" min="14" max="14"/>
    <col width="20" customWidth="1" min="15" max="15"/>
    <col width="18" customWidth="1" min="16" max="16"/>
    <col width="30" customWidth="1" min="17" max="17"/>
    <col width="15" customWidth="1" min="18" max="18"/>
  </cols>
  <sheetData>
    <row r="1" ht="35" customHeight="1">
      <c r="A1" s="11" t="inlineStr">
        <is>
          <t>3. DATA COLLECTION ARCHITECTURE ASSESSMENT</t>
        </is>
      </c>
    </row>
    <row r="2">
      <c r="A2" s="12" t="inlineStr">
        <is>
          <t>Policy Reference: ISMS-POL-A.8.16-S2.1.3 - Assess data collection architecture</t>
        </is>
      </c>
    </row>
    <row r="3">
      <c r="A3" s="13" t="inlineStr">
        <is>
          <t>Is your log collection architecture reliable, secure, and scalable?</t>
        </is>
      </c>
    </row>
    <row r="6">
      <c r="A6" s="18" t="inlineStr">
        <is>
          <t>Collection Component</t>
        </is>
      </c>
      <c r="B6" s="18" t="inlineStr">
        <is>
          <t>Component Type</t>
        </is>
      </c>
      <c r="C6" s="18" t="inlineStr">
        <is>
          <t>Purpose/Function</t>
        </is>
      </c>
      <c r="D6" s="18" t="inlineStr">
        <is>
          <t>Protocol Used</t>
        </is>
      </c>
      <c r="E6" s="18" t="inlineStr">
        <is>
          <t>Encryption Status</t>
        </is>
      </c>
      <c r="F6" s="18" t="inlineStr">
        <is>
          <t>Authentication Method</t>
        </is>
      </c>
      <c r="G6" s="18" t="inlineStr">
        <is>
          <t>Throughput Capacity</t>
        </is>
      </c>
      <c r="H6" s="18" t="inlineStr">
        <is>
          <t>Current Utilization %</t>
        </is>
      </c>
      <c r="I6" s="18" t="inlineStr">
        <is>
          <t>Buffer/Queue Size</t>
        </is>
      </c>
      <c r="J6" s="18" t="inlineStr">
        <is>
          <t>Failover Configured</t>
        </is>
      </c>
      <c r="K6" s="18" t="inlineStr">
        <is>
          <t>Load Balancing</t>
        </is>
      </c>
      <c r="L6" s="18" t="inlineStr">
        <is>
          <t>Monitoring Enabled</t>
        </is>
      </c>
      <c r="M6" s="18" t="inlineStr">
        <is>
          <t>Health Check Interval</t>
        </is>
      </c>
      <c r="N6" s="18" t="inlineStr">
        <is>
          <t>Last Maintenance</t>
        </is>
      </c>
      <c r="O6" s="18" t="inlineStr">
        <is>
          <t>Implementation Status</t>
        </is>
      </c>
      <c r="P6" s="18" t="inlineStr">
        <is>
          <t>Compliance Status</t>
        </is>
      </c>
      <c r="Q6" s="18" t="inlineStr">
        <is>
          <t>Issues/Gaps</t>
        </is>
      </c>
      <c r="R6" s="18" t="inlineStr">
        <is>
          <t>Priority</t>
        </is>
      </c>
    </row>
    <row r="7">
      <c r="A7" s="19" t="inlineStr">
        <is>
          <t>Syslog Forwarder Cluster</t>
        </is>
      </c>
      <c r="B7" s="19" t="inlineStr">
        <is>
          <t>Log Forwarder</t>
        </is>
      </c>
      <c r="C7" s="19" t="inlineStr">
        <is>
          <t>Central syslog collection</t>
        </is>
      </c>
      <c r="D7" s="19" t="inlineStr">
        <is>
          <t>Syslog TLS</t>
        </is>
      </c>
      <c r="E7" s="19" t="inlineStr">
        <is>
          <t>TLS 1.3</t>
        </is>
      </c>
      <c r="F7" s="19" t="inlineStr">
        <is>
          <t>Certificate-based</t>
        </is>
      </c>
      <c r="G7" s="19" t="inlineStr">
        <is>
          <t>100K EPS</t>
        </is>
      </c>
      <c r="H7" s="19" t="inlineStr">
        <is>
          <t>65%</t>
        </is>
      </c>
      <c r="I7" s="19" t="inlineStr">
        <is>
          <t>10GB</t>
        </is>
      </c>
      <c r="J7" s="19" t="inlineStr">
        <is>
          <t>Yes</t>
        </is>
      </c>
      <c r="K7" s="19" t="inlineStr">
        <is>
          <t>Yes</t>
        </is>
      </c>
      <c r="L7" s="19" t="inlineStr">
        <is>
          <t>Yes</t>
        </is>
      </c>
      <c r="M7" s="19" t="inlineStr">
        <is>
          <t>60 seconds</t>
        </is>
      </c>
      <c r="N7" s="19" t="inlineStr">
        <is>
          <t>10.12.2024</t>
        </is>
      </c>
      <c r="O7" s="19" t="inlineStr">
        <is>
          <t>✅ Deployed</t>
        </is>
      </c>
      <c r="P7" s="19" t="inlineStr">
        <is>
          <t>✅ Compliant</t>
        </is>
      </c>
      <c r="Q7" s="19" t="inlineStr">
        <is>
          <t>None</t>
        </is>
      </c>
      <c r="R7" s="19" t="inlineStr">
        <is>
          <t>None</t>
        </is>
      </c>
    </row>
    <row r="8">
      <c r="A8" s="15" t="n"/>
      <c r="B8" s="15" t="n"/>
      <c r="C8" s="15" t="n"/>
      <c r="D8" s="15" t="n"/>
      <c r="E8" s="15" t="n"/>
      <c r="F8" s="15" t="n"/>
      <c r="G8" s="15" t="n"/>
      <c r="H8" s="15" t="n"/>
      <c r="I8" s="15" t="n"/>
      <c r="J8" s="15" t="n"/>
      <c r="K8" s="15" t="n"/>
      <c r="L8" s="15" t="n"/>
      <c r="M8" s="15" t="n"/>
      <c r="N8" s="15" t="n"/>
      <c r="O8" s="15" t="n"/>
      <c r="P8" s="15" t="n"/>
      <c r="Q8" s="15" t="n"/>
      <c r="R8" s="15" t="n"/>
    </row>
    <row r="9">
      <c r="A9" s="15" t="n"/>
      <c r="B9" s="15" t="n"/>
      <c r="C9" s="15" t="n"/>
      <c r="D9" s="15" t="n"/>
      <c r="E9" s="15" t="n"/>
      <c r="F9" s="15" t="n"/>
      <c r="G9" s="15" t="n"/>
      <c r="H9" s="15" t="n"/>
      <c r="I9" s="15" t="n"/>
      <c r="J9" s="15" t="n"/>
      <c r="K9" s="15" t="n"/>
      <c r="L9" s="15" t="n"/>
      <c r="M9" s="15" t="n"/>
      <c r="N9" s="15" t="n"/>
      <c r="O9" s="15" t="n"/>
      <c r="P9" s="15" t="n"/>
      <c r="Q9" s="15" t="n"/>
      <c r="R9" s="15" t="n"/>
    </row>
    <row r="10">
      <c r="A10" s="15" t="n"/>
      <c r="B10" s="15" t="n"/>
      <c r="C10" s="15" t="n"/>
      <c r="D10" s="15" t="n"/>
      <c r="E10" s="15" t="n"/>
      <c r="F10" s="15" t="n"/>
      <c r="G10" s="15" t="n"/>
      <c r="H10" s="15" t="n"/>
      <c r="I10" s="15" t="n"/>
      <c r="J10" s="15" t="n"/>
      <c r="K10" s="15" t="n"/>
      <c r="L10" s="15" t="n"/>
      <c r="M10" s="15" t="n"/>
      <c r="N10" s="15" t="n"/>
      <c r="O10" s="15" t="n"/>
      <c r="P10" s="15" t="n"/>
      <c r="Q10" s="15" t="n"/>
      <c r="R10" s="15" t="n"/>
    </row>
    <row r="11">
      <c r="A11" s="15" t="n"/>
      <c r="B11" s="15" t="n"/>
      <c r="C11" s="15" t="n"/>
      <c r="D11" s="15" t="n"/>
      <c r="E11" s="15" t="n"/>
      <c r="F11" s="15" t="n"/>
      <c r="G11" s="15" t="n"/>
      <c r="H11" s="15" t="n"/>
      <c r="I11" s="15" t="n"/>
      <c r="J11" s="15" t="n"/>
      <c r="K11" s="15" t="n"/>
      <c r="L11" s="15" t="n"/>
      <c r="M11" s="15" t="n"/>
      <c r="N11" s="15" t="n"/>
      <c r="O11" s="15" t="n"/>
      <c r="P11" s="15" t="n"/>
      <c r="Q11" s="15" t="n"/>
      <c r="R11" s="15" t="n"/>
    </row>
    <row r="12">
      <c r="A12" s="15" t="n"/>
      <c r="B12" s="15" t="n"/>
      <c r="C12" s="15" t="n"/>
      <c r="D12" s="15" t="n"/>
      <c r="E12" s="15" t="n"/>
      <c r="F12" s="15" t="n"/>
      <c r="G12" s="15" t="n"/>
      <c r="H12" s="15" t="n"/>
      <c r="I12" s="15" t="n"/>
      <c r="J12" s="15" t="n"/>
      <c r="K12" s="15" t="n"/>
      <c r="L12" s="15" t="n"/>
      <c r="M12" s="15" t="n"/>
      <c r="N12" s="15" t="n"/>
      <c r="O12" s="15" t="n"/>
      <c r="P12" s="15" t="n"/>
      <c r="Q12" s="15" t="n"/>
      <c r="R12" s="15" t="n"/>
    </row>
    <row r="13">
      <c r="A13" s="15" t="n"/>
      <c r="B13" s="15" t="n"/>
      <c r="C13" s="15" t="n"/>
      <c r="D13" s="15" t="n"/>
      <c r="E13" s="15" t="n"/>
      <c r="F13" s="15" t="n"/>
      <c r="G13" s="15" t="n"/>
      <c r="H13" s="15" t="n"/>
      <c r="I13" s="15" t="n"/>
      <c r="J13" s="15" t="n"/>
      <c r="K13" s="15" t="n"/>
      <c r="L13" s="15" t="n"/>
      <c r="M13" s="15" t="n"/>
      <c r="N13" s="15" t="n"/>
      <c r="O13" s="15" t="n"/>
      <c r="P13" s="15" t="n"/>
      <c r="Q13" s="15" t="n"/>
      <c r="R13" s="15" t="n"/>
    </row>
    <row r="14">
      <c r="A14" s="15" t="n"/>
      <c r="B14" s="15" t="n"/>
      <c r="C14" s="15" t="n"/>
      <c r="D14" s="15" t="n"/>
      <c r="E14" s="15" t="n"/>
      <c r="F14" s="15" t="n"/>
      <c r="G14" s="15" t="n"/>
      <c r="H14" s="15" t="n"/>
      <c r="I14" s="15" t="n"/>
      <c r="J14" s="15" t="n"/>
      <c r="K14" s="15" t="n"/>
      <c r="L14" s="15" t="n"/>
      <c r="M14" s="15" t="n"/>
      <c r="N14" s="15" t="n"/>
      <c r="O14" s="15" t="n"/>
      <c r="P14" s="15" t="n"/>
      <c r="Q14" s="15" t="n"/>
      <c r="R14" s="15" t="n"/>
    </row>
    <row r="15">
      <c r="A15" s="15" t="n"/>
      <c r="B15" s="15" t="n"/>
      <c r="C15" s="15" t="n"/>
      <c r="D15" s="15" t="n"/>
      <c r="E15" s="15" t="n"/>
      <c r="F15" s="15" t="n"/>
      <c r="G15" s="15" t="n"/>
      <c r="H15" s="15" t="n"/>
      <c r="I15" s="15" t="n"/>
      <c r="J15" s="15" t="n"/>
      <c r="K15" s="15" t="n"/>
      <c r="L15" s="15" t="n"/>
      <c r="M15" s="15" t="n"/>
      <c r="N15" s="15" t="n"/>
      <c r="O15" s="15" t="n"/>
      <c r="P15" s="15" t="n"/>
      <c r="Q15" s="15" t="n"/>
      <c r="R15" s="15" t="n"/>
    </row>
    <row r="16">
      <c r="A16" s="15" t="n"/>
      <c r="B16" s="15" t="n"/>
      <c r="C16" s="15" t="n"/>
      <c r="D16" s="15" t="n"/>
      <c r="E16" s="15" t="n"/>
      <c r="F16" s="15" t="n"/>
      <c r="G16" s="15" t="n"/>
      <c r="H16" s="15" t="n"/>
      <c r="I16" s="15" t="n"/>
      <c r="J16" s="15" t="n"/>
      <c r="K16" s="15" t="n"/>
      <c r="L16" s="15" t="n"/>
      <c r="M16" s="15" t="n"/>
      <c r="N16" s="15" t="n"/>
      <c r="O16" s="15" t="n"/>
      <c r="P16" s="15" t="n"/>
      <c r="Q16" s="15" t="n"/>
      <c r="R16" s="15" t="n"/>
    </row>
    <row r="17">
      <c r="A17" s="15" t="n"/>
      <c r="B17" s="15" t="n"/>
      <c r="C17" s="15" t="n"/>
      <c r="D17" s="15" t="n"/>
      <c r="E17" s="15" t="n"/>
      <c r="F17" s="15" t="n"/>
      <c r="G17" s="15" t="n"/>
      <c r="H17" s="15" t="n"/>
      <c r="I17" s="15" t="n"/>
      <c r="J17" s="15" t="n"/>
      <c r="K17" s="15" t="n"/>
      <c r="L17" s="15" t="n"/>
      <c r="M17" s="15" t="n"/>
      <c r="N17" s="15" t="n"/>
      <c r="O17" s="15" t="n"/>
      <c r="P17" s="15" t="n"/>
      <c r="Q17" s="15" t="n"/>
      <c r="R17" s="15" t="n"/>
    </row>
    <row r="18">
      <c r="A18" s="15" t="n"/>
      <c r="B18" s="15" t="n"/>
      <c r="C18" s="15" t="n"/>
      <c r="D18" s="15" t="n"/>
      <c r="E18" s="15" t="n"/>
      <c r="F18" s="15" t="n"/>
      <c r="G18" s="15" t="n"/>
      <c r="H18" s="15" t="n"/>
      <c r="I18" s="15" t="n"/>
      <c r="J18" s="15" t="n"/>
      <c r="K18" s="15" t="n"/>
      <c r="L18" s="15" t="n"/>
      <c r="M18" s="15" t="n"/>
      <c r="N18" s="15" t="n"/>
      <c r="O18" s="15" t="n"/>
      <c r="P18" s="15" t="n"/>
      <c r="Q18" s="15" t="n"/>
      <c r="R18" s="15" t="n"/>
    </row>
    <row r="19">
      <c r="A19" s="15" t="n"/>
      <c r="B19" s="15" t="n"/>
      <c r="C19" s="15" t="n"/>
      <c r="D19" s="15" t="n"/>
      <c r="E19" s="15" t="n"/>
      <c r="F19" s="15" t="n"/>
      <c r="G19" s="15" t="n"/>
      <c r="H19" s="15" t="n"/>
      <c r="I19" s="15" t="n"/>
      <c r="J19" s="15" t="n"/>
      <c r="K19" s="15" t="n"/>
      <c r="L19" s="15" t="n"/>
      <c r="M19" s="15" t="n"/>
      <c r="N19" s="15" t="n"/>
      <c r="O19" s="15" t="n"/>
      <c r="P19" s="15" t="n"/>
      <c r="Q19" s="15" t="n"/>
      <c r="R19" s="15" t="n"/>
    </row>
    <row r="20">
      <c r="A20" s="15" t="n"/>
      <c r="B20" s="15" t="n"/>
      <c r="C20" s="15" t="n"/>
      <c r="D20" s="15" t="n"/>
      <c r="E20" s="15" t="n"/>
      <c r="F20" s="15" t="n"/>
      <c r="G20" s="15" t="n"/>
      <c r="H20" s="15" t="n"/>
      <c r="I20" s="15" t="n"/>
      <c r="J20" s="15" t="n"/>
      <c r="K20" s="15" t="n"/>
      <c r="L20" s="15" t="n"/>
      <c r="M20" s="15" t="n"/>
      <c r="N20" s="15" t="n"/>
      <c r="O20" s="15" t="n"/>
      <c r="P20" s="15" t="n"/>
      <c r="Q20" s="15" t="n"/>
      <c r="R20" s="15" t="n"/>
    </row>
    <row r="21">
      <c r="A21" s="15" t="n"/>
      <c r="B21" s="15" t="n"/>
      <c r="C21" s="15" t="n"/>
      <c r="D21" s="15" t="n"/>
      <c r="E21" s="15" t="n"/>
      <c r="F21" s="15" t="n"/>
      <c r="G21" s="15" t="n"/>
      <c r="H21" s="15" t="n"/>
      <c r="I21" s="15" t="n"/>
      <c r="J21" s="15" t="n"/>
      <c r="K21" s="15" t="n"/>
      <c r="L21" s="15" t="n"/>
      <c r="M21" s="15" t="n"/>
      <c r="N21" s="15" t="n"/>
      <c r="O21" s="15" t="n"/>
      <c r="P21" s="15" t="n"/>
      <c r="Q21" s="15" t="n"/>
      <c r="R21" s="15" t="n"/>
    </row>
    <row r="22">
      <c r="A22" s="15" t="n"/>
      <c r="B22" s="15" t="n"/>
      <c r="C22" s="15" t="n"/>
      <c r="D22" s="15" t="n"/>
      <c r="E22" s="15" t="n"/>
      <c r="F22" s="15" t="n"/>
      <c r="G22" s="15" t="n"/>
      <c r="H22" s="15" t="n"/>
      <c r="I22" s="15" t="n"/>
      <c r="J22" s="15" t="n"/>
      <c r="K22" s="15" t="n"/>
      <c r="L22" s="15" t="n"/>
      <c r="M22" s="15" t="n"/>
      <c r="N22" s="15" t="n"/>
      <c r="O22" s="15" t="n"/>
      <c r="P22" s="15" t="n"/>
      <c r="Q22" s="15" t="n"/>
      <c r="R22" s="15" t="n"/>
    </row>
    <row r="23">
      <c r="A23" s="15" t="n"/>
      <c r="B23" s="15" t="n"/>
      <c r="C23" s="15" t="n"/>
      <c r="D23" s="15" t="n"/>
      <c r="E23" s="15" t="n"/>
      <c r="F23" s="15" t="n"/>
      <c r="G23" s="15" t="n"/>
      <c r="H23" s="15" t="n"/>
      <c r="I23" s="15" t="n"/>
      <c r="J23" s="15" t="n"/>
      <c r="K23" s="15" t="n"/>
      <c r="L23" s="15" t="n"/>
      <c r="M23" s="15" t="n"/>
      <c r="N23" s="15" t="n"/>
      <c r="O23" s="15" t="n"/>
      <c r="P23" s="15" t="n"/>
      <c r="Q23" s="15" t="n"/>
      <c r="R23" s="15" t="n"/>
    </row>
    <row r="24">
      <c r="A24" s="15" t="n"/>
      <c r="B24" s="15" t="n"/>
      <c r="C24" s="15" t="n"/>
      <c r="D24" s="15" t="n"/>
      <c r="E24" s="15" t="n"/>
      <c r="F24" s="15" t="n"/>
      <c r="G24" s="15" t="n"/>
      <c r="H24" s="15" t="n"/>
      <c r="I24" s="15" t="n"/>
      <c r="J24" s="15" t="n"/>
      <c r="K24" s="15" t="n"/>
      <c r="L24" s="15" t="n"/>
      <c r="M24" s="15" t="n"/>
      <c r="N24" s="15" t="n"/>
      <c r="O24" s="15" t="n"/>
      <c r="P24" s="15" t="n"/>
      <c r="Q24" s="15" t="n"/>
      <c r="R24" s="15" t="n"/>
    </row>
    <row r="25">
      <c r="A25" s="15" t="n"/>
      <c r="B25" s="15" t="n"/>
      <c r="C25" s="15" t="n"/>
      <c r="D25" s="15" t="n"/>
      <c r="E25" s="15" t="n"/>
      <c r="F25" s="15" t="n"/>
      <c r="G25" s="15" t="n"/>
      <c r="H25" s="15" t="n"/>
      <c r="I25" s="15" t="n"/>
      <c r="J25" s="15" t="n"/>
      <c r="K25" s="15" t="n"/>
      <c r="L25" s="15" t="n"/>
      <c r="M25" s="15" t="n"/>
      <c r="N25" s="15" t="n"/>
      <c r="O25" s="15" t="n"/>
      <c r="P25" s="15" t="n"/>
      <c r="Q25" s="15" t="n"/>
      <c r="R25" s="15" t="n"/>
    </row>
    <row r="26">
      <c r="A26" s="15" t="n"/>
      <c r="B26" s="15" t="n"/>
      <c r="C26" s="15" t="n"/>
      <c r="D26" s="15" t="n"/>
      <c r="E26" s="15" t="n"/>
      <c r="F26" s="15" t="n"/>
      <c r="G26" s="15" t="n"/>
      <c r="H26" s="15" t="n"/>
      <c r="I26" s="15" t="n"/>
      <c r="J26" s="15" t="n"/>
      <c r="K26" s="15" t="n"/>
      <c r="L26" s="15" t="n"/>
      <c r="M26" s="15" t="n"/>
      <c r="N26" s="15" t="n"/>
      <c r="O26" s="15" t="n"/>
      <c r="P26" s="15" t="n"/>
      <c r="Q26" s="15" t="n"/>
      <c r="R26" s="15" t="n"/>
    </row>
    <row r="27">
      <c r="A27" s="15" t="n"/>
      <c r="B27" s="15" t="n"/>
      <c r="C27" s="15" t="n"/>
      <c r="D27" s="15" t="n"/>
      <c r="E27" s="15" t="n"/>
      <c r="F27" s="15" t="n"/>
      <c r="G27" s="15" t="n"/>
      <c r="H27" s="15" t="n"/>
      <c r="I27" s="15" t="n"/>
      <c r="J27" s="15" t="n"/>
      <c r="K27" s="15" t="n"/>
      <c r="L27" s="15" t="n"/>
      <c r="M27" s="15" t="n"/>
      <c r="N27" s="15" t="n"/>
      <c r="O27" s="15" t="n"/>
      <c r="P27" s="15" t="n"/>
      <c r="Q27" s="15" t="n"/>
      <c r="R27" s="15" t="n"/>
    </row>
    <row r="28">
      <c r="A28" s="15" t="n"/>
      <c r="B28" s="15" t="n"/>
      <c r="C28" s="15" t="n"/>
      <c r="D28" s="15" t="n"/>
      <c r="E28" s="15" t="n"/>
      <c r="F28" s="15" t="n"/>
      <c r="G28" s="15" t="n"/>
      <c r="H28" s="15" t="n"/>
      <c r="I28" s="15" t="n"/>
      <c r="J28" s="15" t="n"/>
      <c r="K28" s="15" t="n"/>
      <c r="L28" s="15" t="n"/>
      <c r="M28" s="15" t="n"/>
      <c r="N28" s="15" t="n"/>
      <c r="O28" s="15" t="n"/>
      <c r="P28" s="15" t="n"/>
      <c r="Q28" s="15" t="n"/>
      <c r="R28" s="15" t="n"/>
    </row>
    <row r="29">
      <c r="A29" s="15" t="n"/>
      <c r="B29" s="15" t="n"/>
      <c r="C29" s="15" t="n"/>
      <c r="D29" s="15" t="n"/>
      <c r="E29" s="15" t="n"/>
      <c r="F29" s="15" t="n"/>
      <c r="G29" s="15" t="n"/>
      <c r="H29" s="15" t="n"/>
      <c r="I29" s="15" t="n"/>
      <c r="J29" s="15" t="n"/>
      <c r="K29" s="15" t="n"/>
      <c r="L29" s="15" t="n"/>
      <c r="M29" s="15" t="n"/>
      <c r="N29" s="15" t="n"/>
      <c r="O29" s="15" t="n"/>
      <c r="P29" s="15" t="n"/>
      <c r="Q29" s="15" t="n"/>
      <c r="R29" s="15" t="n"/>
    </row>
    <row r="30">
      <c r="A30" s="15" t="n"/>
      <c r="B30" s="15" t="n"/>
      <c r="C30" s="15" t="n"/>
      <c r="D30" s="15" t="n"/>
      <c r="E30" s="15" t="n"/>
      <c r="F30" s="15" t="n"/>
      <c r="G30" s="15" t="n"/>
      <c r="H30" s="15" t="n"/>
      <c r="I30" s="15" t="n"/>
      <c r="J30" s="15" t="n"/>
      <c r="K30" s="15" t="n"/>
      <c r="L30" s="15" t="n"/>
      <c r="M30" s="15" t="n"/>
      <c r="N30" s="15" t="n"/>
      <c r="O30" s="15" t="n"/>
      <c r="P30" s="15" t="n"/>
      <c r="Q30" s="15" t="n"/>
      <c r="R30" s="15" t="n"/>
    </row>
    <row r="31">
      <c r="A31" s="15" t="n"/>
      <c r="B31" s="15" t="n"/>
      <c r="C31" s="15" t="n"/>
      <c r="D31" s="15" t="n"/>
      <c r="E31" s="15" t="n"/>
      <c r="F31" s="15" t="n"/>
      <c r="G31" s="15" t="n"/>
      <c r="H31" s="15" t="n"/>
      <c r="I31" s="15" t="n"/>
      <c r="J31" s="15" t="n"/>
      <c r="K31" s="15" t="n"/>
      <c r="L31" s="15" t="n"/>
      <c r="M31" s="15" t="n"/>
      <c r="N31" s="15" t="n"/>
      <c r="O31" s="15" t="n"/>
      <c r="P31" s="15" t="n"/>
      <c r="Q31" s="15" t="n"/>
      <c r="R31" s="15" t="n"/>
    </row>
    <row r="32">
      <c r="A32" s="15" t="n"/>
      <c r="B32" s="15" t="n"/>
      <c r="C32" s="15" t="n"/>
      <c r="D32" s="15" t="n"/>
      <c r="E32" s="15" t="n"/>
      <c r="F32" s="15" t="n"/>
      <c r="G32" s="15" t="n"/>
      <c r="H32" s="15" t="n"/>
      <c r="I32" s="15" t="n"/>
      <c r="J32" s="15" t="n"/>
      <c r="K32" s="15" t="n"/>
      <c r="L32" s="15" t="n"/>
      <c r="M32" s="15" t="n"/>
      <c r="N32" s="15" t="n"/>
      <c r="O32" s="15" t="n"/>
      <c r="P32" s="15" t="n"/>
      <c r="Q32" s="15" t="n"/>
      <c r="R32" s="15" t="n"/>
    </row>
    <row r="33">
      <c r="A33" s="15" t="n"/>
      <c r="B33" s="15" t="n"/>
      <c r="C33" s="15" t="n"/>
      <c r="D33" s="15" t="n"/>
      <c r="E33" s="15" t="n"/>
      <c r="F33" s="15" t="n"/>
      <c r="G33" s="15" t="n"/>
      <c r="H33" s="15" t="n"/>
      <c r="I33" s="15" t="n"/>
      <c r="J33" s="15" t="n"/>
      <c r="K33" s="15" t="n"/>
      <c r="L33" s="15" t="n"/>
      <c r="M33" s="15" t="n"/>
      <c r="N33" s="15" t="n"/>
      <c r="O33" s="15" t="n"/>
      <c r="P33" s="15" t="n"/>
      <c r="Q33" s="15" t="n"/>
      <c r="R33" s="15" t="n"/>
    </row>
    <row r="34">
      <c r="A34" s="15" t="n"/>
      <c r="B34" s="15" t="n"/>
      <c r="C34" s="15" t="n"/>
      <c r="D34" s="15" t="n"/>
      <c r="E34" s="15" t="n"/>
      <c r="F34" s="15" t="n"/>
      <c r="G34" s="15" t="n"/>
      <c r="H34" s="15" t="n"/>
      <c r="I34" s="15" t="n"/>
      <c r="J34" s="15" t="n"/>
      <c r="K34" s="15" t="n"/>
      <c r="L34" s="15" t="n"/>
      <c r="M34" s="15" t="n"/>
      <c r="N34" s="15" t="n"/>
      <c r="O34" s="15" t="n"/>
      <c r="P34" s="15" t="n"/>
      <c r="Q34" s="15" t="n"/>
      <c r="R34" s="15" t="n"/>
    </row>
    <row r="35">
      <c r="A35" s="15" t="n"/>
      <c r="B35" s="15" t="n"/>
      <c r="C35" s="15" t="n"/>
      <c r="D35" s="15" t="n"/>
      <c r="E35" s="15" t="n"/>
      <c r="F35" s="15" t="n"/>
      <c r="G35" s="15" t="n"/>
      <c r="H35" s="15" t="n"/>
      <c r="I35" s="15" t="n"/>
      <c r="J35" s="15" t="n"/>
      <c r="K35" s="15" t="n"/>
      <c r="L35" s="15" t="n"/>
      <c r="M35" s="15" t="n"/>
      <c r="N35" s="15" t="n"/>
      <c r="O35" s="15" t="n"/>
      <c r="P35" s="15" t="n"/>
      <c r="Q35" s="15" t="n"/>
      <c r="R35" s="15" t="n"/>
    </row>
    <row r="36">
      <c r="A36" s="15" t="n"/>
      <c r="B36" s="15" t="n"/>
      <c r="C36" s="15" t="n"/>
      <c r="D36" s="15" t="n"/>
      <c r="E36" s="15" t="n"/>
      <c r="F36" s="15" t="n"/>
      <c r="G36" s="15" t="n"/>
      <c r="H36" s="15" t="n"/>
      <c r="I36" s="15" t="n"/>
      <c r="J36" s="15" t="n"/>
      <c r="K36" s="15" t="n"/>
      <c r="L36" s="15" t="n"/>
      <c r="M36" s="15" t="n"/>
      <c r="N36" s="15" t="n"/>
      <c r="O36" s="15" t="n"/>
      <c r="P36" s="15" t="n"/>
      <c r="Q36" s="15" t="n"/>
      <c r="R36" s="15" t="n"/>
    </row>
    <row r="37">
      <c r="A37" s="15" t="n"/>
      <c r="B37" s="15" t="n"/>
      <c r="C37" s="15" t="n"/>
      <c r="D37" s="15" t="n"/>
      <c r="E37" s="15" t="n"/>
      <c r="F37" s="15" t="n"/>
      <c r="G37" s="15" t="n"/>
      <c r="H37" s="15" t="n"/>
      <c r="I37" s="15" t="n"/>
      <c r="J37" s="15" t="n"/>
      <c r="K37" s="15" t="n"/>
      <c r="L37" s="15" t="n"/>
      <c r="M37" s="15" t="n"/>
      <c r="N37" s="15" t="n"/>
      <c r="O37" s="15" t="n"/>
      <c r="P37" s="15" t="n"/>
      <c r="Q37" s="15" t="n"/>
      <c r="R37" s="15" t="n"/>
    </row>
    <row r="38">
      <c r="A38" s="15" t="n"/>
      <c r="B38" s="15" t="n"/>
      <c r="C38" s="15" t="n"/>
      <c r="D38" s="15" t="n"/>
      <c r="E38" s="15" t="n"/>
      <c r="F38" s="15" t="n"/>
      <c r="G38" s="15" t="n"/>
      <c r="H38" s="15" t="n"/>
      <c r="I38" s="15" t="n"/>
      <c r="J38" s="15" t="n"/>
      <c r="K38" s="15" t="n"/>
      <c r="L38" s="15" t="n"/>
      <c r="M38" s="15" t="n"/>
      <c r="N38" s="15" t="n"/>
      <c r="O38" s="15" t="n"/>
      <c r="P38" s="15" t="n"/>
      <c r="Q38" s="15" t="n"/>
      <c r="R38" s="15" t="n"/>
    </row>
    <row r="39">
      <c r="A39" s="15" t="n"/>
      <c r="B39" s="15" t="n"/>
      <c r="C39" s="15" t="n"/>
      <c r="D39" s="15" t="n"/>
      <c r="E39" s="15" t="n"/>
      <c r="F39" s="15" t="n"/>
      <c r="G39" s="15" t="n"/>
      <c r="H39" s="15" t="n"/>
      <c r="I39" s="15" t="n"/>
      <c r="J39" s="15" t="n"/>
      <c r="K39" s="15" t="n"/>
      <c r="L39" s="15" t="n"/>
      <c r="M39" s="15" t="n"/>
      <c r="N39" s="15" t="n"/>
      <c r="O39" s="15" t="n"/>
      <c r="P39" s="15" t="n"/>
      <c r="Q39" s="15" t="n"/>
      <c r="R39" s="15" t="n"/>
    </row>
    <row r="40">
      <c r="A40" s="15" t="n"/>
      <c r="B40" s="15" t="n"/>
      <c r="C40" s="15" t="n"/>
      <c r="D40" s="15" t="n"/>
      <c r="E40" s="15" t="n"/>
      <c r="F40" s="15" t="n"/>
      <c r="G40" s="15" t="n"/>
      <c r="H40" s="15" t="n"/>
      <c r="I40" s="15" t="n"/>
      <c r="J40" s="15" t="n"/>
      <c r="K40" s="15" t="n"/>
      <c r="L40" s="15" t="n"/>
      <c r="M40" s="15" t="n"/>
      <c r="N40" s="15" t="n"/>
      <c r="O40" s="15" t="n"/>
      <c r="P40" s="15" t="n"/>
      <c r="Q40" s="15" t="n"/>
      <c r="R40" s="15" t="n"/>
    </row>
    <row r="41">
      <c r="A41" s="15" t="n"/>
      <c r="B41" s="15" t="n"/>
      <c r="C41" s="15" t="n"/>
      <c r="D41" s="15" t="n"/>
      <c r="E41" s="15" t="n"/>
      <c r="F41" s="15" t="n"/>
      <c r="G41" s="15" t="n"/>
      <c r="H41" s="15" t="n"/>
      <c r="I41" s="15" t="n"/>
      <c r="J41" s="15" t="n"/>
      <c r="K41" s="15" t="n"/>
      <c r="L41" s="15" t="n"/>
      <c r="M41" s="15" t="n"/>
      <c r="N41" s="15" t="n"/>
      <c r="O41" s="15" t="n"/>
      <c r="P41" s="15" t="n"/>
      <c r="Q41" s="15" t="n"/>
      <c r="R41" s="15" t="n"/>
    </row>
    <row r="42">
      <c r="A42" s="15" t="n"/>
      <c r="B42" s="15" t="n"/>
      <c r="C42" s="15" t="n"/>
      <c r="D42" s="15" t="n"/>
      <c r="E42" s="15" t="n"/>
      <c r="F42" s="15" t="n"/>
      <c r="G42" s="15" t="n"/>
      <c r="H42" s="15" t="n"/>
      <c r="I42" s="15" t="n"/>
      <c r="J42" s="15" t="n"/>
      <c r="K42" s="15" t="n"/>
      <c r="L42" s="15" t="n"/>
      <c r="M42" s="15" t="n"/>
      <c r="N42" s="15" t="n"/>
      <c r="O42" s="15" t="n"/>
      <c r="P42" s="15" t="n"/>
      <c r="Q42" s="15" t="n"/>
      <c r="R42" s="15" t="n"/>
    </row>
    <row r="43">
      <c r="A43" s="15" t="n"/>
      <c r="B43" s="15" t="n"/>
      <c r="C43" s="15" t="n"/>
      <c r="D43" s="15" t="n"/>
      <c r="E43" s="15" t="n"/>
      <c r="F43" s="15" t="n"/>
      <c r="G43" s="15" t="n"/>
      <c r="H43" s="15" t="n"/>
      <c r="I43" s="15" t="n"/>
      <c r="J43" s="15" t="n"/>
      <c r="K43" s="15" t="n"/>
      <c r="L43" s="15" t="n"/>
      <c r="M43" s="15" t="n"/>
      <c r="N43" s="15" t="n"/>
      <c r="O43" s="15" t="n"/>
      <c r="P43" s="15" t="n"/>
      <c r="Q43" s="15" t="n"/>
      <c r="R43" s="15" t="n"/>
    </row>
    <row r="44">
      <c r="A44" s="15" t="n"/>
      <c r="B44" s="15" t="n"/>
      <c r="C44" s="15" t="n"/>
      <c r="D44" s="15" t="n"/>
      <c r="E44" s="15" t="n"/>
      <c r="F44" s="15" t="n"/>
      <c r="G44" s="15" t="n"/>
      <c r="H44" s="15" t="n"/>
      <c r="I44" s="15" t="n"/>
      <c r="J44" s="15" t="n"/>
      <c r="K44" s="15" t="n"/>
      <c r="L44" s="15" t="n"/>
      <c r="M44" s="15" t="n"/>
      <c r="N44" s="15" t="n"/>
      <c r="O44" s="15" t="n"/>
      <c r="P44" s="15" t="n"/>
      <c r="Q44" s="15" t="n"/>
      <c r="R44" s="15" t="n"/>
    </row>
    <row r="45">
      <c r="A45" s="15" t="n"/>
      <c r="B45" s="15" t="n"/>
      <c r="C45" s="15" t="n"/>
      <c r="D45" s="15" t="n"/>
      <c r="E45" s="15" t="n"/>
      <c r="F45" s="15" t="n"/>
      <c r="G45" s="15" t="n"/>
      <c r="H45" s="15" t="n"/>
      <c r="I45" s="15" t="n"/>
      <c r="J45" s="15" t="n"/>
      <c r="K45" s="15" t="n"/>
      <c r="L45" s="15" t="n"/>
      <c r="M45" s="15" t="n"/>
      <c r="N45" s="15" t="n"/>
      <c r="O45" s="15" t="n"/>
      <c r="P45" s="15" t="n"/>
      <c r="Q45" s="15" t="n"/>
      <c r="R45" s="15" t="n"/>
    </row>
    <row r="46">
      <c r="A46" s="15" t="n"/>
      <c r="B46" s="15" t="n"/>
      <c r="C46" s="15" t="n"/>
      <c r="D46" s="15" t="n"/>
      <c r="E46" s="15" t="n"/>
      <c r="F46" s="15" t="n"/>
      <c r="G46" s="15" t="n"/>
      <c r="H46" s="15" t="n"/>
      <c r="I46" s="15" t="n"/>
      <c r="J46" s="15" t="n"/>
      <c r="K46" s="15" t="n"/>
      <c r="L46" s="15" t="n"/>
      <c r="M46" s="15" t="n"/>
      <c r="N46" s="15" t="n"/>
      <c r="O46" s="15" t="n"/>
      <c r="P46" s="15" t="n"/>
      <c r="Q46" s="15" t="n"/>
      <c r="R46" s="15" t="n"/>
    </row>
    <row r="47">
      <c r="A47" s="15" t="n"/>
      <c r="B47" s="15" t="n"/>
      <c r="C47" s="15" t="n"/>
      <c r="D47" s="15" t="n"/>
      <c r="E47" s="15" t="n"/>
      <c r="F47" s="15" t="n"/>
      <c r="G47" s="15" t="n"/>
      <c r="H47" s="15" t="n"/>
      <c r="I47" s="15" t="n"/>
      <c r="J47" s="15" t="n"/>
      <c r="K47" s="15" t="n"/>
      <c r="L47" s="15" t="n"/>
      <c r="M47" s="15" t="n"/>
      <c r="N47" s="15" t="n"/>
      <c r="O47" s="15" t="n"/>
      <c r="P47" s="15" t="n"/>
      <c r="Q47" s="15" t="n"/>
      <c r="R47" s="15" t="n"/>
    </row>
    <row r="48">
      <c r="A48" s="15" t="n"/>
      <c r="B48" s="15" t="n"/>
      <c r="C48" s="15" t="n"/>
      <c r="D48" s="15" t="n"/>
      <c r="E48" s="15" t="n"/>
      <c r="F48" s="15" t="n"/>
      <c r="G48" s="15" t="n"/>
      <c r="H48" s="15" t="n"/>
      <c r="I48" s="15" t="n"/>
      <c r="J48" s="15" t="n"/>
      <c r="K48" s="15" t="n"/>
      <c r="L48" s="15" t="n"/>
      <c r="M48" s="15" t="n"/>
      <c r="N48" s="15" t="n"/>
      <c r="O48" s="15" t="n"/>
      <c r="P48" s="15" t="n"/>
      <c r="Q48" s="15" t="n"/>
      <c r="R48" s="15" t="n"/>
    </row>
    <row r="49">
      <c r="A49" s="15" t="n"/>
      <c r="B49" s="15" t="n"/>
      <c r="C49" s="15" t="n"/>
      <c r="D49" s="15" t="n"/>
      <c r="E49" s="15" t="n"/>
      <c r="F49" s="15" t="n"/>
      <c r="G49" s="15" t="n"/>
      <c r="H49" s="15" t="n"/>
      <c r="I49" s="15" t="n"/>
      <c r="J49" s="15" t="n"/>
      <c r="K49" s="15" t="n"/>
      <c r="L49" s="15" t="n"/>
      <c r="M49" s="15" t="n"/>
      <c r="N49" s="15" t="n"/>
      <c r="O49" s="15" t="n"/>
      <c r="P49" s="15" t="n"/>
      <c r="Q49" s="15" t="n"/>
      <c r="R49" s="15" t="n"/>
    </row>
    <row r="50">
      <c r="A50" s="15" t="n"/>
      <c r="B50" s="15" t="n"/>
      <c r="C50" s="15" t="n"/>
      <c r="D50" s="15" t="n"/>
      <c r="E50" s="15" t="n"/>
      <c r="F50" s="15" t="n"/>
      <c r="G50" s="15" t="n"/>
      <c r="H50" s="15" t="n"/>
      <c r="I50" s="15" t="n"/>
      <c r="J50" s="15" t="n"/>
      <c r="K50" s="15" t="n"/>
      <c r="L50" s="15" t="n"/>
      <c r="M50" s="15" t="n"/>
      <c r="N50" s="15" t="n"/>
      <c r="O50" s="15" t="n"/>
      <c r="P50" s="15" t="n"/>
      <c r="Q50" s="15" t="n"/>
      <c r="R50" s="15" t="n"/>
    </row>
    <row r="51">
      <c r="A51" s="15" t="n"/>
      <c r="B51" s="15" t="n"/>
      <c r="C51" s="15" t="n"/>
      <c r="D51" s="15" t="n"/>
      <c r="E51" s="15" t="n"/>
      <c r="F51" s="15" t="n"/>
      <c r="G51" s="15" t="n"/>
      <c r="H51" s="15" t="n"/>
      <c r="I51" s="15" t="n"/>
      <c r="J51" s="15" t="n"/>
      <c r="K51" s="15" t="n"/>
      <c r="L51" s="15" t="n"/>
      <c r="M51" s="15" t="n"/>
      <c r="N51" s="15" t="n"/>
      <c r="O51" s="15" t="n"/>
      <c r="P51" s="15" t="n"/>
      <c r="Q51" s="15" t="n"/>
      <c r="R51" s="15" t="n"/>
    </row>
    <row r="52">
      <c r="A52" s="15" t="n"/>
      <c r="B52" s="15" t="n"/>
      <c r="C52" s="15" t="n"/>
      <c r="D52" s="15" t="n"/>
      <c r="E52" s="15" t="n"/>
      <c r="F52" s="15" t="n"/>
      <c r="G52" s="15" t="n"/>
      <c r="H52" s="15" t="n"/>
      <c r="I52" s="15" t="n"/>
      <c r="J52" s="15" t="n"/>
      <c r="K52" s="15" t="n"/>
      <c r="L52" s="15" t="n"/>
      <c r="M52" s="15" t="n"/>
      <c r="N52" s="15" t="n"/>
      <c r="O52" s="15" t="n"/>
      <c r="P52" s="15" t="n"/>
      <c r="Q52" s="15" t="n"/>
      <c r="R52" s="15" t="n"/>
    </row>
    <row r="53">
      <c r="A53" s="15" t="n"/>
      <c r="B53" s="15" t="n"/>
      <c r="C53" s="15" t="n"/>
      <c r="D53" s="15" t="n"/>
      <c r="E53" s="15" t="n"/>
      <c r="F53" s="15" t="n"/>
      <c r="G53" s="15" t="n"/>
      <c r="H53" s="15" t="n"/>
      <c r="I53" s="15" t="n"/>
      <c r="J53" s="15" t="n"/>
      <c r="K53" s="15" t="n"/>
      <c r="L53" s="15" t="n"/>
      <c r="M53" s="15" t="n"/>
      <c r="N53" s="15" t="n"/>
      <c r="O53" s="15" t="n"/>
      <c r="P53" s="15" t="n"/>
      <c r="Q53" s="15" t="n"/>
      <c r="R53" s="15" t="n"/>
    </row>
    <row r="54">
      <c r="A54" s="15" t="n"/>
      <c r="B54" s="15" t="n"/>
      <c r="C54" s="15" t="n"/>
      <c r="D54" s="15" t="n"/>
      <c r="E54" s="15" t="n"/>
      <c r="F54" s="15" t="n"/>
      <c r="G54" s="15" t="n"/>
      <c r="H54" s="15" t="n"/>
      <c r="I54" s="15" t="n"/>
      <c r="J54" s="15" t="n"/>
      <c r="K54" s="15" t="n"/>
      <c r="L54" s="15" t="n"/>
      <c r="M54" s="15" t="n"/>
      <c r="N54" s="15" t="n"/>
      <c r="O54" s="15" t="n"/>
      <c r="P54" s="15" t="n"/>
      <c r="Q54" s="15" t="n"/>
      <c r="R54" s="15" t="n"/>
    </row>
    <row r="55">
      <c r="A55" s="15" t="n"/>
      <c r="B55" s="15" t="n"/>
      <c r="C55" s="15" t="n"/>
      <c r="D55" s="15" t="n"/>
      <c r="E55" s="15" t="n"/>
      <c r="F55" s="15" t="n"/>
      <c r="G55" s="15" t="n"/>
      <c r="H55" s="15" t="n"/>
      <c r="I55" s="15" t="n"/>
      <c r="J55" s="15" t="n"/>
      <c r="K55" s="15" t="n"/>
      <c r="L55" s="15" t="n"/>
      <c r="M55" s="15" t="n"/>
      <c r="N55" s="15" t="n"/>
      <c r="O55" s="15" t="n"/>
      <c r="P55" s="15" t="n"/>
      <c r="Q55" s="15" t="n"/>
      <c r="R55" s="15" t="n"/>
    </row>
    <row r="56">
      <c r="A56" s="15" t="n"/>
      <c r="B56" s="15" t="n"/>
      <c r="C56" s="15" t="n"/>
      <c r="D56" s="15" t="n"/>
      <c r="E56" s="15" t="n"/>
      <c r="F56" s="15" t="n"/>
      <c r="G56" s="15" t="n"/>
      <c r="H56" s="15" t="n"/>
      <c r="I56" s="15" t="n"/>
      <c r="J56" s="15" t="n"/>
      <c r="K56" s="15" t="n"/>
      <c r="L56" s="15" t="n"/>
      <c r="M56" s="15" t="n"/>
      <c r="N56" s="15" t="n"/>
      <c r="O56" s="15" t="n"/>
      <c r="P56" s="15" t="n"/>
      <c r="Q56" s="15" t="n"/>
      <c r="R56" s="15" t="n"/>
    </row>
    <row r="57">
      <c r="A57" s="15" t="n"/>
      <c r="B57" s="15" t="n"/>
      <c r="C57" s="15" t="n"/>
      <c r="D57" s="15" t="n"/>
      <c r="E57" s="15" t="n"/>
      <c r="F57" s="15" t="n"/>
      <c r="G57" s="15" t="n"/>
      <c r="H57" s="15" t="n"/>
      <c r="I57" s="15" t="n"/>
      <c r="J57" s="15" t="n"/>
      <c r="K57" s="15" t="n"/>
      <c r="L57" s="15" t="n"/>
      <c r="M57" s="15" t="n"/>
      <c r="N57" s="15" t="n"/>
      <c r="O57" s="15" t="n"/>
      <c r="P57" s="15" t="n"/>
      <c r="Q57" s="15" t="n"/>
      <c r="R57" s="15" t="n"/>
    </row>
    <row r="59">
      <c r="A59" s="20" t="inlineStr">
        <is>
          <t>DATA COLLECTION ARCHITECTURE CHECKLIST</t>
        </is>
      </c>
    </row>
    <row r="60">
      <c r="A60" s="18" t="inlineStr">
        <is>
          <t>#</t>
        </is>
      </c>
      <c r="B60" s="18" t="inlineStr">
        <is>
          <t>Requirement</t>
        </is>
      </c>
      <c r="C60" s="16" t="n"/>
      <c r="D60" s="16" t="n"/>
      <c r="E60" s="16" t="n"/>
      <c r="F60" s="16" t="n"/>
      <c r="G60" s="16" t="n"/>
      <c r="H60" s="16" t="n"/>
      <c r="I60" s="16" t="n"/>
      <c r="J60" s="16" t="n"/>
      <c r="K60" s="16" t="n"/>
      <c r="L60" s="16" t="n"/>
      <c r="M60" s="16" t="n"/>
      <c r="N60" s="16" t="n"/>
      <c r="O60" s="16" t="n"/>
      <c r="P60" s="16" t="n"/>
      <c r="Q60" s="17" t="n"/>
    </row>
    <row r="61">
      <c r="A61" t="n">
        <v>1</v>
      </c>
      <c r="B61" s="21" t="inlineStr">
        <is>
          <t>Log collection uses encrypted protocols (TLS/HTTPS)</t>
        </is>
      </c>
      <c r="R61" s="15" t="n"/>
    </row>
    <row r="62">
      <c r="A62" t="n">
        <v>2</v>
      </c>
      <c r="B62" s="21" t="inlineStr">
        <is>
          <t>Authentication required for log submission</t>
        </is>
      </c>
      <c r="R62" s="15" t="n"/>
    </row>
    <row r="63">
      <c r="A63" t="n">
        <v>3</v>
      </c>
      <c r="B63" s="21" t="inlineStr">
        <is>
          <t>Collection components have adequate throughput capacity</t>
        </is>
      </c>
      <c r="R63" s="15" t="n"/>
    </row>
    <row r="64">
      <c r="A64" t="n">
        <v>4</v>
      </c>
      <c r="B64" s="21" t="inlineStr">
        <is>
          <t>Buffering/queuing configured to prevent log loss</t>
        </is>
      </c>
      <c r="R64" s="15" t="n"/>
    </row>
    <row r="65">
      <c r="A65" t="n">
        <v>5</v>
      </c>
      <c r="B65" s="21" t="inlineStr">
        <is>
          <t>Failover mechanisms implemented for critical components</t>
        </is>
      </c>
      <c r="R65" s="15" t="n"/>
    </row>
    <row r="66">
      <c r="A66" t="n">
        <v>6</v>
      </c>
      <c r="B66" s="21" t="inlineStr">
        <is>
          <t>Load balancing configured where applicable</t>
        </is>
      </c>
      <c r="R66" s="15" t="n"/>
    </row>
    <row r="67">
      <c r="A67" t="n">
        <v>7</v>
      </c>
      <c r="B67" s="21" t="inlineStr">
        <is>
          <t>Collection infrastructure monitored (health, performance)</t>
        </is>
      </c>
      <c r="R67" s="15" t="n"/>
    </row>
    <row r="68">
      <c r="A68" t="n">
        <v>8</v>
      </c>
      <c r="B68" s="21" t="inlineStr">
        <is>
          <t>Alerts configured for collection failures</t>
        </is>
      </c>
      <c r="R68" s="15" t="n"/>
    </row>
    <row r="69">
      <c r="A69" t="n">
        <v>9</v>
      </c>
      <c r="B69" s="21" t="inlineStr">
        <is>
          <t>Collection reliability &gt;99% for critical systems</t>
        </is>
      </c>
      <c r="R69" s="15" t="n"/>
    </row>
    <row r="70">
      <c r="A70" t="n">
        <v>10</v>
      </c>
      <c r="B70" s="21" t="inlineStr">
        <is>
          <t>Time synchronization (NTP) configured across infrastructure</t>
        </is>
      </c>
      <c r="R70" s="15" t="n"/>
    </row>
    <row r="71">
      <c r="A71" t="n">
        <v>11</v>
      </c>
      <c r="B71" s="21" t="inlineStr">
        <is>
          <t>Log integrity mechanisms in place (checksums, signatures)</t>
        </is>
      </c>
      <c r="R71" s="15" t="n"/>
    </row>
    <row r="72">
      <c r="A72" t="n">
        <v>12</v>
      </c>
      <c r="B72" s="21" t="inlineStr">
        <is>
          <t>Collection infrastructure documented (architecture diagrams)</t>
        </is>
      </c>
      <c r="R72" s="15" t="n"/>
    </row>
    <row r="73">
      <c r="A73" t="n">
        <v>13</v>
      </c>
      <c r="B73" s="21" t="inlineStr">
        <is>
          <t>Capacity planning performed quarterly</t>
        </is>
      </c>
      <c r="R73" s="15" t="n"/>
    </row>
    <row r="74">
      <c r="A74" t="n">
        <v>14</v>
      </c>
      <c r="B74" s="21" t="inlineStr">
        <is>
          <t>Disaster recovery tested for collection infrastructure</t>
        </is>
      </c>
      <c r="R74" s="15" t="n"/>
    </row>
    <row r="75">
      <c r="A75" t="n">
        <v>15</v>
      </c>
      <c r="B75" s="21" t="inlineStr">
        <is>
          <t>Access to collection infrastructure restricted (RBAC)</t>
        </is>
      </c>
      <c r="R75" s="15" t="n"/>
    </row>
    <row r="76">
      <c r="A76" s="22" t="inlineStr">
        <is>
          <t>SCORE:</t>
        </is>
      </c>
      <c r="B76" s="23">
        <f>COUNTIF(R61:R75,"✅ Compliant")&amp;" / 15"</f>
        <v/>
      </c>
    </row>
    <row r="77">
      <c r="A77" s="28" t="inlineStr">
        <is>
          <t>REFERENCE: COLLECTION PROTOCOL SECURITY LEVELS</t>
        </is>
      </c>
    </row>
    <row r="78">
      <c r="A78" s="18" t="inlineStr">
        <is>
          <t>Protocol</t>
        </is>
      </c>
      <c r="B78" s="16" t="n"/>
      <c r="C78" s="16" t="n"/>
      <c r="D78" s="16" t="n"/>
      <c r="E78" s="17" t="n"/>
      <c r="F78" s="18" t="inlineStr">
        <is>
          <t>Security Level</t>
        </is>
      </c>
      <c r="G78" s="16" t="n"/>
      <c r="H78" s="16" t="n"/>
      <c r="I78" s="17" t="n"/>
      <c r="J78" s="18" t="inlineStr">
        <is>
          <t>Use Case</t>
        </is>
      </c>
      <c r="K78" s="16" t="n"/>
      <c r="L78" s="16" t="n"/>
      <c r="M78" s="16" t="n"/>
      <c r="N78" s="17" t="n"/>
      <c r="O78" s="18" t="inlineStr">
        <is>
          <t>Recommendations</t>
        </is>
      </c>
      <c r="P78" s="16" t="n"/>
      <c r="Q78" s="16" t="n"/>
      <c r="R78" s="17" t="n"/>
    </row>
    <row r="79">
      <c r="A79" s="29" t="inlineStr">
        <is>
          <t>Syslog TLS (TCP 6514)</t>
        </is>
      </c>
      <c r="F79" s="21" t="inlineStr">
        <is>
          <t>High</t>
        </is>
      </c>
      <c r="J79" s="21" t="inlineStr">
        <is>
          <t>Secure syslog</t>
        </is>
      </c>
      <c r="O79" s="21" t="inlineStr">
        <is>
          <t>Recommended for all external collection</t>
        </is>
      </c>
    </row>
    <row r="80">
      <c r="A80" s="29" t="inlineStr">
        <is>
          <t>HTTPS/API</t>
        </is>
      </c>
      <c r="F80" s="21" t="inlineStr">
        <is>
          <t>High</t>
        </is>
      </c>
      <c r="J80" s="21" t="inlineStr">
        <is>
          <t>Cloud services, REST APIs</t>
        </is>
      </c>
      <c r="O80" s="21" t="inlineStr">
        <is>
          <t>Use for cloud and API integrations</t>
        </is>
      </c>
    </row>
    <row r="81">
      <c r="A81" s="29" t="inlineStr">
        <is>
          <t>Agent-based (HTTPS)</t>
        </is>
      </c>
      <c r="F81" s="21" t="inlineStr">
        <is>
          <t>High</t>
        </is>
      </c>
      <c r="J81" s="21" t="inlineStr">
        <is>
          <t>Endpoint/server collection</t>
        </is>
      </c>
      <c r="O81" s="21" t="inlineStr">
        <is>
          <t>Preferred for servers and endpoints</t>
        </is>
      </c>
    </row>
    <row r="82">
      <c r="A82" s="29" t="inlineStr">
        <is>
          <t>Syslog TCP (TCP 514)</t>
        </is>
      </c>
      <c r="F82" s="21" t="inlineStr">
        <is>
          <t>Medium</t>
        </is>
      </c>
      <c r="J82" s="21" t="inlineStr">
        <is>
          <t>Legacy devices</t>
        </is>
      </c>
      <c r="O82" s="21" t="inlineStr">
        <is>
          <t>Use only when TLS unavailable</t>
        </is>
      </c>
    </row>
    <row r="83">
      <c r="A83" s="29" t="inlineStr">
        <is>
          <t>Syslog UDP (UDP 514)</t>
        </is>
      </c>
      <c r="F83" s="21" t="inlineStr">
        <is>
          <t>Low</t>
        </is>
      </c>
      <c r="J83" s="21" t="inlineStr">
        <is>
          <t>Legacy, low-priority</t>
        </is>
      </c>
      <c r="O83" s="21" t="inlineStr">
        <is>
          <t>Avoid for critical systems</t>
        </is>
      </c>
    </row>
    <row r="84">
      <c r="A84" s="29" t="inlineStr">
        <is>
          <t>SNMP v3</t>
        </is>
      </c>
      <c r="F84" s="21" t="inlineStr">
        <is>
          <t>Medium</t>
        </is>
      </c>
      <c r="J84" s="21" t="inlineStr">
        <is>
          <t>Network device monitoring</t>
        </is>
      </c>
      <c r="O84" s="21" t="inlineStr">
        <is>
          <t>Acceptable for network devices</t>
        </is>
      </c>
    </row>
    <row r="85">
      <c r="A85" s="29" t="inlineStr">
        <is>
          <t>NetFlow</t>
        </is>
      </c>
      <c r="F85" s="21" t="inlineStr">
        <is>
          <t>Medium</t>
        </is>
      </c>
      <c r="J85" s="21" t="inlineStr">
        <is>
          <t>Network traffic metadata</t>
        </is>
      </c>
      <c r="O85" s="21" t="inlineStr">
        <is>
          <t>Supplementary to syslog</t>
        </is>
      </c>
    </row>
  </sheetData>
  <mergeCells count="54">
    <mergeCell ref="A83:E83"/>
    <mergeCell ref="J82:N82"/>
    <mergeCell ref="A82:E82"/>
    <mergeCell ref="O79:R79"/>
    <mergeCell ref="J81:N81"/>
    <mergeCell ref="B65:Q65"/>
    <mergeCell ref="O82:R82"/>
    <mergeCell ref="B74:Q74"/>
    <mergeCell ref="B68:Q68"/>
    <mergeCell ref="F82:I82"/>
    <mergeCell ref="B64:Q64"/>
    <mergeCell ref="O81:R81"/>
    <mergeCell ref="O85:R85"/>
    <mergeCell ref="A79:E79"/>
    <mergeCell ref="B76:E76"/>
    <mergeCell ref="J84:N84"/>
    <mergeCell ref="A3:R3"/>
    <mergeCell ref="J78:N78"/>
    <mergeCell ref="A78:E78"/>
    <mergeCell ref="A2:R2"/>
    <mergeCell ref="B63:Q63"/>
    <mergeCell ref="O78:R78"/>
    <mergeCell ref="B75:Q75"/>
    <mergeCell ref="F78:I78"/>
    <mergeCell ref="A84:E84"/>
    <mergeCell ref="J80:N80"/>
    <mergeCell ref="B62:Q62"/>
    <mergeCell ref="A80:E80"/>
    <mergeCell ref="J83:N83"/>
    <mergeCell ref="B72:Q72"/>
    <mergeCell ref="J79:N79"/>
    <mergeCell ref="F84:I84"/>
    <mergeCell ref="O83:R83"/>
    <mergeCell ref="B66:Q66"/>
    <mergeCell ref="F83:I83"/>
    <mergeCell ref="B71:Q71"/>
    <mergeCell ref="J85:N85"/>
    <mergeCell ref="A85:E85"/>
    <mergeCell ref="B70:Q70"/>
    <mergeCell ref="F80:I80"/>
    <mergeCell ref="F85:I85"/>
    <mergeCell ref="B67:Q67"/>
    <mergeCell ref="A77:R77"/>
    <mergeCell ref="F79:I79"/>
    <mergeCell ref="A59:R59"/>
    <mergeCell ref="B60:Q60"/>
    <mergeCell ref="A81:E81"/>
    <mergeCell ref="O84:R84"/>
    <mergeCell ref="B61:Q61"/>
    <mergeCell ref="B73:Q73"/>
    <mergeCell ref="A1:R1"/>
    <mergeCell ref="B69:Q69"/>
    <mergeCell ref="F81:I81"/>
    <mergeCell ref="O80:R80"/>
  </mergeCells>
  <dataValidations count="5">
    <dataValidation sqref="J8 J9 J10 J11 J12 J13 J14 J15 J16 J17 J18 J19 J20 J21 J22 J23 J24 J25 J26 J27 J28 J29 J30 J31 J32 J33 J34 J35 J36 J37 J38 J39 J40 J41 J42 J43 J44 J45 J46 J47 J48 J49 J50 J51 J52 J53 J54 J55 J56 J57 K8 K9 K10 K11 K12 K13 K14 K15 K16 K17 K18 K19 K20 K21 K22 K23 K24 K25 K26 K27 K28 K29 K30 K31 K32 K33 K34 K35 K36 K37 K38 K39 K40 K41 K42 K43 K44 K45 K46 K47 K48 K49 K50 K51 K52 K53 K54 K55 K56 K57 L8 L9 L10 L11 L12 L13 L14 L15 L16 L17 L18 L19 L20 L21 L22 L23 L24 L25 L26 L27 L28 L29 L30 L31 L32 L33 L34 L35 L36 L37 L38 L39 L40 L41 L42 L43 L44 L45 L46 L47 L48 L49 L50 L51 L52 L53 L54 L55 L56 L57" showDropDown="0" showInputMessage="0" showErrorMessage="0" allowBlank="0" type="list">
      <formula1>"Yes,No"</formula1>
    </dataValidation>
    <dataValidation sqref="O8 O9 O10 O11 O12 O13 O14 O15 O16 O17 O18 O19 O20 O21 O22 O23 O24 O25 O26 O27 O28 O29 O30 O31 O32 O33 O34 O35 O36 O37 O38 O39 O40 O41 O42 O43 O44 O45 O46 O47 O48 O49 O50 O51 O52 O53 O54 O55 O56 O57" showDropDown="0" showInputMessage="0" showErrorMessage="0" allowBlank="0" type="list">
      <formula1>"✅ Deployed,⚠️ Partial,❌ Not Deployed,Planned"</formula1>
    </dataValidation>
    <dataValidation sqref="P8 P9 P10 P11 P12 P13 P14 P15 P16 P17 P18 P19 P20 P21 P22 P23 P24 P25 P26 P27 P28 P29 P30 P31 P32 P33 P34 P35 P36 P37 P38 P39 P40 P41 P42 P43 P44 P45 P46 P47 P48 P49 P50 P51 P52 P53 P54 P55 P56 P57 R61 R62 R63 R64 R65 R66 R67 R68 R69 R70 R71 R72 R73 R74 R75" showDropDown="0" showInputMessage="0" showErrorMessage="0" allowBlank="0" type="list">
      <formula1>"✅ Compliant,⚠️ Partial,❌ Non-Compliant,N/A"</formula1>
    </dataValidation>
    <dataValidation sqref="R8 R9 R10 R11 R12 R13 R14 R15 R16 R17 R18 R19 R20 R21 R22 R23 R24 R25 R26 R27 R28 R29 R30 R31 R32 R33 R34 R35 R36 R37 R38 R39 R40 R41 R42 R43 R44 R45 R46 R47 R48 R49 R50 R51 R52 R53 R54 R55 R56 R57" showDropDown="0" showInputMessage="0" showErrorMessage="0" allowBlank="0" type="list">
      <formula1>"Critical,High,Medium,Low,None"</formula1>
    </dataValidation>
    <dataValidation sqref="D8 D9 D10 D11 D12 D13 D14 D15 D16 D17 D18 D19 D20 D21 D22 D23 D24 D25 D26 D27 D28 D29 D30 D31 D32 D33 D34 D35 D36 D37 D38 D39 D40 D41 D42 D43 D44 D45 D46 D47 D48 D49 D50 D51 D52 D53 D54 D55 D56 D57" showDropDown="0" showInputMessage="0" showErrorMessage="0" allowBlank="0" type="list">
      <formula1>"Syslog TCP,Syslog UDP,Syslog TLS,HTTP/S,API,Agent,SNMP,NetFlow,Other"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84"/>
  <sheetViews>
    <sheetView showGridLines="0" workbookViewId="0">
      <selection activeCell="A1" sqref="A1"/>
    </sheetView>
  </sheetViews>
  <sheetFormatPr baseColWidth="8" defaultRowHeight="15"/>
  <cols>
    <col width="30" customWidth="1" min="1" max="1"/>
    <col width="22" customWidth="1" min="2" max="2"/>
    <col width="25" customWidth="1" min="3" max="3"/>
    <col width="22" customWidth="1" min="4" max="4"/>
    <col width="20" customWidth="1" min="5" max="5"/>
    <col width="18" customWidth="1" min="6" max="6"/>
    <col width="18" customWidth="1" min="7" max="7"/>
    <col width="15" customWidth="1" min="8" max="8"/>
    <col width="15" customWidth="1" min="9" max="9"/>
    <col width="15" customWidth="1" min="10" max="10"/>
    <col width="16" customWidth="1" min="11" max="11"/>
    <col width="20" customWidth="1" min="12" max="12"/>
    <col width="18" customWidth="1" min="13" max="13"/>
    <col width="25" customWidth="1" min="14" max="14"/>
    <col width="30" customWidth="1" min="15" max="15"/>
    <col width="15" customWidth="1" min="16" max="16"/>
  </cols>
  <sheetData>
    <row r="1" ht="35" customHeight="1">
      <c r="A1" s="11" t="inlineStr">
        <is>
          <t>4. INTEGRATION &amp; ENRICHMENT ASSESSMENT</t>
        </is>
      </c>
    </row>
    <row r="2">
      <c r="A2" s="12" t="inlineStr">
        <is>
          <t>Policy Reference: ISMS-POL-A.8.16-S2.1.5 - Assess integration and data enrichment</t>
        </is>
      </c>
    </row>
    <row r="3">
      <c r="A3" s="13" t="inlineStr">
        <is>
          <t>Are monitoring systems properly integrated with threat intelligence, asset inventory, and other context sources?</t>
        </is>
      </c>
    </row>
    <row r="6">
      <c r="A6" s="18" t="inlineStr">
        <is>
          <t>Integration/Enrichment Name</t>
        </is>
      </c>
      <c r="B6" s="18" t="inlineStr">
        <is>
          <t>Integration Type</t>
        </is>
      </c>
      <c r="C6" s="18" t="inlineStr">
        <is>
          <t>Data Source</t>
        </is>
      </c>
      <c r="D6" s="18" t="inlineStr">
        <is>
          <t>Enrichment Type</t>
        </is>
      </c>
      <c r="E6" s="18" t="inlineStr">
        <is>
          <t>Integration Method</t>
        </is>
      </c>
      <c r="F6" s="18" t="inlineStr">
        <is>
          <t>Update Frequency</t>
        </is>
      </c>
      <c r="G6" s="18" t="inlineStr">
        <is>
          <t>Data Quality</t>
        </is>
      </c>
      <c r="H6" s="18" t="inlineStr">
        <is>
          <t>Coverage %</t>
        </is>
      </c>
      <c r="I6" s="18" t="inlineStr">
        <is>
          <t>Latency</t>
        </is>
      </c>
      <c r="J6" s="18" t="inlineStr">
        <is>
          <t>Reliability</t>
        </is>
      </c>
      <c r="K6" s="18" t="inlineStr">
        <is>
          <t>Last Updated</t>
        </is>
      </c>
      <c r="L6" s="18" t="inlineStr">
        <is>
          <t>Implementation Status</t>
        </is>
      </c>
      <c r="M6" s="18" t="inlineStr">
        <is>
          <t>Compliance Status</t>
        </is>
      </c>
      <c r="N6" s="18" t="inlineStr">
        <is>
          <t>Value/Impact</t>
        </is>
      </c>
      <c r="O6" s="18" t="inlineStr">
        <is>
          <t>Issues/Gaps</t>
        </is>
      </c>
      <c r="P6" s="18" t="inlineStr">
        <is>
          <t>Priority</t>
        </is>
      </c>
    </row>
    <row r="7">
      <c r="A7" s="19" t="inlineStr">
        <is>
          <t>MISP Threat Feed</t>
        </is>
      </c>
      <c r="B7" s="19" t="inlineStr">
        <is>
          <t>Real-time</t>
        </is>
      </c>
      <c r="C7" s="19" t="inlineStr">
        <is>
          <t>MISP Community</t>
        </is>
      </c>
      <c r="D7" s="19" t="inlineStr">
        <is>
          <t>Threat Intel</t>
        </is>
      </c>
      <c r="E7" s="19" t="inlineStr">
        <is>
          <t>API</t>
        </is>
      </c>
      <c r="F7" s="19" t="inlineStr">
        <is>
          <t>Hourly</t>
        </is>
      </c>
      <c r="G7" s="19" t="inlineStr">
        <is>
          <t>Excellent</t>
        </is>
      </c>
      <c r="H7" s="19" t="inlineStr">
        <is>
          <t>95%</t>
        </is>
      </c>
      <c r="I7" s="19" t="inlineStr">
        <is>
          <t>&lt;1 min</t>
        </is>
      </c>
      <c r="J7" s="19" t="inlineStr">
        <is>
          <t>High</t>
        </is>
      </c>
      <c r="K7" s="19" t="inlineStr">
        <is>
          <t>07.01.2025</t>
        </is>
      </c>
      <c r="L7" s="19" t="inlineStr">
        <is>
          <t>✅ Deployed</t>
        </is>
      </c>
      <c r="M7" s="19" t="inlineStr">
        <is>
          <t>✅ Compliant</t>
        </is>
      </c>
      <c r="N7" s="19" t="inlineStr">
        <is>
          <t>IOC matching for alerts</t>
        </is>
      </c>
      <c r="O7" s="19" t="inlineStr">
        <is>
          <t>None</t>
        </is>
      </c>
      <c r="P7" s="19" t="inlineStr">
        <is>
          <t>High</t>
        </is>
      </c>
    </row>
    <row r="8">
      <c r="A8" s="15" t="n"/>
      <c r="B8" s="15" t="n"/>
      <c r="C8" s="15" t="n"/>
      <c r="D8" s="15" t="n"/>
      <c r="E8" s="15" t="n"/>
      <c r="F8" s="15" t="n"/>
      <c r="G8" s="15" t="n"/>
      <c r="H8" s="15" t="n"/>
      <c r="I8" s="15" t="n"/>
      <c r="J8" s="15" t="n"/>
      <c r="K8" s="15" t="n"/>
      <c r="L8" s="15" t="n"/>
      <c r="M8" s="15" t="n"/>
      <c r="N8" s="15" t="n"/>
      <c r="O8" s="15" t="n"/>
      <c r="P8" s="15" t="n"/>
    </row>
    <row r="9">
      <c r="A9" s="15" t="n"/>
      <c r="B9" s="15" t="n"/>
      <c r="C9" s="15" t="n"/>
      <c r="D9" s="15" t="n"/>
      <c r="E9" s="15" t="n"/>
      <c r="F9" s="15" t="n"/>
      <c r="G9" s="15" t="n"/>
      <c r="H9" s="15" t="n"/>
      <c r="I9" s="15" t="n"/>
      <c r="J9" s="15" t="n"/>
      <c r="K9" s="15" t="n"/>
      <c r="L9" s="15" t="n"/>
      <c r="M9" s="15" t="n"/>
      <c r="N9" s="15" t="n"/>
      <c r="O9" s="15" t="n"/>
      <c r="P9" s="15" t="n"/>
    </row>
    <row r="10">
      <c r="A10" s="15" t="n"/>
      <c r="B10" s="15" t="n"/>
      <c r="C10" s="15" t="n"/>
      <c r="D10" s="15" t="n"/>
      <c r="E10" s="15" t="n"/>
      <c r="F10" s="15" t="n"/>
      <c r="G10" s="15" t="n"/>
      <c r="H10" s="15" t="n"/>
      <c r="I10" s="15" t="n"/>
      <c r="J10" s="15" t="n"/>
      <c r="K10" s="15" t="n"/>
      <c r="L10" s="15" t="n"/>
      <c r="M10" s="15" t="n"/>
      <c r="N10" s="15" t="n"/>
      <c r="O10" s="15" t="n"/>
      <c r="P10" s="15" t="n"/>
    </row>
    <row r="11">
      <c r="A11" s="15" t="n"/>
      <c r="B11" s="15" t="n"/>
      <c r="C11" s="15" t="n"/>
      <c r="D11" s="15" t="n"/>
      <c r="E11" s="15" t="n"/>
      <c r="F11" s="15" t="n"/>
      <c r="G11" s="15" t="n"/>
      <c r="H11" s="15" t="n"/>
      <c r="I11" s="15" t="n"/>
      <c r="J11" s="15" t="n"/>
      <c r="K11" s="15" t="n"/>
      <c r="L11" s="15" t="n"/>
      <c r="M11" s="15" t="n"/>
      <c r="N11" s="15" t="n"/>
      <c r="O11" s="15" t="n"/>
      <c r="P11" s="15" t="n"/>
    </row>
    <row r="12">
      <c r="A12" s="15" t="n"/>
      <c r="B12" s="15" t="n"/>
      <c r="C12" s="15" t="n"/>
      <c r="D12" s="15" t="n"/>
      <c r="E12" s="15" t="n"/>
      <c r="F12" s="15" t="n"/>
      <c r="G12" s="15" t="n"/>
      <c r="H12" s="15" t="n"/>
      <c r="I12" s="15" t="n"/>
      <c r="J12" s="15" t="n"/>
      <c r="K12" s="15" t="n"/>
      <c r="L12" s="15" t="n"/>
      <c r="M12" s="15" t="n"/>
      <c r="N12" s="15" t="n"/>
      <c r="O12" s="15" t="n"/>
      <c r="P12" s="15" t="n"/>
    </row>
    <row r="13">
      <c r="A13" s="15" t="n"/>
      <c r="B13" s="15" t="n"/>
      <c r="C13" s="15" t="n"/>
      <c r="D13" s="15" t="n"/>
      <c r="E13" s="15" t="n"/>
      <c r="F13" s="15" t="n"/>
      <c r="G13" s="15" t="n"/>
      <c r="H13" s="15" t="n"/>
      <c r="I13" s="15" t="n"/>
      <c r="J13" s="15" t="n"/>
      <c r="K13" s="15" t="n"/>
      <c r="L13" s="15" t="n"/>
      <c r="M13" s="15" t="n"/>
      <c r="N13" s="15" t="n"/>
      <c r="O13" s="15" t="n"/>
      <c r="P13" s="15" t="n"/>
    </row>
    <row r="14">
      <c r="A14" s="15" t="n"/>
      <c r="B14" s="15" t="n"/>
      <c r="C14" s="15" t="n"/>
      <c r="D14" s="15" t="n"/>
      <c r="E14" s="15" t="n"/>
      <c r="F14" s="15" t="n"/>
      <c r="G14" s="15" t="n"/>
      <c r="H14" s="15" t="n"/>
      <c r="I14" s="15" t="n"/>
      <c r="J14" s="15" t="n"/>
      <c r="K14" s="15" t="n"/>
      <c r="L14" s="15" t="n"/>
      <c r="M14" s="15" t="n"/>
      <c r="N14" s="15" t="n"/>
      <c r="O14" s="15" t="n"/>
      <c r="P14" s="15" t="n"/>
    </row>
    <row r="15">
      <c r="A15" s="15" t="n"/>
      <c r="B15" s="15" t="n"/>
      <c r="C15" s="15" t="n"/>
      <c r="D15" s="15" t="n"/>
      <c r="E15" s="15" t="n"/>
      <c r="F15" s="15" t="n"/>
      <c r="G15" s="15" t="n"/>
      <c r="H15" s="15" t="n"/>
      <c r="I15" s="15" t="n"/>
      <c r="J15" s="15" t="n"/>
      <c r="K15" s="15" t="n"/>
      <c r="L15" s="15" t="n"/>
      <c r="M15" s="15" t="n"/>
      <c r="N15" s="15" t="n"/>
      <c r="O15" s="15" t="n"/>
      <c r="P15" s="15" t="n"/>
    </row>
    <row r="16">
      <c r="A16" s="15" t="n"/>
      <c r="B16" s="15" t="n"/>
      <c r="C16" s="15" t="n"/>
      <c r="D16" s="15" t="n"/>
      <c r="E16" s="15" t="n"/>
      <c r="F16" s="15" t="n"/>
      <c r="G16" s="15" t="n"/>
      <c r="H16" s="15" t="n"/>
      <c r="I16" s="15" t="n"/>
      <c r="J16" s="15" t="n"/>
      <c r="K16" s="15" t="n"/>
      <c r="L16" s="15" t="n"/>
      <c r="M16" s="15" t="n"/>
      <c r="N16" s="15" t="n"/>
      <c r="O16" s="15" t="n"/>
      <c r="P16" s="15" t="n"/>
    </row>
    <row r="17">
      <c r="A17" s="15" t="n"/>
      <c r="B17" s="15" t="n"/>
      <c r="C17" s="15" t="n"/>
      <c r="D17" s="15" t="n"/>
      <c r="E17" s="15" t="n"/>
      <c r="F17" s="15" t="n"/>
      <c r="G17" s="15" t="n"/>
      <c r="H17" s="15" t="n"/>
      <c r="I17" s="15" t="n"/>
      <c r="J17" s="15" t="n"/>
      <c r="K17" s="15" t="n"/>
      <c r="L17" s="15" t="n"/>
      <c r="M17" s="15" t="n"/>
      <c r="N17" s="15" t="n"/>
      <c r="O17" s="15" t="n"/>
      <c r="P17" s="15" t="n"/>
    </row>
    <row r="18">
      <c r="A18" s="15" t="n"/>
      <c r="B18" s="15" t="n"/>
      <c r="C18" s="15" t="n"/>
      <c r="D18" s="15" t="n"/>
      <c r="E18" s="15" t="n"/>
      <c r="F18" s="15" t="n"/>
      <c r="G18" s="15" t="n"/>
      <c r="H18" s="15" t="n"/>
      <c r="I18" s="15" t="n"/>
      <c r="J18" s="15" t="n"/>
      <c r="K18" s="15" t="n"/>
      <c r="L18" s="15" t="n"/>
      <c r="M18" s="15" t="n"/>
      <c r="N18" s="15" t="n"/>
      <c r="O18" s="15" t="n"/>
      <c r="P18" s="15" t="n"/>
    </row>
    <row r="19">
      <c r="A19" s="15" t="n"/>
      <c r="B19" s="15" t="n"/>
      <c r="C19" s="15" t="n"/>
      <c r="D19" s="15" t="n"/>
      <c r="E19" s="15" t="n"/>
      <c r="F19" s="15" t="n"/>
      <c r="G19" s="15" t="n"/>
      <c r="H19" s="15" t="n"/>
      <c r="I19" s="15" t="n"/>
      <c r="J19" s="15" t="n"/>
      <c r="K19" s="15" t="n"/>
      <c r="L19" s="15" t="n"/>
      <c r="M19" s="15" t="n"/>
      <c r="N19" s="15" t="n"/>
      <c r="O19" s="15" t="n"/>
      <c r="P19" s="15" t="n"/>
    </row>
    <row r="20">
      <c r="A20" s="15" t="n"/>
      <c r="B20" s="15" t="n"/>
      <c r="C20" s="15" t="n"/>
      <c r="D20" s="15" t="n"/>
      <c r="E20" s="15" t="n"/>
      <c r="F20" s="15" t="n"/>
      <c r="G20" s="15" t="n"/>
      <c r="H20" s="15" t="n"/>
      <c r="I20" s="15" t="n"/>
      <c r="J20" s="15" t="n"/>
      <c r="K20" s="15" t="n"/>
      <c r="L20" s="15" t="n"/>
      <c r="M20" s="15" t="n"/>
      <c r="N20" s="15" t="n"/>
      <c r="O20" s="15" t="n"/>
      <c r="P20" s="15" t="n"/>
    </row>
    <row r="21">
      <c r="A21" s="15" t="n"/>
      <c r="B21" s="15" t="n"/>
      <c r="C21" s="15" t="n"/>
      <c r="D21" s="15" t="n"/>
      <c r="E21" s="15" t="n"/>
      <c r="F21" s="15" t="n"/>
      <c r="G21" s="15" t="n"/>
      <c r="H21" s="15" t="n"/>
      <c r="I21" s="15" t="n"/>
      <c r="J21" s="15" t="n"/>
      <c r="K21" s="15" t="n"/>
      <c r="L21" s="15" t="n"/>
      <c r="M21" s="15" t="n"/>
      <c r="N21" s="15" t="n"/>
      <c r="O21" s="15" t="n"/>
      <c r="P21" s="15" t="n"/>
    </row>
    <row r="22">
      <c r="A22" s="15" t="n"/>
      <c r="B22" s="15" t="n"/>
      <c r="C22" s="15" t="n"/>
      <c r="D22" s="15" t="n"/>
      <c r="E22" s="15" t="n"/>
      <c r="F22" s="15" t="n"/>
      <c r="G22" s="15" t="n"/>
      <c r="H22" s="15" t="n"/>
      <c r="I22" s="15" t="n"/>
      <c r="J22" s="15" t="n"/>
      <c r="K22" s="15" t="n"/>
      <c r="L22" s="15" t="n"/>
      <c r="M22" s="15" t="n"/>
      <c r="N22" s="15" t="n"/>
      <c r="O22" s="15" t="n"/>
      <c r="P22" s="15" t="n"/>
    </row>
    <row r="23">
      <c r="A23" s="15" t="n"/>
      <c r="B23" s="15" t="n"/>
      <c r="C23" s="15" t="n"/>
      <c r="D23" s="15" t="n"/>
      <c r="E23" s="15" t="n"/>
      <c r="F23" s="15" t="n"/>
      <c r="G23" s="15" t="n"/>
      <c r="H23" s="15" t="n"/>
      <c r="I23" s="15" t="n"/>
      <c r="J23" s="15" t="n"/>
      <c r="K23" s="15" t="n"/>
      <c r="L23" s="15" t="n"/>
      <c r="M23" s="15" t="n"/>
      <c r="N23" s="15" t="n"/>
      <c r="O23" s="15" t="n"/>
      <c r="P23" s="15" t="n"/>
    </row>
    <row r="24">
      <c r="A24" s="15" t="n"/>
      <c r="B24" s="15" t="n"/>
      <c r="C24" s="15" t="n"/>
      <c r="D24" s="15" t="n"/>
      <c r="E24" s="15" t="n"/>
      <c r="F24" s="15" t="n"/>
      <c r="G24" s="15" t="n"/>
      <c r="H24" s="15" t="n"/>
      <c r="I24" s="15" t="n"/>
      <c r="J24" s="15" t="n"/>
      <c r="K24" s="15" t="n"/>
      <c r="L24" s="15" t="n"/>
      <c r="M24" s="15" t="n"/>
      <c r="N24" s="15" t="n"/>
      <c r="O24" s="15" t="n"/>
      <c r="P24" s="15" t="n"/>
    </row>
    <row r="25">
      <c r="A25" s="15" t="n"/>
      <c r="B25" s="15" t="n"/>
      <c r="C25" s="15" t="n"/>
      <c r="D25" s="15" t="n"/>
      <c r="E25" s="15" t="n"/>
      <c r="F25" s="15" t="n"/>
      <c r="G25" s="15" t="n"/>
      <c r="H25" s="15" t="n"/>
      <c r="I25" s="15" t="n"/>
      <c r="J25" s="15" t="n"/>
      <c r="K25" s="15" t="n"/>
      <c r="L25" s="15" t="n"/>
      <c r="M25" s="15" t="n"/>
      <c r="N25" s="15" t="n"/>
      <c r="O25" s="15" t="n"/>
      <c r="P25" s="15" t="n"/>
    </row>
    <row r="26">
      <c r="A26" s="15" t="n"/>
      <c r="B26" s="15" t="n"/>
      <c r="C26" s="15" t="n"/>
      <c r="D26" s="15" t="n"/>
      <c r="E26" s="15" t="n"/>
      <c r="F26" s="15" t="n"/>
      <c r="G26" s="15" t="n"/>
      <c r="H26" s="15" t="n"/>
      <c r="I26" s="15" t="n"/>
      <c r="J26" s="15" t="n"/>
      <c r="K26" s="15" t="n"/>
      <c r="L26" s="15" t="n"/>
      <c r="M26" s="15" t="n"/>
      <c r="N26" s="15" t="n"/>
      <c r="O26" s="15" t="n"/>
      <c r="P26" s="15" t="n"/>
    </row>
    <row r="27">
      <c r="A27" s="15" t="n"/>
      <c r="B27" s="15" t="n"/>
      <c r="C27" s="15" t="n"/>
      <c r="D27" s="15" t="n"/>
      <c r="E27" s="15" t="n"/>
      <c r="F27" s="15" t="n"/>
      <c r="G27" s="15" t="n"/>
      <c r="H27" s="15" t="n"/>
      <c r="I27" s="15" t="n"/>
      <c r="J27" s="15" t="n"/>
      <c r="K27" s="15" t="n"/>
      <c r="L27" s="15" t="n"/>
      <c r="M27" s="15" t="n"/>
      <c r="N27" s="15" t="n"/>
      <c r="O27" s="15" t="n"/>
      <c r="P27" s="15" t="n"/>
    </row>
    <row r="28">
      <c r="A28" s="15" t="n"/>
      <c r="B28" s="15" t="n"/>
      <c r="C28" s="15" t="n"/>
      <c r="D28" s="15" t="n"/>
      <c r="E28" s="15" t="n"/>
      <c r="F28" s="15" t="n"/>
      <c r="G28" s="15" t="n"/>
      <c r="H28" s="15" t="n"/>
      <c r="I28" s="15" t="n"/>
      <c r="J28" s="15" t="n"/>
      <c r="K28" s="15" t="n"/>
      <c r="L28" s="15" t="n"/>
      <c r="M28" s="15" t="n"/>
      <c r="N28" s="15" t="n"/>
      <c r="O28" s="15" t="n"/>
      <c r="P28" s="15" t="n"/>
    </row>
    <row r="29">
      <c r="A29" s="15" t="n"/>
      <c r="B29" s="15" t="n"/>
      <c r="C29" s="15" t="n"/>
      <c r="D29" s="15" t="n"/>
      <c r="E29" s="15" t="n"/>
      <c r="F29" s="15" t="n"/>
      <c r="G29" s="15" t="n"/>
      <c r="H29" s="15" t="n"/>
      <c r="I29" s="15" t="n"/>
      <c r="J29" s="15" t="n"/>
      <c r="K29" s="15" t="n"/>
      <c r="L29" s="15" t="n"/>
      <c r="M29" s="15" t="n"/>
      <c r="N29" s="15" t="n"/>
      <c r="O29" s="15" t="n"/>
      <c r="P29" s="15" t="n"/>
    </row>
    <row r="30">
      <c r="A30" s="15" t="n"/>
      <c r="B30" s="15" t="n"/>
      <c r="C30" s="15" t="n"/>
      <c r="D30" s="15" t="n"/>
      <c r="E30" s="15" t="n"/>
      <c r="F30" s="15" t="n"/>
      <c r="G30" s="15" t="n"/>
      <c r="H30" s="15" t="n"/>
      <c r="I30" s="15" t="n"/>
      <c r="J30" s="15" t="n"/>
      <c r="K30" s="15" t="n"/>
      <c r="L30" s="15" t="n"/>
      <c r="M30" s="15" t="n"/>
      <c r="N30" s="15" t="n"/>
      <c r="O30" s="15" t="n"/>
      <c r="P30" s="15" t="n"/>
    </row>
    <row r="31">
      <c r="A31" s="15" t="n"/>
      <c r="B31" s="15" t="n"/>
      <c r="C31" s="15" t="n"/>
      <c r="D31" s="15" t="n"/>
      <c r="E31" s="15" t="n"/>
      <c r="F31" s="15" t="n"/>
      <c r="G31" s="15" t="n"/>
      <c r="H31" s="15" t="n"/>
      <c r="I31" s="15" t="n"/>
      <c r="J31" s="15" t="n"/>
      <c r="K31" s="15" t="n"/>
      <c r="L31" s="15" t="n"/>
      <c r="M31" s="15" t="n"/>
      <c r="N31" s="15" t="n"/>
      <c r="O31" s="15" t="n"/>
      <c r="P31" s="15" t="n"/>
    </row>
    <row r="32">
      <c r="A32" s="15" t="n"/>
      <c r="B32" s="15" t="n"/>
      <c r="C32" s="15" t="n"/>
      <c r="D32" s="15" t="n"/>
      <c r="E32" s="15" t="n"/>
      <c r="F32" s="15" t="n"/>
      <c r="G32" s="15" t="n"/>
      <c r="H32" s="15" t="n"/>
      <c r="I32" s="15" t="n"/>
      <c r="J32" s="15" t="n"/>
      <c r="K32" s="15" t="n"/>
      <c r="L32" s="15" t="n"/>
      <c r="M32" s="15" t="n"/>
      <c r="N32" s="15" t="n"/>
      <c r="O32" s="15" t="n"/>
      <c r="P32" s="15" t="n"/>
    </row>
    <row r="33">
      <c r="A33" s="15" t="n"/>
      <c r="B33" s="15" t="n"/>
      <c r="C33" s="15" t="n"/>
      <c r="D33" s="15" t="n"/>
      <c r="E33" s="15" t="n"/>
      <c r="F33" s="15" t="n"/>
      <c r="G33" s="15" t="n"/>
      <c r="H33" s="15" t="n"/>
      <c r="I33" s="15" t="n"/>
      <c r="J33" s="15" t="n"/>
      <c r="K33" s="15" t="n"/>
      <c r="L33" s="15" t="n"/>
      <c r="M33" s="15" t="n"/>
      <c r="N33" s="15" t="n"/>
      <c r="O33" s="15" t="n"/>
      <c r="P33" s="15" t="n"/>
    </row>
    <row r="34">
      <c r="A34" s="15" t="n"/>
      <c r="B34" s="15" t="n"/>
      <c r="C34" s="15" t="n"/>
      <c r="D34" s="15" t="n"/>
      <c r="E34" s="15" t="n"/>
      <c r="F34" s="15" t="n"/>
      <c r="G34" s="15" t="n"/>
      <c r="H34" s="15" t="n"/>
      <c r="I34" s="15" t="n"/>
      <c r="J34" s="15" t="n"/>
      <c r="K34" s="15" t="n"/>
      <c r="L34" s="15" t="n"/>
      <c r="M34" s="15" t="n"/>
      <c r="N34" s="15" t="n"/>
      <c r="O34" s="15" t="n"/>
      <c r="P34" s="15" t="n"/>
    </row>
    <row r="35">
      <c r="A35" s="15" t="n"/>
      <c r="B35" s="15" t="n"/>
      <c r="C35" s="15" t="n"/>
      <c r="D35" s="15" t="n"/>
      <c r="E35" s="15" t="n"/>
      <c r="F35" s="15" t="n"/>
      <c r="G35" s="15" t="n"/>
      <c r="H35" s="15" t="n"/>
      <c r="I35" s="15" t="n"/>
      <c r="J35" s="15" t="n"/>
      <c r="K35" s="15" t="n"/>
      <c r="L35" s="15" t="n"/>
      <c r="M35" s="15" t="n"/>
      <c r="N35" s="15" t="n"/>
      <c r="O35" s="15" t="n"/>
      <c r="P35" s="15" t="n"/>
    </row>
    <row r="36">
      <c r="A36" s="15" t="n"/>
      <c r="B36" s="15" t="n"/>
      <c r="C36" s="15" t="n"/>
      <c r="D36" s="15" t="n"/>
      <c r="E36" s="15" t="n"/>
      <c r="F36" s="15" t="n"/>
      <c r="G36" s="15" t="n"/>
      <c r="H36" s="15" t="n"/>
      <c r="I36" s="15" t="n"/>
      <c r="J36" s="15" t="n"/>
      <c r="K36" s="15" t="n"/>
      <c r="L36" s="15" t="n"/>
      <c r="M36" s="15" t="n"/>
      <c r="N36" s="15" t="n"/>
      <c r="O36" s="15" t="n"/>
      <c r="P36" s="15" t="n"/>
    </row>
    <row r="37">
      <c r="A37" s="15" t="n"/>
      <c r="B37" s="15" t="n"/>
      <c r="C37" s="15" t="n"/>
      <c r="D37" s="15" t="n"/>
      <c r="E37" s="15" t="n"/>
      <c r="F37" s="15" t="n"/>
      <c r="G37" s="15" t="n"/>
      <c r="H37" s="15" t="n"/>
      <c r="I37" s="15" t="n"/>
      <c r="J37" s="15" t="n"/>
      <c r="K37" s="15" t="n"/>
      <c r="L37" s="15" t="n"/>
      <c r="M37" s="15" t="n"/>
      <c r="N37" s="15" t="n"/>
      <c r="O37" s="15" t="n"/>
      <c r="P37" s="15" t="n"/>
    </row>
    <row r="38">
      <c r="A38" s="15" t="n"/>
      <c r="B38" s="15" t="n"/>
      <c r="C38" s="15" t="n"/>
      <c r="D38" s="15" t="n"/>
      <c r="E38" s="15" t="n"/>
      <c r="F38" s="15" t="n"/>
      <c r="G38" s="15" t="n"/>
      <c r="H38" s="15" t="n"/>
      <c r="I38" s="15" t="n"/>
      <c r="J38" s="15" t="n"/>
      <c r="K38" s="15" t="n"/>
      <c r="L38" s="15" t="n"/>
      <c r="M38" s="15" t="n"/>
      <c r="N38" s="15" t="n"/>
      <c r="O38" s="15" t="n"/>
      <c r="P38" s="15" t="n"/>
    </row>
    <row r="39">
      <c r="A39" s="15" t="n"/>
      <c r="B39" s="15" t="n"/>
      <c r="C39" s="15" t="n"/>
      <c r="D39" s="15" t="n"/>
      <c r="E39" s="15" t="n"/>
      <c r="F39" s="15" t="n"/>
      <c r="G39" s="15" t="n"/>
      <c r="H39" s="15" t="n"/>
      <c r="I39" s="15" t="n"/>
      <c r="J39" s="15" t="n"/>
      <c r="K39" s="15" t="n"/>
      <c r="L39" s="15" t="n"/>
      <c r="M39" s="15" t="n"/>
      <c r="N39" s="15" t="n"/>
      <c r="O39" s="15" t="n"/>
      <c r="P39" s="15" t="n"/>
    </row>
    <row r="40">
      <c r="A40" s="15" t="n"/>
      <c r="B40" s="15" t="n"/>
      <c r="C40" s="15" t="n"/>
      <c r="D40" s="15" t="n"/>
      <c r="E40" s="15" t="n"/>
      <c r="F40" s="15" t="n"/>
      <c r="G40" s="15" t="n"/>
      <c r="H40" s="15" t="n"/>
      <c r="I40" s="15" t="n"/>
      <c r="J40" s="15" t="n"/>
      <c r="K40" s="15" t="n"/>
      <c r="L40" s="15" t="n"/>
      <c r="M40" s="15" t="n"/>
      <c r="N40" s="15" t="n"/>
      <c r="O40" s="15" t="n"/>
      <c r="P40" s="15" t="n"/>
    </row>
    <row r="41">
      <c r="A41" s="15" t="n"/>
      <c r="B41" s="15" t="n"/>
      <c r="C41" s="15" t="n"/>
      <c r="D41" s="15" t="n"/>
      <c r="E41" s="15" t="n"/>
      <c r="F41" s="15" t="n"/>
      <c r="G41" s="15" t="n"/>
      <c r="H41" s="15" t="n"/>
      <c r="I41" s="15" t="n"/>
      <c r="J41" s="15" t="n"/>
      <c r="K41" s="15" t="n"/>
      <c r="L41" s="15" t="n"/>
      <c r="M41" s="15" t="n"/>
      <c r="N41" s="15" t="n"/>
      <c r="O41" s="15" t="n"/>
      <c r="P41" s="15" t="n"/>
    </row>
    <row r="42">
      <c r="A42" s="15" t="n"/>
      <c r="B42" s="15" t="n"/>
      <c r="C42" s="15" t="n"/>
      <c r="D42" s="15" t="n"/>
      <c r="E42" s="15" t="n"/>
      <c r="F42" s="15" t="n"/>
      <c r="G42" s="15" t="n"/>
      <c r="H42" s="15" t="n"/>
      <c r="I42" s="15" t="n"/>
      <c r="J42" s="15" t="n"/>
      <c r="K42" s="15" t="n"/>
      <c r="L42" s="15" t="n"/>
      <c r="M42" s="15" t="n"/>
      <c r="N42" s="15" t="n"/>
      <c r="O42" s="15" t="n"/>
      <c r="P42" s="15" t="n"/>
    </row>
    <row r="43">
      <c r="A43" s="15" t="n"/>
      <c r="B43" s="15" t="n"/>
      <c r="C43" s="15" t="n"/>
      <c r="D43" s="15" t="n"/>
      <c r="E43" s="15" t="n"/>
      <c r="F43" s="15" t="n"/>
      <c r="G43" s="15" t="n"/>
      <c r="H43" s="15" t="n"/>
      <c r="I43" s="15" t="n"/>
      <c r="J43" s="15" t="n"/>
      <c r="K43" s="15" t="n"/>
      <c r="L43" s="15" t="n"/>
      <c r="M43" s="15" t="n"/>
      <c r="N43" s="15" t="n"/>
      <c r="O43" s="15" t="n"/>
      <c r="P43" s="15" t="n"/>
    </row>
    <row r="44">
      <c r="A44" s="15" t="n"/>
      <c r="B44" s="15" t="n"/>
      <c r="C44" s="15" t="n"/>
      <c r="D44" s="15" t="n"/>
      <c r="E44" s="15" t="n"/>
      <c r="F44" s="15" t="n"/>
      <c r="G44" s="15" t="n"/>
      <c r="H44" s="15" t="n"/>
      <c r="I44" s="15" t="n"/>
      <c r="J44" s="15" t="n"/>
      <c r="K44" s="15" t="n"/>
      <c r="L44" s="15" t="n"/>
      <c r="M44" s="15" t="n"/>
      <c r="N44" s="15" t="n"/>
      <c r="O44" s="15" t="n"/>
      <c r="P44" s="15" t="n"/>
    </row>
    <row r="45">
      <c r="A45" s="15" t="n"/>
      <c r="B45" s="15" t="n"/>
      <c r="C45" s="15" t="n"/>
      <c r="D45" s="15" t="n"/>
      <c r="E45" s="15" t="n"/>
      <c r="F45" s="15" t="n"/>
      <c r="G45" s="15" t="n"/>
      <c r="H45" s="15" t="n"/>
      <c r="I45" s="15" t="n"/>
      <c r="J45" s="15" t="n"/>
      <c r="K45" s="15" t="n"/>
      <c r="L45" s="15" t="n"/>
      <c r="M45" s="15" t="n"/>
      <c r="N45" s="15" t="n"/>
      <c r="O45" s="15" t="n"/>
      <c r="P45" s="15" t="n"/>
    </row>
    <row r="46">
      <c r="A46" s="15" t="n"/>
      <c r="B46" s="15" t="n"/>
      <c r="C46" s="15" t="n"/>
      <c r="D46" s="15" t="n"/>
      <c r="E46" s="15" t="n"/>
      <c r="F46" s="15" t="n"/>
      <c r="G46" s="15" t="n"/>
      <c r="H46" s="15" t="n"/>
      <c r="I46" s="15" t="n"/>
      <c r="J46" s="15" t="n"/>
      <c r="K46" s="15" t="n"/>
      <c r="L46" s="15" t="n"/>
      <c r="M46" s="15" t="n"/>
      <c r="N46" s="15" t="n"/>
      <c r="O46" s="15" t="n"/>
      <c r="P46" s="15" t="n"/>
    </row>
    <row r="47">
      <c r="A47" s="15" t="n"/>
      <c r="B47" s="15" t="n"/>
      <c r="C47" s="15" t="n"/>
      <c r="D47" s="15" t="n"/>
      <c r="E47" s="15" t="n"/>
      <c r="F47" s="15" t="n"/>
      <c r="G47" s="15" t="n"/>
      <c r="H47" s="15" t="n"/>
      <c r="I47" s="15" t="n"/>
      <c r="J47" s="15" t="n"/>
      <c r="K47" s="15" t="n"/>
      <c r="L47" s="15" t="n"/>
      <c r="M47" s="15" t="n"/>
      <c r="N47" s="15" t="n"/>
      <c r="O47" s="15" t="n"/>
      <c r="P47" s="15" t="n"/>
    </row>
    <row r="48">
      <c r="A48" s="15" t="n"/>
      <c r="B48" s="15" t="n"/>
      <c r="C48" s="15" t="n"/>
      <c r="D48" s="15" t="n"/>
      <c r="E48" s="15" t="n"/>
      <c r="F48" s="15" t="n"/>
      <c r="G48" s="15" t="n"/>
      <c r="H48" s="15" t="n"/>
      <c r="I48" s="15" t="n"/>
      <c r="J48" s="15" t="n"/>
      <c r="K48" s="15" t="n"/>
      <c r="L48" s="15" t="n"/>
      <c r="M48" s="15" t="n"/>
      <c r="N48" s="15" t="n"/>
      <c r="O48" s="15" t="n"/>
      <c r="P48" s="15" t="n"/>
    </row>
    <row r="49">
      <c r="A49" s="15" t="n"/>
      <c r="B49" s="15" t="n"/>
      <c r="C49" s="15" t="n"/>
      <c r="D49" s="15" t="n"/>
      <c r="E49" s="15" t="n"/>
      <c r="F49" s="15" t="n"/>
      <c r="G49" s="15" t="n"/>
      <c r="H49" s="15" t="n"/>
      <c r="I49" s="15" t="n"/>
      <c r="J49" s="15" t="n"/>
      <c r="K49" s="15" t="n"/>
      <c r="L49" s="15" t="n"/>
      <c r="M49" s="15" t="n"/>
      <c r="N49" s="15" t="n"/>
      <c r="O49" s="15" t="n"/>
      <c r="P49" s="15" t="n"/>
    </row>
    <row r="50">
      <c r="A50" s="15" t="n"/>
      <c r="B50" s="15" t="n"/>
      <c r="C50" s="15" t="n"/>
      <c r="D50" s="15" t="n"/>
      <c r="E50" s="15" t="n"/>
      <c r="F50" s="15" t="n"/>
      <c r="G50" s="15" t="n"/>
      <c r="H50" s="15" t="n"/>
      <c r="I50" s="15" t="n"/>
      <c r="J50" s="15" t="n"/>
      <c r="K50" s="15" t="n"/>
      <c r="L50" s="15" t="n"/>
      <c r="M50" s="15" t="n"/>
      <c r="N50" s="15" t="n"/>
      <c r="O50" s="15" t="n"/>
      <c r="P50" s="15" t="n"/>
    </row>
    <row r="51">
      <c r="A51" s="15" t="n"/>
      <c r="B51" s="15" t="n"/>
      <c r="C51" s="15" t="n"/>
      <c r="D51" s="15" t="n"/>
      <c r="E51" s="15" t="n"/>
      <c r="F51" s="15" t="n"/>
      <c r="G51" s="15" t="n"/>
      <c r="H51" s="15" t="n"/>
      <c r="I51" s="15" t="n"/>
      <c r="J51" s="15" t="n"/>
      <c r="K51" s="15" t="n"/>
      <c r="L51" s="15" t="n"/>
      <c r="M51" s="15" t="n"/>
      <c r="N51" s="15" t="n"/>
      <c r="O51" s="15" t="n"/>
      <c r="P51" s="15" t="n"/>
    </row>
    <row r="52">
      <c r="A52" s="15" t="n"/>
      <c r="B52" s="15" t="n"/>
      <c r="C52" s="15" t="n"/>
      <c r="D52" s="15" t="n"/>
      <c r="E52" s="15" t="n"/>
      <c r="F52" s="15" t="n"/>
      <c r="G52" s="15" t="n"/>
      <c r="H52" s="15" t="n"/>
      <c r="I52" s="15" t="n"/>
      <c r="J52" s="15" t="n"/>
      <c r="K52" s="15" t="n"/>
      <c r="L52" s="15" t="n"/>
      <c r="M52" s="15" t="n"/>
      <c r="N52" s="15" t="n"/>
      <c r="O52" s="15" t="n"/>
      <c r="P52" s="15" t="n"/>
    </row>
    <row r="53">
      <c r="A53" s="15" t="n"/>
      <c r="B53" s="15" t="n"/>
      <c r="C53" s="15" t="n"/>
      <c r="D53" s="15" t="n"/>
      <c r="E53" s="15" t="n"/>
      <c r="F53" s="15" t="n"/>
      <c r="G53" s="15" t="n"/>
      <c r="H53" s="15" t="n"/>
      <c r="I53" s="15" t="n"/>
      <c r="J53" s="15" t="n"/>
      <c r="K53" s="15" t="n"/>
      <c r="L53" s="15" t="n"/>
      <c r="M53" s="15" t="n"/>
      <c r="N53" s="15" t="n"/>
      <c r="O53" s="15" t="n"/>
      <c r="P53" s="15" t="n"/>
    </row>
    <row r="54">
      <c r="A54" s="15" t="n"/>
      <c r="B54" s="15" t="n"/>
      <c r="C54" s="15" t="n"/>
      <c r="D54" s="15" t="n"/>
      <c r="E54" s="15" t="n"/>
      <c r="F54" s="15" t="n"/>
      <c r="G54" s="15" t="n"/>
      <c r="H54" s="15" t="n"/>
      <c r="I54" s="15" t="n"/>
      <c r="J54" s="15" t="n"/>
      <c r="K54" s="15" t="n"/>
      <c r="L54" s="15" t="n"/>
      <c r="M54" s="15" t="n"/>
      <c r="N54" s="15" t="n"/>
      <c r="O54" s="15" t="n"/>
      <c r="P54" s="15" t="n"/>
    </row>
    <row r="55">
      <c r="A55" s="15" t="n"/>
      <c r="B55" s="15" t="n"/>
      <c r="C55" s="15" t="n"/>
      <c r="D55" s="15" t="n"/>
      <c r="E55" s="15" t="n"/>
      <c r="F55" s="15" t="n"/>
      <c r="G55" s="15" t="n"/>
      <c r="H55" s="15" t="n"/>
      <c r="I55" s="15" t="n"/>
      <c r="J55" s="15" t="n"/>
      <c r="K55" s="15" t="n"/>
      <c r="L55" s="15" t="n"/>
      <c r="M55" s="15" t="n"/>
      <c r="N55" s="15" t="n"/>
      <c r="O55" s="15" t="n"/>
      <c r="P55" s="15" t="n"/>
    </row>
    <row r="56">
      <c r="A56" s="15" t="n"/>
      <c r="B56" s="15" t="n"/>
      <c r="C56" s="15" t="n"/>
      <c r="D56" s="15" t="n"/>
      <c r="E56" s="15" t="n"/>
      <c r="F56" s="15" t="n"/>
      <c r="G56" s="15" t="n"/>
      <c r="H56" s="15" t="n"/>
      <c r="I56" s="15" t="n"/>
      <c r="J56" s="15" t="n"/>
      <c r="K56" s="15" t="n"/>
      <c r="L56" s="15" t="n"/>
      <c r="M56" s="15" t="n"/>
      <c r="N56" s="15" t="n"/>
      <c r="O56" s="15" t="n"/>
      <c r="P56" s="15" t="n"/>
    </row>
    <row r="57">
      <c r="A57" s="15" t="n"/>
      <c r="B57" s="15" t="n"/>
      <c r="C57" s="15" t="n"/>
      <c r="D57" s="15" t="n"/>
      <c r="E57" s="15" t="n"/>
      <c r="F57" s="15" t="n"/>
      <c r="G57" s="15" t="n"/>
      <c r="H57" s="15" t="n"/>
      <c r="I57" s="15" t="n"/>
      <c r="J57" s="15" t="n"/>
      <c r="K57" s="15" t="n"/>
      <c r="L57" s="15" t="n"/>
      <c r="M57" s="15" t="n"/>
      <c r="N57" s="15" t="n"/>
      <c r="O57" s="15" t="n"/>
      <c r="P57" s="15" t="n"/>
    </row>
    <row r="59">
      <c r="A59" s="20" t="inlineStr">
        <is>
          <t>INTEGRATION &amp; ENRICHMENT CHECKLIST</t>
        </is>
      </c>
    </row>
    <row r="60">
      <c r="A60" s="18" t="inlineStr">
        <is>
          <t>#</t>
        </is>
      </c>
      <c r="B60" s="18" t="inlineStr">
        <is>
          <t>Requirement</t>
        </is>
      </c>
      <c r="C60" s="16" t="n"/>
      <c r="D60" s="16" t="n"/>
      <c r="E60" s="16" t="n"/>
      <c r="F60" s="16" t="n"/>
      <c r="G60" s="16" t="n"/>
      <c r="H60" s="16" t="n"/>
      <c r="I60" s="16" t="n"/>
      <c r="J60" s="16" t="n"/>
      <c r="K60" s="16" t="n"/>
      <c r="L60" s="16" t="n"/>
      <c r="M60" s="16" t="n"/>
      <c r="N60" s="16" t="n"/>
      <c r="O60" s="17" t="n"/>
    </row>
    <row r="61">
      <c r="A61" t="n">
        <v>1</v>
      </c>
      <c r="B61" s="21" t="inlineStr">
        <is>
          <t>Threat intelligence feed(s) integrated into SIEM</t>
        </is>
      </c>
      <c r="P61" s="15" t="n"/>
    </row>
    <row r="62">
      <c r="A62" t="n">
        <v>2</v>
      </c>
      <c r="B62" s="21" t="inlineStr">
        <is>
          <t>Threat intelligence updated at least daily</t>
        </is>
      </c>
      <c r="P62" s="15" t="n"/>
    </row>
    <row r="63">
      <c r="A63" t="n">
        <v>3</v>
      </c>
      <c r="B63" s="21" t="inlineStr">
        <is>
          <t>GeoIP enrichment configured for IP addresses</t>
        </is>
      </c>
      <c r="P63" s="15" t="n"/>
    </row>
    <row r="64">
      <c r="A64" t="n">
        <v>4</v>
      </c>
      <c r="B64" s="21" t="inlineStr">
        <is>
          <t>Asset inventory integrated (hostname, owner, criticality)</t>
        </is>
      </c>
      <c r="P64" s="15" t="n"/>
    </row>
    <row r="65">
      <c r="A65" t="n">
        <v>5</v>
      </c>
      <c r="B65" s="21" t="inlineStr">
        <is>
          <t>User context enrichment (AD/LDAP integration)</t>
        </is>
      </c>
      <c r="P65" s="15" t="n"/>
    </row>
    <row r="66">
      <c r="A66" t="n">
        <v>6</v>
      </c>
      <c r="B66" s="21" t="inlineStr">
        <is>
          <t>DNS enrichment for domain resolution</t>
        </is>
      </c>
      <c r="P66" s="15" t="n"/>
    </row>
    <row r="67">
      <c r="A67" t="n">
        <v>7</v>
      </c>
      <c r="B67" s="21" t="inlineStr">
        <is>
          <t>CMDB integration for asset context</t>
        </is>
      </c>
      <c r="P67" s="15" t="n"/>
    </row>
    <row r="68">
      <c r="A68" t="n">
        <v>8</v>
      </c>
      <c r="B68" s="21" t="inlineStr">
        <is>
          <t>Vulnerability data integrated (scanner results)</t>
        </is>
      </c>
      <c r="P68" s="15" t="n"/>
    </row>
    <row r="69">
      <c r="A69" t="n">
        <v>9</v>
      </c>
      <c r="B69" s="21" t="inlineStr">
        <is>
          <t>Ticketing system integration (ServiceNow, JIRA)</t>
        </is>
      </c>
      <c r="P69" s="15" t="n"/>
    </row>
    <row r="70">
      <c r="A70" t="n">
        <v>10</v>
      </c>
      <c r="B70" s="21" t="inlineStr">
        <is>
          <t>SOAR platform integration for automated response</t>
        </is>
      </c>
      <c r="P70" s="15" t="n"/>
    </row>
    <row r="71">
      <c r="A71" t="n">
        <v>11</v>
      </c>
      <c r="B71" s="21" t="inlineStr">
        <is>
          <t>Cloud provider APIs integrated (AWS, Azure, GCP)</t>
        </is>
      </c>
      <c r="P71" s="15" t="n"/>
    </row>
    <row r="72">
      <c r="A72" t="n">
        <v>12</v>
      </c>
      <c r="B72" s="21" t="inlineStr">
        <is>
          <t>Enrichment latency acceptable (&lt;5 minutes)</t>
        </is>
      </c>
      <c r="P72" s="15" t="n"/>
    </row>
    <row r="73">
      <c r="A73" t="n">
        <v>13</v>
      </c>
      <c r="B73" s="21" t="inlineStr">
        <is>
          <t>Enrichment coverage &gt;90% for critical assets</t>
        </is>
      </c>
      <c r="P73" s="15" t="n"/>
    </row>
    <row r="74">
      <c r="A74" t="n">
        <v>14</v>
      </c>
      <c r="B74" s="21" t="inlineStr">
        <is>
          <t>Integration health monitored and alerted</t>
        </is>
      </c>
      <c r="P74" s="15" t="n"/>
    </row>
    <row r="75">
      <c r="A75" t="n">
        <v>15</v>
      </c>
      <c r="B75" s="21" t="inlineStr">
        <is>
          <t>Integration documentation maintained</t>
        </is>
      </c>
      <c r="P75" s="15" t="n"/>
    </row>
    <row r="76">
      <c r="A76" s="22" t="inlineStr">
        <is>
          <t>SCORE:</t>
        </is>
      </c>
      <c r="B76" s="23">
        <f>COUNTIF(P61:P75,"✅ Compliant")&amp;" / 15"</f>
        <v/>
      </c>
    </row>
    <row r="77">
      <c r="A77" s="28" t="inlineStr">
        <is>
          <t>REFERENCE: COMMON ENRICHMENT SOURCES</t>
        </is>
      </c>
    </row>
    <row r="78">
      <c r="A78" s="18" t="inlineStr">
        <is>
          <t>Enrichment Type</t>
        </is>
      </c>
      <c r="B78" s="16" t="n"/>
      <c r="C78" s="16" t="n"/>
      <c r="D78" s="16" t="n"/>
      <c r="E78" s="17" t="n"/>
      <c r="F78" s="18" t="inlineStr">
        <is>
          <t>Example Sources</t>
        </is>
      </c>
      <c r="G78" s="16" t="n"/>
      <c r="H78" s="16" t="n"/>
      <c r="I78" s="16" t="n"/>
      <c r="J78" s="16" t="n"/>
      <c r="K78" s="17" t="n"/>
      <c r="L78" s="18" t="inlineStr">
        <is>
          <t>Benefit to Monitoring</t>
        </is>
      </c>
      <c r="M78" s="16" t="n"/>
      <c r="N78" s="16" t="n"/>
      <c r="O78" s="16" t="n"/>
      <c r="P78" s="17" t="n"/>
    </row>
    <row r="79">
      <c r="A79" s="29" t="inlineStr">
        <is>
          <t>Threat Intelligence</t>
        </is>
      </c>
      <c r="F79" s="21" t="inlineStr">
        <is>
          <t>MISP, AlienVault OTX, VirusTotal, Abuse.ch</t>
        </is>
      </c>
      <c r="L79" s="21" t="inlineStr">
        <is>
          <t>IOC detection, malicious IP/domain identification</t>
        </is>
      </c>
    </row>
    <row r="80">
      <c r="A80" s="29" t="inlineStr">
        <is>
          <t>GeoIP</t>
        </is>
      </c>
      <c r="F80" s="21" t="inlineStr">
        <is>
          <t>MaxMind, IP2Location</t>
        </is>
      </c>
      <c r="L80" s="21" t="inlineStr">
        <is>
          <t>Geo-based anomaly detection, compliance</t>
        </is>
      </c>
    </row>
    <row r="81">
      <c r="A81" s="29" t="inlineStr">
        <is>
          <t>Asset Context</t>
        </is>
      </c>
      <c r="F81" s="21" t="inlineStr">
        <is>
          <t>CMDB, ServiceNow, Lansweeper</t>
        </is>
      </c>
      <c r="L81" s="21" t="inlineStr">
        <is>
          <t>Criticality assessment, owner identification</t>
        </is>
      </c>
    </row>
    <row r="82">
      <c r="A82" s="29" t="inlineStr">
        <is>
          <t>User Context</t>
        </is>
      </c>
      <c r="F82" s="21" t="inlineStr">
        <is>
          <t>Active Directory, Okta, Microsoft Entra ID (formerly Azure AD)</t>
        </is>
      </c>
      <c r="L82" s="21" t="inlineStr">
        <is>
          <t>User behaviour analysis, privilege context</t>
        </is>
      </c>
    </row>
    <row r="83">
      <c r="A83" s="29" t="inlineStr">
        <is>
          <t>Vulnerability Data</t>
        </is>
      </c>
      <c r="F83" s="21" t="inlineStr">
        <is>
          <t>Qualys, Tenable, Rapid7</t>
        </is>
      </c>
      <c r="L83" s="21" t="inlineStr">
        <is>
          <t>Risk scoring, exploit correlation</t>
        </is>
      </c>
    </row>
    <row r="84">
      <c r="A84" s="29" t="inlineStr">
        <is>
          <t>DNS</t>
        </is>
      </c>
      <c r="F84" s="21" t="inlineStr">
        <is>
          <t>Internal DNS, passive DNS</t>
        </is>
      </c>
      <c r="L84" s="21" t="inlineStr">
        <is>
          <t>Domain reputation, DGA detection</t>
        </is>
      </c>
    </row>
  </sheetData>
  <mergeCells count="43">
    <mergeCell ref="A83:E83"/>
    <mergeCell ref="F80:K80"/>
    <mergeCell ref="B75:O75"/>
    <mergeCell ref="L82:P82"/>
    <mergeCell ref="A82:E82"/>
    <mergeCell ref="B62:O62"/>
    <mergeCell ref="F79:K79"/>
    <mergeCell ref="B72:O72"/>
    <mergeCell ref="B66:O66"/>
    <mergeCell ref="A79:E79"/>
    <mergeCell ref="B76:E76"/>
    <mergeCell ref="B71:O71"/>
    <mergeCell ref="F81:K81"/>
    <mergeCell ref="L78:P78"/>
    <mergeCell ref="A78:E78"/>
    <mergeCell ref="B70:O70"/>
    <mergeCell ref="A77:P77"/>
    <mergeCell ref="B60:O60"/>
    <mergeCell ref="B67:O67"/>
    <mergeCell ref="A84:E84"/>
    <mergeCell ref="B61:O61"/>
    <mergeCell ref="A80:E80"/>
    <mergeCell ref="A59:P59"/>
    <mergeCell ref="L83:P83"/>
    <mergeCell ref="F82:K82"/>
    <mergeCell ref="B73:O73"/>
    <mergeCell ref="A1:P1"/>
    <mergeCell ref="B69:O69"/>
    <mergeCell ref="L79:P79"/>
    <mergeCell ref="F78:K78"/>
    <mergeCell ref="L84:P84"/>
    <mergeCell ref="B74:O74"/>
    <mergeCell ref="B65:O65"/>
    <mergeCell ref="A81:E81"/>
    <mergeCell ref="B68:O68"/>
    <mergeCell ref="L81:P81"/>
    <mergeCell ref="B64:O64"/>
    <mergeCell ref="F84:K84"/>
    <mergeCell ref="L80:P80"/>
    <mergeCell ref="A3:P3"/>
    <mergeCell ref="F83:K83"/>
    <mergeCell ref="B63:O63"/>
    <mergeCell ref="A2:P2"/>
  </mergeCells>
  <dataValidations count="7">
    <dataValidation sqref="G8 G9 G10 G11 G12 G13 G14 G15 G16 G17 G18 G19 G20 G21 G22 G23 G24 G25 G26 G27 G28 G29 G30 G31 G32 G33 G34 G35 G36 G37 G38 G39 G40 G41 G42 G43 G44 G45 G46 G47 G48 G49 G50 G51 G52 G53 G54 G55 G56 G57" showDropDown="0" showInputMessage="0" showErrorMessage="0" allowBlank="0" type="list">
      <formula1>"Excellent,Good,Limited,Poor"</formula1>
    </dataValidation>
    <dataValidation sqref="L8 L9 L10 L11 L12 L13 L14 L15 L16 L17 L18 L19 L20 L21 L22 L23 L24 L25 L26 L27 L28 L29 L30 L31 L32 L33 L34 L35 L36 L37 L38 L39 L40 L41 L42 L43 L44 L45 L46 L47 L48 L49 L50 L51 L52 L53 L54 L55 L56 L57" showDropDown="0" showInputMessage="0" showErrorMessage="0" allowBlank="0" type="list">
      <formula1>"✅ Deployed,⚠️ Partial,❌ Not Deployed,Planned"</formula1>
    </dataValidation>
    <dataValidation sqref="M8 M9 M10 M11 M12 M13 M14 M15 M16 M17 M18 M19 M20 M21 M22 M23 M24 M25 M26 M27 M28 M29 M30 M31 M32 M33 M34 M35 M36 M37 M38 M39 M40 M41 M42 M43 M44 M45 M46 M47 M48 M49 M50 M51 M52 M53 M54 M55 M56 M57 P61 P62 P63 P64 P65 P66 P67 P68 P69 P70 P71 P72 P73 P74 P75" showDropDown="0" showInputMessage="0" showErrorMessage="0" allowBlank="0" type="list">
      <formula1>"✅ Compliant,⚠️ Partial,❌ Non-Compliant,N/A"</formula1>
    </dataValidation>
    <dataValidation sqref="P8 P9 P10 P11 P12 P13 P14 P15 P16 P17 P18 P19 P20 P21 P22 P23 P24 P25 P26 P27 P28 P29 P30 P31 P32 P33 P34 P35 P36 P37 P38 P39 P40 P41 P42 P43 P44 P45 P46 P47 P48 P49 P50 P51 P52 P53 P54 P55 P56 P57" showDropDown="0" showInputMessage="0" showErrorMessage="0" allowBlank="0" type="list">
      <formula1>"Critical,High,Medium,Low,None"</formula1>
    </dataValidation>
    <dataValidation sqref="J8 J9 J10 J11 J12 J13 J14 J15 J16 J17 J18 J19 J20 J21 J22 J23 J24 J25 J26 J27 J28 J29 J30 J31 J32 J33 J34 J35 J36 J37 J38 J39 J40 J41 J42 J43 J44 J45 J46 J47 J48 J49 J50 J51 J52 J53 J54 J55 J56 J57" showDropDown="0" showInputMessage="0" showErrorMessage="0" allowBlank="0" type="list">
      <formula1>"High,Medium,Low,Unknown"</formula1>
    </dataValidation>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"Real-time,Batch,Near Real-time,Manual"</formula1>
    </dataValidation>
    <dataValidation sqref="D8 D9 D10 D11 D12 D13 D14 D15 D16 D17 D18 D19 D20 D21 D22 D23 D24 D25 D26 D27 D28 D29 D30 D31 D32 D33 D34 D35 D36 D37 D38 D39 D40 D41 D42 D43 D44 D45 D46 D47 D48 D49 D50 D51 D52 D53 D54 D55 D56 D57" showDropDown="0" showInputMessage="0" showErrorMessage="0" allowBlank="0" type="list">
      <formula1>"Threat Intel,GeoIP,Asset Context,User Context,Custom,None"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54"/>
  <sheetViews>
    <sheetView showGridLines="0" workbookViewId="0">
      <selection activeCell="A1" sqref="A1"/>
    </sheetView>
  </sheetViews>
  <sheetFormatPr baseColWidth="8" defaultRowHeight="15"/>
  <cols>
    <col width="35" customWidth="1" min="1" max="1"/>
    <col width="20" customWidth="1" min="2" max="2"/>
    <col width="15" customWidth="1" min="3" max="3"/>
    <col width="20" customWidth="1" min="4" max="4"/>
    <col width="18" customWidth="1" min="5" max="5"/>
    <col width="18" customWidth="1" min="6" max="6"/>
    <col width="18" customWidth="1" min="7" max="7"/>
    <col width="35" customWidth="1" min="8" max="8"/>
  </cols>
  <sheetData>
    <row r="1" ht="35" customHeight="1">
      <c r="A1" s="11" t="inlineStr">
        <is>
          <t>5. PERFORMANCE &amp; SCALABILITY ASSESSMENT</t>
        </is>
      </c>
    </row>
    <row r="2">
      <c r="A2" s="12" t="inlineStr">
        <is>
          <t>Policy Reference: ISMS-POL-A.8.16-S2.1.6 - Assess monitoring performance and scalability</t>
        </is>
      </c>
    </row>
    <row r="3">
      <c r="A3" s="13" t="inlineStr">
        <is>
          <t>Is the monitoring infrastructure performing adequately and scalable for future growth?</t>
        </is>
      </c>
    </row>
    <row r="5">
      <c r="A5" s="20" t="inlineStr">
        <is>
          <t>CURRENT PERFORMANCE METRICS</t>
        </is>
      </c>
    </row>
    <row r="6">
      <c r="A6" s="18" t="inlineStr">
        <is>
          <t>Metric</t>
        </is>
      </c>
      <c r="B6" s="18" t="inlineStr">
        <is>
          <t>Current Value</t>
        </is>
      </c>
      <c r="C6" s="18" t="inlineStr">
        <is>
          <t>Unit</t>
        </is>
      </c>
      <c r="D6" s="18" t="inlineStr">
        <is>
          <t>Target/Threshold</t>
        </is>
      </c>
      <c r="E6" s="18" t="inlineStr">
        <is>
          <t>Status</t>
        </is>
      </c>
      <c r="F6" s="18" t="inlineStr">
        <is>
          <t>Trend</t>
        </is>
      </c>
      <c r="G6" s="18" t="inlineStr">
        <is>
          <t>Last Measured</t>
        </is>
      </c>
      <c r="H6" s="18" t="inlineStr">
        <is>
          <t>Notes</t>
        </is>
      </c>
    </row>
    <row r="7">
      <c r="A7" s="30" t="inlineStr">
        <is>
          <t>SIEM Ingestion Rate (Current)</t>
        </is>
      </c>
      <c r="B7" s="15" t="inlineStr"/>
      <c r="C7" s="6" t="inlineStr">
        <is>
          <t>EPS</t>
        </is>
      </c>
      <c r="D7" s="6" t="inlineStr">
        <is>
          <t>N/A</t>
        </is>
      </c>
      <c r="E7" s="15" t="inlineStr"/>
      <c r="F7" s="15" t="inlineStr"/>
      <c r="G7" s="15" t="inlineStr"/>
      <c r="H7" s="15" t="inlineStr"/>
      <c r="I7" s="16" t="n"/>
      <c r="J7" s="16" t="n"/>
      <c r="K7" s="16" t="n"/>
      <c r="L7" s="16" t="n"/>
      <c r="M7" s="16" t="n"/>
      <c r="N7" s="16" t="n"/>
      <c r="O7" s="16" t="n"/>
      <c r="P7" s="16" t="n"/>
      <c r="Q7" s="17" t="n"/>
    </row>
    <row r="8">
      <c r="A8" s="30" t="inlineStr">
        <is>
          <t>SIEM Ingestion Rate (Peak)</t>
        </is>
      </c>
      <c r="B8" s="15" t="inlineStr"/>
      <c r="C8" s="6" t="inlineStr">
        <is>
          <t>EPS</t>
        </is>
      </c>
      <c r="D8" s="6" t="inlineStr">
        <is>
          <t>N/A</t>
        </is>
      </c>
      <c r="E8" s="15" t="inlineStr"/>
      <c r="F8" s="15" t="inlineStr"/>
      <c r="G8" s="15" t="inlineStr"/>
      <c r="H8" s="15" t="inlineStr"/>
      <c r="I8" s="16" t="n"/>
      <c r="J8" s="16" t="n"/>
      <c r="K8" s="16" t="n"/>
      <c r="L8" s="16" t="n"/>
      <c r="M8" s="16" t="n"/>
      <c r="N8" s="16" t="n"/>
      <c r="O8" s="16" t="n"/>
      <c r="P8" s="16" t="n"/>
      <c r="Q8" s="17" t="n"/>
    </row>
    <row r="9">
      <c r="A9" s="30" t="inlineStr">
        <is>
          <t>SIEM Licensed Capacity</t>
        </is>
      </c>
      <c r="B9" s="15" t="inlineStr"/>
      <c r="C9" s="6" t="inlineStr">
        <is>
          <t>EPS</t>
        </is>
      </c>
      <c r="D9" s="6" t="inlineStr">
        <is>
          <t>N/A</t>
        </is>
      </c>
      <c r="E9" s="15" t="inlineStr"/>
      <c r="F9" s="15" t="inlineStr"/>
      <c r="G9" s="15" t="inlineStr"/>
      <c r="H9" s="15" t="inlineStr"/>
      <c r="I9" s="16" t="n"/>
      <c r="J9" s="16" t="n"/>
      <c r="K9" s="16" t="n"/>
      <c r="L9" s="16" t="n"/>
      <c r="M9" s="16" t="n"/>
      <c r="N9" s="16" t="n"/>
      <c r="O9" s="16" t="n"/>
      <c r="P9" s="16" t="n"/>
      <c r="Q9" s="17" t="n"/>
    </row>
    <row r="10">
      <c r="A10" s="30" t="inlineStr">
        <is>
          <t>Capacity Utilization</t>
        </is>
      </c>
      <c r="B10" s="15" t="inlineStr"/>
      <c r="C10" s="6" t="inlineStr">
        <is>
          <t>%</t>
        </is>
      </c>
      <c r="D10" s="6" t="inlineStr">
        <is>
          <t>&lt;80%</t>
        </is>
      </c>
      <c r="E10" s="15" t="inlineStr"/>
      <c r="F10" s="15" t="inlineStr"/>
      <c r="G10" s="15" t="inlineStr"/>
      <c r="H10" s="15" t="inlineStr"/>
      <c r="I10" s="16" t="n"/>
      <c r="J10" s="16" t="n"/>
      <c r="K10" s="16" t="n"/>
      <c r="L10" s="16" t="n"/>
      <c r="M10" s="16" t="n"/>
      <c r="N10" s="16" t="n"/>
      <c r="O10" s="16" t="n"/>
      <c r="P10" s="16" t="n"/>
      <c r="Q10" s="17" t="n"/>
    </row>
    <row r="11">
      <c r="A11" s="30" t="inlineStr">
        <is>
          <t>Average Search Response Time</t>
        </is>
      </c>
      <c r="B11" s="15" t="inlineStr"/>
      <c r="C11" s="6" t="inlineStr">
        <is>
          <t>seconds</t>
        </is>
      </c>
      <c r="D11" s="6" t="inlineStr">
        <is>
          <t>&lt;10 sec</t>
        </is>
      </c>
      <c r="E11" s="15" t="inlineStr"/>
      <c r="F11" s="15" t="inlineStr"/>
      <c r="G11" s="15" t="inlineStr"/>
      <c r="H11" s="15" t="inlineStr"/>
      <c r="I11" s="16" t="n"/>
      <c r="J11" s="16" t="n"/>
      <c r="K11" s="16" t="n"/>
      <c r="L11" s="16" t="n"/>
      <c r="M11" s="16" t="n"/>
      <c r="N11" s="16" t="n"/>
      <c r="O11" s="16" t="n"/>
      <c r="P11" s="16" t="n"/>
      <c r="Q11" s="17" t="n"/>
    </row>
    <row r="12">
      <c r="A12" s="30" t="inlineStr">
        <is>
          <t>Indexing Lag</t>
        </is>
      </c>
      <c r="B12" s="15" t="inlineStr"/>
      <c r="C12" s="6" t="inlineStr">
        <is>
          <t>minutes</t>
        </is>
      </c>
      <c r="D12" s="6" t="inlineStr">
        <is>
          <t>&lt;5 min</t>
        </is>
      </c>
      <c r="E12" s="15" t="inlineStr"/>
      <c r="F12" s="15" t="inlineStr"/>
      <c r="G12" s="15" t="inlineStr"/>
      <c r="H12" s="15" t="inlineStr"/>
      <c r="I12" s="16" t="n"/>
      <c r="J12" s="16" t="n"/>
      <c r="K12" s="16" t="n"/>
      <c r="L12" s="16" t="n"/>
      <c r="M12" s="16" t="n"/>
      <c r="N12" s="16" t="n"/>
      <c r="O12" s="16" t="n"/>
      <c r="P12" s="16" t="n"/>
      <c r="Q12" s="17" t="n"/>
    </row>
    <row r="13">
      <c r="A13" s="30" t="inlineStr">
        <is>
          <t>Storage Utilization</t>
        </is>
      </c>
      <c r="B13" s="15" t="inlineStr"/>
      <c r="C13" s="6" t="inlineStr">
        <is>
          <t>%</t>
        </is>
      </c>
      <c r="D13" s="6" t="inlineStr">
        <is>
          <t>&lt;80%</t>
        </is>
      </c>
      <c r="E13" s="15" t="inlineStr"/>
      <c r="F13" s="15" t="inlineStr"/>
      <c r="G13" s="15" t="inlineStr"/>
      <c r="H13" s="15" t="inlineStr"/>
      <c r="I13" s="16" t="n"/>
      <c r="J13" s="16" t="n"/>
      <c r="K13" s="16" t="n"/>
      <c r="L13" s="16" t="n"/>
      <c r="M13" s="16" t="n"/>
      <c r="N13" s="16" t="n"/>
      <c r="O13" s="16" t="n"/>
      <c r="P13" s="16" t="n"/>
      <c r="Q13" s="17" t="n"/>
    </row>
    <row r="14">
      <c r="A14" s="30" t="inlineStr">
        <is>
          <t>Hot Tier Storage Available</t>
        </is>
      </c>
      <c r="B14" s="15" t="inlineStr"/>
      <c r="C14" s="6" t="inlineStr">
        <is>
          <t>TB</t>
        </is>
      </c>
      <c r="D14" s="6" t="inlineStr">
        <is>
          <t>&gt;20%</t>
        </is>
      </c>
      <c r="E14" s="15" t="inlineStr"/>
      <c r="F14" s="15" t="inlineStr"/>
      <c r="G14" s="15" t="inlineStr"/>
      <c r="H14" s="15" t="inlineStr"/>
      <c r="I14" s="16" t="n"/>
      <c r="J14" s="16" t="n"/>
      <c r="K14" s="16" t="n"/>
      <c r="L14" s="16" t="n"/>
      <c r="M14" s="16" t="n"/>
      <c r="N14" s="16" t="n"/>
      <c r="O14" s="16" t="n"/>
      <c r="P14" s="16" t="n"/>
      <c r="Q14" s="17" t="n"/>
    </row>
    <row r="15">
      <c r="A15" s="30" t="inlineStr">
        <is>
          <t>Daily Log Volume</t>
        </is>
      </c>
      <c r="B15" s="15" t="inlineStr"/>
      <c r="C15" s="6" t="inlineStr">
        <is>
          <t>GB/day</t>
        </is>
      </c>
      <c r="D15" s="6" t="inlineStr">
        <is>
          <t>N/A</t>
        </is>
      </c>
      <c r="E15" s="15" t="inlineStr"/>
      <c r="F15" s="15" t="inlineStr"/>
      <c r="G15" s="15" t="inlineStr"/>
      <c r="H15" s="15" t="inlineStr"/>
      <c r="I15" s="16" t="n"/>
      <c r="J15" s="16" t="n"/>
      <c r="K15" s="16" t="n"/>
      <c r="L15" s="16" t="n"/>
      <c r="M15" s="16" t="n"/>
      <c r="N15" s="16" t="n"/>
      <c r="O15" s="16" t="n"/>
      <c r="P15" s="16" t="n"/>
      <c r="Q15" s="17" t="n"/>
    </row>
    <row r="16">
      <c r="A16" s="30" t="inlineStr">
        <is>
          <t>Data Retention Compliance</t>
        </is>
      </c>
      <c r="B16" s="15" t="inlineStr"/>
      <c r="C16" s="6" t="inlineStr">
        <is>
          <t>days</t>
        </is>
      </c>
      <c r="D16" s="6" t="inlineStr">
        <is>
          <t>&gt;=90</t>
        </is>
      </c>
      <c r="E16" s="15" t="inlineStr"/>
      <c r="F16" s="15" t="inlineStr"/>
      <c r="G16" s="15" t="inlineStr"/>
      <c r="H16" s="15" t="inlineStr"/>
      <c r="I16" s="16" t="n"/>
      <c r="J16" s="16" t="n"/>
      <c r="K16" s="16" t="n"/>
      <c r="L16" s="16" t="n"/>
      <c r="M16" s="16" t="n"/>
      <c r="N16" s="16" t="n"/>
      <c r="O16" s="16" t="n"/>
      <c r="P16" s="16" t="n"/>
      <c r="Q16" s="17" t="n"/>
    </row>
    <row r="17">
      <c r="A17" s="30" t="inlineStr">
        <is>
          <t>SIEM Availability (Last 30d)</t>
        </is>
      </c>
      <c r="B17" s="15" t="inlineStr"/>
      <c r="C17" s="6" t="inlineStr">
        <is>
          <t>%</t>
        </is>
      </c>
      <c r="D17" s="6" t="inlineStr">
        <is>
          <t>&gt;99.5%</t>
        </is>
      </c>
      <c r="E17" s="15" t="inlineStr"/>
      <c r="F17" s="15" t="inlineStr"/>
      <c r="G17" s="15" t="inlineStr"/>
      <c r="H17" s="15" t="inlineStr"/>
      <c r="I17" s="16" t="n"/>
      <c r="J17" s="16" t="n"/>
      <c r="K17" s="16" t="n"/>
      <c r="L17" s="16" t="n"/>
      <c r="M17" s="16" t="n"/>
      <c r="N17" s="16" t="n"/>
      <c r="O17" s="16" t="n"/>
      <c r="P17" s="16" t="n"/>
      <c r="Q17" s="17" t="n"/>
    </row>
    <row r="18">
      <c r="A18" s="30" t="inlineStr">
        <is>
          <t>Alert Generation Latency</t>
        </is>
      </c>
      <c r="B18" s="15" t="inlineStr"/>
      <c r="C18" s="6" t="inlineStr">
        <is>
          <t>seconds</t>
        </is>
      </c>
      <c r="D18" s="6" t="inlineStr">
        <is>
          <t>&lt;60 sec</t>
        </is>
      </c>
      <c r="E18" s="15" t="inlineStr"/>
      <c r="F18" s="15" t="inlineStr"/>
      <c r="G18" s="15" t="inlineStr"/>
      <c r="H18" s="15" t="inlineStr"/>
      <c r="I18" s="16" t="n"/>
      <c r="J18" s="16" t="n"/>
      <c r="K18" s="16" t="n"/>
      <c r="L18" s="16" t="n"/>
      <c r="M18" s="16" t="n"/>
      <c r="N18" s="16" t="n"/>
      <c r="O18" s="16" t="n"/>
      <c r="P18" s="16" t="n"/>
      <c r="Q18" s="17" t="n"/>
    </row>
    <row r="19">
      <c r="A19" s="30" t="inlineStr">
        <is>
          <t>Correlation Rule Execution Time</t>
        </is>
      </c>
      <c r="B19" s="15" t="inlineStr"/>
      <c r="C19" s="6" t="inlineStr">
        <is>
          <t>seconds</t>
        </is>
      </c>
      <c r="D19" s="6" t="inlineStr">
        <is>
          <t>&lt;5 sec</t>
        </is>
      </c>
      <c r="E19" s="15" t="inlineStr"/>
      <c r="F19" s="15" t="inlineStr"/>
      <c r="G19" s="15" t="inlineStr"/>
      <c r="H19" s="15" t="inlineStr"/>
      <c r="I19" s="16" t="n"/>
      <c r="J19" s="16" t="n"/>
      <c r="K19" s="16" t="n"/>
      <c r="L19" s="16" t="n"/>
      <c r="M19" s="16" t="n"/>
      <c r="N19" s="16" t="n"/>
      <c r="O19" s="16" t="n"/>
      <c r="P19" s="16" t="n"/>
      <c r="Q19" s="17" t="n"/>
    </row>
    <row r="20">
      <c r="A20" s="30" t="inlineStr">
        <is>
          <t>Dashboard Load Time</t>
        </is>
      </c>
      <c r="B20" s="15" t="inlineStr"/>
      <c r="C20" s="6" t="inlineStr">
        <is>
          <t>seconds</t>
        </is>
      </c>
      <c r="D20" s="6" t="inlineStr">
        <is>
          <t>&lt;3 sec</t>
        </is>
      </c>
      <c r="E20" s="15" t="inlineStr"/>
      <c r="F20" s="15" t="inlineStr"/>
      <c r="G20" s="15" t="inlineStr"/>
      <c r="H20" s="15" t="inlineStr"/>
      <c r="I20" s="16" t="n"/>
      <c r="J20" s="16" t="n"/>
      <c r="K20" s="16" t="n"/>
      <c r="L20" s="16" t="n"/>
      <c r="M20" s="16" t="n"/>
      <c r="N20" s="16" t="n"/>
      <c r="O20" s="16" t="n"/>
      <c r="P20" s="16" t="n"/>
      <c r="Q20" s="17" t="n"/>
    </row>
    <row r="21">
      <c r="A21" s="30" t="inlineStr">
        <is>
          <t>API Response Time</t>
        </is>
      </c>
      <c r="B21" s="15" t="inlineStr"/>
      <c r="C21" s="6" t="inlineStr">
        <is>
          <t>milliseconds</t>
        </is>
      </c>
      <c r="D21" s="6" t="inlineStr">
        <is>
          <t>&lt;500 ms</t>
        </is>
      </c>
      <c r="E21" s="15" t="inlineStr"/>
      <c r="F21" s="15" t="inlineStr"/>
      <c r="G21" s="15" t="inlineStr"/>
      <c r="H21" s="15" t="inlineStr"/>
      <c r="I21" s="16" t="n"/>
      <c r="J21" s="16" t="n"/>
      <c r="K21" s="16" t="n"/>
      <c r="L21" s="16" t="n"/>
      <c r="M21" s="16" t="n"/>
      <c r="N21" s="16" t="n"/>
      <c r="O21" s="16" t="n"/>
      <c r="P21" s="16" t="n"/>
      <c r="Q21" s="17" t="n"/>
    </row>
    <row r="24">
      <c r="A24" s="20" t="inlineStr">
        <is>
          <t>SCALABILITY ASSESSMENT</t>
        </is>
      </c>
    </row>
    <row r="25">
      <c r="A25" s="18" t="inlineStr">
        <is>
          <t>Scalability Factor</t>
        </is>
      </c>
      <c r="B25" s="16" t="n"/>
      <c r="C25" s="16" t="n"/>
      <c r="D25" s="16" t="n"/>
      <c r="E25" s="16" t="n"/>
      <c r="F25" s="17" t="n"/>
      <c r="G25" s="18" t="inlineStr">
        <is>
          <t>Current/Projected</t>
        </is>
      </c>
      <c r="H25" s="16" t="n"/>
      <c r="I25" s="16" t="n"/>
      <c r="J25" s="16" t="n"/>
      <c r="K25" s="16" t="n"/>
      <c r="L25" s="17" t="n"/>
      <c r="M25" s="18" t="inlineStr">
        <is>
          <t>Target</t>
        </is>
      </c>
      <c r="N25" s="16" t="n"/>
      <c r="O25" s="16" t="n"/>
      <c r="P25" s="16" t="n"/>
      <c r="Q25" s="17" t="n"/>
    </row>
    <row r="26">
      <c r="A26" s="30" t="inlineStr">
        <is>
          <t>Current log sources (count)</t>
        </is>
      </c>
      <c r="B26" s="16" t="n"/>
      <c r="C26" s="16" t="n"/>
      <c r="D26" s="16" t="n"/>
      <c r="E26" s="16" t="n"/>
      <c r="F26" s="17" t="n"/>
      <c r="G26" s="15" t="inlineStr"/>
      <c r="H26" s="16" t="n"/>
      <c r="I26" s="16" t="n"/>
      <c r="J26" s="16" t="n"/>
      <c r="K26" s="16" t="n"/>
      <c r="L26" s="17" t="n"/>
      <c r="M26" s="6" t="inlineStr">
        <is>
          <t>N/A</t>
        </is>
      </c>
      <c r="N26" s="16" t="n"/>
      <c r="O26" s="16" t="n"/>
      <c r="P26" s="16" t="n"/>
      <c r="Q26" s="17" t="n"/>
    </row>
    <row r="27">
      <c r="A27" s="30" t="inlineStr">
        <is>
          <t>Projected log sources (12 months)</t>
        </is>
      </c>
      <c r="B27" s="16" t="n"/>
      <c r="C27" s="16" t="n"/>
      <c r="D27" s="16" t="n"/>
      <c r="E27" s="16" t="n"/>
      <c r="F27" s="17" t="n"/>
      <c r="G27" s="15" t="inlineStr"/>
      <c r="H27" s="16" t="n"/>
      <c r="I27" s="16" t="n"/>
      <c r="J27" s="16" t="n"/>
      <c r="K27" s="16" t="n"/>
      <c r="L27" s="17" t="n"/>
      <c r="M27" s="6" t="inlineStr">
        <is>
          <t>N/A</t>
        </is>
      </c>
      <c r="N27" s="16" t="n"/>
      <c r="O27" s="16" t="n"/>
      <c r="P27" s="16" t="n"/>
      <c r="Q27" s="17" t="n"/>
    </row>
    <row r="28">
      <c r="A28" s="30" t="inlineStr">
        <is>
          <t>Current daily log volume (GB)</t>
        </is>
      </c>
      <c r="B28" s="16" t="n"/>
      <c r="C28" s="16" t="n"/>
      <c r="D28" s="16" t="n"/>
      <c r="E28" s="16" t="n"/>
      <c r="F28" s="17" t="n"/>
      <c r="G28" s="15" t="inlineStr"/>
      <c r="H28" s="16" t="n"/>
      <c r="I28" s="16" t="n"/>
      <c r="J28" s="16" t="n"/>
      <c r="K28" s="16" t="n"/>
      <c r="L28" s="17" t="n"/>
      <c r="M28" s="6" t="inlineStr">
        <is>
          <t>N/A</t>
        </is>
      </c>
      <c r="N28" s="16" t="n"/>
      <c r="O28" s="16" t="n"/>
      <c r="P28" s="16" t="n"/>
      <c r="Q28" s="17" t="n"/>
    </row>
    <row r="29">
      <c r="A29" s="30" t="inlineStr">
        <is>
          <t>Projected daily log volume (12 months, GB)</t>
        </is>
      </c>
      <c r="B29" s="16" t="n"/>
      <c r="C29" s="16" t="n"/>
      <c r="D29" s="16" t="n"/>
      <c r="E29" s="16" t="n"/>
      <c r="F29" s="17" t="n"/>
      <c r="G29" s="15" t="inlineStr"/>
      <c r="H29" s="16" t="n"/>
      <c r="I29" s="16" t="n"/>
      <c r="J29" s="16" t="n"/>
      <c r="K29" s="16" t="n"/>
      <c r="L29" s="17" t="n"/>
      <c r="M29" s="6" t="inlineStr">
        <is>
          <t>N/A</t>
        </is>
      </c>
      <c r="N29" s="16" t="n"/>
      <c r="O29" s="16" t="n"/>
      <c r="P29" s="16" t="n"/>
      <c r="Q29" s="17" t="n"/>
    </row>
    <row r="30">
      <c r="A30" s="30" t="inlineStr">
        <is>
          <t>Growth rate (%)</t>
        </is>
      </c>
      <c r="B30" s="16" t="n"/>
      <c r="C30" s="16" t="n"/>
      <c r="D30" s="16" t="n"/>
      <c r="E30" s="16" t="n"/>
      <c r="F30" s="17" t="n"/>
      <c r="G30" s="15" t="inlineStr"/>
      <c r="H30" s="16" t="n"/>
      <c r="I30" s="16" t="n"/>
      <c r="J30" s="16" t="n"/>
      <c r="K30" s="16" t="n"/>
      <c r="L30" s="17" t="n"/>
      <c r="M30" s="6" t="inlineStr">
        <is>
          <t>&lt;30% increase</t>
        </is>
      </c>
      <c r="N30" s="16" t="n"/>
      <c r="O30" s="16" t="n"/>
      <c r="P30" s="16" t="n"/>
      <c r="Q30" s="17" t="n"/>
    </row>
    <row r="31">
      <c r="A31" s="30" t="inlineStr">
        <is>
          <t>Available capacity for growth (%)</t>
        </is>
      </c>
      <c r="B31" s="16" t="n"/>
      <c r="C31" s="16" t="n"/>
      <c r="D31" s="16" t="n"/>
      <c r="E31" s="16" t="n"/>
      <c r="F31" s="17" t="n"/>
      <c r="G31" s="15" t="inlineStr"/>
      <c r="H31" s="16" t="n"/>
      <c r="I31" s="16" t="n"/>
      <c r="J31" s="16" t="n"/>
      <c r="K31" s="16" t="n"/>
      <c r="L31" s="17" t="n"/>
      <c r="M31" s="6" t="inlineStr">
        <is>
          <t>&gt;50%</t>
        </is>
      </c>
      <c r="N31" s="16" t="n"/>
      <c r="O31" s="16" t="n"/>
      <c r="P31" s="16" t="n"/>
      <c r="Q31" s="17" t="n"/>
    </row>
    <row r="32">
      <c r="A32" s="30" t="inlineStr">
        <is>
          <t>Time to add new log source</t>
        </is>
      </c>
      <c r="B32" s="16" t="n"/>
      <c r="C32" s="16" t="n"/>
      <c r="D32" s="16" t="n"/>
      <c r="E32" s="16" t="n"/>
      <c r="F32" s="17" t="n"/>
      <c r="G32" s="15" t="inlineStr"/>
      <c r="H32" s="16" t="n"/>
      <c r="I32" s="16" t="n"/>
      <c r="J32" s="16" t="n"/>
      <c r="K32" s="16" t="n"/>
      <c r="L32" s="17" t="n"/>
      <c r="M32" s="6" t="inlineStr">
        <is>
          <t>&lt;1 hour</t>
        </is>
      </c>
      <c r="N32" s="16" t="n"/>
      <c r="O32" s="16" t="n"/>
      <c r="P32" s="16" t="n"/>
      <c r="Q32" s="17" t="n"/>
    </row>
    <row r="33">
      <c r="A33" s="30" t="inlineStr">
        <is>
          <t>Horizontal scaling capability</t>
        </is>
      </c>
      <c r="B33" s="16" t="n"/>
      <c r="C33" s="16" t="n"/>
      <c r="D33" s="16" t="n"/>
      <c r="E33" s="16" t="n"/>
      <c r="F33" s="17" t="n"/>
      <c r="G33" s="15" t="inlineStr"/>
      <c r="H33" s="16" t="n"/>
      <c r="I33" s="16" t="n"/>
      <c r="J33" s="16" t="n"/>
      <c r="K33" s="16" t="n"/>
      <c r="L33" s="17" t="n"/>
      <c r="M33" s="6" t="inlineStr">
        <is>
          <t>Yes</t>
        </is>
      </c>
      <c r="N33" s="16" t="n"/>
      <c r="O33" s="16" t="n"/>
      <c r="P33" s="16" t="n"/>
      <c r="Q33" s="17" t="n"/>
    </row>
    <row r="34">
      <c r="A34" s="30" t="inlineStr">
        <is>
          <t>Vertical scaling capability</t>
        </is>
      </c>
      <c r="B34" s="16" t="n"/>
      <c r="C34" s="16" t="n"/>
      <c r="D34" s="16" t="n"/>
      <c r="E34" s="16" t="n"/>
      <c r="F34" s="17" t="n"/>
      <c r="G34" s="15" t="inlineStr"/>
      <c r="H34" s="16" t="n"/>
      <c r="I34" s="16" t="n"/>
      <c r="J34" s="16" t="n"/>
      <c r="K34" s="16" t="n"/>
      <c r="L34" s="17" t="n"/>
      <c r="M34" s="6" t="inlineStr">
        <is>
          <t>Yes</t>
        </is>
      </c>
      <c r="N34" s="16" t="n"/>
      <c r="O34" s="16" t="n"/>
      <c r="P34" s="16" t="n"/>
      <c r="Q34" s="17" t="n"/>
    </row>
    <row r="35">
      <c r="A35" s="30" t="inlineStr">
        <is>
          <t>Capacity planning performed</t>
        </is>
      </c>
      <c r="B35" s="16" t="n"/>
      <c r="C35" s="16" t="n"/>
      <c r="D35" s="16" t="n"/>
      <c r="E35" s="16" t="n"/>
      <c r="F35" s="17" t="n"/>
      <c r="G35" s="15" t="inlineStr"/>
      <c r="H35" s="16" t="n"/>
      <c r="I35" s="16" t="n"/>
      <c r="J35" s="16" t="n"/>
      <c r="K35" s="16" t="n"/>
      <c r="L35" s="17" t="n"/>
      <c r="M35" s="6" t="inlineStr">
        <is>
          <t>Quarterly</t>
        </is>
      </c>
      <c r="N35" s="16" t="n"/>
      <c r="O35" s="16" t="n"/>
      <c r="P35" s="16" t="n"/>
      <c r="Q35" s="17" t="n"/>
    </row>
    <row r="37">
      <c r="A37" s="20" t="inlineStr">
        <is>
          <t>PERFORMANCE &amp; SCALABILITY CHECKLIST</t>
        </is>
      </c>
    </row>
    <row r="38">
      <c r="A38" s="18" t="inlineStr">
        <is>
          <t>#</t>
        </is>
      </c>
      <c r="B38" s="18" t="inlineStr">
        <is>
          <t>Requirement</t>
        </is>
      </c>
      <c r="C38" s="16" t="n"/>
      <c r="D38" s="16" t="n"/>
      <c r="E38" s="16" t="n"/>
      <c r="F38" s="16" t="n"/>
      <c r="G38" s="16" t="n"/>
      <c r="H38" s="16" t="n"/>
      <c r="I38" s="16" t="n"/>
      <c r="J38" s="16" t="n"/>
      <c r="K38" s="16" t="n"/>
      <c r="L38" s="16" t="n"/>
      <c r="M38" s="16" t="n"/>
      <c r="N38" s="16" t="n"/>
      <c r="O38" s="16" t="n"/>
      <c r="P38" s="17" t="n"/>
    </row>
    <row r="39">
      <c r="A39" t="n">
        <v>1</v>
      </c>
      <c r="B39" s="21" t="inlineStr">
        <is>
          <t>SIEM capacity utilization &lt;80%</t>
        </is>
      </c>
      <c r="Q39" s="15" t="n"/>
    </row>
    <row r="40">
      <c r="A40" t="n">
        <v>2</v>
      </c>
      <c r="B40" s="21" t="inlineStr">
        <is>
          <t>Search performance meets &lt;10 second target</t>
        </is>
      </c>
      <c r="Q40" s="15" t="n"/>
    </row>
    <row r="41">
      <c r="A41" t="n">
        <v>3</v>
      </c>
      <c r="B41" s="21" t="inlineStr">
        <is>
          <t>Indexing lag &lt;5 minutes</t>
        </is>
      </c>
      <c r="Q41" s="15" t="n"/>
    </row>
    <row r="42">
      <c r="A42" t="n">
        <v>4</v>
      </c>
      <c r="B42" s="21" t="inlineStr">
        <is>
          <t>Storage utilization &lt;80%</t>
        </is>
      </c>
      <c r="Q42" s="15" t="n"/>
    </row>
    <row r="43">
      <c r="A43" t="n">
        <v>5</v>
      </c>
      <c r="B43" s="21" t="inlineStr">
        <is>
          <t>SIEM availability &gt;99.5%</t>
        </is>
      </c>
      <c r="Q43" s="15" t="n"/>
    </row>
    <row r="44">
      <c r="A44" t="n">
        <v>6</v>
      </c>
      <c r="B44" s="21" t="inlineStr">
        <is>
          <t>Alert latency &lt;60 seconds</t>
        </is>
      </c>
      <c r="Q44" s="15" t="n"/>
    </row>
    <row r="45">
      <c r="A45" t="n">
        <v>7</v>
      </c>
      <c r="B45" s="21" t="inlineStr">
        <is>
          <t>Capacity planning performed quarterly</t>
        </is>
      </c>
      <c r="Q45" s="15" t="n"/>
    </row>
    <row r="46">
      <c r="A46" t="n">
        <v>8</v>
      </c>
      <c r="B46" s="21" t="inlineStr">
        <is>
          <t>Growth projections documented</t>
        </is>
      </c>
      <c r="Q46" s="15" t="n"/>
    </row>
    <row r="47">
      <c r="A47" t="n">
        <v>9</v>
      </c>
      <c r="B47" s="21" t="inlineStr">
        <is>
          <t>Scalability tested (load testing)</t>
        </is>
      </c>
      <c r="Q47" s="15" t="n"/>
    </row>
    <row r="48">
      <c r="A48" t="n">
        <v>10</v>
      </c>
      <c r="B48" s="21" t="inlineStr">
        <is>
          <t>Performance baselines established</t>
        </is>
      </c>
      <c r="Q48" s="15" t="n"/>
    </row>
    <row r="49">
      <c r="A49" t="n">
        <v>11</v>
      </c>
      <c r="B49" s="21" t="inlineStr">
        <is>
          <t>Performance monitoring automated</t>
        </is>
      </c>
      <c r="Q49" s="15" t="n"/>
    </row>
    <row r="50">
      <c r="A50" t="n">
        <v>12</v>
      </c>
      <c r="B50" s="21" t="inlineStr">
        <is>
          <t>Performance metrics reviewed monthly</t>
        </is>
      </c>
      <c r="Q50" s="15" t="n"/>
    </row>
    <row r="51">
      <c r="A51" t="n">
        <v>13</v>
      </c>
      <c r="B51" s="21" t="inlineStr">
        <is>
          <t>Capacity alerts configured</t>
        </is>
      </c>
      <c r="Q51" s="15" t="n"/>
    </row>
    <row r="52">
      <c r="A52" t="n">
        <v>14</v>
      </c>
      <c r="B52" s="21" t="inlineStr">
        <is>
          <t>Retention policies optimized for cost</t>
        </is>
      </c>
      <c r="Q52" s="15" t="n"/>
    </row>
    <row r="53">
      <c r="A53" t="n">
        <v>15</v>
      </c>
      <c r="B53" s="21" t="inlineStr">
        <is>
          <t>Disaster recovery capacity validated</t>
        </is>
      </c>
      <c r="Q53" s="15" t="n"/>
    </row>
    <row r="54">
      <c r="A54" s="22" t="inlineStr">
        <is>
          <t>SCORE:</t>
        </is>
      </c>
      <c r="B54" s="23">
        <f>COUNTIF(Q39:Q53,"✅ Compliant")&amp;" / 15"</f>
        <v/>
      </c>
    </row>
  </sheetData>
  <mergeCells count="71">
    <mergeCell ref="B43:P43"/>
    <mergeCell ref="B39:P39"/>
    <mergeCell ref="M34:Q34"/>
    <mergeCell ref="H13:Q13"/>
    <mergeCell ref="H19:Q19"/>
    <mergeCell ref="B48:P48"/>
    <mergeCell ref="G28:L28"/>
    <mergeCell ref="B42:P42"/>
    <mergeCell ref="H12:Q12"/>
    <mergeCell ref="A24:Q24"/>
    <mergeCell ref="A27:F27"/>
    <mergeCell ref="A26:F26"/>
    <mergeCell ref="G34:L34"/>
    <mergeCell ref="H15:Q15"/>
    <mergeCell ref="A1:Q1"/>
    <mergeCell ref="G30:L30"/>
    <mergeCell ref="B44:P44"/>
    <mergeCell ref="B53:P53"/>
    <mergeCell ref="H18:Q18"/>
    <mergeCell ref="A33:F33"/>
    <mergeCell ref="H14:Q14"/>
    <mergeCell ref="G33:L33"/>
    <mergeCell ref="M35:Q35"/>
    <mergeCell ref="B38:P38"/>
    <mergeCell ref="H8:Q8"/>
    <mergeCell ref="A32:F32"/>
    <mergeCell ref="B54:E54"/>
    <mergeCell ref="A35:F35"/>
    <mergeCell ref="G35:L35"/>
    <mergeCell ref="B49:P49"/>
    <mergeCell ref="H20:Q20"/>
    <mergeCell ref="G26:L26"/>
    <mergeCell ref="B40:P40"/>
    <mergeCell ref="A29:F29"/>
    <mergeCell ref="G29:L29"/>
    <mergeCell ref="H10:Q10"/>
    <mergeCell ref="M31:Q31"/>
    <mergeCell ref="A37:Q37"/>
    <mergeCell ref="G25:L25"/>
    <mergeCell ref="A28:F28"/>
    <mergeCell ref="M30:Q30"/>
    <mergeCell ref="M25:Q25"/>
    <mergeCell ref="A3:Q3"/>
    <mergeCell ref="G32:L32"/>
    <mergeCell ref="B51:P51"/>
    <mergeCell ref="H9:Q9"/>
    <mergeCell ref="A31:F31"/>
    <mergeCell ref="A2:Q2"/>
    <mergeCell ref="M28:Q28"/>
    <mergeCell ref="G31:L31"/>
    <mergeCell ref="M33:Q33"/>
    <mergeCell ref="A34:F34"/>
    <mergeCell ref="B41:P41"/>
    <mergeCell ref="H21:Q21"/>
    <mergeCell ref="M27:Q27"/>
    <mergeCell ref="A30:F30"/>
    <mergeCell ref="B45:P45"/>
    <mergeCell ref="B50:P50"/>
    <mergeCell ref="A5:Q5"/>
    <mergeCell ref="M26:Q26"/>
    <mergeCell ref="G27:L27"/>
    <mergeCell ref="B47:P47"/>
    <mergeCell ref="M29:Q29"/>
    <mergeCell ref="M32:Q32"/>
    <mergeCell ref="H17:Q17"/>
    <mergeCell ref="B46:P46"/>
    <mergeCell ref="H11:Q11"/>
    <mergeCell ref="H7:Q7"/>
    <mergeCell ref="H16:Q16"/>
    <mergeCell ref="B52:P52"/>
    <mergeCell ref="A25:F25"/>
  </mergeCells>
  <dataValidations count="1">
    <dataValidation sqref="E7 E8 E9 E10 E11 E12 E13 E14 E15 E16 E17 E18 E19 E20 E21 Q39 Q40 Q41 Q42 Q43 Q44 Q45 Q46 Q47 Q48 Q49 Q50 Q51 Q52 Q53" showDropDown="0" showInputMessage="0" showErrorMessage="0" allowBlank="0" type="list">
      <formula1>"✅ Compliant,⚠️ Partial,❌ Non-Compliant,N/A"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31" t="inlineStr">
        <is>
          <t>EVIDENCE REGISTER</t>
        </is>
      </c>
      <c r="B1" s="6" t="n"/>
      <c r="C1" s="6" t="n"/>
      <c r="D1" s="6" t="n"/>
      <c r="E1" s="6" t="n"/>
      <c r="F1" s="6" t="n"/>
      <c r="G1" s="6" t="n"/>
      <c r="H1" s="6" t="n"/>
    </row>
    <row r="2">
      <c r="A2" s="32" t="inlineStr">
        <is>
          <t>List all evidence files/documents referenced in this assessment (audit traceability).</t>
        </is>
      </c>
    </row>
    <row r="4">
      <c r="A4" s="33" t="inlineStr">
        <is>
          <t>Evidence ID</t>
        </is>
      </c>
      <c r="B4" s="33" t="inlineStr">
        <is>
          <t>Assessment Area</t>
        </is>
      </c>
      <c r="C4" s="33" t="inlineStr">
        <is>
          <t>Evidence Type</t>
        </is>
      </c>
      <c r="D4" s="33" t="inlineStr">
        <is>
          <t>Description</t>
        </is>
      </c>
      <c r="E4" s="33" t="inlineStr">
        <is>
          <t>Location/Path</t>
        </is>
      </c>
      <c r="F4" s="33" t="inlineStr">
        <is>
          <t>Date Collected</t>
        </is>
      </c>
      <c r="G4" s="33" t="inlineStr">
        <is>
          <t>Collected By</t>
        </is>
      </c>
      <c r="H4" s="33" t="inlineStr">
        <is>
          <t>Verification Status</t>
        </is>
      </c>
    </row>
    <row r="5">
      <c r="A5" s="34" t="inlineStr">
        <is>
          <t>EV-001</t>
        </is>
      </c>
      <c r="B5" s="34" t="inlineStr">
        <is>
          <t>Monitoring Infrastructure</t>
        </is>
      </c>
      <c r="C5" s="34" t="inlineStr">
        <is>
          <t>Configuration file</t>
        </is>
      </c>
      <c r="D5" s="34" t="inlineStr">
        <is>
          <t>SIEM platform configuration export — Splunk Enterprise production instance</t>
        </is>
      </c>
      <c r="E5" s="34" t="inlineStr">
        <is>
          <t>\\fileserver\isms\evidence\monitoring\splunk-config-export.json</t>
        </is>
      </c>
      <c r="F5" s="34" t="inlineStr">
        <is>
          <t>2024-03-01</t>
        </is>
      </c>
      <c r="G5" s="34" t="inlineStr">
        <is>
          <t>John Davies</t>
        </is>
      </c>
      <c r="H5" s="34" t="inlineStr">
        <is>
          <t>Verified</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2">
    <dataValidation sqref="C6:C105" showDropDown="0" showInputMessage="0" showErrorMessage="0" allowBlank="1" type="list">
      <formula1>"Configuration file,Screenshot,Log Export,Documentation,Report,Network scan,Audit log,Compliance report,Other"</formula1>
    </dataValidation>
    <dataValidation sqref="H6: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1"/>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12" customWidth="1" min="3" max="3"/>
    <col width="12" customWidth="1" min="4" max="4"/>
    <col width="15" customWidth="1" min="5" max="5"/>
    <col width="12" customWidth="1" min="6" max="6"/>
    <col width="14" customWidth="1" min="7" max="7"/>
  </cols>
  <sheetData>
    <row r="1" ht="35" customHeight="1">
      <c r="A1" s="11" t="inlineStr">
        <is>
          <t>MONITORING INFRASTRUCTURE ASSESSMENT — SUMMARY DASHBOARD</t>
        </is>
      </c>
    </row>
    <row r="2">
      <c r="A2" s="35" t="inlineStr">
        <is>
          <t>Summary Dashboard — Monitoring Activities | 01.03.2026</t>
        </is>
      </c>
    </row>
    <row r="4">
      <c r="A4" s="36" t="inlineStr">
        <is>
          <t>TABLE 1: COMPLIANCE OVERVIEW</t>
        </is>
      </c>
    </row>
    <row r="5">
      <c r="A5" s="37" t="inlineStr">
        <is>
          <t>Assessment Area</t>
        </is>
      </c>
      <c r="B5" s="37" t="inlineStr">
        <is>
          <t>Total Items</t>
        </is>
      </c>
      <c r="C5" s="37" t="inlineStr">
        <is>
          <t>Compliant</t>
        </is>
      </c>
      <c r="D5" s="37" t="inlineStr">
        <is>
          <t>Partial</t>
        </is>
      </c>
      <c r="E5" s="37" t="inlineStr">
        <is>
          <t>Non-Compliant</t>
        </is>
      </c>
      <c r="F5" s="37" t="inlineStr">
        <is>
          <t>N/A</t>
        </is>
      </c>
      <c r="G5" s="37" t="inlineStr">
        <is>
          <t>Compliance %</t>
        </is>
      </c>
    </row>
    <row r="6">
      <c r="A6" s="38" t="inlineStr">
        <is>
          <t>1. Monitoring Platform</t>
        </is>
      </c>
      <c r="B6" s="39">
        <f>SUM(C6:F6)</f>
        <v/>
      </c>
      <c r="C6" s="39">
        <f>COUNTIF('1. Monitoring Platform'!U24:U200,"✅ Compliant")</f>
        <v/>
      </c>
      <c r="D6" s="39">
        <f>COUNTIF('1. Monitoring Platform'!U24:U200,"⚠️ Partial")</f>
        <v/>
      </c>
      <c r="E6" s="39">
        <f>COUNTIF('1. Monitoring Platform'!U24:U200,"❌ Non-Compliant")</f>
        <v/>
      </c>
      <c r="F6" s="39">
        <f>COUNTIF('1. Monitoring Platform'!U24:U200,"N/A")</f>
        <v/>
      </c>
      <c r="G6" s="40">
        <f>IF((B6-F6)=0,0,C6/(B6-F6))</f>
        <v/>
      </c>
    </row>
    <row r="7">
      <c r="A7" s="38" t="inlineStr">
        <is>
          <t>2. Log Source Coverage</t>
        </is>
      </c>
      <c r="B7" s="39">
        <f>SUM(C7:F7)</f>
        <v/>
      </c>
      <c r="C7" s="39">
        <f>COUNTIF('2. Log Source Coverage'!T55:T69,"✅ Compliant")</f>
        <v/>
      </c>
      <c r="D7" s="39">
        <f>COUNTIF('2. Log Source Coverage'!T55:T69,"⚠️ Partial")</f>
        <v/>
      </c>
      <c r="E7" s="39">
        <f>COUNTIF('2. Log Source Coverage'!T55:T69,"❌ Non-Compliant")</f>
        <v/>
      </c>
      <c r="F7" s="39">
        <f>COUNTIF('2. Log Source Coverage'!T55:T69,"N/A")</f>
        <v/>
      </c>
      <c r="G7" s="40">
        <f>IF((B7-F7)=0,0,C7/(B7-F7))</f>
        <v/>
      </c>
    </row>
    <row r="8">
      <c r="A8" s="38" t="inlineStr">
        <is>
          <t>3. Data Collection Arch</t>
        </is>
      </c>
      <c r="B8" s="39">
        <f>SUM(C8:F8)</f>
        <v/>
      </c>
      <c r="C8" s="39">
        <f>COUNTIF('3. Data Collection Arch'!R61:R75,"✅ Compliant")</f>
        <v/>
      </c>
      <c r="D8" s="39">
        <f>COUNTIF('3. Data Collection Arch'!R61:R75,"⚠️ Partial")</f>
        <v/>
      </c>
      <c r="E8" s="39">
        <f>COUNTIF('3. Data Collection Arch'!R61:R75,"❌ Non-Compliant")</f>
        <v/>
      </c>
      <c r="F8" s="39">
        <f>COUNTIF('3. Data Collection Arch'!R61:R75,"N/A")</f>
        <v/>
      </c>
      <c r="G8" s="40">
        <f>IF((B8-F8)=0,0,C8/(B8-F8))</f>
        <v/>
      </c>
    </row>
    <row r="9">
      <c r="A9" s="38" t="inlineStr">
        <is>
          <t>4. Integration Enrichment</t>
        </is>
      </c>
      <c r="B9" s="39">
        <f>SUM(C9:F9)</f>
        <v/>
      </c>
      <c r="C9" s="39">
        <f>COUNTIF('4. Integration Enrichment'!P61:P75,"✅ Compliant")</f>
        <v/>
      </c>
      <c r="D9" s="39">
        <f>COUNTIF('4. Integration Enrichment'!P61:P75,"⚠️ Partial")</f>
        <v/>
      </c>
      <c r="E9" s="39">
        <f>COUNTIF('4. Integration Enrichment'!P61:P75,"❌ Non-Compliant")</f>
        <v/>
      </c>
      <c r="F9" s="39">
        <f>COUNTIF('4. Integration Enrichment'!P61:P75,"N/A")</f>
        <v/>
      </c>
      <c r="G9" s="40">
        <f>IF((B9-F9)=0,0,C9/(B9-F9))</f>
        <v/>
      </c>
    </row>
    <row r="10">
      <c r="A10" s="38" t="inlineStr">
        <is>
          <t>5. Performance Scale</t>
        </is>
      </c>
      <c r="B10" s="39">
        <f>SUM(C10:F10)</f>
        <v/>
      </c>
      <c r="C10" s="39">
        <f>COUNTIF('5. Performance Scale'!Q39:Q53,"✅ Compliant")</f>
        <v/>
      </c>
      <c r="D10" s="39">
        <f>COUNTIF('5. Performance Scale'!Q39:Q53,"⚠️ Partial")</f>
        <v/>
      </c>
      <c r="E10" s="39">
        <f>COUNTIF('5. Performance Scale'!Q39:Q53,"❌ Non-Compliant")</f>
        <v/>
      </c>
      <c r="F10" s="39">
        <f>COUNTIF('5. Performance Scale'!Q39:Q53,"N/A")</f>
        <v/>
      </c>
      <c r="G10" s="40">
        <f>IF((B10-F10)=0,0,C10/(B10-F10))</f>
        <v/>
      </c>
    </row>
    <row r="11">
      <c r="A11" s="41" t="inlineStr">
        <is>
          <t>TOTAL</t>
        </is>
      </c>
      <c r="B11" s="42">
        <f>SUM(B6:B10)</f>
        <v/>
      </c>
      <c r="C11" s="42">
        <f>SUM(C6:C10)</f>
        <v/>
      </c>
      <c r="D11" s="42">
        <f>SUM(D6:D10)</f>
        <v/>
      </c>
      <c r="E11" s="42">
        <f>SUM(E6:E10)</f>
        <v/>
      </c>
      <c r="F11" s="42">
        <f>SUM(F6:F10)</f>
        <v/>
      </c>
      <c r="G11" s="43">
        <f>IF((B11-F11)=0,0,C11/(B11-F11))</f>
        <v/>
      </c>
    </row>
    <row r="13">
      <c r="A13" s="36" t="inlineStr">
        <is>
          <t>TABLE 2: KEY METRICS</t>
        </is>
      </c>
    </row>
    <row r="14">
      <c r="A14" s="44" t="inlineStr">
        <is>
          <t>Metric</t>
        </is>
      </c>
      <c r="F14" s="37" t="inlineStr">
        <is>
          <t>Value</t>
        </is>
      </c>
    </row>
    <row r="15">
      <c r="A15" s="38" t="inlineStr">
        <is>
          <t>Monitoring Platforms — Deployed</t>
        </is>
      </c>
      <c r="B15" s="6" t="n"/>
      <c r="C15" s="6" t="n"/>
      <c r="D15" s="6" t="n"/>
      <c r="E15" s="6" t="n"/>
      <c r="F15" s="45">
        <f>COUNTIF('1. Monitoring Platform'!Q8:Q200,"✅ Deployed")</f>
        <v/>
      </c>
      <c r="G15" s="6" t="n"/>
    </row>
    <row r="16">
      <c r="A16" s="38" t="inlineStr">
        <is>
          <t>Monitoring Platforms — Compliance Gaps</t>
        </is>
      </c>
      <c r="B16" s="6" t="n"/>
      <c r="C16" s="6" t="n"/>
      <c r="D16" s="6" t="n"/>
      <c r="E16" s="6" t="n"/>
      <c r="F16" s="45">
        <f>COUNTIF('1. Monitoring Platform'!S8:S200,"❌ Non-Compliant")+COUNTIF('1. Monitoring Platform'!S8:S200,"⚠️ Partial")</f>
        <v/>
      </c>
      <c r="G16" s="6" t="n"/>
    </row>
    <row r="17">
      <c r="A17" s="38" t="inlineStr">
        <is>
          <t>Log Sources — Actively Collecting</t>
        </is>
      </c>
      <c r="B17" s="6" t="n"/>
      <c r="C17" s="6" t="n"/>
      <c r="D17" s="6" t="n"/>
      <c r="E17" s="6" t="n"/>
      <c r="F17" s="45">
        <f>COUNTIF('2. Log Source Coverage'!N8:N200,"✅ Collecting")</f>
        <v/>
      </c>
      <c r="G17" s="6" t="n"/>
    </row>
    <row r="18">
      <c r="A18" s="38" t="inlineStr">
        <is>
          <t>Log Sources — Not Collecting</t>
        </is>
      </c>
      <c r="B18" s="6" t="n"/>
      <c r="C18" s="6" t="n"/>
      <c r="D18" s="6" t="n"/>
      <c r="E18" s="6" t="n"/>
      <c r="F18" s="45">
        <f>COUNTIF('2. Log Source Coverage'!N8:N200,"❌ Not Collecting")</f>
        <v/>
      </c>
      <c r="G18" s="6" t="n"/>
    </row>
    <row r="19">
      <c r="A19" s="38" t="inlineStr">
        <is>
          <t>Critical Log Sources Missing</t>
        </is>
      </c>
      <c r="B19" s="6" t="n"/>
      <c r="C19" s="6" t="n"/>
      <c r="D19" s="6" t="n"/>
      <c r="E19" s="6" t="n"/>
      <c r="F19" s="45">
        <f>COUNTIFS('2. Log Source Coverage'!C8:C200,"Critical",'2. Log Source Coverage'!N8:N200,"❌ Not Collecting")</f>
        <v/>
      </c>
      <c r="G19" s="6" t="n"/>
    </row>
    <row r="20">
      <c r="A20" s="38" t="inlineStr">
        <is>
          <t>Collection Components — Deployed</t>
        </is>
      </c>
      <c r="B20" s="6" t="n"/>
      <c r="C20" s="6" t="n"/>
      <c r="D20" s="6" t="n"/>
      <c r="E20" s="6" t="n"/>
      <c r="F20" s="45">
        <f>COUNTIF('3. Data Collection Arch'!O8:O200,"✅ Deployed")</f>
        <v/>
      </c>
      <c r="G20" s="6" t="n"/>
    </row>
    <row r="21">
      <c r="A21" s="38" t="inlineStr">
        <is>
          <t>Integrations / Enrichment — Deployed</t>
        </is>
      </c>
      <c r="B21" s="6" t="n"/>
      <c r="C21" s="6" t="n"/>
      <c r="D21" s="6" t="n"/>
      <c r="E21" s="6" t="n"/>
      <c r="F21" s="45">
        <f>COUNTIF('4. Integration Enrichment'!L8:L200,"✅ Deployed")</f>
        <v/>
      </c>
      <c r="G21" s="6" t="n"/>
    </row>
    <row r="22">
      <c r="A22" s="38" t="inlineStr">
        <is>
          <t>High-Priority Items Across All Sheets</t>
        </is>
      </c>
      <c r="B22" s="6" t="n"/>
      <c r="C22" s="6" t="n"/>
      <c r="D22" s="6" t="n"/>
      <c r="E22" s="6" t="n"/>
      <c r="F22" s="45">
        <f>COUNTIF('2. Log Source Coverage'!C8:C200,"Critical")+COUNTIF('3. Data Collection Arch'!C8:C200,"Critical")+COUNTIF('4. Integration Enrichment'!C8:C200,"Critical")</f>
        <v/>
      </c>
      <c r="G22" s="6" t="n"/>
    </row>
    <row r="24">
      <c r="A24" s="46" t="inlineStr">
        <is>
          <t>TABLE 3: CRITICAL FINDINGS</t>
        </is>
      </c>
    </row>
    <row r="25">
      <c r="A25" s="44" t="inlineStr">
        <is>
          <t>Category / Finding</t>
        </is>
      </c>
      <c r="F25" s="37" t="inlineStr">
        <is>
          <t>Count</t>
        </is>
      </c>
      <c r="G25" s="37" t="inlineStr">
        <is>
          <t>Action</t>
        </is>
      </c>
    </row>
    <row r="26">
      <c r="A26" s="47" t="inlineStr">
        <is>
          <t>Log Sources — Not Collecting</t>
        </is>
      </c>
      <c r="B26" s="15" t="n"/>
      <c r="C26" s="15" t="n"/>
      <c r="D26" s="15" t="n"/>
      <c r="E26" s="15" t="n"/>
      <c r="F26" s="48">
        <f>COUNTIF('2. Log Source Coverage'!N8:N200,"❌ Not Collecting")</f>
        <v/>
      </c>
      <c r="G26" s="15" t="inlineStr"/>
    </row>
    <row r="27">
      <c r="A27" s="47" t="inlineStr">
        <is>
          <t>Critical Log Sources Missing</t>
        </is>
      </c>
      <c r="B27" s="15" t="n"/>
      <c r="C27" s="15" t="n"/>
      <c r="D27" s="15" t="n"/>
      <c r="E27" s="15" t="n"/>
      <c r="F27" s="48">
        <f>COUNTIFS('2. Log Source Coverage'!C8:C200,"Critical",'2. Log Source Coverage'!N8:N200,"❌ Not Collecting")</f>
        <v/>
      </c>
      <c r="G27" s="15" t="inlineStr"/>
    </row>
    <row r="28">
      <c r="A28" s="47" t="inlineStr">
        <is>
          <t>Platforms — Non-Compliant</t>
        </is>
      </c>
      <c r="B28" s="15" t="n"/>
      <c r="C28" s="15" t="n"/>
      <c r="D28" s="15" t="n"/>
      <c r="E28" s="15" t="n"/>
      <c r="F28" s="48">
        <f>COUNTIF('1. Monitoring Platform'!S8:S200,"❌ Non-Compliant")</f>
        <v/>
      </c>
      <c r="G28" s="15" t="inlineStr"/>
    </row>
    <row r="29">
      <c r="A29" s="47" t="inlineStr">
        <is>
          <t>Components — Not Deployed</t>
        </is>
      </c>
      <c r="B29" s="15" t="n"/>
      <c r="C29" s="15" t="n"/>
      <c r="D29" s="15" t="n"/>
      <c r="E29" s="15" t="n"/>
      <c r="F29" s="48">
        <f>COUNTIF('3. Data Collection Arch'!O8:O200,"❌ Not Deployed")</f>
        <v/>
      </c>
      <c r="G29" s="15" t="inlineStr"/>
    </row>
    <row r="30">
      <c r="A30" s="47" t="inlineStr">
        <is>
          <t>Integrations — Not Deployed</t>
        </is>
      </c>
      <c r="B30" s="15" t="n"/>
      <c r="C30" s="15" t="n"/>
      <c r="D30" s="15" t="n"/>
      <c r="E30" s="15" t="n"/>
      <c r="F30" s="48">
        <f>COUNTIF('4. Integration Enrichment'!L8:L200,"❌ Not Deployed")</f>
        <v/>
      </c>
      <c r="G30" s="15" t="inlineStr"/>
    </row>
    <row r="31">
      <c r="A31" s="49" t="inlineStr">
        <is>
          <t>Filter source sheets using AutoFilter — see column headers above</t>
        </is>
      </c>
    </row>
  </sheetData>
  <mergeCells count="29">
    <mergeCell ref="A30:E30"/>
    <mergeCell ref="F16:G16"/>
    <mergeCell ref="A15:E15"/>
    <mergeCell ref="F19:G19"/>
    <mergeCell ref="A4:G4"/>
    <mergeCell ref="A13:G13"/>
    <mergeCell ref="F21:G21"/>
    <mergeCell ref="F15:G15"/>
    <mergeCell ref="A16:E16"/>
    <mergeCell ref="A31:G31"/>
    <mergeCell ref="A25:E25"/>
    <mergeCell ref="F20:G20"/>
    <mergeCell ref="F18:G18"/>
    <mergeCell ref="A24:G24"/>
    <mergeCell ref="A18:E18"/>
    <mergeCell ref="F17:G17"/>
    <mergeCell ref="A27:E27"/>
    <mergeCell ref="A21:E21"/>
    <mergeCell ref="A1:G1"/>
    <mergeCell ref="A26:E26"/>
    <mergeCell ref="F22:G22"/>
    <mergeCell ref="A14:E14"/>
    <mergeCell ref="A22:E22"/>
    <mergeCell ref="A17:E17"/>
    <mergeCell ref="A29:E29"/>
    <mergeCell ref="A20:E20"/>
    <mergeCell ref="A28:E28"/>
    <mergeCell ref="A19:E19"/>
    <mergeCell ref="F14:G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3"/>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5" customWidth="1" min="3" max="3"/>
    <col width="25" customWidth="1" min="4" max="4"/>
    <col width="25" customWidth="1" min="5" max="5"/>
    <col width="25" customWidth="1" min="6" max="6"/>
  </cols>
  <sheetData>
    <row r="1" ht="35" customHeight="1">
      <c r="A1" s="31" t="inlineStr">
        <is>
          <t>ASSESSMENT APPROVAL AND SIGN-OFF</t>
        </is>
      </c>
      <c r="B1" s="6" t="n"/>
      <c r="C1" s="6" t="n"/>
      <c r="D1" s="6" t="n"/>
      <c r="E1" s="6" t="n"/>
    </row>
    <row r="2">
      <c r="A2" s="50" t="inlineStr">
        <is>
          <t>Monitoring Infrastructure Assessment Approval Workflow</t>
        </is>
      </c>
      <c r="B2" s="6" t="n"/>
      <c r="C2" s="6" t="n"/>
      <c r="D2" s="6" t="n"/>
      <c r="E2" s="6" t="n"/>
    </row>
    <row r="4">
      <c r="A4" s="26" t="inlineStr">
        <is>
          <t>COMPLETED BY</t>
        </is>
      </c>
      <c r="B4" s="6" t="n"/>
      <c r="C4" s="6" t="n"/>
      <c r="D4" s="6" t="n"/>
      <c r="E4" s="6" t="n"/>
    </row>
    <row r="5">
      <c r="A5" s="14" t="inlineStr">
        <is>
          <t>Name:</t>
        </is>
      </c>
      <c r="B5" s="15" t="inlineStr"/>
      <c r="C5" s="6" t="n"/>
      <c r="D5" s="6" t="n"/>
      <c r="E5" s="6" t="n"/>
    </row>
    <row r="6">
      <c r="A6" s="14" t="inlineStr">
        <is>
          <t>Title:</t>
        </is>
      </c>
      <c r="B6" s="15" t="inlineStr"/>
      <c r="C6" s="6" t="n"/>
      <c r="D6" s="6" t="n"/>
      <c r="E6" s="6" t="n"/>
    </row>
    <row r="7">
      <c r="A7" s="14" t="inlineStr">
        <is>
          <t>Date:</t>
        </is>
      </c>
      <c r="B7" s="15" t="inlineStr"/>
      <c r="C7" s="6" t="n"/>
      <c r="D7" s="6" t="n"/>
      <c r="E7" s="6" t="n"/>
    </row>
    <row r="8">
      <c r="A8" s="14" t="inlineStr">
        <is>
          <t>Signature:</t>
        </is>
      </c>
      <c r="B8" s="15" t="inlineStr"/>
      <c r="C8" s="6" t="n"/>
      <c r="D8" s="6" t="n"/>
      <c r="E8" s="6" t="n"/>
    </row>
    <row r="11">
      <c r="A11" s="26" t="inlineStr">
        <is>
          <t>REVIEWED BY</t>
        </is>
      </c>
      <c r="B11" s="6" t="n"/>
      <c r="C11" s="6" t="n"/>
      <c r="D11" s="6" t="n"/>
      <c r="E11" s="6" t="n"/>
    </row>
    <row r="12">
      <c r="A12" s="14" t="inlineStr">
        <is>
          <t>Name:</t>
        </is>
      </c>
      <c r="B12" s="15" t="inlineStr"/>
      <c r="C12" s="6" t="n"/>
      <c r="D12" s="6" t="n"/>
      <c r="E12" s="6" t="n"/>
    </row>
    <row r="13">
      <c r="A13" s="14" t="inlineStr">
        <is>
          <t>Title:</t>
        </is>
      </c>
      <c r="B13" s="15" t="inlineStr"/>
      <c r="C13" s="6" t="n"/>
      <c r="D13" s="6" t="n"/>
      <c r="E13" s="6" t="n"/>
    </row>
    <row r="14">
      <c r="A14" s="14" t="inlineStr">
        <is>
          <t>Date:</t>
        </is>
      </c>
      <c r="B14" s="15" t="inlineStr"/>
      <c r="C14" s="6" t="n"/>
      <c r="D14" s="6" t="n"/>
      <c r="E14" s="6" t="n"/>
    </row>
    <row r="15">
      <c r="A15" s="14" t="inlineStr">
        <is>
          <t>Signature:</t>
        </is>
      </c>
      <c r="B15" s="15" t="inlineStr"/>
      <c r="C15" s="6" t="n"/>
      <c r="D15" s="6" t="n"/>
      <c r="E15" s="6" t="n"/>
    </row>
    <row r="17">
      <c r="A17" s="51" t="inlineStr">
        <is>
          <t>Review Comments:</t>
        </is>
      </c>
      <c r="B17" s="6" t="n"/>
      <c r="C17" s="6" t="n"/>
      <c r="D17" s="6" t="n"/>
      <c r="E17" s="6" t="n"/>
    </row>
    <row r="18">
      <c r="A18" s="52" t="n"/>
      <c r="B18" s="6" t="n"/>
      <c r="C18" s="6" t="n"/>
      <c r="D18" s="6" t="n"/>
      <c r="E18" s="6" t="n"/>
    </row>
    <row r="19"/>
    <row r="20"/>
    <row r="21"/>
    <row r="24">
      <c r="A24" s="26" t="inlineStr">
        <is>
          <t>APPROVED BY</t>
        </is>
      </c>
      <c r="B24" s="6" t="n"/>
      <c r="C24" s="6" t="n"/>
      <c r="D24" s="6" t="n"/>
      <c r="E24" s="6" t="n"/>
    </row>
    <row r="25">
      <c r="A25" s="14" t="inlineStr">
        <is>
          <t>Name:</t>
        </is>
      </c>
      <c r="B25" s="15" t="inlineStr"/>
      <c r="C25" s="6" t="n"/>
      <c r="D25" s="6" t="n"/>
      <c r="E25" s="6" t="n"/>
    </row>
    <row r="26">
      <c r="A26" s="14" t="inlineStr">
        <is>
          <t>Title:</t>
        </is>
      </c>
      <c r="B26" s="15" t="inlineStr"/>
      <c r="C26" s="6" t="n"/>
      <c r="D26" s="6" t="n"/>
      <c r="E26" s="6" t="n"/>
    </row>
    <row r="27">
      <c r="A27" s="14" t="inlineStr">
        <is>
          <t>Approval Decision:</t>
        </is>
      </c>
      <c r="B27" s="15" t="inlineStr">
        <is>
          <t>[Dropdown: Approved, Approved with Conditions, Rejected]</t>
        </is>
      </c>
      <c r="C27" s="6" t="n"/>
      <c r="D27" s="6" t="n"/>
      <c r="E27" s="6" t="n"/>
    </row>
    <row r="28">
      <c r="A28" s="14" t="inlineStr">
        <is>
          <t>Date:</t>
        </is>
      </c>
      <c r="B28" s="15" t="inlineStr"/>
      <c r="C28" s="6" t="n"/>
      <c r="D28" s="6" t="n"/>
      <c r="E28" s="6" t="n"/>
    </row>
    <row r="29">
      <c r="A29" s="14" t="inlineStr">
        <is>
          <t>Signature:</t>
        </is>
      </c>
      <c r="B29" s="15" t="inlineStr"/>
      <c r="C29" s="6" t="n"/>
      <c r="D29" s="6" t="n"/>
      <c r="E29" s="6" t="n"/>
    </row>
    <row r="31">
      <c r="A31" s="51" t="inlineStr">
        <is>
          <t>Conditions/Comments:</t>
        </is>
      </c>
      <c r="B31" s="6" t="n"/>
      <c r="C31" s="6" t="n"/>
      <c r="D31" s="6" t="n"/>
      <c r="E31" s="6" t="n"/>
    </row>
    <row r="32">
      <c r="A32" s="52" t="n"/>
      <c r="B32" s="6" t="n"/>
      <c r="C32" s="6" t="n"/>
      <c r="D32" s="6" t="n"/>
      <c r="E32" s="6" t="n"/>
    </row>
    <row r="33"/>
    <row r="34"/>
    <row r="35"/>
    <row r="36"/>
    <row r="39">
      <c r="A39" s="53" t="inlineStr">
        <is>
          <t>FINAL DECISION</t>
        </is>
      </c>
      <c r="B39" s="6" t="n"/>
      <c r="C39" s="6" t="n"/>
      <c r="D39" s="6" t="n"/>
      <c r="E39" s="6" t="n"/>
    </row>
    <row r="40">
      <c r="A40" s="14" t="inlineStr">
        <is>
          <t>Decision:</t>
        </is>
      </c>
      <c r="B40" s="15" t="n"/>
      <c r="C40" s="6" t="n"/>
      <c r="D40" s="6" t="n"/>
      <c r="E40" s="6" t="n"/>
    </row>
    <row r="42">
      <c r="A42" s="54" t="inlineStr">
        <is>
          <t>NEXT REVIEW</t>
        </is>
      </c>
      <c r="B42" s="6" t="n"/>
      <c r="C42" s="6" t="n"/>
      <c r="D42" s="6" t="n"/>
      <c r="E42" s="6" t="n"/>
    </row>
    <row r="43">
      <c r="A43" s="14" t="inlineStr">
        <is>
          <t>Scheduled Review:</t>
        </is>
      </c>
      <c r="B43" s="15" t="n"/>
      <c r="C43" s="6" t="n"/>
      <c r="D43" s="6" t="n"/>
      <c r="E43" s="6" t="n"/>
    </row>
  </sheetData>
  <mergeCells count="26">
    <mergeCell ref="A39:E39"/>
    <mergeCell ref="B40:E40"/>
    <mergeCell ref="A24:E24"/>
    <mergeCell ref="B6:E6"/>
    <mergeCell ref="A11:E11"/>
    <mergeCell ref="B15:E15"/>
    <mergeCell ref="A1:E1"/>
    <mergeCell ref="B5:E5"/>
    <mergeCell ref="A18:E21"/>
    <mergeCell ref="B26:E26"/>
    <mergeCell ref="B7:E7"/>
    <mergeCell ref="B25:E25"/>
    <mergeCell ref="B27:E27"/>
    <mergeCell ref="A2:E2"/>
    <mergeCell ref="B43:E43"/>
    <mergeCell ref="B12:E12"/>
    <mergeCell ref="A42:E42"/>
    <mergeCell ref="A17:E17"/>
    <mergeCell ref="B14:E14"/>
    <mergeCell ref="A4:E4"/>
    <mergeCell ref="B8:E8"/>
    <mergeCell ref="B13:E13"/>
    <mergeCell ref="B29:E29"/>
    <mergeCell ref="A32:E36"/>
    <mergeCell ref="A31:E31"/>
    <mergeCell ref="B28:E28"/>
  </mergeCells>
  <dataValidations count="2">
    <dataValidation sqref="B27" showDropDown="0" showInputMessage="0" showErrorMessage="0" allowBlank="0" type="list">
      <formula1>"Approved,Approved with Conditions,Rejected"</formula1>
    </dataValidation>
    <dataValidation sqref="B40" showDropDown="0" showInputMessage="0" showErrorMessage="0" allowBlank="0"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ISMS-IMP-A.8.16.1 — Monitoring Infrastructure Assessment</dc:title>
  <dc:description xmlns:dc="http://purl.org/dc/elements/1.1/">ISMS Implementation Workbook — ISMS-IMP-A.8.16.1</dc:description>
  <dc:subject xmlns:dc="http://purl.org/dc/elements/1.1/">ISO/IEC 27001:2022 — Control A.8.16: Monitoring Activities</dc:subject>
  <dcterms:created xmlns:dcterms="http://purl.org/dc/terms/" xmlns:xsi="http://www.w3.org/2001/XMLSchema-instance" xsi:type="dcterms:W3CDTF">2026-03-01T10:19:53Z</dcterms:created>
  <dcterms:modified xmlns:dcterms="http://purl.org/dc/terms/" xmlns:xsi="http://www.w3.org/2001/XMLSchema-instance" xsi:type="dcterms:W3CDTF">2026-03-01T10:19:53Z</dcterms:modified>
</cp:coreProperties>
</file>