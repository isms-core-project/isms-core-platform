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 Asset Coverage" sheetId="2" state="visible" r:id="rId2"/>
    <sheet xmlns:r="http://schemas.openxmlformats.org/officeDocument/2006/relationships" name="2. Network Coverage" sheetId="3" state="visible" r:id="rId3"/>
    <sheet xmlns:r="http://schemas.openxmlformats.org/officeDocument/2006/relationships" name="3. User Identity Coverage" sheetId="4" state="visible" r:id="rId4"/>
    <sheet xmlns:r="http://schemas.openxmlformats.org/officeDocument/2006/relationships" name="4. Application Coverage" sheetId="5" state="visible" r:id="rId5"/>
    <sheet xmlns:r="http://schemas.openxmlformats.org/officeDocument/2006/relationships" name="5. Gap Analysis" sheetId="6" state="visible" r:id="rId6"/>
    <sheet xmlns:r="http://schemas.openxmlformats.org/officeDocument/2006/relationships" name="Summary Dashboard" sheetId="7" state="visible" r:id="rId7"/>
    <sheet xmlns:r="http://schemas.openxmlformats.org/officeDocument/2006/relationships" name="Evidence Register"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FFFFFF"/>
      <sz val="14"/>
    </font>
    <font>
      <name val="Calibri"/>
      <b val="1"/>
      <color rgb="00FFFFFF"/>
      <sz val="11"/>
    </font>
    <font>
      <b val="1"/>
      <color rgb="00FFFFFF"/>
      <sz val="12"/>
    </font>
    <font>
      <b val="1"/>
    </font>
    <font>
      <b val="1"/>
      <color rgb="00003366"/>
      <sz val="11"/>
    </font>
    <font>
      <b val="1"/>
      <sz val="11"/>
    </font>
    <font>
      <name val="Calibri"/>
      <b val="1"/>
      <sz val="10"/>
    </font>
    <font>
      <name val="Calibri"/>
      <i val="1"/>
      <color rgb="00808080"/>
      <sz val="9"/>
    </font>
    <font>
      <b val="1"/>
      <sz val="12"/>
    </font>
    <font>
      <b val="1"/>
      <color rgb="00003366"/>
      <sz val="12"/>
    </font>
  </fonts>
  <fills count="8">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
      <patternFill patternType="solid">
        <fgColor rgb="00F2F2F2"/>
        <bgColor rgb="00F2F2F2"/>
      </patternFill>
    </fill>
    <fill>
      <patternFill patternType="solid">
        <fgColor rgb="00E7E6E6"/>
        <bgColor rgb="00E7E6E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3" borderId="0" applyAlignment="1" pivotButton="0" quotePrefix="0" xfId="0">
      <alignment horizontal="center" vertical="center"/>
    </xf>
    <xf numFmtId="0" fontId="4" fillId="0" borderId="0" pivotButton="0" quotePrefix="0" xfId="0"/>
    <xf numFmtId="0" fontId="0" fillId="4" borderId="0" pivotButton="0" quotePrefix="0" xfId="0"/>
    <xf numFmtId="0" fontId="0" fillId="0" borderId="0" applyAlignment="1" pivotButton="0" quotePrefix="0" xfId="0">
      <alignment vertical="center" wrapText="1"/>
    </xf>
    <xf numFmtId="0" fontId="5" fillId="0" borderId="0" applyAlignment="1" pivotButton="0" quotePrefix="0" xfId="0">
      <alignment horizontal="center" vertical="center" wrapText="1"/>
    </xf>
    <xf numFmtId="0" fontId="6" fillId="0" borderId="0" applyAlignment="1" pivotButton="0" quotePrefix="0" xfId="0">
      <alignment vertical="center" wrapText="1"/>
    </xf>
    <xf numFmtId="0" fontId="7" fillId="5" borderId="1" applyAlignment="1" pivotButton="0" quotePrefix="0" xfId="0">
      <alignment horizontal="center" vertical="center" wrapText="1"/>
    </xf>
    <xf numFmtId="0" fontId="8" fillId="6" borderId="0" applyAlignment="1" pivotButton="0" quotePrefix="0" xfId="0">
      <alignment horizontal="left" vertical="center" wrapText="1"/>
    </xf>
    <xf numFmtId="0" fontId="0" fillId="4" borderId="1" pivotButton="0" quotePrefix="0" xfId="0"/>
    <xf numFmtId="0" fontId="0" fillId="0" borderId="4" pivotButton="0" quotePrefix="0" xfId="0"/>
    <xf numFmtId="0" fontId="0" fillId="0" borderId="5" pivotButton="0" quotePrefix="0" xfId="0"/>
    <xf numFmtId="0" fontId="9" fillId="0" borderId="0" pivotButton="0" quotePrefix="0" xfId="0"/>
    <xf numFmtId="0" fontId="10" fillId="0" borderId="0" pivotButton="0" quotePrefix="0" xfId="0"/>
    <xf numFmtId="0" fontId="0" fillId="7" borderId="0" pivotButton="0" quotePrefix="0" xfId="0"/>
    <xf numFmtId="0" fontId="0" fillId="4" borderId="1" applyAlignment="1" pivotButton="0" quotePrefix="0" xfId="0">
      <alignment vertical="center" wrapText="1"/>
    </xf>
    <xf numFmtId="0" fontId="4" fillId="0" borderId="0" applyAlignment="1" pivotButton="0" quotePrefix="0" xfId="0">
      <alignment vertical="center" wrapText="1"/>
    </xf>
    <xf numFmtId="0" fontId="6"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25" customWidth="1" min="1" max="1"/>
    <col width="40" customWidth="1" min="2" max="2"/>
    <col width="15" customWidth="1" min="3" max="3"/>
    <col width="15" customWidth="1" min="4" max="4"/>
    <col width="15" customWidth="1" min="5" max="5"/>
    <col width="15" customWidth="1" min="6" max="6"/>
    <col width="15" customWidth="1" min="7" max="7"/>
  </cols>
  <sheetData>
    <row r="1" ht="40" customHeight="1">
      <c r="A1" s="1" t="inlineStr">
        <is>
          <t>MONITORING COVERAGE ASSESSMENT</t>
        </is>
      </c>
    </row>
    <row r="2" ht="25" customHeight="1">
      <c r="A2" s="2" t="inlineStr">
        <is>
          <t>ISO/IEC 27001:2022 - Control A.8.16: Monitoring Activities</t>
        </is>
      </c>
    </row>
    <row r="4">
      <c r="A4" s="3" t="inlineStr">
        <is>
          <t>DOCUMENT INFORMATION</t>
        </is>
      </c>
    </row>
    <row r="5">
      <c r="A5" s="4" t="inlineStr">
        <is>
          <t>Document ID:</t>
        </is>
      </c>
      <c r="B5" t="inlineStr">
        <is>
          <t>ISMS-IMP-A.8.16.3</t>
        </is>
      </c>
    </row>
    <row r="6">
      <c r="A6" s="4" t="inlineStr">
        <is>
          <t>Assessment Area:</t>
        </is>
      </c>
      <c r="B6" t="inlineStr">
        <is>
          <t>Monitoring Coverage</t>
        </is>
      </c>
    </row>
    <row r="7">
      <c r="A7" s="4" t="inlineStr">
        <is>
          <t>Related Policy:</t>
        </is>
      </c>
      <c r="B7" t="inlineStr">
        <is>
          <t>ISMS-POL-A.8.16-S2.1.1, S2.1.2</t>
        </is>
      </c>
    </row>
    <row r="8">
      <c r="A8" s="4" t="inlineStr">
        <is>
          <t>Version:</t>
        </is>
      </c>
      <c r="B8" t="inlineStr">
        <is>
          <t>1.0</t>
        </is>
      </c>
    </row>
    <row r="9">
      <c r="A9" s="4" t="inlineStr">
        <is>
          <t>Assessment Date:</t>
        </is>
      </c>
      <c r="B9" s="5" t="inlineStr">
        <is>
          <t>[USER INPUT - DD.MM.YYYY]</t>
        </is>
      </c>
    </row>
    <row r="10">
      <c r="A10" s="4" t="inlineStr">
        <is>
          <t>Completed By:</t>
        </is>
      </c>
      <c r="B10" s="5" t="inlineStr">
        <is>
          <t>[USER INPUT]</t>
        </is>
      </c>
    </row>
    <row r="11">
      <c r="A11" s="4" t="inlineStr">
        <is>
          <t>Organization:</t>
        </is>
      </c>
      <c r="B11" s="5" t="inlineStr">
        <is>
          <t>[USER INPUT]</t>
        </is>
      </c>
    </row>
    <row r="12">
      <c r="A12" s="4" t="inlineStr">
        <is>
          <t>Review Cycle:</t>
        </is>
      </c>
      <c r="B12" t="inlineStr">
        <is>
          <t>Quarterly</t>
        </is>
      </c>
    </row>
    <row r="13">
      <c r="A13" s="4" t="inlineStr">
        <is>
          <t>Next Review Date:</t>
        </is>
      </c>
      <c r="B13">
        <f>IF(B8&lt;&gt;"","=B8+90","")</f>
        <v/>
      </c>
    </row>
    <row r="16">
      <c r="A16" s="3" t="inlineStr">
        <is>
          <t>HOW TO USE THIS WORKBOOK</t>
        </is>
      </c>
    </row>
    <row r="17" ht="25" customHeight="1">
      <c r="A17" s="6" t="inlineStr">
        <is>
          <t>1. Complete comprehensive asset inventory (Sheet 1)</t>
        </is>
      </c>
    </row>
    <row r="18" ht="25" customHeight="1">
      <c r="A18" s="6" t="inlineStr">
        <is>
          <t>2. Document all network segments and coverage (Sheet 2)</t>
        </is>
      </c>
    </row>
    <row r="19" ht="25" customHeight="1">
      <c r="A19" s="6" t="inlineStr">
        <is>
          <t>3. Assess user and identity system monitoring (Sheet 3)</t>
        </is>
      </c>
    </row>
    <row r="20" ht="25" customHeight="1">
      <c r="A20" s="6" t="inlineStr">
        <is>
          <t>4. Inventory application monitoring coverage (Sheet 4)</t>
        </is>
      </c>
    </row>
    <row r="21" ht="25" customHeight="1">
      <c r="A21" s="6" t="inlineStr">
        <is>
          <t>5. Identify and document all coverage gaps (Sheet 5)</t>
        </is>
      </c>
    </row>
    <row r="22" ht="25" customHeight="1">
      <c r="A22" s="6" t="inlineStr">
        <is>
          <t>6. Review Summary Dashboard for overall coverage status</t>
        </is>
      </c>
    </row>
    <row r="23" ht="25" customHeight="1">
      <c r="A23" s="6" t="inlineStr">
        <is>
          <t>7. Prioritize gaps by criticality and regulatory requirements</t>
        </is>
      </c>
    </row>
    <row r="24" ht="25" customHeight="1">
      <c r="A24" s="6" t="inlineStr">
        <is>
          <t>8. Document evidence in Evidence Register</t>
        </is>
      </c>
    </row>
    <row r="25" ht="25" customHeight="1">
      <c r="A25" s="6" t="inlineStr">
        <is>
          <t>9. Obtain approvals via Approval Sign-Off sheet</t>
        </is>
      </c>
    </row>
    <row r="28" ht="30" customHeight="1">
      <c r="A28" s="7" t="inlineStr">
        <is>
          <t>KEY PRINCIPLE: You Can't Protect What You Can't See</t>
        </is>
      </c>
    </row>
  </sheetData>
  <mergeCells count="5">
    <mergeCell ref="A1:G1"/>
    <mergeCell ref="A4:G4"/>
    <mergeCell ref="A16:G16"/>
    <mergeCell ref="A2:G2"/>
    <mergeCell ref="A28:G2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0"/>
  <sheetViews>
    <sheetView workbookViewId="0">
      <selection activeCell="A1" sqref="A1"/>
    </sheetView>
  </sheetViews>
  <sheetFormatPr baseColWidth="8" defaultRowHeight="15"/>
  <cols>
    <col width="15" customWidth="1" min="1" max="1"/>
    <col width="28" customWidth="1" min="2" max="2"/>
    <col width="22" customWidth="1" min="3" max="3"/>
    <col width="22" customWidth="1" min="4" max="4"/>
    <col width="18" customWidth="1" min="5" max="5"/>
    <col width="20" customWidth="1" min="6" max="6"/>
    <col width="20" customWidth="1" min="7" max="7"/>
    <col width="18" customWidth="1" min="8" max="8"/>
    <col width="15" customWidth="1" min="9" max="9"/>
    <col width="22" customWidth="1" min="10" max="10"/>
    <col width="16" customWidth="1" min="11" max="11"/>
    <col width="16" customWidth="1" min="12" max="12"/>
    <col width="30" customWidth="1" min="13" max="13"/>
    <col width="22" customWidth="1" min="14" max="14"/>
    <col width="16" customWidth="1" min="15" max="15"/>
    <col width="18" customWidth="1" min="16" max="16"/>
    <col width="14" customWidth="1" min="17" max="17"/>
    <col width="18" customWidth="1" min="18" max="18"/>
    <col width="30" customWidth="1" min="19" max="19"/>
    <col width="16" customWidth="1" min="20" max="20"/>
    <col width="14" customWidth="1" min="21" max="21"/>
    <col width="20" customWidth="1" min="22" max="22"/>
    <col width="25" customWidth="1" min="23" max="23"/>
  </cols>
  <sheetData>
    <row r="1" ht="35" customHeight="1">
      <c r="A1" s="1" t="inlineStr">
        <is>
          <t>1. ASSET INVENTORY &amp; MONITORING COVERAGE</t>
        </is>
      </c>
    </row>
    <row r="2">
      <c r="A2" s="2" t="inlineStr">
        <is>
          <t>Policy Reference: ISMS-POL-A.8.16-S2.1.1 - Assess asset coverage</t>
        </is>
      </c>
    </row>
    <row r="3" ht="30" customHeight="1">
      <c r="A3" s="8" t="inlineStr">
        <is>
          <t>Are all organizational assets inventoried and appropriate assets monitored?</t>
        </is>
      </c>
    </row>
    <row r="6">
      <c r="A6" s="9" t="inlineStr">
        <is>
          <t>Asset ID</t>
        </is>
      </c>
      <c r="B6" s="9" t="inlineStr">
        <is>
          <t>Asset Name</t>
        </is>
      </c>
      <c r="C6" s="9" t="inlineStr">
        <is>
          <t>Asset Type</t>
        </is>
      </c>
      <c r="D6" s="9" t="inlineStr">
        <is>
          <t>Operating System</t>
        </is>
      </c>
      <c r="E6" s="9" t="inlineStr">
        <is>
          <t>Location</t>
        </is>
      </c>
      <c r="F6" s="9" t="inlineStr">
        <is>
          <t>Business Unit</t>
        </is>
      </c>
      <c r="G6" s="9" t="inlineStr">
        <is>
          <t>Asset Owner</t>
        </is>
      </c>
      <c r="H6" s="9" t="inlineStr">
        <is>
          <t>Data Classification</t>
        </is>
      </c>
      <c r="I6" s="9" t="inlineStr">
        <is>
          <t>Criticality</t>
        </is>
      </c>
      <c r="J6" s="9" t="inlineStr">
        <is>
          <t>Regulatory Scope</t>
        </is>
      </c>
      <c r="K6" s="9" t="inlineStr">
        <is>
          <t>Monitoring Required</t>
        </is>
      </c>
      <c r="L6" s="9" t="inlineStr">
        <is>
          <t>Currently Monitored</t>
        </is>
      </c>
      <c r="M6" s="9" t="inlineStr">
        <is>
          <t>Log Types Collected</t>
        </is>
      </c>
      <c r="N6" s="9" t="inlineStr">
        <is>
          <t>Monitoring Platform</t>
        </is>
      </c>
      <c r="O6" s="9" t="inlineStr">
        <is>
          <t>Baseline Established</t>
        </is>
      </c>
      <c r="P6" s="9" t="inlineStr">
        <is>
          <t>Detection Rules Active</t>
        </is>
      </c>
      <c r="Q6" s="9" t="inlineStr">
        <is>
          <t>Last Log Verified</t>
        </is>
      </c>
      <c r="R6" s="9" t="inlineStr">
        <is>
          <t>Coverage Status</t>
        </is>
      </c>
      <c r="S6" s="9" t="inlineStr">
        <is>
          <t>Gap Reason</t>
        </is>
      </c>
      <c r="T6" s="9" t="inlineStr">
        <is>
          <t>Exception Approved</t>
        </is>
      </c>
      <c r="U6" s="9" t="inlineStr">
        <is>
          <t>Target Coverage Date</t>
        </is>
      </c>
      <c r="V6" s="9" t="inlineStr">
        <is>
          <t>Responsible Party</t>
        </is>
      </c>
      <c r="W6" s="9" t="inlineStr">
        <is>
          <t>Notes</t>
        </is>
      </c>
    </row>
    <row r="7">
      <c r="A7" s="10" t="inlineStr">
        <is>
          <t>SRV-001</t>
        </is>
      </c>
      <c r="B7" s="10" t="inlineStr">
        <is>
          <t>DC01-Primary</t>
        </is>
      </c>
      <c r="C7" s="10" t="inlineStr">
        <is>
          <t>Server</t>
        </is>
      </c>
      <c r="D7" s="10" t="inlineStr">
        <is>
          <t>Windows Server 2022</t>
        </is>
      </c>
      <c r="E7" s="10" t="inlineStr">
        <is>
          <t>DataCenter-1</t>
        </is>
      </c>
      <c r="F7" s="10" t="inlineStr">
        <is>
          <t>IT Operations</t>
        </is>
      </c>
      <c r="G7" s="10" t="inlineStr">
        <is>
          <t>J. Smith</t>
        </is>
      </c>
      <c r="H7" s="10" t="inlineStr">
        <is>
          <t>Confidential</t>
        </is>
      </c>
      <c r="I7" s="10" t="inlineStr">
        <is>
          <t>Critical</t>
        </is>
      </c>
      <c r="J7" s="10" t="inlineStr">
        <is>
          <t>Multiple</t>
        </is>
      </c>
      <c r="K7" s="10" t="inlineStr">
        <is>
          <t>Mandatory</t>
        </is>
      </c>
      <c r="L7" s="10" t="inlineStr">
        <is>
          <t>Yes</t>
        </is>
      </c>
      <c r="M7" s="10" t="inlineStr">
        <is>
          <t>Security, System, Application</t>
        </is>
      </c>
      <c r="N7" s="10" t="inlineStr">
        <is>
          <t>Splunk</t>
        </is>
      </c>
      <c r="O7" s="10" t="inlineStr">
        <is>
          <t>Yes</t>
        </is>
      </c>
      <c r="P7" s="10" t="inlineStr">
        <is>
          <t>15</t>
        </is>
      </c>
      <c r="Q7" s="10" t="inlineStr">
        <is>
          <t>05.01.2025</t>
        </is>
      </c>
      <c r="R7" s="10" t="inlineStr">
        <is>
          <t>✅ Full Coverage</t>
        </is>
      </c>
      <c r="S7" s="10" t="inlineStr">
        <is>
          <t>None</t>
        </is>
      </c>
      <c r="T7" s="10" t="inlineStr">
        <is>
          <t>N/A</t>
        </is>
      </c>
      <c r="U7" s="10" t="inlineStr">
        <is>
          <t>N/A</t>
        </is>
      </c>
      <c r="V7" s="10" t="inlineStr">
        <is>
          <t>SOC Team</t>
        </is>
      </c>
      <c r="W7" s="10" t="inlineStr">
        <is>
          <t>Production DC</t>
        </is>
      </c>
    </row>
    <row r="8">
      <c r="A8" s="11" t="n"/>
      <c r="B8" s="11" t="n"/>
      <c r="C8" s="11" t="n"/>
      <c r="D8" s="11" t="n"/>
      <c r="E8" s="11" t="n"/>
      <c r="F8" s="11" t="n"/>
      <c r="G8" s="11" t="n"/>
      <c r="H8" s="11" t="n"/>
      <c r="I8" s="11" t="n"/>
      <c r="J8" s="11" t="n"/>
      <c r="K8" s="11" t="n"/>
      <c r="L8" s="11" t="n"/>
      <c r="M8" s="11" t="n"/>
      <c r="N8" s="11" t="n"/>
      <c r="O8" s="11" t="n"/>
      <c r="P8" s="11" t="n"/>
      <c r="Q8" s="11" t="n"/>
      <c r="R8" s="11" t="n"/>
      <c r="S8" s="11" t="n"/>
      <c r="T8" s="11" t="n"/>
      <c r="U8" s="11" t="n"/>
      <c r="V8" s="11" t="n"/>
      <c r="W8" s="11" t="n"/>
    </row>
    <row r="9">
      <c r="A9" s="11" t="n"/>
      <c r="B9" s="11" t="n"/>
      <c r="C9" s="11" t="n"/>
      <c r="D9" s="11" t="n"/>
      <c r="E9" s="11" t="n"/>
      <c r="F9" s="11" t="n"/>
      <c r="G9" s="11" t="n"/>
      <c r="H9" s="11" t="n"/>
      <c r="I9" s="11" t="n"/>
      <c r="J9" s="11" t="n"/>
      <c r="K9" s="11" t="n"/>
      <c r="L9" s="11" t="n"/>
      <c r="M9" s="11" t="n"/>
      <c r="N9" s="11" t="n"/>
      <c r="O9" s="11" t="n"/>
      <c r="P9" s="11" t="n"/>
      <c r="Q9" s="11" t="n"/>
      <c r="R9" s="11" t="n"/>
      <c r="S9" s="11" t="n"/>
      <c r="T9" s="11" t="n"/>
      <c r="U9" s="11" t="n"/>
      <c r="V9" s="11" t="n"/>
      <c r="W9" s="11" t="n"/>
    </row>
    <row r="10">
      <c r="A10" s="11" t="n"/>
      <c r="B10" s="11" t="n"/>
      <c r="C10" s="11" t="n"/>
      <c r="D10" s="11" t="n"/>
      <c r="E10" s="11" t="n"/>
      <c r="F10" s="11" t="n"/>
      <c r="G10" s="11" t="n"/>
      <c r="H10" s="11" t="n"/>
      <c r="I10" s="11" t="n"/>
      <c r="J10" s="11" t="n"/>
      <c r="K10" s="11" t="n"/>
      <c r="L10" s="11" t="n"/>
      <c r="M10" s="11" t="n"/>
      <c r="N10" s="11" t="n"/>
      <c r="O10" s="11" t="n"/>
      <c r="P10" s="11" t="n"/>
      <c r="Q10" s="11" t="n"/>
      <c r="R10" s="11" t="n"/>
      <c r="S10" s="11" t="n"/>
      <c r="T10" s="11" t="n"/>
      <c r="U10" s="11" t="n"/>
      <c r="V10" s="11" t="n"/>
      <c r="W10" s="11" t="n"/>
    </row>
    <row r="11">
      <c r="A11" s="11" t="n"/>
      <c r="B11" s="11" t="n"/>
      <c r="C11" s="11" t="n"/>
      <c r="D11" s="11" t="n"/>
      <c r="E11" s="11" t="n"/>
      <c r="F11" s="11" t="n"/>
      <c r="G11" s="11" t="n"/>
      <c r="H11" s="11" t="n"/>
      <c r="I11" s="11" t="n"/>
      <c r="J11" s="11" t="n"/>
      <c r="K11" s="11" t="n"/>
      <c r="L11" s="11" t="n"/>
      <c r="M11" s="11" t="n"/>
      <c r="N11" s="11" t="n"/>
      <c r="O11" s="11" t="n"/>
      <c r="P11" s="11" t="n"/>
      <c r="Q11" s="11" t="n"/>
      <c r="R11" s="11" t="n"/>
      <c r="S11" s="11" t="n"/>
      <c r="T11" s="11" t="n"/>
      <c r="U11" s="11" t="n"/>
      <c r="V11" s="11" t="n"/>
      <c r="W11" s="11" t="n"/>
    </row>
    <row r="12">
      <c r="A12" s="11" t="n"/>
      <c r="B12" s="11" t="n"/>
      <c r="C12" s="11" t="n"/>
      <c r="D12" s="11" t="n"/>
      <c r="E12" s="11" t="n"/>
      <c r="F12" s="11" t="n"/>
      <c r="G12" s="11" t="n"/>
      <c r="H12" s="11" t="n"/>
      <c r="I12" s="11" t="n"/>
      <c r="J12" s="11" t="n"/>
      <c r="K12" s="11" t="n"/>
      <c r="L12" s="11" t="n"/>
      <c r="M12" s="11" t="n"/>
      <c r="N12" s="11" t="n"/>
      <c r="O12" s="11" t="n"/>
      <c r="P12" s="11" t="n"/>
      <c r="Q12" s="11" t="n"/>
      <c r="R12" s="11" t="n"/>
      <c r="S12" s="11" t="n"/>
      <c r="T12" s="11" t="n"/>
      <c r="U12" s="11" t="n"/>
      <c r="V12" s="11" t="n"/>
      <c r="W12" s="11" t="n"/>
    </row>
    <row r="13">
      <c r="A13" s="11" t="n"/>
      <c r="B13" s="11" t="n"/>
      <c r="C13" s="11" t="n"/>
      <c r="D13" s="11" t="n"/>
      <c r="E13" s="11" t="n"/>
      <c r="F13" s="11" t="n"/>
      <c r="G13" s="11" t="n"/>
      <c r="H13" s="11" t="n"/>
      <c r="I13" s="11" t="n"/>
      <c r="J13" s="11" t="n"/>
      <c r="K13" s="11" t="n"/>
      <c r="L13" s="11" t="n"/>
      <c r="M13" s="11" t="n"/>
      <c r="N13" s="11" t="n"/>
      <c r="O13" s="11" t="n"/>
      <c r="P13" s="11" t="n"/>
      <c r="Q13" s="11" t="n"/>
      <c r="R13" s="11" t="n"/>
      <c r="S13" s="11" t="n"/>
      <c r="T13" s="11" t="n"/>
      <c r="U13" s="11" t="n"/>
      <c r="V13" s="11" t="n"/>
      <c r="W13" s="11" t="n"/>
    </row>
    <row r="14">
      <c r="A14" s="11" t="n"/>
      <c r="B14" s="11" t="n"/>
      <c r="C14" s="11" t="n"/>
      <c r="D14" s="11" t="n"/>
      <c r="E14" s="11" t="n"/>
      <c r="F14" s="11" t="n"/>
      <c r="G14" s="11" t="n"/>
      <c r="H14" s="11" t="n"/>
      <c r="I14" s="11" t="n"/>
      <c r="J14" s="11" t="n"/>
      <c r="K14" s="11" t="n"/>
      <c r="L14" s="11" t="n"/>
      <c r="M14" s="11" t="n"/>
      <c r="N14" s="11" t="n"/>
      <c r="O14" s="11" t="n"/>
      <c r="P14" s="11" t="n"/>
      <c r="Q14" s="11" t="n"/>
      <c r="R14" s="11" t="n"/>
      <c r="S14" s="11" t="n"/>
      <c r="T14" s="11" t="n"/>
      <c r="U14" s="11" t="n"/>
      <c r="V14" s="11" t="n"/>
      <c r="W14" s="11" t="n"/>
    </row>
    <row r="15">
      <c r="A15" s="11" t="n"/>
      <c r="B15" s="11" t="n"/>
      <c r="C15" s="11" t="n"/>
      <c r="D15" s="11" t="n"/>
      <c r="E15" s="11" t="n"/>
      <c r="F15" s="11" t="n"/>
      <c r="G15" s="11" t="n"/>
      <c r="H15" s="11" t="n"/>
      <c r="I15" s="11" t="n"/>
      <c r="J15" s="11" t="n"/>
      <c r="K15" s="11" t="n"/>
      <c r="L15" s="11" t="n"/>
      <c r="M15" s="11" t="n"/>
      <c r="N15" s="11" t="n"/>
      <c r="O15" s="11" t="n"/>
      <c r="P15" s="11" t="n"/>
      <c r="Q15" s="11" t="n"/>
      <c r="R15" s="11" t="n"/>
      <c r="S15" s="11" t="n"/>
      <c r="T15" s="11" t="n"/>
      <c r="U15" s="11" t="n"/>
      <c r="V15" s="11" t="n"/>
      <c r="W15" s="11" t="n"/>
    </row>
    <row r="16">
      <c r="A16" s="11" t="n"/>
      <c r="B16" s="11" t="n"/>
      <c r="C16" s="11" t="n"/>
      <c r="D16" s="11" t="n"/>
      <c r="E16" s="11" t="n"/>
      <c r="F16" s="11" t="n"/>
      <c r="G16" s="11" t="n"/>
      <c r="H16" s="11" t="n"/>
      <c r="I16" s="11" t="n"/>
      <c r="J16" s="11" t="n"/>
      <c r="K16" s="11" t="n"/>
      <c r="L16" s="11" t="n"/>
      <c r="M16" s="11" t="n"/>
      <c r="N16" s="11" t="n"/>
      <c r="O16" s="11" t="n"/>
      <c r="P16" s="11" t="n"/>
      <c r="Q16" s="11" t="n"/>
      <c r="R16" s="11" t="n"/>
      <c r="S16" s="11" t="n"/>
      <c r="T16" s="11" t="n"/>
      <c r="U16" s="11" t="n"/>
      <c r="V16" s="11" t="n"/>
      <c r="W16" s="11" t="n"/>
    </row>
    <row r="17">
      <c r="A17" s="11" t="n"/>
      <c r="B17" s="11" t="n"/>
      <c r="C17" s="11" t="n"/>
      <c r="D17" s="11" t="n"/>
      <c r="E17" s="11" t="n"/>
      <c r="F17" s="11" t="n"/>
      <c r="G17" s="11" t="n"/>
      <c r="H17" s="11" t="n"/>
      <c r="I17" s="11" t="n"/>
      <c r="J17" s="11" t="n"/>
      <c r="K17" s="11" t="n"/>
      <c r="L17" s="11" t="n"/>
      <c r="M17" s="11" t="n"/>
      <c r="N17" s="11" t="n"/>
      <c r="O17" s="11" t="n"/>
      <c r="P17" s="11" t="n"/>
      <c r="Q17" s="11" t="n"/>
      <c r="R17" s="11" t="n"/>
      <c r="S17" s="11" t="n"/>
      <c r="T17" s="11" t="n"/>
      <c r="U17" s="11" t="n"/>
      <c r="V17" s="11" t="n"/>
      <c r="W17" s="11" t="n"/>
    </row>
    <row r="18">
      <c r="A18" s="11" t="n"/>
      <c r="B18" s="11" t="n"/>
      <c r="C18" s="11" t="n"/>
      <c r="D18" s="11" t="n"/>
      <c r="E18" s="11" t="n"/>
      <c r="F18" s="11" t="n"/>
      <c r="G18" s="11" t="n"/>
      <c r="H18" s="11" t="n"/>
      <c r="I18" s="11" t="n"/>
      <c r="J18" s="11" t="n"/>
      <c r="K18" s="11" t="n"/>
      <c r="L18" s="11" t="n"/>
      <c r="M18" s="11" t="n"/>
      <c r="N18" s="11" t="n"/>
      <c r="O18" s="11" t="n"/>
      <c r="P18" s="11" t="n"/>
      <c r="Q18" s="11" t="n"/>
      <c r="R18" s="11" t="n"/>
      <c r="S18" s="11" t="n"/>
      <c r="T18" s="11" t="n"/>
      <c r="U18" s="11" t="n"/>
      <c r="V18" s="11" t="n"/>
      <c r="W18" s="11" t="n"/>
    </row>
    <row r="19">
      <c r="A19" s="11" t="n"/>
      <c r="B19" s="11" t="n"/>
      <c r="C19" s="11" t="n"/>
      <c r="D19" s="11" t="n"/>
      <c r="E19" s="11" t="n"/>
      <c r="F19" s="11" t="n"/>
      <c r="G19" s="11" t="n"/>
      <c r="H19" s="11" t="n"/>
      <c r="I19" s="11" t="n"/>
      <c r="J19" s="11" t="n"/>
      <c r="K19" s="11" t="n"/>
      <c r="L19" s="11" t="n"/>
      <c r="M19" s="11" t="n"/>
      <c r="N19" s="11" t="n"/>
      <c r="O19" s="11" t="n"/>
      <c r="P19" s="11" t="n"/>
      <c r="Q19" s="11" t="n"/>
      <c r="R19" s="11" t="n"/>
      <c r="S19" s="11" t="n"/>
      <c r="T19" s="11" t="n"/>
      <c r="U19" s="11" t="n"/>
      <c r="V19" s="11" t="n"/>
      <c r="W19" s="11" t="n"/>
    </row>
    <row r="20">
      <c r="A20" s="11" t="n"/>
      <c r="B20" s="11" t="n"/>
      <c r="C20" s="11" t="n"/>
      <c r="D20" s="11" t="n"/>
      <c r="E20" s="11" t="n"/>
      <c r="F20" s="11" t="n"/>
      <c r="G20" s="11" t="n"/>
      <c r="H20" s="11" t="n"/>
      <c r="I20" s="11" t="n"/>
      <c r="J20" s="11" t="n"/>
      <c r="K20" s="11" t="n"/>
      <c r="L20" s="11" t="n"/>
      <c r="M20" s="11" t="n"/>
      <c r="N20" s="11" t="n"/>
      <c r="O20" s="11" t="n"/>
      <c r="P20" s="11" t="n"/>
      <c r="Q20" s="11" t="n"/>
      <c r="R20" s="11" t="n"/>
      <c r="S20" s="11" t="n"/>
      <c r="T20" s="11" t="n"/>
      <c r="U20" s="11" t="n"/>
      <c r="V20" s="11" t="n"/>
      <c r="W20" s="11" t="n"/>
    </row>
    <row r="21">
      <c r="A21" s="11" t="n"/>
      <c r="B21" s="11" t="n"/>
      <c r="C21" s="11" t="n"/>
      <c r="D21" s="11" t="n"/>
      <c r="E21" s="11" t="n"/>
      <c r="F21" s="11" t="n"/>
      <c r="G21" s="11" t="n"/>
      <c r="H21" s="11" t="n"/>
      <c r="I21" s="11" t="n"/>
      <c r="J21" s="11" t="n"/>
      <c r="K21" s="11" t="n"/>
      <c r="L21" s="11" t="n"/>
      <c r="M21" s="11" t="n"/>
      <c r="N21" s="11" t="n"/>
      <c r="O21" s="11" t="n"/>
      <c r="P21" s="11" t="n"/>
      <c r="Q21" s="11" t="n"/>
      <c r="R21" s="11" t="n"/>
      <c r="S21" s="11" t="n"/>
      <c r="T21" s="11" t="n"/>
      <c r="U21" s="11" t="n"/>
      <c r="V21" s="11" t="n"/>
      <c r="W21" s="11" t="n"/>
    </row>
    <row r="22">
      <c r="A22" s="11" t="n"/>
      <c r="B22" s="11" t="n"/>
      <c r="C22" s="11" t="n"/>
      <c r="D22" s="11" t="n"/>
      <c r="E22" s="11" t="n"/>
      <c r="F22" s="11" t="n"/>
      <c r="G22" s="11" t="n"/>
      <c r="H22" s="11" t="n"/>
      <c r="I22" s="11" t="n"/>
      <c r="J22" s="11" t="n"/>
      <c r="K22" s="11" t="n"/>
      <c r="L22" s="11" t="n"/>
      <c r="M22" s="11" t="n"/>
      <c r="N22" s="11" t="n"/>
      <c r="O22" s="11" t="n"/>
      <c r="P22" s="11" t="n"/>
      <c r="Q22" s="11" t="n"/>
      <c r="R22" s="11" t="n"/>
      <c r="S22" s="11" t="n"/>
      <c r="T22" s="11" t="n"/>
      <c r="U22" s="11" t="n"/>
      <c r="V22" s="11" t="n"/>
      <c r="W22" s="11" t="n"/>
    </row>
    <row r="23">
      <c r="A23" s="11" t="n"/>
      <c r="B23" s="11" t="n"/>
      <c r="C23" s="11" t="n"/>
      <c r="D23" s="11" t="n"/>
      <c r="E23" s="11" t="n"/>
      <c r="F23" s="11" t="n"/>
      <c r="G23" s="11" t="n"/>
      <c r="H23" s="11" t="n"/>
      <c r="I23" s="11" t="n"/>
      <c r="J23" s="11" t="n"/>
      <c r="K23" s="11" t="n"/>
      <c r="L23" s="11" t="n"/>
      <c r="M23" s="11" t="n"/>
      <c r="N23" s="11" t="n"/>
      <c r="O23" s="11" t="n"/>
      <c r="P23" s="11" t="n"/>
      <c r="Q23" s="11" t="n"/>
      <c r="R23" s="11" t="n"/>
      <c r="S23" s="11" t="n"/>
      <c r="T23" s="11" t="n"/>
      <c r="U23" s="11" t="n"/>
      <c r="V23" s="11" t="n"/>
      <c r="W23" s="11" t="n"/>
    </row>
    <row r="24">
      <c r="A24" s="11" t="n"/>
      <c r="B24" s="11" t="n"/>
      <c r="C24" s="11" t="n"/>
      <c r="D24" s="11" t="n"/>
      <c r="E24" s="11" t="n"/>
      <c r="F24" s="11" t="n"/>
      <c r="G24" s="11" t="n"/>
      <c r="H24" s="11" t="n"/>
      <c r="I24" s="11" t="n"/>
      <c r="J24" s="11" t="n"/>
      <c r="K24" s="11" t="n"/>
      <c r="L24" s="11" t="n"/>
      <c r="M24" s="11" t="n"/>
      <c r="N24" s="11" t="n"/>
      <c r="O24" s="11" t="n"/>
      <c r="P24" s="11" t="n"/>
      <c r="Q24" s="11" t="n"/>
      <c r="R24" s="11" t="n"/>
      <c r="S24" s="11" t="n"/>
      <c r="T24" s="11" t="n"/>
      <c r="U24" s="11" t="n"/>
      <c r="V24" s="11" t="n"/>
      <c r="W24" s="11" t="n"/>
    </row>
    <row r="25">
      <c r="A25" s="11" t="n"/>
      <c r="B25" s="11" t="n"/>
      <c r="C25" s="11" t="n"/>
      <c r="D25" s="11" t="n"/>
      <c r="E25" s="11" t="n"/>
      <c r="F25" s="11" t="n"/>
      <c r="G25" s="11" t="n"/>
      <c r="H25" s="11" t="n"/>
      <c r="I25" s="11" t="n"/>
      <c r="J25" s="11" t="n"/>
      <c r="K25" s="11" t="n"/>
      <c r="L25" s="11" t="n"/>
      <c r="M25" s="11" t="n"/>
      <c r="N25" s="11" t="n"/>
      <c r="O25" s="11" t="n"/>
      <c r="P25" s="11" t="n"/>
      <c r="Q25" s="11" t="n"/>
      <c r="R25" s="11" t="n"/>
      <c r="S25" s="11" t="n"/>
      <c r="T25" s="11" t="n"/>
      <c r="U25" s="11" t="n"/>
      <c r="V25" s="11" t="n"/>
      <c r="W25" s="11" t="n"/>
    </row>
    <row r="26">
      <c r="A26" s="11" t="n"/>
      <c r="B26" s="11" t="n"/>
      <c r="C26" s="11" t="n"/>
      <c r="D26" s="11" t="n"/>
      <c r="E26" s="11" t="n"/>
      <c r="F26" s="11" t="n"/>
      <c r="G26" s="11" t="n"/>
      <c r="H26" s="11" t="n"/>
      <c r="I26" s="11" t="n"/>
      <c r="J26" s="11" t="n"/>
      <c r="K26" s="11" t="n"/>
      <c r="L26" s="11" t="n"/>
      <c r="M26" s="11" t="n"/>
      <c r="N26" s="11" t="n"/>
      <c r="O26" s="11" t="n"/>
      <c r="P26" s="11" t="n"/>
      <c r="Q26" s="11" t="n"/>
      <c r="R26" s="11" t="n"/>
      <c r="S26" s="11" t="n"/>
      <c r="T26" s="11" t="n"/>
      <c r="U26" s="11" t="n"/>
      <c r="V26" s="11" t="n"/>
      <c r="W26" s="11" t="n"/>
    </row>
    <row r="27">
      <c r="A27" s="11" t="n"/>
      <c r="B27" s="11" t="n"/>
      <c r="C27" s="11" t="n"/>
      <c r="D27" s="11" t="n"/>
      <c r="E27" s="11" t="n"/>
      <c r="F27" s="11" t="n"/>
      <c r="G27" s="11" t="n"/>
      <c r="H27" s="11" t="n"/>
      <c r="I27" s="11" t="n"/>
      <c r="J27" s="11" t="n"/>
      <c r="K27" s="11" t="n"/>
      <c r="L27" s="11" t="n"/>
      <c r="M27" s="11" t="n"/>
      <c r="N27" s="11" t="n"/>
      <c r="O27" s="11" t="n"/>
      <c r="P27" s="11" t="n"/>
      <c r="Q27" s="11" t="n"/>
      <c r="R27" s="11" t="n"/>
      <c r="S27" s="11" t="n"/>
      <c r="T27" s="11" t="n"/>
      <c r="U27" s="11" t="n"/>
      <c r="V27" s="11" t="n"/>
      <c r="W27" s="11" t="n"/>
    </row>
    <row r="28">
      <c r="A28" s="11" t="n"/>
      <c r="B28" s="11" t="n"/>
      <c r="C28" s="11" t="n"/>
      <c r="D28" s="11" t="n"/>
      <c r="E28" s="11" t="n"/>
      <c r="F28" s="11" t="n"/>
      <c r="G28" s="11" t="n"/>
      <c r="H28" s="11" t="n"/>
      <c r="I28" s="11" t="n"/>
      <c r="J28" s="11" t="n"/>
      <c r="K28" s="11" t="n"/>
      <c r="L28" s="11" t="n"/>
      <c r="M28" s="11" t="n"/>
      <c r="N28" s="11" t="n"/>
      <c r="O28" s="11" t="n"/>
      <c r="P28" s="11" t="n"/>
      <c r="Q28" s="11" t="n"/>
      <c r="R28" s="11" t="n"/>
      <c r="S28" s="11" t="n"/>
      <c r="T28" s="11" t="n"/>
      <c r="U28" s="11" t="n"/>
      <c r="V28" s="11" t="n"/>
      <c r="W28" s="11" t="n"/>
    </row>
    <row r="29">
      <c r="A29" s="11" t="n"/>
      <c r="B29" s="11" t="n"/>
      <c r="C29" s="11" t="n"/>
      <c r="D29" s="11" t="n"/>
      <c r="E29" s="11" t="n"/>
      <c r="F29" s="11" t="n"/>
      <c r="G29" s="11" t="n"/>
      <c r="H29" s="11" t="n"/>
      <c r="I29" s="11" t="n"/>
      <c r="J29" s="11" t="n"/>
      <c r="K29" s="11" t="n"/>
      <c r="L29" s="11" t="n"/>
      <c r="M29" s="11" t="n"/>
      <c r="N29" s="11" t="n"/>
      <c r="O29" s="11" t="n"/>
      <c r="P29" s="11" t="n"/>
      <c r="Q29" s="11" t="n"/>
      <c r="R29" s="11" t="n"/>
      <c r="S29" s="11" t="n"/>
      <c r="T29" s="11" t="n"/>
      <c r="U29" s="11" t="n"/>
      <c r="V29" s="11" t="n"/>
      <c r="W29" s="11" t="n"/>
    </row>
    <row r="30">
      <c r="A30" s="11" t="n"/>
      <c r="B30" s="11" t="n"/>
      <c r="C30" s="11" t="n"/>
      <c r="D30" s="11" t="n"/>
      <c r="E30" s="11" t="n"/>
      <c r="F30" s="11" t="n"/>
      <c r="G30" s="11" t="n"/>
      <c r="H30" s="11" t="n"/>
      <c r="I30" s="11" t="n"/>
      <c r="J30" s="11" t="n"/>
      <c r="K30" s="11" t="n"/>
      <c r="L30" s="11" t="n"/>
      <c r="M30" s="11" t="n"/>
      <c r="N30" s="11" t="n"/>
      <c r="O30" s="11" t="n"/>
      <c r="P30" s="11" t="n"/>
      <c r="Q30" s="11" t="n"/>
      <c r="R30" s="11" t="n"/>
      <c r="S30" s="11" t="n"/>
      <c r="T30" s="11" t="n"/>
      <c r="U30" s="11" t="n"/>
      <c r="V30" s="11" t="n"/>
      <c r="W30" s="11" t="n"/>
    </row>
    <row r="31">
      <c r="A31" s="11" t="n"/>
      <c r="B31" s="11" t="n"/>
      <c r="C31" s="11" t="n"/>
      <c r="D31" s="11" t="n"/>
      <c r="E31" s="11" t="n"/>
      <c r="F31" s="11" t="n"/>
      <c r="G31" s="11" t="n"/>
      <c r="H31" s="11" t="n"/>
      <c r="I31" s="11" t="n"/>
      <c r="J31" s="11" t="n"/>
      <c r="K31" s="11" t="n"/>
      <c r="L31" s="11" t="n"/>
      <c r="M31" s="11" t="n"/>
      <c r="N31" s="11" t="n"/>
      <c r="O31" s="11" t="n"/>
      <c r="P31" s="11" t="n"/>
      <c r="Q31" s="11" t="n"/>
      <c r="R31" s="11" t="n"/>
      <c r="S31" s="11" t="n"/>
      <c r="T31" s="11" t="n"/>
      <c r="U31" s="11" t="n"/>
      <c r="V31" s="11" t="n"/>
      <c r="W31" s="11" t="n"/>
    </row>
    <row r="32">
      <c r="A32" s="11" t="n"/>
      <c r="B32" s="11" t="n"/>
      <c r="C32" s="11" t="n"/>
      <c r="D32" s="11" t="n"/>
      <c r="E32" s="11" t="n"/>
      <c r="F32" s="11" t="n"/>
      <c r="G32" s="11" t="n"/>
      <c r="H32" s="11" t="n"/>
      <c r="I32" s="11" t="n"/>
      <c r="J32" s="11" t="n"/>
      <c r="K32" s="11" t="n"/>
      <c r="L32" s="11" t="n"/>
      <c r="M32" s="11" t="n"/>
      <c r="N32" s="11" t="n"/>
      <c r="O32" s="11" t="n"/>
      <c r="P32" s="11" t="n"/>
      <c r="Q32" s="11" t="n"/>
      <c r="R32" s="11" t="n"/>
      <c r="S32" s="11" t="n"/>
      <c r="T32" s="11" t="n"/>
      <c r="U32" s="11" t="n"/>
      <c r="V32" s="11" t="n"/>
      <c r="W32" s="11" t="n"/>
    </row>
    <row r="33">
      <c r="A33" s="11" t="n"/>
      <c r="B33" s="11" t="n"/>
      <c r="C33" s="11" t="n"/>
      <c r="D33" s="11" t="n"/>
      <c r="E33" s="11" t="n"/>
      <c r="F33" s="11" t="n"/>
      <c r="G33" s="11" t="n"/>
      <c r="H33" s="11" t="n"/>
      <c r="I33" s="11" t="n"/>
      <c r="J33" s="11" t="n"/>
      <c r="K33" s="11" t="n"/>
      <c r="L33" s="11" t="n"/>
      <c r="M33" s="11" t="n"/>
      <c r="N33" s="11" t="n"/>
      <c r="O33" s="11" t="n"/>
      <c r="P33" s="11" t="n"/>
      <c r="Q33" s="11" t="n"/>
      <c r="R33" s="11" t="n"/>
      <c r="S33" s="11" t="n"/>
      <c r="T33" s="11" t="n"/>
      <c r="U33" s="11" t="n"/>
      <c r="V33" s="11" t="n"/>
      <c r="W33" s="11" t="n"/>
    </row>
    <row r="34">
      <c r="A34" s="11" t="n"/>
      <c r="B34" s="11" t="n"/>
      <c r="C34" s="11" t="n"/>
      <c r="D34" s="11" t="n"/>
      <c r="E34" s="11" t="n"/>
      <c r="F34" s="11" t="n"/>
      <c r="G34" s="11" t="n"/>
      <c r="H34" s="11" t="n"/>
      <c r="I34" s="11" t="n"/>
      <c r="J34" s="11" t="n"/>
      <c r="K34" s="11" t="n"/>
      <c r="L34" s="11" t="n"/>
      <c r="M34" s="11" t="n"/>
      <c r="N34" s="11" t="n"/>
      <c r="O34" s="11" t="n"/>
      <c r="P34" s="11" t="n"/>
      <c r="Q34" s="11" t="n"/>
      <c r="R34" s="11" t="n"/>
      <c r="S34" s="11" t="n"/>
      <c r="T34" s="11" t="n"/>
      <c r="U34" s="11" t="n"/>
      <c r="V34" s="11" t="n"/>
      <c r="W34" s="11" t="n"/>
    </row>
    <row r="35">
      <c r="A35" s="11" t="n"/>
      <c r="B35" s="11" t="n"/>
      <c r="C35" s="11" t="n"/>
      <c r="D35" s="11" t="n"/>
      <c r="E35" s="11" t="n"/>
      <c r="F35" s="11" t="n"/>
      <c r="G35" s="11" t="n"/>
      <c r="H35" s="11" t="n"/>
      <c r="I35" s="11" t="n"/>
      <c r="J35" s="11" t="n"/>
      <c r="K35" s="11" t="n"/>
      <c r="L35" s="11" t="n"/>
      <c r="M35" s="11" t="n"/>
      <c r="N35" s="11" t="n"/>
      <c r="O35" s="11" t="n"/>
      <c r="P35" s="11" t="n"/>
      <c r="Q35" s="11" t="n"/>
      <c r="R35" s="11" t="n"/>
      <c r="S35" s="11" t="n"/>
      <c r="T35" s="11" t="n"/>
      <c r="U35" s="11" t="n"/>
      <c r="V35" s="11" t="n"/>
      <c r="W35" s="11" t="n"/>
    </row>
    <row r="36">
      <c r="A36" s="11" t="n"/>
      <c r="B36" s="11" t="n"/>
      <c r="C36" s="11" t="n"/>
      <c r="D36" s="11" t="n"/>
      <c r="E36" s="11" t="n"/>
      <c r="F36" s="11" t="n"/>
      <c r="G36" s="11" t="n"/>
      <c r="H36" s="11" t="n"/>
      <c r="I36" s="11" t="n"/>
      <c r="J36" s="11" t="n"/>
      <c r="K36" s="11" t="n"/>
      <c r="L36" s="11" t="n"/>
      <c r="M36" s="11" t="n"/>
      <c r="N36" s="11" t="n"/>
      <c r="O36" s="11" t="n"/>
      <c r="P36" s="11" t="n"/>
      <c r="Q36" s="11" t="n"/>
      <c r="R36" s="11" t="n"/>
      <c r="S36" s="11" t="n"/>
      <c r="T36" s="11" t="n"/>
      <c r="U36" s="11" t="n"/>
      <c r="V36" s="11" t="n"/>
      <c r="W36" s="11" t="n"/>
    </row>
    <row r="37">
      <c r="A37" s="11" t="n"/>
      <c r="B37" s="11" t="n"/>
      <c r="C37" s="11" t="n"/>
      <c r="D37" s="11" t="n"/>
      <c r="E37" s="11" t="n"/>
      <c r="F37" s="11" t="n"/>
      <c r="G37" s="11" t="n"/>
      <c r="H37" s="11" t="n"/>
      <c r="I37" s="11" t="n"/>
      <c r="J37" s="11" t="n"/>
      <c r="K37" s="11" t="n"/>
      <c r="L37" s="11" t="n"/>
      <c r="M37" s="11" t="n"/>
      <c r="N37" s="11" t="n"/>
      <c r="O37" s="11" t="n"/>
      <c r="P37" s="11" t="n"/>
      <c r="Q37" s="11" t="n"/>
      <c r="R37" s="11" t="n"/>
      <c r="S37" s="11" t="n"/>
      <c r="T37" s="11" t="n"/>
      <c r="U37" s="11" t="n"/>
      <c r="V37" s="11" t="n"/>
      <c r="W37" s="11" t="n"/>
    </row>
    <row r="38">
      <c r="A38" s="11" t="n"/>
      <c r="B38" s="11" t="n"/>
      <c r="C38" s="11" t="n"/>
      <c r="D38" s="11" t="n"/>
      <c r="E38" s="11" t="n"/>
      <c r="F38" s="11" t="n"/>
      <c r="G38" s="11" t="n"/>
      <c r="H38" s="11" t="n"/>
      <c r="I38" s="11" t="n"/>
      <c r="J38" s="11" t="n"/>
      <c r="K38" s="11" t="n"/>
      <c r="L38" s="11" t="n"/>
      <c r="M38" s="11" t="n"/>
      <c r="N38" s="11" t="n"/>
      <c r="O38" s="11" t="n"/>
      <c r="P38" s="11" t="n"/>
      <c r="Q38" s="11" t="n"/>
      <c r="R38" s="11" t="n"/>
      <c r="S38" s="11" t="n"/>
      <c r="T38" s="11" t="n"/>
      <c r="U38" s="11" t="n"/>
      <c r="V38" s="11" t="n"/>
      <c r="W38" s="11" t="n"/>
    </row>
    <row r="39">
      <c r="A39" s="11" t="n"/>
      <c r="B39" s="11" t="n"/>
      <c r="C39" s="11" t="n"/>
      <c r="D39" s="11" t="n"/>
      <c r="E39" s="11" t="n"/>
      <c r="F39" s="11" t="n"/>
      <c r="G39" s="11" t="n"/>
      <c r="H39" s="11" t="n"/>
      <c r="I39" s="11" t="n"/>
      <c r="J39" s="11" t="n"/>
      <c r="K39" s="11" t="n"/>
      <c r="L39" s="11" t="n"/>
      <c r="M39" s="11" t="n"/>
      <c r="N39" s="11" t="n"/>
      <c r="O39" s="11" t="n"/>
      <c r="P39" s="11" t="n"/>
      <c r="Q39" s="11" t="n"/>
      <c r="R39" s="11" t="n"/>
      <c r="S39" s="11" t="n"/>
      <c r="T39" s="11" t="n"/>
      <c r="U39" s="11" t="n"/>
      <c r="V39" s="11" t="n"/>
      <c r="W39" s="11" t="n"/>
    </row>
    <row r="40">
      <c r="A40" s="11" t="n"/>
      <c r="B40" s="11" t="n"/>
      <c r="C40" s="11" t="n"/>
      <c r="D40" s="11" t="n"/>
      <c r="E40" s="11" t="n"/>
      <c r="F40" s="11" t="n"/>
      <c r="G40" s="11" t="n"/>
      <c r="H40" s="11" t="n"/>
      <c r="I40" s="11" t="n"/>
      <c r="J40" s="11" t="n"/>
      <c r="K40" s="11" t="n"/>
      <c r="L40" s="11" t="n"/>
      <c r="M40" s="11" t="n"/>
      <c r="N40" s="11" t="n"/>
      <c r="O40" s="11" t="n"/>
      <c r="P40" s="11" t="n"/>
      <c r="Q40" s="11" t="n"/>
      <c r="R40" s="11" t="n"/>
      <c r="S40" s="11" t="n"/>
      <c r="T40" s="11" t="n"/>
      <c r="U40" s="11" t="n"/>
      <c r="V40" s="11" t="n"/>
      <c r="W40" s="11" t="n"/>
    </row>
    <row r="41">
      <c r="A41" s="11" t="n"/>
      <c r="B41" s="11" t="n"/>
      <c r="C41" s="11" t="n"/>
      <c r="D41" s="11" t="n"/>
      <c r="E41" s="11" t="n"/>
      <c r="F41" s="11" t="n"/>
      <c r="G41" s="11" t="n"/>
      <c r="H41" s="11" t="n"/>
      <c r="I41" s="11" t="n"/>
      <c r="J41" s="11" t="n"/>
      <c r="K41" s="11" t="n"/>
      <c r="L41" s="11" t="n"/>
      <c r="M41" s="11" t="n"/>
      <c r="N41" s="11" t="n"/>
      <c r="O41" s="11" t="n"/>
      <c r="P41" s="11" t="n"/>
      <c r="Q41" s="11" t="n"/>
      <c r="R41" s="11" t="n"/>
      <c r="S41" s="11" t="n"/>
      <c r="T41" s="11" t="n"/>
      <c r="U41" s="11" t="n"/>
      <c r="V41" s="11" t="n"/>
      <c r="W41" s="11" t="n"/>
    </row>
    <row r="42">
      <c r="A42" s="11" t="n"/>
      <c r="B42" s="11" t="n"/>
      <c r="C42" s="11" t="n"/>
      <c r="D42" s="11" t="n"/>
      <c r="E42" s="11" t="n"/>
      <c r="F42" s="11" t="n"/>
      <c r="G42" s="11" t="n"/>
      <c r="H42" s="11" t="n"/>
      <c r="I42" s="11" t="n"/>
      <c r="J42" s="11" t="n"/>
      <c r="K42" s="11" t="n"/>
      <c r="L42" s="11" t="n"/>
      <c r="M42" s="11" t="n"/>
      <c r="N42" s="11" t="n"/>
      <c r="O42" s="11" t="n"/>
      <c r="P42" s="11" t="n"/>
      <c r="Q42" s="11" t="n"/>
      <c r="R42" s="11" t="n"/>
      <c r="S42" s="11" t="n"/>
      <c r="T42" s="11" t="n"/>
      <c r="U42" s="11" t="n"/>
      <c r="V42" s="11" t="n"/>
      <c r="W42" s="11" t="n"/>
    </row>
    <row r="43">
      <c r="A43" s="11" t="n"/>
      <c r="B43" s="11" t="n"/>
      <c r="C43" s="11" t="n"/>
      <c r="D43" s="11" t="n"/>
      <c r="E43" s="11" t="n"/>
      <c r="F43" s="11" t="n"/>
      <c r="G43" s="11" t="n"/>
      <c r="H43" s="11" t="n"/>
      <c r="I43" s="11" t="n"/>
      <c r="J43" s="11" t="n"/>
      <c r="K43" s="11" t="n"/>
      <c r="L43" s="11" t="n"/>
      <c r="M43" s="11" t="n"/>
      <c r="N43" s="11" t="n"/>
      <c r="O43" s="11" t="n"/>
      <c r="P43" s="11" t="n"/>
      <c r="Q43" s="11" t="n"/>
      <c r="R43" s="11" t="n"/>
      <c r="S43" s="11" t="n"/>
      <c r="T43" s="11" t="n"/>
      <c r="U43" s="11" t="n"/>
      <c r="V43" s="11" t="n"/>
      <c r="W43" s="11" t="n"/>
    </row>
    <row r="44">
      <c r="A44" s="11" t="n"/>
      <c r="B44" s="11" t="n"/>
      <c r="C44" s="11" t="n"/>
      <c r="D44" s="11" t="n"/>
      <c r="E44" s="11" t="n"/>
      <c r="F44" s="11" t="n"/>
      <c r="G44" s="11" t="n"/>
      <c r="H44" s="11" t="n"/>
      <c r="I44" s="11" t="n"/>
      <c r="J44" s="11" t="n"/>
      <c r="K44" s="11" t="n"/>
      <c r="L44" s="11" t="n"/>
      <c r="M44" s="11" t="n"/>
      <c r="N44" s="11" t="n"/>
      <c r="O44" s="11" t="n"/>
      <c r="P44" s="11" t="n"/>
      <c r="Q44" s="11" t="n"/>
      <c r="R44" s="11" t="n"/>
      <c r="S44" s="11" t="n"/>
      <c r="T44" s="11" t="n"/>
      <c r="U44" s="11" t="n"/>
      <c r="V44" s="11" t="n"/>
      <c r="W44" s="11" t="n"/>
    </row>
    <row r="45">
      <c r="A45" s="11" t="n"/>
      <c r="B45" s="11" t="n"/>
      <c r="C45" s="11" t="n"/>
      <c r="D45" s="11" t="n"/>
      <c r="E45" s="11" t="n"/>
      <c r="F45" s="11" t="n"/>
      <c r="G45" s="11" t="n"/>
      <c r="H45" s="11" t="n"/>
      <c r="I45" s="11" t="n"/>
      <c r="J45" s="11" t="n"/>
      <c r="K45" s="11" t="n"/>
      <c r="L45" s="11" t="n"/>
      <c r="M45" s="11" t="n"/>
      <c r="N45" s="11" t="n"/>
      <c r="O45" s="11" t="n"/>
      <c r="P45" s="11" t="n"/>
      <c r="Q45" s="11" t="n"/>
      <c r="R45" s="11" t="n"/>
      <c r="S45" s="11" t="n"/>
      <c r="T45" s="11" t="n"/>
      <c r="U45" s="11" t="n"/>
      <c r="V45" s="11" t="n"/>
      <c r="W45" s="11" t="n"/>
    </row>
    <row r="46">
      <c r="A46" s="11" t="n"/>
      <c r="B46" s="11" t="n"/>
      <c r="C46" s="11" t="n"/>
      <c r="D46" s="11" t="n"/>
      <c r="E46" s="11" t="n"/>
      <c r="F46" s="11" t="n"/>
      <c r="G46" s="11" t="n"/>
      <c r="H46" s="11" t="n"/>
      <c r="I46" s="11" t="n"/>
      <c r="J46" s="11" t="n"/>
      <c r="K46" s="11" t="n"/>
      <c r="L46" s="11" t="n"/>
      <c r="M46" s="11" t="n"/>
      <c r="N46" s="11" t="n"/>
      <c r="O46" s="11" t="n"/>
      <c r="P46" s="11" t="n"/>
      <c r="Q46" s="11" t="n"/>
      <c r="R46" s="11" t="n"/>
      <c r="S46" s="11" t="n"/>
      <c r="T46" s="11" t="n"/>
      <c r="U46" s="11" t="n"/>
      <c r="V46" s="11" t="n"/>
      <c r="W46" s="11" t="n"/>
    </row>
    <row r="47">
      <c r="A47" s="11" t="n"/>
      <c r="B47" s="11" t="n"/>
      <c r="C47" s="11" t="n"/>
      <c r="D47" s="11" t="n"/>
      <c r="E47" s="11" t="n"/>
      <c r="F47" s="11" t="n"/>
      <c r="G47" s="11" t="n"/>
      <c r="H47" s="11" t="n"/>
      <c r="I47" s="11" t="n"/>
      <c r="J47" s="11" t="n"/>
      <c r="K47" s="11" t="n"/>
      <c r="L47" s="11" t="n"/>
      <c r="M47" s="11" t="n"/>
      <c r="N47" s="11" t="n"/>
      <c r="O47" s="11" t="n"/>
      <c r="P47" s="11" t="n"/>
      <c r="Q47" s="11" t="n"/>
      <c r="R47" s="11" t="n"/>
      <c r="S47" s="11" t="n"/>
      <c r="T47" s="11" t="n"/>
      <c r="U47" s="11" t="n"/>
      <c r="V47" s="11" t="n"/>
      <c r="W47" s="11" t="n"/>
    </row>
    <row r="48">
      <c r="A48" s="11" t="n"/>
      <c r="B48" s="11" t="n"/>
      <c r="C48" s="11" t="n"/>
      <c r="D48" s="11" t="n"/>
      <c r="E48" s="11" t="n"/>
      <c r="F48" s="11" t="n"/>
      <c r="G48" s="11" t="n"/>
      <c r="H48" s="11" t="n"/>
      <c r="I48" s="11" t="n"/>
      <c r="J48" s="11" t="n"/>
      <c r="K48" s="11" t="n"/>
      <c r="L48" s="11" t="n"/>
      <c r="M48" s="11" t="n"/>
      <c r="N48" s="11" t="n"/>
      <c r="O48" s="11" t="n"/>
      <c r="P48" s="11" t="n"/>
      <c r="Q48" s="11" t="n"/>
      <c r="R48" s="11" t="n"/>
      <c r="S48" s="11" t="n"/>
      <c r="T48" s="11" t="n"/>
      <c r="U48" s="11" t="n"/>
      <c r="V48" s="11" t="n"/>
      <c r="W48" s="11" t="n"/>
    </row>
    <row r="49">
      <c r="A49" s="11" t="n"/>
      <c r="B49" s="11" t="n"/>
      <c r="C49" s="11" t="n"/>
      <c r="D49" s="11" t="n"/>
      <c r="E49" s="11" t="n"/>
      <c r="F49" s="11" t="n"/>
      <c r="G49" s="11" t="n"/>
      <c r="H49" s="11" t="n"/>
      <c r="I49" s="11" t="n"/>
      <c r="J49" s="11" t="n"/>
      <c r="K49" s="11" t="n"/>
      <c r="L49" s="11" t="n"/>
      <c r="M49" s="11" t="n"/>
      <c r="N49" s="11" t="n"/>
      <c r="O49" s="11" t="n"/>
      <c r="P49" s="11" t="n"/>
      <c r="Q49" s="11" t="n"/>
      <c r="R49" s="11" t="n"/>
      <c r="S49" s="11" t="n"/>
      <c r="T49" s="11" t="n"/>
      <c r="U49" s="11" t="n"/>
      <c r="V49" s="11" t="n"/>
      <c r="W49" s="11" t="n"/>
    </row>
    <row r="50">
      <c r="A50" s="11" t="n"/>
      <c r="B50" s="11" t="n"/>
      <c r="C50" s="11" t="n"/>
      <c r="D50" s="11" t="n"/>
      <c r="E50" s="11" t="n"/>
      <c r="F50" s="11" t="n"/>
      <c r="G50" s="11" t="n"/>
      <c r="H50" s="11" t="n"/>
      <c r="I50" s="11" t="n"/>
      <c r="J50" s="11" t="n"/>
      <c r="K50" s="11" t="n"/>
      <c r="L50" s="11" t="n"/>
      <c r="M50" s="11" t="n"/>
      <c r="N50" s="11" t="n"/>
      <c r="O50" s="11" t="n"/>
      <c r="P50" s="11" t="n"/>
      <c r="Q50" s="11" t="n"/>
      <c r="R50" s="11" t="n"/>
      <c r="S50" s="11" t="n"/>
      <c r="T50" s="11" t="n"/>
      <c r="U50" s="11" t="n"/>
      <c r="V50" s="11" t="n"/>
      <c r="W50" s="11" t="n"/>
    </row>
    <row r="53">
      <c r="A53" s="3" t="inlineStr">
        <is>
          <t>ASSET COVERAGE COMPLIANCE CHECKLIST</t>
        </is>
      </c>
    </row>
    <row r="54">
      <c r="A54" s="9" t="inlineStr">
        <is>
          <t>#</t>
        </is>
      </c>
      <c r="B54" s="9" t="inlineStr">
        <is>
          <t>Requirement</t>
        </is>
      </c>
      <c r="C54" s="12" t="n"/>
      <c r="D54" s="12" t="n"/>
      <c r="E54" s="12" t="n"/>
      <c r="F54" s="12" t="n"/>
      <c r="G54" s="12" t="n"/>
      <c r="H54" s="12" t="n"/>
      <c r="I54" s="12" t="n"/>
      <c r="J54" s="12" t="n"/>
      <c r="K54" s="12" t="n"/>
      <c r="L54" s="12" t="n"/>
      <c r="M54" s="12" t="n"/>
      <c r="N54" s="12" t="n"/>
      <c r="O54" s="12" t="n"/>
      <c r="P54" s="12" t="n"/>
      <c r="Q54" s="12" t="n"/>
      <c r="R54" s="12" t="n"/>
      <c r="S54" s="12" t="n"/>
      <c r="T54" s="12" t="n"/>
      <c r="U54" s="12" t="n"/>
      <c r="V54" s="13" t="n"/>
    </row>
    <row r="55" ht="25" customHeight="1">
      <c r="A55" t="n">
        <v>1</v>
      </c>
      <c r="B55" s="6" t="inlineStr">
        <is>
          <t>Complete asset inventory maintained</t>
        </is>
      </c>
      <c r="W55" s="5" t="n"/>
    </row>
    <row r="56" ht="25" customHeight="1">
      <c r="A56" t="n">
        <v>2</v>
      </c>
      <c r="B56" s="6" t="inlineStr">
        <is>
          <t>Asset inventory updated at least quarterly</t>
        </is>
      </c>
      <c r="W56" s="5" t="n"/>
    </row>
    <row r="57" ht="25" customHeight="1">
      <c r="A57" t="n">
        <v>3</v>
      </c>
      <c r="B57" s="6" t="inlineStr">
        <is>
          <t>All assets classified by criticality</t>
        </is>
      </c>
      <c r="W57" s="5" t="n"/>
    </row>
    <row r="58" ht="25" customHeight="1">
      <c r="A58" t="n">
        <v>4</v>
      </c>
      <c r="B58" s="6" t="inlineStr">
        <is>
          <t>All Critical assets monitored (100%)</t>
        </is>
      </c>
      <c r="W58" s="5" t="n"/>
    </row>
    <row r="59" ht="25" customHeight="1">
      <c r="A59" t="n">
        <v>5</v>
      </c>
      <c r="B59" s="6" t="inlineStr">
        <is>
          <t>&gt;80% of High priority assets monitored</t>
        </is>
      </c>
      <c r="W59" s="5" t="n"/>
    </row>
    <row r="60" ht="25" customHeight="1">
      <c r="A60" t="n">
        <v>6</v>
      </c>
      <c r="B60" s="6" t="inlineStr">
        <is>
          <t>&gt;60% of Medium priority assets monitored</t>
        </is>
      </c>
      <c r="W60" s="5" t="n"/>
    </row>
    <row r="61" ht="25" customHeight="1">
      <c r="A61" t="n">
        <v>7</v>
      </c>
      <c r="B61" s="6" t="inlineStr">
        <is>
          <t>All PCI-DSS scope systems monitored</t>
        </is>
      </c>
      <c r="W61" s="5" t="n"/>
    </row>
    <row r="62" ht="25" customHeight="1">
      <c r="A62" t="n">
        <v>8</v>
      </c>
      <c r="B62" s="6" t="inlineStr">
        <is>
          <t>All HIPAA scope systems monitored</t>
        </is>
      </c>
      <c r="W62" s="5" t="n"/>
    </row>
    <row r="63" ht="25" customHeight="1">
      <c r="A63" t="n">
        <v>9</v>
      </c>
      <c r="B63" s="6" t="inlineStr">
        <is>
          <t>All systems handling confidential data monitored</t>
        </is>
      </c>
      <c r="W63" s="5" t="n"/>
    </row>
    <row r="64" ht="25" customHeight="1">
      <c r="A64" t="n">
        <v>10</v>
      </c>
      <c r="B64" s="6" t="inlineStr">
        <is>
          <t>Monitoring coverage gaps documented</t>
        </is>
      </c>
      <c r="W64" s="5" t="n"/>
    </row>
    <row r="65" ht="25" customHeight="1">
      <c r="A65" t="n">
        <v>11</v>
      </c>
      <c r="B65" s="6" t="inlineStr">
        <is>
          <t>Exceptions formally approved</t>
        </is>
      </c>
      <c r="W65" s="5" t="n"/>
    </row>
    <row r="66" ht="25" customHeight="1">
      <c r="A66" t="n">
        <v>12</v>
      </c>
      <c r="B66" s="6" t="inlineStr">
        <is>
          <t>Gap remediation plans exist</t>
        </is>
      </c>
      <c r="W66" s="5" t="n"/>
    </row>
    <row r="67" ht="25" customHeight="1">
      <c r="A67" t="n">
        <v>13</v>
      </c>
      <c r="B67" s="6" t="inlineStr">
        <is>
          <t>Coverage status reported monthly</t>
        </is>
      </c>
      <c r="W67" s="5" t="n"/>
    </row>
    <row r="68" ht="25" customHeight="1">
      <c r="A68" t="n">
        <v>14</v>
      </c>
      <c r="B68" s="6" t="inlineStr">
        <is>
          <t>Asset decommissioning process includes monitoring removal</t>
        </is>
      </c>
      <c r="W68" s="5" t="n"/>
    </row>
    <row r="69" ht="25" customHeight="1">
      <c r="A69" t="n">
        <v>15</v>
      </c>
      <c r="B69" s="6" t="inlineStr">
        <is>
          <t>New assets onboarded to monitoring within 30 days</t>
        </is>
      </c>
      <c r="W69" s="5" t="n"/>
    </row>
    <row r="70">
      <c r="A70" s="14" t="inlineStr">
        <is>
          <t>SCORE:</t>
        </is>
      </c>
      <c r="B70" s="15">
        <f>COUNTIF(W55:W69,"✅ Compliant")&amp;" / 15"</f>
        <v/>
      </c>
    </row>
  </sheetData>
  <mergeCells count="21">
    <mergeCell ref="B58:V58"/>
    <mergeCell ref="B60:V60"/>
    <mergeCell ref="B67:V67"/>
    <mergeCell ref="B61:V61"/>
    <mergeCell ref="B57:V57"/>
    <mergeCell ref="A1:W1"/>
    <mergeCell ref="B69:V69"/>
    <mergeCell ref="B65:V65"/>
    <mergeCell ref="B55:V55"/>
    <mergeCell ref="B68:V68"/>
    <mergeCell ref="B64:V64"/>
    <mergeCell ref="B70:E70"/>
    <mergeCell ref="A3:W3"/>
    <mergeCell ref="B63:V63"/>
    <mergeCell ref="A2:W2"/>
    <mergeCell ref="B54:V54"/>
    <mergeCell ref="B62:V62"/>
    <mergeCell ref="A53:W53"/>
    <mergeCell ref="B59:V59"/>
    <mergeCell ref="B66:V66"/>
    <mergeCell ref="B56:V56"/>
  </mergeCells>
  <dataValidations count="9">
    <dataValidation sqref="O8 O9 O10 O11 O12 O13 O14 O15 O16 O17 O18 O19 O20 O21 O22 O23 O24 O25 O26 O27 O28 O29 O30 O31 O32 O33 O34 O35 O36 O37 O38 O39 O40 O41 O42 O43 O44 O45 O46 O47 O48 O49 O50 T8 T9 T10 T11 T12 T13 T14 T15 T16 T17 T18 T19 T20 T21 T22 T23 T24 T25 T26 T27 T28 T29 T30 T31 T32 T33 T34 T35 T36 T37 T38 T39 T40 T41 T42 T43 T44 T45 T46 T47 T48 T49 T50" showDropDown="0" showInputMessage="0" showErrorMessage="0" allowBlank="0" type="list">
      <formula1>"Yes,No,N/A"</formula1>
    </dataValidation>
    <dataValidation sqref="L8 L9 L10 L11 L12 L13 L14 L15 L16 L17 L18 L19 L20 L21 L22 L23 L24 L25 L26 L27 L28 L29 L30 L31 L32 L33 L34 L35 L36 L37 L38 L39 L40 L41 L42 L43 L44 L45 L46 L47 L48 L49 L50" showDropDown="0" showInputMessage="0" showErrorMessage="0" allowBlank="0" type="list">
      <formula1>"Yes,No,Partial"</formula1>
    </dataValidation>
    <dataValidation sqref="C8 C9 C10 C11 C12 C13 C14 C15 C16 C17 C18 C19 C20 C21 C22 C23 C24 C25 C26 C27 C28 C29 C30 C31 C32 C33 C34 C35 C36 C37 C38 C39 C40 C41 C42 C43 C44 C45 C46 C47 C48 C49 C50" showDropDown="0" showInputMessage="0" showErrorMessage="0" allowBlank="0" type="list">
      <formula1>"Server,Network Device,Security Device,Endpoint,Cloud Resource,Database,Application,Container,IoT Device,Other"</formula1>
    </dataValidation>
    <dataValidation sqref="H8 H9 H10 H11 H12 H13 H14 H15 H16 H17 H18 H19 H20 H21 H22 H23 H24 H25 H26 H27 H28 H29 H30 H31 H32 H33 H34 H35 H36 H37 H38 H39 H40 H41 H42 H43 H44 H45 H46 H47 H48 H49 H50" showDropDown="0" showInputMessage="0" showErrorMessage="0" allowBlank="0" type="list">
      <formula1>"Confidential,Internal,Public"</formula1>
    </dataValidation>
    <dataValidation sqref="I8 I9 I10 I11 I12 I13 I14 I15 I16 I17 I18 I19 I20 I21 I22 I23 I24 I25 I26 I27 I28 I29 I30 I31 I32 I33 I34 I35 I36 I37 I38 I39 I40 I41 I42 I43 I44 I45 I46 I47 I48 I49 I50" showDropDown="0" showInputMessage="0" showErrorMessage="0" allowBlank="0" type="list">
      <formula1>"Critical,High,Medium,Low"</formula1>
    </dataValidation>
    <dataValidation sqref="J8 J9 J10 J11 J12 J13 J14 J15 J16 J17 J18 J19 J20 J21 J22 J23 J24 J25 J26 J27 J28 J29 J30 J31 J32 J33 J34 J35 J36 J37 J38 J39 J40 J41 J42 J43 J44 J45 J46 J47 J48 J49 J50" showDropDown="0" showInputMessage="0" showErrorMessage="0" allowBlank="0" type="list">
      <formula1>"PCI-DSS,HIPAA,GDPR,SOX,Multiple,None"</formula1>
    </dataValidation>
    <dataValidation sqref="K8 K9 K10 K11 K12 K13 K14 K15 K16 K17 K18 K19 K20 K21 K22 K23 K24 K25 K26 K27 K28 K29 K30 K31 K32 K33 K34 K35 K36 K37 K38 K39 K40 K41 K42 K43 K44 K45 K46 K47 K48 K49 K50" showDropDown="0" showInputMessage="0" showErrorMessage="0" allowBlank="0" type="list">
      <formula1>"Mandatory,Recommended,Optional,N/A"</formula1>
    </dataValidation>
    <dataValidation sqref="R8 R9 R10 R11 R12 R13 R14 R15 R16 R17 R18 R19 R20 R21 R22 R23 R24 R25 R26 R27 R28 R29 R30 R31 R32 R33 R34 R35 R36 R37 R38 R39 R40 R41 R42 R43 R44 R45 R46 R47 R48 R49 R50" showDropDown="0" showInputMessage="0" showErrorMessage="0" allowBlank="0" type="list">
      <formula1>"✅ Full Coverage,⚠️ Partial Coverage,❌ No Coverage,N/A"</formula1>
    </dataValidation>
    <dataValidation sqref="W55 W56 W57 W58 W59 W60 W61 W62 W63 W64 W65 W66 W67 W68 W69" showDropDown="0" showInputMessage="0" showErrorMessage="0" allowBlank="0"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47"/>
  <sheetViews>
    <sheetView workbookViewId="0">
      <selection activeCell="A1" sqref="A1"/>
    </sheetView>
  </sheetViews>
  <sheetFormatPr baseColWidth="8" defaultRowHeight="15"/>
  <cols>
    <col width="28" customWidth="1" min="1" max="1"/>
    <col width="22" customWidth="1" min="2" max="2"/>
    <col width="20" customWidth="1" min="3" max="3"/>
    <col width="12" customWidth="1" min="4" max="4"/>
    <col width="15" customWidth="1" min="5" max="5"/>
    <col width="15" customWidth="1" min="6" max="6"/>
    <col width="18" customWidth="1" min="7" max="7"/>
    <col width="18" customWidth="1" min="8" max="8"/>
    <col width="16" customWidth="1" min="9" max="9"/>
    <col width="16" customWidth="1" min="10" max="10"/>
    <col width="18" customWidth="1" min="11" max="11"/>
    <col width="18" customWidth="1" min="12" max="12"/>
    <col width="16" customWidth="1" min="13" max="13"/>
    <col width="16" customWidth="1" min="14" max="14"/>
    <col width="18" customWidth="1" min="15" max="15"/>
    <col width="30" customWidth="1" min="16" max="16"/>
    <col width="16" customWidth="1" min="17" max="17"/>
    <col width="14" customWidth="1" min="18" max="18"/>
    <col width="20" customWidth="1" min="19" max="19"/>
    <col width="25" customWidth="1" min="20" max="20"/>
  </cols>
  <sheetData>
    <row r="1" ht="35" customHeight="1">
      <c r="A1" s="1" t="inlineStr">
        <is>
          <t>2. NETWORK SEGMENT COVERAGE ASSESSMENT</t>
        </is>
      </c>
    </row>
    <row r="2">
      <c r="A2" s="2" t="inlineStr">
        <is>
          <t>Policy Reference: ISMS-POL-A.8.16-S2.1.1 - Assess network coverage</t>
        </is>
      </c>
    </row>
    <row r="6">
      <c r="A6" s="9" t="inlineStr">
        <is>
          <t>Network Segment/Zone</t>
        </is>
      </c>
      <c r="B6" s="9" t="inlineStr">
        <is>
          <t>Segment Type</t>
        </is>
      </c>
      <c r="C6" s="9" t="inlineStr">
        <is>
          <t>IP Range/CIDR</t>
        </is>
      </c>
      <c r="D6" s="9" t="inlineStr">
        <is>
          <t>VLAN ID</t>
        </is>
      </c>
      <c r="E6" s="9" t="inlineStr">
        <is>
          <t>Number of Assets</t>
        </is>
      </c>
      <c r="F6" s="9" t="inlineStr">
        <is>
          <t>Criticality</t>
        </is>
      </c>
      <c r="G6" s="9" t="inlineStr">
        <is>
          <t>Data Classification</t>
        </is>
      </c>
      <c r="H6" s="9" t="inlineStr">
        <is>
          <t>Perimeter Monitoring</t>
        </is>
      </c>
      <c r="I6" s="9" t="inlineStr">
        <is>
          <t>Flow Monitoring</t>
        </is>
      </c>
      <c r="J6" s="9" t="inlineStr">
        <is>
          <t>DNS Monitoring</t>
        </is>
      </c>
      <c r="K6" s="9" t="inlineStr">
        <is>
          <t>Endpoint Monitoring</t>
        </is>
      </c>
      <c r="L6" s="9" t="inlineStr">
        <is>
          <t>Log Collection Active</t>
        </is>
      </c>
      <c r="M6" s="9" t="inlineStr">
        <is>
          <t>Network Tap/SPAN</t>
        </is>
      </c>
      <c r="N6" s="9" t="inlineStr">
        <is>
          <t>Isolation Status</t>
        </is>
      </c>
      <c r="O6" s="9" t="inlineStr">
        <is>
          <t>Coverage Status</t>
        </is>
      </c>
      <c r="P6" s="9" t="inlineStr">
        <is>
          <t>Gaps Identified</t>
        </is>
      </c>
      <c r="Q6" s="9" t="inlineStr">
        <is>
          <t>Exception Approved</t>
        </is>
      </c>
      <c r="R6" s="9" t="inlineStr">
        <is>
          <t>Target Date</t>
        </is>
      </c>
      <c r="S6" s="9" t="inlineStr">
        <is>
          <t>Responsible Party</t>
        </is>
      </c>
      <c r="T6" s="9" t="inlineStr">
        <is>
          <t>Notes</t>
        </is>
      </c>
    </row>
    <row r="8">
      <c r="A8" s="11" t="n"/>
      <c r="B8" s="11" t="n"/>
      <c r="C8" s="11" t="n"/>
      <c r="D8" s="11" t="n"/>
      <c r="E8" s="11" t="n"/>
      <c r="F8" s="11" t="n"/>
      <c r="G8" s="11" t="n"/>
      <c r="H8" s="11" t="n"/>
      <c r="I8" s="11" t="n"/>
      <c r="J8" s="11" t="n"/>
      <c r="K8" s="11" t="n"/>
      <c r="L8" s="11" t="n"/>
      <c r="M8" s="11" t="n"/>
      <c r="N8" s="11" t="n"/>
      <c r="O8" s="11" t="n"/>
      <c r="P8" s="11" t="n"/>
      <c r="Q8" s="11" t="n"/>
      <c r="R8" s="11" t="n"/>
      <c r="S8" s="11" t="n"/>
      <c r="T8" s="11" t="n"/>
    </row>
    <row r="9">
      <c r="A9" s="11" t="n"/>
      <c r="B9" s="11" t="n"/>
      <c r="C9" s="11" t="n"/>
      <c r="D9" s="11" t="n"/>
      <c r="E9" s="11" t="n"/>
      <c r="F9" s="11" t="n"/>
      <c r="G9" s="11" t="n"/>
      <c r="H9" s="11" t="n"/>
      <c r="I9" s="11" t="n"/>
      <c r="J9" s="11" t="n"/>
      <c r="K9" s="11" t="n"/>
      <c r="L9" s="11" t="n"/>
      <c r="M9" s="11" t="n"/>
      <c r="N9" s="11" t="n"/>
      <c r="O9" s="11" t="n"/>
      <c r="P9" s="11" t="n"/>
      <c r="Q9" s="11" t="n"/>
      <c r="R9" s="11" t="n"/>
      <c r="S9" s="11" t="n"/>
      <c r="T9" s="11" t="n"/>
    </row>
    <row r="10">
      <c r="A10" s="11" t="n"/>
      <c r="B10" s="11" t="n"/>
      <c r="C10" s="11" t="n"/>
      <c r="D10" s="11" t="n"/>
      <c r="E10" s="11" t="n"/>
      <c r="F10" s="11" t="n"/>
      <c r="G10" s="11" t="n"/>
      <c r="H10" s="11" t="n"/>
      <c r="I10" s="11" t="n"/>
      <c r="J10" s="11" t="n"/>
      <c r="K10" s="11" t="n"/>
      <c r="L10" s="11" t="n"/>
      <c r="M10" s="11" t="n"/>
      <c r="N10" s="11" t="n"/>
      <c r="O10" s="11" t="n"/>
      <c r="P10" s="11" t="n"/>
      <c r="Q10" s="11" t="n"/>
      <c r="R10" s="11" t="n"/>
      <c r="S10" s="11" t="n"/>
      <c r="T10" s="11" t="n"/>
    </row>
    <row r="11">
      <c r="A11" s="11" t="n"/>
      <c r="B11" s="11" t="n"/>
      <c r="C11" s="11" t="n"/>
      <c r="D11" s="11" t="n"/>
      <c r="E11" s="11" t="n"/>
      <c r="F11" s="11" t="n"/>
      <c r="G11" s="11" t="n"/>
      <c r="H11" s="11" t="n"/>
      <c r="I11" s="11" t="n"/>
      <c r="J11" s="11" t="n"/>
      <c r="K11" s="11" t="n"/>
      <c r="L11" s="11" t="n"/>
      <c r="M11" s="11" t="n"/>
      <c r="N11" s="11" t="n"/>
      <c r="O11" s="11" t="n"/>
      <c r="P11" s="11" t="n"/>
      <c r="Q11" s="11" t="n"/>
      <c r="R11" s="11" t="n"/>
      <c r="S11" s="11" t="n"/>
      <c r="T11" s="11" t="n"/>
    </row>
    <row r="12">
      <c r="A12" s="11" t="n"/>
      <c r="B12" s="11" t="n"/>
      <c r="C12" s="11" t="n"/>
      <c r="D12" s="11" t="n"/>
      <c r="E12" s="11" t="n"/>
      <c r="F12" s="11" t="n"/>
      <c r="G12" s="11" t="n"/>
      <c r="H12" s="11" t="n"/>
      <c r="I12" s="11" t="n"/>
      <c r="J12" s="11" t="n"/>
      <c r="K12" s="11" t="n"/>
      <c r="L12" s="11" t="n"/>
      <c r="M12" s="11" t="n"/>
      <c r="N12" s="11" t="n"/>
      <c r="O12" s="11" t="n"/>
      <c r="P12" s="11" t="n"/>
      <c r="Q12" s="11" t="n"/>
      <c r="R12" s="11" t="n"/>
      <c r="S12" s="11" t="n"/>
      <c r="T12" s="11" t="n"/>
    </row>
    <row r="13">
      <c r="A13" s="11" t="n"/>
      <c r="B13" s="11" t="n"/>
      <c r="C13" s="11" t="n"/>
      <c r="D13" s="11" t="n"/>
      <c r="E13" s="11" t="n"/>
      <c r="F13" s="11" t="n"/>
      <c r="G13" s="11" t="n"/>
      <c r="H13" s="11" t="n"/>
      <c r="I13" s="11" t="n"/>
      <c r="J13" s="11" t="n"/>
      <c r="K13" s="11" t="n"/>
      <c r="L13" s="11" t="n"/>
      <c r="M13" s="11" t="n"/>
      <c r="N13" s="11" t="n"/>
      <c r="O13" s="11" t="n"/>
      <c r="P13" s="11" t="n"/>
      <c r="Q13" s="11" t="n"/>
      <c r="R13" s="11" t="n"/>
      <c r="S13" s="11" t="n"/>
      <c r="T13" s="11" t="n"/>
    </row>
    <row r="14">
      <c r="A14" s="11" t="n"/>
      <c r="B14" s="11" t="n"/>
      <c r="C14" s="11" t="n"/>
      <c r="D14" s="11" t="n"/>
      <c r="E14" s="11" t="n"/>
      <c r="F14" s="11" t="n"/>
      <c r="G14" s="11" t="n"/>
      <c r="H14" s="11" t="n"/>
      <c r="I14" s="11" t="n"/>
      <c r="J14" s="11" t="n"/>
      <c r="K14" s="11" t="n"/>
      <c r="L14" s="11" t="n"/>
      <c r="M14" s="11" t="n"/>
      <c r="N14" s="11" t="n"/>
      <c r="O14" s="11" t="n"/>
      <c r="P14" s="11" t="n"/>
      <c r="Q14" s="11" t="n"/>
      <c r="R14" s="11" t="n"/>
      <c r="S14" s="11" t="n"/>
      <c r="T14" s="11" t="n"/>
    </row>
    <row r="15">
      <c r="A15" s="11" t="n"/>
      <c r="B15" s="11" t="n"/>
      <c r="C15" s="11" t="n"/>
      <c r="D15" s="11" t="n"/>
      <c r="E15" s="11" t="n"/>
      <c r="F15" s="11" t="n"/>
      <c r="G15" s="11" t="n"/>
      <c r="H15" s="11" t="n"/>
      <c r="I15" s="11" t="n"/>
      <c r="J15" s="11" t="n"/>
      <c r="K15" s="11" t="n"/>
      <c r="L15" s="11" t="n"/>
      <c r="M15" s="11" t="n"/>
      <c r="N15" s="11" t="n"/>
      <c r="O15" s="11" t="n"/>
      <c r="P15" s="11" t="n"/>
      <c r="Q15" s="11" t="n"/>
      <c r="R15" s="11" t="n"/>
      <c r="S15" s="11" t="n"/>
      <c r="T15" s="11" t="n"/>
    </row>
    <row r="16">
      <c r="A16" s="11" t="n"/>
      <c r="B16" s="11" t="n"/>
      <c r="C16" s="11" t="n"/>
      <c r="D16" s="11" t="n"/>
      <c r="E16" s="11" t="n"/>
      <c r="F16" s="11" t="n"/>
      <c r="G16" s="11" t="n"/>
      <c r="H16" s="11" t="n"/>
      <c r="I16" s="11" t="n"/>
      <c r="J16" s="11" t="n"/>
      <c r="K16" s="11" t="n"/>
      <c r="L16" s="11" t="n"/>
      <c r="M16" s="11" t="n"/>
      <c r="N16" s="11" t="n"/>
      <c r="O16" s="11" t="n"/>
      <c r="P16" s="11" t="n"/>
      <c r="Q16" s="11" t="n"/>
      <c r="R16" s="11" t="n"/>
      <c r="S16" s="11" t="n"/>
      <c r="T16" s="11" t="n"/>
    </row>
    <row r="17">
      <c r="A17" s="11" t="n"/>
      <c r="B17" s="11" t="n"/>
      <c r="C17" s="11" t="n"/>
      <c r="D17" s="11" t="n"/>
      <c r="E17" s="11" t="n"/>
      <c r="F17" s="11" t="n"/>
      <c r="G17" s="11" t="n"/>
      <c r="H17" s="11" t="n"/>
      <c r="I17" s="11" t="n"/>
      <c r="J17" s="11" t="n"/>
      <c r="K17" s="11" t="n"/>
      <c r="L17" s="11" t="n"/>
      <c r="M17" s="11" t="n"/>
      <c r="N17" s="11" t="n"/>
      <c r="O17" s="11" t="n"/>
      <c r="P17" s="11" t="n"/>
      <c r="Q17" s="11" t="n"/>
      <c r="R17" s="11" t="n"/>
      <c r="S17" s="11" t="n"/>
      <c r="T17" s="11" t="n"/>
    </row>
    <row r="18">
      <c r="A18" s="11" t="n"/>
      <c r="B18" s="11" t="n"/>
      <c r="C18" s="11" t="n"/>
      <c r="D18" s="11" t="n"/>
      <c r="E18" s="11" t="n"/>
      <c r="F18" s="11" t="n"/>
      <c r="G18" s="11" t="n"/>
      <c r="H18" s="11" t="n"/>
      <c r="I18" s="11" t="n"/>
      <c r="J18" s="11" t="n"/>
      <c r="K18" s="11" t="n"/>
      <c r="L18" s="11" t="n"/>
      <c r="M18" s="11" t="n"/>
      <c r="N18" s="11" t="n"/>
      <c r="O18" s="11" t="n"/>
      <c r="P18" s="11" t="n"/>
      <c r="Q18" s="11" t="n"/>
      <c r="R18" s="11" t="n"/>
      <c r="S18" s="11" t="n"/>
      <c r="T18" s="11" t="n"/>
    </row>
    <row r="19">
      <c r="A19" s="11" t="n"/>
      <c r="B19" s="11" t="n"/>
      <c r="C19" s="11" t="n"/>
      <c r="D19" s="11" t="n"/>
      <c r="E19" s="11" t="n"/>
      <c r="F19" s="11" t="n"/>
      <c r="G19" s="11" t="n"/>
      <c r="H19" s="11" t="n"/>
      <c r="I19" s="11" t="n"/>
      <c r="J19" s="11" t="n"/>
      <c r="K19" s="11" t="n"/>
      <c r="L19" s="11" t="n"/>
      <c r="M19" s="11" t="n"/>
      <c r="N19" s="11" t="n"/>
      <c r="O19" s="11" t="n"/>
      <c r="P19" s="11" t="n"/>
      <c r="Q19" s="11" t="n"/>
      <c r="R19" s="11" t="n"/>
      <c r="S19" s="11" t="n"/>
      <c r="T19" s="11" t="n"/>
    </row>
    <row r="20">
      <c r="A20" s="11" t="n"/>
      <c r="B20" s="11" t="n"/>
      <c r="C20" s="11" t="n"/>
      <c r="D20" s="11" t="n"/>
      <c r="E20" s="11" t="n"/>
      <c r="F20" s="11" t="n"/>
      <c r="G20" s="11" t="n"/>
      <c r="H20" s="11" t="n"/>
      <c r="I20" s="11" t="n"/>
      <c r="J20" s="11" t="n"/>
      <c r="K20" s="11" t="n"/>
      <c r="L20" s="11" t="n"/>
      <c r="M20" s="11" t="n"/>
      <c r="N20" s="11" t="n"/>
      <c r="O20" s="11" t="n"/>
      <c r="P20" s="11" t="n"/>
      <c r="Q20" s="11" t="n"/>
      <c r="R20" s="11" t="n"/>
      <c r="S20" s="11" t="n"/>
      <c r="T20" s="11" t="n"/>
    </row>
    <row r="21">
      <c r="A21" s="11" t="n"/>
      <c r="B21" s="11" t="n"/>
      <c r="C21" s="11" t="n"/>
      <c r="D21" s="11" t="n"/>
      <c r="E21" s="11" t="n"/>
      <c r="F21" s="11" t="n"/>
      <c r="G21" s="11" t="n"/>
      <c r="H21" s="11" t="n"/>
      <c r="I21" s="11" t="n"/>
      <c r="J21" s="11" t="n"/>
      <c r="K21" s="11" t="n"/>
      <c r="L21" s="11" t="n"/>
      <c r="M21" s="11" t="n"/>
      <c r="N21" s="11" t="n"/>
      <c r="O21" s="11" t="n"/>
      <c r="P21" s="11" t="n"/>
      <c r="Q21" s="11" t="n"/>
      <c r="R21" s="11" t="n"/>
      <c r="S21" s="11" t="n"/>
      <c r="T21" s="11" t="n"/>
    </row>
    <row r="22">
      <c r="A22" s="11" t="n"/>
      <c r="B22" s="11" t="n"/>
      <c r="C22" s="11" t="n"/>
      <c r="D22" s="11" t="n"/>
      <c r="E22" s="11" t="n"/>
      <c r="F22" s="11" t="n"/>
      <c r="G22" s="11" t="n"/>
      <c r="H22" s="11" t="n"/>
      <c r="I22" s="11" t="n"/>
      <c r="J22" s="11" t="n"/>
      <c r="K22" s="11" t="n"/>
      <c r="L22" s="11" t="n"/>
      <c r="M22" s="11" t="n"/>
      <c r="N22" s="11" t="n"/>
      <c r="O22" s="11" t="n"/>
      <c r="P22" s="11" t="n"/>
      <c r="Q22" s="11" t="n"/>
      <c r="R22" s="11" t="n"/>
      <c r="S22" s="11" t="n"/>
      <c r="T22" s="11" t="n"/>
    </row>
    <row r="23">
      <c r="A23" s="11" t="n"/>
      <c r="B23" s="11" t="n"/>
      <c r="C23" s="11" t="n"/>
      <c r="D23" s="11" t="n"/>
      <c r="E23" s="11" t="n"/>
      <c r="F23" s="11" t="n"/>
      <c r="G23" s="11" t="n"/>
      <c r="H23" s="11" t="n"/>
      <c r="I23" s="11" t="n"/>
      <c r="J23" s="11" t="n"/>
      <c r="K23" s="11" t="n"/>
      <c r="L23" s="11" t="n"/>
      <c r="M23" s="11" t="n"/>
      <c r="N23" s="11" t="n"/>
      <c r="O23" s="11" t="n"/>
      <c r="P23" s="11" t="n"/>
      <c r="Q23" s="11" t="n"/>
      <c r="R23" s="11" t="n"/>
      <c r="S23" s="11" t="n"/>
      <c r="T23" s="11" t="n"/>
    </row>
    <row r="24">
      <c r="A24" s="11" t="n"/>
      <c r="B24" s="11" t="n"/>
      <c r="C24" s="11" t="n"/>
      <c r="D24" s="11" t="n"/>
      <c r="E24" s="11" t="n"/>
      <c r="F24" s="11" t="n"/>
      <c r="G24" s="11" t="n"/>
      <c r="H24" s="11" t="n"/>
      <c r="I24" s="11" t="n"/>
      <c r="J24" s="11" t="n"/>
      <c r="K24" s="11" t="n"/>
      <c r="L24" s="11" t="n"/>
      <c r="M24" s="11" t="n"/>
      <c r="N24" s="11" t="n"/>
      <c r="O24" s="11" t="n"/>
      <c r="P24" s="11" t="n"/>
      <c r="Q24" s="11" t="n"/>
      <c r="R24" s="11" t="n"/>
      <c r="S24" s="11" t="n"/>
      <c r="T24" s="11" t="n"/>
    </row>
    <row r="25">
      <c r="A25" s="11" t="n"/>
      <c r="B25" s="11" t="n"/>
      <c r="C25" s="11" t="n"/>
      <c r="D25" s="11" t="n"/>
      <c r="E25" s="11" t="n"/>
      <c r="F25" s="11" t="n"/>
      <c r="G25" s="11" t="n"/>
      <c r="H25" s="11" t="n"/>
      <c r="I25" s="11" t="n"/>
      <c r="J25" s="11" t="n"/>
      <c r="K25" s="11" t="n"/>
      <c r="L25" s="11" t="n"/>
      <c r="M25" s="11" t="n"/>
      <c r="N25" s="11" t="n"/>
      <c r="O25" s="11" t="n"/>
      <c r="P25" s="11" t="n"/>
      <c r="Q25" s="11" t="n"/>
      <c r="R25" s="11" t="n"/>
      <c r="S25" s="11" t="n"/>
      <c r="T25" s="11" t="n"/>
    </row>
    <row r="26">
      <c r="A26" s="11" t="n"/>
      <c r="B26" s="11" t="n"/>
      <c r="C26" s="11" t="n"/>
      <c r="D26" s="11" t="n"/>
      <c r="E26" s="11" t="n"/>
      <c r="F26" s="11" t="n"/>
      <c r="G26" s="11" t="n"/>
      <c r="H26" s="11" t="n"/>
      <c r="I26" s="11" t="n"/>
      <c r="J26" s="11" t="n"/>
      <c r="K26" s="11" t="n"/>
      <c r="L26" s="11" t="n"/>
      <c r="M26" s="11" t="n"/>
      <c r="N26" s="11" t="n"/>
      <c r="O26" s="11" t="n"/>
      <c r="P26" s="11" t="n"/>
      <c r="Q26" s="11" t="n"/>
      <c r="R26" s="11" t="n"/>
      <c r="S26" s="11" t="n"/>
      <c r="T26" s="11" t="n"/>
    </row>
    <row r="27">
      <c r="A27" s="11" t="n"/>
      <c r="B27" s="11" t="n"/>
      <c r="C27" s="11" t="n"/>
      <c r="D27" s="11" t="n"/>
      <c r="E27" s="11" t="n"/>
      <c r="F27" s="11" t="n"/>
      <c r="G27" s="11" t="n"/>
      <c r="H27" s="11" t="n"/>
      <c r="I27" s="11" t="n"/>
      <c r="J27" s="11" t="n"/>
      <c r="K27" s="11" t="n"/>
      <c r="L27" s="11" t="n"/>
      <c r="M27" s="11" t="n"/>
      <c r="N27" s="11" t="n"/>
      <c r="O27" s="11" t="n"/>
      <c r="P27" s="11" t="n"/>
      <c r="Q27" s="11" t="n"/>
      <c r="R27" s="11" t="n"/>
      <c r="S27" s="11" t="n"/>
      <c r="T27" s="11" t="n"/>
    </row>
    <row r="28">
      <c r="A28" s="11" t="n"/>
      <c r="B28" s="11" t="n"/>
      <c r="C28" s="11" t="n"/>
      <c r="D28" s="11" t="n"/>
      <c r="E28" s="11" t="n"/>
      <c r="F28" s="11" t="n"/>
      <c r="G28" s="11" t="n"/>
      <c r="H28" s="11" t="n"/>
      <c r="I28" s="11" t="n"/>
      <c r="J28" s="11" t="n"/>
      <c r="K28" s="11" t="n"/>
      <c r="L28" s="11" t="n"/>
      <c r="M28" s="11" t="n"/>
      <c r="N28" s="11" t="n"/>
      <c r="O28" s="11" t="n"/>
      <c r="P28" s="11" t="n"/>
      <c r="Q28" s="11" t="n"/>
      <c r="R28" s="11" t="n"/>
      <c r="S28" s="11" t="n"/>
      <c r="T28" s="11" t="n"/>
    </row>
    <row r="29">
      <c r="A29" s="11" t="n"/>
      <c r="B29" s="11" t="n"/>
      <c r="C29" s="11" t="n"/>
      <c r="D29" s="11" t="n"/>
      <c r="E29" s="11" t="n"/>
      <c r="F29" s="11" t="n"/>
      <c r="G29" s="11" t="n"/>
      <c r="H29" s="11" t="n"/>
      <c r="I29" s="11" t="n"/>
      <c r="J29" s="11" t="n"/>
      <c r="K29" s="11" t="n"/>
      <c r="L29" s="11" t="n"/>
      <c r="M29" s="11" t="n"/>
      <c r="N29" s="11" t="n"/>
      <c r="O29" s="11" t="n"/>
      <c r="P29" s="11" t="n"/>
      <c r="Q29" s="11" t="n"/>
      <c r="R29" s="11" t="n"/>
      <c r="S29" s="11" t="n"/>
      <c r="T29" s="11" t="n"/>
    </row>
    <row r="30">
      <c r="A30" s="11" t="n"/>
      <c r="B30" s="11" t="n"/>
      <c r="C30" s="11" t="n"/>
      <c r="D30" s="11" t="n"/>
      <c r="E30" s="11" t="n"/>
      <c r="F30" s="11" t="n"/>
      <c r="G30" s="11" t="n"/>
      <c r="H30" s="11" t="n"/>
      <c r="I30" s="11" t="n"/>
      <c r="J30" s="11" t="n"/>
      <c r="K30" s="11" t="n"/>
      <c r="L30" s="11" t="n"/>
      <c r="M30" s="11" t="n"/>
      <c r="N30" s="11" t="n"/>
      <c r="O30" s="11" t="n"/>
      <c r="P30" s="11" t="n"/>
      <c r="Q30" s="11" t="n"/>
      <c r="R30" s="11" t="n"/>
      <c r="S30" s="11" t="n"/>
      <c r="T30" s="11" t="n"/>
    </row>
    <row r="31">
      <c r="A31" s="11" t="n"/>
      <c r="B31" s="11" t="n"/>
      <c r="C31" s="11" t="n"/>
      <c r="D31" s="11" t="n"/>
      <c r="E31" s="11" t="n"/>
      <c r="F31" s="11" t="n"/>
      <c r="G31" s="11" t="n"/>
      <c r="H31" s="11" t="n"/>
      <c r="I31" s="11" t="n"/>
      <c r="J31" s="11" t="n"/>
      <c r="K31" s="11" t="n"/>
      <c r="L31" s="11" t="n"/>
      <c r="M31" s="11" t="n"/>
      <c r="N31" s="11" t="n"/>
      <c r="O31" s="11" t="n"/>
      <c r="P31" s="11" t="n"/>
      <c r="Q31" s="11" t="n"/>
      <c r="R31" s="11" t="n"/>
      <c r="S31" s="11" t="n"/>
      <c r="T31" s="11" t="n"/>
    </row>
    <row r="32">
      <c r="A32" s="11" t="n"/>
      <c r="B32" s="11" t="n"/>
      <c r="C32" s="11" t="n"/>
      <c r="D32" s="11" t="n"/>
      <c r="E32" s="11" t="n"/>
      <c r="F32" s="11" t="n"/>
      <c r="G32" s="11" t="n"/>
      <c r="H32" s="11" t="n"/>
      <c r="I32" s="11" t="n"/>
      <c r="J32" s="11" t="n"/>
      <c r="K32" s="11" t="n"/>
      <c r="L32" s="11" t="n"/>
      <c r="M32" s="11" t="n"/>
      <c r="N32" s="11" t="n"/>
      <c r="O32" s="11" t="n"/>
      <c r="P32" s="11" t="n"/>
      <c r="Q32" s="11" t="n"/>
      <c r="R32" s="11" t="n"/>
      <c r="S32" s="11" t="n"/>
      <c r="T32" s="11" t="n"/>
    </row>
    <row r="35">
      <c r="A35" s="3" t="inlineStr">
        <is>
          <t>NETWORK COVERAGE CHECKLIST</t>
        </is>
      </c>
    </row>
    <row r="36">
      <c r="A36" s="9" t="inlineStr">
        <is>
          <t>#</t>
        </is>
      </c>
      <c r="B36" s="9" t="inlineStr">
        <is>
          <t>Requirement</t>
        </is>
      </c>
      <c r="C36" s="12" t="n"/>
      <c r="D36" s="12" t="n"/>
      <c r="E36" s="12" t="n"/>
      <c r="F36" s="12" t="n"/>
      <c r="G36" s="12" t="n"/>
      <c r="H36" s="12" t="n"/>
      <c r="I36" s="12" t="n"/>
      <c r="J36" s="12" t="n"/>
      <c r="K36" s="12" t="n"/>
      <c r="L36" s="12" t="n"/>
      <c r="M36" s="12" t="n"/>
      <c r="N36" s="12" t="n"/>
      <c r="O36" s="12" t="n"/>
      <c r="P36" s="12" t="n"/>
      <c r="Q36" s="12" t="n"/>
      <c r="R36" s="12" t="n"/>
      <c r="S36" s="13" t="n"/>
    </row>
    <row r="37" ht="25" customHeight="1">
      <c r="A37" t="n">
        <v>1</v>
      </c>
      <c r="B37" s="6" t="inlineStr">
        <is>
          <t>All network segments inventoried</t>
        </is>
      </c>
      <c r="T37" s="5" t="n"/>
    </row>
    <row r="38" ht="25" customHeight="1">
      <c r="A38" t="n">
        <v>2</v>
      </c>
      <c r="B38" s="6" t="inlineStr">
        <is>
          <t>All production segments monitored</t>
        </is>
      </c>
      <c r="T38" s="5" t="n"/>
    </row>
    <row r="39" ht="25" customHeight="1">
      <c r="A39" t="n">
        <v>3</v>
      </c>
      <c r="B39" s="6" t="inlineStr">
        <is>
          <t>All DMZ segments monitored</t>
        </is>
      </c>
      <c r="T39" s="5" t="n"/>
    </row>
    <row r="40" ht="25" customHeight="1">
      <c r="A40" t="n">
        <v>4</v>
      </c>
      <c r="B40" s="6" t="inlineStr">
        <is>
          <t>Critical segments have redundant monitoring</t>
        </is>
      </c>
      <c r="T40" s="5" t="n"/>
    </row>
    <row r="41" ht="25" customHeight="1">
      <c r="A41" t="n">
        <v>5</v>
      </c>
      <c r="B41" s="6" t="inlineStr">
        <is>
          <t>Perimeter traffic monitored (firewall + IDS/IPS)</t>
        </is>
      </c>
      <c r="T41" s="5" t="n"/>
    </row>
    <row r="42" ht="25" customHeight="1">
      <c r="A42" t="n">
        <v>6</v>
      </c>
      <c r="B42" s="6" t="inlineStr">
        <is>
          <t>Internal traffic monitored (flow data)</t>
        </is>
      </c>
      <c r="T42" s="5" t="n"/>
    </row>
    <row r="43" ht="25" customHeight="1">
      <c r="A43" t="n">
        <v>7</v>
      </c>
      <c r="B43" s="6" t="inlineStr">
        <is>
          <t>DNS queries monitored</t>
        </is>
      </c>
      <c r="T43" s="5" t="n"/>
    </row>
    <row r="44" ht="25" customHeight="1">
      <c r="A44" t="n">
        <v>8</v>
      </c>
      <c r="B44" s="6" t="inlineStr">
        <is>
          <t>Endpoints monitored (EDR/AV integration)</t>
        </is>
      </c>
      <c r="T44" s="5" t="n"/>
    </row>
    <row r="45" ht="25" customHeight="1">
      <c r="A45" t="n">
        <v>9</v>
      </c>
      <c r="B45" s="6" t="inlineStr">
        <is>
          <t>East-west traffic visibility (lateral movement detection)</t>
        </is>
      </c>
      <c r="T45" s="5" t="n"/>
    </row>
    <row r="46" ht="25" customHeight="1">
      <c r="A46" t="n">
        <v>10</v>
      </c>
      <c r="B46" s="6" t="inlineStr">
        <is>
          <t>Cloud network segments included</t>
        </is>
      </c>
      <c r="T46" s="5" t="n"/>
    </row>
    <row r="47">
      <c r="A47" s="14" t="inlineStr">
        <is>
          <t>SCORE:</t>
        </is>
      </c>
      <c r="B47" s="15">
        <f>COUNTIF(T37:T46,"✅ Compliant")&amp;" / 10"</f>
        <v/>
      </c>
    </row>
  </sheetData>
  <mergeCells count="15">
    <mergeCell ref="A1:T1"/>
    <mergeCell ref="B38:S38"/>
    <mergeCell ref="B44:S44"/>
    <mergeCell ref="B39:S39"/>
    <mergeCell ref="A35:T35"/>
    <mergeCell ref="B42:S42"/>
    <mergeCell ref="B46:S46"/>
    <mergeCell ref="B36:S36"/>
    <mergeCell ref="B37:S37"/>
    <mergeCell ref="A2:T2"/>
    <mergeCell ref="B40:S40"/>
    <mergeCell ref="B41:S41"/>
    <mergeCell ref="B45:S45"/>
    <mergeCell ref="B47:E47"/>
    <mergeCell ref="B43:S43"/>
  </mergeCells>
  <dataValidations count="83">
    <dataValidation sqref="Q8 Q9 Q10 Q11 Q12 Q13 Q14 Q15 Q16 Q17 Q18 Q19 Q20 Q21 Q22 Q23 Q24 Q25 Q26 Q27 Q28 Q29 Q30 Q31 Q32" showDropDown="0" showInputMessage="0" showErrorMessage="0" allowBlank="0" type="list">
      <formula1>"Yes,No,N/A"</formula1>
    </dataValidation>
    <dataValidation sqref="I8 I9 I10 I11 I12 I13 I14 I15 I16 I17 I18 I19 I20 I21 I22 I23 I24 I25 I26 I27 I28 I29 I30 I31 I32 J8 J9 J10 J11 J12 J13 J14 J15 J16 J17 J18 J19 J20 J21 J22 J23 J24 J25 J26 J27 J28 J29 J30 J31 J32 L8 L9 L10 L11 L12 L13 L14 L15 L16 L17 L18 L19 L20 L21 L22 L23 L24 L25 L26 L27 L28 L29 L30 L31 L32" showDropDown="0" showInputMessage="0" showErrorMessage="0" allowBlank="0" type="list">
      <formula1>"Yes,Partial,No"</formula1>
    </dataValidation>
    <dataValidation sqref="G8 G9 G10 G11 G12 G13 G14 G15 G16 G17 G18 G19 G20 G21 G22 G23 G24 G25 G26 G27 G28 G29 G30 G31 G32" showDropDown="0" showInputMessage="0" showErrorMessage="0" allowBlank="0" type="list">
      <formula1>"Confidential,Internal,Public"</formula1>
    </dataValidation>
    <dataValidation sqref="F8 F9 F10 F11 F12 F13 F14 F15 F16 F17 F18 F19 F20 F21 F22 F23 F24 F25 F26 F27 F28 F29 F30 F31 F32" showDropDown="0" showInputMessage="0" showErrorMessage="0" allowBlank="0" type="list">
      <formula1>"Critical,High,Medium,Low"</formula1>
    </dataValidation>
    <dataValidation sqref="B8 B9 B10 B11 B12 B13 B14 B15 B16 B17 B18 B19 B20 B21 B22 B23 B24 B25 B26 B27 B28 B29 B30 B31 B32" showDropDown="0" showInputMessage="0" showErrorMessage="0" allowBlank="0" type="list">
      <formula1>"Production,DMZ,Internal,Management,Guest,Partner,Development,Test,Cloud VPC,Other"</formula1>
    </dataValidation>
    <dataValidation sqref="H8 H9 H10 H11 H12 H13 H14 H15 H16 H17 H18 H19 H20 H21 H22 H23 H24 H25 H26 H27 H28 H29 H30 H31 H32" showDropDown="0" showInputMessage="0" showErrorMessage="0" allowBlank="0" type="list">
      <formula1>"Firewall,IDS/IPS,Both,None"</formula1>
    </dataValidation>
    <dataValidation sqref="N8 N9 N10 N11 N12 N13 N14 N15 N16 N17 N18 N19 N20 N21 N22 N23 N24 N25 N26 N27 N28 N29 N30 N31 N32" showDropDown="0" showInputMessage="0" showErrorMessage="0" allowBlank="0" type="list">
      <formula1>"Isolated,Semi-Isolated,Open"</formula1>
    </dataValidation>
    <dataValidation sqref="T37 T38 T39 T40 T41 T42 T43 T44 T45 T46" showDropDown="0" showInputMessage="0" showErrorMessage="0" allowBlank="0" type="list">
      <formula1>"✅ Compliant,⚠️ Partial,❌ Non-Compliant,N/A"</formula1>
    </dataValidation>
    <dataValidation sqref="K8" showDropDown="0" showInputMessage="0" showErrorMessage="0" allowBlank="0" type="list">
      <formula1>"Yes (EDR),Partial,No"</formula1>
    </dataValidation>
    <dataValidation sqref="M8" showDropDown="0" showInputMessage="0" showErrorMessage="0" allowBlank="0" type="list">
      <formula1>"Yes,No,Planned"</formula1>
    </dataValidation>
    <dataValidation sqref="O8" showDropDown="0" showInputMessage="0" showErrorMessage="0" allowBlank="0" type="list">
      <formula1>"✅ Full,⚠️ Partial,❌ None,N/A"</formula1>
    </dataValidation>
    <dataValidation sqref="K9" showDropDown="0" showInputMessage="0" showErrorMessage="0" allowBlank="0" type="list">
      <formula1>"Yes (EDR),Partial,No"</formula1>
    </dataValidation>
    <dataValidation sqref="M9" showDropDown="0" showInputMessage="0" showErrorMessage="0" allowBlank="0" type="list">
      <formula1>"Yes,No,Planned"</formula1>
    </dataValidation>
    <dataValidation sqref="O9" showDropDown="0" showInputMessage="0" showErrorMessage="0" allowBlank="0" type="list">
      <formula1>"✅ Full,⚠️ Partial,❌ None,N/A"</formula1>
    </dataValidation>
    <dataValidation sqref="K10" showDropDown="0" showInputMessage="0" showErrorMessage="0" allowBlank="0" type="list">
      <formula1>"Yes (EDR),Partial,No"</formula1>
    </dataValidation>
    <dataValidation sqref="M10" showDropDown="0" showInputMessage="0" showErrorMessage="0" allowBlank="0" type="list">
      <formula1>"Yes,No,Planned"</formula1>
    </dataValidation>
    <dataValidation sqref="O10" showDropDown="0" showInputMessage="0" showErrorMessage="0" allowBlank="0" type="list">
      <formula1>"✅ Full,⚠️ Partial,❌ None,N/A"</formula1>
    </dataValidation>
    <dataValidation sqref="K11" showDropDown="0" showInputMessage="0" showErrorMessage="0" allowBlank="0" type="list">
      <formula1>"Yes (EDR),Partial,No"</formula1>
    </dataValidation>
    <dataValidation sqref="M11" showDropDown="0" showInputMessage="0" showErrorMessage="0" allowBlank="0" type="list">
      <formula1>"Yes,No,Planned"</formula1>
    </dataValidation>
    <dataValidation sqref="O11" showDropDown="0" showInputMessage="0" showErrorMessage="0" allowBlank="0" type="list">
      <formula1>"✅ Full,⚠️ Partial,❌ None,N/A"</formula1>
    </dataValidation>
    <dataValidation sqref="K12" showDropDown="0" showInputMessage="0" showErrorMessage="0" allowBlank="0" type="list">
      <formula1>"Yes (EDR),Partial,No"</formula1>
    </dataValidation>
    <dataValidation sqref="M12" showDropDown="0" showInputMessage="0" showErrorMessage="0" allowBlank="0" type="list">
      <formula1>"Yes,No,Planned"</formula1>
    </dataValidation>
    <dataValidation sqref="O12" showDropDown="0" showInputMessage="0" showErrorMessage="0" allowBlank="0" type="list">
      <formula1>"✅ Full,⚠️ Partial,❌ None,N/A"</formula1>
    </dataValidation>
    <dataValidation sqref="K13" showDropDown="0" showInputMessage="0" showErrorMessage="0" allowBlank="0" type="list">
      <formula1>"Yes (EDR),Partial,No"</formula1>
    </dataValidation>
    <dataValidation sqref="M13" showDropDown="0" showInputMessage="0" showErrorMessage="0" allowBlank="0" type="list">
      <formula1>"Yes,No,Planned"</formula1>
    </dataValidation>
    <dataValidation sqref="O13" showDropDown="0" showInputMessage="0" showErrorMessage="0" allowBlank="0" type="list">
      <formula1>"✅ Full,⚠️ Partial,❌ None,N/A"</formula1>
    </dataValidation>
    <dataValidation sqref="K14" showDropDown="0" showInputMessage="0" showErrorMessage="0" allowBlank="0" type="list">
      <formula1>"Yes (EDR),Partial,No"</formula1>
    </dataValidation>
    <dataValidation sqref="M14" showDropDown="0" showInputMessage="0" showErrorMessage="0" allowBlank="0" type="list">
      <formula1>"Yes,No,Planned"</formula1>
    </dataValidation>
    <dataValidation sqref="O14" showDropDown="0" showInputMessage="0" showErrorMessage="0" allowBlank="0" type="list">
      <formula1>"✅ Full,⚠️ Partial,❌ None,N/A"</formula1>
    </dataValidation>
    <dataValidation sqref="K15" showDropDown="0" showInputMessage="0" showErrorMessage="0" allowBlank="0" type="list">
      <formula1>"Yes (EDR),Partial,No"</formula1>
    </dataValidation>
    <dataValidation sqref="M15" showDropDown="0" showInputMessage="0" showErrorMessage="0" allowBlank="0" type="list">
      <formula1>"Yes,No,Planned"</formula1>
    </dataValidation>
    <dataValidation sqref="O15" showDropDown="0" showInputMessage="0" showErrorMessage="0" allowBlank="0" type="list">
      <formula1>"✅ Full,⚠️ Partial,❌ None,N/A"</formula1>
    </dataValidation>
    <dataValidation sqref="K16" showDropDown="0" showInputMessage="0" showErrorMessage="0" allowBlank="0" type="list">
      <formula1>"Yes (EDR),Partial,No"</formula1>
    </dataValidation>
    <dataValidation sqref="M16" showDropDown="0" showInputMessage="0" showErrorMessage="0" allowBlank="0" type="list">
      <formula1>"Yes,No,Planned"</formula1>
    </dataValidation>
    <dataValidation sqref="O16" showDropDown="0" showInputMessage="0" showErrorMessage="0" allowBlank="0" type="list">
      <formula1>"✅ Full,⚠️ Partial,❌ None,N/A"</formula1>
    </dataValidation>
    <dataValidation sqref="K17" showDropDown="0" showInputMessage="0" showErrorMessage="0" allowBlank="0" type="list">
      <formula1>"Yes (EDR),Partial,No"</formula1>
    </dataValidation>
    <dataValidation sqref="M17" showDropDown="0" showInputMessage="0" showErrorMessage="0" allowBlank="0" type="list">
      <formula1>"Yes,No,Planned"</formula1>
    </dataValidation>
    <dataValidation sqref="O17" showDropDown="0" showInputMessage="0" showErrorMessage="0" allowBlank="0" type="list">
      <formula1>"✅ Full,⚠️ Partial,❌ None,N/A"</formula1>
    </dataValidation>
    <dataValidation sqref="K18" showDropDown="0" showInputMessage="0" showErrorMessage="0" allowBlank="0" type="list">
      <formula1>"Yes (EDR),Partial,No"</formula1>
    </dataValidation>
    <dataValidation sqref="M18" showDropDown="0" showInputMessage="0" showErrorMessage="0" allowBlank="0" type="list">
      <formula1>"Yes,No,Planned"</formula1>
    </dataValidation>
    <dataValidation sqref="O18" showDropDown="0" showInputMessage="0" showErrorMessage="0" allowBlank="0" type="list">
      <formula1>"✅ Full,⚠️ Partial,❌ None,N/A"</formula1>
    </dataValidation>
    <dataValidation sqref="K19" showDropDown="0" showInputMessage="0" showErrorMessage="0" allowBlank="0" type="list">
      <formula1>"Yes (EDR),Partial,No"</formula1>
    </dataValidation>
    <dataValidation sqref="M19" showDropDown="0" showInputMessage="0" showErrorMessage="0" allowBlank="0" type="list">
      <formula1>"Yes,No,Planned"</formula1>
    </dataValidation>
    <dataValidation sqref="O19" showDropDown="0" showInputMessage="0" showErrorMessage="0" allowBlank="0" type="list">
      <formula1>"✅ Full,⚠️ Partial,❌ None,N/A"</formula1>
    </dataValidation>
    <dataValidation sqref="K20" showDropDown="0" showInputMessage="0" showErrorMessage="0" allowBlank="0" type="list">
      <formula1>"Yes (EDR),Partial,No"</formula1>
    </dataValidation>
    <dataValidation sqref="M20" showDropDown="0" showInputMessage="0" showErrorMessage="0" allowBlank="0" type="list">
      <formula1>"Yes,No,Planned"</formula1>
    </dataValidation>
    <dataValidation sqref="O20" showDropDown="0" showInputMessage="0" showErrorMessage="0" allowBlank="0" type="list">
      <formula1>"✅ Full,⚠️ Partial,❌ None,N/A"</formula1>
    </dataValidation>
    <dataValidation sqref="K21" showDropDown="0" showInputMessage="0" showErrorMessage="0" allowBlank="0" type="list">
      <formula1>"Yes (EDR),Partial,No"</formula1>
    </dataValidation>
    <dataValidation sqref="M21" showDropDown="0" showInputMessage="0" showErrorMessage="0" allowBlank="0" type="list">
      <formula1>"Yes,No,Planned"</formula1>
    </dataValidation>
    <dataValidation sqref="O21" showDropDown="0" showInputMessage="0" showErrorMessage="0" allowBlank="0" type="list">
      <formula1>"✅ Full,⚠️ Partial,❌ None,N/A"</formula1>
    </dataValidation>
    <dataValidation sqref="K22" showDropDown="0" showInputMessage="0" showErrorMessage="0" allowBlank="0" type="list">
      <formula1>"Yes (EDR),Partial,No"</formula1>
    </dataValidation>
    <dataValidation sqref="M22" showDropDown="0" showInputMessage="0" showErrorMessage="0" allowBlank="0" type="list">
      <formula1>"Yes,No,Planned"</formula1>
    </dataValidation>
    <dataValidation sqref="O22" showDropDown="0" showInputMessage="0" showErrorMessage="0" allowBlank="0" type="list">
      <formula1>"✅ Full,⚠️ Partial,❌ None,N/A"</formula1>
    </dataValidation>
    <dataValidation sqref="K23" showDropDown="0" showInputMessage="0" showErrorMessage="0" allowBlank="0" type="list">
      <formula1>"Yes (EDR),Partial,No"</formula1>
    </dataValidation>
    <dataValidation sqref="M23" showDropDown="0" showInputMessage="0" showErrorMessage="0" allowBlank="0" type="list">
      <formula1>"Yes,No,Planned"</formula1>
    </dataValidation>
    <dataValidation sqref="O23" showDropDown="0" showInputMessage="0" showErrorMessage="0" allowBlank="0" type="list">
      <formula1>"✅ Full,⚠️ Partial,❌ None,N/A"</formula1>
    </dataValidation>
    <dataValidation sqref="K24" showDropDown="0" showInputMessage="0" showErrorMessage="0" allowBlank="0" type="list">
      <formula1>"Yes (EDR),Partial,No"</formula1>
    </dataValidation>
    <dataValidation sqref="M24" showDropDown="0" showInputMessage="0" showErrorMessage="0" allowBlank="0" type="list">
      <formula1>"Yes,No,Planned"</formula1>
    </dataValidation>
    <dataValidation sqref="O24" showDropDown="0" showInputMessage="0" showErrorMessage="0" allowBlank="0" type="list">
      <formula1>"✅ Full,⚠️ Partial,❌ None,N/A"</formula1>
    </dataValidation>
    <dataValidation sqref="K25" showDropDown="0" showInputMessage="0" showErrorMessage="0" allowBlank="0" type="list">
      <formula1>"Yes (EDR),Partial,No"</formula1>
    </dataValidation>
    <dataValidation sqref="M25" showDropDown="0" showInputMessage="0" showErrorMessage="0" allowBlank="0" type="list">
      <formula1>"Yes,No,Planned"</formula1>
    </dataValidation>
    <dataValidation sqref="O25" showDropDown="0" showInputMessage="0" showErrorMessage="0" allowBlank="0" type="list">
      <formula1>"✅ Full,⚠️ Partial,❌ None,N/A"</formula1>
    </dataValidation>
    <dataValidation sqref="K26" showDropDown="0" showInputMessage="0" showErrorMessage="0" allowBlank="0" type="list">
      <formula1>"Yes (EDR),Partial,No"</formula1>
    </dataValidation>
    <dataValidation sqref="M26" showDropDown="0" showInputMessage="0" showErrorMessage="0" allowBlank="0" type="list">
      <formula1>"Yes,No,Planned"</formula1>
    </dataValidation>
    <dataValidation sqref="O26" showDropDown="0" showInputMessage="0" showErrorMessage="0" allowBlank="0" type="list">
      <formula1>"✅ Full,⚠️ Partial,❌ None,N/A"</formula1>
    </dataValidation>
    <dataValidation sqref="K27" showDropDown="0" showInputMessage="0" showErrorMessage="0" allowBlank="0" type="list">
      <formula1>"Yes (EDR),Partial,No"</formula1>
    </dataValidation>
    <dataValidation sqref="M27" showDropDown="0" showInputMessage="0" showErrorMessage="0" allowBlank="0" type="list">
      <formula1>"Yes,No,Planned"</formula1>
    </dataValidation>
    <dataValidation sqref="O27" showDropDown="0" showInputMessage="0" showErrorMessage="0" allowBlank="0" type="list">
      <formula1>"✅ Full,⚠️ Partial,❌ None,N/A"</formula1>
    </dataValidation>
    <dataValidation sqref="K28" showDropDown="0" showInputMessage="0" showErrorMessage="0" allowBlank="0" type="list">
      <formula1>"Yes (EDR),Partial,No"</formula1>
    </dataValidation>
    <dataValidation sqref="M28" showDropDown="0" showInputMessage="0" showErrorMessage="0" allowBlank="0" type="list">
      <formula1>"Yes,No,Planned"</formula1>
    </dataValidation>
    <dataValidation sqref="O28" showDropDown="0" showInputMessage="0" showErrorMessage="0" allowBlank="0" type="list">
      <formula1>"✅ Full,⚠️ Partial,❌ None,N/A"</formula1>
    </dataValidation>
    <dataValidation sqref="K29" showDropDown="0" showInputMessage="0" showErrorMessage="0" allowBlank="0" type="list">
      <formula1>"Yes (EDR),Partial,No"</formula1>
    </dataValidation>
    <dataValidation sqref="M29" showDropDown="0" showInputMessage="0" showErrorMessage="0" allowBlank="0" type="list">
      <formula1>"Yes,No,Planned"</formula1>
    </dataValidation>
    <dataValidation sqref="O29" showDropDown="0" showInputMessage="0" showErrorMessage="0" allowBlank="0" type="list">
      <formula1>"✅ Full,⚠️ Partial,❌ None,N/A"</formula1>
    </dataValidation>
    <dataValidation sqref="K30" showDropDown="0" showInputMessage="0" showErrorMessage="0" allowBlank="0" type="list">
      <formula1>"Yes (EDR),Partial,No"</formula1>
    </dataValidation>
    <dataValidation sqref="M30" showDropDown="0" showInputMessage="0" showErrorMessage="0" allowBlank="0" type="list">
      <formula1>"Yes,No,Planned"</formula1>
    </dataValidation>
    <dataValidation sqref="O30" showDropDown="0" showInputMessage="0" showErrorMessage="0" allowBlank="0" type="list">
      <formula1>"✅ Full,⚠️ Partial,❌ None,N/A"</formula1>
    </dataValidation>
    <dataValidation sqref="K31" showDropDown="0" showInputMessage="0" showErrorMessage="0" allowBlank="0" type="list">
      <formula1>"Yes (EDR),Partial,No"</formula1>
    </dataValidation>
    <dataValidation sqref="M31" showDropDown="0" showInputMessage="0" showErrorMessage="0" allowBlank="0" type="list">
      <formula1>"Yes,No,Planned"</formula1>
    </dataValidation>
    <dataValidation sqref="O31" showDropDown="0" showInputMessage="0" showErrorMessage="0" allowBlank="0" type="list">
      <formula1>"✅ Full,⚠️ Partial,❌ None,N/A"</formula1>
    </dataValidation>
    <dataValidation sqref="K32" showDropDown="0" showInputMessage="0" showErrorMessage="0" allowBlank="0" type="list">
      <formula1>"Yes (EDR),Partial,No"</formula1>
    </dataValidation>
    <dataValidation sqref="M32" showDropDown="0" showInputMessage="0" showErrorMessage="0" allowBlank="0" type="list">
      <formula1>"Yes,No,Planned"</formula1>
    </dataValidation>
    <dataValidation sqref="O32" showDropDown="0" showInputMessage="0" showErrorMessage="0" allowBlank="0" type="list">
      <formula1>"✅ Full,⚠️ Partial,❌ None,N/A"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42"/>
  <sheetViews>
    <sheetView workbookViewId="0">
      <selection activeCell="A1" sqref="A1"/>
    </sheetView>
  </sheetViews>
  <sheetFormatPr baseColWidth="8" defaultRowHeight="15"/>
  <cols>
    <col width="25" customWidth="1" min="1" max="1"/>
    <col width="22" customWidth="1" min="2" max="2"/>
    <col width="15" customWidth="1" min="3" max="3"/>
    <col width="20" customWidth="1" min="4" max="4"/>
    <col width="20" customWidth="1" min="5" max="5"/>
    <col width="22" customWidth="1" min="6" max="6"/>
    <col width="22" customWidth="1" min="7" max="7"/>
    <col width="20" customWidth="1" min="8" max="8"/>
    <col width="22" customWidth="1" min="9" max="9"/>
    <col width="18" customWidth="1" min="10" max="10"/>
    <col width="18" customWidth="1" min="11" max="11"/>
    <col width="20" customWidth="1" min="12" max="12"/>
    <col width="22" customWidth="1" min="13" max="13"/>
    <col width="22" customWidth="1" min="14" max="14"/>
    <col width="22" customWidth="1" min="15" max="15"/>
    <col width="22" customWidth="1" min="16" max="16"/>
    <col width="18" customWidth="1" min="17" max="17"/>
    <col width="30" customWidth="1" min="18" max="18"/>
    <col width="16" customWidth="1" min="19" max="19"/>
  </cols>
  <sheetData>
    <row r="1" ht="35" customHeight="1">
      <c r="A1" s="1" t="inlineStr">
        <is>
          <t>3. USER &amp; IDENTITY MONITORING COVERAGE</t>
        </is>
      </c>
    </row>
    <row r="2">
      <c r="A2" s="2" t="inlineStr">
        <is>
          <t>Policy Reference: ISMS-POL-A.8.16-S2.1.2 - Assess user monitoring</t>
        </is>
      </c>
    </row>
    <row r="6">
      <c r="A6" s="9" t="inlineStr">
        <is>
          <t>Identity System</t>
        </is>
      </c>
      <c r="B6" s="9" t="inlineStr">
        <is>
          <t>System Type</t>
        </is>
      </c>
      <c r="C6" s="9" t="inlineStr">
        <is>
          <t>User Count</t>
        </is>
      </c>
      <c r="D6" s="9" t="inlineStr">
        <is>
          <t>Privileged Account Count</t>
        </is>
      </c>
      <c r="E6" s="9" t="inlineStr">
        <is>
          <t>Service Account Count</t>
        </is>
      </c>
      <c r="F6" s="9" t="inlineStr">
        <is>
          <t>Authentication Logs Collected</t>
        </is>
      </c>
      <c r="G6" s="9" t="inlineStr">
        <is>
          <t>Authorization Logs Collected</t>
        </is>
      </c>
      <c r="H6" s="9" t="inlineStr">
        <is>
          <t>Password Change Logs</t>
        </is>
      </c>
      <c r="I6" s="9" t="inlineStr">
        <is>
          <t>Privilege Escalation Logs</t>
        </is>
      </c>
      <c r="J6" s="9" t="inlineStr">
        <is>
          <t>MFA Events Logged</t>
        </is>
      </c>
      <c r="K6" s="9" t="inlineStr">
        <is>
          <t>SSO Events Logged</t>
        </is>
      </c>
      <c r="L6" s="9" t="inlineStr">
        <is>
          <t>Failed Login Monitoring</t>
        </is>
      </c>
      <c r="M6" s="9" t="inlineStr">
        <is>
          <t>After-Hours Access Monitoring</t>
        </is>
      </c>
      <c r="N6" s="9" t="inlineStr">
        <is>
          <t>Geographic Anomaly Detection</t>
        </is>
      </c>
      <c r="O6" s="9" t="inlineStr">
        <is>
          <t>User Behavior Analytics</t>
        </is>
      </c>
      <c r="P6" s="9" t="inlineStr">
        <is>
          <t>Privileged Access Monitoring</t>
        </is>
      </c>
      <c r="Q6" s="9" t="inlineStr">
        <is>
          <t>Coverage Status</t>
        </is>
      </c>
      <c r="R6" s="9" t="inlineStr">
        <is>
          <t>Gaps/Issues</t>
        </is>
      </c>
      <c r="S6" s="9" t="inlineStr">
        <is>
          <t>Priority</t>
        </is>
      </c>
    </row>
    <row r="8">
      <c r="A8" s="11" t="n"/>
      <c r="B8" s="11" t="n"/>
      <c r="C8" s="11" t="n"/>
      <c r="D8" s="11" t="n"/>
      <c r="E8" s="11" t="n"/>
      <c r="F8" s="11" t="n"/>
      <c r="G8" s="11" t="n"/>
      <c r="H8" s="11" t="n"/>
      <c r="I8" s="11" t="n"/>
      <c r="J8" s="11" t="n"/>
      <c r="K8" s="11" t="n"/>
      <c r="L8" s="11" t="n"/>
      <c r="M8" s="11" t="n"/>
      <c r="N8" s="11" t="n"/>
      <c r="O8" s="11" t="n"/>
      <c r="P8" s="11" t="n"/>
      <c r="Q8" s="11" t="n"/>
      <c r="R8" s="11" t="n"/>
      <c r="S8" s="11" t="n"/>
    </row>
    <row r="9">
      <c r="A9" s="11" t="n"/>
      <c r="B9" s="11" t="n"/>
      <c r="C9" s="11" t="n"/>
      <c r="D9" s="11" t="n"/>
      <c r="E9" s="11" t="n"/>
      <c r="F9" s="11" t="n"/>
      <c r="G9" s="11" t="n"/>
      <c r="H9" s="11" t="n"/>
      <c r="I9" s="11" t="n"/>
      <c r="J9" s="11" t="n"/>
      <c r="K9" s="11" t="n"/>
      <c r="L9" s="11" t="n"/>
      <c r="M9" s="11" t="n"/>
      <c r="N9" s="11" t="n"/>
      <c r="O9" s="11" t="n"/>
      <c r="P9" s="11" t="n"/>
      <c r="Q9" s="11" t="n"/>
      <c r="R9" s="11" t="n"/>
      <c r="S9" s="11" t="n"/>
    </row>
    <row r="10">
      <c r="A10" s="11" t="n"/>
      <c r="B10" s="11" t="n"/>
      <c r="C10" s="11" t="n"/>
      <c r="D10" s="11" t="n"/>
      <c r="E10" s="11" t="n"/>
      <c r="F10" s="11" t="n"/>
      <c r="G10" s="11" t="n"/>
      <c r="H10" s="11" t="n"/>
      <c r="I10" s="11" t="n"/>
      <c r="J10" s="11" t="n"/>
      <c r="K10" s="11" t="n"/>
      <c r="L10" s="11" t="n"/>
      <c r="M10" s="11" t="n"/>
      <c r="N10" s="11" t="n"/>
      <c r="O10" s="11" t="n"/>
      <c r="P10" s="11" t="n"/>
      <c r="Q10" s="11" t="n"/>
      <c r="R10" s="11" t="n"/>
      <c r="S10" s="11" t="n"/>
    </row>
    <row r="11">
      <c r="A11" s="11" t="n"/>
      <c r="B11" s="11" t="n"/>
      <c r="C11" s="11" t="n"/>
      <c r="D11" s="11" t="n"/>
      <c r="E11" s="11" t="n"/>
      <c r="F11" s="11" t="n"/>
      <c r="G11" s="11" t="n"/>
      <c r="H11" s="11" t="n"/>
      <c r="I11" s="11" t="n"/>
      <c r="J11" s="11" t="n"/>
      <c r="K11" s="11" t="n"/>
      <c r="L11" s="11" t="n"/>
      <c r="M11" s="11" t="n"/>
      <c r="N11" s="11" t="n"/>
      <c r="O11" s="11" t="n"/>
      <c r="P11" s="11" t="n"/>
      <c r="Q11" s="11" t="n"/>
      <c r="R11" s="11" t="n"/>
      <c r="S11" s="11" t="n"/>
    </row>
    <row r="12">
      <c r="A12" s="11" t="n"/>
      <c r="B12" s="11" t="n"/>
      <c r="C12" s="11" t="n"/>
      <c r="D12" s="11" t="n"/>
      <c r="E12" s="11" t="n"/>
      <c r="F12" s="11" t="n"/>
      <c r="G12" s="11" t="n"/>
      <c r="H12" s="11" t="n"/>
      <c r="I12" s="11" t="n"/>
      <c r="J12" s="11" t="n"/>
      <c r="K12" s="11" t="n"/>
      <c r="L12" s="11" t="n"/>
      <c r="M12" s="11" t="n"/>
      <c r="N12" s="11" t="n"/>
      <c r="O12" s="11" t="n"/>
      <c r="P12" s="11" t="n"/>
      <c r="Q12" s="11" t="n"/>
      <c r="R12" s="11" t="n"/>
      <c r="S12" s="11" t="n"/>
    </row>
    <row r="13">
      <c r="A13" s="11" t="n"/>
      <c r="B13" s="11" t="n"/>
      <c r="C13" s="11" t="n"/>
      <c r="D13" s="11" t="n"/>
      <c r="E13" s="11" t="n"/>
      <c r="F13" s="11" t="n"/>
      <c r="G13" s="11" t="n"/>
      <c r="H13" s="11" t="n"/>
      <c r="I13" s="11" t="n"/>
      <c r="J13" s="11" t="n"/>
      <c r="K13" s="11" t="n"/>
      <c r="L13" s="11" t="n"/>
      <c r="M13" s="11" t="n"/>
      <c r="N13" s="11" t="n"/>
      <c r="O13" s="11" t="n"/>
      <c r="P13" s="11" t="n"/>
      <c r="Q13" s="11" t="n"/>
      <c r="R13" s="11" t="n"/>
      <c r="S13" s="11" t="n"/>
    </row>
    <row r="14">
      <c r="A14" s="11" t="n"/>
      <c r="B14" s="11" t="n"/>
      <c r="C14" s="11" t="n"/>
      <c r="D14" s="11" t="n"/>
      <c r="E14" s="11" t="n"/>
      <c r="F14" s="11" t="n"/>
      <c r="G14" s="11" t="n"/>
      <c r="H14" s="11" t="n"/>
      <c r="I14" s="11" t="n"/>
      <c r="J14" s="11" t="n"/>
      <c r="K14" s="11" t="n"/>
      <c r="L14" s="11" t="n"/>
      <c r="M14" s="11" t="n"/>
      <c r="N14" s="11" t="n"/>
      <c r="O14" s="11" t="n"/>
      <c r="P14" s="11" t="n"/>
      <c r="Q14" s="11" t="n"/>
      <c r="R14" s="11" t="n"/>
      <c r="S14" s="11" t="n"/>
    </row>
    <row r="15">
      <c r="A15" s="11" t="n"/>
      <c r="B15" s="11" t="n"/>
      <c r="C15" s="11" t="n"/>
      <c r="D15" s="11" t="n"/>
      <c r="E15" s="11" t="n"/>
      <c r="F15" s="11" t="n"/>
      <c r="G15" s="11" t="n"/>
      <c r="H15" s="11" t="n"/>
      <c r="I15" s="11" t="n"/>
      <c r="J15" s="11" t="n"/>
      <c r="K15" s="11" t="n"/>
      <c r="L15" s="11" t="n"/>
      <c r="M15" s="11" t="n"/>
      <c r="N15" s="11" t="n"/>
      <c r="O15" s="11" t="n"/>
      <c r="P15" s="11" t="n"/>
      <c r="Q15" s="11" t="n"/>
      <c r="R15" s="11" t="n"/>
      <c r="S15" s="11" t="n"/>
    </row>
    <row r="16">
      <c r="A16" s="11" t="n"/>
      <c r="B16" s="11" t="n"/>
      <c r="C16" s="11" t="n"/>
      <c r="D16" s="11" t="n"/>
      <c r="E16" s="11" t="n"/>
      <c r="F16" s="11" t="n"/>
      <c r="G16" s="11" t="n"/>
      <c r="H16" s="11" t="n"/>
      <c r="I16" s="11" t="n"/>
      <c r="J16" s="11" t="n"/>
      <c r="K16" s="11" t="n"/>
      <c r="L16" s="11" t="n"/>
      <c r="M16" s="11" t="n"/>
      <c r="N16" s="11" t="n"/>
      <c r="O16" s="11" t="n"/>
      <c r="P16" s="11" t="n"/>
      <c r="Q16" s="11" t="n"/>
      <c r="R16" s="11" t="n"/>
      <c r="S16" s="11" t="n"/>
    </row>
    <row r="17">
      <c r="A17" s="11" t="n"/>
      <c r="B17" s="11" t="n"/>
      <c r="C17" s="11" t="n"/>
      <c r="D17" s="11" t="n"/>
      <c r="E17" s="11" t="n"/>
      <c r="F17" s="11" t="n"/>
      <c r="G17" s="11" t="n"/>
      <c r="H17" s="11" t="n"/>
      <c r="I17" s="11" t="n"/>
      <c r="J17" s="11" t="n"/>
      <c r="K17" s="11" t="n"/>
      <c r="L17" s="11" t="n"/>
      <c r="M17" s="11" t="n"/>
      <c r="N17" s="11" t="n"/>
      <c r="O17" s="11" t="n"/>
      <c r="P17" s="11" t="n"/>
      <c r="Q17" s="11" t="n"/>
      <c r="R17" s="11" t="n"/>
      <c r="S17" s="11" t="n"/>
    </row>
    <row r="18">
      <c r="A18" s="11" t="n"/>
      <c r="B18" s="11" t="n"/>
      <c r="C18" s="11" t="n"/>
      <c r="D18" s="11" t="n"/>
      <c r="E18" s="11" t="n"/>
      <c r="F18" s="11" t="n"/>
      <c r="G18" s="11" t="n"/>
      <c r="H18" s="11" t="n"/>
      <c r="I18" s="11" t="n"/>
      <c r="J18" s="11" t="n"/>
      <c r="K18" s="11" t="n"/>
      <c r="L18" s="11" t="n"/>
      <c r="M18" s="11" t="n"/>
      <c r="N18" s="11" t="n"/>
      <c r="O18" s="11" t="n"/>
      <c r="P18" s="11" t="n"/>
      <c r="Q18" s="11" t="n"/>
      <c r="R18" s="11" t="n"/>
      <c r="S18" s="11" t="n"/>
    </row>
    <row r="19">
      <c r="A19" s="11" t="n"/>
      <c r="B19" s="11" t="n"/>
      <c r="C19" s="11" t="n"/>
      <c r="D19" s="11" t="n"/>
      <c r="E19" s="11" t="n"/>
      <c r="F19" s="11" t="n"/>
      <c r="G19" s="11" t="n"/>
      <c r="H19" s="11" t="n"/>
      <c r="I19" s="11" t="n"/>
      <c r="J19" s="11" t="n"/>
      <c r="K19" s="11" t="n"/>
      <c r="L19" s="11" t="n"/>
      <c r="M19" s="11" t="n"/>
      <c r="N19" s="11" t="n"/>
      <c r="O19" s="11" t="n"/>
      <c r="P19" s="11" t="n"/>
      <c r="Q19" s="11" t="n"/>
      <c r="R19" s="11" t="n"/>
      <c r="S19" s="11" t="n"/>
    </row>
    <row r="20">
      <c r="A20" s="11" t="n"/>
      <c r="B20" s="11" t="n"/>
      <c r="C20" s="11" t="n"/>
      <c r="D20" s="11" t="n"/>
      <c r="E20" s="11" t="n"/>
      <c r="F20" s="11" t="n"/>
      <c r="G20" s="11" t="n"/>
      <c r="H20" s="11" t="n"/>
      <c r="I20" s="11" t="n"/>
      <c r="J20" s="11" t="n"/>
      <c r="K20" s="11" t="n"/>
      <c r="L20" s="11" t="n"/>
      <c r="M20" s="11" t="n"/>
      <c r="N20" s="11" t="n"/>
      <c r="O20" s="11" t="n"/>
      <c r="P20" s="11" t="n"/>
      <c r="Q20" s="11" t="n"/>
      <c r="R20" s="11" t="n"/>
      <c r="S20" s="11" t="n"/>
    </row>
    <row r="21">
      <c r="A21" s="11" t="n"/>
      <c r="B21" s="11" t="n"/>
      <c r="C21" s="11" t="n"/>
      <c r="D21" s="11" t="n"/>
      <c r="E21" s="11" t="n"/>
      <c r="F21" s="11" t="n"/>
      <c r="G21" s="11" t="n"/>
      <c r="H21" s="11" t="n"/>
      <c r="I21" s="11" t="n"/>
      <c r="J21" s="11" t="n"/>
      <c r="K21" s="11" t="n"/>
      <c r="L21" s="11" t="n"/>
      <c r="M21" s="11" t="n"/>
      <c r="N21" s="11" t="n"/>
      <c r="O21" s="11" t="n"/>
      <c r="P21" s="11" t="n"/>
      <c r="Q21" s="11" t="n"/>
      <c r="R21" s="11" t="n"/>
      <c r="S21" s="11" t="n"/>
    </row>
    <row r="22">
      <c r="A22" s="11" t="n"/>
      <c r="B22" s="11" t="n"/>
      <c r="C22" s="11" t="n"/>
      <c r="D22" s="11" t="n"/>
      <c r="E22" s="11" t="n"/>
      <c r="F22" s="11" t="n"/>
      <c r="G22" s="11" t="n"/>
      <c r="H22" s="11" t="n"/>
      <c r="I22" s="11" t="n"/>
      <c r="J22" s="11" t="n"/>
      <c r="K22" s="11" t="n"/>
      <c r="L22" s="11" t="n"/>
      <c r="M22" s="11" t="n"/>
      <c r="N22" s="11" t="n"/>
      <c r="O22" s="11" t="n"/>
      <c r="P22" s="11" t="n"/>
      <c r="Q22" s="11" t="n"/>
      <c r="R22" s="11" t="n"/>
      <c r="S22" s="11" t="n"/>
    </row>
    <row r="25">
      <c r="A25" s="3" t="inlineStr">
        <is>
          <t>USER &amp; IDENTITY COVERAGE CHECKLIST</t>
        </is>
      </c>
    </row>
    <row r="26">
      <c r="A26" s="9" t="inlineStr">
        <is>
          <t>#</t>
        </is>
      </c>
      <c r="B26" s="9" t="inlineStr">
        <is>
          <t>Requirement</t>
        </is>
      </c>
      <c r="C26" s="12" t="n"/>
      <c r="D26" s="12" t="n"/>
      <c r="E26" s="12" t="n"/>
      <c r="F26" s="12" t="n"/>
      <c r="G26" s="12" t="n"/>
      <c r="H26" s="12" t="n"/>
      <c r="I26" s="12" t="n"/>
      <c r="J26" s="12" t="n"/>
      <c r="K26" s="12" t="n"/>
      <c r="L26" s="12" t="n"/>
      <c r="M26" s="12" t="n"/>
      <c r="N26" s="12" t="n"/>
      <c r="O26" s="12" t="n"/>
      <c r="P26" s="12" t="n"/>
      <c r="Q26" s="12" t="n"/>
      <c r="R26" s="13" t="n"/>
    </row>
    <row r="27" ht="25" customHeight="1">
      <c r="A27" t="n">
        <v>1</v>
      </c>
      <c r="B27" s="6" t="inlineStr">
        <is>
          <t>Primary identity system (AD/Azure AD) monitored</t>
        </is>
      </c>
      <c r="S27" s="5" t="n"/>
    </row>
    <row r="28" ht="25" customHeight="1">
      <c r="A28" t="n">
        <v>2</v>
      </c>
      <c r="B28" s="6" t="inlineStr">
        <is>
          <t>All authentication events logged</t>
        </is>
      </c>
      <c r="S28" s="5" t="n"/>
    </row>
    <row r="29" ht="25" customHeight="1">
      <c r="A29" t="n">
        <v>3</v>
      </c>
      <c r="B29" s="6" t="inlineStr">
        <is>
          <t>Failed login attempts monitored and alerted</t>
        </is>
      </c>
      <c r="S29" s="5" t="n"/>
    </row>
    <row r="30" ht="25" customHeight="1">
      <c r="A30" t="n">
        <v>4</v>
      </c>
      <c r="B30" s="6" t="inlineStr">
        <is>
          <t>Privileged account usage monitored</t>
        </is>
      </c>
      <c r="S30" s="5" t="n"/>
    </row>
    <row r="31" ht="25" customHeight="1">
      <c r="A31" t="n">
        <v>5</v>
      </c>
      <c r="B31" s="6" t="inlineStr">
        <is>
          <t>Service account usage monitored</t>
        </is>
      </c>
      <c r="S31" s="5" t="n"/>
    </row>
    <row r="32" ht="25" customHeight="1">
      <c r="A32" t="n">
        <v>6</v>
      </c>
      <c r="B32" s="6" t="inlineStr">
        <is>
          <t>Password changes logged</t>
        </is>
      </c>
      <c r="S32" s="5" t="n"/>
    </row>
    <row r="33" ht="25" customHeight="1">
      <c r="A33" t="n">
        <v>7</v>
      </c>
      <c r="B33" s="6" t="inlineStr">
        <is>
          <t>Privilege escalation logged</t>
        </is>
      </c>
      <c r="S33" s="5" t="n"/>
    </row>
    <row r="34" ht="25" customHeight="1">
      <c r="A34" t="n">
        <v>8</v>
      </c>
      <c r="B34" s="6" t="inlineStr">
        <is>
          <t>MFA events logged (if MFA deployed)</t>
        </is>
      </c>
      <c r="S34" s="5" t="n"/>
    </row>
    <row r="35" ht="25" customHeight="1">
      <c r="A35" t="n">
        <v>9</v>
      </c>
      <c r="B35" s="6" t="inlineStr">
        <is>
          <t>SSO events logged (if SSO deployed)</t>
        </is>
      </c>
      <c r="S35" s="5" t="n"/>
    </row>
    <row r="36" ht="25" customHeight="1">
      <c r="A36" t="n">
        <v>10</v>
      </c>
      <c r="B36" s="6" t="inlineStr">
        <is>
          <t>After-hours access monitored</t>
        </is>
      </c>
      <c r="S36" s="5" t="n"/>
    </row>
    <row r="37" ht="25" customHeight="1">
      <c r="A37" t="n">
        <v>11</v>
      </c>
      <c r="B37" s="6" t="inlineStr">
        <is>
          <t>Geographic anomalies detected</t>
        </is>
      </c>
      <c r="S37" s="5" t="n"/>
    </row>
    <row r="38" ht="25" customHeight="1">
      <c r="A38" t="n">
        <v>12</v>
      </c>
      <c r="B38" s="6" t="inlineStr">
        <is>
          <t>User behavior baselines established</t>
        </is>
      </c>
      <c r="S38" s="5" t="n"/>
    </row>
    <row r="39" ht="25" customHeight="1">
      <c r="A39" t="n">
        <v>13</v>
      </c>
      <c r="B39" s="6" t="inlineStr">
        <is>
          <t>Dormant accounts identified</t>
        </is>
      </c>
      <c r="S39" s="5" t="n"/>
    </row>
    <row r="40" ht="25" customHeight="1">
      <c r="A40" t="n">
        <v>14</v>
      </c>
      <c r="B40" s="6" t="inlineStr">
        <is>
          <t>Privileged access sessions recorded (PAM)</t>
        </is>
      </c>
      <c r="S40" s="5" t="n"/>
    </row>
    <row r="41" ht="25" customHeight="1">
      <c r="A41" t="n">
        <v>15</v>
      </c>
      <c r="B41" s="6" t="inlineStr">
        <is>
          <t>Identity correlation across systems</t>
        </is>
      </c>
      <c r="S41" s="5" t="n"/>
    </row>
    <row r="42">
      <c r="A42" s="14" t="inlineStr">
        <is>
          <t>SCORE:</t>
        </is>
      </c>
      <c r="B42" s="15">
        <f>COUNTIF(S27:S41,"✅ Compliant")&amp;" / 15"</f>
        <v/>
      </c>
    </row>
  </sheetData>
  <mergeCells count="20">
    <mergeCell ref="B32:R32"/>
    <mergeCell ref="B26:R26"/>
    <mergeCell ref="B35:R35"/>
    <mergeCell ref="B31:R31"/>
    <mergeCell ref="B27:R27"/>
    <mergeCell ref="B39:R39"/>
    <mergeCell ref="B29:R29"/>
    <mergeCell ref="A1:S1"/>
    <mergeCell ref="B38:R38"/>
    <mergeCell ref="B34:R34"/>
    <mergeCell ref="B28:R28"/>
    <mergeCell ref="B37:R37"/>
    <mergeCell ref="B42:E42"/>
    <mergeCell ref="A25:S25"/>
    <mergeCell ref="B40:R40"/>
    <mergeCell ref="B30:R30"/>
    <mergeCell ref="B33:R33"/>
    <mergeCell ref="A2:S2"/>
    <mergeCell ref="B41:R41"/>
    <mergeCell ref="B36:R36"/>
  </mergeCells>
  <dataValidations count="51">
    <dataValidation sqref="H8 H9 H10 H11 H12 H13 H14 H15 H16 H17 H18 H19 H20 H21 H22 I8 I9 I10 I11 I12 I13 I14 I15 I16 I17 I18 I19 I20 I21 I22 L8 L9 L10 L11 L12 L13 L14 L15 L16 L17 L18 L19 L20 L21 L22 M8 M9 M10 M11 M12 M13 M14 M15 M16 M17 M18 M19 M20 M21 M22" showDropDown="0" showInputMessage="0" showErrorMessage="0" allowBlank="0" type="list">
      <formula1>"Yes,No"</formula1>
    </dataValidation>
    <dataValidation sqref="J8 J9 J10 J11 J12 J13 J14 J15 J16 J17 J18 J19 J20 J21 J22 K8 K9 K10 K11 K12 K13 K14 K15 K16 K17 K18 K19 K20 K21 K22" showDropDown="0" showInputMessage="0" showErrorMessage="0" allowBlank="0" type="list">
      <formula1>"Yes,No,N/A"</formula1>
    </dataValidation>
    <dataValidation sqref="F8 F9 F10 F11 F12 F13 F14 F15 F16 F17 F18 F19 F20 F21 F22 G8 G9 G10 G11 G12 G13 G14 G15 G16 G17 G18 G19 G20 G21 G22" showDropDown="0" showInputMessage="0" showErrorMessage="0" allowBlank="0" type="list">
      <formula1>"Yes,Partial,No"</formula1>
    </dataValidation>
    <dataValidation sqref="B8 B9 B10 B11 B12 B13 B14 B15 B16 B17 B18 B19 B20 B21 B22" showDropDown="0" showInputMessage="0" showErrorMessage="0" allowBlank="0" type="list">
      <formula1>"Active Directory,Azure AD,LDAP,SAML IdP,OAuth Provider,Database Auth,Application-Specific,Other"</formula1>
    </dataValidation>
    <dataValidation sqref="Q8 Q9 Q10 Q11 Q12 Q13 Q14 Q15 Q16 Q17 Q18 Q19 Q20 Q21 Q22 S27 S28 S29 S30 S31 S32 S33 S34 S35 S36 S37 S38 S39 S40 S41" showDropDown="0" showInputMessage="0" showErrorMessage="0" allowBlank="0" type="list">
      <formula1>"✅ Compliant,⚠️ Partial,❌ Non-Compliant,N/A"</formula1>
    </dataValidation>
    <dataValidation sqref="S8 S9 S10 S11 S12 S13 S14 S15 S16 S17 S18 S19 S20 S21 S22" showDropDown="0" showInputMessage="0" showErrorMessage="0" allowBlank="0" type="list">
      <formula1>"Critical,High,Medium,Low"</formula1>
    </dataValidation>
    <dataValidation sqref="N8" showDropDown="0" showInputMessage="0" showErrorMessage="0" allowBlank="0" type="list">
      <formula1>"Yes,No,Planned"</formula1>
    </dataValidation>
    <dataValidation sqref="O8" showDropDown="0" showInputMessage="0" showErrorMessage="0" allowBlank="0" type="list">
      <formula1>"Yes (UEBA),Planned,No"</formula1>
    </dataValidation>
    <dataValidation sqref="P8" showDropDown="0" showInputMessage="0" showErrorMessage="0" allowBlank="0" type="list">
      <formula1>"Yes (PAM integrated),Partial,No"</formula1>
    </dataValidation>
    <dataValidation sqref="N9" showDropDown="0" showInputMessage="0" showErrorMessage="0" allowBlank="0" type="list">
      <formula1>"Yes,No,Planned"</formula1>
    </dataValidation>
    <dataValidation sqref="O9" showDropDown="0" showInputMessage="0" showErrorMessage="0" allowBlank="0" type="list">
      <formula1>"Yes (UEBA),Planned,No"</formula1>
    </dataValidation>
    <dataValidation sqref="P9" showDropDown="0" showInputMessage="0" showErrorMessage="0" allowBlank="0" type="list">
      <formula1>"Yes (PAM integrated),Partial,No"</formula1>
    </dataValidation>
    <dataValidation sqref="N10" showDropDown="0" showInputMessage="0" showErrorMessage="0" allowBlank="0" type="list">
      <formula1>"Yes,No,Planned"</formula1>
    </dataValidation>
    <dataValidation sqref="O10" showDropDown="0" showInputMessage="0" showErrorMessage="0" allowBlank="0" type="list">
      <formula1>"Yes (UEBA),Planned,No"</formula1>
    </dataValidation>
    <dataValidation sqref="P10" showDropDown="0" showInputMessage="0" showErrorMessage="0" allowBlank="0" type="list">
      <formula1>"Yes (PAM integrated),Partial,No"</formula1>
    </dataValidation>
    <dataValidation sqref="N11" showDropDown="0" showInputMessage="0" showErrorMessage="0" allowBlank="0" type="list">
      <formula1>"Yes,No,Planned"</formula1>
    </dataValidation>
    <dataValidation sqref="O11" showDropDown="0" showInputMessage="0" showErrorMessage="0" allowBlank="0" type="list">
      <formula1>"Yes (UEBA),Planned,No"</formula1>
    </dataValidation>
    <dataValidation sqref="P11" showDropDown="0" showInputMessage="0" showErrorMessage="0" allowBlank="0" type="list">
      <formula1>"Yes (PAM integrated),Partial,No"</formula1>
    </dataValidation>
    <dataValidation sqref="N12" showDropDown="0" showInputMessage="0" showErrorMessage="0" allowBlank="0" type="list">
      <formula1>"Yes,No,Planned"</formula1>
    </dataValidation>
    <dataValidation sqref="O12" showDropDown="0" showInputMessage="0" showErrorMessage="0" allowBlank="0" type="list">
      <formula1>"Yes (UEBA),Planned,No"</formula1>
    </dataValidation>
    <dataValidation sqref="P12" showDropDown="0" showInputMessage="0" showErrorMessage="0" allowBlank="0" type="list">
      <formula1>"Yes (PAM integrated),Partial,No"</formula1>
    </dataValidation>
    <dataValidation sqref="N13" showDropDown="0" showInputMessage="0" showErrorMessage="0" allowBlank="0" type="list">
      <formula1>"Yes,No,Planned"</formula1>
    </dataValidation>
    <dataValidation sqref="O13" showDropDown="0" showInputMessage="0" showErrorMessage="0" allowBlank="0" type="list">
      <formula1>"Yes (UEBA),Planned,No"</formula1>
    </dataValidation>
    <dataValidation sqref="P13" showDropDown="0" showInputMessage="0" showErrorMessage="0" allowBlank="0" type="list">
      <formula1>"Yes (PAM integrated),Partial,No"</formula1>
    </dataValidation>
    <dataValidation sqref="N14" showDropDown="0" showInputMessage="0" showErrorMessage="0" allowBlank="0" type="list">
      <formula1>"Yes,No,Planned"</formula1>
    </dataValidation>
    <dataValidation sqref="O14" showDropDown="0" showInputMessage="0" showErrorMessage="0" allowBlank="0" type="list">
      <formula1>"Yes (UEBA),Planned,No"</formula1>
    </dataValidation>
    <dataValidation sqref="P14" showDropDown="0" showInputMessage="0" showErrorMessage="0" allowBlank="0" type="list">
      <formula1>"Yes (PAM integrated),Partial,No"</formula1>
    </dataValidation>
    <dataValidation sqref="N15" showDropDown="0" showInputMessage="0" showErrorMessage="0" allowBlank="0" type="list">
      <formula1>"Yes,No,Planned"</formula1>
    </dataValidation>
    <dataValidation sqref="O15" showDropDown="0" showInputMessage="0" showErrorMessage="0" allowBlank="0" type="list">
      <formula1>"Yes (UEBA),Planned,No"</formula1>
    </dataValidation>
    <dataValidation sqref="P15" showDropDown="0" showInputMessage="0" showErrorMessage="0" allowBlank="0" type="list">
      <formula1>"Yes (PAM integrated),Partial,No"</formula1>
    </dataValidation>
    <dataValidation sqref="N16" showDropDown="0" showInputMessage="0" showErrorMessage="0" allowBlank="0" type="list">
      <formula1>"Yes,No,Planned"</formula1>
    </dataValidation>
    <dataValidation sqref="O16" showDropDown="0" showInputMessage="0" showErrorMessage="0" allowBlank="0" type="list">
      <formula1>"Yes (UEBA),Planned,No"</formula1>
    </dataValidation>
    <dataValidation sqref="P16" showDropDown="0" showInputMessage="0" showErrorMessage="0" allowBlank="0" type="list">
      <formula1>"Yes (PAM integrated),Partial,No"</formula1>
    </dataValidation>
    <dataValidation sqref="N17" showDropDown="0" showInputMessage="0" showErrorMessage="0" allowBlank="0" type="list">
      <formula1>"Yes,No,Planned"</formula1>
    </dataValidation>
    <dataValidation sqref="O17" showDropDown="0" showInputMessage="0" showErrorMessage="0" allowBlank="0" type="list">
      <formula1>"Yes (UEBA),Planned,No"</formula1>
    </dataValidation>
    <dataValidation sqref="P17" showDropDown="0" showInputMessage="0" showErrorMessage="0" allowBlank="0" type="list">
      <formula1>"Yes (PAM integrated),Partial,No"</formula1>
    </dataValidation>
    <dataValidation sqref="N18" showDropDown="0" showInputMessage="0" showErrorMessage="0" allowBlank="0" type="list">
      <formula1>"Yes,No,Planned"</formula1>
    </dataValidation>
    <dataValidation sqref="O18" showDropDown="0" showInputMessage="0" showErrorMessage="0" allowBlank="0" type="list">
      <formula1>"Yes (UEBA),Planned,No"</formula1>
    </dataValidation>
    <dataValidation sqref="P18" showDropDown="0" showInputMessage="0" showErrorMessage="0" allowBlank="0" type="list">
      <formula1>"Yes (PAM integrated),Partial,No"</formula1>
    </dataValidation>
    <dataValidation sqref="N19" showDropDown="0" showInputMessage="0" showErrorMessage="0" allowBlank="0" type="list">
      <formula1>"Yes,No,Planned"</formula1>
    </dataValidation>
    <dataValidation sqref="O19" showDropDown="0" showInputMessage="0" showErrorMessage="0" allowBlank="0" type="list">
      <formula1>"Yes (UEBA),Planned,No"</formula1>
    </dataValidation>
    <dataValidation sqref="P19" showDropDown="0" showInputMessage="0" showErrorMessage="0" allowBlank="0" type="list">
      <formula1>"Yes (PAM integrated),Partial,No"</formula1>
    </dataValidation>
    <dataValidation sqref="N20" showDropDown="0" showInputMessage="0" showErrorMessage="0" allowBlank="0" type="list">
      <formula1>"Yes,No,Planned"</formula1>
    </dataValidation>
    <dataValidation sqref="O20" showDropDown="0" showInputMessage="0" showErrorMessage="0" allowBlank="0" type="list">
      <formula1>"Yes (UEBA),Planned,No"</formula1>
    </dataValidation>
    <dataValidation sqref="P20" showDropDown="0" showInputMessage="0" showErrorMessage="0" allowBlank="0" type="list">
      <formula1>"Yes (PAM integrated),Partial,No"</formula1>
    </dataValidation>
    <dataValidation sqref="N21" showDropDown="0" showInputMessage="0" showErrorMessage="0" allowBlank="0" type="list">
      <formula1>"Yes,No,Planned"</formula1>
    </dataValidation>
    <dataValidation sqref="O21" showDropDown="0" showInputMessage="0" showErrorMessage="0" allowBlank="0" type="list">
      <formula1>"Yes (UEBA),Planned,No"</formula1>
    </dataValidation>
    <dataValidation sqref="P21" showDropDown="0" showInputMessage="0" showErrorMessage="0" allowBlank="0" type="list">
      <formula1>"Yes (PAM integrated),Partial,No"</formula1>
    </dataValidation>
    <dataValidation sqref="N22" showDropDown="0" showInputMessage="0" showErrorMessage="0" allowBlank="0" type="list">
      <formula1>"Yes,No,Planned"</formula1>
    </dataValidation>
    <dataValidation sqref="O22" showDropDown="0" showInputMessage="0" showErrorMessage="0" allowBlank="0" type="list">
      <formula1>"Yes (UEBA),Planned,No"</formula1>
    </dataValidation>
    <dataValidation sqref="P22" showDropDown="0" showInputMessage="0" showErrorMessage="0" allowBlank="0" type="list">
      <formula1>"Yes (PAM integrated),Partial,No"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2"/>
  <sheetViews>
    <sheetView workbookViewId="0">
      <selection activeCell="A1" sqref="A1"/>
    </sheetView>
  </sheetViews>
  <sheetFormatPr baseColWidth="8" defaultRowHeight="15"/>
  <cols>
    <col width="28" customWidth="1" min="1" max="1"/>
    <col width="22" customWidth="1" min="2" max="2"/>
    <col width="20" customWidth="1" min="3" max="3"/>
    <col width="20" customWidth="1" min="4" max="4"/>
    <col width="18" customWidth="1" min="5" max="5"/>
    <col width="15" customWidth="1" min="6" max="6"/>
    <col width="18" customWidth="1" min="7" max="7"/>
    <col width="22" customWidth="1" min="8" max="8"/>
    <col width="18" customWidth="1" min="9" max="9"/>
    <col width="22" customWidth="1" min="10" max="10"/>
    <col width="20" customWidth="1" min="11" max="11"/>
    <col width="18" customWidth="1" min="12" max="12"/>
    <col width="20" customWidth="1" min="13" max="13"/>
    <col width="20" customWidth="1" min="14" max="14"/>
    <col width="20" customWidth="1" min="15" max="15"/>
    <col width="16" customWidth="1" min="16" max="16"/>
    <col width="16" customWidth="1" min="17" max="17"/>
    <col width="18" customWidth="1" min="18" max="18"/>
    <col width="30" customWidth="1" min="19" max="19"/>
    <col width="14" customWidth="1" min="20" max="20"/>
    <col width="16" customWidth="1" min="21" max="21"/>
  </cols>
  <sheetData>
    <row r="1" ht="35" customHeight="1">
      <c r="A1" s="1" t="inlineStr">
        <is>
          <t>4. APPLICATION &amp; SERVICE MONITORING COVERAGE</t>
        </is>
      </c>
    </row>
    <row r="2">
      <c r="A2" s="2" t="inlineStr">
        <is>
          <t>Policy Reference: ISMS-POL-A.8.16-S2.1.2 - Assess application coverage</t>
        </is>
      </c>
    </row>
    <row r="6">
      <c r="A6" s="9" t="inlineStr">
        <is>
          <t>Application/Service Name</t>
        </is>
      </c>
      <c r="B6" s="9" t="inlineStr">
        <is>
          <t>Application Type</t>
        </is>
      </c>
      <c r="C6" s="9" t="inlineStr">
        <is>
          <t>Business Unit</t>
        </is>
      </c>
      <c r="D6" s="9" t="inlineStr">
        <is>
          <t>Application Owner</t>
        </is>
      </c>
      <c r="E6" s="9" t="inlineStr">
        <is>
          <t>Data Classification</t>
        </is>
      </c>
      <c r="F6" s="9" t="inlineStr">
        <is>
          <t>Criticality</t>
        </is>
      </c>
      <c r="G6" s="9" t="inlineStr">
        <is>
          <t>User Base</t>
        </is>
      </c>
      <c r="H6" s="9" t="inlineStr">
        <is>
          <t>Application Logs Collected</t>
        </is>
      </c>
      <c r="I6" s="9" t="inlineStr">
        <is>
          <t>API Logs Collected</t>
        </is>
      </c>
      <c r="J6" s="9" t="inlineStr">
        <is>
          <t>Database Logs Collected</t>
        </is>
      </c>
      <c r="K6" s="9" t="inlineStr">
        <is>
          <t>Error/Exception Logging</t>
        </is>
      </c>
      <c r="L6" s="9" t="inlineStr">
        <is>
          <t>Transaction Logging</t>
        </is>
      </c>
      <c r="M6" s="9" t="inlineStr">
        <is>
          <t>Access Control Logs</t>
        </is>
      </c>
      <c r="N6" s="9" t="inlineStr">
        <is>
          <t>Data Export Monitoring</t>
        </is>
      </c>
      <c r="O6" s="9" t="inlineStr">
        <is>
          <t>Performance Monitoring</t>
        </is>
      </c>
      <c r="P6" s="9" t="inlineStr">
        <is>
          <t>WAF Integration</t>
        </is>
      </c>
      <c r="Q6" s="9" t="inlineStr">
        <is>
          <t>APM Integration</t>
        </is>
      </c>
      <c r="R6" s="9" t="inlineStr">
        <is>
          <t>Coverage Status</t>
        </is>
      </c>
      <c r="S6" s="9" t="inlineStr">
        <is>
          <t>Gaps</t>
        </is>
      </c>
      <c r="T6" s="9" t="inlineStr">
        <is>
          <t>Target Date</t>
        </is>
      </c>
      <c r="U6" s="9" t="inlineStr">
        <is>
          <t>Priority</t>
        </is>
      </c>
    </row>
    <row r="7">
      <c r="A7" s="10" t="inlineStr">
        <is>
          <t>Customer Portal</t>
        </is>
      </c>
      <c r="B7" s="10" t="inlineStr">
        <is>
          <t>Web Application</t>
        </is>
      </c>
      <c r="C7" s="10" t="inlineStr">
        <is>
          <t>Sales</t>
        </is>
      </c>
      <c r="D7" s="10" t="inlineStr">
        <is>
          <t>M. Johnson</t>
        </is>
      </c>
      <c r="E7" s="10" t="inlineStr">
        <is>
          <t>Confidential</t>
        </is>
      </c>
      <c r="F7" s="10" t="inlineStr">
        <is>
          <t>High</t>
        </is>
      </c>
      <c r="G7" s="10" t="inlineStr">
        <is>
          <t>5000 users</t>
        </is>
      </c>
      <c r="H7" s="10" t="inlineStr">
        <is>
          <t>Yes</t>
        </is>
      </c>
      <c r="I7" s="10" t="inlineStr">
        <is>
          <t>Yes</t>
        </is>
      </c>
      <c r="J7" s="10" t="inlineStr">
        <is>
          <t>Yes</t>
        </is>
      </c>
      <c r="K7" s="10" t="inlineStr">
        <is>
          <t>Yes</t>
        </is>
      </c>
      <c r="L7" s="10" t="inlineStr">
        <is>
          <t>Yes</t>
        </is>
      </c>
      <c r="M7" s="10" t="inlineStr">
        <is>
          <t>Yes</t>
        </is>
      </c>
      <c r="N7" s="10" t="inlineStr">
        <is>
          <t>Yes</t>
        </is>
      </c>
      <c r="O7" s="10" t="inlineStr">
        <is>
          <t>Yes</t>
        </is>
      </c>
      <c r="P7" s="10" t="inlineStr">
        <is>
          <t>Yes</t>
        </is>
      </c>
      <c r="Q7" s="10" t="inlineStr">
        <is>
          <t>Yes</t>
        </is>
      </c>
      <c r="R7" s="10" t="inlineStr">
        <is>
          <t>✅ Compliant</t>
        </is>
      </c>
      <c r="S7" s="10" t="inlineStr">
        <is>
          <t>None</t>
        </is>
      </c>
      <c r="T7" s="10" t="inlineStr">
        <is>
          <t>N/A</t>
        </is>
      </c>
      <c r="U7" s="10" t="inlineStr">
        <is>
          <t>High</t>
        </is>
      </c>
    </row>
    <row r="8">
      <c r="A8" s="11" t="n"/>
      <c r="B8" s="11" t="n"/>
      <c r="C8" s="11" t="n"/>
      <c r="D8" s="11" t="n"/>
      <c r="E8" s="11" t="n"/>
      <c r="F8" s="11" t="n"/>
      <c r="G8" s="11" t="n"/>
      <c r="H8" s="11" t="n"/>
      <c r="I8" s="11" t="n"/>
      <c r="J8" s="11" t="n"/>
      <c r="K8" s="11" t="n"/>
      <c r="L8" s="11" t="n"/>
      <c r="M8" s="11" t="n"/>
      <c r="N8" s="11" t="n"/>
      <c r="O8" s="11" t="n"/>
      <c r="P8" s="11" t="n"/>
      <c r="Q8" s="11" t="n"/>
      <c r="R8" s="11" t="n"/>
      <c r="S8" s="11" t="n"/>
      <c r="T8" s="11" t="n"/>
      <c r="U8" s="11" t="n"/>
    </row>
    <row r="9">
      <c r="A9" s="11" t="n"/>
      <c r="B9" s="11" t="n"/>
      <c r="C9" s="11" t="n"/>
      <c r="D9" s="11" t="n"/>
      <c r="E9" s="11" t="n"/>
      <c r="F9" s="11" t="n"/>
      <c r="G9" s="11" t="n"/>
      <c r="H9" s="11" t="n"/>
      <c r="I9" s="11" t="n"/>
      <c r="J9" s="11" t="n"/>
      <c r="K9" s="11" t="n"/>
      <c r="L9" s="11" t="n"/>
      <c r="M9" s="11" t="n"/>
      <c r="N9" s="11" t="n"/>
      <c r="O9" s="11" t="n"/>
      <c r="P9" s="11" t="n"/>
      <c r="Q9" s="11" t="n"/>
      <c r="R9" s="11" t="n"/>
      <c r="S9" s="11" t="n"/>
      <c r="T9" s="11" t="n"/>
      <c r="U9" s="11" t="n"/>
    </row>
    <row r="10">
      <c r="A10" s="11" t="n"/>
      <c r="B10" s="11" t="n"/>
      <c r="C10" s="11" t="n"/>
      <c r="D10" s="11" t="n"/>
      <c r="E10" s="11" t="n"/>
      <c r="F10" s="11" t="n"/>
      <c r="G10" s="11" t="n"/>
      <c r="H10" s="11" t="n"/>
      <c r="I10" s="11" t="n"/>
      <c r="J10" s="11" t="n"/>
      <c r="K10" s="11" t="n"/>
      <c r="L10" s="11" t="n"/>
      <c r="M10" s="11" t="n"/>
      <c r="N10" s="11" t="n"/>
      <c r="O10" s="11" t="n"/>
      <c r="P10" s="11" t="n"/>
      <c r="Q10" s="11" t="n"/>
      <c r="R10" s="11" t="n"/>
      <c r="S10" s="11" t="n"/>
      <c r="T10" s="11" t="n"/>
      <c r="U10" s="11" t="n"/>
    </row>
    <row r="11">
      <c r="A11" s="11" t="n"/>
      <c r="B11" s="11" t="n"/>
      <c r="C11" s="11" t="n"/>
      <c r="D11" s="11" t="n"/>
      <c r="E11" s="11" t="n"/>
      <c r="F11" s="11" t="n"/>
      <c r="G11" s="11" t="n"/>
      <c r="H11" s="11" t="n"/>
      <c r="I11" s="11" t="n"/>
      <c r="J11" s="11" t="n"/>
      <c r="K11" s="11" t="n"/>
      <c r="L11" s="11" t="n"/>
      <c r="M11" s="11" t="n"/>
      <c r="N11" s="11" t="n"/>
      <c r="O11" s="11" t="n"/>
      <c r="P11" s="11" t="n"/>
      <c r="Q11" s="11" t="n"/>
      <c r="R11" s="11" t="n"/>
      <c r="S11" s="11" t="n"/>
      <c r="T11" s="11" t="n"/>
      <c r="U11" s="11" t="n"/>
    </row>
    <row r="12">
      <c r="A12" s="11" t="n"/>
      <c r="B12" s="11" t="n"/>
      <c r="C12" s="11" t="n"/>
      <c r="D12" s="11" t="n"/>
      <c r="E12" s="11" t="n"/>
      <c r="F12" s="11" t="n"/>
      <c r="G12" s="11" t="n"/>
      <c r="H12" s="11" t="n"/>
      <c r="I12" s="11" t="n"/>
      <c r="J12" s="11" t="n"/>
      <c r="K12" s="11" t="n"/>
      <c r="L12" s="11" t="n"/>
      <c r="M12" s="11" t="n"/>
      <c r="N12" s="11" t="n"/>
      <c r="O12" s="11" t="n"/>
      <c r="P12" s="11" t="n"/>
      <c r="Q12" s="11" t="n"/>
      <c r="R12" s="11" t="n"/>
      <c r="S12" s="11" t="n"/>
      <c r="T12" s="11" t="n"/>
      <c r="U12" s="11" t="n"/>
    </row>
    <row r="13">
      <c r="A13" s="11" t="n"/>
      <c r="B13" s="11" t="n"/>
      <c r="C13" s="11" t="n"/>
      <c r="D13" s="11" t="n"/>
      <c r="E13" s="11" t="n"/>
      <c r="F13" s="11" t="n"/>
      <c r="G13" s="11" t="n"/>
      <c r="H13" s="11" t="n"/>
      <c r="I13" s="11" t="n"/>
      <c r="J13" s="11" t="n"/>
      <c r="K13" s="11" t="n"/>
      <c r="L13" s="11" t="n"/>
      <c r="M13" s="11" t="n"/>
      <c r="N13" s="11" t="n"/>
      <c r="O13" s="11" t="n"/>
      <c r="P13" s="11" t="n"/>
      <c r="Q13" s="11" t="n"/>
      <c r="R13" s="11" t="n"/>
      <c r="S13" s="11" t="n"/>
      <c r="T13" s="11" t="n"/>
      <c r="U13" s="11" t="n"/>
    </row>
    <row r="14">
      <c r="A14" s="11" t="n"/>
      <c r="B14" s="11" t="n"/>
      <c r="C14" s="11" t="n"/>
      <c r="D14" s="11" t="n"/>
      <c r="E14" s="11" t="n"/>
      <c r="F14" s="11" t="n"/>
      <c r="G14" s="11" t="n"/>
      <c r="H14" s="11" t="n"/>
      <c r="I14" s="11" t="n"/>
      <c r="J14" s="11" t="n"/>
      <c r="K14" s="11" t="n"/>
      <c r="L14" s="11" t="n"/>
      <c r="M14" s="11" t="n"/>
      <c r="N14" s="11" t="n"/>
      <c r="O14" s="11" t="n"/>
      <c r="P14" s="11" t="n"/>
      <c r="Q14" s="11" t="n"/>
      <c r="R14" s="11" t="n"/>
      <c r="S14" s="11" t="n"/>
      <c r="T14" s="11" t="n"/>
      <c r="U14" s="11" t="n"/>
    </row>
    <row r="15">
      <c r="A15" s="11" t="n"/>
      <c r="B15" s="11" t="n"/>
      <c r="C15" s="11" t="n"/>
      <c r="D15" s="11" t="n"/>
      <c r="E15" s="11" t="n"/>
      <c r="F15" s="11" t="n"/>
      <c r="G15" s="11" t="n"/>
      <c r="H15" s="11" t="n"/>
      <c r="I15" s="11" t="n"/>
      <c r="J15" s="11" t="n"/>
      <c r="K15" s="11" t="n"/>
      <c r="L15" s="11" t="n"/>
      <c r="M15" s="11" t="n"/>
      <c r="N15" s="11" t="n"/>
      <c r="O15" s="11" t="n"/>
      <c r="P15" s="11" t="n"/>
      <c r="Q15" s="11" t="n"/>
      <c r="R15" s="11" t="n"/>
      <c r="S15" s="11" t="n"/>
      <c r="T15" s="11" t="n"/>
      <c r="U15" s="11" t="n"/>
    </row>
    <row r="16">
      <c r="A16" s="11" t="n"/>
      <c r="B16" s="11" t="n"/>
      <c r="C16" s="11" t="n"/>
      <c r="D16" s="11" t="n"/>
      <c r="E16" s="11" t="n"/>
      <c r="F16" s="11" t="n"/>
      <c r="G16" s="11" t="n"/>
      <c r="H16" s="11" t="n"/>
      <c r="I16" s="11" t="n"/>
      <c r="J16" s="11" t="n"/>
      <c r="K16" s="11" t="n"/>
      <c r="L16" s="11" t="n"/>
      <c r="M16" s="11" t="n"/>
      <c r="N16" s="11" t="n"/>
      <c r="O16" s="11" t="n"/>
      <c r="P16" s="11" t="n"/>
      <c r="Q16" s="11" t="n"/>
      <c r="R16" s="11" t="n"/>
      <c r="S16" s="11" t="n"/>
      <c r="T16" s="11" t="n"/>
      <c r="U16" s="11" t="n"/>
    </row>
    <row r="17">
      <c r="A17" s="11" t="n"/>
      <c r="B17" s="11" t="n"/>
      <c r="C17" s="11" t="n"/>
      <c r="D17" s="11" t="n"/>
      <c r="E17" s="11" t="n"/>
      <c r="F17" s="11" t="n"/>
      <c r="G17" s="11" t="n"/>
      <c r="H17" s="11" t="n"/>
      <c r="I17" s="11" t="n"/>
      <c r="J17" s="11" t="n"/>
      <c r="K17" s="11" t="n"/>
      <c r="L17" s="11" t="n"/>
      <c r="M17" s="11" t="n"/>
      <c r="N17" s="11" t="n"/>
      <c r="O17" s="11" t="n"/>
      <c r="P17" s="11" t="n"/>
      <c r="Q17" s="11" t="n"/>
      <c r="R17" s="11" t="n"/>
      <c r="S17" s="11" t="n"/>
      <c r="T17" s="11" t="n"/>
      <c r="U17" s="11" t="n"/>
    </row>
    <row r="18">
      <c r="A18" s="11" t="n"/>
      <c r="B18" s="11" t="n"/>
      <c r="C18" s="11" t="n"/>
      <c r="D18" s="11" t="n"/>
      <c r="E18" s="11" t="n"/>
      <c r="F18" s="11" t="n"/>
      <c r="G18" s="11" t="n"/>
      <c r="H18" s="11" t="n"/>
      <c r="I18" s="11" t="n"/>
      <c r="J18" s="11" t="n"/>
      <c r="K18" s="11" t="n"/>
      <c r="L18" s="11" t="n"/>
      <c r="M18" s="11" t="n"/>
      <c r="N18" s="11" t="n"/>
      <c r="O18" s="11" t="n"/>
      <c r="P18" s="11" t="n"/>
      <c r="Q18" s="11" t="n"/>
      <c r="R18" s="11" t="n"/>
      <c r="S18" s="11" t="n"/>
      <c r="T18" s="11" t="n"/>
      <c r="U18" s="11" t="n"/>
    </row>
    <row r="19">
      <c r="A19" s="11" t="n"/>
      <c r="B19" s="11" t="n"/>
      <c r="C19" s="11" t="n"/>
      <c r="D19" s="11" t="n"/>
      <c r="E19" s="11" t="n"/>
      <c r="F19" s="11" t="n"/>
      <c r="G19" s="11" t="n"/>
      <c r="H19" s="11" t="n"/>
      <c r="I19" s="11" t="n"/>
      <c r="J19" s="11" t="n"/>
      <c r="K19" s="11" t="n"/>
      <c r="L19" s="11" t="n"/>
      <c r="M19" s="11" t="n"/>
      <c r="N19" s="11" t="n"/>
      <c r="O19" s="11" t="n"/>
      <c r="P19" s="11" t="n"/>
      <c r="Q19" s="11" t="n"/>
      <c r="R19" s="11" t="n"/>
      <c r="S19" s="11" t="n"/>
      <c r="T19" s="11" t="n"/>
      <c r="U19" s="11" t="n"/>
    </row>
    <row r="20">
      <c r="A20" s="11" t="n"/>
      <c r="B20" s="11" t="n"/>
      <c r="C20" s="11" t="n"/>
      <c r="D20" s="11" t="n"/>
      <c r="E20" s="11" t="n"/>
      <c r="F20" s="11" t="n"/>
      <c r="G20" s="11" t="n"/>
      <c r="H20" s="11" t="n"/>
      <c r="I20" s="11" t="n"/>
      <c r="J20" s="11" t="n"/>
      <c r="K20" s="11" t="n"/>
      <c r="L20" s="11" t="n"/>
      <c r="M20" s="11" t="n"/>
      <c r="N20" s="11" t="n"/>
      <c r="O20" s="11" t="n"/>
      <c r="P20" s="11" t="n"/>
      <c r="Q20" s="11" t="n"/>
      <c r="R20" s="11" t="n"/>
      <c r="S20" s="11" t="n"/>
      <c r="T20" s="11" t="n"/>
      <c r="U20" s="11" t="n"/>
    </row>
    <row r="21">
      <c r="A21" s="11" t="n"/>
      <c r="B21" s="11" t="n"/>
      <c r="C21" s="11" t="n"/>
      <c r="D21" s="11" t="n"/>
      <c r="E21" s="11" t="n"/>
      <c r="F21" s="11" t="n"/>
      <c r="G21" s="11" t="n"/>
      <c r="H21" s="11" t="n"/>
      <c r="I21" s="11" t="n"/>
      <c r="J21" s="11" t="n"/>
      <c r="K21" s="11" t="n"/>
      <c r="L21" s="11" t="n"/>
      <c r="M21" s="11" t="n"/>
      <c r="N21" s="11" t="n"/>
      <c r="O21" s="11" t="n"/>
      <c r="P21" s="11" t="n"/>
      <c r="Q21" s="11" t="n"/>
      <c r="R21" s="11" t="n"/>
      <c r="S21" s="11" t="n"/>
      <c r="T21" s="11" t="n"/>
      <c r="U21" s="11" t="n"/>
    </row>
    <row r="22">
      <c r="A22" s="11" t="n"/>
      <c r="B22" s="11" t="n"/>
      <c r="C22" s="11" t="n"/>
      <c r="D22" s="11" t="n"/>
      <c r="E22" s="11" t="n"/>
      <c r="F22" s="11" t="n"/>
      <c r="G22" s="11" t="n"/>
      <c r="H22" s="11" t="n"/>
      <c r="I22" s="11" t="n"/>
      <c r="J22" s="11" t="n"/>
      <c r="K22" s="11" t="n"/>
      <c r="L22" s="11" t="n"/>
      <c r="M22" s="11" t="n"/>
      <c r="N22" s="11" t="n"/>
      <c r="O22" s="11" t="n"/>
      <c r="P22" s="11" t="n"/>
      <c r="Q22" s="11" t="n"/>
      <c r="R22" s="11" t="n"/>
      <c r="S22" s="11" t="n"/>
      <c r="T22" s="11" t="n"/>
      <c r="U22" s="11" t="n"/>
    </row>
    <row r="23">
      <c r="A23" s="11" t="n"/>
      <c r="B23" s="11" t="n"/>
      <c r="C23" s="11" t="n"/>
      <c r="D23" s="11" t="n"/>
      <c r="E23" s="11" t="n"/>
      <c r="F23" s="11" t="n"/>
      <c r="G23" s="11" t="n"/>
      <c r="H23" s="11" t="n"/>
      <c r="I23" s="11" t="n"/>
      <c r="J23" s="11" t="n"/>
      <c r="K23" s="11" t="n"/>
      <c r="L23" s="11" t="n"/>
      <c r="M23" s="11" t="n"/>
      <c r="N23" s="11" t="n"/>
      <c r="O23" s="11" t="n"/>
      <c r="P23" s="11" t="n"/>
      <c r="Q23" s="11" t="n"/>
      <c r="R23" s="11" t="n"/>
      <c r="S23" s="11" t="n"/>
      <c r="T23" s="11" t="n"/>
      <c r="U23" s="11" t="n"/>
    </row>
    <row r="24">
      <c r="A24" s="11" t="n"/>
      <c r="B24" s="11" t="n"/>
      <c r="C24" s="11" t="n"/>
      <c r="D24" s="11" t="n"/>
      <c r="E24" s="11" t="n"/>
      <c r="F24" s="11" t="n"/>
      <c r="G24" s="11" t="n"/>
      <c r="H24" s="11" t="n"/>
      <c r="I24" s="11" t="n"/>
      <c r="J24" s="11" t="n"/>
      <c r="K24" s="11" t="n"/>
      <c r="L24" s="11" t="n"/>
      <c r="M24" s="11" t="n"/>
      <c r="N24" s="11" t="n"/>
      <c r="O24" s="11" t="n"/>
      <c r="P24" s="11" t="n"/>
      <c r="Q24" s="11" t="n"/>
      <c r="R24" s="11" t="n"/>
      <c r="S24" s="11" t="n"/>
      <c r="T24" s="11" t="n"/>
      <c r="U24" s="11" t="n"/>
    </row>
    <row r="25">
      <c r="A25" s="11" t="n"/>
      <c r="B25" s="11" t="n"/>
      <c r="C25" s="11" t="n"/>
      <c r="D25" s="11" t="n"/>
      <c r="E25" s="11" t="n"/>
      <c r="F25" s="11" t="n"/>
      <c r="G25" s="11" t="n"/>
      <c r="H25" s="11" t="n"/>
      <c r="I25" s="11" t="n"/>
      <c r="J25" s="11" t="n"/>
      <c r="K25" s="11" t="n"/>
      <c r="L25" s="11" t="n"/>
      <c r="M25" s="11" t="n"/>
      <c r="N25" s="11" t="n"/>
      <c r="O25" s="11" t="n"/>
      <c r="P25" s="11" t="n"/>
      <c r="Q25" s="11" t="n"/>
      <c r="R25" s="11" t="n"/>
      <c r="S25" s="11" t="n"/>
      <c r="T25" s="11" t="n"/>
      <c r="U25" s="11" t="n"/>
    </row>
    <row r="26">
      <c r="A26" s="11" t="n"/>
      <c r="B26" s="11" t="n"/>
      <c r="C26" s="11" t="n"/>
      <c r="D26" s="11" t="n"/>
      <c r="E26" s="11" t="n"/>
      <c r="F26" s="11" t="n"/>
      <c r="G26" s="11" t="n"/>
      <c r="H26" s="11" t="n"/>
      <c r="I26" s="11" t="n"/>
      <c r="J26" s="11" t="n"/>
      <c r="K26" s="11" t="n"/>
      <c r="L26" s="11" t="n"/>
      <c r="M26" s="11" t="n"/>
      <c r="N26" s="11" t="n"/>
      <c r="O26" s="11" t="n"/>
      <c r="P26" s="11" t="n"/>
      <c r="Q26" s="11" t="n"/>
      <c r="R26" s="11" t="n"/>
      <c r="S26" s="11" t="n"/>
      <c r="T26" s="11" t="n"/>
      <c r="U26" s="11" t="n"/>
    </row>
    <row r="27">
      <c r="A27" s="11" t="n"/>
      <c r="B27" s="11" t="n"/>
      <c r="C27" s="11" t="n"/>
      <c r="D27" s="11" t="n"/>
      <c r="E27" s="11" t="n"/>
      <c r="F27" s="11" t="n"/>
      <c r="G27" s="11" t="n"/>
      <c r="H27" s="11" t="n"/>
      <c r="I27" s="11" t="n"/>
      <c r="J27" s="11" t="n"/>
      <c r="K27" s="11" t="n"/>
      <c r="L27" s="11" t="n"/>
      <c r="M27" s="11" t="n"/>
      <c r="N27" s="11" t="n"/>
      <c r="O27" s="11" t="n"/>
      <c r="P27" s="11" t="n"/>
      <c r="Q27" s="11" t="n"/>
      <c r="R27" s="11" t="n"/>
      <c r="S27" s="11" t="n"/>
      <c r="T27" s="11" t="n"/>
      <c r="U27" s="11" t="n"/>
    </row>
    <row r="28">
      <c r="A28" s="11" t="n"/>
      <c r="B28" s="11" t="n"/>
      <c r="C28" s="11" t="n"/>
      <c r="D28" s="11" t="n"/>
      <c r="E28" s="11" t="n"/>
      <c r="F28" s="11" t="n"/>
      <c r="G28" s="11" t="n"/>
      <c r="H28" s="11" t="n"/>
      <c r="I28" s="11" t="n"/>
      <c r="J28" s="11" t="n"/>
      <c r="K28" s="11" t="n"/>
      <c r="L28" s="11" t="n"/>
      <c r="M28" s="11" t="n"/>
      <c r="N28" s="11" t="n"/>
      <c r="O28" s="11" t="n"/>
      <c r="P28" s="11" t="n"/>
      <c r="Q28" s="11" t="n"/>
      <c r="R28" s="11" t="n"/>
      <c r="S28" s="11" t="n"/>
      <c r="T28" s="11" t="n"/>
      <c r="U28" s="11" t="n"/>
    </row>
    <row r="29">
      <c r="A29" s="11" t="n"/>
      <c r="B29" s="11" t="n"/>
      <c r="C29" s="11" t="n"/>
      <c r="D29" s="11" t="n"/>
      <c r="E29" s="11" t="n"/>
      <c r="F29" s="11" t="n"/>
      <c r="G29" s="11" t="n"/>
      <c r="H29" s="11" t="n"/>
      <c r="I29" s="11" t="n"/>
      <c r="J29" s="11" t="n"/>
      <c r="K29" s="11" t="n"/>
      <c r="L29" s="11" t="n"/>
      <c r="M29" s="11" t="n"/>
      <c r="N29" s="11" t="n"/>
      <c r="O29" s="11" t="n"/>
      <c r="P29" s="11" t="n"/>
      <c r="Q29" s="11" t="n"/>
      <c r="R29" s="11" t="n"/>
      <c r="S29" s="11" t="n"/>
      <c r="T29" s="11" t="n"/>
      <c r="U29" s="11" t="n"/>
    </row>
    <row r="30">
      <c r="A30" s="11" t="n"/>
      <c r="B30" s="11" t="n"/>
      <c r="C30" s="11" t="n"/>
      <c r="D30" s="11" t="n"/>
      <c r="E30" s="11" t="n"/>
      <c r="F30" s="11" t="n"/>
      <c r="G30" s="11" t="n"/>
      <c r="H30" s="11" t="n"/>
      <c r="I30" s="11" t="n"/>
      <c r="J30" s="11" t="n"/>
      <c r="K30" s="11" t="n"/>
      <c r="L30" s="11" t="n"/>
      <c r="M30" s="11" t="n"/>
      <c r="N30" s="11" t="n"/>
      <c r="O30" s="11" t="n"/>
      <c r="P30" s="11" t="n"/>
      <c r="Q30" s="11" t="n"/>
      <c r="R30" s="11" t="n"/>
      <c r="S30" s="11" t="n"/>
      <c r="T30" s="11" t="n"/>
      <c r="U30" s="11" t="n"/>
    </row>
    <row r="31">
      <c r="A31" s="11" t="n"/>
      <c r="B31" s="11" t="n"/>
      <c r="C31" s="11" t="n"/>
      <c r="D31" s="11" t="n"/>
      <c r="E31" s="11" t="n"/>
      <c r="F31" s="11" t="n"/>
      <c r="G31" s="11" t="n"/>
      <c r="H31" s="11" t="n"/>
      <c r="I31" s="11" t="n"/>
      <c r="J31" s="11" t="n"/>
      <c r="K31" s="11" t="n"/>
      <c r="L31" s="11" t="n"/>
      <c r="M31" s="11" t="n"/>
      <c r="N31" s="11" t="n"/>
      <c r="O31" s="11" t="n"/>
      <c r="P31" s="11" t="n"/>
      <c r="Q31" s="11" t="n"/>
      <c r="R31" s="11" t="n"/>
      <c r="S31" s="11" t="n"/>
      <c r="T31" s="11" t="n"/>
      <c r="U31" s="11" t="n"/>
    </row>
    <row r="32">
      <c r="A32" s="11" t="n"/>
      <c r="B32" s="11" t="n"/>
      <c r="C32" s="11" t="n"/>
      <c r="D32" s="11" t="n"/>
      <c r="E32" s="11" t="n"/>
      <c r="F32" s="11" t="n"/>
      <c r="G32" s="11" t="n"/>
      <c r="H32" s="11" t="n"/>
      <c r="I32" s="11" t="n"/>
      <c r="J32" s="11" t="n"/>
      <c r="K32" s="11" t="n"/>
      <c r="L32" s="11" t="n"/>
      <c r="M32" s="11" t="n"/>
      <c r="N32" s="11" t="n"/>
      <c r="O32" s="11" t="n"/>
      <c r="P32" s="11" t="n"/>
      <c r="Q32" s="11" t="n"/>
      <c r="R32" s="11" t="n"/>
      <c r="S32" s="11" t="n"/>
      <c r="T32" s="11" t="n"/>
      <c r="U32" s="11" t="n"/>
    </row>
    <row r="35">
      <c r="A35" s="3" t="inlineStr">
        <is>
          <t>APPLICATION COVERAGE CHECKLIST</t>
        </is>
      </c>
    </row>
    <row r="36">
      <c r="A36" s="9" t="inlineStr">
        <is>
          <t>#</t>
        </is>
      </c>
      <c r="B36" s="9" t="inlineStr">
        <is>
          <t>Requirement</t>
        </is>
      </c>
      <c r="C36" s="12" t="n"/>
      <c r="D36" s="12" t="n"/>
      <c r="E36" s="12" t="n"/>
      <c r="F36" s="12" t="n"/>
      <c r="G36" s="12" t="n"/>
      <c r="H36" s="12" t="n"/>
      <c r="I36" s="12" t="n"/>
      <c r="J36" s="12" t="n"/>
      <c r="K36" s="12" t="n"/>
      <c r="L36" s="12" t="n"/>
      <c r="M36" s="12" t="n"/>
      <c r="N36" s="12" t="n"/>
      <c r="O36" s="12" t="n"/>
      <c r="P36" s="12" t="n"/>
      <c r="Q36" s="12" t="n"/>
      <c r="R36" s="12" t="n"/>
      <c r="S36" s="12" t="n"/>
      <c r="T36" s="13" t="n"/>
    </row>
    <row r="37" ht="25" customHeight="1">
      <c r="A37" t="n">
        <v>1</v>
      </c>
      <c r="B37" s="6" t="inlineStr">
        <is>
          <t>All critical applications monitored</t>
        </is>
      </c>
      <c r="U37" s="5" t="n"/>
    </row>
    <row r="38" ht="25" customHeight="1">
      <c r="A38" t="n">
        <v>2</v>
      </c>
      <c r="B38" s="6" t="inlineStr">
        <is>
          <t>&gt;80% of high-priority applications monitored</t>
        </is>
      </c>
      <c r="U38" s="5" t="n"/>
    </row>
    <row r="39" ht="25" customHeight="1">
      <c r="A39" t="n">
        <v>3</v>
      </c>
      <c r="B39" s="6" t="inlineStr">
        <is>
          <t>Application error/exception logs collected</t>
        </is>
      </c>
      <c r="U39" s="5" t="n"/>
    </row>
    <row r="40" ht="25" customHeight="1">
      <c r="A40" t="n">
        <v>4</v>
      </c>
      <c r="B40" s="6" t="inlineStr">
        <is>
          <t>API calls logged (if API-based)</t>
        </is>
      </c>
      <c r="U40" s="5" t="n"/>
    </row>
    <row r="41" ht="25" customHeight="1">
      <c r="A41" t="n">
        <v>5</v>
      </c>
      <c r="B41" s="6" t="inlineStr">
        <is>
          <t>Database queries logged (if database-backed)</t>
        </is>
      </c>
      <c r="U41" s="5" t="n"/>
    </row>
    <row r="42" ht="25" customHeight="1">
      <c r="A42" t="n">
        <v>6</v>
      </c>
      <c r="B42" s="6" t="inlineStr">
        <is>
          <t>User access logged</t>
        </is>
      </c>
      <c r="U42" s="5" t="n"/>
    </row>
    <row r="43" ht="25" customHeight="1">
      <c r="A43" t="n">
        <v>7</v>
      </c>
      <c r="B43" s="6" t="inlineStr">
        <is>
          <t>Data exports/downloads monitored</t>
        </is>
      </c>
      <c r="U43" s="5" t="n"/>
    </row>
    <row r="44" ht="25" customHeight="1">
      <c r="A44" t="n">
        <v>8</v>
      </c>
      <c r="B44" s="6" t="inlineStr">
        <is>
          <t>File uploads monitored</t>
        </is>
      </c>
      <c r="U44" s="5" t="n"/>
    </row>
    <row r="45" ht="25" customHeight="1">
      <c r="A45" t="n">
        <v>9</v>
      </c>
      <c r="B45" s="6" t="inlineStr">
        <is>
          <t>Configuration changes logged</t>
        </is>
      </c>
      <c r="U45" s="5" t="n"/>
    </row>
    <row r="46" ht="25" customHeight="1">
      <c r="A46" t="n">
        <v>10</v>
      </c>
      <c r="B46" s="6" t="inlineStr">
        <is>
          <t>WAF deployed for internet-facing apps</t>
        </is>
      </c>
      <c r="U46" s="5" t="n"/>
    </row>
    <row r="47" ht="25" customHeight="1">
      <c r="A47" t="n">
        <v>11</v>
      </c>
      <c r="B47" s="6" t="inlineStr">
        <is>
          <t>APM integrated for performance visibility</t>
        </is>
      </c>
      <c r="U47" s="5" t="n"/>
    </row>
    <row r="48" ht="25" customHeight="1">
      <c r="A48" t="n">
        <v>12</v>
      </c>
      <c r="B48" s="6" t="inlineStr">
        <is>
          <t>Cloud application logs collected (SaaS)</t>
        </is>
      </c>
      <c r="U48" s="5" t="n"/>
    </row>
    <row r="49" ht="25" customHeight="1">
      <c r="A49" t="n">
        <v>13</v>
      </c>
      <c r="B49" s="6" t="inlineStr">
        <is>
          <t>Mobile app backend logs collected</t>
        </is>
      </c>
      <c r="U49" s="5" t="n"/>
    </row>
    <row r="50" ht="25" customHeight="1">
      <c r="A50" t="n">
        <v>14</v>
      </c>
      <c r="B50" s="6" t="inlineStr">
        <is>
          <t>Third-party integrations monitored</t>
        </is>
      </c>
      <c r="U50" s="5" t="n"/>
    </row>
    <row r="51" ht="25" customHeight="1">
      <c r="A51" t="n">
        <v>15</v>
      </c>
      <c r="B51" s="6" t="inlineStr">
        <is>
          <t>Application security events forwarded to SIEM</t>
        </is>
      </c>
      <c r="U51" s="5" t="n"/>
    </row>
    <row r="52">
      <c r="A52" s="14" t="inlineStr">
        <is>
          <t>SCORE:</t>
        </is>
      </c>
      <c r="B52" s="15">
        <f>COUNTIF(U37:U51,"✅ Compliant")&amp;" / 15"</f>
        <v/>
      </c>
    </row>
  </sheetData>
  <mergeCells count="20">
    <mergeCell ref="B37:T37"/>
    <mergeCell ref="B40:T40"/>
    <mergeCell ref="B49:T49"/>
    <mergeCell ref="B51:T51"/>
    <mergeCell ref="A2:U2"/>
    <mergeCell ref="B45:T45"/>
    <mergeCell ref="B36:T36"/>
    <mergeCell ref="B50:T50"/>
    <mergeCell ref="B41:T41"/>
    <mergeCell ref="B47:T47"/>
    <mergeCell ref="A35:U35"/>
    <mergeCell ref="B46:T46"/>
    <mergeCell ref="B52:E52"/>
    <mergeCell ref="B43:T43"/>
    <mergeCell ref="B39:T39"/>
    <mergeCell ref="B48:T48"/>
    <mergeCell ref="B42:T42"/>
    <mergeCell ref="B44:T44"/>
    <mergeCell ref="A1:U1"/>
    <mergeCell ref="B38:T38"/>
  </mergeCells>
  <dataValidations count="8">
    <dataValidation sqref="I8 I9 I10 I11 I12 I13 I14 I15 I16 I17 I18 I19 I20 I21 I22 I23 I24 I25 I26 I27 I28 I29 I30 I31 I32 L8 L9 L10 L11 L12 L13 L14 L15 L16 L17 L18 L19 L20 L21 L22 L23 L24 L25 L26 L27 L28 L29 L30 L31 L32 M8 M9 M10 M11 M12 M13 M14 M15 M16 M17 M18 M19 M20 M21 M22 M23 M24 M25 M26 M27 M28 M29 M30 M31 M32 N8 N9 N10 N11 N12 N13 N14 N15 N16 N17 N18 N19 N20 N21 N22 N23 N24 N25 N26 N27 N28 N29 N30 N31 N32 O8 O9 O10 O11 O12 O13 O14 O15 O16 O17 O18 O19 O20 O21 O22 O23 O24 O25 O26 O27 O28 O29 O30 O31 O32 Q8 Q9 Q10 Q11 Q12 Q13 Q14 Q15 Q16 Q17 Q18 Q19 Q20 Q21 Q22 Q23 Q24 Q25 Q26 Q27 Q28 Q29 Q30 Q31 Q32" showDropDown="0" showInputMessage="0" showErrorMessage="0" allowBlank="0" type="list">
      <formula1>"Yes,No"</formula1>
    </dataValidation>
    <dataValidation sqref="P8 P9 P10 P11 P12 P13 P14 P15 P16 P17 P18 P19 P20 P21 P22 P23 P24 P25 P26 P27 P28 P29 P30 P31 P32" showDropDown="0" showInputMessage="0" showErrorMessage="0" allowBlank="0" type="list">
      <formula1>"Yes,No,N/A"</formula1>
    </dataValidation>
    <dataValidation sqref="H8 H9 H10 H11 H12 H13 H14 H15 H16 H17 H18 H19 H20 H21 H22 H23 H24 H25 H26 H27 H28 H29 H30 H31 H32 J8 J9 J10 J11 J12 J13 J14 J15 J16 J17 J18 J19 J20 J21 J22 J23 J24 J25 J26 J27 J28 J29 J30 J31 J32 K8 K9 K10 K11 K12 K13 K14 K15 K16 K17 K18 K19 K20 K21 K22 K23 K24 K25 K26 K27 K28 K29 K30 K31 K32" showDropDown="0" showInputMessage="0" showErrorMessage="0" allowBlank="0" type="list">
      <formula1>"Yes,Partial,No"</formula1>
    </dataValidation>
    <dataValidation sqref="E8 E9 E10 E11 E12 E13 E14 E15 E16 E17 E18 E19 E20 E21 E22 E23 E24 E25 E26 E27 E28 E29 E30 E31 E32" showDropDown="0" showInputMessage="0" showErrorMessage="0" allowBlank="0" type="list">
      <formula1>"Confidential,Internal,Public"</formula1>
    </dataValidation>
    <dataValidation sqref="F8 F9 F10 F11 F12 F13 F14 F15 F16 F17 F18 F19 F20 F21 F22 F23 F24 F25 F26 F27 F28 F29 F30 F31 F32" showDropDown="0" showInputMessage="0" showErrorMessage="0" allowBlank="0" type="list">
      <formula1>"Critical,High,Medium,Low"</formula1>
    </dataValidation>
    <dataValidation sqref="B8 B9 B10 B11 B12 B13 B14 B15 B16 B17 B18 B19 B20 B21 B22 B23 B24 B25 B26 B27 B28 B29 B30 B31 B32" showDropDown="0" showInputMessage="0" showErrorMessage="0" allowBlank="0" type="list">
      <formula1>"Web Application,Database,API,Microservice,SaaS,Mobile App,Desktop App,Other"</formula1>
    </dataValidation>
    <dataValidation sqref="R8 R9 R10 R11 R12 R13 R14 R15 R16 R17 R18 R19 R20 R21 R22 R23 R24 R25 R26 R27 R28 R29 R30 R31 R32 U37 U38 U39 U40 U41 U42 U43 U44 U45 U46 U47 U48 U49 U50 U51" showDropDown="0" showInputMessage="0" showErrorMessage="0" allowBlank="0" type="list">
      <formula1>"✅ Compliant,⚠️ Partial,❌ Non-Compliant,N/A"</formula1>
    </dataValidation>
    <dataValidation sqref="U8 U9 U10 U11 U12 U13 U14 U15 U16 U17 U18 U19 U20 U21 U22 U23 U24 U25 U26 U27 U28 U29 U30 U31 U32" showDropDown="0" showInputMessage="0" showErrorMessage="0" allowBlank="0" type="list">
      <formula1>"Critical,High,Medium,Low"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79"/>
  <sheetViews>
    <sheetView workbookViewId="0">
      <selection activeCell="A1" sqref="A1"/>
    </sheetView>
  </sheetViews>
  <sheetFormatPr baseColWidth="8" defaultRowHeight="15"/>
  <cols>
    <col width="12" customWidth="1" min="1" max="1"/>
    <col width="22" customWidth="1" min="2" max="2"/>
    <col width="28" customWidth="1" min="3" max="3"/>
    <col width="35" customWidth="1" min="4" max="4"/>
    <col width="30" customWidth="1" min="5" max="5"/>
    <col width="15" customWidth="1" min="6" max="6"/>
    <col width="30" customWidth="1" min="7" max="7"/>
    <col width="16" customWidth="1" min="8" max="8"/>
    <col width="15" customWidth="1" min="9" max="9"/>
    <col width="30" customWidth="1" min="10" max="10"/>
    <col width="35" customWidth="1" min="11" max="11"/>
    <col width="20" customWidth="1" min="12" max="12"/>
    <col width="14" customWidth="1" min="13" max="13"/>
    <col width="15" customWidth="1" min="14" max="14"/>
    <col width="18" customWidth="1" min="15" max="15"/>
    <col width="14" customWidth="1" min="16" max="16"/>
    <col width="25" customWidth="1" min="17" max="17"/>
    <col width="30" customWidth="1" min="18" max="18"/>
  </cols>
  <sheetData>
    <row r="1" ht="35" customHeight="1">
      <c r="A1" s="1" t="inlineStr">
        <is>
          <t>5. COVERAGE GAP ANALYSIS</t>
        </is>
      </c>
    </row>
    <row r="2">
      <c r="A2" s="2" t="inlineStr">
        <is>
          <t>Policy Reference: ISMS-POL-A.8.16-S2.1 - Document and remediate coverage gaps</t>
        </is>
      </c>
    </row>
    <row r="3" ht="30" customHeight="1">
      <c r="A3" s="8" t="inlineStr">
        <is>
          <t>Are all monitoring coverage gaps identified, documented, and tracked to remediation?</t>
        </is>
      </c>
    </row>
    <row r="6">
      <c r="A6" s="9" t="inlineStr">
        <is>
          <t>Gap ID</t>
        </is>
      </c>
      <c r="B6" s="9" t="inlineStr">
        <is>
          <t>Gap Category</t>
        </is>
      </c>
      <c r="C6" s="9" t="inlineStr">
        <is>
          <t>Affected Asset/System</t>
        </is>
      </c>
      <c r="D6" s="9" t="inlineStr">
        <is>
          <t>Gap Description</t>
        </is>
      </c>
      <c r="E6" s="9" t="inlineStr">
        <is>
          <t>Business Impact</t>
        </is>
      </c>
      <c r="F6" s="9" t="inlineStr">
        <is>
          <t>Risk Level</t>
        </is>
      </c>
      <c r="G6" s="9" t="inlineStr">
        <is>
          <t>Root Cause</t>
        </is>
      </c>
      <c r="H6" s="9" t="inlineStr">
        <is>
          <t>Exception Approved</t>
        </is>
      </c>
      <c r="I6" s="9" t="inlineStr">
        <is>
          <t>Exception ID</t>
        </is>
      </c>
      <c r="J6" s="9" t="inlineStr">
        <is>
          <t>Compensating Controls</t>
        </is>
      </c>
      <c r="K6" s="9" t="inlineStr">
        <is>
          <t>Remediation Plan</t>
        </is>
      </c>
      <c r="L6" s="9" t="inlineStr">
        <is>
          <t>Remediation Owner</t>
        </is>
      </c>
      <c r="M6" s="9" t="inlineStr">
        <is>
          <t>Target Date</t>
        </is>
      </c>
      <c r="N6" s="9" t="inlineStr">
        <is>
          <t>Budget Required</t>
        </is>
      </c>
      <c r="O6" s="9" t="inlineStr">
        <is>
          <t>Status</t>
        </is>
      </c>
      <c r="P6" s="9" t="inlineStr">
        <is>
          <t>Status Date</t>
        </is>
      </c>
      <c r="Q6" s="9" t="inlineStr">
        <is>
          <t>Verification Method</t>
        </is>
      </c>
      <c r="R6" s="9" t="inlineStr">
        <is>
          <t>Notes</t>
        </is>
      </c>
    </row>
    <row r="7">
      <c r="A7" s="10" t="inlineStr">
        <is>
          <t>GAP-001</t>
        </is>
      </c>
      <c r="B7" s="10" t="inlineStr">
        <is>
          <t>Asset Not Monitored</t>
        </is>
      </c>
      <c r="C7" s="10" t="inlineStr">
        <is>
          <t>Legacy File Server</t>
        </is>
      </c>
      <c r="D7" s="10" t="inlineStr">
        <is>
          <t>No log collection configured</t>
        </is>
      </c>
      <c r="E7" s="10" t="inlineStr">
        <is>
          <t>Medium - non-critical legacy system</t>
        </is>
      </c>
      <c r="F7" s="10" t="inlineStr">
        <is>
          <t>Medium</t>
        </is>
      </c>
      <c r="G7" s="10" t="inlineStr">
        <is>
          <t>End-of-life system, no agent support</t>
        </is>
      </c>
      <c r="H7" s="10" t="inlineStr">
        <is>
          <t>Yes</t>
        </is>
      </c>
      <c r="I7" s="10" t="inlineStr">
        <is>
          <t>EXC-2024-015</t>
        </is>
      </c>
      <c r="J7" s="10" t="inlineStr">
        <is>
          <t>Network-level monitoring via firewall</t>
        </is>
      </c>
      <c r="K7" s="10" t="inlineStr">
        <is>
          <t>Migrate to new storage platform</t>
        </is>
      </c>
      <c r="L7" s="10" t="inlineStr">
        <is>
          <t>Infrastructure Team</t>
        </is>
      </c>
      <c r="M7" s="10" t="inlineStr">
        <is>
          <t>31.03.2025</t>
        </is>
      </c>
      <c r="N7" s="10" t="inlineStr">
        <is>
          <t>Yes</t>
        </is>
      </c>
      <c r="O7" s="10" t="inlineStr">
        <is>
          <t>In Progress</t>
        </is>
      </c>
      <c r="P7" s="10" t="inlineStr">
        <is>
          <t>15.12.2024</t>
        </is>
      </c>
      <c r="Q7" s="10" t="inlineStr">
        <is>
          <t>Post-migration verification</t>
        </is>
      </c>
      <c r="R7" s="10" t="inlineStr">
        <is>
          <t>Budget approved Q1</t>
        </is>
      </c>
    </row>
    <row r="8" ht="25" customHeight="1">
      <c r="A8" s="16">
        <f>"GAP-"&amp;TEXT(ROW()-7,"000")</f>
        <v/>
      </c>
      <c r="B8" s="17" t="n"/>
      <c r="C8" s="17" t="n"/>
      <c r="D8" s="17" t="n"/>
      <c r="E8" s="17" t="n"/>
      <c r="F8" s="17" t="n"/>
      <c r="G8" s="17" t="n"/>
      <c r="H8" s="17" t="n"/>
      <c r="I8" s="17" t="n"/>
      <c r="J8" s="17" t="n"/>
      <c r="K8" s="17" t="n"/>
      <c r="L8" s="17" t="n"/>
      <c r="M8" s="17" t="n"/>
      <c r="N8" s="17" t="n"/>
      <c r="O8" s="17" t="n"/>
      <c r="P8" s="17" t="n"/>
      <c r="Q8" s="17" t="n"/>
      <c r="R8" s="17" t="n"/>
    </row>
    <row r="9" ht="25" customHeight="1">
      <c r="A9" s="16">
        <f>"GAP-"&amp;TEXT(ROW()-7,"000")</f>
        <v/>
      </c>
      <c r="B9" s="17" t="n"/>
      <c r="C9" s="17" t="n"/>
      <c r="D9" s="17" t="n"/>
      <c r="E9" s="17" t="n"/>
      <c r="F9" s="17" t="n"/>
      <c r="G9" s="17" t="n"/>
      <c r="H9" s="17" t="n"/>
      <c r="I9" s="17" t="n"/>
      <c r="J9" s="17" t="n"/>
      <c r="K9" s="17" t="n"/>
      <c r="L9" s="17" t="n"/>
      <c r="M9" s="17" t="n"/>
      <c r="N9" s="17" t="n"/>
      <c r="O9" s="17" t="n"/>
      <c r="P9" s="17" t="n"/>
      <c r="Q9" s="17" t="n"/>
      <c r="R9" s="17" t="n"/>
    </row>
    <row r="10" ht="25" customHeight="1">
      <c r="A10" s="16">
        <f>"GAP-"&amp;TEXT(ROW()-7,"000")</f>
        <v/>
      </c>
      <c r="B10" s="17" t="n"/>
      <c r="C10" s="17" t="n"/>
      <c r="D10" s="17" t="n"/>
      <c r="E10" s="17" t="n"/>
      <c r="F10" s="17" t="n"/>
      <c r="G10" s="17" t="n"/>
      <c r="H10" s="17" t="n"/>
      <c r="I10" s="17" t="n"/>
      <c r="J10" s="17" t="n"/>
      <c r="K10" s="17" t="n"/>
      <c r="L10" s="17" t="n"/>
      <c r="M10" s="17" t="n"/>
      <c r="N10" s="17" t="n"/>
      <c r="O10" s="17" t="n"/>
      <c r="P10" s="17" t="n"/>
      <c r="Q10" s="17" t="n"/>
      <c r="R10" s="17" t="n"/>
    </row>
    <row r="11" ht="25" customHeight="1">
      <c r="A11" s="16">
        <f>"GAP-"&amp;TEXT(ROW()-7,"000")</f>
        <v/>
      </c>
      <c r="B11" s="17" t="n"/>
      <c r="C11" s="17" t="n"/>
      <c r="D11" s="17" t="n"/>
      <c r="E11" s="17" t="n"/>
      <c r="F11" s="17" t="n"/>
      <c r="G11" s="17" t="n"/>
      <c r="H11" s="17" t="n"/>
      <c r="I11" s="17" t="n"/>
      <c r="J11" s="17" t="n"/>
      <c r="K11" s="17" t="n"/>
      <c r="L11" s="17" t="n"/>
      <c r="M11" s="17" t="n"/>
      <c r="N11" s="17" t="n"/>
      <c r="O11" s="17" t="n"/>
      <c r="P11" s="17" t="n"/>
      <c r="Q11" s="17" t="n"/>
      <c r="R11" s="17" t="n"/>
    </row>
    <row r="12" ht="25" customHeight="1">
      <c r="A12" s="16">
        <f>"GAP-"&amp;TEXT(ROW()-7,"000")</f>
        <v/>
      </c>
      <c r="B12" s="17" t="n"/>
      <c r="C12" s="17" t="n"/>
      <c r="D12" s="17" t="n"/>
      <c r="E12" s="17" t="n"/>
      <c r="F12" s="17" t="n"/>
      <c r="G12" s="17" t="n"/>
      <c r="H12" s="17" t="n"/>
      <c r="I12" s="17" t="n"/>
      <c r="J12" s="17" t="n"/>
      <c r="K12" s="17" t="n"/>
      <c r="L12" s="17" t="n"/>
      <c r="M12" s="17" t="n"/>
      <c r="N12" s="17" t="n"/>
      <c r="O12" s="17" t="n"/>
      <c r="P12" s="17" t="n"/>
      <c r="Q12" s="17" t="n"/>
      <c r="R12" s="17" t="n"/>
    </row>
    <row r="13" ht="25" customHeight="1">
      <c r="A13" s="16">
        <f>"GAP-"&amp;TEXT(ROW()-7,"000")</f>
        <v/>
      </c>
      <c r="B13" s="17" t="n"/>
      <c r="C13" s="17" t="n"/>
      <c r="D13" s="17" t="n"/>
      <c r="E13" s="17" t="n"/>
      <c r="F13" s="17" t="n"/>
      <c r="G13" s="17" t="n"/>
      <c r="H13" s="17" t="n"/>
      <c r="I13" s="17" t="n"/>
      <c r="J13" s="17" t="n"/>
      <c r="K13" s="17" t="n"/>
      <c r="L13" s="17" t="n"/>
      <c r="M13" s="17" t="n"/>
      <c r="N13" s="17" t="n"/>
      <c r="O13" s="17" t="n"/>
      <c r="P13" s="17" t="n"/>
      <c r="Q13" s="17" t="n"/>
      <c r="R13" s="17" t="n"/>
    </row>
    <row r="14" ht="25" customHeight="1">
      <c r="A14" s="16">
        <f>"GAP-"&amp;TEXT(ROW()-7,"000")</f>
        <v/>
      </c>
      <c r="B14" s="17" t="n"/>
      <c r="C14" s="17" t="n"/>
      <c r="D14" s="17" t="n"/>
      <c r="E14" s="17" t="n"/>
      <c r="F14" s="17" t="n"/>
      <c r="G14" s="17" t="n"/>
      <c r="H14" s="17" t="n"/>
      <c r="I14" s="17" t="n"/>
      <c r="J14" s="17" t="n"/>
      <c r="K14" s="17" t="n"/>
      <c r="L14" s="17" t="n"/>
      <c r="M14" s="17" t="n"/>
      <c r="N14" s="17" t="n"/>
      <c r="O14" s="17" t="n"/>
      <c r="P14" s="17" t="n"/>
      <c r="Q14" s="17" t="n"/>
      <c r="R14" s="17" t="n"/>
    </row>
    <row r="15" ht="25" customHeight="1">
      <c r="A15" s="16">
        <f>"GAP-"&amp;TEXT(ROW()-7,"000")</f>
        <v/>
      </c>
      <c r="B15" s="17" t="n"/>
      <c r="C15" s="17" t="n"/>
      <c r="D15" s="17" t="n"/>
      <c r="E15" s="17" t="n"/>
      <c r="F15" s="17" t="n"/>
      <c r="G15" s="17" t="n"/>
      <c r="H15" s="17" t="n"/>
      <c r="I15" s="17" t="n"/>
      <c r="J15" s="17" t="n"/>
      <c r="K15" s="17" t="n"/>
      <c r="L15" s="17" t="n"/>
      <c r="M15" s="17" t="n"/>
      <c r="N15" s="17" t="n"/>
      <c r="O15" s="17" t="n"/>
      <c r="P15" s="17" t="n"/>
      <c r="Q15" s="17" t="n"/>
      <c r="R15" s="17" t="n"/>
    </row>
    <row r="16" ht="25" customHeight="1">
      <c r="A16" s="16">
        <f>"GAP-"&amp;TEXT(ROW()-7,"000")</f>
        <v/>
      </c>
      <c r="B16" s="17" t="n"/>
      <c r="C16" s="17" t="n"/>
      <c r="D16" s="17" t="n"/>
      <c r="E16" s="17" t="n"/>
      <c r="F16" s="17" t="n"/>
      <c r="G16" s="17" t="n"/>
      <c r="H16" s="17" t="n"/>
      <c r="I16" s="17" t="n"/>
      <c r="J16" s="17" t="n"/>
      <c r="K16" s="17" t="n"/>
      <c r="L16" s="17" t="n"/>
      <c r="M16" s="17" t="n"/>
      <c r="N16" s="17" t="n"/>
      <c r="O16" s="17" t="n"/>
      <c r="P16" s="17" t="n"/>
      <c r="Q16" s="17" t="n"/>
      <c r="R16" s="17" t="n"/>
    </row>
    <row r="17" ht="25" customHeight="1">
      <c r="A17" s="16">
        <f>"GAP-"&amp;TEXT(ROW()-7,"000")</f>
        <v/>
      </c>
      <c r="B17" s="17" t="n"/>
      <c r="C17" s="17" t="n"/>
      <c r="D17" s="17" t="n"/>
      <c r="E17" s="17" t="n"/>
      <c r="F17" s="17" t="n"/>
      <c r="G17" s="17" t="n"/>
      <c r="H17" s="17" t="n"/>
      <c r="I17" s="17" t="n"/>
      <c r="J17" s="17" t="n"/>
      <c r="K17" s="17" t="n"/>
      <c r="L17" s="17" t="n"/>
      <c r="M17" s="17" t="n"/>
      <c r="N17" s="17" t="n"/>
      <c r="O17" s="17" t="n"/>
      <c r="P17" s="17" t="n"/>
      <c r="Q17" s="17" t="n"/>
      <c r="R17" s="17" t="n"/>
    </row>
    <row r="18" ht="25" customHeight="1">
      <c r="A18" s="16">
        <f>"GAP-"&amp;TEXT(ROW()-7,"000")</f>
        <v/>
      </c>
      <c r="B18" s="17" t="n"/>
      <c r="C18" s="17" t="n"/>
      <c r="D18" s="17" t="n"/>
      <c r="E18" s="17" t="n"/>
      <c r="F18" s="17" t="n"/>
      <c r="G18" s="17" t="n"/>
      <c r="H18" s="17" t="n"/>
      <c r="I18" s="17" t="n"/>
      <c r="J18" s="17" t="n"/>
      <c r="K18" s="17" t="n"/>
      <c r="L18" s="17" t="n"/>
      <c r="M18" s="17" t="n"/>
      <c r="N18" s="17" t="n"/>
      <c r="O18" s="17" t="n"/>
      <c r="P18" s="17" t="n"/>
      <c r="Q18" s="17" t="n"/>
      <c r="R18" s="17" t="n"/>
    </row>
    <row r="19" ht="25" customHeight="1">
      <c r="A19" s="16">
        <f>"GAP-"&amp;TEXT(ROW()-7,"000")</f>
        <v/>
      </c>
      <c r="B19" s="17" t="n"/>
      <c r="C19" s="17" t="n"/>
      <c r="D19" s="17" t="n"/>
      <c r="E19" s="17" t="n"/>
      <c r="F19" s="17" t="n"/>
      <c r="G19" s="17" t="n"/>
      <c r="H19" s="17" t="n"/>
      <c r="I19" s="17" t="n"/>
      <c r="J19" s="17" t="n"/>
      <c r="K19" s="17" t="n"/>
      <c r="L19" s="17" t="n"/>
      <c r="M19" s="17" t="n"/>
      <c r="N19" s="17" t="n"/>
      <c r="O19" s="17" t="n"/>
      <c r="P19" s="17" t="n"/>
      <c r="Q19" s="17" t="n"/>
      <c r="R19" s="17" t="n"/>
    </row>
    <row r="20" ht="25" customHeight="1">
      <c r="A20" s="16">
        <f>"GAP-"&amp;TEXT(ROW()-7,"000")</f>
        <v/>
      </c>
      <c r="B20" s="17" t="n"/>
      <c r="C20" s="17" t="n"/>
      <c r="D20" s="17" t="n"/>
      <c r="E20" s="17" t="n"/>
      <c r="F20" s="17" t="n"/>
      <c r="G20" s="17" t="n"/>
      <c r="H20" s="17" t="n"/>
      <c r="I20" s="17" t="n"/>
      <c r="J20" s="17" t="n"/>
      <c r="K20" s="17" t="n"/>
      <c r="L20" s="17" t="n"/>
      <c r="M20" s="17" t="n"/>
      <c r="N20" s="17" t="n"/>
      <c r="O20" s="17" t="n"/>
      <c r="P20" s="17" t="n"/>
      <c r="Q20" s="17" t="n"/>
      <c r="R20" s="17" t="n"/>
    </row>
    <row r="21" ht="25" customHeight="1">
      <c r="A21" s="16">
        <f>"GAP-"&amp;TEXT(ROW()-7,"000")</f>
        <v/>
      </c>
      <c r="B21" s="17" t="n"/>
      <c r="C21" s="17" t="n"/>
      <c r="D21" s="17" t="n"/>
      <c r="E21" s="17" t="n"/>
      <c r="F21" s="17" t="n"/>
      <c r="G21" s="17" t="n"/>
      <c r="H21" s="17" t="n"/>
      <c r="I21" s="17" t="n"/>
      <c r="J21" s="17" t="n"/>
      <c r="K21" s="17" t="n"/>
      <c r="L21" s="17" t="n"/>
      <c r="M21" s="17" t="n"/>
      <c r="N21" s="17" t="n"/>
      <c r="O21" s="17" t="n"/>
      <c r="P21" s="17" t="n"/>
      <c r="Q21" s="17" t="n"/>
      <c r="R21" s="17" t="n"/>
    </row>
    <row r="22" ht="25" customHeight="1">
      <c r="A22" s="16">
        <f>"GAP-"&amp;TEXT(ROW()-7,"000")</f>
        <v/>
      </c>
      <c r="B22" s="17" t="n"/>
      <c r="C22" s="17" t="n"/>
      <c r="D22" s="17" t="n"/>
      <c r="E22" s="17" t="n"/>
      <c r="F22" s="17" t="n"/>
      <c r="G22" s="17" t="n"/>
      <c r="H22" s="17" t="n"/>
      <c r="I22" s="17" t="n"/>
      <c r="J22" s="17" t="n"/>
      <c r="K22" s="17" t="n"/>
      <c r="L22" s="17" t="n"/>
      <c r="M22" s="17" t="n"/>
      <c r="N22" s="17" t="n"/>
      <c r="O22" s="17" t="n"/>
      <c r="P22" s="17" t="n"/>
      <c r="Q22" s="17" t="n"/>
      <c r="R22" s="17" t="n"/>
    </row>
    <row r="23" ht="25" customHeight="1">
      <c r="A23" s="16">
        <f>"GAP-"&amp;TEXT(ROW()-7,"000")</f>
        <v/>
      </c>
      <c r="B23" s="17" t="n"/>
      <c r="C23" s="17" t="n"/>
      <c r="D23" s="17" t="n"/>
      <c r="E23" s="17" t="n"/>
      <c r="F23" s="17" t="n"/>
      <c r="G23" s="17" t="n"/>
      <c r="H23" s="17" t="n"/>
      <c r="I23" s="17" t="n"/>
      <c r="J23" s="17" t="n"/>
      <c r="K23" s="17" t="n"/>
      <c r="L23" s="17" t="n"/>
      <c r="M23" s="17" t="n"/>
      <c r="N23" s="17" t="n"/>
      <c r="O23" s="17" t="n"/>
      <c r="P23" s="17" t="n"/>
      <c r="Q23" s="17" t="n"/>
      <c r="R23" s="17" t="n"/>
    </row>
    <row r="24" ht="25" customHeight="1">
      <c r="A24" s="16">
        <f>"GAP-"&amp;TEXT(ROW()-7,"000")</f>
        <v/>
      </c>
      <c r="B24" s="17" t="n"/>
      <c r="C24" s="17" t="n"/>
      <c r="D24" s="17" t="n"/>
      <c r="E24" s="17" t="n"/>
      <c r="F24" s="17" t="n"/>
      <c r="G24" s="17" t="n"/>
      <c r="H24" s="17" t="n"/>
      <c r="I24" s="17" t="n"/>
      <c r="J24" s="17" t="n"/>
      <c r="K24" s="17" t="n"/>
      <c r="L24" s="17" t="n"/>
      <c r="M24" s="17" t="n"/>
      <c r="N24" s="17" t="n"/>
      <c r="O24" s="17" t="n"/>
      <c r="P24" s="17" t="n"/>
      <c r="Q24" s="17" t="n"/>
      <c r="R24" s="17" t="n"/>
    </row>
    <row r="25" ht="25" customHeight="1">
      <c r="A25" s="16">
        <f>"GAP-"&amp;TEXT(ROW()-7,"000")</f>
        <v/>
      </c>
      <c r="B25" s="17" t="n"/>
      <c r="C25" s="17" t="n"/>
      <c r="D25" s="17" t="n"/>
      <c r="E25" s="17" t="n"/>
      <c r="F25" s="17" t="n"/>
      <c r="G25" s="17" t="n"/>
      <c r="H25" s="17" t="n"/>
      <c r="I25" s="17" t="n"/>
      <c r="J25" s="17" t="n"/>
      <c r="K25" s="17" t="n"/>
      <c r="L25" s="17" t="n"/>
      <c r="M25" s="17" t="n"/>
      <c r="N25" s="17" t="n"/>
      <c r="O25" s="17" t="n"/>
      <c r="P25" s="17" t="n"/>
      <c r="Q25" s="17" t="n"/>
      <c r="R25" s="17" t="n"/>
    </row>
    <row r="26" ht="25" customHeight="1">
      <c r="A26" s="16">
        <f>"GAP-"&amp;TEXT(ROW()-7,"000")</f>
        <v/>
      </c>
      <c r="B26" s="17" t="n"/>
      <c r="C26" s="17" t="n"/>
      <c r="D26" s="17" t="n"/>
      <c r="E26" s="17" t="n"/>
      <c r="F26" s="17" t="n"/>
      <c r="G26" s="17" t="n"/>
      <c r="H26" s="17" t="n"/>
      <c r="I26" s="17" t="n"/>
      <c r="J26" s="17" t="n"/>
      <c r="K26" s="17" t="n"/>
      <c r="L26" s="17" t="n"/>
      <c r="M26" s="17" t="n"/>
      <c r="N26" s="17" t="n"/>
      <c r="O26" s="17" t="n"/>
      <c r="P26" s="17" t="n"/>
      <c r="Q26" s="17" t="n"/>
      <c r="R26" s="17" t="n"/>
    </row>
    <row r="27" ht="25" customHeight="1">
      <c r="A27" s="16">
        <f>"GAP-"&amp;TEXT(ROW()-7,"000")</f>
        <v/>
      </c>
      <c r="B27" s="17" t="n"/>
      <c r="C27" s="17" t="n"/>
      <c r="D27" s="17" t="n"/>
      <c r="E27" s="17" t="n"/>
      <c r="F27" s="17" t="n"/>
      <c r="G27" s="17" t="n"/>
      <c r="H27" s="17" t="n"/>
      <c r="I27" s="17" t="n"/>
      <c r="J27" s="17" t="n"/>
      <c r="K27" s="17" t="n"/>
      <c r="L27" s="17" t="n"/>
      <c r="M27" s="17" t="n"/>
      <c r="N27" s="17" t="n"/>
      <c r="O27" s="17" t="n"/>
      <c r="P27" s="17" t="n"/>
      <c r="Q27" s="17" t="n"/>
      <c r="R27" s="17" t="n"/>
    </row>
    <row r="28" ht="25" customHeight="1">
      <c r="A28" s="16">
        <f>"GAP-"&amp;TEXT(ROW()-7,"000")</f>
        <v/>
      </c>
      <c r="B28" s="17" t="n"/>
      <c r="C28" s="17" t="n"/>
      <c r="D28" s="17" t="n"/>
      <c r="E28" s="17" t="n"/>
      <c r="F28" s="17" t="n"/>
      <c r="G28" s="17" t="n"/>
      <c r="H28" s="17" t="n"/>
      <c r="I28" s="17" t="n"/>
      <c r="J28" s="17" t="n"/>
      <c r="K28" s="17" t="n"/>
      <c r="L28" s="17" t="n"/>
      <c r="M28" s="17" t="n"/>
      <c r="N28" s="17" t="n"/>
      <c r="O28" s="17" t="n"/>
      <c r="P28" s="17" t="n"/>
      <c r="Q28" s="17" t="n"/>
      <c r="R28" s="17" t="n"/>
    </row>
    <row r="29" ht="25" customHeight="1">
      <c r="A29" s="16">
        <f>"GAP-"&amp;TEXT(ROW()-7,"000")</f>
        <v/>
      </c>
      <c r="B29" s="17" t="n"/>
      <c r="C29" s="17" t="n"/>
      <c r="D29" s="17" t="n"/>
      <c r="E29" s="17" t="n"/>
      <c r="F29" s="17" t="n"/>
      <c r="G29" s="17" t="n"/>
      <c r="H29" s="17" t="n"/>
      <c r="I29" s="17" t="n"/>
      <c r="J29" s="17" t="n"/>
      <c r="K29" s="17" t="n"/>
      <c r="L29" s="17" t="n"/>
      <c r="M29" s="17" t="n"/>
      <c r="N29" s="17" t="n"/>
      <c r="O29" s="17" t="n"/>
      <c r="P29" s="17" t="n"/>
      <c r="Q29" s="17" t="n"/>
      <c r="R29" s="17" t="n"/>
    </row>
    <row r="30" ht="25" customHeight="1">
      <c r="A30" s="16">
        <f>"GAP-"&amp;TEXT(ROW()-7,"000")</f>
        <v/>
      </c>
      <c r="B30" s="17" t="n"/>
      <c r="C30" s="17" t="n"/>
      <c r="D30" s="17" t="n"/>
      <c r="E30" s="17" t="n"/>
      <c r="F30" s="17" t="n"/>
      <c r="G30" s="17" t="n"/>
      <c r="H30" s="17" t="n"/>
      <c r="I30" s="17" t="n"/>
      <c r="J30" s="17" t="n"/>
      <c r="K30" s="17" t="n"/>
      <c r="L30" s="17" t="n"/>
      <c r="M30" s="17" t="n"/>
      <c r="N30" s="17" t="n"/>
      <c r="O30" s="17" t="n"/>
      <c r="P30" s="17" t="n"/>
      <c r="Q30" s="17" t="n"/>
      <c r="R30" s="17" t="n"/>
    </row>
    <row r="31" ht="25" customHeight="1">
      <c r="A31" s="16">
        <f>"GAP-"&amp;TEXT(ROW()-7,"000")</f>
        <v/>
      </c>
      <c r="B31" s="17" t="n"/>
      <c r="C31" s="17" t="n"/>
      <c r="D31" s="17" t="n"/>
      <c r="E31" s="17" t="n"/>
      <c r="F31" s="17" t="n"/>
      <c r="G31" s="17" t="n"/>
      <c r="H31" s="17" t="n"/>
      <c r="I31" s="17" t="n"/>
      <c r="J31" s="17" t="n"/>
      <c r="K31" s="17" t="n"/>
      <c r="L31" s="17" t="n"/>
      <c r="M31" s="17" t="n"/>
      <c r="N31" s="17" t="n"/>
      <c r="O31" s="17" t="n"/>
      <c r="P31" s="17" t="n"/>
      <c r="Q31" s="17" t="n"/>
      <c r="R31" s="17" t="n"/>
    </row>
    <row r="32" ht="25" customHeight="1">
      <c r="A32" s="16">
        <f>"GAP-"&amp;TEXT(ROW()-7,"000")</f>
        <v/>
      </c>
      <c r="B32" s="17" t="n"/>
      <c r="C32" s="17" t="n"/>
      <c r="D32" s="17" t="n"/>
      <c r="E32" s="17" t="n"/>
      <c r="F32" s="17" t="n"/>
      <c r="G32" s="17" t="n"/>
      <c r="H32" s="17" t="n"/>
      <c r="I32" s="17" t="n"/>
      <c r="J32" s="17" t="n"/>
      <c r="K32" s="17" t="n"/>
      <c r="L32" s="17" t="n"/>
      <c r="M32" s="17" t="n"/>
      <c r="N32" s="17" t="n"/>
      <c r="O32" s="17" t="n"/>
      <c r="P32" s="17" t="n"/>
      <c r="Q32" s="17" t="n"/>
      <c r="R32" s="17" t="n"/>
    </row>
    <row r="33" ht="25" customHeight="1">
      <c r="A33" s="16">
        <f>"GAP-"&amp;TEXT(ROW()-7,"000")</f>
        <v/>
      </c>
      <c r="B33" s="17" t="n"/>
      <c r="C33" s="17" t="n"/>
      <c r="D33" s="17" t="n"/>
      <c r="E33" s="17" t="n"/>
      <c r="F33" s="17" t="n"/>
      <c r="G33" s="17" t="n"/>
      <c r="H33" s="17" t="n"/>
      <c r="I33" s="17" t="n"/>
      <c r="J33" s="17" t="n"/>
      <c r="K33" s="17" t="n"/>
      <c r="L33" s="17" t="n"/>
      <c r="M33" s="17" t="n"/>
      <c r="N33" s="17" t="n"/>
      <c r="O33" s="17" t="n"/>
      <c r="P33" s="17" t="n"/>
      <c r="Q33" s="17" t="n"/>
      <c r="R33" s="17" t="n"/>
    </row>
    <row r="34" ht="25" customHeight="1">
      <c r="A34" s="16">
        <f>"GAP-"&amp;TEXT(ROW()-7,"000")</f>
        <v/>
      </c>
      <c r="B34" s="17" t="n"/>
      <c r="C34" s="17" t="n"/>
      <c r="D34" s="17" t="n"/>
      <c r="E34" s="17" t="n"/>
      <c r="F34" s="17" t="n"/>
      <c r="G34" s="17" t="n"/>
      <c r="H34" s="17" t="n"/>
      <c r="I34" s="17" t="n"/>
      <c r="J34" s="17" t="n"/>
      <c r="K34" s="17" t="n"/>
      <c r="L34" s="17" t="n"/>
      <c r="M34" s="17" t="n"/>
      <c r="N34" s="17" t="n"/>
      <c r="O34" s="17" t="n"/>
      <c r="P34" s="17" t="n"/>
      <c r="Q34" s="17" t="n"/>
      <c r="R34" s="17" t="n"/>
    </row>
    <row r="35" ht="25" customHeight="1">
      <c r="A35" s="16">
        <f>"GAP-"&amp;TEXT(ROW()-7,"000")</f>
        <v/>
      </c>
      <c r="B35" s="17" t="n"/>
      <c r="C35" s="17" t="n"/>
      <c r="D35" s="17" t="n"/>
      <c r="E35" s="17" t="n"/>
      <c r="F35" s="17" t="n"/>
      <c r="G35" s="17" t="n"/>
      <c r="H35" s="17" t="n"/>
      <c r="I35" s="17" t="n"/>
      <c r="J35" s="17" t="n"/>
      <c r="K35" s="17" t="n"/>
      <c r="L35" s="17" t="n"/>
      <c r="M35" s="17" t="n"/>
      <c r="N35" s="17" t="n"/>
      <c r="O35" s="17" t="n"/>
      <c r="P35" s="17" t="n"/>
      <c r="Q35" s="17" t="n"/>
      <c r="R35" s="17" t="n"/>
    </row>
    <row r="36" ht="25" customHeight="1">
      <c r="A36" s="16">
        <f>"GAP-"&amp;TEXT(ROW()-7,"000")</f>
        <v/>
      </c>
      <c r="B36" s="17" t="n"/>
      <c r="C36" s="17" t="n"/>
      <c r="D36" s="17" t="n"/>
      <c r="E36" s="17" t="n"/>
      <c r="F36" s="17" t="n"/>
      <c r="G36" s="17" t="n"/>
      <c r="H36" s="17" t="n"/>
      <c r="I36" s="17" t="n"/>
      <c r="J36" s="17" t="n"/>
      <c r="K36" s="17" t="n"/>
      <c r="L36" s="17" t="n"/>
      <c r="M36" s="17" t="n"/>
      <c r="N36" s="17" t="n"/>
      <c r="O36" s="17" t="n"/>
      <c r="P36" s="17" t="n"/>
      <c r="Q36" s="17" t="n"/>
      <c r="R36" s="17" t="n"/>
    </row>
    <row r="37" ht="25" customHeight="1">
      <c r="A37" s="16">
        <f>"GAP-"&amp;TEXT(ROW()-7,"000")</f>
        <v/>
      </c>
      <c r="B37" s="17" t="n"/>
      <c r="C37" s="17" t="n"/>
      <c r="D37" s="17" t="n"/>
      <c r="E37" s="17" t="n"/>
      <c r="F37" s="17" t="n"/>
      <c r="G37" s="17" t="n"/>
      <c r="H37" s="17" t="n"/>
      <c r="I37" s="17" t="n"/>
      <c r="J37" s="17" t="n"/>
      <c r="K37" s="17" t="n"/>
      <c r="L37" s="17" t="n"/>
      <c r="M37" s="17" t="n"/>
      <c r="N37" s="17" t="n"/>
      <c r="O37" s="17" t="n"/>
      <c r="P37" s="17" t="n"/>
      <c r="Q37" s="17" t="n"/>
      <c r="R37" s="17" t="n"/>
    </row>
    <row r="38" ht="25" customHeight="1">
      <c r="A38" s="16">
        <f>"GAP-"&amp;TEXT(ROW()-7,"000")</f>
        <v/>
      </c>
      <c r="B38" s="17" t="n"/>
      <c r="C38" s="17" t="n"/>
      <c r="D38" s="17" t="n"/>
      <c r="E38" s="17" t="n"/>
      <c r="F38" s="17" t="n"/>
      <c r="G38" s="17" t="n"/>
      <c r="H38" s="17" t="n"/>
      <c r="I38" s="17" t="n"/>
      <c r="J38" s="17" t="n"/>
      <c r="K38" s="17" t="n"/>
      <c r="L38" s="17" t="n"/>
      <c r="M38" s="17" t="n"/>
      <c r="N38" s="17" t="n"/>
      <c r="O38" s="17" t="n"/>
      <c r="P38" s="17" t="n"/>
      <c r="Q38" s="17" t="n"/>
      <c r="R38" s="17" t="n"/>
    </row>
    <row r="39" ht="25" customHeight="1">
      <c r="A39" s="16">
        <f>"GAP-"&amp;TEXT(ROW()-7,"000")</f>
        <v/>
      </c>
      <c r="B39" s="17" t="n"/>
      <c r="C39" s="17" t="n"/>
      <c r="D39" s="17" t="n"/>
      <c r="E39" s="17" t="n"/>
      <c r="F39" s="17" t="n"/>
      <c r="G39" s="17" t="n"/>
      <c r="H39" s="17" t="n"/>
      <c r="I39" s="17" t="n"/>
      <c r="J39" s="17" t="n"/>
      <c r="K39" s="17" t="n"/>
      <c r="L39" s="17" t="n"/>
      <c r="M39" s="17" t="n"/>
      <c r="N39" s="17" t="n"/>
      <c r="O39" s="17" t="n"/>
      <c r="P39" s="17" t="n"/>
      <c r="Q39" s="17" t="n"/>
      <c r="R39" s="17" t="n"/>
    </row>
    <row r="40" ht="25" customHeight="1">
      <c r="A40" s="16">
        <f>"GAP-"&amp;TEXT(ROW()-7,"000")</f>
        <v/>
      </c>
      <c r="B40" s="17" t="n"/>
      <c r="C40" s="17" t="n"/>
      <c r="D40" s="17" t="n"/>
      <c r="E40" s="17" t="n"/>
      <c r="F40" s="17" t="n"/>
      <c r="G40" s="17" t="n"/>
      <c r="H40" s="17" t="n"/>
      <c r="I40" s="17" t="n"/>
      <c r="J40" s="17" t="n"/>
      <c r="K40" s="17" t="n"/>
      <c r="L40" s="17" t="n"/>
      <c r="M40" s="17" t="n"/>
      <c r="N40" s="17" t="n"/>
      <c r="O40" s="17" t="n"/>
      <c r="P40" s="17" t="n"/>
      <c r="Q40" s="17" t="n"/>
      <c r="R40" s="17" t="n"/>
    </row>
    <row r="41" ht="25" customHeight="1">
      <c r="A41" s="16">
        <f>"GAP-"&amp;TEXT(ROW()-7,"000")</f>
        <v/>
      </c>
      <c r="B41" s="17" t="n"/>
      <c r="C41" s="17" t="n"/>
      <c r="D41" s="17" t="n"/>
      <c r="E41" s="17" t="n"/>
      <c r="F41" s="17" t="n"/>
      <c r="G41" s="17" t="n"/>
      <c r="H41" s="17" t="n"/>
      <c r="I41" s="17" t="n"/>
      <c r="J41" s="17" t="n"/>
      <c r="K41" s="17" t="n"/>
      <c r="L41" s="17" t="n"/>
      <c r="M41" s="17" t="n"/>
      <c r="N41" s="17" t="n"/>
      <c r="O41" s="17" t="n"/>
      <c r="P41" s="17" t="n"/>
      <c r="Q41" s="17" t="n"/>
      <c r="R41" s="17" t="n"/>
    </row>
    <row r="42" ht="25" customHeight="1">
      <c r="A42" s="16">
        <f>"GAP-"&amp;TEXT(ROW()-7,"000")</f>
        <v/>
      </c>
      <c r="B42" s="17" t="n"/>
      <c r="C42" s="17" t="n"/>
      <c r="D42" s="17" t="n"/>
      <c r="E42" s="17" t="n"/>
      <c r="F42" s="17" t="n"/>
      <c r="G42" s="17" t="n"/>
      <c r="H42" s="17" t="n"/>
      <c r="I42" s="17" t="n"/>
      <c r="J42" s="17" t="n"/>
      <c r="K42" s="17" t="n"/>
      <c r="L42" s="17" t="n"/>
      <c r="M42" s="17" t="n"/>
      <c r="N42" s="17" t="n"/>
      <c r="O42" s="17" t="n"/>
      <c r="P42" s="17" t="n"/>
      <c r="Q42" s="17" t="n"/>
      <c r="R42" s="17" t="n"/>
    </row>
    <row r="43" ht="25" customHeight="1">
      <c r="A43" s="16">
        <f>"GAP-"&amp;TEXT(ROW()-7,"000")</f>
        <v/>
      </c>
      <c r="B43" s="17" t="n"/>
      <c r="C43" s="17" t="n"/>
      <c r="D43" s="17" t="n"/>
      <c r="E43" s="17" t="n"/>
      <c r="F43" s="17" t="n"/>
      <c r="G43" s="17" t="n"/>
      <c r="H43" s="17" t="n"/>
      <c r="I43" s="17" t="n"/>
      <c r="J43" s="17" t="n"/>
      <c r="K43" s="17" t="n"/>
      <c r="L43" s="17" t="n"/>
      <c r="M43" s="17" t="n"/>
      <c r="N43" s="17" t="n"/>
      <c r="O43" s="17" t="n"/>
      <c r="P43" s="17" t="n"/>
      <c r="Q43" s="17" t="n"/>
      <c r="R43" s="17" t="n"/>
    </row>
    <row r="44" ht="25" customHeight="1">
      <c r="A44" s="16">
        <f>"GAP-"&amp;TEXT(ROW()-7,"000")</f>
        <v/>
      </c>
      <c r="B44" s="17" t="n"/>
      <c r="C44" s="17" t="n"/>
      <c r="D44" s="17" t="n"/>
      <c r="E44" s="17" t="n"/>
      <c r="F44" s="17" t="n"/>
      <c r="G44" s="17" t="n"/>
      <c r="H44" s="17" t="n"/>
      <c r="I44" s="17" t="n"/>
      <c r="J44" s="17" t="n"/>
      <c r="K44" s="17" t="n"/>
      <c r="L44" s="17" t="n"/>
      <c r="M44" s="17" t="n"/>
      <c r="N44" s="17" t="n"/>
      <c r="O44" s="17" t="n"/>
      <c r="P44" s="17" t="n"/>
      <c r="Q44" s="17" t="n"/>
      <c r="R44" s="17" t="n"/>
    </row>
    <row r="45" ht="25" customHeight="1">
      <c r="A45" s="16">
        <f>"GAP-"&amp;TEXT(ROW()-7,"000")</f>
        <v/>
      </c>
      <c r="B45" s="17" t="n"/>
      <c r="C45" s="17" t="n"/>
      <c r="D45" s="17" t="n"/>
      <c r="E45" s="17" t="n"/>
      <c r="F45" s="17" t="n"/>
      <c r="G45" s="17" t="n"/>
      <c r="H45" s="17" t="n"/>
      <c r="I45" s="17" t="n"/>
      <c r="J45" s="17" t="n"/>
      <c r="K45" s="17" t="n"/>
      <c r="L45" s="17" t="n"/>
      <c r="M45" s="17" t="n"/>
      <c r="N45" s="17" t="n"/>
      <c r="O45" s="17" t="n"/>
      <c r="P45" s="17" t="n"/>
      <c r="Q45" s="17" t="n"/>
      <c r="R45" s="17" t="n"/>
    </row>
    <row r="46" ht="25" customHeight="1">
      <c r="A46" s="16">
        <f>"GAP-"&amp;TEXT(ROW()-7,"000")</f>
        <v/>
      </c>
      <c r="B46" s="17" t="n"/>
      <c r="C46" s="17" t="n"/>
      <c r="D46" s="17" t="n"/>
      <c r="E46" s="17" t="n"/>
      <c r="F46" s="17" t="n"/>
      <c r="G46" s="17" t="n"/>
      <c r="H46" s="17" t="n"/>
      <c r="I46" s="17" t="n"/>
      <c r="J46" s="17" t="n"/>
      <c r="K46" s="17" t="n"/>
      <c r="L46" s="17" t="n"/>
      <c r="M46" s="17" t="n"/>
      <c r="N46" s="17" t="n"/>
      <c r="O46" s="17" t="n"/>
      <c r="P46" s="17" t="n"/>
      <c r="Q46" s="17" t="n"/>
      <c r="R46" s="17" t="n"/>
    </row>
    <row r="47" ht="25" customHeight="1">
      <c r="A47" s="16">
        <f>"GAP-"&amp;TEXT(ROW()-7,"000")</f>
        <v/>
      </c>
      <c r="B47" s="17" t="n"/>
      <c r="C47" s="17" t="n"/>
      <c r="D47" s="17" t="n"/>
      <c r="E47" s="17" t="n"/>
      <c r="F47" s="17" t="n"/>
      <c r="G47" s="17" t="n"/>
      <c r="H47" s="17" t="n"/>
      <c r="I47" s="17" t="n"/>
      <c r="J47" s="17" t="n"/>
      <c r="K47" s="17" t="n"/>
      <c r="L47" s="17" t="n"/>
      <c r="M47" s="17" t="n"/>
      <c r="N47" s="17" t="n"/>
      <c r="O47" s="17" t="n"/>
      <c r="P47" s="17" t="n"/>
      <c r="Q47" s="17" t="n"/>
      <c r="R47" s="17" t="n"/>
    </row>
    <row r="50">
      <c r="A50" s="3" t="inlineStr">
        <is>
          <t>GAP SUMMARY STATISTICS</t>
        </is>
      </c>
    </row>
    <row r="51">
      <c r="A51" s="9" t="inlineStr">
        <is>
          <t>Metric</t>
        </is>
      </c>
      <c r="B51" s="12" t="n"/>
      <c r="C51" s="12" t="n"/>
      <c r="D51" s="12" t="n"/>
      <c r="E51" s="12" t="n"/>
      <c r="F51" s="12" t="n"/>
      <c r="G51" s="12" t="n"/>
      <c r="H51" s="12" t="n"/>
      <c r="I51" s="12" t="n"/>
      <c r="J51" s="12" t="n"/>
      <c r="K51" s="12" t="n"/>
      <c r="L51" s="12" t="n"/>
      <c r="M51" s="12" t="n"/>
      <c r="N51" s="12" t="n"/>
      <c r="O51" s="12" t="n"/>
      <c r="P51" s="12" t="n"/>
      <c r="Q51" s="12" t="n"/>
      <c r="R51" s="12" t="n"/>
    </row>
    <row r="52" ht="25" customHeight="1">
      <c r="A52" s="6" t="inlineStr">
        <is>
          <t>Total Gaps Identified</t>
        </is>
      </c>
    </row>
    <row r="53" ht="25" customHeight="1">
      <c r="A53" s="6" t="inlineStr">
        <is>
          <t>Critical Gaps</t>
        </is>
      </c>
    </row>
    <row r="54" ht="25" customHeight="1">
      <c r="A54" s="6" t="inlineStr">
        <is>
          <t>High Gaps</t>
        </is>
      </c>
    </row>
    <row r="55" ht="25" customHeight="1">
      <c r="A55" s="6" t="inlineStr">
        <is>
          <t>Open Gaps</t>
        </is>
      </c>
    </row>
    <row r="56" ht="25" customHeight="1">
      <c r="A56" s="6" t="inlineStr">
        <is>
          <t>In Progress</t>
        </is>
      </c>
    </row>
    <row r="57" ht="25" customHeight="1">
      <c r="A57" s="6" t="inlineStr">
        <is>
          <t>Resolved Gaps</t>
        </is>
      </c>
    </row>
    <row r="58" ht="25" customHeight="1">
      <c r="A58" s="6" t="inlineStr">
        <is>
          <t>Accepted Risks</t>
        </is>
      </c>
    </row>
    <row r="59" ht="25" customHeight="1">
      <c r="A59" s="6" t="inlineStr">
        <is>
          <t>Overdue (Past Target Date)</t>
        </is>
      </c>
    </row>
    <row r="62">
      <c r="A62" s="3" t="inlineStr">
        <is>
          <t>GAP MANAGEMENT CHECKLIST</t>
        </is>
      </c>
    </row>
    <row r="63">
      <c r="A63" s="9" t="inlineStr">
        <is>
          <t>#</t>
        </is>
      </c>
      <c r="B63" s="9" t="inlineStr">
        <is>
          <t>Requirement</t>
        </is>
      </c>
      <c r="C63" s="12" t="n"/>
      <c r="D63" s="12" t="n"/>
      <c r="E63" s="12" t="n"/>
      <c r="F63" s="12" t="n"/>
      <c r="G63" s="12" t="n"/>
      <c r="H63" s="12" t="n"/>
      <c r="I63" s="12" t="n"/>
      <c r="J63" s="12" t="n"/>
      <c r="K63" s="12" t="n"/>
      <c r="L63" s="12" t="n"/>
      <c r="M63" s="12" t="n"/>
      <c r="N63" s="12" t="n"/>
      <c r="O63" s="12" t="n"/>
      <c r="P63" s="12" t="n"/>
      <c r="Q63" s="13" t="n"/>
    </row>
    <row r="64" ht="25" customHeight="1">
      <c r="A64" t="n">
        <v>1</v>
      </c>
      <c r="B64" s="6" t="inlineStr">
        <is>
          <t>All coverage gaps identified</t>
        </is>
      </c>
      <c r="R64" s="5" t="n"/>
    </row>
    <row r="65" ht="25" customHeight="1">
      <c r="A65" t="n">
        <v>2</v>
      </c>
      <c r="B65" s="6" t="inlineStr">
        <is>
          <t>Gaps categorized by type</t>
        </is>
      </c>
      <c r="R65" s="5" t="n"/>
    </row>
    <row r="66" ht="25" customHeight="1">
      <c r="A66" t="n">
        <v>3</v>
      </c>
      <c r="B66" s="6" t="inlineStr">
        <is>
          <t>Risk level assessed for each gap</t>
        </is>
      </c>
      <c r="R66" s="5" t="n"/>
    </row>
    <row r="67" ht="25" customHeight="1">
      <c r="A67" t="n">
        <v>4</v>
      </c>
      <c r="B67" s="6" t="inlineStr">
        <is>
          <t>Root cause analysis conducted</t>
        </is>
      </c>
      <c r="R67" s="5" t="n"/>
    </row>
    <row r="68" ht="25" customHeight="1">
      <c r="A68" t="n">
        <v>5</v>
      </c>
      <c r="B68" s="6" t="inlineStr">
        <is>
          <t>Critical gaps remediated within 30 days</t>
        </is>
      </c>
      <c r="R68" s="5" t="n"/>
    </row>
    <row r="69" ht="25" customHeight="1">
      <c r="A69" t="n">
        <v>6</v>
      </c>
      <c r="B69" s="6" t="inlineStr">
        <is>
          <t>High gaps remediated within 90 days</t>
        </is>
      </c>
      <c r="R69" s="5" t="n"/>
    </row>
    <row r="70" ht="25" customHeight="1">
      <c r="A70" t="n">
        <v>7</v>
      </c>
      <c r="B70" s="6" t="inlineStr">
        <is>
          <t>Exceptions formally approved</t>
        </is>
      </c>
      <c r="R70" s="5" t="n"/>
    </row>
    <row r="71" ht="25" customHeight="1">
      <c r="A71" t="n">
        <v>8</v>
      </c>
      <c r="B71" s="6" t="inlineStr">
        <is>
          <t>Compensating controls documented</t>
        </is>
      </c>
      <c r="R71" s="5" t="n"/>
    </row>
    <row r="72" ht="25" customHeight="1">
      <c r="A72" t="n">
        <v>9</v>
      </c>
      <c r="B72" s="6" t="inlineStr">
        <is>
          <t>Remediation plans documented</t>
        </is>
      </c>
      <c r="R72" s="5" t="n"/>
    </row>
    <row r="73" ht="25" customHeight="1">
      <c r="A73" t="n">
        <v>10</v>
      </c>
      <c r="B73" s="6" t="inlineStr">
        <is>
          <t>Gap remediation tracked</t>
        </is>
      </c>
      <c r="R73" s="5" t="n"/>
    </row>
    <row r="74" ht="25" customHeight="1">
      <c r="A74" t="n">
        <v>11</v>
      </c>
      <c r="B74" s="6" t="inlineStr">
        <is>
          <t>Verification conducted post-remediation</t>
        </is>
      </c>
      <c r="R74" s="5" t="n"/>
    </row>
    <row r="75" ht="25" customHeight="1">
      <c r="A75" t="n">
        <v>12</v>
      </c>
      <c r="B75" s="6" t="inlineStr">
        <is>
          <t>Trends analyzed (recurring gaps?)</t>
        </is>
      </c>
      <c r="R75" s="5" t="n"/>
    </row>
    <row r="76" ht="25" customHeight="1">
      <c r="A76" t="n">
        <v>13</v>
      </c>
      <c r="B76" s="6" t="inlineStr">
        <is>
          <t>Gaps reported to CISO monthly</t>
        </is>
      </c>
      <c r="R76" s="5" t="n"/>
    </row>
    <row r="77" ht="25" customHeight="1">
      <c r="A77" t="n">
        <v>14</v>
      </c>
      <c r="B77" s="6" t="inlineStr">
        <is>
          <t>Improvement actions implemented</t>
        </is>
      </c>
      <c r="R77" s="5" t="n"/>
    </row>
    <row r="78" ht="25" customHeight="1">
      <c r="A78" t="n">
        <v>15</v>
      </c>
      <c r="B78" s="6" t="inlineStr">
        <is>
          <t>Coverage metrics improving over time</t>
        </is>
      </c>
      <c r="R78" s="5" t="n"/>
    </row>
    <row r="79">
      <c r="A79" s="14" t="inlineStr">
        <is>
          <t>SCORE:</t>
        </is>
      </c>
      <c r="B79" s="15">
        <f>COUNTIF(R64:R78,"✅ Compliant")&amp;" / 15"</f>
        <v/>
      </c>
    </row>
  </sheetData>
  <mergeCells count="58">
    <mergeCell ref="D52:R52"/>
    <mergeCell ref="A54:F54"/>
    <mergeCell ref="D57:R57"/>
    <mergeCell ref="C52:L52"/>
    <mergeCell ref="B54:I54"/>
    <mergeCell ref="B65:Q65"/>
    <mergeCell ref="B59:I59"/>
    <mergeCell ref="B74:Q74"/>
    <mergeCell ref="A56:F56"/>
    <mergeCell ref="B68:Q68"/>
    <mergeCell ref="B64:Q64"/>
    <mergeCell ref="A55:F55"/>
    <mergeCell ref="A50:R50"/>
    <mergeCell ref="A57:F57"/>
    <mergeCell ref="B56:I56"/>
    <mergeCell ref="A3:R3"/>
    <mergeCell ref="D53:R53"/>
    <mergeCell ref="B52:I52"/>
    <mergeCell ref="C53:L53"/>
    <mergeCell ref="C57:L57"/>
    <mergeCell ref="B58:I58"/>
    <mergeCell ref="B79:E79"/>
    <mergeCell ref="B76:Q76"/>
    <mergeCell ref="A2:R2"/>
    <mergeCell ref="B63:Q63"/>
    <mergeCell ref="B75:Q75"/>
    <mergeCell ref="D56:R56"/>
    <mergeCell ref="A53:F53"/>
    <mergeCell ref="B57:I57"/>
    <mergeCell ref="C58:L58"/>
    <mergeCell ref="D58:R58"/>
    <mergeCell ref="B72:Q72"/>
    <mergeCell ref="A62:R62"/>
    <mergeCell ref="A52:F52"/>
    <mergeCell ref="B53:I53"/>
    <mergeCell ref="D55:R55"/>
    <mergeCell ref="B66:Q66"/>
    <mergeCell ref="D51:R51"/>
    <mergeCell ref="B71:Q71"/>
    <mergeCell ref="D54:R54"/>
    <mergeCell ref="A58:F58"/>
    <mergeCell ref="B77:Q77"/>
    <mergeCell ref="B70:Q70"/>
    <mergeCell ref="D59:R59"/>
    <mergeCell ref="C54:L54"/>
    <mergeCell ref="A59:F59"/>
    <mergeCell ref="B67:Q67"/>
    <mergeCell ref="A51:F51"/>
    <mergeCell ref="C55:L55"/>
    <mergeCell ref="B55:I55"/>
    <mergeCell ref="B51:I51"/>
    <mergeCell ref="C56:L56"/>
    <mergeCell ref="C59:L59"/>
    <mergeCell ref="B73:Q73"/>
    <mergeCell ref="A1:R1"/>
    <mergeCell ref="B69:Q69"/>
    <mergeCell ref="C51:L51"/>
    <mergeCell ref="B78:Q78"/>
  </mergeCells>
  <dataValidations count="6">
    <dataValidation sqref="B8 B9 B10 B11 B12 B13 B14 B15 B16 B17 B18 B19 B20 B21 B22 B23 B24 B25 B26 B27 B28 B29 B30 B31 B32 B33 B34 B35 B36 B37 B38 B39 B40 B41 B42 B43 B44 B45 B46 B47" showDropDown="0" showInputMessage="0" showErrorMessage="0" allowBlank="0" type="list">
      <formula1>"Asset Not Monitored,Log Source Missing,Network Segment Gap,User/Identity Gap,Application Gap,Detection Gap,Other"</formula1>
    </dataValidation>
    <dataValidation sqref="O8 O9 O10 O11 O12 O13 O14 O15 O16 O17 O18 O19 O20 O21 O22 O23 O24 O25 O26 O27 O28 O29 O30 O31 O32 O33 O34 O35 O36 O37 O38 O39 O40 O41 O42 O43 O44 O45 O46 O47" showDropDown="0" showInputMessage="0" showErrorMessage="0" allowBlank="0" type="list">
      <formula1>"Open,In Progress,Resolved,Deferred,Accepted"</formula1>
    </dataValidation>
    <dataValidation sqref="R64 R65 R66 R67 R68 R69 R70 R71 R72 R73 R74 R75 R76 R77 R78" showDropDown="0" showInputMessage="0" showErrorMessage="0" allowBlank="0" type="list">
      <formula1>"✅ Compliant,⚠️ Partial,❌ Non-Compliant,N/A"</formula1>
    </dataValidation>
    <dataValidation sqref="F8 F9 F10 F11 F12 F13 F14 F15 F16 F17 F18 F19 F20 F21 F22 F23 F24 F25 F26 F27 F28 F29 F30 F31 F32 F33 F34 F35 F36 F37 F38 F39 F40 F41 F42 F43 F44 F45 F46 F47" showDropDown="0" showInputMessage="0" showErrorMessage="0" allowBlank="0" type="list">
      <formula1>"Critical,High,Medium,Low"</formula1>
    </dataValidation>
    <dataValidation sqref="N8 N9 N10 N11 N12 N13 N14 N15 N16 N17 N18 N19 N20 N21 N22 N23 N24 N25 N26 N27 N28 N29 N30 N31 N32 N33 N34 N35 N36 N37 N38 N39 N40 N41 N42 N43 N44 N45 N46 N47" showDropDown="0" showInputMessage="0" showErrorMessage="0" allowBlank="0" type="list">
      <formula1>"Yes,No,Unknown"</formula1>
    </dataValidation>
    <dataValidation sqref="H8 H9 H10 H11 H12 H13 H14 H15 H16 H17 H18 H19 H20 H21 H22 H23 H24 H25 H26 H27 H28 H29 H30 H31 H32 H33 H34 H35 H36 H37 H38 H39 H40 H41 H42 H43 H44 H45 H46 H47" showDropDown="0" showInputMessage="0" showErrorMessage="0" allowBlank="0" type="list">
      <formula1>"Yes,No,Pending"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8"/>
  <sheetViews>
    <sheetView workbookViewId="0">
      <selection activeCell="A1" sqref="A1"/>
    </sheetView>
  </sheetViews>
  <sheetFormatPr baseColWidth="8" defaultRowHeight="15"/>
  <cols>
    <col width="3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ht="40" customHeight="1">
      <c r="A1" s="1" t="inlineStr">
        <is>
          <t>MONITORING COVERAGE - SUMMARY DASHBOARD</t>
        </is>
      </c>
    </row>
    <row r="2" ht="25" customHeight="1">
      <c r="A2" s="2" t="inlineStr">
        <is>
          <t>Consolidated Coverage Assessment - ISMS-IMP-A.8.16.3</t>
        </is>
      </c>
    </row>
    <row r="4">
      <c r="A4" s="3" t="inlineStr">
        <is>
          <t>OVERALL COVERAGE SUMMARY</t>
        </is>
      </c>
    </row>
    <row r="5">
      <c r="A5" s="9" t="inlineStr">
        <is>
          <t>Metric</t>
        </is>
      </c>
      <c r="B5" s="12" t="n"/>
      <c r="C5" s="12" t="n"/>
      <c r="D5" s="12" t="n"/>
      <c r="E5" s="12" t="n"/>
      <c r="F5" s="12" t="n"/>
      <c r="G5" s="12" t="n"/>
      <c r="H5" s="12" t="n"/>
      <c r="I5" s="12" t="n"/>
      <c r="J5" s="12" t="n"/>
      <c r="K5" s="12" t="n"/>
      <c r="L5" s="12" t="n"/>
      <c r="M5" s="12" t="n"/>
      <c r="N5" s="12" t="n"/>
    </row>
    <row r="6" ht="25" customHeight="1">
      <c r="A6" s="6" t="inlineStr">
        <is>
          <t>Total Assets in Inventory</t>
        </is>
      </c>
    </row>
    <row r="7" ht="25" customHeight="1">
      <c r="A7" s="6" t="inlineStr">
        <is>
          <t>Assets Monitored</t>
        </is>
      </c>
    </row>
    <row r="8" ht="25" customHeight="1">
      <c r="A8" s="6" t="inlineStr">
        <is>
          <t>% Asset Coverage</t>
        </is>
      </c>
    </row>
    <row r="9" ht="25" customHeight="1">
      <c r="A9" s="6" t="inlineStr">
        <is>
          <t>Critical Assets - 100% Monitored</t>
        </is>
      </c>
    </row>
    <row r="10" ht="25" customHeight="1">
      <c r="A10" s="6" t="inlineStr">
        <is>
          <t>High Assets - % Monitored</t>
        </is>
      </c>
    </row>
    <row r="11" ht="25" customHeight="1">
      <c r="A11" s="6" t="inlineStr">
        <is>
          <t>Network Segments Monitored</t>
        </is>
      </c>
    </row>
    <row r="12" ht="25" customHeight="1">
      <c r="A12" s="6" t="inlineStr">
        <is>
          <t>Identity Systems Monitored</t>
        </is>
      </c>
    </row>
    <row r="13" ht="25" customHeight="1">
      <c r="A13" s="6" t="inlineStr">
        <is>
          <t>Applications Monitored</t>
        </is>
      </c>
    </row>
    <row r="14" ht="25" customHeight="1">
      <c r="A14" s="6" t="inlineStr">
        <is>
          <t>Total Gaps Identified</t>
        </is>
      </c>
    </row>
    <row r="15" ht="25" customHeight="1">
      <c r="A15" s="6" t="inlineStr">
        <is>
          <t>Critical Gaps Open</t>
        </is>
      </c>
    </row>
    <row r="20">
      <c r="A20" s="3" t="inlineStr">
        <is>
          <t>COMPLIANCE SUMMARY BY ASSESSMENT AREA</t>
        </is>
      </c>
    </row>
    <row r="21">
      <c r="A21" s="9" t="inlineStr">
        <is>
          <t>Assessment Area</t>
        </is>
      </c>
      <c r="B21" s="9" t="inlineStr">
        <is>
          <t>Compliant</t>
        </is>
      </c>
      <c r="C21" s="9" t="inlineStr">
        <is>
          <t>Partial</t>
        </is>
      </c>
      <c r="D21" s="9" t="inlineStr">
        <is>
          <t>Non-Compliant</t>
        </is>
      </c>
      <c r="E21" s="9" t="inlineStr">
        <is>
          <t>N/A</t>
        </is>
      </c>
      <c r="F21" s="9" t="inlineStr">
        <is>
          <t>Total Items</t>
        </is>
      </c>
      <c r="G21" s="9" t="inlineStr">
        <is>
          <t>Compliance %</t>
        </is>
      </c>
      <c r="H21" s="9" t="inlineStr">
        <is>
          <t>Status</t>
        </is>
      </c>
    </row>
    <row r="22" ht="25" customHeight="1">
      <c r="A22" s="18" t="inlineStr">
        <is>
          <t>1. Asset Coverage</t>
        </is>
      </c>
      <c r="B22">
        <f>COUNTIF('1. Asset Coverage'!W55:W69,"✅ Compliant")</f>
        <v/>
      </c>
      <c r="C22">
        <f>COUNTIF('1. Asset Coverage'!W55:W69,"⚠️ Partial")</f>
        <v/>
      </c>
      <c r="D22">
        <f>COUNTIF('1. Asset Coverage'!W55:W69,"❌ Non-Compliant")</f>
        <v/>
      </c>
      <c r="E22">
        <f>COUNTIF('1. Asset Coverage'!W55:W69,"N/A")</f>
        <v/>
      </c>
      <c r="F22" t="inlineStr">
        <is>
          <t>15</t>
        </is>
      </c>
      <c r="G22">
        <f>IF(F22&gt;0,ROUND(B22/(F22-E22)*100,1)&amp;"%","N/A")</f>
        <v/>
      </c>
      <c r="H22">
        <f>IF(G22="N/A","N/A",IF(VALUE(LEFT(G22,LEN(G22)-1))&gt;=80,"✅ Good",IF(VALUE(LEFT(G22,LEN(G22)-1))&gt;=60,"⚠️ Needs Work","❌ Critical")))</f>
        <v/>
      </c>
    </row>
    <row r="23" ht="25" customHeight="1">
      <c r="A23" s="18" t="inlineStr">
        <is>
          <t>2. Network Coverage</t>
        </is>
      </c>
      <c r="B23">
        <f>COUNTIF('2. Network Coverage'!T37:T46,"✅ Compliant")</f>
        <v/>
      </c>
      <c r="C23">
        <f>COUNTIF('2. Network Coverage'!T37:T46,"⚠️ Partial")</f>
        <v/>
      </c>
      <c r="D23">
        <f>COUNTIF('2. Network Coverage'!T37:T46,"❌ Non-Compliant")</f>
        <v/>
      </c>
      <c r="E23">
        <f>COUNTIF('2. Network Coverage'!T37:T46,"N/A")</f>
        <v/>
      </c>
      <c r="F23" t="inlineStr">
        <is>
          <t>10</t>
        </is>
      </c>
      <c r="G23">
        <f>IF(F23&gt;0,ROUND(B23/(F23-E23)*100,1)&amp;"%","N/A")</f>
        <v/>
      </c>
      <c r="H23">
        <f>IF(G23="N/A","N/A",IF(VALUE(LEFT(G23,LEN(G23)-1))&gt;=80,"✅ Good",IF(VALUE(LEFT(G23,LEN(G23)-1))&gt;=60,"⚠️ Needs Work","❌ Critical")))</f>
        <v/>
      </c>
    </row>
    <row r="24" ht="25" customHeight="1">
      <c r="A24" s="18" t="inlineStr">
        <is>
          <t>3. User/Identity Coverage</t>
        </is>
      </c>
      <c r="B24">
        <f>COUNTIF('3. User Identity Coverage'!S27:S41,"✅ Compliant")</f>
        <v/>
      </c>
      <c r="C24">
        <f>COUNTIF('3. User Identity Coverage'!S27:S41,"⚠️ Partial")</f>
        <v/>
      </c>
      <c r="D24">
        <f>COUNTIF('3. User Identity Coverage'!S27:S41,"❌ Non-Compliant")</f>
        <v/>
      </c>
      <c r="E24">
        <f>COUNTIF('3. User Identity Coverage'!S27:S41,"N/A")</f>
        <v/>
      </c>
      <c r="F24" t="inlineStr">
        <is>
          <t>15</t>
        </is>
      </c>
      <c r="G24">
        <f>IF(F24&gt;0,ROUND(B24/(F24-E24)*100,1)&amp;"%","N/A")</f>
        <v/>
      </c>
      <c r="H24">
        <f>IF(G24="N/A","N/A",IF(VALUE(LEFT(G24,LEN(G24)-1))&gt;=80,"✅ Good",IF(VALUE(LEFT(G24,LEN(G24)-1))&gt;=60,"⚠️ Needs Work","❌ Critical")))</f>
        <v/>
      </c>
    </row>
    <row r="25" ht="25" customHeight="1">
      <c r="A25" s="18" t="inlineStr">
        <is>
          <t>4. Application Coverage</t>
        </is>
      </c>
      <c r="B25">
        <f>COUNTIF('4. Application Coverage'!U37:U51,"✅ Compliant")</f>
        <v/>
      </c>
      <c r="C25">
        <f>COUNTIF('4. Application Coverage'!U37:U51,"⚠️ Partial")</f>
        <v/>
      </c>
      <c r="D25">
        <f>COUNTIF('4. Application Coverage'!U37:U51,"❌ Non-Compliant")</f>
        <v/>
      </c>
      <c r="E25">
        <f>COUNTIF('4. Application Coverage'!U37:U51,"N/A")</f>
        <v/>
      </c>
      <c r="F25" t="inlineStr">
        <is>
          <t>15</t>
        </is>
      </c>
      <c r="G25">
        <f>IF(F25&gt;0,ROUND(B25/(F25-E25)*100,1)&amp;"%","N/A")</f>
        <v/>
      </c>
      <c r="H25">
        <f>IF(G25="N/A","N/A",IF(VALUE(LEFT(G25,LEN(G25)-1))&gt;=80,"✅ Good",IF(VALUE(LEFT(G25,LEN(G25)-1))&gt;=60,"⚠️ Needs Work","❌ Critical")))</f>
        <v/>
      </c>
    </row>
    <row r="26" ht="25" customHeight="1">
      <c r="A26" s="18" t="inlineStr">
        <is>
          <t>5. Gap Management</t>
        </is>
      </c>
      <c r="B26">
        <f>COUNTIF('5. Gap Analysis'!R64:R78,"✅ Compliant")</f>
        <v/>
      </c>
      <c r="C26">
        <f>COUNTIF('5. Gap Analysis'!R64:R78,"⚠️ Partial")</f>
        <v/>
      </c>
      <c r="D26">
        <f>COUNTIF('5. Gap Analysis'!R64:R78,"❌ Non-Compliant")</f>
        <v/>
      </c>
      <c r="E26">
        <f>COUNTIF('5. Gap Analysis'!R64:R78,"N/A")</f>
        <v/>
      </c>
      <c r="F26" t="inlineStr">
        <is>
          <t>15</t>
        </is>
      </c>
      <c r="G26">
        <f>IF(F26&gt;0,ROUND(B26/(F26-E26)*100,1)&amp;"%","N/A")</f>
        <v/>
      </c>
      <c r="H26">
        <f>IF(G26="N/A","N/A",IF(VALUE(LEFT(G26,LEN(G26)-1))&gt;=80,"✅ Good",IF(VALUE(LEFT(G26,LEN(G26)-1))&gt;=60,"⚠️ Needs Work","❌ Critical")))</f>
        <v/>
      </c>
    </row>
    <row r="28">
      <c r="A28" s="19" t="inlineStr">
        <is>
          <t>OVERALL TOTAL</t>
        </is>
      </c>
      <c r="B28" s="19">
        <f>SUM(B22:B26)</f>
        <v/>
      </c>
      <c r="C28" s="19">
        <f>SUM(C22:C26)</f>
        <v/>
      </c>
      <c r="D28" s="19">
        <f>SUM(D22:D26)</f>
        <v/>
      </c>
      <c r="E28" s="19">
        <f>SUM(E22:E26)</f>
        <v/>
      </c>
      <c r="F28" s="19">
        <f>SUM(F22:F26)</f>
        <v/>
      </c>
      <c r="G28" s="19">
        <f>IF(F28&gt;0,ROUND(B28/(F28-E28)*100,1)&amp;"%","N/A")</f>
        <v/>
      </c>
      <c r="H28" s="19">
        <f>IF(G28="N/A","N/A",IF(VALUE(LEFT(G28,LEN(G28)-1))&gt;=80,"✅ Good",IF(VALUE(LEFT(G28,LEN(G28)-1))&gt;=60,"⚠️ Needs Work","❌ Critical")))</f>
        <v/>
      </c>
    </row>
  </sheetData>
  <mergeCells count="48">
    <mergeCell ref="C10:K10"/>
    <mergeCell ref="B7:I7"/>
    <mergeCell ref="C9:K9"/>
    <mergeCell ref="D10:N10"/>
    <mergeCell ref="A12:F12"/>
    <mergeCell ref="C12:K12"/>
    <mergeCell ref="A1:N1"/>
    <mergeCell ref="B12:I12"/>
    <mergeCell ref="C11:K11"/>
    <mergeCell ref="D6:N6"/>
    <mergeCell ref="B11:I11"/>
    <mergeCell ref="A14:F14"/>
    <mergeCell ref="A5:F5"/>
    <mergeCell ref="A8:F8"/>
    <mergeCell ref="D11:N11"/>
    <mergeCell ref="B14:I14"/>
    <mergeCell ref="C8:K8"/>
    <mergeCell ref="D13:N13"/>
    <mergeCell ref="B8:I8"/>
    <mergeCell ref="C7:K7"/>
    <mergeCell ref="B13:I13"/>
    <mergeCell ref="A10:F10"/>
    <mergeCell ref="A13:F13"/>
    <mergeCell ref="D7:N7"/>
    <mergeCell ref="A2:N2"/>
    <mergeCell ref="A9:F9"/>
    <mergeCell ref="B10:I10"/>
    <mergeCell ref="C13:K13"/>
    <mergeCell ref="A15:F15"/>
    <mergeCell ref="C6:K6"/>
    <mergeCell ref="B9:I9"/>
    <mergeCell ref="D9:N9"/>
    <mergeCell ref="A11:F11"/>
    <mergeCell ref="D12:N12"/>
    <mergeCell ref="C15:K15"/>
    <mergeCell ref="D8:N8"/>
    <mergeCell ref="B15:I15"/>
    <mergeCell ref="C5:K5"/>
    <mergeCell ref="A4:N4"/>
    <mergeCell ref="B6:I6"/>
    <mergeCell ref="A20:N20"/>
    <mergeCell ref="C14:K14"/>
    <mergeCell ref="D15:N15"/>
    <mergeCell ref="A6:F6"/>
    <mergeCell ref="B5:I5"/>
    <mergeCell ref="D5:N5"/>
    <mergeCell ref="D14:N14"/>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2026-02-08T10:49:47Z</dcterms:created>
  <dcterms:modified xmlns:dcterms="http://purl.org/dc/terms/" xmlns:xsi="http://www.w3.org/2001/XMLSchema-instance" xsi:type="dcterms:W3CDTF">2026-02-08T10:49:48Z</dcterms:modified>
</cp:coreProperties>
</file>