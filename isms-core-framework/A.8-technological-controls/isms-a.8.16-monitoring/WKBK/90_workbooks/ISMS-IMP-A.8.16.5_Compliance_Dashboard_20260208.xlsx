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mpliance Matrix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Gap Remediation Tracker" sheetId="5" state="visible" r:id="rId5"/>
    <sheet xmlns:r="http://schemas.openxmlformats.org/officeDocument/2006/relationships" name="Trend Analysis" sheetId="6" state="visible" r:id="rId6"/>
    <sheet xmlns:r="http://schemas.openxmlformats.org/officeDocument/2006/relationships" name="Evidence &amp; Approv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b val="1"/>
      <sz val="11"/>
    </font>
    <font>
      <i val="1"/>
      <color rgb="00666666"/>
    </font>
    <font>
      <name val="Calibri"/>
      <b val="1"/>
      <color rgb="00FFFFFF"/>
      <sz val="12"/>
    </font>
    <font>
      <name val="Calibri"/>
      <b val="1"/>
      <sz val="10"/>
    </font>
    <font>
      <b val="1"/>
      <color rgb="00FFFFFF"/>
      <sz val="11"/>
    </font>
    <font>
      <color rgb="00C00000"/>
    </font>
    <font>
      <b val="1"/>
      <color rgb="000000FF"/>
    </font>
    <font>
      <name val="Calibri"/>
      <b val="1"/>
      <color rgb="00FFFFFF"/>
      <sz val="11"/>
    </font>
    <font>
      <b val="1"/>
      <color rgb="000000FF"/>
      <sz val="11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9" borderId="0" applyAlignment="1" pivotButton="0" quotePrefix="0" xfId="0">
      <alignment horizontal="center"/>
    </xf>
    <xf numFmtId="0" fontId="10" fillId="0" borderId="0" pivotButton="0" quotePrefix="0" xfId="0"/>
    <xf numFmtId="0" fontId="11" fillId="0" borderId="1" pivotButton="0" quotePrefix="0" xfId="0"/>
    <xf numFmtId="0" fontId="12" fillId="10" borderId="0" applyAlignment="1" pivotButton="0" quotePrefix="0" xfId="0">
      <alignment horizontal="center" vertical="center" wrapText="1"/>
    </xf>
    <xf numFmtId="164" fontId="11" fillId="0" borderId="1" pivotButton="0" quotePrefix="0" xfId="0"/>
    <xf numFmtId="0" fontId="3" fillId="0" borderId="1" pivotButton="0" quotePrefix="0" xfId="0"/>
    <xf numFmtId="0" fontId="5" fillId="11" borderId="1" pivotButton="0" quotePrefix="0" xfId="0"/>
    <xf numFmtId="0" fontId="3" fillId="11" borderId="1" pivotButton="0" quotePrefix="0" xfId="0"/>
    <xf numFmtId="164" fontId="13" fillId="11" borderId="1" pivotButton="0" quotePrefix="0" xfId="0"/>
    <xf numFmtId="0" fontId="0" fillId="11" borderId="1" pivotButton="0" quotePrefix="0" xfId="0"/>
    <xf numFmtId="0" fontId="14" fillId="5" borderId="0" pivotButton="0" quotePrefix="0" xfId="0"/>
    <xf numFmtId="0" fontId="0" fillId="0" borderId="1" applyAlignment="1" pivotButton="0" quotePrefix="0" xfId="0">
      <alignment horizontal="center"/>
    </xf>
    <xf numFmtId="0" fontId="12" fillId="9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 ht="50" customHeight="1">
      <c r="A1" s="1" t="inlineStr">
        <is>
          <t>ISMS-IMP-A.8.16.5 – Monitoring Activities Compliance Dashboard
ISO/IEC 27001:2022 - Control A.8.16: Monitoring Activities - Master Compliance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ISMS-IMP-A.8.16.5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ISMS-POL-A.8.16 (Monitoring Activities)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Organization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Purpose</t>
        </is>
      </c>
    </row>
    <row r="17">
      <c r="A17" s="7" t="inlineStr">
        <is>
          <t>This dashboard aggregates compliance data from four assessment workbooks to provide executive oversight of the organization's monitoring activities program per ISO/IEC 27001:2022 Control A.8.16.</t>
        </is>
      </c>
    </row>
    <row r="20">
      <c r="A20" s="6" t="inlineStr">
        <is>
          <t>Source Assessment Workbooks</t>
        </is>
      </c>
    </row>
    <row r="21">
      <c r="A21" s="3" t="inlineStr">
        <is>
          <t>ISMS-IMP-A.8.16.1</t>
        </is>
      </c>
      <c r="B21" t="inlineStr">
        <is>
          <t>Monitoring Infrastructure Assessment</t>
        </is>
      </c>
      <c r="C21" t="inlineStr">
        <is>
          <t>Log sources, SIEM, tools</t>
        </is>
      </c>
    </row>
    <row r="22">
      <c r="A22" s="3" t="inlineStr">
        <is>
          <t>ISMS-IMP-A.8.16.2</t>
        </is>
      </c>
      <c r="B22" t="inlineStr">
        <is>
          <t>Baseline &amp; Detection Assessment</t>
        </is>
      </c>
      <c r="C22" t="inlineStr">
        <is>
          <t>Baselines, detection rules</t>
        </is>
      </c>
    </row>
    <row r="23">
      <c r="A23" s="3" t="inlineStr">
        <is>
          <t>ISMS-IMP-A.8.16.3</t>
        </is>
      </c>
      <c r="B23" t="inlineStr">
        <is>
          <t>Coverage Assessment</t>
        </is>
      </c>
      <c r="C23" t="inlineStr">
        <is>
          <t>Asset coverage, monitoring scope</t>
        </is>
      </c>
    </row>
    <row r="24">
      <c r="A24" s="3" t="inlineStr">
        <is>
          <t>ISMS-IMP-A.8.16.4</t>
        </is>
      </c>
      <c r="B24" t="inlineStr">
        <is>
          <t>Alert Management Assessment</t>
        </is>
      </c>
      <c r="C24" t="inlineStr">
        <is>
          <t>Alerting, response, escalation</t>
        </is>
      </c>
    </row>
    <row r="27">
      <c r="A27" s="6" t="inlineStr">
        <is>
          <t>How to Use This Dashboard</t>
        </is>
      </c>
    </row>
    <row r="28">
      <c r="A28" t="inlineStr">
        <is>
          <t>1. PREREQUISITE: Run normalization script first:</t>
        </is>
      </c>
    </row>
    <row r="29">
      <c r="A29" s="8" t="inlineStr">
        <is>
          <t xml:space="preserve">   python3 normalize_assessment_files_a816.py</t>
        </is>
      </c>
    </row>
    <row r="30">
      <c r="A30" t="inlineStr"/>
    </row>
    <row r="31">
      <c r="A31" t="inlineStr">
        <is>
          <t>2. Place this dashboard in the Dashboard_Sources folder with normalized files</t>
        </is>
      </c>
    </row>
    <row r="32">
      <c r="A32" t="inlineStr"/>
    </row>
    <row r="33">
      <c r="A33" t="inlineStr">
        <is>
          <t>3. Open dashboard and click 'Update Links' when prompted</t>
        </is>
      </c>
    </row>
    <row r="34">
      <c r="A34" t="inlineStr"/>
    </row>
    <row r="35">
      <c r="A35" t="inlineStr">
        <is>
          <t>4. Executive Summary will auto-populate with current compliance data</t>
        </is>
      </c>
    </row>
    <row r="36">
      <c r="A36" t="inlineStr"/>
    </row>
    <row r="37">
      <c r="A37" t="inlineStr">
        <is>
          <t>5. Review compliance metrics and gaps across all assessment areas</t>
        </is>
      </c>
    </row>
    <row r="38">
      <c r="A38" t="inlineStr"/>
    </row>
    <row r="39">
      <c r="A39" t="inlineStr">
        <is>
          <t>6. Complete manual sections (Gap Remediation, Trend Analysis, Evidence)</t>
        </is>
      </c>
    </row>
    <row r="40">
      <c r="A40" t="inlineStr"/>
    </row>
    <row r="41">
      <c r="A41" t="inlineStr">
        <is>
          <t>7. Obtain approvals via Evidence &amp; Approvals sheet</t>
        </is>
      </c>
    </row>
    <row r="44">
      <c r="A44" s="9" t="inlineStr">
        <is>
          <t>LEGEND</t>
        </is>
      </c>
    </row>
    <row r="45">
      <c r="A45" s="10" t="inlineStr">
        <is>
          <t>Symbol</t>
        </is>
      </c>
      <c r="B45" s="10" t="inlineStr">
        <is>
          <t>Status</t>
        </is>
      </c>
      <c r="C45" s="10" t="inlineStr">
        <is>
          <t>Meaning</t>
        </is>
      </c>
      <c r="D45" s="10" t="inlineStr">
        <is>
          <t>When to Use</t>
        </is>
      </c>
    </row>
    <row r="46">
      <c r="A46" s="11" t="inlineStr">
        <is>
          <t>✅</t>
        </is>
      </c>
      <c r="B46" s="11" t="inlineStr">
        <is>
          <t>Compliant</t>
        </is>
      </c>
      <c r="C46" s="11" t="inlineStr">
        <is>
          <t>Requirement fully met</t>
        </is>
      </c>
      <c r="D46" s="11" t="inlineStr">
        <is>
          <t>All controls implemented and effective</t>
        </is>
      </c>
    </row>
    <row r="47">
      <c r="A47" s="11" t="inlineStr">
        <is>
          <t>⚠️</t>
        </is>
      </c>
      <c r="B47" s="11" t="inlineStr">
        <is>
          <t>Partial</t>
        </is>
      </c>
      <c r="C47" s="11" t="inlineStr">
        <is>
          <t>Requirement partially met</t>
        </is>
      </c>
      <c r="D47" s="11" t="inlineStr">
        <is>
          <t>Some controls in place, gaps remain</t>
        </is>
      </c>
    </row>
    <row r="48">
      <c r="A48" s="11" t="inlineStr">
        <is>
          <t>❌</t>
        </is>
      </c>
      <c r="B48" s="11" t="inlineStr">
        <is>
          <t>Non-Compliant</t>
        </is>
      </c>
      <c r="C48" s="11" t="inlineStr">
        <is>
          <t>Requirement not met</t>
        </is>
      </c>
      <c r="D48" s="11" t="inlineStr">
        <is>
          <t>Controls absent or ineffective</t>
        </is>
      </c>
    </row>
    <row r="49">
      <c r="A49" s="11" t="inlineStr">
        <is>
          <t>N/A</t>
        </is>
      </c>
      <c r="B49" s="11" t="inlineStr">
        <is>
          <t>Not Applicable</t>
        </is>
      </c>
      <c r="C49" s="11" t="inlineStr">
        <is>
          <t>Requirement does not apply</t>
        </is>
      </c>
      <c r="D49" s="11" t="inlineStr">
        <is>
          <t>Requirement not relevant to environment</t>
        </is>
      </c>
    </row>
    <row r="52">
      <c r="A52" s="6" t="inlineStr">
        <is>
          <t>Color Coding</t>
        </is>
      </c>
    </row>
    <row r="53">
      <c r="A53" s="12" t="inlineStr">
        <is>
          <t>Yellow cells</t>
        </is>
      </c>
      <c r="B53" t="inlineStr">
        <is>
          <t>User input required</t>
        </is>
      </c>
    </row>
    <row r="54">
      <c r="A54" s="13" t="inlineStr">
        <is>
          <t>Gray cells</t>
        </is>
      </c>
      <c r="B54" t="inlineStr">
        <is>
          <t>Auto-calculated (formulas)</t>
        </is>
      </c>
    </row>
    <row r="55">
      <c r="A55" s="14" t="inlineStr">
        <is>
          <t>Green cells</t>
        </is>
      </c>
      <c r="B55" t="inlineStr">
        <is>
          <t>Compliant status</t>
        </is>
      </c>
    </row>
    <row r="56">
      <c r="A56" s="15" t="inlineStr">
        <is>
          <t>Yellow cells</t>
        </is>
      </c>
      <c r="B56" t="inlineStr">
        <is>
          <t>Partial/Warning status</t>
        </is>
      </c>
    </row>
    <row r="57">
      <c r="A57" s="16" t="inlineStr">
        <is>
          <t>Red cells</t>
        </is>
      </c>
      <c r="B57" t="inlineStr">
        <is>
          <t>Non-compliant/Critical status</t>
        </is>
      </c>
    </row>
    <row r="60">
      <c r="A60" s="17" t="inlineStr">
        <is>
          <t>IMPORTANT NOTES</t>
        </is>
      </c>
    </row>
    <row r="61">
      <c r="A61" s="18" t="inlineStr">
        <is>
          <t>• External Links: This dashboard uses Excel external links to source workbooks</t>
        </is>
      </c>
    </row>
    <row r="62">
      <c r="A62" s="18" t="inlineStr">
        <is>
          <t>• File Location: Keep dashboard and source files in the same directory</t>
        </is>
      </c>
    </row>
    <row r="63">
      <c r="A63" s="18" t="inlineStr">
        <is>
          <t>• Update Links: Always click 'Update Links' when opening the dashboard</t>
        </is>
      </c>
    </row>
    <row r="64">
      <c r="A64" s="18" t="inlineStr">
        <is>
          <t>• Data Integrity: Do not modify source workbook filenames after normalization</t>
        </is>
      </c>
    </row>
    <row r="65">
      <c r="A65" s="18" t="inlineStr">
        <is>
          <t>• Backup: Maintain backups of source assessment workbooks</t>
        </is>
      </c>
    </row>
    <row r="66">
      <c r="A66" s="18" t="inlineStr">
        <is>
          <t>• Version Control: Track dashboard versions when compliance data changes</t>
        </is>
      </c>
    </row>
  </sheetData>
  <mergeCells count="4">
    <mergeCell ref="A60:G60"/>
    <mergeCell ref="A44:G44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50" customHeight="1">
      <c r="A1" s="1" t="inlineStr">
        <is>
          <t>MONITORING ACTIVITIES - EXECUTIVE SUMMARY
ISO/IEC 27001:2022 Control A.8.16 Compliance Status</t>
        </is>
      </c>
    </row>
    <row r="3">
      <c r="A3" s="2" t="inlineStr">
        <is>
          <t>Document Information</t>
        </is>
      </c>
    </row>
    <row r="4">
      <c r="A4" s="3" t="inlineStr">
        <is>
          <t>Dashboard ID</t>
        </is>
      </c>
      <c r="B4" t="inlineStr">
        <is>
          <t>ISMS-IMP-A.8.16.5</t>
        </is>
      </c>
    </row>
    <row r="5">
      <c r="A5" s="3" t="inlineStr">
        <is>
          <t>Assessment Date</t>
        </is>
      </c>
      <c r="B5" s="4" t="inlineStr"/>
    </row>
    <row r="6">
      <c r="A6" s="3" t="inlineStr">
        <is>
          <t>Reporting Period</t>
        </is>
      </c>
      <c r="B6" s="4" t="inlineStr"/>
    </row>
    <row r="7">
      <c r="A7" s="3" t="inlineStr">
        <is>
          <t>Next Review</t>
        </is>
      </c>
      <c r="B7" s="4" t="inlineStr"/>
    </row>
    <row r="8">
      <c r="A8" s="3" t="inlineStr">
        <is>
          <t>Prepared By</t>
        </is>
      </c>
      <c r="B8" s="4" t="inlineStr"/>
    </row>
    <row r="11">
      <c r="A11" s="9" t="inlineStr">
        <is>
          <t>OVERALL MONITORING COMPLIANCE STATUS</t>
        </is>
      </c>
    </row>
    <row r="12">
      <c r="A12" s="10" t="inlineStr">
        <is>
          <t>Metric</t>
        </is>
      </c>
      <c r="B12" s="10" t="inlineStr">
        <is>
          <t>Score</t>
        </is>
      </c>
      <c r="C12" s="10" t="inlineStr">
        <is>
          <t>Target</t>
        </is>
      </c>
      <c r="D12" s="10" t="inlineStr">
        <is>
          <t>Status</t>
        </is>
      </c>
    </row>
    <row r="13">
      <c r="A13" s="11" t="inlineStr">
        <is>
          <t>Overall Compliance Rate</t>
        </is>
      </c>
      <c r="B13" s="19">
        <f>AVERAGE(C17:C20)</f>
        <v/>
      </c>
      <c r="C13" s="11" t="inlineStr">
        <is>
          <t>≥95%</t>
        </is>
      </c>
      <c r="D13" s="11" t="inlineStr"/>
    </row>
    <row r="14">
      <c r="A14" s="11" t="inlineStr">
        <is>
          <t>Critical Gaps</t>
        </is>
      </c>
      <c r="B14" s="19">
        <f>COUNTIFS('Compliance Matrix'!I:I,"Critical",'Compliance Matrix'!F:F,"❌ Non-Compliant")</f>
        <v/>
      </c>
      <c r="C14" s="11" t="inlineStr">
        <is>
          <t>0</t>
        </is>
      </c>
      <c r="D14" s="11" t="inlineStr"/>
    </row>
    <row r="15">
      <c r="A15" s="11" t="inlineStr">
        <is>
          <t>High-Risk Items</t>
        </is>
      </c>
      <c r="B15" s="19">
        <f>COUNTIFS('Gap Remediation Tracker'!E:E,"High",'Gap Remediation Tracker'!K:K,"&lt;&gt;Resolved")</f>
        <v/>
      </c>
      <c r="C15" s="11" t="inlineStr">
        <is>
          <t>≤5</t>
        </is>
      </c>
      <c r="D15" s="11" t="inlineStr"/>
    </row>
    <row r="16">
      <c r="A16" s="11" t="inlineStr">
        <is>
          <t>Remediation Progress</t>
        </is>
      </c>
      <c r="B16" s="19">
        <f>'Gap Remediation Tracker'!L3</f>
        <v/>
      </c>
      <c r="C16" s="11" t="inlineStr">
        <is>
          <t>≥80%</t>
        </is>
      </c>
      <c r="D16" s="11" t="inlineStr"/>
    </row>
    <row r="19">
      <c r="A19" s="20" t="inlineStr">
        <is>
          <t>COMPLIANCE BY ASSESSMENT AREA</t>
        </is>
      </c>
    </row>
    <row r="20">
      <c r="A20" s="10" t="inlineStr">
        <is>
          <t>Assessment</t>
        </is>
      </c>
      <c r="B20" s="10" t="inlineStr">
        <is>
          <t>Domain</t>
        </is>
      </c>
      <c r="C20" s="10" t="inlineStr">
        <is>
          <t>Compliance %</t>
        </is>
      </c>
      <c r="D20" s="10" t="inlineStr">
        <is>
          <t>Status</t>
        </is>
      </c>
      <c r="E20" s="10" t="inlineStr">
        <is>
          <t>Trend</t>
        </is>
      </c>
    </row>
    <row r="21">
      <c r="A21" s="11" t="inlineStr">
        <is>
          <t>IMP-A.8.16.1</t>
        </is>
      </c>
      <c r="B21" s="11" t="inlineStr">
        <is>
          <t>Infrastructure</t>
        </is>
      </c>
      <c r="C21" s="21">
        <f>[ISMS-IMP-A.8.16.1.xlsx]'Summary Dashboard'!$B$13/($F$13-$E$13)*100</f>
        <v/>
      </c>
      <c r="D21" s="22">
        <f>IF(C17&gt;=95,"✅ Compliant",IF(C17&gt;=80,"⚠️ Partial","❌ Non-Compliant"))</f>
        <v/>
      </c>
      <c r="E21" s="11" t="inlineStr">
        <is>
          <t>→</t>
        </is>
      </c>
    </row>
    <row r="22">
      <c r="A22" s="11" t="inlineStr">
        <is>
          <t>IMP-A.8.16.2</t>
        </is>
      </c>
      <c r="B22" s="11" t="inlineStr">
        <is>
          <t>Baseline &amp; Detection</t>
        </is>
      </c>
      <c r="C22" s="21">
        <f>[ISMS-IMP-A.8.16.2.xlsx]'Summary Dashboard'!$B$13/($F$13-$E$13)*100</f>
        <v/>
      </c>
      <c r="D22" s="22">
        <f>IF(C18&gt;=95,"✅ Compliant",IF(C18&gt;=80,"⚠️ Partial","❌ Non-Compliant"))</f>
        <v/>
      </c>
      <c r="E22" s="11" t="inlineStr">
        <is>
          <t>→</t>
        </is>
      </c>
    </row>
    <row r="23">
      <c r="A23" s="11" t="inlineStr">
        <is>
          <t>IMP-A.8.16.3</t>
        </is>
      </c>
      <c r="B23" s="11" t="inlineStr">
        <is>
          <t>Coverage</t>
        </is>
      </c>
      <c r="C23" s="21">
        <f>[ISMS-IMP-A.8.16.3.xlsx]'Summary Dashboard'!$B$13/($F$13-$E$13)*100</f>
        <v/>
      </c>
      <c r="D23" s="22">
        <f>IF(C19&gt;=95,"✅ Compliant",IF(C19&gt;=80,"⚠️ Partial","❌ Non-Compliant"))</f>
        <v/>
      </c>
      <c r="E23" s="11" t="inlineStr">
        <is>
          <t>↑</t>
        </is>
      </c>
    </row>
    <row r="24">
      <c r="A24" s="11" t="inlineStr">
        <is>
          <t>IMP-A.8.16.4</t>
        </is>
      </c>
      <c r="B24" s="11" t="inlineStr">
        <is>
          <t>Alert Management</t>
        </is>
      </c>
      <c r="C24" s="21">
        <f>[ISMS-IMP-A.8.16.4.xlsx]'Summary Dashboard'!$B$13/($F$13-$E$13)*100</f>
        <v/>
      </c>
      <c r="D24" s="22">
        <f>IF(C20&gt;=95,"✅ Compliant",IF(C20&gt;=80,"⚠️ Partial","❌ Non-Compliant"))</f>
        <v/>
      </c>
      <c r="E24" s="11" t="inlineStr">
        <is>
          <t>↑</t>
        </is>
      </c>
    </row>
    <row r="25">
      <c r="A25" s="23" t="inlineStr">
        <is>
          <t>OVERALL</t>
        </is>
      </c>
      <c r="B25" s="24" t="inlineStr">
        <is>
          <t>All Domains</t>
        </is>
      </c>
      <c r="C25" s="25">
        <f>AVERAGE(C17:C20)</f>
        <v/>
      </c>
      <c r="D25" s="23">
        <f>IF(C21&gt;=95,"✅ Compliant",IF(C21&gt;=80,"⚠️ Partial","❌ Non-Compliant"))</f>
        <v/>
      </c>
      <c r="E25" s="26" t="inlineStr">
        <is>
          <t>→</t>
        </is>
      </c>
    </row>
    <row r="28">
      <c r="A28" s="9" t="inlineStr">
        <is>
          <t>CRITICAL METRICS SUMMARY</t>
        </is>
      </c>
    </row>
    <row r="29">
      <c r="A29" s="10" t="inlineStr">
        <is>
          <t>Metric</t>
        </is>
      </c>
      <c r="B29" s="10" t="inlineStr">
        <is>
          <t>Current</t>
        </is>
      </c>
      <c r="C29" s="10" t="inlineStr">
        <is>
          <t>Target</t>
        </is>
      </c>
      <c r="D29" s="10" t="inlineStr">
        <is>
          <t>Status</t>
        </is>
      </c>
    </row>
    <row r="30">
      <c r="A30" s="27" t="inlineStr">
        <is>
          <t>COVERAGE METRICS</t>
        </is>
      </c>
    </row>
    <row r="31">
      <c r="A31" s="11" t="inlineStr">
        <is>
          <t>Critical Systems Monitored</t>
        </is>
      </c>
      <c r="B31" s="4" t="inlineStr"/>
      <c r="C31" s="11" t="inlineStr">
        <is>
          <t>100%</t>
        </is>
      </c>
      <c r="D31" s="22">
        <f>IF(B28&gt;=100,"✅",IF(B28&gt;=80,"⚠️","❌"))</f>
        <v/>
      </c>
    </row>
    <row r="32">
      <c r="A32" s="11" t="inlineStr">
        <is>
          <t>Overall System Coverage</t>
        </is>
      </c>
      <c r="B32" s="4" t="inlineStr"/>
      <c r="C32" s="11" t="inlineStr">
        <is>
          <t>&gt;80%</t>
        </is>
      </c>
      <c r="D32" s="22">
        <f>IF(B29&gt;=80,"✅",IF(B29&gt;=60,"⚠️","❌"))</f>
        <v/>
      </c>
    </row>
    <row r="33">
      <c r="A33" s="11" t="inlineStr">
        <is>
          <t>Network Segment Coverage</t>
        </is>
      </c>
      <c r="B33" s="4" t="inlineStr"/>
      <c r="C33" s="11" t="inlineStr">
        <is>
          <t>100%</t>
        </is>
      </c>
      <c r="D33" s="22">
        <f>IF(B30&gt;=100,"✅",IF(B30&gt;=80,"⚠️","❌"))</f>
        <v/>
      </c>
    </row>
    <row r="35">
      <c r="A35" s="27" t="inlineStr">
        <is>
          <t>DETECTION METRICS</t>
        </is>
      </c>
    </row>
    <row r="36">
      <c r="A36" s="11" t="inlineStr">
        <is>
          <t>Baseline Coverage (Critical)</t>
        </is>
      </c>
      <c r="B36" s="4" t="inlineStr"/>
      <c r="C36" s="11" t="inlineStr">
        <is>
          <t>100%</t>
        </is>
      </c>
      <c r="D36" s="22">
        <f>IF(B33&gt;=100,"✅",IF(B33&gt;=80,"⚠️","❌"))</f>
        <v/>
      </c>
    </row>
    <row r="37">
      <c r="A37" s="11" t="inlineStr">
        <is>
          <t>Detection Rate</t>
        </is>
      </c>
      <c r="B37" s="4" t="inlineStr"/>
      <c r="C37" s="11" t="inlineStr">
        <is>
          <t>&gt;90%</t>
        </is>
      </c>
      <c r="D37" s="22">
        <f>IF(B34&gt;=90,"✅",IF(B34&gt;=70,"⚠️","❌"))</f>
        <v/>
      </c>
    </row>
    <row r="38">
      <c r="A38" s="11" t="inlineStr">
        <is>
          <t>False Positive Rate</t>
        </is>
      </c>
      <c r="B38" s="4" t="inlineStr"/>
      <c r="C38" s="11" t="inlineStr">
        <is>
          <t>&lt;25%</t>
        </is>
      </c>
      <c r="D38" s="22">
        <f>IF(B35&lt;=25,"✅",IF(B35&lt;=40,"⚠️","❌"))</f>
        <v/>
      </c>
    </row>
    <row r="40">
      <c r="A40" s="27" t="inlineStr">
        <is>
          <t>RESPONSE METRICS</t>
        </is>
      </c>
    </row>
    <row r="41">
      <c r="A41" s="11" t="inlineStr">
        <is>
          <t>MTTD (Critical Alerts)</t>
        </is>
      </c>
      <c r="B41" s="4" t="inlineStr"/>
      <c r="C41" s="11" t="inlineStr">
        <is>
          <t>&lt;5 min</t>
        </is>
      </c>
      <c r="D41" s="22">
        <f>IF(B38&lt;=5,"✅",IF(B38&lt;=15,"⚠️","❌"))</f>
        <v/>
      </c>
    </row>
    <row r="42">
      <c r="A42" s="11" t="inlineStr">
        <is>
          <t>MTTR (Critical Incidents)</t>
        </is>
      </c>
      <c r="B42" s="4" t="inlineStr"/>
      <c r="C42" s="11" t="inlineStr">
        <is>
          <t>&lt;8 hrs</t>
        </is>
      </c>
      <c r="D42" s="22">
        <f>IF(B39&lt;=8,"✅",IF(B39&lt;=24,"⚠️","❌"))</f>
        <v/>
      </c>
    </row>
    <row r="43">
      <c r="A43" s="11" t="inlineStr">
        <is>
          <t>SLA Compliance</t>
        </is>
      </c>
      <c r="B43" s="4" t="inlineStr"/>
      <c r="C43" s="11" t="inlineStr">
        <is>
          <t>&gt;95%</t>
        </is>
      </c>
      <c r="D43" s="22">
        <f>IF(B40&gt;=95,"✅",IF(B40&gt;=85,"⚠️","❌"))</f>
        <v/>
      </c>
    </row>
    <row r="45">
      <c r="A45" s="27" t="inlineStr">
        <is>
          <t>OPERATIONAL METRICS</t>
        </is>
      </c>
    </row>
    <row r="46">
      <c r="A46" s="11" t="inlineStr">
        <is>
          <t>Log Sources Integrated</t>
        </is>
      </c>
      <c r="B46" s="4" t="inlineStr"/>
      <c r="C46" s="11" t="inlineStr">
        <is>
          <t>Target</t>
        </is>
      </c>
      <c r="D46" s="22">
        <f>IF(ISNUMBER(B43),IF(B43&gt;=ISNUMBER(C43),"✅","⚠️"),"")</f>
        <v/>
      </c>
    </row>
    <row r="47">
      <c r="A47" s="11" t="inlineStr">
        <is>
          <t>Active Detection Rules</t>
        </is>
      </c>
      <c r="B47" s="4" t="inlineStr"/>
      <c r="C47" s="11" t="inlineStr">
        <is>
          <t>Target</t>
        </is>
      </c>
      <c r="D47" s="22">
        <f>IF(ISNUMBER(B44),IF(B44&gt;=ISNUMBER(C44),"✅","⚠️"),"")</f>
        <v/>
      </c>
    </row>
    <row r="48">
      <c r="A48" s="11" t="inlineStr">
        <is>
          <t>SOC Analyst Coverage</t>
        </is>
      </c>
      <c r="B48" s="4" t="inlineStr"/>
      <c r="C48" s="11" t="inlineStr">
        <is>
          <t>24/7</t>
        </is>
      </c>
      <c r="D48" s="22">
        <f>IF(B45="24/7","✅","❌")</f>
        <v/>
      </c>
    </row>
    <row r="51">
      <c r="A51" s="20" t="inlineStr">
        <is>
          <t>TOP 5 STRENGTHS</t>
        </is>
      </c>
    </row>
    <row r="52">
      <c r="A52" s="10" t="inlineStr">
        <is>
          <t>Rank</t>
        </is>
      </c>
      <c r="B52" s="10" t="inlineStr">
        <is>
          <t>Strength</t>
        </is>
      </c>
      <c r="C52" s="10" t="inlineStr">
        <is>
          <t>Evidence</t>
        </is>
      </c>
    </row>
    <row r="53">
      <c r="A53" s="28" t="n">
        <v>1</v>
      </c>
      <c r="B53" s="4" t="n"/>
      <c r="C53" s="4" t="n"/>
    </row>
    <row r="54">
      <c r="A54" s="28" t="n">
        <v>2</v>
      </c>
      <c r="B54" s="4" t="n"/>
      <c r="C54" s="4" t="n"/>
    </row>
    <row r="55">
      <c r="A55" s="28" t="n">
        <v>3</v>
      </c>
      <c r="B55" s="4" t="n"/>
      <c r="C55" s="4" t="n"/>
    </row>
    <row r="56">
      <c r="A56" s="28" t="n">
        <v>4</v>
      </c>
      <c r="B56" s="4" t="n"/>
      <c r="C56" s="4" t="n"/>
    </row>
    <row r="57">
      <c r="A57" s="28" t="n">
        <v>5</v>
      </c>
      <c r="B57" s="4" t="n"/>
      <c r="C57" s="4" t="n"/>
    </row>
    <row r="60">
      <c r="A60" s="29" t="inlineStr">
        <is>
          <t>TOP 5 CRITICAL GAPS</t>
        </is>
      </c>
    </row>
    <row r="61">
      <c r="A61" s="10" t="inlineStr">
        <is>
          <t>Priority</t>
        </is>
      </c>
      <c r="B61" s="10" t="inlineStr">
        <is>
          <t>Gap Description</t>
        </is>
      </c>
      <c r="C61" s="10" t="inlineStr">
        <is>
          <t>Risk Level</t>
        </is>
      </c>
      <c r="D61" s="10" t="inlineStr">
        <is>
          <t>Remediation Target</t>
        </is>
      </c>
    </row>
    <row r="62">
      <c r="A62" s="11" t="inlineStr">
        <is>
          <t>Critical</t>
        </is>
      </c>
      <c r="B62" s="4" t="n"/>
      <c r="C62" s="4" t="n"/>
      <c r="D62" s="4" t="n"/>
    </row>
    <row r="63">
      <c r="A63" s="11" t="inlineStr">
        <is>
          <t>High</t>
        </is>
      </c>
      <c r="B63" s="4" t="n"/>
      <c r="C63" s="4" t="n"/>
      <c r="D63" s="4" t="n"/>
    </row>
    <row r="64">
      <c r="A64" s="11" t="inlineStr">
        <is>
          <t>High</t>
        </is>
      </c>
      <c r="B64" s="4" t="n"/>
      <c r="C64" s="4" t="n"/>
      <c r="D64" s="4" t="n"/>
    </row>
    <row r="65">
      <c r="A65" s="11" t="inlineStr">
        <is>
          <t>Medium</t>
        </is>
      </c>
      <c r="B65" s="4" t="n"/>
      <c r="C65" s="4" t="n"/>
      <c r="D65" s="4" t="n"/>
    </row>
    <row r="66">
      <c r="A66" s="11" t="inlineStr">
        <is>
          <t>Medium</t>
        </is>
      </c>
      <c r="B66" s="4" t="n"/>
      <c r="C66" s="4" t="n"/>
      <c r="D66" s="4" t="n"/>
    </row>
  </sheetData>
  <mergeCells count="10">
    <mergeCell ref="A45:D45"/>
    <mergeCell ref="A40:D40"/>
    <mergeCell ref="A35:D35"/>
    <mergeCell ref="A60:E60"/>
    <mergeCell ref="A30:D30"/>
    <mergeCell ref="A28:H28"/>
    <mergeCell ref="A51:E51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22" customWidth="1" min="4" max="4"/>
    <col width="30" customWidth="1" min="5" max="5"/>
    <col width="20" customWidth="1" min="6" max="6"/>
    <col width="20" customWidth="1" min="7" max="7"/>
    <col width="35" customWidth="1" min="8" max="8"/>
    <col width="15" customWidth="1" min="9" max="9"/>
    <col width="20" customWidth="1" min="10" max="10"/>
    <col width="14" customWidth="1" min="11" max="11"/>
    <col width="25" customWidth="1" min="12" max="12"/>
  </cols>
  <sheetData>
    <row r="1" ht="40" customHeight="1">
      <c r="A1" s="1" t="inlineStr">
        <is>
          <t>DETAILED COMPLIANCE MATRIX</t>
        </is>
      </c>
    </row>
    <row r="3">
      <c r="A3" s="10" t="inlineStr">
        <is>
          <t>Policy Reference</t>
        </is>
      </c>
      <c r="B3" s="10" t="inlineStr">
        <is>
          <t>Requirement</t>
        </is>
      </c>
      <c r="C3" s="10" t="inlineStr">
        <is>
          <t>Control Type</t>
        </is>
      </c>
      <c r="D3" s="10" t="inlineStr">
        <is>
          <t>Assessment Sheet</t>
        </is>
      </c>
      <c r="E3" s="10" t="inlineStr">
        <is>
          <t>Evidence Location</t>
        </is>
      </c>
      <c r="F3" s="10" t="inlineStr">
        <is>
          <t>Implementation Status</t>
        </is>
      </c>
      <c r="G3" s="10" t="inlineStr">
        <is>
          <t>Compliance Status</t>
        </is>
      </c>
      <c r="H3" s="10" t="inlineStr">
        <is>
          <t>Gap Description</t>
        </is>
      </c>
      <c r="I3" s="10" t="inlineStr">
        <is>
          <t>Risk Level</t>
        </is>
      </c>
      <c r="J3" s="10" t="inlineStr">
        <is>
          <t>Remediation Owner</t>
        </is>
      </c>
      <c r="K3" s="10" t="inlineStr">
        <is>
          <t>Target Date</t>
        </is>
      </c>
      <c r="L3" s="10" t="inlineStr">
        <is>
          <t>Notes</t>
        </is>
      </c>
    </row>
    <row r="4">
      <c r="A4" s="11" t="inlineStr">
        <is>
          <t>REQ-001</t>
        </is>
      </c>
      <c r="B4" s="11" t="n"/>
      <c r="C4" s="11" t="n"/>
      <c r="D4" s="11" t="n"/>
      <c r="E4" s="11" t="n"/>
      <c r="F4" s="4" t="n"/>
      <c r="G4" s="30" t="n"/>
      <c r="H4" s="4" t="n"/>
      <c r="I4" s="4" t="n"/>
      <c r="J4" s="4" t="n"/>
      <c r="K4" s="4" t="n"/>
      <c r="L4" s="4" t="n"/>
    </row>
    <row r="5">
      <c r="A5" s="11" t="inlineStr">
        <is>
          <t>REQ-002</t>
        </is>
      </c>
      <c r="B5" s="11" t="n"/>
      <c r="C5" s="11" t="n"/>
      <c r="D5" s="11" t="n"/>
      <c r="E5" s="11" t="n"/>
      <c r="F5" s="4" t="n"/>
      <c r="G5" s="30" t="n"/>
      <c r="H5" s="4" t="n"/>
      <c r="I5" s="4" t="n"/>
      <c r="J5" s="4" t="n"/>
      <c r="K5" s="4" t="n"/>
      <c r="L5" s="4" t="n"/>
    </row>
    <row r="6">
      <c r="A6" s="11" t="inlineStr">
        <is>
          <t>REQ-003</t>
        </is>
      </c>
      <c r="B6" s="11" t="n"/>
      <c r="C6" s="11" t="n"/>
      <c r="D6" s="11" t="n"/>
      <c r="E6" s="11" t="n"/>
      <c r="F6" s="4" t="n"/>
      <c r="G6" s="30" t="n"/>
      <c r="H6" s="4" t="n"/>
      <c r="I6" s="4" t="n"/>
      <c r="J6" s="4" t="n"/>
      <c r="K6" s="4" t="n"/>
      <c r="L6" s="4" t="n"/>
    </row>
    <row r="7">
      <c r="A7" s="11" t="inlineStr">
        <is>
          <t>REQ-004</t>
        </is>
      </c>
      <c r="B7" s="11" t="n"/>
      <c r="C7" s="11" t="n"/>
      <c r="D7" s="11" t="n"/>
      <c r="E7" s="11" t="n"/>
      <c r="F7" s="4" t="n"/>
      <c r="G7" s="30" t="n"/>
      <c r="H7" s="4" t="n"/>
      <c r="I7" s="4" t="n"/>
      <c r="J7" s="4" t="n"/>
      <c r="K7" s="4" t="n"/>
      <c r="L7" s="4" t="n"/>
    </row>
    <row r="8">
      <c r="A8" s="11" t="inlineStr">
        <is>
          <t>REQ-005</t>
        </is>
      </c>
      <c r="B8" s="11" t="n"/>
      <c r="C8" s="11" t="n"/>
      <c r="D8" s="11" t="n"/>
      <c r="E8" s="11" t="n"/>
      <c r="F8" s="4" t="n"/>
      <c r="G8" s="30" t="n"/>
      <c r="H8" s="4" t="n"/>
      <c r="I8" s="4" t="n"/>
      <c r="J8" s="4" t="n"/>
      <c r="K8" s="4" t="n"/>
      <c r="L8" s="4" t="n"/>
    </row>
    <row r="9">
      <c r="A9" s="11" t="inlineStr">
        <is>
          <t>REQ-006</t>
        </is>
      </c>
      <c r="B9" s="11" t="n"/>
      <c r="C9" s="11" t="n"/>
      <c r="D9" s="11" t="n"/>
      <c r="E9" s="11" t="n"/>
      <c r="F9" s="4" t="n"/>
      <c r="G9" s="30" t="n"/>
      <c r="H9" s="4" t="n"/>
      <c r="I9" s="4" t="n"/>
      <c r="J9" s="4" t="n"/>
      <c r="K9" s="4" t="n"/>
      <c r="L9" s="4" t="n"/>
    </row>
    <row r="10">
      <c r="A10" s="11" t="inlineStr">
        <is>
          <t>REQ-007</t>
        </is>
      </c>
      <c r="B10" s="11" t="n"/>
      <c r="C10" s="11" t="n"/>
      <c r="D10" s="11" t="n"/>
      <c r="E10" s="11" t="n"/>
      <c r="F10" s="4" t="n"/>
      <c r="G10" s="30" t="n"/>
      <c r="H10" s="4" t="n"/>
      <c r="I10" s="4" t="n"/>
      <c r="J10" s="4" t="n"/>
      <c r="K10" s="4" t="n"/>
      <c r="L10" s="4" t="n"/>
    </row>
    <row r="11">
      <c r="A11" s="11" t="inlineStr">
        <is>
          <t>REQ-008</t>
        </is>
      </c>
      <c r="B11" s="11" t="n"/>
      <c r="C11" s="11" t="n"/>
      <c r="D11" s="11" t="n"/>
      <c r="E11" s="11" t="n"/>
      <c r="F11" s="4" t="n"/>
      <c r="G11" s="30" t="n"/>
      <c r="H11" s="4" t="n"/>
      <c r="I11" s="4" t="n"/>
      <c r="J11" s="4" t="n"/>
      <c r="K11" s="4" t="n"/>
      <c r="L11" s="4" t="n"/>
    </row>
    <row r="12">
      <c r="A12" s="11" t="inlineStr">
        <is>
          <t>REQ-009</t>
        </is>
      </c>
      <c r="B12" s="11" t="n"/>
      <c r="C12" s="11" t="n"/>
      <c r="D12" s="11" t="n"/>
      <c r="E12" s="11" t="n"/>
      <c r="F12" s="4" t="n"/>
      <c r="G12" s="30" t="n"/>
      <c r="H12" s="4" t="n"/>
      <c r="I12" s="4" t="n"/>
      <c r="J12" s="4" t="n"/>
      <c r="K12" s="4" t="n"/>
      <c r="L12" s="4" t="n"/>
    </row>
    <row r="13">
      <c r="A13" s="11" t="inlineStr">
        <is>
          <t>REQ-010</t>
        </is>
      </c>
      <c r="B13" s="11" t="n"/>
      <c r="C13" s="11" t="n"/>
      <c r="D13" s="11" t="n"/>
      <c r="E13" s="11" t="n"/>
      <c r="F13" s="4" t="n"/>
      <c r="G13" s="30" t="n"/>
      <c r="H13" s="4" t="n"/>
      <c r="I13" s="4" t="n"/>
      <c r="J13" s="4" t="n"/>
      <c r="K13" s="4" t="n"/>
      <c r="L13" s="4" t="n"/>
    </row>
    <row r="14">
      <c r="A14" s="11" t="inlineStr">
        <is>
          <t>REQ-011</t>
        </is>
      </c>
      <c r="B14" s="11" t="n"/>
      <c r="C14" s="11" t="n"/>
      <c r="D14" s="11" t="n"/>
      <c r="E14" s="11" t="n"/>
      <c r="F14" s="4" t="n"/>
      <c r="G14" s="30" t="n"/>
      <c r="H14" s="4" t="n"/>
      <c r="I14" s="4" t="n"/>
      <c r="J14" s="4" t="n"/>
      <c r="K14" s="4" t="n"/>
      <c r="L14" s="4" t="n"/>
    </row>
    <row r="15">
      <c r="A15" s="11" t="inlineStr">
        <is>
          <t>REQ-012</t>
        </is>
      </c>
      <c r="B15" s="11" t="n"/>
      <c r="C15" s="11" t="n"/>
      <c r="D15" s="11" t="n"/>
      <c r="E15" s="11" t="n"/>
      <c r="F15" s="4" t="n"/>
      <c r="G15" s="30" t="n"/>
      <c r="H15" s="4" t="n"/>
      <c r="I15" s="4" t="n"/>
      <c r="J15" s="4" t="n"/>
      <c r="K15" s="4" t="n"/>
      <c r="L15" s="4" t="n"/>
    </row>
    <row r="16">
      <c r="A16" s="11" t="inlineStr">
        <is>
          <t>REQ-013</t>
        </is>
      </c>
      <c r="B16" s="11" t="n"/>
      <c r="C16" s="11" t="n"/>
      <c r="D16" s="11" t="n"/>
      <c r="E16" s="11" t="n"/>
      <c r="F16" s="4" t="n"/>
      <c r="G16" s="30" t="n"/>
      <c r="H16" s="4" t="n"/>
      <c r="I16" s="4" t="n"/>
      <c r="J16" s="4" t="n"/>
      <c r="K16" s="4" t="n"/>
      <c r="L16" s="4" t="n"/>
    </row>
    <row r="17">
      <c r="A17" s="11" t="inlineStr">
        <is>
          <t>REQ-014</t>
        </is>
      </c>
      <c r="B17" s="11" t="n"/>
      <c r="C17" s="11" t="n"/>
      <c r="D17" s="11" t="n"/>
      <c r="E17" s="11" t="n"/>
      <c r="F17" s="4" t="n"/>
      <c r="G17" s="30" t="n"/>
      <c r="H17" s="4" t="n"/>
      <c r="I17" s="4" t="n"/>
      <c r="J17" s="4" t="n"/>
      <c r="K17" s="4" t="n"/>
      <c r="L17" s="4" t="n"/>
    </row>
    <row r="18">
      <c r="A18" s="11" t="inlineStr">
        <is>
          <t>REQ-015</t>
        </is>
      </c>
      <c r="B18" s="11" t="n"/>
      <c r="C18" s="11" t="n"/>
      <c r="D18" s="11" t="n"/>
      <c r="E18" s="11" t="n"/>
      <c r="F18" s="4" t="n"/>
      <c r="G18" s="30" t="n"/>
      <c r="H18" s="4" t="n"/>
      <c r="I18" s="4" t="n"/>
      <c r="J18" s="4" t="n"/>
      <c r="K18" s="4" t="n"/>
      <c r="L18" s="4" t="n"/>
    </row>
    <row r="19">
      <c r="A19" s="11" t="inlineStr">
        <is>
          <t>REQ-016</t>
        </is>
      </c>
      <c r="B19" s="11" t="n"/>
      <c r="C19" s="11" t="n"/>
      <c r="D19" s="11" t="n"/>
      <c r="E19" s="11" t="n"/>
      <c r="F19" s="4" t="n"/>
      <c r="G19" s="30" t="n"/>
      <c r="H19" s="4" t="n"/>
      <c r="I19" s="4" t="n"/>
      <c r="J19" s="4" t="n"/>
      <c r="K19" s="4" t="n"/>
      <c r="L19" s="4" t="n"/>
    </row>
    <row r="20">
      <c r="A20" s="11" t="inlineStr">
        <is>
          <t>REQ-017</t>
        </is>
      </c>
      <c r="B20" s="11" t="n"/>
      <c r="C20" s="11" t="n"/>
      <c r="D20" s="11" t="n"/>
      <c r="E20" s="11" t="n"/>
      <c r="F20" s="4" t="n"/>
      <c r="G20" s="30" t="n"/>
      <c r="H20" s="4" t="n"/>
      <c r="I20" s="4" t="n"/>
      <c r="J20" s="4" t="n"/>
      <c r="K20" s="4" t="n"/>
      <c r="L20" s="4" t="n"/>
    </row>
    <row r="21">
      <c r="A21" s="11" t="inlineStr">
        <is>
          <t>REQ-018</t>
        </is>
      </c>
      <c r="B21" s="11" t="n"/>
      <c r="C21" s="11" t="n"/>
      <c r="D21" s="11" t="n"/>
      <c r="E21" s="11" t="n"/>
      <c r="F21" s="4" t="n"/>
      <c r="G21" s="30" t="n"/>
      <c r="H21" s="4" t="n"/>
      <c r="I21" s="4" t="n"/>
      <c r="J21" s="4" t="n"/>
      <c r="K21" s="4" t="n"/>
      <c r="L21" s="4" t="n"/>
    </row>
    <row r="22">
      <c r="A22" s="11" t="inlineStr">
        <is>
          <t>REQ-019</t>
        </is>
      </c>
      <c r="B22" s="11" t="n"/>
      <c r="C22" s="11" t="n"/>
      <c r="D22" s="11" t="n"/>
      <c r="E22" s="11" t="n"/>
      <c r="F22" s="4" t="n"/>
      <c r="G22" s="30" t="n"/>
      <c r="H22" s="4" t="n"/>
      <c r="I22" s="4" t="n"/>
      <c r="J22" s="4" t="n"/>
      <c r="K22" s="4" t="n"/>
      <c r="L22" s="4" t="n"/>
    </row>
    <row r="23">
      <c r="A23" s="11" t="inlineStr">
        <is>
          <t>REQ-020</t>
        </is>
      </c>
      <c r="B23" s="11" t="n"/>
      <c r="C23" s="11" t="n"/>
      <c r="D23" s="11" t="n"/>
      <c r="E23" s="11" t="n"/>
      <c r="F23" s="4" t="n"/>
      <c r="G23" s="30" t="n"/>
      <c r="H23" s="4" t="n"/>
      <c r="I23" s="4" t="n"/>
      <c r="J23" s="4" t="n"/>
      <c r="K23" s="4" t="n"/>
      <c r="L23" s="4" t="n"/>
    </row>
    <row r="24">
      <c r="A24" s="11" t="inlineStr">
        <is>
          <t>REQ-021</t>
        </is>
      </c>
      <c r="B24" s="11" t="n"/>
      <c r="C24" s="11" t="n"/>
      <c r="D24" s="11" t="n"/>
      <c r="E24" s="11" t="n"/>
      <c r="F24" s="4" t="n"/>
      <c r="G24" s="30" t="n"/>
      <c r="H24" s="4" t="n"/>
      <c r="I24" s="4" t="n"/>
      <c r="J24" s="4" t="n"/>
      <c r="K24" s="4" t="n"/>
      <c r="L24" s="4" t="n"/>
    </row>
    <row r="25">
      <c r="A25" s="11" t="inlineStr">
        <is>
          <t>REQ-022</t>
        </is>
      </c>
      <c r="B25" s="11" t="n"/>
      <c r="C25" s="11" t="n"/>
      <c r="D25" s="11" t="n"/>
      <c r="E25" s="11" t="n"/>
      <c r="F25" s="4" t="n"/>
      <c r="G25" s="30" t="n"/>
      <c r="H25" s="4" t="n"/>
      <c r="I25" s="4" t="n"/>
      <c r="J25" s="4" t="n"/>
      <c r="K25" s="4" t="n"/>
      <c r="L25" s="4" t="n"/>
    </row>
    <row r="26">
      <c r="A26" s="11" t="inlineStr">
        <is>
          <t>REQ-023</t>
        </is>
      </c>
      <c r="B26" s="11" t="n"/>
      <c r="C26" s="11" t="n"/>
      <c r="D26" s="11" t="n"/>
      <c r="E26" s="11" t="n"/>
      <c r="F26" s="4" t="n"/>
      <c r="G26" s="30" t="n"/>
      <c r="H26" s="4" t="n"/>
      <c r="I26" s="4" t="n"/>
      <c r="J26" s="4" t="n"/>
      <c r="K26" s="4" t="n"/>
      <c r="L26" s="4" t="n"/>
    </row>
    <row r="27">
      <c r="A27" s="11" t="inlineStr">
        <is>
          <t>REQ-024</t>
        </is>
      </c>
      <c r="B27" s="11" t="n"/>
      <c r="C27" s="11" t="n"/>
      <c r="D27" s="11" t="n"/>
      <c r="E27" s="11" t="n"/>
      <c r="F27" s="4" t="n"/>
      <c r="G27" s="30" t="n"/>
      <c r="H27" s="4" t="n"/>
      <c r="I27" s="4" t="n"/>
      <c r="J27" s="4" t="n"/>
      <c r="K27" s="4" t="n"/>
      <c r="L27" s="4" t="n"/>
    </row>
    <row r="28">
      <c r="A28" s="11" t="inlineStr">
        <is>
          <t>REQ-025</t>
        </is>
      </c>
      <c r="B28" s="11" t="n"/>
      <c r="C28" s="11" t="n"/>
      <c r="D28" s="11" t="n"/>
      <c r="E28" s="11" t="n"/>
      <c r="F28" s="4" t="n"/>
      <c r="G28" s="30" t="n"/>
      <c r="H28" s="4" t="n"/>
      <c r="I28" s="4" t="n"/>
      <c r="J28" s="4" t="n"/>
      <c r="K28" s="4" t="n"/>
      <c r="L28" s="4" t="n"/>
    </row>
    <row r="29">
      <c r="A29" s="11" t="inlineStr">
        <is>
          <t>REQ-026</t>
        </is>
      </c>
      <c r="B29" s="11" t="n"/>
      <c r="C29" s="11" t="n"/>
      <c r="D29" s="11" t="n"/>
      <c r="E29" s="11" t="n"/>
      <c r="F29" s="4" t="n"/>
      <c r="G29" s="30" t="n"/>
      <c r="H29" s="4" t="n"/>
      <c r="I29" s="4" t="n"/>
      <c r="J29" s="4" t="n"/>
      <c r="K29" s="4" t="n"/>
      <c r="L29" s="4" t="n"/>
    </row>
    <row r="30">
      <c r="A30" s="11" t="inlineStr">
        <is>
          <t>REQ-027</t>
        </is>
      </c>
      <c r="B30" s="11" t="n"/>
      <c r="C30" s="11" t="n"/>
      <c r="D30" s="11" t="n"/>
      <c r="E30" s="11" t="n"/>
      <c r="F30" s="4" t="n"/>
      <c r="G30" s="30" t="n"/>
      <c r="H30" s="4" t="n"/>
      <c r="I30" s="4" t="n"/>
      <c r="J30" s="4" t="n"/>
      <c r="K30" s="4" t="n"/>
      <c r="L30" s="4" t="n"/>
    </row>
    <row r="31">
      <c r="A31" s="11" t="inlineStr">
        <is>
          <t>REQ-028</t>
        </is>
      </c>
      <c r="B31" s="11" t="n"/>
      <c r="C31" s="11" t="n"/>
      <c r="D31" s="11" t="n"/>
      <c r="E31" s="11" t="n"/>
      <c r="F31" s="4" t="n"/>
      <c r="G31" s="30" t="n"/>
      <c r="H31" s="4" t="n"/>
      <c r="I31" s="4" t="n"/>
      <c r="J31" s="4" t="n"/>
      <c r="K31" s="4" t="n"/>
      <c r="L31" s="4" t="n"/>
    </row>
    <row r="32">
      <c r="A32" s="11" t="inlineStr">
        <is>
          <t>REQ-029</t>
        </is>
      </c>
      <c r="B32" s="11" t="n"/>
      <c r="C32" s="11" t="n"/>
      <c r="D32" s="11" t="n"/>
      <c r="E32" s="11" t="n"/>
      <c r="F32" s="4" t="n"/>
      <c r="G32" s="30" t="n"/>
      <c r="H32" s="4" t="n"/>
      <c r="I32" s="4" t="n"/>
      <c r="J32" s="4" t="n"/>
      <c r="K32" s="4" t="n"/>
      <c r="L32" s="4" t="n"/>
    </row>
    <row r="33">
      <c r="A33" s="11" t="inlineStr">
        <is>
          <t>REQ-030</t>
        </is>
      </c>
      <c r="B33" s="11" t="n"/>
      <c r="C33" s="11" t="n"/>
      <c r="D33" s="11" t="n"/>
      <c r="E33" s="11" t="n"/>
      <c r="F33" s="4" t="n"/>
      <c r="G33" s="30" t="n"/>
      <c r="H33" s="4" t="n"/>
      <c r="I33" s="4" t="n"/>
      <c r="J33" s="4" t="n"/>
      <c r="K33" s="4" t="n"/>
      <c r="L33" s="4" t="n"/>
    </row>
    <row r="34">
      <c r="A34" s="11" t="inlineStr">
        <is>
          <t>REQ-031</t>
        </is>
      </c>
      <c r="B34" s="11" t="n"/>
      <c r="C34" s="11" t="n"/>
      <c r="D34" s="11" t="n"/>
      <c r="E34" s="11" t="n"/>
      <c r="F34" s="4" t="n"/>
      <c r="G34" s="30" t="n"/>
      <c r="H34" s="4" t="n"/>
      <c r="I34" s="4" t="n"/>
      <c r="J34" s="4" t="n"/>
      <c r="K34" s="4" t="n"/>
      <c r="L34" s="4" t="n"/>
    </row>
    <row r="35">
      <c r="A35" s="11" t="inlineStr">
        <is>
          <t>REQ-032</t>
        </is>
      </c>
      <c r="B35" s="11" t="n"/>
      <c r="C35" s="11" t="n"/>
      <c r="D35" s="11" t="n"/>
      <c r="E35" s="11" t="n"/>
      <c r="F35" s="4" t="n"/>
      <c r="G35" s="30" t="n"/>
      <c r="H35" s="4" t="n"/>
      <c r="I35" s="4" t="n"/>
      <c r="J35" s="4" t="n"/>
      <c r="K35" s="4" t="n"/>
      <c r="L35" s="4" t="n"/>
    </row>
    <row r="36">
      <c r="A36" s="11" t="inlineStr">
        <is>
          <t>REQ-033</t>
        </is>
      </c>
      <c r="B36" s="11" t="n"/>
      <c r="C36" s="11" t="n"/>
      <c r="D36" s="11" t="n"/>
      <c r="E36" s="11" t="n"/>
      <c r="F36" s="4" t="n"/>
      <c r="G36" s="30" t="n"/>
      <c r="H36" s="4" t="n"/>
      <c r="I36" s="4" t="n"/>
      <c r="J36" s="4" t="n"/>
      <c r="K36" s="4" t="n"/>
      <c r="L36" s="4" t="n"/>
    </row>
    <row r="37">
      <c r="A37" s="11" t="inlineStr">
        <is>
          <t>REQ-034</t>
        </is>
      </c>
      <c r="B37" s="11" t="n"/>
      <c r="C37" s="11" t="n"/>
      <c r="D37" s="11" t="n"/>
      <c r="E37" s="11" t="n"/>
      <c r="F37" s="4" t="n"/>
      <c r="G37" s="30" t="n"/>
      <c r="H37" s="4" t="n"/>
      <c r="I37" s="4" t="n"/>
      <c r="J37" s="4" t="n"/>
      <c r="K37" s="4" t="n"/>
      <c r="L37" s="4" t="n"/>
    </row>
    <row r="38">
      <c r="A38" s="11" t="inlineStr">
        <is>
          <t>REQ-035</t>
        </is>
      </c>
      <c r="B38" s="11" t="n"/>
      <c r="C38" s="11" t="n"/>
      <c r="D38" s="11" t="n"/>
      <c r="E38" s="11" t="n"/>
      <c r="F38" s="4" t="n"/>
      <c r="G38" s="30" t="n"/>
      <c r="H38" s="4" t="n"/>
      <c r="I38" s="4" t="n"/>
      <c r="J38" s="4" t="n"/>
      <c r="K38" s="4" t="n"/>
      <c r="L38" s="4" t="n"/>
    </row>
    <row r="39">
      <c r="A39" s="11" t="inlineStr">
        <is>
          <t>REQ-036</t>
        </is>
      </c>
      <c r="B39" s="11" t="n"/>
      <c r="C39" s="11" t="n"/>
      <c r="D39" s="11" t="n"/>
      <c r="E39" s="11" t="n"/>
      <c r="F39" s="4" t="n"/>
      <c r="G39" s="30" t="n"/>
      <c r="H39" s="4" t="n"/>
      <c r="I39" s="4" t="n"/>
      <c r="J39" s="4" t="n"/>
      <c r="K39" s="4" t="n"/>
      <c r="L39" s="4" t="n"/>
    </row>
    <row r="40">
      <c r="A40" s="11" t="inlineStr">
        <is>
          <t>REQ-037</t>
        </is>
      </c>
      <c r="B40" s="11" t="n"/>
      <c r="C40" s="11" t="n"/>
      <c r="D40" s="11" t="n"/>
      <c r="E40" s="11" t="n"/>
      <c r="F40" s="4" t="n"/>
      <c r="G40" s="30" t="n"/>
      <c r="H40" s="4" t="n"/>
      <c r="I40" s="4" t="n"/>
      <c r="J40" s="4" t="n"/>
      <c r="K40" s="4" t="n"/>
      <c r="L40" s="4" t="n"/>
    </row>
    <row r="41">
      <c r="A41" s="11" t="inlineStr">
        <is>
          <t>REQ-038</t>
        </is>
      </c>
      <c r="B41" s="11" t="n"/>
      <c r="C41" s="11" t="n"/>
      <c r="D41" s="11" t="n"/>
      <c r="E41" s="11" t="n"/>
      <c r="F41" s="4" t="n"/>
      <c r="G41" s="30" t="n"/>
      <c r="H41" s="4" t="n"/>
      <c r="I41" s="4" t="n"/>
      <c r="J41" s="4" t="n"/>
      <c r="K41" s="4" t="n"/>
      <c r="L41" s="4" t="n"/>
    </row>
    <row r="42">
      <c r="A42" s="11" t="inlineStr">
        <is>
          <t>REQ-039</t>
        </is>
      </c>
      <c r="B42" s="11" t="n"/>
      <c r="C42" s="11" t="n"/>
      <c r="D42" s="11" t="n"/>
      <c r="E42" s="11" t="n"/>
      <c r="F42" s="4" t="n"/>
      <c r="G42" s="30" t="n"/>
      <c r="H42" s="4" t="n"/>
      <c r="I42" s="4" t="n"/>
      <c r="J42" s="4" t="n"/>
      <c r="K42" s="4" t="n"/>
      <c r="L42" s="4" t="n"/>
    </row>
    <row r="43">
      <c r="A43" s="11" t="inlineStr">
        <is>
          <t>REQ-040</t>
        </is>
      </c>
      <c r="B43" s="11" t="n"/>
      <c r="C43" s="11" t="n"/>
      <c r="D43" s="11" t="n"/>
      <c r="E43" s="11" t="n"/>
      <c r="F43" s="4" t="n"/>
      <c r="G43" s="30" t="n"/>
      <c r="H43" s="4" t="n"/>
      <c r="I43" s="4" t="n"/>
      <c r="J43" s="4" t="n"/>
      <c r="K43" s="4" t="n"/>
      <c r="L43" s="4" t="n"/>
    </row>
    <row r="44">
      <c r="A44" s="11" t="inlineStr">
        <is>
          <t>REQ-041</t>
        </is>
      </c>
      <c r="B44" s="11" t="n"/>
      <c r="C44" s="11" t="n"/>
      <c r="D44" s="11" t="n"/>
      <c r="E44" s="11" t="n"/>
      <c r="F44" s="4" t="n"/>
      <c r="G44" s="30" t="n"/>
      <c r="H44" s="4" t="n"/>
      <c r="I44" s="4" t="n"/>
      <c r="J44" s="4" t="n"/>
      <c r="K44" s="4" t="n"/>
      <c r="L44" s="4" t="n"/>
    </row>
    <row r="45">
      <c r="A45" s="11" t="inlineStr">
        <is>
          <t>REQ-042</t>
        </is>
      </c>
      <c r="B45" s="11" t="n"/>
      <c r="C45" s="11" t="n"/>
      <c r="D45" s="11" t="n"/>
      <c r="E45" s="11" t="n"/>
      <c r="F45" s="4" t="n"/>
      <c r="G45" s="30" t="n"/>
      <c r="H45" s="4" t="n"/>
      <c r="I45" s="4" t="n"/>
      <c r="J45" s="4" t="n"/>
      <c r="K45" s="4" t="n"/>
      <c r="L45" s="4" t="n"/>
    </row>
    <row r="46">
      <c r="A46" s="11" t="inlineStr">
        <is>
          <t>REQ-043</t>
        </is>
      </c>
      <c r="B46" s="11" t="n"/>
      <c r="C46" s="11" t="n"/>
      <c r="D46" s="11" t="n"/>
      <c r="E46" s="11" t="n"/>
      <c r="F46" s="4" t="n"/>
      <c r="G46" s="30" t="n"/>
      <c r="H46" s="4" t="n"/>
      <c r="I46" s="4" t="n"/>
      <c r="J46" s="4" t="n"/>
      <c r="K46" s="4" t="n"/>
      <c r="L46" s="4" t="n"/>
    </row>
    <row r="47">
      <c r="A47" s="11" t="inlineStr">
        <is>
          <t>REQ-044</t>
        </is>
      </c>
      <c r="B47" s="11" t="n"/>
      <c r="C47" s="11" t="n"/>
      <c r="D47" s="11" t="n"/>
      <c r="E47" s="11" t="n"/>
      <c r="F47" s="4" t="n"/>
      <c r="G47" s="30" t="n"/>
      <c r="H47" s="4" t="n"/>
      <c r="I47" s="4" t="n"/>
      <c r="J47" s="4" t="n"/>
      <c r="K47" s="4" t="n"/>
      <c r="L47" s="4" t="n"/>
    </row>
    <row r="48">
      <c r="A48" s="11" t="inlineStr">
        <is>
          <t>REQ-045</t>
        </is>
      </c>
      <c r="B48" s="11" t="n"/>
      <c r="C48" s="11" t="n"/>
      <c r="D48" s="11" t="n"/>
      <c r="E48" s="11" t="n"/>
      <c r="F48" s="4" t="n"/>
      <c r="G48" s="30" t="n"/>
      <c r="H48" s="4" t="n"/>
      <c r="I48" s="4" t="n"/>
      <c r="J48" s="4" t="n"/>
      <c r="K48" s="4" t="n"/>
      <c r="L48" s="4" t="n"/>
    </row>
    <row r="49">
      <c r="A49" s="11" t="inlineStr">
        <is>
          <t>REQ-046</t>
        </is>
      </c>
      <c r="B49" s="11" t="n"/>
      <c r="C49" s="11" t="n"/>
      <c r="D49" s="11" t="n"/>
      <c r="E49" s="11" t="n"/>
      <c r="F49" s="4" t="n"/>
      <c r="G49" s="30" t="n"/>
      <c r="H49" s="4" t="n"/>
      <c r="I49" s="4" t="n"/>
      <c r="J49" s="4" t="n"/>
      <c r="K49" s="4" t="n"/>
      <c r="L49" s="4" t="n"/>
    </row>
    <row r="50">
      <c r="A50" s="11" t="inlineStr">
        <is>
          <t>REQ-047</t>
        </is>
      </c>
      <c r="B50" s="11" t="n"/>
      <c r="C50" s="11" t="n"/>
      <c r="D50" s="11" t="n"/>
      <c r="E50" s="11" t="n"/>
      <c r="F50" s="4" t="n"/>
      <c r="G50" s="30" t="n"/>
      <c r="H50" s="4" t="n"/>
      <c r="I50" s="4" t="n"/>
      <c r="J50" s="4" t="n"/>
      <c r="K50" s="4" t="n"/>
      <c r="L50" s="4" t="n"/>
    </row>
    <row r="51">
      <c r="A51" s="11" t="inlineStr">
        <is>
          <t>REQ-048</t>
        </is>
      </c>
      <c r="B51" s="11" t="n"/>
      <c r="C51" s="11" t="n"/>
      <c r="D51" s="11" t="n"/>
      <c r="E51" s="11" t="n"/>
      <c r="F51" s="4" t="n"/>
      <c r="G51" s="30" t="n"/>
      <c r="H51" s="4" t="n"/>
      <c r="I51" s="4" t="n"/>
      <c r="J51" s="4" t="n"/>
      <c r="K51" s="4" t="n"/>
      <c r="L51" s="4" t="n"/>
    </row>
    <row r="52">
      <c r="A52" s="11" t="inlineStr">
        <is>
          <t>REQ-049</t>
        </is>
      </c>
      <c r="B52" s="11" t="n"/>
      <c r="C52" s="11" t="n"/>
      <c r="D52" s="11" t="n"/>
      <c r="E52" s="11" t="n"/>
      <c r="F52" s="4" t="n"/>
      <c r="G52" s="30" t="n"/>
      <c r="H52" s="4" t="n"/>
      <c r="I52" s="4" t="n"/>
      <c r="J52" s="4" t="n"/>
      <c r="K52" s="4" t="n"/>
      <c r="L52" s="4" t="n"/>
    </row>
    <row r="53">
      <c r="A53" s="11" t="inlineStr">
        <is>
          <t>REQ-050</t>
        </is>
      </c>
      <c r="B53" s="11" t="n"/>
      <c r="C53" s="11" t="n"/>
      <c r="D53" s="11" t="n"/>
      <c r="E53" s="11" t="n"/>
      <c r="F53" s="4" t="n"/>
      <c r="G53" s="30" t="n"/>
      <c r="H53" s="4" t="n"/>
      <c r="I53" s="4" t="n"/>
      <c r="J53" s="4" t="n"/>
      <c r="K53" s="4" t="n"/>
      <c r="L53" s="4" t="n"/>
    </row>
    <row r="54">
      <c r="A54" s="11" t="inlineStr">
        <is>
          <t>REQ-051</t>
        </is>
      </c>
      <c r="B54" s="11" t="n"/>
      <c r="C54" s="11" t="n"/>
      <c r="D54" s="11" t="n"/>
      <c r="E54" s="11" t="n"/>
      <c r="F54" s="4" t="n"/>
      <c r="G54" s="30" t="n"/>
      <c r="H54" s="4" t="n"/>
      <c r="I54" s="4" t="n"/>
      <c r="J54" s="4" t="n"/>
      <c r="K54" s="4" t="n"/>
      <c r="L54" s="4" t="n"/>
    </row>
    <row r="55">
      <c r="A55" s="11" t="inlineStr">
        <is>
          <t>REQ-052</t>
        </is>
      </c>
      <c r="B55" s="11" t="n"/>
      <c r="C55" s="11" t="n"/>
      <c r="D55" s="11" t="n"/>
      <c r="E55" s="11" t="n"/>
      <c r="F55" s="4" t="n"/>
      <c r="G55" s="30" t="n"/>
      <c r="H55" s="4" t="n"/>
      <c r="I55" s="4" t="n"/>
      <c r="J55" s="4" t="n"/>
      <c r="K55" s="4" t="n"/>
      <c r="L55" s="4" t="n"/>
    </row>
    <row r="56">
      <c r="A56" s="11" t="inlineStr">
        <is>
          <t>REQ-053</t>
        </is>
      </c>
      <c r="B56" s="11" t="n"/>
      <c r="C56" s="11" t="n"/>
      <c r="D56" s="11" t="n"/>
      <c r="E56" s="11" t="n"/>
      <c r="F56" s="4" t="n"/>
      <c r="G56" s="30" t="n"/>
      <c r="H56" s="4" t="n"/>
      <c r="I56" s="4" t="n"/>
      <c r="J56" s="4" t="n"/>
      <c r="K56" s="4" t="n"/>
      <c r="L56" s="4" t="n"/>
    </row>
    <row r="57">
      <c r="A57" s="11" t="inlineStr">
        <is>
          <t>REQ-054</t>
        </is>
      </c>
      <c r="B57" s="11" t="n"/>
      <c r="C57" s="11" t="n"/>
      <c r="D57" s="11" t="n"/>
      <c r="E57" s="11" t="n"/>
      <c r="F57" s="4" t="n"/>
      <c r="G57" s="30" t="n"/>
      <c r="H57" s="4" t="n"/>
      <c r="I57" s="4" t="n"/>
      <c r="J57" s="4" t="n"/>
      <c r="K57" s="4" t="n"/>
      <c r="L57" s="4" t="n"/>
    </row>
    <row r="58">
      <c r="A58" s="11" t="inlineStr">
        <is>
          <t>REQ-055</t>
        </is>
      </c>
      <c r="B58" s="11" t="n"/>
      <c r="C58" s="11" t="n"/>
      <c r="D58" s="11" t="n"/>
      <c r="E58" s="11" t="n"/>
      <c r="F58" s="4" t="n"/>
      <c r="G58" s="30" t="n"/>
      <c r="H58" s="4" t="n"/>
      <c r="I58" s="4" t="n"/>
      <c r="J58" s="4" t="n"/>
      <c r="K58" s="4" t="n"/>
      <c r="L58" s="4" t="n"/>
    </row>
    <row r="59">
      <c r="A59" s="11" t="inlineStr">
        <is>
          <t>REQ-056</t>
        </is>
      </c>
      <c r="B59" s="11" t="n"/>
      <c r="C59" s="11" t="n"/>
      <c r="D59" s="11" t="n"/>
      <c r="E59" s="11" t="n"/>
      <c r="F59" s="4" t="n"/>
      <c r="G59" s="30" t="n"/>
      <c r="H59" s="4" t="n"/>
      <c r="I59" s="4" t="n"/>
      <c r="J59" s="4" t="n"/>
      <c r="K59" s="4" t="n"/>
      <c r="L59" s="4" t="n"/>
    </row>
    <row r="60">
      <c r="A60" s="11" t="inlineStr">
        <is>
          <t>REQ-057</t>
        </is>
      </c>
      <c r="B60" s="11" t="n"/>
      <c r="C60" s="11" t="n"/>
      <c r="D60" s="11" t="n"/>
      <c r="E60" s="11" t="n"/>
      <c r="F60" s="4" t="n"/>
      <c r="G60" s="30" t="n"/>
      <c r="H60" s="4" t="n"/>
      <c r="I60" s="4" t="n"/>
      <c r="J60" s="4" t="n"/>
      <c r="K60" s="4" t="n"/>
      <c r="L60" s="4" t="n"/>
    </row>
    <row r="61">
      <c r="A61" s="11" t="inlineStr">
        <is>
          <t>REQ-058</t>
        </is>
      </c>
      <c r="B61" s="11" t="n"/>
      <c r="C61" s="11" t="n"/>
      <c r="D61" s="11" t="n"/>
      <c r="E61" s="11" t="n"/>
      <c r="F61" s="4" t="n"/>
      <c r="G61" s="30" t="n"/>
      <c r="H61" s="4" t="n"/>
      <c r="I61" s="4" t="n"/>
      <c r="J61" s="4" t="n"/>
      <c r="K61" s="4" t="n"/>
      <c r="L61" s="4" t="n"/>
    </row>
    <row r="62">
      <c r="A62" s="11" t="inlineStr">
        <is>
          <t>REQ-059</t>
        </is>
      </c>
      <c r="B62" s="11" t="n"/>
      <c r="C62" s="11" t="n"/>
      <c r="D62" s="11" t="n"/>
      <c r="E62" s="11" t="n"/>
      <c r="F62" s="4" t="n"/>
      <c r="G62" s="30" t="n"/>
      <c r="H62" s="4" t="n"/>
      <c r="I62" s="4" t="n"/>
      <c r="J62" s="4" t="n"/>
      <c r="K62" s="4" t="n"/>
      <c r="L62" s="4" t="n"/>
    </row>
    <row r="63">
      <c r="A63" s="11" t="inlineStr">
        <is>
          <t>REQ-060</t>
        </is>
      </c>
      <c r="B63" s="11" t="n"/>
      <c r="C63" s="11" t="n"/>
      <c r="D63" s="11" t="n"/>
      <c r="E63" s="11" t="n"/>
      <c r="F63" s="4" t="n"/>
      <c r="G63" s="30" t="n"/>
      <c r="H63" s="4" t="n"/>
      <c r="I63" s="4" t="n"/>
      <c r="J63" s="4" t="n"/>
      <c r="K63" s="4" t="n"/>
      <c r="L63" s="4" t="n"/>
    </row>
    <row r="64">
      <c r="A64" s="11" t="inlineStr">
        <is>
          <t>REQ-061</t>
        </is>
      </c>
      <c r="B64" s="11" t="n"/>
      <c r="C64" s="11" t="n"/>
      <c r="D64" s="11" t="n"/>
      <c r="E64" s="11" t="n"/>
      <c r="F64" s="4" t="n"/>
      <c r="G64" s="30" t="n"/>
      <c r="H64" s="4" t="n"/>
      <c r="I64" s="4" t="n"/>
      <c r="J64" s="4" t="n"/>
      <c r="K64" s="4" t="n"/>
      <c r="L64" s="4" t="n"/>
    </row>
    <row r="65">
      <c r="A65" s="11" t="inlineStr">
        <is>
          <t>REQ-062</t>
        </is>
      </c>
      <c r="B65" s="11" t="n"/>
      <c r="C65" s="11" t="n"/>
      <c r="D65" s="11" t="n"/>
      <c r="E65" s="11" t="n"/>
      <c r="F65" s="4" t="n"/>
      <c r="G65" s="30" t="n"/>
      <c r="H65" s="4" t="n"/>
      <c r="I65" s="4" t="n"/>
      <c r="J65" s="4" t="n"/>
      <c r="K65" s="4" t="n"/>
      <c r="L65" s="4" t="n"/>
    </row>
    <row r="66">
      <c r="A66" s="11" t="inlineStr">
        <is>
          <t>REQ-063</t>
        </is>
      </c>
      <c r="B66" s="11" t="n"/>
      <c r="C66" s="11" t="n"/>
      <c r="D66" s="11" t="n"/>
      <c r="E66" s="11" t="n"/>
      <c r="F66" s="4" t="n"/>
      <c r="G66" s="30" t="n"/>
      <c r="H66" s="4" t="n"/>
      <c r="I66" s="4" t="n"/>
      <c r="J66" s="4" t="n"/>
      <c r="K66" s="4" t="n"/>
      <c r="L66" s="4" t="n"/>
    </row>
    <row r="67">
      <c r="A67" s="11" t="inlineStr">
        <is>
          <t>REQ-064</t>
        </is>
      </c>
      <c r="B67" s="11" t="n"/>
      <c r="C67" s="11" t="n"/>
      <c r="D67" s="11" t="n"/>
      <c r="E67" s="11" t="n"/>
      <c r="F67" s="4" t="n"/>
      <c r="G67" s="30" t="n"/>
      <c r="H67" s="4" t="n"/>
      <c r="I67" s="4" t="n"/>
      <c r="J67" s="4" t="n"/>
      <c r="K67" s="4" t="n"/>
      <c r="L67" s="4" t="n"/>
    </row>
    <row r="68">
      <c r="A68" s="11" t="inlineStr">
        <is>
          <t>REQ-065</t>
        </is>
      </c>
      <c r="B68" s="11" t="n"/>
      <c r="C68" s="11" t="n"/>
      <c r="D68" s="11" t="n"/>
      <c r="E68" s="11" t="n"/>
      <c r="F68" s="4" t="n"/>
      <c r="G68" s="30" t="n"/>
      <c r="H68" s="4" t="n"/>
      <c r="I68" s="4" t="n"/>
      <c r="J68" s="4" t="n"/>
      <c r="K68" s="4" t="n"/>
      <c r="L68" s="4" t="n"/>
    </row>
    <row r="69">
      <c r="A69" s="11" t="inlineStr">
        <is>
          <t>REQ-066</t>
        </is>
      </c>
      <c r="B69" s="11" t="n"/>
      <c r="C69" s="11" t="n"/>
      <c r="D69" s="11" t="n"/>
      <c r="E69" s="11" t="n"/>
      <c r="F69" s="4" t="n"/>
      <c r="G69" s="30" t="n"/>
      <c r="H69" s="4" t="n"/>
      <c r="I69" s="4" t="n"/>
      <c r="J69" s="4" t="n"/>
      <c r="K69" s="4" t="n"/>
      <c r="L69" s="4" t="n"/>
    </row>
    <row r="70">
      <c r="A70" s="11" t="inlineStr">
        <is>
          <t>REQ-067</t>
        </is>
      </c>
      <c r="B70" s="11" t="n"/>
      <c r="C70" s="11" t="n"/>
      <c r="D70" s="11" t="n"/>
      <c r="E70" s="11" t="n"/>
      <c r="F70" s="4" t="n"/>
      <c r="G70" s="30" t="n"/>
      <c r="H70" s="4" t="n"/>
      <c r="I70" s="4" t="n"/>
      <c r="J70" s="4" t="n"/>
      <c r="K70" s="4" t="n"/>
      <c r="L70" s="4" t="n"/>
    </row>
    <row r="71">
      <c r="A71" s="11" t="inlineStr">
        <is>
          <t>REQ-068</t>
        </is>
      </c>
      <c r="B71" s="11" t="n"/>
      <c r="C71" s="11" t="n"/>
      <c r="D71" s="11" t="n"/>
      <c r="E71" s="11" t="n"/>
      <c r="F71" s="4" t="n"/>
      <c r="G71" s="30" t="n"/>
      <c r="H71" s="4" t="n"/>
      <c r="I71" s="4" t="n"/>
      <c r="J71" s="4" t="n"/>
      <c r="K71" s="4" t="n"/>
      <c r="L71" s="4" t="n"/>
    </row>
    <row r="72">
      <c r="A72" s="11" t="inlineStr">
        <is>
          <t>REQ-069</t>
        </is>
      </c>
      <c r="B72" s="11" t="n"/>
      <c r="C72" s="11" t="n"/>
      <c r="D72" s="11" t="n"/>
      <c r="E72" s="11" t="n"/>
      <c r="F72" s="4" t="n"/>
      <c r="G72" s="30" t="n"/>
      <c r="H72" s="4" t="n"/>
      <c r="I72" s="4" t="n"/>
      <c r="J72" s="4" t="n"/>
      <c r="K72" s="4" t="n"/>
      <c r="L72" s="4" t="n"/>
    </row>
    <row r="73">
      <c r="A73" s="11" t="inlineStr">
        <is>
          <t>REQ-070</t>
        </is>
      </c>
      <c r="B73" s="11" t="n"/>
      <c r="C73" s="11" t="n"/>
      <c r="D73" s="11" t="n"/>
      <c r="E73" s="11" t="n"/>
      <c r="F73" s="4" t="n"/>
      <c r="G73" s="30" t="n"/>
      <c r="H73" s="4" t="n"/>
      <c r="I73" s="4" t="n"/>
      <c r="J73" s="4" t="n"/>
      <c r="K73" s="4" t="n"/>
      <c r="L73" s="4" t="n"/>
    </row>
    <row r="74">
      <c r="A74" s="11" t="inlineStr">
        <is>
          <t>REQ-071</t>
        </is>
      </c>
      <c r="B74" s="11" t="n"/>
      <c r="C74" s="11" t="n"/>
      <c r="D74" s="11" t="n"/>
      <c r="E74" s="11" t="n"/>
      <c r="F74" s="4" t="n"/>
      <c r="G74" s="30" t="n"/>
      <c r="H74" s="4" t="n"/>
      <c r="I74" s="4" t="n"/>
      <c r="J74" s="4" t="n"/>
      <c r="K74" s="4" t="n"/>
      <c r="L74" s="4" t="n"/>
    </row>
    <row r="75">
      <c r="A75" s="11" t="inlineStr">
        <is>
          <t>REQ-072</t>
        </is>
      </c>
      <c r="B75" s="11" t="n"/>
      <c r="C75" s="11" t="n"/>
      <c r="D75" s="11" t="n"/>
      <c r="E75" s="11" t="n"/>
      <c r="F75" s="4" t="n"/>
      <c r="G75" s="30" t="n"/>
      <c r="H75" s="4" t="n"/>
      <c r="I75" s="4" t="n"/>
      <c r="J75" s="4" t="n"/>
      <c r="K75" s="4" t="n"/>
      <c r="L75" s="4" t="n"/>
    </row>
    <row r="76">
      <c r="A76" s="11" t="inlineStr">
        <is>
          <t>REQ-073</t>
        </is>
      </c>
      <c r="B76" s="11" t="n"/>
      <c r="C76" s="11" t="n"/>
      <c r="D76" s="11" t="n"/>
      <c r="E76" s="11" t="n"/>
      <c r="F76" s="4" t="n"/>
      <c r="G76" s="30" t="n"/>
      <c r="H76" s="4" t="n"/>
      <c r="I76" s="4" t="n"/>
      <c r="J76" s="4" t="n"/>
      <c r="K76" s="4" t="n"/>
      <c r="L76" s="4" t="n"/>
    </row>
    <row r="77">
      <c r="A77" s="11" t="inlineStr">
        <is>
          <t>REQ-074</t>
        </is>
      </c>
      <c r="B77" s="11" t="n"/>
      <c r="C77" s="11" t="n"/>
      <c r="D77" s="11" t="n"/>
      <c r="E77" s="11" t="n"/>
      <c r="F77" s="4" t="n"/>
      <c r="G77" s="30" t="n"/>
      <c r="H77" s="4" t="n"/>
      <c r="I77" s="4" t="n"/>
      <c r="J77" s="4" t="n"/>
      <c r="K77" s="4" t="n"/>
      <c r="L77" s="4" t="n"/>
    </row>
    <row r="78">
      <c r="A78" s="11" t="inlineStr">
        <is>
          <t>REQ-075</t>
        </is>
      </c>
      <c r="B78" s="11" t="n"/>
      <c r="C78" s="11" t="n"/>
      <c r="D78" s="11" t="n"/>
      <c r="E78" s="11" t="n"/>
      <c r="F78" s="4" t="n"/>
      <c r="G78" s="30" t="n"/>
      <c r="H78" s="4" t="n"/>
      <c r="I78" s="4" t="n"/>
      <c r="J78" s="4" t="n"/>
      <c r="K78" s="4" t="n"/>
      <c r="L78" s="4" t="n"/>
    </row>
    <row r="79">
      <c r="A79" s="11" t="inlineStr">
        <is>
          <t>REQ-076</t>
        </is>
      </c>
      <c r="B79" s="11" t="n"/>
      <c r="C79" s="11" t="n"/>
      <c r="D79" s="11" t="n"/>
      <c r="E79" s="11" t="n"/>
      <c r="F79" s="4" t="n"/>
      <c r="G79" s="30" t="n"/>
      <c r="H79" s="4" t="n"/>
      <c r="I79" s="4" t="n"/>
      <c r="J79" s="4" t="n"/>
      <c r="K79" s="4" t="n"/>
      <c r="L79" s="4" t="n"/>
    </row>
    <row r="80">
      <c r="A80" s="11" t="inlineStr">
        <is>
          <t>REQ-077</t>
        </is>
      </c>
      <c r="B80" s="11" t="n"/>
      <c r="C80" s="11" t="n"/>
      <c r="D80" s="11" t="n"/>
      <c r="E80" s="11" t="n"/>
      <c r="F80" s="4" t="n"/>
      <c r="G80" s="30" t="n"/>
      <c r="H80" s="4" t="n"/>
      <c r="I80" s="4" t="n"/>
      <c r="J80" s="4" t="n"/>
      <c r="K80" s="4" t="n"/>
      <c r="L80" s="4" t="n"/>
    </row>
    <row r="81">
      <c r="A81" s="11" t="inlineStr">
        <is>
          <t>REQ-078</t>
        </is>
      </c>
      <c r="B81" s="11" t="n"/>
      <c r="C81" s="11" t="n"/>
      <c r="D81" s="11" t="n"/>
      <c r="E81" s="11" t="n"/>
      <c r="F81" s="4" t="n"/>
      <c r="G81" s="30" t="n"/>
      <c r="H81" s="4" t="n"/>
      <c r="I81" s="4" t="n"/>
      <c r="J81" s="4" t="n"/>
      <c r="K81" s="4" t="n"/>
      <c r="L81" s="4" t="n"/>
    </row>
    <row r="82">
      <c r="A82" s="11" t="inlineStr">
        <is>
          <t>REQ-079</t>
        </is>
      </c>
      <c r="B82" s="11" t="n"/>
      <c r="C82" s="11" t="n"/>
      <c r="D82" s="11" t="n"/>
      <c r="E82" s="11" t="n"/>
      <c r="F82" s="4" t="n"/>
      <c r="G82" s="30" t="n"/>
      <c r="H82" s="4" t="n"/>
      <c r="I82" s="4" t="n"/>
      <c r="J82" s="4" t="n"/>
      <c r="K82" s="4" t="n"/>
      <c r="L82" s="4" t="n"/>
    </row>
    <row r="83">
      <c r="A83" s="11" t="inlineStr">
        <is>
          <t>REQ-080</t>
        </is>
      </c>
      <c r="B83" s="11" t="n"/>
      <c r="C83" s="11" t="n"/>
      <c r="D83" s="11" t="n"/>
      <c r="E83" s="11" t="n"/>
      <c r="F83" s="4" t="n"/>
      <c r="G83" s="30" t="n"/>
      <c r="H83" s="4" t="n"/>
      <c r="I83" s="4" t="n"/>
      <c r="J83" s="4" t="n"/>
      <c r="K83" s="4" t="n"/>
      <c r="L83" s="4" t="n"/>
    </row>
    <row r="84">
      <c r="A84" s="11" t="inlineStr">
        <is>
          <t>REQ-081</t>
        </is>
      </c>
      <c r="B84" s="11" t="n"/>
      <c r="C84" s="11" t="n"/>
      <c r="D84" s="11" t="n"/>
      <c r="E84" s="11" t="n"/>
      <c r="F84" s="4" t="n"/>
      <c r="G84" s="30" t="n"/>
      <c r="H84" s="4" t="n"/>
      <c r="I84" s="4" t="n"/>
      <c r="J84" s="4" t="n"/>
      <c r="K84" s="4" t="n"/>
      <c r="L84" s="4" t="n"/>
    </row>
    <row r="85">
      <c r="A85" s="11" t="inlineStr">
        <is>
          <t>REQ-082</t>
        </is>
      </c>
      <c r="B85" s="11" t="n"/>
      <c r="C85" s="11" t="n"/>
      <c r="D85" s="11" t="n"/>
      <c r="E85" s="11" t="n"/>
      <c r="F85" s="4" t="n"/>
      <c r="G85" s="30" t="n"/>
      <c r="H85" s="4" t="n"/>
      <c r="I85" s="4" t="n"/>
      <c r="J85" s="4" t="n"/>
      <c r="K85" s="4" t="n"/>
      <c r="L85" s="4" t="n"/>
    </row>
    <row r="86">
      <c r="A86" s="11" t="inlineStr">
        <is>
          <t>REQ-083</t>
        </is>
      </c>
      <c r="B86" s="11" t="n"/>
      <c r="C86" s="11" t="n"/>
      <c r="D86" s="11" t="n"/>
      <c r="E86" s="11" t="n"/>
      <c r="F86" s="4" t="n"/>
      <c r="G86" s="30" t="n"/>
      <c r="H86" s="4" t="n"/>
      <c r="I86" s="4" t="n"/>
      <c r="J86" s="4" t="n"/>
      <c r="K86" s="4" t="n"/>
      <c r="L86" s="4" t="n"/>
    </row>
    <row r="87">
      <c r="A87" s="11" t="inlineStr">
        <is>
          <t>REQ-084</t>
        </is>
      </c>
      <c r="B87" s="11" t="n"/>
      <c r="C87" s="11" t="n"/>
      <c r="D87" s="11" t="n"/>
      <c r="E87" s="11" t="n"/>
      <c r="F87" s="4" t="n"/>
      <c r="G87" s="30" t="n"/>
      <c r="H87" s="4" t="n"/>
      <c r="I87" s="4" t="n"/>
      <c r="J87" s="4" t="n"/>
      <c r="K87" s="4" t="n"/>
      <c r="L87" s="4" t="n"/>
    </row>
    <row r="88">
      <c r="A88" s="11" t="inlineStr">
        <is>
          <t>REQ-085</t>
        </is>
      </c>
      <c r="B88" s="11" t="n"/>
      <c r="C88" s="11" t="n"/>
      <c r="D88" s="11" t="n"/>
      <c r="E88" s="11" t="n"/>
      <c r="F88" s="4" t="n"/>
      <c r="G88" s="30" t="n"/>
      <c r="H88" s="4" t="n"/>
      <c r="I88" s="4" t="n"/>
      <c r="J88" s="4" t="n"/>
      <c r="K88" s="4" t="n"/>
      <c r="L88" s="4" t="n"/>
    </row>
    <row r="89">
      <c r="A89" s="11" t="inlineStr">
        <is>
          <t>REQ-086</t>
        </is>
      </c>
      <c r="B89" s="11" t="n"/>
      <c r="C89" s="11" t="n"/>
      <c r="D89" s="11" t="n"/>
      <c r="E89" s="11" t="n"/>
      <c r="F89" s="4" t="n"/>
      <c r="G89" s="30" t="n"/>
      <c r="H89" s="4" t="n"/>
      <c r="I89" s="4" t="n"/>
      <c r="J89" s="4" t="n"/>
      <c r="K89" s="4" t="n"/>
      <c r="L89" s="4" t="n"/>
    </row>
    <row r="90">
      <c r="A90" s="11" t="inlineStr">
        <is>
          <t>REQ-087</t>
        </is>
      </c>
      <c r="B90" s="11" t="n"/>
      <c r="C90" s="11" t="n"/>
      <c r="D90" s="11" t="n"/>
      <c r="E90" s="11" t="n"/>
      <c r="F90" s="4" t="n"/>
      <c r="G90" s="30" t="n"/>
      <c r="H90" s="4" t="n"/>
      <c r="I90" s="4" t="n"/>
      <c r="J90" s="4" t="n"/>
      <c r="K90" s="4" t="n"/>
      <c r="L90" s="4" t="n"/>
    </row>
    <row r="91">
      <c r="A91" s="11" t="inlineStr">
        <is>
          <t>REQ-088</t>
        </is>
      </c>
      <c r="B91" s="11" t="n"/>
      <c r="C91" s="11" t="n"/>
      <c r="D91" s="11" t="n"/>
      <c r="E91" s="11" t="n"/>
      <c r="F91" s="4" t="n"/>
      <c r="G91" s="30" t="n"/>
      <c r="H91" s="4" t="n"/>
      <c r="I91" s="4" t="n"/>
      <c r="J91" s="4" t="n"/>
      <c r="K91" s="4" t="n"/>
      <c r="L91" s="4" t="n"/>
    </row>
    <row r="92">
      <c r="A92" s="11" t="inlineStr">
        <is>
          <t>REQ-089</t>
        </is>
      </c>
      <c r="B92" s="11" t="n"/>
      <c r="C92" s="11" t="n"/>
      <c r="D92" s="11" t="n"/>
      <c r="E92" s="11" t="n"/>
      <c r="F92" s="4" t="n"/>
      <c r="G92" s="30" t="n"/>
      <c r="H92" s="4" t="n"/>
      <c r="I92" s="4" t="n"/>
      <c r="J92" s="4" t="n"/>
      <c r="K92" s="4" t="n"/>
      <c r="L92" s="4" t="n"/>
    </row>
    <row r="93">
      <c r="A93" s="11" t="inlineStr">
        <is>
          <t>REQ-090</t>
        </is>
      </c>
      <c r="B93" s="11" t="n"/>
      <c r="C93" s="11" t="n"/>
      <c r="D93" s="11" t="n"/>
      <c r="E93" s="11" t="n"/>
      <c r="F93" s="4" t="n"/>
      <c r="G93" s="30" t="n"/>
      <c r="H93" s="4" t="n"/>
      <c r="I93" s="4" t="n"/>
      <c r="J93" s="4" t="n"/>
      <c r="K93" s="4" t="n"/>
      <c r="L93" s="4" t="n"/>
    </row>
    <row r="94">
      <c r="A94" s="11" t="inlineStr">
        <is>
          <t>REQ-091</t>
        </is>
      </c>
      <c r="B94" s="11" t="n"/>
      <c r="C94" s="11" t="n"/>
      <c r="D94" s="11" t="n"/>
      <c r="E94" s="11" t="n"/>
      <c r="F94" s="4" t="n"/>
      <c r="G94" s="30" t="n"/>
      <c r="H94" s="4" t="n"/>
      <c r="I94" s="4" t="n"/>
      <c r="J94" s="4" t="n"/>
      <c r="K94" s="4" t="n"/>
      <c r="L94" s="4" t="n"/>
    </row>
    <row r="95">
      <c r="A95" s="11" t="inlineStr">
        <is>
          <t>REQ-092</t>
        </is>
      </c>
      <c r="B95" s="11" t="n"/>
      <c r="C95" s="11" t="n"/>
      <c r="D95" s="11" t="n"/>
      <c r="E95" s="11" t="n"/>
      <c r="F95" s="4" t="n"/>
      <c r="G95" s="30" t="n"/>
      <c r="H95" s="4" t="n"/>
      <c r="I95" s="4" t="n"/>
      <c r="J95" s="4" t="n"/>
      <c r="K95" s="4" t="n"/>
      <c r="L95" s="4" t="n"/>
    </row>
    <row r="96">
      <c r="A96" s="11" t="inlineStr">
        <is>
          <t>REQ-093</t>
        </is>
      </c>
      <c r="B96" s="11" t="n"/>
      <c r="C96" s="11" t="n"/>
      <c r="D96" s="11" t="n"/>
      <c r="E96" s="11" t="n"/>
      <c r="F96" s="4" t="n"/>
      <c r="G96" s="30" t="n"/>
      <c r="H96" s="4" t="n"/>
      <c r="I96" s="4" t="n"/>
      <c r="J96" s="4" t="n"/>
      <c r="K96" s="4" t="n"/>
      <c r="L96" s="4" t="n"/>
    </row>
    <row r="97">
      <c r="A97" s="11" t="inlineStr">
        <is>
          <t>REQ-094</t>
        </is>
      </c>
      <c r="B97" s="11" t="n"/>
      <c r="C97" s="11" t="n"/>
      <c r="D97" s="11" t="n"/>
      <c r="E97" s="11" t="n"/>
      <c r="F97" s="4" t="n"/>
      <c r="G97" s="30" t="n"/>
      <c r="H97" s="4" t="n"/>
      <c r="I97" s="4" t="n"/>
      <c r="J97" s="4" t="n"/>
      <c r="K97" s="4" t="n"/>
      <c r="L97" s="4" t="n"/>
    </row>
    <row r="98">
      <c r="A98" s="11" t="inlineStr">
        <is>
          <t>REQ-095</t>
        </is>
      </c>
      <c r="B98" s="11" t="n"/>
      <c r="C98" s="11" t="n"/>
      <c r="D98" s="11" t="n"/>
      <c r="E98" s="11" t="n"/>
      <c r="F98" s="4" t="n"/>
      <c r="G98" s="30" t="n"/>
      <c r="H98" s="4" t="n"/>
      <c r="I98" s="4" t="n"/>
      <c r="J98" s="4" t="n"/>
      <c r="K98" s="4" t="n"/>
      <c r="L98" s="4" t="n"/>
    </row>
    <row r="99">
      <c r="A99" s="11" t="inlineStr">
        <is>
          <t>REQ-096</t>
        </is>
      </c>
      <c r="B99" s="11" t="n"/>
      <c r="C99" s="11" t="n"/>
      <c r="D99" s="11" t="n"/>
      <c r="E99" s="11" t="n"/>
      <c r="F99" s="4" t="n"/>
      <c r="G99" s="30" t="n"/>
      <c r="H99" s="4" t="n"/>
      <c r="I99" s="4" t="n"/>
      <c r="J99" s="4" t="n"/>
      <c r="K99" s="4" t="n"/>
      <c r="L99" s="4" t="n"/>
    </row>
    <row r="100">
      <c r="A100" s="11" t="inlineStr">
        <is>
          <t>REQ-097</t>
        </is>
      </c>
      <c r="B100" s="11" t="n"/>
      <c r="C100" s="11" t="n"/>
      <c r="D100" s="11" t="n"/>
      <c r="E100" s="11" t="n"/>
      <c r="F100" s="4" t="n"/>
      <c r="G100" s="30" t="n"/>
      <c r="H100" s="4" t="n"/>
      <c r="I100" s="4" t="n"/>
      <c r="J100" s="4" t="n"/>
      <c r="K100" s="4" t="n"/>
      <c r="L100" s="4" t="n"/>
    </row>
    <row r="101">
      <c r="A101" s="11" t="inlineStr">
        <is>
          <t>REQ-098</t>
        </is>
      </c>
      <c r="B101" s="11" t="n"/>
      <c r="C101" s="11" t="n"/>
      <c r="D101" s="11" t="n"/>
      <c r="E101" s="11" t="n"/>
      <c r="F101" s="4" t="n"/>
      <c r="G101" s="30" t="n"/>
      <c r="H101" s="4" t="n"/>
      <c r="I101" s="4" t="n"/>
      <c r="J101" s="4" t="n"/>
      <c r="K101" s="4" t="n"/>
      <c r="L101" s="4" t="n"/>
    </row>
    <row r="102">
      <c r="A102" s="11" t="inlineStr">
        <is>
          <t>REQ-099</t>
        </is>
      </c>
      <c r="B102" s="11" t="n"/>
      <c r="C102" s="11" t="n"/>
      <c r="D102" s="11" t="n"/>
      <c r="E102" s="11" t="n"/>
      <c r="F102" s="4" t="n"/>
      <c r="G102" s="30" t="n"/>
      <c r="H102" s="4" t="n"/>
      <c r="I102" s="4" t="n"/>
      <c r="J102" s="4" t="n"/>
      <c r="K102" s="4" t="n"/>
      <c r="L102" s="4" t="n"/>
    </row>
    <row r="103">
      <c r="A103" s="11" t="inlineStr">
        <is>
          <t>REQ-100</t>
        </is>
      </c>
      <c r="B103" s="11" t="n"/>
      <c r="C103" s="11" t="n"/>
      <c r="D103" s="11" t="n"/>
      <c r="E103" s="11" t="n"/>
      <c r="F103" s="4" t="n"/>
      <c r="G103" s="30" t="n"/>
      <c r="H103" s="4" t="n"/>
      <c r="I103" s="4" t="n"/>
      <c r="J103" s="4" t="n"/>
      <c r="K103" s="4" t="n"/>
      <c r="L103" s="4" t="n"/>
    </row>
    <row r="104">
      <c r="A104" s="11" t="inlineStr">
        <is>
          <t>REQ-101</t>
        </is>
      </c>
      <c r="B104" s="11" t="n"/>
      <c r="C104" s="11" t="n"/>
      <c r="D104" s="11" t="n"/>
      <c r="E104" s="11" t="n"/>
      <c r="F104" s="4" t="n"/>
      <c r="G104" s="30" t="n"/>
      <c r="H104" s="4" t="n"/>
      <c r="I104" s="4" t="n"/>
      <c r="J104" s="4" t="n"/>
      <c r="K104" s="4" t="n"/>
      <c r="L104" s="4" t="n"/>
    </row>
    <row r="105">
      <c r="A105" s="11" t="inlineStr">
        <is>
          <t>REQ-102</t>
        </is>
      </c>
      <c r="B105" s="11" t="n"/>
      <c r="C105" s="11" t="n"/>
      <c r="D105" s="11" t="n"/>
      <c r="E105" s="11" t="n"/>
      <c r="F105" s="4" t="n"/>
      <c r="G105" s="30" t="n"/>
      <c r="H105" s="4" t="n"/>
      <c r="I105" s="4" t="n"/>
      <c r="J105" s="4" t="n"/>
      <c r="K105" s="4" t="n"/>
      <c r="L105" s="4" t="n"/>
    </row>
    <row r="106">
      <c r="A106" s="11" t="inlineStr">
        <is>
          <t>REQ-103</t>
        </is>
      </c>
      <c r="B106" s="11" t="n"/>
      <c r="C106" s="11" t="n"/>
      <c r="D106" s="11" t="n"/>
      <c r="E106" s="11" t="n"/>
      <c r="F106" s="4" t="n"/>
      <c r="G106" s="30" t="n"/>
      <c r="H106" s="4" t="n"/>
      <c r="I106" s="4" t="n"/>
      <c r="J106" s="4" t="n"/>
      <c r="K106" s="4" t="n"/>
      <c r="L106" s="4" t="n"/>
    </row>
    <row r="107">
      <c r="A107" s="11" t="inlineStr">
        <is>
          <t>REQ-104</t>
        </is>
      </c>
      <c r="B107" s="11" t="n"/>
      <c r="C107" s="11" t="n"/>
      <c r="D107" s="11" t="n"/>
      <c r="E107" s="11" t="n"/>
      <c r="F107" s="4" t="n"/>
      <c r="G107" s="30" t="n"/>
      <c r="H107" s="4" t="n"/>
      <c r="I107" s="4" t="n"/>
      <c r="J107" s="4" t="n"/>
      <c r="K107" s="4" t="n"/>
      <c r="L107" s="4" t="n"/>
    </row>
    <row r="108">
      <c r="A108" s="11" t="inlineStr">
        <is>
          <t>REQ-105</t>
        </is>
      </c>
      <c r="B108" s="11" t="n"/>
      <c r="C108" s="11" t="n"/>
      <c r="D108" s="11" t="n"/>
      <c r="E108" s="11" t="n"/>
      <c r="F108" s="4" t="n"/>
      <c r="G108" s="30" t="n"/>
      <c r="H108" s="4" t="n"/>
      <c r="I108" s="4" t="n"/>
      <c r="J108" s="4" t="n"/>
      <c r="K108" s="4" t="n"/>
      <c r="L108" s="4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 ht="40" customHeight="1">
      <c r="A1" s="1" t="inlineStr">
        <is>
          <t>KEY PERFORMANCE INDICATORS (KPIs)</t>
        </is>
      </c>
    </row>
    <row r="3">
      <c r="A3" s="20" t="inlineStr">
        <is>
          <t>COVERAGE KPIs</t>
        </is>
      </c>
    </row>
    <row r="4">
      <c r="A4" s="10" t="inlineStr">
        <is>
          <t>KPI</t>
        </is>
      </c>
      <c r="B4" s="10" t="inlineStr">
        <is>
          <t>Current</t>
        </is>
      </c>
      <c r="C4" s="10" t="inlineStr">
        <is>
          <t>Target</t>
        </is>
      </c>
      <c r="D4" s="10" t="inlineStr">
        <is>
          <t>Baseline</t>
        </is>
      </c>
      <c r="E4" s="10" t="inlineStr">
        <is>
          <t>Trend (3mo)</t>
        </is>
      </c>
      <c r="F4" s="10" t="inlineStr">
        <is>
          <t>Status</t>
        </is>
      </c>
    </row>
    <row r="5">
      <c r="A5" s="11" t="inlineStr">
        <is>
          <t>Critical Systems Monitored %</t>
        </is>
      </c>
      <c r="B5" s="4" t="n"/>
      <c r="C5" s="4" t="n"/>
      <c r="D5" s="4" t="n"/>
      <c r="E5" s="4" t="n"/>
      <c r="F5" s="4" t="n"/>
    </row>
    <row r="6">
      <c r="A6" s="11" t="inlineStr">
        <is>
          <t>High Priority Systems %</t>
        </is>
      </c>
      <c r="B6" s="4" t="n"/>
      <c r="C6" s="4" t="n"/>
      <c r="D6" s="4" t="n"/>
      <c r="E6" s="4" t="n"/>
      <c r="F6" s="4" t="n"/>
    </row>
    <row r="7">
      <c r="A7" s="11" t="inlineStr">
        <is>
          <t>Overall Asset Coverage %</t>
        </is>
      </c>
      <c r="B7" s="4" t="n"/>
      <c r="C7" s="4" t="n"/>
      <c r="D7" s="4" t="n"/>
      <c r="E7" s="4" t="n"/>
      <c r="F7" s="4" t="n"/>
    </row>
    <row r="8">
      <c r="A8" s="11" t="inlineStr">
        <is>
          <t>Network Segments Covered %</t>
        </is>
      </c>
      <c r="B8" s="4" t="n"/>
      <c r="C8" s="4" t="n"/>
      <c r="D8" s="4" t="n"/>
      <c r="E8" s="4" t="n"/>
      <c r="F8" s="4" t="n"/>
    </row>
    <row r="9">
      <c r="A9" s="11" t="inlineStr">
        <is>
          <t>Log Sources Integrated (Count)</t>
        </is>
      </c>
      <c r="B9" s="4" t="n"/>
      <c r="C9" s="4" t="n"/>
      <c r="D9" s="4" t="n"/>
      <c r="E9" s="4" t="n"/>
      <c r="F9" s="4" t="n"/>
    </row>
    <row r="10">
      <c r="A10" s="11" t="inlineStr">
        <is>
          <t>Log Volume (GB/day)</t>
        </is>
      </c>
      <c r="B10" s="4" t="n"/>
      <c r="C10" s="4" t="n"/>
      <c r="D10" s="4" t="n"/>
      <c r="E10" s="4" t="n"/>
      <c r="F10" s="4" t="n"/>
    </row>
    <row r="11">
      <c r="A11" s="11" t="inlineStr">
        <is>
          <t>Log Collection Reliability %</t>
        </is>
      </c>
      <c r="B11" s="4" t="n"/>
      <c r="C11" s="4" t="n"/>
      <c r="D11" s="4" t="n"/>
      <c r="E11" s="4" t="n"/>
      <c r="F11" s="4" t="n"/>
    </row>
    <row r="14">
      <c r="A14" s="20" t="inlineStr">
        <is>
          <t>DETECTION KPIs</t>
        </is>
      </c>
    </row>
    <row r="15">
      <c r="A15" s="10" t="inlineStr">
        <is>
          <t>KPI</t>
        </is>
      </c>
      <c r="B15" s="10" t="inlineStr">
        <is>
          <t>Current</t>
        </is>
      </c>
      <c r="C15" s="10" t="inlineStr">
        <is>
          <t>Target</t>
        </is>
      </c>
      <c r="D15" s="10" t="inlineStr">
        <is>
          <t>Baseline</t>
        </is>
      </c>
      <c r="E15" s="10" t="inlineStr">
        <is>
          <t>Trend (3mo)</t>
        </is>
      </c>
      <c r="F15" s="10" t="inlineStr">
        <is>
          <t>Status</t>
        </is>
      </c>
    </row>
    <row r="16">
      <c r="A16" s="11" t="inlineStr">
        <is>
          <t>Tier 1 Systems with Baselines %</t>
        </is>
      </c>
      <c r="B16" s="4" t="n"/>
      <c r="C16" s="4" t="n"/>
      <c r="D16" s="4" t="n"/>
      <c r="E16" s="4" t="n"/>
      <c r="F16" s="4" t="n"/>
    </row>
    <row r="17">
      <c r="A17" s="11" t="inlineStr">
        <is>
          <t>Tier 2 Systems with Baselines %</t>
        </is>
      </c>
      <c r="B17" s="4" t="n"/>
      <c r="C17" s="4" t="n"/>
      <c r="D17" s="4" t="n"/>
      <c r="E17" s="4" t="n"/>
      <c r="F17" s="4" t="n"/>
    </row>
    <row r="18">
      <c r="A18" s="11" t="inlineStr">
        <is>
          <t>Baseline Staleness (Avg Days)</t>
        </is>
      </c>
      <c r="B18" s="4" t="n"/>
      <c r="C18" s="4" t="n"/>
      <c r="D18" s="4" t="n"/>
      <c r="E18" s="4" t="n"/>
      <c r="F18" s="4" t="n"/>
    </row>
    <row r="19">
      <c r="A19" s="11" t="inlineStr">
        <is>
          <t>Active Detection Rules (Count)</t>
        </is>
      </c>
      <c r="B19" s="4" t="n"/>
      <c r="C19" s="4" t="n"/>
      <c r="D19" s="4" t="n"/>
      <c r="E19" s="4" t="n"/>
      <c r="F19" s="4" t="n"/>
    </row>
    <row r="20">
      <c r="A20" s="11" t="inlineStr">
        <is>
          <t>MITRE ATT&amp;CK Coverage %</t>
        </is>
      </c>
      <c r="B20" s="4" t="n"/>
      <c r="C20" s="4" t="n"/>
      <c r="D20" s="4" t="n"/>
      <c r="E20" s="4" t="n"/>
      <c r="F20" s="4" t="n"/>
    </row>
    <row r="21">
      <c r="A21" s="11" t="inlineStr">
        <is>
          <t>Detection Rate (Testing) %</t>
        </is>
      </c>
      <c r="B21" s="4" t="n"/>
      <c r="C21" s="4" t="n"/>
      <c r="D21" s="4" t="n"/>
      <c r="E21" s="4" t="n"/>
      <c r="F21" s="4" t="n"/>
    </row>
    <row r="22">
      <c r="A22" s="11" t="inlineStr">
        <is>
          <t>False Positive Rate %</t>
        </is>
      </c>
      <c r="B22" s="4" t="n"/>
      <c r="C22" s="4" t="n"/>
      <c r="D22" s="4" t="n"/>
      <c r="E22" s="4" t="n"/>
      <c r="F22" s="4" t="n"/>
    </row>
    <row r="23">
      <c r="A23" s="11" t="inlineStr">
        <is>
          <t>Rules Requiring Tuning (Count)</t>
        </is>
      </c>
      <c r="B23" s="4" t="n"/>
      <c r="C23" s="4" t="n"/>
      <c r="D23" s="4" t="n"/>
      <c r="E23" s="4" t="n"/>
      <c r="F23" s="4" t="n"/>
    </row>
    <row r="26">
      <c r="A26" s="20" t="inlineStr">
        <is>
          <t>RESPONSE KPIs</t>
        </is>
      </c>
    </row>
    <row r="27">
      <c r="A27" s="10" t="inlineStr">
        <is>
          <t>KPI</t>
        </is>
      </c>
      <c r="B27" s="10" t="inlineStr">
        <is>
          <t>Current</t>
        </is>
      </c>
      <c r="C27" s="10" t="inlineStr">
        <is>
          <t>Target</t>
        </is>
      </c>
      <c r="D27" s="10" t="inlineStr">
        <is>
          <t>Baseline</t>
        </is>
      </c>
      <c r="E27" s="10" t="inlineStr">
        <is>
          <t>Trend (3mo)</t>
        </is>
      </c>
      <c r="F27" s="10" t="inlineStr">
        <is>
          <t>Status</t>
        </is>
      </c>
    </row>
    <row r="28">
      <c r="A28" s="11" t="inlineStr">
        <is>
          <t>Total Alerts (30d)</t>
        </is>
      </c>
      <c r="B28" s="4" t="n"/>
      <c r="C28" s="4" t="n"/>
      <c r="D28" s="4" t="n"/>
      <c r="E28" s="4" t="n"/>
      <c r="F28" s="4" t="n"/>
    </row>
    <row r="29">
      <c r="A29" s="11" t="inlineStr">
        <is>
          <t>True Positive Rate %</t>
        </is>
      </c>
      <c r="B29" s="4" t="n"/>
      <c r="C29" s="4" t="n"/>
      <c r="D29" s="4" t="n"/>
      <c r="E29" s="4" t="n"/>
      <c r="F29" s="4" t="n"/>
    </row>
    <row r="30">
      <c r="A30" s="11" t="inlineStr">
        <is>
          <t>MTTA - Critical (minutes)</t>
        </is>
      </c>
      <c r="B30" s="4" t="n"/>
      <c r="C30" s="4" t="n"/>
      <c r="D30" s="4" t="n"/>
      <c r="E30" s="4" t="n"/>
      <c r="F30" s="4" t="n"/>
    </row>
    <row r="31">
      <c r="A31" s="11" t="inlineStr">
        <is>
          <t>MTTT - Critical (minutes)</t>
        </is>
      </c>
      <c r="B31" s="4" t="n"/>
      <c r="C31" s="4" t="n"/>
      <c r="D31" s="4" t="n"/>
      <c r="E31" s="4" t="n"/>
      <c r="F31" s="4" t="n"/>
    </row>
    <row r="32">
      <c r="A32" s="11" t="inlineStr">
        <is>
          <t>MTTI - Critical (hours)</t>
        </is>
      </c>
      <c r="B32" s="4" t="n"/>
      <c r="C32" s="4" t="n"/>
      <c r="D32" s="4" t="n"/>
      <c r="E32" s="4" t="n"/>
      <c r="F32" s="4" t="n"/>
    </row>
    <row r="33">
      <c r="A33" s="11" t="inlineStr">
        <is>
          <t>MTTR - Critical (hours)</t>
        </is>
      </c>
      <c r="B33" s="4" t="n"/>
      <c r="C33" s="4" t="n"/>
      <c r="D33" s="4" t="n"/>
      <c r="E33" s="4" t="n"/>
      <c r="F33" s="4" t="n"/>
    </row>
    <row r="34">
      <c r="A34" s="11" t="inlineStr">
        <is>
          <t>SLA Compliance Rate %</t>
        </is>
      </c>
      <c r="B34" s="4" t="n"/>
      <c r="C34" s="4" t="n"/>
      <c r="D34" s="4" t="n"/>
      <c r="E34" s="4" t="n"/>
      <c r="F34" s="4" t="n"/>
    </row>
    <row r="35">
      <c r="A35" s="11" t="inlineStr">
        <is>
          <t>Escalation Rate %</t>
        </is>
      </c>
      <c r="B35" s="4" t="n"/>
      <c r="C35" s="4" t="n"/>
      <c r="D35" s="4" t="n"/>
      <c r="E35" s="4" t="n"/>
      <c r="F35" s="4" t="n"/>
    </row>
  </sheetData>
  <mergeCells count="4">
    <mergeCell ref="A26:G26"/>
    <mergeCell ref="A3:G3"/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5" customWidth="1" min="4" max="4"/>
    <col width="12" customWidth="1" min="5" max="5"/>
    <col width="15" customWidth="1" min="6" max="6"/>
    <col width="30" customWidth="1" min="7" max="7"/>
    <col width="20" customWidth="1" min="8" max="8"/>
    <col width="14" customWidth="1" min="9" max="9"/>
    <col width="15" customWidth="1" min="10" max="10"/>
    <col width="15" customWidth="1" min="11" max="11"/>
    <col width="12" customWidth="1" min="12" max="12"/>
    <col width="14" customWidth="1" min="13" max="13"/>
  </cols>
  <sheetData>
    <row r="1" ht="40" customHeight="1">
      <c r="A1" s="1" t="inlineStr">
        <is>
          <t>GAP ANALYSIS &amp; REMEDIATION TRACKER</t>
        </is>
      </c>
    </row>
    <row r="3">
      <c r="A3" s="10" t="inlineStr">
        <is>
          <t>Gap ID</t>
        </is>
      </c>
      <c r="B3" s="10" t="inlineStr">
        <is>
          <t>Source Assessment</t>
        </is>
      </c>
      <c r="C3" s="10" t="inlineStr">
        <is>
          <t>Gap Category</t>
        </is>
      </c>
      <c r="D3" s="10" t="inlineStr">
        <is>
          <t>Description</t>
        </is>
      </c>
      <c r="E3" s="10" t="inlineStr">
        <is>
          <t>Risk</t>
        </is>
      </c>
      <c r="F3" s="10" t="inlineStr">
        <is>
          <t>Impact</t>
        </is>
      </c>
      <c r="G3" s="10" t="inlineStr">
        <is>
          <t>Remediation Plan</t>
        </is>
      </c>
      <c r="H3" s="10" t="inlineStr">
        <is>
          <t>Owner</t>
        </is>
      </c>
      <c r="I3" s="10" t="inlineStr">
        <is>
          <t>Target Date</t>
        </is>
      </c>
      <c r="J3" s="10" t="inlineStr">
        <is>
          <t>Budget</t>
        </is>
      </c>
      <c r="K3" s="10" t="inlineStr">
        <is>
          <t>Status</t>
        </is>
      </c>
      <c r="L3" s="10" t="inlineStr">
        <is>
          <t>% Complete</t>
        </is>
      </c>
      <c r="M3" s="10" t="inlineStr">
        <is>
          <t>Last Updated</t>
        </is>
      </c>
    </row>
    <row r="4">
      <c r="A4" t="inlineStr">
        <is>
          <t>GAP-001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t="inlineStr">
        <is>
          <t>GAP-002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t="inlineStr">
        <is>
          <t>GAP-003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t="inlineStr">
        <is>
          <t>GAP-004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t="inlineStr">
        <is>
          <t>GAP-005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t="inlineStr">
        <is>
          <t>GAP-006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t="inlineStr">
        <is>
          <t>GAP-007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t="inlineStr">
        <is>
          <t>GAP-008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t="inlineStr">
        <is>
          <t>GAP-009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t="inlineStr">
        <is>
          <t>GAP-010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t="inlineStr">
        <is>
          <t>GAP-011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t="inlineStr">
        <is>
          <t>GAP-012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t="inlineStr">
        <is>
          <t>GAP-013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t="inlineStr">
        <is>
          <t>GAP-014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t="inlineStr">
        <is>
          <t>GAP-015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t="inlineStr">
        <is>
          <t>GAP-016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t="inlineStr">
        <is>
          <t>GAP-017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t="inlineStr">
        <is>
          <t>GAP-018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t="inlineStr">
        <is>
          <t>GAP-019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t="inlineStr">
        <is>
          <t>GAP-020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t="inlineStr">
        <is>
          <t>GAP-021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t="inlineStr">
        <is>
          <t>GAP-022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t="inlineStr">
        <is>
          <t>GAP-023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t="inlineStr">
        <is>
          <t>GAP-024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t="inlineStr">
        <is>
          <t>GAP-025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t="inlineStr">
        <is>
          <t>GAP-026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t="inlineStr">
        <is>
          <t>GAP-027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t="inlineStr">
        <is>
          <t>GAP-028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t="inlineStr">
        <is>
          <t>GAP-029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t="inlineStr">
        <is>
          <t>GAP-030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t="inlineStr">
        <is>
          <t>GAP-031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t="inlineStr">
        <is>
          <t>GAP-032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t="inlineStr">
        <is>
          <t>GAP-033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t="inlineStr">
        <is>
          <t>GAP-034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t="inlineStr">
        <is>
          <t>GAP-035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t="inlineStr">
        <is>
          <t>GAP-036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t="inlineStr">
        <is>
          <t>GAP-037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t="inlineStr">
        <is>
          <t>GAP-038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t="inlineStr">
        <is>
          <t>GAP-039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t="inlineStr">
        <is>
          <t>GAP-040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t="inlineStr">
        <is>
          <t>GAP-041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t="inlineStr">
        <is>
          <t>GAP-042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t="inlineStr">
        <is>
          <t>GAP-043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t="inlineStr">
        <is>
          <t>GAP-044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t="inlineStr">
        <is>
          <t>GAP-045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t="inlineStr">
        <is>
          <t>GAP-046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t="inlineStr">
        <is>
          <t>GAP-047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t="inlineStr">
        <is>
          <t>GAP-048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t="inlineStr">
        <is>
          <t>GAP-049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t="inlineStr">
        <is>
          <t>GAP-050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t="inlineStr">
        <is>
          <t>GAP-051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t="inlineStr">
        <is>
          <t>GAP-052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t="inlineStr">
        <is>
          <t>GAP-053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t="inlineStr">
        <is>
          <t>GAP-054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t="inlineStr">
        <is>
          <t>GAP-055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t="inlineStr">
        <is>
          <t>GAP-056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t="inlineStr">
        <is>
          <t>GAP-057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t="inlineStr">
        <is>
          <t>GAP-058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t="inlineStr">
        <is>
          <t>GAP-059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t="inlineStr">
        <is>
          <t>GAP-060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TREND ANALYSIS</t>
        </is>
      </c>
    </row>
    <row r="3">
      <c r="A3" s="20" t="inlineStr">
        <is>
          <t>MONTHLY COMPLIANCE TREND (12 MONTHS)</t>
        </is>
      </c>
    </row>
    <row r="4">
      <c r="A4" s="10" t="inlineStr">
        <is>
          <t>Month</t>
        </is>
      </c>
      <c r="B4" s="10" t="inlineStr">
        <is>
          <t>Overall %</t>
        </is>
      </c>
      <c r="C4" s="10" t="inlineStr">
        <is>
          <t>Infrastructure %</t>
        </is>
      </c>
      <c r="D4" s="10" t="inlineStr">
        <is>
          <t>Baseline %</t>
        </is>
      </c>
      <c r="E4" s="10" t="inlineStr">
        <is>
          <t>Coverage %</t>
        </is>
      </c>
      <c r="F4" s="10" t="inlineStr">
        <is>
          <t>Alert Mgmt %</t>
        </is>
      </c>
    </row>
    <row r="5">
      <c r="A5" s="11" t="inlineStr">
        <is>
          <t>Jan 2025</t>
        </is>
      </c>
      <c r="B5" s="4" t="n"/>
      <c r="C5" s="4" t="n"/>
      <c r="D5" s="4" t="n"/>
      <c r="E5" s="4" t="n"/>
      <c r="F5" s="4" t="n"/>
    </row>
    <row r="6">
      <c r="A6" s="11" t="inlineStr">
        <is>
          <t>Feb 2025</t>
        </is>
      </c>
      <c r="B6" s="4" t="n"/>
      <c r="C6" s="4" t="n"/>
      <c r="D6" s="4" t="n"/>
      <c r="E6" s="4" t="n"/>
      <c r="F6" s="4" t="n"/>
    </row>
    <row r="7">
      <c r="A7" s="11" t="inlineStr">
        <is>
          <t>Mar 2025</t>
        </is>
      </c>
      <c r="B7" s="4" t="n"/>
      <c r="C7" s="4" t="n"/>
      <c r="D7" s="4" t="n"/>
      <c r="E7" s="4" t="n"/>
      <c r="F7" s="4" t="n"/>
    </row>
    <row r="8">
      <c r="A8" s="11" t="inlineStr">
        <is>
          <t>Apr 2025</t>
        </is>
      </c>
      <c r="B8" s="4" t="n"/>
      <c r="C8" s="4" t="n"/>
      <c r="D8" s="4" t="n"/>
      <c r="E8" s="4" t="n"/>
      <c r="F8" s="4" t="n"/>
    </row>
    <row r="9">
      <c r="A9" s="11" t="inlineStr">
        <is>
          <t>May 2025</t>
        </is>
      </c>
      <c r="B9" s="4" t="n"/>
      <c r="C9" s="4" t="n"/>
      <c r="D9" s="4" t="n"/>
      <c r="E9" s="4" t="n"/>
      <c r="F9" s="4" t="n"/>
    </row>
    <row r="10">
      <c r="A10" s="11" t="inlineStr">
        <is>
          <t>Jun 2025</t>
        </is>
      </c>
      <c r="B10" s="4" t="n"/>
      <c r="C10" s="4" t="n"/>
      <c r="D10" s="4" t="n"/>
      <c r="E10" s="4" t="n"/>
      <c r="F10" s="4" t="n"/>
    </row>
    <row r="11">
      <c r="A11" s="11" t="inlineStr">
        <is>
          <t>Jul 2025</t>
        </is>
      </c>
      <c r="B11" s="4" t="n"/>
      <c r="C11" s="4" t="n"/>
      <c r="D11" s="4" t="n"/>
      <c r="E11" s="4" t="n"/>
      <c r="F11" s="4" t="n"/>
    </row>
    <row r="12">
      <c r="A12" s="11" t="inlineStr">
        <is>
          <t>Aug 2025</t>
        </is>
      </c>
      <c r="B12" s="4" t="n"/>
      <c r="C12" s="4" t="n"/>
      <c r="D12" s="4" t="n"/>
      <c r="E12" s="4" t="n"/>
      <c r="F12" s="4" t="n"/>
    </row>
    <row r="13">
      <c r="A13" s="11" t="inlineStr">
        <is>
          <t>Sep 2025</t>
        </is>
      </c>
      <c r="B13" s="4" t="n"/>
      <c r="C13" s="4" t="n"/>
      <c r="D13" s="4" t="n"/>
      <c r="E13" s="4" t="n"/>
      <c r="F13" s="4" t="n"/>
    </row>
    <row r="14">
      <c r="A14" s="11" t="inlineStr">
        <is>
          <t>Oct 2025</t>
        </is>
      </c>
      <c r="B14" s="4" t="n"/>
      <c r="C14" s="4" t="n"/>
      <c r="D14" s="4" t="n"/>
      <c r="E14" s="4" t="n"/>
      <c r="F14" s="4" t="n"/>
    </row>
    <row r="15">
      <c r="A15" s="11" t="inlineStr">
        <is>
          <t>Nov 2025</t>
        </is>
      </c>
      <c r="B15" s="4" t="n"/>
      <c r="C15" s="4" t="n"/>
      <c r="D15" s="4" t="n"/>
      <c r="E15" s="4" t="n"/>
      <c r="F15" s="4" t="n"/>
    </row>
    <row r="16">
      <c r="A16" s="11" t="inlineStr">
        <is>
          <t>Dec 2025</t>
        </is>
      </c>
      <c r="B16" s="4" t="n"/>
      <c r="C16" s="4" t="n"/>
      <c r="D16" s="4" t="n"/>
      <c r="E16" s="4" t="n"/>
      <c r="F16" s="4" t="n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2" customWidth="1" min="4" max="4"/>
    <col width="20" customWidth="1" min="5" max="5"/>
    <col width="16" customWidth="1" min="6" max="6"/>
    <col width="20" customWidth="1" min="7" max="7"/>
    <col width="30" customWidth="1" min="8" max="8"/>
    <col width="20" customWidth="1" min="9" max="9"/>
    <col width="20" customWidth="1" min="10" max="10"/>
    <col width="16" customWidth="1" min="11" max="11"/>
    <col width="25" customWidth="1" min="12" max="12"/>
  </cols>
  <sheetData>
    <row r="1" ht="40" customHeight="1">
      <c r="A1" s="1" t="inlineStr">
        <is>
          <t>EVIDENCE REGISTER &amp; APPROVALS</t>
        </is>
      </c>
    </row>
    <row r="3">
      <c r="A3" s="10" t="inlineStr">
        <is>
          <t>Evidence ID</t>
        </is>
      </c>
      <c r="B3" s="10" t="inlineStr">
        <is>
          <t>Evidence Type</t>
        </is>
      </c>
      <c r="C3" s="10" t="inlineStr">
        <is>
          <t>Description</t>
        </is>
      </c>
      <c r="D3" s="10" t="inlineStr">
        <is>
          <t>Related Requirement</t>
        </is>
      </c>
      <c r="E3" s="10" t="inlineStr">
        <is>
          <t>Source Assessment</t>
        </is>
      </c>
      <c r="F3" s="10" t="inlineStr">
        <is>
          <t>Date Collected</t>
        </is>
      </c>
      <c r="G3" s="10" t="inlineStr">
        <is>
          <t>Collected By</t>
        </is>
      </c>
      <c r="H3" s="10" t="inlineStr">
        <is>
          <t>Location/Link</t>
        </is>
      </c>
      <c r="I3" s="10" t="inlineStr">
        <is>
          <t>Verification Status</t>
        </is>
      </c>
      <c r="J3" s="10" t="inlineStr">
        <is>
          <t>Verified By</t>
        </is>
      </c>
      <c r="K3" s="10" t="inlineStr">
        <is>
          <t>Verification Date</t>
        </is>
      </c>
      <c r="L3" s="10" t="inlineStr">
        <is>
          <t>Notes</t>
        </is>
      </c>
    </row>
    <row r="4">
      <c r="A4" t="inlineStr">
        <is>
          <t>EVD-001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inlineStr">
        <is>
          <t>EVD-002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inlineStr">
        <is>
          <t>EVD-003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inlineStr">
        <is>
          <t>EVD-004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inlineStr">
        <is>
          <t>EVD-005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inlineStr">
        <is>
          <t>EVD-006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inlineStr">
        <is>
          <t>EVD-007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inlineStr">
        <is>
          <t>EVD-008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t="inlineStr">
        <is>
          <t>EVD-009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inlineStr">
        <is>
          <t>EVD-010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inlineStr">
        <is>
          <t>EVD-011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inlineStr">
        <is>
          <t>EVD-012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inlineStr">
        <is>
          <t>EVD-013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inlineStr">
        <is>
          <t>EVD-014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t="inlineStr">
        <is>
          <t>EVD-015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inlineStr">
        <is>
          <t>EVD-016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inlineStr">
        <is>
          <t>EVD-017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inlineStr">
        <is>
          <t>EVD-018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inlineStr">
        <is>
          <t>EVD-019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inlineStr">
        <is>
          <t>EVD-020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inlineStr">
        <is>
          <t>EVD-021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t="inlineStr">
        <is>
          <t>EVD-022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inlineStr">
        <is>
          <t>EVD-023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t="inlineStr">
        <is>
          <t>EVD-024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inlineStr">
        <is>
          <t>EVD-025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inlineStr">
        <is>
          <t>EVD-026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inlineStr">
        <is>
          <t>EVD-027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t="inlineStr">
        <is>
          <t>EVD-028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t="inlineStr">
        <is>
          <t>EVD-029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t="inlineStr">
        <is>
          <t>EVD-030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t="inlineStr">
        <is>
          <t>EVD-031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t="inlineStr">
        <is>
          <t>EVD-032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t="inlineStr">
        <is>
          <t>EVD-033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t="inlineStr">
        <is>
          <t>EVD-034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t="inlineStr">
        <is>
          <t>EVD-035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t="inlineStr">
        <is>
          <t>EVD-036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t="inlineStr">
        <is>
          <t>EVD-037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t="inlineStr">
        <is>
          <t>EVD-038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t="inlineStr">
        <is>
          <t>EVD-039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t="inlineStr">
        <is>
          <t>EVD-040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t="inlineStr">
        <is>
          <t>EVD-041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t="inlineStr">
        <is>
          <t>EVD-042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t="inlineStr">
        <is>
          <t>EVD-043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t="inlineStr">
        <is>
          <t>EVD-044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t="inlineStr">
        <is>
          <t>EVD-045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t="inlineStr">
        <is>
          <t>EVD-046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t="inlineStr">
        <is>
          <t>EVD-047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t="inlineStr">
        <is>
          <t>EVD-048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t="inlineStr">
        <is>
          <t>EVD-049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t="inlineStr">
        <is>
          <t>EVD-050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t="inlineStr">
        <is>
          <t>EVD-051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t="inlineStr">
        <is>
          <t>EVD-052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t="inlineStr">
        <is>
          <t>EVD-053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t="inlineStr">
        <is>
          <t>EVD-054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t="inlineStr">
        <is>
          <t>EVD-055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t="inlineStr">
        <is>
          <t>EVD-056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t="inlineStr">
        <is>
          <t>EVD-057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t="inlineStr">
        <is>
          <t>EVD-058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>EVD-059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t="inlineStr">
        <is>
          <t>EVD-060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t="inlineStr">
        <is>
          <t>EVD-061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t="inlineStr">
        <is>
          <t>EVD-062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t="inlineStr">
        <is>
          <t>EVD-063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t="inlineStr">
        <is>
          <t>EVD-064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t="inlineStr">
        <is>
          <t>EVD-065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t="inlineStr">
        <is>
          <t>EVD-066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t="inlineStr">
        <is>
          <t>EVD-067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t="inlineStr">
        <is>
          <t>EVD-068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t="inlineStr">
        <is>
          <t>EVD-069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t="inlineStr">
        <is>
          <t>EVD-070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t="inlineStr">
        <is>
          <t>EVD-071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t="inlineStr">
        <is>
          <t>EVD-072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t="inlineStr">
        <is>
          <t>EVD-073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t="inlineStr">
        <is>
          <t>EVD-074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t="inlineStr">
        <is>
          <t>EVD-075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t="inlineStr">
        <is>
          <t>EVD-076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t="inlineStr">
        <is>
          <t>EVD-077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t="inlineStr">
        <is>
          <t>EVD-078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t="inlineStr">
        <is>
          <t>EVD-079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t="inlineStr">
        <is>
          <t>EVD-080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t="inlineStr">
        <is>
          <t>EVD-081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t="inlineStr">
        <is>
          <t>EVD-082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t="inlineStr">
        <is>
          <t>EVD-083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t="inlineStr">
        <is>
          <t>EVD-084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t="inlineStr">
        <is>
          <t>EVD-085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t="inlineStr">
        <is>
          <t>EVD-086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t="inlineStr">
        <is>
          <t>EVD-087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t="inlineStr">
        <is>
          <t>EVD-088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t="inlineStr">
        <is>
          <t>EVD-089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t="inlineStr">
        <is>
          <t>EVD-090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t="inlineStr">
        <is>
          <t>EVD-091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t="inlineStr">
        <is>
          <t>EVD-092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t="inlineStr">
        <is>
          <t>EVD-093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t="inlineStr">
        <is>
          <t>EVD-094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t="inlineStr">
        <is>
          <t>EVD-095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t="inlineStr">
        <is>
          <t>EVD-096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t="inlineStr">
        <is>
          <t>EVD-097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t="inlineStr">
        <is>
          <t>EVD-098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t="inlineStr">
        <is>
          <t>EVD-099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t="inlineStr">
        <is>
          <t>EVD-100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6">
      <c r="A106" s="9" t="inlineStr">
        <is>
          <t>APPROVAL WORKFLOW</t>
        </is>
      </c>
    </row>
    <row r="108">
      <c r="A108" s="20" t="inlineStr">
        <is>
          <t>ASSESSMENT PREPARED BY</t>
        </is>
      </c>
    </row>
    <row r="109">
      <c r="A109" s="3" t="inlineStr">
        <is>
          <t>Name:</t>
        </is>
      </c>
      <c r="B109" s="4" t="n"/>
    </row>
    <row r="110">
      <c r="A110" s="3" t="inlineStr">
        <is>
          <t>Title:</t>
        </is>
      </c>
      <c r="B110" s="4" t="n"/>
    </row>
    <row r="111">
      <c r="A111" s="3" t="inlineStr">
        <is>
          <t>Date:</t>
        </is>
      </c>
      <c r="B111" s="4" t="n"/>
    </row>
    <row r="112">
      <c r="A112" s="3" t="inlineStr">
        <is>
          <t>Signature:</t>
        </is>
      </c>
      <c r="B112" s="4" t="n"/>
    </row>
    <row r="115">
      <c r="A115" s="20" t="inlineStr">
        <is>
          <t>REVIEWED BY (SOC LEAD)</t>
        </is>
      </c>
    </row>
    <row r="116">
      <c r="A116" s="3" t="inlineStr">
        <is>
          <t>Name:</t>
        </is>
      </c>
      <c r="B116" s="4" t="n"/>
    </row>
    <row r="117">
      <c r="A117" s="3" t="inlineStr">
        <is>
          <t>Title:</t>
        </is>
      </c>
      <c r="B117" s="4" t="n"/>
    </row>
    <row r="118">
      <c r="A118" s="3" t="inlineStr">
        <is>
          <t>Review Comments:</t>
        </is>
      </c>
      <c r="B118" s="4" t="n"/>
    </row>
    <row r="119">
      <c r="A119" s="3" t="inlineStr">
        <is>
          <t>Date:</t>
        </is>
      </c>
      <c r="B119" s="4" t="n"/>
    </row>
    <row r="122">
      <c r="A122" s="31" t="inlineStr">
        <is>
          <t>APPROVED BY (CISO)</t>
        </is>
      </c>
    </row>
    <row r="123">
      <c r="A123" s="3" t="inlineStr">
        <is>
          <t>Name:</t>
        </is>
      </c>
      <c r="B123" s="4" t="n"/>
    </row>
    <row r="124">
      <c r="A124" s="3" t="inlineStr">
        <is>
          <t>Title:</t>
        </is>
      </c>
      <c r="B124" s="4" t="n"/>
    </row>
    <row r="125">
      <c r="A125" s="3" t="inlineStr">
        <is>
          <t>Approval Decision:</t>
        </is>
      </c>
      <c r="B125" s="4" t="n"/>
    </row>
    <row r="126">
      <c r="A126" s="3" t="inlineStr">
        <is>
          <t>Conditions/Comments:</t>
        </is>
      </c>
      <c r="B126" s="4" t="n"/>
    </row>
    <row r="127">
      <c r="A127" s="3" t="inlineStr">
        <is>
          <t>Date:</t>
        </is>
      </c>
      <c r="B127" s="4" t="n"/>
    </row>
  </sheetData>
  <mergeCells count="18">
    <mergeCell ref="A122:E122"/>
    <mergeCell ref="B110:E110"/>
    <mergeCell ref="B118:E118"/>
    <mergeCell ref="B125:E125"/>
    <mergeCell ref="B126:E126"/>
    <mergeCell ref="B127:E127"/>
    <mergeCell ref="B119:E119"/>
    <mergeCell ref="A1:L1"/>
    <mergeCell ref="A108:E108"/>
    <mergeCell ref="B116:E116"/>
    <mergeCell ref="B109:E109"/>
    <mergeCell ref="B112:E112"/>
    <mergeCell ref="A115:E115"/>
    <mergeCell ref="B117:E117"/>
    <mergeCell ref="B124:E124"/>
    <mergeCell ref="B111:E111"/>
    <mergeCell ref="B123:E123"/>
    <mergeCell ref="A106:E106"/>
  </mergeCells>
  <dataValidations count="1">
    <dataValidation sqref="B125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2026-02-08T11:26:16Z</dcterms:created>
  <dcterms:modified xmlns:dcterms="http://purl.org/dc/terms/" xmlns:xsi="http://www.w3.org/2001/XMLSchema-instance" xsi:type="dcterms:W3CDTF">2026-02-08T11:26:16Z</dcterms:modified>
</cp:coreProperties>
</file>