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lert Generation" sheetId="2" state="visible" r:id="rId2"/>
    <sheet xmlns:r="http://schemas.openxmlformats.org/officeDocument/2006/relationships" name="2. Triage Investigation" sheetId="3" state="visible" r:id="rId3"/>
    <sheet xmlns:r="http://schemas.openxmlformats.org/officeDocument/2006/relationships" name="3. Escalation Response" sheetId="4" state="visible" r:id="rId4"/>
    <sheet xmlns:r="http://schemas.openxmlformats.org/officeDocument/2006/relationships" name="4. Performance Metrics" sheetId="5" state="visible" r:id="rId5"/>
    <sheet xmlns:r="http://schemas.openxmlformats.org/officeDocument/2006/relationships" name="5. SOC Readines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b val="1"/>
      <color rgb="00003366"/>
      <sz val="11"/>
    </font>
    <font>
      <b val="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
      <name val="Calibri"/>
      <b val="1"/>
      <sz val="11"/>
    </font>
    <font>
      <name val="Calibri"/>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applyAlignment="1" pivotButton="0" quotePrefix="0" xfId="0">
      <alignment horizontal="center" vertical="center"/>
    </xf>
    <xf numFmtId="0" fontId="12"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0"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9"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7" fillId="9"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8" fillId="11" borderId="1" applyAlignment="1" pivotButton="0" quotePrefix="0" xfId="0">
      <alignment horizontal="center" vertical="center"/>
    </xf>
    <xf numFmtId="0" fontId="19" fillId="0" borderId="0" applyAlignment="1" pivotButton="0" quotePrefix="0" xfId="0">
      <alignment horizontal="left" vertical="center"/>
    </xf>
    <xf numFmtId="0" fontId="20" fillId="0" borderId="1" pivotButton="0" quotePrefix="0" xfId="0"/>
    <xf numFmtId="0" fontId="5" fillId="12" borderId="1" applyAlignment="1" pivotButton="0" quotePrefix="0" xfId="0">
      <alignment horizontal="left" vertical="center"/>
    </xf>
    <xf numFmtId="0" fontId="21" fillId="0" borderId="1" pivotButton="0" quotePrefix="0" xfId="0"/>
    <xf numFmtId="0" fontId="21" fillId="0" borderId="1" applyAlignment="1" pivotButton="0" quotePrefix="0" xfId="0">
      <alignment horizontal="left" vertical="center"/>
    </xf>
    <xf numFmtId="0" fontId="2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ISMS-IMP-A.8.16.4  -  Alert Management &amp; Response Assessment
ISO/IEC 27001:2022 - Control A.8.16: Monitoring Activities</t>
        </is>
      </c>
    </row>
    <row r="3">
      <c r="A3" s="2" t="inlineStr">
        <is>
          <t>Document Information</t>
        </is>
      </c>
    </row>
    <row r="4">
      <c r="A4" s="3" t="inlineStr">
        <is>
          <t>Document ID</t>
        </is>
      </c>
      <c r="B4" t="inlineStr">
        <is>
          <t>ISMS-IMP-A.8.16.4</t>
        </is>
      </c>
    </row>
    <row r="5">
      <c r="A5" s="3" t="inlineStr">
        <is>
          <t>Workbook Title</t>
        </is>
      </c>
      <c r="B5" t="inlineStr">
        <is>
          <t>Alert Management &amp; Response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Alert Generation inventory (Sheet 1).</t>
        </is>
      </c>
    </row>
    <row r="14">
      <c r="A14" t="inlineStr">
        <is>
          <t>2. Document Triage &amp; Investigation processes (Sheet 2).</t>
        </is>
      </c>
    </row>
    <row r="15">
      <c r="A15" t="inlineStr">
        <is>
          <t>3. Define Escalation &amp; Response procedures (Sheet 3).</t>
        </is>
      </c>
    </row>
    <row r="16">
      <c r="A16" t="inlineStr">
        <is>
          <t>4. Track Performance Metrics (Sheet 4).</t>
        </is>
      </c>
    </row>
    <row r="17">
      <c r="A17" t="inlineStr">
        <is>
          <t>5. Assess SOC Operational Readiness (Sheet 5).</t>
        </is>
      </c>
    </row>
    <row r="18">
      <c r="A18" t="inlineStr">
        <is>
          <t>6. Review Summary Dashboard for gaps.</t>
        </is>
      </c>
    </row>
    <row r="19">
      <c r="A19" t="inlineStr">
        <is>
          <t>7. Gather evidence and document in Evidence Register.</t>
        </is>
      </c>
    </row>
    <row r="20">
      <c r="A20" t="inlineStr">
        <is>
          <t>8. Obtain approvals via Approval Sign-Off sheet.</t>
        </is>
      </c>
    </row>
    <row r="21">
      <c r="A21" t="inlineStr">
        <is>
          <t>9. Review quarterly and update metrics.</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8"/>
  <sheetViews>
    <sheetView showGridLines="0" workbookViewId="0">
      <selection activeCell="A1" sqref="A1"/>
    </sheetView>
  </sheetViews>
  <sheetFormatPr baseColWidth="8" defaultRowHeight="15"/>
  <cols>
    <col width="30" customWidth="1" min="1" max="1"/>
    <col width="22" customWidth="1" min="2" max="2"/>
    <col width="20" customWidth="1" min="3" max="3"/>
    <col width="15" customWidth="1" min="4" max="4"/>
    <col width="22" customWidth="1" min="5" max="5"/>
    <col width="35" customWidth="1" min="6" max="6"/>
    <col width="30" customWidth="1" min="7" max="7"/>
    <col width="30" customWidth="1" min="8" max="8"/>
    <col width="15" customWidth="1" min="9" max="9"/>
    <col width="15" customWidth="1" min="10" max="10"/>
    <col width="15" customWidth="1" min="11" max="11"/>
    <col width="15" customWidth="1" min="12" max="12"/>
    <col width="22" customWidth="1" min="13" max="13"/>
    <col width="18" customWidth="1" min="14" max="14"/>
    <col width="16" customWidth="1" min="15" max="15"/>
    <col width="16" customWidth="1" min="16" max="16"/>
    <col width="18" customWidth="1" min="17" max="17"/>
    <col width="16" customWidth="1" min="18" max="18"/>
    <col width="14" customWidth="1" min="19" max="19"/>
    <col width="18" customWidth="1" min="20" max="20"/>
    <col width="30" customWidth="1" min="21" max="21"/>
    <col width="16" customWidth="1" min="22" max="22"/>
  </cols>
  <sheetData>
    <row r="1" ht="35" customHeight="1">
      <c r="A1" s="11" t="inlineStr">
        <is>
          <t>1. ALERT GENERATION &amp; CLASSIFICATION ASSESSMENT</t>
        </is>
      </c>
    </row>
    <row r="2">
      <c r="A2" s="12" t="inlineStr">
        <is>
          <t>Policy Reference: ISMS-POL-A.8.16-S2.3.3 - Alert generation</t>
        </is>
      </c>
    </row>
    <row r="3">
      <c r="A3" s="13" t="inlineStr">
        <is>
          <t>Are alerts properly generated, classified, enriched, and managed?</t>
        </is>
      </c>
    </row>
    <row r="6">
      <c r="A6" s="14" t="inlineStr">
        <is>
          <t>Alert Type/Name</t>
        </is>
      </c>
      <c r="B6" s="14" t="inlineStr">
        <is>
          <t>Alert Source</t>
        </is>
      </c>
      <c r="C6" s="14" t="inlineStr">
        <is>
          <t>Detection Rule ID</t>
        </is>
      </c>
      <c r="D6" s="14" t="inlineStr">
        <is>
          <t>Alert Severity</t>
        </is>
      </c>
      <c r="E6" s="14" t="inlineStr">
        <is>
          <t>MITRE ATT&amp;CK Technique</t>
        </is>
      </c>
      <c r="F6" s="14" t="inlineStr">
        <is>
          <t>Alert Description</t>
        </is>
      </c>
      <c r="G6" s="14" t="inlineStr">
        <is>
          <t>Trigger Criteria</t>
        </is>
      </c>
      <c r="H6" s="14" t="inlineStr">
        <is>
          <t>Enrichment Data</t>
        </is>
      </c>
      <c r="I6" s="14" t="inlineStr">
        <is>
          <t>Expected FP Rate</t>
        </is>
      </c>
      <c r="J6" s="14" t="inlineStr">
        <is>
          <t>Actual FP Rate (30d)</t>
        </is>
      </c>
      <c r="K6" s="14" t="inlineStr">
        <is>
          <t>Alert Volume (30d)</t>
        </is>
      </c>
      <c r="L6" s="14" t="inlineStr">
        <is>
          <t>True Positives (30d)</t>
        </is>
      </c>
      <c r="M6" s="14" t="inlineStr">
        <is>
          <t>Response Playbook</t>
        </is>
      </c>
      <c r="N6" s="14" t="inlineStr">
        <is>
          <t>SLA Timeframe</t>
        </is>
      </c>
      <c r="O6" s="14" t="inlineStr">
        <is>
          <t>Auto-Enrichment</t>
        </is>
      </c>
      <c r="P6" s="14" t="inlineStr">
        <is>
          <t>Auto-Containment</t>
        </is>
      </c>
      <c r="Q6" s="14" t="inlineStr">
        <is>
          <t>Deduplication Enabled</t>
        </is>
      </c>
      <c r="R6" s="14" t="inlineStr">
        <is>
          <t>Alert Status</t>
        </is>
      </c>
      <c r="S6" s="14" t="inlineStr">
        <is>
          <t>Last Tuned</t>
        </is>
      </c>
      <c r="T6" s="14" t="inlineStr">
        <is>
          <t>Compliance Status</t>
        </is>
      </c>
      <c r="U6" s="14" t="inlineStr">
        <is>
          <t>Issues/Gaps</t>
        </is>
      </c>
      <c r="V6" s="14" t="inlineStr">
        <is>
          <t>Tuning Priority</t>
        </is>
      </c>
    </row>
    <row r="7">
      <c r="A7" s="15" t="inlineStr">
        <is>
          <t>Privilege Escalation Alert</t>
        </is>
      </c>
      <c r="B7" s="15" t="inlineStr">
        <is>
          <t>SIEM</t>
        </is>
      </c>
      <c r="C7" s="15" t="inlineStr">
        <is>
          <t>RULE-105</t>
        </is>
      </c>
      <c r="D7" s="15" t="inlineStr">
        <is>
          <t>High (P2)</t>
        </is>
      </c>
      <c r="E7" s="15" t="inlineStr">
        <is>
          <t>T1068</t>
        </is>
      </c>
      <c r="F7" s="15" t="inlineStr">
        <is>
          <t>Detects privilege escalation attempts</t>
        </is>
      </c>
      <c r="G7" s="15" t="inlineStr">
        <is>
          <t>Event 4672 + 4768 within 5 min</t>
        </is>
      </c>
      <c r="H7" s="15" t="inlineStr">
        <is>
          <t>User context, asset info, threat intel</t>
        </is>
      </c>
      <c r="I7" s="15" t="inlineStr">
        <is>
          <t>10%</t>
        </is>
      </c>
      <c r="J7" s="15" t="inlineStr">
        <is>
          <t>8%</t>
        </is>
      </c>
      <c r="K7" s="15" t="inlineStr">
        <is>
          <t>45</t>
        </is>
      </c>
      <c r="L7" s="15" t="inlineStr">
        <is>
          <t>41</t>
        </is>
      </c>
      <c r="M7" s="15" t="inlineStr">
        <is>
          <t>PB-PRIV-ESC-001</t>
        </is>
      </c>
      <c r="N7" s="15" t="inlineStr">
        <is>
          <t>&lt;1 hr</t>
        </is>
      </c>
      <c r="O7" s="15" t="inlineStr">
        <is>
          <t>Yes</t>
        </is>
      </c>
      <c r="P7" s="15" t="inlineStr">
        <is>
          <t>No</t>
        </is>
      </c>
      <c r="Q7" s="15" t="inlineStr">
        <is>
          <t>Yes</t>
        </is>
      </c>
      <c r="R7" s="15" t="inlineStr">
        <is>
          <t>Active</t>
        </is>
      </c>
      <c r="S7" s="15" t="inlineStr">
        <is>
          <t>15.12.2024</t>
        </is>
      </c>
      <c r="T7" s="15" t="inlineStr">
        <is>
          <t>✅ Compliant</t>
        </is>
      </c>
      <c r="U7" s="15" t="inlineStr">
        <is>
          <t>None</t>
        </is>
      </c>
      <c r="V7" s="15" t="inlineStr">
        <is>
          <t>Low</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row>
    <row r="59">
      <c r="A59" s="17" t="inlineStr">
        <is>
          <t>ALERT STATISTICS</t>
        </is>
      </c>
    </row>
    <row r="60">
      <c r="A60" s="14" t="inlineStr">
        <is>
          <t>Metric</t>
        </is>
      </c>
      <c r="B60" s="18" t="n"/>
      <c r="C60" s="18" t="n"/>
      <c r="D60" s="18" t="n"/>
      <c r="E60" s="18" t="n"/>
      <c r="F60" s="18" t="n"/>
      <c r="G60" s="19" t="n"/>
      <c r="H60" s="14" t="inlineStr">
        <is>
          <t>Count/Value</t>
        </is>
      </c>
      <c r="I60" s="18" t="n"/>
      <c r="J60" s="18" t="n"/>
      <c r="K60" s="18" t="n"/>
      <c r="L60" s="18" t="n"/>
      <c r="M60" s="18" t="n"/>
      <c r="N60" s="19" t="n"/>
      <c r="O60" s="14" t="inlineStr">
        <is>
          <t>Target</t>
        </is>
      </c>
      <c r="P60" s="18" t="n"/>
      <c r="Q60" s="18" t="n"/>
      <c r="R60" s="18" t="n"/>
      <c r="S60" s="18" t="n"/>
      <c r="T60" s="18" t="n"/>
      <c r="U60" s="18" t="n"/>
      <c r="V60" s="19" t="n"/>
    </row>
    <row r="61">
      <c r="A61" s="20" t="inlineStr">
        <is>
          <t>Total Active Alerts</t>
        </is>
      </c>
      <c r="B61" s="18" t="n"/>
      <c r="C61" s="18" t="n"/>
      <c r="D61" s="18" t="n"/>
      <c r="E61" s="18" t="n"/>
      <c r="F61" s="18" t="n"/>
      <c r="G61" s="19" t="n"/>
      <c r="H61" s="6">
        <f>COUNTIF(R8:R57,"Active")</f>
        <v/>
      </c>
      <c r="I61" s="18" t="n"/>
      <c r="J61" s="18" t="n"/>
      <c r="K61" s="18" t="n"/>
      <c r="L61" s="18" t="n"/>
      <c r="M61" s="18" t="n"/>
      <c r="N61" s="19" t="n"/>
      <c r="O61" s="6" t="inlineStr">
        <is>
          <t>N/A</t>
        </is>
      </c>
      <c r="P61" s="18" t="n"/>
      <c r="Q61" s="18" t="n"/>
      <c r="R61" s="18" t="n"/>
      <c r="S61" s="18" t="n"/>
      <c r="T61" s="18" t="n"/>
      <c r="U61" s="18" t="n"/>
      <c r="V61" s="19" t="n"/>
    </row>
    <row r="62">
      <c r="A62" s="20" t="inlineStr">
        <is>
          <t>Critical Alerts</t>
        </is>
      </c>
      <c r="B62" s="18" t="n"/>
      <c r="C62" s="18" t="n"/>
      <c r="D62" s="18" t="n"/>
      <c r="E62" s="18" t="n"/>
      <c r="F62" s="18" t="n"/>
      <c r="G62" s="19" t="n"/>
      <c r="H62" s="6">
        <f>COUNTIF(D8:D57,"Critical (P1)")</f>
        <v/>
      </c>
      <c r="I62" s="18" t="n"/>
      <c r="J62" s="18" t="n"/>
      <c r="K62" s="18" t="n"/>
      <c r="L62" s="18" t="n"/>
      <c r="M62" s="18" t="n"/>
      <c r="N62" s="19" t="n"/>
      <c r="O62" s="6" t="inlineStr">
        <is>
          <t>Target</t>
        </is>
      </c>
      <c r="P62" s="18" t="n"/>
      <c r="Q62" s="18" t="n"/>
      <c r="R62" s="18" t="n"/>
      <c r="S62" s="18" t="n"/>
      <c r="T62" s="18" t="n"/>
      <c r="U62" s="18" t="n"/>
      <c r="V62" s="19" t="n"/>
    </row>
    <row r="63">
      <c r="A63" s="20" t="inlineStr">
        <is>
          <t>High Alerts</t>
        </is>
      </c>
      <c r="B63" s="18" t="n"/>
      <c r="C63" s="18" t="n"/>
      <c r="D63" s="18" t="n"/>
      <c r="E63" s="18" t="n"/>
      <c r="F63" s="18" t="n"/>
      <c r="G63" s="19" t="n"/>
      <c r="H63" s="6">
        <f>COUNTIF(D8:D57,"High (P2)")</f>
        <v/>
      </c>
      <c r="I63" s="18" t="n"/>
      <c r="J63" s="18" t="n"/>
      <c r="K63" s="18" t="n"/>
      <c r="L63" s="18" t="n"/>
      <c r="M63" s="18" t="n"/>
      <c r="N63" s="19" t="n"/>
      <c r="O63" s="6" t="inlineStr">
        <is>
          <t>Target</t>
        </is>
      </c>
      <c r="P63" s="18" t="n"/>
      <c r="Q63" s="18" t="n"/>
      <c r="R63" s="18" t="n"/>
      <c r="S63" s="18" t="n"/>
      <c r="T63" s="18" t="n"/>
      <c r="U63" s="18" t="n"/>
      <c r="V63" s="19" t="n"/>
    </row>
    <row r="64">
      <c r="A64" s="20" t="inlineStr">
        <is>
          <t>Alerts with Playbooks</t>
        </is>
      </c>
      <c r="B64" s="18" t="n"/>
      <c r="C64" s="18" t="n"/>
      <c r="D64" s="18" t="n"/>
      <c r="E64" s="18" t="n"/>
      <c r="F64" s="18" t="n"/>
      <c r="G64" s="19" t="n"/>
      <c r="H64" s="6">
        <f>COUNTIFS(M8:M57,"&lt;&gt;")</f>
        <v/>
      </c>
      <c r="I64" s="18" t="n"/>
      <c r="J64" s="18" t="n"/>
      <c r="K64" s="18" t="n"/>
      <c r="L64" s="18" t="n"/>
      <c r="M64" s="18" t="n"/>
      <c r="N64" s="19" t="n"/>
      <c r="O64" s="6" t="inlineStr">
        <is>
          <t>All</t>
        </is>
      </c>
      <c r="P64" s="18" t="n"/>
      <c r="Q64" s="18" t="n"/>
      <c r="R64" s="18" t="n"/>
      <c r="S64" s="18" t="n"/>
      <c r="T64" s="18" t="n"/>
      <c r="U64" s="18" t="n"/>
      <c r="V64" s="19" t="n"/>
    </row>
    <row r="65">
      <c r="A65" s="20" t="inlineStr">
        <is>
          <t>Alerts with Auto-Enrichment</t>
        </is>
      </c>
      <c r="B65" s="18" t="n"/>
      <c r="C65" s="18" t="n"/>
      <c r="D65" s="18" t="n"/>
      <c r="E65" s="18" t="n"/>
      <c r="F65" s="18" t="n"/>
      <c r="G65" s="19" t="n"/>
      <c r="H65" s="6">
        <f>COUNTIF(O8:O57,"Yes")</f>
        <v/>
      </c>
      <c r="I65" s="18" t="n"/>
      <c r="J65" s="18" t="n"/>
      <c r="K65" s="18" t="n"/>
      <c r="L65" s="18" t="n"/>
      <c r="M65" s="18" t="n"/>
      <c r="N65" s="19" t="n"/>
      <c r="O65" s="6" t="inlineStr">
        <is>
          <t>&gt;80%</t>
        </is>
      </c>
      <c r="P65" s="18" t="n"/>
      <c r="Q65" s="18" t="n"/>
      <c r="R65" s="18" t="n"/>
      <c r="S65" s="18" t="n"/>
      <c r="T65" s="18" t="n"/>
      <c r="U65" s="18" t="n"/>
      <c r="V65" s="19" t="n"/>
    </row>
    <row r="66">
      <c r="A66" s="20" t="inlineStr">
        <is>
          <t>Alerts Needing Tuning</t>
        </is>
      </c>
      <c r="B66" s="18" t="n"/>
      <c r="C66" s="18" t="n"/>
      <c r="D66" s="18" t="n"/>
      <c r="E66" s="18" t="n"/>
      <c r="F66" s="18" t="n"/>
      <c r="G66" s="19" t="n"/>
      <c r="H66" s="6">
        <f>COUNTIF(R8:R57,"Tuning Needed")</f>
        <v/>
      </c>
      <c r="I66" s="18" t="n"/>
      <c r="J66" s="18" t="n"/>
      <c r="K66" s="18" t="n"/>
      <c r="L66" s="18" t="n"/>
      <c r="M66" s="18" t="n"/>
      <c r="N66" s="19" t="n"/>
      <c r="O66" s="6" t="inlineStr">
        <is>
          <t>&lt;10%</t>
        </is>
      </c>
      <c r="P66" s="18" t="n"/>
      <c r="Q66" s="18" t="n"/>
      <c r="R66" s="18" t="n"/>
      <c r="S66" s="18" t="n"/>
      <c r="T66" s="18" t="n"/>
      <c r="U66" s="18" t="n"/>
      <c r="V66" s="19" t="n"/>
    </row>
    <row r="67">
      <c r="A67" s="20" t="inlineStr">
        <is>
          <t>Average FP Rate</t>
        </is>
      </c>
      <c r="B67" s="18" t="n"/>
      <c r="C67" s="18" t="n"/>
      <c r="D67" s="18" t="n"/>
      <c r="E67" s="18" t="n"/>
      <c r="F67" s="18" t="n"/>
      <c r="G67" s="19" t="n"/>
      <c r="H67" s="6">
        <f>AVERAGE(J8:J57)</f>
        <v/>
      </c>
      <c r="I67" s="18" t="n"/>
      <c r="J67" s="18" t="n"/>
      <c r="K67" s="18" t="n"/>
      <c r="L67" s="18" t="n"/>
      <c r="M67" s="18" t="n"/>
      <c r="N67" s="19" t="n"/>
      <c r="O67" s="6" t="inlineStr">
        <is>
          <t>&lt;25%</t>
        </is>
      </c>
      <c r="P67" s="18" t="n"/>
      <c r="Q67" s="18" t="n"/>
      <c r="R67" s="18" t="n"/>
      <c r="S67" s="18" t="n"/>
      <c r="T67" s="18" t="n"/>
      <c r="U67" s="18" t="n"/>
      <c r="V67" s="19" t="n"/>
    </row>
    <row r="68">
      <c r="A68" s="20" t="inlineStr">
        <is>
          <t>Alerts Without Deduplication</t>
        </is>
      </c>
      <c r="B68" s="18" t="n"/>
      <c r="C68" s="18" t="n"/>
      <c r="D68" s="18" t="n"/>
      <c r="E68" s="18" t="n"/>
      <c r="F68" s="18" t="n"/>
      <c r="G68" s="19" t="n"/>
      <c r="H68" s="6">
        <f>COUNTIF(Q8:Q57,"No")</f>
        <v/>
      </c>
      <c r="I68" s="18" t="n"/>
      <c r="J68" s="18" t="n"/>
      <c r="K68" s="18" t="n"/>
      <c r="L68" s="18" t="n"/>
      <c r="M68" s="18" t="n"/>
      <c r="N68" s="19" t="n"/>
      <c r="O68" s="6" t="inlineStr">
        <is>
          <t>0</t>
        </is>
      </c>
      <c r="P68" s="18" t="n"/>
      <c r="Q68" s="18" t="n"/>
      <c r="R68" s="18" t="n"/>
      <c r="S68" s="18" t="n"/>
      <c r="T68" s="18" t="n"/>
      <c r="U68" s="18" t="n"/>
      <c r="V68" s="19" t="n"/>
    </row>
    <row r="71">
      <c r="A71" s="17" t="inlineStr">
        <is>
          <t>ALERT GENERATION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8" t="n"/>
      <c r="U72" s="19" t="n"/>
    </row>
    <row r="73">
      <c r="A73" s="6" t="n">
        <v>1</v>
      </c>
      <c r="B73" s="20" t="inlineStr">
        <is>
          <t>All alert types documented</t>
        </is>
      </c>
      <c r="C73" s="18" t="n"/>
      <c r="D73" s="18" t="n"/>
      <c r="E73" s="18" t="n"/>
      <c r="F73" s="18" t="n"/>
      <c r="G73" s="18" t="n"/>
      <c r="H73" s="18" t="n"/>
      <c r="I73" s="18" t="n"/>
      <c r="J73" s="18" t="n"/>
      <c r="K73" s="18" t="n"/>
      <c r="L73" s="18" t="n"/>
      <c r="M73" s="18" t="n"/>
      <c r="N73" s="18" t="n"/>
      <c r="O73" s="18" t="n"/>
      <c r="P73" s="18" t="n"/>
      <c r="Q73" s="18" t="n"/>
      <c r="R73" s="18" t="n"/>
      <c r="S73" s="18" t="n"/>
      <c r="T73" s="18" t="n"/>
      <c r="U73" s="19" t="n"/>
      <c r="V73" s="16" t="n"/>
    </row>
    <row r="74">
      <c r="A74" s="6" t="n">
        <v>2</v>
      </c>
      <c r="B74" s="20" t="inlineStr">
        <is>
          <t>Alert severity classification consistent</t>
        </is>
      </c>
      <c r="C74" s="18" t="n"/>
      <c r="D74" s="18" t="n"/>
      <c r="E74" s="18" t="n"/>
      <c r="F74" s="18" t="n"/>
      <c r="G74" s="18" t="n"/>
      <c r="H74" s="18" t="n"/>
      <c r="I74" s="18" t="n"/>
      <c r="J74" s="18" t="n"/>
      <c r="K74" s="18" t="n"/>
      <c r="L74" s="18" t="n"/>
      <c r="M74" s="18" t="n"/>
      <c r="N74" s="18" t="n"/>
      <c r="O74" s="18" t="n"/>
      <c r="P74" s="18" t="n"/>
      <c r="Q74" s="18" t="n"/>
      <c r="R74" s="18" t="n"/>
      <c r="S74" s="18" t="n"/>
      <c r="T74" s="18" t="n"/>
      <c r="U74" s="19" t="n"/>
      <c r="V74" s="16" t="n"/>
    </row>
    <row r="75">
      <c r="A75" s="6" t="n">
        <v>3</v>
      </c>
      <c r="B75" s="20" t="inlineStr">
        <is>
          <t>MITRE ATT&amp;CK mapping documented</t>
        </is>
      </c>
      <c r="C75" s="18" t="n"/>
      <c r="D75" s="18" t="n"/>
      <c r="E75" s="18" t="n"/>
      <c r="F75" s="18" t="n"/>
      <c r="G75" s="18" t="n"/>
      <c r="H75" s="18" t="n"/>
      <c r="I75" s="18" t="n"/>
      <c r="J75" s="18" t="n"/>
      <c r="K75" s="18" t="n"/>
      <c r="L75" s="18" t="n"/>
      <c r="M75" s="18" t="n"/>
      <c r="N75" s="18" t="n"/>
      <c r="O75" s="18" t="n"/>
      <c r="P75" s="18" t="n"/>
      <c r="Q75" s="18" t="n"/>
      <c r="R75" s="18" t="n"/>
      <c r="S75" s="18" t="n"/>
      <c r="T75" s="18" t="n"/>
      <c r="U75" s="19" t="n"/>
      <c r="V75" s="16" t="n"/>
    </row>
    <row r="76">
      <c r="A76" s="6" t="n">
        <v>4</v>
      </c>
      <c r="B76" s="20" t="inlineStr">
        <is>
          <t>Trigger criteria documented</t>
        </is>
      </c>
      <c r="C76" s="18" t="n"/>
      <c r="D76" s="18" t="n"/>
      <c r="E76" s="18" t="n"/>
      <c r="F76" s="18" t="n"/>
      <c r="G76" s="18" t="n"/>
      <c r="H76" s="18" t="n"/>
      <c r="I76" s="18" t="n"/>
      <c r="J76" s="18" t="n"/>
      <c r="K76" s="18" t="n"/>
      <c r="L76" s="18" t="n"/>
      <c r="M76" s="18" t="n"/>
      <c r="N76" s="18" t="n"/>
      <c r="O76" s="18" t="n"/>
      <c r="P76" s="18" t="n"/>
      <c r="Q76" s="18" t="n"/>
      <c r="R76" s="18" t="n"/>
      <c r="S76" s="18" t="n"/>
      <c r="T76" s="18" t="n"/>
      <c r="U76" s="19" t="n"/>
      <c r="V76" s="16" t="n"/>
    </row>
    <row r="77">
      <c r="A77" s="6" t="n">
        <v>5</v>
      </c>
      <c r="B77" s="20" t="inlineStr">
        <is>
          <t>Alert enrichment configured</t>
        </is>
      </c>
      <c r="C77" s="18" t="n"/>
      <c r="D77" s="18" t="n"/>
      <c r="E77" s="18" t="n"/>
      <c r="F77" s="18" t="n"/>
      <c r="G77" s="18" t="n"/>
      <c r="H77" s="18" t="n"/>
      <c r="I77" s="18" t="n"/>
      <c r="J77" s="18" t="n"/>
      <c r="K77" s="18" t="n"/>
      <c r="L77" s="18" t="n"/>
      <c r="M77" s="18" t="n"/>
      <c r="N77" s="18" t="n"/>
      <c r="O77" s="18" t="n"/>
      <c r="P77" s="18" t="n"/>
      <c r="Q77" s="18" t="n"/>
      <c r="R77" s="18" t="n"/>
      <c r="S77" s="18" t="n"/>
      <c r="T77" s="18" t="n"/>
      <c r="U77" s="19" t="n"/>
      <c r="V77" s="16" t="n"/>
    </row>
    <row r="78">
      <c r="A78" s="6" t="n">
        <v>6</v>
      </c>
      <c r="B78" s="20" t="inlineStr">
        <is>
          <t>Response playbook exists</t>
        </is>
      </c>
      <c r="C78" s="18" t="n"/>
      <c r="D78" s="18" t="n"/>
      <c r="E78" s="18" t="n"/>
      <c r="F78" s="18" t="n"/>
      <c r="G78" s="18" t="n"/>
      <c r="H78" s="18" t="n"/>
      <c r="I78" s="18" t="n"/>
      <c r="J78" s="18" t="n"/>
      <c r="K78" s="18" t="n"/>
      <c r="L78" s="18" t="n"/>
      <c r="M78" s="18" t="n"/>
      <c r="N78" s="18" t="n"/>
      <c r="O78" s="18" t="n"/>
      <c r="P78" s="18" t="n"/>
      <c r="Q78" s="18" t="n"/>
      <c r="R78" s="18" t="n"/>
      <c r="S78" s="18" t="n"/>
      <c r="T78" s="18" t="n"/>
      <c r="U78" s="19" t="n"/>
      <c r="V78" s="16" t="n"/>
    </row>
    <row r="79">
      <c r="A79" s="6" t="n">
        <v>7</v>
      </c>
      <c r="B79" s="20" t="inlineStr">
        <is>
          <t>SLA timeframes defined</t>
        </is>
      </c>
      <c r="C79" s="18" t="n"/>
      <c r="D79" s="18" t="n"/>
      <c r="E79" s="18" t="n"/>
      <c r="F79" s="18" t="n"/>
      <c r="G79" s="18" t="n"/>
      <c r="H79" s="18" t="n"/>
      <c r="I79" s="18" t="n"/>
      <c r="J79" s="18" t="n"/>
      <c r="K79" s="18" t="n"/>
      <c r="L79" s="18" t="n"/>
      <c r="M79" s="18" t="n"/>
      <c r="N79" s="18" t="n"/>
      <c r="O79" s="18" t="n"/>
      <c r="P79" s="18" t="n"/>
      <c r="Q79" s="18" t="n"/>
      <c r="R79" s="18" t="n"/>
      <c r="S79" s="18" t="n"/>
      <c r="T79" s="18" t="n"/>
      <c r="U79" s="19" t="n"/>
      <c r="V79" s="16" t="n"/>
    </row>
    <row r="80">
      <c r="A80" s="6" t="n">
        <v>8</v>
      </c>
      <c r="B80" s="20" t="inlineStr">
        <is>
          <t>False positive rates tracked (&lt;25% overall, &lt;10% critical)</t>
        </is>
      </c>
      <c r="C80" s="18" t="n"/>
      <c r="D80" s="18" t="n"/>
      <c r="E80" s="18" t="n"/>
      <c r="F80" s="18" t="n"/>
      <c r="G80" s="18" t="n"/>
      <c r="H80" s="18" t="n"/>
      <c r="I80" s="18" t="n"/>
      <c r="J80" s="18" t="n"/>
      <c r="K80" s="18" t="n"/>
      <c r="L80" s="18" t="n"/>
      <c r="M80" s="18" t="n"/>
      <c r="N80" s="18" t="n"/>
      <c r="O80" s="18" t="n"/>
      <c r="P80" s="18" t="n"/>
      <c r="Q80" s="18" t="n"/>
      <c r="R80" s="18" t="n"/>
      <c r="S80" s="18" t="n"/>
      <c r="T80" s="18" t="n"/>
      <c r="U80" s="19" t="n"/>
      <c r="V80" s="16" t="n"/>
    </row>
    <row r="81">
      <c r="A81" s="6" t="n">
        <v>9</v>
      </c>
      <c r="B81" s="20" t="inlineStr">
        <is>
          <t>High FP alerts tuned within 30 days</t>
        </is>
      </c>
      <c r="C81" s="18" t="n"/>
      <c r="D81" s="18" t="n"/>
      <c r="E81" s="18" t="n"/>
      <c r="F81" s="18" t="n"/>
      <c r="G81" s="18" t="n"/>
      <c r="H81" s="18" t="n"/>
      <c r="I81" s="18" t="n"/>
      <c r="J81" s="18" t="n"/>
      <c r="K81" s="18" t="n"/>
      <c r="L81" s="18" t="n"/>
      <c r="M81" s="18" t="n"/>
      <c r="N81" s="18" t="n"/>
      <c r="O81" s="18" t="n"/>
      <c r="P81" s="18" t="n"/>
      <c r="Q81" s="18" t="n"/>
      <c r="R81" s="18" t="n"/>
      <c r="S81" s="18" t="n"/>
      <c r="T81" s="18" t="n"/>
      <c r="U81" s="19" t="n"/>
      <c r="V81" s="16" t="n"/>
    </row>
    <row r="82">
      <c r="A82" s="6" t="n">
        <v>10</v>
      </c>
      <c r="B82" s="20" t="inlineStr">
        <is>
          <t>Alert deduplication configured</t>
        </is>
      </c>
      <c r="C82" s="18" t="n"/>
      <c r="D82" s="18" t="n"/>
      <c r="E82" s="18" t="n"/>
      <c r="F82" s="18" t="n"/>
      <c r="G82" s="18" t="n"/>
      <c r="H82" s="18" t="n"/>
      <c r="I82" s="18" t="n"/>
      <c r="J82" s="18" t="n"/>
      <c r="K82" s="18" t="n"/>
      <c r="L82" s="18" t="n"/>
      <c r="M82" s="18" t="n"/>
      <c r="N82" s="18" t="n"/>
      <c r="O82" s="18" t="n"/>
      <c r="P82" s="18" t="n"/>
      <c r="Q82" s="18" t="n"/>
      <c r="R82" s="18" t="n"/>
      <c r="S82" s="18" t="n"/>
      <c r="T82" s="18" t="n"/>
      <c r="U82" s="19" t="n"/>
      <c r="V82" s="16" t="n"/>
    </row>
    <row r="83">
      <c r="A83" s="6" t="n">
        <v>11</v>
      </c>
      <c r="B83" s="20" t="inlineStr">
        <is>
          <t>Auto-containment for high-confidence</t>
        </is>
      </c>
      <c r="C83" s="18" t="n"/>
      <c r="D83" s="18" t="n"/>
      <c r="E83" s="18" t="n"/>
      <c r="F83" s="18" t="n"/>
      <c r="G83" s="18" t="n"/>
      <c r="H83" s="18" t="n"/>
      <c r="I83" s="18" t="n"/>
      <c r="J83" s="18" t="n"/>
      <c r="K83" s="18" t="n"/>
      <c r="L83" s="18" t="n"/>
      <c r="M83" s="18" t="n"/>
      <c r="N83" s="18" t="n"/>
      <c r="O83" s="18" t="n"/>
      <c r="P83" s="18" t="n"/>
      <c r="Q83" s="18" t="n"/>
      <c r="R83" s="18" t="n"/>
      <c r="S83" s="18" t="n"/>
      <c r="T83" s="18" t="n"/>
      <c r="U83" s="19" t="n"/>
      <c r="V83" s="16" t="n"/>
    </row>
    <row r="84">
      <c r="A84" s="6" t="n">
        <v>12</v>
      </c>
      <c r="B84" s="20" t="inlineStr">
        <is>
          <t>Alerts tested before production</t>
        </is>
      </c>
      <c r="C84" s="18" t="n"/>
      <c r="D84" s="18" t="n"/>
      <c r="E84" s="18" t="n"/>
      <c r="F84" s="18" t="n"/>
      <c r="G84" s="18" t="n"/>
      <c r="H84" s="18" t="n"/>
      <c r="I84" s="18" t="n"/>
      <c r="J84" s="18" t="n"/>
      <c r="K84" s="18" t="n"/>
      <c r="L84" s="18" t="n"/>
      <c r="M84" s="18" t="n"/>
      <c r="N84" s="18" t="n"/>
      <c r="O84" s="18" t="n"/>
      <c r="P84" s="18" t="n"/>
      <c r="Q84" s="18" t="n"/>
      <c r="R84" s="18" t="n"/>
      <c r="S84" s="18" t="n"/>
      <c r="T84" s="18" t="n"/>
      <c r="U84" s="19" t="n"/>
      <c r="V84" s="16" t="n"/>
    </row>
    <row r="85">
      <c r="A85" s="6" t="n">
        <v>13</v>
      </c>
      <c r="B85" s="20" t="inlineStr">
        <is>
          <t>Alert volume monitored for spikes</t>
        </is>
      </c>
      <c r="C85" s="18" t="n"/>
      <c r="D85" s="18" t="n"/>
      <c r="E85" s="18" t="n"/>
      <c r="F85" s="18" t="n"/>
      <c r="G85" s="18" t="n"/>
      <c r="H85" s="18" t="n"/>
      <c r="I85" s="18" t="n"/>
      <c r="J85" s="18" t="n"/>
      <c r="K85" s="18" t="n"/>
      <c r="L85" s="18" t="n"/>
      <c r="M85" s="18" t="n"/>
      <c r="N85" s="18" t="n"/>
      <c r="O85" s="18" t="n"/>
      <c r="P85" s="18" t="n"/>
      <c r="Q85" s="18" t="n"/>
      <c r="R85" s="18" t="n"/>
      <c r="S85" s="18" t="n"/>
      <c r="T85" s="18" t="n"/>
      <c r="U85" s="19" t="n"/>
      <c r="V85" s="16" t="n"/>
    </row>
    <row r="86">
      <c r="A86" s="6" t="n">
        <v>14</v>
      </c>
      <c r="B86" s="20" t="inlineStr">
        <is>
          <t>Noisy alerts identified and tuned</t>
        </is>
      </c>
      <c r="C86" s="18" t="n"/>
      <c r="D86" s="18" t="n"/>
      <c r="E86" s="18" t="n"/>
      <c r="F86" s="18" t="n"/>
      <c r="G86" s="18" t="n"/>
      <c r="H86" s="18" t="n"/>
      <c r="I86" s="18" t="n"/>
      <c r="J86" s="18" t="n"/>
      <c r="K86" s="18" t="n"/>
      <c r="L86" s="18" t="n"/>
      <c r="M86" s="18" t="n"/>
      <c r="N86" s="18" t="n"/>
      <c r="O86" s="18" t="n"/>
      <c r="P86" s="18" t="n"/>
      <c r="Q86" s="18" t="n"/>
      <c r="R86" s="18" t="n"/>
      <c r="S86" s="18" t="n"/>
      <c r="T86" s="18" t="n"/>
      <c r="U86" s="19" t="n"/>
      <c r="V86" s="16" t="n"/>
    </row>
    <row r="87">
      <c r="A87" s="6" t="n">
        <v>15</v>
      </c>
      <c r="B87" s="20" t="inlineStr">
        <is>
          <t>Retired alerts properly archived</t>
        </is>
      </c>
      <c r="C87" s="18" t="n"/>
      <c r="D87" s="18" t="n"/>
      <c r="E87" s="18" t="n"/>
      <c r="F87" s="18" t="n"/>
      <c r="G87" s="18" t="n"/>
      <c r="H87" s="18" t="n"/>
      <c r="I87" s="18" t="n"/>
      <c r="J87" s="18" t="n"/>
      <c r="K87" s="18" t="n"/>
      <c r="L87" s="18" t="n"/>
      <c r="M87" s="18" t="n"/>
      <c r="N87" s="18" t="n"/>
      <c r="O87" s="18" t="n"/>
      <c r="P87" s="18" t="n"/>
      <c r="Q87" s="18" t="n"/>
      <c r="R87" s="18" t="n"/>
      <c r="S87" s="18" t="n"/>
      <c r="T87" s="18" t="n"/>
      <c r="U87" s="19" t="n"/>
      <c r="V87" s="16" t="n"/>
    </row>
    <row r="88">
      <c r="A88" s="21" t="inlineStr">
        <is>
          <t>SCORE:</t>
        </is>
      </c>
      <c r="B88" s="22">
        <f>COUNTIF(V73:V87,"✅ Compliant")&amp;" / 15"</f>
        <v/>
      </c>
    </row>
  </sheetData>
  <mergeCells count="49">
    <mergeCell ref="A2:V2"/>
    <mergeCell ref="B79:U79"/>
    <mergeCell ref="A71:V71"/>
    <mergeCell ref="B75:U75"/>
    <mergeCell ref="H65:N65"/>
    <mergeCell ref="A62:G62"/>
    <mergeCell ref="O68:V68"/>
    <mergeCell ref="B81:U81"/>
    <mergeCell ref="B72:U72"/>
    <mergeCell ref="H62:N62"/>
    <mergeCell ref="A63:G63"/>
    <mergeCell ref="A68:G68"/>
    <mergeCell ref="A67:G67"/>
    <mergeCell ref="B86:U86"/>
    <mergeCell ref="B77:U77"/>
    <mergeCell ref="H67:N67"/>
    <mergeCell ref="O63:V63"/>
    <mergeCell ref="A64:G64"/>
    <mergeCell ref="O65:V65"/>
    <mergeCell ref="A60:G60"/>
    <mergeCell ref="A59:V59"/>
    <mergeCell ref="H63:N63"/>
    <mergeCell ref="A61:G61"/>
    <mergeCell ref="B73:U73"/>
    <mergeCell ref="A1:V1"/>
    <mergeCell ref="B82:U82"/>
    <mergeCell ref="B78:U78"/>
    <mergeCell ref="H68:N68"/>
    <mergeCell ref="B87:U87"/>
    <mergeCell ref="A65:G65"/>
    <mergeCell ref="H64:N64"/>
    <mergeCell ref="O62:V62"/>
    <mergeCell ref="H60:N60"/>
    <mergeCell ref="B84:U84"/>
    <mergeCell ref="O64:V64"/>
    <mergeCell ref="A66:G66"/>
    <mergeCell ref="O61:V61"/>
    <mergeCell ref="H61:N61"/>
    <mergeCell ref="O60:V60"/>
    <mergeCell ref="B74:U74"/>
    <mergeCell ref="B88:E88"/>
    <mergeCell ref="B83:U83"/>
    <mergeCell ref="O67:V67"/>
    <mergeCell ref="B80:U80"/>
    <mergeCell ref="A3:V3"/>
    <mergeCell ref="B85:U85"/>
    <mergeCell ref="O66:V66"/>
    <mergeCell ref="B76:U76"/>
    <mergeCell ref="H66:N66"/>
  </mergeCells>
  <dataValidations count="9">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"SIEM,IDS/IPS,EDR,NDR,Firewall,WAF,AV,DLP,Cloud Security,Other"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 (P1),High (P2),Medium (P3),Low (P4)"</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"&lt;15 min,&lt;1 hr,&lt;4 hrs,&lt;1 day,&lt;3 days"</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"Yes,Partial,No"</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"Active,Testing,Tuning Needed,Retired"</formula1>
    </dataValidation>
    <dataValidation sqref="T8 T9 T10 T11 T12 T13 T14 T15 T16 T17 T18 T19 T20 T21 T22 T23 T24 T25 T26 T27 T28 T29 T30 T31 T32 T33 T34 T35 T36 T37 T38 T39 T40 T41 T42 T43 T44 T45 T46 T47 T48 T49 T50 T51 T52 T53 T54 T55 T56 T57 V73 V74 V75 V76 V77 V78 V79 V80 V81 V82 V83 V84 V85 V86 V87" showDropDown="0" showInputMessage="0" showErrorMessage="0" allowBlank="0" type="list">
      <formula1>"✅ Compliant,⚠️ Partial,❌ Non-Compliant,N/A"</formula1>
    </dataValidation>
    <dataValidation sqref="V8 V9 V10 V11 V12 V13 V14 V15 V16 V17 V18 V19 V20 V21 V22 V23 V24 V25 V26 V27 V28 V29 V30 V31 V32 V33 V34 V35 V36 V37 V38 V39 V40 V41 V42 V43 V44 V45 V46 V47 V48 V49 V50 V51 V52 V53 V54 V55 V56 V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8"/>
  <sheetViews>
    <sheetView showGridLines="0" workbookViewId="0">
      <selection activeCell="A1" sqref="A1"/>
    </sheetView>
  </sheetViews>
  <sheetFormatPr baseColWidth="8" defaultRowHeight="15"/>
  <cols>
    <col width="28" customWidth="1" min="1" max="1"/>
    <col width="20" customWidth="1" min="2" max="2"/>
    <col width="18" customWidth="1" min="3" max="3"/>
    <col width="25" customWidth="1" min="4" max="4"/>
    <col width="16" customWidth="1" min="5" max="5"/>
    <col width="25" customWidth="1" min="6" max="6"/>
    <col width="18" customWidth="1" min="7" max="7"/>
    <col width="18" customWidth="1" min="8" max="8"/>
    <col width="18" customWidth="1" min="9" max="9"/>
    <col width="16" customWidth="1" min="10" max="10"/>
    <col width="30" customWidth="1" min="11" max="11"/>
    <col width="25" customWidth="1" min="12" max="12"/>
    <col width="12" customWidth="1" min="13" max="13"/>
    <col width="18" customWidth="1" min="14" max="14"/>
    <col width="18" customWidth="1" min="15" max="15"/>
    <col width="30" customWidth="1" min="16" max="16"/>
    <col width="15" customWidth="1" min="17" max="17"/>
    <col width="16" customWidth="1" min="18" max="18"/>
    <col width="14" customWidth="1" min="19" max="19"/>
    <col width="30" customWidth="1" min="20" max="20"/>
    <col width="16" customWidth="1" min="21" max="21"/>
  </cols>
  <sheetData>
    <row r="1" ht="35" customHeight="1">
      <c r="A1" s="11" t="inlineStr">
        <is>
          <t>2. TRIAGE &amp; INVESTIGATION PROCESS ASSESSMENT</t>
        </is>
      </c>
    </row>
    <row r="2">
      <c r="A2" s="12" t="inlineStr">
        <is>
          <t>Policy Reference: ISMS-POL-A.8.16-S2.3.5 - Triage procedures</t>
        </is>
      </c>
    </row>
    <row r="3">
      <c r="A3" s="13" t="inlineStr">
        <is>
          <t>Are triage and investigation processes documented, trained, and effective?</t>
        </is>
      </c>
    </row>
    <row r="6">
      <c r="A6" s="14" t="inlineStr">
        <is>
          <t>Process Step</t>
        </is>
      </c>
      <c r="B6" s="14" t="inlineStr">
        <is>
          <t>Process Owner</t>
        </is>
      </c>
      <c r="C6" s="14" t="inlineStr">
        <is>
          <t>Procedure Documented</t>
        </is>
      </c>
      <c r="D6" s="14" t="inlineStr">
        <is>
          <t>Documentation Location</t>
        </is>
      </c>
      <c r="E6" s="14" t="inlineStr">
        <is>
          <t>Training Provided</t>
        </is>
      </c>
      <c r="F6" s="14" t="inlineStr">
        <is>
          <t>Tools/Systems Used</t>
        </is>
      </c>
      <c r="G6" s="14" t="inlineStr">
        <is>
          <t>Automation Level</t>
        </is>
      </c>
      <c r="H6" s="14" t="inlineStr">
        <is>
          <t>Average Time (Minutes)</t>
        </is>
      </c>
      <c r="I6" s="14" t="inlineStr">
        <is>
          <t>SLA Target (Minutes)</t>
        </is>
      </c>
      <c r="J6" s="14" t="inlineStr">
        <is>
          <t>SLA Compliance %</t>
        </is>
      </c>
      <c r="K6" s="14" t="inlineStr">
        <is>
          <t>Bottlenecks Identified</t>
        </is>
      </c>
      <c r="L6" s="14" t="inlineStr">
        <is>
          <t>Quality Metrics</t>
        </is>
      </c>
      <c r="M6" s="14" t="inlineStr">
        <is>
          <t>Error Rate %</t>
        </is>
      </c>
      <c r="N6" s="14" t="inlineStr">
        <is>
          <t>Analyst Workload</t>
        </is>
      </c>
      <c r="O6" s="14" t="inlineStr">
        <is>
          <t>Shift Coverage</t>
        </is>
      </c>
      <c r="P6" s="14" t="inlineStr">
        <is>
          <t>Escalation Criteria</t>
        </is>
      </c>
      <c r="Q6" s="14" t="inlineStr">
        <is>
          <t>Escalation Rate %</t>
        </is>
      </c>
      <c r="R6" s="14" t="inlineStr">
        <is>
          <t>Process Status</t>
        </is>
      </c>
      <c r="S6" s="14" t="inlineStr">
        <is>
          <t>Last Process Review</t>
        </is>
      </c>
      <c r="T6" s="14" t="inlineStr">
        <is>
          <t>Improvement Opportunities</t>
        </is>
      </c>
      <c r="U6" s="14" t="inlineStr">
        <is>
          <t>Priority</t>
        </is>
      </c>
    </row>
    <row r="7">
      <c r="A7" s="15" t="inlineStr">
        <is>
          <t>Initial Assessment</t>
        </is>
      </c>
      <c r="B7" s="15" t="inlineStr">
        <is>
          <t>Tier 1 Analyst</t>
        </is>
      </c>
      <c r="C7" s="15" t="inlineStr">
        <is>
          <t>Yes</t>
        </is>
      </c>
      <c r="D7" s="15" t="inlineStr">
        <is>
          <t>SOC-SOP-002</t>
        </is>
      </c>
      <c r="E7" s="15" t="inlineStr">
        <is>
          <t>Yes</t>
        </is>
      </c>
      <c r="F7" s="15" t="inlineStr">
        <is>
          <t>SIEM, EDR Console</t>
        </is>
      </c>
      <c r="G7" s="15" t="inlineStr">
        <is>
          <t>Partially Automated</t>
        </is>
      </c>
      <c r="H7" s="15" t="inlineStr">
        <is>
          <t>8</t>
        </is>
      </c>
      <c r="I7" s="15" t="inlineStr">
        <is>
          <t>15</t>
        </is>
      </c>
      <c r="J7" s="15" t="inlineStr">
        <is>
          <t>92%</t>
        </is>
      </c>
      <c r="K7" s="15" t="inlineStr">
        <is>
          <t>Manual enrichment takes time</t>
        </is>
      </c>
      <c r="L7" s="15" t="inlineStr">
        <is>
          <t>First contact resolution rate</t>
        </is>
      </c>
      <c r="M7" s="15" t="inlineStr">
        <is>
          <t>3%</t>
        </is>
      </c>
      <c r="N7" s="15" t="inlineStr">
        <is>
          <t>35 alerts/shift</t>
        </is>
      </c>
      <c r="O7" s="15" t="inlineStr">
        <is>
          <t>24/7</t>
        </is>
      </c>
      <c r="P7" s="15" t="inlineStr">
        <is>
          <t>Severity High + Confirmed TP</t>
        </is>
      </c>
      <c r="Q7" s="15" t="inlineStr">
        <is>
          <t>12%</t>
        </is>
      </c>
      <c r="R7" s="15" t="inlineStr">
        <is>
          <t>✅ Defined</t>
        </is>
      </c>
      <c r="S7" s="15" t="inlineStr">
        <is>
          <t>10.12.2024</t>
        </is>
      </c>
      <c r="T7" s="15" t="inlineStr">
        <is>
          <t>Automate enrichment</t>
        </is>
      </c>
      <c r="U7" s="15" t="inlineStr">
        <is>
          <t>Medium</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59">
      <c r="A59" s="17" t="inlineStr">
        <is>
          <t>TRIAGE PROCESS STATISTICS</t>
        </is>
      </c>
    </row>
    <row r="60">
      <c r="A60" s="14" t="inlineStr">
        <is>
          <t>Metric</t>
        </is>
      </c>
      <c r="B60" s="18" t="n"/>
      <c r="C60" s="18" t="n"/>
      <c r="D60" s="18" t="n"/>
      <c r="E60" s="18" t="n"/>
      <c r="F60" s="18" t="n"/>
      <c r="G60" s="19" t="n"/>
      <c r="H60" s="14" t="inlineStr">
        <is>
          <t>Count/Value</t>
        </is>
      </c>
      <c r="I60" s="18" t="n"/>
      <c r="J60" s="18" t="n"/>
      <c r="K60" s="18" t="n"/>
      <c r="L60" s="18" t="n"/>
      <c r="M60" s="19" t="n"/>
      <c r="N60" s="14" t="inlineStr">
        <is>
          <t>Target</t>
        </is>
      </c>
      <c r="O60" s="18" t="n"/>
      <c r="P60" s="18" t="n"/>
      <c r="Q60" s="18" t="n"/>
      <c r="R60" s="18" t="n"/>
      <c r="S60" s="18" t="n"/>
      <c r="T60" s="18" t="n"/>
      <c r="U60" s="19" t="n"/>
    </row>
    <row r="61">
      <c r="A61" s="20" t="inlineStr">
        <is>
          <t>Process Steps Documented</t>
        </is>
      </c>
      <c r="B61" s="18" t="n"/>
      <c r="C61" s="18" t="n"/>
      <c r="D61" s="18" t="n"/>
      <c r="E61" s="18" t="n"/>
      <c r="F61" s="18" t="n"/>
      <c r="G61" s="19" t="n"/>
      <c r="H61" s="6">
        <f>COUNTIF(C8:C57,"Yes")</f>
        <v/>
      </c>
      <c r="I61" s="18" t="n"/>
      <c r="J61" s="18" t="n"/>
      <c r="K61" s="18" t="n"/>
      <c r="L61" s="18" t="n"/>
      <c r="M61" s="19" t="n"/>
      <c r="N61" s="6" t="inlineStr">
        <is>
          <t>All</t>
        </is>
      </c>
      <c r="O61" s="18" t="n"/>
      <c r="P61" s="18" t="n"/>
      <c r="Q61" s="18" t="n"/>
      <c r="R61" s="18" t="n"/>
      <c r="S61" s="18" t="n"/>
      <c r="T61" s="18" t="n"/>
      <c r="U61" s="19" t="n"/>
    </row>
    <row r="62">
      <c r="A62" s="20" t="inlineStr">
        <is>
          <t>Fully Automated Steps</t>
        </is>
      </c>
      <c r="B62" s="18" t="n"/>
      <c r="C62" s="18" t="n"/>
      <c r="D62" s="18" t="n"/>
      <c r="E62" s="18" t="n"/>
      <c r="F62" s="18" t="n"/>
      <c r="G62" s="19" t="n"/>
      <c r="H62" s="6">
        <f>COUNTIF(G8:G57,"Fully Automated")</f>
        <v/>
      </c>
      <c r="I62" s="18" t="n"/>
      <c r="J62" s="18" t="n"/>
      <c r="K62" s="18" t="n"/>
      <c r="L62" s="18" t="n"/>
      <c r="M62" s="19" t="n"/>
      <c r="N62" s="6" t="inlineStr">
        <is>
          <t>Target</t>
        </is>
      </c>
      <c r="O62" s="18" t="n"/>
      <c r="P62" s="18" t="n"/>
      <c r="Q62" s="18" t="n"/>
      <c r="R62" s="18" t="n"/>
      <c r="S62" s="18" t="n"/>
      <c r="T62" s="18" t="n"/>
      <c r="U62" s="19" t="n"/>
    </row>
    <row r="63">
      <c r="A63" s="20" t="inlineStr">
        <is>
          <t>Partially Automated Steps</t>
        </is>
      </c>
      <c r="B63" s="18" t="n"/>
      <c r="C63" s="18" t="n"/>
      <c r="D63" s="18" t="n"/>
      <c r="E63" s="18" t="n"/>
      <c r="F63" s="18" t="n"/>
      <c r="G63" s="19" t="n"/>
      <c r="H63" s="6">
        <f>COUNTIF(G8:G57,"Partially Automated")</f>
        <v/>
      </c>
      <c r="I63" s="18" t="n"/>
      <c r="J63" s="18" t="n"/>
      <c r="K63" s="18" t="n"/>
      <c r="L63" s="18" t="n"/>
      <c r="M63" s="19" t="n"/>
      <c r="N63" s="6" t="inlineStr">
        <is>
          <t>N/A</t>
        </is>
      </c>
      <c r="O63" s="18" t="n"/>
      <c r="P63" s="18" t="n"/>
      <c r="Q63" s="18" t="n"/>
      <c r="R63" s="18" t="n"/>
      <c r="S63" s="18" t="n"/>
      <c r="T63" s="18" t="n"/>
      <c r="U63" s="19" t="n"/>
    </row>
    <row r="64">
      <c r="A64" s="20" t="inlineStr">
        <is>
          <t>Manual Steps</t>
        </is>
      </c>
      <c r="B64" s="18" t="n"/>
      <c r="C64" s="18" t="n"/>
      <c r="D64" s="18" t="n"/>
      <c r="E64" s="18" t="n"/>
      <c r="F64" s="18" t="n"/>
      <c r="G64" s="19" t="n"/>
      <c r="H64" s="6">
        <f>COUNTIF(G8:G57,"Manual")</f>
        <v/>
      </c>
      <c r="I64" s="18" t="n"/>
      <c r="J64" s="18" t="n"/>
      <c r="K64" s="18" t="n"/>
      <c r="L64" s="18" t="n"/>
      <c r="M64" s="19" t="n"/>
      <c r="N64" s="6" t="inlineStr">
        <is>
          <t>Minimize</t>
        </is>
      </c>
      <c r="O64" s="18" t="n"/>
      <c r="P64" s="18" t="n"/>
      <c r="Q64" s="18" t="n"/>
      <c r="R64" s="18" t="n"/>
      <c r="S64" s="18" t="n"/>
      <c r="T64" s="18" t="n"/>
      <c r="U64" s="19" t="n"/>
    </row>
    <row r="65">
      <c r="A65" s="20" t="inlineStr">
        <is>
          <t>Steps Meeting SLA</t>
        </is>
      </c>
      <c r="B65" s="18" t="n"/>
      <c r="C65" s="18" t="n"/>
      <c r="D65" s="18" t="n"/>
      <c r="E65" s="18" t="n"/>
      <c r="F65" s="18" t="n"/>
      <c r="G65" s="19" t="n"/>
      <c r="H65" s="6">
        <f>COUNTIFS(J8:J57,"&gt;90%")</f>
        <v/>
      </c>
      <c r="I65" s="18" t="n"/>
      <c r="J65" s="18" t="n"/>
      <c r="K65" s="18" t="n"/>
      <c r="L65" s="18" t="n"/>
      <c r="M65" s="19" t="n"/>
      <c r="N65" s="6" t="inlineStr">
        <is>
          <t>All</t>
        </is>
      </c>
      <c r="O65" s="18" t="n"/>
      <c r="P65" s="18" t="n"/>
      <c r="Q65" s="18" t="n"/>
      <c r="R65" s="18" t="n"/>
      <c r="S65" s="18" t="n"/>
      <c r="T65" s="18" t="n"/>
      <c r="U65" s="19" t="n"/>
    </row>
    <row r="66">
      <c r="A66" s="20" t="inlineStr">
        <is>
          <t>Staff Trained</t>
        </is>
      </c>
      <c r="B66" s="18" t="n"/>
      <c r="C66" s="18" t="n"/>
      <c r="D66" s="18" t="n"/>
      <c r="E66" s="18" t="n"/>
      <c r="F66" s="18" t="n"/>
      <c r="G66" s="19" t="n"/>
      <c r="H66" s="6">
        <f>COUNTIF(E8:E57,"Yes")</f>
        <v/>
      </c>
      <c r="I66" s="18" t="n"/>
      <c r="J66" s="18" t="n"/>
      <c r="K66" s="18" t="n"/>
      <c r="L66" s="18" t="n"/>
      <c r="M66" s="19" t="n"/>
      <c r="N66" s="6" t="inlineStr">
        <is>
          <t>All</t>
        </is>
      </c>
      <c r="O66" s="18" t="n"/>
      <c r="P66" s="18" t="n"/>
      <c r="Q66" s="18" t="n"/>
      <c r="R66" s="18" t="n"/>
      <c r="S66" s="18" t="n"/>
      <c r="T66" s="18" t="n"/>
      <c r="U66" s="19" t="n"/>
    </row>
    <row r="67">
      <c r="A67" s="20" t="inlineStr">
        <is>
          <t>Processes Reviewed (90d)</t>
        </is>
      </c>
      <c r="B67" s="18" t="n"/>
      <c r="C67" s="18" t="n"/>
      <c r="D67" s="18" t="n"/>
      <c r="E67" s="18" t="n"/>
      <c r="F67" s="18" t="n"/>
      <c r="G67" s="19" t="n"/>
      <c r="H67" s="6" t="inlineStr">
        <is>
          <t>[Manual Count]</t>
        </is>
      </c>
      <c r="I67" s="18" t="n"/>
      <c r="J67" s="18" t="n"/>
      <c r="K67" s="18" t="n"/>
      <c r="L67" s="18" t="n"/>
      <c r="M67" s="19" t="n"/>
      <c r="N67" s="6" t="inlineStr">
        <is>
          <t>All</t>
        </is>
      </c>
      <c r="O67" s="18" t="n"/>
      <c r="P67" s="18" t="n"/>
      <c r="Q67" s="18" t="n"/>
      <c r="R67" s="18" t="n"/>
      <c r="S67" s="18" t="n"/>
      <c r="T67" s="18" t="n"/>
      <c r="U67" s="19" t="n"/>
    </row>
    <row r="68">
      <c r="A68" s="20" t="inlineStr">
        <is>
          <t>Average Escalation Rate</t>
        </is>
      </c>
      <c r="B68" s="18" t="n"/>
      <c r="C68" s="18" t="n"/>
      <c r="D68" s="18" t="n"/>
      <c r="E68" s="18" t="n"/>
      <c r="F68" s="18" t="n"/>
      <c r="G68" s="19" t="n"/>
      <c r="H68" s="6">
        <f>AVERAGE(Q8:Q57)</f>
        <v/>
      </c>
      <c r="I68" s="18" t="n"/>
      <c r="J68" s="18" t="n"/>
      <c r="K68" s="18" t="n"/>
      <c r="L68" s="18" t="n"/>
      <c r="M68" s="19" t="n"/>
      <c r="N68" s="6" t="inlineStr">
        <is>
          <t>&lt;15%</t>
        </is>
      </c>
      <c r="O68" s="18" t="n"/>
      <c r="P68" s="18" t="n"/>
      <c r="Q68" s="18" t="n"/>
      <c r="R68" s="18" t="n"/>
      <c r="S68" s="18" t="n"/>
      <c r="T68" s="18" t="n"/>
      <c r="U68" s="19" t="n"/>
    </row>
    <row r="71">
      <c r="A71" s="17" t="inlineStr">
        <is>
          <t>TRIAGE &amp; INVESTIGATION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9" t="n"/>
    </row>
    <row r="73">
      <c r="A73" s="6" t="n">
        <v>1</v>
      </c>
      <c r="B73" s="20" t="inlineStr">
        <is>
          <t>Triage procedure documented</t>
        </is>
      </c>
      <c r="C73" s="18" t="n"/>
      <c r="D73" s="18" t="n"/>
      <c r="E73" s="18" t="n"/>
      <c r="F73" s="18" t="n"/>
      <c r="G73" s="18" t="n"/>
      <c r="H73" s="18" t="n"/>
      <c r="I73" s="18" t="n"/>
      <c r="J73" s="18" t="n"/>
      <c r="K73" s="18" t="n"/>
      <c r="L73" s="18" t="n"/>
      <c r="M73" s="18" t="n"/>
      <c r="N73" s="18" t="n"/>
      <c r="O73" s="18" t="n"/>
      <c r="P73" s="18" t="n"/>
      <c r="Q73" s="18" t="n"/>
      <c r="R73" s="18" t="n"/>
      <c r="S73" s="18" t="n"/>
      <c r="T73" s="19" t="n"/>
      <c r="U73" s="16" t="n"/>
    </row>
    <row r="74">
      <c r="A74" s="6" t="n">
        <v>2</v>
      </c>
      <c r="B74" s="20" t="inlineStr">
        <is>
          <t>Triage steps clearly defined</t>
        </is>
      </c>
      <c r="C74" s="18" t="n"/>
      <c r="D74" s="18" t="n"/>
      <c r="E74" s="18" t="n"/>
      <c r="F74" s="18" t="n"/>
      <c r="G74" s="18" t="n"/>
      <c r="H74" s="18" t="n"/>
      <c r="I74" s="18" t="n"/>
      <c r="J74" s="18" t="n"/>
      <c r="K74" s="18" t="n"/>
      <c r="L74" s="18" t="n"/>
      <c r="M74" s="18" t="n"/>
      <c r="N74" s="18" t="n"/>
      <c r="O74" s="18" t="n"/>
      <c r="P74" s="18" t="n"/>
      <c r="Q74" s="18" t="n"/>
      <c r="R74" s="18" t="n"/>
      <c r="S74" s="18" t="n"/>
      <c r="T74" s="19" t="n"/>
      <c r="U74" s="16" t="n"/>
    </row>
    <row r="75">
      <c r="A75" s="6" t="n">
        <v>3</v>
      </c>
      <c r="B75" s="20" t="inlineStr">
        <is>
          <t>Disposition criteria documented (TP/FP/Benign/Investigation)</t>
        </is>
      </c>
      <c r="C75" s="18" t="n"/>
      <c r="D75" s="18" t="n"/>
      <c r="E75" s="18" t="n"/>
      <c r="F75" s="18" t="n"/>
      <c r="G75" s="18" t="n"/>
      <c r="H75" s="18" t="n"/>
      <c r="I75" s="18" t="n"/>
      <c r="J75" s="18" t="n"/>
      <c r="K75" s="18" t="n"/>
      <c r="L75" s="18" t="n"/>
      <c r="M75" s="18" t="n"/>
      <c r="N75" s="18" t="n"/>
      <c r="O75" s="18" t="n"/>
      <c r="P75" s="18" t="n"/>
      <c r="Q75" s="18" t="n"/>
      <c r="R75" s="18" t="n"/>
      <c r="S75" s="18" t="n"/>
      <c r="T75" s="19" t="n"/>
      <c r="U75" s="16" t="n"/>
    </row>
    <row r="76">
      <c r="A76" s="6" t="n">
        <v>4</v>
      </c>
      <c r="B76" s="20" t="inlineStr">
        <is>
          <t>Triage timeframes defined per severity</t>
        </is>
      </c>
      <c r="C76" s="18" t="n"/>
      <c r="D76" s="18" t="n"/>
      <c r="E76" s="18" t="n"/>
      <c r="F76" s="18" t="n"/>
      <c r="G76" s="18" t="n"/>
      <c r="H76" s="18" t="n"/>
      <c r="I76" s="18" t="n"/>
      <c r="J76" s="18" t="n"/>
      <c r="K76" s="18" t="n"/>
      <c r="L76" s="18" t="n"/>
      <c r="M76" s="18" t="n"/>
      <c r="N76" s="18" t="n"/>
      <c r="O76" s="18" t="n"/>
      <c r="P76" s="18" t="n"/>
      <c r="Q76" s="18" t="n"/>
      <c r="R76" s="18" t="n"/>
      <c r="S76" s="18" t="n"/>
      <c r="T76" s="19" t="n"/>
      <c r="U76" s="16" t="n"/>
    </row>
    <row r="77">
      <c r="A77" s="6" t="n">
        <v>5</v>
      </c>
      <c r="B77" s="20" t="inlineStr">
        <is>
          <t>SOC analysts trained on triage procedures</t>
        </is>
      </c>
      <c r="C77" s="18" t="n"/>
      <c r="D77" s="18" t="n"/>
      <c r="E77" s="18" t="n"/>
      <c r="F77" s="18" t="n"/>
      <c r="G77" s="18" t="n"/>
      <c r="H77" s="18" t="n"/>
      <c r="I77" s="18" t="n"/>
      <c r="J77" s="18" t="n"/>
      <c r="K77" s="18" t="n"/>
      <c r="L77" s="18" t="n"/>
      <c r="M77" s="18" t="n"/>
      <c r="N77" s="18" t="n"/>
      <c r="O77" s="18" t="n"/>
      <c r="P77" s="18" t="n"/>
      <c r="Q77" s="18" t="n"/>
      <c r="R77" s="18" t="n"/>
      <c r="S77" s="18" t="n"/>
      <c r="T77" s="19" t="n"/>
      <c r="U77" s="16" t="n"/>
    </row>
    <row r="78">
      <c r="A78" s="6" t="n">
        <v>6</v>
      </c>
      <c r="B78" s="20" t="inlineStr">
        <is>
          <t>Triage tools accessible to all analysts</t>
        </is>
      </c>
      <c r="C78" s="18" t="n"/>
      <c r="D78" s="18" t="n"/>
      <c r="E78" s="18" t="n"/>
      <c r="F78" s="18" t="n"/>
      <c r="G78" s="18" t="n"/>
      <c r="H78" s="18" t="n"/>
      <c r="I78" s="18" t="n"/>
      <c r="J78" s="18" t="n"/>
      <c r="K78" s="18" t="n"/>
      <c r="L78" s="18" t="n"/>
      <c r="M78" s="18" t="n"/>
      <c r="N78" s="18" t="n"/>
      <c r="O78" s="18" t="n"/>
      <c r="P78" s="18" t="n"/>
      <c r="Q78" s="18" t="n"/>
      <c r="R78" s="18" t="n"/>
      <c r="S78" s="18" t="n"/>
      <c r="T78" s="19" t="n"/>
      <c r="U78" s="16" t="n"/>
    </row>
    <row r="79">
      <c r="A79" s="6" t="n">
        <v>7</v>
      </c>
      <c r="B79" s="20" t="inlineStr">
        <is>
          <t>Context enrichment automated where possible</t>
        </is>
      </c>
      <c r="C79" s="18" t="n"/>
      <c r="D79" s="18" t="n"/>
      <c r="E79" s="18" t="n"/>
      <c r="F79" s="18" t="n"/>
      <c r="G79" s="18" t="n"/>
      <c r="H79" s="18" t="n"/>
      <c r="I79" s="18" t="n"/>
      <c r="J79" s="18" t="n"/>
      <c r="K79" s="18" t="n"/>
      <c r="L79" s="18" t="n"/>
      <c r="M79" s="18" t="n"/>
      <c r="N79" s="18" t="n"/>
      <c r="O79" s="18" t="n"/>
      <c r="P79" s="18" t="n"/>
      <c r="Q79" s="18" t="n"/>
      <c r="R79" s="18" t="n"/>
      <c r="S79" s="18" t="n"/>
      <c r="T79" s="19" t="n"/>
      <c r="U79" s="16" t="n"/>
    </row>
    <row r="80">
      <c r="A80" s="6" t="n">
        <v>8</v>
      </c>
      <c r="B80" s="20" t="inlineStr">
        <is>
          <t>Common false positive scenarios documented</t>
        </is>
      </c>
      <c r="C80" s="18" t="n"/>
      <c r="D80" s="18" t="n"/>
      <c r="E80" s="18" t="n"/>
      <c r="F80" s="18" t="n"/>
      <c r="G80" s="18" t="n"/>
      <c r="H80" s="18" t="n"/>
      <c r="I80" s="18" t="n"/>
      <c r="J80" s="18" t="n"/>
      <c r="K80" s="18" t="n"/>
      <c r="L80" s="18" t="n"/>
      <c r="M80" s="18" t="n"/>
      <c r="N80" s="18" t="n"/>
      <c r="O80" s="18" t="n"/>
      <c r="P80" s="18" t="n"/>
      <c r="Q80" s="18" t="n"/>
      <c r="R80" s="18" t="n"/>
      <c r="S80" s="18" t="n"/>
      <c r="T80" s="19" t="n"/>
      <c r="U80" s="16" t="n"/>
    </row>
    <row r="81">
      <c r="A81" s="6" t="n">
        <v>9</v>
      </c>
      <c r="B81" s="20" t="inlineStr">
        <is>
          <t>Investigation playbooks exist</t>
        </is>
      </c>
      <c r="C81" s="18" t="n"/>
      <c r="D81" s="18" t="n"/>
      <c r="E81" s="18" t="n"/>
      <c r="F81" s="18" t="n"/>
      <c r="G81" s="18" t="n"/>
      <c r="H81" s="18" t="n"/>
      <c r="I81" s="18" t="n"/>
      <c r="J81" s="18" t="n"/>
      <c r="K81" s="18" t="n"/>
      <c r="L81" s="18" t="n"/>
      <c r="M81" s="18" t="n"/>
      <c r="N81" s="18" t="n"/>
      <c r="O81" s="18" t="n"/>
      <c r="P81" s="18" t="n"/>
      <c r="Q81" s="18" t="n"/>
      <c r="R81" s="18" t="n"/>
      <c r="S81" s="18" t="n"/>
      <c r="T81" s="19" t="n"/>
      <c r="U81" s="16" t="n"/>
    </row>
    <row r="82">
      <c r="A82" s="6" t="n">
        <v>10</v>
      </c>
      <c r="B82" s="20" t="inlineStr">
        <is>
          <t>Evidence collection guidance provided</t>
        </is>
      </c>
      <c r="C82" s="18" t="n"/>
      <c r="D82" s="18" t="n"/>
      <c r="E82" s="18" t="n"/>
      <c r="F82" s="18" t="n"/>
      <c r="G82" s="18" t="n"/>
      <c r="H82" s="18" t="n"/>
      <c r="I82" s="18" t="n"/>
      <c r="J82" s="18" t="n"/>
      <c r="K82" s="18" t="n"/>
      <c r="L82" s="18" t="n"/>
      <c r="M82" s="18" t="n"/>
      <c r="N82" s="18" t="n"/>
      <c r="O82" s="18" t="n"/>
      <c r="P82" s="18" t="n"/>
      <c r="Q82" s="18" t="n"/>
      <c r="R82" s="18" t="n"/>
      <c r="S82" s="18" t="n"/>
      <c r="T82" s="19" t="n"/>
      <c r="U82" s="16" t="n"/>
    </row>
    <row r="83">
      <c r="A83" s="6" t="n">
        <v>11</v>
      </c>
      <c r="B83" s="20" t="inlineStr">
        <is>
          <t>Documentation requirements defined</t>
        </is>
      </c>
      <c r="C83" s="18" t="n"/>
      <c r="D83" s="18" t="n"/>
      <c r="E83" s="18" t="n"/>
      <c r="F83" s="18" t="n"/>
      <c r="G83" s="18" t="n"/>
      <c r="H83" s="18" t="n"/>
      <c r="I83" s="18" t="n"/>
      <c r="J83" s="18" t="n"/>
      <c r="K83" s="18" t="n"/>
      <c r="L83" s="18" t="n"/>
      <c r="M83" s="18" t="n"/>
      <c r="N83" s="18" t="n"/>
      <c r="O83" s="18" t="n"/>
      <c r="P83" s="18" t="n"/>
      <c r="Q83" s="18" t="n"/>
      <c r="R83" s="18" t="n"/>
      <c r="S83" s="18" t="n"/>
      <c r="T83" s="19" t="n"/>
      <c r="U83" s="16" t="n"/>
    </row>
    <row r="84">
      <c r="A84" s="6" t="n">
        <v>12</v>
      </c>
      <c r="B84" s="20" t="inlineStr">
        <is>
          <t>Escalation criteria clearly defined</t>
        </is>
      </c>
      <c r="C84" s="18" t="n"/>
      <c r="D84" s="18" t="n"/>
      <c r="E84" s="18" t="n"/>
      <c r="F84" s="18" t="n"/>
      <c r="G84" s="18" t="n"/>
      <c r="H84" s="18" t="n"/>
      <c r="I84" s="18" t="n"/>
      <c r="J84" s="18" t="n"/>
      <c r="K84" s="18" t="n"/>
      <c r="L84" s="18" t="n"/>
      <c r="M84" s="18" t="n"/>
      <c r="N84" s="18" t="n"/>
      <c r="O84" s="18" t="n"/>
      <c r="P84" s="18" t="n"/>
      <c r="Q84" s="18" t="n"/>
      <c r="R84" s="18" t="n"/>
      <c r="S84" s="18" t="n"/>
      <c r="T84" s="19" t="n"/>
      <c r="U84" s="16" t="n"/>
    </row>
    <row r="85">
      <c r="A85" s="6" t="n">
        <v>13</v>
      </c>
      <c r="B85" s="20" t="inlineStr">
        <is>
          <t>Escalation paths documented</t>
        </is>
      </c>
      <c r="C85" s="18" t="n"/>
      <c r="D85" s="18" t="n"/>
      <c r="E85" s="18" t="n"/>
      <c r="F85" s="18" t="n"/>
      <c r="G85" s="18" t="n"/>
      <c r="H85" s="18" t="n"/>
      <c r="I85" s="18" t="n"/>
      <c r="J85" s="18" t="n"/>
      <c r="K85" s="18" t="n"/>
      <c r="L85" s="18" t="n"/>
      <c r="M85" s="18" t="n"/>
      <c r="N85" s="18" t="n"/>
      <c r="O85" s="18" t="n"/>
      <c r="P85" s="18" t="n"/>
      <c r="Q85" s="18" t="n"/>
      <c r="R85" s="18" t="n"/>
      <c r="S85" s="18" t="n"/>
      <c r="T85" s="19" t="n"/>
      <c r="U85" s="16" t="n"/>
    </row>
    <row r="86">
      <c r="A86" s="6" t="n">
        <v>14</v>
      </c>
      <c r="B86" s="20" t="inlineStr">
        <is>
          <t>Process reviewed quarterly</t>
        </is>
      </c>
      <c r="C86" s="18" t="n"/>
      <c r="D86" s="18" t="n"/>
      <c r="E86" s="18" t="n"/>
      <c r="F86" s="18" t="n"/>
      <c r="G86" s="18" t="n"/>
      <c r="H86" s="18" t="n"/>
      <c r="I86" s="18" t="n"/>
      <c r="J86" s="18" t="n"/>
      <c r="K86" s="18" t="n"/>
      <c r="L86" s="18" t="n"/>
      <c r="M86" s="18" t="n"/>
      <c r="N86" s="18" t="n"/>
      <c r="O86" s="18" t="n"/>
      <c r="P86" s="18" t="n"/>
      <c r="Q86" s="18" t="n"/>
      <c r="R86" s="18" t="n"/>
      <c r="S86" s="18" t="n"/>
      <c r="T86" s="19" t="n"/>
      <c r="U86" s="16" t="n"/>
    </row>
    <row r="87">
      <c r="A87" s="6" t="n">
        <v>15</v>
      </c>
      <c r="B87" s="20" t="inlineStr">
        <is>
          <t>Continuous improvement implemented</t>
        </is>
      </c>
      <c r="C87" s="18" t="n"/>
      <c r="D87" s="18" t="n"/>
      <c r="E87" s="18" t="n"/>
      <c r="F87" s="18" t="n"/>
      <c r="G87" s="18" t="n"/>
      <c r="H87" s="18" t="n"/>
      <c r="I87" s="18" t="n"/>
      <c r="J87" s="18" t="n"/>
      <c r="K87" s="18" t="n"/>
      <c r="L87" s="18" t="n"/>
      <c r="M87" s="18" t="n"/>
      <c r="N87" s="18" t="n"/>
      <c r="O87" s="18" t="n"/>
      <c r="P87" s="18" t="n"/>
      <c r="Q87" s="18" t="n"/>
      <c r="R87" s="18" t="n"/>
      <c r="S87" s="18" t="n"/>
      <c r="T87" s="19" t="n"/>
      <c r="U87" s="16" t="n"/>
    </row>
    <row r="88">
      <c r="A88" s="21" t="inlineStr">
        <is>
          <t>SCORE:</t>
        </is>
      </c>
      <c r="B88" s="22">
        <f>COUNTIF(U73:U87,"✅ Compliant")&amp;" / 15"</f>
        <v/>
      </c>
    </row>
  </sheetData>
  <mergeCells count="49">
    <mergeCell ref="H64:M64"/>
    <mergeCell ref="H60:M60"/>
    <mergeCell ref="B84:T84"/>
    <mergeCell ref="A62:G62"/>
    <mergeCell ref="B74:T74"/>
    <mergeCell ref="N63:U63"/>
    <mergeCell ref="H61:M61"/>
    <mergeCell ref="B83:T83"/>
    <mergeCell ref="A68:G68"/>
    <mergeCell ref="A63:G63"/>
    <mergeCell ref="N66:U66"/>
    <mergeCell ref="A3:U3"/>
    <mergeCell ref="B80:T80"/>
    <mergeCell ref="B76:T76"/>
    <mergeCell ref="A2:U2"/>
    <mergeCell ref="A67:G67"/>
    <mergeCell ref="B85:T85"/>
    <mergeCell ref="H66:M66"/>
    <mergeCell ref="A71:U71"/>
    <mergeCell ref="B79:T79"/>
    <mergeCell ref="N68:U68"/>
    <mergeCell ref="H65:M65"/>
    <mergeCell ref="A64:G64"/>
    <mergeCell ref="B75:T75"/>
    <mergeCell ref="N62:U62"/>
    <mergeCell ref="A60:G60"/>
    <mergeCell ref="B72:T72"/>
    <mergeCell ref="N61:U61"/>
    <mergeCell ref="A61:G61"/>
    <mergeCell ref="B81:T81"/>
    <mergeCell ref="N64:U64"/>
    <mergeCell ref="H62:M62"/>
    <mergeCell ref="N67:U67"/>
    <mergeCell ref="A65:G65"/>
    <mergeCell ref="B77:T77"/>
    <mergeCell ref="B86:T86"/>
    <mergeCell ref="N60:U60"/>
    <mergeCell ref="H67:M67"/>
    <mergeCell ref="A66:G66"/>
    <mergeCell ref="H63:M63"/>
    <mergeCell ref="A59:U59"/>
    <mergeCell ref="B88:E88"/>
    <mergeCell ref="B82:T82"/>
    <mergeCell ref="B73:T73"/>
    <mergeCell ref="N65:U65"/>
    <mergeCell ref="A1:U1"/>
    <mergeCell ref="B87:T87"/>
    <mergeCell ref="B78:T78"/>
    <mergeCell ref="H68:M68"/>
  </mergeCells>
  <dataValidations count="8">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"Yes,Partial,No"</formula1>
    </dataValidation>
    <dataValidation sqref="U73 U74 U75 U76 U77 U78 U79 U80 U81 U82 U83 U84 U85 U86 U87"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"Fully Automated,Partially Automated,Manual"</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Defined,⚠️ Partial,❌ Undefined"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"24/7,Business Hours,On-Call"</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"Alert Acknowledgment,Initial Assessment,Context Gathering,Disposition Decision,Investigation,Documentation,Escalation,Closure"</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"Yes,No,Planned"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8"/>
  <sheetViews>
    <sheetView showGridLines="0" workbookViewId="0">
      <selection activeCell="A1" sqref="A1"/>
    </sheetView>
  </sheetViews>
  <sheetFormatPr baseColWidth="8" defaultRowHeight="15"/>
  <cols>
    <col width="30" customWidth="1" min="1" max="1"/>
    <col width="30" customWidth="1" min="2" max="2"/>
    <col width="20" customWidth="1" min="3" max="3"/>
    <col width="22" customWidth="1" min="4" max="4"/>
    <col width="22" customWidth="1" min="5" max="5"/>
    <col width="22" customWidth="1" min="6" max="6"/>
    <col width="18" customWidth="1" min="7" max="7"/>
    <col width="16" customWidth="1" min="8" max="8"/>
    <col width="35" customWidth="1" min="9" max="9"/>
    <col width="18" customWidth="1" min="10" max="10"/>
    <col width="18" customWidth="1" min="11" max="11"/>
    <col width="18" customWidth="1" min="12" max="12"/>
    <col width="14" customWidth="1" min="13" max="13"/>
    <col width="16" customWidth="1" min="14" max="14"/>
    <col width="20" customWidth="1" min="15" max="15"/>
    <col width="16" customWidth="1" min="16" max="16"/>
    <col width="18" customWidth="1" min="17" max="17"/>
    <col width="30" customWidth="1" min="18" max="18"/>
    <col width="16" customWidth="1" min="19" max="19"/>
  </cols>
  <sheetData>
    <row r="1" ht="35" customHeight="1">
      <c r="A1" s="11" t="inlineStr">
        <is>
          <t>3. ESCALATION &amp; RESPONSE PROCEDURES</t>
        </is>
      </c>
    </row>
    <row r="2">
      <c r="A2" s="12" t="inlineStr">
        <is>
          <t>Policy Reference: ISMS-POL-A.8.16-S2.3.7 - Escalation procedures</t>
        </is>
      </c>
    </row>
    <row r="3">
      <c r="A3" s="13" t="inlineStr">
        <is>
          <t>Are escalation paths documented, tested, and effective?</t>
        </is>
      </c>
    </row>
    <row r="6">
      <c r="A6" s="14" t="inlineStr">
        <is>
          <t>Escalation Scenario</t>
        </is>
      </c>
      <c r="B6" s="14" t="inlineStr">
        <is>
          <t>Trigger Criteria</t>
        </is>
      </c>
      <c r="C6" s="14" t="inlineStr">
        <is>
          <t>Escalation Level</t>
        </is>
      </c>
      <c r="D6" s="14" t="inlineStr">
        <is>
          <t>Target Person/Team</t>
        </is>
      </c>
      <c r="E6" s="14" t="inlineStr">
        <is>
          <t>Primary Contact</t>
        </is>
      </c>
      <c r="F6" s="14" t="inlineStr">
        <is>
          <t>Backup Contact</t>
        </is>
      </c>
      <c r="G6" s="14" t="inlineStr">
        <is>
          <t>Contact Method</t>
        </is>
      </c>
      <c r="H6" s="14" t="inlineStr">
        <is>
          <t>Escalation Timeframe</t>
        </is>
      </c>
      <c r="I6" s="14" t="inlineStr">
        <is>
          <t>Information to Provide</t>
        </is>
      </c>
      <c r="J6" s="14" t="inlineStr">
        <is>
          <t>Expected Response Time</t>
        </is>
      </c>
      <c r="K6" s="14" t="inlineStr">
        <is>
          <t>Procedure Documented</t>
        </is>
      </c>
      <c r="L6" s="14" t="inlineStr">
        <is>
          <t>Tested Frequency</t>
        </is>
      </c>
      <c r="M6" s="14" t="inlineStr">
        <is>
          <t>Last Tested</t>
        </is>
      </c>
      <c r="N6" s="14" t="inlineStr">
        <is>
          <t>Test Result</t>
        </is>
      </c>
      <c r="O6" s="14" t="inlineStr">
        <is>
          <t>After-Hours Procedure</t>
        </is>
      </c>
      <c r="P6" s="14" t="inlineStr">
        <is>
          <t>Escalation Rate (30d)</t>
        </is>
      </c>
      <c r="Q6" s="14" t="inlineStr">
        <is>
          <t>Compliance Status</t>
        </is>
      </c>
      <c r="R6" s="14" t="inlineStr">
        <is>
          <t>Gaps/Issues</t>
        </is>
      </c>
      <c r="S6" s="14" t="inlineStr">
        <is>
          <t>Priority</t>
        </is>
      </c>
    </row>
    <row r="7">
      <c r="A7" s="15" t="inlineStr">
        <is>
          <t>Critical Alert - Confirmed Ransomware</t>
        </is>
      </c>
      <c r="B7" s="15" t="inlineStr">
        <is>
          <t>Ransomware indicators + file encryption</t>
        </is>
      </c>
      <c r="C7" s="15" t="inlineStr">
        <is>
          <t>SOC→IR</t>
        </is>
      </c>
      <c r="D7" s="15" t="inlineStr">
        <is>
          <t>Incident Response Team</t>
        </is>
      </c>
      <c r="E7" s="15" t="inlineStr">
        <is>
          <t>IR Lead (+41 XX XXX XX XX)</t>
        </is>
      </c>
      <c r="F7" s="15" t="inlineStr">
        <is>
          <t>IR Manager (+41 XX XXX XX XX)</t>
        </is>
      </c>
      <c r="G7" s="15" t="inlineStr">
        <is>
          <t>Phone</t>
        </is>
      </c>
      <c r="H7" s="15" t="inlineStr">
        <is>
          <t>Within 15 min</t>
        </is>
      </c>
      <c r="I7" s="15" t="inlineStr">
        <is>
          <t>Alert details, affected systems, IOCs</t>
        </is>
      </c>
      <c r="J7" s="15" t="inlineStr">
        <is>
          <t>30 min</t>
        </is>
      </c>
      <c r="K7" s="15" t="inlineStr">
        <is>
          <t>Yes</t>
        </is>
      </c>
      <c r="L7" s="15" t="inlineStr">
        <is>
          <t>Quarterly</t>
        </is>
      </c>
      <c r="M7" s="15" t="inlineStr">
        <is>
          <t>15.10.2024</t>
        </is>
      </c>
      <c r="N7" s="15" t="inlineStr">
        <is>
          <t>Successful</t>
        </is>
      </c>
      <c r="O7" s="15" t="inlineStr">
        <is>
          <t>On-Call</t>
        </is>
      </c>
      <c r="P7" s="15" t="inlineStr">
        <is>
          <t>3 incidents</t>
        </is>
      </c>
      <c r="Q7" s="15" t="inlineStr">
        <is>
          <t>✅ Compliant</t>
        </is>
      </c>
      <c r="R7" s="15" t="inlineStr">
        <is>
          <t>None</t>
        </is>
      </c>
      <c r="S7" s="15" t="inlineStr">
        <is>
          <t>Critical</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ESCALATION STATISTICS</t>
        </is>
      </c>
    </row>
    <row r="60">
      <c r="A60" s="14" t="inlineStr">
        <is>
          <t>Metric</t>
        </is>
      </c>
      <c r="B60" s="18" t="n"/>
      <c r="C60" s="18" t="n"/>
      <c r="D60" s="18" t="n"/>
      <c r="E60" s="18" t="n"/>
      <c r="F60" s="19" t="n"/>
      <c r="G60" s="14" t="inlineStr">
        <is>
          <t>Count/Value</t>
        </is>
      </c>
      <c r="H60" s="18" t="n"/>
      <c r="I60" s="18" t="n"/>
      <c r="J60" s="18" t="n"/>
      <c r="K60" s="18" t="n"/>
      <c r="L60" s="19" t="n"/>
      <c r="M60" s="14" t="inlineStr">
        <is>
          <t>Target</t>
        </is>
      </c>
      <c r="N60" s="18" t="n"/>
      <c r="O60" s="18" t="n"/>
      <c r="P60" s="18" t="n"/>
      <c r="Q60" s="18" t="n"/>
      <c r="R60" s="18" t="n"/>
      <c r="S60" s="19" t="n"/>
    </row>
    <row r="61">
      <c r="A61" s="20" t="inlineStr">
        <is>
          <t>Total Escalation Paths Documented</t>
        </is>
      </c>
      <c r="B61" s="18" t="n"/>
      <c r="C61" s="18" t="n"/>
      <c r="D61" s="18" t="n"/>
      <c r="E61" s="18" t="n"/>
      <c r="F61" s="19" t="n"/>
      <c r="G61" s="6">
        <f>COUNTA(A8:A87)</f>
        <v/>
      </c>
      <c r="H61" s="18" t="n"/>
      <c r="I61" s="18" t="n"/>
      <c r="J61" s="18" t="n"/>
      <c r="K61" s="18" t="n"/>
      <c r="L61" s="19" t="n"/>
      <c r="M61" s="6" t="inlineStr">
        <is>
          <t>N/A</t>
        </is>
      </c>
      <c r="N61" s="18" t="n"/>
      <c r="O61" s="18" t="n"/>
      <c r="P61" s="18" t="n"/>
      <c r="Q61" s="18" t="n"/>
      <c r="R61" s="18" t="n"/>
      <c r="S61" s="19" t="n"/>
    </row>
    <row r="62">
      <c r="A62" s="20" t="inlineStr">
        <is>
          <t>Paths with Procedures</t>
        </is>
      </c>
      <c r="B62" s="18" t="n"/>
      <c r="C62" s="18" t="n"/>
      <c r="D62" s="18" t="n"/>
      <c r="E62" s="18" t="n"/>
      <c r="F62" s="19" t="n"/>
      <c r="G62" s="6">
        <f>COUNTIF(K8:K87,"Yes")</f>
        <v/>
      </c>
      <c r="H62" s="18" t="n"/>
      <c r="I62" s="18" t="n"/>
      <c r="J62" s="18" t="n"/>
      <c r="K62" s="18" t="n"/>
      <c r="L62" s="19" t="n"/>
      <c r="M62" s="6" t="inlineStr">
        <is>
          <t>All</t>
        </is>
      </c>
      <c r="N62" s="18" t="n"/>
      <c r="O62" s="18" t="n"/>
      <c r="P62" s="18" t="n"/>
      <c r="Q62" s="18" t="n"/>
      <c r="R62" s="18" t="n"/>
      <c r="S62" s="19" t="n"/>
    </row>
    <row r="63">
      <c r="A63" s="20" t="inlineStr">
        <is>
          <t>Tested Quarterly</t>
        </is>
      </c>
      <c r="B63" s="18" t="n"/>
      <c r="C63" s="18" t="n"/>
      <c r="D63" s="18" t="n"/>
      <c r="E63" s="18" t="n"/>
      <c r="F63" s="19" t="n"/>
      <c r="G63" s="6">
        <f>COUNTIF(L8:L87,"Quarterly")</f>
        <v/>
      </c>
      <c r="H63" s="18" t="n"/>
      <c r="I63" s="18" t="n"/>
      <c r="J63" s="18" t="n"/>
      <c r="K63" s="18" t="n"/>
      <c r="L63" s="19" t="n"/>
      <c r="M63" s="6" t="inlineStr">
        <is>
          <t>Target</t>
        </is>
      </c>
      <c r="N63" s="18" t="n"/>
      <c r="O63" s="18" t="n"/>
      <c r="P63" s="18" t="n"/>
      <c r="Q63" s="18" t="n"/>
      <c r="R63" s="18" t="n"/>
      <c r="S63" s="19" t="n"/>
    </row>
    <row r="64">
      <c r="A64" s="20" t="inlineStr">
        <is>
          <t>Tested in Last 90 Days</t>
        </is>
      </c>
      <c r="B64" s="18" t="n"/>
      <c r="C64" s="18" t="n"/>
      <c r="D64" s="18" t="n"/>
      <c r="E64" s="18" t="n"/>
      <c r="F64" s="19" t="n"/>
      <c r="G64" s="6">
        <f>COUNTIFS(M8:M87,"&gt;"&amp;TODAY()-90)</f>
        <v/>
      </c>
      <c r="H64" s="18" t="n"/>
      <c r="I64" s="18" t="n"/>
      <c r="J64" s="18" t="n"/>
      <c r="K64" s="18" t="n"/>
      <c r="L64" s="19" t="n"/>
      <c r="M64" s="6" t="inlineStr">
        <is>
          <t>All</t>
        </is>
      </c>
      <c r="N64" s="18" t="n"/>
      <c r="O64" s="18" t="n"/>
      <c r="P64" s="18" t="n"/>
      <c r="Q64" s="18" t="n"/>
      <c r="R64" s="18" t="n"/>
      <c r="S64" s="19" t="n"/>
    </row>
    <row r="65">
      <c r="A65" s="20" t="inlineStr">
        <is>
          <t>Successful Test Results</t>
        </is>
      </c>
      <c r="B65" s="18" t="n"/>
      <c r="C65" s="18" t="n"/>
      <c r="D65" s="18" t="n"/>
      <c r="E65" s="18" t="n"/>
      <c r="F65" s="19" t="n"/>
      <c r="G65" s="6">
        <f>COUNTIF(N8:N87,"Successful")</f>
        <v/>
      </c>
      <c r="H65" s="18" t="n"/>
      <c r="I65" s="18" t="n"/>
      <c r="J65" s="18" t="n"/>
      <c r="K65" s="18" t="n"/>
      <c r="L65" s="19" t="n"/>
      <c r="M65" s="6" t="inlineStr">
        <is>
          <t>All</t>
        </is>
      </c>
      <c r="N65" s="18" t="n"/>
      <c r="O65" s="18" t="n"/>
      <c r="P65" s="18" t="n"/>
      <c r="Q65" s="18" t="n"/>
      <c r="R65" s="18" t="n"/>
      <c r="S65" s="19" t="n"/>
    </row>
    <row r="66">
      <c r="A66" s="20" t="inlineStr">
        <is>
          <t>Paths with After-Hours Coverage</t>
        </is>
      </c>
      <c r="B66" s="18" t="n"/>
      <c r="C66" s="18" t="n"/>
      <c r="D66" s="18" t="n"/>
      <c r="E66" s="18" t="n"/>
      <c r="F66" s="19" t="n"/>
      <c r="G66" s="6">
        <f>COUNTIFS(O8:O87,"&lt;&gt;None")</f>
        <v/>
      </c>
      <c r="H66" s="18" t="n"/>
      <c r="I66" s="18" t="n"/>
      <c r="J66" s="18" t="n"/>
      <c r="K66" s="18" t="n"/>
      <c r="L66" s="19" t="n"/>
      <c r="M66" s="6" t="inlineStr">
        <is>
          <t>Critical paths</t>
        </is>
      </c>
      <c r="N66" s="18" t="n"/>
      <c r="O66" s="18" t="n"/>
      <c r="P66" s="18" t="n"/>
      <c r="Q66" s="18" t="n"/>
      <c r="R66" s="18" t="n"/>
      <c r="S66" s="19" t="n"/>
    </row>
    <row r="67">
      <c r="A67" s="20" t="inlineStr">
        <is>
          <t>Paths Needing Improvement</t>
        </is>
      </c>
      <c r="B67" s="18" t="n"/>
      <c r="C67" s="18" t="n"/>
      <c r="D67" s="18" t="n"/>
      <c r="E67" s="18" t="n"/>
      <c r="F67" s="19" t="n"/>
      <c r="G67" s="6">
        <f>COUNTIF(Q8:Q87,"⚠️ Partial")</f>
        <v/>
      </c>
      <c r="H67" s="18" t="n"/>
      <c r="I67" s="18" t="n"/>
      <c r="J67" s="18" t="n"/>
      <c r="K67" s="18" t="n"/>
      <c r="L67" s="19" t="n"/>
      <c r="M67" s="6" t="inlineStr">
        <is>
          <t>&lt;3</t>
        </is>
      </c>
      <c r="N67" s="18" t="n"/>
      <c r="O67" s="18" t="n"/>
      <c r="P67" s="18" t="n"/>
      <c r="Q67" s="18" t="n"/>
      <c r="R67" s="18" t="n"/>
      <c r="S67" s="19" t="n"/>
    </row>
    <row r="68">
      <c r="A68" s="20" t="inlineStr">
        <is>
          <t>Critical Escalations (30d)</t>
        </is>
      </c>
      <c r="B68" s="18" t="n"/>
      <c r="C68" s="18" t="n"/>
      <c r="D68" s="18" t="n"/>
      <c r="E68" s="18" t="n"/>
      <c r="F68" s="19" t="n"/>
      <c r="G68" s="6" t="inlineStr">
        <is>
          <t>[From logs]</t>
        </is>
      </c>
      <c r="H68" s="18" t="n"/>
      <c r="I68" s="18" t="n"/>
      <c r="J68" s="18" t="n"/>
      <c r="K68" s="18" t="n"/>
      <c r="L68" s="19" t="n"/>
      <c r="M68" s="6" t="inlineStr">
        <is>
          <t>N/A</t>
        </is>
      </c>
      <c r="N68" s="18" t="n"/>
      <c r="O68" s="18" t="n"/>
      <c r="P68" s="18" t="n"/>
      <c r="Q68" s="18" t="n"/>
      <c r="R68" s="18" t="n"/>
      <c r="S68" s="19" t="n"/>
    </row>
    <row r="71">
      <c r="A71" s="17" t="inlineStr">
        <is>
          <t>ESCALATION &amp; RESPONSE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9" t="n"/>
    </row>
    <row r="73">
      <c r="A73" s="6" t="n">
        <v>1</v>
      </c>
      <c r="B73" s="20" t="inlineStr">
        <is>
          <t>Escalation paths documented for all severity levels</t>
        </is>
      </c>
      <c r="C73" s="18" t="n"/>
      <c r="D73" s="18" t="n"/>
      <c r="E73" s="18" t="n"/>
      <c r="F73" s="18" t="n"/>
      <c r="G73" s="18" t="n"/>
      <c r="H73" s="18" t="n"/>
      <c r="I73" s="18" t="n"/>
      <c r="J73" s="18" t="n"/>
      <c r="K73" s="18" t="n"/>
      <c r="L73" s="18" t="n"/>
      <c r="M73" s="18" t="n"/>
      <c r="N73" s="18" t="n"/>
      <c r="O73" s="18" t="n"/>
      <c r="P73" s="18" t="n"/>
      <c r="Q73" s="18" t="n"/>
      <c r="R73" s="19" t="n"/>
      <c r="S73" s="16" t="n"/>
    </row>
    <row r="74">
      <c r="A74" s="6" t="n">
        <v>2</v>
      </c>
      <c r="B74" s="20" t="inlineStr">
        <is>
          <t>Escalation criteria clearly defined</t>
        </is>
      </c>
      <c r="C74" s="18" t="n"/>
      <c r="D74" s="18" t="n"/>
      <c r="E74" s="18" t="n"/>
      <c r="F74" s="18" t="n"/>
      <c r="G74" s="18" t="n"/>
      <c r="H74" s="18" t="n"/>
      <c r="I74" s="18" t="n"/>
      <c r="J74" s="18" t="n"/>
      <c r="K74" s="18" t="n"/>
      <c r="L74" s="18" t="n"/>
      <c r="M74" s="18" t="n"/>
      <c r="N74" s="18" t="n"/>
      <c r="O74" s="18" t="n"/>
      <c r="P74" s="18" t="n"/>
      <c r="Q74" s="18" t="n"/>
      <c r="R74" s="19" t="n"/>
      <c r="S74" s="16" t="n"/>
    </row>
    <row r="75">
      <c r="A75" s="6" t="n">
        <v>3</v>
      </c>
      <c r="B75" s="20" t="inlineStr">
        <is>
          <t>Contact information current (verified quarterly)</t>
        </is>
      </c>
      <c r="C75" s="18" t="n"/>
      <c r="D75" s="18" t="n"/>
      <c r="E75" s="18" t="n"/>
      <c r="F75" s="18" t="n"/>
      <c r="G75" s="18" t="n"/>
      <c r="H75" s="18" t="n"/>
      <c r="I75" s="18" t="n"/>
      <c r="J75" s="18" t="n"/>
      <c r="K75" s="18" t="n"/>
      <c r="L75" s="18" t="n"/>
      <c r="M75" s="18" t="n"/>
      <c r="N75" s="18" t="n"/>
      <c r="O75" s="18" t="n"/>
      <c r="P75" s="18" t="n"/>
      <c r="Q75" s="18" t="n"/>
      <c r="R75" s="19" t="n"/>
      <c r="S75" s="16" t="n"/>
    </row>
    <row r="76">
      <c r="A76" s="6" t="n">
        <v>4</v>
      </c>
      <c r="B76" s="20" t="inlineStr">
        <is>
          <t>Backup contacts identified</t>
        </is>
      </c>
      <c r="C76" s="18" t="n"/>
      <c r="D76" s="18" t="n"/>
      <c r="E76" s="18" t="n"/>
      <c r="F76" s="18" t="n"/>
      <c r="G76" s="18" t="n"/>
      <c r="H76" s="18" t="n"/>
      <c r="I76" s="18" t="n"/>
      <c r="J76" s="18" t="n"/>
      <c r="K76" s="18" t="n"/>
      <c r="L76" s="18" t="n"/>
      <c r="M76" s="18" t="n"/>
      <c r="N76" s="18" t="n"/>
      <c r="O76" s="18" t="n"/>
      <c r="P76" s="18" t="n"/>
      <c r="Q76" s="18" t="n"/>
      <c r="R76" s="19" t="n"/>
      <c r="S76" s="16" t="n"/>
    </row>
    <row r="77">
      <c r="A77" s="6" t="n">
        <v>5</v>
      </c>
      <c r="B77" s="20" t="inlineStr">
        <is>
          <t>After-hours escalation procedures defined</t>
        </is>
      </c>
      <c r="C77" s="18" t="n"/>
      <c r="D77" s="18" t="n"/>
      <c r="E77" s="18" t="n"/>
      <c r="F77" s="18" t="n"/>
      <c r="G77" s="18" t="n"/>
      <c r="H77" s="18" t="n"/>
      <c r="I77" s="18" t="n"/>
      <c r="J77" s="18" t="n"/>
      <c r="K77" s="18" t="n"/>
      <c r="L77" s="18" t="n"/>
      <c r="M77" s="18" t="n"/>
      <c r="N77" s="18" t="n"/>
      <c r="O77" s="18" t="n"/>
      <c r="P77" s="18" t="n"/>
      <c r="Q77" s="18" t="n"/>
      <c r="R77" s="19" t="n"/>
      <c r="S77" s="16" t="n"/>
    </row>
    <row r="78">
      <c r="A78" s="6" t="n">
        <v>6</v>
      </c>
      <c r="B78" s="20" t="inlineStr">
        <is>
          <t>On-call rotation established</t>
        </is>
      </c>
      <c r="C78" s="18" t="n"/>
      <c r="D78" s="18" t="n"/>
      <c r="E78" s="18" t="n"/>
      <c r="F78" s="18" t="n"/>
      <c r="G78" s="18" t="n"/>
      <c r="H78" s="18" t="n"/>
      <c r="I78" s="18" t="n"/>
      <c r="J78" s="18" t="n"/>
      <c r="K78" s="18" t="n"/>
      <c r="L78" s="18" t="n"/>
      <c r="M78" s="18" t="n"/>
      <c r="N78" s="18" t="n"/>
      <c r="O78" s="18" t="n"/>
      <c r="P78" s="18" t="n"/>
      <c r="Q78" s="18" t="n"/>
      <c r="R78" s="19" t="n"/>
      <c r="S78" s="16" t="n"/>
    </row>
    <row r="79">
      <c r="A79" s="6" t="n">
        <v>7</v>
      </c>
      <c r="B79" s="20" t="inlineStr">
        <is>
          <t>Escalation timeframes defined</t>
        </is>
      </c>
      <c r="C79" s="18" t="n"/>
      <c r="D79" s="18" t="n"/>
      <c r="E79" s="18" t="n"/>
      <c r="F79" s="18" t="n"/>
      <c r="G79" s="18" t="n"/>
      <c r="H79" s="18" t="n"/>
      <c r="I79" s="18" t="n"/>
      <c r="J79" s="18" t="n"/>
      <c r="K79" s="18" t="n"/>
      <c r="L79" s="18" t="n"/>
      <c r="M79" s="18" t="n"/>
      <c r="N79" s="18" t="n"/>
      <c r="O79" s="18" t="n"/>
      <c r="P79" s="18" t="n"/>
      <c r="Q79" s="18" t="n"/>
      <c r="R79" s="19" t="n"/>
      <c r="S79" s="16" t="n"/>
    </row>
    <row r="80">
      <c r="A80" s="6" t="n">
        <v>8</v>
      </c>
      <c r="B80" s="20" t="inlineStr">
        <is>
          <t>Information requirements documented (what to escalate)</t>
        </is>
      </c>
      <c r="C80" s="18" t="n"/>
      <c r="D80" s="18" t="n"/>
      <c r="E80" s="18" t="n"/>
      <c r="F80" s="18" t="n"/>
      <c r="G80" s="18" t="n"/>
      <c r="H80" s="18" t="n"/>
      <c r="I80" s="18" t="n"/>
      <c r="J80" s="18" t="n"/>
      <c r="K80" s="18" t="n"/>
      <c r="L80" s="18" t="n"/>
      <c r="M80" s="18" t="n"/>
      <c r="N80" s="18" t="n"/>
      <c r="O80" s="18" t="n"/>
      <c r="P80" s="18" t="n"/>
      <c r="Q80" s="18" t="n"/>
      <c r="R80" s="19" t="n"/>
      <c r="S80" s="16" t="n"/>
    </row>
    <row r="81">
      <c r="A81" s="6" t="n">
        <v>9</v>
      </c>
      <c r="B81" s="20" t="inlineStr">
        <is>
          <t>Communication templates available</t>
        </is>
      </c>
      <c r="C81" s="18" t="n"/>
      <c r="D81" s="18" t="n"/>
      <c r="E81" s="18" t="n"/>
      <c r="F81" s="18" t="n"/>
      <c r="G81" s="18" t="n"/>
      <c r="H81" s="18" t="n"/>
      <c r="I81" s="18" t="n"/>
      <c r="J81" s="18" t="n"/>
      <c r="K81" s="18" t="n"/>
      <c r="L81" s="18" t="n"/>
      <c r="M81" s="18" t="n"/>
      <c r="N81" s="18" t="n"/>
      <c r="O81" s="18" t="n"/>
      <c r="P81" s="18" t="n"/>
      <c r="Q81" s="18" t="n"/>
      <c r="R81" s="19" t="n"/>
      <c r="S81" s="16" t="n"/>
    </row>
    <row r="82">
      <c r="A82" s="6" t="n">
        <v>10</v>
      </c>
      <c r="B82" s="20" t="inlineStr">
        <is>
          <t>Escalation tracking in place</t>
        </is>
      </c>
      <c r="C82" s="18" t="n"/>
      <c r="D82" s="18" t="n"/>
      <c r="E82" s="18" t="n"/>
      <c r="F82" s="18" t="n"/>
      <c r="G82" s="18" t="n"/>
      <c r="H82" s="18" t="n"/>
      <c r="I82" s="18" t="n"/>
      <c r="J82" s="18" t="n"/>
      <c r="K82" s="18" t="n"/>
      <c r="L82" s="18" t="n"/>
      <c r="M82" s="18" t="n"/>
      <c r="N82" s="18" t="n"/>
      <c r="O82" s="18" t="n"/>
      <c r="P82" s="18" t="n"/>
      <c r="Q82" s="18" t="n"/>
      <c r="R82" s="19" t="n"/>
      <c r="S82" s="16" t="n"/>
    </row>
    <row r="83">
      <c r="A83" s="6" t="n">
        <v>11</v>
      </c>
      <c r="B83" s="20" t="inlineStr">
        <is>
          <t>Escalation procedures tested (tabletop exercises)</t>
        </is>
      </c>
      <c r="C83" s="18" t="n"/>
      <c r="D83" s="18" t="n"/>
      <c r="E83" s="18" t="n"/>
      <c r="F83" s="18" t="n"/>
      <c r="G83" s="18" t="n"/>
      <c r="H83" s="18" t="n"/>
      <c r="I83" s="18" t="n"/>
      <c r="J83" s="18" t="n"/>
      <c r="K83" s="18" t="n"/>
      <c r="L83" s="18" t="n"/>
      <c r="M83" s="18" t="n"/>
      <c r="N83" s="18" t="n"/>
      <c r="O83" s="18" t="n"/>
      <c r="P83" s="18" t="n"/>
      <c r="Q83" s="18" t="n"/>
      <c r="R83" s="19" t="n"/>
      <c r="S83" s="16" t="n"/>
    </row>
    <row r="84">
      <c r="A84" s="6" t="n">
        <v>12</v>
      </c>
      <c r="B84" s="20" t="inlineStr">
        <is>
          <t>External escalation procedures defined (law enforcement, regulators)</t>
        </is>
      </c>
      <c r="C84" s="18" t="n"/>
      <c r="D84" s="18" t="n"/>
      <c r="E84" s="18" t="n"/>
      <c r="F84" s="18" t="n"/>
      <c r="G84" s="18" t="n"/>
      <c r="H84" s="18" t="n"/>
      <c r="I84" s="18" t="n"/>
      <c r="J84" s="18" t="n"/>
      <c r="K84" s="18" t="n"/>
      <c r="L84" s="18" t="n"/>
      <c r="M84" s="18" t="n"/>
      <c r="N84" s="18" t="n"/>
      <c r="O84" s="18" t="n"/>
      <c r="P84" s="18" t="n"/>
      <c r="Q84" s="18" t="n"/>
      <c r="R84" s="19" t="n"/>
      <c r="S84" s="16" t="n"/>
    </row>
    <row r="85">
      <c r="A85" s="6" t="n">
        <v>13</v>
      </c>
      <c r="B85" s="20" t="inlineStr">
        <is>
          <t>Executive escalation criteria defined</t>
        </is>
      </c>
      <c r="C85" s="18" t="n"/>
      <c r="D85" s="18" t="n"/>
      <c r="E85" s="18" t="n"/>
      <c r="F85" s="18" t="n"/>
      <c r="G85" s="18" t="n"/>
      <c r="H85" s="18" t="n"/>
      <c r="I85" s="18" t="n"/>
      <c r="J85" s="18" t="n"/>
      <c r="K85" s="18" t="n"/>
      <c r="L85" s="18" t="n"/>
      <c r="M85" s="18" t="n"/>
      <c r="N85" s="18" t="n"/>
      <c r="O85" s="18" t="n"/>
      <c r="P85" s="18" t="n"/>
      <c r="Q85" s="18" t="n"/>
      <c r="R85" s="19" t="n"/>
      <c r="S85" s="16" t="n"/>
    </row>
    <row r="86">
      <c r="A86" s="6" t="n">
        <v>14</v>
      </c>
      <c r="B86" s="20" t="inlineStr">
        <is>
          <t>Escalation metrics tracked</t>
        </is>
      </c>
      <c r="C86" s="18" t="n"/>
      <c r="D86" s="18" t="n"/>
      <c r="E86" s="18" t="n"/>
      <c r="F86" s="18" t="n"/>
      <c r="G86" s="18" t="n"/>
      <c r="H86" s="18" t="n"/>
      <c r="I86" s="18" t="n"/>
      <c r="J86" s="18" t="n"/>
      <c r="K86" s="18" t="n"/>
      <c r="L86" s="18" t="n"/>
      <c r="M86" s="18" t="n"/>
      <c r="N86" s="18" t="n"/>
      <c r="O86" s="18" t="n"/>
      <c r="P86" s="18" t="n"/>
      <c r="Q86" s="18" t="n"/>
      <c r="R86" s="19" t="n"/>
      <c r="S86" s="16" t="n"/>
    </row>
    <row r="87">
      <c r="A87" s="6" t="n">
        <v>15</v>
      </c>
      <c r="B87" s="20" t="inlineStr">
        <is>
          <t>False escalations analysed and reduced</t>
        </is>
      </c>
      <c r="C87" s="18" t="n"/>
      <c r="D87" s="18" t="n"/>
      <c r="E87" s="18" t="n"/>
      <c r="F87" s="18" t="n"/>
      <c r="G87" s="18" t="n"/>
      <c r="H87" s="18" t="n"/>
      <c r="I87" s="18" t="n"/>
      <c r="J87" s="18" t="n"/>
      <c r="K87" s="18" t="n"/>
      <c r="L87" s="18" t="n"/>
      <c r="M87" s="18" t="n"/>
      <c r="N87" s="18" t="n"/>
      <c r="O87" s="18" t="n"/>
      <c r="P87" s="18" t="n"/>
      <c r="Q87" s="18" t="n"/>
      <c r="R87" s="19" t="n"/>
      <c r="S87" s="16" t="n"/>
    </row>
    <row r="88">
      <c r="A88" s="21" t="inlineStr">
        <is>
          <t>SCORE:</t>
        </is>
      </c>
      <c r="B88" s="22">
        <f>COUNTIF(S73:S87,"✅ Compliant")&amp;" / 15"</f>
        <v/>
      </c>
    </row>
  </sheetData>
  <mergeCells count="49">
    <mergeCell ref="A71:S71"/>
    <mergeCell ref="M61:S61"/>
    <mergeCell ref="A66:F66"/>
    <mergeCell ref="G66:L66"/>
    <mergeCell ref="G62:L62"/>
    <mergeCell ref="B75:R75"/>
    <mergeCell ref="M62:S62"/>
    <mergeCell ref="B81:R81"/>
    <mergeCell ref="B72:R72"/>
    <mergeCell ref="G68:L68"/>
    <mergeCell ref="M66:S66"/>
    <mergeCell ref="M63:S63"/>
    <mergeCell ref="G65:L65"/>
    <mergeCell ref="B77:R77"/>
    <mergeCell ref="B86:R86"/>
    <mergeCell ref="G64:L64"/>
    <mergeCell ref="M68:S68"/>
    <mergeCell ref="A62:F62"/>
    <mergeCell ref="A59:S59"/>
    <mergeCell ref="A63:F63"/>
    <mergeCell ref="G63:L63"/>
    <mergeCell ref="M67:S67"/>
    <mergeCell ref="A68:F68"/>
    <mergeCell ref="B82:R82"/>
    <mergeCell ref="B73:R73"/>
    <mergeCell ref="G60:L60"/>
    <mergeCell ref="A1:S1"/>
    <mergeCell ref="A67:F67"/>
    <mergeCell ref="M64:S64"/>
    <mergeCell ref="B87:R87"/>
    <mergeCell ref="B78:R78"/>
    <mergeCell ref="M60:S60"/>
    <mergeCell ref="B85:R85"/>
    <mergeCell ref="A64:F64"/>
    <mergeCell ref="B84:R84"/>
    <mergeCell ref="B79:R79"/>
    <mergeCell ref="A60:F60"/>
    <mergeCell ref="B74:R74"/>
    <mergeCell ref="M65:S65"/>
    <mergeCell ref="B83:R83"/>
    <mergeCell ref="B88:E88"/>
    <mergeCell ref="G67:L67"/>
    <mergeCell ref="A61:F61"/>
    <mergeCell ref="G61:L61"/>
    <mergeCell ref="A3:S3"/>
    <mergeCell ref="B80:R80"/>
    <mergeCell ref="B76:R76"/>
    <mergeCell ref="A2:S2"/>
    <mergeCell ref="A65:F65"/>
  </mergeCells>
  <dataValidations count="8">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Q8 Q9 Q10 Q11 Q12 Q13 Q14 Q15 Q16 Q17 Q18 Q19 Q20 Q21 Q22 Q23 Q24 Q25 Q26 Q27 Q28 Q29 Q30 Q31 Q32 Q33 Q34 Q35 Q36 Q37 Q38 Q39 Q40 Q41 Q42 Q43 Q44 Q45 Q46 Q47 Q48 Q49 Q50 Q51 Q52 Q53 Q54 Q55 Q56 Q57 S73 S74 S75 S76 S77 S78 S79 S80 S81 S82 S83 S84 S85 S86 S87"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"Critical,High,Medium,Low,None"</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"Tier 1→Tier 2,Tier 2→Tier 3,SOC→IR,IR→CISO,CISO→Exec,Exec→Board,External"</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"Phone,Email,Ticketing System,Secure Chat,Multiple"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"Quarterly,Semi-Annually,Annually,Never"</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"Successful,Issues Found,Not Tested"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"On-Call,24/7 SOC,Automated,None"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9"/>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15" customWidth="1" min="5" max="5"/>
    <col width="15" customWidth="1" min="6" max="6"/>
    <col width="16" customWidth="1" min="7" max="7"/>
    <col width="16" customWidth="1" min="8" max="8"/>
    <col width="18" customWidth="1" min="9" max="9"/>
    <col width="18" customWidth="1" min="10" max="10"/>
    <col width="20" customWidth="1" min="11" max="11"/>
    <col width="18" customWidth="1" min="12" max="12"/>
    <col width="18" customWidth="1" min="13" max="13"/>
    <col width="18" customWidth="1" min="14" max="14"/>
    <col width="14" customWidth="1" min="15" max="15"/>
    <col width="30" customWidth="1" min="16" max="16"/>
    <col width="18" customWidth="1" min="17" max="17"/>
    <col width="25" customWidth="1" min="18" max="18"/>
  </cols>
  <sheetData>
    <row r="1" ht="35" customHeight="1">
      <c r="A1" s="11" t="inlineStr">
        <is>
          <t>4. ALERT PERFORMANCE METRICS</t>
        </is>
      </c>
    </row>
    <row r="2">
      <c r="A2" s="12" t="inlineStr">
        <is>
          <t>Policy Reference: ISMS-POL-A.8.16-S2.3.9 - Performance metrics</t>
        </is>
      </c>
    </row>
    <row r="3">
      <c r="A3" s="13" t="inlineStr">
        <is>
          <t>Are alert performance metrics tracked, analysed, and driving improvement?</t>
        </is>
      </c>
    </row>
    <row r="6">
      <c r="A6" s="14" t="inlineStr">
        <is>
          <t>Metric Name</t>
        </is>
      </c>
      <c r="B6" s="14" t="inlineStr">
        <is>
          <t>Metric Category</t>
        </is>
      </c>
      <c r="C6" s="14" t="inlineStr">
        <is>
          <t>Measurement Method</t>
        </is>
      </c>
      <c r="D6" s="14" t="inlineStr">
        <is>
          <t>Data Source</t>
        </is>
      </c>
      <c r="E6" s="14" t="inlineStr">
        <is>
          <t>Current Value</t>
        </is>
      </c>
      <c r="F6" s="14" t="inlineStr">
        <is>
          <t>Target/SLA</t>
        </is>
      </c>
      <c r="G6" s="14" t="inlineStr">
        <is>
          <t>Status</t>
        </is>
      </c>
      <c r="H6" s="14" t="inlineStr">
        <is>
          <t>Trend (30d)</t>
        </is>
      </c>
      <c r="I6" s="14" t="inlineStr">
        <is>
          <t>Measurement Frequency</t>
        </is>
      </c>
      <c r="J6" s="14" t="inlineStr">
        <is>
          <t>Reporting Frequency</t>
        </is>
      </c>
      <c r="K6" s="14" t="inlineStr">
        <is>
          <t>Reported To</t>
        </is>
      </c>
      <c r="L6" s="14" t="inlineStr">
        <is>
          <t>Automated Tracking</t>
        </is>
      </c>
      <c r="M6" s="14" t="inlineStr">
        <is>
          <t>Dashboard Available</t>
        </is>
      </c>
      <c r="N6" s="14" t="inlineStr">
        <is>
          <t>Alert on Threshold</t>
        </is>
      </c>
      <c r="O6" s="14" t="inlineStr">
        <is>
          <t>Last Review</t>
        </is>
      </c>
      <c r="P6" s="14" t="inlineStr">
        <is>
          <t>Action Items</t>
        </is>
      </c>
      <c r="Q6" s="14" t="inlineStr">
        <is>
          <t>Compliance Status</t>
        </is>
      </c>
      <c r="R6" s="14" t="inlineStr">
        <is>
          <t>Notes</t>
        </is>
      </c>
    </row>
    <row r="7">
      <c r="A7" s="15" t="inlineStr">
        <is>
          <t>Mean Time To Acknowledge (MTTA)</t>
        </is>
      </c>
      <c r="B7" s="15" t="inlineStr">
        <is>
          <t>Response Time</t>
        </is>
      </c>
      <c r="C7" s="15" t="inlineStr">
        <is>
          <t>SIEM timestamp analysis</t>
        </is>
      </c>
      <c r="D7" s="15" t="inlineStr">
        <is>
          <t>SIEM</t>
        </is>
      </c>
      <c r="E7" s="15" t="inlineStr">
        <is>
          <t>8 min</t>
        </is>
      </c>
      <c r="F7" s="15" t="inlineStr">
        <is>
          <t>&lt;15 min</t>
        </is>
      </c>
      <c r="G7" s="15" t="inlineStr">
        <is>
          <t>✅ Meeting Target</t>
        </is>
      </c>
      <c r="H7" s="15" t="inlineStr">
        <is>
          <t>Improving</t>
        </is>
      </c>
      <c r="I7" s="15" t="inlineStr">
        <is>
          <t>Real-Time</t>
        </is>
      </c>
      <c r="J7" s="15" t="inlineStr">
        <is>
          <t>Daily</t>
        </is>
      </c>
      <c r="K7" s="15" t="inlineStr">
        <is>
          <t>SOC Lead</t>
        </is>
      </c>
      <c r="L7" s="15" t="inlineStr">
        <is>
          <t>Yes</t>
        </is>
      </c>
      <c r="M7" s="15" t="inlineStr">
        <is>
          <t>Yes</t>
        </is>
      </c>
      <c r="N7" s="15" t="inlineStr">
        <is>
          <t>Yes</t>
        </is>
      </c>
      <c r="O7" s="15" t="inlineStr">
        <is>
          <t>05.01.2025</t>
        </is>
      </c>
      <c r="P7" s="15" t="inlineStr">
        <is>
          <t>None - on target</t>
        </is>
      </c>
      <c r="Q7" s="15" t="inlineStr">
        <is>
          <t>✅ Compliant</t>
        </is>
      </c>
      <c r="R7" s="15" t="inlineStr">
        <is>
          <t>Critical alerts only</t>
        </is>
      </c>
    </row>
    <row r="8">
      <c r="A8" s="16" t="n"/>
      <c r="B8" s="16" t="n"/>
      <c r="C8" s="16" t="n"/>
      <c r="D8" s="16" t="n"/>
      <c r="E8" s="16" t="n"/>
      <c r="F8" s="16" t="n"/>
      <c r="G8" s="16" t="n"/>
      <c r="H8" s="16" t="n"/>
      <c r="I8" s="16" t="n"/>
      <c r="J8" s="16" t="n"/>
      <c r="K8" s="16" t="n"/>
      <c r="L8" s="16" t="n"/>
      <c r="M8" s="16" t="n"/>
      <c r="N8" s="16" t="n"/>
      <c r="O8" s="16" t="n"/>
      <c r="P8" s="16" t="n"/>
      <c r="Q8" s="16" t="n"/>
      <c r="R8" s="16" t="n"/>
    </row>
    <row r="9">
      <c r="A9" s="16" t="n"/>
      <c r="B9" s="16" t="n"/>
      <c r="C9" s="16" t="n"/>
      <c r="D9" s="16" t="n"/>
      <c r="E9" s="16" t="n"/>
      <c r="F9" s="16" t="n"/>
      <c r="G9" s="16" t="n"/>
      <c r="H9" s="16" t="n"/>
      <c r="I9" s="16" t="n"/>
      <c r="J9" s="16" t="n"/>
      <c r="K9" s="16" t="n"/>
      <c r="L9" s="16" t="n"/>
      <c r="M9" s="16" t="n"/>
      <c r="N9" s="16" t="n"/>
      <c r="O9" s="16" t="n"/>
      <c r="P9" s="16" t="n"/>
      <c r="Q9" s="16" t="n"/>
      <c r="R9" s="16" t="n"/>
    </row>
    <row r="10">
      <c r="A10" s="16" t="n"/>
      <c r="B10" s="16" t="n"/>
      <c r="C10" s="16" t="n"/>
      <c r="D10" s="16" t="n"/>
      <c r="E10" s="16" t="n"/>
      <c r="F10" s="16" t="n"/>
      <c r="G10" s="16" t="n"/>
      <c r="H10" s="16" t="n"/>
      <c r="I10" s="16" t="n"/>
      <c r="J10" s="16" t="n"/>
      <c r="K10" s="16" t="n"/>
      <c r="L10" s="16" t="n"/>
      <c r="M10" s="16" t="n"/>
      <c r="N10" s="16" t="n"/>
      <c r="O10" s="16" t="n"/>
      <c r="P10" s="16" t="n"/>
      <c r="Q10" s="16" t="n"/>
      <c r="R10" s="16" t="n"/>
    </row>
    <row r="11">
      <c r="A11" s="16" t="n"/>
      <c r="B11" s="16" t="n"/>
      <c r="C11" s="16" t="n"/>
      <c r="D11" s="16" t="n"/>
      <c r="E11" s="16" t="n"/>
      <c r="F11" s="16" t="n"/>
      <c r="G11" s="16" t="n"/>
      <c r="H11" s="16" t="n"/>
      <c r="I11" s="16" t="n"/>
      <c r="J11" s="16" t="n"/>
      <c r="K11" s="16" t="n"/>
      <c r="L11" s="16" t="n"/>
      <c r="M11" s="16" t="n"/>
      <c r="N11" s="16" t="n"/>
      <c r="O11" s="16" t="n"/>
      <c r="P11" s="16" t="n"/>
      <c r="Q11" s="16" t="n"/>
      <c r="R11" s="16" t="n"/>
    </row>
    <row r="12">
      <c r="A12" s="16" t="n"/>
      <c r="B12" s="16" t="n"/>
      <c r="C12" s="16" t="n"/>
      <c r="D12" s="16" t="n"/>
      <c r="E12" s="16" t="n"/>
      <c r="F12" s="16" t="n"/>
      <c r="G12" s="16" t="n"/>
      <c r="H12" s="16" t="n"/>
      <c r="I12" s="16" t="n"/>
      <c r="J12" s="16" t="n"/>
      <c r="K12" s="16" t="n"/>
      <c r="L12" s="16" t="n"/>
      <c r="M12" s="16" t="n"/>
      <c r="N12" s="16" t="n"/>
      <c r="O12" s="16" t="n"/>
      <c r="P12" s="16" t="n"/>
      <c r="Q12" s="16" t="n"/>
      <c r="R12" s="16" t="n"/>
    </row>
    <row r="13">
      <c r="A13" s="16" t="n"/>
      <c r="B13" s="16" t="n"/>
      <c r="C13" s="16" t="n"/>
      <c r="D13" s="16" t="n"/>
      <c r="E13" s="16" t="n"/>
      <c r="F13" s="16" t="n"/>
      <c r="G13" s="16" t="n"/>
      <c r="H13" s="16" t="n"/>
      <c r="I13" s="16" t="n"/>
      <c r="J13" s="16" t="n"/>
      <c r="K13" s="16" t="n"/>
      <c r="L13" s="16" t="n"/>
      <c r="M13" s="16" t="n"/>
      <c r="N13" s="16" t="n"/>
      <c r="O13" s="16" t="n"/>
      <c r="P13" s="16" t="n"/>
      <c r="Q13" s="16" t="n"/>
      <c r="R13" s="16" t="n"/>
    </row>
    <row r="14">
      <c r="A14" s="16" t="n"/>
      <c r="B14" s="16" t="n"/>
      <c r="C14" s="16" t="n"/>
      <c r="D14" s="16" t="n"/>
      <c r="E14" s="16" t="n"/>
      <c r="F14" s="16" t="n"/>
      <c r="G14" s="16" t="n"/>
      <c r="H14" s="16" t="n"/>
      <c r="I14" s="16" t="n"/>
      <c r="J14" s="16" t="n"/>
      <c r="K14" s="16" t="n"/>
      <c r="L14" s="16" t="n"/>
      <c r="M14" s="16" t="n"/>
      <c r="N14" s="16" t="n"/>
      <c r="O14" s="16" t="n"/>
      <c r="P14" s="16" t="n"/>
      <c r="Q14" s="16" t="n"/>
      <c r="R14" s="16" t="n"/>
    </row>
    <row r="15">
      <c r="A15" s="16" t="n"/>
      <c r="B15" s="16" t="n"/>
      <c r="C15" s="16" t="n"/>
      <c r="D15" s="16" t="n"/>
      <c r="E15" s="16" t="n"/>
      <c r="F15" s="16" t="n"/>
      <c r="G15" s="16" t="n"/>
      <c r="H15" s="16" t="n"/>
      <c r="I15" s="16" t="n"/>
      <c r="J15" s="16" t="n"/>
      <c r="K15" s="16" t="n"/>
      <c r="L15" s="16" t="n"/>
      <c r="M15" s="16" t="n"/>
      <c r="N15" s="16" t="n"/>
      <c r="O15" s="16" t="n"/>
      <c r="P15" s="16" t="n"/>
      <c r="Q15" s="16" t="n"/>
      <c r="R15" s="16" t="n"/>
    </row>
    <row r="16">
      <c r="A16" s="16" t="n"/>
      <c r="B16" s="16" t="n"/>
      <c r="C16" s="16" t="n"/>
      <c r="D16" s="16" t="n"/>
      <c r="E16" s="16" t="n"/>
      <c r="F16" s="16" t="n"/>
      <c r="G16" s="16" t="n"/>
      <c r="H16" s="16" t="n"/>
      <c r="I16" s="16" t="n"/>
      <c r="J16" s="16" t="n"/>
      <c r="K16" s="16" t="n"/>
      <c r="L16" s="16" t="n"/>
      <c r="M16" s="16" t="n"/>
      <c r="N16" s="16" t="n"/>
      <c r="O16" s="16" t="n"/>
      <c r="P16" s="16" t="n"/>
      <c r="Q16" s="16" t="n"/>
      <c r="R16" s="16" t="n"/>
    </row>
    <row r="17">
      <c r="A17" s="16" t="n"/>
      <c r="B17" s="16" t="n"/>
      <c r="C17" s="16" t="n"/>
      <c r="D17" s="16" t="n"/>
      <c r="E17" s="16" t="n"/>
      <c r="F17" s="16" t="n"/>
      <c r="G17" s="16" t="n"/>
      <c r="H17" s="16" t="n"/>
      <c r="I17" s="16" t="n"/>
      <c r="J17" s="16" t="n"/>
      <c r="K17" s="16" t="n"/>
      <c r="L17" s="16" t="n"/>
      <c r="M17" s="16" t="n"/>
      <c r="N17" s="16" t="n"/>
      <c r="O17" s="16" t="n"/>
      <c r="P17" s="16" t="n"/>
      <c r="Q17" s="16" t="n"/>
      <c r="R17" s="16" t="n"/>
    </row>
    <row r="18">
      <c r="A18" s="16" t="n"/>
      <c r="B18" s="16" t="n"/>
      <c r="C18" s="16" t="n"/>
      <c r="D18" s="16" t="n"/>
      <c r="E18" s="16" t="n"/>
      <c r="F18" s="16" t="n"/>
      <c r="G18" s="16" t="n"/>
      <c r="H18" s="16" t="n"/>
      <c r="I18" s="16" t="n"/>
      <c r="J18" s="16" t="n"/>
      <c r="K18" s="16" t="n"/>
      <c r="L18" s="16" t="n"/>
      <c r="M18" s="16" t="n"/>
      <c r="N18" s="16" t="n"/>
      <c r="O18" s="16" t="n"/>
      <c r="P18" s="16" t="n"/>
      <c r="Q18" s="16" t="n"/>
      <c r="R18" s="16" t="n"/>
    </row>
    <row r="19">
      <c r="A19" s="16" t="n"/>
      <c r="B19" s="16" t="n"/>
      <c r="C19" s="16" t="n"/>
      <c r="D19" s="16" t="n"/>
      <c r="E19" s="16" t="n"/>
      <c r="F19" s="16" t="n"/>
      <c r="G19" s="16" t="n"/>
      <c r="H19" s="16" t="n"/>
      <c r="I19" s="16" t="n"/>
      <c r="J19" s="16" t="n"/>
      <c r="K19" s="16" t="n"/>
      <c r="L19" s="16" t="n"/>
      <c r="M19" s="16" t="n"/>
      <c r="N19" s="16" t="n"/>
      <c r="O19" s="16" t="n"/>
      <c r="P19" s="16" t="n"/>
      <c r="Q19" s="16" t="n"/>
      <c r="R19" s="16" t="n"/>
    </row>
    <row r="20">
      <c r="A20" s="16" t="n"/>
      <c r="B20" s="16" t="n"/>
      <c r="C20" s="16" t="n"/>
      <c r="D20" s="16" t="n"/>
      <c r="E20" s="16" t="n"/>
      <c r="F20" s="16" t="n"/>
      <c r="G20" s="16" t="n"/>
      <c r="H20" s="16" t="n"/>
      <c r="I20" s="16" t="n"/>
      <c r="J20" s="16" t="n"/>
      <c r="K20" s="16" t="n"/>
      <c r="L20" s="16" t="n"/>
      <c r="M20" s="16" t="n"/>
      <c r="N20" s="16" t="n"/>
      <c r="O20" s="16" t="n"/>
      <c r="P20" s="16" t="n"/>
      <c r="Q20" s="16" t="n"/>
      <c r="R20" s="16" t="n"/>
    </row>
    <row r="21">
      <c r="A21" s="16" t="n"/>
      <c r="B21" s="16" t="n"/>
      <c r="C21" s="16" t="n"/>
      <c r="D21" s="16" t="n"/>
      <c r="E21" s="16" t="n"/>
      <c r="F21" s="16" t="n"/>
      <c r="G21" s="16" t="n"/>
      <c r="H21" s="16" t="n"/>
      <c r="I21" s="16" t="n"/>
      <c r="J21" s="16" t="n"/>
      <c r="K21" s="16" t="n"/>
      <c r="L21" s="16" t="n"/>
      <c r="M21" s="16" t="n"/>
      <c r="N21" s="16" t="n"/>
      <c r="O21" s="16" t="n"/>
      <c r="P21" s="16" t="n"/>
      <c r="Q21" s="16" t="n"/>
      <c r="R21" s="16" t="n"/>
    </row>
    <row r="22">
      <c r="A22" s="16" t="n"/>
      <c r="B22" s="16" t="n"/>
      <c r="C22" s="16" t="n"/>
      <c r="D22" s="16" t="n"/>
      <c r="E22" s="16" t="n"/>
      <c r="F22" s="16" t="n"/>
      <c r="G22" s="16" t="n"/>
      <c r="H22" s="16" t="n"/>
      <c r="I22" s="16" t="n"/>
      <c r="J22" s="16" t="n"/>
      <c r="K22" s="16" t="n"/>
      <c r="L22" s="16" t="n"/>
      <c r="M22" s="16" t="n"/>
      <c r="N22" s="16" t="n"/>
      <c r="O22" s="16" t="n"/>
      <c r="P22" s="16" t="n"/>
      <c r="Q22" s="16" t="n"/>
      <c r="R22" s="16" t="n"/>
    </row>
    <row r="23">
      <c r="A23" s="16" t="n"/>
      <c r="B23" s="16" t="n"/>
      <c r="C23" s="16" t="n"/>
      <c r="D23" s="16" t="n"/>
      <c r="E23" s="16" t="n"/>
      <c r="F23" s="16" t="n"/>
      <c r="G23" s="16" t="n"/>
      <c r="H23" s="16" t="n"/>
      <c r="I23" s="16" t="n"/>
      <c r="J23" s="16" t="n"/>
      <c r="K23" s="16" t="n"/>
      <c r="L23" s="16" t="n"/>
      <c r="M23" s="16" t="n"/>
      <c r="N23" s="16" t="n"/>
      <c r="O23" s="16" t="n"/>
      <c r="P23" s="16" t="n"/>
      <c r="Q23" s="16" t="n"/>
      <c r="R23" s="16" t="n"/>
    </row>
    <row r="24">
      <c r="A24" s="16" t="n"/>
      <c r="B24" s="16" t="n"/>
      <c r="C24" s="16" t="n"/>
      <c r="D24" s="16" t="n"/>
      <c r="E24" s="16" t="n"/>
      <c r="F24" s="16" t="n"/>
      <c r="G24" s="16" t="n"/>
      <c r="H24" s="16" t="n"/>
      <c r="I24" s="16" t="n"/>
      <c r="J24" s="16" t="n"/>
      <c r="K24" s="16" t="n"/>
      <c r="L24" s="16" t="n"/>
      <c r="M24" s="16" t="n"/>
      <c r="N24" s="16" t="n"/>
      <c r="O24" s="16" t="n"/>
      <c r="P24" s="16" t="n"/>
      <c r="Q24" s="16" t="n"/>
      <c r="R24" s="16" t="n"/>
    </row>
    <row r="25">
      <c r="A25" s="16" t="n"/>
      <c r="B25" s="16" t="n"/>
      <c r="C25" s="16" t="n"/>
      <c r="D25" s="16" t="n"/>
      <c r="E25" s="16" t="n"/>
      <c r="F25" s="16" t="n"/>
      <c r="G25" s="16" t="n"/>
      <c r="H25" s="16" t="n"/>
      <c r="I25" s="16" t="n"/>
      <c r="J25" s="16" t="n"/>
      <c r="K25" s="16" t="n"/>
      <c r="L25" s="16" t="n"/>
      <c r="M25" s="16" t="n"/>
      <c r="N25" s="16" t="n"/>
      <c r="O25" s="16" t="n"/>
      <c r="P25" s="16" t="n"/>
      <c r="Q25" s="16" t="n"/>
      <c r="R25" s="16" t="n"/>
    </row>
    <row r="26">
      <c r="A26" s="16" t="n"/>
      <c r="B26" s="16" t="n"/>
      <c r="C26" s="16" t="n"/>
      <c r="D26" s="16" t="n"/>
      <c r="E26" s="16" t="n"/>
      <c r="F26" s="16" t="n"/>
      <c r="G26" s="16" t="n"/>
      <c r="H26" s="16" t="n"/>
      <c r="I26" s="16" t="n"/>
      <c r="J26" s="16" t="n"/>
      <c r="K26" s="16" t="n"/>
      <c r="L26" s="16" t="n"/>
      <c r="M26" s="16" t="n"/>
      <c r="N26" s="16" t="n"/>
      <c r="O26" s="16" t="n"/>
      <c r="P26" s="16" t="n"/>
      <c r="Q26" s="16" t="n"/>
      <c r="R26" s="16" t="n"/>
    </row>
    <row r="27">
      <c r="A27" s="16" t="n"/>
      <c r="B27" s="16" t="n"/>
      <c r="C27" s="16" t="n"/>
      <c r="D27" s="16" t="n"/>
      <c r="E27" s="16" t="n"/>
      <c r="F27" s="16" t="n"/>
      <c r="G27" s="16" t="n"/>
      <c r="H27" s="16" t="n"/>
      <c r="I27" s="16" t="n"/>
      <c r="J27" s="16" t="n"/>
      <c r="K27" s="16" t="n"/>
      <c r="L27" s="16" t="n"/>
      <c r="M27" s="16" t="n"/>
      <c r="N27" s="16" t="n"/>
      <c r="O27" s="16" t="n"/>
      <c r="P27" s="16" t="n"/>
      <c r="Q27" s="16" t="n"/>
      <c r="R27" s="16" t="n"/>
    </row>
    <row r="28">
      <c r="A28" s="16" t="n"/>
      <c r="B28" s="16" t="n"/>
      <c r="C28" s="16" t="n"/>
      <c r="D28" s="16" t="n"/>
      <c r="E28" s="16" t="n"/>
      <c r="F28" s="16" t="n"/>
      <c r="G28" s="16" t="n"/>
      <c r="H28" s="16" t="n"/>
      <c r="I28" s="16" t="n"/>
      <c r="J28" s="16" t="n"/>
      <c r="K28" s="16" t="n"/>
      <c r="L28" s="16" t="n"/>
      <c r="M28" s="16" t="n"/>
      <c r="N28" s="16" t="n"/>
      <c r="O28" s="16" t="n"/>
      <c r="P28" s="16" t="n"/>
      <c r="Q28" s="16" t="n"/>
      <c r="R28" s="16" t="n"/>
    </row>
    <row r="29">
      <c r="A29" s="16" t="n"/>
      <c r="B29" s="16" t="n"/>
      <c r="C29" s="16" t="n"/>
      <c r="D29" s="16" t="n"/>
      <c r="E29" s="16" t="n"/>
      <c r="F29" s="16" t="n"/>
      <c r="G29" s="16" t="n"/>
      <c r="H29" s="16" t="n"/>
      <c r="I29" s="16" t="n"/>
      <c r="J29" s="16" t="n"/>
      <c r="K29" s="16" t="n"/>
      <c r="L29" s="16" t="n"/>
      <c r="M29" s="16" t="n"/>
      <c r="N29" s="16" t="n"/>
      <c r="O29" s="16" t="n"/>
      <c r="P29" s="16" t="n"/>
      <c r="Q29" s="16" t="n"/>
      <c r="R29" s="16" t="n"/>
    </row>
    <row r="30">
      <c r="A30" s="16" t="n"/>
      <c r="B30" s="16" t="n"/>
      <c r="C30" s="16" t="n"/>
      <c r="D30" s="16" t="n"/>
      <c r="E30" s="16" t="n"/>
      <c r="F30" s="16" t="n"/>
      <c r="G30" s="16" t="n"/>
      <c r="H30" s="16" t="n"/>
      <c r="I30" s="16" t="n"/>
      <c r="J30" s="16" t="n"/>
      <c r="K30" s="16" t="n"/>
      <c r="L30" s="16" t="n"/>
      <c r="M30" s="16" t="n"/>
      <c r="N30" s="16" t="n"/>
      <c r="O30" s="16" t="n"/>
      <c r="P30" s="16" t="n"/>
      <c r="Q30" s="16" t="n"/>
      <c r="R30" s="16" t="n"/>
    </row>
    <row r="31">
      <c r="A31" s="16" t="n"/>
      <c r="B31" s="16" t="n"/>
      <c r="C31" s="16" t="n"/>
      <c r="D31" s="16" t="n"/>
      <c r="E31" s="16" t="n"/>
      <c r="F31" s="16" t="n"/>
      <c r="G31" s="16" t="n"/>
      <c r="H31" s="16" t="n"/>
      <c r="I31" s="16" t="n"/>
      <c r="J31" s="16" t="n"/>
      <c r="K31" s="16" t="n"/>
      <c r="L31" s="16" t="n"/>
      <c r="M31" s="16" t="n"/>
      <c r="N31" s="16" t="n"/>
      <c r="O31" s="16" t="n"/>
      <c r="P31" s="16" t="n"/>
      <c r="Q31" s="16" t="n"/>
      <c r="R31" s="16" t="n"/>
    </row>
    <row r="32">
      <c r="A32" s="16" t="n"/>
      <c r="B32" s="16" t="n"/>
      <c r="C32" s="16" t="n"/>
      <c r="D32" s="16" t="n"/>
      <c r="E32" s="16" t="n"/>
      <c r="F32" s="16" t="n"/>
      <c r="G32" s="16" t="n"/>
      <c r="H32" s="16" t="n"/>
      <c r="I32" s="16" t="n"/>
      <c r="J32" s="16" t="n"/>
      <c r="K32" s="16" t="n"/>
      <c r="L32" s="16" t="n"/>
      <c r="M32" s="16" t="n"/>
      <c r="N32" s="16" t="n"/>
      <c r="O32" s="16" t="n"/>
      <c r="P32" s="16" t="n"/>
      <c r="Q32" s="16" t="n"/>
      <c r="R32" s="16" t="n"/>
    </row>
    <row r="33">
      <c r="A33" s="16" t="n"/>
      <c r="B33" s="16" t="n"/>
      <c r="C33" s="16" t="n"/>
      <c r="D33" s="16" t="n"/>
      <c r="E33" s="16" t="n"/>
      <c r="F33" s="16" t="n"/>
      <c r="G33" s="16" t="n"/>
      <c r="H33" s="16" t="n"/>
      <c r="I33" s="16" t="n"/>
      <c r="J33" s="16" t="n"/>
      <c r="K33" s="16" t="n"/>
      <c r="L33" s="16" t="n"/>
      <c r="M33" s="16" t="n"/>
      <c r="N33" s="16" t="n"/>
      <c r="O33" s="16" t="n"/>
      <c r="P33" s="16" t="n"/>
      <c r="Q33" s="16" t="n"/>
      <c r="R33" s="16" t="n"/>
    </row>
    <row r="34">
      <c r="A34" s="16" t="n"/>
      <c r="B34" s="16" t="n"/>
      <c r="C34" s="16" t="n"/>
      <c r="D34" s="16" t="n"/>
      <c r="E34" s="16" t="n"/>
      <c r="F34" s="16" t="n"/>
      <c r="G34" s="16" t="n"/>
      <c r="H34" s="16" t="n"/>
      <c r="I34" s="16" t="n"/>
      <c r="J34" s="16" t="n"/>
      <c r="K34" s="16" t="n"/>
      <c r="L34" s="16" t="n"/>
      <c r="M34" s="16" t="n"/>
      <c r="N34" s="16" t="n"/>
      <c r="O34" s="16" t="n"/>
      <c r="P34" s="16" t="n"/>
      <c r="Q34" s="16" t="n"/>
      <c r="R34" s="16" t="n"/>
    </row>
    <row r="35">
      <c r="A35" s="16" t="n"/>
      <c r="B35" s="16" t="n"/>
      <c r="C35" s="16" t="n"/>
      <c r="D35" s="16" t="n"/>
      <c r="E35" s="16" t="n"/>
      <c r="F35" s="16" t="n"/>
      <c r="G35" s="16" t="n"/>
      <c r="H35" s="16" t="n"/>
      <c r="I35" s="16" t="n"/>
      <c r="J35" s="16" t="n"/>
      <c r="K35" s="16" t="n"/>
      <c r="L35" s="16" t="n"/>
      <c r="M35" s="16" t="n"/>
      <c r="N35" s="16" t="n"/>
      <c r="O35" s="16" t="n"/>
      <c r="P35" s="16" t="n"/>
      <c r="Q35" s="16" t="n"/>
      <c r="R35" s="16" t="n"/>
    </row>
    <row r="36">
      <c r="A36" s="16" t="n"/>
      <c r="B36" s="16" t="n"/>
      <c r="C36" s="16" t="n"/>
      <c r="D36" s="16" t="n"/>
      <c r="E36" s="16" t="n"/>
      <c r="F36" s="16" t="n"/>
      <c r="G36" s="16" t="n"/>
      <c r="H36" s="16" t="n"/>
      <c r="I36" s="16" t="n"/>
      <c r="J36" s="16" t="n"/>
      <c r="K36" s="16" t="n"/>
      <c r="L36" s="16" t="n"/>
      <c r="M36" s="16" t="n"/>
      <c r="N36" s="16" t="n"/>
      <c r="O36" s="16" t="n"/>
      <c r="P36" s="16" t="n"/>
      <c r="Q36" s="16" t="n"/>
      <c r="R36" s="16" t="n"/>
    </row>
    <row r="37">
      <c r="A37" s="16" t="n"/>
      <c r="B37" s="16" t="n"/>
      <c r="C37" s="16" t="n"/>
      <c r="D37" s="16" t="n"/>
      <c r="E37" s="16" t="n"/>
      <c r="F37" s="16" t="n"/>
      <c r="G37" s="16" t="n"/>
      <c r="H37" s="16" t="n"/>
      <c r="I37" s="16" t="n"/>
      <c r="J37" s="16" t="n"/>
      <c r="K37" s="16" t="n"/>
      <c r="L37" s="16" t="n"/>
      <c r="M37" s="16" t="n"/>
      <c r="N37" s="16" t="n"/>
      <c r="O37" s="16" t="n"/>
      <c r="P37" s="16" t="n"/>
      <c r="Q37" s="16" t="n"/>
      <c r="R37" s="16" t="n"/>
    </row>
    <row r="38">
      <c r="A38" s="16" t="n"/>
      <c r="B38" s="16" t="n"/>
      <c r="C38" s="16" t="n"/>
      <c r="D38" s="16" t="n"/>
      <c r="E38" s="16" t="n"/>
      <c r="F38" s="16" t="n"/>
      <c r="G38" s="16" t="n"/>
      <c r="H38" s="16" t="n"/>
      <c r="I38" s="16" t="n"/>
      <c r="J38" s="16" t="n"/>
      <c r="K38" s="16" t="n"/>
      <c r="L38" s="16" t="n"/>
      <c r="M38" s="16" t="n"/>
      <c r="N38" s="16" t="n"/>
      <c r="O38" s="16" t="n"/>
      <c r="P38" s="16" t="n"/>
      <c r="Q38" s="16" t="n"/>
      <c r="R38" s="16" t="n"/>
    </row>
    <row r="39">
      <c r="A39" s="16" t="n"/>
      <c r="B39" s="16" t="n"/>
      <c r="C39" s="16" t="n"/>
      <c r="D39" s="16" t="n"/>
      <c r="E39" s="16" t="n"/>
      <c r="F39" s="16" t="n"/>
      <c r="G39" s="16" t="n"/>
      <c r="H39" s="16" t="n"/>
      <c r="I39" s="16" t="n"/>
      <c r="J39" s="16" t="n"/>
      <c r="K39" s="16" t="n"/>
      <c r="L39" s="16" t="n"/>
      <c r="M39" s="16" t="n"/>
      <c r="N39" s="16" t="n"/>
      <c r="O39" s="16" t="n"/>
      <c r="P39" s="16" t="n"/>
      <c r="Q39" s="16" t="n"/>
      <c r="R39" s="16" t="n"/>
    </row>
    <row r="40">
      <c r="A40" s="16" t="n"/>
      <c r="B40" s="16" t="n"/>
      <c r="C40" s="16" t="n"/>
      <c r="D40" s="16" t="n"/>
      <c r="E40" s="16" t="n"/>
      <c r="F40" s="16" t="n"/>
      <c r="G40" s="16" t="n"/>
      <c r="H40" s="16" t="n"/>
      <c r="I40" s="16" t="n"/>
      <c r="J40" s="16" t="n"/>
      <c r="K40" s="16" t="n"/>
      <c r="L40" s="16" t="n"/>
      <c r="M40" s="16" t="n"/>
      <c r="N40" s="16" t="n"/>
      <c r="O40" s="16" t="n"/>
      <c r="P40" s="16" t="n"/>
      <c r="Q40" s="16" t="n"/>
      <c r="R40" s="16" t="n"/>
    </row>
    <row r="41">
      <c r="A41" s="16" t="n"/>
      <c r="B41" s="16" t="n"/>
      <c r="C41" s="16" t="n"/>
      <c r="D41" s="16" t="n"/>
      <c r="E41" s="16" t="n"/>
      <c r="F41" s="16" t="n"/>
      <c r="G41" s="16" t="n"/>
      <c r="H41" s="16" t="n"/>
      <c r="I41" s="16" t="n"/>
      <c r="J41" s="16" t="n"/>
      <c r="K41" s="16" t="n"/>
      <c r="L41" s="16" t="n"/>
      <c r="M41" s="16" t="n"/>
      <c r="N41" s="16" t="n"/>
      <c r="O41" s="16" t="n"/>
      <c r="P41" s="16" t="n"/>
      <c r="Q41" s="16" t="n"/>
      <c r="R41" s="16" t="n"/>
    </row>
    <row r="42">
      <c r="A42" s="16" t="n"/>
      <c r="B42" s="16" t="n"/>
      <c r="C42" s="16" t="n"/>
      <c r="D42" s="16" t="n"/>
      <c r="E42" s="16" t="n"/>
      <c r="F42" s="16" t="n"/>
      <c r="G42" s="16" t="n"/>
      <c r="H42" s="16" t="n"/>
      <c r="I42" s="16" t="n"/>
      <c r="J42" s="16" t="n"/>
      <c r="K42" s="16" t="n"/>
      <c r="L42" s="16" t="n"/>
      <c r="M42" s="16" t="n"/>
      <c r="N42" s="16" t="n"/>
      <c r="O42" s="16" t="n"/>
      <c r="P42" s="16" t="n"/>
      <c r="Q42" s="16" t="n"/>
      <c r="R42" s="16" t="n"/>
    </row>
    <row r="43">
      <c r="A43" s="16" t="n"/>
      <c r="B43" s="16" t="n"/>
      <c r="C43" s="16" t="n"/>
      <c r="D43" s="16" t="n"/>
      <c r="E43" s="16" t="n"/>
      <c r="F43" s="16" t="n"/>
      <c r="G43" s="16" t="n"/>
      <c r="H43" s="16" t="n"/>
      <c r="I43" s="16" t="n"/>
      <c r="J43" s="16" t="n"/>
      <c r="K43" s="16" t="n"/>
      <c r="L43" s="16" t="n"/>
      <c r="M43" s="16" t="n"/>
      <c r="N43" s="16" t="n"/>
      <c r="O43" s="16" t="n"/>
      <c r="P43" s="16" t="n"/>
      <c r="Q43" s="16" t="n"/>
      <c r="R43" s="16" t="n"/>
    </row>
    <row r="44">
      <c r="A44" s="16" t="n"/>
      <c r="B44" s="16" t="n"/>
      <c r="C44" s="16" t="n"/>
      <c r="D44" s="16" t="n"/>
      <c r="E44" s="16" t="n"/>
      <c r="F44" s="16" t="n"/>
      <c r="G44" s="16" t="n"/>
      <c r="H44" s="16" t="n"/>
      <c r="I44" s="16" t="n"/>
      <c r="J44" s="16" t="n"/>
      <c r="K44" s="16" t="n"/>
      <c r="L44" s="16" t="n"/>
      <c r="M44" s="16" t="n"/>
      <c r="N44" s="16" t="n"/>
      <c r="O44" s="16" t="n"/>
      <c r="P44" s="16" t="n"/>
      <c r="Q44" s="16" t="n"/>
      <c r="R44" s="16" t="n"/>
    </row>
    <row r="45">
      <c r="A45" s="16" t="n"/>
      <c r="B45" s="16" t="n"/>
      <c r="C45" s="16" t="n"/>
      <c r="D45" s="16" t="n"/>
      <c r="E45" s="16" t="n"/>
      <c r="F45" s="16" t="n"/>
      <c r="G45" s="16" t="n"/>
      <c r="H45" s="16" t="n"/>
      <c r="I45" s="16" t="n"/>
      <c r="J45" s="16" t="n"/>
      <c r="K45" s="16" t="n"/>
      <c r="L45" s="16" t="n"/>
      <c r="M45" s="16" t="n"/>
      <c r="N45" s="16" t="n"/>
      <c r="O45" s="16" t="n"/>
      <c r="P45" s="16" t="n"/>
      <c r="Q45" s="16" t="n"/>
      <c r="R45" s="16" t="n"/>
    </row>
    <row r="46">
      <c r="A46" s="16" t="n"/>
      <c r="B46" s="16" t="n"/>
      <c r="C46" s="16" t="n"/>
      <c r="D46" s="16" t="n"/>
      <c r="E46" s="16" t="n"/>
      <c r="F46" s="16" t="n"/>
      <c r="G46" s="16" t="n"/>
      <c r="H46" s="16" t="n"/>
      <c r="I46" s="16" t="n"/>
      <c r="J46" s="16" t="n"/>
      <c r="K46" s="16" t="n"/>
      <c r="L46" s="16" t="n"/>
      <c r="M46" s="16" t="n"/>
      <c r="N46" s="16" t="n"/>
      <c r="O46" s="16" t="n"/>
      <c r="P46" s="16" t="n"/>
      <c r="Q46" s="16" t="n"/>
      <c r="R46" s="16" t="n"/>
    </row>
    <row r="47">
      <c r="A47" s="16" t="n"/>
      <c r="B47" s="16" t="n"/>
      <c r="C47" s="16" t="n"/>
      <c r="D47" s="16" t="n"/>
      <c r="E47" s="16" t="n"/>
      <c r="F47" s="16" t="n"/>
      <c r="G47" s="16" t="n"/>
      <c r="H47" s="16" t="n"/>
      <c r="I47" s="16" t="n"/>
      <c r="J47" s="16" t="n"/>
      <c r="K47" s="16" t="n"/>
      <c r="L47" s="16" t="n"/>
      <c r="M47" s="16" t="n"/>
      <c r="N47" s="16" t="n"/>
      <c r="O47" s="16" t="n"/>
      <c r="P47" s="16" t="n"/>
      <c r="Q47" s="16" t="n"/>
      <c r="R47" s="16" t="n"/>
    </row>
    <row r="48">
      <c r="A48" s="16" t="n"/>
      <c r="B48" s="16" t="n"/>
      <c r="C48" s="16" t="n"/>
      <c r="D48" s="16" t="n"/>
      <c r="E48" s="16" t="n"/>
      <c r="F48" s="16" t="n"/>
      <c r="G48" s="16" t="n"/>
      <c r="H48" s="16" t="n"/>
      <c r="I48" s="16" t="n"/>
      <c r="J48" s="16" t="n"/>
      <c r="K48" s="16" t="n"/>
      <c r="L48" s="16" t="n"/>
      <c r="M48" s="16" t="n"/>
      <c r="N48" s="16" t="n"/>
      <c r="O48" s="16" t="n"/>
      <c r="P48" s="16" t="n"/>
      <c r="Q48" s="16" t="n"/>
      <c r="R48" s="16" t="n"/>
    </row>
    <row r="49">
      <c r="A49" s="16" t="n"/>
      <c r="B49" s="16" t="n"/>
      <c r="C49" s="16" t="n"/>
      <c r="D49" s="16" t="n"/>
      <c r="E49" s="16" t="n"/>
      <c r="F49" s="16" t="n"/>
      <c r="G49" s="16" t="n"/>
      <c r="H49" s="16" t="n"/>
      <c r="I49" s="16" t="n"/>
      <c r="J49" s="16" t="n"/>
      <c r="K49" s="16" t="n"/>
      <c r="L49" s="16" t="n"/>
      <c r="M49" s="16" t="n"/>
      <c r="N49" s="16" t="n"/>
      <c r="O49" s="16" t="n"/>
      <c r="P49" s="16" t="n"/>
      <c r="Q49" s="16" t="n"/>
      <c r="R49" s="16" t="n"/>
    </row>
    <row r="50">
      <c r="A50" s="16" t="n"/>
      <c r="B50" s="16" t="n"/>
      <c r="C50" s="16" t="n"/>
      <c r="D50" s="16" t="n"/>
      <c r="E50" s="16" t="n"/>
      <c r="F50" s="16" t="n"/>
      <c r="G50" s="16" t="n"/>
      <c r="H50" s="16" t="n"/>
      <c r="I50" s="16" t="n"/>
      <c r="J50" s="16" t="n"/>
      <c r="K50" s="16" t="n"/>
      <c r="L50" s="16" t="n"/>
      <c r="M50" s="16" t="n"/>
      <c r="N50" s="16" t="n"/>
      <c r="O50" s="16" t="n"/>
      <c r="P50" s="16" t="n"/>
      <c r="Q50" s="16" t="n"/>
      <c r="R50" s="16" t="n"/>
    </row>
    <row r="51">
      <c r="A51" s="16" t="n"/>
      <c r="B51" s="16" t="n"/>
      <c r="C51" s="16" t="n"/>
      <c r="D51" s="16" t="n"/>
      <c r="E51" s="16" t="n"/>
      <c r="F51" s="16" t="n"/>
      <c r="G51" s="16" t="n"/>
      <c r="H51" s="16" t="n"/>
      <c r="I51" s="16" t="n"/>
      <c r="J51" s="16" t="n"/>
      <c r="K51" s="16" t="n"/>
      <c r="L51" s="16" t="n"/>
      <c r="M51" s="16" t="n"/>
      <c r="N51" s="16" t="n"/>
      <c r="O51" s="16" t="n"/>
      <c r="P51" s="16" t="n"/>
      <c r="Q51" s="16" t="n"/>
      <c r="R51" s="16" t="n"/>
    </row>
    <row r="52">
      <c r="A52" s="16" t="n"/>
      <c r="B52" s="16" t="n"/>
      <c r="C52" s="16" t="n"/>
      <c r="D52" s="16" t="n"/>
      <c r="E52" s="16" t="n"/>
      <c r="F52" s="16" t="n"/>
      <c r="G52" s="16" t="n"/>
      <c r="H52" s="16" t="n"/>
      <c r="I52" s="16" t="n"/>
      <c r="J52" s="16" t="n"/>
      <c r="K52" s="16" t="n"/>
      <c r="L52" s="16" t="n"/>
      <c r="M52" s="16" t="n"/>
      <c r="N52" s="16" t="n"/>
      <c r="O52" s="16" t="n"/>
      <c r="P52" s="16" t="n"/>
      <c r="Q52" s="16" t="n"/>
      <c r="R52" s="16" t="n"/>
    </row>
    <row r="53">
      <c r="A53" s="16" t="n"/>
      <c r="B53" s="16" t="n"/>
      <c r="C53" s="16" t="n"/>
      <c r="D53" s="16" t="n"/>
      <c r="E53" s="16" t="n"/>
      <c r="F53" s="16" t="n"/>
      <c r="G53" s="16" t="n"/>
      <c r="H53" s="16" t="n"/>
      <c r="I53" s="16" t="n"/>
      <c r="J53" s="16" t="n"/>
      <c r="K53" s="16" t="n"/>
      <c r="L53" s="16" t="n"/>
      <c r="M53" s="16" t="n"/>
      <c r="N53" s="16" t="n"/>
      <c r="O53" s="16" t="n"/>
      <c r="P53" s="16" t="n"/>
      <c r="Q53" s="16" t="n"/>
      <c r="R53" s="16" t="n"/>
    </row>
    <row r="54">
      <c r="A54" s="16" t="n"/>
      <c r="B54" s="16" t="n"/>
      <c r="C54" s="16" t="n"/>
      <c r="D54" s="16" t="n"/>
      <c r="E54" s="16" t="n"/>
      <c r="F54" s="16" t="n"/>
      <c r="G54" s="16" t="n"/>
      <c r="H54" s="16" t="n"/>
      <c r="I54" s="16" t="n"/>
      <c r="J54" s="16" t="n"/>
      <c r="K54" s="16" t="n"/>
      <c r="L54" s="16" t="n"/>
      <c r="M54" s="16" t="n"/>
      <c r="N54" s="16" t="n"/>
      <c r="O54" s="16" t="n"/>
      <c r="P54" s="16" t="n"/>
      <c r="Q54" s="16" t="n"/>
      <c r="R54" s="16" t="n"/>
    </row>
    <row r="55">
      <c r="A55" s="16" t="n"/>
      <c r="B55" s="16" t="n"/>
      <c r="C55" s="16" t="n"/>
      <c r="D55" s="16" t="n"/>
      <c r="E55" s="16" t="n"/>
      <c r="F55" s="16" t="n"/>
      <c r="G55" s="16" t="n"/>
      <c r="H55" s="16" t="n"/>
      <c r="I55" s="16" t="n"/>
      <c r="J55" s="16" t="n"/>
      <c r="K55" s="16" t="n"/>
      <c r="L55" s="16" t="n"/>
      <c r="M55" s="16" t="n"/>
      <c r="N55" s="16" t="n"/>
      <c r="O55" s="16" t="n"/>
      <c r="P55" s="16" t="n"/>
      <c r="Q55" s="16" t="n"/>
      <c r="R55" s="16" t="n"/>
    </row>
    <row r="56">
      <c r="A56" s="16" t="n"/>
      <c r="B56" s="16" t="n"/>
      <c r="C56" s="16" t="n"/>
      <c r="D56" s="16" t="n"/>
      <c r="E56" s="16" t="n"/>
      <c r="F56" s="16" t="n"/>
      <c r="G56" s="16" t="n"/>
      <c r="H56" s="16" t="n"/>
      <c r="I56" s="16" t="n"/>
      <c r="J56" s="16" t="n"/>
      <c r="K56" s="16" t="n"/>
      <c r="L56" s="16" t="n"/>
      <c r="M56" s="16" t="n"/>
      <c r="N56" s="16" t="n"/>
      <c r="O56" s="16" t="n"/>
      <c r="P56" s="16" t="n"/>
      <c r="Q56" s="16" t="n"/>
      <c r="R56" s="16" t="n"/>
    </row>
    <row r="57">
      <c r="A57" s="16" t="n"/>
      <c r="B57" s="16" t="n"/>
      <c r="C57" s="16" t="n"/>
      <c r="D57" s="16" t="n"/>
      <c r="E57" s="16" t="n"/>
      <c r="F57" s="16" t="n"/>
      <c r="G57" s="16" t="n"/>
      <c r="H57" s="16" t="n"/>
      <c r="I57" s="16" t="n"/>
      <c r="J57" s="16" t="n"/>
      <c r="K57" s="16" t="n"/>
      <c r="L57" s="16" t="n"/>
      <c r="M57" s="16" t="n"/>
      <c r="N57" s="16" t="n"/>
      <c r="O57" s="16" t="n"/>
      <c r="P57" s="16" t="n"/>
      <c r="Q57" s="16" t="n"/>
      <c r="R57" s="16" t="n"/>
    </row>
    <row r="60">
      <c r="A60" s="17" t="inlineStr">
        <is>
          <t>METRICS TRACKING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8" t="n"/>
      <c r="R61" s="19" t="n"/>
    </row>
    <row r="62">
      <c r="A62" s="20" t="inlineStr">
        <is>
          <t>Total Metrics Tracked</t>
        </is>
      </c>
      <c r="B62" s="18" t="n"/>
      <c r="C62" s="18" t="n"/>
      <c r="D62" s="18" t="n"/>
      <c r="E62" s="18" t="n"/>
      <c r="F62" s="19" t="n"/>
      <c r="G62" s="6">
        <f>COUNTA(A8:A57)</f>
        <v/>
      </c>
      <c r="H62" s="18" t="n"/>
      <c r="I62" s="18" t="n"/>
      <c r="J62" s="18" t="n"/>
      <c r="K62" s="19" t="n"/>
      <c r="L62" s="6" t="inlineStr">
        <is>
          <t>N/A</t>
        </is>
      </c>
      <c r="M62" s="18" t="n"/>
      <c r="N62" s="18" t="n"/>
      <c r="O62" s="18" t="n"/>
      <c r="P62" s="18" t="n"/>
      <c r="Q62" s="18" t="n"/>
      <c r="R62" s="19" t="n"/>
    </row>
    <row r="63">
      <c r="A63" s="20" t="inlineStr">
        <is>
          <t>Metrics Meeting Target</t>
        </is>
      </c>
      <c r="B63" s="18" t="n"/>
      <c r="C63" s="18" t="n"/>
      <c r="D63" s="18" t="n"/>
      <c r="E63" s="18" t="n"/>
      <c r="F63" s="19" t="n"/>
      <c r="G63" s="6">
        <f>COUNTIF(G8:G57,"✅ Meeting Target")</f>
        <v/>
      </c>
      <c r="H63" s="18" t="n"/>
      <c r="I63" s="18" t="n"/>
      <c r="J63" s="18" t="n"/>
      <c r="K63" s="19" t="n"/>
      <c r="L63" s="6" t="inlineStr">
        <is>
          <t>&gt;80%</t>
        </is>
      </c>
      <c r="M63" s="18" t="n"/>
      <c r="N63" s="18" t="n"/>
      <c r="O63" s="18" t="n"/>
      <c r="P63" s="18" t="n"/>
      <c r="Q63" s="18" t="n"/>
      <c r="R63" s="19" t="n"/>
    </row>
    <row r="64">
      <c r="A64" s="20" t="inlineStr">
        <is>
          <t>Metrics Below Target</t>
        </is>
      </c>
      <c r="B64" s="18" t="n"/>
      <c r="C64" s="18" t="n"/>
      <c r="D64" s="18" t="n"/>
      <c r="E64" s="18" t="n"/>
      <c r="F64" s="19" t="n"/>
      <c r="G64" s="6">
        <f>COUNTIF(G8:G57,"⚠️ Below Target")</f>
        <v/>
      </c>
      <c r="H64" s="18" t="n"/>
      <c r="I64" s="18" t="n"/>
      <c r="J64" s="18" t="n"/>
      <c r="K64" s="19" t="n"/>
      <c r="L64" s="6" t="inlineStr">
        <is>
          <t>&lt;3</t>
        </is>
      </c>
      <c r="M64" s="18" t="n"/>
      <c r="N64" s="18" t="n"/>
      <c r="O64" s="18" t="n"/>
      <c r="P64" s="18" t="n"/>
      <c r="Q64" s="18" t="n"/>
      <c r="R64" s="19" t="n"/>
    </row>
    <row r="65">
      <c r="A65" s="20" t="inlineStr">
        <is>
          <t>Metrics in Critical State</t>
        </is>
      </c>
      <c r="B65" s="18" t="n"/>
      <c r="C65" s="18" t="n"/>
      <c r="D65" s="18" t="n"/>
      <c r="E65" s="18" t="n"/>
      <c r="F65" s="19" t="n"/>
      <c r="G65" s="6">
        <f>COUNTIF(G8:G57,"❌ Critical")</f>
        <v/>
      </c>
      <c r="H65" s="18" t="n"/>
      <c r="I65" s="18" t="n"/>
      <c r="J65" s="18" t="n"/>
      <c r="K65" s="19" t="n"/>
      <c r="L65" s="6" t="inlineStr">
        <is>
          <t>0</t>
        </is>
      </c>
      <c r="M65" s="18" t="n"/>
      <c r="N65" s="18" t="n"/>
      <c r="O65" s="18" t="n"/>
      <c r="P65" s="18" t="n"/>
      <c r="Q65" s="18" t="n"/>
      <c r="R65" s="19" t="n"/>
    </row>
    <row r="66">
      <c r="A66" s="20" t="inlineStr">
        <is>
          <t>Improving Trends</t>
        </is>
      </c>
      <c r="B66" s="18" t="n"/>
      <c r="C66" s="18" t="n"/>
      <c r="D66" s="18" t="n"/>
      <c r="E66" s="18" t="n"/>
      <c r="F66" s="19" t="n"/>
      <c r="G66" s="6">
        <f>COUNTIF(H8:H57,"Improving")</f>
        <v/>
      </c>
      <c r="H66" s="18" t="n"/>
      <c r="I66" s="18" t="n"/>
      <c r="J66" s="18" t="n"/>
      <c r="K66" s="19" t="n"/>
      <c r="L66" s="6" t="inlineStr">
        <is>
          <t>Maximize</t>
        </is>
      </c>
      <c r="M66" s="18" t="n"/>
      <c r="N66" s="18" t="n"/>
      <c r="O66" s="18" t="n"/>
      <c r="P66" s="18" t="n"/>
      <c r="Q66" s="18" t="n"/>
      <c r="R66" s="19" t="n"/>
    </row>
    <row r="67">
      <c r="A67" s="20" t="inlineStr">
        <is>
          <t>Declining Trends</t>
        </is>
      </c>
      <c r="B67" s="18" t="n"/>
      <c r="C67" s="18" t="n"/>
      <c r="D67" s="18" t="n"/>
      <c r="E67" s="18" t="n"/>
      <c r="F67" s="19" t="n"/>
      <c r="G67" s="6">
        <f>COUNTIF(H8:H57,"Declining")</f>
        <v/>
      </c>
      <c r="H67" s="18" t="n"/>
      <c r="I67" s="18" t="n"/>
      <c r="J67" s="18" t="n"/>
      <c r="K67" s="19" t="n"/>
      <c r="L67" s="6" t="inlineStr">
        <is>
          <t>Minimize</t>
        </is>
      </c>
      <c r="M67" s="18" t="n"/>
      <c r="N67" s="18" t="n"/>
      <c r="O67" s="18" t="n"/>
      <c r="P67" s="18" t="n"/>
      <c r="Q67" s="18" t="n"/>
      <c r="R67" s="19" t="n"/>
    </row>
    <row r="68">
      <c r="A68" s="20" t="inlineStr">
        <is>
          <t>Automated Tracking</t>
        </is>
      </c>
      <c r="B68" s="18" t="n"/>
      <c r="C68" s="18" t="n"/>
      <c r="D68" s="18" t="n"/>
      <c r="E68" s="18" t="n"/>
      <c r="F68" s="19" t="n"/>
      <c r="G68" s="6">
        <f>COUNTIF(L8:L57,"Yes")</f>
        <v/>
      </c>
      <c r="H68" s="18" t="n"/>
      <c r="I68" s="18" t="n"/>
      <c r="J68" s="18" t="n"/>
      <c r="K68" s="19" t="n"/>
      <c r="L68" s="6" t="inlineStr">
        <is>
          <t>All</t>
        </is>
      </c>
      <c r="M68" s="18" t="n"/>
      <c r="N68" s="18" t="n"/>
      <c r="O68" s="18" t="n"/>
      <c r="P68" s="18" t="n"/>
      <c r="Q68" s="18" t="n"/>
      <c r="R68" s="19" t="n"/>
    </row>
    <row r="69">
      <c r="A69" s="20" t="inlineStr">
        <is>
          <t>Dashboard Visibility</t>
        </is>
      </c>
      <c r="B69" s="18" t="n"/>
      <c r="C69" s="18" t="n"/>
      <c r="D69" s="18" t="n"/>
      <c r="E69" s="18" t="n"/>
      <c r="F69" s="19" t="n"/>
      <c r="G69" s="6">
        <f>COUNTIF(M8:M57,"Yes")</f>
        <v/>
      </c>
      <c r="H69" s="18" t="n"/>
      <c r="I69" s="18" t="n"/>
      <c r="J69" s="18" t="n"/>
      <c r="K69" s="19" t="n"/>
      <c r="L69" s="6" t="inlineStr">
        <is>
          <t>All</t>
        </is>
      </c>
      <c r="M69" s="18" t="n"/>
      <c r="N69" s="18" t="n"/>
      <c r="O69" s="18" t="n"/>
      <c r="P69" s="18" t="n"/>
      <c r="Q69" s="18" t="n"/>
      <c r="R69" s="19" t="n"/>
    </row>
    <row r="72">
      <c r="A72" s="23" t="inlineStr">
        <is>
          <t>KEY METRICS REFERENCE (MTTA/MTTT/MTTI/MTTR)</t>
        </is>
      </c>
    </row>
    <row r="73">
      <c r="A73" s="14" t="inlineStr">
        <is>
          <t>Metric</t>
        </is>
      </c>
      <c r="B73" s="18" t="n"/>
      <c r="C73" s="19" t="n"/>
      <c r="D73" s="14" t="inlineStr">
        <is>
          <t>Definition</t>
        </is>
      </c>
      <c r="E73" s="18" t="n"/>
      <c r="F73" s="18" t="n"/>
      <c r="G73" s="18" t="n"/>
      <c r="H73" s="19" t="n"/>
      <c r="I73" s="14" t="inlineStr">
        <is>
          <t>Target (Critical)</t>
        </is>
      </c>
      <c r="J73" s="18" t="n"/>
      <c r="K73" s="19" t="n"/>
      <c r="L73" s="14" t="inlineStr">
        <is>
          <t>Target (High)</t>
        </is>
      </c>
      <c r="M73" s="18" t="n"/>
      <c r="N73" s="19" t="n"/>
      <c r="O73" s="14" t="inlineStr">
        <is>
          <t>Target (Medium)</t>
        </is>
      </c>
      <c r="P73" s="18" t="n"/>
      <c r="Q73" s="18" t="n"/>
      <c r="R73" s="19" t="n"/>
    </row>
    <row r="74">
      <c r="A74" s="24" t="inlineStr">
        <is>
          <t>MTTA</t>
        </is>
      </c>
      <c r="B74" s="18" t="n"/>
      <c r="C74" s="19" t="n"/>
      <c r="D74" s="20" t="inlineStr">
        <is>
          <t>Mean Time To Acknowledge</t>
        </is>
      </c>
      <c r="E74" s="18" t="n"/>
      <c r="F74" s="18" t="n"/>
      <c r="G74" s="18" t="n"/>
      <c r="H74" s="19" t="n"/>
      <c r="I74" s="6" t="inlineStr">
        <is>
          <t>&lt;15 min</t>
        </is>
      </c>
      <c r="J74" s="18" t="n"/>
      <c r="K74" s="19" t="n"/>
      <c r="L74" s="6" t="inlineStr">
        <is>
          <t>&lt;1 hr</t>
        </is>
      </c>
      <c r="M74" s="18" t="n"/>
      <c r="N74" s="19" t="n"/>
      <c r="O74" s="6" t="inlineStr">
        <is>
          <t>&lt;4 hrs</t>
        </is>
      </c>
      <c r="P74" s="18" t="n"/>
      <c r="Q74" s="18" t="n"/>
      <c r="R74" s="19" t="n"/>
    </row>
    <row r="75">
      <c r="A75" s="24" t="inlineStr">
        <is>
          <t>MTTT</t>
        </is>
      </c>
      <c r="B75" s="18" t="n"/>
      <c r="C75" s="19" t="n"/>
      <c r="D75" s="20" t="inlineStr">
        <is>
          <t>Mean Time To Triage</t>
        </is>
      </c>
      <c r="E75" s="18" t="n"/>
      <c r="F75" s="18" t="n"/>
      <c r="G75" s="18" t="n"/>
      <c r="H75" s="19" t="n"/>
      <c r="I75" s="6" t="inlineStr">
        <is>
          <t>&lt;1 hr</t>
        </is>
      </c>
      <c r="J75" s="18" t="n"/>
      <c r="K75" s="19" t="n"/>
      <c r="L75" s="6" t="inlineStr">
        <is>
          <t>&lt;4 hrs</t>
        </is>
      </c>
      <c r="M75" s="18" t="n"/>
      <c r="N75" s="19" t="n"/>
      <c r="O75" s="6" t="inlineStr">
        <is>
          <t>&lt;1 day</t>
        </is>
      </c>
      <c r="P75" s="18" t="n"/>
      <c r="Q75" s="18" t="n"/>
      <c r="R75" s="19" t="n"/>
    </row>
    <row r="76">
      <c r="A76" s="24" t="inlineStr">
        <is>
          <t>MTTI</t>
        </is>
      </c>
      <c r="B76" s="18" t="n"/>
      <c r="C76" s="19" t="n"/>
      <c r="D76" s="20" t="inlineStr">
        <is>
          <t>Mean Time To Investigate</t>
        </is>
      </c>
      <c r="E76" s="18" t="n"/>
      <c r="F76" s="18" t="n"/>
      <c r="G76" s="18" t="n"/>
      <c r="H76" s="19" t="n"/>
      <c r="I76" s="6" t="inlineStr">
        <is>
          <t>&lt;4 hrs</t>
        </is>
      </c>
      <c r="J76" s="18" t="n"/>
      <c r="K76" s="19" t="n"/>
      <c r="L76" s="6" t="inlineStr">
        <is>
          <t>&lt;1 day</t>
        </is>
      </c>
      <c r="M76" s="18" t="n"/>
      <c r="N76" s="19" t="n"/>
      <c r="O76" s="6" t="inlineStr">
        <is>
          <t>&lt;3 days</t>
        </is>
      </c>
      <c r="P76" s="18" t="n"/>
      <c r="Q76" s="18" t="n"/>
      <c r="R76" s="19" t="n"/>
    </row>
    <row r="77">
      <c r="A77" s="24" t="inlineStr">
        <is>
          <t>MTTR</t>
        </is>
      </c>
      <c r="B77" s="18" t="n"/>
      <c r="C77" s="19" t="n"/>
      <c r="D77" s="20" t="inlineStr">
        <is>
          <t>Mean Time To Resolve</t>
        </is>
      </c>
      <c r="E77" s="18" t="n"/>
      <c r="F77" s="18" t="n"/>
      <c r="G77" s="18" t="n"/>
      <c r="H77" s="19" t="n"/>
      <c r="I77" s="6" t="inlineStr">
        <is>
          <t>&lt;24 hrs</t>
        </is>
      </c>
      <c r="J77" s="18" t="n"/>
      <c r="K77" s="19" t="n"/>
      <c r="L77" s="6" t="inlineStr">
        <is>
          <t>&lt;3 days</t>
        </is>
      </c>
      <c r="M77" s="18" t="n"/>
      <c r="N77" s="19" t="n"/>
      <c r="O77" s="6" t="inlineStr">
        <is>
          <t>&lt;1 week</t>
        </is>
      </c>
      <c r="P77" s="18" t="n"/>
      <c r="Q77" s="18" t="n"/>
      <c r="R77" s="19" t="n"/>
    </row>
    <row r="78">
      <c r="A78" s="24" t="inlineStr">
        <is>
          <t>TP Rate</t>
        </is>
      </c>
      <c r="B78" s="18" t="n"/>
      <c r="C78" s="19" t="n"/>
      <c r="D78" s="20" t="inlineStr">
        <is>
          <t>True Positive Rate</t>
        </is>
      </c>
      <c r="E78" s="18" t="n"/>
      <c r="F78" s="18" t="n"/>
      <c r="G78" s="18" t="n"/>
      <c r="H78" s="19" t="n"/>
      <c r="I78" s="6" t="inlineStr">
        <is>
          <t>&gt;30%</t>
        </is>
      </c>
      <c r="J78" s="18" t="n"/>
      <c r="K78" s="19" t="n"/>
      <c r="L78" s="6" t="inlineStr">
        <is>
          <t>&gt;20%</t>
        </is>
      </c>
      <c r="M78" s="18" t="n"/>
      <c r="N78" s="19" t="n"/>
      <c r="O78" s="6" t="inlineStr">
        <is>
          <t>&gt;15%</t>
        </is>
      </c>
      <c r="P78" s="18" t="n"/>
      <c r="Q78" s="18" t="n"/>
      <c r="R78" s="19" t="n"/>
    </row>
    <row r="79">
      <c r="A79" s="24" t="inlineStr">
        <is>
          <t>FP Rate</t>
        </is>
      </c>
      <c r="B79" s="18" t="n"/>
      <c r="C79" s="19" t="n"/>
      <c r="D79" s="20" t="inlineStr">
        <is>
          <t>False Positive Rate</t>
        </is>
      </c>
      <c r="E79" s="18" t="n"/>
      <c r="F79" s="18" t="n"/>
      <c r="G79" s="18" t="n"/>
      <c r="H79" s="19" t="n"/>
      <c r="I79" s="6" t="inlineStr">
        <is>
          <t>&lt;10%</t>
        </is>
      </c>
      <c r="J79" s="18" t="n"/>
      <c r="K79" s="19" t="n"/>
      <c r="L79" s="6" t="inlineStr">
        <is>
          <t>&lt;20%</t>
        </is>
      </c>
      <c r="M79" s="18" t="n"/>
      <c r="N79" s="19" t="n"/>
      <c r="O79" s="6" t="inlineStr">
        <is>
          <t>&lt;30%</t>
        </is>
      </c>
      <c r="P79" s="18" t="n"/>
      <c r="Q79" s="18" t="n"/>
      <c r="R79" s="19" t="n"/>
    </row>
    <row r="82">
      <c r="A82" s="17" t="inlineStr">
        <is>
          <t>PERFORMANCE METRICS CHECKLIST</t>
        </is>
      </c>
    </row>
    <row r="83">
      <c r="A83" s="14" t="inlineStr">
        <is>
          <t>#</t>
        </is>
      </c>
      <c r="B83" s="14" t="inlineStr">
        <is>
          <t>Requirement</t>
        </is>
      </c>
      <c r="C83" s="18" t="n"/>
      <c r="D83" s="18" t="n"/>
      <c r="E83" s="18" t="n"/>
      <c r="F83" s="18" t="n"/>
      <c r="G83" s="18" t="n"/>
      <c r="H83" s="18" t="n"/>
      <c r="I83" s="18" t="n"/>
      <c r="J83" s="18" t="n"/>
      <c r="K83" s="18" t="n"/>
      <c r="L83" s="18" t="n"/>
      <c r="M83" s="18" t="n"/>
      <c r="N83" s="18" t="n"/>
      <c r="O83" s="18" t="n"/>
      <c r="P83" s="18" t="n"/>
      <c r="Q83" s="19" t="n"/>
    </row>
    <row r="84">
      <c r="A84" s="6" t="n">
        <v>1</v>
      </c>
      <c r="B84" s="20" t="inlineStr">
        <is>
          <t>Alert volume metrics tracked</t>
        </is>
      </c>
      <c r="C84" s="18" t="n"/>
      <c r="D84" s="18" t="n"/>
      <c r="E84" s="18" t="n"/>
      <c r="F84" s="18" t="n"/>
      <c r="G84" s="18" t="n"/>
      <c r="H84" s="18" t="n"/>
      <c r="I84" s="18" t="n"/>
      <c r="J84" s="18" t="n"/>
      <c r="K84" s="18" t="n"/>
      <c r="L84" s="18" t="n"/>
      <c r="M84" s="18" t="n"/>
      <c r="N84" s="18" t="n"/>
      <c r="O84" s="18" t="n"/>
      <c r="P84" s="18" t="n"/>
      <c r="Q84" s="19" t="n"/>
      <c r="R84" s="16" t="n"/>
    </row>
    <row r="85">
      <c r="A85" s="6" t="n">
        <v>2</v>
      </c>
      <c r="B85" s="20" t="inlineStr">
        <is>
          <t>Response time metrics tracked (MTTA, MTTT, MTTI, MTTR)</t>
        </is>
      </c>
      <c r="C85" s="18" t="n"/>
      <c r="D85" s="18" t="n"/>
      <c r="E85" s="18" t="n"/>
      <c r="F85" s="18" t="n"/>
      <c r="G85" s="18" t="n"/>
      <c r="H85" s="18" t="n"/>
      <c r="I85" s="18" t="n"/>
      <c r="J85" s="18" t="n"/>
      <c r="K85" s="18" t="n"/>
      <c r="L85" s="18" t="n"/>
      <c r="M85" s="18" t="n"/>
      <c r="N85" s="18" t="n"/>
      <c r="O85" s="18" t="n"/>
      <c r="P85" s="18" t="n"/>
      <c r="Q85" s="19" t="n"/>
      <c r="R85" s="16" t="n"/>
    </row>
    <row r="86">
      <c r="A86" s="6" t="n">
        <v>3</v>
      </c>
      <c r="B86" s="20" t="inlineStr">
        <is>
          <t>Quality metrics tracked (TP rate, FP rate)</t>
        </is>
      </c>
      <c r="C86" s="18" t="n"/>
      <c r="D86" s="18" t="n"/>
      <c r="E86" s="18" t="n"/>
      <c r="F86" s="18" t="n"/>
      <c r="G86" s="18" t="n"/>
      <c r="H86" s="18" t="n"/>
      <c r="I86" s="18" t="n"/>
      <c r="J86" s="18" t="n"/>
      <c r="K86" s="18" t="n"/>
      <c r="L86" s="18" t="n"/>
      <c r="M86" s="18" t="n"/>
      <c r="N86" s="18" t="n"/>
      <c r="O86" s="18" t="n"/>
      <c r="P86" s="18" t="n"/>
      <c r="Q86" s="19" t="n"/>
      <c r="R86" s="16" t="n"/>
    </row>
    <row r="87">
      <c r="A87" s="6" t="n">
        <v>4</v>
      </c>
      <c r="B87" s="20" t="inlineStr">
        <is>
          <t>Effectiveness metrics tracked (detection rate)</t>
        </is>
      </c>
      <c r="C87" s="18" t="n"/>
      <c r="D87" s="18" t="n"/>
      <c r="E87" s="18" t="n"/>
      <c r="F87" s="18" t="n"/>
      <c r="G87" s="18" t="n"/>
      <c r="H87" s="18" t="n"/>
      <c r="I87" s="18" t="n"/>
      <c r="J87" s="18" t="n"/>
      <c r="K87" s="18" t="n"/>
      <c r="L87" s="18" t="n"/>
      <c r="M87" s="18" t="n"/>
      <c r="N87" s="18" t="n"/>
      <c r="O87" s="18" t="n"/>
      <c r="P87" s="18" t="n"/>
      <c r="Q87" s="19" t="n"/>
      <c r="R87" s="16" t="n"/>
    </row>
    <row r="88">
      <c r="A88" s="6" t="n">
        <v>5</v>
      </c>
      <c r="B88" s="20" t="inlineStr">
        <is>
          <t>Metrics targets defined</t>
        </is>
      </c>
      <c r="C88" s="18" t="n"/>
      <c r="D88" s="18" t="n"/>
      <c r="E88" s="18" t="n"/>
      <c r="F88" s="18" t="n"/>
      <c r="G88" s="18" t="n"/>
      <c r="H88" s="18" t="n"/>
      <c r="I88" s="18" t="n"/>
      <c r="J88" s="18" t="n"/>
      <c r="K88" s="18" t="n"/>
      <c r="L88" s="18" t="n"/>
      <c r="M88" s="18" t="n"/>
      <c r="N88" s="18" t="n"/>
      <c r="O88" s="18" t="n"/>
      <c r="P88" s="18" t="n"/>
      <c r="Q88" s="19" t="n"/>
      <c r="R88" s="16" t="n"/>
    </row>
    <row r="89">
      <c r="A89" s="6" t="n">
        <v>6</v>
      </c>
      <c r="B89" s="20" t="inlineStr">
        <is>
          <t>Metrics measured consistently</t>
        </is>
      </c>
      <c r="C89" s="18" t="n"/>
      <c r="D89" s="18" t="n"/>
      <c r="E89" s="18" t="n"/>
      <c r="F89" s="18" t="n"/>
      <c r="G89" s="18" t="n"/>
      <c r="H89" s="18" t="n"/>
      <c r="I89" s="18" t="n"/>
      <c r="J89" s="18" t="n"/>
      <c r="K89" s="18" t="n"/>
      <c r="L89" s="18" t="n"/>
      <c r="M89" s="18" t="n"/>
      <c r="N89" s="18" t="n"/>
      <c r="O89" s="18" t="n"/>
      <c r="P89" s="18" t="n"/>
      <c r="Q89" s="19" t="n"/>
      <c r="R89" s="16" t="n"/>
    </row>
    <row r="90">
      <c r="A90" s="6" t="n">
        <v>7</v>
      </c>
      <c r="B90" s="20" t="inlineStr">
        <is>
          <t>Metrics reported to SOC Lead (weekly)</t>
        </is>
      </c>
      <c r="C90" s="18" t="n"/>
      <c r="D90" s="18" t="n"/>
      <c r="E90" s="18" t="n"/>
      <c r="F90" s="18" t="n"/>
      <c r="G90" s="18" t="n"/>
      <c r="H90" s="18" t="n"/>
      <c r="I90" s="18" t="n"/>
      <c r="J90" s="18" t="n"/>
      <c r="K90" s="18" t="n"/>
      <c r="L90" s="18" t="n"/>
      <c r="M90" s="18" t="n"/>
      <c r="N90" s="18" t="n"/>
      <c r="O90" s="18" t="n"/>
      <c r="P90" s="18" t="n"/>
      <c r="Q90" s="19" t="n"/>
      <c r="R90" s="16" t="n"/>
    </row>
    <row r="91">
      <c r="A91" s="6" t="n">
        <v>8</v>
      </c>
      <c r="B91" s="20" t="inlineStr">
        <is>
          <t>Metrics reported to CISO (monthly)</t>
        </is>
      </c>
      <c r="C91" s="18" t="n"/>
      <c r="D91" s="18" t="n"/>
      <c r="E91" s="18" t="n"/>
      <c r="F91" s="18" t="n"/>
      <c r="G91" s="18" t="n"/>
      <c r="H91" s="18" t="n"/>
      <c r="I91" s="18" t="n"/>
      <c r="J91" s="18" t="n"/>
      <c r="K91" s="18" t="n"/>
      <c r="L91" s="18" t="n"/>
      <c r="M91" s="18" t="n"/>
      <c r="N91" s="18" t="n"/>
      <c r="O91" s="18" t="n"/>
      <c r="P91" s="18" t="n"/>
      <c r="Q91" s="19" t="n"/>
      <c r="R91" s="16" t="n"/>
    </row>
    <row r="92">
      <c r="A92" s="6" t="n">
        <v>9</v>
      </c>
      <c r="B92" s="20" t="inlineStr">
        <is>
          <t>Metrics dashboard available</t>
        </is>
      </c>
      <c r="C92" s="18" t="n"/>
      <c r="D92" s="18" t="n"/>
      <c r="E92" s="18" t="n"/>
      <c r="F92" s="18" t="n"/>
      <c r="G92" s="18" t="n"/>
      <c r="H92" s="18" t="n"/>
      <c r="I92" s="18" t="n"/>
      <c r="J92" s="18" t="n"/>
      <c r="K92" s="18" t="n"/>
      <c r="L92" s="18" t="n"/>
      <c r="M92" s="18" t="n"/>
      <c r="N92" s="18" t="n"/>
      <c r="O92" s="18" t="n"/>
      <c r="P92" s="18" t="n"/>
      <c r="Q92" s="19" t="n"/>
      <c r="R92" s="16" t="n"/>
    </row>
    <row r="93">
      <c r="A93" s="6" t="n">
        <v>10</v>
      </c>
      <c r="B93" s="20" t="inlineStr">
        <is>
          <t>Trends analysed</t>
        </is>
      </c>
      <c r="C93" s="18" t="n"/>
      <c r="D93" s="18" t="n"/>
      <c r="E93" s="18" t="n"/>
      <c r="F93" s="18" t="n"/>
      <c r="G93" s="18" t="n"/>
      <c r="H93" s="18" t="n"/>
      <c r="I93" s="18" t="n"/>
      <c r="J93" s="18" t="n"/>
      <c r="K93" s="18" t="n"/>
      <c r="L93" s="18" t="n"/>
      <c r="M93" s="18" t="n"/>
      <c r="N93" s="18" t="n"/>
      <c r="O93" s="18" t="n"/>
      <c r="P93" s="18" t="n"/>
      <c r="Q93" s="19" t="n"/>
      <c r="R93" s="16" t="n"/>
    </row>
    <row r="94">
      <c r="A94" s="6" t="n">
        <v>11</v>
      </c>
      <c r="B94" s="20" t="inlineStr">
        <is>
          <t>Performance issues identified</t>
        </is>
      </c>
      <c r="C94" s="18" t="n"/>
      <c r="D94" s="18" t="n"/>
      <c r="E94" s="18" t="n"/>
      <c r="F94" s="18" t="n"/>
      <c r="G94" s="18" t="n"/>
      <c r="H94" s="18" t="n"/>
      <c r="I94" s="18" t="n"/>
      <c r="J94" s="18" t="n"/>
      <c r="K94" s="18" t="n"/>
      <c r="L94" s="18" t="n"/>
      <c r="M94" s="18" t="n"/>
      <c r="N94" s="18" t="n"/>
      <c r="O94" s="18" t="n"/>
      <c r="P94" s="18" t="n"/>
      <c r="Q94" s="19" t="n"/>
      <c r="R94" s="16" t="n"/>
    </row>
    <row r="95">
      <c r="A95" s="6" t="n">
        <v>12</v>
      </c>
      <c r="B95" s="20" t="inlineStr">
        <is>
          <t>Improvement actions taken</t>
        </is>
      </c>
      <c r="C95" s="18" t="n"/>
      <c r="D95" s="18" t="n"/>
      <c r="E95" s="18" t="n"/>
      <c r="F95" s="18" t="n"/>
      <c r="G95" s="18" t="n"/>
      <c r="H95" s="18" t="n"/>
      <c r="I95" s="18" t="n"/>
      <c r="J95" s="18" t="n"/>
      <c r="K95" s="18" t="n"/>
      <c r="L95" s="18" t="n"/>
      <c r="M95" s="18" t="n"/>
      <c r="N95" s="18" t="n"/>
      <c r="O95" s="18" t="n"/>
      <c r="P95" s="18" t="n"/>
      <c r="Q95" s="19" t="n"/>
      <c r="R95" s="16" t="n"/>
    </row>
    <row r="96">
      <c r="A96" s="6" t="n">
        <v>13</v>
      </c>
      <c r="B96" s="20" t="inlineStr">
        <is>
          <t>SLA compliance tracked</t>
        </is>
      </c>
      <c r="C96" s="18" t="n"/>
      <c r="D96" s="18" t="n"/>
      <c r="E96" s="18" t="n"/>
      <c r="F96" s="18" t="n"/>
      <c r="G96" s="18" t="n"/>
      <c r="H96" s="18" t="n"/>
      <c r="I96" s="18" t="n"/>
      <c r="J96" s="18" t="n"/>
      <c r="K96" s="18" t="n"/>
      <c r="L96" s="18" t="n"/>
      <c r="M96" s="18" t="n"/>
      <c r="N96" s="18" t="n"/>
      <c r="O96" s="18" t="n"/>
      <c r="P96" s="18" t="n"/>
      <c r="Q96" s="19" t="n"/>
      <c r="R96" s="16" t="n"/>
    </row>
    <row r="97">
      <c r="A97" s="6" t="n">
        <v>14</v>
      </c>
      <c r="B97" s="20" t="inlineStr">
        <is>
          <t>Metrics drive tuning decisions</t>
        </is>
      </c>
      <c r="C97" s="18" t="n"/>
      <c r="D97" s="18" t="n"/>
      <c r="E97" s="18" t="n"/>
      <c r="F97" s="18" t="n"/>
      <c r="G97" s="18" t="n"/>
      <c r="H97" s="18" t="n"/>
      <c r="I97" s="18" t="n"/>
      <c r="J97" s="18" t="n"/>
      <c r="K97" s="18" t="n"/>
      <c r="L97" s="18" t="n"/>
      <c r="M97" s="18" t="n"/>
      <c r="N97" s="18" t="n"/>
      <c r="O97" s="18" t="n"/>
      <c r="P97" s="18" t="n"/>
      <c r="Q97" s="19" t="n"/>
      <c r="R97" s="16" t="n"/>
    </row>
    <row r="98">
      <c r="A98" s="6" t="n">
        <v>15</v>
      </c>
      <c r="B98" s="20" t="inlineStr">
        <is>
          <t>Metrics included in management reporting</t>
        </is>
      </c>
      <c r="C98" s="18" t="n"/>
      <c r="D98" s="18" t="n"/>
      <c r="E98" s="18" t="n"/>
      <c r="F98" s="18" t="n"/>
      <c r="G98" s="18" t="n"/>
      <c r="H98" s="18" t="n"/>
      <c r="I98" s="18" t="n"/>
      <c r="J98" s="18" t="n"/>
      <c r="K98" s="18" t="n"/>
      <c r="L98" s="18" t="n"/>
      <c r="M98" s="18" t="n"/>
      <c r="N98" s="18" t="n"/>
      <c r="O98" s="18" t="n"/>
      <c r="P98" s="18" t="n"/>
      <c r="Q98" s="19" t="n"/>
      <c r="R98" s="16" t="n"/>
    </row>
    <row r="99">
      <c r="A99" s="21" t="inlineStr">
        <is>
          <t>SCORE:</t>
        </is>
      </c>
      <c r="B99" s="22">
        <f>COUNTIF(R84:R98,"✅ Compliant")&amp;" / 15"</f>
        <v/>
      </c>
    </row>
  </sheetData>
  <mergeCells count="85">
    <mergeCell ref="A66:F66"/>
    <mergeCell ref="O79:R79"/>
    <mergeCell ref="L74:N74"/>
    <mergeCell ref="G67:K67"/>
    <mergeCell ref="G61:K61"/>
    <mergeCell ref="L76:N76"/>
    <mergeCell ref="L65:R65"/>
    <mergeCell ref="A2:R2"/>
    <mergeCell ref="O78:R78"/>
    <mergeCell ref="D76:H76"/>
    <mergeCell ref="I79:K79"/>
    <mergeCell ref="I73:K73"/>
    <mergeCell ref="G62:K62"/>
    <mergeCell ref="B90:Q90"/>
    <mergeCell ref="D75:H75"/>
    <mergeCell ref="I74:K74"/>
    <mergeCell ref="G65:K65"/>
    <mergeCell ref="A77:C77"/>
    <mergeCell ref="A64:F64"/>
    <mergeCell ref="G63:K63"/>
    <mergeCell ref="O74:R74"/>
    <mergeCell ref="L69:R69"/>
    <mergeCell ref="A75:C75"/>
    <mergeCell ref="B84:Q84"/>
    <mergeCell ref="L73:N73"/>
    <mergeCell ref="B95:Q95"/>
    <mergeCell ref="B89:Q89"/>
    <mergeCell ref="L61:R61"/>
    <mergeCell ref="B97:Q97"/>
    <mergeCell ref="A62:F62"/>
    <mergeCell ref="I78:K78"/>
    <mergeCell ref="G69:K69"/>
    <mergeCell ref="L77:N77"/>
    <mergeCell ref="A73:C73"/>
    <mergeCell ref="G64:K64"/>
    <mergeCell ref="D74:H74"/>
    <mergeCell ref="A61:F61"/>
    <mergeCell ref="A1:R1"/>
    <mergeCell ref="L78:N78"/>
    <mergeCell ref="I76:K76"/>
    <mergeCell ref="I75:K75"/>
    <mergeCell ref="B83:Q83"/>
    <mergeCell ref="B92:Q92"/>
    <mergeCell ref="O73:R73"/>
    <mergeCell ref="B85:Q85"/>
    <mergeCell ref="L79:N79"/>
    <mergeCell ref="B94:Q94"/>
    <mergeCell ref="G66:K66"/>
    <mergeCell ref="O77:R77"/>
    <mergeCell ref="L67:R67"/>
    <mergeCell ref="A63:F63"/>
    <mergeCell ref="G68:K68"/>
    <mergeCell ref="A68:F68"/>
    <mergeCell ref="B96:Q96"/>
    <mergeCell ref="L62:R62"/>
    <mergeCell ref="A82:R82"/>
    <mergeCell ref="O75:R75"/>
    <mergeCell ref="B98:Q98"/>
    <mergeCell ref="D73:H73"/>
    <mergeCell ref="A79:C79"/>
    <mergeCell ref="L75:N75"/>
    <mergeCell ref="L64:R64"/>
    <mergeCell ref="B88:Q88"/>
    <mergeCell ref="B99:E99"/>
    <mergeCell ref="A65:F65"/>
    <mergeCell ref="L63:R63"/>
    <mergeCell ref="A74:C74"/>
    <mergeCell ref="O76:R76"/>
    <mergeCell ref="A3:R3"/>
    <mergeCell ref="A76:C76"/>
    <mergeCell ref="D77:H77"/>
    <mergeCell ref="B91:Q91"/>
    <mergeCell ref="L66:R66"/>
    <mergeCell ref="A72:R72"/>
    <mergeCell ref="B93:Q93"/>
    <mergeCell ref="D78:H78"/>
    <mergeCell ref="A67:F67"/>
    <mergeCell ref="L68:R68"/>
    <mergeCell ref="B86:Q86"/>
    <mergeCell ref="I77:K77"/>
    <mergeCell ref="A60:R60"/>
    <mergeCell ref="A78:C78"/>
    <mergeCell ref="D79:H79"/>
    <mergeCell ref="A69:F69"/>
    <mergeCell ref="B87:Q87"/>
  </mergeCells>
  <dataValidations count="6">
    <dataValidation sqref="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formula1>
    </dataValidation>
    <dataValidation sqref="Q8 Q9 Q10 Q11 Q12 Q13 Q14 Q15 Q16 Q17 Q18 Q19 Q20 Q21 Q22 Q23 Q24 Q25 Q26 Q27 Q28 Q29 Q30 Q31 Q32 Q33 Q34 Q35 Q36 Q37 Q38 Q39 Q40 Q41 Q42 Q43 Q44 Q45 Q46 Q47 Q48 Q49 Q50 Q51 Q52 Q53 Q54 Q55 Q56 Q57 R84 R85 R86 R87 R88 R89 R90 R91 R92 R93 R94 R95 R96 R97 R98" showDropDown="0" showInputMessage="0" showErrorMessage="0" allowBlank="0" type="list">
      <formula1>"✅ Compliant,⚠️ Partial,❌ Non-Compliant,N/A"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"Volume,Response Time,Quality,Effectiveness,Workload"</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 Meeting Target,⚠️ Below Target,❌ Critical"</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"Improving,Stable,Declining"</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showDropDown="0" showInputMessage="0" showErrorMessage="0" allowBlank="0" type="list">
      <formula1>"Real-Time,Daily,Weekly,Monthly,Quarterly"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9"/>
  <sheetViews>
    <sheetView showGridLines="0" workbookViewId="0">
      <selection activeCell="A1" sqref="A1"/>
    </sheetView>
  </sheetViews>
  <sheetFormatPr baseColWidth="8" defaultRowHeight="15"/>
  <cols>
    <col width="28" customWidth="1" min="1" max="1"/>
    <col width="35" customWidth="1" min="2" max="2"/>
    <col width="35" customWidth="1" min="3" max="3"/>
    <col width="18" customWidth="1" min="4" max="4"/>
    <col width="30" customWidth="1" min="5" max="5"/>
    <col width="30" customWidth="1" min="6" max="6"/>
    <col width="25" customWidth="1" min="7" max="7"/>
    <col width="15" customWidth="1" min="8" max="8"/>
    <col width="30" customWidth="1" min="9" max="9"/>
    <col width="14" customWidth="1" min="10" max="10"/>
    <col width="20" customWidth="1" min="11" max="11"/>
    <col width="15" customWidth="1" min="12" max="12"/>
    <col width="25" customWidth="1" min="13" max="13"/>
    <col width="16" customWidth="1" min="14" max="14"/>
    <col width="14" customWidth="1" min="15" max="15"/>
    <col width="18" customWidth="1" min="16" max="16"/>
    <col width="25" customWidth="1" min="17" max="17"/>
  </cols>
  <sheetData>
    <row r="1" ht="35" customHeight="1">
      <c r="A1" s="11" t="inlineStr">
        <is>
          <t>5. SOC OPERATIONAL READINESS ASSESSMENT</t>
        </is>
      </c>
    </row>
    <row r="2">
      <c r="A2" s="12" t="inlineStr">
        <is>
          <t>Policy Reference: ISMS-POL-A.8.16-S3 - SOC operations</t>
        </is>
      </c>
    </row>
    <row r="3">
      <c r="A3" s="13" t="inlineStr">
        <is>
          <t>Is the SOC operationally ready with adequate staffing, training, tools, and procedures?</t>
        </is>
      </c>
    </row>
    <row r="6">
      <c r="A6" s="14" t="inlineStr">
        <is>
          <t>Readiness Area</t>
        </is>
      </c>
      <c r="B6" s="14" t="inlineStr">
        <is>
          <t>Requirement</t>
        </is>
      </c>
      <c r="C6" s="14" t="inlineStr">
        <is>
          <t>Current State</t>
        </is>
      </c>
      <c r="D6" s="14" t="inlineStr">
        <is>
          <t>Status</t>
        </is>
      </c>
      <c r="E6" s="14" t="inlineStr">
        <is>
          <t>Evidence</t>
        </is>
      </c>
      <c r="F6" s="14" t="inlineStr">
        <is>
          <t>Gap Description</t>
        </is>
      </c>
      <c r="G6" s="14" t="inlineStr">
        <is>
          <t>Business Impact</t>
        </is>
      </c>
      <c r="H6" s="14" t="inlineStr">
        <is>
          <t>Risk Level</t>
        </is>
      </c>
      <c r="I6" s="14" t="inlineStr">
        <is>
          <t>Remediation Plan</t>
        </is>
      </c>
      <c r="J6" s="14" t="inlineStr">
        <is>
          <t>Target Date</t>
        </is>
      </c>
      <c r="K6" s="14" t="inlineStr">
        <is>
          <t>Owner</t>
        </is>
      </c>
      <c r="L6" s="14" t="inlineStr">
        <is>
          <t>Budget Required</t>
        </is>
      </c>
      <c r="M6" s="14" t="inlineStr">
        <is>
          <t>Dependencies</t>
        </is>
      </c>
      <c r="N6" s="14" t="inlineStr">
        <is>
          <t>Status</t>
        </is>
      </c>
      <c r="O6" s="14" t="inlineStr">
        <is>
          <t>Last Updated</t>
        </is>
      </c>
      <c r="P6" s="14" t="inlineStr">
        <is>
          <t>Compliance Status</t>
        </is>
      </c>
      <c r="Q6" s="14" t="inlineStr">
        <is>
          <t>Notes</t>
        </is>
      </c>
    </row>
    <row r="7">
      <c r="A7" s="15" t="inlineStr">
        <is>
          <t>Staffing</t>
        </is>
      </c>
      <c r="B7" s="15" t="inlineStr">
        <is>
          <t>24/7 SOC coverage with Tier 1/2 analysts</t>
        </is>
      </c>
      <c r="C7" s="15" t="inlineStr">
        <is>
          <t>5 Tier 1, 3 Tier 2, 24/7 coverage</t>
        </is>
      </c>
      <c r="D7" s="15" t="inlineStr">
        <is>
          <t>✅ Adequate</t>
        </is>
      </c>
      <c r="E7" s="15" t="inlineStr">
        <is>
          <t>Shift rosters, staffing plan</t>
        </is>
      </c>
      <c r="F7" s="15" t="inlineStr">
        <is>
          <t>None</t>
        </is>
      </c>
      <c r="G7" s="15" t="inlineStr">
        <is>
          <t>N/A</t>
        </is>
      </c>
      <c r="H7" s="15" t="inlineStr">
        <is>
          <t>Low</t>
        </is>
      </c>
      <c r="I7" s="15" t="inlineStr">
        <is>
          <t>N/A</t>
        </is>
      </c>
      <c r="J7" s="15" t="inlineStr">
        <is>
          <t>N/A</t>
        </is>
      </c>
      <c r="K7" s="15" t="inlineStr">
        <is>
          <t>SOC Manager</t>
        </is>
      </c>
      <c r="L7" s="15" t="inlineStr">
        <is>
          <t>No</t>
        </is>
      </c>
      <c r="M7" s="15" t="inlineStr">
        <is>
          <t>None</t>
        </is>
      </c>
      <c r="N7" s="15" t="inlineStr">
        <is>
          <t>Complete</t>
        </is>
      </c>
      <c r="O7" s="15" t="inlineStr">
        <is>
          <t>01.01.2025</t>
        </is>
      </c>
      <c r="P7" s="15" t="inlineStr">
        <is>
          <t>✅ Compliant</t>
        </is>
      </c>
      <c r="Q7" s="15" t="inlineStr">
        <is>
          <t>Adequate staffing levels</t>
        </is>
      </c>
    </row>
    <row r="8">
      <c r="A8" s="16" t="n"/>
      <c r="B8" s="16" t="n"/>
      <c r="C8" s="16" t="n"/>
      <c r="D8" s="16" t="n"/>
      <c r="E8" s="16" t="n"/>
      <c r="F8" s="16" t="n"/>
      <c r="G8" s="16" t="n"/>
      <c r="H8" s="16" t="n"/>
      <c r="I8" s="16" t="n"/>
      <c r="J8" s="16" t="n"/>
      <c r="K8" s="16" t="n"/>
      <c r="L8" s="16" t="n"/>
      <c r="M8" s="16" t="n"/>
      <c r="N8" s="16" t="n"/>
      <c r="O8" s="16" t="n"/>
      <c r="P8" s="16" t="n"/>
      <c r="Q8" s="16" t="n"/>
    </row>
    <row r="9">
      <c r="A9" s="16" t="n"/>
      <c r="B9" s="16" t="n"/>
      <c r="C9" s="16" t="n"/>
      <c r="D9" s="16" t="n"/>
      <c r="E9" s="16" t="n"/>
      <c r="F9" s="16" t="n"/>
      <c r="G9" s="16" t="n"/>
      <c r="H9" s="16" t="n"/>
      <c r="I9" s="16" t="n"/>
      <c r="J9" s="16" t="n"/>
      <c r="K9" s="16" t="n"/>
      <c r="L9" s="16" t="n"/>
      <c r="M9" s="16" t="n"/>
      <c r="N9" s="16" t="n"/>
      <c r="O9" s="16" t="n"/>
      <c r="P9" s="16" t="n"/>
      <c r="Q9" s="16" t="n"/>
    </row>
    <row r="10">
      <c r="A10" s="16" t="n"/>
      <c r="B10" s="16" t="n"/>
      <c r="C10" s="16" t="n"/>
      <c r="D10" s="16" t="n"/>
      <c r="E10" s="16" t="n"/>
      <c r="F10" s="16" t="n"/>
      <c r="G10" s="16" t="n"/>
      <c r="H10" s="16" t="n"/>
      <c r="I10" s="16" t="n"/>
      <c r="J10" s="16" t="n"/>
      <c r="K10" s="16" t="n"/>
      <c r="L10" s="16" t="n"/>
      <c r="M10" s="16" t="n"/>
      <c r="N10" s="16" t="n"/>
      <c r="O10" s="16" t="n"/>
      <c r="P10" s="16" t="n"/>
      <c r="Q10" s="16" t="n"/>
    </row>
    <row r="11">
      <c r="A11" s="16" t="n"/>
      <c r="B11" s="16" t="n"/>
      <c r="C11" s="16" t="n"/>
      <c r="D11" s="16" t="n"/>
      <c r="E11" s="16" t="n"/>
      <c r="F11" s="16" t="n"/>
      <c r="G11" s="16" t="n"/>
      <c r="H11" s="16" t="n"/>
      <c r="I11" s="16" t="n"/>
      <c r="J11" s="16" t="n"/>
      <c r="K11" s="16" t="n"/>
      <c r="L11" s="16" t="n"/>
      <c r="M11" s="16" t="n"/>
      <c r="N11" s="16" t="n"/>
      <c r="O11" s="16" t="n"/>
      <c r="P11" s="16" t="n"/>
      <c r="Q11" s="16" t="n"/>
    </row>
    <row r="12">
      <c r="A12" s="16" t="n"/>
      <c r="B12" s="16" t="n"/>
      <c r="C12" s="16" t="n"/>
      <c r="D12" s="16" t="n"/>
      <c r="E12" s="16" t="n"/>
      <c r="F12" s="16" t="n"/>
      <c r="G12" s="16" t="n"/>
      <c r="H12" s="16" t="n"/>
      <c r="I12" s="16" t="n"/>
      <c r="J12" s="16" t="n"/>
      <c r="K12" s="16" t="n"/>
      <c r="L12" s="16" t="n"/>
      <c r="M12" s="16" t="n"/>
      <c r="N12" s="16" t="n"/>
      <c r="O12" s="16" t="n"/>
      <c r="P12" s="16" t="n"/>
      <c r="Q12" s="16" t="n"/>
    </row>
    <row r="13">
      <c r="A13" s="16" t="n"/>
      <c r="B13" s="16" t="n"/>
      <c r="C13" s="16" t="n"/>
      <c r="D13" s="16" t="n"/>
      <c r="E13" s="16" t="n"/>
      <c r="F13" s="16" t="n"/>
      <c r="G13" s="16" t="n"/>
      <c r="H13" s="16" t="n"/>
      <c r="I13" s="16" t="n"/>
      <c r="J13" s="16" t="n"/>
      <c r="K13" s="16" t="n"/>
      <c r="L13" s="16" t="n"/>
      <c r="M13" s="16" t="n"/>
      <c r="N13" s="16" t="n"/>
      <c r="O13" s="16" t="n"/>
      <c r="P13" s="16" t="n"/>
      <c r="Q13" s="16" t="n"/>
    </row>
    <row r="14">
      <c r="A14" s="16" t="n"/>
      <c r="B14" s="16" t="n"/>
      <c r="C14" s="16" t="n"/>
      <c r="D14" s="16" t="n"/>
      <c r="E14" s="16" t="n"/>
      <c r="F14" s="16" t="n"/>
      <c r="G14" s="16" t="n"/>
      <c r="H14" s="16" t="n"/>
      <c r="I14" s="16" t="n"/>
      <c r="J14" s="16" t="n"/>
      <c r="K14" s="16" t="n"/>
      <c r="L14" s="16" t="n"/>
      <c r="M14" s="16" t="n"/>
      <c r="N14" s="16" t="n"/>
      <c r="O14" s="16" t="n"/>
      <c r="P14" s="16" t="n"/>
      <c r="Q14" s="16" t="n"/>
    </row>
    <row r="15">
      <c r="A15" s="16" t="n"/>
      <c r="B15" s="16" t="n"/>
      <c r="C15" s="16" t="n"/>
      <c r="D15" s="16" t="n"/>
      <c r="E15" s="16" t="n"/>
      <c r="F15" s="16" t="n"/>
      <c r="G15" s="16" t="n"/>
      <c r="H15" s="16" t="n"/>
      <c r="I15" s="16" t="n"/>
      <c r="J15" s="16" t="n"/>
      <c r="K15" s="16" t="n"/>
      <c r="L15" s="16" t="n"/>
      <c r="M15" s="16" t="n"/>
      <c r="N15" s="16" t="n"/>
      <c r="O15" s="16" t="n"/>
      <c r="P15" s="16" t="n"/>
      <c r="Q15" s="16" t="n"/>
    </row>
    <row r="16">
      <c r="A16" s="16" t="n"/>
      <c r="B16" s="16" t="n"/>
      <c r="C16" s="16" t="n"/>
      <c r="D16" s="16" t="n"/>
      <c r="E16" s="16" t="n"/>
      <c r="F16" s="16" t="n"/>
      <c r="G16" s="16" t="n"/>
      <c r="H16" s="16" t="n"/>
      <c r="I16" s="16" t="n"/>
      <c r="J16" s="16" t="n"/>
      <c r="K16" s="16" t="n"/>
      <c r="L16" s="16" t="n"/>
      <c r="M16" s="16" t="n"/>
      <c r="N16" s="16" t="n"/>
      <c r="O16" s="16" t="n"/>
      <c r="P16" s="16" t="n"/>
      <c r="Q16" s="16" t="n"/>
    </row>
    <row r="17">
      <c r="A17" s="16" t="n"/>
      <c r="B17" s="16" t="n"/>
      <c r="C17" s="16" t="n"/>
      <c r="D17" s="16" t="n"/>
      <c r="E17" s="16" t="n"/>
      <c r="F17" s="16" t="n"/>
      <c r="G17" s="16" t="n"/>
      <c r="H17" s="16" t="n"/>
      <c r="I17" s="16" t="n"/>
      <c r="J17" s="16" t="n"/>
      <c r="K17" s="16" t="n"/>
      <c r="L17" s="16" t="n"/>
      <c r="M17" s="16" t="n"/>
      <c r="N17" s="16" t="n"/>
      <c r="O17" s="16" t="n"/>
      <c r="P17" s="16" t="n"/>
      <c r="Q17" s="16" t="n"/>
    </row>
    <row r="18">
      <c r="A18" s="16" t="n"/>
      <c r="B18" s="16" t="n"/>
      <c r="C18" s="16" t="n"/>
      <c r="D18" s="16" t="n"/>
      <c r="E18" s="16" t="n"/>
      <c r="F18" s="16" t="n"/>
      <c r="G18" s="16" t="n"/>
      <c r="H18" s="16" t="n"/>
      <c r="I18" s="16" t="n"/>
      <c r="J18" s="16" t="n"/>
      <c r="K18" s="16" t="n"/>
      <c r="L18" s="16" t="n"/>
      <c r="M18" s="16" t="n"/>
      <c r="N18" s="16" t="n"/>
      <c r="O18" s="16" t="n"/>
      <c r="P18" s="16" t="n"/>
      <c r="Q18" s="16" t="n"/>
    </row>
    <row r="19">
      <c r="A19" s="16" t="n"/>
      <c r="B19" s="16" t="n"/>
      <c r="C19" s="16" t="n"/>
      <c r="D19" s="16" t="n"/>
      <c r="E19" s="16" t="n"/>
      <c r="F19" s="16" t="n"/>
      <c r="G19" s="16" t="n"/>
      <c r="H19" s="16" t="n"/>
      <c r="I19" s="16" t="n"/>
      <c r="J19" s="16" t="n"/>
      <c r="K19" s="16" t="n"/>
      <c r="L19" s="16" t="n"/>
      <c r="M19" s="16" t="n"/>
      <c r="N19" s="16" t="n"/>
      <c r="O19" s="16" t="n"/>
      <c r="P19" s="16" t="n"/>
      <c r="Q19" s="16" t="n"/>
    </row>
    <row r="20">
      <c r="A20" s="16" t="n"/>
      <c r="B20" s="16" t="n"/>
      <c r="C20" s="16" t="n"/>
      <c r="D20" s="16" t="n"/>
      <c r="E20" s="16" t="n"/>
      <c r="F20" s="16" t="n"/>
      <c r="G20" s="16" t="n"/>
      <c r="H20" s="16" t="n"/>
      <c r="I20" s="16" t="n"/>
      <c r="J20" s="16" t="n"/>
      <c r="K20" s="16" t="n"/>
      <c r="L20" s="16" t="n"/>
      <c r="M20" s="16" t="n"/>
      <c r="N20" s="16" t="n"/>
      <c r="O20" s="16" t="n"/>
      <c r="P20" s="16" t="n"/>
      <c r="Q20" s="16" t="n"/>
    </row>
    <row r="21">
      <c r="A21" s="16" t="n"/>
      <c r="B21" s="16" t="n"/>
      <c r="C21" s="16" t="n"/>
      <c r="D21" s="16" t="n"/>
      <c r="E21" s="16" t="n"/>
      <c r="F21" s="16" t="n"/>
      <c r="G21" s="16" t="n"/>
      <c r="H21" s="16" t="n"/>
      <c r="I21" s="16" t="n"/>
      <c r="J21" s="16" t="n"/>
      <c r="K21" s="16" t="n"/>
      <c r="L21" s="16" t="n"/>
      <c r="M21" s="16" t="n"/>
      <c r="N21" s="16" t="n"/>
      <c r="O21" s="16" t="n"/>
      <c r="P21" s="16" t="n"/>
      <c r="Q21" s="16" t="n"/>
    </row>
    <row r="22">
      <c r="A22" s="16" t="n"/>
      <c r="B22" s="16" t="n"/>
      <c r="C22" s="16" t="n"/>
      <c r="D22" s="16" t="n"/>
      <c r="E22" s="16" t="n"/>
      <c r="F22" s="16" t="n"/>
      <c r="G22" s="16" t="n"/>
      <c r="H22" s="16" t="n"/>
      <c r="I22" s="16" t="n"/>
      <c r="J22" s="16" t="n"/>
      <c r="K22" s="16" t="n"/>
      <c r="L22" s="16" t="n"/>
      <c r="M22" s="16" t="n"/>
      <c r="N22" s="16" t="n"/>
      <c r="O22" s="16" t="n"/>
      <c r="P22" s="16" t="n"/>
      <c r="Q22" s="16" t="n"/>
    </row>
    <row r="23">
      <c r="A23" s="16" t="n"/>
      <c r="B23" s="16" t="n"/>
      <c r="C23" s="16" t="n"/>
      <c r="D23" s="16" t="n"/>
      <c r="E23" s="16" t="n"/>
      <c r="F23" s="16" t="n"/>
      <c r="G23" s="16" t="n"/>
      <c r="H23" s="16" t="n"/>
      <c r="I23" s="16" t="n"/>
      <c r="J23" s="16" t="n"/>
      <c r="K23" s="16" t="n"/>
      <c r="L23" s="16" t="n"/>
      <c r="M23" s="16" t="n"/>
      <c r="N23" s="16" t="n"/>
      <c r="O23" s="16" t="n"/>
      <c r="P23" s="16" t="n"/>
      <c r="Q23" s="16" t="n"/>
    </row>
    <row r="24">
      <c r="A24" s="16" t="n"/>
      <c r="B24" s="16" t="n"/>
      <c r="C24" s="16" t="n"/>
      <c r="D24" s="16" t="n"/>
      <c r="E24" s="16" t="n"/>
      <c r="F24" s="16" t="n"/>
      <c r="G24" s="16" t="n"/>
      <c r="H24" s="16" t="n"/>
      <c r="I24" s="16" t="n"/>
      <c r="J24" s="16" t="n"/>
      <c r="K24" s="16" t="n"/>
      <c r="L24" s="16" t="n"/>
      <c r="M24" s="16" t="n"/>
      <c r="N24" s="16" t="n"/>
      <c r="O24" s="16" t="n"/>
      <c r="P24" s="16" t="n"/>
      <c r="Q24" s="16" t="n"/>
    </row>
    <row r="25">
      <c r="A25" s="16" t="n"/>
      <c r="B25" s="16" t="n"/>
      <c r="C25" s="16" t="n"/>
      <c r="D25" s="16" t="n"/>
      <c r="E25" s="16" t="n"/>
      <c r="F25" s="16" t="n"/>
      <c r="G25" s="16" t="n"/>
      <c r="H25" s="16" t="n"/>
      <c r="I25" s="16" t="n"/>
      <c r="J25" s="16" t="n"/>
      <c r="K25" s="16" t="n"/>
      <c r="L25" s="16" t="n"/>
      <c r="M25" s="16" t="n"/>
      <c r="N25" s="16" t="n"/>
      <c r="O25" s="16" t="n"/>
      <c r="P25" s="16" t="n"/>
      <c r="Q25" s="16" t="n"/>
    </row>
    <row r="26">
      <c r="A26" s="16" t="n"/>
      <c r="B26" s="16" t="n"/>
      <c r="C26" s="16" t="n"/>
      <c r="D26" s="16" t="n"/>
      <c r="E26" s="16" t="n"/>
      <c r="F26" s="16" t="n"/>
      <c r="G26" s="16" t="n"/>
      <c r="H26" s="16" t="n"/>
      <c r="I26" s="16" t="n"/>
      <c r="J26" s="16" t="n"/>
      <c r="K26" s="16" t="n"/>
      <c r="L26" s="16" t="n"/>
      <c r="M26" s="16" t="n"/>
      <c r="N26" s="16" t="n"/>
      <c r="O26" s="16" t="n"/>
      <c r="P26" s="16" t="n"/>
      <c r="Q26" s="16" t="n"/>
    </row>
    <row r="27">
      <c r="A27" s="16" t="n"/>
      <c r="B27" s="16" t="n"/>
      <c r="C27" s="16" t="n"/>
      <c r="D27" s="16" t="n"/>
      <c r="E27" s="16" t="n"/>
      <c r="F27" s="16" t="n"/>
      <c r="G27" s="16" t="n"/>
      <c r="H27" s="16" t="n"/>
      <c r="I27" s="16" t="n"/>
      <c r="J27" s="16" t="n"/>
      <c r="K27" s="16" t="n"/>
      <c r="L27" s="16" t="n"/>
      <c r="M27" s="16" t="n"/>
      <c r="N27" s="16" t="n"/>
      <c r="O27" s="16" t="n"/>
      <c r="P27" s="16" t="n"/>
      <c r="Q27" s="16" t="n"/>
    </row>
    <row r="28">
      <c r="A28" s="16" t="n"/>
      <c r="B28" s="16" t="n"/>
      <c r="C28" s="16" t="n"/>
      <c r="D28" s="16" t="n"/>
      <c r="E28" s="16" t="n"/>
      <c r="F28" s="16" t="n"/>
      <c r="G28" s="16" t="n"/>
      <c r="H28" s="16" t="n"/>
      <c r="I28" s="16" t="n"/>
      <c r="J28" s="16" t="n"/>
      <c r="K28" s="16" t="n"/>
      <c r="L28" s="16" t="n"/>
      <c r="M28" s="16" t="n"/>
      <c r="N28" s="16" t="n"/>
      <c r="O28" s="16" t="n"/>
      <c r="P28" s="16" t="n"/>
      <c r="Q28" s="16" t="n"/>
    </row>
    <row r="29">
      <c r="A29" s="16" t="n"/>
      <c r="B29" s="16" t="n"/>
      <c r="C29" s="16" t="n"/>
      <c r="D29" s="16" t="n"/>
      <c r="E29" s="16" t="n"/>
      <c r="F29" s="16" t="n"/>
      <c r="G29" s="16" t="n"/>
      <c r="H29" s="16" t="n"/>
      <c r="I29" s="16" t="n"/>
      <c r="J29" s="16" t="n"/>
      <c r="K29" s="16" t="n"/>
      <c r="L29" s="16" t="n"/>
      <c r="M29" s="16" t="n"/>
      <c r="N29" s="16" t="n"/>
      <c r="O29" s="16" t="n"/>
      <c r="P29" s="16" t="n"/>
      <c r="Q29" s="16" t="n"/>
    </row>
    <row r="30">
      <c r="A30" s="16" t="n"/>
      <c r="B30" s="16" t="n"/>
      <c r="C30" s="16" t="n"/>
      <c r="D30" s="16" t="n"/>
      <c r="E30" s="16" t="n"/>
      <c r="F30" s="16" t="n"/>
      <c r="G30" s="16" t="n"/>
      <c r="H30" s="16" t="n"/>
      <c r="I30" s="16" t="n"/>
      <c r="J30" s="16" t="n"/>
      <c r="K30" s="16" t="n"/>
      <c r="L30" s="16" t="n"/>
      <c r="M30" s="16" t="n"/>
      <c r="N30" s="16" t="n"/>
      <c r="O30" s="16" t="n"/>
      <c r="P30" s="16" t="n"/>
      <c r="Q30" s="16" t="n"/>
    </row>
    <row r="31">
      <c r="A31" s="16" t="n"/>
      <c r="B31" s="16" t="n"/>
      <c r="C31" s="16" t="n"/>
      <c r="D31" s="16" t="n"/>
      <c r="E31" s="16" t="n"/>
      <c r="F31" s="16" t="n"/>
      <c r="G31" s="16" t="n"/>
      <c r="H31" s="16" t="n"/>
      <c r="I31" s="16" t="n"/>
      <c r="J31" s="16" t="n"/>
      <c r="K31" s="16" t="n"/>
      <c r="L31" s="16" t="n"/>
      <c r="M31" s="16" t="n"/>
      <c r="N31" s="16" t="n"/>
      <c r="O31" s="16" t="n"/>
      <c r="P31" s="16" t="n"/>
      <c r="Q31" s="16" t="n"/>
    </row>
    <row r="32">
      <c r="A32" s="16" t="n"/>
      <c r="B32" s="16" t="n"/>
      <c r="C32" s="16" t="n"/>
      <c r="D32" s="16" t="n"/>
      <c r="E32" s="16" t="n"/>
      <c r="F32" s="16" t="n"/>
      <c r="G32" s="16" t="n"/>
      <c r="H32" s="16" t="n"/>
      <c r="I32" s="16" t="n"/>
      <c r="J32" s="16" t="n"/>
      <c r="K32" s="16" t="n"/>
      <c r="L32" s="16" t="n"/>
      <c r="M32" s="16" t="n"/>
      <c r="N32" s="16" t="n"/>
      <c r="O32" s="16" t="n"/>
      <c r="P32" s="16" t="n"/>
      <c r="Q32" s="16" t="n"/>
    </row>
    <row r="33">
      <c r="A33" s="16" t="n"/>
      <c r="B33" s="16" t="n"/>
      <c r="C33" s="16" t="n"/>
      <c r="D33" s="16" t="n"/>
      <c r="E33" s="16" t="n"/>
      <c r="F33" s="16" t="n"/>
      <c r="G33" s="16" t="n"/>
      <c r="H33" s="16" t="n"/>
      <c r="I33" s="16" t="n"/>
      <c r="J33" s="16" t="n"/>
      <c r="K33" s="16" t="n"/>
      <c r="L33" s="16" t="n"/>
      <c r="M33" s="16" t="n"/>
      <c r="N33" s="16" t="n"/>
      <c r="O33" s="16" t="n"/>
      <c r="P33" s="16" t="n"/>
      <c r="Q33" s="16" t="n"/>
    </row>
    <row r="34">
      <c r="A34" s="16" t="n"/>
      <c r="B34" s="16" t="n"/>
      <c r="C34" s="16" t="n"/>
      <c r="D34" s="16" t="n"/>
      <c r="E34" s="16" t="n"/>
      <c r="F34" s="16" t="n"/>
      <c r="G34" s="16" t="n"/>
      <c r="H34" s="16" t="n"/>
      <c r="I34" s="16" t="n"/>
      <c r="J34" s="16" t="n"/>
      <c r="K34" s="16" t="n"/>
      <c r="L34" s="16" t="n"/>
      <c r="M34" s="16" t="n"/>
      <c r="N34" s="16" t="n"/>
      <c r="O34" s="16" t="n"/>
      <c r="P34" s="16" t="n"/>
      <c r="Q34" s="16" t="n"/>
    </row>
    <row r="35">
      <c r="A35" s="16" t="n"/>
      <c r="B35" s="16" t="n"/>
      <c r="C35" s="16" t="n"/>
      <c r="D35" s="16" t="n"/>
      <c r="E35" s="16" t="n"/>
      <c r="F35" s="16" t="n"/>
      <c r="G35" s="16" t="n"/>
      <c r="H35" s="16" t="n"/>
      <c r="I35" s="16" t="n"/>
      <c r="J35" s="16" t="n"/>
      <c r="K35" s="16" t="n"/>
      <c r="L35" s="16" t="n"/>
      <c r="M35" s="16" t="n"/>
      <c r="N35" s="16" t="n"/>
      <c r="O35" s="16" t="n"/>
      <c r="P35" s="16" t="n"/>
      <c r="Q35" s="16" t="n"/>
    </row>
    <row r="36">
      <c r="A36" s="16" t="n"/>
      <c r="B36" s="16" t="n"/>
      <c r="C36" s="16" t="n"/>
      <c r="D36" s="16" t="n"/>
      <c r="E36" s="16" t="n"/>
      <c r="F36" s="16" t="n"/>
      <c r="G36" s="16" t="n"/>
      <c r="H36" s="16" t="n"/>
      <c r="I36" s="16" t="n"/>
      <c r="J36" s="16" t="n"/>
      <c r="K36" s="16" t="n"/>
      <c r="L36" s="16" t="n"/>
      <c r="M36" s="16" t="n"/>
      <c r="N36" s="16" t="n"/>
      <c r="O36" s="16" t="n"/>
      <c r="P36" s="16" t="n"/>
      <c r="Q36" s="16" t="n"/>
    </row>
    <row r="37">
      <c r="A37" s="16" t="n"/>
      <c r="B37" s="16" t="n"/>
      <c r="C37" s="16" t="n"/>
      <c r="D37" s="16" t="n"/>
      <c r="E37" s="16" t="n"/>
      <c r="F37" s="16" t="n"/>
      <c r="G37" s="16" t="n"/>
      <c r="H37" s="16" t="n"/>
      <c r="I37" s="16" t="n"/>
      <c r="J37" s="16" t="n"/>
      <c r="K37" s="16" t="n"/>
      <c r="L37" s="16" t="n"/>
      <c r="M37" s="16" t="n"/>
      <c r="N37" s="16" t="n"/>
      <c r="O37" s="16" t="n"/>
      <c r="P37" s="16" t="n"/>
      <c r="Q37" s="16" t="n"/>
    </row>
    <row r="38">
      <c r="A38" s="16" t="n"/>
      <c r="B38" s="16" t="n"/>
      <c r="C38" s="16" t="n"/>
      <c r="D38" s="16" t="n"/>
      <c r="E38" s="16" t="n"/>
      <c r="F38" s="16" t="n"/>
      <c r="G38" s="16" t="n"/>
      <c r="H38" s="16" t="n"/>
      <c r="I38" s="16" t="n"/>
      <c r="J38" s="16" t="n"/>
      <c r="K38" s="16" t="n"/>
      <c r="L38" s="16" t="n"/>
      <c r="M38" s="16" t="n"/>
      <c r="N38" s="16" t="n"/>
      <c r="O38" s="16" t="n"/>
      <c r="P38" s="16" t="n"/>
      <c r="Q38" s="16" t="n"/>
    </row>
    <row r="39">
      <c r="A39" s="16" t="n"/>
      <c r="B39" s="16" t="n"/>
      <c r="C39" s="16" t="n"/>
      <c r="D39" s="16" t="n"/>
      <c r="E39" s="16" t="n"/>
      <c r="F39" s="16" t="n"/>
      <c r="G39" s="16" t="n"/>
      <c r="H39" s="16" t="n"/>
      <c r="I39" s="16" t="n"/>
      <c r="J39" s="16" t="n"/>
      <c r="K39" s="16" t="n"/>
      <c r="L39" s="16" t="n"/>
      <c r="M39" s="16" t="n"/>
      <c r="N39" s="16" t="n"/>
      <c r="O39" s="16" t="n"/>
      <c r="P39" s="16" t="n"/>
      <c r="Q39" s="16" t="n"/>
    </row>
    <row r="40">
      <c r="A40" s="16" t="n"/>
      <c r="B40" s="16" t="n"/>
      <c r="C40" s="16" t="n"/>
      <c r="D40" s="16" t="n"/>
      <c r="E40" s="16" t="n"/>
      <c r="F40" s="16" t="n"/>
      <c r="G40" s="16" t="n"/>
      <c r="H40" s="16" t="n"/>
      <c r="I40" s="16" t="n"/>
      <c r="J40" s="16" t="n"/>
      <c r="K40" s="16" t="n"/>
      <c r="L40" s="16" t="n"/>
      <c r="M40" s="16" t="n"/>
      <c r="N40" s="16" t="n"/>
      <c r="O40" s="16" t="n"/>
      <c r="P40" s="16" t="n"/>
      <c r="Q40" s="16" t="n"/>
    </row>
    <row r="41">
      <c r="A41" s="16" t="n"/>
      <c r="B41" s="16" t="n"/>
      <c r="C41" s="16" t="n"/>
      <c r="D41" s="16" t="n"/>
      <c r="E41" s="16" t="n"/>
      <c r="F41" s="16" t="n"/>
      <c r="G41" s="16" t="n"/>
      <c r="H41" s="16" t="n"/>
      <c r="I41" s="16" t="n"/>
      <c r="J41" s="16" t="n"/>
      <c r="K41" s="16" t="n"/>
      <c r="L41" s="16" t="n"/>
      <c r="M41" s="16" t="n"/>
      <c r="N41" s="16" t="n"/>
      <c r="O41" s="16" t="n"/>
      <c r="P41" s="16" t="n"/>
      <c r="Q41" s="16" t="n"/>
    </row>
    <row r="42">
      <c r="A42" s="16" t="n"/>
      <c r="B42" s="16" t="n"/>
      <c r="C42" s="16" t="n"/>
      <c r="D42" s="16" t="n"/>
      <c r="E42" s="16" t="n"/>
      <c r="F42" s="16" t="n"/>
      <c r="G42" s="16" t="n"/>
      <c r="H42" s="16" t="n"/>
      <c r="I42" s="16" t="n"/>
      <c r="J42" s="16" t="n"/>
      <c r="K42" s="16" t="n"/>
      <c r="L42" s="16" t="n"/>
      <c r="M42" s="16" t="n"/>
      <c r="N42" s="16" t="n"/>
      <c r="O42" s="16" t="n"/>
      <c r="P42" s="16" t="n"/>
      <c r="Q42" s="16" t="n"/>
    </row>
    <row r="43">
      <c r="A43" s="16" t="n"/>
      <c r="B43" s="16" t="n"/>
      <c r="C43" s="16" t="n"/>
      <c r="D43" s="16" t="n"/>
      <c r="E43" s="16" t="n"/>
      <c r="F43" s="16" t="n"/>
      <c r="G43" s="16" t="n"/>
      <c r="H43" s="16" t="n"/>
      <c r="I43" s="16" t="n"/>
      <c r="J43" s="16" t="n"/>
      <c r="K43" s="16" t="n"/>
      <c r="L43" s="16" t="n"/>
      <c r="M43" s="16" t="n"/>
      <c r="N43" s="16" t="n"/>
      <c r="O43" s="16" t="n"/>
      <c r="P43" s="16" t="n"/>
      <c r="Q43" s="16" t="n"/>
    </row>
    <row r="44">
      <c r="A44" s="16" t="n"/>
      <c r="B44" s="16" t="n"/>
      <c r="C44" s="16" t="n"/>
      <c r="D44" s="16" t="n"/>
      <c r="E44" s="16" t="n"/>
      <c r="F44" s="16" t="n"/>
      <c r="G44" s="16" t="n"/>
      <c r="H44" s="16" t="n"/>
      <c r="I44" s="16" t="n"/>
      <c r="J44" s="16" t="n"/>
      <c r="K44" s="16" t="n"/>
      <c r="L44" s="16" t="n"/>
      <c r="M44" s="16" t="n"/>
      <c r="N44" s="16" t="n"/>
      <c r="O44" s="16" t="n"/>
      <c r="P44" s="16" t="n"/>
      <c r="Q44" s="16" t="n"/>
    </row>
    <row r="45">
      <c r="A45" s="16" t="n"/>
      <c r="B45" s="16" t="n"/>
      <c r="C45" s="16" t="n"/>
      <c r="D45" s="16" t="n"/>
      <c r="E45" s="16" t="n"/>
      <c r="F45" s="16" t="n"/>
      <c r="G45" s="16" t="n"/>
      <c r="H45" s="16" t="n"/>
      <c r="I45" s="16" t="n"/>
      <c r="J45" s="16" t="n"/>
      <c r="K45" s="16" t="n"/>
      <c r="L45" s="16" t="n"/>
      <c r="M45" s="16" t="n"/>
      <c r="N45" s="16" t="n"/>
      <c r="O45" s="16" t="n"/>
      <c r="P45" s="16" t="n"/>
      <c r="Q45" s="16" t="n"/>
    </row>
    <row r="46">
      <c r="A46" s="16" t="n"/>
      <c r="B46" s="16" t="n"/>
      <c r="C46" s="16" t="n"/>
      <c r="D46" s="16" t="n"/>
      <c r="E46" s="16" t="n"/>
      <c r="F46" s="16" t="n"/>
      <c r="G46" s="16" t="n"/>
      <c r="H46" s="16" t="n"/>
      <c r="I46" s="16" t="n"/>
      <c r="J46" s="16" t="n"/>
      <c r="K46" s="16" t="n"/>
      <c r="L46" s="16" t="n"/>
      <c r="M46" s="16" t="n"/>
      <c r="N46" s="16" t="n"/>
      <c r="O46" s="16" t="n"/>
      <c r="P46" s="16" t="n"/>
      <c r="Q46" s="16" t="n"/>
    </row>
    <row r="47">
      <c r="A47" s="16" t="n"/>
      <c r="B47" s="16" t="n"/>
      <c r="C47" s="16" t="n"/>
      <c r="D47" s="16" t="n"/>
      <c r="E47" s="16" t="n"/>
      <c r="F47" s="16" t="n"/>
      <c r="G47" s="16" t="n"/>
      <c r="H47" s="16" t="n"/>
      <c r="I47" s="16" t="n"/>
      <c r="J47" s="16" t="n"/>
      <c r="K47" s="16" t="n"/>
      <c r="L47" s="16" t="n"/>
      <c r="M47" s="16" t="n"/>
      <c r="N47" s="16" t="n"/>
      <c r="O47" s="16" t="n"/>
      <c r="P47" s="16" t="n"/>
      <c r="Q47" s="16" t="n"/>
    </row>
    <row r="48">
      <c r="A48" s="16" t="n"/>
      <c r="B48" s="16" t="n"/>
      <c r="C48" s="16" t="n"/>
      <c r="D48" s="16" t="n"/>
      <c r="E48" s="16" t="n"/>
      <c r="F48" s="16" t="n"/>
      <c r="G48" s="16" t="n"/>
      <c r="H48" s="16" t="n"/>
      <c r="I48" s="16" t="n"/>
      <c r="J48" s="16" t="n"/>
      <c r="K48" s="16" t="n"/>
      <c r="L48" s="16" t="n"/>
      <c r="M48" s="16" t="n"/>
      <c r="N48" s="16" t="n"/>
      <c r="O48" s="16" t="n"/>
      <c r="P48" s="16" t="n"/>
      <c r="Q48" s="16" t="n"/>
    </row>
    <row r="49">
      <c r="A49" s="16" t="n"/>
      <c r="B49" s="16" t="n"/>
      <c r="C49" s="16" t="n"/>
      <c r="D49" s="16" t="n"/>
      <c r="E49" s="16" t="n"/>
      <c r="F49" s="16" t="n"/>
      <c r="G49" s="16" t="n"/>
      <c r="H49" s="16" t="n"/>
      <c r="I49" s="16" t="n"/>
      <c r="J49" s="16" t="n"/>
      <c r="K49" s="16" t="n"/>
      <c r="L49" s="16" t="n"/>
      <c r="M49" s="16" t="n"/>
      <c r="N49" s="16" t="n"/>
      <c r="O49" s="16" t="n"/>
      <c r="P49" s="16" t="n"/>
      <c r="Q49" s="16" t="n"/>
    </row>
    <row r="50">
      <c r="A50" s="16" t="n"/>
      <c r="B50" s="16" t="n"/>
      <c r="C50" s="16" t="n"/>
      <c r="D50" s="16" t="n"/>
      <c r="E50" s="16" t="n"/>
      <c r="F50" s="16" t="n"/>
      <c r="G50" s="16" t="n"/>
      <c r="H50" s="16" t="n"/>
      <c r="I50" s="16" t="n"/>
      <c r="J50" s="16" t="n"/>
      <c r="K50" s="16" t="n"/>
      <c r="L50" s="16" t="n"/>
      <c r="M50" s="16" t="n"/>
      <c r="N50" s="16" t="n"/>
      <c r="O50" s="16" t="n"/>
      <c r="P50" s="16" t="n"/>
      <c r="Q50" s="16" t="n"/>
    </row>
    <row r="51">
      <c r="A51" s="16" t="n"/>
      <c r="B51" s="16" t="n"/>
      <c r="C51" s="16" t="n"/>
      <c r="D51" s="16" t="n"/>
      <c r="E51" s="16" t="n"/>
      <c r="F51" s="16" t="n"/>
      <c r="G51" s="16" t="n"/>
      <c r="H51" s="16" t="n"/>
      <c r="I51" s="16" t="n"/>
      <c r="J51" s="16" t="n"/>
      <c r="K51" s="16" t="n"/>
      <c r="L51" s="16" t="n"/>
      <c r="M51" s="16" t="n"/>
      <c r="N51" s="16" t="n"/>
      <c r="O51" s="16" t="n"/>
      <c r="P51" s="16" t="n"/>
      <c r="Q51" s="16" t="n"/>
    </row>
    <row r="52">
      <c r="A52" s="16" t="n"/>
      <c r="B52" s="16" t="n"/>
      <c r="C52" s="16" t="n"/>
      <c r="D52" s="16" t="n"/>
      <c r="E52" s="16" t="n"/>
      <c r="F52" s="16" t="n"/>
      <c r="G52" s="16" t="n"/>
      <c r="H52" s="16" t="n"/>
      <c r="I52" s="16" t="n"/>
      <c r="J52" s="16" t="n"/>
      <c r="K52" s="16" t="n"/>
      <c r="L52" s="16" t="n"/>
      <c r="M52" s="16" t="n"/>
      <c r="N52" s="16" t="n"/>
      <c r="O52" s="16" t="n"/>
      <c r="P52" s="16" t="n"/>
      <c r="Q52" s="16" t="n"/>
    </row>
    <row r="53">
      <c r="A53" s="16" t="n"/>
      <c r="B53" s="16" t="n"/>
      <c r="C53" s="16" t="n"/>
      <c r="D53" s="16" t="n"/>
      <c r="E53" s="16" t="n"/>
      <c r="F53" s="16" t="n"/>
      <c r="G53" s="16" t="n"/>
      <c r="H53" s="16" t="n"/>
      <c r="I53" s="16" t="n"/>
      <c r="J53" s="16" t="n"/>
      <c r="K53" s="16" t="n"/>
      <c r="L53" s="16" t="n"/>
      <c r="M53" s="16" t="n"/>
      <c r="N53" s="16" t="n"/>
      <c r="O53" s="16" t="n"/>
      <c r="P53" s="16" t="n"/>
      <c r="Q53" s="16" t="n"/>
    </row>
    <row r="54">
      <c r="A54" s="16" t="n"/>
      <c r="B54" s="16" t="n"/>
      <c r="C54" s="16" t="n"/>
      <c r="D54" s="16" t="n"/>
      <c r="E54" s="16" t="n"/>
      <c r="F54" s="16" t="n"/>
      <c r="G54" s="16" t="n"/>
      <c r="H54" s="16" t="n"/>
      <c r="I54" s="16" t="n"/>
      <c r="J54" s="16" t="n"/>
      <c r="K54" s="16" t="n"/>
      <c r="L54" s="16" t="n"/>
      <c r="M54" s="16" t="n"/>
      <c r="N54" s="16" t="n"/>
      <c r="O54" s="16" t="n"/>
      <c r="P54" s="16" t="n"/>
      <c r="Q54" s="16" t="n"/>
    </row>
    <row r="55">
      <c r="A55" s="16" t="n"/>
      <c r="B55" s="16" t="n"/>
      <c r="C55" s="16" t="n"/>
      <c r="D55" s="16" t="n"/>
      <c r="E55" s="16" t="n"/>
      <c r="F55" s="16" t="n"/>
      <c r="G55" s="16" t="n"/>
      <c r="H55" s="16" t="n"/>
      <c r="I55" s="16" t="n"/>
      <c r="J55" s="16" t="n"/>
      <c r="K55" s="16" t="n"/>
      <c r="L55" s="16" t="n"/>
      <c r="M55" s="16" t="n"/>
      <c r="N55" s="16" t="n"/>
      <c r="O55" s="16" t="n"/>
      <c r="P55" s="16" t="n"/>
      <c r="Q55" s="16" t="n"/>
    </row>
    <row r="56">
      <c r="A56" s="16" t="n"/>
      <c r="B56" s="16" t="n"/>
      <c r="C56" s="16" t="n"/>
      <c r="D56" s="16" t="n"/>
      <c r="E56" s="16" t="n"/>
      <c r="F56" s="16" t="n"/>
      <c r="G56" s="16" t="n"/>
      <c r="H56" s="16" t="n"/>
      <c r="I56" s="16" t="n"/>
      <c r="J56" s="16" t="n"/>
      <c r="K56" s="16" t="n"/>
      <c r="L56" s="16" t="n"/>
      <c r="M56" s="16" t="n"/>
      <c r="N56" s="16" t="n"/>
      <c r="O56" s="16" t="n"/>
      <c r="P56" s="16" t="n"/>
      <c r="Q56" s="16" t="n"/>
    </row>
    <row r="57">
      <c r="A57" s="16" t="n"/>
      <c r="B57" s="16" t="n"/>
      <c r="C57" s="16" t="n"/>
      <c r="D57" s="16" t="n"/>
      <c r="E57" s="16" t="n"/>
      <c r="F57" s="16" t="n"/>
      <c r="G57" s="16" t="n"/>
      <c r="H57" s="16" t="n"/>
      <c r="I57" s="16" t="n"/>
      <c r="J57" s="16" t="n"/>
      <c r="K57" s="16" t="n"/>
      <c r="L57" s="16" t="n"/>
      <c r="M57" s="16" t="n"/>
      <c r="N57" s="16" t="n"/>
      <c r="O57" s="16" t="n"/>
      <c r="P57" s="16" t="n"/>
      <c r="Q57" s="16" t="n"/>
    </row>
    <row r="60">
      <c r="A60" s="17" t="inlineStr">
        <is>
          <t>SOC READINESS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9" t="n"/>
    </row>
    <row r="62">
      <c r="A62" s="20" t="inlineStr">
        <is>
          <t>Total Readiness Requirements</t>
        </is>
      </c>
      <c r="B62" s="18" t="n"/>
      <c r="C62" s="18" t="n"/>
      <c r="D62" s="18" t="n"/>
      <c r="E62" s="18" t="n"/>
      <c r="F62" s="19" t="n"/>
      <c r="G62" s="6">
        <f>COUNTA(A8:A57)</f>
        <v/>
      </c>
      <c r="H62" s="18" t="n"/>
      <c r="I62" s="18" t="n"/>
      <c r="J62" s="18" t="n"/>
      <c r="K62" s="19" t="n"/>
      <c r="L62" s="6" t="inlineStr">
        <is>
          <t>N/A</t>
        </is>
      </c>
      <c r="M62" s="18" t="n"/>
      <c r="N62" s="18" t="n"/>
      <c r="O62" s="18" t="n"/>
      <c r="P62" s="18" t="n"/>
      <c r="Q62" s="19" t="n"/>
    </row>
    <row r="63">
      <c r="A63" s="20" t="inlineStr">
        <is>
          <t>Requirements Adequate</t>
        </is>
      </c>
      <c r="B63" s="18" t="n"/>
      <c r="C63" s="18" t="n"/>
      <c r="D63" s="18" t="n"/>
      <c r="E63" s="18" t="n"/>
      <c r="F63" s="19" t="n"/>
      <c r="G63" s="6">
        <f>COUNTIF(D8:D57,"✅ Adequate")</f>
        <v/>
      </c>
      <c r="H63" s="18" t="n"/>
      <c r="I63" s="18" t="n"/>
      <c r="J63" s="18" t="n"/>
      <c r="K63" s="19" t="n"/>
      <c r="L63" s="6" t="inlineStr">
        <is>
          <t>All</t>
        </is>
      </c>
      <c r="M63" s="18" t="n"/>
      <c r="N63" s="18" t="n"/>
      <c r="O63" s="18" t="n"/>
      <c r="P63" s="18" t="n"/>
      <c r="Q63" s="19" t="n"/>
    </row>
    <row r="64">
      <c r="A64" s="20" t="inlineStr">
        <is>
          <t>Requirements Needing Improvement</t>
        </is>
      </c>
      <c r="B64" s="18" t="n"/>
      <c r="C64" s="18" t="n"/>
      <c r="D64" s="18" t="n"/>
      <c r="E64" s="18" t="n"/>
      <c r="F64" s="19" t="n"/>
      <c r="G64" s="6">
        <f>COUNTIF(D8:D57,"⚠️ Needs Improvement")</f>
        <v/>
      </c>
      <c r="H64" s="18" t="n"/>
      <c r="I64" s="18" t="n"/>
      <c r="J64" s="18" t="n"/>
      <c r="K64" s="19" t="n"/>
      <c r="L64" s="6" t="inlineStr">
        <is>
          <t>&lt;5</t>
        </is>
      </c>
      <c r="M64" s="18" t="n"/>
      <c r="N64" s="18" t="n"/>
      <c r="O64" s="18" t="n"/>
      <c r="P64" s="18" t="n"/>
      <c r="Q64" s="19" t="n"/>
    </row>
    <row r="65">
      <c r="A65" s="20" t="inlineStr">
        <is>
          <t>Requirements Inadequate</t>
        </is>
      </c>
      <c r="B65" s="18" t="n"/>
      <c r="C65" s="18" t="n"/>
      <c r="D65" s="18" t="n"/>
      <c r="E65" s="18" t="n"/>
      <c r="F65" s="19" t="n"/>
      <c r="G65" s="6">
        <f>COUNTIF(D8:D57,"❌ Inadequate")</f>
        <v/>
      </c>
      <c r="H65" s="18" t="n"/>
      <c r="I65" s="18" t="n"/>
      <c r="J65" s="18" t="n"/>
      <c r="K65" s="19" t="n"/>
      <c r="L65" s="6" t="inlineStr">
        <is>
          <t>0</t>
        </is>
      </c>
      <c r="M65" s="18" t="n"/>
      <c r="N65" s="18" t="n"/>
      <c r="O65" s="18" t="n"/>
      <c r="P65" s="18" t="n"/>
      <c r="Q65" s="19" t="n"/>
    </row>
    <row r="66">
      <c r="A66" s="20" t="inlineStr">
        <is>
          <t>Remediation Complete</t>
        </is>
      </c>
      <c r="B66" s="18" t="n"/>
      <c r="C66" s="18" t="n"/>
      <c r="D66" s="18" t="n"/>
      <c r="E66" s="18" t="n"/>
      <c r="F66" s="19" t="n"/>
      <c r="G66" s="6">
        <f>COUNTIF(N8:N57,"Complete")</f>
        <v/>
      </c>
      <c r="H66" s="18" t="n"/>
      <c r="I66" s="18" t="n"/>
      <c r="J66" s="18" t="n"/>
      <c r="K66" s="19" t="n"/>
      <c r="L66" s="6" t="inlineStr">
        <is>
          <t>Target</t>
        </is>
      </c>
      <c r="M66" s="18" t="n"/>
      <c r="N66" s="18" t="n"/>
      <c r="O66" s="18" t="n"/>
      <c r="P66" s="18" t="n"/>
      <c r="Q66" s="19" t="n"/>
    </row>
    <row r="67">
      <c r="A67" s="20" t="inlineStr">
        <is>
          <t>Remediation In Progress</t>
        </is>
      </c>
      <c r="B67" s="18" t="n"/>
      <c r="C67" s="18" t="n"/>
      <c r="D67" s="18" t="n"/>
      <c r="E67" s="18" t="n"/>
      <c r="F67" s="19" t="n"/>
      <c r="G67" s="6">
        <f>COUNTIF(N8:N57,"In Progress")</f>
        <v/>
      </c>
      <c r="H67" s="18" t="n"/>
      <c r="I67" s="18" t="n"/>
      <c r="J67" s="18" t="n"/>
      <c r="K67" s="19" t="n"/>
      <c r="L67" s="6" t="inlineStr">
        <is>
          <t>N/A</t>
        </is>
      </c>
      <c r="M67" s="18" t="n"/>
      <c r="N67" s="18" t="n"/>
      <c r="O67" s="18" t="n"/>
      <c r="P67" s="18" t="n"/>
      <c r="Q67" s="19" t="n"/>
    </row>
    <row r="68">
      <c r="A68" s="20" t="inlineStr">
        <is>
          <t>Staffing by Area</t>
        </is>
      </c>
      <c r="B68" s="18" t="n"/>
      <c r="C68" s="18" t="n"/>
      <c r="D68" s="18" t="n"/>
      <c r="E68" s="18" t="n"/>
      <c r="F68" s="19" t="n"/>
      <c r="G68" s="6">
        <f>COUNTIF(A8:A57,"Staffing")</f>
        <v/>
      </c>
      <c r="H68" s="18" t="n"/>
      <c r="I68" s="18" t="n"/>
      <c r="J68" s="18" t="n"/>
      <c r="K68" s="19" t="n"/>
      <c r="L68" s="6" t="inlineStr">
        <is>
          <t>Target</t>
        </is>
      </c>
      <c r="M68" s="18" t="n"/>
      <c r="N68" s="18" t="n"/>
      <c r="O68" s="18" t="n"/>
      <c r="P68" s="18" t="n"/>
      <c r="Q68" s="19" t="n"/>
    </row>
    <row r="69">
      <c r="A69" s="20" t="inlineStr">
        <is>
          <t>Training by Area</t>
        </is>
      </c>
      <c r="B69" s="18" t="n"/>
      <c r="C69" s="18" t="n"/>
      <c r="D69" s="18" t="n"/>
      <c r="E69" s="18" t="n"/>
      <c r="F69" s="19" t="n"/>
      <c r="G69" s="6">
        <f>COUNTIF(A8:A57,"Training")</f>
        <v/>
      </c>
      <c r="H69" s="18" t="n"/>
      <c r="I69" s="18" t="n"/>
      <c r="J69" s="18" t="n"/>
      <c r="K69" s="19" t="n"/>
      <c r="L69" s="6" t="inlineStr">
        <is>
          <t>Target</t>
        </is>
      </c>
      <c r="M69" s="18" t="n"/>
      <c r="N69" s="18" t="n"/>
      <c r="O69" s="18" t="n"/>
      <c r="P69" s="18" t="n"/>
      <c r="Q69" s="19" t="n"/>
    </row>
    <row r="72">
      <c r="A72" s="17" t="inlineStr">
        <is>
          <t>SOC OPERATIONAL READINESS CHECKLIST</t>
        </is>
      </c>
    </row>
    <row r="73">
      <c r="A73" s="14" t="inlineStr">
        <is>
          <t>#</t>
        </is>
      </c>
      <c r="B73" s="14" t="inlineStr">
        <is>
          <t>Requirement</t>
        </is>
      </c>
      <c r="C73" s="18" t="n"/>
      <c r="D73" s="18" t="n"/>
      <c r="E73" s="18" t="n"/>
      <c r="F73" s="18" t="n"/>
      <c r="G73" s="18" t="n"/>
      <c r="H73" s="18" t="n"/>
      <c r="I73" s="18" t="n"/>
      <c r="J73" s="18" t="n"/>
      <c r="K73" s="18" t="n"/>
      <c r="L73" s="18" t="n"/>
      <c r="M73" s="18" t="n"/>
      <c r="N73" s="18" t="n"/>
      <c r="O73" s="18" t="n"/>
      <c r="P73" s="19" t="n"/>
    </row>
    <row r="74">
      <c r="A74" s="6" t="n">
        <v>1</v>
      </c>
      <c r="B74" s="20" t="inlineStr">
        <is>
          <t>SOC staffing adequate for 24/7 coverage</t>
        </is>
      </c>
      <c r="C74" s="18" t="n"/>
      <c r="D74" s="18" t="n"/>
      <c r="E74" s="18" t="n"/>
      <c r="F74" s="18" t="n"/>
      <c r="G74" s="18" t="n"/>
      <c r="H74" s="18" t="n"/>
      <c r="I74" s="18" t="n"/>
      <c r="J74" s="18" t="n"/>
      <c r="K74" s="18" t="n"/>
      <c r="L74" s="18" t="n"/>
      <c r="M74" s="18" t="n"/>
      <c r="N74" s="18" t="n"/>
      <c r="O74" s="18" t="n"/>
      <c r="P74" s="19" t="n"/>
      <c r="Q74" s="16" t="n"/>
    </row>
    <row r="75">
      <c r="A75" s="6" t="n">
        <v>2</v>
      </c>
      <c r="B75" s="20" t="inlineStr">
        <is>
          <t>Analyst to alert ratio acceptable (&lt;50 alerts/shift)</t>
        </is>
      </c>
      <c r="C75" s="18" t="n"/>
      <c r="D75" s="18" t="n"/>
      <c r="E75" s="18" t="n"/>
      <c r="F75" s="18" t="n"/>
      <c r="G75" s="18" t="n"/>
      <c r="H75" s="18" t="n"/>
      <c r="I75" s="18" t="n"/>
      <c r="J75" s="18" t="n"/>
      <c r="K75" s="18" t="n"/>
      <c r="L75" s="18" t="n"/>
      <c r="M75" s="18" t="n"/>
      <c r="N75" s="18" t="n"/>
      <c r="O75" s="18" t="n"/>
      <c r="P75" s="19" t="n"/>
      <c r="Q75" s="16" t="n"/>
    </row>
    <row r="76">
      <c r="A76" s="6" t="n">
        <v>3</v>
      </c>
      <c r="B76" s="20" t="inlineStr">
        <is>
          <t>SOC tiers defined (Tier 1, 2, 3)</t>
        </is>
      </c>
      <c r="C76" s="18" t="n"/>
      <c r="D76" s="18" t="n"/>
      <c r="E76" s="18" t="n"/>
      <c r="F76" s="18" t="n"/>
      <c r="G76" s="18" t="n"/>
      <c r="H76" s="18" t="n"/>
      <c r="I76" s="18" t="n"/>
      <c r="J76" s="18" t="n"/>
      <c r="K76" s="18" t="n"/>
      <c r="L76" s="18" t="n"/>
      <c r="M76" s="18" t="n"/>
      <c r="N76" s="18" t="n"/>
      <c r="O76" s="18" t="n"/>
      <c r="P76" s="19" t="n"/>
      <c r="Q76" s="16" t="n"/>
    </row>
    <row r="77">
      <c r="A77" s="6" t="n">
        <v>4</v>
      </c>
      <c r="B77" s="20" t="inlineStr">
        <is>
          <t>On-call rotation established</t>
        </is>
      </c>
      <c r="C77" s="18" t="n"/>
      <c r="D77" s="18" t="n"/>
      <c r="E77" s="18" t="n"/>
      <c r="F77" s="18" t="n"/>
      <c r="G77" s="18" t="n"/>
      <c r="H77" s="18" t="n"/>
      <c r="I77" s="18" t="n"/>
      <c r="J77" s="18" t="n"/>
      <c r="K77" s="18" t="n"/>
      <c r="L77" s="18" t="n"/>
      <c r="M77" s="18" t="n"/>
      <c r="N77" s="18" t="n"/>
      <c r="O77" s="18" t="n"/>
      <c r="P77" s="19" t="n"/>
      <c r="Q77" s="16" t="n"/>
    </row>
    <row r="78">
      <c r="A78" s="6" t="n">
        <v>5</v>
      </c>
      <c r="B78" s="20" t="inlineStr">
        <is>
          <t>Shift handover procedures defined</t>
        </is>
      </c>
      <c r="C78" s="18" t="n"/>
      <c r="D78" s="18" t="n"/>
      <c r="E78" s="18" t="n"/>
      <c r="F78" s="18" t="n"/>
      <c r="G78" s="18" t="n"/>
      <c r="H78" s="18" t="n"/>
      <c r="I78" s="18" t="n"/>
      <c r="J78" s="18" t="n"/>
      <c r="K78" s="18" t="n"/>
      <c r="L78" s="18" t="n"/>
      <c r="M78" s="18" t="n"/>
      <c r="N78" s="18" t="n"/>
      <c r="O78" s="18" t="n"/>
      <c r="P78" s="19" t="n"/>
      <c r="Q78" s="16" t="n"/>
    </row>
    <row r="79">
      <c r="A79" s="6" t="n">
        <v>6</v>
      </c>
      <c r="B79" s="20" t="inlineStr">
        <is>
          <t>SOC analysts trained on triage procedures</t>
        </is>
      </c>
      <c r="C79" s="18" t="n"/>
      <c r="D79" s="18" t="n"/>
      <c r="E79" s="18" t="n"/>
      <c r="F79" s="18" t="n"/>
      <c r="G79" s="18" t="n"/>
      <c r="H79" s="18" t="n"/>
      <c r="I79" s="18" t="n"/>
      <c r="J79" s="18" t="n"/>
      <c r="K79" s="18" t="n"/>
      <c r="L79" s="18" t="n"/>
      <c r="M79" s="18" t="n"/>
      <c r="N79" s="18" t="n"/>
      <c r="O79" s="18" t="n"/>
      <c r="P79" s="19" t="n"/>
      <c r="Q79" s="16" t="n"/>
    </row>
    <row r="80">
      <c r="A80" s="6" t="n">
        <v>7</v>
      </c>
      <c r="B80" s="20" t="inlineStr">
        <is>
          <t>SOC analysts trained on investigation playbooks</t>
        </is>
      </c>
      <c r="C80" s="18" t="n"/>
      <c r="D80" s="18" t="n"/>
      <c r="E80" s="18" t="n"/>
      <c r="F80" s="18" t="n"/>
      <c r="G80" s="18" t="n"/>
      <c r="H80" s="18" t="n"/>
      <c r="I80" s="18" t="n"/>
      <c r="J80" s="18" t="n"/>
      <c r="K80" s="18" t="n"/>
      <c r="L80" s="18" t="n"/>
      <c r="M80" s="18" t="n"/>
      <c r="N80" s="18" t="n"/>
      <c r="O80" s="18" t="n"/>
      <c r="P80" s="19" t="n"/>
      <c r="Q80" s="16" t="n"/>
    </row>
    <row r="81">
      <c r="A81" s="6" t="n">
        <v>8</v>
      </c>
      <c r="B81" s="20" t="inlineStr">
        <is>
          <t>SOC analysts trained on tools (SIEM, EDR, etc.)</t>
        </is>
      </c>
      <c r="C81" s="18" t="n"/>
      <c r="D81" s="18" t="n"/>
      <c r="E81" s="18" t="n"/>
      <c r="F81" s="18" t="n"/>
      <c r="G81" s="18" t="n"/>
      <c r="H81" s="18" t="n"/>
      <c r="I81" s="18" t="n"/>
      <c r="J81" s="18" t="n"/>
      <c r="K81" s="18" t="n"/>
      <c r="L81" s="18" t="n"/>
      <c r="M81" s="18" t="n"/>
      <c r="N81" s="18" t="n"/>
      <c r="O81" s="18" t="n"/>
      <c r="P81" s="19" t="n"/>
      <c r="Q81" s="16" t="n"/>
    </row>
    <row r="82">
      <c r="A82" s="6" t="n">
        <v>9</v>
      </c>
      <c r="B82" s="20" t="inlineStr">
        <is>
          <t>Training records maintained</t>
        </is>
      </c>
      <c r="C82" s="18" t="n"/>
      <c r="D82" s="18" t="n"/>
      <c r="E82" s="18" t="n"/>
      <c r="F82" s="18" t="n"/>
      <c r="G82" s="18" t="n"/>
      <c r="H82" s="18" t="n"/>
      <c r="I82" s="18" t="n"/>
      <c r="J82" s="18" t="n"/>
      <c r="K82" s="18" t="n"/>
      <c r="L82" s="18" t="n"/>
      <c r="M82" s="18" t="n"/>
      <c r="N82" s="18" t="n"/>
      <c r="O82" s="18" t="n"/>
      <c r="P82" s="19" t="n"/>
      <c r="Q82" s="16" t="n"/>
    </row>
    <row r="83">
      <c r="A83" s="6" t="n">
        <v>10</v>
      </c>
      <c r="B83" s="20" t="inlineStr">
        <is>
          <t>Quarterly training refreshers conducted</t>
        </is>
      </c>
      <c r="C83" s="18" t="n"/>
      <c r="D83" s="18" t="n"/>
      <c r="E83" s="18" t="n"/>
      <c r="F83" s="18" t="n"/>
      <c r="G83" s="18" t="n"/>
      <c r="H83" s="18" t="n"/>
      <c r="I83" s="18" t="n"/>
      <c r="J83" s="18" t="n"/>
      <c r="K83" s="18" t="n"/>
      <c r="L83" s="18" t="n"/>
      <c r="M83" s="18" t="n"/>
      <c r="N83" s="18" t="n"/>
      <c r="O83" s="18" t="n"/>
      <c r="P83" s="19" t="n"/>
      <c r="Q83" s="16" t="n"/>
    </row>
    <row r="84">
      <c r="A84" s="6" t="n">
        <v>11</v>
      </c>
      <c r="B84" s="20" t="inlineStr">
        <is>
          <t>All required tools accessible to SOC</t>
        </is>
      </c>
      <c r="C84" s="18" t="n"/>
      <c r="D84" s="18" t="n"/>
      <c r="E84" s="18" t="n"/>
      <c r="F84" s="18" t="n"/>
      <c r="G84" s="18" t="n"/>
      <c r="H84" s="18" t="n"/>
      <c r="I84" s="18" t="n"/>
      <c r="J84" s="18" t="n"/>
      <c r="K84" s="18" t="n"/>
      <c r="L84" s="18" t="n"/>
      <c r="M84" s="18" t="n"/>
      <c r="N84" s="18" t="n"/>
      <c r="O84" s="18" t="n"/>
      <c r="P84" s="19" t="n"/>
      <c r="Q84" s="16" t="n"/>
    </row>
    <row r="85">
      <c r="A85" s="6" t="n">
        <v>12</v>
      </c>
      <c r="B85" s="20" t="inlineStr">
        <is>
          <t>Tool access tested and functional</t>
        </is>
      </c>
      <c r="C85" s="18" t="n"/>
      <c r="D85" s="18" t="n"/>
      <c r="E85" s="18" t="n"/>
      <c r="F85" s="18" t="n"/>
      <c r="G85" s="18" t="n"/>
      <c r="H85" s="18" t="n"/>
      <c r="I85" s="18" t="n"/>
      <c r="J85" s="18" t="n"/>
      <c r="K85" s="18" t="n"/>
      <c r="L85" s="18" t="n"/>
      <c r="M85" s="18" t="n"/>
      <c r="N85" s="18" t="n"/>
      <c r="O85" s="18" t="n"/>
      <c r="P85" s="19" t="n"/>
      <c r="Q85" s="16" t="n"/>
    </row>
    <row r="86">
      <c r="A86" s="6" t="n">
        <v>13</v>
      </c>
      <c r="B86" s="20" t="inlineStr">
        <is>
          <t>Tool documentation available</t>
        </is>
      </c>
      <c r="C86" s="18" t="n"/>
      <c r="D86" s="18" t="n"/>
      <c r="E86" s="18" t="n"/>
      <c r="F86" s="18" t="n"/>
      <c r="G86" s="18" t="n"/>
      <c r="H86" s="18" t="n"/>
      <c r="I86" s="18" t="n"/>
      <c r="J86" s="18" t="n"/>
      <c r="K86" s="18" t="n"/>
      <c r="L86" s="18" t="n"/>
      <c r="M86" s="18" t="n"/>
      <c r="N86" s="18" t="n"/>
      <c r="O86" s="18" t="n"/>
      <c r="P86" s="19" t="n"/>
      <c r="Q86" s="16" t="n"/>
    </row>
    <row r="87">
      <c r="A87" s="6" t="n">
        <v>14</v>
      </c>
      <c r="B87" s="20" t="inlineStr">
        <is>
          <t>Tool integrations working</t>
        </is>
      </c>
      <c r="C87" s="18" t="n"/>
      <c r="D87" s="18" t="n"/>
      <c r="E87" s="18" t="n"/>
      <c r="F87" s="18" t="n"/>
      <c r="G87" s="18" t="n"/>
      <c r="H87" s="18" t="n"/>
      <c r="I87" s="18" t="n"/>
      <c r="J87" s="18" t="n"/>
      <c r="K87" s="18" t="n"/>
      <c r="L87" s="18" t="n"/>
      <c r="M87" s="18" t="n"/>
      <c r="N87" s="18" t="n"/>
      <c r="O87" s="18" t="n"/>
      <c r="P87" s="19" t="n"/>
      <c r="Q87" s="16" t="n"/>
    </row>
    <row r="88">
      <c r="A88" s="6" t="n">
        <v>15</v>
      </c>
      <c r="B88" s="20" t="inlineStr">
        <is>
          <t>Communication systems functional (ticketing, chat, email)</t>
        </is>
      </c>
      <c r="C88" s="18" t="n"/>
      <c r="D88" s="18" t="n"/>
      <c r="E88" s="18" t="n"/>
      <c r="F88" s="18" t="n"/>
      <c r="G88" s="18" t="n"/>
      <c r="H88" s="18" t="n"/>
      <c r="I88" s="18" t="n"/>
      <c r="J88" s="18" t="n"/>
      <c r="K88" s="18" t="n"/>
      <c r="L88" s="18" t="n"/>
      <c r="M88" s="18" t="n"/>
      <c r="N88" s="18" t="n"/>
      <c r="O88" s="18" t="n"/>
      <c r="P88" s="19" t="n"/>
      <c r="Q88" s="16" t="n"/>
    </row>
    <row r="89">
      <c r="A89" s="6" t="n">
        <v>16</v>
      </c>
      <c r="B89" s="20" t="inlineStr">
        <is>
          <t>SOC procedures documented</t>
        </is>
      </c>
      <c r="C89" s="18" t="n"/>
      <c r="D89" s="18" t="n"/>
      <c r="E89" s="18" t="n"/>
      <c r="F89" s="18" t="n"/>
      <c r="G89" s="18" t="n"/>
      <c r="H89" s="18" t="n"/>
      <c r="I89" s="18" t="n"/>
      <c r="J89" s="18" t="n"/>
      <c r="K89" s="18" t="n"/>
      <c r="L89" s="18" t="n"/>
      <c r="M89" s="18" t="n"/>
      <c r="N89" s="18" t="n"/>
      <c r="O89" s="18" t="n"/>
      <c r="P89" s="19" t="n"/>
      <c r="Q89" s="16" t="n"/>
    </row>
    <row r="90">
      <c r="A90" s="6" t="n">
        <v>17</v>
      </c>
      <c r="B90" s="20" t="inlineStr">
        <is>
          <t>Playbooks available for common alert types</t>
        </is>
      </c>
      <c r="C90" s="18" t="n"/>
      <c r="D90" s="18" t="n"/>
      <c r="E90" s="18" t="n"/>
      <c r="F90" s="18" t="n"/>
      <c r="G90" s="18" t="n"/>
      <c r="H90" s="18" t="n"/>
      <c r="I90" s="18" t="n"/>
      <c r="J90" s="18" t="n"/>
      <c r="K90" s="18" t="n"/>
      <c r="L90" s="18" t="n"/>
      <c r="M90" s="18" t="n"/>
      <c r="N90" s="18" t="n"/>
      <c r="O90" s="18" t="n"/>
      <c r="P90" s="19" t="n"/>
      <c r="Q90" s="16" t="n"/>
    </row>
    <row r="91">
      <c r="A91" s="6" t="n">
        <v>18</v>
      </c>
      <c r="B91" s="20" t="inlineStr">
        <is>
          <t>Escalation procedures documented</t>
        </is>
      </c>
      <c r="C91" s="18" t="n"/>
      <c r="D91" s="18" t="n"/>
      <c r="E91" s="18" t="n"/>
      <c r="F91" s="18" t="n"/>
      <c r="G91" s="18" t="n"/>
      <c r="H91" s="18" t="n"/>
      <c r="I91" s="18" t="n"/>
      <c r="J91" s="18" t="n"/>
      <c r="K91" s="18" t="n"/>
      <c r="L91" s="18" t="n"/>
      <c r="M91" s="18" t="n"/>
      <c r="N91" s="18" t="n"/>
      <c r="O91" s="18" t="n"/>
      <c r="P91" s="19" t="n"/>
      <c r="Q91" s="16" t="n"/>
    </row>
    <row r="92">
      <c r="A92" s="6" t="n">
        <v>19</v>
      </c>
      <c r="B92" s="20" t="inlineStr">
        <is>
          <t>Shift handover checklists available</t>
        </is>
      </c>
      <c r="C92" s="18" t="n"/>
      <c r="D92" s="18" t="n"/>
      <c r="E92" s="18" t="n"/>
      <c r="F92" s="18" t="n"/>
      <c r="G92" s="18" t="n"/>
      <c r="H92" s="18" t="n"/>
      <c r="I92" s="18" t="n"/>
      <c r="J92" s="18" t="n"/>
      <c r="K92" s="18" t="n"/>
      <c r="L92" s="18" t="n"/>
      <c r="M92" s="18" t="n"/>
      <c r="N92" s="18" t="n"/>
      <c r="O92" s="18" t="n"/>
      <c r="P92" s="19" t="n"/>
      <c r="Q92" s="16" t="n"/>
    </row>
    <row r="93">
      <c r="A93" s="6" t="n">
        <v>20</v>
      </c>
      <c r="B93" s="20" t="inlineStr">
        <is>
          <t>Standard operating procedures (SOPs) updated</t>
        </is>
      </c>
      <c r="C93" s="18" t="n"/>
      <c r="D93" s="18" t="n"/>
      <c r="E93" s="18" t="n"/>
      <c r="F93" s="18" t="n"/>
      <c r="G93" s="18" t="n"/>
      <c r="H93" s="18" t="n"/>
      <c r="I93" s="18" t="n"/>
      <c r="J93" s="18" t="n"/>
      <c r="K93" s="18" t="n"/>
      <c r="L93" s="18" t="n"/>
      <c r="M93" s="18" t="n"/>
      <c r="N93" s="18" t="n"/>
      <c r="O93" s="18" t="n"/>
      <c r="P93" s="19" t="n"/>
      <c r="Q93" s="16" t="n"/>
    </row>
    <row r="94">
      <c r="A94" s="6" t="n">
        <v>21</v>
      </c>
      <c r="B94" s="20" t="inlineStr">
        <is>
          <t>Tabletop exercises conducted quarterly</t>
        </is>
      </c>
      <c r="C94" s="18" t="n"/>
      <c r="D94" s="18" t="n"/>
      <c r="E94" s="18" t="n"/>
      <c r="F94" s="18" t="n"/>
      <c r="G94" s="18" t="n"/>
      <c r="H94" s="18" t="n"/>
      <c r="I94" s="18" t="n"/>
      <c r="J94" s="18" t="n"/>
      <c r="K94" s="18" t="n"/>
      <c r="L94" s="18" t="n"/>
      <c r="M94" s="18" t="n"/>
      <c r="N94" s="18" t="n"/>
      <c r="O94" s="18" t="n"/>
      <c r="P94" s="19" t="n"/>
      <c r="Q94" s="16" t="n"/>
    </row>
    <row r="95">
      <c r="A95" s="6" t="n">
        <v>22</v>
      </c>
      <c r="B95" s="20" t="inlineStr">
        <is>
          <t>Alert response tested (red team, purple team)</t>
        </is>
      </c>
      <c r="C95" s="18" t="n"/>
      <c r="D95" s="18" t="n"/>
      <c r="E95" s="18" t="n"/>
      <c r="F95" s="18" t="n"/>
      <c r="G95" s="18" t="n"/>
      <c r="H95" s="18" t="n"/>
      <c r="I95" s="18" t="n"/>
      <c r="J95" s="18" t="n"/>
      <c r="K95" s="18" t="n"/>
      <c r="L95" s="18" t="n"/>
      <c r="M95" s="18" t="n"/>
      <c r="N95" s="18" t="n"/>
      <c r="O95" s="18" t="n"/>
      <c r="P95" s="19" t="n"/>
      <c r="Q95" s="16" t="n"/>
    </row>
    <row r="96">
      <c r="A96" s="6" t="n">
        <v>23</v>
      </c>
      <c r="B96" s="20" t="inlineStr">
        <is>
          <t>Escalation procedures tested</t>
        </is>
      </c>
      <c r="C96" s="18" t="n"/>
      <c r="D96" s="18" t="n"/>
      <c r="E96" s="18" t="n"/>
      <c r="F96" s="18" t="n"/>
      <c r="G96" s="18" t="n"/>
      <c r="H96" s="18" t="n"/>
      <c r="I96" s="18" t="n"/>
      <c r="J96" s="18" t="n"/>
      <c r="K96" s="18" t="n"/>
      <c r="L96" s="18" t="n"/>
      <c r="M96" s="18" t="n"/>
      <c r="N96" s="18" t="n"/>
      <c r="O96" s="18" t="n"/>
      <c r="P96" s="19" t="n"/>
      <c r="Q96" s="16" t="n"/>
    </row>
    <row r="97">
      <c r="A97" s="6" t="n">
        <v>24</v>
      </c>
      <c r="B97" s="20" t="inlineStr">
        <is>
          <t>Communication systems tested</t>
        </is>
      </c>
      <c r="C97" s="18" t="n"/>
      <c r="D97" s="18" t="n"/>
      <c r="E97" s="18" t="n"/>
      <c r="F97" s="18" t="n"/>
      <c r="G97" s="18" t="n"/>
      <c r="H97" s="18" t="n"/>
      <c r="I97" s="18" t="n"/>
      <c r="J97" s="18" t="n"/>
      <c r="K97" s="18" t="n"/>
      <c r="L97" s="18" t="n"/>
      <c r="M97" s="18" t="n"/>
      <c r="N97" s="18" t="n"/>
      <c r="O97" s="18" t="n"/>
      <c r="P97" s="19" t="n"/>
      <c r="Q97" s="16" t="n"/>
    </row>
    <row r="98">
      <c r="A98" s="6" t="n">
        <v>25</v>
      </c>
      <c r="B98" s="20" t="inlineStr">
        <is>
          <t>Disaster recovery procedures tested</t>
        </is>
      </c>
      <c r="C98" s="18" t="n"/>
      <c r="D98" s="18" t="n"/>
      <c r="E98" s="18" t="n"/>
      <c r="F98" s="18" t="n"/>
      <c r="G98" s="18" t="n"/>
      <c r="H98" s="18" t="n"/>
      <c r="I98" s="18" t="n"/>
      <c r="J98" s="18" t="n"/>
      <c r="K98" s="18" t="n"/>
      <c r="L98" s="18" t="n"/>
      <c r="M98" s="18" t="n"/>
      <c r="N98" s="18" t="n"/>
      <c r="O98" s="18" t="n"/>
      <c r="P98" s="19" t="n"/>
      <c r="Q98" s="16" t="n"/>
    </row>
    <row r="99">
      <c r="A99" s="21" t="inlineStr">
        <is>
          <t>SCORE:</t>
        </is>
      </c>
      <c r="B99" s="22">
        <f>COUNTIF(Q74:Q98,"✅ Compliant")&amp;" / 25"</f>
        <v/>
      </c>
    </row>
  </sheetData>
  <mergeCells count="59">
    <mergeCell ref="B77:P77"/>
    <mergeCell ref="L62:Q62"/>
    <mergeCell ref="L68:Q68"/>
    <mergeCell ref="A66:F66"/>
    <mergeCell ref="B98:P98"/>
    <mergeCell ref="A60:Q60"/>
    <mergeCell ref="L64:Q64"/>
    <mergeCell ref="G67:K67"/>
    <mergeCell ref="G61:K61"/>
    <mergeCell ref="B73:P73"/>
    <mergeCell ref="B88:P88"/>
    <mergeCell ref="A1:Q1"/>
    <mergeCell ref="B82:P82"/>
    <mergeCell ref="B78:P78"/>
    <mergeCell ref="B87:P87"/>
    <mergeCell ref="L63:Q63"/>
    <mergeCell ref="G66:K66"/>
    <mergeCell ref="L69:Q69"/>
    <mergeCell ref="A62:F62"/>
    <mergeCell ref="B84:P84"/>
    <mergeCell ref="G62:K62"/>
    <mergeCell ref="B74:P74"/>
    <mergeCell ref="G69:K69"/>
    <mergeCell ref="B92:P92"/>
    <mergeCell ref="B83:P83"/>
    <mergeCell ref="A63:F63"/>
    <mergeCell ref="G68:K68"/>
    <mergeCell ref="B95:P95"/>
    <mergeCell ref="A3:Q3"/>
    <mergeCell ref="A68:F68"/>
    <mergeCell ref="L65:Q65"/>
    <mergeCell ref="B89:P89"/>
    <mergeCell ref="B80:P80"/>
    <mergeCell ref="A67:F67"/>
    <mergeCell ref="B76:P76"/>
    <mergeCell ref="A2:Q2"/>
    <mergeCell ref="B94:P94"/>
    <mergeCell ref="B79:P79"/>
    <mergeCell ref="B85:P85"/>
    <mergeCell ref="L61:Q61"/>
    <mergeCell ref="G65:K65"/>
    <mergeCell ref="B97:P97"/>
    <mergeCell ref="A64:F64"/>
    <mergeCell ref="G64:K64"/>
    <mergeCell ref="B75:P75"/>
    <mergeCell ref="B91:P91"/>
    <mergeCell ref="L67:Q67"/>
    <mergeCell ref="B81:P81"/>
    <mergeCell ref="G63:K63"/>
    <mergeCell ref="B90:P90"/>
    <mergeCell ref="L66:Q66"/>
    <mergeCell ref="A61:F61"/>
    <mergeCell ref="A72:Q72"/>
    <mergeCell ref="B93:P93"/>
    <mergeCell ref="B96:P96"/>
    <mergeCell ref="A69:F69"/>
    <mergeCell ref="B99:E99"/>
    <mergeCell ref="A65:F65"/>
    <mergeCell ref="B86:P86"/>
  </mergeCells>
  <dataValidations count="6">
    <dataValidation sqref="P8 P9 P10 P11 P12 P13 P14 P15 P16 P17 P18 P19 P20 P21 P22 P23 P24 P25 P26 P27 P28 P29 P30 P31 P32 P33 P34 P35 P36 P37 P38 P39 P40 P41 P42 P43 P44 P45 P46 P47 P48 P49 P50 P51 P52 P53 P54 P55 P56 P57 Q74 Q75 Q76 Q77 Q78 Q79 Q80 Q81 Q82 Q83 Q84 Q85 Q86 Q87 Q88 Q89 Q90 Q91 Q92 Q93 Q94 Q95 Q96 Q97 Q98" showDropDown="0" showInputMessage="0" showErrorMessage="0" allowBlank="0" type="list">
      <formula1>"✅ Compliant,⚠️ Partial,❌ Non-Compliant,N/A"</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"Critical,High,Medium,Low,None"</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"Staffing,Training,Tools,Procedures,Communication,Facilities,Testing,Documentation"</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 Adequate,⚠️ Needs Improvement,❌ Inadequate"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"Yes,No,Unknown"</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"Complete,In Progress,Planned,Not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c r="B1" s="6" t="n"/>
      <c r="C1" s="6" t="n"/>
      <c r="D1" s="6" t="n"/>
      <c r="E1" s="6" t="n"/>
      <c r="F1" s="6" t="n"/>
      <c r="G1" s="6" t="n"/>
      <c r="H1" s="6" t="n"/>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8" t="inlineStr">
        <is>
          <t>Alert Management</t>
        </is>
      </c>
      <c r="C5" s="28" t="inlineStr">
        <is>
          <t>Configuration file</t>
        </is>
      </c>
      <c r="D5" s="28" t="inlineStr">
        <is>
          <t>Alert escalation workflow configuration — Tier 1/2/3 routing rules</t>
        </is>
      </c>
      <c r="E5" s="28" t="inlineStr">
        <is>
          <t>\\fileserver\isms\evidence\monitoring\alert-workflow-config.xml</t>
        </is>
      </c>
      <c r="F5" s="28" t="inlineStr">
        <is>
          <t>2024-03-01</t>
        </is>
      </c>
      <c r="G5" s="28" t="inlineStr">
        <is>
          <t>Emma Fischer</t>
        </is>
      </c>
      <c r="H5" s="28"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ALERT MANAGEMENT &amp; RESPONSE ASSESSMENT — SUMMARY DASHBOARD</t>
        </is>
      </c>
    </row>
    <row r="2">
      <c r="A2" s="29" t="inlineStr">
        <is>
          <t>Summary Dashboard — Monitoring Activities | 07.03.2026</t>
        </is>
      </c>
    </row>
    <row r="4">
      <c r="A4" s="30" t="inlineStr">
        <is>
          <t>TABLE 1: COMPLIANCE OVERVIEW</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1. Alert Generation</t>
        </is>
      </c>
      <c r="B6" s="33">
        <f>SUM(C6:F6)</f>
        <v/>
      </c>
      <c r="C6" s="33">
        <f>COUNTIF('1. Alert Generation'!V73:V87,"✅ Compliant")</f>
        <v/>
      </c>
      <c r="D6" s="33">
        <f>COUNTIF('1. Alert Generation'!V73:V87,"⚠️ Partial")</f>
        <v/>
      </c>
      <c r="E6" s="33">
        <f>COUNTIF('1. Alert Generation'!V73:V87,"❌ Non-Compliant")</f>
        <v/>
      </c>
      <c r="F6" s="33">
        <f>COUNTIF('1. Alert Generation'!V73:V87,"N/A")</f>
        <v/>
      </c>
      <c r="G6" s="34">
        <f>IF((B6-F6)=0,0,C6/(B6-F6))</f>
        <v/>
      </c>
    </row>
    <row r="7">
      <c r="A7" s="32" t="inlineStr">
        <is>
          <t>2. Triage Investigation</t>
        </is>
      </c>
      <c r="B7" s="33">
        <f>SUM(C7:F7)</f>
        <v/>
      </c>
      <c r="C7" s="33">
        <f>COUNTIF('2. Triage Investigation'!U73:U87,"✅ Compliant")</f>
        <v/>
      </c>
      <c r="D7" s="33">
        <f>COUNTIF('2. Triage Investigation'!U73:U87,"⚠️ Partial")</f>
        <v/>
      </c>
      <c r="E7" s="33">
        <f>COUNTIF('2. Triage Investigation'!U73:U87,"❌ Non-Compliant")</f>
        <v/>
      </c>
      <c r="F7" s="33">
        <f>COUNTIF('2. Triage Investigation'!U73:U87,"N/A")</f>
        <v/>
      </c>
      <c r="G7" s="34">
        <f>IF((B7-F7)=0,0,C7/(B7-F7))</f>
        <v/>
      </c>
    </row>
    <row r="8">
      <c r="A8" s="32" t="inlineStr">
        <is>
          <t>3. Escalation Response</t>
        </is>
      </c>
      <c r="B8" s="33">
        <f>SUM(C8:F8)</f>
        <v/>
      </c>
      <c r="C8" s="33">
        <f>COUNTIF('3. Escalation Response'!S73:S87,"✅ Compliant")</f>
        <v/>
      </c>
      <c r="D8" s="33">
        <f>COUNTIF('3. Escalation Response'!S73:S87,"⚠️ Partial")</f>
        <v/>
      </c>
      <c r="E8" s="33">
        <f>COUNTIF('3. Escalation Response'!S73:S87,"❌ Non-Compliant")</f>
        <v/>
      </c>
      <c r="F8" s="33">
        <f>COUNTIF('3. Escalation Response'!S73:S87,"N/A")</f>
        <v/>
      </c>
      <c r="G8" s="34">
        <f>IF((B8-F8)=0,0,C8/(B8-F8))</f>
        <v/>
      </c>
    </row>
    <row r="9">
      <c r="A9" s="32" t="inlineStr">
        <is>
          <t>4. Performance Metrics</t>
        </is>
      </c>
      <c r="B9" s="33">
        <f>SUM(C9:F9)</f>
        <v/>
      </c>
      <c r="C9" s="33">
        <f>COUNTIF('4. Performance Metrics'!R84:R98,"✅ Compliant")</f>
        <v/>
      </c>
      <c r="D9" s="33">
        <f>COUNTIF('4. Performance Metrics'!R84:R98,"⚠️ Partial")</f>
        <v/>
      </c>
      <c r="E9" s="33">
        <f>COUNTIF('4. Performance Metrics'!R84:R98,"❌ Non-Compliant")</f>
        <v/>
      </c>
      <c r="F9" s="33">
        <f>COUNTIF('4. Performance Metrics'!R84:R98,"N/A")</f>
        <v/>
      </c>
      <c r="G9" s="34">
        <f>IF((B9-F9)=0,0,C9/(B9-F9))</f>
        <v/>
      </c>
    </row>
    <row r="10">
      <c r="A10" s="32" t="inlineStr">
        <is>
          <t>5. SOC Readiness</t>
        </is>
      </c>
      <c r="B10" s="33">
        <f>SUM(C10:F10)</f>
        <v/>
      </c>
      <c r="C10" s="33">
        <f>COUNTIF('5. SOC Readiness'!Q74:Q98,"✅ Compliant")</f>
        <v/>
      </c>
      <c r="D10" s="33">
        <f>COUNTIF('5. SOC Readiness'!Q74:Q98,"⚠️ Partial")</f>
        <v/>
      </c>
      <c r="E10" s="33">
        <f>COUNTIF('5. SOC Readiness'!Q74:Q98,"❌ Non-Compliant")</f>
        <v/>
      </c>
      <c r="F10" s="33">
        <f>COUNTIF('5. SOC Readiness'!Q74:Q98,"N/A")</f>
        <v/>
      </c>
      <c r="G10" s="34">
        <f>IF((B10-F10)=0,0,C10/(B10-F10))</f>
        <v/>
      </c>
    </row>
    <row r="11">
      <c r="A11" s="35" t="inlineStr">
        <is>
          <t>TOTAL</t>
        </is>
      </c>
      <c r="B11" s="36">
        <f>SUM(B6:B10)</f>
        <v/>
      </c>
      <c r="C11" s="36">
        <f>SUM(C6:C10)</f>
        <v/>
      </c>
      <c r="D11" s="36">
        <f>SUM(D6:D10)</f>
        <v/>
      </c>
      <c r="E11" s="36">
        <f>SUM(E6:E10)</f>
        <v/>
      </c>
      <c r="F11" s="36">
        <f>SUM(F6:F10)</f>
        <v/>
      </c>
      <c r="G11" s="37">
        <f>IF((B11-F11)=0,0,C11/(B11-F11))</f>
        <v/>
      </c>
    </row>
    <row r="13">
      <c r="A13" s="30" t="inlineStr">
        <is>
          <t>TABLE 2: KEY METRICS</t>
        </is>
      </c>
    </row>
    <row r="14">
      <c r="A14" s="38" t="inlineStr">
        <is>
          <t>Metric</t>
        </is>
      </c>
      <c r="F14" s="31" t="inlineStr">
        <is>
          <t>Value</t>
        </is>
      </c>
    </row>
    <row r="15">
      <c r="A15" s="32" t="inlineStr">
        <is>
          <t>Active Alert Types</t>
        </is>
      </c>
      <c r="B15" s="6" t="n"/>
      <c r="C15" s="6" t="n"/>
      <c r="D15" s="6" t="n"/>
      <c r="E15" s="6" t="n"/>
      <c r="F15" s="39">
        <f>COUNTIF('1. Alert Generation'!R8:R200,"Active")</f>
        <v/>
      </c>
      <c r="G15" s="6" t="n"/>
    </row>
    <row r="16">
      <c r="A16" s="32" t="inlineStr">
        <is>
          <t>Alerts Needing Tuning</t>
        </is>
      </c>
      <c r="B16" s="6" t="n"/>
      <c r="C16" s="6" t="n"/>
      <c r="D16" s="6" t="n"/>
      <c r="E16" s="6" t="n"/>
      <c r="F16" s="39">
        <f>COUNTIF('1. Alert Generation'!R8:R200,"Tuning Needed")</f>
        <v/>
      </c>
      <c r="G16" s="6" t="n"/>
    </row>
    <row r="17">
      <c r="A17" s="32" t="inlineStr">
        <is>
          <t>Critical (P1) Alert Types</t>
        </is>
      </c>
      <c r="B17" s="6" t="n"/>
      <c r="C17" s="6" t="n"/>
      <c r="D17" s="6" t="n"/>
      <c r="E17" s="6" t="n"/>
      <c r="F17" s="39">
        <f>COUNTIF('1. Alert Generation'!D8:D200,"Critical (P1)")</f>
        <v/>
      </c>
      <c r="G17" s="6" t="n"/>
    </row>
    <row r="18">
      <c r="A18" s="32" t="inlineStr">
        <is>
          <t>High (P2) Alert Types</t>
        </is>
      </c>
      <c r="B18" s="6" t="n"/>
      <c r="C18" s="6" t="n"/>
      <c r="D18" s="6" t="n"/>
      <c r="E18" s="6" t="n"/>
      <c r="F18" s="39">
        <f>COUNTIF('1. Alert Generation'!D8:D200,"High (P2)")</f>
        <v/>
      </c>
      <c r="G18" s="6" t="n"/>
    </row>
    <row r="19">
      <c r="A19" s="32" t="inlineStr">
        <is>
          <t>Triage Processes — Defined</t>
        </is>
      </c>
      <c r="B19" s="6" t="n"/>
      <c r="C19" s="6" t="n"/>
      <c r="D19" s="6" t="n"/>
      <c r="E19" s="6" t="n"/>
      <c r="F19" s="39">
        <f>COUNTIF('2. Triage Investigation'!R8:R200,"✅ Defined")</f>
        <v/>
      </c>
      <c r="G19" s="6" t="n"/>
    </row>
    <row r="20">
      <c r="A20" s="32" t="inlineStr">
        <is>
          <t>Triage Processes — Undefined</t>
        </is>
      </c>
      <c r="B20" s="6" t="n"/>
      <c r="C20" s="6" t="n"/>
      <c r="D20" s="6" t="n"/>
      <c r="E20" s="6" t="n"/>
      <c r="F20" s="39">
        <f>COUNTIF('2. Triage Investigation'!R8:R200,"❌ Undefined")</f>
        <v/>
      </c>
      <c r="G20" s="6" t="n"/>
    </row>
    <row r="21">
      <c r="A21" s="32" t="inlineStr">
        <is>
          <t>Triage Processes — Partial</t>
        </is>
      </c>
      <c r="B21" s="6" t="n"/>
      <c r="C21" s="6" t="n"/>
      <c r="D21" s="6" t="n"/>
      <c r="E21" s="6" t="n"/>
      <c r="F21" s="39">
        <f>COUNTIF('2. Triage Investigation'!R8:R200,"⚠️ Partial")</f>
        <v/>
      </c>
      <c r="G21" s="6" t="n"/>
    </row>
    <row r="22">
      <c r="A22" s="32" t="inlineStr">
        <is>
          <t>SOC Readiness Items — Non-Compliant</t>
        </is>
      </c>
      <c r="B22" s="6" t="n"/>
      <c r="C22" s="6" t="n"/>
      <c r="D22" s="6" t="n"/>
      <c r="E22" s="6" t="n"/>
      <c r="F22" s="39">
        <f>COUNTIF('5. SOC Readiness'!Q8:Q200,"❌ Non-Compliant")</f>
        <v/>
      </c>
      <c r="G22" s="6" t="n"/>
    </row>
    <row r="24">
      <c r="A24" s="40" t="inlineStr">
        <is>
          <t>TABLE 3: CRITICAL FINDINGS</t>
        </is>
      </c>
    </row>
    <row r="25">
      <c r="A25" s="38" t="inlineStr">
        <is>
          <t>Category / Finding</t>
        </is>
      </c>
      <c r="F25" s="31" t="inlineStr">
        <is>
          <t>Count</t>
        </is>
      </c>
      <c r="G25" s="31" t="inlineStr">
        <is>
          <t>Action</t>
        </is>
      </c>
    </row>
    <row r="26">
      <c r="A26" s="41" t="inlineStr">
        <is>
          <t>Alerts Needing Tuning</t>
        </is>
      </c>
      <c r="B26" s="16" t="n"/>
      <c r="C26" s="16" t="n"/>
      <c r="D26" s="16" t="n"/>
      <c r="E26" s="16" t="n"/>
      <c r="F26" s="42">
        <f>COUNTIF('1. Alert Generation'!R8:R200,"Tuning Needed")</f>
        <v/>
      </c>
      <c r="G26" s="16" t="inlineStr"/>
    </row>
    <row r="27">
      <c r="A27" s="41" t="inlineStr">
        <is>
          <t>Critical (P1) Alerts — Tuning Needed</t>
        </is>
      </c>
      <c r="B27" s="16" t="n"/>
      <c r="C27" s="16" t="n"/>
      <c r="D27" s="16" t="n"/>
      <c r="E27" s="16" t="n"/>
      <c r="F27" s="42">
        <f>COUNTIFS('1. Alert Generation'!D8:D200,"Critical (P1)",'1. Alert Generation'!R8:R200,"Tuning Needed")</f>
        <v/>
      </c>
      <c r="G27" s="16" t="inlineStr"/>
    </row>
    <row r="28">
      <c r="A28" s="41" t="inlineStr">
        <is>
          <t>Triage Processes — Undefined</t>
        </is>
      </c>
      <c r="B28" s="16" t="n"/>
      <c r="C28" s="16" t="n"/>
      <c r="D28" s="16" t="n"/>
      <c r="E28" s="16" t="n"/>
      <c r="F28" s="42">
        <f>COUNTIF('2. Triage Investigation'!R8:R200,"❌ Undefined")</f>
        <v/>
      </c>
      <c r="G28" s="16" t="inlineStr"/>
    </row>
    <row r="29">
      <c r="A29" s="41" t="inlineStr">
        <is>
          <t>Triage Processes — Partial</t>
        </is>
      </c>
      <c r="B29" s="16" t="n"/>
      <c r="C29" s="16" t="n"/>
      <c r="D29" s="16" t="n"/>
      <c r="E29" s="16" t="n"/>
      <c r="F29" s="42">
        <f>COUNTIF('2. Triage Investigation'!R8:R200,"⚠️ Partial")</f>
        <v/>
      </c>
      <c r="G29" s="16" t="inlineStr"/>
    </row>
    <row r="30">
      <c r="A30" s="41" t="inlineStr">
        <is>
          <t>SOC Readiness — Non-Compliant Items</t>
        </is>
      </c>
      <c r="B30" s="16" t="n"/>
      <c r="C30" s="16" t="n"/>
      <c r="D30" s="16" t="n"/>
      <c r="E30" s="16" t="n"/>
      <c r="F30" s="42">
        <f>COUNTIF('5. SOC Readiness'!Q8:Q200,"❌ Non-Compliant")</f>
        <v/>
      </c>
      <c r="G30" s="16" t="inlineStr"/>
    </row>
    <row r="31">
      <c r="A31" s="43"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 width="20" customWidth="1" min="3" max="3"/>
    <col width="20" customWidth="1" min="4" max="4"/>
    <col width="40" customWidth="1" min="5" max="5"/>
  </cols>
  <sheetData>
    <row r="1" ht="35" customHeight="1">
      <c r="A1" s="25" t="inlineStr">
        <is>
          <t>ASSESSMENT APPROVAL AND SIGN-OFF</t>
        </is>
      </c>
      <c r="B1" s="6" t="n"/>
      <c r="C1" s="6" t="n"/>
      <c r="D1" s="6" t="n"/>
      <c r="E1" s="6" t="n"/>
    </row>
    <row r="2">
      <c r="A2" s="44" t="inlineStr">
        <is>
          <t>Approval workflow for ISMS-IMP-A.8.16.4 — Alert Management &amp; Response Assessment</t>
        </is>
      </c>
      <c r="B2" s="6" t="n"/>
      <c r="C2" s="6" t="n"/>
      <c r="D2" s="6" t="n"/>
      <c r="E2" s="6" t="n"/>
    </row>
    <row r="3">
      <c r="A3" s="45" t="inlineStr">
        <is>
          <t>COMPLETED BY</t>
        </is>
      </c>
      <c r="B3" s="6" t="n"/>
      <c r="C3" s="6" t="n"/>
      <c r="D3" s="6" t="n"/>
      <c r="E3" s="6" t="n"/>
    </row>
    <row r="4">
      <c r="A4" s="46" t="inlineStr">
        <is>
          <t>Name</t>
        </is>
      </c>
      <c r="B4" s="16" t="n"/>
      <c r="C4" s="18" t="n"/>
      <c r="D4" s="18" t="n"/>
      <c r="E4" s="19" t="n"/>
    </row>
    <row r="5">
      <c r="A5" s="46" t="inlineStr">
        <is>
          <t>Title</t>
        </is>
      </c>
      <c r="B5" s="16" t="n"/>
      <c r="C5" s="18" t="n"/>
      <c r="D5" s="18" t="n"/>
      <c r="E5" s="19" t="n"/>
    </row>
    <row r="6">
      <c r="A6" s="46" t="inlineStr">
        <is>
          <t>Date</t>
        </is>
      </c>
      <c r="B6" s="16" t="n"/>
      <c r="C6" s="18" t="n"/>
      <c r="D6" s="18" t="n"/>
      <c r="E6" s="19" t="n"/>
    </row>
    <row r="7">
      <c r="A7" s="46" t="inlineStr">
        <is>
          <t>Signature</t>
        </is>
      </c>
      <c r="B7" s="16" t="n"/>
      <c r="C7" s="18" t="n"/>
      <c r="D7" s="18" t="n"/>
      <c r="E7" s="19" t="n"/>
    </row>
    <row r="8">
      <c r="A8" s="46" t="inlineStr">
        <is>
          <t>Comments</t>
        </is>
      </c>
      <c r="B8" s="16" t="n"/>
      <c r="C8" s="18" t="n"/>
      <c r="D8" s="18" t="n"/>
      <c r="E8" s="19" t="n"/>
    </row>
    <row r="10">
      <c r="A10" s="45" t="inlineStr">
        <is>
          <t>REVIEWED BY</t>
        </is>
      </c>
      <c r="B10" s="6" t="n"/>
      <c r="C10" s="6" t="n"/>
      <c r="D10" s="6" t="n"/>
      <c r="E10" s="6" t="n"/>
    </row>
    <row r="11">
      <c r="A11" s="46" t="inlineStr">
        <is>
          <t>Name</t>
        </is>
      </c>
      <c r="B11" s="16" t="n"/>
      <c r="C11" s="18" t="n"/>
      <c r="D11" s="18" t="n"/>
      <c r="E11" s="19" t="n"/>
    </row>
    <row r="12">
      <c r="A12" s="46" t="inlineStr">
        <is>
          <t>Title</t>
        </is>
      </c>
      <c r="B12" s="16" t="n"/>
      <c r="C12" s="18" t="n"/>
      <c r="D12" s="18" t="n"/>
      <c r="E12" s="19" t="n"/>
    </row>
    <row r="13">
      <c r="A13" s="46" t="inlineStr">
        <is>
          <t>Date</t>
        </is>
      </c>
      <c r="B13" s="16" t="n"/>
      <c r="C13" s="18" t="n"/>
      <c r="D13" s="18" t="n"/>
      <c r="E13" s="19" t="n"/>
    </row>
    <row r="14">
      <c r="A14" s="46" t="inlineStr">
        <is>
          <t>Signature</t>
        </is>
      </c>
      <c r="B14" s="16" t="n"/>
      <c r="C14" s="18" t="n"/>
      <c r="D14" s="18" t="n"/>
      <c r="E14" s="19" t="n"/>
    </row>
    <row r="15">
      <c r="A15" s="46" t="inlineStr">
        <is>
          <t>Comments</t>
        </is>
      </c>
      <c r="B15" s="16" t="n"/>
      <c r="C15" s="18" t="n"/>
      <c r="D15" s="18" t="n"/>
      <c r="E15" s="19" t="n"/>
    </row>
    <row r="17">
      <c r="A17" s="30" t="inlineStr">
        <is>
          <t>APPROVED BY</t>
        </is>
      </c>
      <c r="B17" s="6" t="n"/>
      <c r="C17" s="6" t="n"/>
      <c r="D17" s="6" t="n"/>
      <c r="E17" s="6" t="n"/>
    </row>
    <row r="18">
      <c r="A18" s="46" t="inlineStr">
        <is>
          <t>Name</t>
        </is>
      </c>
      <c r="B18" s="16" t="n"/>
      <c r="C18" s="18" t="n"/>
      <c r="D18" s="18" t="n"/>
      <c r="E18" s="19" t="n"/>
    </row>
    <row r="19">
      <c r="A19" s="46" t="inlineStr">
        <is>
          <t>Title</t>
        </is>
      </c>
      <c r="B19" s="16" t="n"/>
      <c r="C19" s="18" t="n"/>
      <c r="D19" s="18" t="n"/>
      <c r="E19" s="19" t="n"/>
    </row>
    <row r="20">
      <c r="A20" s="46" t="inlineStr">
        <is>
          <t>Date</t>
        </is>
      </c>
      <c r="B20" s="16" t="n"/>
      <c r="C20" s="18" t="n"/>
      <c r="D20" s="18" t="n"/>
      <c r="E20" s="19" t="n"/>
    </row>
    <row r="21">
      <c r="A21" s="46" t="inlineStr">
        <is>
          <t>Signature</t>
        </is>
      </c>
      <c r="B21" s="16" t="n"/>
      <c r="C21" s="18" t="n"/>
      <c r="D21" s="18" t="n"/>
      <c r="E21" s="19" t="n"/>
    </row>
    <row r="22">
      <c r="A22" s="46" t="inlineStr">
        <is>
          <t>Comments</t>
        </is>
      </c>
      <c r="B22" s="16" t="n"/>
      <c r="C22" s="18" t="n"/>
      <c r="D22" s="18" t="n"/>
      <c r="E22" s="19" t="n"/>
    </row>
    <row r="24">
      <c r="A24" s="47" t="inlineStr">
        <is>
          <t>FINAL DECISION</t>
        </is>
      </c>
      <c r="B24" s="6" t="n"/>
      <c r="C24" s="6" t="n"/>
      <c r="D24" s="6" t="n"/>
      <c r="E24" s="6" t="n"/>
    </row>
    <row r="25">
      <c r="A25" s="46" t="inlineStr">
        <is>
          <t>Overall Assessment Result</t>
        </is>
      </c>
      <c r="B25" s="16" t="n"/>
      <c r="C25" s="18" t="n"/>
      <c r="D25" s="18" t="n"/>
      <c r="E25" s="19" t="n"/>
    </row>
    <row r="26">
      <c r="A26" s="46" t="inlineStr">
        <is>
          <t>Conditions / Observations</t>
        </is>
      </c>
      <c r="B26" s="16" t="n"/>
      <c r="C26" s="18" t="n"/>
      <c r="D26" s="18" t="n"/>
      <c r="E26" s="19" t="n"/>
    </row>
    <row r="27">
      <c r="A27" s="46" t="inlineStr">
        <is>
          <t>Required Actions Before Next Review</t>
        </is>
      </c>
      <c r="B27" s="16" t="n"/>
      <c r="C27" s="18" t="n"/>
      <c r="D27" s="18" t="n"/>
      <c r="E27" s="19" t="n"/>
    </row>
    <row r="29">
      <c r="A29" s="45" t="inlineStr">
        <is>
          <t>NEXT REVIEW</t>
        </is>
      </c>
      <c r="B29" s="6" t="n"/>
      <c r="C29" s="6" t="n"/>
      <c r="D29" s="6" t="n"/>
      <c r="E29" s="6" t="n"/>
    </row>
    <row r="30">
      <c r="A30" s="46" t="inlineStr">
        <is>
          <t>Scheduled Review Date</t>
        </is>
      </c>
      <c r="B30" s="16" t="n"/>
      <c r="C30" s="18" t="n"/>
      <c r="D30" s="18" t="n"/>
      <c r="E30" s="19" t="n"/>
    </row>
    <row r="31">
      <c r="A31" s="46" t="inlineStr">
        <is>
          <t>Review Frequency</t>
        </is>
      </c>
      <c r="B31" s="48" t="inlineStr">
        <is>
          <t>Quarterly</t>
        </is>
      </c>
      <c r="C31" s="18" t="n"/>
      <c r="D31" s="18" t="n"/>
      <c r="E31" s="19" t="n"/>
    </row>
  </sheetData>
  <mergeCells count="27">
    <mergeCell ref="A24:E24"/>
    <mergeCell ref="B6:E6"/>
    <mergeCell ref="B30:E30"/>
    <mergeCell ref="B15:E15"/>
    <mergeCell ref="A1:E1"/>
    <mergeCell ref="B5:E5"/>
    <mergeCell ref="B20:E20"/>
    <mergeCell ref="B26:E26"/>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A29:E29"/>
    <mergeCell ref="B8:E8"/>
    <mergeCell ref="A10:E10"/>
    <mergeCell ref="B13:E13"/>
    <mergeCell ref="B19:E19"/>
  </mergeCells>
  <dataValidations count="1">
    <dataValidation sqref="B25" showDropDown="0" showInputMessage="0" showErrorMessage="0" allowBlank="1" type="list">
      <formula1>"Approved,Conditionally Approved,Not Approved"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ISMS-IMP-A.8.16.4 — Alert Management &amp; Response Assessment</dc:title>
  <dc:description xmlns:dc="http://purl.org/dc/elements/1.1/">ISMS Implementation Workbook — ISMS-IMP-A.8.16.4</dc:description>
  <dc:subject xmlns:dc="http://purl.org/dc/elements/1.1/">ISO/IEC 27001:2022 — Control A.8.16: Monitoring Activities</dc:subject>
  <dcterms:created xmlns:dcterms="http://purl.org/dc/terms/" xmlns:xsi="http://www.w3.org/2001/XMLSchema-instance" xsi:type="dcterms:W3CDTF">2026-03-07T11:28:12Z</dcterms:created>
  <dcterms:modified xmlns:dcterms="http://purl.org/dc/terms/" xmlns:xsi="http://www.w3.org/2001/XMLSchema-instance" xsi:type="dcterms:W3CDTF">2026-03-07T11:28:13Z</dcterms:modified>
</cp:coreProperties>
</file>