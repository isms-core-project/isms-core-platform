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System Inventory" sheetId="2" state="visible" r:id="rId2"/>
    <sheet xmlns:r="http://schemas.openxmlformats.org/officeDocument/2006/relationships" name="Log Event Types by System" sheetId="3" state="visible" r:id="rId3"/>
    <sheet xmlns:r="http://schemas.openxmlformats.org/officeDocument/2006/relationships" name="Authentication Logging" sheetId="4" state="visible" r:id="rId4"/>
    <sheet xmlns:r="http://schemas.openxmlformats.org/officeDocument/2006/relationships" name="Authorisation &amp; Access" sheetId="5" state="visible" r:id="rId5"/>
    <sheet xmlns:r="http://schemas.openxmlformats.org/officeDocument/2006/relationships" name="Administrative Activity" sheetId="6" state="visible" r:id="rId6"/>
    <sheet xmlns:r="http://schemas.openxmlformats.org/officeDocument/2006/relationships" name="Security Event Logging" sheetId="7" state="visible" r:id="rId7"/>
    <sheet xmlns:r="http://schemas.openxmlformats.org/officeDocument/2006/relationships" name="Application &amp; Database" sheetId="8" state="visible" r:id="rId8"/>
    <sheet xmlns:r="http://schemas.openxmlformats.org/officeDocument/2006/relationships" name="Network Device Logging" sheetId="9" state="visible" r:id="rId9"/>
    <sheet xmlns:r="http://schemas.openxmlformats.org/officeDocument/2006/relationships" name="Gap Analysis" sheetId="10" state="visible" r:id="rId10"/>
    <sheet xmlns:r="http://schemas.openxmlformats.org/officeDocument/2006/relationships" name="Evidence Register" sheetId="11" state="visible" r:id="rId11"/>
    <sheet xmlns:r="http://schemas.openxmlformats.org/officeDocument/2006/relationships" name="Summary Dashboard" sheetId="12" state="visible" r:id="rId12"/>
    <sheet xmlns:r="http://schemas.openxmlformats.org/officeDocument/2006/relationships" name="Approval Sign-Off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&quot;%&quot;"/>
    <numFmt numFmtId="166" formatCode="DD.MM.YYYY"/>
  </numFmts>
  <fonts count="1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i val="1"/>
      <color rgb="00666666"/>
      <sz val="10"/>
    </font>
    <font>
      <b val="1"/>
      <sz val="10"/>
    </font>
    <font>
      <name val="Calibri"/>
      <color rgb="00000000"/>
      <sz val="10"/>
    </font>
    <font>
      <b val="1"/>
      <color rgb="00FFFFFF"/>
      <sz val="14"/>
    </font>
    <font>
      <i val="1"/>
    </font>
    <font>
      <b val="1"/>
      <color rgb="00FFFFFF"/>
    </font>
    <font>
      <name val="Calibri"/>
      <i val="1"/>
      <color rgb="00808080"/>
      <sz val="10"/>
    </font>
    <font>
      <name val="Calibri"/>
      <i val="1"/>
      <sz val="10"/>
    </font>
    <font>
      <name val="Calibri"/>
      <sz val="10"/>
    </font>
    <font>
      <i val="1"/>
      <color rgb="00003366"/>
    </font>
    <font>
      <b val="1"/>
      <color rgb="00FFFFFF"/>
      <sz val="11"/>
    </font>
    <font>
      <b val="1"/>
    </font>
  </fonts>
  <fills count="1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  <fill>
      <patternFill patternType="solid">
        <fgColor rgb="00FFFFCC"/>
        <bgColor rgb="00FFFFCC"/>
      </patternFill>
    </fill>
    <fill>
      <patternFill patternType="solid">
        <fgColor rgb="00C00000"/>
        <bgColor rgb="00C00000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left" vertical="top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left" vertical="top" wrapText="1"/>
    </xf>
    <xf numFmtId="164" fontId="0" fillId="10" borderId="1" applyAlignment="1" pivotButton="0" quotePrefix="0" xfId="0">
      <alignment horizontal="center" vertical="center"/>
    </xf>
    <xf numFmtId="165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166" fontId="0" fillId="11" borderId="1" applyAlignment="1" pivotButton="0" quotePrefix="0" xfId="0">
      <alignment horizontal="left" vertical="top" wrapText="1"/>
    </xf>
    <xf numFmtId="0" fontId="8" fillId="0" borderId="0" pivotButton="0" quotePrefix="0" xfId="0"/>
    <xf numFmtId="0" fontId="9" fillId="10" borderId="1" applyAlignment="1" pivotButton="0" quotePrefix="0" xfId="0">
      <alignment horizontal="left" vertical="top" wrapText="1"/>
    </xf>
    <xf numFmtId="0" fontId="10" fillId="8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0" fontId="12" fillId="8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vertical="center" wrapText="1"/>
    </xf>
    <xf numFmtId="166" fontId="13" fillId="10" borderId="1" applyAlignment="1" pivotButton="0" quotePrefix="0" xfId="0">
      <alignment vertical="center" wrapText="1"/>
    </xf>
    <xf numFmtId="0" fontId="0" fillId="11" borderId="1" pivotButton="0" quotePrefix="0" xfId="0"/>
    <xf numFmtId="166" fontId="0" fillId="11" borderId="1" pivotButton="0" quotePrefix="0" xfId="0"/>
    <xf numFmtId="0" fontId="1" fillId="8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9" fillId="0" borderId="1" pivotButton="0" quotePrefix="0" xfId="0"/>
    <xf numFmtId="164" fontId="9" fillId="0" borderId="1" pivotButton="0" quotePrefix="0" xfId="0"/>
    <xf numFmtId="0" fontId="4" fillId="9" borderId="1" pivotButton="0" quotePrefix="0" xfId="0"/>
    <xf numFmtId="164" fontId="4" fillId="9" borderId="1" pivotButton="0" quotePrefix="0" xfId="0"/>
    <xf numFmtId="0" fontId="4" fillId="9" borderId="1" applyAlignment="1" pivotButton="0" quotePrefix="0" xfId="0">
      <alignment horizontal="center" vertical="center"/>
    </xf>
    <xf numFmtId="0" fontId="15" fillId="0" borderId="1" pivotButton="0" quotePrefix="0" xfId="0"/>
    <xf numFmtId="0" fontId="5" fillId="12" borderId="1" applyAlignment="1" pivotButton="0" quotePrefix="0" xfId="0">
      <alignment horizontal="left" vertical="center"/>
    </xf>
    <xf numFmtId="0" fontId="15" fillId="11" borderId="1" applyAlignment="1" pivotButton="0" quotePrefix="0" xfId="0">
      <alignment vertical="top" wrapText="1"/>
    </xf>
    <xf numFmtId="0" fontId="10" fillId="8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17" fillId="13" borderId="1" pivotButton="0" quotePrefix="0" xfId="0"/>
    <xf numFmtId="0" fontId="18" fillId="0" borderId="0" pivotButton="0" quotePrefix="0" xfId="0"/>
    <xf numFmtId="0" fontId="17" fillId="8" borderId="1" pivotButton="0" quotePrefix="0" xfId="0"/>
  </cellXfs>
  <cellStyles count="1">
    <cellStyle name="Normal" xfId="0" builtinId="0" hidden="0"/>
  </cellStyles>
  <dxfs count="4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D9D9D9"/>
          <b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ISMS-IMP-A.8.15.1  -  Log Source Inventory Assessment
ISO/IEC 27001:2022 - Control A.8.15: Logging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ISMS-IMP-A.8.15.1</t>
        </is>
      </c>
    </row>
    <row r="5">
      <c r="A5" s="3" t="inlineStr">
        <is>
          <t>Workbook Title</t>
        </is>
      </c>
      <c r="B5" t="inlineStr">
        <is>
          <t>Log Source Inventory Assessment</t>
        </is>
      </c>
    </row>
    <row r="6">
      <c r="A6" s="3" t="inlineStr">
        <is>
          <t>Control Reference</t>
        </is>
      </c>
      <c r="B6" t="inlineStr">
        <is>
          <t>ISO/IEC 27001:2022 - Control A.8.15: Logging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Complete the ‘System Inventory’ sheet for all in-scope systems.</t>
        </is>
      </c>
    </row>
    <row r="14">
      <c r="A14" t="inlineStr">
        <is>
          <t>2. For each system, document log sources and event types logged.</t>
        </is>
      </c>
    </row>
    <row r="15">
      <c r="A15" t="inlineStr">
        <is>
          <t>3. Use dropdowns to ensure consistent data entry.</t>
        </is>
      </c>
    </row>
    <row r="16">
      <c r="A16" t="inlineStr">
        <is>
          <t>4. Yellow cells require user input, grey cells are auto-calculated.</t>
        </is>
      </c>
    </row>
    <row r="17">
      <c r="A17" t="inlineStr">
        <is>
          <t>5. Complete compliance checklist for each log source type.</t>
        </is>
      </c>
    </row>
    <row r="18">
      <c r="A18" t="inlineStr">
        <is>
          <t>6. Review Summary Dashboard for overall compliance status.</t>
        </is>
      </c>
    </row>
    <row r="19">
      <c r="A19" t="inlineStr">
        <is>
          <t>7. Document gaps in Gap Analysis sheet.</t>
        </is>
      </c>
    </row>
    <row r="20">
      <c r="A20" t="inlineStr">
        <is>
          <t>8. Develop remediation plan for identified gaps.</t>
        </is>
      </c>
    </row>
    <row r="21">
      <c r="A21" t="inlineStr">
        <is>
          <t>9. Obtain approvals in Approval &amp; Sign-Off sheet.</t>
        </is>
      </c>
    </row>
    <row r="23">
      <c r="A23" s="2" t="inlineStr">
        <is>
          <t>Status Legend</t>
        </is>
      </c>
    </row>
    <row r="24">
      <c r="A24" s="5" t="inlineStr">
        <is>
          <t>Symbol</t>
        </is>
      </c>
      <c r="B24" s="5" t="inlineStr">
        <is>
          <t>Status</t>
        </is>
      </c>
      <c r="C24" s="5" t="inlineStr">
        <is>
          <t>Description</t>
        </is>
      </c>
    </row>
    <row r="25">
      <c r="A25" s="6" t="inlineStr">
        <is>
          <t>✓</t>
        </is>
      </c>
      <c r="B25" s="7" t="inlineStr">
        <is>
          <t>Compliant / Complete</t>
        </is>
      </c>
      <c r="C25" s="8" t="inlineStr">
        <is>
          <t>Requirement fully met</t>
        </is>
      </c>
    </row>
    <row r="26">
      <c r="A26" s="6" t="inlineStr">
        <is>
          <t>⚠</t>
        </is>
      </c>
      <c r="B26" s="9" t="inlineStr">
        <is>
          <t>Partial / In Progress</t>
        </is>
      </c>
      <c r="C26" s="8" t="inlineStr">
        <is>
          <t>Partially met or in progress</t>
        </is>
      </c>
    </row>
    <row r="27">
      <c r="A27" s="6" t="inlineStr">
        <is>
          <t>✗</t>
        </is>
      </c>
      <c r="B27" s="10" t="inlineStr">
        <is>
          <t>Non-Compliant / Not Started</t>
        </is>
      </c>
      <c r="C27" s="8" t="inlineStr">
        <is>
          <t>Requirement not met</t>
        </is>
      </c>
    </row>
    <row r="28">
      <c r="A28" s="6" t="inlineStr">
        <is>
          <t>—</t>
        </is>
      </c>
      <c r="B28" s="8" t="inlineStr">
        <is>
          <t>Not Applicable</t>
        </is>
      </c>
      <c r="C28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25" customWidth="1" min="4" max="4"/>
    <col width="15" customWidth="1" min="5" max="5"/>
    <col width="18" customWidth="1" min="6" max="6"/>
    <col width="18" customWidth="1" min="7" max="7"/>
    <col width="20" customWidth="1" min="8" max="8"/>
    <col width="15" customWidth="1" min="9" max="9"/>
    <col width="25" customWidth="1" min="10" max="10"/>
    <col width="30" customWidth="1" min="11" max="11"/>
    <col width="30" customWidth="1" min="12" max="12"/>
    <col width="15" customWidth="1" min="13" max="13"/>
    <col width="20" customWidth="1" min="14" max="14"/>
    <col width="15" customWidth="1" min="15" max="15"/>
    <col width="18" customWidth="1" min="16" max="16"/>
    <col width="18" customWidth="1" min="17" max="17"/>
  </cols>
  <sheetData>
    <row r="1" ht="35" customHeight="1">
      <c r="A1" s="11" t="inlineStr">
        <is>
          <t>SYSTEM INVENTORY</t>
        </is>
      </c>
    </row>
    <row r="2">
      <c r="A2" s="12" t="inlineStr">
        <is>
          <t>Document all systems in scope for logging. Include servers, network devices, applications, cloud services, and security tools.</t>
        </is>
      </c>
    </row>
    <row r="4">
      <c r="A4" s="13" t="inlineStr">
        <is>
          <t>System ID</t>
        </is>
      </c>
      <c r="B4" s="13" t="inlineStr">
        <is>
          <t>System Name</t>
        </is>
      </c>
      <c r="C4" s="13" t="inlineStr">
        <is>
          <t>System Type</t>
        </is>
      </c>
      <c r="D4" s="13" t="inlineStr">
        <is>
          <t>Operating System / Platform</t>
        </is>
      </c>
      <c r="E4" s="13" t="inlineStr">
        <is>
          <t>Environment</t>
        </is>
      </c>
      <c r="F4" s="13" t="inlineStr">
        <is>
          <t>Data Classification</t>
        </is>
      </c>
      <c r="G4" s="13" t="inlineStr">
        <is>
          <t>Business Criticality</t>
        </is>
      </c>
      <c r="H4" s="13" t="inlineStr">
        <is>
          <t>Regulatory Scope</t>
        </is>
      </c>
      <c r="I4" s="13" t="inlineStr">
        <is>
          <t>Logging Priority</t>
        </is>
      </c>
      <c r="J4" s="13" t="inlineStr">
        <is>
          <t>System Owner</t>
        </is>
      </c>
      <c r="K4" s="13" t="inlineStr">
        <is>
          <t>Owner Email</t>
        </is>
      </c>
      <c r="L4" s="13" t="inlineStr">
        <is>
          <t>Hostname / FQDN</t>
        </is>
      </c>
      <c r="M4" s="13" t="inlineStr">
        <is>
          <t>Primary IP</t>
        </is>
      </c>
      <c r="N4" s="13" t="inlineStr">
        <is>
          <t>Location</t>
        </is>
      </c>
      <c r="O4" s="13" t="inlineStr">
        <is>
          <t>Logging Enabled</t>
        </is>
      </c>
      <c r="P4" s="13" t="inlineStr">
        <is>
          <t>Forwarding to SIEM</t>
        </is>
      </c>
      <c r="Q4" s="13" t="inlineStr">
        <is>
          <t>Compliance Status</t>
        </is>
      </c>
    </row>
    <row r="5">
      <c r="A5" s="14" t="inlineStr">
        <is>
          <t>SYS-001</t>
        </is>
      </c>
      <c r="B5" s="14" t="inlineStr">
        <is>
          <t>web-prod-01</t>
        </is>
      </c>
      <c r="C5" s="14" t="inlineStr">
        <is>
          <t>Server</t>
        </is>
      </c>
      <c r="D5" s="14" t="inlineStr">
        <is>
          <t>Linux</t>
        </is>
      </c>
      <c r="E5" s="14" t="inlineStr">
        <is>
          <t>Production</t>
        </is>
      </c>
      <c r="F5" s="14" t="inlineStr">
        <is>
          <t>Confidential</t>
        </is>
      </c>
      <c r="G5" s="14" t="inlineStr">
        <is>
          <t>Critical (T1)</t>
        </is>
      </c>
      <c r="H5" s="14" t="inlineStr">
        <is>
          <t>PCI DSS v4.0.1, GDPR</t>
        </is>
      </c>
      <c r="I5" s="14" t="inlineStr">
        <is>
          <t>P1-Critical</t>
        </is>
      </c>
      <c r="J5" s="14" t="inlineStr">
        <is>
          <t>John Doe</t>
        </is>
      </c>
      <c r="K5" s="14" t="inlineStr">
        <is>
          <t>jdoe@example.ch</t>
        </is>
      </c>
      <c r="L5" s="14" t="inlineStr">
        <is>
          <t>web-prod-01.example.com</t>
        </is>
      </c>
      <c r="M5" s="14" t="inlineStr">
        <is>
          <t>10.0.1.50</t>
        </is>
      </c>
      <c r="N5" s="14" t="inlineStr">
        <is>
          <t>DC1</t>
        </is>
      </c>
      <c r="O5" s="14" t="inlineStr">
        <is>
          <t>Yes</t>
        </is>
      </c>
      <c r="P5" s="14" t="inlineStr">
        <is>
          <t>Yes</t>
        </is>
      </c>
      <c r="Q5" s="14" t="inlineStr">
        <is>
          <t>Compliant</t>
        </is>
      </c>
    </row>
    <row r="6">
      <c r="A6" s="15">
        <f>IF(B6&lt;&gt;"","SYS-"&amp;TEXT(ROW()-5,"000"),"")</f>
        <v/>
      </c>
      <c r="B6" s="16" t="n"/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6" t="n"/>
      <c r="Q6" s="15">
        <f>IF(B6="","",IF(AND(O6="Yes",P6="Yes"),"Compliant",IF(OR(O6="Partial",P6="Planned"),"Partial","Non-Compliant")))</f>
        <v/>
      </c>
    </row>
    <row r="7">
      <c r="A7" s="15">
        <f>IF(B7&lt;&gt;"","SYS-"&amp;TEXT(ROW()-5,"000"),"")</f>
        <v/>
      </c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5">
        <f>IF(B7="","",IF(AND(O7="Yes",P7="Yes"),"Compliant",IF(OR(O7="Partial",P7="Planned"),"Partial","Non-Compliant")))</f>
        <v/>
      </c>
    </row>
    <row r="8">
      <c r="A8" s="15">
        <f>IF(B8&lt;&gt;"","SYS-"&amp;TEXT(ROW()-5,"000"),"")</f>
        <v/>
      </c>
      <c r="B8" s="16" t="n"/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5">
        <f>IF(B8="","",IF(AND(O8="Yes",P8="Yes"),"Compliant",IF(OR(O8="Partial",P8="Planned"),"Partial","Non-Compliant")))</f>
        <v/>
      </c>
    </row>
    <row r="9">
      <c r="A9" s="15">
        <f>IF(B9&lt;&gt;"","SYS-"&amp;TEXT(ROW()-5,"000"),"")</f>
        <v/>
      </c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5">
        <f>IF(B9="","",IF(AND(O9="Yes",P9="Yes"),"Compliant",IF(OR(O9="Partial",P9="Planned"),"Partial","Non-Compliant")))</f>
        <v/>
      </c>
    </row>
    <row r="10">
      <c r="A10" s="15">
        <f>IF(B10&lt;&gt;"","SYS-"&amp;TEXT(ROW()-5,"000"),"")</f>
        <v/>
      </c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5">
        <f>IF(B10="","",IF(AND(O10="Yes",P10="Yes"),"Compliant",IF(OR(O10="Partial",P10="Planned"),"Partial","Non-Compliant")))</f>
        <v/>
      </c>
    </row>
    <row r="11">
      <c r="A11" s="15">
        <f>IF(B11&lt;&gt;"","SYS-"&amp;TEXT(ROW()-5,"000"),"")</f>
        <v/>
      </c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5">
        <f>IF(B11="","",IF(AND(O11="Yes",P11="Yes"),"Compliant",IF(OR(O11="Partial",P11="Planned"),"Partial","Non-Compliant")))</f>
        <v/>
      </c>
    </row>
    <row r="12">
      <c r="A12" s="15">
        <f>IF(B12&lt;&gt;"","SYS-"&amp;TEXT(ROW()-5,"000"),"")</f>
        <v/>
      </c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5">
        <f>IF(B12="","",IF(AND(O12="Yes",P12="Yes"),"Compliant",IF(OR(O12="Partial",P12="Planned"),"Partial","Non-Compliant")))</f>
        <v/>
      </c>
    </row>
    <row r="13">
      <c r="A13" s="15">
        <f>IF(B13&lt;&gt;"","SYS-"&amp;TEXT(ROW()-5,"000"),"")</f>
        <v/>
      </c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5">
        <f>IF(B13="","",IF(AND(O13="Yes",P13="Yes"),"Compliant",IF(OR(O13="Partial",P13="Planned"),"Partial","Non-Compliant")))</f>
        <v/>
      </c>
    </row>
    <row r="14">
      <c r="A14" s="15">
        <f>IF(B14&lt;&gt;"","SYS-"&amp;TEXT(ROW()-5,"000"),"")</f>
        <v/>
      </c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5">
        <f>IF(B14="","",IF(AND(O14="Yes",P14="Yes"),"Compliant",IF(OR(O14="Partial",P14="Planned"),"Partial","Non-Compliant")))</f>
        <v/>
      </c>
    </row>
    <row r="15">
      <c r="A15" s="15">
        <f>IF(B15&lt;&gt;"","SYS-"&amp;TEXT(ROW()-5,"000"),"")</f>
        <v/>
      </c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5">
        <f>IF(B15="","",IF(AND(O15="Yes",P15="Yes"),"Compliant",IF(OR(O15="Partial",P15="Planned"),"Partial","Non-Compliant")))</f>
        <v/>
      </c>
    </row>
    <row r="16">
      <c r="A16" s="15">
        <f>IF(B16&lt;&gt;"","SYS-"&amp;TEXT(ROW()-5,"000"),"")</f>
        <v/>
      </c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5">
        <f>IF(B16="","",IF(AND(O16="Yes",P16="Yes"),"Compliant",IF(OR(O16="Partial",P16="Planned"),"Partial","Non-Compliant")))</f>
        <v/>
      </c>
    </row>
    <row r="17">
      <c r="A17" s="15">
        <f>IF(B17&lt;&gt;"","SYS-"&amp;TEXT(ROW()-5,"000"),"")</f>
        <v/>
      </c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5">
        <f>IF(B17="","",IF(AND(O17="Yes",P17="Yes"),"Compliant",IF(OR(O17="Partial",P17="Planned"),"Partial","Non-Compliant")))</f>
        <v/>
      </c>
    </row>
    <row r="18">
      <c r="A18" s="15">
        <f>IF(B18&lt;&gt;"","SYS-"&amp;TEXT(ROW()-5,"000"),"")</f>
        <v/>
      </c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5">
        <f>IF(B18="","",IF(AND(O18="Yes",P18="Yes"),"Compliant",IF(OR(O18="Partial",P18="Planned"),"Partial","Non-Compliant")))</f>
        <v/>
      </c>
    </row>
    <row r="19">
      <c r="A19" s="15">
        <f>IF(B19&lt;&gt;"","SYS-"&amp;TEXT(ROW()-5,"000"),"")</f>
        <v/>
      </c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5">
        <f>IF(B19="","",IF(AND(O19="Yes",P19="Yes"),"Compliant",IF(OR(O19="Partial",P19="Planned"),"Partial","Non-Compliant")))</f>
        <v/>
      </c>
    </row>
    <row r="20">
      <c r="A20" s="15">
        <f>IF(B20&lt;&gt;"","SYS-"&amp;TEXT(ROW()-5,"000"),"")</f>
        <v/>
      </c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5">
        <f>IF(B20="","",IF(AND(O20="Yes",P20="Yes"),"Compliant",IF(OR(O20="Partial",P20="Planned"),"Partial","Non-Compliant")))</f>
        <v/>
      </c>
    </row>
    <row r="21">
      <c r="A21" s="15">
        <f>IF(B21&lt;&gt;"","SYS-"&amp;TEXT(ROW()-5,"000"),"")</f>
        <v/>
      </c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5">
        <f>IF(B21="","",IF(AND(O21="Yes",P21="Yes"),"Compliant",IF(OR(O21="Partial",P21="Planned"),"Partial","Non-Compliant")))</f>
        <v/>
      </c>
    </row>
    <row r="22">
      <c r="A22" s="15">
        <f>IF(B22&lt;&gt;"","SYS-"&amp;TEXT(ROW()-5,"000"),"")</f>
        <v/>
      </c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5">
        <f>IF(B22="","",IF(AND(O22="Yes",P22="Yes"),"Compliant",IF(OR(O22="Partial",P22="Planned"),"Partial","Non-Compliant")))</f>
        <v/>
      </c>
    </row>
    <row r="23">
      <c r="A23" s="15">
        <f>IF(B23&lt;&gt;"","SYS-"&amp;TEXT(ROW()-5,"000"),"")</f>
        <v/>
      </c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5">
        <f>IF(B23="","",IF(AND(O23="Yes",P23="Yes"),"Compliant",IF(OR(O23="Partial",P23="Planned"),"Partial","Non-Compliant")))</f>
        <v/>
      </c>
    </row>
    <row r="24">
      <c r="A24" s="15">
        <f>IF(B24&lt;&gt;"","SYS-"&amp;TEXT(ROW()-5,"000"),"")</f>
        <v/>
      </c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5">
        <f>IF(B24="","",IF(AND(O24="Yes",P24="Yes"),"Compliant",IF(OR(O24="Partial",P24="Planned"),"Partial","Non-Compliant")))</f>
        <v/>
      </c>
    </row>
    <row r="25">
      <c r="A25" s="15">
        <f>IF(B25&lt;&gt;"","SYS-"&amp;TEXT(ROW()-5,"000"),"")</f>
        <v/>
      </c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5">
        <f>IF(B25="","",IF(AND(O25="Yes",P25="Yes"),"Compliant",IF(OR(O25="Partial",P25="Planned"),"Partial","Non-Compliant")))</f>
        <v/>
      </c>
    </row>
    <row r="26">
      <c r="A26" s="15">
        <f>IF(B26&lt;&gt;"","SYS-"&amp;TEXT(ROW()-5,"000"),"")</f>
        <v/>
      </c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5">
        <f>IF(B26="","",IF(AND(O26="Yes",P26="Yes"),"Compliant",IF(OR(O26="Partial",P26="Planned"),"Partial","Non-Compliant")))</f>
        <v/>
      </c>
    </row>
    <row r="27">
      <c r="A27" s="15">
        <f>IF(B27&lt;&gt;"","SYS-"&amp;TEXT(ROW()-5,"000"),"")</f>
        <v/>
      </c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5">
        <f>IF(B27="","",IF(AND(O27="Yes",P27="Yes"),"Compliant",IF(OR(O27="Partial",P27="Planned"),"Partial","Non-Compliant")))</f>
        <v/>
      </c>
    </row>
    <row r="28">
      <c r="A28" s="15">
        <f>IF(B28&lt;&gt;"","SYS-"&amp;TEXT(ROW()-5,"000"),"")</f>
        <v/>
      </c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5">
        <f>IF(B28="","",IF(AND(O28="Yes",P28="Yes"),"Compliant",IF(OR(O28="Partial",P28="Planned"),"Partial","Non-Compliant")))</f>
        <v/>
      </c>
    </row>
    <row r="29">
      <c r="A29" s="15">
        <f>IF(B29&lt;&gt;"","SYS-"&amp;TEXT(ROW()-5,"000"),"")</f>
        <v/>
      </c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5">
        <f>IF(B29="","",IF(AND(O29="Yes",P29="Yes"),"Compliant",IF(OR(O29="Partial",P29="Planned"),"Partial","Non-Compliant")))</f>
        <v/>
      </c>
    </row>
    <row r="30">
      <c r="A30" s="15">
        <f>IF(B30&lt;&gt;"","SYS-"&amp;TEXT(ROW()-5,"000"),"")</f>
        <v/>
      </c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5">
        <f>IF(B30="","",IF(AND(O30="Yes",P30="Yes"),"Compliant",IF(OR(O30="Partial",P30="Planned"),"Partial","Non-Compliant")))</f>
        <v/>
      </c>
    </row>
    <row r="31">
      <c r="A31" s="15">
        <f>IF(B31&lt;&gt;"","SYS-"&amp;TEXT(ROW()-5,"000"),"")</f>
        <v/>
      </c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5">
        <f>IF(B31="","",IF(AND(O31="Yes",P31="Yes"),"Compliant",IF(OR(O31="Partial",P31="Planned"),"Partial","Non-Compliant")))</f>
        <v/>
      </c>
    </row>
    <row r="32">
      <c r="A32" s="15">
        <f>IF(B32&lt;&gt;"","SYS-"&amp;TEXT(ROW()-5,"000"),"")</f>
        <v/>
      </c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5">
        <f>IF(B32="","",IF(AND(O32="Yes",P32="Yes"),"Compliant",IF(OR(O32="Partial",P32="Planned"),"Partial","Non-Compliant")))</f>
        <v/>
      </c>
    </row>
    <row r="33">
      <c r="A33" s="15">
        <f>IF(B33&lt;&gt;"","SYS-"&amp;TEXT(ROW()-5,"000"),"")</f>
        <v/>
      </c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5">
        <f>IF(B33="","",IF(AND(O33="Yes",P33="Yes"),"Compliant",IF(OR(O33="Partial",P33="Planned"),"Partial","Non-Compliant")))</f>
        <v/>
      </c>
    </row>
    <row r="34">
      <c r="A34" s="15">
        <f>IF(B34&lt;&gt;"","SYS-"&amp;TEXT(ROW()-5,"000"),"")</f>
        <v/>
      </c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5">
        <f>IF(B34="","",IF(AND(O34="Yes",P34="Yes"),"Compliant",IF(OR(O34="Partial",P34="Planned"),"Partial","Non-Compliant")))</f>
        <v/>
      </c>
    </row>
    <row r="35">
      <c r="A35" s="15">
        <f>IF(B35&lt;&gt;"","SYS-"&amp;TEXT(ROW()-5,"000"),"")</f>
        <v/>
      </c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5">
        <f>IF(B35="","",IF(AND(O35="Yes",P35="Yes"),"Compliant",IF(OR(O35="Partial",P35="Planned"),"Partial","Non-Compliant")))</f>
        <v/>
      </c>
    </row>
    <row r="36">
      <c r="A36" s="15">
        <f>IF(B36&lt;&gt;"","SYS-"&amp;TEXT(ROW()-5,"000"),"")</f>
        <v/>
      </c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5">
        <f>IF(B36="","",IF(AND(O36="Yes",P36="Yes"),"Compliant",IF(OR(O36="Partial",P36="Planned"),"Partial","Non-Compliant")))</f>
        <v/>
      </c>
    </row>
    <row r="37">
      <c r="A37" s="15">
        <f>IF(B37&lt;&gt;"","SYS-"&amp;TEXT(ROW()-5,"000"),"")</f>
        <v/>
      </c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5">
        <f>IF(B37="","",IF(AND(O37="Yes",P37="Yes"),"Compliant",IF(OR(O37="Partial",P37="Planned"),"Partial","Non-Compliant")))</f>
        <v/>
      </c>
    </row>
    <row r="38">
      <c r="A38" s="15">
        <f>IF(B38&lt;&gt;"","SYS-"&amp;TEXT(ROW()-5,"000"),"")</f>
        <v/>
      </c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5">
        <f>IF(B38="","",IF(AND(O38="Yes",P38="Yes"),"Compliant",IF(OR(O38="Partial",P38="Planned"),"Partial","Non-Compliant")))</f>
        <v/>
      </c>
    </row>
    <row r="39">
      <c r="A39" s="15">
        <f>IF(B39&lt;&gt;"","SYS-"&amp;TEXT(ROW()-5,"000"),"")</f>
        <v/>
      </c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5">
        <f>IF(B39="","",IF(AND(O39="Yes",P39="Yes"),"Compliant",IF(OR(O39="Partial",P39="Planned"),"Partial","Non-Compliant")))</f>
        <v/>
      </c>
    </row>
    <row r="40">
      <c r="A40" s="15">
        <f>IF(B40&lt;&gt;"","SYS-"&amp;TEXT(ROW()-5,"000"),"")</f>
        <v/>
      </c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5">
        <f>IF(B40="","",IF(AND(O40="Yes",P40="Yes"),"Compliant",IF(OR(O40="Partial",P40="Planned"),"Partial","Non-Compliant")))</f>
        <v/>
      </c>
    </row>
    <row r="41">
      <c r="A41" s="15">
        <f>IF(B41&lt;&gt;"","SYS-"&amp;TEXT(ROW()-5,"000"),"")</f>
        <v/>
      </c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5">
        <f>IF(B41="","",IF(AND(O41="Yes",P41="Yes"),"Compliant",IF(OR(O41="Partial",P41="Planned"),"Partial","Non-Compliant")))</f>
        <v/>
      </c>
    </row>
    <row r="42">
      <c r="A42" s="15">
        <f>IF(B42&lt;&gt;"","SYS-"&amp;TEXT(ROW()-5,"000"),"")</f>
        <v/>
      </c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5">
        <f>IF(B42="","",IF(AND(O42="Yes",P42="Yes"),"Compliant",IF(OR(O42="Partial",P42="Planned"),"Partial","Non-Compliant")))</f>
        <v/>
      </c>
    </row>
    <row r="43">
      <c r="A43" s="15">
        <f>IF(B43&lt;&gt;"","SYS-"&amp;TEXT(ROW()-5,"000"),"")</f>
        <v/>
      </c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5">
        <f>IF(B43="","",IF(AND(O43="Yes",P43="Yes"),"Compliant",IF(OR(O43="Partial",P43="Planned"),"Partial","Non-Compliant")))</f>
        <v/>
      </c>
    </row>
    <row r="44">
      <c r="A44" s="15">
        <f>IF(B44&lt;&gt;"","SYS-"&amp;TEXT(ROW()-5,"000"),"")</f>
        <v/>
      </c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5">
        <f>IF(B44="","",IF(AND(O44="Yes",P44="Yes"),"Compliant",IF(OR(O44="Partial",P44="Planned"),"Partial","Non-Compliant")))</f>
        <v/>
      </c>
    </row>
    <row r="45">
      <c r="A45" s="15">
        <f>IF(B45&lt;&gt;"","SYS-"&amp;TEXT(ROW()-5,"000"),"")</f>
        <v/>
      </c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5">
        <f>IF(B45="","",IF(AND(O45="Yes",P45="Yes"),"Compliant",IF(OR(O45="Partial",P45="Planned"),"Partial","Non-Compliant")))</f>
        <v/>
      </c>
    </row>
    <row r="46">
      <c r="A46" s="15">
        <f>IF(B46&lt;&gt;"","SYS-"&amp;TEXT(ROW()-5,"000"),"")</f>
        <v/>
      </c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5">
        <f>IF(B46="","",IF(AND(O46="Yes",P46="Yes"),"Compliant",IF(OR(O46="Partial",P46="Planned"),"Partial","Non-Compliant")))</f>
        <v/>
      </c>
    </row>
    <row r="47">
      <c r="A47" s="15">
        <f>IF(B47&lt;&gt;"","SYS-"&amp;TEXT(ROW()-5,"000"),"")</f>
        <v/>
      </c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5">
        <f>IF(B47="","",IF(AND(O47="Yes",P47="Yes"),"Compliant",IF(OR(O47="Partial",P47="Planned"),"Partial","Non-Compliant")))</f>
        <v/>
      </c>
    </row>
    <row r="48">
      <c r="A48" s="15">
        <f>IF(B48&lt;&gt;"","SYS-"&amp;TEXT(ROW()-5,"000"),"")</f>
        <v/>
      </c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5">
        <f>IF(B48="","",IF(AND(O48="Yes",P48="Yes"),"Compliant",IF(OR(O48="Partial",P48="Planned"),"Partial","Non-Compliant")))</f>
        <v/>
      </c>
    </row>
    <row r="49">
      <c r="A49" s="15">
        <f>IF(B49&lt;&gt;"","SYS-"&amp;TEXT(ROW()-5,"000"),"")</f>
        <v/>
      </c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5">
        <f>IF(B49="","",IF(AND(O49="Yes",P49="Yes"),"Compliant",IF(OR(O49="Partial",P49="Planned"),"Partial","Non-Compliant")))</f>
        <v/>
      </c>
    </row>
    <row r="50">
      <c r="A50" s="15">
        <f>IF(B50&lt;&gt;"","SYS-"&amp;TEXT(ROW()-5,"000"),"")</f>
        <v/>
      </c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5">
        <f>IF(B50="","",IF(AND(O50="Yes",P50="Yes"),"Compliant",IF(OR(O50="Partial",P50="Planned"),"Partial","Non-Compliant")))</f>
        <v/>
      </c>
    </row>
    <row r="51">
      <c r="A51" s="15">
        <f>IF(B51&lt;&gt;"","SYS-"&amp;TEXT(ROW()-5,"000"),"")</f>
        <v/>
      </c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5">
        <f>IF(B51="","",IF(AND(O51="Yes",P51="Yes"),"Compliant",IF(OR(O51="Partial",P51="Planned"),"Partial","Non-Compliant")))</f>
        <v/>
      </c>
    </row>
    <row r="52">
      <c r="A52" s="15">
        <f>IF(B52&lt;&gt;"","SYS-"&amp;TEXT(ROW()-5,"000"),"")</f>
        <v/>
      </c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5">
        <f>IF(B52="","",IF(AND(O52="Yes",P52="Yes"),"Compliant",IF(OR(O52="Partial",P52="Planned"),"Partial","Non-Compliant")))</f>
        <v/>
      </c>
    </row>
    <row r="53">
      <c r="A53" s="15">
        <f>IF(B53&lt;&gt;"","SYS-"&amp;TEXT(ROW()-5,"000"),"")</f>
        <v/>
      </c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5">
        <f>IF(B53="","",IF(AND(O53="Yes",P53="Yes"),"Compliant",IF(OR(O53="Partial",P53="Planned"),"Partial","Non-Compliant")))</f>
        <v/>
      </c>
    </row>
    <row r="54">
      <c r="A54" s="15">
        <f>IF(B54&lt;&gt;"","SYS-"&amp;TEXT(ROW()-5,"000"),"")</f>
        <v/>
      </c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5">
        <f>IF(B54="","",IF(AND(O54="Yes",P54="Yes"),"Compliant",IF(OR(O54="Partial",P54="Planned"),"Partial","Non-Compliant")))</f>
        <v/>
      </c>
    </row>
    <row r="55">
      <c r="A55" s="15">
        <f>IF(B55&lt;&gt;"","SYS-"&amp;TEXT(ROW()-5,"000"),"")</f>
        <v/>
      </c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5">
        <f>IF(B55="","",IF(AND(O55="Yes",P55="Yes"),"Compliant",IF(OR(O55="Partial",P55="Planned"),"Partial","Non-Compliant")))</f>
        <v/>
      </c>
    </row>
  </sheetData>
  <mergeCells count="2">
    <mergeCell ref="A2:Q2"/>
    <mergeCell ref="A1:Q1"/>
  </mergeCells>
  <conditionalFormatting sqref="Q6:Q55">
    <cfRule type="cellIs" priority="1" operator="equal" dxfId="0" stopIfTrue="1">
      <formula>"Compliant"</formula>
    </cfRule>
    <cfRule type="cellIs" priority="2" operator="equal" dxfId="1" stopIfTrue="1">
      <formula>"Partial"</formula>
    </cfRule>
    <cfRule type="cellIs" priority="3" operator="equal" dxfId="2" stopIfTrue="1">
      <formula>"Non-Compliant"</formula>
    </cfRule>
  </conditionalFormatting>
  <dataValidations count="8">
    <dataValidation sqref="C6:C55" showDropDown="0" showInputMessage="0" showErrorMessage="0" allowBlank="0" type="list">
      <formula1>"Server,Network Device,Security Appliance,Application,Cloud Service,Database,Other"</formula1>
    </dataValidation>
    <dataValidation sqref="D6:D55" showDropDown="0" showInputMessage="0" showErrorMessage="0" allowBlank="0" type="list">
      <formula1>"Windows,Linux,Unix,Network OS,Cloud,Application Platform,Other"</formula1>
    </dataValidation>
    <dataValidation sqref="E6:E55" showDropDown="0" showInputMessage="0" showErrorMessage="0" allowBlank="0" type="list">
      <formula1>"Production,Staging,Development,Test"</formula1>
    </dataValidation>
    <dataValidation sqref="F6:F55" showDropDown="0" showInputMessage="0" showErrorMessage="0" allowBlank="0" type="list">
      <formula1>"Public,Internal,Confidential,Restricted"</formula1>
    </dataValidation>
    <dataValidation sqref="G6:G55" showDropDown="0" showInputMessage="0" showErrorMessage="0" allowBlank="0" type="list">
      <formula1>"Critical (T1),High (T2),Medium (T3),Low (T4)"</formula1>
    </dataValidation>
    <dataValidation sqref="I6:I55" showDropDown="0" showInputMessage="0" showErrorMessage="0" allowBlank="0" type="list">
      <formula1>"P1-Critical,P2-High,P3-Medium,P4-Low"</formula1>
    </dataValidation>
    <dataValidation sqref="O6:O55" showDropDown="0" showInputMessage="0" showErrorMessage="0" allowBlank="0" type="list">
      <formula1>"✅ Yes,❌ No,⚠️ Partial,❓ Unknown"</formula1>
    </dataValidation>
    <dataValidation sqref="P6:P55" showDropDown="0" showInputMessage="0" showErrorMessage="0" allowBlank="0" type="list">
      <formula1>"✅ Yes,❌ No,⌛ Planned,➖ 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8" customWidth="1" min="12" max="12"/>
    <col width="15" customWidth="1" min="13" max="13"/>
    <col width="20" customWidth="1" min="14" max="14"/>
    <col width="20" customWidth="1" min="15" max="15"/>
    <col width="15" customWidth="1" min="16" max="16"/>
    <col width="20" customWidth="1" min="17" max="17"/>
    <col width="20" customWidth="1" min="18" max="18"/>
    <col width="40" customWidth="1" min="19" max="19"/>
  </cols>
  <sheetData>
    <row r="1" ht="35" customHeight="1">
      <c r="A1" s="11" t="inlineStr">
        <is>
          <t>LOG EVENT TYPES BY SYSTEM</t>
        </is>
      </c>
    </row>
    <row r="2">
      <c r="A2" s="12" t="inlineStr">
        <is>
          <t>For each system, document which event types are logged. This assesses logging completeness per ISMS-POL-A.8.15-S2.1</t>
        </is>
      </c>
    </row>
    <row r="4">
      <c r="A4" s="13" t="inlineStr">
        <is>
          <t>System ID</t>
        </is>
      </c>
      <c r="B4" s="13" t="inlineStr">
        <is>
          <t>System Name</t>
        </is>
      </c>
      <c r="C4" s="13" t="inlineStr">
        <is>
          <t>Authentication Events</t>
        </is>
      </c>
      <c r="D4" s="13" t="inlineStr">
        <is>
          <t>Authorisation Events</t>
        </is>
      </c>
      <c r="E4" s="13" t="inlineStr">
        <is>
          <t>Administrative Actions</t>
        </is>
      </c>
      <c r="F4" s="13" t="inlineStr">
        <is>
          <t>Security Events</t>
        </is>
      </c>
      <c r="G4" s="13" t="inlineStr">
        <is>
          <t>Application Events</t>
        </is>
      </c>
      <c r="H4" s="13" t="inlineStr">
        <is>
          <t>System Events</t>
        </is>
      </c>
      <c r="I4" s="13" t="inlineStr">
        <is>
          <t>Network Events</t>
        </is>
      </c>
      <c r="J4" s="13" t="inlineStr">
        <is>
          <t>Database Events</t>
        </is>
      </c>
      <c r="K4" s="13" t="inlineStr">
        <is>
          <t>Log Format</t>
        </is>
      </c>
      <c r="L4" s="13" t="inlineStr">
        <is>
          <t>Timestamp Format</t>
        </is>
      </c>
      <c r="M4" s="13" t="inlineStr">
        <is>
          <t>Timezone</t>
        </is>
      </c>
      <c r="N4" s="13" t="inlineStr">
        <is>
          <t>Est. Daily Volume (MB)</t>
        </is>
      </c>
      <c r="O4" s="13" t="inlineStr">
        <is>
          <t>Retention Period (months)</t>
        </is>
      </c>
      <c r="P4" s="13" t="inlineStr">
        <is>
          <t>Storage Tier</t>
        </is>
      </c>
      <c r="Q4" s="13" t="inlineStr">
        <is>
          <t>Protection Mechanisms</t>
        </is>
      </c>
      <c r="R4" s="13" t="inlineStr">
        <is>
          <t>Event Types Completeness</t>
        </is>
      </c>
      <c r="S4" s="13" t="inlineStr">
        <is>
          <t>Notes</t>
        </is>
      </c>
    </row>
    <row r="5">
      <c r="A5" s="14" t="inlineStr">
        <is>
          <t>SYS-001</t>
        </is>
      </c>
      <c r="B5" s="14" t="inlineStr">
        <is>
          <t>web-prod-01</t>
        </is>
      </c>
      <c r="C5" s="14" t="inlineStr">
        <is>
          <t>Yes</t>
        </is>
      </c>
      <c r="D5" s="14" t="inlineStr">
        <is>
          <t>Yes</t>
        </is>
      </c>
      <c r="E5" s="14" t="inlineStr">
        <is>
          <t>Yes</t>
        </is>
      </c>
      <c r="F5" s="14" t="inlineStr">
        <is>
          <t>Yes</t>
        </is>
      </c>
      <c r="G5" s="14" t="inlineStr">
        <is>
          <t>Yes</t>
        </is>
      </c>
      <c r="H5" s="14" t="inlineStr">
        <is>
          <t>Partial</t>
        </is>
      </c>
      <c r="I5" s="14" t="inlineStr">
        <is>
          <t>Partial</t>
        </is>
      </c>
      <c r="J5" s="14" t="inlineStr">
        <is>
          <t>N/A</t>
        </is>
      </c>
      <c r="K5" s="14" t="inlineStr">
        <is>
          <t>Syslog</t>
        </is>
      </c>
      <c r="L5" s="14" t="inlineStr">
        <is>
          <t>ISO 8601</t>
        </is>
      </c>
      <c r="M5" s="14" t="inlineStr">
        <is>
          <t>UTC</t>
        </is>
      </c>
      <c r="N5" s="14" t="inlineStr">
        <is>
          <t>150</t>
        </is>
      </c>
      <c r="O5" s="14" t="inlineStr">
        <is>
          <t>12</t>
        </is>
      </c>
      <c r="P5" s="14" t="inlineStr">
        <is>
          <t>Hot</t>
        </is>
      </c>
      <c r="Q5" s="14" t="inlineStr">
        <is>
          <t>Access Controls, Encryption</t>
        </is>
      </c>
      <c r="R5" s="14" t="inlineStr">
        <is>
          <t>87.5%</t>
        </is>
      </c>
      <c r="S5" s="14" t="inlineStr">
        <is>
          <t>Web server logs include app events</t>
        </is>
      </c>
    </row>
    <row r="6">
      <c r="A6" s="16" t="n"/>
      <c r="B6" s="15">
        <f>IF(A6="","",IFERROR(VLOOKUP(A6,'System Inventory'!A:B,2,FALSE),"Not Found"))</f>
        <v/>
      </c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6" t="n"/>
      <c r="Q6" s="16" t="n"/>
      <c r="R6" s="17">
        <f>IF(A6="","",COUNTIF(C6:J6,"*Yes*")/COUNTA(C6:J6))</f>
        <v/>
      </c>
      <c r="S6" s="16" t="n"/>
    </row>
    <row r="7">
      <c r="A7" s="16" t="n"/>
      <c r="B7" s="15">
        <f>IF(A7="","",IFERROR(VLOOKUP(A7,'System Inventory'!A:B,2,FALSE),"Not Found"))</f>
        <v/>
      </c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7">
        <f>IF(A7="","",COUNTIF(C7:J7,"*Yes*")/COUNTA(C7:J7))</f>
        <v/>
      </c>
      <c r="S7" s="16" t="n"/>
    </row>
    <row r="8">
      <c r="A8" s="16" t="n"/>
      <c r="B8" s="15">
        <f>IF(A8="","",IFERROR(VLOOKUP(A8,'System Inventory'!A:B,2,FALSE),"Not Found"))</f>
        <v/>
      </c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7">
        <f>IF(A8="","",COUNTIF(C8:J8,"*Yes*")/COUNTA(C8:J8))</f>
        <v/>
      </c>
      <c r="S8" s="16" t="n"/>
    </row>
    <row r="9">
      <c r="A9" s="16" t="n"/>
      <c r="B9" s="15">
        <f>IF(A9="","",IFERROR(VLOOKUP(A9,'System Inventory'!A:B,2,FALSE),"Not Found"))</f>
        <v/>
      </c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7">
        <f>IF(A9="","",COUNTIF(C9:J9,"*Yes*")/COUNTA(C9:J9))</f>
        <v/>
      </c>
      <c r="S9" s="16" t="n"/>
    </row>
    <row r="10">
      <c r="A10" s="16" t="n"/>
      <c r="B10" s="15">
        <f>IF(A10="","",IFERROR(VLOOKUP(A10,'System Inventory'!A:B,2,FALSE),"Not Found"))</f>
        <v/>
      </c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7">
        <f>IF(A10="","",COUNTIF(C10:J10,"*Yes*")/COUNTA(C10:J10))</f>
        <v/>
      </c>
      <c r="S10" s="16" t="n"/>
    </row>
    <row r="11">
      <c r="A11" s="16" t="n"/>
      <c r="B11" s="15">
        <f>IF(A11="","",IFERROR(VLOOKUP(A11,'System Inventory'!A:B,2,FALSE),"Not Found"))</f>
        <v/>
      </c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7">
        <f>IF(A11="","",COUNTIF(C11:J11,"*Yes*")/COUNTA(C11:J11))</f>
        <v/>
      </c>
      <c r="S11" s="16" t="n"/>
    </row>
    <row r="12">
      <c r="A12" s="16" t="n"/>
      <c r="B12" s="15">
        <f>IF(A12="","",IFERROR(VLOOKUP(A12,'System Inventory'!A:B,2,FALSE),"Not Found"))</f>
        <v/>
      </c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7">
        <f>IF(A12="","",COUNTIF(C12:J12,"*Yes*")/COUNTA(C12:J12))</f>
        <v/>
      </c>
      <c r="S12" s="16" t="n"/>
    </row>
    <row r="13">
      <c r="A13" s="16" t="n"/>
      <c r="B13" s="15">
        <f>IF(A13="","",IFERROR(VLOOKUP(A13,'System Inventory'!A:B,2,FALSE),"Not Found"))</f>
        <v/>
      </c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7">
        <f>IF(A13="","",COUNTIF(C13:J13,"*Yes*")/COUNTA(C13:J13))</f>
        <v/>
      </c>
      <c r="S13" s="16" t="n"/>
    </row>
    <row r="14">
      <c r="A14" s="16" t="n"/>
      <c r="B14" s="15">
        <f>IF(A14="","",IFERROR(VLOOKUP(A14,'System Inventory'!A:B,2,FALSE),"Not Found"))</f>
        <v/>
      </c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7">
        <f>IF(A14="","",COUNTIF(C14:J14,"*Yes*")/COUNTA(C14:J14))</f>
        <v/>
      </c>
      <c r="S14" s="16" t="n"/>
    </row>
    <row r="15">
      <c r="A15" s="16" t="n"/>
      <c r="B15" s="15">
        <f>IF(A15="","",IFERROR(VLOOKUP(A15,'System Inventory'!A:B,2,FALSE),"Not Found"))</f>
        <v/>
      </c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7">
        <f>IF(A15="","",COUNTIF(C15:J15,"*Yes*")/COUNTA(C15:J15))</f>
        <v/>
      </c>
      <c r="S15" s="16" t="n"/>
    </row>
    <row r="16">
      <c r="A16" s="16" t="n"/>
      <c r="B16" s="15">
        <f>IF(A16="","",IFERROR(VLOOKUP(A16,'System Inventory'!A:B,2,FALSE),"Not Found"))</f>
        <v/>
      </c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7">
        <f>IF(A16="","",COUNTIF(C16:J16,"*Yes*")/COUNTA(C16:J16))</f>
        <v/>
      </c>
      <c r="S16" s="16" t="n"/>
    </row>
    <row r="17">
      <c r="A17" s="16" t="n"/>
      <c r="B17" s="15">
        <f>IF(A17="","",IFERROR(VLOOKUP(A17,'System Inventory'!A:B,2,FALSE),"Not Found"))</f>
        <v/>
      </c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7">
        <f>IF(A17="","",COUNTIF(C17:J17,"*Yes*")/COUNTA(C17:J17))</f>
        <v/>
      </c>
      <c r="S17" s="16" t="n"/>
    </row>
    <row r="18">
      <c r="A18" s="16" t="n"/>
      <c r="B18" s="15">
        <f>IF(A18="","",IFERROR(VLOOKUP(A18,'System Inventory'!A:B,2,FALSE),"Not Found"))</f>
        <v/>
      </c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7">
        <f>IF(A18="","",COUNTIF(C18:J18,"*Yes*")/COUNTA(C18:J18))</f>
        <v/>
      </c>
      <c r="S18" s="16" t="n"/>
    </row>
    <row r="19">
      <c r="A19" s="16" t="n"/>
      <c r="B19" s="15">
        <f>IF(A19="","",IFERROR(VLOOKUP(A19,'System Inventory'!A:B,2,FALSE),"Not Found"))</f>
        <v/>
      </c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7">
        <f>IF(A19="","",COUNTIF(C19:J19,"*Yes*")/COUNTA(C19:J19))</f>
        <v/>
      </c>
      <c r="S19" s="16" t="n"/>
    </row>
    <row r="20">
      <c r="A20" s="16" t="n"/>
      <c r="B20" s="15">
        <f>IF(A20="","",IFERROR(VLOOKUP(A20,'System Inventory'!A:B,2,FALSE),"Not Found"))</f>
        <v/>
      </c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7">
        <f>IF(A20="","",COUNTIF(C20:J20,"*Yes*")/COUNTA(C20:J20))</f>
        <v/>
      </c>
      <c r="S20" s="16" t="n"/>
    </row>
    <row r="21">
      <c r="A21" s="16" t="n"/>
      <c r="B21" s="15">
        <f>IF(A21="","",IFERROR(VLOOKUP(A21,'System Inventory'!A:B,2,FALSE),"Not Found"))</f>
        <v/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7">
        <f>IF(A21="","",COUNTIF(C21:J21,"*Yes*")/COUNTA(C21:J21))</f>
        <v/>
      </c>
      <c r="S21" s="16" t="n"/>
    </row>
    <row r="22">
      <c r="A22" s="16" t="n"/>
      <c r="B22" s="15">
        <f>IF(A22="","",IFERROR(VLOOKUP(A22,'System Inventory'!A:B,2,FALSE),"Not Found"))</f>
        <v/>
      </c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7">
        <f>IF(A22="","",COUNTIF(C22:J22,"*Yes*")/COUNTA(C22:J22))</f>
        <v/>
      </c>
      <c r="S22" s="16" t="n"/>
    </row>
    <row r="23">
      <c r="A23" s="16" t="n"/>
      <c r="B23" s="15">
        <f>IF(A23="","",IFERROR(VLOOKUP(A23,'System Inventory'!A:B,2,FALSE),"Not Found"))</f>
        <v/>
      </c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7">
        <f>IF(A23="","",COUNTIF(C23:J23,"*Yes*")/COUNTA(C23:J23))</f>
        <v/>
      </c>
      <c r="S23" s="16" t="n"/>
    </row>
    <row r="24">
      <c r="A24" s="16" t="n"/>
      <c r="B24" s="15">
        <f>IF(A24="","",IFERROR(VLOOKUP(A24,'System Inventory'!A:B,2,FALSE),"Not Found"))</f>
        <v/>
      </c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7">
        <f>IF(A24="","",COUNTIF(C24:J24,"*Yes*")/COUNTA(C24:J24))</f>
        <v/>
      </c>
      <c r="S24" s="16" t="n"/>
    </row>
    <row r="25">
      <c r="A25" s="16" t="n"/>
      <c r="B25" s="15">
        <f>IF(A25="","",IFERROR(VLOOKUP(A25,'System Inventory'!A:B,2,FALSE),"Not Found"))</f>
        <v/>
      </c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7">
        <f>IF(A25="","",COUNTIF(C25:J25,"*Yes*")/COUNTA(C25:J25))</f>
        <v/>
      </c>
      <c r="S25" s="16" t="n"/>
    </row>
    <row r="26">
      <c r="A26" s="16" t="n"/>
      <c r="B26" s="15">
        <f>IF(A26="","",IFERROR(VLOOKUP(A26,'System Inventory'!A:B,2,FALSE),"Not Found"))</f>
        <v/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7">
        <f>IF(A26="","",COUNTIF(C26:J26,"*Yes*")/COUNTA(C26:J26))</f>
        <v/>
      </c>
      <c r="S26" s="16" t="n"/>
    </row>
    <row r="27">
      <c r="A27" s="16" t="n"/>
      <c r="B27" s="15">
        <f>IF(A27="","",IFERROR(VLOOKUP(A27,'System Inventory'!A:B,2,FALSE),"Not Found"))</f>
        <v/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7">
        <f>IF(A27="","",COUNTIF(C27:J27,"*Yes*")/COUNTA(C27:J27))</f>
        <v/>
      </c>
      <c r="S27" s="16" t="n"/>
    </row>
    <row r="28">
      <c r="A28" s="16" t="n"/>
      <c r="B28" s="15">
        <f>IF(A28="","",IFERROR(VLOOKUP(A28,'System Inventory'!A:B,2,FALSE),"Not Found"))</f>
        <v/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7">
        <f>IF(A28="","",COUNTIF(C28:J28,"*Yes*")/COUNTA(C28:J28))</f>
        <v/>
      </c>
      <c r="S28" s="16" t="n"/>
    </row>
    <row r="29">
      <c r="A29" s="16" t="n"/>
      <c r="B29" s="15">
        <f>IF(A29="","",IFERROR(VLOOKUP(A29,'System Inventory'!A:B,2,FALSE),"Not Found"))</f>
        <v/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7">
        <f>IF(A29="","",COUNTIF(C29:J29,"*Yes*")/COUNTA(C29:J29))</f>
        <v/>
      </c>
      <c r="S29" s="16" t="n"/>
    </row>
    <row r="30">
      <c r="A30" s="16" t="n"/>
      <c r="B30" s="15">
        <f>IF(A30="","",IFERROR(VLOOKUP(A30,'System Inventory'!A:B,2,FALSE),"Not Found"))</f>
        <v/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7">
        <f>IF(A30="","",COUNTIF(C30:J30,"*Yes*")/COUNTA(C30:J30))</f>
        <v/>
      </c>
      <c r="S30" s="16" t="n"/>
    </row>
    <row r="31">
      <c r="A31" s="16" t="n"/>
      <c r="B31" s="15">
        <f>IF(A31="","",IFERROR(VLOOKUP(A31,'System Inventory'!A:B,2,FALSE),"Not Found"))</f>
        <v/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7">
        <f>IF(A31="","",COUNTIF(C31:J31,"*Yes*")/COUNTA(C31:J31))</f>
        <v/>
      </c>
      <c r="S31" s="16" t="n"/>
    </row>
    <row r="32">
      <c r="A32" s="16" t="n"/>
      <c r="B32" s="15">
        <f>IF(A32="","",IFERROR(VLOOKUP(A32,'System Inventory'!A:B,2,FALSE),"Not Found"))</f>
        <v/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7">
        <f>IF(A32="","",COUNTIF(C32:J32,"*Yes*")/COUNTA(C32:J32))</f>
        <v/>
      </c>
      <c r="S32" s="16" t="n"/>
    </row>
    <row r="33">
      <c r="A33" s="16" t="n"/>
      <c r="B33" s="15">
        <f>IF(A33="","",IFERROR(VLOOKUP(A33,'System Inventory'!A:B,2,FALSE),"Not Found"))</f>
        <v/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7">
        <f>IF(A33="","",COUNTIF(C33:J33,"*Yes*")/COUNTA(C33:J33))</f>
        <v/>
      </c>
      <c r="S33" s="16" t="n"/>
    </row>
    <row r="34">
      <c r="A34" s="16" t="n"/>
      <c r="B34" s="15">
        <f>IF(A34="","",IFERROR(VLOOKUP(A34,'System Inventory'!A:B,2,FALSE),"Not Found"))</f>
        <v/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7">
        <f>IF(A34="","",COUNTIF(C34:J34,"*Yes*")/COUNTA(C34:J34))</f>
        <v/>
      </c>
      <c r="S34" s="16" t="n"/>
    </row>
    <row r="35">
      <c r="A35" s="16" t="n"/>
      <c r="B35" s="15">
        <f>IF(A35="","",IFERROR(VLOOKUP(A35,'System Inventory'!A:B,2,FALSE),"Not Found"))</f>
        <v/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7">
        <f>IF(A35="","",COUNTIF(C35:J35,"*Yes*")/COUNTA(C35:J35))</f>
        <v/>
      </c>
      <c r="S35" s="16" t="n"/>
    </row>
    <row r="36">
      <c r="A36" s="16" t="n"/>
      <c r="B36" s="15">
        <f>IF(A36="","",IFERROR(VLOOKUP(A36,'System Inventory'!A:B,2,FALSE),"Not Found"))</f>
        <v/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7">
        <f>IF(A36="","",COUNTIF(C36:J36,"*Yes*")/COUNTA(C36:J36))</f>
        <v/>
      </c>
      <c r="S36" s="16" t="n"/>
    </row>
    <row r="37">
      <c r="A37" s="16" t="n"/>
      <c r="B37" s="15">
        <f>IF(A37="","",IFERROR(VLOOKUP(A37,'System Inventory'!A:B,2,FALSE),"Not Found"))</f>
        <v/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7">
        <f>IF(A37="","",COUNTIF(C37:J37,"*Yes*")/COUNTA(C37:J37))</f>
        <v/>
      </c>
      <c r="S37" s="16" t="n"/>
    </row>
    <row r="38">
      <c r="A38" s="16" t="n"/>
      <c r="B38" s="15">
        <f>IF(A38="","",IFERROR(VLOOKUP(A38,'System Inventory'!A:B,2,FALSE),"Not Found"))</f>
        <v/>
      </c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7">
        <f>IF(A38="","",COUNTIF(C38:J38,"*Yes*")/COUNTA(C38:J38))</f>
        <v/>
      </c>
      <c r="S38" s="16" t="n"/>
    </row>
    <row r="39">
      <c r="A39" s="16" t="n"/>
      <c r="B39" s="15">
        <f>IF(A39="","",IFERROR(VLOOKUP(A39,'System Inventory'!A:B,2,FALSE),"Not Found"))</f>
        <v/>
      </c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7">
        <f>IF(A39="","",COUNTIF(C39:J39,"*Yes*")/COUNTA(C39:J39))</f>
        <v/>
      </c>
      <c r="S39" s="16" t="n"/>
    </row>
    <row r="40">
      <c r="A40" s="16" t="n"/>
      <c r="B40" s="15">
        <f>IF(A40="","",IFERROR(VLOOKUP(A40,'System Inventory'!A:B,2,FALSE),"Not Found"))</f>
        <v/>
      </c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7">
        <f>IF(A40="","",COUNTIF(C40:J40,"*Yes*")/COUNTA(C40:J40))</f>
        <v/>
      </c>
      <c r="S40" s="16" t="n"/>
    </row>
    <row r="41">
      <c r="A41" s="16" t="n"/>
      <c r="B41" s="15">
        <f>IF(A41="","",IFERROR(VLOOKUP(A41,'System Inventory'!A:B,2,FALSE),"Not Found"))</f>
        <v/>
      </c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7">
        <f>IF(A41="","",COUNTIF(C41:J41,"*Yes*")/COUNTA(C41:J41))</f>
        <v/>
      </c>
      <c r="S41" s="16" t="n"/>
    </row>
    <row r="42">
      <c r="A42" s="16" t="n"/>
      <c r="B42" s="15">
        <f>IF(A42="","",IFERROR(VLOOKUP(A42,'System Inventory'!A:B,2,FALSE),"Not Found"))</f>
        <v/>
      </c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7">
        <f>IF(A42="","",COUNTIF(C42:J42,"*Yes*")/COUNTA(C42:J42))</f>
        <v/>
      </c>
      <c r="S42" s="16" t="n"/>
    </row>
    <row r="43">
      <c r="A43" s="16" t="n"/>
      <c r="B43" s="15">
        <f>IF(A43="","",IFERROR(VLOOKUP(A43,'System Inventory'!A:B,2,FALSE),"Not Found"))</f>
        <v/>
      </c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7">
        <f>IF(A43="","",COUNTIF(C43:J43,"*Yes*")/COUNTA(C43:J43))</f>
        <v/>
      </c>
      <c r="S43" s="16" t="n"/>
    </row>
    <row r="44">
      <c r="A44" s="16" t="n"/>
      <c r="B44" s="15">
        <f>IF(A44="","",IFERROR(VLOOKUP(A44,'System Inventory'!A:B,2,FALSE),"Not Found"))</f>
        <v/>
      </c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7">
        <f>IF(A44="","",COUNTIF(C44:J44,"*Yes*")/COUNTA(C44:J44))</f>
        <v/>
      </c>
      <c r="S44" s="16" t="n"/>
    </row>
    <row r="45">
      <c r="A45" s="16" t="n"/>
      <c r="B45" s="15">
        <f>IF(A45="","",IFERROR(VLOOKUP(A45,'System Inventory'!A:B,2,FALSE),"Not Found"))</f>
        <v/>
      </c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7">
        <f>IF(A45="","",COUNTIF(C45:J45,"*Yes*")/COUNTA(C45:J45))</f>
        <v/>
      </c>
      <c r="S45" s="16" t="n"/>
    </row>
    <row r="46">
      <c r="A46" s="16" t="n"/>
      <c r="B46" s="15">
        <f>IF(A46="","",IFERROR(VLOOKUP(A46,'System Inventory'!A:B,2,FALSE),"Not Found"))</f>
        <v/>
      </c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7">
        <f>IF(A46="","",COUNTIF(C46:J46,"*Yes*")/COUNTA(C46:J46))</f>
        <v/>
      </c>
      <c r="S46" s="16" t="n"/>
    </row>
    <row r="47">
      <c r="A47" s="16" t="n"/>
      <c r="B47" s="15">
        <f>IF(A47="","",IFERROR(VLOOKUP(A47,'System Inventory'!A:B,2,FALSE),"Not Found"))</f>
        <v/>
      </c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7">
        <f>IF(A47="","",COUNTIF(C47:J47,"*Yes*")/COUNTA(C47:J47))</f>
        <v/>
      </c>
      <c r="S47" s="16" t="n"/>
    </row>
    <row r="48">
      <c r="A48" s="16" t="n"/>
      <c r="B48" s="15">
        <f>IF(A48="","",IFERROR(VLOOKUP(A48,'System Inventory'!A:B,2,FALSE),"Not Found"))</f>
        <v/>
      </c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7">
        <f>IF(A48="","",COUNTIF(C48:J48,"*Yes*")/COUNTA(C48:J48))</f>
        <v/>
      </c>
      <c r="S48" s="16" t="n"/>
    </row>
    <row r="49">
      <c r="A49" s="16" t="n"/>
      <c r="B49" s="15">
        <f>IF(A49="","",IFERROR(VLOOKUP(A49,'System Inventory'!A:B,2,FALSE),"Not Found"))</f>
        <v/>
      </c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7">
        <f>IF(A49="","",COUNTIF(C49:J49,"*Yes*")/COUNTA(C49:J49))</f>
        <v/>
      </c>
      <c r="S49" s="16" t="n"/>
    </row>
    <row r="50">
      <c r="A50" s="16" t="n"/>
      <c r="B50" s="15">
        <f>IF(A50="","",IFERROR(VLOOKUP(A50,'System Inventory'!A:B,2,FALSE),"Not Found"))</f>
        <v/>
      </c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7">
        <f>IF(A50="","",COUNTIF(C50:J50,"*Yes*")/COUNTA(C50:J50))</f>
        <v/>
      </c>
      <c r="S50" s="16" t="n"/>
    </row>
    <row r="51">
      <c r="A51" s="16" t="n"/>
      <c r="B51" s="15">
        <f>IF(A51="","",IFERROR(VLOOKUP(A51,'System Inventory'!A:B,2,FALSE),"Not Found"))</f>
        <v/>
      </c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7">
        <f>IF(A51="","",COUNTIF(C51:J51,"*Yes*")/COUNTA(C51:J51))</f>
        <v/>
      </c>
      <c r="S51" s="16" t="n"/>
    </row>
    <row r="52">
      <c r="A52" s="16" t="n"/>
      <c r="B52" s="15">
        <f>IF(A52="","",IFERROR(VLOOKUP(A52,'System Inventory'!A:B,2,FALSE),"Not Found"))</f>
        <v/>
      </c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7">
        <f>IF(A52="","",COUNTIF(C52:J52,"*Yes*")/COUNTA(C52:J52))</f>
        <v/>
      </c>
      <c r="S52" s="16" t="n"/>
    </row>
    <row r="53">
      <c r="A53" s="16" t="n"/>
      <c r="B53" s="15">
        <f>IF(A53="","",IFERROR(VLOOKUP(A53,'System Inventory'!A:B,2,FALSE),"Not Found"))</f>
        <v/>
      </c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7">
        <f>IF(A53="","",COUNTIF(C53:J53,"*Yes*")/COUNTA(C53:J53))</f>
        <v/>
      </c>
      <c r="S53" s="16" t="n"/>
    </row>
    <row r="54">
      <c r="A54" s="16" t="n"/>
      <c r="B54" s="15">
        <f>IF(A54="","",IFERROR(VLOOKUP(A54,'System Inventory'!A:B,2,FALSE),"Not Found"))</f>
        <v/>
      </c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7">
        <f>IF(A54="","",COUNTIF(C54:J54,"*Yes*")/COUNTA(C54:J54))</f>
        <v/>
      </c>
      <c r="S54" s="16" t="n"/>
    </row>
    <row r="55">
      <c r="A55" s="16" t="n"/>
      <c r="B55" s="15">
        <f>IF(A55="","",IFERROR(VLOOKUP(A55,'System Inventory'!A:B,2,FALSE),"Not Found"))</f>
        <v/>
      </c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7">
        <f>IF(A55="","",COUNTIF(C55:J55,"*Yes*")/COUNTA(C55:J55))</f>
        <v/>
      </c>
      <c r="S55" s="16" t="n"/>
    </row>
  </sheetData>
  <mergeCells count="2">
    <mergeCell ref="A2:S2"/>
    <mergeCell ref="A1:S1"/>
  </mergeCells>
  <conditionalFormatting sqref="R6:R55">
    <cfRule type="cellIs" priority="1" operator="greaterThanOrEqual" dxfId="0" stopIfTrue="1">
      <formula>0.9</formula>
    </cfRule>
    <cfRule type="cellIs" priority="2" operator="between" dxfId="1" stopIfTrue="1">
      <formula>0.7</formula>
      <formula>0.89</formula>
    </cfRule>
    <cfRule type="cellIs" priority="3" operator="lessThan" dxfId="2" stopIfTrue="1">
      <formula>0.7</formula>
    </cfRule>
  </conditionalFormatting>
  <dataValidations count="5">
    <dataValidation sqref="C6:J55" showDropDown="0" showInputMessage="0" showErrorMessage="0" allowBlank="1" type="list">
      <formula1>"✅ Yes,❌ No,⚠️ Partial,➖ N/A"</formula1>
    </dataValidation>
    <dataValidation sqref="K6:K55" showDropDown="0" showInputMessage="0" showErrorMessage="0" allowBlank="1" type="list">
      <formula1>"Syslog,CEF,JSON,EVTX,Custom,Unknown"</formula1>
    </dataValidation>
    <dataValidation sqref="L6:L55" showDropDown="0" showInputMessage="0" showErrorMessage="0" allowBlank="1" type="list">
      <formula1>"ISO 8601,RFC 3339,Unix Epoch,Custom,Unknown"</formula1>
    </dataValidation>
    <dataValidation sqref="M6:M55" showDropDown="0" showInputMessage="0" showErrorMessage="0" allowBlank="1" type="list">
      <formula1>"UTC,Local,Unknown"</formula1>
    </dataValidation>
    <dataValidation sqref="P6:P55" showDropDown="0" showInputMessage="0" showErrorMessage="0" allowBlank="1" type="list">
      <formula1>"Hot,Warm,Cold,Unknown"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20" customWidth="1" min="14" max="14"/>
    <col width="18" customWidth="1" min="15" max="15"/>
    <col width="18" customWidth="1" min="16" max="16"/>
    <col width="40" customWidth="1" min="17" max="17"/>
    <col width="40" customWidth="1" min="18" max="18"/>
  </cols>
  <sheetData>
    <row r="1" ht="35" customHeight="1">
      <c r="A1" s="11" t="inlineStr">
        <is>
          <t>AUTHENTICATION LOGGING ASSESSMENT</t>
        </is>
      </c>
    </row>
    <row r="2">
      <c r="A2" s="12" t="inlineStr">
        <is>
          <t>Assess authentication event logging completeness per ISMS-POL-A.8.15-S2.1.2</t>
        </is>
      </c>
    </row>
    <row r="4">
      <c r="A4" s="13" t="inlineStr">
        <is>
          <t>System ID</t>
        </is>
      </c>
      <c r="B4" s="13" t="inlineStr">
        <is>
          <t>System Name</t>
        </is>
      </c>
      <c r="C4" s="13" t="inlineStr">
        <is>
          <t>Logs Successful Logins</t>
        </is>
      </c>
      <c r="D4" s="13" t="inlineStr">
        <is>
          <t>Logs Failed Logins</t>
        </is>
      </c>
      <c r="E4" s="13" t="inlineStr">
        <is>
          <t>Logs Account Lockouts</t>
        </is>
      </c>
      <c r="F4" s="13" t="inlineStr">
        <is>
          <t>Logs Password Changes</t>
        </is>
      </c>
      <c r="G4" s="13" t="inlineStr">
        <is>
          <t>Logs Session Start/End</t>
        </is>
      </c>
      <c r="H4" s="13" t="inlineStr">
        <is>
          <t>Includes User ID</t>
        </is>
      </c>
      <c r="I4" s="13" t="inlineStr">
        <is>
          <t>Includes Timestamp</t>
        </is>
      </c>
      <c r="J4" s="13" t="inlineStr">
        <is>
          <t>Includes Source IP</t>
        </is>
      </c>
      <c r="K4" s="13" t="inlineStr">
        <is>
          <t>Includes Auth Method</t>
        </is>
      </c>
      <c r="L4" s="13" t="inlineStr">
        <is>
          <t>MFA Events Logged</t>
        </is>
      </c>
      <c r="M4" s="13" t="inlineStr">
        <is>
          <t>SSO Events Logged</t>
        </is>
      </c>
      <c r="N4" s="13" t="inlineStr">
        <is>
          <t>Service Account Auth</t>
        </is>
      </c>
      <c r="O4" s="13" t="inlineStr">
        <is>
          <t>Privileged Auth Logged</t>
        </is>
      </c>
      <c r="P4" s="13" t="inlineStr">
        <is>
          <t>Compliance Score</t>
        </is>
      </c>
      <c r="Q4" s="13" t="inlineStr">
        <is>
          <t>Gap Description</t>
        </is>
      </c>
      <c r="R4" s="13" t="inlineStr">
        <is>
          <t>Remediation Plan</t>
        </is>
      </c>
    </row>
    <row r="5">
      <c r="A5" s="14" t="inlineStr">
        <is>
          <t>SYS-001</t>
        </is>
      </c>
      <c r="B5" s="14" t="inlineStr">
        <is>
          <t>web-prod-01</t>
        </is>
      </c>
      <c r="C5" s="14" t="inlineStr">
        <is>
          <t>Yes</t>
        </is>
      </c>
      <c r="D5" s="14" t="inlineStr">
        <is>
          <t>Yes</t>
        </is>
      </c>
      <c r="E5" s="14" t="inlineStr">
        <is>
          <t>Yes</t>
        </is>
      </c>
      <c r="F5" s="14" t="inlineStr">
        <is>
          <t>Yes</t>
        </is>
      </c>
      <c r="G5" s="14" t="inlineStr">
        <is>
          <t>Yes</t>
        </is>
      </c>
      <c r="H5" s="14" t="inlineStr">
        <is>
          <t>Yes</t>
        </is>
      </c>
      <c r="I5" s="14" t="inlineStr">
        <is>
          <t>Yes</t>
        </is>
      </c>
      <c r="J5" s="14" t="inlineStr">
        <is>
          <t>Yes</t>
        </is>
      </c>
      <c r="K5" s="14" t="inlineStr">
        <is>
          <t>Yes</t>
        </is>
      </c>
      <c r="L5" s="14" t="inlineStr">
        <is>
          <t>Yes</t>
        </is>
      </c>
      <c r="M5" s="14" t="inlineStr">
        <is>
          <t>Yes</t>
        </is>
      </c>
      <c r="N5" s="14" t="inlineStr">
        <is>
          <t>N/A</t>
        </is>
      </c>
      <c r="O5" s="14" t="inlineStr">
        <is>
          <t>Yes</t>
        </is>
      </c>
      <c r="P5" s="14" t="inlineStr">
        <is>
          <t>100.0%</t>
        </is>
      </c>
      <c r="Q5" s="14" t="inlineStr"/>
      <c r="R5" s="14" t="inlineStr"/>
    </row>
    <row r="6">
      <c r="A6" s="16" t="n"/>
      <c r="B6" s="15">
        <f>IF(A6="","",IFERROR(VLOOKUP(A6,'System Inventory'!A:B,2,FALSE),"Not Found"))</f>
        <v/>
      </c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8">
        <f>IF(A6="","",(COUNTIF(C6:M6,"*Yes*")/COUNTIF(C6:M6,"&lt;&gt;N/A"))*100)</f>
        <v/>
      </c>
      <c r="Q6" s="16" t="n"/>
      <c r="R6" s="16" t="n"/>
    </row>
    <row r="7">
      <c r="A7" s="16" t="n"/>
      <c r="B7" s="15">
        <f>IF(A7="","",IFERROR(VLOOKUP(A7,'System Inventory'!A:B,2,FALSE),"Not Found"))</f>
        <v/>
      </c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8">
        <f>IF(A7="","",(COUNTIF(C7:M7,"*Yes*")/COUNTIF(C7:M7,"&lt;&gt;N/A"))*100)</f>
        <v/>
      </c>
      <c r="Q7" s="16" t="n"/>
      <c r="R7" s="16" t="n"/>
    </row>
    <row r="8">
      <c r="A8" s="16" t="n"/>
      <c r="B8" s="15">
        <f>IF(A8="","",IFERROR(VLOOKUP(A8,'System Inventory'!A:B,2,FALSE),"Not Found"))</f>
        <v/>
      </c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8">
        <f>IF(A8="","",(COUNTIF(C8:M8,"*Yes*")/COUNTIF(C8:M8,"&lt;&gt;N/A"))*100)</f>
        <v/>
      </c>
      <c r="Q8" s="16" t="n"/>
      <c r="R8" s="16" t="n"/>
    </row>
    <row r="9">
      <c r="A9" s="16" t="n"/>
      <c r="B9" s="15">
        <f>IF(A9="","",IFERROR(VLOOKUP(A9,'System Inventory'!A:B,2,FALSE),"Not Found"))</f>
        <v/>
      </c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8">
        <f>IF(A9="","",(COUNTIF(C9:M9,"*Yes*")/COUNTIF(C9:M9,"&lt;&gt;N/A"))*100)</f>
        <v/>
      </c>
      <c r="Q9" s="16" t="n"/>
      <c r="R9" s="16" t="n"/>
    </row>
    <row r="10">
      <c r="A10" s="16" t="n"/>
      <c r="B10" s="15">
        <f>IF(A10="","",IFERROR(VLOOKUP(A10,'System Inventory'!A:B,2,FALSE),"Not Found"))</f>
        <v/>
      </c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8">
        <f>IF(A10="","",(COUNTIF(C10:M10,"*Yes*")/COUNTIF(C10:M10,"&lt;&gt;N/A"))*100)</f>
        <v/>
      </c>
      <c r="Q10" s="16" t="n"/>
      <c r="R10" s="16" t="n"/>
    </row>
    <row r="11">
      <c r="A11" s="16" t="n"/>
      <c r="B11" s="15">
        <f>IF(A11="","",IFERROR(VLOOKUP(A11,'System Inventory'!A:B,2,FALSE),"Not Found"))</f>
        <v/>
      </c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8">
        <f>IF(A11="","",(COUNTIF(C11:M11,"*Yes*")/COUNTIF(C11:M11,"&lt;&gt;N/A"))*100)</f>
        <v/>
      </c>
      <c r="Q11" s="16" t="n"/>
      <c r="R11" s="16" t="n"/>
    </row>
    <row r="12">
      <c r="A12" s="16" t="n"/>
      <c r="B12" s="15">
        <f>IF(A12="","",IFERROR(VLOOKUP(A12,'System Inventory'!A:B,2,FALSE),"Not Found"))</f>
        <v/>
      </c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8">
        <f>IF(A12="","",(COUNTIF(C12:M12,"*Yes*")/COUNTIF(C12:M12,"&lt;&gt;N/A"))*100)</f>
        <v/>
      </c>
      <c r="Q12" s="16" t="n"/>
      <c r="R12" s="16" t="n"/>
    </row>
    <row r="13">
      <c r="A13" s="16" t="n"/>
      <c r="B13" s="15">
        <f>IF(A13="","",IFERROR(VLOOKUP(A13,'System Inventory'!A:B,2,FALSE),"Not Found"))</f>
        <v/>
      </c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8">
        <f>IF(A13="","",(COUNTIF(C13:M13,"*Yes*")/COUNTIF(C13:M13,"&lt;&gt;N/A"))*100)</f>
        <v/>
      </c>
      <c r="Q13" s="16" t="n"/>
      <c r="R13" s="16" t="n"/>
    </row>
    <row r="14">
      <c r="A14" s="16" t="n"/>
      <c r="B14" s="15">
        <f>IF(A14="","",IFERROR(VLOOKUP(A14,'System Inventory'!A:B,2,FALSE),"Not Found"))</f>
        <v/>
      </c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8">
        <f>IF(A14="","",(COUNTIF(C14:M14,"*Yes*")/COUNTIF(C14:M14,"&lt;&gt;N/A"))*100)</f>
        <v/>
      </c>
      <c r="Q14" s="16" t="n"/>
      <c r="R14" s="16" t="n"/>
    </row>
    <row r="15">
      <c r="A15" s="16" t="n"/>
      <c r="B15" s="15">
        <f>IF(A15="","",IFERROR(VLOOKUP(A15,'System Inventory'!A:B,2,FALSE),"Not Found"))</f>
        <v/>
      </c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8">
        <f>IF(A15="","",(COUNTIF(C15:M15,"*Yes*")/COUNTIF(C15:M15,"&lt;&gt;N/A"))*100)</f>
        <v/>
      </c>
      <c r="Q15" s="16" t="n"/>
      <c r="R15" s="16" t="n"/>
    </row>
    <row r="16">
      <c r="A16" s="16" t="n"/>
      <c r="B16" s="15">
        <f>IF(A16="","",IFERROR(VLOOKUP(A16,'System Inventory'!A:B,2,FALSE),"Not Found"))</f>
        <v/>
      </c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8">
        <f>IF(A16="","",(COUNTIF(C16:M16,"*Yes*")/COUNTIF(C16:M16,"&lt;&gt;N/A"))*100)</f>
        <v/>
      </c>
      <c r="Q16" s="16" t="n"/>
      <c r="R16" s="16" t="n"/>
    </row>
    <row r="17">
      <c r="A17" s="16" t="n"/>
      <c r="B17" s="15">
        <f>IF(A17="","",IFERROR(VLOOKUP(A17,'System Inventory'!A:B,2,FALSE),"Not Found"))</f>
        <v/>
      </c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8">
        <f>IF(A17="","",(COUNTIF(C17:M17,"*Yes*")/COUNTIF(C17:M17,"&lt;&gt;N/A"))*100)</f>
        <v/>
      </c>
      <c r="Q17" s="16" t="n"/>
      <c r="R17" s="16" t="n"/>
    </row>
    <row r="18">
      <c r="A18" s="16" t="n"/>
      <c r="B18" s="15">
        <f>IF(A18="","",IFERROR(VLOOKUP(A18,'System Inventory'!A:B,2,FALSE),"Not Found"))</f>
        <v/>
      </c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8">
        <f>IF(A18="","",(COUNTIF(C18:M18,"*Yes*")/COUNTIF(C18:M18,"&lt;&gt;N/A"))*100)</f>
        <v/>
      </c>
      <c r="Q18" s="16" t="n"/>
      <c r="R18" s="16" t="n"/>
    </row>
    <row r="19">
      <c r="A19" s="16" t="n"/>
      <c r="B19" s="15">
        <f>IF(A19="","",IFERROR(VLOOKUP(A19,'System Inventory'!A:B,2,FALSE),"Not Found"))</f>
        <v/>
      </c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8">
        <f>IF(A19="","",(COUNTIF(C19:M19,"*Yes*")/COUNTIF(C19:M19,"&lt;&gt;N/A"))*100)</f>
        <v/>
      </c>
      <c r="Q19" s="16" t="n"/>
      <c r="R19" s="16" t="n"/>
    </row>
    <row r="20">
      <c r="A20" s="16" t="n"/>
      <c r="B20" s="15">
        <f>IF(A20="","",IFERROR(VLOOKUP(A20,'System Inventory'!A:B,2,FALSE),"Not Found"))</f>
        <v/>
      </c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8">
        <f>IF(A20="","",(COUNTIF(C20:M20,"*Yes*")/COUNTIF(C20:M20,"&lt;&gt;N/A"))*100)</f>
        <v/>
      </c>
      <c r="Q20" s="16" t="n"/>
      <c r="R20" s="16" t="n"/>
    </row>
    <row r="21">
      <c r="A21" s="16" t="n"/>
      <c r="B21" s="15">
        <f>IF(A21="","",IFERROR(VLOOKUP(A21,'System Inventory'!A:B,2,FALSE),"Not Found"))</f>
        <v/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8">
        <f>IF(A21="","",(COUNTIF(C21:M21,"*Yes*")/COUNTIF(C21:M21,"&lt;&gt;N/A"))*100)</f>
        <v/>
      </c>
      <c r="Q21" s="16" t="n"/>
      <c r="R21" s="16" t="n"/>
    </row>
    <row r="22">
      <c r="A22" s="16" t="n"/>
      <c r="B22" s="15">
        <f>IF(A22="","",IFERROR(VLOOKUP(A22,'System Inventory'!A:B,2,FALSE),"Not Found"))</f>
        <v/>
      </c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8">
        <f>IF(A22="","",(COUNTIF(C22:M22,"*Yes*")/COUNTIF(C22:M22,"&lt;&gt;N/A"))*100)</f>
        <v/>
      </c>
      <c r="Q22" s="16" t="n"/>
      <c r="R22" s="16" t="n"/>
    </row>
    <row r="23">
      <c r="A23" s="16" t="n"/>
      <c r="B23" s="15">
        <f>IF(A23="","",IFERROR(VLOOKUP(A23,'System Inventory'!A:B,2,FALSE),"Not Found"))</f>
        <v/>
      </c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8">
        <f>IF(A23="","",(COUNTIF(C23:M23,"*Yes*")/COUNTIF(C23:M23,"&lt;&gt;N/A"))*100)</f>
        <v/>
      </c>
      <c r="Q23" s="16" t="n"/>
      <c r="R23" s="16" t="n"/>
    </row>
    <row r="24">
      <c r="A24" s="16" t="n"/>
      <c r="B24" s="15">
        <f>IF(A24="","",IFERROR(VLOOKUP(A24,'System Inventory'!A:B,2,FALSE),"Not Found"))</f>
        <v/>
      </c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8">
        <f>IF(A24="","",(COUNTIF(C24:M24,"*Yes*")/COUNTIF(C24:M24,"&lt;&gt;N/A"))*100)</f>
        <v/>
      </c>
      <c r="Q24" s="16" t="n"/>
      <c r="R24" s="16" t="n"/>
    </row>
    <row r="25">
      <c r="A25" s="16" t="n"/>
      <c r="B25" s="15">
        <f>IF(A25="","",IFERROR(VLOOKUP(A25,'System Inventory'!A:B,2,FALSE),"Not Found"))</f>
        <v/>
      </c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8">
        <f>IF(A25="","",(COUNTIF(C25:M25,"*Yes*")/COUNTIF(C25:M25,"&lt;&gt;N/A"))*100)</f>
        <v/>
      </c>
      <c r="Q25" s="16" t="n"/>
      <c r="R25" s="16" t="n"/>
    </row>
    <row r="26">
      <c r="A26" s="16" t="n"/>
      <c r="B26" s="15">
        <f>IF(A26="","",IFERROR(VLOOKUP(A26,'System Inventory'!A:B,2,FALSE),"Not Found"))</f>
        <v/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8">
        <f>IF(A26="","",(COUNTIF(C26:M26,"*Yes*")/COUNTIF(C26:M26,"&lt;&gt;N/A"))*100)</f>
        <v/>
      </c>
      <c r="Q26" s="16" t="n"/>
      <c r="R26" s="16" t="n"/>
    </row>
    <row r="27">
      <c r="A27" s="16" t="n"/>
      <c r="B27" s="15">
        <f>IF(A27="","",IFERROR(VLOOKUP(A27,'System Inventory'!A:B,2,FALSE),"Not Found"))</f>
        <v/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8">
        <f>IF(A27="","",(COUNTIF(C27:M27,"*Yes*")/COUNTIF(C27:M27,"&lt;&gt;N/A"))*100)</f>
        <v/>
      </c>
      <c r="Q27" s="16" t="n"/>
      <c r="R27" s="16" t="n"/>
    </row>
    <row r="28">
      <c r="A28" s="16" t="n"/>
      <c r="B28" s="15">
        <f>IF(A28="","",IFERROR(VLOOKUP(A28,'System Inventory'!A:B,2,FALSE),"Not Found"))</f>
        <v/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8">
        <f>IF(A28="","",(COUNTIF(C28:M28,"*Yes*")/COUNTIF(C28:M28,"&lt;&gt;N/A"))*100)</f>
        <v/>
      </c>
      <c r="Q28" s="16" t="n"/>
      <c r="R28" s="16" t="n"/>
    </row>
    <row r="29">
      <c r="A29" s="16" t="n"/>
      <c r="B29" s="15">
        <f>IF(A29="","",IFERROR(VLOOKUP(A29,'System Inventory'!A:B,2,FALSE),"Not Found"))</f>
        <v/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8">
        <f>IF(A29="","",(COUNTIF(C29:M29,"*Yes*")/COUNTIF(C29:M29,"&lt;&gt;N/A"))*100)</f>
        <v/>
      </c>
      <c r="Q29" s="16" t="n"/>
      <c r="R29" s="16" t="n"/>
    </row>
    <row r="30">
      <c r="A30" s="16" t="n"/>
      <c r="B30" s="15">
        <f>IF(A30="","",IFERROR(VLOOKUP(A30,'System Inventory'!A:B,2,FALSE),"Not Found"))</f>
        <v/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8">
        <f>IF(A30="","",(COUNTIF(C30:M30,"*Yes*")/COUNTIF(C30:M30,"&lt;&gt;N/A"))*100)</f>
        <v/>
      </c>
      <c r="Q30" s="16" t="n"/>
      <c r="R30" s="16" t="n"/>
    </row>
    <row r="31">
      <c r="A31" s="16" t="n"/>
      <c r="B31" s="15">
        <f>IF(A31="","",IFERROR(VLOOKUP(A31,'System Inventory'!A:B,2,FALSE),"Not Found"))</f>
        <v/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8">
        <f>IF(A31="","",(COUNTIF(C31:M31,"*Yes*")/COUNTIF(C31:M31,"&lt;&gt;N/A"))*100)</f>
        <v/>
      </c>
      <c r="Q31" s="16" t="n"/>
      <c r="R31" s="16" t="n"/>
    </row>
    <row r="32">
      <c r="A32" s="16" t="n"/>
      <c r="B32" s="15">
        <f>IF(A32="","",IFERROR(VLOOKUP(A32,'System Inventory'!A:B,2,FALSE),"Not Found"))</f>
        <v/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8">
        <f>IF(A32="","",(COUNTIF(C32:M32,"*Yes*")/COUNTIF(C32:M32,"&lt;&gt;N/A"))*100)</f>
        <v/>
      </c>
      <c r="Q32" s="16" t="n"/>
      <c r="R32" s="16" t="n"/>
    </row>
    <row r="33">
      <c r="A33" s="16" t="n"/>
      <c r="B33" s="15">
        <f>IF(A33="","",IFERROR(VLOOKUP(A33,'System Inventory'!A:B,2,FALSE),"Not Found"))</f>
        <v/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8">
        <f>IF(A33="","",(COUNTIF(C33:M33,"*Yes*")/COUNTIF(C33:M33,"&lt;&gt;N/A"))*100)</f>
        <v/>
      </c>
      <c r="Q33" s="16" t="n"/>
      <c r="R33" s="16" t="n"/>
    </row>
    <row r="34">
      <c r="A34" s="16" t="n"/>
      <c r="B34" s="15">
        <f>IF(A34="","",IFERROR(VLOOKUP(A34,'System Inventory'!A:B,2,FALSE),"Not Found"))</f>
        <v/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8">
        <f>IF(A34="","",(COUNTIF(C34:M34,"*Yes*")/COUNTIF(C34:M34,"&lt;&gt;N/A"))*100)</f>
        <v/>
      </c>
      <c r="Q34" s="16" t="n"/>
      <c r="R34" s="16" t="n"/>
    </row>
    <row r="35">
      <c r="A35" s="16" t="n"/>
      <c r="B35" s="15">
        <f>IF(A35="","",IFERROR(VLOOKUP(A35,'System Inventory'!A:B,2,FALSE),"Not Found"))</f>
        <v/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8">
        <f>IF(A35="","",(COUNTIF(C35:M35,"*Yes*")/COUNTIF(C35:M35,"&lt;&gt;N/A"))*100)</f>
        <v/>
      </c>
      <c r="Q35" s="16" t="n"/>
      <c r="R35" s="16" t="n"/>
    </row>
    <row r="36">
      <c r="A36" s="16" t="n"/>
      <c r="B36" s="15">
        <f>IF(A36="","",IFERROR(VLOOKUP(A36,'System Inventory'!A:B,2,FALSE),"Not Found"))</f>
        <v/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8">
        <f>IF(A36="","",(COUNTIF(C36:M36,"*Yes*")/COUNTIF(C36:M36,"&lt;&gt;N/A"))*100)</f>
        <v/>
      </c>
      <c r="Q36" s="16" t="n"/>
      <c r="R36" s="16" t="n"/>
    </row>
    <row r="37">
      <c r="A37" s="16" t="n"/>
      <c r="B37" s="15">
        <f>IF(A37="","",IFERROR(VLOOKUP(A37,'System Inventory'!A:B,2,FALSE),"Not Found"))</f>
        <v/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8">
        <f>IF(A37="","",(COUNTIF(C37:M37,"*Yes*")/COUNTIF(C37:M37,"&lt;&gt;N/A"))*100)</f>
        <v/>
      </c>
      <c r="Q37" s="16" t="n"/>
      <c r="R37" s="16" t="n"/>
    </row>
    <row r="38">
      <c r="A38" s="16" t="n"/>
      <c r="B38" s="15">
        <f>IF(A38="","",IFERROR(VLOOKUP(A38,'System Inventory'!A:B,2,FALSE),"Not Found"))</f>
        <v/>
      </c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8">
        <f>IF(A38="","",(COUNTIF(C38:M38,"*Yes*")/COUNTIF(C38:M38,"&lt;&gt;N/A"))*100)</f>
        <v/>
      </c>
      <c r="Q38" s="16" t="n"/>
      <c r="R38" s="16" t="n"/>
    </row>
    <row r="39">
      <c r="A39" s="16" t="n"/>
      <c r="B39" s="15">
        <f>IF(A39="","",IFERROR(VLOOKUP(A39,'System Inventory'!A:B,2,FALSE),"Not Found"))</f>
        <v/>
      </c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8">
        <f>IF(A39="","",(COUNTIF(C39:M39,"*Yes*")/COUNTIF(C39:M39,"&lt;&gt;N/A"))*100)</f>
        <v/>
      </c>
      <c r="Q39" s="16" t="n"/>
      <c r="R39" s="16" t="n"/>
    </row>
    <row r="40">
      <c r="A40" s="16" t="n"/>
      <c r="B40" s="15">
        <f>IF(A40="","",IFERROR(VLOOKUP(A40,'System Inventory'!A:B,2,FALSE),"Not Found"))</f>
        <v/>
      </c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8">
        <f>IF(A40="","",(COUNTIF(C40:M40,"*Yes*")/COUNTIF(C40:M40,"&lt;&gt;N/A"))*100)</f>
        <v/>
      </c>
      <c r="Q40" s="16" t="n"/>
      <c r="R40" s="16" t="n"/>
    </row>
    <row r="41">
      <c r="A41" s="16" t="n"/>
      <c r="B41" s="15">
        <f>IF(A41="","",IFERROR(VLOOKUP(A41,'System Inventory'!A:B,2,FALSE),"Not Found"))</f>
        <v/>
      </c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8">
        <f>IF(A41="","",(COUNTIF(C41:M41,"*Yes*")/COUNTIF(C41:M41,"&lt;&gt;N/A"))*100)</f>
        <v/>
      </c>
      <c r="Q41" s="16" t="n"/>
      <c r="R41" s="16" t="n"/>
    </row>
    <row r="42">
      <c r="A42" s="16" t="n"/>
      <c r="B42" s="15">
        <f>IF(A42="","",IFERROR(VLOOKUP(A42,'System Inventory'!A:B,2,FALSE),"Not Found"))</f>
        <v/>
      </c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8">
        <f>IF(A42="","",(COUNTIF(C42:M42,"*Yes*")/COUNTIF(C42:M42,"&lt;&gt;N/A"))*100)</f>
        <v/>
      </c>
      <c r="Q42" s="16" t="n"/>
      <c r="R42" s="16" t="n"/>
    </row>
    <row r="43">
      <c r="A43" s="16" t="n"/>
      <c r="B43" s="15">
        <f>IF(A43="","",IFERROR(VLOOKUP(A43,'System Inventory'!A:B,2,FALSE),"Not Found"))</f>
        <v/>
      </c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8">
        <f>IF(A43="","",(COUNTIF(C43:M43,"*Yes*")/COUNTIF(C43:M43,"&lt;&gt;N/A"))*100)</f>
        <v/>
      </c>
      <c r="Q43" s="16" t="n"/>
      <c r="R43" s="16" t="n"/>
    </row>
    <row r="44">
      <c r="A44" s="16" t="n"/>
      <c r="B44" s="15">
        <f>IF(A44="","",IFERROR(VLOOKUP(A44,'System Inventory'!A:B,2,FALSE),"Not Found"))</f>
        <v/>
      </c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8">
        <f>IF(A44="","",(COUNTIF(C44:M44,"*Yes*")/COUNTIF(C44:M44,"&lt;&gt;N/A"))*100)</f>
        <v/>
      </c>
      <c r="Q44" s="16" t="n"/>
      <c r="R44" s="16" t="n"/>
    </row>
    <row r="45">
      <c r="A45" s="16" t="n"/>
      <c r="B45" s="15">
        <f>IF(A45="","",IFERROR(VLOOKUP(A45,'System Inventory'!A:B,2,FALSE),"Not Found"))</f>
        <v/>
      </c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8">
        <f>IF(A45="","",(COUNTIF(C45:M45,"*Yes*")/COUNTIF(C45:M45,"&lt;&gt;N/A"))*100)</f>
        <v/>
      </c>
      <c r="Q45" s="16" t="n"/>
      <c r="R45" s="16" t="n"/>
    </row>
    <row r="46">
      <c r="A46" s="16" t="n"/>
      <c r="B46" s="15">
        <f>IF(A46="","",IFERROR(VLOOKUP(A46,'System Inventory'!A:B,2,FALSE),"Not Found"))</f>
        <v/>
      </c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8">
        <f>IF(A46="","",(COUNTIF(C46:M46,"*Yes*")/COUNTIF(C46:M46,"&lt;&gt;N/A"))*100)</f>
        <v/>
      </c>
      <c r="Q46" s="16" t="n"/>
      <c r="R46" s="16" t="n"/>
    </row>
    <row r="47">
      <c r="A47" s="16" t="n"/>
      <c r="B47" s="15">
        <f>IF(A47="","",IFERROR(VLOOKUP(A47,'System Inventory'!A:B,2,FALSE),"Not Found"))</f>
        <v/>
      </c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8">
        <f>IF(A47="","",(COUNTIF(C47:M47,"*Yes*")/COUNTIF(C47:M47,"&lt;&gt;N/A"))*100)</f>
        <v/>
      </c>
      <c r="Q47" s="16" t="n"/>
      <c r="R47" s="16" t="n"/>
    </row>
    <row r="48">
      <c r="A48" s="16" t="n"/>
      <c r="B48" s="15">
        <f>IF(A48="","",IFERROR(VLOOKUP(A48,'System Inventory'!A:B,2,FALSE),"Not Found"))</f>
        <v/>
      </c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8">
        <f>IF(A48="","",(COUNTIF(C48:M48,"*Yes*")/COUNTIF(C48:M48,"&lt;&gt;N/A"))*100)</f>
        <v/>
      </c>
      <c r="Q48" s="16" t="n"/>
      <c r="R48" s="16" t="n"/>
    </row>
    <row r="49">
      <c r="A49" s="16" t="n"/>
      <c r="B49" s="15">
        <f>IF(A49="","",IFERROR(VLOOKUP(A49,'System Inventory'!A:B,2,FALSE),"Not Found"))</f>
        <v/>
      </c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8">
        <f>IF(A49="","",(COUNTIF(C49:M49,"*Yes*")/COUNTIF(C49:M49,"&lt;&gt;N/A"))*100)</f>
        <v/>
      </c>
      <c r="Q49" s="16" t="n"/>
      <c r="R49" s="16" t="n"/>
    </row>
    <row r="50">
      <c r="A50" s="16" t="n"/>
      <c r="B50" s="15">
        <f>IF(A50="","",IFERROR(VLOOKUP(A50,'System Inventory'!A:B,2,FALSE),"Not Found"))</f>
        <v/>
      </c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8">
        <f>IF(A50="","",(COUNTIF(C50:M50,"*Yes*")/COUNTIF(C50:M50,"&lt;&gt;N/A"))*100)</f>
        <v/>
      </c>
      <c r="Q50" s="16" t="n"/>
      <c r="R50" s="16" t="n"/>
    </row>
    <row r="51">
      <c r="A51" s="16" t="n"/>
      <c r="B51" s="15">
        <f>IF(A51="","",IFERROR(VLOOKUP(A51,'System Inventory'!A:B,2,FALSE),"Not Found"))</f>
        <v/>
      </c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8">
        <f>IF(A51="","",(COUNTIF(C51:M51,"*Yes*")/COUNTIF(C51:M51,"&lt;&gt;N/A"))*100)</f>
        <v/>
      </c>
      <c r="Q51" s="16" t="n"/>
      <c r="R51" s="16" t="n"/>
    </row>
    <row r="52">
      <c r="A52" s="16" t="n"/>
      <c r="B52" s="15">
        <f>IF(A52="","",IFERROR(VLOOKUP(A52,'System Inventory'!A:B,2,FALSE),"Not Found"))</f>
        <v/>
      </c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8">
        <f>IF(A52="","",(COUNTIF(C52:M52,"*Yes*")/COUNTIF(C52:M52,"&lt;&gt;N/A"))*100)</f>
        <v/>
      </c>
      <c r="Q52" s="16" t="n"/>
      <c r="R52" s="16" t="n"/>
    </row>
    <row r="53">
      <c r="A53" s="16" t="n"/>
      <c r="B53" s="15">
        <f>IF(A53="","",IFERROR(VLOOKUP(A53,'System Inventory'!A:B,2,FALSE),"Not Found"))</f>
        <v/>
      </c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8">
        <f>IF(A53="","",(COUNTIF(C53:M53,"*Yes*")/COUNTIF(C53:M53,"&lt;&gt;N/A"))*100)</f>
        <v/>
      </c>
      <c r="Q53" s="16" t="n"/>
      <c r="R53" s="16" t="n"/>
    </row>
    <row r="54">
      <c r="A54" s="16" t="n"/>
      <c r="B54" s="15">
        <f>IF(A54="","",IFERROR(VLOOKUP(A54,'System Inventory'!A:B,2,FALSE),"Not Found"))</f>
        <v/>
      </c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8">
        <f>IF(A54="","",(COUNTIF(C54:M54,"*Yes*")/COUNTIF(C54:M54,"&lt;&gt;N/A"))*100)</f>
        <v/>
      </c>
      <c r="Q54" s="16" t="n"/>
      <c r="R54" s="16" t="n"/>
    </row>
    <row r="55">
      <c r="A55" s="16" t="n"/>
      <c r="B55" s="15">
        <f>IF(A55="","",IFERROR(VLOOKUP(A55,'System Inventory'!A:B,2,FALSE),"Not Found"))</f>
        <v/>
      </c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8">
        <f>IF(A55="","",(COUNTIF(C55:M55,"*Yes*")/COUNTIF(C55:M55,"&lt;&gt;N/A"))*100)</f>
        <v/>
      </c>
      <c r="Q55" s="16" t="n"/>
      <c r="R55" s="16" t="n"/>
    </row>
  </sheetData>
  <mergeCells count="2">
    <mergeCell ref="A2:R2"/>
    <mergeCell ref="A1:R1"/>
  </mergeCells>
  <conditionalFormatting sqref="P6:P55">
    <cfRule type="cellIs" priority="1" operator="greaterThanOrEqual" dxfId="0" stopIfTrue="1">
      <formula>95</formula>
    </cfRule>
    <cfRule type="cellIs" priority="2" operator="between" dxfId="1" stopIfTrue="1">
      <formula>80</formula>
      <formula>94</formula>
    </cfRule>
    <cfRule type="cellIs" priority="3" operator="lessThan" dxfId="2" stopIfTrue="1">
      <formula>80</formula>
    </cfRule>
  </conditionalFormatting>
  <dataValidations count="13">
    <dataValidation sqref="C6:C55" showDropDown="0" showInputMessage="0" showErrorMessage="0" allowBlank="1" type="list">
      <formula1>"✅ Yes,❌ No,⚠️ Partial,➖ N/A"</formula1>
    </dataValidation>
    <dataValidation sqref="D6:D55" showDropDown="0" showInputMessage="0" showErrorMessage="0" allowBlank="1" type="list">
      <formula1>"✅ Yes,❌ No,⚠️ Partial,➖ N/A"</formula1>
    </dataValidation>
    <dataValidation sqref="E6:E55" showDropDown="0" showInputMessage="0" showErrorMessage="0" allowBlank="1" type="list">
      <formula1>"✅ Yes,❌ No,⚠️ Partial,➖ N/A"</formula1>
    </dataValidation>
    <dataValidation sqref="F6:F55" showDropDown="0" showInputMessage="0" showErrorMessage="0" allowBlank="1" type="list">
      <formula1>"✅ Yes,❌ No,⚠️ Partial,➖ N/A"</formula1>
    </dataValidation>
    <dataValidation sqref="G6:G55" showDropDown="0" showInputMessage="0" showErrorMessage="0" allowBlank="1" type="list">
      <formula1>"✅ Yes,❌ No,⚠️ Partial,➖ N/A"</formula1>
    </dataValidation>
    <dataValidation sqref="H6:H55" showDropDown="0" showInputMessage="0" showErrorMessage="0" allowBlank="1" type="list">
      <formula1>"✅ Yes,❌ No,⚠️ Partial,➖ N/A"</formula1>
    </dataValidation>
    <dataValidation sqref="I6:I55" showDropDown="0" showInputMessage="0" showErrorMessage="0" allowBlank="1" type="list">
      <formula1>"✅ Yes,❌ No,⚠️ Partial,➖ N/A"</formula1>
    </dataValidation>
    <dataValidation sqref="J6:J55" showDropDown="0" showInputMessage="0" showErrorMessage="0" allowBlank="1" type="list">
      <formula1>"✅ Yes,❌ No,⚠️ Partial,➖ N/A"</formula1>
    </dataValidation>
    <dataValidation sqref="K6:K55" showDropDown="0" showInputMessage="0" showErrorMessage="0" allowBlank="1" type="list">
      <formula1>"✅ Yes,❌ No,⚠️ Partial,➖ N/A"</formula1>
    </dataValidation>
    <dataValidation sqref="L6:L55" showDropDown="0" showInputMessage="0" showErrorMessage="0" allowBlank="1" type="list">
      <formula1>"✅ Yes,❌ No,⚠️ Partial,➖ N/A"</formula1>
    </dataValidation>
    <dataValidation sqref="M6:M55" showDropDown="0" showInputMessage="0" showErrorMessage="0" allowBlank="1" type="list">
      <formula1>"✅ Yes,❌ No,⚠️ Partial,➖ N/A"</formula1>
    </dataValidation>
    <dataValidation sqref="N6:N55" showDropDown="0" showInputMessage="0" showErrorMessage="0" allowBlank="1" type="list">
      <formula1>"✅ Yes,❌ No,⚠️ Partial,➖ N/A"</formula1>
    </dataValidation>
    <dataValidation sqref="O6:O55" showDropDown="0" showInputMessage="0" showErrorMessage="0" allowBlank="1" type="list">
      <formula1>"✅ Yes,❌ No,⚠️ Partial,➖ 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20" customWidth="1" min="14" max="14"/>
    <col width="18" customWidth="1" min="15" max="15"/>
    <col width="18" customWidth="1" min="16" max="16"/>
    <col width="40" customWidth="1" min="17" max="17"/>
    <col width="40" customWidth="1" min="18" max="18"/>
  </cols>
  <sheetData>
    <row r="1" ht="35" customHeight="1">
      <c r="A1" s="11" t="inlineStr">
        <is>
          <t>AUTHORIZATION &amp; ACCESS LOGGING ASSESSMENT</t>
        </is>
      </c>
    </row>
    <row r="2">
      <c r="A2" s="12" t="inlineStr">
        <is>
          <t>Assess access control event logging per ISMS-POL-A.8.15-S2.1.3</t>
        </is>
      </c>
    </row>
    <row r="4">
      <c r="A4" s="13" t="inlineStr">
        <is>
          <t>System ID</t>
        </is>
      </c>
      <c r="B4" s="13" t="inlineStr">
        <is>
          <t>System Name</t>
        </is>
      </c>
      <c r="C4" s="13" t="inlineStr">
        <is>
          <t>Logs Access Grants</t>
        </is>
      </c>
      <c r="D4" s="13" t="inlineStr">
        <is>
          <t>Logs Access Denials</t>
        </is>
      </c>
      <c r="E4" s="13" t="inlineStr">
        <is>
          <t>Logs Permission Changes</t>
        </is>
      </c>
      <c r="F4" s="13" t="inlineStr">
        <is>
          <t>Logs Privilege Escalation</t>
        </is>
      </c>
      <c r="G4" s="13" t="inlineStr">
        <is>
          <t>Logs Data Access (Sensitive)</t>
        </is>
      </c>
      <c r="H4" s="13" t="inlineStr">
        <is>
          <t>Includes User ID</t>
        </is>
      </c>
      <c r="I4" s="13" t="inlineStr">
        <is>
          <t>Includes Resource Accessed</t>
        </is>
      </c>
      <c r="J4" s="13" t="inlineStr">
        <is>
          <t>Includes Action Type</t>
        </is>
      </c>
      <c r="K4" s="13" t="inlineStr">
        <is>
          <t>Includes Outcome</t>
        </is>
      </c>
      <c r="L4" s="13" t="inlineStr">
        <is>
          <t>Includes Reason (denied)</t>
        </is>
      </c>
      <c r="M4" s="13" t="inlineStr">
        <is>
          <t>Includes Before/After State</t>
        </is>
      </c>
      <c r="N4" s="13" t="inlineStr">
        <is>
          <t>Logs Group Membership</t>
        </is>
      </c>
      <c r="O4" s="13" t="inlineStr">
        <is>
          <t>Logs Role Assignment</t>
        </is>
      </c>
      <c r="P4" s="13" t="inlineStr">
        <is>
          <t>Compliance Score</t>
        </is>
      </c>
      <c r="Q4" s="13" t="inlineStr">
        <is>
          <t>Gap Description</t>
        </is>
      </c>
      <c r="R4" s="13" t="inlineStr">
        <is>
          <t>Remediation Plan</t>
        </is>
      </c>
    </row>
    <row r="5">
      <c r="A5" s="14" t="inlineStr">
        <is>
          <t>SYS-001</t>
        </is>
      </c>
      <c r="B5" s="14" t="inlineStr">
        <is>
          <t>web-prod-01</t>
        </is>
      </c>
      <c r="C5" s="14" t="inlineStr">
        <is>
          <t>Yes</t>
        </is>
      </c>
      <c r="D5" s="14" t="inlineStr">
        <is>
          <t>Yes</t>
        </is>
      </c>
      <c r="E5" s="14" t="inlineStr">
        <is>
          <t>Yes</t>
        </is>
      </c>
      <c r="F5" s="14" t="inlineStr">
        <is>
          <t>Yes</t>
        </is>
      </c>
      <c r="G5" s="14" t="inlineStr">
        <is>
          <t>Yes</t>
        </is>
      </c>
      <c r="H5" s="14" t="inlineStr">
        <is>
          <t>Yes</t>
        </is>
      </c>
      <c r="I5" s="14" t="inlineStr">
        <is>
          <t>Yes</t>
        </is>
      </c>
      <c r="J5" s="14" t="inlineStr">
        <is>
          <t>Yes</t>
        </is>
      </c>
      <c r="K5" s="14" t="inlineStr">
        <is>
          <t>Yes</t>
        </is>
      </c>
      <c r="L5" s="14" t="inlineStr">
        <is>
          <t>Partial</t>
        </is>
      </c>
      <c r="M5" s="14" t="inlineStr">
        <is>
          <t>Partial</t>
        </is>
      </c>
      <c r="N5" s="14" t="inlineStr">
        <is>
          <t>Yes</t>
        </is>
      </c>
      <c r="O5" s="14" t="inlineStr">
        <is>
          <t>Yes</t>
        </is>
      </c>
      <c r="P5" s="14" t="inlineStr">
        <is>
          <t>92.3%</t>
        </is>
      </c>
      <c r="Q5" s="14" t="inlineStr">
        <is>
          <t>Before/After state partially logged</t>
        </is>
      </c>
      <c r="R5" s="14" t="inlineStr">
        <is>
          <t>Enhance logging</t>
        </is>
      </c>
    </row>
    <row r="6">
      <c r="A6" s="16" t="n"/>
      <c r="B6" s="15">
        <f>IF(A6="","",IFERROR(VLOOKUP(A6,'System Inventory'!A:B,2,FALSE),"Not Found"))</f>
        <v/>
      </c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8">
        <f>IF(A6="","",(COUNTIF(C6:M6,"*Yes*")/COUNTIF(C6:M6,"&lt;&gt;N/A"))*100)</f>
        <v/>
      </c>
      <c r="Q6" s="16" t="n"/>
      <c r="R6" s="16" t="n"/>
    </row>
    <row r="7">
      <c r="A7" s="16" t="n"/>
      <c r="B7" s="15">
        <f>IF(A7="","",IFERROR(VLOOKUP(A7,'System Inventory'!A:B,2,FALSE),"Not Found"))</f>
        <v/>
      </c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8">
        <f>IF(A7="","",(COUNTIF(C7:M7,"*Yes*")/COUNTIF(C7:M7,"&lt;&gt;N/A"))*100)</f>
        <v/>
      </c>
      <c r="Q7" s="16" t="n"/>
      <c r="R7" s="16" t="n"/>
    </row>
    <row r="8">
      <c r="A8" s="16" t="n"/>
      <c r="B8" s="15">
        <f>IF(A8="","",IFERROR(VLOOKUP(A8,'System Inventory'!A:B,2,FALSE),"Not Found"))</f>
        <v/>
      </c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8">
        <f>IF(A8="","",(COUNTIF(C8:M8,"*Yes*")/COUNTIF(C8:M8,"&lt;&gt;N/A"))*100)</f>
        <v/>
      </c>
      <c r="Q8" s="16" t="n"/>
      <c r="R8" s="16" t="n"/>
    </row>
    <row r="9">
      <c r="A9" s="16" t="n"/>
      <c r="B9" s="15">
        <f>IF(A9="","",IFERROR(VLOOKUP(A9,'System Inventory'!A:B,2,FALSE),"Not Found"))</f>
        <v/>
      </c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8">
        <f>IF(A9="","",(COUNTIF(C9:M9,"*Yes*")/COUNTIF(C9:M9,"&lt;&gt;N/A"))*100)</f>
        <v/>
      </c>
      <c r="Q9" s="16" t="n"/>
      <c r="R9" s="16" t="n"/>
    </row>
    <row r="10">
      <c r="A10" s="16" t="n"/>
      <c r="B10" s="15">
        <f>IF(A10="","",IFERROR(VLOOKUP(A10,'System Inventory'!A:B,2,FALSE),"Not Found"))</f>
        <v/>
      </c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8">
        <f>IF(A10="","",(COUNTIF(C10:M10,"*Yes*")/COUNTIF(C10:M10,"&lt;&gt;N/A"))*100)</f>
        <v/>
      </c>
      <c r="Q10" s="16" t="n"/>
      <c r="R10" s="16" t="n"/>
    </row>
    <row r="11">
      <c r="A11" s="16" t="n"/>
      <c r="B11" s="15">
        <f>IF(A11="","",IFERROR(VLOOKUP(A11,'System Inventory'!A:B,2,FALSE),"Not Found"))</f>
        <v/>
      </c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8">
        <f>IF(A11="","",(COUNTIF(C11:M11,"*Yes*")/COUNTIF(C11:M11,"&lt;&gt;N/A"))*100)</f>
        <v/>
      </c>
      <c r="Q11" s="16" t="n"/>
      <c r="R11" s="16" t="n"/>
    </row>
    <row r="12">
      <c r="A12" s="16" t="n"/>
      <c r="B12" s="15">
        <f>IF(A12="","",IFERROR(VLOOKUP(A12,'System Inventory'!A:B,2,FALSE),"Not Found"))</f>
        <v/>
      </c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8">
        <f>IF(A12="","",(COUNTIF(C12:M12,"*Yes*")/COUNTIF(C12:M12,"&lt;&gt;N/A"))*100)</f>
        <v/>
      </c>
      <c r="Q12" s="16" t="n"/>
      <c r="R12" s="16" t="n"/>
    </row>
    <row r="13">
      <c r="A13" s="16" t="n"/>
      <c r="B13" s="15">
        <f>IF(A13="","",IFERROR(VLOOKUP(A13,'System Inventory'!A:B,2,FALSE),"Not Found"))</f>
        <v/>
      </c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8">
        <f>IF(A13="","",(COUNTIF(C13:M13,"*Yes*")/COUNTIF(C13:M13,"&lt;&gt;N/A"))*100)</f>
        <v/>
      </c>
      <c r="Q13" s="16" t="n"/>
      <c r="R13" s="16" t="n"/>
    </row>
    <row r="14">
      <c r="A14" s="16" t="n"/>
      <c r="B14" s="15">
        <f>IF(A14="","",IFERROR(VLOOKUP(A14,'System Inventory'!A:B,2,FALSE),"Not Found"))</f>
        <v/>
      </c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8">
        <f>IF(A14="","",(COUNTIF(C14:M14,"*Yes*")/COUNTIF(C14:M14,"&lt;&gt;N/A"))*100)</f>
        <v/>
      </c>
      <c r="Q14" s="16" t="n"/>
      <c r="R14" s="16" t="n"/>
    </row>
    <row r="15">
      <c r="A15" s="16" t="n"/>
      <c r="B15" s="15">
        <f>IF(A15="","",IFERROR(VLOOKUP(A15,'System Inventory'!A:B,2,FALSE),"Not Found"))</f>
        <v/>
      </c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8">
        <f>IF(A15="","",(COUNTIF(C15:M15,"*Yes*")/COUNTIF(C15:M15,"&lt;&gt;N/A"))*100)</f>
        <v/>
      </c>
      <c r="Q15" s="16" t="n"/>
      <c r="R15" s="16" t="n"/>
    </row>
    <row r="16">
      <c r="A16" s="16" t="n"/>
      <c r="B16" s="15">
        <f>IF(A16="","",IFERROR(VLOOKUP(A16,'System Inventory'!A:B,2,FALSE),"Not Found"))</f>
        <v/>
      </c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8">
        <f>IF(A16="","",(COUNTIF(C16:M16,"*Yes*")/COUNTIF(C16:M16,"&lt;&gt;N/A"))*100)</f>
        <v/>
      </c>
      <c r="Q16" s="16" t="n"/>
      <c r="R16" s="16" t="n"/>
    </row>
    <row r="17">
      <c r="A17" s="16" t="n"/>
      <c r="B17" s="15">
        <f>IF(A17="","",IFERROR(VLOOKUP(A17,'System Inventory'!A:B,2,FALSE),"Not Found"))</f>
        <v/>
      </c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8">
        <f>IF(A17="","",(COUNTIF(C17:M17,"*Yes*")/COUNTIF(C17:M17,"&lt;&gt;N/A"))*100)</f>
        <v/>
      </c>
      <c r="Q17" s="16" t="n"/>
      <c r="R17" s="16" t="n"/>
    </row>
    <row r="18">
      <c r="A18" s="16" t="n"/>
      <c r="B18" s="15">
        <f>IF(A18="","",IFERROR(VLOOKUP(A18,'System Inventory'!A:B,2,FALSE),"Not Found"))</f>
        <v/>
      </c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8">
        <f>IF(A18="","",(COUNTIF(C18:M18,"*Yes*")/COUNTIF(C18:M18,"&lt;&gt;N/A"))*100)</f>
        <v/>
      </c>
      <c r="Q18" s="16" t="n"/>
      <c r="R18" s="16" t="n"/>
    </row>
    <row r="19">
      <c r="A19" s="16" t="n"/>
      <c r="B19" s="15">
        <f>IF(A19="","",IFERROR(VLOOKUP(A19,'System Inventory'!A:B,2,FALSE),"Not Found"))</f>
        <v/>
      </c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8">
        <f>IF(A19="","",(COUNTIF(C19:M19,"*Yes*")/COUNTIF(C19:M19,"&lt;&gt;N/A"))*100)</f>
        <v/>
      </c>
      <c r="Q19" s="16" t="n"/>
      <c r="R19" s="16" t="n"/>
    </row>
    <row r="20">
      <c r="A20" s="16" t="n"/>
      <c r="B20" s="15">
        <f>IF(A20="","",IFERROR(VLOOKUP(A20,'System Inventory'!A:B,2,FALSE),"Not Found"))</f>
        <v/>
      </c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8">
        <f>IF(A20="","",(COUNTIF(C20:M20,"*Yes*")/COUNTIF(C20:M20,"&lt;&gt;N/A"))*100)</f>
        <v/>
      </c>
      <c r="Q20" s="16" t="n"/>
      <c r="R20" s="16" t="n"/>
    </row>
    <row r="21">
      <c r="A21" s="16" t="n"/>
      <c r="B21" s="15">
        <f>IF(A21="","",IFERROR(VLOOKUP(A21,'System Inventory'!A:B,2,FALSE),"Not Found"))</f>
        <v/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8">
        <f>IF(A21="","",(COUNTIF(C21:M21,"*Yes*")/COUNTIF(C21:M21,"&lt;&gt;N/A"))*100)</f>
        <v/>
      </c>
      <c r="Q21" s="16" t="n"/>
      <c r="R21" s="16" t="n"/>
    </row>
    <row r="22">
      <c r="A22" s="16" t="n"/>
      <c r="B22" s="15">
        <f>IF(A22="","",IFERROR(VLOOKUP(A22,'System Inventory'!A:B,2,FALSE),"Not Found"))</f>
        <v/>
      </c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8">
        <f>IF(A22="","",(COUNTIF(C22:M22,"*Yes*")/COUNTIF(C22:M22,"&lt;&gt;N/A"))*100)</f>
        <v/>
      </c>
      <c r="Q22" s="16" t="n"/>
      <c r="R22" s="16" t="n"/>
    </row>
    <row r="23">
      <c r="A23" s="16" t="n"/>
      <c r="B23" s="15">
        <f>IF(A23="","",IFERROR(VLOOKUP(A23,'System Inventory'!A:B,2,FALSE),"Not Found"))</f>
        <v/>
      </c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8">
        <f>IF(A23="","",(COUNTIF(C23:M23,"*Yes*")/COUNTIF(C23:M23,"&lt;&gt;N/A"))*100)</f>
        <v/>
      </c>
      <c r="Q23" s="16" t="n"/>
      <c r="R23" s="16" t="n"/>
    </row>
    <row r="24">
      <c r="A24" s="16" t="n"/>
      <c r="B24" s="15">
        <f>IF(A24="","",IFERROR(VLOOKUP(A24,'System Inventory'!A:B,2,FALSE),"Not Found"))</f>
        <v/>
      </c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8">
        <f>IF(A24="","",(COUNTIF(C24:M24,"*Yes*")/COUNTIF(C24:M24,"&lt;&gt;N/A"))*100)</f>
        <v/>
      </c>
      <c r="Q24" s="16" t="n"/>
      <c r="R24" s="16" t="n"/>
    </row>
    <row r="25">
      <c r="A25" s="16" t="n"/>
      <c r="B25" s="15">
        <f>IF(A25="","",IFERROR(VLOOKUP(A25,'System Inventory'!A:B,2,FALSE),"Not Found"))</f>
        <v/>
      </c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8">
        <f>IF(A25="","",(COUNTIF(C25:M25,"*Yes*")/COUNTIF(C25:M25,"&lt;&gt;N/A"))*100)</f>
        <v/>
      </c>
      <c r="Q25" s="16" t="n"/>
      <c r="R25" s="16" t="n"/>
    </row>
    <row r="26">
      <c r="A26" s="16" t="n"/>
      <c r="B26" s="15">
        <f>IF(A26="","",IFERROR(VLOOKUP(A26,'System Inventory'!A:B,2,FALSE),"Not Found"))</f>
        <v/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8">
        <f>IF(A26="","",(COUNTIF(C26:M26,"*Yes*")/COUNTIF(C26:M26,"&lt;&gt;N/A"))*100)</f>
        <v/>
      </c>
      <c r="Q26" s="16" t="n"/>
      <c r="R26" s="16" t="n"/>
    </row>
    <row r="27">
      <c r="A27" s="16" t="n"/>
      <c r="B27" s="15">
        <f>IF(A27="","",IFERROR(VLOOKUP(A27,'System Inventory'!A:B,2,FALSE),"Not Found"))</f>
        <v/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8">
        <f>IF(A27="","",(COUNTIF(C27:M27,"*Yes*")/COUNTIF(C27:M27,"&lt;&gt;N/A"))*100)</f>
        <v/>
      </c>
      <c r="Q27" s="16" t="n"/>
      <c r="R27" s="16" t="n"/>
    </row>
    <row r="28">
      <c r="A28" s="16" t="n"/>
      <c r="B28" s="15">
        <f>IF(A28="","",IFERROR(VLOOKUP(A28,'System Inventory'!A:B,2,FALSE),"Not Found"))</f>
        <v/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8">
        <f>IF(A28="","",(COUNTIF(C28:M28,"*Yes*")/COUNTIF(C28:M28,"&lt;&gt;N/A"))*100)</f>
        <v/>
      </c>
      <c r="Q28" s="16" t="n"/>
      <c r="R28" s="16" t="n"/>
    </row>
    <row r="29">
      <c r="A29" s="16" t="n"/>
      <c r="B29" s="15">
        <f>IF(A29="","",IFERROR(VLOOKUP(A29,'System Inventory'!A:B,2,FALSE),"Not Found"))</f>
        <v/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8">
        <f>IF(A29="","",(COUNTIF(C29:M29,"*Yes*")/COUNTIF(C29:M29,"&lt;&gt;N/A"))*100)</f>
        <v/>
      </c>
      <c r="Q29" s="16" t="n"/>
      <c r="R29" s="16" t="n"/>
    </row>
    <row r="30">
      <c r="A30" s="16" t="n"/>
      <c r="B30" s="15">
        <f>IF(A30="","",IFERROR(VLOOKUP(A30,'System Inventory'!A:B,2,FALSE),"Not Found"))</f>
        <v/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8">
        <f>IF(A30="","",(COUNTIF(C30:M30,"*Yes*")/COUNTIF(C30:M30,"&lt;&gt;N/A"))*100)</f>
        <v/>
      </c>
      <c r="Q30" s="16" t="n"/>
      <c r="R30" s="16" t="n"/>
    </row>
    <row r="31">
      <c r="A31" s="16" t="n"/>
      <c r="B31" s="15">
        <f>IF(A31="","",IFERROR(VLOOKUP(A31,'System Inventory'!A:B,2,FALSE),"Not Found"))</f>
        <v/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8">
        <f>IF(A31="","",(COUNTIF(C31:M31,"*Yes*")/COUNTIF(C31:M31,"&lt;&gt;N/A"))*100)</f>
        <v/>
      </c>
      <c r="Q31" s="16" t="n"/>
      <c r="R31" s="16" t="n"/>
    </row>
    <row r="32">
      <c r="A32" s="16" t="n"/>
      <c r="B32" s="15">
        <f>IF(A32="","",IFERROR(VLOOKUP(A32,'System Inventory'!A:B,2,FALSE),"Not Found"))</f>
        <v/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8">
        <f>IF(A32="","",(COUNTIF(C32:M32,"*Yes*")/COUNTIF(C32:M32,"&lt;&gt;N/A"))*100)</f>
        <v/>
      </c>
      <c r="Q32" s="16" t="n"/>
      <c r="R32" s="16" t="n"/>
    </row>
    <row r="33">
      <c r="A33" s="16" t="n"/>
      <c r="B33" s="15">
        <f>IF(A33="","",IFERROR(VLOOKUP(A33,'System Inventory'!A:B,2,FALSE),"Not Found"))</f>
        <v/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8">
        <f>IF(A33="","",(COUNTIF(C33:M33,"*Yes*")/COUNTIF(C33:M33,"&lt;&gt;N/A"))*100)</f>
        <v/>
      </c>
      <c r="Q33" s="16" t="n"/>
      <c r="R33" s="16" t="n"/>
    </row>
    <row r="34">
      <c r="A34" s="16" t="n"/>
      <c r="B34" s="15">
        <f>IF(A34="","",IFERROR(VLOOKUP(A34,'System Inventory'!A:B,2,FALSE),"Not Found"))</f>
        <v/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8">
        <f>IF(A34="","",(COUNTIF(C34:M34,"*Yes*")/COUNTIF(C34:M34,"&lt;&gt;N/A"))*100)</f>
        <v/>
      </c>
      <c r="Q34" s="16" t="n"/>
      <c r="R34" s="16" t="n"/>
    </row>
    <row r="35">
      <c r="A35" s="16" t="n"/>
      <c r="B35" s="15">
        <f>IF(A35="","",IFERROR(VLOOKUP(A35,'System Inventory'!A:B,2,FALSE),"Not Found"))</f>
        <v/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8">
        <f>IF(A35="","",(COUNTIF(C35:M35,"*Yes*")/COUNTIF(C35:M35,"&lt;&gt;N/A"))*100)</f>
        <v/>
      </c>
      <c r="Q35" s="16" t="n"/>
      <c r="R35" s="16" t="n"/>
    </row>
    <row r="36">
      <c r="A36" s="16" t="n"/>
      <c r="B36" s="15">
        <f>IF(A36="","",IFERROR(VLOOKUP(A36,'System Inventory'!A:B,2,FALSE),"Not Found"))</f>
        <v/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8">
        <f>IF(A36="","",(COUNTIF(C36:M36,"*Yes*")/COUNTIF(C36:M36,"&lt;&gt;N/A"))*100)</f>
        <v/>
      </c>
      <c r="Q36" s="16" t="n"/>
      <c r="R36" s="16" t="n"/>
    </row>
    <row r="37">
      <c r="A37" s="16" t="n"/>
      <c r="B37" s="15">
        <f>IF(A37="","",IFERROR(VLOOKUP(A37,'System Inventory'!A:B,2,FALSE),"Not Found"))</f>
        <v/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8">
        <f>IF(A37="","",(COUNTIF(C37:M37,"*Yes*")/COUNTIF(C37:M37,"&lt;&gt;N/A"))*100)</f>
        <v/>
      </c>
      <c r="Q37" s="16" t="n"/>
      <c r="R37" s="16" t="n"/>
    </row>
    <row r="38">
      <c r="A38" s="16" t="n"/>
      <c r="B38" s="15">
        <f>IF(A38="","",IFERROR(VLOOKUP(A38,'System Inventory'!A:B,2,FALSE),"Not Found"))</f>
        <v/>
      </c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8">
        <f>IF(A38="","",(COUNTIF(C38:M38,"*Yes*")/COUNTIF(C38:M38,"&lt;&gt;N/A"))*100)</f>
        <v/>
      </c>
      <c r="Q38" s="16" t="n"/>
      <c r="R38" s="16" t="n"/>
    </row>
    <row r="39">
      <c r="A39" s="16" t="n"/>
      <c r="B39" s="15">
        <f>IF(A39="","",IFERROR(VLOOKUP(A39,'System Inventory'!A:B,2,FALSE),"Not Found"))</f>
        <v/>
      </c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8">
        <f>IF(A39="","",(COUNTIF(C39:M39,"*Yes*")/COUNTIF(C39:M39,"&lt;&gt;N/A"))*100)</f>
        <v/>
      </c>
      <c r="Q39" s="16" t="n"/>
      <c r="R39" s="16" t="n"/>
    </row>
    <row r="40">
      <c r="A40" s="16" t="n"/>
      <c r="B40" s="15">
        <f>IF(A40="","",IFERROR(VLOOKUP(A40,'System Inventory'!A:B,2,FALSE),"Not Found"))</f>
        <v/>
      </c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8">
        <f>IF(A40="","",(COUNTIF(C40:M40,"*Yes*")/COUNTIF(C40:M40,"&lt;&gt;N/A"))*100)</f>
        <v/>
      </c>
      <c r="Q40" s="16" t="n"/>
      <c r="R40" s="16" t="n"/>
    </row>
    <row r="41">
      <c r="A41" s="16" t="n"/>
      <c r="B41" s="15">
        <f>IF(A41="","",IFERROR(VLOOKUP(A41,'System Inventory'!A:B,2,FALSE),"Not Found"))</f>
        <v/>
      </c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8">
        <f>IF(A41="","",(COUNTIF(C41:M41,"*Yes*")/COUNTIF(C41:M41,"&lt;&gt;N/A"))*100)</f>
        <v/>
      </c>
      <c r="Q41" s="16" t="n"/>
      <c r="R41" s="16" t="n"/>
    </row>
    <row r="42">
      <c r="A42" s="16" t="n"/>
      <c r="B42" s="15">
        <f>IF(A42="","",IFERROR(VLOOKUP(A42,'System Inventory'!A:B,2,FALSE),"Not Found"))</f>
        <v/>
      </c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8">
        <f>IF(A42="","",(COUNTIF(C42:M42,"*Yes*")/COUNTIF(C42:M42,"&lt;&gt;N/A"))*100)</f>
        <v/>
      </c>
      <c r="Q42" s="16" t="n"/>
      <c r="R42" s="16" t="n"/>
    </row>
    <row r="43">
      <c r="A43" s="16" t="n"/>
      <c r="B43" s="15">
        <f>IF(A43="","",IFERROR(VLOOKUP(A43,'System Inventory'!A:B,2,FALSE),"Not Found"))</f>
        <v/>
      </c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8">
        <f>IF(A43="","",(COUNTIF(C43:M43,"*Yes*")/COUNTIF(C43:M43,"&lt;&gt;N/A"))*100)</f>
        <v/>
      </c>
      <c r="Q43" s="16" t="n"/>
      <c r="R43" s="16" t="n"/>
    </row>
    <row r="44">
      <c r="A44" s="16" t="n"/>
      <c r="B44" s="15">
        <f>IF(A44="","",IFERROR(VLOOKUP(A44,'System Inventory'!A:B,2,FALSE),"Not Found"))</f>
        <v/>
      </c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8">
        <f>IF(A44="","",(COUNTIF(C44:M44,"*Yes*")/COUNTIF(C44:M44,"&lt;&gt;N/A"))*100)</f>
        <v/>
      </c>
      <c r="Q44" s="16" t="n"/>
      <c r="R44" s="16" t="n"/>
    </row>
    <row r="45">
      <c r="A45" s="16" t="n"/>
      <c r="B45" s="15">
        <f>IF(A45="","",IFERROR(VLOOKUP(A45,'System Inventory'!A:B,2,FALSE),"Not Found"))</f>
        <v/>
      </c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8">
        <f>IF(A45="","",(COUNTIF(C45:M45,"*Yes*")/COUNTIF(C45:M45,"&lt;&gt;N/A"))*100)</f>
        <v/>
      </c>
      <c r="Q45" s="16" t="n"/>
      <c r="R45" s="16" t="n"/>
    </row>
    <row r="46">
      <c r="A46" s="16" t="n"/>
      <c r="B46" s="15">
        <f>IF(A46="","",IFERROR(VLOOKUP(A46,'System Inventory'!A:B,2,FALSE),"Not Found"))</f>
        <v/>
      </c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8">
        <f>IF(A46="","",(COUNTIF(C46:M46,"*Yes*")/COUNTIF(C46:M46,"&lt;&gt;N/A"))*100)</f>
        <v/>
      </c>
      <c r="Q46" s="16" t="n"/>
      <c r="R46" s="16" t="n"/>
    </row>
    <row r="47">
      <c r="A47" s="16" t="n"/>
      <c r="B47" s="15">
        <f>IF(A47="","",IFERROR(VLOOKUP(A47,'System Inventory'!A:B,2,FALSE),"Not Found"))</f>
        <v/>
      </c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8">
        <f>IF(A47="","",(COUNTIF(C47:M47,"*Yes*")/COUNTIF(C47:M47,"&lt;&gt;N/A"))*100)</f>
        <v/>
      </c>
      <c r="Q47" s="16" t="n"/>
      <c r="R47" s="16" t="n"/>
    </row>
    <row r="48">
      <c r="A48" s="16" t="n"/>
      <c r="B48" s="15">
        <f>IF(A48="","",IFERROR(VLOOKUP(A48,'System Inventory'!A:B,2,FALSE),"Not Found"))</f>
        <v/>
      </c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8">
        <f>IF(A48="","",(COUNTIF(C48:M48,"*Yes*")/COUNTIF(C48:M48,"&lt;&gt;N/A"))*100)</f>
        <v/>
      </c>
      <c r="Q48" s="16" t="n"/>
      <c r="R48" s="16" t="n"/>
    </row>
    <row r="49">
      <c r="A49" s="16" t="n"/>
      <c r="B49" s="15">
        <f>IF(A49="","",IFERROR(VLOOKUP(A49,'System Inventory'!A:B,2,FALSE),"Not Found"))</f>
        <v/>
      </c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8">
        <f>IF(A49="","",(COUNTIF(C49:M49,"*Yes*")/COUNTIF(C49:M49,"&lt;&gt;N/A"))*100)</f>
        <v/>
      </c>
      <c r="Q49" s="16" t="n"/>
      <c r="R49" s="16" t="n"/>
    </row>
    <row r="50">
      <c r="A50" s="16" t="n"/>
      <c r="B50" s="15">
        <f>IF(A50="","",IFERROR(VLOOKUP(A50,'System Inventory'!A:B,2,FALSE),"Not Found"))</f>
        <v/>
      </c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8">
        <f>IF(A50="","",(COUNTIF(C50:M50,"*Yes*")/COUNTIF(C50:M50,"&lt;&gt;N/A"))*100)</f>
        <v/>
      </c>
      <c r="Q50" s="16" t="n"/>
      <c r="R50" s="16" t="n"/>
    </row>
    <row r="51">
      <c r="A51" s="16" t="n"/>
      <c r="B51" s="15">
        <f>IF(A51="","",IFERROR(VLOOKUP(A51,'System Inventory'!A:B,2,FALSE),"Not Found"))</f>
        <v/>
      </c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8">
        <f>IF(A51="","",(COUNTIF(C51:M51,"*Yes*")/COUNTIF(C51:M51,"&lt;&gt;N/A"))*100)</f>
        <v/>
      </c>
      <c r="Q51" s="16" t="n"/>
      <c r="R51" s="16" t="n"/>
    </row>
    <row r="52">
      <c r="A52" s="16" t="n"/>
      <c r="B52" s="15">
        <f>IF(A52="","",IFERROR(VLOOKUP(A52,'System Inventory'!A:B,2,FALSE),"Not Found"))</f>
        <v/>
      </c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8">
        <f>IF(A52="","",(COUNTIF(C52:M52,"*Yes*")/COUNTIF(C52:M52,"&lt;&gt;N/A"))*100)</f>
        <v/>
      </c>
      <c r="Q52" s="16" t="n"/>
      <c r="R52" s="16" t="n"/>
    </row>
    <row r="53">
      <c r="A53" s="16" t="n"/>
      <c r="B53" s="15">
        <f>IF(A53="","",IFERROR(VLOOKUP(A53,'System Inventory'!A:B,2,FALSE),"Not Found"))</f>
        <v/>
      </c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8">
        <f>IF(A53="","",(COUNTIF(C53:M53,"*Yes*")/COUNTIF(C53:M53,"&lt;&gt;N/A"))*100)</f>
        <v/>
      </c>
      <c r="Q53" s="16" t="n"/>
      <c r="R53" s="16" t="n"/>
    </row>
    <row r="54">
      <c r="A54" s="16" t="n"/>
      <c r="B54" s="15">
        <f>IF(A54="","",IFERROR(VLOOKUP(A54,'System Inventory'!A:B,2,FALSE),"Not Found"))</f>
        <v/>
      </c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8">
        <f>IF(A54="","",(COUNTIF(C54:M54,"*Yes*")/COUNTIF(C54:M54,"&lt;&gt;N/A"))*100)</f>
        <v/>
      </c>
      <c r="Q54" s="16" t="n"/>
      <c r="R54" s="16" t="n"/>
    </row>
    <row r="55">
      <c r="A55" s="16" t="n"/>
      <c r="B55" s="15">
        <f>IF(A55="","",IFERROR(VLOOKUP(A55,'System Inventory'!A:B,2,FALSE),"Not Found"))</f>
        <v/>
      </c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8">
        <f>IF(A55="","",(COUNTIF(C55:M55,"*Yes*")/COUNTIF(C55:M55,"&lt;&gt;N/A"))*100)</f>
        <v/>
      </c>
      <c r="Q55" s="16" t="n"/>
      <c r="R55" s="16" t="n"/>
    </row>
  </sheetData>
  <mergeCells count="2">
    <mergeCell ref="A2:R2"/>
    <mergeCell ref="A1:R1"/>
  </mergeCells>
  <conditionalFormatting sqref="P6:P55">
    <cfRule type="cellIs" priority="1" operator="greaterThanOrEqual" dxfId="0" stopIfTrue="1">
      <formula>95</formula>
    </cfRule>
    <cfRule type="cellIs" priority="2" operator="between" dxfId="1" stopIfTrue="1">
      <formula>80</formula>
      <formula>94</formula>
    </cfRule>
    <cfRule type="cellIs" priority="3" operator="lessThan" dxfId="2" stopIfTrue="1">
      <formula>80</formula>
    </cfRule>
  </conditionalFormatting>
  <dataValidations count="13">
    <dataValidation sqref="C6:C55" showDropDown="0" showInputMessage="0" showErrorMessage="0" allowBlank="1" type="list">
      <formula1>"✅ Yes,❌ No,⚠️ Partial,➖ N/A"</formula1>
    </dataValidation>
    <dataValidation sqref="D6:D55" showDropDown="0" showInputMessage="0" showErrorMessage="0" allowBlank="1" type="list">
      <formula1>"✅ Yes,❌ No,⚠️ Partial,➖ N/A"</formula1>
    </dataValidation>
    <dataValidation sqref="E6:E55" showDropDown="0" showInputMessage="0" showErrorMessage="0" allowBlank="1" type="list">
      <formula1>"✅ Yes,❌ No,⚠️ Partial,➖ N/A"</formula1>
    </dataValidation>
    <dataValidation sqref="F6:F55" showDropDown="0" showInputMessage="0" showErrorMessage="0" allowBlank="1" type="list">
      <formula1>"✅ Yes,❌ No,⚠️ Partial,➖ N/A"</formula1>
    </dataValidation>
    <dataValidation sqref="G6:G55" showDropDown="0" showInputMessage="0" showErrorMessage="0" allowBlank="1" type="list">
      <formula1>"✅ Yes,❌ No,⚠️ Partial,➖ N/A"</formula1>
    </dataValidation>
    <dataValidation sqref="H6:H55" showDropDown="0" showInputMessage="0" showErrorMessage="0" allowBlank="1" type="list">
      <formula1>"✅ Yes,❌ No,⚠️ Partial,➖ N/A"</formula1>
    </dataValidation>
    <dataValidation sqref="I6:I55" showDropDown="0" showInputMessage="0" showErrorMessage="0" allowBlank="1" type="list">
      <formula1>"✅ Yes,❌ No,⚠️ Partial,➖ N/A"</formula1>
    </dataValidation>
    <dataValidation sqref="J6:J55" showDropDown="0" showInputMessage="0" showErrorMessage="0" allowBlank="1" type="list">
      <formula1>"✅ Yes,❌ No,⚠️ Partial,➖ N/A"</formula1>
    </dataValidation>
    <dataValidation sqref="K6:K55" showDropDown="0" showInputMessage="0" showErrorMessage="0" allowBlank="1" type="list">
      <formula1>"✅ Yes,❌ No,⚠️ Partial,➖ N/A"</formula1>
    </dataValidation>
    <dataValidation sqref="L6:L55" showDropDown="0" showInputMessage="0" showErrorMessage="0" allowBlank="1" type="list">
      <formula1>"✅ Yes,❌ No,⚠️ Partial,➖ N/A"</formula1>
    </dataValidation>
    <dataValidation sqref="M6:M55" showDropDown="0" showInputMessage="0" showErrorMessage="0" allowBlank="1" type="list">
      <formula1>"✅ Yes,❌ No,⚠️ Partial,➖ N/A"</formula1>
    </dataValidation>
    <dataValidation sqref="N6:N55" showDropDown="0" showInputMessage="0" showErrorMessage="0" allowBlank="1" type="list">
      <formula1>"✅ Yes,❌ No,⚠️ Partial,➖ N/A"</formula1>
    </dataValidation>
    <dataValidation sqref="O6:O55" showDropDown="0" showInputMessage="0" showErrorMessage="0" allowBlank="1" type="list">
      <formula1>"✅ Yes,❌ No,⚠️ Partial,➖ 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20" customWidth="1" min="14" max="14"/>
    <col width="18" customWidth="1" min="15" max="15"/>
    <col width="18" customWidth="1" min="16" max="16"/>
    <col width="40" customWidth="1" min="17" max="17"/>
    <col width="40" customWidth="1" min="18" max="18"/>
  </cols>
  <sheetData>
    <row r="1" ht="35" customHeight="1">
      <c r="A1" s="11" t="inlineStr">
        <is>
          <t>ADMINISTRATIVE ACTIVITY LOGGING ASSESSMENT</t>
        </is>
      </c>
    </row>
    <row r="2">
      <c r="A2" s="12" t="inlineStr">
        <is>
          <t>Assess administrative action logging per ISMS-POL-A.8.15-S2.1.4</t>
        </is>
      </c>
    </row>
    <row r="4">
      <c r="A4" s="13" t="inlineStr">
        <is>
          <t>System ID</t>
        </is>
      </c>
      <c r="B4" s="13" t="inlineStr">
        <is>
          <t>System Name</t>
        </is>
      </c>
      <c r="C4" s="13" t="inlineStr">
        <is>
          <t>User Account Management</t>
        </is>
      </c>
      <c r="D4" s="13" t="inlineStr">
        <is>
          <t>Group/Role Management</t>
        </is>
      </c>
      <c r="E4" s="13" t="inlineStr">
        <is>
          <t>Configuration Changes</t>
        </is>
      </c>
      <c r="F4" s="13" t="inlineStr">
        <is>
          <t>Security Policy Changes</t>
        </is>
      </c>
      <c r="G4" s="13" t="inlineStr">
        <is>
          <t>Software Install/Uninstall</t>
        </is>
      </c>
      <c r="H4" s="13" t="inlineStr">
        <is>
          <t>Service Start/Stop</t>
        </is>
      </c>
      <c r="I4" s="13" t="inlineStr">
        <is>
          <t>Patch Application</t>
        </is>
      </c>
      <c r="J4" s="13" t="inlineStr">
        <is>
          <t>Bulk Data Operations</t>
        </is>
      </c>
      <c r="K4" s="13" t="inlineStr">
        <is>
          <t>Privileged Session Logging</t>
        </is>
      </c>
      <c r="L4" s="13" t="inlineStr">
        <is>
          <t>Includes Administrator ID</t>
        </is>
      </c>
      <c r="M4" s="13" t="inlineStr">
        <is>
          <t>Includes Before/After Values</t>
        </is>
      </c>
      <c r="N4" s="13" t="inlineStr">
        <is>
          <t>Includes Timestamp</t>
        </is>
      </c>
      <c r="O4" s="13" t="inlineStr">
        <is>
          <t>Includes Change Reason</t>
        </is>
      </c>
      <c r="P4" s="13" t="inlineStr">
        <is>
          <t>Compliance Score</t>
        </is>
      </c>
      <c r="Q4" s="13" t="inlineStr">
        <is>
          <t>Gap Description</t>
        </is>
      </c>
      <c r="R4" s="13" t="inlineStr">
        <is>
          <t>Remediation Plan</t>
        </is>
      </c>
    </row>
    <row r="5">
      <c r="A5" s="14" t="inlineStr">
        <is>
          <t>SYS-001</t>
        </is>
      </c>
      <c r="B5" s="14" t="inlineStr">
        <is>
          <t>web-prod-01</t>
        </is>
      </c>
      <c r="C5" s="14" t="inlineStr">
        <is>
          <t>Yes</t>
        </is>
      </c>
      <c r="D5" s="14" t="inlineStr">
        <is>
          <t>Yes</t>
        </is>
      </c>
      <c r="E5" s="14" t="inlineStr">
        <is>
          <t>Yes</t>
        </is>
      </c>
      <c r="F5" s="14" t="inlineStr">
        <is>
          <t>Yes</t>
        </is>
      </c>
      <c r="G5" s="14" t="inlineStr">
        <is>
          <t>Partial</t>
        </is>
      </c>
      <c r="H5" s="14" t="inlineStr">
        <is>
          <t>Yes</t>
        </is>
      </c>
      <c r="I5" s="14" t="inlineStr">
        <is>
          <t>Partial</t>
        </is>
      </c>
      <c r="J5" s="14" t="inlineStr">
        <is>
          <t>No</t>
        </is>
      </c>
      <c r="K5" s="14" t="inlineStr">
        <is>
          <t>Yes</t>
        </is>
      </c>
      <c r="L5" s="14" t="inlineStr">
        <is>
          <t>Yes</t>
        </is>
      </c>
      <c r="M5" s="14" t="inlineStr">
        <is>
          <t>Partial</t>
        </is>
      </c>
      <c r="N5" s="14" t="inlineStr">
        <is>
          <t>Yes</t>
        </is>
      </c>
      <c r="O5" s="14" t="inlineStr">
        <is>
          <t>No</t>
        </is>
      </c>
      <c r="P5" s="14" t="inlineStr">
        <is>
          <t>76.9%</t>
        </is>
      </c>
      <c r="Q5" s="14" t="inlineStr">
        <is>
          <t>Change reason not logged, bulk ops not logged</t>
        </is>
      </c>
      <c r="R5" s="14" t="inlineStr">
        <is>
          <t>Implement change logging</t>
        </is>
      </c>
    </row>
    <row r="6">
      <c r="A6" s="16" t="n"/>
      <c r="B6" s="15">
        <f>IF(A6="","",IFERROR(VLOOKUP(A6,'System Inventory'!A:B,2,FALSE),"Not Found"))</f>
        <v/>
      </c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8">
        <f>IF(A6="","",(COUNTIF(C6:M6,"*Yes*")/COUNTIF(C6:M6,"&lt;&gt;N/A"))*100)</f>
        <v/>
      </c>
      <c r="Q6" s="16" t="n"/>
      <c r="R6" s="16" t="n"/>
    </row>
    <row r="7">
      <c r="A7" s="16" t="n"/>
      <c r="B7" s="15">
        <f>IF(A7="","",IFERROR(VLOOKUP(A7,'System Inventory'!A:B,2,FALSE),"Not Found"))</f>
        <v/>
      </c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8">
        <f>IF(A7="","",(COUNTIF(C7:M7,"*Yes*")/COUNTIF(C7:M7,"&lt;&gt;N/A"))*100)</f>
        <v/>
      </c>
      <c r="Q7" s="16" t="n"/>
      <c r="R7" s="16" t="n"/>
    </row>
    <row r="8">
      <c r="A8" s="16" t="n"/>
      <c r="B8" s="15">
        <f>IF(A8="","",IFERROR(VLOOKUP(A8,'System Inventory'!A:B,2,FALSE),"Not Found"))</f>
        <v/>
      </c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8">
        <f>IF(A8="","",(COUNTIF(C8:M8,"*Yes*")/COUNTIF(C8:M8,"&lt;&gt;N/A"))*100)</f>
        <v/>
      </c>
      <c r="Q8" s="16" t="n"/>
      <c r="R8" s="16" t="n"/>
    </row>
    <row r="9">
      <c r="A9" s="16" t="n"/>
      <c r="B9" s="15">
        <f>IF(A9="","",IFERROR(VLOOKUP(A9,'System Inventory'!A:B,2,FALSE),"Not Found"))</f>
        <v/>
      </c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8">
        <f>IF(A9="","",(COUNTIF(C9:M9,"*Yes*")/COUNTIF(C9:M9,"&lt;&gt;N/A"))*100)</f>
        <v/>
      </c>
      <c r="Q9" s="16" t="n"/>
      <c r="R9" s="16" t="n"/>
    </row>
    <row r="10">
      <c r="A10" s="16" t="n"/>
      <c r="B10" s="15">
        <f>IF(A10="","",IFERROR(VLOOKUP(A10,'System Inventory'!A:B,2,FALSE),"Not Found"))</f>
        <v/>
      </c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8">
        <f>IF(A10="","",(COUNTIF(C10:M10,"*Yes*")/COUNTIF(C10:M10,"&lt;&gt;N/A"))*100)</f>
        <v/>
      </c>
      <c r="Q10" s="16" t="n"/>
      <c r="R10" s="16" t="n"/>
    </row>
    <row r="11">
      <c r="A11" s="16" t="n"/>
      <c r="B11" s="15">
        <f>IF(A11="","",IFERROR(VLOOKUP(A11,'System Inventory'!A:B,2,FALSE),"Not Found"))</f>
        <v/>
      </c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8">
        <f>IF(A11="","",(COUNTIF(C11:M11,"*Yes*")/COUNTIF(C11:M11,"&lt;&gt;N/A"))*100)</f>
        <v/>
      </c>
      <c r="Q11" s="16" t="n"/>
      <c r="R11" s="16" t="n"/>
    </row>
    <row r="12">
      <c r="A12" s="16" t="n"/>
      <c r="B12" s="15">
        <f>IF(A12="","",IFERROR(VLOOKUP(A12,'System Inventory'!A:B,2,FALSE),"Not Found"))</f>
        <v/>
      </c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8">
        <f>IF(A12="","",(COUNTIF(C12:M12,"*Yes*")/COUNTIF(C12:M12,"&lt;&gt;N/A"))*100)</f>
        <v/>
      </c>
      <c r="Q12" s="16" t="n"/>
      <c r="R12" s="16" t="n"/>
    </row>
    <row r="13">
      <c r="A13" s="16" t="n"/>
      <c r="B13" s="15">
        <f>IF(A13="","",IFERROR(VLOOKUP(A13,'System Inventory'!A:B,2,FALSE),"Not Found"))</f>
        <v/>
      </c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8">
        <f>IF(A13="","",(COUNTIF(C13:M13,"*Yes*")/COUNTIF(C13:M13,"&lt;&gt;N/A"))*100)</f>
        <v/>
      </c>
      <c r="Q13" s="16" t="n"/>
      <c r="R13" s="16" t="n"/>
    </row>
    <row r="14">
      <c r="A14" s="16" t="n"/>
      <c r="B14" s="15">
        <f>IF(A14="","",IFERROR(VLOOKUP(A14,'System Inventory'!A:B,2,FALSE),"Not Found"))</f>
        <v/>
      </c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8">
        <f>IF(A14="","",(COUNTIF(C14:M14,"*Yes*")/COUNTIF(C14:M14,"&lt;&gt;N/A"))*100)</f>
        <v/>
      </c>
      <c r="Q14" s="16" t="n"/>
      <c r="R14" s="16" t="n"/>
    </row>
    <row r="15">
      <c r="A15" s="16" t="n"/>
      <c r="B15" s="15">
        <f>IF(A15="","",IFERROR(VLOOKUP(A15,'System Inventory'!A:B,2,FALSE),"Not Found"))</f>
        <v/>
      </c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8">
        <f>IF(A15="","",(COUNTIF(C15:M15,"*Yes*")/COUNTIF(C15:M15,"&lt;&gt;N/A"))*100)</f>
        <v/>
      </c>
      <c r="Q15" s="16" t="n"/>
      <c r="R15" s="16" t="n"/>
    </row>
    <row r="16">
      <c r="A16" s="16" t="n"/>
      <c r="B16" s="15">
        <f>IF(A16="","",IFERROR(VLOOKUP(A16,'System Inventory'!A:B,2,FALSE),"Not Found"))</f>
        <v/>
      </c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8">
        <f>IF(A16="","",(COUNTIF(C16:M16,"*Yes*")/COUNTIF(C16:M16,"&lt;&gt;N/A"))*100)</f>
        <v/>
      </c>
      <c r="Q16" s="16" t="n"/>
      <c r="R16" s="16" t="n"/>
    </row>
    <row r="17">
      <c r="A17" s="16" t="n"/>
      <c r="B17" s="15">
        <f>IF(A17="","",IFERROR(VLOOKUP(A17,'System Inventory'!A:B,2,FALSE),"Not Found"))</f>
        <v/>
      </c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8">
        <f>IF(A17="","",(COUNTIF(C17:M17,"*Yes*")/COUNTIF(C17:M17,"&lt;&gt;N/A"))*100)</f>
        <v/>
      </c>
      <c r="Q17" s="16" t="n"/>
      <c r="R17" s="16" t="n"/>
    </row>
    <row r="18">
      <c r="A18" s="16" t="n"/>
      <c r="B18" s="15">
        <f>IF(A18="","",IFERROR(VLOOKUP(A18,'System Inventory'!A:B,2,FALSE),"Not Found"))</f>
        <v/>
      </c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8">
        <f>IF(A18="","",(COUNTIF(C18:M18,"*Yes*")/COUNTIF(C18:M18,"&lt;&gt;N/A"))*100)</f>
        <v/>
      </c>
      <c r="Q18" s="16" t="n"/>
      <c r="R18" s="16" t="n"/>
    </row>
    <row r="19">
      <c r="A19" s="16" t="n"/>
      <c r="B19" s="15">
        <f>IF(A19="","",IFERROR(VLOOKUP(A19,'System Inventory'!A:B,2,FALSE),"Not Found"))</f>
        <v/>
      </c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8">
        <f>IF(A19="","",(COUNTIF(C19:M19,"*Yes*")/COUNTIF(C19:M19,"&lt;&gt;N/A"))*100)</f>
        <v/>
      </c>
      <c r="Q19" s="16" t="n"/>
      <c r="R19" s="16" t="n"/>
    </row>
    <row r="20">
      <c r="A20" s="16" t="n"/>
      <c r="B20" s="15">
        <f>IF(A20="","",IFERROR(VLOOKUP(A20,'System Inventory'!A:B,2,FALSE),"Not Found"))</f>
        <v/>
      </c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8">
        <f>IF(A20="","",(COUNTIF(C20:M20,"*Yes*")/COUNTIF(C20:M20,"&lt;&gt;N/A"))*100)</f>
        <v/>
      </c>
      <c r="Q20" s="16" t="n"/>
      <c r="R20" s="16" t="n"/>
    </row>
    <row r="21">
      <c r="A21" s="16" t="n"/>
      <c r="B21" s="15">
        <f>IF(A21="","",IFERROR(VLOOKUP(A21,'System Inventory'!A:B,2,FALSE),"Not Found"))</f>
        <v/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8">
        <f>IF(A21="","",(COUNTIF(C21:M21,"*Yes*")/COUNTIF(C21:M21,"&lt;&gt;N/A"))*100)</f>
        <v/>
      </c>
      <c r="Q21" s="16" t="n"/>
      <c r="R21" s="16" t="n"/>
    </row>
    <row r="22">
      <c r="A22" s="16" t="n"/>
      <c r="B22" s="15">
        <f>IF(A22="","",IFERROR(VLOOKUP(A22,'System Inventory'!A:B,2,FALSE),"Not Found"))</f>
        <v/>
      </c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8">
        <f>IF(A22="","",(COUNTIF(C22:M22,"*Yes*")/COUNTIF(C22:M22,"&lt;&gt;N/A"))*100)</f>
        <v/>
      </c>
      <c r="Q22" s="16" t="n"/>
      <c r="R22" s="16" t="n"/>
    </row>
    <row r="23">
      <c r="A23" s="16" t="n"/>
      <c r="B23" s="15">
        <f>IF(A23="","",IFERROR(VLOOKUP(A23,'System Inventory'!A:B,2,FALSE),"Not Found"))</f>
        <v/>
      </c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8">
        <f>IF(A23="","",(COUNTIF(C23:M23,"*Yes*")/COUNTIF(C23:M23,"&lt;&gt;N/A"))*100)</f>
        <v/>
      </c>
      <c r="Q23" s="16" t="n"/>
      <c r="R23" s="16" t="n"/>
    </row>
    <row r="24">
      <c r="A24" s="16" t="n"/>
      <c r="B24" s="15">
        <f>IF(A24="","",IFERROR(VLOOKUP(A24,'System Inventory'!A:B,2,FALSE),"Not Found"))</f>
        <v/>
      </c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8">
        <f>IF(A24="","",(COUNTIF(C24:M24,"*Yes*")/COUNTIF(C24:M24,"&lt;&gt;N/A"))*100)</f>
        <v/>
      </c>
      <c r="Q24" s="16" t="n"/>
      <c r="R24" s="16" t="n"/>
    </row>
    <row r="25">
      <c r="A25" s="16" t="n"/>
      <c r="B25" s="15">
        <f>IF(A25="","",IFERROR(VLOOKUP(A25,'System Inventory'!A:B,2,FALSE),"Not Found"))</f>
        <v/>
      </c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8">
        <f>IF(A25="","",(COUNTIF(C25:M25,"*Yes*")/COUNTIF(C25:M25,"&lt;&gt;N/A"))*100)</f>
        <v/>
      </c>
      <c r="Q25" s="16" t="n"/>
      <c r="R25" s="16" t="n"/>
    </row>
    <row r="26">
      <c r="A26" s="16" t="n"/>
      <c r="B26" s="15">
        <f>IF(A26="","",IFERROR(VLOOKUP(A26,'System Inventory'!A:B,2,FALSE),"Not Found"))</f>
        <v/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8">
        <f>IF(A26="","",(COUNTIF(C26:M26,"*Yes*")/COUNTIF(C26:M26,"&lt;&gt;N/A"))*100)</f>
        <v/>
      </c>
      <c r="Q26" s="16" t="n"/>
      <c r="R26" s="16" t="n"/>
    </row>
    <row r="27">
      <c r="A27" s="16" t="n"/>
      <c r="B27" s="15">
        <f>IF(A27="","",IFERROR(VLOOKUP(A27,'System Inventory'!A:B,2,FALSE),"Not Found"))</f>
        <v/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8">
        <f>IF(A27="","",(COUNTIF(C27:M27,"*Yes*")/COUNTIF(C27:M27,"&lt;&gt;N/A"))*100)</f>
        <v/>
      </c>
      <c r="Q27" s="16" t="n"/>
      <c r="R27" s="16" t="n"/>
    </row>
    <row r="28">
      <c r="A28" s="16" t="n"/>
      <c r="B28" s="15">
        <f>IF(A28="","",IFERROR(VLOOKUP(A28,'System Inventory'!A:B,2,FALSE),"Not Found"))</f>
        <v/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8">
        <f>IF(A28="","",(COUNTIF(C28:M28,"*Yes*")/COUNTIF(C28:M28,"&lt;&gt;N/A"))*100)</f>
        <v/>
      </c>
      <c r="Q28" s="16" t="n"/>
      <c r="R28" s="16" t="n"/>
    </row>
    <row r="29">
      <c r="A29" s="16" t="n"/>
      <c r="B29" s="15">
        <f>IF(A29="","",IFERROR(VLOOKUP(A29,'System Inventory'!A:B,2,FALSE),"Not Found"))</f>
        <v/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8">
        <f>IF(A29="","",(COUNTIF(C29:M29,"*Yes*")/COUNTIF(C29:M29,"&lt;&gt;N/A"))*100)</f>
        <v/>
      </c>
      <c r="Q29" s="16" t="n"/>
      <c r="R29" s="16" t="n"/>
    </row>
    <row r="30">
      <c r="A30" s="16" t="n"/>
      <c r="B30" s="15">
        <f>IF(A30="","",IFERROR(VLOOKUP(A30,'System Inventory'!A:B,2,FALSE),"Not Found"))</f>
        <v/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8">
        <f>IF(A30="","",(COUNTIF(C30:M30,"*Yes*")/COUNTIF(C30:M30,"&lt;&gt;N/A"))*100)</f>
        <v/>
      </c>
      <c r="Q30" s="16" t="n"/>
      <c r="R30" s="16" t="n"/>
    </row>
    <row r="31">
      <c r="A31" s="16" t="n"/>
      <c r="B31" s="15">
        <f>IF(A31="","",IFERROR(VLOOKUP(A31,'System Inventory'!A:B,2,FALSE),"Not Found"))</f>
        <v/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8">
        <f>IF(A31="","",(COUNTIF(C31:M31,"*Yes*")/COUNTIF(C31:M31,"&lt;&gt;N/A"))*100)</f>
        <v/>
      </c>
      <c r="Q31" s="16" t="n"/>
      <c r="R31" s="16" t="n"/>
    </row>
    <row r="32">
      <c r="A32" s="16" t="n"/>
      <c r="B32" s="15">
        <f>IF(A32="","",IFERROR(VLOOKUP(A32,'System Inventory'!A:B,2,FALSE),"Not Found"))</f>
        <v/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8">
        <f>IF(A32="","",(COUNTIF(C32:M32,"*Yes*")/COUNTIF(C32:M32,"&lt;&gt;N/A"))*100)</f>
        <v/>
      </c>
      <c r="Q32" s="16" t="n"/>
      <c r="R32" s="16" t="n"/>
    </row>
    <row r="33">
      <c r="A33" s="16" t="n"/>
      <c r="B33" s="15">
        <f>IF(A33="","",IFERROR(VLOOKUP(A33,'System Inventory'!A:B,2,FALSE),"Not Found"))</f>
        <v/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8">
        <f>IF(A33="","",(COUNTIF(C33:M33,"*Yes*")/COUNTIF(C33:M33,"&lt;&gt;N/A"))*100)</f>
        <v/>
      </c>
      <c r="Q33" s="16" t="n"/>
      <c r="R33" s="16" t="n"/>
    </row>
    <row r="34">
      <c r="A34" s="16" t="n"/>
      <c r="B34" s="15">
        <f>IF(A34="","",IFERROR(VLOOKUP(A34,'System Inventory'!A:B,2,FALSE),"Not Found"))</f>
        <v/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8">
        <f>IF(A34="","",(COUNTIF(C34:M34,"*Yes*")/COUNTIF(C34:M34,"&lt;&gt;N/A"))*100)</f>
        <v/>
      </c>
      <c r="Q34" s="16" t="n"/>
      <c r="R34" s="16" t="n"/>
    </row>
    <row r="35">
      <c r="A35" s="16" t="n"/>
      <c r="B35" s="15">
        <f>IF(A35="","",IFERROR(VLOOKUP(A35,'System Inventory'!A:B,2,FALSE),"Not Found"))</f>
        <v/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8">
        <f>IF(A35="","",(COUNTIF(C35:M35,"*Yes*")/COUNTIF(C35:M35,"&lt;&gt;N/A"))*100)</f>
        <v/>
      </c>
      <c r="Q35" s="16" t="n"/>
      <c r="R35" s="16" t="n"/>
    </row>
    <row r="36">
      <c r="A36" s="16" t="n"/>
      <c r="B36" s="15">
        <f>IF(A36="","",IFERROR(VLOOKUP(A36,'System Inventory'!A:B,2,FALSE),"Not Found"))</f>
        <v/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8">
        <f>IF(A36="","",(COUNTIF(C36:M36,"*Yes*")/COUNTIF(C36:M36,"&lt;&gt;N/A"))*100)</f>
        <v/>
      </c>
      <c r="Q36" s="16" t="n"/>
      <c r="R36" s="16" t="n"/>
    </row>
    <row r="37">
      <c r="A37" s="16" t="n"/>
      <c r="B37" s="15">
        <f>IF(A37="","",IFERROR(VLOOKUP(A37,'System Inventory'!A:B,2,FALSE),"Not Found"))</f>
        <v/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8">
        <f>IF(A37="","",(COUNTIF(C37:M37,"*Yes*")/COUNTIF(C37:M37,"&lt;&gt;N/A"))*100)</f>
        <v/>
      </c>
      <c r="Q37" s="16" t="n"/>
      <c r="R37" s="16" t="n"/>
    </row>
    <row r="38">
      <c r="A38" s="16" t="n"/>
      <c r="B38" s="15">
        <f>IF(A38="","",IFERROR(VLOOKUP(A38,'System Inventory'!A:B,2,FALSE),"Not Found"))</f>
        <v/>
      </c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8">
        <f>IF(A38="","",(COUNTIF(C38:M38,"*Yes*")/COUNTIF(C38:M38,"&lt;&gt;N/A"))*100)</f>
        <v/>
      </c>
      <c r="Q38" s="16" t="n"/>
      <c r="R38" s="16" t="n"/>
    </row>
    <row r="39">
      <c r="A39" s="16" t="n"/>
      <c r="B39" s="15">
        <f>IF(A39="","",IFERROR(VLOOKUP(A39,'System Inventory'!A:B,2,FALSE),"Not Found"))</f>
        <v/>
      </c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8">
        <f>IF(A39="","",(COUNTIF(C39:M39,"*Yes*")/COUNTIF(C39:M39,"&lt;&gt;N/A"))*100)</f>
        <v/>
      </c>
      <c r="Q39" s="16" t="n"/>
      <c r="R39" s="16" t="n"/>
    </row>
    <row r="40">
      <c r="A40" s="16" t="n"/>
      <c r="B40" s="15">
        <f>IF(A40="","",IFERROR(VLOOKUP(A40,'System Inventory'!A:B,2,FALSE),"Not Found"))</f>
        <v/>
      </c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8">
        <f>IF(A40="","",(COUNTIF(C40:M40,"*Yes*")/COUNTIF(C40:M40,"&lt;&gt;N/A"))*100)</f>
        <v/>
      </c>
      <c r="Q40" s="16" t="n"/>
      <c r="R40" s="16" t="n"/>
    </row>
    <row r="41">
      <c r="A41" s="16" t="n"/>
      <c r="B41" s="15">
        <f>IF(A41="","",IFERROR(VLOOKUP(A41,'System Inventory'!A:B,2,FALSE),"Not Found"))</f>
        <v/>
      </c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8">
        <f>IF(A41="","",(COUNTIF(C41:M41,"*Yes*")/COUNTIF(C41:M41,"&lt;&gt;N/A"))*100)</f>
        <v/>
      </c>
      <c r="Q41" s="16" t="n"/>
      <c r="R41" s="16" t="n"/>
    </row>
    <row r="42">
      <c r="A42" s="16" t="n"/>
      <c r="B42" s="15">
        <f>IF(A42="","",IFERROR(VLOOKUP(A42,'System Inventory'!A:B,2,FALSE),"Not Found"))</f>
        <v/>
      </c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8">
        <f>IF(A42="","",(COUNTIF(C42:M42,"*Yes*")/COUNTIF(C42:M42,"&lt;&gt;N/A"))*100)</f>
        <v/>
      </c>
      <c r="Q42" s="16" t="n"/>
      <c r="R42" s="16" t="n"/>
    </row>
    <row r="43">
      <c r="A43" s="16" t="n"/>
      <c r="B43" s="15">
        <f>IF(A43="","",IFERROR(VLOOKUP(A43,'System Inventory'!A:B,2,FALSE),"Not Found"))</f>
        <v/>
      </c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8">
        <f>IF(A43="","",(COUNTIF(C43:M43,"*Yes*")/COUNTIF(C43:M43,"&lt;&gt;N/A"))*100)</f>
        <v/>
      </c>
      <c r="Q43" s="16" t="n"/>
      <c r="R43" s="16" t="n"/>
    </row>
    <row r="44">
      <c r="A44" s="16" t="n"/>
      <c r="B44" s="15">
        <f>IF(A44="","",IFERROR(VLOOKUP(A44,'System Inventory'!A:B,2,FALSE),"Not Found"))</f>
        <v/>
      </c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8">
        <f>IF(A44="","",(COUNTIF(C44:M44,"*Yes*")/COUNTIF(C44:M44,"&lt;&gt;N/A"))*100)</f>
        <v/>
      </c>
      <c r="Q44" s="16" t="n"/>
      <c r="R44" s="16" t="n"/>
    </row>
    <row r="45">
      <c r="A45" s="16" t="n"/>
      <c r="B45" s="15">
        <f>IF(A45="","",IFERROR(VLOOKUP(A45,'System Inventory'!A:B,2,FALSE),"Not Found"))</f>
        <v/>
      </c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8">
        <f>IF(A45="","",(COUNTIF(C45:M45,"*Yes*")/COUNTIF(C45:M45,"&lt;&gt;N/A"))*100)</f>
        <v/>
      </c>
      <c r="Q45" s="16" t="n"/>
      <c r="R45" s="16" t="n"/>
    </row>
    <row r="46">
      <c r="A46" s="16" t="n"/>
      <c r="B46" s="15">
        <f>IF(A46="","",IFERROR(VLOOKUP(A46,'System Inventory'!A:B,2,FALSE),"Not Found"))</f>
        <v/>
      </c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8">
        <f>IF(A46="","",(COUNTIF(C46:M46,"*Yes*")/COUNTIF(C46:M46,"&lt;&gt;N/A"))*100)</f>
        <v/>
      </c>
      <c r="Q46" s="16" t="n"/>
      <c r="R46" s="16" t="n"/>
    </row>
    <row r="47">
      <c r="A47" s="16" t="n"/>
      <c r="B47" s="15">
        <f>IF(A47="","",IFERROR(VLOOKUP(A47,'System Inventory'!A:B,2,FALSE),"Not Found"))</f>
        <v/>
      </c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8">
        <f>IF(A47="","",(COUNTIF(C47:M47,"*Yes*")/COUNTIF(C47:M47,"&lt;&gt;N/A"))*100)</f>
        <v/>
      </c>
      <c r="Q47" s="16" t="n"/>
      <c r="R47" s="16" t="n"/>
    </row>
    <row r="48">
      <c r="A48" s="16" t="n"/>
      <c r="B48" s="15">
        <f>IF(A48="","",IFERROR(VLOOKUP(A48,'System Inventory'!A:B,2,FALSE),"Not Found"))</f>
        <v/>
      </c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8">
        <f>IF(A48="","",(COUNTIF(C48:M48,"*Yes*")/COUNTIF(C48:M48,"&lt;&gt;N/A"))*100)</f>
        <v/>
      </c>
      <c r="Q48" s="16" t="n"/>
      <c r="R48" s="16" t="n"/>
    </row>
    <row r="49">
      <c r="A49" s="16" t="n"/>
      <c r="B49" s="15">
        <f>IF(A49="","",IFERROR(VLOOKUP(A49,'System Inventory'!A:B,2,FALSE),"Not Found"))</f>
        <v/>
      </c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8">
        <f>IF(A49="","",(COUNTIF(C49:M49,"*Yes*")/COUNTIF(C49:M49,"&lt;&gt;N/A"))*100)</f>
        <v/>
      </c>
      <c r="Q49" s="16" t="n"/>
      <c r="R49" s="16" t="n"/>
    </row>
    <row r="50">
      <c r="A50" s="16" t="n"/>
      <c r="B50" s="15">
        <f>IF(A50="","",IFERROR(VLOOKUP(A50,'System Inventory'!A:B,2,FALSE),"Not Found"))</f>
        <v/>
      </c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8">
        <f>IF(A50="","",(COUNTIF(C50:M50,"*Yes*")/COUNTIF(C50:M50,"&lt;&gt;N/A"))*100)</f>
        <v/>
      </c>
      <c r="Q50" s="16" t="n"/>
      <c r="R50" s="16" t="n"/>
    </row>
    <row r="51">
      <c r="A51" s="16" t="n"/>
      <c r="B51" s="15">
        <f>IF(A51="","",IFERROR(VLOOKUP(A51,'System Inventory'!A:B,2,FALSE),"Not Found"))</f>
        <v/>
      </c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8">
        <f>IF(A51="","",(COUNTIF(C51:M51,"*Yes*")/COUNTIF(C51:M51,"&lt;&gt;N/A"))*100)</f>
        <v/>
      </c>
      <c r="Q51" s="16" t="n"/>
      <c r="R51" s="16" t="n"/>
    </row>
    <row r="52">
      <c r="A52" s="16" t="n"/>
      <c r="B52" s="15">
        <f>IF(A52="","",IFERROR(VLOOKUP(A52,'System Inventory'!A:B,2,FALSE),"Not Found"))</f>
        <v/>
      </c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8">
        <f>IF(A52="","",(COUNTIF(C52:M52,"*Yes*")/COUNTIF(C52:M52,"&lt;&gt;N/A"))*100)</f>
        <v/>
      </c>
      <c r="Q52" s="16" t="n"/>
      <c r="R52" s="16" t="n"/>
    </row>
    <row r="53">
      <c r="A53" s="16" t="n"/>
      <c r="B53" s="15">
        <f>IF(A53="","",IFERROR(VLOOKUP(A53,'System Inventory'!A:B,2,FALSE),"Not Found"))</f>
        <v/>
      </c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8">
        <f>IF(A53="","",(COUNTIF(C53:M53,"*Yes*")/COUNTIF(C53:M53,"&lt;&gt;N/A"))*100)</f>
        <v/>
      </c>
      <c r="Q53" s="16" t="n"/>
      <c r="R53" s="16" t="n"/>
    </row>
    <row r="54">
      <c r="A54" s="16" t="n"/>
      <c r="B54" s="15">
        <f>IF(A54="","",IFERROR(VLOOKUP(A54,'System Inventory'!A:B,2,FALSE),"Not Found"))</f>
        <v/>
      </c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8">
        <f>IF(A54="","",(COUNTIF(C54:M54,"*Yes*")/COUNTIF(C54:M54,"&lt;&gt;N/A"))*100)</f>
        <v/>
      </c>
      <c r="Q54" s="16" t="n"/>
      <c r="R54" s="16" t="n"/>
    </row>
    <row r="55">
      <c r="A55" s="16" t="n"/>
      <c r="B55" s="15">
        <f>IF(A55="","",IFERROR(VLOOKUP(A55,'System Inventory'!A:B,2,FALSE),"Not Found"))</f>
        <v/>
      </c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8">
        <f>IF(A55="","",(COUNTIF(C55:M55,"*Yes*")/COUNTIF(C55:M55,"&lt;&gt;N/A"))*100)</f>
        <v/>
      </c>
      <c r="Q55" s="16" t="n"/>
      <c r="R55" s="16" t="n"/>
    </row>
  </sheetData>
  <mergeCells count="2">
    <mergeCell ref="A2:R2"/>
    <mergeCell ref="A1:R1"/>
  </mergeCells>
  <conditionalFormatting sqref="P6:P55">
    <cfRule type="cellIs" priority="1" operator="greaterThanOrEqual" dxfId="0" stopIfTrue="1">
      <formula>95</formula>
    </cfRule>
    <cfRule type="cellIs" priority="2" operator="between" dxfId="1" stopIfTrue="1">
      <formula>80</formula>
      <formula>94</formula>
    </cfRule>
    <cfRule type="cellIs" priority="3" operator="lessThan" dxfId="2" stopIfTrue="1">
      <formula>80</formula>
    </cfRule>
  </conditionalFormatting>
  <dataValidations count="13">
    <dataValidation sqref="C6:C55" showDropDown="0" showInputMessage="0" showErrorMessage="0" allowBlank="1" type="list">
      <formula1>"✅ Yes,❌ No,⚠️ Partial,➖ N/A"</formula1>
    </dataValidation>
    <dataValidation sqref="D6:D55" showDropDown="0" showInputMessage="0" showErrorMessage="0" allowBlank="1" type="list">
      <formula1>"✅ Yes,❌ No,⚠️ Partial,➖ N/A"</formula1>
    </dataValidation>
    <dataValidation sqref="E6:E55" showDropDown="0" showInputMessage="0" showErrorMessage="0" allowBlank="1" type="list">
      <formula1>"✅ Yes,❌ No,⚠️ Partial,➖ N/A"</formula1>
    </dataValidation>
    <dataValidation sqref="F6:F55" showDropDown="0" showInputMessage="0" showErrorMessage="0" allowBlank="1" type="list">
      <formula1>"✅ Yes,❌ No,⚠️ Partial,➖ N/A"</formula1>
    </dataValidation>
    <dataValidation sqref="G6:G55" showDropDown="0" showInputMessage="0" showErrorMessage="0" allowBlank="1" type="list">
      <formula1>"✅ Yes,❌ No,⚠️ Partial,➖ N/A"</formula1>
    </dataValidation>
    <dataValidation sqref="H6:H55" showDropDown="0" showInputMessage="0" showErrorMessage="0" allowBlank="1" type="list">
      <formula1>"✅ Yes,❌ No,⚠️ Partial,➖ N/A"</formula1>
    </dataValidation>
    <dataValidation sqref="I6:I55" showDropDown="0" showInputMessage="0" showErrorMessage="0" allowBlank="1" type="list">
      <formula1>"✅ Yes,❌ No,⚠️ Partial,➖ N/A"</formula1>
    </dataValidation>
    <dataValidation sqref="J6:J55" showDropDown="0" showInputMessage="0" showErrorMessage="0" allowBlank="1" type="list">
      <formula1>"✅ Yes,❌ No,⚠️ Partial,➖ N/A"</formula1>
    </dataValidation>
    <dataValidation sqref="K6:K55" showDropDown="0" showInputMessage="0" showErrorMessage="0" allowBlank="1" type="list">
      <formula1>"✅ Yes,❌ No,⚠️ Partial,➖ N/A"</formula1>
    </dataValidation>
    <dataValidation sqref="L6:L55" showDropDown="0" showInputMessage="0" showErrorMessage="0" allowBlank="1" type="list">
      <formula1>"✅ Yes,❌ No,⚠️ Partial,➖ N/A"</formula1>
    </dataValidation>
    <dataValidation sqref="M6:M55" showDropDown="0" showInputMessage="0" showErrorMessage="0" allowBlank="1" type="list">
      <formula1>"✅ Yes,❌ No,⚠️ Partial,➖ N/A"</formula1>
    </dataValidation>
    <dataValidation sqref="N6:N55" showDropDown="0" showInputMessage="0" showErrorMessage="0" allowBlank="1" type="list">
      <formula1>"✅ Yes,❌ No,⚠️ Partial,➖ N/A"</formula1>
    </dataValidation>
    <dataValidation sqref="O6:O55" showDropDown="0" showInputMessage="0" showErrorMessage="0" allowBlank="1" type="list">
      <formula1>"✅ Yes,❌ No,⚠️ Partial,➖ 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5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20" customWidth="1" min="14" max="14"/>
    <col width="18" customWidth="1" min="15" max="15"/>
    <col width="18" customWidth="1" min="16" max="16"/>
    <col width="40" customWidth="1" min="17" max="17"/>
    <col width="40" customWidth="1" min="18" max="18"/>
  </cols>
  <sheetData>
    <row r="1" ht="35" customHeight="1">
      <c r="A1" s="11" t="inlineStr">
        <is>
          <t>SECURITY EVENT LOGGING ASSESSMENT</t>
        </is>
      </c>
    </row>
    <row r="2">
      <c r="A2" s="12" t="inlineStr">
        <is>
          <t>Assess security tool and event logging per ISMS-POL-A.8.15-S2.1.5</t>
        </is>
      </c>
    </row>
    <row r="4">
      <c r="A4" s="13" t="inlineStr">
        <is>
          <t>System ID</t>
        </is>
      </c>
      <c r="B4" s="13" t="inlineStr">
        <is>
          <t>System Name</t>
        </is>
      </c>
      <c r="C4" s="13" t="inlineStr">
        <is>
          <t>Firewall Events</t>
        </is>
      </c>
      <c r="D4" s="13" t="inlineStr">
        <is>
          <t>IDS/IPS Alerts</t>
        </is>
      </c>
      <c r="E4" s="13" t="inlineStr">
        <is>
          <t>Anti-malware Events</t>
        </is>
      </c>
      <c r="F4" s="13" t="inlineStr">
        <is>
          <t>DLP Events</t>
        </is>
      </c>
      <c r="G4" s="13" t="inlineStr">
        <is>
          <t>Web Filtering Events</t>
        </is>
      </c>
      <c r="H4" s="13" t="inlineStr">
        <is>
          <t>Email Gateway Events</t>
        </is>
      </c>
      <c r="I4" s="13" t="inlineStr">
        <is>
          <t>EDR Events</t>
        </is>
      </c>
      <c r="J4" s="13" t="inlineStr">
        <is>
          <t>Vulnerability Scan Results</t>
        </is>
      </c>
      <c r="K4" s="13" t="inlineStr">
        <is>
          <t>Security Incident Events</t>
        </is>
      </c>
      <c r="L4" s="13" t="inlineStr">
        <is>
          <t>Includes Severity Level</t>
        </is>
      </c>
      <c r="M4" s="13" t="inlineStr">
        <is>
          <t>Includes Threat Indicators</t>
        </is>
      </c>
      <c r="N4" s="13" t="inlineStr">
        <is>
          <t>Includes Response Actions</t>
        </is>
      </c>
      <c r="O4" s="13" t="inlineStr">
        <is>
          <t>Automated Response Logged</t>
        </is>
      </c>
      <c r="P4" s="13" t="inlineStr">
        <is>
          <t>Compliance Score</t>
        </is>
      </c>
      <c r="Q4" s="13" t="inlineStr">
        <is>
          <t>Gap Description</t>
        </is>
      </c>
      <c r="R4" s="13" t="inlineStr">
        <is>
          <t>Remediation Plan</t>
        </is>
      </c>
    </row>
    <row r="5">
      <c r="A5" s="14" t="inlineStr">
        <is>
          <t>FW-001</t>
        </is>
      </c>
      <c r="B5" s="14" t="inlineStr">
        <is>
          <t>perimeter-fw-01</t>
        </is>
      </c>
      <c r="C5" s="14" t="inlineStr">
        <is>
          <t>Yes</t>
        </is>
      </c>
      <c r="D5" s="14" t="inlineStr">
        <is>
          <t>Yes</t>
        </is>
      </c>
      <c r="E5" s="14" t="inlineStr">
        <is>
          <t>N/A</t>
        </is>
      </c>
      <c r="F5" s="14" t="inlineStr">
        <is>
          <t>N/A</t>
        </is>
      </c>
      <c r="G5" s="14" t="inlineStr">
        <is>
          <t>N/A</t>
        </is>
      </c>
      <c r="H5" s="14" t="inlineStr">
        <is>
          <t>N/A</t>
        </is>
      </c>
      <c r="I5" s="14" t="inlineStr">
        <is>
          <t>N/A</t>
        </is>
      </c>
      <c r="J5" s="14" t="inlineStr">
        <is>
          <t>N/A</t>
        </is>
      </c>
      <c r="K5" s="14" t="inlineStr">
        <is>
          <t>Yes</t>
        </is>
      </c>
      <c r="L5" s="14" t="inlineStr">
        <is>
          <t>Yes</t>
        </is>
      </c>
      <c r="M5" s="14" t="inlineStr">
        <is>
          <t>Yes</t>
        </is>
      </c>
      <c r="N5" s="14" t="inlineStr">
        <is>
          <t>Partial</t>
        </is>
      </c>
      <c r="O5" s="14" t="inlineStr">
        <is>
          <t>No</t>
        </is>
      </c>
      <c r="P5" s="14" t="inlineStr">
        <is>
          <t>100.0%</t>
        </is>
      </c>
      <c r="Q5" s="14" t="inlineStr">
        <is>
          <t>Automated response not logged</t>
        </is>
      </c>
      <c r="R5" s="14" t="inlineStr">
        <is>
          <t>Enable response logging</t>
        </is>
      </c>
    </row>
    <row r="6">
      <c r="A6" s="16" t="n"/>
      <c r="B6" s="15">
        <f>IF(A6="","",IFERROR(VLOOKUP(A6,'System Inventory'!A:B,2,FALSE),"Not Found"))</f>
        <v/>
      </c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8">
        <f>IF(A6="","",(COUNTIF(C6:M6,"*Yes*")/COUNTIF(C6:M6,"&lt;&gt;N/A"))*100)</f>
        <v/>
      </c>
      <c r="Q6" s="16" t="n"/>
      <c r="R6" s="16" t="n"/>
    </row>
    <row r="7">
      <c r="A7" s="16" t="n"/>
      <c r="B7" s="15">
        <f>IF(A7="","",IFERROR(VLOOKUP(A7,'System Inventory'!A:B,2,FALSE),"Not Found"))</f>
        <v/>
      </c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8">
        <f>IF(A7="","",(COUNTIF(C7:M7,"*Yes*")/COUNTIF(C7:M7,"&lt;&gt;N/A"))*100)</f>
        <v/>
      </c>
      <c r="Q7" s="16" t="n"/>
      <c r="R7" s="16" t="n"/>
    </row>
    <row r="8">
      <c r="A8" s="16" t="n"/>
      <c r="B8" s="15">
        <f>IF(A8="","",IFERROR(VLOOKUP(A8,'System Inventory'!A:B,2,FALSE),"Not Found"))</f>
        <v/>
      </c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8">
        <f>IF(A8="","",(COUNTIF(C8:M8,"*Yes*")/COUNTIF(C8:M8,"&lt;&gt;N/A"))*100)</f>
        <v/>
      </c>
      <c r="Q8" s="16" t="n"/>
      <c r="R8" s="16" t="n"/>
    </row>
    <row r="9">
      <c r="A9" s="16" t="n"/>
      <c r="B9" s="15">
        <f>IF(A9="","",IFERROR(VLOOKUP(A9,'System Inventory'!A:B,2,FALSE),"Not Found"))</f>
        <v/>
      </c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8">
        <f>IF(A9="","",(COUNTIF(C9:M9,"*Yes*")/COUNTIF(C9:M9,"&lt;&gt;N/A"))*100)</f>
        <v/>
      </c>
      <c r="Q9" s="16" t="n"/>
      <c r="R9" s="16" t="n"/>
    </row>
    <row r="10">
      <c r="A10" s="16" t="n"/>
      <c r="B10" s="15">
        <f>IF(A10="","",IFERROR(VLOOKUP(A10,'System Inventory'!A:B,2,FALSE),"Not Found"))</f>
        <v/>
      </c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8">
        <f>IF(A10="","",(COUNTIF(C10:M10,"*Yes*")/COUNTIF(C10:M10,"&lt;&gt;N/A"))*100)</f>
        <v/>
      </c>
      <c r="Q10" s="16" t="n"/>
      <c r="R10" s="16" t="n"/>
    </row>
    <row r="11">
      <c r="A11" s="16" t="n"/>
      <c r="B11" s="15">
        <f>IF(A11="","",IFERROR(VLOOKUP(A11,'System Inventory'!A:B,2,FALSE),"Not Found"))</f>
        <v/>
      </c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8">
        <f>IF(A11="","",(COUNTIF(C11:M11,"*Yes*")/COUNTIF(C11:M11,"&lt;&gt;N/A"))*100)</f>
        <v/>
      </c>
      <c r="Q11" s="16" t="n"/>
      <c r="R11" s="16" t="n"/>
    </row>
    <row r="12">
      <c r="A12" s="16" t="n"/>
      <c r="B12" s="15">
        <f>IF(A12="","",IFERROR(VLOOKUP(A12,'System Inventory'!A:B,2,FALSE),"Not Found"))</f>
        <v/>
      </c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8">
        <f>IF(A12="","",(COUNTIF(C12:M12,"*Yes*")/COUNTIF(C12:M12,"&lt;&gt;N/A"))*100)</f>
        <v/>
      </c>
      <c r="Q12" s="16" t="n"/>
      <c r="R12" s="16" t="n"/>
    </row>
    <row r="13">
      <c r="A13" s="16" t="n"/>
      <c r="B13" s="15">
        <f>IF(A13="","",IFERROR(VLOOKUP(A13,'System Inventory'!A:B,2,FALSE),"Not Found"))</f>
        <v/>
      </c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8">
        <f>IF(A13="","",(COUNTIF(C13:M13,"*Yes*")/COUNTIF(C13:M13,"&lt;&gt;N/A"))*100)</f>
        <v/>
      </c>
      <c r="Q13" s="16" t="n"/>
      <c r="R13" s="16" t="n"/>
    </row>
    <row r="14">
      <c r="A14" s="16" t="n"/>
      <c r="B14" s="15">
        <f>IF(A14="","",IFERROR(VLOOKUP(A14,'System Inventory'!A:B,2,FALSE),"Not Found"))</f>
        <v/>
      </c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8">
        <f>IF(A14="","",(COUNTIF(C14:M14,"*Yes*")/COUNTIF(C14:M14,"&lt;&gt;N/A"))*100)</f>
        <v/>
      </c>
      <c r="Q14" s="16" t="n"/>
      <c r="R14" s="16" t="n"/>
    </row>
    <row r="15">
      <c r="A15" s="16" t="n"/>
      <c r="B15" s="15">
        <f>IF(A15="","",IFERROR(VLOOKUP(A15,'System Inventory'!A:B,2,FALSE),"Not Found"))</f>
        <v/>
      </c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8">
        <f>IF(A15="","",(COUNTIF(C15:M15,"*Yes*")/COUNTIF(C15:M15,"&lt;&gt;N/A"))*100)</f>
        <v/>
      </c>
      <c r="Q15" s="16" t="n"/>
      <c r="R15" s="16" t="n"/>
    </row>
    <row r="16">
      <c r="A16" s="16" t="n"/>
      <c r="B16" s="15">
        <f>IF(A16="","",IFERROR(VLOOKUP(A16,'System Inventory'!A:B,2,FALSE),"Not Found"))</f>
        <v/>
      </c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8">
        <f>IF(A16="","",(COUNTIF(C16:M16,"*Yes*")/COUNTIF(C16:M16,"&lt;&gt;N/A"))*100)</f>
        <v/>
      </c>
      <c r="Q16" s="16" t="n"/>
      <c r="R16" s="16" t="n"/>
    </row>
    <row r="17">
      <c r="A17" s="16" t="n"/>
      <c r="B17" s="15">
        <f>IF(A17="","",IFERROR(VLOOKUP(A17,'System Inventory'!A:B,2,FALSE),"Not Found"))</f>
        <v/>
      </c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8">
        <f>IF(A17="","",(COUNTIF(C17:M17,"*Yes*")/COUNTIF(C17:M17,"&lt;&gt;N/A"))*100)</f>
        <v/>
      </c>
      <c r="Q17" s="16" t="n"/>
      <c r="R17" s="16" t="n"/>
    </row>
    <row r="18">
      <c r="A18" s="16" t="n"/>
      <c r="B18" s="15">
        <f>IF(A18="","",IFERROR(VLOOKUP(A18,'System Inventory'!A:B,2,FALSE),"Not Found"))</f>
        <v/>
      </c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8">
        <f>IF(A18="","",(COUNTIF(C18:M18,"*Yes*")/COUNTIF(C18:M18,"&lt;&gt;N/A"))*100)</f>
        <v/>
      </c>
      <c r="Q18" s="16" t="n"/>
      <c r="R18" s="16" t="n"/>
    </row>
    <row r="19">
      <c r="A19" s="16" t="n"/>
      <c r="B19" s="15">
        <f>IF(A19="","",IFERROR(VLOOKUP(A19,'System Inventory'!A:B,2,FALSE),"Not Found"))</f>
        <v/>
      </c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8">
        <f>IF(A19="","",(COUNTIF(C19:M19,"*Yes*")/COUNTIF(C19:M19,"&lt;&gt;N/A"))*100)</f>
        <v/>
      </c>
      <c r="Q19" s="16" t="n"/>
      <c r="R19" s="16" t="n"/>
    </row>
    <row r="20">
      <c r="A20" s="16" t="n"/>
      <c r="B20" s="15">
        <f>IF(A20="","",IFERROR(VLOOKUP(A20,'System Inventory'!A:B,2,FALSE),"Not Found"))</f>
        <v/>
      </c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8">
        <f>IF(A20="","",(COUNTIF(C20:M20,"*Yes*")/COUNTIF(C20:M20,"&lt;&gt;N/A"))*100)</f>
        <v/>
      </c>
      <c r="Q20" s="16" t="n"/>
      <c r="R20" s="16" t="n"/>
    </row>
    <row r="21">
      <c r="A21" s="16" t="n"/>
      <c r="B21" s="15">
        <f>IF(A21="","",IFERROR(VLOOKUP(A21,'System Inventory'!A:B,2,FALSE),"Not Found"))</f>
        <v/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8">
        <f>IF(A21="","",(COUNTIF(C21:M21,"*Yes*")/COUNTIF(C21:M21,"&lt;&gt;N/A"))*100)</f>
        <v/>
      </c>
      <c r="Q21" s="16" t="n"/>
      <c r="R21" s="16" t="n"/>
    </row>
    <row r="22">
      <c r="A22" s="16" t="n"/>
      <c r="B22" s="15">
        <f>IF(A22="","",IFERROR(VLOOKUP(A22,'System Inventory'!A:B,2,FALSE),"Not Found"))</f>
        <v/>
      </c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8">
        <f>IF(A22="","",(COUNTIF(C22:M22,"*Yes*")/COUNTIF(C22:M22,"&lt;&gt;N/A"))*100)</f>
        <v/>
      </c>
      <c r="Q22" s="16" t="n"/>
      <c r="R22" s="16" t="n"/>
    </row>
    <row r="23">
      <c r="A23" s="16" t="n"/>
      <c r="B23" s="15">
        <f>IF(A23="","",IFERROR(VLOOKUP(A23,'System Inventory'!A:B,2,FALSE),"Not Found"))</f>
        <v/>
      </c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8">
        <f>IF(A23="","",(COUNTIF(C23:M23,"*Yes*")/COUNTIF(C23:M23,"&lt;&gt;N/A"))*100)</f>
        <v/>
      </c>
      <c r="Q23" s="16" t="n"/>
      <c r="R23" s="16" t="n"/>
    </row>
    <row r="24">
      <c r="A24" s="16" t="n"/>
      <c r="B24" s="15">
        <f>IF(A24="","",IFERROR(VLOOKUP(A24,'System Inventory'!A:B,2,FALSE),"Not Found"))</f>
        <v/>
      </c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8">
        <f>IF(A24="","",(COUNTIF(C24:M24,"*Yes*")/COUNTIF(C24:M24,"&lt;&gt;N/A"))*100)</f>
        <v/>
      </c>
      <c r="Q24" s="16" t="n"/>
      <c r="R24" s="16" t="n"/>
    </row>
    <row r="25">
      <c r="A25" s="16" t="n"/>
      <c r="B25" s="15">
        <f>IF(A25="","",IFERROR(VLOOKUP(A25,'System Inventory'!A:B,2,FALSE),"Not Found"))</f>
        <v/>
      </c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8">
        <f>IF(A25="","",(COUNTIF(C25:M25,"*Yes*")/COUNTIF(C25:M25,"&lt;&gt;N/A"))*100)</f>
        <v/>
      </c>
      <c r="Q25" s="16" t="n"/>
      <c r="R25" s="16" t="n"/>
    </row>
    <row r="26">
      <c r="A26" s="16" t="n"/>
      <c r="B26" s="15">
        <f>IF(A26="","",IFERROR(VLOOKUP(A26,'System Inventory'!A:B,2,FALSE),"Not Found"))</f>
        <v/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8">
        <f>IF(A26="","",(COUNTIF(C26:M26,"*Yes*")/COUNTIF(C26:M26,"&lt;&gt;N/A"))*100)</f>
        <v/>
      </c>
      <c r="Q26" s="16" t="n"/>
      <c r="R26" s="16" t="n"/>
    </row>
    <row r="27">
      <c r="A27" s="16" t="n"/>
      <c r="B27" s="15">
        <f>IF(A27="","",IFERROR(VLOOKUP(A27,'System Inventory'!A:B,2,FALSE),"Not Found"))</f>
        <v/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8">
        <f>IF(A27="","",(COUNTIF(C27:M27,"*Yes*")/COUNTIF(C27:M27,"&lt;&gt;N/A"))*100)</f>
        <v/>
      </c>
      <c r="Q27" s="16" t="n"/>
      <c r="R27" s="16" t="n"/>
    </row>
    <row r="28">
      <c r="A28" s="16" t="n"/>
      <c r="B28" s="15">
        <f>IF(A28="","",IFERROR(VLOOKUP(A28,'System Inventory'!A:B,2,FALSE),"Not Found"))</f>
        <v/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8">
        <f>IF(A28="","",(COUNTIF(C28:M28,"*Yes*")/COUNTIF(C28:M28,"&lt;&gt;N/A"))*100)</f>
        <v/>
      </c>
      <c r="Q28" s="16" t="n"/>
      <c r="R28" s="16" t="n"/>
    </row>
    <row r="29">
      <c r="A29" s="16" t="n"/>
      <c r="B29" s="15">
        <f>IF(A29="","",IFERROR(VLOOKUP(A29,'System Inventory'!A:B,2,FALSE),"Not Found"))</f>
        <v/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8">
        <f>IF(A29="","",(COUNTIF(C29:M29,"*Yes*")/COUNTIF(C29:M29,"&lt;&gt;N/A"))*100)</f>
        <v/>
      </c>
      <c r="Q29" s="16" t="n"/>
      <c r="R29" s="16" t="n"/>
    </row>
    <row r="30">
      <c r="A30" s="16" t="n"/>
      <c r="B30" s="15">
        <f>IF(A30="","",IFERROR(VLOOKUP(A30,'System Inventory'!A:B,2,FALSE),"Not Found"))</f>
        <v/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8">
        <f>IF(A30="","",(COUNTIF(C30:M30,"*Yes*")/COUNTIF(C30:M30,"&lt;&gt;N/A"))*100)</f>
        <v/>
      </c>
      <c r="Q30" s="16" t="n"/>
      <c r="R30" s="16" t="n"/>
    </row>
    <row r="31">
      <c r="A31" s="16" t="n"/>
      <c r="B31" s="15">
        <f>IF(A31="","",IFERROR(VLOOKUP(A31,'System Inventory'!A:B,2,FALSE),"Not Found"))</f>
        <v/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8">
        <f>IF(A31="","",(COUNTIF(C31:M31,"*Yes*")/COUNTIF(C31:M31,"&lt;&gt;N/A"))*100)</f>
        <v/>
      </c>
      <c r="Q31" s="16" t="n"/>
      <c r="R31" s="16" t="n"/>
    </row>
    <row r="32">
      <c r="A32" s="16" t="n"/>
      <c r="B32" s="15">
        <f>IF(A32="","",IFERROR(VLOOKUP(A32,'System Inventory'!A:B,2,FALSE),"Not Found"))</f>
        <v/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8">
        <f>IF(A32="","",(COUNTIF(C32:M32,"*Yes*")/COUNTIF(C32:M32,"&lt;&gt;N/A"))*100)</f>
        <v/>
      </c>
      <c r="Q32" s="16" t="n"/>
      <c r="R32" s="16" t="n"/>
    </row>
    <row r="33">
      <c r="A33" s="16" t="n"/>
      <c r="B33" s="15">
        <f>IF(A33="","",IFERROR(VLOOKUP(A33,'System Inventory'!A:B,2,FALSE),"Not Found"))</f>
        <v/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8">
        <f>IF(A33="","",(COUNTIF(C33:M33,"*Yes*")/COUNTIF(C33:M33,"&lt;&gt;N/A"))*100)</f>
        <v/>
      </c>
      <c r="Q33" s="16" t="n"/>
      <c r="R33" s="16" t="n"/>
    </row>
    <row r="34">
      <c r="A34" s="16" t="n"/>
      <c r="B34" s="15">
        <f>IF(A34="","",IFERROR(VLOOKUP(A34,'System Inventory'!A:B,2,FALSE),"Not Found"))</f>
        <v/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8">
        <f>IF(A34="","",(COUNTIF(C34:M34,"*Yes*")/COUNTIF(C34:M34,"&lt;&gt;N/A"))*100)</f>
        <v/>
      </c>
      <c r="Q34" s="16" t="n"/>
      <c r="R34" s="16" t="n"/>
    </row>
    <row r="35">
      <c r="A35" s="16" t="n"/>
      <c r="B35" s="15">
        <f>IF(A35="","",IFERROR(VLOOKUP(A35,'System Inventory'!A:B,2,FALSE),"Not Found"))</f>
        <v/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8">
        <f>IF(A35="","",(COUNTIF(C35:M35,"*Yes*")/COUNTIF(C35:M35,"&lt;&gt;N/A"))*100)</f>
        <v/>
      </c>
      <c r="Q35" s="16" t="n"/>
      <c r="R35" s="16" t="n"/>
    </row>
    <row r="36">
      <c r="A36" s="16" t="n"/>
      <c r="B36" s="15">
        <f>IF(A36="","",IFERROR(VLOOKUP(A36,'System Inventory'!A:B,2,FALSE),"Not Found"))</f>
        <v/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8">
        <f>IF(A36="","",(COUNTIF(C36:M36,"*Yes*")/COUNTIF(C36:M36,"&lt;&gt;N/A"))*100)</f>
        <v/>
      </c>
      <c r="Q36" s="16" t="n"/>
      <c r="R36" s="16" t="n"/>
    </row>
    <row r="37">
      <c r="A37" s="16" t="n"/>
      <c r="B37" s="15">
        <f>IF(A37="","",IFERROR(VLOOKUP(A37,'System Inventory'!A:B,2,FALSE),"Not Found"))</f>
        <v/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8">
        <f>IF(A37="","",(COUNTIF(C37:M37,"*Yes*")/COUNTIF(C37:M37,"&lt;&gt;N/A"))*100)</f>
        <v/>
      </c>
      <c r="Q37" s="16" t="n"/>
      <c r="R37" s="16" t="n"/>
    </row>
    <row r="38">
      <c r="A38" s="16" t="n"/>
      <c r="B38" s="15">
        <f>IF(A38="","",IFERROR(VLOOKUP(A38,'System Inventory'!A:B,2,FALSE),"Not Found"))</f>
        <v/>
      </c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8">
        <f>IF(A38="","",(COUNTIF(C38:M38,"*Yes*")/COUNTIF(C38:M38,"&lt;&gt;N/A"))*100)</f>
        <v/>
      </c>
      <c r="Q38" s="16" t="n"/>
      <c r="R38" s="16" t="n"/>
    </row>
    <row r="39">
      <c r="A39" s="16" t="n"/>
      <c r="B39" s="15">
        <f>IF(A39="","",IFERROR(VLOOKUP(A39,'System Inventory'!A:B,2,FALSE),"Not Found"))</f>
        <v/>
      </c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8">
        <f>IF(A39="","",(COUNTIF(C39:M39,"*Yes*")/COUNTIF(C39:M39,"&lt;&gt;N/A"))*100)</f>
        <v/>
      </c>
      <c r="Q39" s="16" t="n"/>
      <c r="R39" s="16" t="n"/>
    </row>
    <row r="40">
      <c r="A40" s="16" t="n"/>
      <c r="B40" s="15">
        <f>IF(A40="","",IFERROR(VLOOKUP(A40,'System Inventory'!A:B,2,FALSE),"Not Found"))</f>
        <v/>
      </c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8">
        <f>IF(A40="","",(COUNTIF(C40:M40,"*Yes*")/COUNTIF(C40:M40,"&lt;&gt;N/A"))*100)</f>
        <v/>
      </c>
      <c r="Q40" s="16" t="n"/>
      <c r="R40" s="16" t="n"/>
    </row>
    <row r="41">
      <c r="A41" s="16" t="n"/>
      <c r="B41" s="15">
        <f>IF(A41="","",IFERROR(VLOOKUP(A41,'System Inventory'!A:B,2,FALSE),"Not Found"))</f>
        <v/>
      </c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8">
        <f>IF(A41="","",(COUNTIF(C41:M41,"*Yes*")/COUNTIF(C41:M41,"&lt;&gt;N/A"))*100)</f>
        <v/>
      </c>
      <c r="Q41" s="16" t="n"/>
      <c r="R41" s="16" t="n"/>
    </row>
    <row r="42">
      <c r="A42" s="16" t="n"/>
      <c r="B42" s="15">
        <f>IF(A42="","",IFERROR(VLOOKUP(A42,'System Inventory'!A:B,2,FALSE),"Not Found"))</f>
        <v/>
      </c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8">
        <f>IF(A42="","",(COUNTIF(C42:M42,"*Yes*")/COUNTIF(C42:M42,"&lt;&gt;N/A"))*100)</f>
        <v/>
      </c>
      <c r="Q42" s="16" t="n"/>
      <c r="R42" s="16" t="n"/>
    </row>
    <row r="43">
      <c r="A43" s="16" t="n"/>
      <c r="B43" s="15">
        <f>IF(A43="","",IFERROR(VLOOKUP(A43,'System Inventory'!A:B,2,FALSE),"Not Found"))</f>
        <v/>
      </c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8">
        <f>IF(A43="","",(COUNTIF(C43:M43,"*Yes*")/COUNTIF(C43:M43,"&lt;&gt;N/A"))*100)</f>
        <v/>
      </c>
      <c r="Q43" s="16" t="n"/>
      <c r="R43" s="16" t="n"/>
    </row>
    <row r="44">
      <c r="A44" s="16" t="n"/>
      <c r="B44" s="15">
        <f>IF(A44="","",IFERROR(VLOOKUP(A44,'System Inventory'!A:B,2,FALSE),"Not Found"))</f>
        <v/>
      </c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8">
        <f>IF(A44="","",(COUNTIF(C44:M44,"*Yes*")/COUNTIF(C44:M44,"&lt;&gt;N/A"))*100)</f>
        <v/>
      </c>
      <c r="Q44" s="16" t="n"/>
      <c r="R44" s="16" t="n"/>
    </row>
    <row r="45">
      <c r="A45" s="16" t="n"/>
      <c r="B45" s="15">
        <f>IF(A45="","",IFERROR(VLOOKUP(A45,'System Inventory'!A:B,2,FALSE),"Not Found"))</f>
        <v/>
      </c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8">
        <f>IF(A45="","",(COUNTIF(C45:M45,"*Yes*")/COUNTIF(C45:M45,"&lt;&gt;N/A"))*100)</f>
        <v/>
      </c>
      <c r="Q45" s="16" t="n"/>
      <c r="R45" s="16" t="n"/>
    </row>
    <row r="46">
      <c r="A46" s="16" t="n"/>
      <c r="B46" s="15">
        <f>IF(A46="","",IFERROR(VLOOKUP(A46,'System Inventory'!A:B,2,FALSE),"Not Found"))</f>
        <v/>
      </c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8">
        <f>IF(A46="","",(COUNTIF(C46:M46,"*Yes*")/COUNTIF(C46:M46,"&lt;&gt;N/A"))*100)</f>
        <v/>
      </c>
      <c r="Q46" s="16" t="n"/>
      <c r="R46" s="16" t="n"/>
    </row>
    <row r="47">
      <c r="A47" s="16" t="n"/>
      <c r="B47" s="15">
        <f>IF(A47="","",IFERROR(VLOOKUP(A47,'System Inventory'!A:B,2,FALSE),"Not Found"))</f>
        <v/>
      </c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8">
        <f>IF(A47="","",(COUNTIF(C47:M47,"*Yes*")/COUNTIF(C47:M47,"&lt;&gt;N/A"))*100)</f>
        <v/>
      </c>
      <c r="Q47" s="16" t="n"/>
      <c r="R47" s="16" t="n"/>
    </row>
    <row r="48">
      <c r="A48" s="16" t="n"/>
      <c r="B48" s="15">
        <f>IF(A48="","",IFERROR(VLOOKUP(A48,'System Inventory'!A:B,2,FALSE),"Not Found"))</f>
        <v/>
      </c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8">
        <f>IF(A48="","",(COUNTIF(C48:M48,"*Yes*")/COUNTIF(C48:M48,"&lt;&gt;N/A"))*100)</f>
        <v/>
      </c>
      <c r="Q48" s="16" t="n"/>
      <c r="R48" s="16" t="n"/>
    </row>
    <row r="49">
      <c r="A49" s="16" t="n"/>
      <c r="B49" s="15">
        <f>IF(A49="","",IFERROR(VLOOKUP(A49,'System Inventory'!A:B,2,FALSE),"Not Found"))</f>
        <v/>
      </c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8">
        <f>IF(A49="","",(COUNTIF(C49:M49,"*Yes*")/COUNTIF(C49:M49,"&lt;&gt;N/A"))*100)</f>
        <v/>
      </c>
      <c r="Q49" s="16" t="n"/>
      <c r="R49" s="16" t="n"/>
    </row>
    <row r="50">
      <c r="A50" s="16" t="n"/>
      <c r="B50" s="15">
        <f>IF(A50="","",IFERROR(VLOOKUP(A50,'System Inventory'!A:B,2,FALSE),"Not Found"))</f>
        <v/>
      </c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8">
        <f>IF(A50="","",(COUNTIF(C50:M50,"*Yes*")/COUNTIF(C50:M50,"&lt;&gt;N/A"))*100)</f>
        <v/>
      </c>
      <c r="Q50" s="16" t="n"/>
      <c r="R50" s="16" t="n"/>
    </row>
    <row r="51">
      <c r="A51" s="16" t="n"/>
      <c r="B51" s="15">
        <f>IF(A51="","",IFERROR(VLOOKUP(A51,'System Inventory'!A:B,2,FALSE),"Not Found"))</f>
        <v/>
      </c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8">
        <f>IF(A51="","",(COUNTIF(C51:M51,"*Yes*")/COUNTIF(C51:M51,"&lt;&gt;N/A"))*100)</f>
        <v/>
      </c>
      <c r="Q51" s="16" t="n"/>
      <c r="R51" s="16" t="n"/>
    </row>
    <row r="52">
      <c r="A52" s="16" t="n"/>
      <c r="B52" s="15">
        <f>IF(A52="","",IFERROR(VLOOKUP(A52,'System Inventory'!A:B,2,FALSE),"Not Found"))</f>
        <v/>
      </c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8">
        <f>IF(A52="","",(COUNTIF(C52:M52,"*Yes*")/COUNTIF(C52:M52,"&lt;&gt;N/A"))*100)</f>
        <v/>
      </c>
      <c r="Q52" s="16" t="n"/>
      <c r="R52" s="16" t="n"/>
    </row>
    <row r="53">
      <c r="A53" s="16" t="n"/>
      <c r="B53" s="15">
        <f>IF(A53="","",IFERROR(VLOOKUP(A53,'System Inventory'!A:B,2,FALSE),"Not Found"))</f>
        <v/>
      </c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8">
        <f>IF(A53="","",(COUNTIF(C53:M53,"*Yes*")/COUNTIF(C53:M53,"&lt;&gt;N/A"))*100)</f>
        <v/>
      </c>
      <c r="Q53" s="16" t="n"/>
      <c r="R53" s="16" t="n"/>
    </row>
    <row r="54">
      <c r="A54" s="16" t="n"/>
      <c r="B54" s="15">
        <f>IF(A54="","",IFERROR(VLOOKUP(A54,'System Inventory'!A:B,2,FALSE),"Not Found"))</f>
        <v/>
      </c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8">
        <f>IF(A54="","",(COUNTIF(C54:M54,"*Yes*")/COUNTIF(C54:M54,"&lt;&gt;N/A"))*100)</f>
        <v/>
      </c>
      <c r="Q54" s="16" t="n"/>
      <c r="R54" s="16" t="n"/>
    </row>
    <row r="55">
      <c r="A55" s="16" t="n"/>
      <c r="B55" s="15">
        <f>IF(A55="","",IFERROR(VLOOKUP(A55,'System Inventory'!A:B,2,FALSE),"Not Found"))</f>
        <v/>
      </c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8">
        <f>IF(A55="","",(COUNTIF(C55:M55,"*Yes*")/COUNTIF(C55:M55,"&lt;&gt;N/A"))*100)</f>
        <v/>
      </c>
      <c r="Q55" s="16" t="n"/>
      <c r="R55" s="16" t="n"/>
    </row>
  </sheetData>
  <mergeCells count="2">
    <mergeCell ref="A2:R2"/>
    <mergeCell ref="A1:R1"/>
  </mergeCells>
  <conditionalFormatting sqref="P6:P55">
    <cfRule type="cellIs" priority="1" operator="greaterThanOrEqual" dxfId="0" stopIfTrue="1">
      <formula>95</formula>
    </cfRule>
    <cfRule type="cellIs" priority="2" operator="between" dxfId="1" stopIfTrue="1">
      <formula>80</formula>
      <formula>94</formula>
    </cfRule>
    <cfRule type="cellIs" priority="3" operator="lessThan" dxfId="2" stopIfTrue="1">
      <formula>80</formula>
    </cfRule>
  </conditionalFormatting>
  <dataValidations count="13">
    <dataValidation sqref="C6:C55" showDropDown="0" showInputMessage="0" showErrorMessage="0" allowBlank="1" type="list">
      <formula1>"✅ Yes,❌ No,⚠️ Partial,➖ N/A"</formula1>
    </dataValidation>
    <dataValidation sqref="D6:D55" showDropDown="0" showInputMessage="0" showErrorMessage="0" allowBlank="1" type="list">
      <formula1>"✅ Yes,❌ No,⚠️ Partial,➖ N/A"</formula1>
    </dataValidation>
    <dataValidation sqref="E6:E55" showDropDown="0" showInputMessage="0" showErrorMessage="0" allowBlank="1" type="list">
      <formula1>"✅ Yes,❌ No,⚠️ Partial,➖ N/A"</formula1>
    </dataValidation>
    <dataValidation sqref="F6:F55" showDropDown="0" showInputMessage="0" showErrorMessage="0" allowBlank="1" type="list">
      <formula1>"✅ Yes,❌ No,⚠️ Partial,➖ N/A"</formula1>
    </dataValidation>
    <dataValidation sqref="G6:G55" showDropDown="0" showInputMessage="0" showErrorMessage="0" allowBlank="1" type="list">
      <formula1>"✅ Yes,❌ No,⚠️ Partial,➖ N/A"</formula1>
    </dataValidation>
    <dataValidation sqref="H6:H55" showDropDown="0" showInputMessage="0" showErrorMessage="0" allowBlank="1" type="list">
      <formula1>"✅ Yes,❌ No,⚠️ Partial,➖ N/A"</formula1>
    </dataValidation>
    <dataValidation sqref="I6:I55" showDropDown="0" showInputMessage="0" showErrorMessage="0" allowBlank="1" type="list">
      <formula1>"✅ Yes,❌ No,⚠️ Partial,➖ N/A"</formula1>
    </dataValidation>
    <dataValidation sqref="J6:J55" showDropDown="0" showInputMessage="0" showErrorMessage="0" allowBlank="1" type="list">
      <formula1>"✅ Yes,❌ No,⚠️ Partial,➖ N/A"</formula1>
    </dataValidation>
    <dataValidation sqref="K6:K55" showDropDown="0" showInputMessage="0" showErrorMessage="0" allowBlank="1" type="list">
      <formula1>"✅ Yes,❌ No,⚠️ Partial,➖ N/A"</formula1>
    </dataValidation>
    <dataValidation sqref="L6:L55" showDropDown="0" showInputMessage="0" showErrorMessage="0" allowBlank="1" type="list">
      <formula1>"✅ Yes,❌ No,⚠️ Partial,➖ N/A"</formula1>
    </dataValidation>
    <dataValidation sqref="M6:M55" showDropDown="0" showInputMessage="0" showErrorMessage="0" allowBlank="1" type="list">
      <formula1>"✅ Yes,❌ No,⚠️ Partial,➖ N/A"</formula1>
    </dataValidation>
    <dataValidation sqref="N6:N55" showDropDown="0" showInputMessage="0" showErrorMessage="0" allowBlank="1" type="list">
      <formula1>"✅ Yes,❌ No,⚠️ Partial,➖ N/A"</formula1>
    </dataValidation>
    <dataValidation sqref="O6:O55" showDropDown="0" showInputMessage="0" showErrorMessage="0" allowBlank="1" type="list">
      <formula1>"✅ Yes,❌ No,⚠️ Partial,➖ 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20" customWidth="1" min="14" max="14"/>
    <col width="18" customWidth="1" min="15" max="15"/>
    <col width="18" customWidth="1" min="16" max="16"/>
    <col width="40" customWidth="1" min="17" max="17"/>
    <col width="40" customWidth="1" min="18" max="18"/>
  </cols>
  <sheetData>
    <row r="1" ht="35" customHeight="1">
      <c r="A1" s="11" t="inlineStr">
        <is>
          <t>APPLICATION &amp; DATABASE LOGGING ASSESSMENT</t>
        </is>
      </c>
    </row>
    <row r="2">
      <c r="A2" s="12" t="inlineStr">
        <is>
          <t>Assess application and database logging per ISMS-POL-A.8.15-S2.1.7</t>
        </is>
      </c>
    </row>
    <row r="4">
      <c r="A4" s="13" t="inlineStr">
        <is>
          <t>System ID</t>
        </is>
      </c>
      <c r="B4" s="13" t="inlineStr">
        <is>
          <t>System Name</t>
        </is>
      </c>
      <c r="C4" s="13" t="inlineStr">
        <is>
          <t>Web App Access Logging</t>
        </is>
      </c>
      <c r="D4" s="13" t="inlineStr">
        <is>
          <t>API Call Logging</t>
        </is>
      </c>
      <c r="E4" s="13" t="inlineStr">
        <is>
          <t>Transaction Logging</t>
        </is>
      </c>
      <c r="F4" s="13" t="inlineStr">
        <is>
          <t>Application Errors</t>
        </is>
      </c>
      <c r="G4" s="13" t="inlineStr">
        <is>
          <t>Database Connections</t>
        </is>
      </c>
      <c r="H4" s="13" t="inlineStr">
        <is>
          <t>Database Queries (Sensitive)</t>
        </is>
      </c>
      <c r="I4" s="13" t="inlineStr">
        <is>
          <t>Schema Changes (DDL)</t>
        </is>
      </c>
      <c r="J4" s="13" t="inlineStr">
        <is>
          <t>Permission Grants</t>
        </is>
      </c>
      <c r="K4" s="13" t="inlineStr">
        <is>
          <t>Backup/Restore Operations</t>
        </is>
      </c>
      <c r="L4" s="13" t="inlineStr">
        <is>
          <t>Includes User/App Identity</t>
        </is>
      </c>
      <c r="M4" s="13" t="inlineStr">
        <is>
          <t>Includes Data Modified</t>
        </is>
      </c>
      <c r="N4" s="13" t="inlineStr">
        <is>
          <t>Includes Query Text</t>
        </is>
      </c>
      <c r="O4" s="13" t="inlineStr">
        <is>
          <t>Includes Row Count</t>
        </is>
      </c>
      <c r="P4" s="13" t="inlineStr">
        <is>
          <t>Compliance Score</t>
        </is>
      </c>
      <c r="Q4" s="13" t="inlineStr">
        <is>
          <t>Gap Description</t>
        </is>
      </c>
      <c r="R4" s="13" t="inlineStr">
        <is>
          <t>Remediation Plan</t>
        </is>
      </c>
    </row>
    <row r="5">
      <c r="A5" s="14" t="inlineStr">
        <is>
          <t>DB-001</t>
        </is>
      </c>
      <c r="B5" s="14" t="inlineStr">
        <is>
          <t>prod-db-01</t>
        </is>
      </c>
      <c r="C5" s="14" t="inlineStr">
        <is>
          <t>N/A</t>
        </is>
      </c>
      <c r="D5" s="14" t="inlineStr">
        <is>
          <t>Yes</t>
        </is>
      </c>
      <c r="E5" s="14" t="inlineStr">
        <is>
          <t>Yes</t>
        </is>
      </c>
      <c r="F5" s="14" t="inlineStr">
        <is>
          <t>Yes</t>
        </is>
      </c>
      <c r="G5" s="14" t="inlineStr">
        <is>
          <t>Yes</t>
        </is>
      </c>
      <c r="H5" s="14" t="inlineStr">
        <is>
          <t>Yes</t>
        </is>
      </c>
      <c r="I5" s="14" t="inlineStr">
        <is>
          <t>Yes</t>
        </is>
      </c>
      <c r="J5" s="14" t="inlineStr">
        <is>
          <t>Yes</t>
        </is>
      </c>
      <c r="K5" s="14" t="inlineStr">
        <is>
          <t>Yes</t>
        </is>
      </c>
      <c r="L5" s="14" t="inlineStr">
        <is>
          <t>Yes</t>
        </is>
      </c>
      <c r="M5" s="14" t="inlineStr">
        <is>
          <t>Partial</t>
        </is>
      </c>
      <c r="N5" s="14" t="inlineStr">
        <is>
          <t>Partial</t>
        </is>
      </c>
      <c r="O5" s="14" t="inlineStr">
        <is>
          <t>Yes</t>
        </is>
      </c>
      <c r="P5" s="14" t="inlineStr">
        <is>
          <t>91.7%</t>
        </is>
      </c>
      <c r="Q5" s="14" t="inlineStr">
        <is>
          <t>Query text truncated, data modified partially logged</t>
        </is>
      </c>
      <c r="R5" s="14" t="inlineStr">
        <is>
          <t>Enable full query logging</t>
        </is>
      </c>
    </row>
    <row r="6">
      <c r="A6" s="16" t="n"/>
      <c r="B6" s="15">
        <f>IF(A6="","",IFERROR(VLOOKUP(A6,'System Inventory'!A:B,2,FALSE),"Not Found"))</f>
        <v/>
      </c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8">
        <f>IF(A6="","",(COUNTIF(C6:M6,"*Yes*")/COUNTIF(C6:M6,"&lt;&gt;N/A"))*100)</f>
        <v/>
      </c>
      <c r="Q6" s="16" t="n"/>
      <c r="R6" s="16" t="n"/>
    </row>
    <row r="7">
      <c r="A7" s="16" t="n"/>
      <c r="B7" s="15">
        <f>IF(A7="","",IFERROR(VLOOKUP(A7,'System Inventory'!A:B,2,FALSE),"Not Found"))</f>
        <v/>
      </c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8">
        <f>IF(A7="","",(COUNTIF(C7:M7,"*Yes*")/COUNTIF(C7:M7,"&lt;&gt;N/A"))*100)</f>
        <v/>
      </c>
      <c r="Q7" s="16" t="n"/>
      <c r="R7" s="16" t="n"/>
    </row>
    <row r="8">
      <c r="A8" s="16" t="n"/>
      <c r="B8" s="15">
        <f>IF(A8="","",IFERROR(VLOOKUP(A8,'System Inventory'!A:B,2,FALSE),"Not Found"))</f>
        <v/>
      </c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8">
        <f>IF(A8="","",(COUNTIF(C8:M8,"*Yes*")/COUNTIF(C8:M8,"&lt;&gt;N/A"))*100)</f>
        <v/>
      </c>
      <c r="Q8" s="16" t="n"/>
      <c r="R8" s="16" t="n"/>
    </row>
    <row r="9">
      <c r="A9" s="16" t="n"/>
      <c r="B9" s="15">
        <f>IF(A9="","",IFERROR(VLOOKUP(A9,'System Inventory'!A:B,2,FALSE),"Not Found"))</f>
        <v/>
      </c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8">
        <f>IF(A9="","",(COUNTIF(C9:M9,"*Yes*")/COUNTIF(C9:M9,"&lt;&gt;N/A"))*100)</f>
        <v/>
      </c>
      <c r="Q9" s="16" t="n"/>
      <c r="R9" s="16" t="n"/>
    </row>
    <row r="10">
      <c r="A10" s="16" t="n"/>
      <c r="B10" s="15">
        <f>IF(A10="","",IFERROR(VLOOKUP(A10,'System Inventory'!A:B,2,FALSE),"Not Found"))</f>
        <v/>
      </c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8">
        <f>IF(A10="","",(COUNTIF(C10:M10,"*Yes*")/COUNTIF(C10:M10,"&lt;&gt;N/A"))*100)</f>
        <v/>
      </c>
      <c r="Q10" s="16" t="n"/>
      <c r="R10" s="16" t="n"/>
    </row>
    <row r="11">
      <c r="A11" s="16" t="n"/>
      <c r="B11" s="15">
        <f>IF(A11="","",IFERROR(VLOOKUP(A11,'System Inventory'!A:B,2,FALSE),"Not Found"))</f>
        <v/>
      </c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8">
        <f>IF(A11="","",(COUNTIF(C11:M11,"*Yes*")/COUNTIF(C11:M11,"&lt;&gt;N/A"))*100)</f>
        <v/>
      </c>
      <c r="Q11" s="16" t="n"/>
      <c r="R11" s="16" t="n"/>
    </row>
    <row r="12">
      <c r="A12" s="16" t="n"/>
      <c r="B12" s="15">
        <f>IF(A12="","",IFERROR(VLOOKUP(A12,'System Inventory'!A:B,2,FALSE),"Not Found"))</f>
        <v/>
      </c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8">
        <f>IF(A12="","",(COUNTIF(C12:M12,"*Yes*")/COUNTIF(C12:M12,"&lt;&gt;N/A"))*100)</f>
        <v/>
      </c>
      <c r="Q12" s="16" t="n"/>
      <c r="R12" s="16" t="n"/>
    </row>
    <row r="13">
      <c r="A13" s="16" t="n"/>
      <c r="B13" s="15">
        <f>IF(A13="","",IFERROR(VLOOKUP(A13,'System Inventory'!A:B,2,FALSE),"Not Found"))</f>
        <v/>
      </c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8">
        <f>IF(A13="","",(COUNTIF(C13:M13,"*Yes*")/COUNTIF(C13:M13,"&lt;&gt;N/A"))*100)</f>
        <v/>
      </c>
      <c r="Q13" s="16" t="n"/>
      <c r="R13" s="16" t="n"/>
    </row>
    <row r="14">
      <c r="A14" s="16" t="n"/>
      <c r="B14" s="15">
        <f>IF(A14="","",IFERROR(VLOOKUP(A14,'System Inventory'!A:B,2,FALSE),"Not Found"))</f>
        <v/>
      </c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8">
        <f>IF(A14="","",(COUNTIF(C14:M14,"*Yes*")/COUNTIF(C14:M14,"&lt;&gt;N/A"))*100)</f>
        <v/>
      </c>
      <c r="Q14" s="16" t="n"/>
      <c r="R14" s="16" t="n"/>
    </row>
    <row r="15">
      <c r="A15" s="16" t="n"/>
      <c r="B15" s="15">
        <f>IF(A15="","",IFERROR(VLOOKUP(A15,'System Inventory'!A:B,2,FALSE),"Not Found"))</f>
        <v/>
      </c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8">
        <f>IF(A15="","",(COUNTIF(C15:M15,"*Yes*")/COUNTIF(C15:M15,"&lt;&gt;N/A"))*100)</f>
        <v/>
      </c>
      <c r="Q15" s="16" t="n"/>
      <c r="R15" s="16" t="n"/>
    </row>
    <row r="16">
      <c r="A16" s="16" t="n"/>
      <c r="B16" s="15">
        <f>IF(A16="","",IFERROR(VLOOKUP(A16,'System Inventory'!A:B,2,FALSE),"Not Found"))</f>
        <v/>
      </c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8">
        <f>IF(A16="","",(COUNTIF(C16:M16,"*Yes*")/COUNTIF(C16:M16,"&lt;&gt;N/A"))*100)</f>
        <v/>
      </c>
      <c r="Q16" s="16" t="n"/>
      <c r="R16" s="16" t="n"/>
    </row>
    <row r="17">
      <c r="A17" s="16" t="n"/>
      <c r="B17" s="15">
        <f>IF(A17="","",IFERROR(VLOOKUP(A17,'System Inventory'!A:B,2,FALSE),"Not Found"))</f>
        <v/>
      </c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8">
        <f>IF(A17="","",(COUNTIF(C17:M17,"*Yes*")/COUNTIF(C17:M17,"&lt;&gt;N/A"))*100)</f>
        <v/>
      </c>
      <c r="Q17" s="16" t="n"/>
      <c r="R17" s="16" t="n"/>
    </row>
    <row r="18">
      <c r="A18" s="16" t="n"/>
      <c r="B18" s="15">
        <f>IF(A18="","",IFERROR(VLOOKUP(A18,'System Inventory'!A:B,2,FALSE),"Not Found"))</f>
        <v/>
      </c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8">
        <f>IF(A18="","",(COUNTIF(C18:M18,"*Yes*")/COUNTIF(C18:M18,"&lt;&gt;N/A"))*100)</f>
        <v/>
      </c>
      <c r="Q18" s="16" t="n"/>
      <c r="R18" s="16" t="n"/>
    </row>
    <row r="19">
      <c r="A19" s="16" t="n"/>
      <c r="B19" s="15">
        <f>IF(A19="","",IFERROR(VLOOKUP(A19,'System Inventory'!A:B,2,FALSE),"Not Found"))</f>
        <v/>
      </c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8">
        <f>IF(A19="","",(COUNTIF(C19:M19,"*Yes*")/COUNTIF(C19:M19,"&lt;&gt;N/A"))*100)</f>
        <v/>
      </c>
      <c r="Q19" s="16" t="n"/>
      <c r="R19" s="16" t="n"/>
    </row>
    <row r="20">
      <c r="A20" s="16" t="n"/>
      <c r="B20" s="15">
        <f>IF(A20="","",IFERROR(VLOOKUP(A20,'System Inventory'!A:B,2,FALSE),"Not Found"))</f>
        <v/>
      </c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8">
        <f>IF(A20="","",(COUNTIF(C20:M20,"*Yes*")/COUNTIF(C20:M20,"&lt;&gt;N/A"))*100)</f>
        <v/>
      </c>
      <c r="Q20" s="16" t="n"/>
      <c r="R20" s="16" t="n"/>
    </row>
    <row r="21">
      <c r="A21" s="16" t="n"/>
      <c r="B21" s="15">
        <f>IF(A21="","",IFERROR(VLOOKUP(A21,'System Inventory'!A:B,2,FALSE),"Not Found"))</f>
        <v/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8">
        <f>IF(A21="","",(COUNTIF(C21:M21,"*Yes*")/COUNTIF(C21:M21,"&lt;&gt;N/A"))*100)</f>
        <v/>
      </c>
      <c r="Q21" s="16" t="n"/>
      <c r="R21" s="16" t="n"/>
    </row>
    <row r="22">
      <c r="A22" s="16" t="n"/>
      <c r="B22" s="15">
        <f>IF(A22="","",IFERROR(VLOOKUP(A22,'System Inventory'!A:B,2,FALSE),"Not Found"))</f>
        <v/>
      </c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8">
        <f>IF(A22="","",(COUNTIF(C22:M22,"*Yes*")/COUNTIF(C22:M22,"&lt;&gt;N/A"))*100)</f>
        <v/>
      </c>
      <c r="Q22" s="16" t="n"/>
      <c r="R22" s="16" t="n"/>
    </row>
    <row r="23">
      <c r="A23" s="16" t="n"/>
      <c r="B23" s="15">
        <f>IF(A23="","",IFERROR(VLOOKUP(A23,'System Inventory'!A:B,2,FALSE),"Not Found"))</f>
        <v/>
      </c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8">
        <f>IF(A23="","",(COUNTIF(C23:M23,"*Yes*")/COUNTIF(C23:M23,"&lt;&gt;N/A"))*100)</f>
        <v/>
      </c>
      <c r="Q23" s="16" t="n"/>
      <c r="R23" s="16" t="n"/>
    </row>
    <row r="24">
      <c r="A24" s="16" t="n"/>
      <c r="B24" s="15">
        <f>IF(A24="","",IFERROR(VLOOKUP(A24,'System Inventory'!A:B,2,FALSE),"Not Found"))</f>
        <v/>
      </c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8">
        <f>IF(A24="","",(COUNTIF(C24:M24,"*Yes*")/COUNTIF(C24:M24,"&lt;&gt;N/A"))*100)</f>
        <v/>
      </c>
      <c r="Q24" s="16" t="n"/>
      <c r="R24" s="16" t="n"/>
    </row>
    <row r="25">
      <c r="A25" s="16" t="n"/>
      <c r="B25" s="15">
        <f>IF(A25="","",IFERROR(VLOOKUP(A25,'System Inventory'!A:B,2,FALSE),"Not Found"))</f>
        <v/>
      </c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8">
        <f>IF(A25="","",(COUNTIF(C25:M25,"*Yes*")/COUNTIF(C25:M25,"&lt;&gt;N/A"))*100)</f>
        <v/>
      </c>
      <c r="Q25" s="16" t="n"/>
      <c r="R25" s="16" t="n"/>
    </row>
    <row r="26">
      <c r="A26" s="16" t="n"/>
      <c r="B26" s="15">
        <f>IF(A26="","",IFERROR(VLOOKUP(A26,'System Inventory'!A:B,2,FALSE),"Not Found"))</f>
        <v/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8">
        <f>IF(A26="","",(COUNTIF(C26:M26,"*Yes*")/COUNTIF(C26:M26,"&lt;&gt;N/A"))*100)</f>
        <v/>
      </c>
      <c r="Q26" s="16" t="n"/>
      <c r="R26" s="16" t="n"/>
    </row>
    <row r="27">
      <c r="A27" s="16" t="n"/>
      <c r="B27" s="15">
        <f>IF(A27="","",IFERROR(VLOOKUP(A27,'System Inventory'!A:B,2,FALSE),"Not Found"))</f>
        <v/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8">
        <f>IF(A27="","",(COUNTIF(C27:M27,"*Yes*")/COUNTIF(C27:M27,"&lt;&gt;N/A"))*100)</f>
        <v/>
      </c>
      <c r="Q27" s="16" t="n"/>
      <c r="R27" s="16" t="n"/>
    </row>
    <row r="28">
      <c r="A28" s="16" t="n"/>
      <c r="B28" s="15">
        <f>IF(A28="","",IFERROR(VLOOKUP(A28,'System Inventory'!A:B,2,FALSE),"Not Found"))</f>
        <v/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8">
        <f>IF(A28="","",(COUNTIF(C28:M28,"*Yes*")/COUNTIF(C28:M28,"&lt;&gt;N/A"))*100)</f>
        <v/>
      </c>
      <c r="Q28" s="16" t="n"/>
      <c r="R28" s="16" t="n"/>
    </row>
    <row r="29">
      <c r="A29" s="16" t="n"/>
      <c r="B29" s="15">
        <f>IF(A29="","",IFERROR(VLOOKUP(A29,'System Inventory'!A:B,2,FALSE),"Not Found"))</f>
        <v/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8">
        <f>IF(A29="","",(COUNTIF(C29:M29,"*Yes*")/COUNTIF(C29:M29,"&lt;&gt;N/A"))*100)</f>
        <v/>
      </c>
      <c r="Q29" s="16" t="n"/>
      <c r="R29" s="16" t="n"/>
    </row>
    <row r="30">
      <c r="A30" s="16" t="n"/>
      <c r="B30" s="15">
        <f>IF(A30="","",IFERROR(VLOOKUP(A30,'System Inventory'!A:B,2,FALSE),"Not Found"))</f>
        <v/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8">
        <f>IF(A30="","",(COUNTIF(C30:M30,"*Yes*")/COUNTIF(C30:M30,"&lt;&gt;N/A"))*100)</f>
        <v/>
      </c>
      <c r="Q30" s="16" t="n"/>
      <c r="R30" s="16" t="n"/>
    </row>
    <row r="31">
      <c r="A31" s="16" t="n"/>
      <c r="B31" s="15">
        <f>IF(A31="","",IFERROR(VLOOKUP(A31,'System Inventory'!A:B,2,FALSE),"Not Found"))</f>
        <v/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8">
        <f>IF(A31="","",(COUNTIF(C31:M31,"*Yes*")/COUNTIF(C31:M31,"&lt;&gt;N/A"))*100)</f>
        <v/>
      </c>
      <c r="Q31" s="16" t="n"/>
      <c r="R31" s="16" t="n"/>
    </row>
    <row r="32">
      <c r="A32" s="16" t="n"/>
      <c r="B32" s="15">
        <f>IF(A32="","",IFERROR(VLOOKUP(A32,'System Inventory'!A:B,2,FALSE),"Not Found"))</f>
        <v/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8">
        <f>IF(A32="","",(COUNTIF(C32:M32,"*Yes*")/COUNTIF(C32:M32,"&lt;&gt;N/A"))*100)</f>
        <v/>
      </c>
      <c r="Q32" s="16" t="n"/>
      <c r="R32" s="16" t="n"/>
    </row>
    <row r="33">
      <c r="A33" s="16" t="n"/>
      <c r="B33" s="15">
        <f>IF(A33="","",IFERROR(VLOOKUP(A33,'System Inventory'!A:B,2,FALSE),"Not Found"))</f>
        <v/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8">
        <f>IF(A33="","",(COUNTIF(C33:M33,"*Yes*")/COUNTIF(C33:M33,"&lt;&gt;N/A"))*100)</f>
        <v/>
      </c>
      <c r="Q33" s="16" t="n"/>
      <c r="R33" s="16" t="n"/>
    </row>
    <row r="34">
      <c r="A34" s="16" t="n"/>
      <c r="B34" s="15">
        <f>IF(A34="","",IFERROR(VLOOKUP(A34,'System Inventory'!A:B,2,FALSE),"Not Found"))</f>
        <v/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8">
        <f>IF(A34="","",(COUNTIF(C34:M34,"*Yes*")/COUNTIF(C34:M34,"&lt;&gt;N/A"))*100)</f>
        <v/>
      </c>
      <c r="Q34" s="16" t="n"/>
      <c r="R34" s="16" t="n"/>
    </row>
    <row r="35">
      <c r="A35" s="16" t="n"/>
      <c r="B35" s="15">
        <f>IF(A35="","",IFERROR(VLOOKUP(A35,'System Inventory'!A:B,2,FALSE),"Not Found"))</f>
        <v/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8">
        <f>IF(A35="","",(COUNTIF(C35:M35,"*Yes*")/COUNTIF(C35:M35,"&lt;&gt;N/A"))*100)</f>
        <v/>
      </c>
      <c r="Q35" s="16" t="n"/>
      <c r="R35" s="16" t="n"/>
    </row>
    <row r="36">
      <c r="A36" s="16" t="n"/>
      <c r="B36" s="15">
        <f>IF(A36="","",IFERROR(VLOOKUP(A36,'System Inventory'!A:B,2,FALSE),"Not Found"))</f>
        <v/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8">
        <f>IF(A36="","",(COUNTIF(C36:M36,"*Yes*")/COUNTIF(C36:M36,"&lt;&gt;N/A"))*100)</f>
        <v/>
      </c>
      <c r="Q36" s="16" t="n"/>
      <c r="R36" s="16" t="n"/>
    </row>
    <row r="37">
      <c r="A37" s="16" t="n"/>
      <c r="B37" s="15">
        <f>IF(A37="","",IFERROR(VLOOKUP(A37,'System Inventory'!A:B,2,FALSE),"Not Found"))</f>
        <v/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8">
        <f>IF(A37="","",(COUNTIF(C37:M37,"*Yes*")/COUNTIF(C37:M37,"&lt;&gt;N/A"))*100)</f>
        <v/>
      </c>
      <c r="Q37" s="16" t="n"/>
      <c r="R37" s="16" t="n"/>
    </row>
    <row r="38">
      <c r="A38" s="16" t="n"/>
      <c r="B38" s="15">
        <f>IF(A38="","",IFERROR(VLOOKUP(A38,'System Inventory'!A:B,2,FALSE),"Not Found"))</f>
        <v/>
      </c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8">
        <f>IF(A38="","",(COUNTIF(C38:M38,"*Yes*")/COUNTIF(C38:M38,"&lt;&gt;N/A"))*100)</f>
        <v/>
      </c>
      <c r="Q38" s="16" t="n"/>
      <c r="R38" s="16" t="n"/>
    </row>
    <row r="39">
      <c r="A39" s="16" t="n"/>
      <c r="B39" s="15">
        <f>IF(A39="","",IFERROR(VLOOKUP(A39,'System Inventory'!A:B,2,FALSE),"Not Found"))</f>
        <v/>
      </c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8">
        <f>IF(A39="","",(COUNTIF(C39:M39,"*Yes*")/COUNTIF(C39:M39,"&lt;&gt;N/A"))*100)</f>
        <v/>
      </c>
      <c r="Q39" s="16" t="n"/>
      <c r="R39" s="16" t="n"/>
    </row>
    <row r="40">
      <c r="A40" s="16" t="n"/>
      <c r="B40" s="15">
        <f>IF(A40="","",IFERROR(VLOOKUP(A40,'System Inventory'!A:B,2,FALSE),"Not Found"))</f>
        <v/>
      </c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8">
        <f>IF(A40="","",(COUNTIF(C40:M40,"*Yes*")/COUNTIF(C40:M40,"&lt;&gt;N/A"))*100)</f>
        <v/>
      </c>
      <c r="Q40" s="16" t="n"/>
      <c r="R40" s="16" t="n"/>
    </row>
    <row r="41">
      <c r="A41" s="16" t="n"/>
      <c r="B41" s="15">
        <f>IF(A41="","",IFERROR(VLOOKUP(A41,'System Inventory'!A:B,2,FALSE),"Not Found"))</f>
        <v/>
      </c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8">
        <f>IF(A41="","",(COUNTIF(C41:M41,"*Yes*")/COUNTIF(C41:M41,"&lt;&gt;N/A"))*100)</f>
        <v/>
      </c>
      <c r="Q41" s="16" t="n"/>
      <c r="R41" s="16" t="n"/>
    </row>
    <row r="42">
      <c r="A42" s="16" t="n"/>
      <c r="B42" s="15">
        <f>IF(A42="","",IFERROR(VLOOKUP(A42,'System Inventory'!A:B,2,FALSE),"Not Found"))</f>
        <v/>
      </c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8">
        <f>IF(A42="","",(COUNTIF(C42:M42,"*Yes*")/COUNTIF(C42:M42,"&lt;&gt;N/A"))*100)</f>
        <v/>
      </c>
      <c r="Q42" s="16" t="n"/>
      <c r="R42" s="16" t="n"/>
    </row>
    <row r="43">
      <c r="A43" s="16" t="n"/>
      <c r="B43" s="15">
        <f>IF(A43="","",IFERROR(VLOOKUP(A43,'System Inventory'!A:B,2,FALSE),"Not Found"))</f>
        <v/>
      </c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8">
        <f>IF(A43="","",(COUNTIF(C43:M43,"*Yes*")/COUNTIF(C43:M43,"&lt;&gt;N/A"))*100)</f>
        <v/>
      </c>
      <c r="Q43" s="16" t="n"/>
      <c r="R43" s="16" t="n"/>
    </row>
    <row r="44">
      <c r="A44" s="16" t="n"/>
      <c r="B44" s="15">
        <f>IF(A44="","",IFERROR(VLOOKUP(A44,'System Inventory'!A:B,2,FALSE),"Not Found"))</f>
        <v/>
      </c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8">
        <f>IF(A44="","",(COUNTIF(C44:M44,"*Yes*")/COUNTIF(C44:M44,"&lt;&gt;N/A"))*100)</f>
        <v/>
      </c>
      <c r="Q44" s="16" t="n"/>
      <c r="R44" s="16" t="n"/>
    </row>
    <row r="45">
      <c r="A45" s="16" t="n"/>
      <c r="B45" s="15">
        <f>IF(A45="","",IFERROR(VLOOKUP(A45,'System Inventory'!A:B,2,FALSE),"Not Found"))</f>
        <v/>
      </c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8">
        <f>IF(A45="","",(COUNTIF(C45:M45,"*Yes*")/COUNTIF(C45:M45,"&lt;&gt;N/A"))*100)</f>
        <v/>
      </c>
      <c r="Q45" s="16" t="n"/>
      <c r="R45" s="16" t="n"/>
    </row>
    <row r="46">
      <c r="A46" s="16" t="n"/>
      <c r="B46" s="15">
        <f>IF(A46="","",IFERROR(VLOOKUP(A46,'System Inventory'!A:B,2,FALSE),"Not Found"))</f>
        <v/>
      </c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8">
        <f>IF(A46="","",(COUNTIF(C46:M46,"*Yes*")/COUNTIF(C46:M46,"&lt;&gt;N/A"))*100)</f>
        <v/>
      </c>
      <c r="Q46" s="16" t="n"/>
      <c r="R46" s="16" t="n"/>
    </row>
    <row r="47">
      <c r="A47" s="16" t="n"/>
      <c r="B47" s="15">
        <f>IF(A47="","",IFERROR(VLOOKUP(A47,'System Inventory'!A:B,2,FALSE),"Not Found"))</f>
        <v/>
      </c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8">
        <f>IF(A47="","",(COUNTIF(C47:M47,"*Yes*")/COUNTIF(C47:M47,"&lt;&gt;N/A"))*100)</f>
        <v/>
      </c>
      <c r="Q47" s="16" t="n"/>
      <c r="R47" s="16" t="n"/>
    </row>
    <row r="48">
      <c r="A48" s="16" t="n"/>
      <c r="B48" s="15">
        <f>IF(A48="","",IFERROR(VLOOKUP(A48,'System Inventory'!A:B,2,FALSE),"Not Found"))</f>
        <v/>
      </c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8">
        <f>IF(A48="","",(COUNTIF(C48:M48,"*Yes*")/COUNTIF(C48:M48,"&lt;&gt;N/A"))*100)</f>
        <v/>
      </c>
      <c r="Q48" s="16" t="n"/>
      <c r="R48" s="16" t="n"/>
    </row>
    <row r="49">
      <c r="A49" s="16" t="n"/>
      <c r="B49" s="15">
        <f>IF(A49="","",IFERROR(VLOOKUP(A49,'System Inventory'!A:B,2,FALSE),"Not Found"))</f>
        <v/>
      </c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8">
        <f>IF(A49="","",(COUNTIF(C49:M49,"*Yes*")/COUNTIF(C49:M49,"&lt;&gt;N/A"))*100)</f>
        <v/>
      </c>
      <c r="Q49" s="16" t="n"/>
      <c r="R49" s="16" t="n"/>
    </row>
    <row r="50">
      <c r="A50" s="16" t="n"/>
      <c r="B50" s="15">
        <f>IF(A50="","",IFERROR(VLOOKUP(A50,'System Inventory'!A:B,2,FALSE),"Not Found"))</f>
        <v/>
      </c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8">
        <f>IF(A50="","",(COUNTIF(C50:M50,"*Yes*")/COUNTIF(C50:M50,"&lt;&gt;N/A"))*100)</f>
        <v/>
      </c>
      <c r="Q50" s="16" t="n"/>
      <c r="R50" s="16" t="n"/>
    </row>
    <row r="51">
      <c r="A51" s="16" t="n"/>
      <c r="B51" s="15">
        <f>IF(A51="","",IFERROR(VLOOKUP(A51,'System Inventory'!A:B,2,FALSE),"Not Found"))</f>
        <v/>
      </c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8">
        <f>IF(A51="","",(COUNTIF(C51:M51,"*Yes*")/COUNTIF(C51:M51,"&lt;&gt;N/A"))*100)</f>
        <v/>
      </c>
      <c r="Q51" s="16" t="n"/>
      <c r="R51" s="16" t="n"/>
    </row>
    <row r="52">
      <c r="A52" s="16" t="n"/>
      <c r="B52" s="15">
        <f>IF(A52="","",IFERROR(VLOOKUP(A52,'System Inventory'!A:B,2,FALSE),"Not Found"))</f>
        <v/>
      </c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8">
        <f>IF(A52="","",(COUNTIF(C52:M52,"*Yes*")/COUNTIF(C52:M52,"&lt;&gt;N/A"))*100)</f>
        <v/>
      </c>
      <c r="Q52" s="16" t="n"/>
      <c r="R52" s="16" t="n"/>
    </row>
    <row r="53">
      <c r="A53" s="16" t="n"/>
      <c r="B53" s="15">
        <f>IF(A53="","",IFERROR(VLOOKUP(A53,'System Inventory'!A:B,2,FALSE),"Not Found"))</f>
        <v/>
      </c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8">
        <f>IF(A53="","",(COUNTIF(C53:M53,"*Yes*")/COUNTIF(C53:M53,"&lt;&gt;N/A"))*100)</f>
        <v/>
      </c>
      <c r="Q53" s="16" t="n"/>
      <c r="R53" s="16" t="n"/>
    </row>
    <row r="54">
      <c r="A54" s="16" t="n"/>
      <c r="B54" s="15">
        <f>IF(A54="","",IFERROR(VLOOKUP(A54,'System Inventory'!A:B,2,FALSE),"Not Found"))</f>
        <v/>
      </c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8">
        <f>IF(A54="","",(COUNTIF(C54:M54,"*Yes*")/COUNTIF(C54:M54,"&lt;&gt;N/A"))*100)</f>
        <v/>
      </c>
      <c r="Q54" s="16" t="n"/>
      <c r="R54" s="16" t="n"/>
    </row>
    <row r="55">
      <c r="A55" s="16" t="n"/>
      <c r="B55" s="15">
        <f>IF(A55="","",IFERROR(VLOOKUP(A55,'System Inventory'!A:B,2,FALSE),"Not Found"))</f>
        <v/>
      </c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8">
        <f>IF(A55="","",(COUNTIF(C55:M55,"*Yes*")/COUNTIF(C55:M55,"&lt;&gt;N/A"))*100)</f>
        <v/>
      </c>
      <c r="Q55" s="16" t="n"/>
      <c r="R55" s="16" t="n"/>
    </row>
  </sheetData>
  <mergeCells count="2">
    <mergeCell ref="A2:R2"/>
    <mergeCell ref="A1:R1"/>
  </mergeCells>
  <conditionalFormatting sqref="P6:P55">
    <cfRule type="cellIs" priority="1" operator="greaterThanOrEqual" dxfId="0" stopIfTrue="1">
      <formula>95</formula>
    </cfRule>
    <cfRule type="cellIs" priority="2" operator="between" dxfId="1" stopIfTrue="1">
      <formula>80</formula>
      <formula>94</formula>
    </cfRule>
    <cfRule type="cellIs" priority="3" operator="lessThan" dxfId="2" stopIfTrue="1">
      <formula>80</formula>
    </cfRule>
  </conditionalFormatting>
  <dataValidations count="13">
    <dataValidation sqref="C6:C55" showDropDown="0" showInputMessage="0" showErrorMessage="0" allowBlank="1" type="list">
      <formula1>"✅ Yes,❌ No,⚠️ Partial,➖ N/A"</formula1>
    </dataValidation>
    <dataValidation sqref="D6:D55" showDropDown="0" showInputMessage="0" showErrorMessage="0" allowBlank="1" type="list">
      <formula1>"✅ Yes,❌ No,⚠️ Partial,➖ N/A"</formula1>
    </dataValidation>
    <dataValidation sqref="E6:E55" showDropDown="0" showInputMessage="0" showErrorMessage="0" allowBlank="1" type="list">
      <formula1>"✅ Yes,❌ No,⚠️ Partial,➖ N/A"</formula1>
    </dataValidation>
    <dataValidation sqref="F6:F55" showDropDown="0" showInputMessage="0" showErrorMessage="0" allowBlank="1" type="list">
      <formula1>"✅ Yes,❌ No,⚠️ Partial,➖ N/A"</formula1>
    </dataValidation>
    <dataValidation sqref="G6:G55" showDropDown="0" showInputMessage="0" showErrorMessage="0" allowBlank="1" type="list">
      <formula1>"✅ Yes,❌ No,⚠️ Partial,➖ N/A"</formula1>
    </dataValidation>
    <dataValidation sqref="H6:H55" showDropDown="0" showInputMessage="0" showErrorMessage="0" allowBlank="1" type="list">
      <formula1>"✅ Yes,❌ No,⚠️ Partial,➖ N/A"</formula1>
    </dataValidation>
    <dataValidation sqref="I6:I55" showDropDown="0" showInputMessage="0" showErrorMessage="0" allowBlank="1" type="list">
      <formula1>"✅ Yes,❌ No,⚠️ Partial,➖ N/A"</formula1>
    </dataValidation>
    <dataValidation sqref="J6:J55" showDropDown="0" showInputMessage="0" showErrorMessage="0" allowBlank="1" type="list">
      <formula1>"✅ Yes,❌ No,⚠️ Partial,➖ N/A"</formula1>
    </dataValidation>
    <dataValidation sqref="K6:K55" showDropDown="0" showInputMessage="0" showErrorMessage="0" allowBlank="1" type="list">
      <formula1>"✅ Yes,❌ No,⚠️ Partial,➖ N/A"</formula1>
    </dataValidation>
    <dataValidation sqref="L6:L55" showDropDown="0" showInputMessage="0" showErrorMessage="0" allowBlank="1" type="list">
      <formula1>"✅ Yes,❌ No,⚠️ Partial,➖ N/A"</formula1>
    </dataValidation>
    <dataValidation sqref="M6:M55" showDropDown="0" showInputMessage="0" showErrorMessage="0" allowBlank="1" type="list">
      <formula1>"✅ Yes,❌ No,⚠️ Partial,➖ N/A"</formula1>
    </dataValidation>
    <dataValidation sqref="N6:N55" showDropDown="0" showInputMessage="0" showErrorMessage="0" allowBlank="1" type="list">
      <formula1>"✅ Yes,❌ No,⚠️ Partial,➖ N/A"</formula1>
    </dataValidation>
    <dataValidation sqref="O6:O55" showDropDown="0" showInputMessage="0" showErrorMessage="0" allowBlank="1" type="list">
      <formula1>"✅ Yes,❌ No,⚠️ Partial,➖ N/A"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5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20" customWidth="1" min="14" max="14"/>
    <col width="18" customWidth="1" min="15" max="15"/>
    <col width="18" customWidth="1" min="16" max="16"/>
    <col width="40" customWidth="1" min="17" max="17"/>
    <col width="40" customWidth="1" min="18" max="18"/>
  </cols>
  <sheetData>
    <row r="1" ht="35" customHeight="1">
      <c r="A1" s="11" t="inlineStr">
        <is>
          <t>NETWORK DEVICE LOGGING ASSESSMENT</t>
        </is>
      </c>
    </row>
    <row r="2">
      <c r="A2" s="12" t="inlineStr">
        <is>
          <t>Assess network infrastructure logging per ISMS-POL-A.8.15-S2.1.8</t>
        </is>
      </c>
    </row>
    <row r="4">
      <c r="A4" s="13" t="inlineStr">
        <is>
          <t>Device ID</t>
        </is>
      </c>
      <c r="B4" s="13" t="inlineStr">
        <is>
          <t>Device Name</t>
        </is>
      </c>
      <c r="C4" s="13" t="inlineStr">
        <is>
          <t>Connection Logging</t>
        </is>
      </c>
      <c r="D4" s="13" t="inlineStr">
        <is>
          <t>Rule Match Logging</t>
        </is>
      </c>
      <c r="E4" s="13" t="inlineStr">
        <is>
          <t>Configuration Changes</t>
        </is>
      </c>
      <c r="F4" s="13" t="inlineStr">
        <is>
          <t>Interface Up/Down Events</t>
        </is>
      </c>
      <c r="G4" s="13" t="inlineStr">
        <is>
          <t>Routing Changes</t>
        </is>
      </c>
      <c r="H4" s="13" t="inlineStr">
        <is>
          <t>VPN Session Logging</t>
        </is>
      </c>
      <c r="I4" s="13" t="inlineStr">
        <is>
          <t>DHCP/DNS Events</t>
        </is>
      </c>
      <c r="J4" s="13" t="inlineStr">
        <is>
          <t>Wireless Events</t>
        </is>
      </c>
      <c r="K4" s="13" t="inlineStr">
        <is>
          <t>NAT Translations</t>
        </is>
      </c>
      <c r="L4" s="13" t="inlineStr">
        <is>
          <t>Includes Source/Dest IP</t>
        </is>
      </c>
      <c r="M4" s="13" t="inlineStr">
        <is>
          <t>Includes Ports/Protocols</t>
        </is>
      </c>
      <c r="N4" s="13" t="inlineStr">
        <is>
          <t>Includes Action (allow/deny)</t>
        </is>
      </c>
      <c r="O4" s="13" t="inlineStr">
        <is>
          <t>Includes Bytes Transferred</t>
        </is>
      </c>
      <c r="P4" s="13" t="inlineStr">
        <is>
          <t>Compliance Score</t>
        </is>
      </c>
      <c r="Q4" s="13" t="inlineStr">
        <is>
          <t>Gap Description</t>
        </is>
      </c>
      <c r="R4" s="13" t="inlineStr">
        <is>
          <t>Remediation Plan</t>
        </is>
      </c>
    </row>
    <row r="5">
      <c r="A5" s="14" t="inlineStr">
        <is>
          <t>NET-001</t>
        </is>
      </c>
      <c r="B5" s="14" t="inlineStr">
        <is>
          <t>core-switch-01</t>
        </is>
      </c>
      <c r="C5" s="14" t="inlineStr">
        <is>
          <t>Yes</t>
        </is>
      </c>
      <c r="D5" s="14" t="inlineStr">
        <is>
          <t>Yes</t>
        </is>
      </c>
      <c r="E5" s="14" t="inlineStr">
        <is>
          <t>Yes</t>
        </is>
      </c>
      <c r="F5" s="14" t="inlineStr">
        <is>
          <t>Yes</t>
        </is>
      </c>
      <c r="G5" s="14" t="inlineStr">
        <is>
          <t>Yes</t>
        </is>
      </c>
      <c r="H5" s="14" t="inlineStr">
        <is>
          <t>N/A</t>
        </is>
      </c>
      <c r="I5" s="14" t="inlineStr">
        <is>
          <t>Yes</t>
        </is>
      </c>
      <c r="J5" s="14" t="inlineStr">
        <is>
          <t>N/A</t>
        </is>
      </c>
      <c r="K5" s="14" t="inlineStr">
        <is>
          <t>N/A</t>
        </is>
      </c>
      <c r="L5" s="14" t="inlineStr">
        <is>
          <t>Yes</t>
        </is>
      </c>
      <c r="M5" s="14" t="inlineStr">
        <is>
          <t>Yes</t>
        </is>
      </c>
      <c r="N5" s="14" t="inlineStr">
        <is>
          <t>Yes</t>
        </is>
      </c>
      <c r="O5" s="14" t="inlineStr">
        <is>
          <t>No</t>
        </is>
      </c>
      <c r="P5" s="14" t="inlineStr">
        <is>
          <t>100.0%</t>
        </is>
      </c>
      <c r="Q5" s="14" t="inlineStr">
        <is>
          <t>Bytes transferred not logged</t>
        </is>
      </c>
      <c r="R5" s="14" t="inlineStr">
        <is>
          <t>Enable traffic volume logging</t>
        </is>
      </c>
    </row>
    <row r="6">
      <c r="A6" s="16" t="n"/>
      <c r="B6" s="15">
        <f>IF(A6="","",IFERROR(VLOOKUP(A6,'System Inventory'!A:B,2,FALSE),"Not Found"))</f>
        <v/>
      </c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8">
        <f>IF(A6="","",(COUNTIF(C6:M6,"*Yes*")/COUNTIF(C6:M6,"&lt;&gt;N/A"))*100)</f>
        <v/>
      </c>
      <c r="Q6" s="16" t="n"/>
      <c r="R6" s="16" t="n"/>
    </row>
    <row r="7">
      <c r="A7" s="16" t="n"/>
      <c r="B7" s="15">
        <f>IF(A7="","",IFERROR(VLOOKUP(A7,'System Inventory'!A:B,2,FALSE),"Not Found"))</f>
        <v/>
      </c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8">
        <f>IF(A7="","",(COUNTIF(C7:M7,"*Yes*")/COUNTIF(C7:M7,"&lt;&gt;N/A"))*100)</f>
        <v/>
      </c>
      <c r="Q7" s="16" t="n"/>
      <c r="R7" s="16" t="n"/>
    </row>
    <row r="8">
      <c r="A8" s="16" t="n"/>
      <c r="B8" s="15">
        <f>IF(A8="","",IFERROR(VLOOKUP(A8,'System Inventory'!A:B,2,FALSE),"Not Found"))</f>
        <v/>
      </c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8">
        <f>IF(A8="","",(COUNTIF(C8:M8,"*Yes*")/COUNTIF(C8:M8,"&lt;&gt;N/A"))*100)</f>
        <v/>
      </c>
      <c r="Q8" s="16" t="n"/>
      <c r="R8" s="16" t="n"/>
    </row>
    <row r="9">
      <c r="A9" s="16" t="n"/>
      <c r="B9" s="15">
        <f>IF(A9="","",IFERROR(VLOOKUP(A9,'System Inventory'!A:B,2,FALSE),"Not Found"))</f>
        <v/>
      </c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8">
        <f>IF(A9="","",(COUNTIF(C9:M9,"*Yes*")/COUNTIF(C9:M9,"&lt;&gt;N/A"))*100)</f>
        <v/>
      </c>
      <c r="Q9" s="16" t="n"/>
      <c r="R9" s="16" t="n"/>
    </row>
    <row r="10">
      <c r="A10" s="16" t="n"/>
      <c r="B10" s="15">
        <f>IF(A10="","",IFERROR(VLOOKUP(A10,'System Inventory'!A:B,2,FALSE),"Not Found"))</f>
        <v/>
      </c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8">
        <f>IF(A10="","",(COUNTIF(C10:M10,"*Yes*")/COUNTIF(C10:M10,"&lt;&gt;N/A"))*100)</f>
        <v/>
      </c>
      <c r="Q10" s="16" t="n"/>
      <c r="R10" s="16" t="n"/>
    </row>
    <row r="11">
      <c r="A11" s="16" t="n"/>
      <c r="B11" s="15">
        <f>IF(A11="","",IFERROR(VLOOKUP(A11,'System Inventory'!A:B,2,FALSE),"Not Found"))</f>
        <v/>
      </c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8">
        <f>IF(A11="","",(COUNTIF(C11:M11,"*Yes*")/COUNTIF(C11:M11,"&lt;&gt;N/A"))*100)</f>
        <v/>
      </c>
      <c r="Q11" s="16" t="n"/>
      <c r="R11" s="16" t="n"/>
    </row>
    <row r="12">
      <c r="A12" s="16" t="n"/>
      <c r="B12" s="15">
        <f>IF(A12="","",IFERROR(VLOOKUP(A12,'System Inventory'!A:B,2,FALSE),"Not Found"))</f>
        <v/>
      </c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8">
        <f>IF(A12="","",(COUNTIF(C12:M12,"*Yes*")/COUNTIF(C12:M12,"&lt;&gt;N/A"))*100)</f>
        <v/>
      </c>
      <c r="Q12" s="16" t="n"/>
      <c r="R12" s="16" t="n"/>
    </row>
    <row r="13">
      <c r="A13" s="16" t="n"/>
      <c r="B13" s="15">
        <f>IF(A13="","",IFERROR(VLOOKUP(A13,'System Inventory'!A:B,2,FALSE),"Not Found"))</f>
        <v/>
      </c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8">
        <f>IF(A13="","",(COUNTIF(C13:M13,"*Yes*")/COUNTIF(C13:M13,"&lt;&gt;N/A"))*100)</f>
        <v/>
      </c>
      <c r="Q13" s="16" t="n"/>
      <c r="R13" s="16" t="n"/>
    </row>
    <row r="14">
      <c r="A14" s="16" t="n"/>
      <c r="B14" s="15">
        <f>IF(A14="","",IFERROR(VLOOKUP(A14,'System Inventory'!A:B,2,FALSE),"Not Found"))</f>
        <v/>
      </c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8">
        <f>IF(A14="","",(COUNTIF(C14:M14,"*Yes*")/COUNTIF(C14:M14,"&lt;&gt;N/A"))*100)</f>
        <v/>
      </c>
      <c r="Q14" s="16" t="n"/>
      <c r="R14" s="16" t="n"/>
    </row>
    <row r="15">
      <c r="A15" s="16" t="n"/>
      <c r="B15" s="15">
        <f>IF(A15="","",IFERROR(VLOOKUP(A15,'System Inventory'!A:B,2,FALSE),"Not Found"))</f>
        <v/>
      </c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8">
        <f>IF(A15="","",(COUNTIF(C15:M15,"*Yes*")/COUNTIF(C15:M15,"&lt;&gt;N/A"))*100)</f>
        <v/>
      </c>
      <c r="Q15" s="16" t="n"/>
      <c r="R15" s="16" t="n"/>
    </row>
    <row r="16">
      <c r="A16" s="16" t="n"/>
      <c r="B16" s="15">
        <f>IF(A16="","",IFERROR(VLOOKUP(A16,'System Inventory'!A:B,2,FALSE),"Not Found"))</f>
        <v/>
      </c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8">
        <f>IF(A16="","",(COUNTIF(C16:M16,"*Yes*")/COUNTIF(C16:M16,"&lt;&gt;N/A"))*100)</f>
        <v/>
      </c>
      <c r="Q16" s="16" t="n"/>
      <c r="R16" s="16" t="n"/>
    </row>
    <row r="17">
      <c r="A17" s="16" t="n"/>
      <c r="B17" s="15">
        <f>IF(A17="","",IFERROR(VLOOKUP(A17,'System Inventory'!A:B,2,FALSE),"Not Found"))</f>
        <v/>
      </c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8">
        <f>IF(A17="","",(COUNTIF(C17:M17,"*Yes*")/COUNTIF(C17:M17,"&lt;&gt;N/A"))*100)</f>
        <v/>
      </c>
      <c r="Q17" s="16" t="n"/>
      <c r="R17" s="16" t="n"/>
    </row>
    <row r="18">
      <c r="A18" s="16" t="n"/>
      <c r="B18" s="15">
        <f>IF(A18="","",IFERROR(VLOOKUP(A18,'System Inventory'!A:B,2,FALSE),"Not Found"))</f>
        <v/>
      </c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8">
        <f>IF(A18="","",(COUNTIF(C18:M18,"*Yes*")/COUNTIF(C18:M18,"&lt;&gt;N/A"))*100)</f>
        <v/>
      </c>
      <c r="Q18" s="16" t="n"/>
      <c r="R18" s="16" t="n"/>
    </row>
    <row r="19">
      <c r="A19" s="16" t="n"/>
      <c r="B19" s="15">
        <f>IF(A19="","",IFERROR(VLOOKUP(A19,'System Inventory'!A:B,2,FALSE),"Not Found"))</f>
        <v/>
      </c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8">
        <f>IF(A19="","",(COUNTIF(C19:M19,"*Yes*")/COUNTIF(C19:M19,"&lt;&gt;N/A"))*100)</f>
        <v/>
      </c>
      <c r="Q19" s="16" t="n"/>
      <c r="R19" s="16" t="n"/>
    </row>
    <row r="20">
      <c r="A20" s="16" t="n"/>
      <c r="B20" s="15">
        <f>IF(A20="","",IFERROR(VLOOKUP(A20,'System Inventory'!A:B,2,FALSE),"Not Found"))</f>
        <v/>
      </c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8">
        <f>IF(A20="","",(COUNTIF(C20:M20,"*Yes*")/COUNTIF(C20:M20,"&lt;&gt;N/A"))*100)</f>
        <v/>
      </c>
      <c r="Q20" s="16" t="n"/>
      <c r="R20" s="16" t="n"/>
    </row>
    <row r="21">
      <c r="A21" s="16" t="n"/>
      <c r="B21" s="15">
        <f>IF(A21="","",IFERROR(VLOOKUP(A21,'System Inventory'!A:B,2,FALSE),"Not Found"))</f>
        <v/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8">
        <f>IF(A21="","",(COUNTIF(C21:M21,"*Yes*")/COUNTIF(C21:M21,"&lt;&gt;N/A"))*100)</f>
        <v/>
      </c>
      <c r="Q21" s="16" t="n"/>
      <c r="R21" s="16" t="n"/>
    </row>
    <row r="22">
      <c r="A22" s="16" t="n"/>
      <c r="B22" s="15">
        <f>IF(A22="","",IFERROR(VLOOKUP(A22,'System Inventory'!A:B,2,FALSE),"Not Found"))</f>
        <v/>
      </c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8">
        <f>IF(A22="","",(COUNTIF(C22:M22,"*Yes*")/COUNTIF(C22:M22,"&lt;&gt;N/A"))*100)</f>
        <v/>
      </c>
      <c r="Q22" s="16" t="n"/>
      <c r="R22" s="16" t="n"/>
    </row>
    <row r="23">
      <c r="A23" s="16" t="n"/>
      <c r="B23" s="15">
        <f>IF(A23="","",IFERROR(VLOOKUP(A23,'System Inventory'!A:B,2,FALSE),"Not Found"))</f>
        <v/>
      </c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8">
        <f>IF(A23="","",(COUNTIF(C23:M23,"*Yes*")/COUNTIF(C23:M23,"&lt;&gt;N/A"))*100)</f>
        <v/>
      </c>
      <c r="Q23" s="16" t="n"/>
      <c r="R23" s="16" t="n"/>
    </row>
    <row r="24">
      <c r="A24" s="16" t="n"/>
      <c r="B24" s="15">
        <f>IF(A24="","",IFERROR(VLOOKUP(A24,'System Inventory'!A:B,2,FALSE),"Not Found"))</f>
        <v/>
      </c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8">
        <f>IF(A24="","",(COUNTIF(C24:M24,"*Yes*")/COUNTIF(C24:M24,"&lt;&gt;N/A"))*100)</f>
        <v/>
      </c>
      <c r="Q24" s="16" t="n"/>
      <c r="R24" s="16" t="n"/>
    </row>
    <row r="25">
      <c r="A25" s="16" t="n"/>
      <c r="B25" s="15">
        <f>IF(A25="","",IFERROR(VLOOKUP(A25,'System Inventory'!A:B,2,FALSE),"Not Found"))</f>
        <v/>
      </c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8">
        <f>IF(A25="","",(COUNTIF(C25:M25,"*Yes*")/COUNTIF(C25:M25,"&lt;&gt;N/A"))*100)</f>
        <v/>
      </c>
      <c r="Q25" s="16" t="n"/>
      <c r="R25" s="16" t="n"/>
    </row>
    <row r="26">
      <c r="A26" s="16" t="n"/>
      <c r="B26" s="15">
        <f>IF(A26="","",IFERROR(VLOOKUP(A26,'System Inventory'!A:B,2,FALSE),"Not Found"))</f>
        <v/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8">
        <f>IF(A26="","",(COUNTIF(C26:M26,"*Yes*")/COUNTIF(C26:M26,"&lt;&gt;N/A"))*100)</f>
        <v/>
      </c>
      <c r="Q26" s="16" t="n"/>
      <c r="R26" s="16" t="n"/>
    </row>
    <row r="27">
      <c r="A27" s="16" t="n"/>
      <c r="B27" s="15">
        <f>IF(A27="","",IFERROR(VLOOKUP(A27,'System Inventory'!A:B,2,FALSE),"Not Found"))</f>
        <v/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8">
        <f>IF(A27="","",(COUNTIF(C27:M27,"*Yes*")/COUNTIF(C27:M27,"&lt;&gt;N/A"))*100)</f>
        <v/>
      </c>
      <c r="Q27" s="16" t="n"/>
      <c r="R27" s="16" t="n"/>
    </row>
    <row r="28">
      <c r="A28" s="16" t="n"/>
      <c r="B28" s="15">
        <f>IF(A28="","",IFERROR(VLOOKUP(A28,'System Inventory'!A:B,2,FALSE),"Not Found"))</f>
        <v/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8">
        <f>IF(A28="","",(COUNTIF(C28:M28,"*Yes*")/COUNTIF(C28:M28,"&lt;&gt;N/A"))*100)</f>
        <v/>
      </c>
      <c r="Q28" s="16" t="n"/>
      <c r="R28" s="16" t="n"/>
    </row>
    <row r="29">
      <c r="A29" s="16" t="n"/>
      <c r="B29" s="15">
        <f>IF(A29="","",IFERROR(VLOOKUP(A29,'System Inventory'!A:B,2,FALSE),"Not Found"))</f>
        <v/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8">
        <f>IF(A29="","",(COUNTIF(C29:M29,"*Yes*")/COUNTIF(C29:M29,"&lt;&gt;N/A"))*100)</f>
        <v/>
      </c>
      <c r="Q29" s="16" t="n"/>
      <c r="R29" s="16" t="n"/>
    </row>
    <row r="30">
      <c r="A30" s="16" t="n"/>
      <c r="B30" s="15">
        <f>IF(A30="","",IFERROR(VLOOKUP(A30,'System Inventory'!A:B,2,FALSE),"Not Found"))</f>
        <v/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8">
        <f>IF(A30="","",(COUNTIF(C30:M30,"*Yes*")/COUNTIF(C30:M30,"&lt;&gt;N/A"))*100)</f>
        <v/>
      </c>
      <c r="Q30" s="16" t="n"/>
      <c r="R30" s="16" t="n"/>
    </row>
    <row r="31">
      <c r="A31" s="16" t="n"/>
      <c r="B31" s="15">
        <f>IF(A31="","",IFERROR(VLOOKUP(A31,'System Inventory'!A:B,2,FALSE),"Not Found"))</f>
        <v/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8">
        <f>IF(A31="","",(COUNTIF(C31:M31,"*Yes*")/COUNTIF(C31:M31,"&lt;&gt;N/A"))*100)</f>
        <v/>
      </c>
      <c r="Q31" s="16" t="n"/>
      <c r="R31" s="16" t="n"/>
    </row>
    <row r="32">
      <c r="A32" s="16" t="n"/>
      <c r="B32" s="15">
        <f>IF(A32="","",IFERROR(VLOOKUP(A32,'System Inventory'!A:B,2,FALSE),"Not Found"))</f>
        <v/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8">
        <f>IF(A32="","",(COUNTIF(C32:M32,"*Yes*")/COUNTIF(C32:M32,"&lt;&gt;N/A"))*100)</f>
        <v/>
      </c>
      <c r="Q32" s="16" t="n"/>
      <c r="R32" s="16" t="n"/>
    </row>
    <row r="33">
      <c r="A33" s="16" t="n"/>
      <c r="B33" s="15">
        <f>IF(A33="","",IFERROR(VLOOKUP(A33,'System Inventory'!A:B,2,FALSE),"Not Found"))</f>
        <v/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8">
        <f>IF(A33="","",(COUNTIF(C33:M33,"*Yes*")/COUNTIF(C33:M33,"&lt;&gt;N/A"))*100)</f>
        <v/>
      </c>
      <c r="Q33" s="16" t="n"/>
      <c r="R33" s="16" t="n"/>
    </row>
    <row r="34">
      <c r="A34" s="16" t="n"/>
      <c r="B34" s="15">
        <f>IF(A34="","",IFERROR(VLOOKUP(A34,'System Inventory'!A:B,2,FALSE),"Not Found"))</f>
        <v/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8">
        <f>IF(A34="","",(COUNTIF(C34:M34,"*Yes*")/COUNTIF(C34:M34,"&lt;&gt;N/A"))*100)</f>
        <v/>
      </c>
      <c r="Q34" s="16" t="n"/>
      <c r="R34" s="16" t="n"/>
    </row>
    <row r="35">
      <c r="A35" s="16" t="n"/>
      <c r="B35" s="15">
        <f>IF(A35="","",IFERROR(VLOOKUP(A35,'System Inventory'!A:B,2,FALSE),"Not Found"))</f>
        <v/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8">
        <f>IF(A35="","",(COUNTIF(C35:M35,"*Yes*")/COUNTIF(C35:M35,"&lt;&gt;N/A"))*100)</f>
        <v/>
      </c>
      <c r="Q35" s="16" t="n"/>
      <c r="R35" s="16" t="n"/>
    </row>
    <row r="36">
      <c r="A36" s="16" t="n"/>
      <c r="B36" s="15">
        <f>IF(A36="","",IFERROR(VLOOKUP(A36,'System Inventory'!A:B,2,FALSE),"Not Found"))</f>
        <v/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8">
        <f>IF(A36="","",(COUNTIF(C36:M36,"*Yes*")/COUNTIF(C36:M36,"&lt;&gt;N/A"))*100)</f>
        <v/>
      </c>
      <c r="Q36" s="16" t="n"/>
      <c r="R36" s="16" t="n"/>
    </row>
    <row r="37">
      <c r="A37" s="16" t="n"/>
      <c r="B37" s="15">
        <f>IF(A37="","",IFERROR(VLOOKUP(A37,'System Inventory'!A:B,2,FALSE),"Not Found"))</f>
        <v/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8">
        <f>IF(A37="","",(COUNTIF(C37:M37,"*Yes*")/COUNTIF(C37:M37,"&lt;&gt;N/A"))*100)</f>
        <v/>
      </c>
      <c r="Q37" s="16" t="n"/>
      <c r="R37" s="16" t="n"/>
    </row>
    <row r="38">
      <c r="A38" s="16" t="n"/>
      <c r="B38" s="15">
        <f>IF(A38="","",IFERROR(VLOOKUP(A38,'System Inventory'!A:B,2,FALSE),"Not Found"))</f>
        <v/>
      </c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8">
        <f>IF(A38="","",(COUNTIF(C38:M38,"*Yes*")/COUNTIF(C38:M38,"&lt;&gt;N/A"))*100)</f>
        <v/>
      </c>
      <c r="Q38" s="16" t="n"/>
      <c r="R38" s="16" t="n"/>
    </row>
    <row r="39">
      <c r="A39" s="16" t="n"/>
      <c r="B39" s="15">
        <f>IF(A39="","",IFERROR(VLOOKUP(A39,'System Inventory'!A:B,2,FALSE),"Not Found"))</f>
        <v/>
      </c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8">
        <f>IF(A39="","",(COUNTIF(C39:M39,"*Yes*")/COUNTIF(C39:M39,"&lt;&gt;N/A"))*100)</f>
        <v/>
      </c>
      <c r="Q39" s="16" t="n"/>
      <c r="R39" s="16" t="n"/>
    </row>
    <row r="40">
      <c r="A40" s="16" t="n"/>
      <c r="B40" s="15">
        <f>IF(A40="","",IFERROR(VLOOKUP(A40,'System Inventory'!A:B,2,FALSE),"Not Found"))</f>
        <v/>
      </c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8">
        <f>IF(A40="","",(COUNTIF(C40:M40,"*Yes*")/COUNTIF(C40:M40,"&lt;&gt;N/A"))*100)</f>
        <v/>
      </c>
      <c r="Q40" s="16" t="n"/>
      <c r="R40" s="16" t="n"/>
    </row>
    <row r="41">
      <c r="A41" s="16" t="n"/>
      <c r="B41" s="15">
        <f>IF(A41="","",IFERROR(VLOOKUP(A41,'System Inventory'!A:B,2,FALSE),"Not Found"))</f>
        <v/>
      </c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8">
        <f>IF(A41="","",(COUNTIF(C41:M41,"*Yes*")/COUNTIF(C41:M41,"&lt;&gt;N/A"))*100)</f>
        <v/>
      </c>
      <c r="Q41" s="16" t="n"/>
      <c r="R41" s="16" t="n"/>
    </row>
    <row r="42">
      <c r="A42" s="16" t="n"/>
      <c r="B42" s="15">
        <f>IF(A42="","",IFERROR(VLOOKUP(A42,'System Inventory'!A:B,2,FALSE),"Not Found"))</f>
        <v/>
      </c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8">
        <f>IF(A42="","",(COUNTIF(C42:M42,"*Yes*")/COUNTIF(C42:M42,"&lt;&gt;N/A"))*100)</f>
        <v/>
      </c>
      <c r="Q42" s="16" t="n"/>
      <c r="R42" s="16" t="n"/>
    </row>
    <row r="43">
      <c r="A43" s="16" t="n"/>
      <c r="B43" s="15">
        <f>IF(A43="","",IFERROR(VLOOKUP(A43,'System Inventory'!A:B,2,FALSE),"Not Found"))</f>
        <v/>
      </c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8">
        <f>IF(A43="","",(COUNTIF(C43:M43,"*Yes*")/COUNTIF(C43:M43,"&lt;&gt;N/A"))*100)</f>
        <v/>
      </c>
      <c r="Q43" s="16" t="n"/>
      <c r="R43" s="16" t="n"/>
    </row>
    <row r="44">
      <c r="A44" s="16" t="n"/>
      <c r="B44" s="15">
        <f>IF(A44="","",IFERROR(VLOOKUP(A44,'System Inventory'!A:B,2,FALSE),"Not Found"))</f>
        <v/>
      </c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8">
        <f>IF(A44="","",(COUNTIF(C44:M44,"*Yes*")/COUNTIF(C44:M44,"&lt;&gt;N/A"))*100)</f>
        <v/>
      </c>
      <c r="Q44" s="16" t="n"/>
      <c r="R44" s="16" t="n"/>
    </row>
    <row r="45">
      <c r="A45" s="16" t="n"/>
      <c r="B45" s="15">
        <f>IF(A45="","",IFERROR(VLOOKUP(A45,'System Inventory'!A:B,2,FALSE),"Not Found"))</f>
        <v/>
      </c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8">
        <f>IF(A45="","",(COUNTIF(C45:M45,"*Yes*")/COUNTIF(C45:M45,"&lt;&gt;N/A"))*100)</f>
        <v/>
      </c>
      <c r="Q45" s="16" t="n"/>
      <c r="R45" s="16" t="n"/>
    </row>
    <row r="46">
      <c r="A46" s="16" t="n"/>
      <c r="B46" s="15">
        <f>IF(A46="","",IFERROR(VLOOKUP(A46,'System Inventory'!A:B,2,FALSE),"Not Found"))</f>
        <v/>
      </c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8">
        <f>IF(A46="","",(COUNTIF(C46:M46,"*Yes*")/COUNTIF(C46:M46,"&lt;&gt;N/A"))*100)</f>
        <v/>
      </c>
      <c r="Q46" s="16" t="n"/>
      <c r="R46" s="16" t="n"/>
    </row>
    <row r="47">
      <c r="A47" s="16" t="n"/>
      <c r="B47" s="15">
        <f>IF(A47="","",IFERROR(VLOOKUP(A47,'System Inventory'!A:B,2,FALSE),"Not Found"))</f>
        <v/>
      </c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8">
        <f>IF(A47="","",(COUNTIF(C47:M47,"*Yes*")/COUNTIF(C47:M47,"&lt;&gt;N/A"))*100)</f>
        <v/>
      </c>
      <c r="Q47" s="16" t="n"/>
      <c r="R47" s="16" t="n"/>
    </row>
    <row r="48">
      <c r="A48" s="16" t="n"/>
      <c r="B48" s="15">
        <f>IF(A48="","",IFERROR(VLOOKUP(A48,'System Inventory'!A:B,2,FALSE),"Not Found"))</f>
        <v/>
      </c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8">
        <f>IF(A48="","",(COUNTIF(C48:M48,"*Yes*")/COUNTIF(C48:M48,"&lt;&gt;N/A"))*100)</f>
        <v/>
      </c>
      <c r="Q48" s="16" t="n"/>
      <c r="R48" s="16" t="n"/>
    </row>
    <row r="49">
      <c r="A49" s="16" t="n"/>
      <c r="B49" s="15">
        <f>IF(A49="","",IFERROR(VLOOKUP(A49,'System Inventory'!A:B,2,FALSE),"Not Found"))</f>
        <v/>
      </c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8">
        <f>IF(A49="","",(COUNTIF(C49:M49,"*Yes*")/COUNTIF(C49:M49,"&lt;&gt;N/A"))*100)</f>
        <v/>
      </c>
      <c r="Q49" s="16" t="n"/>
      <c r="R49" s="16" t="n"/>
    </row>
    <row r="50">
      <c r="A50" s="16" t="n"/>
      <c r="B50" s="15">
        <f>IF(A50="","",IFERROR(VLOOKUP(A50,'System Inventory'!A:B,2,FALSE),"Not Found"))</f>
        <v/>
      </c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8">
        <f>IF(A50="","",(COUNTIF(C50:M50,"*Yes*")/COUNTIF(C50:M50,"&lt;&gt;N/A"))*100)</f>
        <v/>
      </c>
      <c r="Q50" s="16" t="n"/>
      <c r="R50" s="16" t="n"/>
    </row>
    <row r="51">
      <c r="A51" s="16" t="n"/>
      <c r="B51" s="15">
        <f>IF(A51="","",IFERROR(VLOOKUP(A51,'System Inventory'!A:B,2,FALSE),"Not Found"))</f>
        <v/>
      </c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8">
        <f>IF(A51="","",(COUNTIF(C51:M51,"*Yes*")/COUNTIF(C51:M51,"&lt;&gt;N/A"))*100)</f>
        <v/>
      </c>
      <c r="Q51" s="16" t="n"/>
      <c r="R51" s="16" t="n"/>
    </row>
    <row r="52">
      <c r="A52" s="16" t="n"/>
      <c r="B52" s="15">
        <f>IF(A52="","",IFERROR(VLOOKUP(A52,'System Inventory'!A:B,2,FALSE),"Not Found"))</f>
        <v/>
      </c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8">
        <f>IF(A52="","",(COUNTIF(C52:M52,"*Yes*")/COUNTIF(C52:M52,"&lt;&gt;N/A"))*100)</f>
        <v/>
      </c>
      <c r="Q52" s="16" t="n"/>
      <c r="R52" s="16" t="n"/>
    </row>
    <row r="53">
      <c r="A53" s="16" t="n"/>
      <c r="B53" s="15">
        <f>IF(A53="","",IFERROR(VLOOKUP(A53,'System Inventory'!A:B,2,FALSE),"Not Found"))</f>
        <v/>
      </c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8">
        <f>IF(A53="","",(COUNTIF(C53:M53,"*Yes*")/COUNTIF(C53:M53,"&lt;&gt;N/A"))*100)</f>
        <v/>
      </c>
      <c r="Q53" s="16" t="n"/>
      <c r="R53" s="16" t="n"/>
    </row>
    <row r="54">
      <c r="A54" s="16" t="n"/>
      <c r="B54" s="15">
        <f>IF(A54="","",IFERROR(VLOOKUP(A54,'System Inventory'!A:B,2,FALSE),"Not Found"))</f>
        <v/>
      </c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8">
        <f>IF(A54="","",(COUNTIF(C54:M54,"*Yes*")/COUNTIF(C54:M54,"&lt;&gt;N/A"))*100)</f>
        <v/>
      </c>
      <c r="Q54" s="16" t="n"/>
      <c r="R54" s="16" t="n"/>
    </row>
    <row r="55">
      <c r="A55" s="16" t="n"/>
      <c r="B55" s="15">
        <f>IF(A55="","",IFERROR(VLOOKUP(A55,'System Inventory'!A:B,2,FALSE),"Not Found"))</f>
        <v/>
      </c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8">
        <f>IF(A55="","",(COUNTIF(C55:M55,"*Yes*")/COUNTIF(C55:M55,"&lt;&gt;N/A"))*100)</f>
        <v/>
      </c>
      <c r="Q55" s="16" t="n"/>
      <c r="R55" s="16" t="n"/>
    </row>
  </sheetData>
  <mergeCells count="2">
    <mergeCell ref="A2:R2"/>
    <mergeCell ref="A1:R1"/>
  </mergeCells>
  <conditionalFormatting sqref="P6:P55">
    <cfRule type="cellIs" priority="1" operator="greaterThanOrEqual" dxfId="0" stopIfTrue="1">
      <formula>95</formula>
    </cfRule>
    <cfRule type="cellIs" priority="2" operator="between" dxfId="1" stopIfTrue="1">
      <formula>80</formula>
      <formula>94</formula>
    </cfRule>
    <cfRule type="cellIs" priority="3" operator="lessThan" dxfId="2" stopIfTrue="1">
      <formula>80</formula>
    </cfRule>
  </conditionalFormatting>
  <dataValidations count="13">
    <dataValidation sqref="C6:C55" showDropDown="0" showInputMessage="0" showErrorMessage="0" allowBlank="1" type="list">
      <formula1>"✅ Yes,❌ No,⚠️ Partial,➖ N/A"</formula1>
    </dataValidation>
    <dataValidation sqref="D6:D55" showDropDown="0" showInputMessage="0" showErrorMessage="0" allowBlank="1" type="list">
      <formula1>"✅ Yes,❌ No,⚠️ Partial,➖ N/A"</formula1>
    </dataValidation>
    <dataValidation sqref="E6:E55" showDropDown="0" showInputMessage="0" showErrorMessage="0" allowBlank="1" type="list">
      <formula1>"✅ Yes,❌ No,⚠️ Partial,➖ N/A"</formula1>
    </dataValidation>
    <dataValidation sqref="F6:F55" showDropDown="0" showInputMessage="0" showErrorMessage="0" allowBlank="1" type="list">
      <formula1>"✅ Yes,❌ No,⚠️ Partial,➖ N/A"</formula1>
    </dataValidation>
    <dataValidation sqref="G6:G55" showDropDown="0" showInputMessage="0" showErrorMessage="0" allowBlank="1" type="list">
      <formula1>"✅ Yes,❌ No,⚠️ Partial,➖ N/A"</formula1>
    </dataValidation>
    <dataValidation sqref="H6:H55" showDropDown="0" showInputMessage="0" showErrorMessage="0" allowBlank="1" type="list">
      <formula1>"✅ Yes,❌ No,⚠️ Partial,➖ N/A"</formula1>
    </dataValidation>
    <dataValidation sqref="I6:I55" showDropDown="0" showInputMessage="0" showErrorMessage="0" allowBlank="1" type="list">
      <formula1>"✅ Yes,❌ No,⚠️ Partial,➖ N/A"</formula1>
    </dataValidation>
    <dataValidation sqref="J6:J55" showDropDown="0" showInputMessage="0" showErrorMessage="0" allowBlank="1" type="list">
      <formula1>"✅ Yes,❌ No,⚠️ Partial,➖ N/A"</formula1>
    </dataValidation>
    <dataValidation sqref="K6:K55" showDropDown="0" showInputMessage="0" showErrorMessage="0" allowBlank="1" type="list">
      <formula1>"✅ Yes,❌ No,⚠️ Partial,➖ N/A"</formula1>
    </dataValidation>
    <dataValidation sqref="L6:L55" showDropDown="0" showInputMessage="0" showErrorMessage="0" allowBlank="1" type="list">
      <formula1>"✅ Yes,❌ No,⚠️ Partial,➖ N/A"</formula1>
    </dataValidation>
    <dataValidation sqref="M6:M55" showDropDown="0" showInputMessage="0" showErrorMessage="0" allowBlank="1" type="list">
      <formula1>"✅ Yes,❌ No,⚠️ Partial,➖ N/A"</formula1>
    </dataValidation>
    <dataValidation sqref="N6:N55" showDropDown="0" showInputMessage="0" showErrorMessage="0" allowBlank="1" type="list">
      <formula1>"✅ Yes,❌ No,⚠️ Partial,➖ N/A"</formula1>
    </dataValidation>
    <dataValidation sqref="O6:O55" showDropDown="0" showInputMessage="0" showErrorMessage="0" allowBlank="1" type="list">
      <formula1>"✅ Yes,❌ No,⚠️ Partial,➖ N/A"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6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30" customWidth="1" min="3" max="3"/>
    <col width="25" customWidth="1" min="4" max="4"/>
    <col width="50" customWidth="1" min="5" max="5"/>
    <col width="30" customWidth="1" min="6" max="6"/>
    <col width="20" customWidth="1" min="7" max="7"/>
    <col width="50" customWidth="1" min="8" max="8"/>
    <col width="25" customWidth="1" min="9" max="9"/>
    <col width="15" customWidth="1" min="10" max="10"/>
    <col width="15" customWidth="1" min="11" max="11"/>
    <col width="40" customWidth="1" min="12" max="12"/>
  </cols>
  <sheetData>
    <row r="1" ht="35" customHeight="1">
      <c r="A1" s="11" t="inlineStr">
        <is>
          <t>GAP ANALYSIS - CONSOLIDATED FINDINGS</t>
        </is>
      </c>
    </row>
    <row r="2">
      <c r="A2" s="12" t="inlineStr">
        <is>
          <t>Document all identified gaps from assessment sheets. Prioritise by risk and establish remediation plans with clear ownership and target dates.</t>
        </is>
      </c>
    </row>
    <row r="4">
      <c r="A4" s="13" t="inlineStr">
        <is>
          <t>Gap ID</t>
        </is>
      </c>
      <c r="B4" s="13" t="inlineStr">
        <is>
          <t>System ID</t>
        </is>
      </c>
      <c r="C4" s="13" t="inlineStr">
        <is>
          <t>System Name</t>
        </is>
      </c>
      <c r="D4" s="13" t="inlineStr">
        <is>
          <t>Gap Category</t>
        </is>
      </c>
      <c r="E4" s="13" t="inlineStr">
        <is>
          <t>Gap Description</t>
        </is>
      </c>
      <c r="F4" s="13" t="inlineStr">
        <is>
          <t>Policy Requirement</t>
        </is>
      </c>
      <c r="G4" s="13" t="inlineStr">
        <is>
          <t>Impact / Risk</t>
        </is>
      </c>
      <c r="H4" s="13" t="inlineStr">
        <is>
          <t>Remediation Action</t>
        </is>
      </c>
      <c r="I4" s="13" t="inlineStr">
        <is>
          <t>Responsible Party</t>
        </is>
      </c>
      <c r="J4" s="13" t="inlineStr">
        <is>
          <t>Target Date</t>
        </is>
      </c>
      <c r="K4" s="13" t="inlineStr">
        <is>
          <t>Status</t>
        </is>
      </c>
      <c r="L4" s="13" t="inlineStr">
        <is>
          <t>Notes</t>
        </is>
      </c>
    </row>
    <row r="5">
      <c r="A5" s="14" t="inlineStr">
        <is>
          <t>GAP-001</t>
        </is>
      </c>
      <c r="B5" s="14" t="inlineStr">
        <is>
          <t>SYS-042</t>
        </is>
      </c>
      <c r="C5" s="14" t="inlineStr">
        <is>
          <t>mail-server-01</t>
        </is>
      </c>
      <c r="D5" s="14" t="inlineStr">
        <is>
          <t>Event Type Not Logged</t>
        </is>
      </c>
      <c r="E5" s="14" t="inlineStr">
        <is>
          <t>Failed authentication attempts not logged</t>
        </is>
      </c>
      <c r="F5" s="14" t="inlineStr">
        <is>
          <t>ISMS-POL-A.8.15-S2.1.2</t>
        </is>
      </c>
      <c r="G5" s="14" t="inlineStr">
        <is>
          <t>High</t>
        </is>
      </c>
      <c r="H5" s="14" t="inlineStr">
        <is>
          <t>Configure mail server to log authentication failures</t>
        </is>
      </c>
      <c r="I5" s="14" t="inlineStr">
        <is>
          <t>System Admin Team</t>
        </is>
      </c>
      <c r="J5" s="14" t="inlineStr">
        <is>
          <t>31.03.2026</t>
        </is>
      </c>
      <c r="K5" s="14" t="inlineStr">
        <is>
          <t>Open</t>
        </is>
      </c>
      <c r="L5" s="14" t="inlineStr">
        <is>
          <t>Vendor support required for config change</t>
        </is>
      </c>
    </row>
    <row r="6">
      <c r="A6" s="19">
        <f>IF(B6&lt;&gt;"","GAP-"&amp;TEXT(ROW()-5,"000"),"")</f>
        <v/>
      </c>
      <c r="B6" s="16" t="n"/>
      <c r="C6" s="19">
        <f>IF(B6="","",IFERROR(VLOOKUP(B6,'System Inventory'!A:B,2,FALSE),"Not Found"))</f>
        <v/>
      </c>
      <c r="D6" s="16" t="n"/>
      <c r="E6" s="16" t="n"/>
      <c r="F6" s="16" t="n"/>
      <c r="G6" s="16" t="n"/>
      <c r="H6" s="16" t="n"/>
      <c r="I6" s="16" t="n"/>
      <c r="J6" s="20" t="n"/>
      <c r="K6" s="16" t="n"/>
      <c r="L6" s="16" t="n"/>
    </row>
    <row r="7">
      <c r="A7" s="19">
        <f>IF(B7&lt;&gt;"","GAP-"&amp;TEXT(ROW()-5,"000"),"")</f>
        <v/>
      </c>
      <c r="B7" s="16" t="n"/>
      <c r="C7" s="19">
        <f>IF(B7="","",IFERROR(VLOOKUP(B7,'System Inventory'!A:B,2,FALSE),"Not Found"))</f>
        <v/>
      </c>
      <c r="D7" s="16" t="n"/>
      <c r="E7" s="16" t="n"/>
      <c r="F7" s="16" t="n"/>
      <c r="G7" s="16" t="n"/>
      <c r="H7" s="16" t="n"/>
      <c r="I7" s="16" t="n"/>
      <c r="J7" s="20" t="n"/>
      <c r="K7" s="16" t="n"/>
      <c r="L7" s="16" t="n"/>
    </row>
    <row r="8">
      <c r="A8" s="19">
        <f>IF(B8&lt;&gt;"","GAP-"&amp;TEXT(ROW()-5,"000"),"")</f>
        <v/>
      </c>
      <c r="B8" s="16" t="n"/>
      <c r="C8" s="19">
        <f>IF(B8="","",IFERROR(VLOOKUP(B8,'System Inventory'!A:B,2,FALSE),"Not Found"))</f>
        <v/>
      </c>
      <c r="D8" s="16" t="n"/>
      <c r="E8" s="16" t="n"/>
      <c r="F8" s="16" t="n"/>
      <c r="G8" s="16" t="n"/>
      <c r="H8" s="16" t="n"/>
      <c r="I8" s="16" t="n"/>
      <c r="J8" s="20" t="n"/>
      <c r="K8" s="16" t="n"/>
      <c r="L8" s="16" t="n"/>
    </row>
    <row r="9">
      <c r="A9" s="19">
        <f>IF(B9&lt;&gt;"","GAP-"&amp;TEXT(ROW()-5,"000"),"")</f>
        <v/>
      </c>
      <c r="B9" s="16" t="n"/>
      <c r="C9" s="19">
        <f>IF(B9="","",IFERROR(VLOOKUP(B9,'System Inventory'!A:B,2,FALSE),"Not Found"))</f>
        <v/>
      </c>
      <c r="D9" s="16" t="n"/>
      <c r="E9" s="16" t="n"/>
      <c r="F9" s="16" t="n"/>
      <c r="G9" s="16" t="n"/>
      <c r="H9" s="16" t="n"/>
      <c r="I9" s="16" t="n"/>
      <c r="J9" s="20" t="n"/>
      <c r="K9" s="16" t="n"/>
      <c r="L9" s="16" t="n"/>
    </row>
    <row r="10">
      <c r="A10" s="19">
        <f>IF(B10&lt;&gt;"","GAP-"&amp;TEXT(ROW()-5,"000"),"")</f>
        <v/>
      </c>
      <c r="B10" s="16" t="n"/>
      <c r="C10" s="19">
        <f>IF(B10="","",IFERROR(VLOOKUP(B10,'System Inventory'!A:B,2,FALSE),"Not Found"))</f>
        <v/>
      </c>
      <c r="D10" s="16" t="n"/>
      <c r="E10" s="16" t="n"/>
      <c r="F10" s="16" t="n"/>
      <c r="G10" s="16" t="n"/>
      <c r="H10" s="16" t="n"/>
      <c r="I10" s="16" t="n"/>
      <c r="J10" s="20" t="n"/>
      <c r="K10" s="16" t="n"/>
      <c r="L10" s="16" t="n"/>
    </row>
    <row r="11">
      <c r="A11" s="19">
        <f>IF(B11&lt;&gt;"","GAP-"&amp;TEXT(ROW()-5,"000"),"")</f>
        <v/>
      </c>
      <c r="B11" s="16" t="n"/>
      <c r="C11" s="19">
        <f>IF(B11="","",IFERROR(VLOOKUP(B11,'System Inventory'!A:B,2,FALSE),"Not Found"))</f>
        <v/>
      </c>
      <c r="D11" s="16" t="n"/>
      <c r="E11" s="16" t="n"/>
      <c r="F11" s="16" t="n"/>
      <c r="G11" s="16" t="n"/>
      <c r="H11" s="16" t="n"/>
      <c r="I11" s="16" t="n"/>
      <c r="J11" s="20" t="n"/>
      <c r="K11" s="16" t="n"/>
      <c r="L11" s="16" t="n"/>
    </row>
    <row r="12">
      <c r="A12" s="19">
        <f>IF(B12&lt;&gt;"","GAP-"&amp;TEXT(ROW()-5,"000"),"")</f>
        <v/>
      </c>
      <c r="B12" s="16" t="n"/>
      <c r="C12" s="19">
        <f>IF(B12="","",IFERROR(VLOOKUP(B12,'System Inventory'!A:B,2,FALSE),"Not Found"))</f>
        <v/>
      </c>
      <c r="D12" s="16" t="n"/>
      <c r="E12" s="16" t="n"/>
      <c r="F12" s="16" t="n"/>
      <c r="G12" s="16" t="n"/>
      <c r="H12" s="16" t="n"/>
      <c r="I12" s="16" t="n"/>
      <c r="J12" s="20" t="n"/>
      <c r="K12" s="16" t="n"/>
      <c r="L12" s="16" t="n"/>
    </row>
    <row r="13">
      <c r="A13" s="19">
        <f>IF(B13&lt;&gt;"","GAP-"&amp;TEXT(ROW()-5,"000"),"")</f>
        <v/>
      </c>
      <c r="B13" s="16" t="n"/>
      <c r="C13" s="19">
        <f>IF(B13="","",IFERROR(VLOOKUP(B13,'System Inventory'!A:B,2,FALSE),"Not Found"))</f>
        <v/>
      </c>
      <c r="D13" s="16" t="n"/>
      <c r="E13" s="16" t="n"/>
      <c r="F13" s="16" t="n"/>
      <c r="G13" s="16" t="n"/>
      <c r="H13" s="16" t="n"/>
      <c r="I13" s="16" t="n"/>
      <c r="J13" s="20" t="n"/>
      <c r="K13" s="16" t="n"/>
      <c r="L13" s="16" t="n"/>
    </row>
    <row r="14">
      <c r="A14" s="19">
        <f>IF(B14&lt;&gt;"","GAP-"&amp;TEXT(ROW()-5,"000"),"")</f>
        <v/>
      </c>
      <c r="B14" s="16" t="n"/>
      <c r="C14" s="19">
        <f>IF(B14="","",IFERROR(VLOOKUP(B14,'System Inventory'!A:B,2,FALSE),"Not Found"))</f>
        <v/>
      </c>
      <c r="D14" s="16" t="n"/>
      <c r="E14" s="16" t="n"/>
      <c r="F14" s="16" t="n"/>
      <c r="G14" s="16" t="n"/>
      <c r="H14" s="16" t="n"/>
      <c r="I14" s="16" t="n"/>
      <c r="J14" s="20" t="n"/>
      <c r="K14" s="16" t="n"/>
      <c r="L14" s="16" t="n"/>
    </row>
    <row r="15">
      <c r="A15" s="19">
        <f>IF(B15&lt;&gt;"","GAP-"&amp;TEXT(ROW()-5,"000"),"")</f>
        <v/>
      </c>
      <c r="B15" s="16" t="n"/>
      <c r="C15" s="19">
        <f>IF(B15="","",IFERROR(VLOOKUP(B15,'System Inventory'!A:B,2,FALSE),"Not Found"))</f>
        <v/>
      </c>
      <c r="D15" s="16" t="n"/>
      <c r="E15" s="16" t="n"/>
      <c r="F15" s="16" t="n"/>
      <c r="G15" s="16" t="n"/>
      <c r="H15" s="16" t="n"/>
      <c r="I15" s="16" t="n"/>
      <c r="J15" s="20" t="n"/>
      <c r="K15" s="16" t="n"/>
      <c r="L15" s="16" t="n"/>
    </row>
    <row r="16">
      <c r="A16" s="19">
        <f>IF(B16&lt;&gt;"","GAP-"&amp;TEXT(ROW()-5,"000"),"")</f>
        <v/>
      </c>
      <c r="B16" s="16" t="n"/>
      <c r="C16" s="19">
        <f>IF(B16="","",IFERROR(VLOOKUP(B16,'System Inventory'!A:B,2,FALSE),"Not Found"))</f>
        <v/>
      </c>
      <c r="D16" s="16" t="n"/>
      <c r="E16" s="16" t="n"/>
      <c r="F16" s="16" t="n"/>
      <c r="G16" s="16" t="n"/>
      <c r="H16" s="16" t="n"/>
      <c r="I16" s="16" t="n"/>
      <c r="J16" s="20" t="n"/>
      <c r="K16" s="16" t="n"/>
      <c r="L16" s="16" t="n"/>
    </row>
    <row r="17">
      <c r="A17" s="19">
        <f>IF(B17&lt;&gt;"","GAP-"&amp;TEXT(ROW()-5,"000"),"")</f>
        <v/>
      </c>
      <c r="B17" s="16" t="n"/>
      <c r="C17" s="19">
        <f>IF(B17="","",IFERROR(VLOOKUP(B17,'System Inventory'!A:B,2,FALSE),"Not Found"))</f>
        <v/>
      </c>
      <c r="D17" s="16" t="n"/>
      <c r="E17" s="16" t="n"/>
      <c r="F17" s="16" t="n"/>
      <c r="G17" s="16" t="n"/>
      <c r="H17" s="16" t="n"/>
      <c r="I17" s="16" t="n"/>
      <c r="J17" s="20" t="n"/>
      <c r="K17" s="16" t="n"/>
      <c r="L17" s="16" t="n"/>
    </row>
    <row r="18">
      <c r="A18" s="19">
        <f>IF(B18&lt;&gt;"","GAP-"&amp;TEXT(ROW()-5,"000"),"")</f>
        <v/>
      </c>
      <c r="B18" s="16" t="n"/>
      <c r="C18" s="19">
        <f>IF(B18="","",IFERROR(VLOOKUP(B18,'System Inventory'!A:B,2,FALSE),"Not Found"))</f>
        <v/>
      </c>
      <c r="D18" s="16" t="n"/>
      <c r="E18" s="16" t="n"/>
      <c r="F18" s="16" t="n"/>
      <c r="G18" s="16" t="n"/>
      <c r="H18" s="16" t="n"/>
      <c r="I18" s="16" t="n"/>
      <c r="J18" s="20" t="n"/>
      <c r="K18" s="16" t="n"/>
      <c r="L18" s="16" t="n"/>
    </row>
    <row r="19">
      <c r="A19" s="19">
        <f>IF(B19&lt;&gt;"","GAP-"&amp;TEXT(ROW()-5,"000"),"")</f>
        <v/>
      </c>
      <c r="B19" s="16" t="n"/>
      <c r="C19" s="19">
        <f>IF(B19="","",IFERROR(VLOOKUP(B19,'System Inventory'!A:B,2,FALSE),"Not Found"))</f>
        <v/>
      </c>
      <c r="D19" s="16" t="n"/>
      <c r="E19" s="16" t="n"/>
      <c r="F19" s="16" t="n"/>
      <c r="G19" s="16" t="n"/>
      <c r="H19" s="16" t="n"/>
      <c r="I19" s="16" t="n"/>
      <c r="J19" s="20" t="n"/>
      <c r="K19" s="16" t="n"/>
      <c r="L19" s="16" t="n"/>
    </row>
    <row r="20">
      <c r="A20" s="19">
        <f>IF(B20&lt;&gt;"","GAP-"&amp;TEXT(ROW()-5,"000"),"")</f>
        <v/>
      </c>
      <c r="B20" s="16" t="n"/>
      <c r="C20" s="19">
        <f>IF(B20="","",IFERROR(VLOOKUP(B20,'System Inventory'!A:B,2,FALSE),"Not Found"))</f>
        <v/>
      </c>
      <c r="D20" s="16" t="n"/>
      <c r="E20" s="16" t="n"/>
      <c r="F20" s="16" t="n"/>
      <c r="G20" s="16" t="n"/>
      <c r="H20" s="16" t="n"/>
      <c r="I20" s="16" t="n"/>
      <c r="J20" s="20" t="n"/>
      <c r="K20" s="16" t="n"/>
      <c r="L20" s="16" t="n"/>
    </row>
    <row r="21">
      <c r="A21" s="19">
        <f>IF(B21&lt;&gt;"","GAP-"&amp;TEXT(ROW()-5,"000"),"")</f>
        <v/>
      </c>
      <c r="B21" s="16" t="n"/>
      <c r="C21" s="19">
        <f>IF(B21="","",IFERROR(VLOOKUP(B21,'System Inventory'!A:B,2,FALSE),"Not Found"))</f>
        <v/>
      </c>
      <c r="D21" s="16" t="n"/>
      <c r="E21" s="16" t="n"/>
      <c r="F21" s="16" t="n"/>
      <c r="G21" s="16" t="n"/>
      <c r="H21" s="16" t="n"/>
      <c r="I21" s="16" t="n"/>
      <c r="J21" s="20" t="n"/>
      <c r="K21" s="16" t="n"/>
      <c r="L21" s="16" t="n"/>
    </row>
    <row r="22">
      <c r="A22" s="19">
        <f>IF(B22&lt;&gt;"","GAP-"&amp;TEXT(ROW()-5,"000"),"")</f>
        <v/>
      </c>
      <c r="B22" s="16" t="n"/>
      <c r="C22" s="19">
        <f>IF(B22="","",IFERROR(VLOOKUP(B22,'System Inventory'!A:B,2,FALSE),"Not Found"))</f>
        <v/>
      </c>
      <c r="D22" s="16" t="n"/>
      <c r="E22" s="16" t="n"/>
      <c r="F22" s="16" t="n"/>
      <c r="G22" s="16" t="n"/>
      <c r="H22" s="16" t="n"/>
      <c r="I22" s="16" t="n"/>
      <c r="J22" s="20" t="n"/>
      <c r="K22" s="16" t="n"/>
      <c r="L22" s="16" t="n"/>
    </row>
    <row r="23">
      <c r="A23" s="19">
        <f>IF(B23&lt;&gt;"","GAP-"&amp;TEXT(ROW()-5,"000"),"")</f>
        <v/>
      </c>
      <c r="B23" s="16" t="n"/>
      <c r="C23" s="19">
        <f>IF(B23="","",IFERROR(VLOOKUP(B23,'System Inventory'!A:B,2,FALSE),"Not Found"))</f>
        <v/>
      </c>
      <c r="D23" s="16" t="n"/>
      <c r="E23" s="16" t="n"/>
      <c r="F23" s="16" t="n"/>
      <c r="G23" s="16" t="n"/>
      <c r="H23" s="16" t="n"/>
      <c r="I23" s="16" t="n"/>
      <c r="J23" s="20" t="n"/>
      <c r="K23" s="16" t="n"/>
      <c r="L23" s="16" t="n"/>
    </row>
    <row r="24">
      <c r="A24" s="19">
        <f>IF(B24&lt;&gt;"","GAP-"&amp;TEXT(ROW()-5,"000"),"")</f>
        <v/>
      </c>
      <c r="B24" s="16" t="n"/>
      <c r="C24" s="19">
        <f>IF(B24="","",IFERROR(VLOOKUP(B24,'System Inventory'!A:B,2,FALSE),"Not Found"))</f>
        <v/>
      </c>
      <c r="D24" s="16" t="n"/>
      <c r="E24" s="16" t="n"/>
      <c r="F24" s="16" t="n"/>
      <c r="G24" s="16" t="n"/>
      <c r="H24" s="16" t="n"/>
      <c r="I24" s="16" t="n"/>
      <c r="J24" s="20" t="n"/>
      <c r="K24" s="16" t="n"/>
      <c r="L24" s="16" t="n"/>
    </row>
    <row r="25">
      <c r="A25" s="19">
        <f>IF(B25&lt;&gt;"","GAP-"&amp;TEXT(ROW()-5,"000"),"")</f>
        <v/>
      </c>
      <c r="B25" s="16" t="n"/>
      <c r="C25" s="19">
        <f>IF(B25="","",IFERROR(VLOOKUP(B25,'System Inventory'!A:B,2,FALSE),"Not Found"))</f>
        <v/>
      </c>
      <c r="D25" s="16" t="n"/>
      <c r="E25" s="16" t="n"/>
      <c r="F25" s="16" t="n"/>
      <c r="G25" s="16" t="n"/>
      <c r="H25" s="16" t="n"/>
      <c r="I25" s="16" t="n"/>
      <c r="J25" s="20" t="n"/>
      <c r="K25" s="16" t="n"/>
      <c r="L25" s="16" t="n"/>
    </row>
    <row r="26">
      <c r="A26" s="19">
        <f>IF(B26&lt;&gt;"","GAP-"&amp;TEXT(ROW()-5,"000"),"")</f>
        <v/>
      </c>
      <c r="B26" s="16" t="n"/>
      <c r="C26" s="19">
        <f>IF(B26="","",IFERROR(VLOOKUP(B26,'System Inventory'!A:B,2,FALSE),"Not Found"))</f>
        <v/>
      </c>
      <c r="D26" s="16" t="n"/>
      <c r="E26" s="16" t="n"/>
      <c r="F26" s="16" t="n"/>
      <c r="G26" s="16" t="n"/>
      <c r="H26" s="16" t="n"/>
      <c r="I26" s="16" t="n"/>
      <c r="J26" s="20" t="n"/>
      <c r="K26" s="16" t="n"/>
      <c r="L26" s="16" t="n"/>
    </row>
    <row r="27">
      <c r="A27" s="19">
        <f>IF(B27&lt;&gt;"","GAP-"&amp;TEXT(ROW()-5,"000"),"")</f>
        <v/>
      </c>
      <c r="B27" s="16" t="n"/>
      <c r="C27" s="19">
        <f>IF(B27="","",IFERROR(VLOOKUP(B27,'System Inventory'!A:B,2,FALSE),"Not Found"))</f>
        <v/>
      </c>
      <c r="D27" s="16" t="n"/>
      <c r="E27" s="16" t="n"/>
      <c r="F27" s="16" t="n"/>
      <c r="G27" s="16" t="n"/>
      <c r="H27" s="16" t="n"/>
      <c r="I27" s="16" t="n"/>
      <c r="J27" s="20" t="n"/>
      <c r="K27" s="16" t="n"/>
      <c r="L27" s="16" t="n"/>
    </row>
    <row r="28">
      <c r="A28" s="19">
        <f>IF(B28&lt;&gt;"","GAP-"&amp;TEXT(ROW()-5,"000"),"")</f>
        <v/>
      </c>
      <c r="B28" s="16" t="n"/>
      <c r="C28" s="19">
        <f>IF(B28="","",IFERROR(VLOOKUP(B28,'System Inventory'!A:B,2,FALSE),"Not Found"))</f>
        <v/>
      </c>
      <c r="D28" s="16" t="n"/>
      <c r="E28" s="16" t="n"/>
      <c r="F28" s="16" t="n"/>
      <c r="G28" s="16" t="n"/>
      <c r="H28" s="16" t="n"/>
      <c r="I28" s="16" t="n"/>
      <c r="J28" s="20" t="n"/>
      <c r="K28" s="16" t="n"/>
      <c r="L28" s="16" t="n"/>
    </row>
    <row r="29">
      <c r="A29" s="19">
        <f>IF(B29&lt;&gt;"","GAP-"&amp;TEXT(ROW()-5,"000"),"")</f>
        <v/>
      </c>
      <c r="B29" s="16" t="n"/>
      <c r="C29" s="19">
        <f>IF(B29="","",IFERROR(VLOOKUP(B29,'System Inventory'!A:B,2,FALSE),"Not Found"))</f>
        <v/>
      </c>
      <c r="D29" s="16" t="n"/>
      <c r="E29" s="16" t="n"/>
      <c r="F29" s="16" t="n"/>
      <c r="G29" s="16" t="n"/>
      <c r="H29" s="16" t="n"/>
      <c r="I29" s="16" t="n"/>
      <c r="J29" s="20" t="n"/>
      <c r="K29" s="16" t="n"/>
      <c r="L29" s="16" t="n"/>
    </row>
    <row r="30">
      <c r="A30" s="19">
        <f>IF(B30&lt;&gt;"","GAP-"&amp;TEXT(ROW()-5,"000"),"")</f>
        <v/>
      </c>
      <c r="B30" s="16" t="n"/>
      <c r="C30" s="19">
        <f>IF(B30="","",IFERROR(VLOOKUP(B30,'System Inventory'!A:B,2,FALSE),"Not Found"))</f>
        <v/>
      </c>
      <c r="D30" s="16" t="n"/>
      <c r="E30" s="16" t="n"/>
      <c r="F30" s="16" t="n"/>
      <c r="G30" s="16" t="n"/>
      <c r="H30" s="16" t="n"/>
      <c r="I30" s="16" t="n"/>
      <c r="J30" s="20" t="n"/>
      <c r="K30" s="16" t="n"/>
      <c r="L30" s="16" t="n"/>
    </row>
    <row r="31">
      <c r="A31" s="19">
        <f>IF(B31&lt;&gt;"","GAP-"&amp;TEXT(ROW()-5,"000"),"")</f>
        <v/>
      </c>
      <c r="B31" s="16" t="n"/>
      <c r="C31" s="19">
        <f>IF(B31="","",IFERROR(VLOOKUP(B31,'System Inventory'!A:B,2,FALSE),"Not Found"))</f>
        <v/>
      </c>
      <c r="D31" s="16" t="n"/>
      <c r="E31" s="16" t="n"/>
      <c r="F31" s="16" t="n"/>
      <c r="G31" s="16" t="n"/>
      <c r="H31" s="16" t="n"/>
      <c r="I31" s="16" t="n"/>
      <c r="J31" s="20" t="n"/>
      <c r="K31" s="16" t="n"/>
      <c r="L31" s="16" t="n"/>
    </row>
    <row r="32">
      <c r="A32" s="19">
        <f>IF(B32&lt;&gt;"","GAP-"&amp;TEXT(ROW()-5,"000"),"")</f>
        <v/>
      </c>
      <c r="B32" s="16" t="n"/>
      <c r="C32" s="19">
        <f>IF(B32="","",IFERROR(VLOOKUP(B32,'System Inventory'!A:B,2,FALSE),"Not Found"))</f>
        <v/>
      </c>
      <c r="D32" s="16" t="n"/>
      <c r="E32" s="16" t="n"/>
      <c r="F32" s="16" t="n"/>
      <c r="G32" s="16" t="n"/>
      <c r="H32" s="16" t="n"/>
      <c r="I32" s="16" t="n"/>
      <c r="J32" s="20" t="n"/>
      <c r="K32" s="16" t="n"/>
      <c r="L32" s="16" t="n"/>
    </row>
    <row r="33">
      <c r="A33" s="19">
        <f>IF(B33&lt;&gt;"","GAP-"&amp;TEXT(ROW()-5,"000"),"")</f>
        <v/>
      </c>
      <c r="B33" s="16" t="n"/>
      <c r="C33" s="19">
        <f>IF(B33="","",IFERROR(VLOOKUP(B33,'System Inventory'!A:B,2,FALSE),"Not Found"))</f>
        <v/>
      </c>
      <c r="D33" s="16" t="n"/>
      <c r="E33" s="16" t="n"/>
      <c r="F33" s="16" t="n"/>
      <c r="G33" s="16" t="n"/>
      <c r="H33" s="16" t="n"/>
      <c r="I33" s="16" t="n"/>
      <c r="J33" s="20" t="n"/>
      <c r="K33" s="16" t="n"/>
      <c r="L33" s="16" t="n"/>
    </row>
    <row r="34">
      <c r="A34" s="19">
        <f>IF(B34&lt;&gt;"","GAP-"&amp;TEXT(ROW()-5,"000"),"")</f>
        <v/>
      </c>
      <c r="B34" s="16" t="n"/>
      <c r="C34" s="19">
        <f>IF(B34="","",IFERROR(VLOOKUP(B34,'System Inventory'!A:B,2,FALSE),"Not Found"))</f>
        <v/>
      </c>
      <c r="D34" s="16" t="n"/>
      <c r="E34" s="16" t="n"/>
      <c r="F34" s="16" t="n"/>
      <c r="G34" s="16" t="n"/>
      <c r="H34" s="16" t="n"/>
      <c r="I34" s="16" t="n"/>
      <c r="J34" s="20" t="n"/>
      <c r="K34" s="16" t="n"/>
      <c r="L34" s="16" t="n"/>
    </row>
    <row r="35">
      <c r="A35" s="19">
        <f>IF(B35&lt;&gt;"","GAP-"&amp;TEXT(ROW()-5,"000"),"")</f>
        <v/>
      </c>
      <c r="B35" s="16" t="n"/>
      <c r="C35" s="19">
        <f>IF(B35="","",IFERROR(VLOOKUP(B35,'System Inventory'!A:B,2,FALSE),"Not Found"))</f>
        <v/>
      </c>
      <c r="D35" s="16" t="n"/>
      <c r="E35" s="16" t="n"/>
      <c r="F35" s="16" t="n"/>
      <c r="G35" s="16" t="n"/>
      <c r="H35" s="16" t="n"/>
      <c r="I35" s="16" t="n"/>
      <c r="J35" s="20" t="n"/>
      <c r="K35" s="16" t="n"/>
      <c r="L35" s="16" t="n"/>
    </row>
    <row r="36">
      <c r="A36" s="19">
        <f>IF(B36&lt;&gt;"","GAP-"&amp;TEXT(ROW()-5,"000"),"")</f>
        <v/>
      </c>
      <c r="B36" s="16" t="n"/>
      <c r="C36" s="19">
        <f>IF(B36="","",IFERROR(VLOOKUP(B36,'System Inventory'!A:B,2,FALSE),"Not Found"))</f>
        <v/>
      </c>
      <c r="D36" s="16" t="n"/>
      <c r="E36" s="16" t="n"/>
      <c r="F36" s="16" t="n"/>
      <c r="G36" s="16" t="n"/>
      <c r="H36" s="16" t="n"/>
      <c r="I36" s="16" t="n"/>
      <c r="J36" s="20" t="n"/>
      <c r="K36" s="16" t="n"/>
      <c r="L36" s="16" t="n"/>
    </row>
    <row r="37">
      <c r="A37" s="19">
        <f>IF(B37&lt;&gt;"","GAP-"&amp;TEXT(ROW()-5,"000"),"")</f>
        <v/>
      </c>
      <c r="B37" s="16" t="n"/>
      <c r="C37" s="19">
        <f>IF(B37="","",IFERROR(VLOOKUP(B37,'System Inventory'!A:B,2,FALSE),"Not Found"))</f>
        <v/>
      </c>
      <c r="D37" s="16" t="n"/>
      <c r="E37" s="16" t="n"/>
      <c r="F37" s="16" t="n"/>
      <c r="G37" s="16" t="n"/>
      <c r="H37" s="16" t="n"/>
      <c r="I37" s="16" t="n"/>
      <c r="J37" s="20" t="n"/>
      <c r="K37" s="16" t="n"/>
      <c r="L37" s="16" t="n"/>
    </row>
    <row r="38">
      <c r="A38" s="19">
        <f>IF(B38&lt;&gt;"","GAP-"&amp;TEXT(ROW()-5,"000"),"")</f>
        <v/>
      </c>
      <c r="B38" s="16" t="n"/>
      <c r="C38" s="19">
        <f>IF(B38="","",IFERROR(VLOOKUP(B38,'System Inventory'!A:B,2,FALSE),"Not Found"))</f>
        <v/>
      </c>
      <c r="D38" s="16" t="n"/>
      <c r="E38" s="16" t="n"/>
      <c r="F38" s="16" t="n"/>
      <c r="G38" s="16" t="n"/>
      <c r="H38" s="16" t="n"/>
      <c r="I38" s="16" t="n"/>
      <c r="J38" s="20" t="n"/>
      <c r="K38" s="16" t="n"/>
      <c r="L38" s="16" t="n"/>
    </row>
    <row r="39">
      <c r="A39" s="19">
        <f>IF(B39&lt;&gt;"","GAP-"&amp;TEXT(ROW()-5,"000"),"")</f>
        <v/>
      </c>
      <c r="B39" s="16" t="n"/>
      <c r="C39" s="19">
        <f>IF(B39="","",IFERROR(VLOOKUP(B39,'System Inventory'!A:B,2,FALSE),"Not Found"))</f>
        <v/>
      </c>
      <c r="D39" s="16" t="n"/>
      <c r="E39" s="16" t="n"/>
      <c r="F39" s="16" t="n"/>
      <c r="G39" s="16" t="n"/>
      <c r="H39" s="16" t="n"/>
      <c r="I39" s="16" t="n"/>
      <c r="J39" s="20" t="n"/>
      <c r="K39" s="16" t="n"/>
      <c r="L39" s="16" t="n"/>
    </row>
    <row r="40">
      <c r="A40" s="19">
        <f>IF(B40&lt;&gt;"","GAP-"&amp;TEXT(ROW()-5,"000"),"")</f>
        <v/>
      </c>
      <c r="B40" s="16" t="n"/>
      <c r="C40" s="19">
        <f>IF(B40="","",IFERROR(VLOOKUP(B40,'System Inventory'!A:B,2,FALSE),"Not Found"))</f>
        <v/>
      </c>
      <c r="D40" s="16" t="n"/>
      <c r="E40" s="16" t="n"/>
      <c r="F40" s="16" t="n"/>
      <c r="G40" s="16" t="n"/>
      <c r="H40" s="16" t="n"/>
      <c r="I40" s="16" t="n"/>
      <c r="J40" s="20" t="n"/>
      <c r="K40" s="16" t="n"/>
      <c r="L40" s="16" t="n"/>
    </row>
    <row r="41">
      <c r="A41" s="19">
        <f>IF(B41&lt;&gt;"","GAP-"&amp;TEXT(ROW()-5,"000"),"")</f>
        <v/>
      </c>
      <c r="B41" s="16" t="n"/>
      <c r="C41" s="19">
        <f>IF(B41="","",IFERROR(VLOOKUP(B41,'System Inventory'!A:B,2,FALSE),"Not Found"))</f>
        <v/>
      </c>
      <c r="D41" s="16" t="n"/>
      <c r="E41" s="16" t="n"/>
      <c r="F41" s="16" t="n"/>
      <c r="G41" s="16" t="n"/>
      <c r="H41" s="16" t="n"/>
      <c r="I41" s="16" t="n"/>
      <c r="J41" s="20" t="n"/>
      <c r="K41" s="16" t="n"/>
      <c r="L41" s="16" t="n"/>
    </row>
    <row r="42">
      <c r="A42" s="19">
        <f>IF(B42&lt;&gt;"","GAP-"&amp;TEXT(ROW()-5,"000"),"")</f>
        <v/>
      </c>
      <c r="B42" s="16" t="n"/>
      <c r="C42" s="19">
        <f>IF(B42="","",IFERROR(VLOOKUP(B42,'System Inventory'!A:B,2,FALSE),"Not Found"))</f>
        <v/>
      </c>
      <c r="D42" s="16" t="n"/>
      <c r="E42" s="16" t="n"/>
      <c r="F42" s="16" t="n"/>
      <c r="G42" s="16" t="n"/>
      <c r="H42" s="16" t="n"/>
      <c r="I42" s="16" t="n"/>
      <c r="J42" s="20" t="n"/>
      <c r="K42" s="16" t="n"/>
      <c r="L42" s="16" t="n"/>
    </row>
    <row r="43">
      <c r="A43" s="19">
        <f>IF(B43&lt;&gt;"","GAP-"&amp;TEXT(ROW()-5,"000"),"")</f>
        <v/>
      </c>
      <c r="B43" s="16" t="n"/>
      <c r="C43" s="19">
        <f>IF(B43="","",IFERROR(VLOOKUP(B43,'System Inventory'!A:B,2,FALSE),"Not Found"))</f>
        <v/>
      </c>
      <c r="D43" s="16" t="n"/>
      <c r="E43" s="16" t="n"/>
      <c r="F43" s="16" t="n"/>
      <c r="G43" s="16" t="n"/>
      <c r="H43" s="16" t="n"/>
      <c r="I43" s="16" t="n"/>
      <c r="J43" s="20" t="n"/>
      <c r="K43" s="16" t="n"/>
      <c r="L43" s="16" t="n"/>
    </row>
    <row r="44">
      <c r="A44" s="19">
        <f>IF(B44&lt;&gt;"","GAP-"&amp;TEXT(ROW()-5,"000"),"")</f>
        <v/>
      </c>
      <c r="B44" s="16" t="n"/>
      <c r="C44" s="19">
        <f>IF(B44="","",IFERROR(VLOOKUP(B44,'System Inventory'!A:B,2,FALSE),"Not Found"))</f>
        <v/>
      </c>
      <c r="D44" s="16" t="n"/>
      <c r="E44" s="16" t="n"/>
      <c r="F44" s="16" t="n"/>
      <c r="G44" s="16" t="n"/>
      <c r="H44" s="16" t="n"/>
      <c r="I44" s="16" t="n"/>
      <c r="J44" s="20" t="n"/>
      <c r="K44" s="16" t="n"/>
      <c r="L44" s="16" t="n"/>
    </row>
    <row r="45">
      <c r="A45" s="19">
        <f>IF(B45&lt;&gt;"","GAP-"&amp;TEXT(ROW()-5,"000"),"")</f>
        <v/>
      </c>
      <c r="B45" s="16" t="n"/>
      <c r="C45" s="19">
        <f>IF(B45="","",IFERROR(VLOOKUP(B45,'System Inventory'!A:B,2,FALSE),"Not Found"))</f>
        <v/>
      </c>
      <c r="D45" s="16" t="n"/>
      <c r="E45" s="16" t="n"/>
      <c r="F45" s="16" t="n"/>
      <c r="G45" s="16" t="n"/>
      <c r="H45" s="16" t="n"/>
      <c r="I45" s="16" t="n"/>
      <c r="J45" s="20" t="n"/>
      <c r="K45" s="16" t="n"/>
      <c r="L45" s="16" t="n"/>
    </row>
    <row r="46">
      <c r="A46" s="19">
        <f>IF(B46&lt;&gt;"","GAP-"&amp;TEXT(ROW()-5,"000"),"")</f>
        <v/>
      </c>
      <c r="B46" s="16" t="n"/>
      <c r="C46" s="19">
        <f>IF(B46="","",IFERROR(VLOOKUP(B46,'System Inventory'!A:B,2,FALSE),"Not Found"))</f>
        <v/>
      </c>
      <c r="D46" s="16" t="n"/>
      <c r="E46" s="16" t="n"/>
      <c r="F46" s="16" t="n"/>
      <c r="G46" s="16" t="n"/>
      <c r="H46" s="16" t="n"/>
      <c r="I46" s="16" t="n"/>
      <c r="J46" s="20" t="n"/>
      <c r="K46" s="16" t="n"/>
      <c r="L46" s="16" t="n"/>
    </row>
    <row r="47">
      <c r="A47" s="19">
        <f>IF(B47&lt;&gt;"","GAP-"&amp;TEXT(ROW()-5,"000"),"")</f>
        <v/>
      </c>
      <c r="B47" s="16" t="n"/>
      <c r="C47" s="19">
        <f>IF(B47="","",IFERROR(VLOOKUP(B47,'System Inventory'!A:B,2,FALSE),"Not Found"))</f>
        <v/>
      </c>
      <c r="D47" s="16" t="n"/>
      <c r="E47" s="16" t="n"/>
      <c r="F47" s="16" t="n"/>
      <c r="G47" s="16" t="n"/>
      <c r="H47" s="16" t="n"/>
      <c r="I47" s="16" t="n"/>
      <c r="J47" s="20" t="n"/>
      <c r="K47" s="16" t="n"/>
      <c r="L47" s="16" t="n"/>
    </row>
    <row r="48">
      <c r="A48" s="19">
        <f>IF(B48&lt;&gt;"","GAP-"&amp;TEXT(ROW()-5,"000"),"")</f>
        <v/>
      </c>
      <c r="B48" s="16" t="n"/>
      <c r="C48" s="19">
        <f>IF(B48="","",IFERROR(VLOOKUP(B48,'System Inventory'!A:B,2,FALSE),"Not Found"))</f>
        <v/>
      </c>
      <c r="D48" s="16" t="n"/>
      <c r="E48" s="16" t="n"/>
      <c r="F48" s="16" t="n"/>
      <c r="G48" s="16" t="n"/>
      <c r="H48" s="16" t="n"/>
      <c r="I48" s="16" t="n"/>
      <c r="J48" s="20" t="n"/>
      <c r="K48" s="16" t="n"/>
      <c r="L48" s="16" t="n"/>
    </row>
    <row r="49">
      <c r="A49" s="19">
        <f>IF(B49&lt;&gt;"","GAP-"&amp;TEXT(ROW()-5,"000"),"")</f>
        <v/>
      </c>
      <c r="B49" s="16" t="n"/>
      <c r="C49" s="19">
        <f>IF(B49="","",IFERROR(VLOOKUP(B49,'System Inventory'!A:B,2,FALSE),"Not Found"))</f>
        <v/>
      </c>
      <c r="D49" s="16" t="n"/>
      <c r="E49" s="16" t="n"/>
      <c r="F49" s="16" t="n"/>
      <c r="G49" s="16" t="n"/>
      <c r="H49" s="16" t="n"/>
      <c r="I49" s="16" t="n"/>
      <c r="J49" s="20" t="n"/>
      <c r="K49" s="16" t="n"/>
      <c r="L49" s="16" t="n"/>
    </row>
    <row r="50">
      <c r="A50" s="19">
        <f>IF(B50&lt;&gt;"","GAP-"&amp;TEXT(ROW()-5,"000"),"")</f>
        <v/>
      </c>
      <c r="B50" s="16" t="n"/>
      <c r="C50" s="19">
        <f>IF(B50="","",IFERROR(VLOOKUP(B50,'System Inventory'!A:B,2,FALSE),"Not Found"))</f>
        <v/>
      </c>
      <c r="D50" s="16" t="n"/>
      <c r="E50" s="16" t="n"/>
      <c r="F50" s="16" t="n"/>
      <c r="G50" s="16" t="n"/>
      <c r="H50" s="16" t="n"/>
      <c r="I50" s="16" t="n"/>
      <c r="J50" s="20" t="n"/>
      <c r="K50" s="16" t="n"/>
      <c r="L50" s="16" t="n"/>
    </row>
    <row r="51">
      <c r="A51" s="19">
        <f>IF(B51&lt;&gt;"","GAP-"&amp;TEXT(ROW()-5,"000"),"")</f>
        <v/>
      </c>
      <c r="B51" s="16" t="n"/>
      <c r="C51" s="19">
        <f>IF(B51="","",IFERROR(VLOOKUP(B51,'System Inventory'!A:B,2,FALSE),"Not Found"))</f>
        <v/>
      </c>
      <c r="D51" s="16" t="n"/>
      <c r="E51" s="16" t="n"/>
      <c r="F51" s="16" t="n"/>
      <c r="G51" s="16" t="n"/>
      <c r="H51" s="16" t="n"/>
      <c r="I51" s="16" t="n"/>
      <c r="J51" s="20" t="n"/>
      <c r="K51" s="16" t="n"/>
      <c r="L51" s="16" t="n"/>
    </row>
    <row r="52">
      <c r="A52" s="19">
        <f>IF(B52&lt;&gt;"","GAP-"&amp;TEXT(ROW()-5,"000"),"")</f>
        <v/>
      </c>
      <c r="B52" s="16" t="n"/>
      <c r="C52" s="19">
        <f>IF(B52="","",IFERROR(VLOOKUP(B52,'System Inventory'!A:B,2,FALSE),"Not Found"))</f>
        <v/>
      </c>
      <c r="D52" s="16" t="n"/>
      <c r="E52" s="16" t="n"/>
      <c r="F52" s="16" t="n"/>
      <c r="G52" s="16" t="n"/>
      <c r="H52" s="16" t="n"/>
      <c r="I52" s="16" t="n"/>
      <c r="J52" s="20" t="n"/>
      <c r="K52" s="16" t="n"/>
      <c r="L52" s="16" t="n"/>
    </row>
    <row r="53">
      <c r="A53" s="19">
        <f>IF(B53&lt;&gt;"","GAP-"&amp;TEXT(ROW()-5,"000"),"")</f>
        <v/>
      </c>
      <c r="B53" s="16" t="n"/>
      <c r="C53" s="19">
        <f>IF(B53="","",IFERROR(VLOOKUP(B53,'System Inventory'!A:B,2,FALSE),"Not Found"))</f>
        <v/>
      </c>
      <c r="D53" s="16" t="n"/>
      <c r="E53" s="16" t="n"/>
      <c r="F53" s="16" t="n"/>
      <c r="G53" s="16" t="n"/>
      <c r="H53" s="16" t="n"/>
      <c r="I53" s="16" t="n"/>
      <c r="J53" s="20" t="n"/>
      <c r="K53" s="16" t="n"/>
      <c r="L53" s="16" t="n"/>
    </row>
    <row r="54">
      <c r="A54" s="19">
        <f>IF(B54&lt;&gt;"","GAP-"&amp;TEXT(ROW()-5,"000"),"")</f>
        <v/>
      </c>
      <c r="B54" s="16" t="n"/>
      <c r="C54" s="19">
        <f>IF(B54="","",IFERROR(VLOOKUP(B54,'System Inventory'!A:B,2,FALSE),"Not Found"))</f>
        <v/>
      </c>
      <c r="D54" s="16" t="n"/>
      <c r="E54" s="16" t="n"/>
      <c r="F54" s="16" t="n"/>
      <c r="G54" s="16" t="n"/>
      <c r="H54" s="16" t="n"/>
      <c r="I54" s="16" t="n"/>
      <c r="J54" s="20" t="n"/>
      <c r="K54" s="16" t="n"/>
      <c r="L54" s="16" t="n"/>
    </row>
    <row r="55">
      <c r="A55" s="19">
        <f>IF(B55&lt;&gt;"","GAP-"&amp;TEXT(ROW()-5,"000"),"")</f>
        <v/>
      </c>
      <c r="B55" s="16" t="n"/>
      <c r="C55" s="19">
        <f>IF(B55="","",IFERROR(VLOOKUP(B55,'System Inventory'!A:B,2,FALSE),"Not Found"))</f>
        <v/>
      </c>
      <c r="D55" s="16" t="n"/>
      <c r="E55" s="16" t="n"/>
      <c r="F55" s="16" t="n"/>
      <c r="G55" s="16" t="n"/>
      <c r="H55" s="16" t="n"/>
      <c r="I55" s="16" t="n"/>
      <c r="J55" s="20" t="n"/>
      <c r="K55" s="16" t="n"/>
      <c r="L55" s="16" t="n"/>
    </row>
    <row r="60">
      <c r="A60" s="12" t="inlineStr">
        <is>
          <t>GAP SUMMARY STATISTICS</t>
        </is>
      </c>
    </row>
    <row r="62">
      <c r="A62" s="21" t="inlineStr">
        <is>
          <t>Total Gaps Identified:</t>
        </is>
      </c>
      <c r="B62" s="22">
        <f>COUNTA(A6:A55)</f>
        <v/>
      </c>
    </row>
    <row r="63">
      <c r="A63" s="21" t="inlineStr">
        <is>
          <t>Open Gaps:</t>
        </is>
      </c>
      <c r="B63" s="22">
        <f>COUNTIF(K6:K55,"*Open*")</f>
        <v/>
      </c>
    </row>
    <row r="64">
      <c r="A64" s="21" t="inlineStr">
        <is>
          <t>In Progress:</t>
        </is>
      </c>
      <c r="B64" s="22">
        <f>COUNTIF(K6:K55,"*In Progress*")</f>
        <v/>
      </c>
    </row>
    <row r="65">
      <c r="A65" s="21" t="inlineStr">
        <is>
          <t>Resolved:</t>
        </is>
      </c>
      <c r="B65" s="22">
        <f>COUNTIF(K6:K55,"*Resolved*")</f>
        <v/>
      </c>
    </row>
    <row r="66">
      <c r="A66" s="21" t="inlineStr">
        <is>
          <t>Critical Priority:</t>
        </is>
      </c>
      <c r="B66" s="22">
        <f>COUNTIF(G6:G55,"*Critical*")</f>
        <v/>
      </c>
    </row>
    <row r="67">
      <c r="A67" s="21" t="inlineStr">
        <is>
          <t>High Priority:</t>
        </is>
      </c>
      <c r="B67" s="22">
        <f>COUNTIF(G6:G55,"*High*")</f>
        <v/>
      </c>
    </row>
    <row r="68">
      <c r="A68" s="21" t="inlineStr">
        <is>
          <t>Overdue (Past Target Date):</t>
        </is>
      </c>
      <c r="B68" s="22">
        <f>SUMPRODUCT((K6:K55&lt;&gt;"Resolved")*(J6:J55&lt;TODAY())*(J6:J55&lt;&gt;""))</f>
        <v/>
      </c>
    </row>
  </sheetData>
  <mergeCells count="3">
    <mergeCell ref="A2:L2"/>
    <mergeCell ref="A1:L1"/>
    <mergeCell ref="A60:L60"/>
  </mergeCells>
  <conditionalFormatting sqref="G6:G55">
    <cfRule type="cellIs" priority="1" operator="equal" dxfId="2" stopIfTrue="1">
      <formula>"Critical"</formula>
    </cfRule>
    <cfRule type="cellIs" priority="2" operator="equal" dxfId="1" stopIfTrue="1">
      <formula>"High"</formula>
    </cfRule>
    <cfRule type="cellIs" priority="3" operator="equal" dxfId="1" stopIfTrue="1">
      <formula>"Medium"</formula>
    </cfRule>
    <cfRule type="cellIs" priority="4" operator="equal" dxfId="0" stopIfTrue="1">
      <formula>"Low"</formula>
    </cfRule>
  </conditionalFormatting>
  <conditionalFormatting sqref="K6:K55">
    <cfRule type="cellIs" priority="5" operator="equal" dxfId="2" stopIfTrue="1">
      <formula>"Open"</formula>
    </cfRule>
    <cfRule type="cellIs" priority="6" operator="equal" dxfId="1" stopIfTrue="1">
      <formula>"In Progress"</formula>
    </cfRule>
    <cfRule type="cellIs" priority="7" operator="equal" dxfId="0" stopIfTrue="1">
      <formula>"Resolved"</formula>
    </cfRule>
    <cfRule type="cellIs" priority="8" operator="equal" dxfId="3" stopIfTrue="1">
      <formula>"Deferred"</formula>
    </cfRule>
  </conditionalFormatting>
  <conditionalFormatting sqref="J6:J55">
    <cfRule type="expression" priority="9" dxfId="2" stopIfTrue="1">
      <formula>AND(J6&lt;TODAY(),K6&lt;&gt;"Resolved")</formula>
    </cfRule>
  </conditionalFormatting>
  <dataValidations count="3">
    <dataValidation sqref="D6:D55" showDropDown="0" showInputMessage="0" showErrorMessage="0" allowBlank="1" type="list">
      <formula1>"Log Source Missing,Event Type Not Logged,Incomplete Fields,Format Non-Standard,Protection Inadequate,Other"</formula1>
    </dataValidation>
    <dataValidation sqref="G6:G55" showDropDown="0" showInputMessage="0" showErrorMessage="0" allowBlank="1" type="list">
      <formula1>"Critical,High,Medium,Low"</formula1>
    </dataValidation>
    <dataValidation sqref="K6:K55" showDropDown="0" showInputMessage="0" showErrorMessage="0" allowBlank="1" type="list">
      <formula1>"❌ Open,⌛ In Progress,✅ Resolved,⭕ Deferred"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22" customWidth="1" min="3" max="3"/>
    <col width="45" customWidth="1" min="4" max="4"/>
    <col width="40" customWidth="1" min="5" max="5"/>
    <col width="16" customWidth="1" min="6" max="6"/>
    <col width="20" customWidth="1" min="7" max="7"/>
    <col width="22" customWidth="1" min="8" max="8"/>
  </cols>
  <sheetData>
    <row r="1" ht="35" customHeight="1">
      <c r="A1" s="23" t="inlineStr">
        <is>
          <t>EVIDENCE REGISTER</t>
        </is>
      </c>
    </row>
    <row r="2">
      <c r="A2" s="24" t="inlineStr">
        <is>
          <t>List all evidence files/documents referenced in this assessment (audit traceability).</t>
        </is>
      </c>
    </row>
    <row r="4">
      <c r="A4" s="25" t="inlineStr">
        <is>
          <t>Evidence ID</t>
        </is>
      </c>
      <c r="B4" s="25" t="inlineStr">
        <is>
          <t>Assessment Area</t>
        </is>
      </c>
      <c r="C4" s="25" t="inlineStr">
        <is>
          <t>Evidence Type</t>
        </is>
      </c>
      <c r="D4" s="25" t="inlineStr">
        <is>
          <t>Description</t>
        </is>
      </c>
      <c r="E4" s="25" t="inlineStr">
        <is>
          <t>Location/Path</t>
        </is>
      </c>
      <c r="F4" s="25" t="inlineStr">
        <is>
          <t>Date Collected</t>
        </is>
      </c>
      <c r="G4" s="25" t="inlineStr">
        <is>
          <t>Collected By</t>
        </is>
      </c>
      <c r="H4" s="25" t="inlineStr">
        <is>
          <t>Verification Status</t>
        </is>
      </c>
    </row>
    <row r="5">
      <c r="A5" s="26" t="inlineStr">
        <is>
          <t>EV-001</t>
        </is>
      </c>
      <c r="B5" s="26" t="inlineStr">
        <is>
          <t>Log Source Inventory</t>
        </is>
      </c>
      <c r="C5" s="26" t="inlineStr">
        <is>
          <t>Configuration file</t>
        </is>
      </c>
      <c r="D5" s="26" t="inlineStr">
        <is>
          <t>SIEM log source configuration export showing all registered sources</t>
        </is>
      </c>
      <c r="E5" s="26" t="inlineStr">
        <is>
          <t>/evidence/a815.1/siem-sources.pdf</t>
        </is>
      </c>
      <c r="F5" s="27" t="inlineStr">
        <is>
          <t>01.01.2026</t>
        </is>
      </c>
      <c r="G5" s="26" t="inlineStr">
        <is>
          <t>Security Analyst</t>
        </is>
      </c>
      <c r="H5" s="26" t="inlineStr">
        <is>
          <t>Verified</t>
        </is>
      </c>
    </row>
    <row r="6">
      <c r="A6" s="28" t="n"/>
      <c r="B6" s="28" t="n"/>
      <c r="C6" s="28" t="n"/>
      <c r="D6" s="28" t="n"/>
      <c r="E6" s="28" t="n"/>
      <c r="F6" s="29" t="n"/>
      <c r="G6" s="28" t="n"/>
      <c r="H6" s="28" t="n"/>
    </row>
    <row r="7">
      <c r="A7" s="28" t="n"/>
      <c r="B7" s="28" t="n"/>
      <c r="C7" s="28" t="n"/>
      <c r="D7" s="28" t="n"/>
      <c r="E7" s="28" t="n"/>
      <c r="F7" s="29" t="n"/>
      <c r="G7" s="28" t="n"/>
      <c r="H7" s="28" t="n"/>
    </row>
    <row r="8">
      <c r="A8" s="28" t="n"/>
      <c r="B8" s="28" t="n"/>
      <c r="C8" s="28" t="n"/>
      <c r="D8" s="28" t="n"/>
      <c r="E8" s="28" t="n"/>
      <c r="F8" s="29" t="n"/>
      <c r="G8" s="28" t="n"/>
      <c r="H8" s="28" t="n"/>
    </row>
    <row r="9">
      <c r="A9" s="28" t="n"/>
      <c r="B9" s="28" t="n"/>
      <c r="C9" s="28" t="n"/>
      <c r="D9" s="28" t="n"/>
      <c r="E9" s="28" t="n"/>
      <c r="F9" s="29" t="n"/>
      <c r="G9" s="28" t="n"/>
      <c r="H9" s="28" t="n"/>
    </row>
    <row r="10">
      <c r="A10" s="28" t="n"/>
      <c r="B10" s="28" t="n"/>
      <c r="C10" s="28" t="n"/>
      <c r="D10" s="28" t="n"/>
      <c r="E10" s="28" t="n"/>
      <c r="F10" s="29" t="n"/>
      <c r="G10" s="28" t="n"/>
      <c r="H10" s="28" t="n"/>
    </row>
    <row r="11">
      <c r="A11" s="28" t="n"/>
      <c r="B11" s="28" t="n"/>
      <c r="C11" s="28" t="n"/>
      <c r="D11" s="28" t="n"/>
      <c r="E11" s="28" t="n"/>
      <c r="F11" s="29" t="n"/>
      <c r="G11" s="28" t="n"/>
      <c r="H11" s="28" t="n"/>
    </row>
    <row r="12">
      <c r="A12" s="28" t="n"/>
      <c r="B12" s="28" t="n"/>
      <c r="C12" s="28" t="n"/>
      <c r="D12" s="28" t="n"/>
      <c r="E12" s="28" t="n"/>
      <c r="F12" s="29" t="n"/>
      <c r="G12" s="28" t="n"/>
      <c r="H12" s="28" t="n"/>
    </row>
    <row r="13">
      <c r="A13" s="28" t="n"/>
      <c r="B13" s="28" t="n"/>
      <c r="C13" s="28" t="n"/>
      <c r="D13" s="28" t="n"/>
      <c r="E13" s="28" t="n"/>
      <c r="F13" s="29" t="n"/>
      <c r="G13" s="28" t="n"/>
      <c r="H13" s="28" t="n"/>
    </row>
    <row r="14">
      <c r="A14" s="28" t="n"/>
      <c r="B14" s="28" t="n"/>
      <c r="C14" s="28" t="n"/>
      <c r="D14" s="28" t="n"/>
      <c r="E14" s="28" t="n"/>
      <c r="F14" s="29" t="n"/>
      <c r="G14" s="28" t="n"/>
      <c r="H14" s="28" t="n"/>
    </row>
    <row r="15">
      <c r="A15" s="28" t="n"/>
      <c r="B15" s="28" t="n"/>
      <c r="C15" s="28" t="n"/>
      <c r="D15" s="28" t="n"/>
      <c r="E15" s="28" t="n"/>
      <c r="F15" s="29" t="n"/>
      <c r="G15" s="28" t="n"/>
      <c r="H15" s="28" t="n"/>
    </row>
    <row r="16">
      <c r="A16" s="28" t="n"/>
      <c r="B16" s="28" t="n"/>
      <c r="C16" s="28" t="n"/>
      <c r="D16" s="28" t="n"/>
      <c r="E16" s="28" t="n"/>
      <c r="F16" s="29" t="n"/>
      <c r="G16" s="28" t="n"/>
      <c r="H16" s="28" t="n"/>
    </row>
    <row r="17">
      <c r="A17" s="28" t="n"/>
      <c r="B17" s="28" t="n"/>
      <c r="C17" s="28" t="n"/>
      <c r="D17" s="28" t="n"/>
      <c r="E17" s="28" t="n"/>
      <c r="F17" s="29" t="n"/>
      <c r="G17" s="28" t="n"/>
      <c r="H17" s="28" t="n"/>
    </row>
    <row r="18">
      <c r="A18" s="28" t="n"/>
      <c r="B18" s="28" t="n"/>
      <c r="C18" s="28" t="n"/>
      <c r="D18" s="28" t="n"/>
      <c r="E18" s="28" t="n"/>
      <c r="F18" s="29" t="n"/>
      <c r="G18" s="28" t="n"/>
      <c r="H18" s="28" t="n"/>
    </row>
    <row r="19">
      <c r="A19" s="28" t="n"/>
      <c r="B19" s="28" t="n"/>
      <c r="C19" s="28" t="n"/>
      <c r="D19" s="28" t="n"/>
      <c r="E19" s="28" t="n"/>
      <c r="F19" s="29" t="n"/>
      <c r="G19" s="28" t="n"/>
      <c r="H19" s="28" t="n"/>
    </row>
    <row r="20">
      <c r="A20" s="28" t="n"/>
      <c r="B20" s="28" t="n"/>
      <c r="C20" s="28" t="n"/>
      <c r="D20" s="28" t="n"/>
      <c r="E20" s="28" t="n"/>
      <c r="F20" s="29" t="n"/>
      <c r="G20" s="28" t="n"/>
      <c r="H20" s="28" t="n"/>
    </row>
    <row r="21">
      <c r="A21" s="28" t="n"/>
      <c r="B21" s="28" t="n"/>
      <c r="C21" s="28" t="n"/>
      <c r="D21" s="28" t="n"/>
      <c r="E21" s="28" t="n"/>
      <c r="F21" s="29" t="n"/>
      <c r="G21" s="28" t="n"/>
      <c r="H21" s="28" t="n"/>
    </row>
    <row r="22">
      <c r="A22" s="28" t="n"/>
      <c r="B22" s="28" t="n"/>
      <c r="C22" s="28" t="n"/>
      <c r="D22" s="28" t="n"/>
      <c r="E22" s="28" t="n"/>
      <c r="F22" s="29" t="n"/>
      <c r="G22" s="28" t="n"/>
      <c r="H22" s="28" t="n"/>
    </row>
    <row r="23">
      <c r="A23" s="28" t="n"/>
      <c r="B23" s="28" t="n"/>
      <c r="C23" s="28" t="n"/>
      <c r="D23" s="28" t="n"/>
      <c r="E23" s="28" t="n"/>
      <c r="F23" s="29" t="n"/>
      <c r="G23" s="28" t="n"/>
      <c r="H23" s="28" t="n"/>
    </row>
    <row r="24">
      <c r="A24" s="28" t="n"/>
      <c r="B24" s="28" t="n"/>
      <c r="C24" s="28" t="n"/>
      <c r="D24" s="28" t="n"/>
      <c r="E24" s="28" t="n"/>
      <c r="F24" s="29" t="n"/>
      <c r="G24" s="28" t="n"/>
      <c r="H24" s="28" t="n"/>
    </row>
    <row r="25">
      <c r="A25" s="28" t="n"/>
      <c r="B25" s="28" t="n"/>
      <c r="C25" s="28" t="n"/>
      <c r="D25" s="28" t="n"/>
      <c r="E25" s="28" t="n"/>
      <c r="F25" s="29" t="n"/>
      <c r="G25" s="28" t="n"/>
      <c r="H25" s="28" t="n"/>
    </row>
    <row r="26">
      <c r="A26" s="28" t="n"/>
      <c r="B26" s="28" t="n"/>
      <c r="C26" s="28" t="n"/>
      <c r="D26" s="28" t="n"/>
      <c r="E26" s="28" t="n"/>
      <c r="F26" s="29" t="n"/>
      <c r="G26" s="28" t="n"/>
      <c r="H26" s="28" t="n"/>
    </row>
    <row r="27">
      <c r="A27" s="28" t="n"/>
      <c r="B27" s="28" t="n"/>
      <c r="C27" s="28" t="n"/>
      <c r="D27" s="28" t="n"/>
      <c r="E27" s="28" t="n"/>
      <c r="F27" s="29" t="n"/>
      <c r="G27" s="28" t="n"/>
      <c r="H27" s="28" t="n"/>
    </row>
    <row r="28">
      <c r="A28" s="28" t="n"/>
      <c r="B28" s="28" t="n"/>
      <c r="C28" s="28" t="n"/>
      <c r="D28" s="28" t="n"/>
      <c r="E28" s="28" t="n"/>
      <c r="F28" s="29" t="n"/>
      <c r="G28" s="28" t="n"/>
      <c r="H28" s="28" t="n"/>
    </row>
    <row r="29">
      <c r="A29" s="28" t="n"/>
      <c r="B29" s="28" t="n"/>
      <c r="C29" s="28" t="n"/>
      <c r="D29" s="28" t="n"/>
      <c r="E29" s="28" t="n"/>
      <c r="F29" s="29" t="n"/>
      <c r="G29" s="28" t="n"/>
      <c r="H29" s="28" t="n"/>
    </row>
    <row r="30">
      <c r="A30" s="28" t="n"/>
      <c r="B30" s="28" t="n"/>
      <c r="C30" s="28" t="n"/>
      <c r="D30" s="28" t="n"/>
      <c r="E30" s="28" t="n"/>
      <c r="F30" s="29" t="n"/>
      <c r="G30" s="28" t="n"/>
      <c r="H30" s="28" t="n"/>
    </row>
    <row r="31">
      <c r="A31" s="28" t="n"/>
      <c r="B31" s="28" t="n"/>
      <c r="C31" s="28" t="n"/>
      <c r="D31" s="28" t="n"/>
      <c r="E31" s="28" t="n"/>
      <c r="F31" s="29" t="n"/>
      <c r="G31" s="28" t="n"/>
      <c r="H31" s="28" t="n"/>
    </row>
    <row r="32">
      <c r="A32" s="28" t="n"/>
      <c r="B32" s="28" t="n"/>
      <c r="C32" s="28" t="n"/>
      <c r="D32" s="28" t="n"/>
      <c r="E32" s="28" t="n"/>
      <c r="F32" s="29" t="n"/>
      <c r="G32" s="28" t="n"/>
      <c r="H32" s="28" t="n"/>
    </row>
    <row r="33">
      <c r="A33" s="28" t="n"/>
      <c r="B33" s="28" t="n"/>
      <c r="C33" s="28" t="n"/>
      <c r="D33" s="28" t="n"/>
      <c r="E33" s="28" t="n"/>
      <c r="F33" s="29" t="n"/>
      <c r="G33" s="28" t="n"/>
      <c r="H33" s="28" t="n"/>
    </row>
    <row r="34">
      <c r="A34" s="28" t="n"/>
      <c r="B34" s="28" t="n"/>
      <c r="C34" s="28" t="n"/>
      <c r="D34" s="28" t="n"/>
      <c r="E34" s="28" t="n"/>
      <c r="F34" s="29" t="n"/>
      <c r="G34" s="28" t="n"/>
      <c r="H34" s="28" t="n"/>
    </row>
    <row r="35">
      <c r="A35" s="28" t="n"/>
      <c r="B35" s="28" t="n"/>
      <c r="C35" s="28" t="n"/>
      <c r="D35" s="28" t="n"/>
      <c r="E35" s="28" t="n"/>
      <c r="F35" s="29" t="n"/>
      <c r="G35" s="28" t="n"/>
      <c r="H35" s="28" t="n"/>
    </row>
    <row r="36">
      <c r="A36" s="28" t="n"/>
      <c r="B36" s="28" t="n"/>
      <c r="C36" s="28" t="n"/>
      <c r="D36" s="28" t="n"/>
      <c r="E36" s="28" t="n"/>
      <c r="F36" s="29" t="n"/>
      <c r="G36" s="28" t="n"/>
      <c r="H36" s="28" t="n"/>
    </row>
    <row r="37">
      <c r="A37" s="28" t="n"/>
      <c r="B37" s="28" t="n"/>
      <c r="C37" s="28" t="n"/>
      <c r="D37" s="28" t="n"/>
      <c r="E37" s="28" t="n"/>
      <c r="F37" s="29" t="n"/>
      <c r="G37" s="28" t="n"/>
      <c r="H37" s="28" t="n"/>
    </row>
    <row r="38">
      <c r="A38" s="28" t="n"/>
      <c r="B38" s="28" t="n"/>
      <c r="C38" s="28" t="n"/>
      <c r="D38" s="28" t="n"/>
      <c r="E38" s="28" t="n"/>
      <c r="F38" s="29" t="n"/>
      <c r="G38" s="28" t="n"/>
      <c r="H38" s="28" t="n"/>
    </row>
    <row r="39">
      <c r="A39" s="28" t="n"/>
      <c r="B39" s="28" t="n"/>
      <c r="C39" s="28" t="n"/>
      <c r="D39" s="28" t="n"/>
      <c r="E39" s="28" t="n"/>
      <c r="F39" s="29" t="n"/>
      <c r="G39" s="28" t="n"/>
      <c r="H39" s="28" t="n"/>
    </row>
    <row r="40">
      <c r="A40" s="28" t="n"/>
      <c r="B40" s="28" t="n"/>
      <c r="C40" s="28" t="n"/>
      <c r="D40" s="28" t="n"/>
      <c r="E40" s="28" t="n"/>
      <c r="F40" s="29" t="n"/>
      <c r="G40" s="28" t="n"/>
      <c r="H40" s="28" t="n"/>
    </row>
    <row r="41">
      <c r="A41" s="28" t="n"/>
      <c r="B41" s="28" t="n"/>
      <c r="C41" s="28" t="n"/>
      <c r="D41" s="28" t="n"/>
      <c r="E41" s="28" t="n"/>
      <c r="F41" s="29" t="n"/>
      <c r="G41" s="28" t="n"/>
      <c r="H41" s="28" t="n"/>
    </row>
    <row r="42">
      <c r="A42" s="28" t="n"/>
      <c r="B42" s="28" t="n"/>
      <c r="C42" s="28" t="n"/>
      <c r="D42" s="28" t="n"/>
      <c r="E42" s="28" t="n"/>
      <c r="F42" s="29" t="n"/>
      <c r="G42" s="28" t="n"/>
      <c r="H42" s="28" t="n"/>
    </row>
    <row r="43">
      <c r="A43" s="28" t="n"/>
      <c r="B43" s="28" t="n"/>
      <c r="C43" s="28" t="n"/>
      <c r="D43" s="28" t="n"/>
      <c r="E43" s="28" t="n"/>
      <c r="F43" s="29" t="n"/>
      <c r="G43" s="28" t="n"/>
      <c r="H43" s="28" t="n"/>
    </row>
    <row r="44">
      <c r="A44" s="28" t="n"/>
      <c r="B44" s="28" t="n"/>
      <c r="C44" s="28" t="n"/>
      <c r="D44" s="28" t="n"/>
      <c r="E44" s="28" t="n"/>
      <c r="F44" s="29" t="n"/>
      <c r="G44" s="28" t="n"/>
      <c r="H44" s="28" t="n"/>
    </row>
    <row r="45">
      <c r="A45" s="28" t="n"/>
      <c r="B45" s="28" t="n"/>
      <c r="C45" s="28" t="n"/>
      <c r="D45" s="28" t="n"/>
      <c r="E45" s="28" t="n"/>
      <c r="F45" s="29" t="n"/>
      <c r="G45" s="28" t="n"/>
      <c r="H45" s="28" t="n"/>
    </row>
    <row r="46">
      <c r="A46" s="28" t="n"/>
      <c r="B46" s="28" t="n"/>
      <c r="C46" s="28" t="n"/>
      <c r="D46" s="28" t="n"/>
      <c r="E46" s="28" t="n"/>
      <c r="F46" s="29" t="n"/>
      <c r="G46" s="28" t="n"/>
      <c r="H46" s="28" t="n"/>
    </row>
    <row r="47">
      <c r="A47" s="28" t="n"/>
      <c r="B47" s="28" t="n"/>
      <c r="C47" s="28" t="n"/>
      <c r="D47" s="28" t="n"/>
      <c r="E47" s="28" t="n"/>
      <c r="F47" s="29" t="n"/>
      <c r="G47" s="28" t="n"/>
      <c r="H47" s="28" t="n"/>
    </row>
    <row r="48">
      <c r="A48" s="28" t="n"/>
      <c r="B48" s="28" t="n"/>
      <c r="C48" s="28" t="n"/>
      <c r="D48" s="28" t="n"/>
      <c r="E48" s="28" t="n"/>
      <c r="F48" s="29" t="n"/>
      <c r="G48" s="28" t="n"/>
      <c r="H48" s="28" t="n"/>
    </row>
    <row r="49">
      <c r="A49" s="28" t="n"/>
      <c r="B49" s="28" t="n"/>
      <c r="C49" s="28" t="n"/>
      <c r="D49" s="28" t="n"/>
      <c r="E49" s="28" t="n"/>
      <c r="F49" s="29" t="n"/>
      <c r="G49" s="28" t="n"/>
      <c r="H49" s="28" t="n"/>
    </row>
    <row r="50">
      <c r="A50" s="28" t="n"/>
      <c r="B50" s="28" t="n"/>
      <c r="C50" s="28" t="n"/>
      <c r="D50" s="28" t="n"/>
      <c r="E50" s="28" t="n"/>
      <c r="F50" s="29" t="n"/>
      <c r="G50" s="28" t="n"/>
      <c r="H50" s="28" t="n"/>
    </row>
    <row r="51">
      <c r="A51" s="28" t="n"/>
      <c r="B51" s="28" t="n"/>
      <c r="C51" s="28" t="n"/>
      <c r="D51" s="28" t="n"/>
      <c r="E51" s="28" t="n"/>
      <c r="F51" s="29" t="n"/>
      <c r="G51" s="28" t="n"/>
      <c r="H51" s="28" t="n"/>
    </row>
    <row r="52">
      <c r="A52" s="28" t="n"/>
      <c r="B52" s="28" t="n"/>
      <c r="C52" s="28" t="n"/>
      <c r="D52" s="28" t="n"/>
      <c r="E52" s="28" t="n"/>
      <c r="F52" s="29" t="n"/>
      <c r="G52" s="28" t="n"/>
      <c r="H52" s="28" t="n"/>
    </row>
    <row r="53">
      <c r="A53" s="28" t="n"/>
      <c r="B53" s="28" t="n"/>
      <c r="C53" s="28" t="n"/>
      <c r="D53" s="28" t="n"/>
      <c r="E53" s="28" t="n"/>
      <c r="F53" s="29" t="n"/>
      <c r="G53" s="28" t="n"/>
      <c r="H53" s="28" t="n"/>
    </row>
    <row r="54">
      <c r="A54" s="28" t="n"/>
      <c r="B54" s="28" t="n"/>
      <c r="C54" s="28" t="n"/>
      <c r="D54" s="28" t="n"/>
      <c r="E54" s="28" t="n"/>
      <c r="F54" s="29" t="n"/>
      <c r="G54" s="28" t="n"/>
      <c r="H54" s="28" t="n"/>
    </row>
    <row r="55">
      <c r="A55" s="28" t="n"/>
      <c r="B55" s="28" t="n"/>
      <c r="C55" s="28" t="n"/>
      <c r="D55" s="28" t="n"/>
      <c r="E55" s="28" t="n"/>
      <c r="F55" s="29" t="n"/>
      <c r="G55" s="28" t="n"/>
      <c r="H55" s="28" t="n"/>
    </row>
    <row r="56">
      <c r="A56" s="28" t="n"/>
      <c r="B56" s="28" t="n"/>
      <c r="C56" s="28" t="n"/>
      <c r="D56" s="28" t="n"/>
      <c r="E56" s="28" t="n"/>
      <c r="F56" s="29" t="n"/>
      <c r="G56" s="28" t="n"/>
      <c r="H56" s="28" t="n"/>
    </row>
    <row r="57">
      <c r="A57" s="28" t="n"/>
      <c r="B57" s="28" t="n"/>
      <c r="C57" s="28" t="n"/>
      <c r="D57" s="28" t="n"/>
      <c r="E57" s="28" t="n"/>
      <c r="F57" s="29" t="n"/>
      <c r="G57" s="28" t="n"/>
      <c r="H57" s="28" t="n"/>
    </row>
    <row r="58">
      <c r="A58" s="28" t="n"/>
      <c r="B58" s="28" t="n"/>
      <c r="C58" s="28" t="n"/>
      <c r="D58" s="28" t="n"/>
      <c r="E58" s="28" t="n"/>
      <c r="F58" s="29" t="n"/>
      <c r="G58" s="28" t="n"/>
      <c r="H58" s="28" t="n"/>
    </row>
    <row r="59">
      <c r="A59" s="28" t="n"/>
      <c r="B59" s="28" t="n"/>
      <c r="C59" s="28" t="n"/>
      <c r="D59" s="28" t="n"/>
      <c r="E59" s="28" t="n"/>
      <c r="F59" s="29" t="n"/>
      <c r="G59" s="28" t="n"/>
      <c r="H59" s="28" t="n"/>
    </row>
    <row r="60">
      <c r="A60" s="28" t="n"/>
      <c r="B60" s="28" t="n"/>
      <c r="C60" s="28" t="n"/>
      <c r="D60" s="28" t="n"/>
      <c r="E60" s="28" t="n"/>
      <c r="F60" s="29" t="n"/>
      <c r="G60" s="28" t="n"/>
      <c r="H60" s="28" t="n"/>
    </row>
    <row r="61">
      <c r="A61" s="28" t="n"/>
      <c r="B61" s="28" t="n"/>
      <c r="C61" s="28" t="n"/>
      <c r="D61" s="28" t="n"/>
      <c r="E61" s="28" t="n"/>
      <c r="F61" s="29" t="n"/>
      <c r="G61" s="28" t="n"/>
      <c r="H61" s="28" t="n"/>
    </row>
    <row r="62">
      <c r="A62" s="28" t="n"/>
      <c r="B62" s="28" t="n"/>
      <c r="C62" s="28" t="n"/>
      <c r="D62" s="28" t="n"/>
      <c r="E62" s="28" t="n"/>
      <c r="F62" s="29" t="n"/>
      <c r="G62" s="28" t="n"/>
      <c r="H62" s="28" t="n"/>
    </row>
    <row r="63">
      <c r="A63" s="28" t="n"/>
      <c r="B63" s="28" t="n"/>
      <c r="C63" s="28" t="n"/>
      <c r="D63" s="28" t="n"/>
      <c r="E63" s="28" t="n"/>
      <c r="F63" s="29" t="n"/>
      <c r="G63" s="28" t="n"/>
      <c r="H63" s="28" t="n"/>
    </row>
    <row r="64">
      <c r="A64" s="28" t="n"/>
      <c r="B64" s="28" t="n"/>
      <c r="C64" s="28" t="n"/>
      <c r="D64" s="28" t="n"/>
      <c r="E64" s="28" t="n"/>
      <c r="F64" s="29" t="n"/>
      <c r="G64" s="28" t="n"/>
      <c r="H64" s="28" t="n"/>
    </row>
    <row r="65">
      <c r="A65" s="28" t="n"/>
      <c r="B65" s="28" t="n"/>
      <c r="C65" s="28" t="n"/>
      <c r="D65" s="28" t="n"/>
      <c r="E65" s="28" t="n"/>
      <c r="F65" s="29" t="n"/>
      <c r="G65" s="28" t="n"/>
      <c r="H65" s="28" t="n"/>
    </row>
    <row r="66">
      <c r="A66" s="28" t="n"/>
      <c r="B66" s="28" t="n"/>
      <c r="C66" s="28" t="n"/>
      <c r="D66" s="28" t="n"/>
      <c r="E66" s="28" t="n"/>
      <c r="F66" s="29" t="n"/>
      <c r="G66" s="28" t="n"/>
      <c r="H66" s="28" t="n"/>
    </row>
    <row r="67">
      <c r="A67" s="28" t="n"/>
      <c r="B67" s="28" t="n"/>
      <c r="C67" s="28" t="n"/>
      <c r="D67" s="28" t="n"/>
      <c r="E67" s="28" t="n"/>
      <c r="F67" s="29" t="n"/>
      <c r="G67" s="28" t="n"/>
      <c r="H67" s="28" t="n"/>
    </row>
    <row r="68">
      <c r="A68" s="28" t="n"/>
      <c r="B68" s="28" t="n"/>
      <c r="C68" s="28" t="n"/>
      <c r="D68" s="28" t="n"/>
      <c r="E68" s="28" t="n"/>
      <c r="F68" s="29" t="n"/>
      <c r="G68" s="28" t="n"/>
      <c r="H68" s="28" t="n"/>
    </row>
    <row r="69">
      <c r="A69" s="28" t="n"/>
      <c r="B69" s="28" t="n"/>
      <c r="C69" s="28" t="n"/>
      <c r="D69" s="28" t="n"/>
      <c r="E69" s="28" t="n"/>
      <c r="F69" s="29" t="n"/>
      <c r="G69" s="28" t="n"/>
      <c r="H69" s="28" t="n"/>
    </row>
    <row r="70">
      <c r="A70" s="28" t="n"/>
      <c r="B70" s="28" t="n"/>
      <c r="C70" s="28" t="n"/>
      <c r="D70" s="28" t="n"/>
      <c r="E70" s="28" t="n"/>
      <c r="F70" s="29" t="n"/>
      <c r="G70" s="28" t="n"/>
      <c r="H70" s="28" t="n"/>
    </row>
    <row r="71">
      <c r="A71" s="28" t="n"/>
      <c r="B71" s="28" t="n"/>
      <c r="C71" s="28" t="n"/>
      <c r="D71" s="28" t="n"/>
      <c r="E71" s="28" t="n"/>
      <c r="F71" s="29" t="n"/>
      <c r="G71" s="28" t="n"/>
      <c r="H71" s="28" t="n"/>
    </row>
    <row r="72">
      <c r="A72" s="28" t="n"/>
      <c r="B72" s="28" t="n"/>
      <c r="C72" s="28" t="n"/>
      <c r="D72" s="28" t="n"/>
      <c r="E72" s="28" t="n"/>
      <c r="F72" s="29" t="n"/>
      <c r="G72" s="28" t="n"/>
      <c r="H72" s="28" t="n"/>
    </row>
    <row r="73">
      <c r="A73" s="28" t="n"/>
      <c r="B73" s="28" t="n"/>
      <c r="C73" s="28" t="n"/>
      <c r="D73" s="28" t="n"/>
      <c r="E73" s="28" t="n"/>
      <c r="F73" s="29" t="n"/>
      <c r="G73" s="28" t="n"/>
      <c r="H73" s="28" t="n"/>
    </row>
    <row r="74">
      <c r="A74" s="28" t="n"/>
      <c r="B74" s="28" t="n"/>
      <c r="C74" s="28" t="n"/>
      <c r="D74" s="28" t="n"/>
      <c r="E74" s="28" t="n"/>
      <c r="F74" s="29" t="n"/>
      <c r="G74" s="28" t="n"/>
      <c r="H74" s="28" t="n"/>
    </row>
    <row r="75">
      <c r="A75" s="28" t="n"/>
      <c r="B75" s="28" t="n"/>
      <c r="C75" s="28" t="n"/>
      <c r="D75" s="28" t="n"/>
      <c r="E75" s="28" t="n"/>
      <c r="F75" s="29" t="n"/>
      <c r="G75" s="28" t="n"/>
      <c r="H75" s="28" t="n"/>
    </row>
    <row r="76">
      <c r="A76" s="28" t="n"/>
      <c r="B76" s="28" t="n"/>
      <c r="C76" s="28" t="n"/>
      <c r="D76" s="28" t="n"/>
      <c r="E76" s="28" t="n"/>
      <c r="F76" s="29" t="n"/>
      <c r="G76" s="28" t="n"/>
      <c r="H76" s="28" t="n"/>
    </row>
    <row r="77">
      <c r="A77" s="28" t="n"/>
      <c r="B77" s="28" t="n"/>
      <c r="C77" s="28" t="n"/>
      <c r="D77" s="28" t="n"/>
      <c r="E77" s="28" t="n"/>
      <c r="F77" s="29" t="n"/>
      <c r="G77" s="28" t="n"/>
      <c r="H77" s="28" t="n"/>
    </row>
    <row r="78">
      <c r="A78" s="28" t="n"/>
      <c r="B78" s="28" t="n"/>
      <c r="C78" s="28" t="n"/>
      <c r="D78" s="28" t="n"/>
      <c r="E78" s="28" t="n"/>
      <c r="F78" s="29" t="n"/>
      <c r="G78" s="28" t="n"/>
      <c r="H78" s="28" t="n"/>
    </row>
    <row r="79">
      <c r="A79" s="28" t="n"/>
      <c r="B79" s="28" t="n"/>
      <c r="C79" s="28" t="n"/>
      <c r="D79" s="28" t="n"/>
      <c r="E79" s="28" t="n"/>
      <c r="F79" s="29" t="n"/>
      <c r="G79" s="28" t="n"/>
      <c r="H79" s="28" t="n"/>
    </row>
    <row r="80">
      <c r="A80" s="28" t="n"/>
      <c r="B80" s="28" t="n"/>
      <c r="C80" s="28" t="n"/>
      <c r="D80" s="28" t="n"/>
      <c r="E80" s="28" t="n"/>
      <c r="F80" s="29" t="n"/>
      <c r="G80" s="28" t="n"/>
      <c r="H80" s="28" t="n"/>
    </row>
    <row r="81">
      <c r="A81" s="28" t="n"/>
      <c r="B81" s="28" t="n"/>
      <c r="C81" s="28" t="n"/>
      <c r="D81" s="28" t="n"/>
      <c r="E81" s="28" t="n"/>
      <c r="F81" s="29" t="n"/>
      <c r="G81" s="28" t="n"/>
      <c r="H81" s="28" t="n"/>
    </row>
    <row r="82">
      <c r="A82" s="28" t="n"/>
      <c r="B82" s="28" t="n"/>
      <c r="C82" s="28" t="n"/>
      <c r="D82" s="28" t="n"/>
      <c r="E82" s="28" t="n"/>
      <c r="F82" s="29" t="n"/>
      <c r="G82" s="28" t="n"/>
      <c r="H82" s="28" t="n"/>
    </row>
    <row r="83">
      <c r="A83" s="28" t="n"/>
      <c r="B83" s="28" t="n"/>
      <c r="C83" s="28" t="n"/>
      <c r="D83" s="28" t="n"/>
      <c r="E83" s="28" t="n"/>
      <c r="F83" s="29" t="n"/>
      <c r="G83" s="28" t="n"/>
      <c r="H83" s="28" t="n"/>
    </row>
    <row r="84">
      <c r="A84" s="28" t="n"/>
      <c r="B84" s="28" t="n"/>
      <c r="C84" s="28" t="n"/>
      <c r="D84" s="28" t="n"/>
      <c r="E84" s="28" t="n"/>
      <c r="F84" s="29" t="n"/>
      <c r="G84" s="28" t="n"/>
      <c r="H84" s="28" t="n"/>
    </row>
    <row r="85">
      <c r="A85" s="28" t="n"/>
      <c r="B85" s="28" t="n"/>
      <c r="C85" s="28" t="n"/>
      <c r="D85" s="28" t="n"/>
      <c r="E85" s="28" t="n"/>
      <c r="F85" s="29" t="n"/>
      <c r="G85" s="28" t="n"/>
      <c r="H85" s="28" t="n"/>
    </row>
    <row r="86">
      <c r="A86" s="28" t="n"/>
      <c r="B86" s="28" t="n"/>
      <c r="C86" s="28" t="n"/>
      <c r="D86" s="28" t="n"/>
      <c r="E86" s="28" t="n"/>
      <c r="F86" s="29" t="n"/>
      <c r="G86" s="28" t="n"/>
      <c r="H86" s="28" t="n"/>
    </row>
    <row r="87">
      <c r="A87" s="28" t="n"/>
      <c r="B87" s="28" t="n"/>
      <c r="C87" s="28" t="n"/>
      <c r="D87" s="28" t="n"/>
      <c r="E87" s="28" t="n"/>
      <c r="F87" s="29" t="n"/>
      <c r="G87" s="28" t="n"/>
      <c r="H87" s="28" t="n"/>
    </row>
    <row r="88">
      <c r="A88" s="28" t="n"/>
      <c r="B88" s="28" t="n"/>
      <c r="C88" s="28" t="n"/>
      <c r="D88" s="28" t="n"/>
      <c r="E88" s="28" t="n"/>
      <c r="F88" s="29" t="n"/>
      <c r="G88" s="28" t="n"/>
      <c r="H88" s="28" t="n"/>
    </row>
    <row r="89">
      <c r="A89" s="28" t="n"/>
      <c r="B89" s="28" t="n"/>
      <c r="C89" s="28" t="n"/>
      <c r="D89" s="28" t="n"/>
      <c r="E89" s="28" t="n"/>
      <c r="F89" s="29" t="n"/>
      <c r="G89" s="28" t="n"/>
      <c r="H89" s="28" t="n"/>
    </row>
    <row r="90">
      <c r="A90" s="28" t="n"/>
      <c r="B90" s="28" t="n"/>
      <c r="C90" s="28" t="n"/>
      <c r="D90" s="28" t="n"/>
      <c r="E90" s="28" t="n"/>
      <c r="F90" s="29" t="n"/>
      <c r="G90" s="28" t="n"/>
      <c r="H90" s="28" t="n"/>
    </row>
    <row r="91">
      <c r="A91" s="28" t="n"/>
      <c r="B91" s="28" t="n"/>
      <c r="C91" s="28" t="n"/>
      <c r="D91" s="28" t="n"/>
      <c r="E91" s="28" t="n"/>
      <c r="F91" s="29" t="n"/>
      <c r="G91" s="28" t="n"/>
      <c r="H91" s="28" t="n"/>
    </row>
    <row r="92">
      <c r="A92" s="28" t="n"/>
      <c r="B92" s="28" t="n"/>
      <c r="C92" s="28" t="n"/>
      <c r="D92" s="28" t="n"/>
      <c r="E92" s="28" t="n"/>
      <c r="F92" s="29" t="n"/>
      <c r="G92" s="28" t="n"/>
      <c r="H92" s="28" t="n"/>
    </row>
    <row r="93">
      <c r="A93" s="28" t="n"/>
      <c r="B93" s="28" t="n"/>
      <c r="C93" s="28" t="n"/>
      <c r="D93" s="28" t="n"/>
      <c r="E93" s="28" t="n"/>
      <c r="F93" s="29" t="n"/>
      <c r="G93" s="28" t="n"/>
      <c r="H93" s="28" t="n"/>
    </row>
    <row r="94">
      <c r="A94" s="28" t="n"/>
      <c r="B94" s="28" t="n"/>
      <c r="C94" s="28" t="n"/>
      <c r="D94" s="28" t="n"/>
      <c r="E94" s="28" t="n"/>
      <c r="F94" s="29" t="n"/>
      <c r="G94" s="28" t="n"/>
      <c r="H94" s="28" t="n"/>
    </row>
    <row r="95">
      <c r="A95" s="28" t="n"/>
      <c r="B95" s="28" t="n"/>
      <c r="C95" s="28" t="n"/>
      <c r="D95" s="28" t="n"/>
      <c r="E95" s="28" t="n"/>
      <c r="F95" s="29" t="n"/>
      <c r="G95" s="28" t="n"/>
      <c r="H95" s="28" t="n"/>
    </row>
    <row r="96">
      <c r="A96" s="28" t="n"/>
      <c r="B96" s="28" t="n"/>
      <c r="C96" s="28" t="n"/>
      <c r="D96" s="28" t="n"/>
      <c r="E96" s="28" t="n"/>
      <c r="F96" s="29" t="n"/>
      <c r="G96" s="28" t="n"/>
      <c r="H96" s="28" t="n"/>
    </row>
    <row r="97">
      <c r="A97" s="28" t="n"/>
      <c r="B97" s="28" t="n"/>
      <c r="C97" s="28" t="n"/>
      <c r="D97" s="28" t="n"/>
      <c r="E97" s="28" t="n"/>
      <c r="F97" s="29" t="n"/>
      <c r="G97" s="28" t="n"/>
      <c r="H97" s="28" t="n"/>
    </row>
    <row r="98">
      <c r="A98" s="28" t="n"/>
      <c r="B98" s="28" t="n"/>
      <c r="C98" s="28" t="n"/>
      <c r="D98" s="28" t="n"/>
      <c r="E98" s="28" t="n"/>
      <c r="F98" s="29" t="n"/>
      <c r="G98" s="28" t="n"/>
      <c r="H98" s="28" t="n"/>
    </row>
    <row r="99">
      <c r="A99" s="28" t="n"/>
      <c r="B99" s="28" t="n"/>
      <c r="C99" s="28" t="n"/>
      <c r="D99" s="28" t="n"/>
      <c r="E99" s="28" t="n"/>
      <c r="F99" s="29" t="n"/>
      <c r="G99" s="28" t="n"/>
      <c r="H99" s="28" t="n"/>
    </row>
    <row r="100">
      <c r="A100" s="28" t="n"/>
      <c r="B100" s="28" t="n"/>
      <c r="C100" s="28" t="n"/>
      <c r="D100" s="28" t="n"/>
      <c r="E100" s="28" t="n"/>
      <c r="F100" s="29" t="n"/>
      <c r="G100" s="28" t="n"/>
      <c r="H100" s="28" t="n"/>
    </row>
    <row r="101">
      <c r="A101" s="28" t="n"/>
      <c r="B101" s="28" t="n"/>
      <c r="C101" s="28" t="n"/>
      <c r="D101" s="28" t="n"/>
      <c r="E101" s="28" t="n"/>
      <c r="F101" s="29" t="n"/>
      <c r="G101" s="28" t="n"/>
      <c r="H101" s="28" t="n"/>
    </row>
    <row r="102">
      <c r="A102" s="28" t="n"/>
      <c r="B102" s="28" t="n"/>
      <c r="C102" s="28" t="n"/>
      <c r="D102" s="28" t="n"/>
      <c r="E102" s="28" t="n"/>
      <c r="F102" s="29" t="n"/>
      <c r="G102" s="28" t="n"/>
      <c r="H102" s="28" t="n"/>
    </row>
    <row r="103">
      <c r="A103" s="28" t="n"/>
      <c r="B103" s="28" t="n"/>
      <c r="C103" s="28" t="n"/>
      <c r="D103" s="28" t="n"/>
      <c r="E103" s="28" t="n"/>
      <c r="F103" s="29" t="n"/>
      <c r="G103" s="28" t="n"/>
      <c r="H103" s="28" t="n"/>
    </row>
    <row r="104">
      <c r="A104" s="28" t="n"/>
      <c r="B104" s="28" t="n"/>
      <c r="C104" s="28" t="n"/>
      <c r="D104" s="28" t="n"/>
      <c r="E104" s="28" t="n"/>
      <c r="F104" s="29" t="n"/>
      <c r="G104" s="28" t="n"/>
      <c r="H104" s="28" t="n"/>
    </row>
    <row r="105">
      <c r="A105" s="28" t="n"/>
      <c r="B105" s="28" t="n"/>
      <c r="C105" s="28" t="n"/>
      <c r="D105" s="28" t="n"/>
      <c r="E105" s="28" t="n"/>
      <c r="F105" s="29" t="n"/>
      <c r="G105" s="28" t="n"/>
      <c r="H105" s="28" t="n"/>
    </row>
  </sheetData>
  <mergeCells count="2">
    <mergeCell ref="A2:H2"/>
    <mergeCell ref="A1:H1"/>
  </mergeCells>
  <dataValidations count="2">
    <dataValidation sqref="C6:C105" showDropDown="0" showInputMessage="0" showErrorMessage="0" allowBlank="1" type="list">
      <formula1>"Log sample,Configuration file,Screenshot,SIEM query result,Documentation,Policy document,Audit log,Compliance report,Other"</formula1>
    </dataValidation>
    <dataValidation sqref="H6:H105" showDropDown="0" showInputMessage="0" showErrorMessage="0" allowBlank="1" type="list">
      <formula1>"Verified,Pending verification,Not verified,Requires update"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</cols>
  <sheetData>
    <row r="1" ht="35" customHeight="1">
      <c r="A1" s="30" t="inlineStr">
        <is>
          <t>{WORKBOOK_NAME} — SUMMARY DASHBOARD</t>
        </is>
      </c>
    </row>
    <row r="2">
      <c r="A2" s="31" t="inlineStr">
        <is>
          <t>ISO/IEC 27001:2022 A.8.15 requires event logs recording user activities, exceptions, faults and security events to be produced. This assessment evaluates log source completeness across all in-scope systems.</t>
        </is>
      </c>
    </row>
    <row r="4">
      <c r="A4" s="32" t="inlineStr">
        <is>
          <t>TABLE 1 — COMPLIANCE OVERVIEW BY ASSESSMENT AREA</t>
        </is>
      </c>
    </row>
    <row r="5">
      <c r="A5" s="33" t="inlineStr">
        <is>
          <t>Assessment Area</t>
        </is>
      </c>
      <c r="B5" s="33" t="inlineStr">
        <is>
          <t>Total Items</t>
        </is>
      </c>
      <c r="C5" s="33" t="inlineStr">
        <is>
          <t>Compliant</t>
        </is>
      </c>
      <c r="D5" s="33" t="inlineStr">
        <is>
          <t>Partial</t>
        </is>
      </c>
      <c r="E5" s="33" t="inlineStr">
        <is>
          <t>Non-Compliant</t>
        </is>
      </c>
      <c r="F5" s="33" t="inlineStr">
        <is>
          <t>N/A</t>
        </is>
      </c>
      <c r="G5" s="33" t="inlineStr">
        <is>
          <t>Compliance %</t>
        </is>
      </c>
    </row>
    <row r="6">
      <c r="A6" s="34" t="inlineStr">
        <is>
          <t>System Inventory Completeness</t>
        </is>
      </c>
      <c r="B6" s="35">
        <f>C6+D6+E6+F6</f>
        <v/>
      </c>
      <c r="C6" s="35">
        <f>COUNTIF('System Inventory'!Q6:Q55,"Compliant")</f>
        <v/>
      </c>
      <c r="D6" s="35">
        <f>COUNTIF('System Inventory'!Q6:Q55,"Partial")</f>
        <v/>
      </c>
      <c r="E6" s="35">
        <f>COUNTIF('System Inventory'!Q6:Q55,"Non-Compliant")</f>
        <v/>
      </c>
      <c r="F6" s="35">
        <f>0</f>
        <v/>
      </c>
      <c r="G6" s="36">
        <f>IF((B6-F6)=0,0,C6/(B6-F6))</f>
        <v/>
      </c>
    </row>
    <row r="7">
      <c r="A7" s="34" t="inlineStr">
        <is>
          <t>Authentication Event Logging</t>
        </is>
      </c>
      <c r="B7" s="35">
        <f>C7+D7+E7+F7</f>
        <v/>
      </c>
      <c r="C7" s="35">
        <f>COUNTIF('Authentication Logging'!P6:P55,100)</f>
        <v/>
      </c>
      <c r="D7" s="35">
        <f>COUNTIFS('Authentication Logging'!P6:P55,"&gt;0",'Authentication Logging'!P6:P55,"&lt;100")</f>
        <v/>
      </c>
      <c r="E7" s="35">
        <f>COUNTIFS('Authentication Logging'!A6:A55,"&lt;&gt;",'Authentication Logging'!P6:P55,0)</f>
        <v/>
      </c>
      <c r="F7" s="35">
        <f>0</f>
        <v/>
      </c>
      <c r="G7" s="36">
        <f>IF((B7-F7)=0,0,C7/(B7-F7))</f>
        <v/>
      </c>
    </row>
    <row r="8">
      <c r="A8" s="34" t="inlineStr">
        <is>
          <t>Authorisation &amp; Access Logging</t>
        </is>
      </c>
      <c r="B8" s="35">
        <f>C8+D8+E8+F8</f>
        <v/>
      </c>
      <c r="C8" s="35">
        <f>COUNTIF('Authorisation &amp; Access'!P6:P55,100)</f>
        <v/>
      </c>
      <c r="D8" s="35">
        <f>COUNTIFS('Authorisation &amp; Access'!P6:P55,"&gt;0",'Authorisation &amp; Access'!P6:P55,"&lt;100")</f>
        <v/>
      </c>
      <c r="E8" s="35">
        <f>COUNTIFS('Authorisation &amp; Access'!A6:A55,"&lt;&gt;",'Authorisation &amp; Access'!P6:P55,0)</f>
        <v/>
      </c>
      <c r="F8" s="35">
        <f>0</f>
        <v/>
      </c>
      <c r="G8" s="36">
        <f>IF((B8-F8)=0,0,C8/(B8-F8))</f>
        <v/>
      </c>
    </row>
    <row r="9">
      <c r="A9" s="34" t="inlineStr">
        <is>
          <t>Administrative Activity Logging</t>
        </is>
      </c>
      <c r="B9" s="35">
        <f>C9+D9+E9+F9</f>
        <v/>
      </c>
      <c r="C9" s="35">
        <f>COUNTIF('Administrative Activity'!P6:P55,100)</f>
        <v/>
      </c>
      <c r="D9" s="35">
        <f>COUNTIFS('Administrative Activity'!P6:P55,"&gt;0",'Administrative Activity'!P6:P55,"&lt;100")</f>
        <v/>
      </c>
      <c r="E9" s="35">
        <f>COUNTIFS('Administrative Activity'!A6:A55,"&lt;&gt;",'Administrative Activity'!P6:P55,0)</f>
        <v/>
      </c>
      <c r="F9" s="35">
        <f>0</f>
        <v/>
      </c>
      <c r="G9" s="36">
        <f>IF((B9-F9)=0,0,C9/(B9-F9))</f>
        <v/>
      </c>
    </row>
    <row r="10">
      <c r="A10" s="34" t="inlineStr">
        <is>
          <t>Security Event Logging</t>
        </is>
      </c>
      <c r="B10" s="35">
        <f>C10+D10+E10+F10</f>
        <v/>
      </c>
      <c r="C10" s="35">
        <f>COUNTIF('Security Event Logging'!P6:P55,100)</f>
        <v/>
      </c>
      <c r="D10" s="35">
        <f>COUNTIFS('Security Event Logging'!P6:P55,"&gt;0",'Security Event Logging'!P6:P55,"&lt;100")</f>
        <v/>
      </c>
      <c r="E10" s="35">
        <f>COUNTIFS('Security Event Logging'!A6:A55,"&lt;&gt;",'Security Event Logging'!P6:P55,0)</f>
        <v/>
      </c>
      <c r="F10" s="35">
        <f>0</f>
        <v/>
      </c>
      <c r="G10" s="36">
        <f>IF((B10-F10)=0,0,C10/(B10-F10))</f>
        <v/>
      </c>
    </row>
    <row r="11">
      <c r="A11" s="34" t="inlineStr">
        <is>
          <t>Application &amp; Database Logging</t>
        </is>
      </c>
      <c r="B11" s="35">
        <f>C11+D11+E11+F11</f>
        <v/>
      </c>
      <c r="C11" s="35">
        <f>COUNTIF('Application &amp; Database'!P6:P55,100)</f>
        <v/>
      </c>
      <c r="D11" s="35">
        <f>COUNTIFS('Application &amp; Database'!P6:P55,"&gt;0",'Application &amp; Database'!P6:P55,"&lt;100")</f>
        <v/>
      </c>
      <c r="E11" s="35">
        <f>COUNTIFS('Application &amp; Database'!A6:A55,"&lt;&gt;",'Application &amp; Database'!P6:P55,0)</f>
        <v/>
      </c>
      <c r="F11" s="35">
        <f>0</f>
        <v/>
      </c>
      <c r="G11" s="36">
        <f>IF((B11-F11)=0,0,C11/(B11-F11))</f>
        <v/>
      </c>
    </row>
    <row r="12">
      <c r="A12" s="34" t="inlineStr">
        <is>
          <t>Network Device Logging</t>
        </is>
      </c>
      <c r="B12" s="35">
        <f>C12+D12+E12+F12</f>
        <v/>
      </c>
      <c r="C12" s="35">
        <f>COUNTIF('Network Device Logging'!P6:P55,100)</f>
        <v/>
      </c>
      <c r="D12" s="35">
        <f>COUNTIFS('Network Device Logging'!P6:P55,"&gt;0",'Network Device Logging'!P6:P55,"&lt;100")</f>
        <v/>
      </c>
      <c r="E12" s="35">
        <f>COUNTIFS('Network Device Logging'!A6:A55,"&lt;&gt;",'Network Device Logging'!P6:P55,0)</f>
        <v/>
      </c>
      <c r="F12" s="35">
        <f>0</f>
        <v/>
      </c>
      <c r="G12" s="36">
        <f>IF((B12-F12)=0,0,C12/(B12-F12))</f>
        <v/>
      </c>
    </row>
    <row r="13">
      <c r="A13" s="34" t="inlineStr">
        <is>
          <t>Gap Remediation</t>
        </is>
      </c>
      <c r="B13" s="35">
        <f>C13+D13+E13+F13</f>
        <v/>
      </c>
      <c r="C13" s="35">
        <f>COUNTIF('Gap Analysis'!K6:K55,"*Resolved*")</f>
        <v/>
      </c>
      <c r="D13" s="35">
        <f>COUNTIF('Gap Analysis'!K6:K55,"*In Progress*")</f>
        <v/>
      </c>
      <c r="E13" s="35">
        <f>COUNTIF('Gap Analysis'!K6:K55,"*Open*")</f>
        <v/>
      </c>
      <c r="F13" s="35">
        <f>COUNTIF('Gap Analysis'!K6:K55,"*Deferred*")</f>
        <v/>
      </c>
      <c r="G13" s="36">
        <f>IF((B13-F13)=0,0,C13/(B13-F13))</f>
        <v/>
      </c>
    </row>
    <row r="14">
      <c r="A14" s="37" t="inlineStr">
        <is>
          <t>TOTAL</t>
        </is>
      </c>
      <c r="B14" s="37">
        <f>SUM(B6:B13)</f>
        <v/>
      </c>
      <c r="C14" s="37">
        <f>SUM(C6:C13)</f>
        <v/>
      </c>
      <c r="D14" s="37">
        <f>SUM(D6:D13)</f>
        <v/>
      </c>
      <c r="E14" s="37">
        <f>SUM(E6:E13)</f>
        <v/>
      </c>
      <c r="F14" s="37">
        <f>SUM(F6:F13)</f>
        <v/>
      </c>
      <c r="G14" s="38">
        <f>IF((B14-F14)=0,0,C14/(B14-F14))</f>
        <v/>
      </c>
    </row>
    <row r="16">
      <c r="A16" s="32" t="inlineStr">
        <is>
          <t>TABLE 2 — KEY METRICS</t>
        </is>
      </c>
    </row>
    <row r="17">
      <c r="A17" s="39" t="inlineStr">
        <is>
          <t>Metric</t>
        </is>
      </c>
      <c r="B17" s="39" t="inlineStr">
        <is>
          <t>Value</t>
        </is>
      </c>
      <c r="C17" s="39" t="inlineStr">
        <is>
          <t>Target</t>
        </is>
      </c>
      <c r="D17" s="39" t="n"/>
      <c r="E17" s="39" t="n"/>
      <c r="F17" s="39" t="n"/>
      <c r="G17" s="39" t="n"/>
    </row>
    <row r="18">
      <c r="A18" s="34" t="inlineStr">
        <is>
          <t>Total systems in scope</t>
        </is>
      </c>
      <c r="B18" s="35">
        <f>COUNTA('System Inventory'!B6:B55)</f>
        <v/>
      </c>
      <c r="C18" s="40" t="inlineStr">
        <is>
          <t>All ISMS-scope systems</t>
        </is>
      </c>
      <c r="D18" s="6" t="n"/>
      <c r="E18" s="6" t="n"/>
      <c r="F18" s="6" t="n"/>
      <c r="G18" s="6" t="n"/>
    </row>
    <row r="19">
      <c r="A19" s="34" t="inlineStr">
        <is>
          <t>Systems with logging enabled</t>
        </is>
      </c>
      <c r="B19" s="36">
        <f>COUNTIF('System Inventory'!O6:O55,"✅ Yes")</f>
        <v/>
      </c>
      <c r="C19" s="40" t="inlineStr">
        <is>
          <t>100%</t>
        </is>
      </c>
      <c r="D19" s="6" t="n"/>
      <c r="E19" s="6" t="n"/>
      <c r="F19" s="6" t="n"/>
      <c r="G19" s="6" t="n"/>
    </row>
    <row r="20">
      <c r="A20" s="34" t="inlineStr">
        <is>
          <t>Systems forwarding to SIEM</t>
        </is>
      </c>
      <c r="B20" s="36">
        <f>COUNTIF('System Inventory'!P6:P55,"✅ Yes")</f>
        <v/>
      </c>
      <c r="C20" s="40" t="inlineStr">
        <is>
          <t>100%</t>
        </is>
      </c>
      <c r="D20" s="6" t="n"/>
      <c r="E20" s="6" t="n"/>
      <c r="F20" s="6" t="n"/>
      <c r="G20" s="6" t="n"/>
    </row>
    <row r="21">
      <c r="A21" s="34" t="inlineStr">
        <is>
          <t>P1-Critical systems compliant</t>
        </is>
      </c>
      <c r="B21" s="36">
        <f>COUNTIFS('System Inventory'!I6:I55,"P1-Critical",'System Inventory'!Q6:Q55,"Compliant")</f>
        <v/>
      </c>
      <c r="C21" s="40" t="inlineStr">
        <is>
          <t>100%</t>
        </is>
      </c>
      <c r="D21" s="6" t="n"/>
      <c r="E21" s="6" t="n"/>
      <c r="F21" s="6" t="n"/>
      <c r="G21" s="6" t="n"/>
    </row>
    <row r="22">
      <c r="A22" s="34" t="inlineStr">
        <is>
          <t>Total gaps identified</t>
        </is>
      </c>
      <c r="B22" s="35">
        <f>COUNTA('Gap Analysis'!B6:B55)</f>
        <v/>
      </c>
      <c r="C22" s="40" t="inlineStr">
        <is>
          <t>0</t>
        </is>
      </c>
      <c r="D22" s="6" t="n"/>
      <c r="E22" s="6" t="n"/>
      <c r="F22" s="6" t="n"/>
      <c r="G22" s="6" t="n"/>
    </row>
    <row r="23">
      <c r="A23" s="34" t="inlineStr">
        <is>
          <t>Open gaps requiring attention</t>
        </is>
      </c>
      <c r="B23" s="35">
        <f>COUNTIF('Gap Analysis'!K6:K55,"*Open*")</f>
        <v/>
      </c>
      <c r="C23" s="40" t="inlineStr">
        <is>
          <t>0</t>
        </is>
      </c>
      <c r="D23" s="6" t="n"/>
      <c r="E23" s="6" t="n"/>
      <c r="F23" s="6" t="n"/>
      <c r="G23" s="6" t="n"/>
    </row>
    <row r="25">
      <c r="A25" s="41" t="inlineStr">
        <is>
          <t>TABLE 3 — CRITICAL FINDINGS REQUIRING ATTENTION</t>
        </is>
      </c>
    </row>
    <row r="26">
      <c r="A26" s="33" t="inlineStr">
        <is>
          <t>Finding Type</t>
        </is>
      </c>
      <c r="B26" s="33" t="inlineStr">
        <is>
          <t>Risk Level</t>
        </is>
      </c>
      <c r="C26" s="33" t="inlineStr">
        <is>
          <t>Associated Sheet</t>
        </is>
      </c>
      <c r="D26" s="33" t="inlineStr">
        <is>
          <t>Recommended Action</t>
        </is>
      </c>
      <c r="E26" s="33" t="inlineStr">
        <is>
          <t>ISO Clause</t>
        </is>
      </c>
    </row>
    <row r="27">
      <c r="A27" s="42" t="inlineStr">
        <is>
          <t>System not logging required events</t>
        </is>
      </c>
      <c r="B27" s="42" t="inlineStr">
        <is>
          <t>Critical</t>
        </is>
      </c>
      <c r="C27" s="42" t="inlineStr">
        <is>
          <t>System Inventory / Assessment sheets</t>
        </is>
      </c>
      <c r="D27" s="42" t="inlineStr">
        <is>
          <t>Enable logging per system type and configure SIEM forwarding immediately</t>
        </is>
      </c>
      <c r="E27" s="42" t="inlineStr">
        <is>
          <t>A.8.15(a-j)</t>
        </is>
      </c>
    </row>
    <row r="28">
      <c r="A28" s="42" t="inlineStr">
        <is>
          <t>Authentication events not logged (login failures)</t>
        </is>
      </c>
      <c r="B28" s="42" t="inlineStr">
        <is>
          <t>Critical</t>
        </is>
      </c>
      <c r="C28" s="42" t="inlineStr">
        <is>
          <t>Authentication Logging</t>
        </is>
      </c>
      <c r="D28" s="42" t="inlineStr">
        <is>
          <t>Configure authentication event logging for all in-scope systems</t>
        </is>
      </c>
      <c r="E28" s="42" t="inlineStr">
        <is>
          <t>A.8.15(a)</t>
        </is>
      </c>
    </row>
    <row r="29">
      <c r="A29" s="42" t="inlineStr">
        <is>
          <t>Privileged activity not logged</t>
        </is>
      </c>
      <c r="B29" s="42" t="inlineStr">
        <is>
          <t>Critical</t>
        </is>
      </c>
      <c r="C29" s="42" t="inlineStr">
        <is>
          <t>Administrative Activity</t>
        </is>
      </c>
      <c r="D29" s="42" t="inlineStr">
        <is>
          <t>Enable administrative action logging (sudo, admin console, service accounts)</t>
        </is>
      </c>
      <c r="E29" s="42" t="inlineStr">
        <is>
          <t>A.8.15(d)(e)</t>
        </is>
      </c>
    </row>
    <row r="30">
      <c r="A30" s="42" t="inlineStr">
        <is>
          <t>Logs not forwarded to central SIEM</t>
        </is>
      </c>
      <c r="B30" s="42" t="inlineStr">
        <is>
          <t>High</t>
        </is>
      </c>
      <c r="C30" s="42" t="inlineStr">
        <is>
          <t>System Inventory col P</t>
        </is>
      </c>
      <c r="D30" s="42" t="inlineStr">
        <is>
          <t>Configure log forwarders; centralisation is an explicit ISO 27002:2022 requirement</t>
        </is>
      </c>
      <c r="E30" s="42" t="inlineStr">
        <is>
          <t>A.8.15</t>
        </is>
      </c>
    </row>
    <row r="31">
      <c r="A31" s="42" t="inlineStr">
        <is>
          <t>Open gap past target remediation date</t>
        </is>
      </c>
      <c r="B31" s="42" t="inlineStr">
        <is>
          <t>High</t>
        </is>
      </c>
      <c r="C31" s="42" t="inlineStr">
        <is>
          <t>Gap Analysis</t>
        </is>
      </c>
      <c r="D31" s="42" t="inlineStr">
        <is>
          <t>Review overdue gaps and escalate to Information Security Manager</t>
        </is>
      </c>
      <c r="E31" s="42" t="inlineStr">
        <is>
          <t>A.8.15</t>
        </is>
      </c>
    </row>
  </sheetData>
  <mergeCells count="5">
    <mergeCell ref="A1:G1"/>
    <mergeCell ref="A25:E25"/>
    <mergeCell ref="A4:G4"/>
    <mergeCell ref="A16:G16"/>
    <mergeCell ref="A2:G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43" t="inlineStr">
        <is>
          <t>ASSESSMENT APPROVAL AND SIGN-OFF</t>
        </is>
      </c>
      <c r="B1" s="6" t="n"/>
      <c r="C1" s="6" t="n"/>
      <c r="D1" s="6" t="n"/>
      <c r="E1" s="6" t="n"/>
    </row>
    <row r="2">
      <c r="A2" s="44" t="inlineStr">
        <is>
          <t>ISMS-IMP-A.8.15.1 - Log Source Inventory Assessment</t>
        </is>
      </c>
      <c r="B2" s="6" t="n"/>
      <c r="C2" s="6" t="n"/>
      <c r="D2" s="6" t="n"/>
      <c r="E2" s="6" t="n"/>
    </row>
    <row r="3">
      <c r="A3" s="45" t="inlineStr">
        <is>
          <t>ASSESSMENT SUMMARY</t>
        </is>
      </c>
      <c r="B3" s="6" t="n"/>
      <c r="C3" s="6" t="n"/>
      <c r="D3" s="6" t="n"/>
      <c r="E3" s="6" t="n"/>
    </row>
    <row r="4">
      <c r="A4" s="46" t="inlineStr">
        <is>
          <t>Document:</t>
        </is>
      </c>
      <c r="B4" s="6" t="inlineStr">
        <is>
          <t>ISMS-IMP-A.8.15.1 - Log Source Inventory Assessment</t>
        </is>
      </c>
      <c r="C4" s="6" t="n"/>
      <c r="D4" s="6" t="n"/>
      <c r="E4" s="6" t="n"/>
    </row>
    <row r="5">
      <c r="A5" s="46" t="inlineStr">
        <is>
          <t>Assessment Period:</t>
        </is>
      </c>
      <c r="B5" s="28" t="inlineStr"/>
      <c r="C5" s="6" t="n"/>
      <c r="D5" s="6" t="n"/>
      <c r="E5" s="6" t="n"/>
    </row>
    <row r="6">
      <c r="A6" s="46" t="inlineStr">
        <is>
          <t>Overall Compliance Rating:</t>
        </is>
      </c>
      <c r="B6" s="6">
        <f>'Summary Dashboard'!G11</f>
        <v/>
      </c>
      <c r="C6" s="6" t="n"/>
      <c r="D6" s="6" t="n"/>
      <c r="E6" s="6" t="n"/>
    </row>
    <row r="7">
      <c r="A7" s="46" t="inlineStr">
        <is>
          <t>Assessment Status:</t>
        </is>
      </c>
      <c r="B7" s="28" t="inlineStr"/>
      <c r="C7" s="6" t="n"/>
      <c r="D7" s="6" t="n"/>
      <c r="E7" s="6" t="n"/>
    </row>
    <row r="10">
      <c r="A10" s="45" t="inlineStr">
        <is>
          <t>COMPLETED BY (ASSESSOR)</t>
        </is>
      </c>
      <c r="B10" s="6" t="n"/>
      <c r="C10" s="6" t="n"/>
      <c r="D10" s="6" t="n"/>
      <c r="E10" s="6" t="n"/>
    </row>
    <row r="11">
      <c r="A11" s="46" t="inlineStr">
        <is>
          <t>Name:</t>
        </is>
      </c>
      <c r="B11" s="28" t="n"/>
      <c r="C11" s="6" t="n"/>
      <c r="D11" s="6" t="n"/>
      <c r="E11" s="6" t="n"/>
    </row>
    <row r="12">
      <c r="A12" s="46" t="inlineStr">
        <is>
          <t>Title:</t>
        </is>
      </c>
      <c r="B12" s="28" t="n"/>
      <c r="C12" s="6" t="n"/>
      <c r="D12" s="6" t="n"/>
      <c r="E12" s="6" t="n"/>
    </row>
    <row r="13">
      <c r="A13" s="46" t="inlineStr">
        <is>
          <t>Date:</t>
        </is>
      </c>
      <c r="B13" s="28" t="n"/>
      <c r="C13" s="6" t="n"/>
      <c r="D13" s="6" t="n"/>
      <c r="E13" s="6" t="n"/>
    </row>
    <row r="14">
      <c r="A14" s="46" t="inlineStr">
        <is>
          <t>Signature:</t>
        </is>
      </c>
      <c r="B14" s="28" t="n"/>
      <c r="C14" s="6" t="n"/>
      <c r="D14" s="6" t="n"/>
      <c r="E14" s="6" t="n"/>
    </row>
    <row r="15">
      <c r="A15" s="46" t="inlineStr">
        <is>
          <t>Comments:</t>
        </is>
      </c>
      <c r="B15" s="28" t="n"/>
      <c r="C15" s="6" t="n"/>
      <c r="D15" s="6" t="n"/>
      <c r="E15" s="6" t="n"/>
    </row>
    <row r="17">
      <c r="A17" s="45" t="inlineStr">
        <is>
          <t>REVIEWED BY (INFORMATION SECURITY OFFICER)</t>
        </is>
      </c>
      <c r="B17" s="6" t="n"/>
      <c r="C17" s="6" t="n"/>
      <c r="D17" s="6" t="n"/>
      <c r="E17" s="6" t="n"/>
    </row>
    <row r="18">
      <c r="A18" s="46" t="inlineStr">
        <is>
          <t>Name:</t>
        </is>
      </c>
      <c r="B18" s="28" t="n"/>
      <c r="C18" s="6" t="n"/>
      <c r="D18" s="6" t="n"/>
      <c r="E18" s="6" t="n"/>
    </row>
    <row r="19">
      <c r="A19" s="46" t="inlineStr">
        <is>
          <t>Title:</t>
        </is>
      </c>
      <c r="B19" s="28" t="n"/>
      <c r="C19" s="6" t="n"/>
      <c r="D19" s="6" t="n"/>
      <c r="E19" s="6" t="n"/>
    </row>
    <row r="20">
      <c r="A20" s="46" t="inlineStr">
        <is>
          <t>Date:</t>
        </is>
      </c>
      <c r="B20" s="28" t="n"/>
      <c r="C20" s="6" t="n"/>
      <c r="D20" s="6" t="n"/>
      <c r="E20" s="6" t="n"/>
    </row>
    <row r="21">
      <c r="A21" s="46" t="inlineStr">
        <is>
          <t>Signature:</t>
        </is>
      </c>
      <c r="B21" s="28" t="n"/>
      <c r="C21" s="6" t="n"/>
      <c r="D21" s="6" t="n"/>
      <c r="E21" s="6" t="n"/>
    </row>
    <row r="22">
      <c r="A22" s="46" t="inlineStr">
        <is>
          <t>Comments:</t>
        </is>
      </c>
      <c r="B22" s="28" t="n"/>
      <c r="C22" s="6" t="n"/>
      <c r="D22" s="6" t="n"/>
      <c r="E22" s="6" t="n"/>
    </row>
    <row r="24">
      <c r="A24" s="47" t="inlineStr">
        <is>
          <t>APPROVED BY (CISO)</t>
        </is>
      </c>
      <c r="B24" s="6" t="n"/>
      <c r="C24" s="6" t="n"/>
      <c r="D24" s="6" t="n"/>
      <c r="E24" s="6" t="n"/>
    </row>
    <row r="25">
      <c r="A25" s="46" t="inlineStr">
        <is>
          <t>Name:</t>
        </is>
      </c>
      <c r="B25" s="28" t="n"/>
      <c r="C25" s="6" t="n"/>
      <c r="D25" s="6" t="n"/>
      <c r="E25" s="6" t="n"/>
    </row>
    <row r="26">
      <c r="A26" s="46" t="inlineStr">
        <is>
          <t>Title:</t>
        </is>
      </c>
      <c r="B26" s="28" t="n"/>
      <c r="C26" s="6" t="n"/>
      <c r="D26" s="6" t="n"/>
      <c r="E26" s="6" t="n"/>
    </row>
    <row r="27">
      <c r="A27" s="46" t="inlineStr">
        <is>
          <t>Date:</t>
        </is>
      </c>
      <c r="B27" s="28" t="n"/>
      <c r="C27" s="6" t="n"/>
      <c r="D27" s="6" t="n"/>
      <c r="E27" s="6" t="n"/>
    </row>
    <row r="28">
      <c r="A28" s="46" t="inlineStr">
        <is>
          <t>Signature:</t>
        </is>
      </c>
      <c r="B28" s="28" t="n"/>
      <c r="C28" s="6" t="n"/>
      <c r="D28" s="6" t="n"/>
      <c r="E28" s="6" t="n"/>
    </row>
    <row r="29">
      <c r="A29" s="46" t="inlineStr">
        <is>
          <t>Comments:</t>
        </is>
      </c>
      <c r="B29" s="28" t="n"/>
      <c r="C29" s="6" t="n"/>
      <c r="D29" s="6" t="n"/>
      <c r="E29" s="6" t="n"/>
    </row>
    <row r="31">
      <c r="A31" s="46" t="inlineStr">
        <is>
          <t>FINAL DECISION:</t>
        </is>
      </c>
      <c r="B31" s="28" t="n"/>
      <c r="C31" s="6" t="n"/>
      <c r="D31" s="6" t="n"/>
      <c r="E31" s="6" t="n"/>
    </row>
    <row r="34">
      <c r="A34" s="45" t="inlineStr">
        <is>
          <t>NEXT REVIEW DETAILS</t>
        </is>
      </c>
      <c r="B34" s="6" t="n"/>
      <c r="C34" s="6" t="n"/>
      <c r="D34" s="6" t="n"/>
      <c r="E34" s="6" t="n"/>
    </row>
    <row r="35">
      <c r="A35" s="46" t="inlineStr">
        <is>
          <t>Next Review Date:</t>
        </is>
      </c>
      <c r="B35" s="28" t="n"/>
      <c r="C35" s="6" t="n"/>
      <c r="D35" s="6" t="n"/>
      <c r="E35" s="6" t="n"/>
    </row>
    <row r="36">
      <c r="A36" s="46" t="inlineStr">
        <is>
          <t>Review Responsible:</t>
        </is>
      </c>
      <c r="B36" s="28" t="n"/>
      <c r="C36" s="6" t="n"/>
      <c r="D36" s="6" t="n"/>
      <c r="E36" s="6" t="n"/>
    </row>
    <row r="37">
      <c r="A37" s="46" t="inlineStr">
        <is>
          <t>Special Considerations:</t>
        </is>
      </c>
      <c r="B37" s="28" t="n"/>
      <c r="C37" s="6" t="n"/>
      <c r="D37" s="6" t="n"/>
      <c r="E37" s="6" t="n"/>
    </row>
  </sheetData>
  <mergeCells count="30">
    <mergeCell ref="A34:E34"/>
    <mergeCell ref="A24:E24"/>
    <mergeCell ref="B6:E6"/>
    <mergeCell ref="B15:E15"/>
    <mergeCell ref="A1:E1"/>
    <mergeCell ref="B5:E5"/>
    <mergeCell ref="B20:E20"/>
    <mergeCell ref="B36:E36"/>
    <mergeCell ref="B26:E26"/>
    <mergeCell ref="B35:E35"/>
    <mergeCell ref="B4:E4"/>
    <mergeCell ref="B7:E7"/>
    <mergeCell ref="B25:E25"/>
    <mergeCell ref="B22:E22"/>
    <mergeCell ref="A3:E3"/>
    <mergeCell ref="B31:E31"/>
    <mergeCell ref="B18:E18"/>
    <mergeCell ref="B27:E27"/>
    <mergeCell ref="A2:E2"/>
    <mergeCell ref="B12:E12"/>
    <mergeCell ref="B21:E21"/>
    <mergeCell ref="B11:E11"/>
    <mergeCell ref="A17:E17"/>
    <mergeCell ref="B14:E14"/>
    <mergeCell ref="A10:E10"/>
    <mergeCell ref="B13:E13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1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ISMS-IMP-A.8.15.1 — Log Source Inventory Assessment</dc:title>
  <dc:description xmlns:dc="http://purl.org/dc/elements/1.1/">ISMS Implementation Workbook — ISMS-IMP-A.8.15.1</dc:description>
  <dc:subject xmlns:dc="http://purl.org/dc/elements/1.1/">ISO/IEC 27001:2022 — Control A.8.15: Logging</dc:subject>
  <dcterms:created xmlns:dcterms="http://purl.org/dc/terms/" xmlns:xsi="http://www.w3.org/2001/XMLSchema-instance" xsi:type="dcterms:W3CDTF">2026-03-12T06:48:46Z</dcterms:created>
  <dcterms:modified xmlns:dcterms="http://purl.org/dc/terms/" xmlns:xsi="http://www.w3.org/2001/XMLSchema-instance" xsi:type="dcterms:W3CDTF">2026-03-12T06:48:46Z</dcterms:modified>
</cp:coreProperties>
</file>