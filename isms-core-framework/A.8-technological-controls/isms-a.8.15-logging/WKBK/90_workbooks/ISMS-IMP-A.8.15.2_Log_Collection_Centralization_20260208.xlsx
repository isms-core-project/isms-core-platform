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IEM Platform Details" sheetId="2" state="visible" r:id="rId2"/>
    <sheet xmlns:r="http://schemas.openxmlformats.org/officeDocument/2006/relationships" name="Log Forwarder Inventory" sheetId="3" state="visible" r:id="rId3"/>
    <sheet xmlns:r="http://schemas.openxmlformats.org/officeDocument/2006/relationships" name="Collection Reliability" sheetId="4" state="visible" r:id="rId4"/>
    <sheet xmlns:r="http://schemas.openxmlformats.org/officeDocument/2006/relationships" name="Integration Architecture" sheetId="5" state="visible" r:id="rId5"/>
    <sheet xmlns:r="http://schemas.openxmlformats.org/officeDocument/2006/relationships" name="SIEM Storage &amp; Capacity" sheetId="6" state="visible" r:id="rId6"/>
    <sheet xmlns:r="http://schemas.openxmlformats.org/officeDocument/2006/relationships" name="Log Parsing &amp; Normalization" sheetId="7" state="visible" r:id="rId7"/>
    <sheet xmlns:r="http://schemas.openxmlformats.org/officeDocument/2006/relationships" name="SIEM Performance Metrics" sheetId="8" state="visible" r:id="rId8"/>
    <sheet xmlns:r="http://schemas.openxmlformats.org/officeDocument/2006/relationships" name="Data Quality Assessment" sheetId="9" state="visible" r:id="rId9"/>
    <sheet xmlns:r="http://schemas.openxmlformats.org/officeDocument/2006/relationships" name="Encryption &amp; Authentication" sheetId="10" state="visible" r:id="rId10"/>
    <sheet xmlns:r="http://schemas.openxmlformats.org/officeDocument/2006/relationships" name="Gap Analysis &amp; Remediation" sheetId="11" state="visible" r:id="rId11"/>
    <sheet xmlns:r="http://schemas.openxmlformats.org/officeDocument/2006/relationships" name="Evidence Register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Approval &amp; Sign-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DD.MM.YYYY HH:MM"/>
    <numFmt numFmtId="167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000000"/>
      <sz val="10"/>
    </font>
    <font>
      <name val="Calibri"/>
      <i val="1"/>
      <color rgb="00666666"/>
      <sz val="10"/>
    </font>
    <font>
      <i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4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5" fillId="5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left" vertical="top" wrapText="1"/>
    </xf>
    <xf numFmtId="167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7" fontId="0" fillId="4" borderId="1" applyAlignment="1" pivotButton="0" quotePrefix="0" xfId="0">
      <alignment horizontal="left" vertical="top" wrapText="1"/>
    </xf>
    <xf numFmtId="164" fontId="0" fillId="0" borderId="0" pivotButton="0" quotePrefix="0" xfId="0"/>
    <xf numFmtId="0" fontId="4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ISMS-IMP-A.8.15.2  -  Log Collection &amp; Centralization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ISMS-IMP-A.8.15.2</t>
        </is>
      </c>
    </row>
    <row r="5">
      <c r="A5" s="2" t="inlineStr">
        <is>
          <t>Assessment Area:</t>
        </is>
      </c>
      <c r="B5" s="3" t="inlineStr">
        <is>
          <t>Log Collection Infrastructure and SIEM Integration</t>
        </is>
      </c>
    </row>
    <row r="6">
      <c r="A6" s="2" t="inlineStr">
        <is>
          <t>Related Policy:</t>
        </is>
      </c>
      <c r="B6" s="3" t="inlineStr">
        <is>
          <t>ISMS-POL-A.8.15-S2.1, S2.2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Annual (full assessment), Quarterly (metrics update)</t>
        </is>
      </c>
    </row>
    <row r="14">
      <c r="A14" s="6" t="inlineStr">
        <is>
          <t>HOW TO USE THIS WORKBOOK</t>
        </is>
      </c>
    </row>
    <row r="15">
      <c r="A15" s="7" t="inlineStr">
        <is>
          <t>1. Document SIEM/log management platform details</t>
        </is>
      </c>
    </row>
    <row r="16">
      <c r="A16" s="7" t="inlineStr">
        <is>
          <t>2. Catalog all log forwarders and collectors</t>
        </is>
      </c>
    </row>
    <row r="17">
      <c r="A17" s="7" t="inlineStr">
        <is>
          <t>3. Assess collection reliability and performance</t>
        </is>
      </c>
    </row>
    <row r="18">
      <c r="A18" s="7" t="inlineStr">
        <is>
          <t>4. Document integration architecture</t>
        </is>
      </c>
    </row>
    <row r="19">
      <c r="A19" s="7" t="inlineStr">
        <is>
          <t>5. Review capacity and scalability</t>
        </is>
      </c>
    </row>
    <row r="20">
      <c r="A20" s="7" t="inlineStr">
        <is>
          <t>6. Identify collection gaps and failures</t>
        </is>
      </c>
    </row>
    <row r="21">
      <c r="A21" s="7" t="inlineStr">
        <is>
          <t>7. Review Summary Dashboard for overall health</t>
        </is>
      </c>
    </row>
    <row r="22">
      <c r="A22" s="7" t="inlineStr">
        <is>
          <t>8. Document gaps and remediation plans</t>
        </is>
      </c>
    </row>
    <row r="23">
      <c r="A23" s="7" t="inlineStr">
        <is>
          <t>9. Obtain approvals in Approval &amp; Sign-Off sheet</t>
        </is>
      </c>
    </row>
    <row r="26">
      <c r="A26" s="6" t="inlineStr">
        <is>
          <t>LEGEND - CELL COLOR CODING</t>
        </is>
      </c>
    </row>
    <row r="27">
      <c r="A27" s="8" t="inlineStr">
        <is>
          <t>Yellow (FFFFCC)</t>
        </is>
      </c>
      <c r="B27" s="9" t="inlineStr">
        <is>
          <t>User input required</t>
        </is>
      </c>
    </row>
    <row r="28">
      <c r="A28" s="10" t="inlineStr">
        <is>
          <t>Green (C6EFCE)</t>
        </is>
      </c>
      <c r="B28" s="9" t="inlineStr">
        <is>
          <t>Compliant / Healthy</t>
        </is>
      </c>
    </row>
    <row r="29">
      <c r="A29" s="11" t="inlineStr">
        <is>
          <t>Red (FFC7CE)</t>
        </is>
      </c>
      <c r="B29" s="9" t="inlineStr">
        <is>
          <t>Non-compliant / Critical</t>
        </is>
      </c>
    </row>
    <row r="30">
      <c r="A30" s="12" t="inlineStr">
        <is>
          <t>Gray (E7E6E6)</t>
        </is>
      </c>
      <c r="B30" s="9" t="inlineStr">
        <is>
          <t>Auto-calculated / Reference data</t>
        </is>
      </c>
    </row>
    <row r="31">
      <c r="A31" s="13" t="inlineStr">
        <is>
          <t>Blue (4472C4)</t>
        </is>
      </c>
      <c r="B31" s="9" t="inlineStr">
        <is>
          <t>Instructions / Headers</t>
        </is>
      </c>
    </row>
    <row r="34">
      <c r="A34" s="6" t="inlineStr">
        <is>
          <t>KEY DEFINITIONS</t>
        </is>
      </c>
    </row>
    <row r="35">
      <c r="A35" s="2" t="inlineStr">
        <is>
          <t>SIEM</t>
        </is>
      </c>
      <c r="B35" s="7" t="inlineStr">
        <is>
          <t>Security Information and Event Management platform</t>
        </is>
      </c>
    </row>
    <row r="36">
      <c r="A36" s="2" t="inlineStr">
        <is>
          <t>Log Forwarder</t>
        </is>
      </c>
      <c r="B36" s="7" t="inlineStr">
        <is>
          <t>Agent that collects and forwards logs (Splunk UF, Fluentd, etc.)</t>
        </is>
      </c>
    </row>
    <row r="37">
      <c r="A37" s="2" t="inlineStr">
        <is>
          <t>Indexer</t>
        </is>
      </c>
      <c r="B37" s="7" t="inlineStr">
        <is>
          <t>SIEM component that processes and stores logs</t>
        </is>
      </c>
    </row>
    <row r="38">
      <c r="A38" s="2" t="inlineStr">
        <is>
          <t>Search Head</t>
        </is>
      </c>
      <c r="B38" s="7" t="inlineStr">
        <is>
          <t>SIEM component for querying logs</t>
        </is>
      </c>
    </row>
    <row r="39">
      <c r="A39" s="2" t="inlineStr">
        <is>
          <t>Collection Reliability</t>
        </is>
      </c>
      <c r="B39" s="7" t="inlineStr">
        <is>
          <t>% of expected logs successfully received</t>
        </is>
      </c>
    </row>
    <row r="40">
      <c r="A40" s="2" t="inlineStr">
        <is>
          <t>Parse Success Rate</t>
        </is>
      </c>
      <c r="B40" s="7" t="inlineStr">
        <is>
          <t>% of logs successfully parsed into fields</t>
        </is>
      </c>
    </row>
    <row r="41">
      <c r="A41" s="2" t="inlineStr">
        <is>
          <t>Indexing Lag</t>
        </is>
      </c>
      <c r="B41" s="7" t="inlineStr">
        <is>
          <t>Time delay between log generation and searchability</t>
        </is>
      </c>
    </row>
    <row r="42">
      <c r="A42" s="2" t="inlineStr">
        <is>
          <t>Hot/Warm/Cold</t>
        </is>
      </c>
      <c r="B42" s="7" t="inlineStr">
        <is>
          <t>Tiered storage based on age and access frequency</t>
        </is>
      </c>
    </row>
    <row r="43">
      <c r="A43" s="2" t="inlineStr">
        <is>
          <t>EPS</t>
        </is>
      </c>
      <c r="B43" s="7" t="inlineStr">
        <is>
          <t>Events Per Second - log ingestion rate</t>
        </is>
      </c>
    </row>
    <row r="44">
      <c r="A44" s="2" t="inlineStr">
        <is>
          <t>Data Quality</t>
        </is>
      </c>
      <c r="B44" s="7" t="inlineStr">
        <is>
          <t>Completeness, accuracy, and consistency of log data</t>
        </is>
      </c>
    </row>
  </sheetData>
  <mergeCells count="4">
    <mergeCell ref="A26:F26"/>
    <mergeCell ref="A14:F14"/>
    <mergeCell ref="A1:F1"/>
    <mergeCell ref="A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0" customWidth="1" min="8" max="8"/>
    <col width="15" customWidth="1" min="9" max="9"/>
    <col width="20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40" customHeight="1">
      <c r="A1" s="1" t="inlineStr">
        <is>
          <t>SIEM PLATFORM DETAILS</t>
        </is>
      </c>
    </row>
    <row r="2" ht="30" customHeight="1">
      <c r="A2" s="6" t="inlineStr">
        <is>
          <t>Document SIEM/log management platform architecture and components</t>
        </is>
      </c>
    </row>
    <row r="7" ht="35" customHeight="1">
      <c r="A7" s="14" t="inlineStr">
        <is>
          <t>Platform Component</t>
        </is>
      </c>
      <c r="B7" s="14" t="inlineStr">
        <is>
          <t>Product/Vendor</t>
        </is>
      </c>
      <c r="C7" s="14" t="inlineStr">
        <is>
          <t>Version</t>
        </is>
      </c>
      <c r="D7" s="14" t="inlineStr">
        <is>
          <t>Hostname/FQDN</t>
        </is>
      </c>
      <c r="E7" s="14" t="inlineStr">
        <is>
          <t>IP Address</t>
        </is>
      </c>
      <c r="F7" s="14" t="inlineStr">
        <is>
          <t>Role</t>
        </is>
      </c>
      <c r="G7" s="14" t="inlineStr">
        <is>
          <t>OS/Platform</t>
        </is>
      </c>
      <c r="H7" s="14" t="inlineStr">
        <is>
          <t>CPU Cores</t>
        </is>
      </c>
      <c r="I7" s="14" t="inlineStr">
        <is>
          <t>Memory (GB)</t>
        </is>
      </c>
      <c r="J7" s="14" t="inlineStr">
        <is>
          <t>Storage Capacity (TB)</t>
        </is>
      </c>
      <c r="K7" s="14" t="inlineStr">
        <is>
          <t>Storage Used (TB)</t>
        </is>
      </c>
      <c r="L7" s="14" t="inlineStr">
        <is>
          <t>Storage % Used</t>
        </is>
      </c>
      <c r="M7" s="14" t="inlineStr">
        <is>
          <t>Availability</t>
        </is>
      </c>
      <c r="N7" s="14" t="inlineStr">
        <is>
          <t>Notes</t>
        </is>
      </c>
    </row>
    <row r="8">
      <c r="A8" s="15" t="inlineStr">
        <is>
          <t>SIEM Core</t>
        </is>
      </c>
      <c r="B8" s="15" t="inlineStr">
        <is>
          <t>Splunk Enterprise</t>
        </is>
      </c>
      <c r="C8" s="15" t="inlineStr">
        <is>
          <t>9.1.3</t>
        </is>
      </c>
      <c r="D8" s="15" t="inlineStr">
        <is>
          <t>siem-core-01.example.com</t>
        </is>
      </c>
      <c r="E8" s="15" t="inlineStr">
        <is>
          <t>10.10.1.10</t>
        </is>
      </c>
      <c r="F8" s="15" t="inlineStr">
        <is>
          <t>Primary</t>
        </is>
      </c>
      <c r="G8" s="15" t="inlineStr">
        <is>
          <t>Red Hat Linux 8</t>
        </is>
      </c>
      <c r="H8" s="15" t="inlineStr">
        <is>
          <t>32</t>
        </is>
      </c>
      <c r="I8" s="15" t="inlineStr">
        <is>
          <t>256</t>
        </is>
      </c>
      <c r="J8" s="15" t="inlineStr">
        <is>
          <t>50</t>
        </is>
      </c>
      <c r="K8" s="15" t="inlineStr">
        <is>
          <t>32</t>
        </is>
      </c>
      <c r="L8" s="15" t="inlineStr">
        <is>
          <t>64%</t>
        </is>
      </c>
      <c r="M8" s="15" t="inlineStr">
        <is>
          <t>Active</t>
        </is>
      </c>
      <c r="N8" s="15" t="inlineStr">
        <is>
          <t>Primary indexer cluster node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16">
        <f>IF(J9=0,0,K9/J9)</f>
        <v/>
      </c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16">
        <f>IF(J10=0,0,K10/J10)</f>
        <v/>
      </c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16">
        <f>IF(J11=0,0,K11/J11)</f>
        <v/>
      </c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16">
        <f>IF(J12=0,0,K12/J12)</f>
        <v/>
      </c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16">
        <f>IF(J13=0,0,K13/J13)</f>
        <v/>
      </c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6">
        <f>IF(J14=0,0,K14/J14)</f>
        <v/>
      </c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6">
        <f>IF(J15=0,0,K15/J15)</f>
        <v/>
      </c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6">
        <f>IF(J16=0,0,K16/J16)</f>
        <v/>
      </c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6">
        <f>IF(J17=0,0,K17/J17)</f>
        <v/>
      </c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6">
        <f>IF(J18=0,0,K18/J18)</f>
        <v/>
      </c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6">
        <f>IF(J19=0,0,K19/J19)</f>
        <v/>
      </c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6">
        <f>IF(J20=0,0,K20/J20)</f>
        <v/>
      </c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6">
        <f>IF(J21=0,0,K21/J21)</f>
        <v/>
      </c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6">
        <f>IF(J22=0,0,K22/J22)</f>
        <v/>
      </c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6">
        <f>IF(J23=0,0,K23/J23)</f>
        <v/>
      </c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16">
        <f>IF(J24=0,0,K24/J24)</f>
        <v/>
      </c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16">
        <f>IF(J25=0,0,K25/J25)</f>
        <v/>
      </c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16">
        <f>IF(J26=0,0,K26/J26)</f>
        <v/>
      </c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16">
        <f>IF(J27=0,0,K27/J27)</f>
        <v/>
      </c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16">
        <f>IF(J28=0,0,K28/J28)</f>
        <v/>
      </c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16">
        <f>IF(J29=0,0,K29/J29)</f>
        <v/>
      </c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16">
        <f>IF(J30=0,0,K30/J30)</f>
        <v/>
      </c>
      <c r="M30" s="5" t="n"/>
      <c r="N30" s="5" t="n"/>
    </row>
  </sheetData>
  <mergeCells count="2">
    <mergeCell ref="A2:N2"/>
    <mergeCell ref="A1:N1"/>
  </mergeCells>
  <dataValidations count="4">
    <dataValidation sqref="A9:A30" showDropDown="0" showInputMessage="0" showErrorMessage="0" allowBlank="1" type="list">
      <formula1>"SIEM Core,Indexer,Search Head,Forwarder Management,Storage,API Gateway,Other"</formula1>
    </dataValidation>
    <dataValidation sqref="B9:B30" showDropDown="0" showInputMessage="0" showErrorMessage="0" allowBlank="1" type="list">
      <formula1>"Splunk,QRadar,Sentinel,LogRhythm,ELK Stack,Graylog,Custom,Other"</formula1>
    </dataValidation>
    <dataValidation sqref="F9:F30" showDropDown="0" showInputMessage="0" showErrorMessage="0" allowBlank="1" type="list">
      <formula1>"Primary,Secondary,DR,Dev/Test"</formula1>
    </dataValidation>
    <dataValidation sqref="M9:M30" showDropDown="0" showInputMessage="0" showErrorMessage="0" allowBlank="1" type="list">
      <formula1>"Active,Standby,Offline,Degraded"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30" customWidth="1" min="5" max="5"/>
    <col width="25" customWidth="1" min="6" max="6"/>
    <col width="18" customWidth="1" min="7" max="7"/>
    <col width="10" customWidth="1" min="8" max="8"/>
    <col width="15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20" customWidth="1" min="15" max="15"/>
    <col width="20" customWidth="1" min="16" max="16"/>
    <col width="15" customWidth="1" min="17" max="17"/>
    <col width="40" customWidth="1" min="18" max="18"/>
  </cols>
  <sheetData>
    <row r="1" ht="40" customHeight="1">
      <c r="A1" s="1" t="inlineStr">
        <is>
          <t>LOG FORWARDER INVENTORY</t>
        </is>
      </c>
    </row>
    <row r="2" ht="30" customHeight="1">
      <c r="A2" s="6" t="inlineStr">
        <is>
          <t>Catalog all log forwarders/collectors deployed across infrastructure</t>
        </is>
      </c>
    </row>
    <row r="7" ht="35" customHeight="1">
      <c r="A7" s="14" t="inlineStr">
        <is>
          <t>Forwarder ID</t>
        </is>
      </c>
      <c r="B7" s="14" t="inlineStr">
        <is>
          <t>Forwarder Type</t>
        </is>
      </c>
      <c r="C7" s="14" t="inlineStr">
        <is>
          <t>Version</t>
        </is>
      </c>
      <c r="D7" s="14" t="inlineStr">
        <is>
          <t>Installed On System</t>
        </is>
      </c>
      <c r="E7" s="14" t="inlineStr">
        <is>
          <t>System Hostname</t>
        </is>
      </c>
      <c r="F7" s="14" t="inlineStr">
        <is>
          <t>Destination SIEM</t>
        </is>
      </c>
      <c r="G7" s="14" t="inlineStr">
        <is>
          <t>Transport Protocol</t>
        </is>
      </c>
      <c r="H7" s="14" t="inlineStr">
        <is>
          <t>Port</t>
        </is>
      </c>
      <c r="I7" s="14" t="inlineStr">
        <is>
          <t>Encryption</t>
        </is>
      </c>
      <c r="J7" s="14" t="inlineStr">
        <is>
          <t>Buffer Enabled</t>
        </is>
      </c>
      <c r="K7" s="14" t="inlineStr">
        <is>
          <t>Buffer Size (MB)</t>
        </is>
      </c>
      <c r="L7" s="14" t="inlineStr">
        <is>
          <t>Install Date</t>
        </is>
      </c>
      <c r="M7" s="14" t="inlineStr">
        <is>
          <t>Last Updated</t>
        </is>
      </c>
      <c r="N7" s="14" t="inlineStr">
        <is>
          <t>Status</t>
        </is>
      </c>
      <c r="O7" s="14" t="inlineStr">
        <is>
          <t>Events/Day</t>
        </is>
      </c>
      <c r="P7" s="14" t="inlineStr">
        <is>
          <t>Data/Day (MB)</t>
        </is>
      </c>
      <c r="Q7" s="14" t="inlineStr">
        <is>
          <t>Last Health Check</t>
        </is>
      </c>
      <c r="R7" s="14" t="inlineStr">
        <is>
          <t>Notes</t>
        </is>
      </c>
    </row>
    <row r="8">
      <c r="A8" s="15" t="inlineStr">
        <is>
          <t>FWD-001</t>
        </is>
      </c>
      <c r="B8" s="15" t="inlineStr">
        <is>
          <t>Splunk UF</t>
        </is>
      </c>
      <c r="C8" s="15" t="inlineStr">
        <is>
          <t>9.1.3</t>
        </is>
      </c>
      <c r="D8" s="15" t="inlineStr">
        <is>
          <t>SYS-001</t>
        </is>
      </c>
      <c r="E8" s="15" t="inlineStr">
        <is>
          <t>web-prod-01</t>
        </is>
      </c>
      <c r="F8" s="15" t="inlineStr">
        <is>
          <t>Primary</t>
        </is>
      </c>
      <c r="G8" s="15" t="inlineStr">
        <is>
          <t>Syslog/TLS</t>
        </is>
      </c>
      <c r="H8" s="15" t="inlineStr">
        <is>
          <t>9997</t>
        </is>
      </c>
      <c r="I8" s="15" t="inlineStr">
        <is>
          <t>Yes (TLS 1.3)</t>
        </is>
      </c>
      <c r="J8" s="15" t="inlineStr">
        <is>
          <t>Yes</t>
        </is>
      </c>
      <c r="K8" s="15" t="inlineStr">
        <is>
          <t>100</t>
        </is>
      </c>
      <c r="L8" s="15" t="inlineStr">
        <is>
          <t>15.06.2025</t>
        </is>
      </c>
      <c r="M8" s="15" t="inlineStr">
        <is>
          <t>01.12.2025</t>
        </is>
      </c>
      <c r="N8" s="15" t="inlineStr">
        <is>
          <t>Running</t>
        </is>
      </c>
      <c r="O8" s="15" t="inlineStr">
        <is>
          <t>250000</t>
        </is>
      </c>
      <c r="P8" s="15" t="inlineStr">
        <is>
          <t>150</t>
        </is>
      </c>
      <c r="Q8" s="15" t="inlineStr">
        <is>
          <t>06.01.2026</t>
        </is>
      </c>
      <c r="R8" s="15" t="inlineStr">
        <is>
          <t>Forwarding web server logs</t>
        </is>
      </c>
    </row>
    <row r="9">
      <c r="A9" s="17">
        <f>IF(B9&lt;&gt;"","FWD-"&amp;TEXT(ROW()-8,"000"),"")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4" t="n"/>
      <c r="M9" s="4" t="n"/>
      <c r="N9" s="5" t="n"/>
      <c r="O9" s="5" t="n"/>
      <c r="P9" s="5" t="n"/>
      <c r="Q9" s="4" t="n"/>
      <c r="R9" s="5" t="n"/>
    </row>
    <row r="10">
      <c r="A10" s="17">
        <f>IF(B10&lt;&gt;"","FWD-"&amp;TEXT(ROW()-8,"000"),"")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4" t="n"/>
      <c r="M10" s="4" t="n"/>
      <c r="N10" s="5" t="n"/>
      <c r="O10" s="5" t="n"/>
      <c r="P10" s="5" t="n"/>
      <c r="Q10" s="4" t="n"/>
      <c r="R10" s="5" t="n"/>
    </row>
    <row r="11">
      <c r="A11" s="17">
        <f>IF(B11&lt;&gt;"","FWD-"&amp;TEXT(ROW()-8,"000"),"")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n"/>
      <c r="M11" s="4" t="n"/>
      <c r="N11" s="5" t="n"/>
      <c r="O11" s="5" t="n"/>
      <c r="P11" s="5" t="n"/>
      <c r="Q11" s="4" t="n"/>
      <c r="R11" s="5" t="n"/>
    </row>
    <row r="12">
      <c r="A12" s="17">
        <f>IF(B12&lt;&gt;"","FWD-"&amp;TEXT(ROW()-8,"000"),"")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4" t="n"/>
      <c r="M12" s="4" t="n"/>
      <c r="N12" s="5" t="n"/>
      <c r="O12" s="5" t="n"/>
      <c r="P12" s="5" t="n"/>
      <c r="Q12" s="4" t="n"/>
      <c r="R12" s="5" t="n"/>
    </row>
    <row r="13">
      <c r="A13" s="17">
        <f>IF(B13&lt;&gt;"","FWD-"&amp;TEXT(ROW()-8,"000"),"")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4" t="n"/>
      <c r="M13" s="4" t="n"/>
      <c r="N13" s="5" t="n"/>
      <c r="O13" s="5" t="n"/>
      <c r="P13" s="5" t="n"/>
      <c r="Q13" s="4" t="n"/>
      <c r="R13" s="5" t="n"/>
    </row>
    <row r="14">
      <c r="A14" s="17">
        <f>IF(B14&lt;&gt;"","FWD-"&amp;TEXT(ROW()-8,"000"),"")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4" t="n"/>
      <c r="M14" s="4" t="n"/>
      <c r="N14" s="5" t="n"/>
      <c r="O14" s="5" t="n"/>
      <c r="P14" s="5" t="n"/>
      <c r="Q14" s="4" t="n"/>
      <c r="R14" s="5" t="n"/>
    </row>
    <row r="15">
      <c r="A15" s="17">
        <f>IF(B15&lt;&gt;"","FWD-"&amp;TEXT(ROW()-8,"000"),"")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4" t="n"/>
      <c r="M15" s="4" t="n"/>
      <c r="N15" s="5" t="n"/>
      <c r="O15" s="5" t="n"/>
      <c r="P15" s="5" t="n"/>
      <c r="Q15" s="4" t="n"/>
      <c r="R15" s="5" t="n"/>
    </row>
    <row r="16">
      <c r="A16" s="17">
        <f>IF(B16&lt;&gt;"","FWD-"&amp;TEXT(ROW()-8,"000"),"")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4" t="n"/>
      <c r="M16" s="4" t="n"/>
      <c r="N16" s="5" t="n"/>
      <c r="O16" s="5" t="n"/>
      <c r="P16" s="5" t="n"/>
      <c r="Q16" s="4" t="n"/>
      <c r="R16" s="5" t="n"/>
    </row>
    <row r="17">
      <c r="A17" s="17">
        <f>IF(B17&lt;&gt;"","FWD-"&amp;TEXT(ROW()-8,"000"),"")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4" t="n"/>
      <c r="M17" s="4" t="n"/>
      <c r="N17" s="5" t="n"/>
      <c r="O17" s="5" t="n"/>
      <c r="P17" s="5" t="n"/>
      <c r="Q17" s="4" t="n"/>
      <c r="R17" s="5" t="n"/>
    </row>
    <row r="18">
      <c r="A18" s="17">
        <f>IF(B18&lt;&gt;"","FWD-"&amp;TEXT(ROW()-8,"000"),"")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4" t="n"/>
      <c r="M18" s="4" t="n"/>
      <c r="N18" s="5" t="n"/>
      <c r="O18" s="5" t="n"/>
      <c r="P18" s="5" t="n"/>
      <c r="Q18" s="4" t="n"/>
      <c r="R18" s="5" t="n"/>
    </row>
    <row r="19">
      <c r="A19" s="17">
        <f>IF(B19&lt;&gt;"","FWD-"&amp;TEXT(ROW()-8,"000"),"")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4" t="n"/>
      <c r="M19" s="4" t="n"/>
      <c r="N19" s="5" t="n"/>
      <c r="O19" s="5" t="n"/>
      <c r="P19" s="5" t="n"/>
      <c r="Q19" s="4" t="n"/>
      <c r="R19" s="5" t="n"/>
    </row>
    <row r="20">
      <c r="A20" s="17">
        <f>IF(B20&lt;&gt;"","FWD-"&amp;TEXT(ROW()-8,"000"),"")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4" t="n"/>
      <c r="M20" s="4" t="n"/>
      <c r="N20" s="5" t="n"/>
      <c r="O20" s="5" t="n"/>
      <c r="P20" s="5" t="n"/>
      <c r="Q20" s="4" t="n"/>
      <c r="R20" s="5" t="n"/>
    </row>
    <row r="21">
      <c r="A21" s="17">
        <f>IF(B21&lt;&gt;"","FWD-"&amp;TEXT(ROW()-8,"000"),"")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4" t="n"/>
      <c r="M21" s="4" t="n"/>
      <c r="N21" s="5" t="n"/>
      <c r="O21" s="5" t="n"/>
      <c r="P21" s="5" t="n"/>
      <c r="Q21" s="4" t="n"/>
      <c r="R21" s="5" t="n"/>
    </row>
    <row r="22">
      <c r="A22" s="17">
        <f>IF(B22&lt;&gt;"","FWD-"&amp;TEXT(ROW()-8,"000"),"")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4" t="n"/>
      <c r="M22" s="4" t="n"/>
      <c r="N22" s="5" t="n"/>
      <c r="O22" s="5" t="n"/>
      <c r="P22" s="5" t="n"/>
      <c r="Q22" s="4" t="n"/>
      <c r="R22" s="5" t="n"/>
    </row>
    <row r="23">
      <c r="A23" s="17">
        <f>IF(B23&lt;&gt;"","FWD-"&amp;TEXT(ROW()-8,"000"),"")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4" t="n"/>
      <c r="M23" s="4" t="n"/>
      <c r="N23" s="5" t="n"/>
      <c r="O23" s="5" t="n"/>
      <c r="P23" s="5" t="n"/>
      <c r="Q23" s="4" t="n"/>
      <c r="R23" s="5" t="n"/>
    </row>
    <row r="24">
      <c r="A24" s="17">
        <f>IF(B24&lt;&gt;"","FWD-"&amp;TEXT(ROW()-8,"000"),"")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4" t="n"/>
      <c r="M24" s="4" t="n"/>
      <c r="N24" s="5" t="n"/>
      <c r="O24" s="5" t="n"/>
      <c r="P24" s="5" t="n"/>
      <c r="Q24" s="4" t="n"/>
      <c r="R24" s="5" t="n"/>
    </row>
    <row r="25">
      <c r="A25" s="17">
        <f>IF(B25&lt;&gt;"","FWD-"&amp;TEXT(ROW()-8,"000"),"")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4" t="n"/>
      <c r="M25" s="4" t="n"/>
      <c r="N25" s="5" t="n"/>
      <c r="O25" s="5" t="n"/>
      <c r="P25" s="5" t="n"/>
      <c r="Q25" s="4" t="n"/>
      <c r="R25" s="5" t="n"/>
    </row>
    <row r="26">
      <c r="A26" s="17">
        <f>IF(B26&lt;&gt;"","FWD-"&amp;TEXT(ROW()-8,"000"),"")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4" t="n"/>
      <c r="M26" s="4" t="n"/>
      <c r="N26" s="5" t="n"/>
      <c r="O26" s="5" t="n"/>
      <c r="P26" s="5" t="n"/>
      <c r="Q26" s="4" t="n"/>
      <c r="R26" s="5" t="n"/>
    </row>
    <row r="27">
      <c r="A27" s="17">
        <f>IF(B27&lt;&gt;"","FWD-"&amp;TEXT(ROW()-8,"000"),"")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4" t="n"/>
      <c r="M27" s="4" t="n"/>
      <c r="N27" s="5" t="n"/>
      <c r="O27" s="5" t="n"/>
      <c r="P27" s="5" t="n"/>
      <c r="Q27" s="4" t="n"/>
      <c r="R27" s="5" t="n"/>
    </row>
    <row r="28">
      <c r="A28" s="17">
        <f>IF(B28&lt;&gt;"","FWD-"&amp;TEXT(ROW()-8,"000"),"")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4" t="n"/>
      <c r="M28" s="4" t="n"/>
      <c r="N28" s="5" t="n"/>
      <c r="O28" s="5" t="n"/>
      <c r="P28" s="5" t="n"/>
      <c r="Q28" s="4" t="n"/>
      <c r="R28" s="5" t="n"/>
    </row>
    <row r="29">
      <c r="A29" s="17">
        <f>IF(B29&lt;&gt;"","FWD-"&amp;TEXT(ROW()-8,"000"),"")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4" t="n"/>
      <c r="M29" s="4" t="n"/>
      <c r="N29" s="5" t="n"/>
      <c r="O29" s="5" t="n"/>
      <c r="P29" s="5" t="n"/>
      <c r="Q29" s="4" t="n"/>
      <c r="R29" s="5" t="n"/>
    </row>
    <row r="30">
      <c r="A30" s="17">
        <f>IF(B30&lt;&gt;"","FWD-"&amp;TEXT(ROW()-8,"000"),"")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4" t="n"/>
      <c r="M30" s="4" t="n"/>
      <c r="N30" s="5" t="n"/>
      <c r="O30" s="5" t="n"/>
      <c r="P30" s="5" t="n"/>
      <c r="Q30" s="4" t="n"/>
      <c r="R30" s="5" t="n"/>
    </row>
    <row r="31">
      <c r="A31" s="17">
        <f>IF(B31&lt;&gt;"","FWD-"&amp;TEXT(ROW()-8,"000"),"")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4" t="n"/>
      <c r="M31" s="4" t="n"/>
      <c r="N31" s="5" t="n"/>
      <c r="O31" s="5" t="n"/>
      <c r="P31" s="5" t="n"/>
      <c r="Q31" s="4" t="n"/>
      <c r="R31" s="5" t="n"/>
    </row>
    <row r="32">
      <c r="A32" s="17">
        <f>IF(B32&lt;&gt;"","FWD-"&amp;TEXT(ROW()-8,"000"),"")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4" t="n"/>
      <c r="M32" s="4" t="n"/>
      <c r="N32" s="5" t="n"/>
      <c r="O32" s="5" t="n"/>
      <c r="P32" s="5" t="n"/>
      <c r="Q32" s="4" t="n"/>
      <c r="R32" s="5" t="n"/>
    </row>
    <row r="33">
      <c r="A33" s="17">
        <f>IF(B33&lt;&gt;"","FWD-"&amp;TEXT(ROW()-8,"000"),"")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4" t="n"/>
      <c r="M33" s="4" t="n"/>
      <c r="N33" s="5" t="n"/>
      <c r="O33" s="5" t="n"/>
      <c r="P33" s="5" t="n"/>
      <c r="Q33" s="4" t="n"/>
      <c r="R33" s="5" t="n"/>
    </row>
    <row r="34">
      <c r="A34" s="17">
        <f>IF(B34&lt;&gt;"","FWD-"&amp;TEXT(ROW()-8,"000"),"")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4" t="n"/>
      <c r="M34" s="4" t="n"/>
      <c r="N34" s="5" t="n"/>
      <c r="O34" s="5" t="n"/>
      <c r="P34" s="5" t="n"/>
      <c r="Q34" s="4" t="n"/>
      <c r="R34" s="5" t="n"/>
    </row>
    <row r="35">
      <c r="A35" s="17">
        <f>IF(B35&lt;&gt;"","FWD-"&amp;TEXT(ROW()-8,"000"),"")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4" t="n"/>
      <c r="M35" s="4" t="n"/>
      <c r="N35" s="5" t="n"/>
      <c r="O35" s="5" t="n"/>
      <c r="P35" s="5" t="n"/>
      <c r="Q35" s="4" t="n"/>
      <c r="R35" s="5" t="n"/>
    </row>
    <row r="36">
      <c r="A36" s="17">
        <f>IF(B36&lt;&gt;"","FWD-"&amp;TEXT(ROW()-8,"000"),"")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4" t="n"/>
      <c r="M36" s="4" t="n"/>
      <c r="N36" s="5" t="n"/>
      <c r="O36" s="5" t="n"/>
      <c r="P36" s="5" t="n"/>
      <c r="Q36" s="4" t="n"/>
      <c r="R36" s="5" t="n"/>
    </row>
    <row r="37">
      <c r="A37" s="17">
        <f>IF(B37&lt;&gt;"","FWD-"&amp;TEXT(ROW()-8,"000"),"")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4" t="n"/>
      <c r="M37" s="4" t="n"/>
      <c r="N37" s="5" t="n"/>
      <c r="O37" s="5" t="n"/>
      <c r="P37" s="5" t="n"/>
      <c r="Q37" s="4" t="n"/>
      <c r="R37" s="5" t="n"/>
    </row>
    <row r="38">
      <c r="A38" s="17">
        <f>IF(B38&lt;&gt;"","FWD-"&amp;TEXT(ROW()-8,"000"),"")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4" t="n"/>
      <c r="M38" s="4" t="n"/>
      <c r="N38" s="5" t="n"/>
      <c r="O38" s="5" t="n"/>
      <c r="P38" s="5" t="n"/>
      <c r="Q38" s="4" t="n"/>
      <c r="R38" s="5" t="n"/>
    </row>
    <row r="39">
      <c r="A39" s="17">
        <f>IF(B39&lt;&gt;"","FWD-"&amp;TEXT(ROW()-8,"000"),"")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4" t="n"/>
      <c r="M39" s="4" t="n"/>
      <c r="N39" s="5" t="n"/>
      <c r="O39" s="5" t="n"/>
      <c r="P39" s="5" t="n"/>
      <c r="Q39" s="4" t="n"/>
      <c r="R39" s="5" t="n"/>
    </row>
    <row r="40">
      <c r="A40" s="17">
        <f>IF(B40&lt;&gt;"","FWD-"&amp;TEXT(ROW()-8,"000"),"")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4" t="n"/>
      <c r="M40" s="4" t="n"/>
      <c r="N40" s="5" t="n"/>
      <c r="O40" s="5" t="n"/>
      <c r="P40" s="5" t="n"/>
      <c r="Q40" s="4" t="n"/>
      <c r="R40" s="5" t="n"/>
    </row>
    <row r="41">
      <c r="A41" s="17">
        <f>IF(B41&lt;&gt;"","FWD-"&amp;TEXT(ROW()-8,"000"),"")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4" t="n"/>
      <c r="M41" s="4" t="n"/>
      <c r="N41" s="5" t="n"/>
      <c r="O41" s="5" t="n"/>
      <c r="P41" s="5" t="n"/>
      <c r="Q41" s="4" t="n"/>
      <c r="R41" s="5" t="n"/>
    </row>
    <row r="42">
      <c r="A42" s="17">
        <f>IF(B42&lt;&gt;"","FWD-"&amp;TEXT(ROW()-8,"000"),"")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4" t="n"/>
      <c r="M42" s="4" t="n"/>
      <c r="N42" s="5" t="n"/>
      <c r="O42" s="5" t="n"/>
      <c r="P42" s="5" t="n"/>
      <c r="Q42" s="4" t="n"/>
      <c r="R42" s="5" t="n"/>
    </row>
    <row r="43">
      <c r="A43" s="17">
        <f>IF(B43&lt;&gt;"","FWD-"&amp;TEXT(ROW()-8,"000"),"")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4" t="n"/>
      <c r="M43" s="4" t="n"/>
      <c r="N43" s="5" t="n"/>
      <c r="O43" s="5" t="n"/>
      <c r="P43" s="5" t="n"/>
      <c r="Q43" s="4" t="n"/>
      <c r="R43" s="5" t="n"/>
    </row>
    <row r="44">
      <c r="A44" s="17">
        <f>IF(B44&lt;&gt;"","FWD-"&amp;TEXT(ROW()-8,"000"),"")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4" t="n"/>
      <c r="M44" s="4" t="n"/>
      <c r="N44" s="5" t="n"/>
      <c r="O44" s="5" t="n"/>
      <c r="P44" s="5" t="n"/>
      <c r="Q44" s="4" t="n"/>
      <c r="R44" s="5" t="n"/>
    </row>
    <row r="45">
      <c r="A45" s="17">
        <f>IF(B45&lt;&gt;"","FWD-"&amp;TEXT(ROW()-8,"000"),"")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4" t="n"/>
      <c r="M45" s="4" t="n"/>
      <c r="N45" s="5" t="n"/>
      <c r="O45" s="5" t="n"/>
      <c r="P45" s="5" t="n"/>
      <c r="Q45" s="4" t="n"/>
      <c r="R45" s="5" t="n"/>
    </row>
    <row r="46">
      <c r="A46" s="17">
        <f>IF(B46&lt;&gt;"","FWD-"&amp;TEXT(ROW()-8,"000"),"")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4" t="n"/>
      <c r="M46" s="4" t="n"/>
      <c r="N46" s="5" t="n"/>
      <c r="O46" s="5" t="n"/>
      <c r="P46" s="5" t="n"/>
      <c r="Q46" s="4" t="n"/>
      <c r="R46" s="5" t="n"/>
    </row>
    <row r="47">
      <c r="A47" s="17">
        <f>IF(B47&lt;&gt;"","FWD-"&amp;TEXT(ROW()-8,"000"),"")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4" t="n"/>
      <c r="M47" s="4" t="n"/>
      <c r="N47" s="5" t="n"/>
      <c r="O47" s="5" t="n"/>
      <c r="P47" s="5" t="n"/>
      <c r="Q47" s="4" t="n"/>
      <c r="R47" s="5" t="n"/>
    </row>
    <row r="48">
      <c r="A48" s="17">
        <f>IF(B48&lt;&gt;"","FWD-"&amp;TEXT(ROW()-8,"000"),"")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4" t="n"/>
      <c r="M48" s="4" t="n"/>
      <c r="N48" s="5" t="n"/>
      <c r="O48" s="5" t="n"/>
      <c r="P48" s="5" t="n"/>
      <c r="Q48" s="4" t="n"/>
      <c r="R48" s="5" t="n"/>
    </row>
    <row r="49">
      <c r="A49" s="17">
        <f>IF(B49&lt;&gt;"","FWD-"&amp;TEXT(ROW()-8,"000"),"")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4" t="n"/>
      <c r="M49" s="4" t="n"/>
      <c r="N49" s="5" t="n"/>
      <c r="O49" s="5" t="n"/>
      <c r="P49" s="5" t="n"/>
      <c r="Q49" s="4" t="n"/>
      <c r="R49" s="5" t="n"/>
    </row>
    <row r="50">
      <c r="A50" s="17">
        <f>IF(B50&lt;&gt;"","FWD-"&amp;TEXT(ROW()-8,"000"),"")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4" t="n"/>
      <c r="M50" s="4" t="n"/>
      <c r="N50" s="5" t="n"/>
      <c r="O50" s="5" t="n"/>
      <c r="P50" s="5" t="n"/>
      <c r="Q50" s="4" t="n"/>
      <c r="R50" s="5" t="n"/>
    </row>
    <row r="51">
      <c r="A51" s="17">
        <f>IF(B51&lt;&gt;"","FWD-"&amp;TEXT(ROW()-8,"000"),"")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4" t="n"/>
      <c r="M51" s="4" t="n"/>
      <c r="N51" s="5" t="n"/>
      <c r="O51" s="5" t="n"/>
      <c r="P51" s="5" t="n"/>
      <c r="Q51" s="4" t="n"/>
      <c r="R51" s="5" t="n"/>
    </row>
    <row r="52">
      <c r="A52" s="17">
        <f>IF(B52&lt;&gt;"","FWD-"&amp;TEXT(ROW()-8,"000"),"")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4" t="n"/>
      <c r="M52" s="4" t="n"/>
      <c r="N52" s="5" t="n"/>
      <c r="O52" s="5" t="n"/>
      <c r="P52" s="5" t="n"/>
      <c r="Q52" s="4" t="n"/>
      <c r="R52" s="5" t="n"/>
    </row>
    <row r="53">
      <c r="A53" s="17">
        <f>IF(B53&lt;&gt;"","FWD-"&amp;TEXT(ROW()-8,"000"),"")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4" t="n"/>
      <c r="M53" s="4" t="n"/>
      <c r="N53" s="5" t="n"/>
      <c r="O53" s="5" t="n"/>
      <c r="P53" s="5" t="n"/>
      <c r="Q53" s="4" t="n"/>
      <c r="R53" s="5" t="n"/>
    </row>
    <row r="54">
      <c r="A54" s="17">
        <f>IF(B54&lt;&gt;"","FWD-"&amp;TEXT(ROW()-8,"000"),"")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4" t="n"/>
      <c r="M54" s="4" t="n"/>
      <c r="N54" s="5" t="n"/>
      <c r="O54" s="5" t="n"/>
      <c r="P54" s="5" t="n"/>
      <c r="Q54" s="4" t="n"/>
      <c r="R54" s="5" t="n"/>
    </row>
    <row r="55">
      <c r="A55" s="17">
        <f>IF(B55&lt;&gt;"","FWD-"&amp;TEXT(ROW()-8,"000"),"")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4" t="n"/>
      <c r="M55" s="4" t="n"/>
      <c r="N55" s="5" t="n"/>
      <c r="O55" s="5" t="n"/>
      <c r="P55" s="5" t="n"/>
      <c r="Q55" s="4" t="n"/>
      <c r="R55" s="5" t="n"/>
    </row>
    <row r="56">
      <c r="A56" s="17">
        <f>IF(B56&lt;&gt;"","FWD-"&amp;TEXT(ROW()-8,"000"),"")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4" t="n"/>
      <c r="M56" s="4" t="n"/>
      <c r="N56" s="5" t="n"/>
      <c r="O56" s="5" t="n"/>
      <c r="P56" s="5" t="n"/>
      <c r="Q56" s="4" t="n"/>
      <c r="R56" s="5" t="n"/>
    </row>
    <row r="57">
      <c r="A57" s="17">
        <f>IF(B57&lt;&gt;"","FWD-"&amp;TEXT(ROW()-8,"000"),"")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4" t="n"/>
      <c r="M57" s="4" t="n"/>
      <c r="N57" s="5" t="n"/>
      <c r="O57" s="5" t="n"/>
      <c r="P57" s="5" t="n"/>
      <c r="Q57" s="4" t="n"/>
      <c r="R57" s="5" t="n"/>
    </row>
    <row r="58">
      <c r="A58" s="17">
        <f>IF(B58&lt;&gt;"","FWD-"&amp;TEXT(ROW()-8,"000"),"")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4" t="n"/>
      <c r="M58" s="4" t="n"/>
      <c r="N58" s="5" t="n"/>
      <c r="O58" s="5" t="n"/>
      <c r="P58" s="5" t="n"/>
      <c r="Q58" s="4" t="n"/>
      <c r="R58" s="5" t="n"/>
    </row>
    <row r="59">
      <c r="A59" s="17">
        <f>IF(B59&lt;&gt;"","FWD-"&amp;TEXT(ROW()-8,"000"),"")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4" t="n"/>
      <c r="M59" s="4" t="n"/>
      <c r="N59" s="5" t="n"/>
      <c r="O59" s="5" t="n"/>
      <c r="P59" s="5" t="n"/>
      <c r="Q59" s="4" t="n"/>
      <c r="R59" s="5" t="n"/>
    </row>
    <row r="60">
      <c r="A60" s="17">
        <f>IF(B60&lt;&gt;"","FWD-"&amp;TEXT(ROW()-8,"000"),"")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4" t="n"/>
      <c r="M60" s="4" t="n"/>
      <c r="N60" s="5" t="n"/>
      <c r="O60" s="5" t="n"/>
      <c r="P60" s="5" t="n"/>
      <c r="Q60" s="4" t="n"/>
      <c r="R60" s="5" t="n"/>
    </row>
    <row r="61">
      <c r="A61" s="17">
        <f>IF(B61&lt;&gt;"","FWD-"&amp;TEXT(ROW()-8,"000"),"")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4" t="n"/>
      <c r="M61" s="4" t="n"/>
      <c r="N61" s="5" t="n"/>
      <c r="O61" s="5" t="n"/>
      <c r="P61" s="5" t="n"/>
      <c r="Q61" s="4" t="n"/>
      <c r="R61" s="5" t="n"/>
    </row>
    <row r="62">
      <c r="A62" s="17">
        <f>IF(B62&lt;&gt;"","FWD-"&amp;TEXT(ROW()-8,"000"),"")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4" t="n"/>
      <c r="M62" s="4" t="n"/>
      <c r="N62" s="5" t="n"/>
      <c r="O62" s="5" t="n"/>
      <c r="P62" s="5" t="n"/>
      <c r="Q62" s="4" t="n"/>
      <c r="R62" s="5" t="n"/>
    </row>
    <row r="63">
      <c r="A63" s="17">
        <f>IF(B63&lt;&gt;"","FWD-"&amp;TEXT(ROW()-8,"000"),"")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4" t="n"/>
      <c r="M63" s="4" t="n"/>
      <c r="N63" s="5" t="n"/>
      <c r="O63" s="5" t="n"/>
      <c r="P63" s="5" t="n"/>
      <c r="Q63" s="4" t="n"/>
      <c r="R63" s="5" t="n"/>
    </row>
    <row r="64">
      <c r="A64" s="17">
        <f>IF(B64&lt;&gt;"","FWD-"&amp;TEXT(ROW()-8,"000"),"")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4" t="n"/>
      <c r="M64" s="4" t="n"/>
      <c r="N64" s="5" t="n"/>
      <c r="O64" s="5" t="n"/>
      <c r="P64" s="5" t="n"/>
      <c r="Q64" s="4" t="n"/>
      <c r="R64" s="5" t="n"/>
    </row>
    <row r="65">
      <c r="A65" s="17">
        <f>IF(B65&lt;&gt;"","FWD-"&amp;TEXT(ROW()-8,"000"),"")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4" t="n"/>
      <c r="M65" s="4" t="n"/>
      <c r="N65" s="5" t="n"/>
      <c r="O65" s="5" t="n"/>
      <c r="P65" s="5" t="n"/>
      <c r="Q65" s="4" t="n"/>
      <c r="R65" s="5" t="n"/>
    </row>
    <row r="66">
      <c r="A66" s="17">
        <f>IF(B66&lt;&gt;"","FWD-"&amp;TEXT(ROW()-8,"000"),"")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4" t="n"/>
      <c r="M66" s="4" t="n"/>
      <c r="N66" s="5" t="n"/>
      <c r="O66" s="5" t="n"/>
      <c r="P66" s="5" t="n"/>
      <c r="Q66" s="4" t="n"/>
      <c r="R66" s="5" t="n"/>
    </row>
    <row r="67">
      <c r="A67" s="17">
        <f>IF(B67&lt;&gt;"","FWD-"&amp;TEXT(ROW()-8,"000"),"")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4" t="n"/>
      <c r="M67" s="4" t="n"/>
      <c r="N67" s="5" t="n"/>
      <c r="O67" s="5" t="n"/>
      <c r="P67" s="5" t="n"/>
      <c r="Q67" s="4" t="n"/>
      <c r="R67" s="5" t="n"/>
    </row>
    <row r="68">
      <c r="A68" s="17">
        <f>IF(B68&lt;&gt;"","FWD-"&amp;TEXT(ROW()-8,"000"),"")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4" t="n"/>
      <c r="M68" s="4" t="n"/>
      <c r="N68" s="5" t="n"/>
      <c r="O68" s="5" t="n"/>
      <c r="P68" s="5" t="n"/>
      <c r="Q68" s="4" t="n"/>
      <c r="R68" s="5" t="n"/>
    </row>
    <row r="69">
      <c r="A69" s="17">
        <f>IF(B69&lt;&gt;"","FWD-"&amp;TEXT(ROW()-8,"000"),"")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4" t="n"/>
      <c r="M69" s="4" t="n"/>
      <c r="N69" s="5" t="n"/>
      <c r="O69" s="5" t="n"/>
      <c r="P69" s="5" t="n"/>
      <c r="Q69" s="4" t="n"/>
      <c r="R69" s="5" t="n"/>
    </row>
    <row r="70">
      <c r="A70" s="17">
        <f>IF(B70&lt;&gt;"","FWD-"&amp;TEXT(ROW()-8,"000"),"")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4" t="n"/>
      <c r="M70" s="4" t="n"/>
      <c r="N70" s="5" t="n"/>
      <c r="O70" s="5" t="n"/>
      <c r="P70" s="5" t="n"/>
      <c r="Q70" s="4" t="n"/>
      <c r="R70" s="5" t="n"/>
    </row>
    <row r="71">
      <c r="A71" s="17">
        <f>IF(B71&lt;&gt;"","FWD-"&amp;TEXT(ROW()-8,"000"),"")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4" t="n"/>
      <c r="M71" s="4" t="n"/>
      <c r="N71" s="5" t="n"/>
      <c r="O71" s="5" t="n"/>
      <c r="P71" s="5" t="n"/>
      <c r="Q71" s="4" t="n"/>
      <c r="R71" s="5" t="n"/>
    </row>
    <row r="72">
      <c r="A72" s="17">
        <f>IF(B72&lt;&gt;"","FWD-"&amp;TEXT(ROW()-8,"000"),"")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4" t="n"/>
      <c r="M72" s="4" t="n"/>
      <c r="N72" s="5" t="n"/>
      <c r="O72" s="5" t="n"/>
      <c r="P72" s="5" t="n"/>
      <c r="Q72" s="4" t="n"/>
      <c r="R72" s="5" t="n"/>
    </row>
    <row r="73">
      <c r="A73" s="17">
        <f>IF(B73&lt;&gt;"","FWD-"&amp;TEXT(ROW()-8,"000"),"")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4" t="n"/>
      <c r="M73" s="4" t="n"/>
      <c r="N73" s="5" t="n"/>
      <c r="O73" s="5" t="n"/>
      <c r="P73" s="5" t="n"/>
      <c r="Q73" s="4" t="n"/>
      <c r="R73" s="5" t="n"/>
    </row>
    <row r="74">
      <c r="A74" s="17">
        <f>IF(B74&lt;&gt;"","FWD-"&amp;TEXT(ROW()-8,"000"),"")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4" t="n"/>
      <c r="M74" s="4" t="n"/>
      <c r="N74" s="5" t="n"/>
      <c r="O74" s="5" t="n"/>
      <c r="P74" s="5" t="n"/>
      <c r="Q74" s="4" t="n"/>
      <c r="R74" s="5" t="n"/>
    </row>
    <row r="75">
      <c r="A75" s="17">
        <f>IF(B75&lt;&gt;"","FWD-"&amp;TEXT(ROW()-8,"000"),"")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4" t="n"/>
      <c r="M75" s="4" t="n"/>
      <c r="N75" s="5" t="n"/>
      <c r="O75" s="5" t="n"/>
      <c r="P75" s="5" t="n"/>
      <c r="Q75" s="4" t="n"/>
      <c r="R75" s="5" t="n"/>
    </row>
    <row r="76">
      <c r="A76" s="17">
        <f>IF(B76&lt;&gt;"","FWD-"&amp;TEXT(ROW()-8,"000"),"")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4" t="n"/>
      <c r="M76" s="4" t="n"/>
      <c r="N76" s="5" t="n"/>
      <c r="O76" s="5" t="n"/>
      <c r="P76" s="5" t="n"/>
      <c r="Q76" s="4" t="n"/>
      <c r="R76" s="5" t="n"/>
    </row>
    <row r="77">
      <c r="A77" s="17">
        <f>IF(B77&lt;&gt;"","FWD-"&amp;TEXT(ROW()-8,"000"),"")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4" t="n"/>
      <c r="M77" s="4" t="n"/>
      <c r="N77" s="5" t="n"/>
      <c r="O77" s="5" t="n"/>
      <c r="P77" s="5" t="n"/>
      <c r="Q77" s="4" t="n"/>
      <c r="R77" s="5" t="n"/>
    </row>
    <row r="78">
      <c r="A78" s="17">
        <f>IF(B78&lt;&gt;"","FWD-"&amp;TEXT(ROW()-8,"000"),"")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4" t="n"/>
      <c r="M78" s="4" t="n"/>
      <c r="N78" s="5" t="n"/>
      <c r="O78" s="5" t="n"/>
      <c r="P78" s="5" t="n"/>
      <c r="Q78" s="4" t="n"/>
      <c r="R78" s="5" t="n"/>
    </row>
    <row r="79">
      <c r="A79" s="17">
        <f>IF(B79&lt;&gt;"","FWD-"&amp;TEXT(ROW()-8,"000"),"")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4" t="n"/>
      <c r="M79" s="4" t="n"/>
      <c r="N79" s="5" t="n"/>
      <c r="O79" s="5" t="n"/>
      <c r="P79" s="5" t="n"/>
      <c r="Q79" s="4" t="n"/>
      <c r="R79" s="5" t="n"/>
    </row>
    <row r="80">
      <c r="A80" s="17">
        <f>IF(B80&lt;&gt;"","FWD-"&amp;TEXT(ROW()-8,"000"),"")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4" t="n"/>
      <c r="M80" s="4" t="n"/>
      <c r="N80" s="5" t="n"/>
      <c r="O80" s="5" t="n"/>
      <c r="P80" s="5" t="n"/>
      <c r="Q80" s="4" t="n"/>
      <c r="R80" s="5" t="n"/>
    </row>
    <row r="81">
      <c r="A81" s="17">
        <f>IF(B81&lt;&gt;"","FWD-"&amp;TEXT(ROW()-8,"000"),"")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4" t="n"/>
      <c r="M81" s="4" t="n"/>
      <c r="N81" s="5" t="n"/>
      <c r="O81" s="5" t="n"/>
      <c r="P81" s="5" t="n"/>
      <c r="Q81" s="4" t="n"/>
      <c r="R81" s="5" t="n"/>
    </row>
    <row r="82">
      <c r="A82" s="17">
        <f>IF(B82&lt;&gt;"","FWD-"&amp;TEXT(ROW()-8,"000"),"")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4" t="n"/>
      <c r="M82" s="4" t="n"/>
      <c r="N82" s="5" t="n"/>
      <c r="O82" s="5" t="n"/>
      <c r="P82" s="5" t="n"/>
      <c r="Q82" s="4" t="n"/>
      <c r="R82" s="5" t="n"/>
    </row>
    <row r="83">
      <c r="A83" s="17">
        <f>IF(B83&lt;&gt;"","FWD-"&amp;TEXT(ROW()-8,"000"),"")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4" t="n"/>
      <c r="M83" s="4" t="n"/>
      <c r="N83" s="5" t="n"/>
      <c r="O83" s="5" t="n"/>
      <c r="P83" s="5" t="n"/>
      <c r="Q83" s="4" t="n"/>
      <c r="R83" s="5" t="n"/>
    </row>
    <row r="84">
      <c r="A84" s="17">
        <f>IF(B84&lt;&gt;"","FWD-"&amp;TEXT(ROW()-8,"000"),"")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4" t="n"/>
      <c r="M84" s="4" t="n"/>
      <c r="N84" s="5" t="n"/>
      <c r="O84" s="5" t="n"/>
      <c r="P84" s="5" t="n"/>
      <c r="Q84" s="4" t="n"/>
      <c r="R84" s="5" t="n"/>
    </row>
    <row r="85">
      <c r="A85" s="17">
        <f>IF(B85&lt;&gt;"","FWD-"&amp;TEXT(ROW()-8,"000"),"")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4" t="n"/>
      <c r="M85" s="4" t="n"/>
      <c r="N85" s="5" t="n"/>
      <c r="O85" s="5" t="n"/>
      <c r="P85" s="5" t="n"/>
      <c r="Q85" s="4" t="n"/>
      <c r="R85" s="5" t="n"/>
    </row>
    <row r="86">
      <c r="A86" s="17">
        <f>IF(B86&lt;&gt;"","FWD-"&amp;TEXT(ROW()-8,"000"),"")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4" t="n"/>
      <c r="M86" s="4" t="n"/>
      <c r="N86" s="5" t="n"/>
      <c r="O86" s="5" t="n"/>
      <c r="P86" s="5" t="n"/>
      <c r="Q86" s="4" t="n"/>
      <c r="R86" s="5" t="n"/>
    </row>
    <row r="87">
      <c r="A87" s="17">
        <f>IF(B87&lt;&gt;"","FWD-"&amp;TEXT(ROW()-8,"000"),"")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4" t="n"/>
      <c r="M87" s="4" t="n"/>
      <c r="N87" s="5" t="n"/>
      <c r="O87" s="5" t="n"/>
      <c r="P87" s="5" t="n"/>
      <c r="Q87" s="4" t="n"/>
      <c r="R87" s="5" t="n"/>
    </row>
    <row r="88">
      <c r="A88" s="17">
        <f>IF(B88&lt;&gt;"","FWD-"&amp;TEXT(ROW()-8,"000"),"")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4" t="n"/>
      <c r="M88" s="4" t="n"/>
      <c r="N88" s="5" t="n"/>
      <c r="O88" s="5" t="n"/>
      <c r="P88" s="5" t="n"/>
      <c r="Q88" s="4" t="n"/>
      <c r="R88" s="5" t="n"/>
    </row>
    <row r="89">
      <c r="A89" s="17">
        <f>IF(B89&lt;&gt;"","FWD-"&amp;TEXT(ROW()-8,"000"),"")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4" t="n"/>
      <c r="M89" s="4" t="n"/>
      <c r="N89" s="5" t="n"/>
      <c r="O89" s="5" t="n"/>
      <c r="P89" s="5" t="n"/>
      <c r="Q89" s="4" t="n"/>
      <c r="R89" s="5" t="n"/>
    </row>
    <row r="90">
      <c r="A90" s="17">
        <f>IF(B90&lt;&gt;"","FWD-"&amp;TEXT(ROW()-8,"000"),"")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4" t="n"/>
      <c r="M90" s="4" t="n"/>
      <c r="N90" s="5" t="n"/>
      <c r="O90" s="5" t="n"/>
      <c r="P90" s="5" t="n"/>
      <c r="Q90" s="4" t="n"/>
      <c r="R90" s="5" t="n"/>
    </row>
    <row r="91">
      <c r="A91" s="17">
        <f>IF(B91&lt;&gt;"","FWD-"&amp;TEXT(ROW()-8,"000"),"")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4" t="n"/>
      <c r="M91" s="4" t="n"/>
      <c r="N91" s="5" t="n"/>
      <c r="O91" s="5" t="n"/>
      <c r="P91" s="5" t="n"/>
      <c r="Q91" s="4" t="n"/>
      <c r="R91" s="5" t="n"/>
    </row>
    <row r="92">
      <c r="A92" s="17">
        <f>IF(B92&lt;&gt;"","FWD-"&amp;TEXT(ROW()-8,"000"),"")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4" t="n"/>
      <c r="M92" s="4" t="n"/>
      <c r="N92" s="5" t="n"/>
      <c r="O92" s="5" t="n"/>
      <c r="P92" s="5" t="n"/>
      <c r="Q92" s="4" t="n"/>
      <c r="R92" s="5" t="n"/>
    </row>
    <row r="93">
      <c r="A93" s="17">
        <f>IF(B93&lt;&gt;"","FWD-"&amp;TEXT(ROW()-8,"000"),"")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4" t="n"/>
      <c r="M93" s="4" t="n"/>
      <c r="N93" s="5" t="n"/>
      <c r="O93" s="5" t="n"/>
      <c r="P93" s="5" t="n"/>
      <c r="Q93" s="4" t="n"/>
      <c r="R93" s="5" t="n"/>
    </row>
    <row r="94">
      <c r="A94" s="17">
        <f>IF(B94&lt;&gt;"","FWD-"&amp;TEXT(ROW()-8,"000"),"")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4" t="n"/>
      <c r="M94" s="4" t="n"/>
      <c r="N94" s="5" t="n"/>
      <c r="O94" s="5" t="n"/>
      <c r="P94" s="5" t="n"/>
      <c r="Q94" s="4" t="n"/>
      <c r="R94" s="5" t="n"/>
    </row>
    <row r="95">
      <c r="A95" s="17">
        <f>IF(B95&lt;&gt;"","FWD-"&amp;TEXT(ROW()-8,"000"),"")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4" t="n"/>
      <c r="M95" s="4" t="n"/>
      <c r="N95" s="5" t="n"/>
      <c r="O95" s="5" t="n"/>
      <c r="P95" s="5" t="n"/>
      <c r="Q95" s="4" t="n"/>
      <c r="R95" s="5" t="n"/>
    </row>
    <row r="96">
      <c r="A96" s="17">
        <f>IF(B96&lt;&gt;"","FWD-"&amp;TEXT(ROW()-8,"000"),"")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4" t="n"/>
      <c r="M96" s="4" t="n"/>
      <c r="N96" s="5" t="n"/>
      <c r="O96" s="5" t="n"/>
      <c r="P96" s="5" t="n"/>
      <c r="Q96" s="4" t="n"/>
      <c r="R96" s="5" t="n"/>
    </row>
    <row r="97">
      <c r="A97" s="17">
        <f>IF(B97&lt;&gt;"","FWD-"&amp;TEXT(ROW()-8,"000"),"")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4" t="n"/>
      <c r="M97" s="4" t="n"/>
      <c r="N97" s="5" t="n"/>
      <c r="O97" s="5" t="n"/>
      <c r="P97" s="5" t="n"/>
      <c r="Q97" s="4" t="n"/>
      <c r="R97" s="5" t="n"/>
    </row>
    <row r="98">
      <c r="A98" s="17">
        <f>IF(B98&lt;&gt;"","FWD-"&amp;TEXT(ROW()-8,"000"),"")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4" t="n"/>
      <c r="M98" s="4" t="n"/>
      <c r="N98" s="5" t="n"/>
      <c r="O98" s="5" t="n"/>
      <c r="P98" s="5" t="n"/>
      <c r="Q98" s="4" t="n"/>
      <c r="R98" s="5" t="n"/>
    </row>
    <row r="99">
      <c r="A99" s="17">
        <f>IF(B99&lt;&gt;"","FWD-"&amp;TEXT(ROW()-8,"000"),"")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4" t="n"/>
      <c r="M99" s="4" t="n"/>
      <c r="N99" s="5" t="n"/>
      <c r="O99" s="5" t="n"/>
      <c r="P99" s="5" t="n"/>
      <c r="Q99" s="4" t="n"/>
      <c r="R99" s="5" t="n"/>
    </row>
    <row r="100">
      <c r="A100" s="17">
        <f>IF(B100&lt;&gt;"","FWD-"&amp;TEXT(ROW()-8,"000"),"")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4" t="n"/>
      <c r="M100" s="4" t="n"/>
      <c r="N100" s="5" t="n"/>
      <c r="O100" s="5" t="n"/>
      <c r="P100" s="5" t="n"/>
      <c r="Q100" s="4" t="n"/>
      <c r="R100" s="5" t="n"/>
    </row>
    <row r="101">
      <c r="A101" s="17">
        <f>IF(B101&lt;&gt;"","FWD-"&amp;TEXT(ROW()-8,"000"),"")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4" t="n"/>
      <c r="M101" s="4" t="n"/>
      <c r="N101" s="5" t="n"/>
      <c r="O101" s="5" t="n"/>
      <c r="P101" s="5" t="n"/>
      <c r="Q101" s="4" t="n"/>
      <c r="R101" s="5" t="n"/>
    </row>
    <row r="102">
      <c r="A102" s="17">
        <f>IF(B102&lt;&gt;"","FWD-"&amp;TEXT(ROW()-8,"000"),"")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4" t="n"/>
      <c r="M102" s="4" t="n"/>
      <c r="N102" s="5" t="n"/>
      <c r="O102" s="5" t="n"/>
      <c r="P102" s="5" t="n"/>
      <c r="Q102" s="4" t="n"/>
      <c r="R102" s="5" t="n"/>
    </row>
    <row r="103">
      <c r="A103" s="17">
        <f>IF(B103&lt;&gt;"","FWD-"&amp;TEXT(ROW()-8,"000"),"")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4" t="n"/>
      <c r="M103" s="4" t="n"/>
      <c r="N103" s="5" t="n"/>
      <c r="O103" s="5" t="n"/>
      <c r="P103" s="5" t="n"/>
      <c r="Q103" s="4" t="n"/>
      <c r="R103" s="5" t="n"/>
    </row>
    <row r="104">
      <c r="A104" s="17">
        <f>IF(B104&lt;&gt;"","FWD-"&amp;TEXT(ROW()-8,"000"),"")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4" t="n"/>
      <c r="M104" s="4" t="n"/>
      <c r="N104" s="5" t="n"/>
      <c r="O104" s="5" t="n"/>
      <c r="P104" s="5" t="n"/>
      <c r="Q104" s="4" t="n"/>
      <c r="R104" s="5" t="n"/>
    </row>
    <row r="105">
      <c r="A105" s="17">
        <f>IF(B105&lt;&gt;"","FWD-"&amp;TEXT(ROW()-8,"000"),"")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4" t="n"/>
      <c r="M105" s="4" t="n"/>
      <c r="N105" s="5" t="n"/>
      <c r="O105" s="5" t="n"/>
      <c r="P105" s="5" t="n"/>
      <c r="Q105" s="4" t="n"/>
      <c r="R105" s="5" t="n"/>
    </row>
    <row r="106">
      <c r="A106" s="17">
        <f>IF(B106&lt;&gt;"","FWD-"&amp;TEXT(ROW()-8,"000"),"")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4" t="n"/>
      <c r="M106" s="4" t="n"/>
      <c r="N106" s="5" t="n"/>
      <c r="O106" s="5" t="n"/>
      <c r="P106" s="5" t="n"/>
      <c r="Q106" s="4" t="n"/>
      <c r="R106" s="5" t="n"/>
    </row>
    <row r="107">
      <c r="A107" s="17">
        <f>IF(B107&lt;&gt;"","FWD-"&amp;TEXT(ROW()-8,"000"),"")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4" t="n"/>
      <c r="M107" s="4" t="n"/>
      <c r="N107" s="5" t="n"/>
      <c r="O107" s="5" t="n"/>
      <c r="P107" s="5" t="n"/>
      <c r="Q107" s="4" t="n"/>
      <c r="R107" s="5" t="n"/>
    </row>
    <row r="108">
      <c r="A108" s="17">
        <f>IF(B108&lt;&gt;"","FWD-"&amp;TEXT(ROW()-8,"000"),"")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4" t="n"/>
      <c r="M108" s="4" t="n"/>
      <c r="N108" s="5" t="n"/>
      <c r="O108" s="5" t="n"/>
      <c r="P108" s="5" t="n"/>
      <c r="Q108" s="4" t="n"/>
      <c r="R108" s="5" t="n"/>
    </row>
    <row r="109">
      <c r="A109" s="17">
        <f>IF(B109&lt;&gt;"","FWD-"&amp;TEXT(ROW()-8,"000"),"")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4" t="n"/>
      <c r="M109" s="4" t="n"/>
      <c r="N109" s="5" t="n"/>
      <c r="O109" s="5" t="n"/>
      <c r="P109" s="5" t="n"/>
      <c r="Q109" s="4" t="n"/>
      <c r="R109" s="5" t="n"/>
    </row>
    <row r="110">
      <c r="A110" s="17">
        <f>IF(B110&lt;&gt;"","FWD-"&amp;TEXT(ROW()-8,"000"),"")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4" t="n"/>
      <c r="M110" s="4" t="n"/>
      <c r="N110" s="5" t="n"/>
      <c r="O110" s="5" t="n"/>
      <c r="P110" s="5" t="n"/>
      <c r="Q110" s="4" t="n"/>
      <c r="R110" s="5" t="n"/>
    </row>
    <row r="111">
      <c r="A111" s="17">
        <f>IF(B111&lt;&gt;"","FWD-"&amp;TEXT(ROW()-8,"000"),"")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4" t="n"/>
      <c r="M111" s="4" t="n"/>
      <c r="N111" s="5" t="n"/>
      <c r="O111" s="5" t="n"/>
      <c r="P111" s="5" t="n"/>
      <c r="Q111" s="4" t="n"/>
      <c r="R111" s="5" t="n"/>
    </row>
    <row r="112">
      <c r="A112" s="17">
        <f>IF(B112&lt;&gt;"","FWD-"&amp;TEXT(ROW()-8,"000"),"")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4" t="n"/>
      <c r="M112" s="4" t="n"/>
      <c r="N112" s="5" t="n"/>
      <c r="O112" s="5" t="n"/>
      <c r="P112" s="5" t="n"/>
      <c r="Q112" s="4" t="n"/>
      <c r="R112" s="5" t="n"/>
    </row>
    <row r="113">
      <c r="A113" s="17">
        <f>IF(B113&lt;&gt;"","FWD-"&amp;TEXT(ROW()-8,"000"),"")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4" t="n"/>
      <c r="M113" s="4" t="n"/>
      <c r="N113" s="5" t="n"/>
      <c r="O113" s="5" t="n"/>
      <c r="P113" s="5" t="n"/>
      <c r="Q113" s="4" t="n"/>
      <c r="R113" s="5" t="n"/>
    </row>
    <row r="114">
      <c r="A114" s="17">
        <f>IF(B114&lt;&gt;"","FWD-"&amp;TEXT(ROW()-8,"000"),"")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4" t="n"/>
      <c r="M114" s="4" t="n"/>
      <c r="N114" s="5" t="n"/>
      <c r="O114" s="5" t="n"/>
      <c r="P114" s="5" t="n"/>
      <c r="Q114" s="4" t="n"/>
      <c r="R114" s="5" t="n"/>
    </row>
    <row r="115">
      <c r="A115" s="17">
        <f>IF(B115&lt;&gt;"","FWD-"&amp;TEXT(ROW()-8,"000"),"")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4" t="n"/>
      <c r="M115" s="4" t="n"/>
      <c r="N115" s="5" t="n"/>
      <c r="O115" s="5" t="n"/>
      <c r="P115" s="5" t="n"/>
      <c r="Q115" s="4" t="n"/>
      <c r="R115" s="5" t="n"/>
    </row>
    <row r="116">
      <c r="A116" s="17">
        <f>IF(B116&lt;&gt;"","FWD-"&amp;TEXT(ROW()-8,"000"),"")</f>
        <v/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4" t="n"/>
      <c r="M116" s="4" t="n"/>
      <c r="N116" s="5" t="n"/>
      <c r="O116" s="5" t="n"/>
      <c r="P116" s="5" t="n"/>
      <c r="Q116" s="4" t="n"/>
      <c r="R116" s="5" t="n"/>
    </row>
    <row r="117">
      <c r="A117" s="17">
        <f>IF(B117&lt;&gt;"","FWD-"&amp;TEXT(ROW()-8,"000"),"")</f>
        <v/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4" t="n"/>
      <c r="M117" s="4" t="n"/>
      <c r="N117" s="5" t="n"/>
      <c r="O117" s="5" t="n"/>
      <c r="P117" s="5" t="n"/>
      <c r="Q117" s="4" t="n"/>
      <c r="R117" s="5" t="n"/>
    </row>
    <row r="118">
      <c r="A118" s="17">
        <f>IF(B118&lt;&gt;"","FWD-"&amp;TEXT(ROW()-8,"000"),"")</f>
        <v/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4" t="n"/>
      <c r="M118" s="4" t="n"/>
      <c r="N118" s="5" t="n"/>
      <c r="O118" s="5" t="n"/>
      <c r="P118" s="5" t="n"/>
      <c r="Q118" s="4" t="n"/>
      <c r="R118" s="5" t="n"/>
    </row>
    <row r="119">
      <c r="A119" s="17">
        <f>IF(B119&lt;&gt;"","FWD-"&amp;TEXT(ROW()-8,"000"),"")</f>
        <v/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4" t="n"/>
      <c r="M119" s="4" t="n"/>
      <c r="N119" s="5" t="n"/>
      <c r="O119" s="5" t="n"/>
      <c r="P119" s="5" t="n"/>
      <c r="Q119" s="4" t="n"/>
      <c r="R119" s="5" t="n"/>
    </row>
    <row r="120">
      <c r="A120" s="17">
        <f>IF(B120&lt;&gt;"","FWD-"&amp;TEXT(ROW()-8,"000"),"")</f>
        <v/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4" t="n"/>
      <c r="M120" s="4" t="n"/>
      <c r="N120" s="5" t="n"/>
      <c r="O120" s="5" t="n"/>
      <c r="P120" s="5" t="n"/>
      <c r="Q120" s="4" t="n"/>
      <c r="R120" s="5" t="n"/>
    </row>
    <row r="121">
      <c r="A121" s="17">
        <f>IF(B121&lt;&gt;"","FWD-"&amp;TEXT(ROW()-8,"000"),"")</f>
        <v/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4" t="n"/>
      <c r="M121" s="4" t="n"/>
      <c r="N121" s="5" t="n"/>
      <c r="O121" s="5" t="n"/>
      <c r="P121" s="5" t="n"/>
      <c r="Q121" s="4" t="n"/>
      <c r="R121" s="5" t="n"/>
    </row>
    <row r="122">
      <c r="A122" s="17">
        <f>IF(B122&lt;&gt;"","FWD-"&amp;TEXT(ROW()-8,"000"),"")</f>
        <v/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4" t="n"/>
      <c r="M122" s="4" t="n"/>
      <c r="N122" s="5" t="n"/>
      <c r="O122" s="5" t="n"/>
      <c r="P122" s="5" t="n"/>
      <c r="Q122" s="4" t="n"/>
      <c r="R122" s="5" t="n"/>
    </row>
    <row r="123">
      <c r="A123" s="17">
        <f>IF(B123&lt;&gt;"","FWD-"&amp;TEXT(ROW()-8,"000"),"")</f>
        <v/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4" t="n"/>
      <c r="M123" s="4" t="n"/>
      <c r="N123" s="5" t="n"/>
      <c r="O123" s="5" t="n"/>
      <c r="P123" s="5" t="n"/>
      <c r="Q123" s="4" t="n"/>
      <c r="R123" s="5" t="n"/>
    </row>
    <row r="124">
      <c r="A124" s="17">
        <f>IF(B124&lt;&gt;"","FWD-"&amp;TEXT(ROW()-8,"000"),"")</f>
        <v/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4" t="n"/>
      <c r="M124" s="4" t="n"/>
      <c r="N124" s="5" t="n"/>
      <c r="O124" s="5" t="n"/>
      <c r="P124" s="5" t="n"/>
      <c r="Q124" s="4" t="n"/>
      <c r="R124" s="5" t="n"/>
    </row>
    <row r="125">
      <c r="A125" s="17">
        <f>IF(B125&lt;&gt;"","FWD-"&amp;TEXT(ROW()-8,"000"),"")</f>
        <v/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4" t="n"/>
      <c r="M125" s="4" t="n"/>
      <c r="N125" s="5" t="n"/>
      <c r="O125" s="5" t="n"/>
      <c r="P125" s="5" t="n"/>
      <c r="Q125" s="4" t="n"/>
      <c r="R125" s="5" t="n"/>
    </row>
    <row r="126">
      <c r="A126" s="17">
        <f>IF(B126&lt;&gt;"","FWD-"&amp;TEXT(ROW()-8,"000"),"")</f>
        <v/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4" t="n"/>
      <c r="M126" s="4" t="n"/>
      <c r="N126" s="5" t="n"/>
      <c r="O126" s="5" t="n"/>
      <c r="P126" s="5" t="n"/>
      <c r="Q126" s="4" t="n"/>
      <c r="R126" s="5" t="n"/>
    </row>
    <row r="127">
      <c r="A127" s="17">
        <f>IF(B127&lt;&gt;"","FWD-"&amp;TEXT(ROW()-8,"000"),"")</f>
        <v/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4" t="n"/>
      <c r="M127" s="4" t="n"/>
      <c r="N127" s="5" t="n"/>
      <c r="O127" s="5" t="n"/>
      <c r="P127" s="5" t="n"/>
      <c r="Q127" s="4" t="n"/>
      <c r="R127" s="5" t="n"/>
    </row>
    <row r="128">
      <c r="A128" s="17">
        <f>IF(B128&lt;&gt;"","FWD-"&amp;TEXT(ROW()-8,"000"),"")</f>
        <v/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4" t="n"/>
      <c r="M128" s="4" t="n"/>
      <c r="N128" s="5" t="n"/>
      <c r="O128" s="5" t="n"/>
      <c r="P128" s="5" t="n"/>
      <c r="Q128" s="4" t="n"/>
      <c r="R128" s="5" t="n"/>
    </row>
    <row r="129">
      <c r="A129" s="17">
        <f>IF(B129&lt;&gt;"","FWD-"&amp;TEXT(ROW()-8,"000"),"")</f>
        <v/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4" t="n"/>
      <c r="M129" s="4" t="n"/>
      <c r="N129" s="5" t="n"/>
      <c r="O129" s="5" t="n"/>
      <c r="P129" s="5" t="n"/>
      <c r="Q129" s="4" t="n"/>
      <c r="R129" s="5" t="n"/>
    </row>
    <row r="130">
      <c r="A130" s="17">
        <f>IF(B130&lt;&gt;"","FWD-"&amp;TEXT(ROW()-8,"000"),"")</f>
        <v/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4" t="n"/>
      <c r="M130" s="4" t="n"/>
      <c r="N130" s="5" t="n"/>
      <c r="O130" s="5" t="n"/>
      <c r="P130" s="5" t="n"/>
      <c r="Q130" s="4" t="n"/>
      <c r="R130" s="5" t="n"/>
    </row>
    <row r="131">
      <c r="A131" s="17">
        <f>IF(B131&lt;&gt;"","FWD-"&amp;TEXT(ROW()-8,"000"),"")</f>
        <v/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4" t="n"/>
      <c r="M131" s="4" t="n"/>
      <c r="N131" s="5" t="n"/>
      <c r="O131" s="5" t="n"/>
      <c r="P131" s="5" t="n"/>
      <c r="Q131" s="4" t="n"/>
      <c r="R131" s="5" t="n"/>
    </row>
    <row r="132">
      <c r="A132" s="17">
        <f>IF(B132&lt;&gt;"","FWD-"&amp;TEXT(ROW()-8,"000"),"")</f>
        <v/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4" t="n"/>
      <c r="M132" s="4" t="n"/>
      <c r="N132" s="5" t="n"/>
      <c r="O132" s="5" t="n"/>
      <c r="P132" s="5" t="n"/>
      <c r="Q132" s="4" t="n"/>
      <c r="R132" s="5" t="n"/>
    </row>
    <row r="133">
      <c r="A133" s="17">
        <f>IF(B133&lt;&gt;"","FWD-"&amp;TEXT(ROW()-8,"000"),"")</f>
        <v/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4" t="n"/>
      <c r="M133" s="4" t="n"/>
      <c r="N133" s="5" t="n"/>
      <c r="O133" s="5" t="n"/>
      <c r="P133" s="5" t="n"/>
      <c r="Q133" s="4" t="n"/>
      <c r="R133" s="5" t="n"/>
    </row>
    <row r="134">
      <c r="A134" s="17">
        <f>IF(B134&lt;&gt;"","FWD-"&amp;TEXT(ROW()-8,"000"),"")</f>
        <v/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4" t="n"/>
      <c r="M134" s="4" t="n"/>
      <c r="N134" s="5" t="n"/>
      <c r="O134" s="5" t="n"/>
      <c r="P134" s="5" t="n"/>
      <c r="Q134" s="4" t="n"/>
      <c r="R134" s="5" t="n"/>
    </row>
    <row r="135">
      <c r="A135" s="17">
        <f>IF(B135&lt;&gt;"","FWD-"&amp;TEXT(ROW()-8,"000"),"")</f>
        <v/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4" t="n"/>
      <c r="M135" s="4" t="n"/>
      <c r="N135" s="5" t="n"/>
      <c r="O135" s="5" t="n"/>
      <c r="P135" s="5" t="n"/>
      <c r="Q135" s="4" t="n"/>
      <c r="R135" s="5" t="n"/>
    </row>
    <row r="136">
      <c r="A136" s="17">
        <f>IF(B136&lt;&gt;"","FWD-"&amp;TEXT(ROW()-8,"000"),"")</f>
        <v/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4" t="n"/>
      <c r="M136" s="4" t="n"/>
      <c r="N136" s="5" t="n"/>
      <c r="O136" s="5" t="n"/>
      <c r="P136" s="5" t="n"/>
      <c r="Q136" s="4" t="n"/>
      <c r="R136" s="5" t="n"/>
    </row>
    <row r="137">
      <c r="A137" s="17">
        <f>IF(B137&lt;&gt;"","FWD-"&amp;TEXT(ROW()-8,"000"),"")</f>
        <v/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4" t="n"/>
      <c r="M137" s="4" t="n"/>
      <c r="N137" s="5" t="n"/>
      <c r="O137" s="5" t="n"/>
      <c r="P137" s="5" t="n"/>
      <c r="Q137" s="4" t="n"/>
      <c r="R137" s="5" t="n"/>
    </row>
    <row r="138">
      <c r="A138" s="17">
        <f>IF(B138&lt;&gt;"","FWD-"&amp;TEXT(ROW()-8,"000"),"")</f>
        <v/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4" t="n"/>
      <c r="M138" s="4" t="n"/>
      <c r="N138" s="5" t="n"/>
      <c r="O138" s="5" t="n"/>
      <c r="P138" s="5" t="n"/>
      <c r="Q138" s="4" t="n"/>
      <c r="R138" s="5" t="n"/>
    </row>
    <row r="139">
      <c r="A139" s="17">
        <f>IF(B139&lt;&gt;"","FWD-"&amp;TEXT(ROW()-8,"000"),"")</f>
        <v/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4" t="n"/>
      <c r="M139" s="4" t="n"/>
      <c r="N139" s="5" t="n"/>
      <c r="O139" s="5" t="n"/>
      <c r="P139" s="5" t="n"/>
      <c r="Q139" s="4" t="n"/>
      <c r="R139" s="5" t="n"/>
    </row>
    <row r="140">
      <c r="A140" s="17">
        <f>IF(B140&lt;&gt;"","FWD-"&amp;TEXT(ROW()-8,"000"),"")</f>
        <v/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4" t="n"/>
      <c r="M140" s="4" t="n"/>
      <c r="N140" s="5" t="n"/>
      <c r="O140" s="5" t="n"/>
      <c r="P140" s="5" t="n"/>
      <c r="Q140" s="4" t="n"/>
      <c r="R140" s="5" t="n"/>
    </row>
    <row r="141">
      <c r="A141" s="17">
        <f>IF(B141&lt;&gt;"","FWD-"&amp;TEXT(ROW()-8,"000"),"")</f>
        <v/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4" t="n"/>
      <c r="M141" s="4" t="n"/>
      <c r="N141" s="5" t="n"/>
      <c r="O141" s="5" t="n"/>
      <c r="P141" s="5" t="n"/>
      <c r="Q141" s="4" t="n"/>
      <c r="R141" s="5" t="n"/>
    </row>
    <row r="142">
      <c r="A142" s="17">
        <f>IF(B142&lt;&gt;"","FWD-"&amp;TEXT(ROW()-8,"000"),"")</f>
        <v/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4" t="n"/>
      <c r="M142" s="4" t="n"/>
      <c r="N142" s="5" t="n"/>
      <c r="O142" s="5" t="n"/>
      <c r="P142" s="5" t="n"/>
      <c r="Q142" s="4" t="n"/>
      <c r="R142" s="5" t="n"/>
    </row>
    <row r="143">
      <c r="A143" s="17">
        <f>IF(B143&lt;&gt;"","FWD-"&amp;TEXT(ROW()-8,"000"),"")</f>
        <v/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4" t="n"/>
      <c r="M143" s="4" t="n"/>
      <c r="N143" s="5" t="n"/>
      <c r="O143" s="5" t="n"/>
      <c r="P143" s="5" t="n"/>
      <c r="Q143" s="4" t="n"/>
      <c r="R143" s="5" t="n"/>
    </row>
    <row r="144">
      <c r="A144" s="17">
        <f>IF(B144&lt;&gt;"","FWD-"&amp;TEXT(ROW()-8,"000"),"")</f>
        <v/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4" t="n"/>
      <c r="M144" s="4" t="n"/>
      <c r="N144" s="5" t="n"/>
      <c r="O144" s="5" t="n"/>
      <c r="P144" s="5" t="n"/>
      <c r="Q144" s="4" t="n"/>
      <c r="R144" s="5" t="n"/>
    </row>
    <row r="145">
      <c r="A145" s="17">
        <f>IF(B145&lt;&gt;"","FWD-"&amp;TEXT(ROW()-8,"000"),"")</f>
        <v/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4" t="n"/>
      <c r="M145" s="4" t="n"/>
      <c r="N145" s="5" t="n"/>
      <c r="O145" s="5" t="n"/>
      <c r="P145" s="5" t="n"/>
      <c r="Q145" s="4" t="n"/>
      <c r="R145" s="5" t="n"/>
    </row>
    <row r="146">
      <c r="A146" s="17">
        <f>IF(B146&lt;&gt;"","FWD-"&amp;TEXT(ROW()-8,"000"),"")</f>
        <v/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4" t="n"/>
      <c r="M146" s="4" t="n"/>
      <c r="N146" s="5" t="n"/>
      <c r="O146" s="5" t="n"/>
      <c r="P146" s="5" t="n"/>
      <c r="Q146" s="4" t="n"/>
      <c r="R146" s="5" t="n"/>
    </row>
    <row r="147">
      <c r="A147" s="17">
        <f>IF(B147&lt;&gt;"","FWD-"&amp;TEXT(ROW()-8,"000"),"")</f>
        <v/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4" t="n"/>
      <c r="M147" s="4" t="n"/>
      <c r="N147" s="5" t="n"/>
      <c r="O147" s="5" t="n"/>
      <c r="P147" s="5" t="n"/>
      <c r="Q147" s="4" t="n"/>
      <c r="R147" s="5" t="n"/>
    </row>
    <row r="148">
      <c r="A148" s="17">
        <f>IF(B148&lt;&gt;"","FWD-"&amp;TEXT(ROW()-8,"000"),"")</f>
        <v/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4" t="n"/>
      <c r="M148" s="4" t="n"/>
      <c r="N148" s="5" t="n"/>
      <c r="O148" s="5" t="n"/>
      <c r="P148" s="5" t="n"/>
      <c r="Q148" s="4" t="n"/>
      <c r="R148" s="5" t="n"/>
    </row>
    <row r="149">
      <c r="A149" s="17">
        <f>IF(B149&lt;&gt;"","FWD-"&amp;TEXT(ROW()-8,"000"),"")</f>
        <v/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4" t="n"/>
      <c r="M149" s="4" t="n"/>
      <c r="N149" s="5" t="n"/>
      <c r="O149" s="5" t="n"/>
      <c r="P149" s="5" t="n"/>
      <c r="Q149" s="4" t="n"/>
      <c r="R149" s="5" t="n"/>
    </row>
    <row r="150">
      <c r="A150" s="17">
        <f>IF(B150&lt;&gt;"","FWD-"&amp;TEXT(ROW()-8,"000"),"")</f>
        <v/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4" t="n"/>
      <c r="M150" s="4" t="n"/>
      <c r="N150" s="5" t="n"/>
      <c r="O150" s="5" t="n"/>
      <c r="P150" s="5" t="n"/>
      <c r="Q150" s="4" t="n"/>
      <c r="R150" s="5" t="n"/>
    </row>
    <row r="151">
      <c r="A151" s="17">
        <f>IF(B151&lt;&gt;"","FWD-"&amp;TEXT(ROW()-8,"000"),"")</f>
        <v/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4" t="n"/>
      <c r="M151" s="4" t="n"/>
      <c r="N151" s="5" t="n"/>
      <c r="O151" s="5" t="n"/>
      <c r="P151" s="5" t="n"/>
      <c r="Q151" s="4" t="n"/>
      <c r="R151" s="5" t="n"/>
    </row>
    <row r="152">
      <c r="A152" s="17">
        <f>IF(B152&lt;&gt;"","FWD-"&amp;TEXT(ROW()-8,"000"),"")</f>
        <v/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4" t="n"/>
      <c r="M152" s="4" t="n"/>
      <c r="N152" s="5" t="n"/>
      <c r="O152" s="5" t="n"/>
      <c r="P152" s="5" t="n"/>
      <c r="Q152" s="4" t="n"/>
      <c r="R152" s="5" t="n"/>
    </row>
    <row r="153">
      <c r="A153" s="17">
        <f>IF(B153&lt;&gt;"","FWD-"&amp;TEXT(ROW()-8,"000"),"")</f>
        <v/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4" t="n"/>
      <c r="M153" s="4" t="n"/>
      <c r="N153" s="5" t="n"/>
      <c r="O153" s="5" t="n"/>
      <c r="P153" s="5" t="n"/>
      <c r="Q153" s="4" t="n"/>
      <c r="R153" s="5" t="n"/>
    </row>
    <row r="154">
      <c r="A154" s="17">
        <f>IF(B154&lt;&gt;"","FWD-"&amp;TEXT(ROW()-8,"000"),"")</f>
        <v/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4" t="n"/>
      <c r="M154" s="4" t="n"/>
      <c r="N154" s="5" t="n"/>
      <c r="O154" s="5" t="n"/>
      <c r="P154" s="5" t="n"/>
      <c r="Q154" s="4" t="n"/>
      <c r="R154" s="5" t="n"/>
    </row>
    <row r="155">
      <c r="A155" s="17">
        <f>IF(B155&lt;&gt;"","FWD-"&amp;TEXT(ROW()-8,"000"),"")</f>
        <v/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4" t="n"/>
      <c r="M155" s="4" t="n"/>
      <c r="N155" s="5" t="n"/>
      <c r="O155" s="5" t="n"/>
      <c r="P155" s="5" t="n"/>
      <c r="Q155" s="4" t="n"/>
      <c r="R155" s="5" t="n"/>
    </row>
    <row r="156">
      <c r="A156" s="17">
        <f>IF(B156&lt;&gt;"","FWD-"&amp;TEXT(ROW()-8,"000"),"")</f>
        <v/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4" t="n"/>
      <c r="M156" s="4" t="n"/>
      <c r="N156" s="5" t="n"/>
      <c r="O156" s="5" t="n"/>
      <c r="P156" s="5" t="n"/>
      <c r="Q156" s="4" t="n"/>
      <c r="R156" s="5" t="n"/>
    </row>
    <row r="157">
      <c r="A157" s="17">
        <f>IF(B157&lt;&gt;"","FWD-"&amp;TEXT(ROW()-8,"000"),"")</f>
        <v/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4" t="n"/>
      <c r="M157" s="4" t="n"/>
      <c r="N157" s="5" t="n"/>
      <c r="O157" s="5" t="n"/>
      <c r="P157" s="5" t="n"/>
      <c r="Q157" s="4" t="n"/>
      <c r="R157" s="5" t="n"/>
    </row>
    <row r="158">
      <c r="A158" s="17">
        <f>IF(B158&lt;&gt;"","FWD-"&amp;TEXT(ROW()-8,"000"),"")</f>
        <v/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4" t="n"/>
      <c r="M158" s="4" t="n"/>
      <c r="N158" s="5" t="n"/>
      <c r="O158" s="5" t="n"/>
      <c r="P158" s="5" t="n"/>
      <c r="Q158" s="4" t="n"/>
      <c r="R158" s="5" t="n"/>
    </row>
    <row r="159">
      <c r="A159" s="17">
        <f>IF(B159&lt;&gt;"","FWD-"&amp;TEXT(ROW()-8,"000"),"")</f>
        <v/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4" t="n"/>
      <c r="M159" s="4" t="n"/>
      <c r="N159" s="5" t="n"/>
      <c r="O159" s="5" t="n"/>
      <c r="P159" s="5" t="n"/>
      <c r="Q159" s="4" t="n"/>
      <c r="R159" s="5" t="n"/>
    </row>
    <row r="160">
      <c r="A160" s="17">
        <f>IF(B160&lt;&gt;"","FWD-"&amp;TEXT(ROW()-8,"000"),"")</f>
        <v/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4" t="n"/>
      <c r="M160" s="4" t="n"/>
      <c r="N160" s="5" t="n"/>
      <c r="O160" s="5" t="n"/>
      <c r="P160" s="5" t="n"/>
      <c r="Q160" s="4" t="n"/>
      <c r="R160" s="5" t="n"/>
    </row>
    <row r="161">
      <c r="A161" s="17">
        <f>IF(B161&lt;&gt;"","FWD-"&amp;TEXT(ROW()-8,"000"),"")</f>
        <v/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4" t="n"/>
      <c r="M161" s="4" t="n"/>
      <c r="N161" s="5" t="n"/>
      <c r="O161" s="5" t="n"/>
      <c r="P161" s="5" t="n"/>
      <c r="Q161" s="4" t="n"/>
      <c r="R161" s="5" t="n"/>
    </row>
    <row r="162">
      <c r="A162" s="17">
        <f>IF(B162&lt;&gt;"","FWD-"&amp;TEXT(ROW()-8,"000"),"")</f>
        <v/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4" t="n"/>
      <c r="M162" s="4" t="n"/>
      <c r="N162" s="5" t="n"/>
      <c r="O162" s="5" t="n"/>
      <c r="P162" s="5" t="n"/>
      <c r="Q162" s="4" t="n"/>
      <c r="R162" s="5" t="n"/>
    </row>
    <row r="163">
      <c r="A163" s="17">
        <f>IF(B163&lt;&gt;"","FWD-"&amp;TEXT(ROW()-8,"000"),"")</f>
        <v/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4" t="n"/>
      <c r="M163" s="4" t="n"/>
      <c r="N163" s="5" t="n"/>
      <c r="O163" s="5" t="n"/>
      <c r="P163" s="5" t="n"/>
      <c r="Q163" s="4" t="n"/>
      <c r="R163" s="5" t="n"/>
    </row>
    <row r="164">
      <c r="A164" s="17">
        <f>IF(B164&lt;&gt;"","FWD-"&amp;TEXT(ROW()-8,"000"),"")</f>
        <v/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4" t="n"/>
      <c r="M164" s="4" t="n"/>
      <c r="N164" s="5" t="n"/>
      <c r="O164" s="5" t="n"/>
      <c r="P164" s="5" t="n"/>
      <c r="Q164" s="4" t="n"/>
      <c r="R164" s="5" t="n"/>
    </row>
    <row r="165">
      <c r="A165" s="17">
        <f>IF(B165&lt;&gt;"","FWD-"&amp;TEXT(ROW()-8,"000"),"")</f>
        <v/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4" t="n"/>
      <c r="M165" s="4" t="n"/>
      <c r="N165" s="5" t="n"/>
      <c r="O165" s="5" t="n"/>
      <c r="P165" s="5" t="n"/>
      <c r="Q165" s="4" t="n"/>
      <c r="R165" s="5" t="n"/>
    </row>
    <row r="166">
      <c r="A166" s="17">
        <f>IF(B166&lt;&gt;"","FWD-"&amp;TEXT(ROW()-8,"000"),"")</f>
        <v/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4" t="n"/>
      <c r="M166" s="4" t="n"/>
      <c r="N166" s="5" t="n"/>
      <c r="O166" s="5" t="n"/>
      <c r="P166" s="5" t="n"/>
      <c r="Q166" s="4" t="n"/>
      <c r="R166" s="5" t="n"/>
    </row>
    <row r="167">
      <c r="A167" s="17">
        <f>IF(B167&lt;&gt;"","FWD-"&amp;TEXT(ROW()-8,"000"),"")</f>
        <v/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4" t="n"/>
      <c r="M167" s="4" t="n"/>
      <c r="N167" s="5" t="n"/>
      <c r="O167" s="5" t="n"/>
      <c r="P167" s="5" t="n"/>
      <c r="Q167" s="4" t="n"/>
      <c r="R167" s="5" t="n"/>
    </row>
    <row r="168">
      <c r="A168" s="17">
        <f>IF(B168&lt;&gt;"","FWD-"&amp;TEXT(ROW()-8,"000"),"")</f>
        <v/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4" t="n"/>
      <c r="M168" s="4" t="n"/>
      <c r="N168" s="5" t="n"/>
      <c r="O168" s="5" t="n"/>
      <c r="P168" s="5" t="n"/>
      <c r="Q168" s="4" t="n"/>
      <c r="R168" s="5" t="n"/>
    </row>
    <row r="169">
      <c r="A169" s="17">
        <f>IF(B169&lt;&gt;"","FWD-"&amp;TEXT(ROW()-8,"000"),"")</f>
        <v/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4" t="n"/>
      <c r="M169" s="4" t="n"/>
      <c r="N169" s="5" t="n"/>
      <c r="O169" s="5" t="n"/>
      <c r="P169" s="5" t="n"/>
      <c r="Q169" s="4" t="n"/>
      <c r="R169" s="5" t="n"/>
    </row>
    <row r="170">
      <c r="A170" s="17">
        <f>IF(B170&lt;&gt;"","FWD-"&amp;TEXT(ROW()-8,"000"),"")</f>
        <v/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4" t="n"/>
      <c r="M170" s="4" t="n"/>
      <c r="N170" s="5" t="n"/>
      <c r="O170" s="5" t="n"/>
      <c r="P170" s="5" t="n"/>
      <c r="Q170" s="4" t="n"/>
      <c r="R170" s="5" t="n"/>
    </row>
    <row r="171">
      <c r="A171" s="17">
        <f>IF(B171&lt;&gt;"","FWD-"&amp;TEXT(ROW()-8,"000"),"")</f>
        <v/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4" t="n"/>
      <c r="M171" s="4" t="n"/>
      <c r="N171" s="5" t="n"/>
      <c r="O171" s="5" t="n"/>
      <c r="P171" s="5" t="n"/>
      <c r="Q171" s="4" t="n"/>
      <c r="R171" s="5" t="n"/>
    </row>
    <row r="172">
      <c r="A172" s="17">
        <f>IF(B172&lt;&gt;"","FWD-"&amp;TEXT(ROW()-8,"000"),"")</f>
        <v/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4" t="n"/>
      <c r="M172" s="4" t="n"/>
      <c r="N172" s="5" t="n"/>
      <c r="O172" s="5" t="n"/>
      <c r="P172" s="5" t="n"/>
      <c r="Q172" s="4" t="n"/>
      <c r="R172" s="5" t="n"/>
    </row>
    <row r="173">
      <c r="A173" s="17">
        <f>IF(B173&lt;&gt;"","FWD-"&amp;TEXT(ROW()-8,"000"),"")</f>
        <v/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4" t="n"/>
      <c r="M173" s="4" t="n"/>
      <c r="N173" s="5" t="n"/>
      <c r="O173" s="5" t="n"/>
      <c r="P173" s="5" t="n"/>
      <c r="Q173" s="4" t="n"/>
      <c r="R173" s="5" t="n"/>
    </row>
    <row r="174">
      <c r="A174" s="17">
        <f>IF(B174&lt;&gt;"","FWD-"&amp;TEXT(ROW()-8,"000"),"")</f>
        <v/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4" t="n"/>
      <c r="M174" s="4" t="n"/>
      <c r="N174" s="5" t="n"/>
      <c r="O174" s="5" t="n"/>
      <c r="P174" s="5" t="n"/>
      <c r="Q174" s="4" t="n"/>
      <c r="R174" s="5" t="n"/>
    </row>
    <row r="175">
      <c r="A175" s="17">
        <f>IF(B175&lt;&gt;"","FWD-"&amp;TEXT(ROW()-8,"000"),"")</f>
        <v/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4" t="n"/>
      <c r="M175" s="4" t="n"/>
      <c r="N175" s="5" t="n"/>
      <c r="O175" s="5" t="n"/>
      <c r="P175" s="5" t="n"/>
      <c r="Q175" s="4" t="n"/>
      <c r="R175" s="5" t="n"/>
    </row>
    <row r="176">
      <c r="A176" s="17">
        <f>IF(B176&lt;&gt;"","FWD-"&amp;TEXT(ROW()-8,"000"),"")</f>
        <v/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4" t="n"/>
      <c r="M176" s="4" t="n"/>
      <c r="N176" s="5" t="n"/>
      <c r="O176" s="5" t="n"/>
      <c r="P176" s="5" t="n"/>
      <c r="Q176" s="4" t="n"/>
      <c r="R176" s="5" t="n"/>
    </row>
    <row r="177">
      <c r="A177" s="17">
        <f>IF(B177&lt;&gt;"","FWD-"&amp;TEXT(ROW()-8,"000"),"")</f>
        <v/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4" t="n"/>
      <c r="M177" s="4" t="n"/>
      <c r="N177" s="5" t="n"/>
      <c r="O177" s="5" t="n"/>
      <c r="P177" s="5" t="n"/>
      <c r="Q177" s="4" t="n"/>
      <c r="R177" s="5" t="n"/>
    </row>
    <row r="178">
      <c r="A178" s="17">
        <f>IF(B178&lt;&gt;"","FWD-"&amp;TEXT(ROW()-8,"000"),"")</f>
        <v/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4" t="n"/>
      <c r="M178" s="4" t="n"/>
      <c r="N178" s="5" t="n"/>
      <c r="O178" s="5" t="n"/>
      <c r="P178" s="5" t="n"/>
      <c r="Q178" s="4" t="n"/>
      <c r="R178" s="5" t="n"/>
    </row>
    <row r="179">
      <c r="A179" s="17">
        <f>IF(B179&lt;&gt;"","FWD-"&amp;TEXT(ROW()-8,"000"),"")</f>
        <v/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4" t="n"/>
      <c r="M179" s="4" t="n"/>
      <c r="N179" s="5" t="n"/>
      <c r="O179" s="5" t="n"/>
      <c r="P179" s="5" t="n"/>
      <c r="Q179" s="4" t="n"/>
      <c r="R179" s="5" t="n"/>
    </row>
    <row r="180">
      <c r="A180" s="17">
        <f>IF(B180&lt;&gt;"","FWD-"&amp;TEXT(ROW()-8,"000"),"")</f>
        <v/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4" t="n"/>
      <c r="M180" s="4" t="n"/>
      <c r="N180" s="5" t="n"/>
      <c r="O180" s="5" t="n"/>
      <c r="P180" s="5" t="n"/>
      <c r="Q180" s="4" t="n"/>
      <c r="R180" s="5" t="n"/>
    </row>
    <row r="181">
      <c r="A181" s="17">
        <f>IF(B181&lt;&gt;"","FWD-"&amp;TEXT(ROW()-8,"000"),"")</f>
        <v/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4" t="n"/>
      <c r="M181" s="4" t="n"/>
      <c r="N181" s="5" t="n"/>
      <c r="O181" s="5" t="n"/>
      <c r="P181" s="5" t="n"/>
      <c r="Q181" s="4" t="n"/>
      <c r="R181" s="5" t="n"/>
    </row>
    <row r="182">
      <c r="A182" s="17">
        <f>IF(B182&lt;&gt;"","FWD-"&amp;TEXT(ROW()-8,"000"),"")</f>
        <v/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4" t="n"/>
      <c r="M182" s="4" t="n"/>
      <c r="N182" s="5" t="n"/>
      <c r="O182" s="5" t="n"/>
      <c r="P182" s="5" t="n"/>
      <c r="Q182" s="4" t="n"/>
      <c r="R182" s="5" t="n"/>
    </row>
    <row r="183">
      <c r="A183" s="17">
        <f>IF(B183&lt;&gt;"","FWD-"&amp;TEXT(ROW()-8,"000"),"")</f>
        <v/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4" t="n"/>
      <c r="M183" s="4" t="n"/>
      <c r="N183" s="5" t="n"/>
      <c r="O183" s="5" t="n"/>
      <c r="P183" s="5" t="n"/>
      <c r="Q183" s="4" t="n"/>
      <c r="R183" s="5" t="n"/>
    </row>
    <row r="184">
      <c r="A184" s="17">
        <f>IF(B184&lt;&gt;"","FWD-"&amp;TEXT(ROW()-8,"000"),"")</f>
        <v/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4" t="n"/>
      <c r="M184" s="4" t="n"/>
      <c r="N184" s="5" t="n"/>
      <c r="O184" s="5" t="n"/>
      <c r="P184" s="5" t="n"/>
      <c r="Q184" s="4" t="n"/>
      <c r="R184" s="5" t="n"/>
    </row>
    <row r="185">
      <c r="A185" s="17">
        <f>IF(B185&lt;&gt;"","FWD-"&amp;TEXT(ROW()-8,"000"),"")</f>
        <v/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4" t="n"/>
      <c r="M185" s="4" t="n"/>
      <c r="N185" s="5" t="n"/>
      <c r="O185" s="5" t="n"/>
      <c r="P185" s="5" t="n"/>
      <c r="Q185" s="4" t="n"/>
      <c r="R185" s="5" t="n"/>
    </row>
    <row r="186">
      <c r="A186" s="17">
        <f>IF(B186&lt;&gt;"","FWD-"&amp;TEXT(ROW()-8,"000"),"")</f>
        <v/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4" t="n"/>
      <c r="M186" s="4" t="n"/>
      <c r="N186" s="5" t="n"/>
      <c r="O186" s="5" t="n"/>
      <c r="P186" s="5" t="n"/>
      <c r="Q186" s="4" t="n"/>
      <c r="R186" s="5" t="n"/>
    </row>
    <row r="187">
      <c r="A187" s="17">
        <f>IF(B187&lt;&gt;"","FWD-"&amp;TEXT(ROW()-8,"000"),"")</f>
        <v/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4" t="n"/>
      <c r="M187" s="4" t="n"/>
      <c r="N187" s="5" t="n"/>
      <c r="O187" s="5" t="n"/>
      <c r="P187" s="5" t="n"/>
      <c r="Q187" s="4" t="n"/>
      <c r="R187" s="5" t="n"/>
    </row>
    <row r="188">
      <c r="A188" s="17">
        <f>IF(B188&lt;&gt;"","FWD-"&amp;TEXT(ROW()-8,"000"),"")</f>
        <v/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4" t="n"/>
      <c r="M188" s="4" t="n"/>
      <c r="N188" s="5" t="n"/>
      <c r="O188" s="5" t="n"/>
      <c r="P188" s="5" t="n"/>
      <c r="Q188" s="4" t="n"/>
      <c r="R188" s="5" t="n"/>
    </row>
    <row r="189">
      <c r="A189" s="17">
        <f>IF(B189&lt;&gt;"","FWD-"&amp;TEXT(ROW()-8,"000"),"")</f>
        <v/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4" t="n"/>
      <c r="M189" s="4" t="n"/>
      <c r="N189" s="5" t="n"/>
      <c r="O189" s="5" t="n"/>
      <c r="P189" s="5" t="n"/>
      <c r="Q189" s="4" t="n"/>
      <c r="R189" s="5" t="n"/>
    </row>
    <row r="190">
      <c r="A190" s="17">
        <f>IF(B190&lt;&gt;"","FWD-"&amp;TEXT(ROW()-8,"000"),"")</f>
        <v/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4" t="n"/>
      <c r="M190" s="4" t="n"/>
      <c r="N190" s="5" t="n"/>
      <c r="O190" s="5" t="n"/>
      <c r="P190" s="5" t="n"/>
      <c r="Q190" s="4" t="n"/>
      <c r="R190" s="5" t="n"/>
    </row>
    <row r="191">
      <c r="A191" s="17">
        <f>IF(B191&lt;&gt;"","FWD-"&amp;TEXT(ROW()-8,"000"),"")</f>
        <v/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4" t="n"/>
      <c r="M191" s="4" t="n"/>
      <c r="N191" s="5" t="n"/>
      <c r="O191" s="5" t="n"/>
      <c r="P191" s="5" t="n"/>
      <c r="Q191" s="4" t="n"/>
      <c r="R191" s="5" t="n"/>
    </row>
    <row r="192">
      <c r="A192" s="17">
        <f>IF(B192&lt;&gt;"","FWD-"&amp;TEXT(ROW()-8,"000"),"")</f>
        <v/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4" t="n"/>
      <c r="M192" s="4" t="n"/>
      <c r="N192" s="5" t="n"/>
      <c r="O192" s="5" t="n"/>
      <c r="P192" s="5" t="n"/>
      <c r="Q192" s="4" t="n"/>
      <c r="R192" s="5" t="n"/>
    </row>
    <row r="193">
      <c r="A193" s="17">
        <f>IF(B193&lt;&gt;"","FWD-"&amp;TEXT(ROW()-8,"000"),"")</f>
        <v/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4" t="n"/>
      <c r="M193" s="4" t="n"/>
      <c r="N193" s="5" t="n"/>
      <c r="O193" s="5" t="n"/>
      <c r="P193" s="5" t="n"/>
      <c r="Q193" s="4" t="n"/>
      <c r="R193" s="5" t="n"/>
    </row>
    <row r="194">
      <c r="A194" s="17">
        <f>IF(B194&lt;&gt;"","FWD-"&amp;TEXT(ROW()-8,"000"),"")</f>
        <v/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4" t="n"/>
      <c r="M194" s="4" t="n"/>
      <c r="N194" s="5" t="n"/>
      <c r="O194" s="5" t="n"/>
      <c r="P194" s="5" t="n"/>
      <c r="Q194" s="4" t="n"/>
      <c r="R194" s="5" t="n"/>
    </row>
    <row r="195">
      <c r="A195" s="17">
        <f>IF(B195&lt;&gt;"","FWD-"&amp;TEXT(ROW()-8,"000"),"")</f>
        <v/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4" t="n"/>
      <c r="M195" s="4" t="n"/>
      <c r="N195" s="5" t="n"/>
      <c r="O195" s="5" t="n"/>
      <c r="P195" s="5" t="n"/>
      <c r="Q195" s="4" t="n"/>
      <c r="R195" s="5" t="n"/>
    </row>
    <row r="196">
      <c r="A196" s="17">
        <f>IF(B196&lt;&gt;"","FWD-"&amp;TEXT(ROW()-8,"000"),"")</f>
        <v/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4" t="n"/>
      <c r="M196" s="4" t="n"/>
      <c r="N196" s="5" t="n"/>
      <c r="O196" s="5" t="n"/>
      <c r="P196" s="5" t="n"/>
      <c r="Q196" s="4" t="n"/>
      <c r="R196" s="5" t="n"/>
    </row>
    <row r="197">
      <c r="A197" s="17">
        <f>IF(B197&lt;&gt;"","FWD-"&amp;TEXT(ROW()-8,"000"),"")</f>
        <v/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4" t="n"/>
      <c r="M197" s="4" t="n"/>
      <c r="N197" s="5" t="n"/>
      <c r="O197" s="5" t="n"/>
      <c r="P197" s="5" t="n"/>
      <c r="Q197" s="4" t="n"/>
      <c r="R197" s="5" t="n"/>
    </row>
    <row r="198">
      <c r="A198" s="17">
        <f>IF(B198&lt;&gt;"","FWD-"&amp;TEXT(ROW()-8,"000"),"")</f>
        <v/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4" t="n"/>
      <c r="M198" s="4" t="n"/>
      <c r="N198" s="5" t="n"/>
      <c r="O198" s="5" t="n"/>
      <c r="P198" s="5" t="n"/>
      <c r="Q198" s="4" t="n"/>
      <c r="R198" s="5" t="n"/>
    </row>
    <row r="199">
      <c r="A199" s="17">
        <f>IF(B199&lt;&gt;"","FWD-"&amp;TEXT(ROW()-8,"000"),"")</f>
        <v/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4" t="n"/>
      <c r="M199" s="4" t="n"/>
      <c r="N199" s="5" t="n"/>
      <c r="O199" s="5" t="n"/>
      <c r="P199" s="5" t="n"/>
      <c r="Q199" s="4" t="n"/>
      <c r="R199" s="5" t="n"/>
    </row>
    <row r="200">
      <c r="A200" s="17">
        <f>IF(B200&lt;&gt;"","FWD-"&amp;TEXT(ROW()-8,"000"),"")</f>
        <v/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4" t="n"/>
      <c r="M200" s="4" t="n"/>
      <c r="N200" s="5" t="n"/>
      <c r="O200" s="5" t="n"/>
      <c r="P200" s="5" t="n"/>
      <c r="Q200" s="4" t="n"/>
      <c r="R200" s="5" t="n"/>
    </row>
  </sheetData>
  <mergeCells count="2">
    <mergeCell ref="A2:R2"/>
    <mergeCell ref="A1:R1"/>
  </mergeCells>
  <dataValidations count="6">
    <dataValidation sqref="B9:B200" showDropDown="0" showInputMessage="0" showErrorMessage="0" allowBlank="1" type="list">
      <formula1>"Splunk UF,Fluentd,Logstash,rsyslog,syslog-ng,Filebeat,Winlogbeat,Windows Event Forwarder,Cloud Connector,Other"</formula1>
    </dataValidation>
    <dataValidation sqref="F9:F200" showDropDown="0" showInputMessage="0" showErrorMessage="0" allowBlank="1" type="list">
      <formula1>"Primary,Secondary,Both,Load Balanced"</formula1>
    </dataValidation>
    <dataValidation sqref="G9:G200" showDropDown="0" showInputMessage="0" showErrorMessage="0" allowBlank="1" type="list">
      <formula1>"Syslog/TLS,Syslog/TCP,Syslog/UDP,HTTPS,gRPC,Proprietary"</formula1>
    </dataValidation>
    <dataValidation sqref="I9:I200" showDropDown="0" showInputMessage="0" showErrorMessage="0" allowBlank="1" type="list">
      <formula1>"Yes (TLS 1.3),Yes (TLS 1.2),No,N/A"</formula1>
    </dataValidation>
    <dataValidation sqref="J9:J200" showDropDown="0" showInputMessage="0" showErrorMessage="0" allowBlank="1" type="list">
      <formula1>"Yes,No"</formula1>
    </dataValidation>
    <dataValidation sqref="N9:N200" showDropDown="0" showInputMessage="0" showErrorMessage="0" allowBlank="1" type="list">
      <formula1>"Running,Stopped,Error,Unknown"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8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20" customWidth="1" min="11" max="11"/>
    <col width="30" customWidth="1" min="12" max="12"/>
    <col width="40" customWidth="1" min="13" max="13"/>
    <col width="20" customWidth="1" min="14" max="14"/>
    <col width="15" customWidth="1" min="15" max="15"/>
    <col width="40" customWidth="1" min="16" max="16"/>
  </cols>
  <sheetData>
    <row r="1" ht="40" customHeight="1">
      <c r="A1" s="1" t="inlineStr">
        <is>
          <t>COLLECTION RELIABILITY</t>
        </is>
      </c>
    </row>
    <row r="2" ht="30" customHeight="1">
      <c r="A2" s="6" t="inlineStr">
        <is>
          <t>Track log collection reliability metrics over assessment period (last 30 days)</t>
        </is>
      </c>
    </row>
    <row r="7" ht="35" customHeight="1">
      <c r="A7" s="14" t="inlineStr">
        <is>
          <t>Source System ID</t>
        </is>
      </c>
      <c r="B7" s="14" t="inlineStr">
        <is>
          <t>Source System Name</t>
        </is>
      </c>
      <c r="C7" s="14" t="inlineStr">
        <is>
          <t>Expected Events/Day</t>
        </is>
      </c>
      <c r="D7" s="14" t="inlineStr">
        <is>
          <t>Actual Events/Day</t>
        </is>
      </c>
      <c r="E7" s="14" t="inlineStr">
        <is>
          <t>Collection Rate %</t>
        </is>
      </c>
      <c r="F7" s="14" t="inlineStr">
        <is>
          <t>Status</t>
        </is>
      </c>
      <c r="G7" s="14" t="inlineStr">
        <is>
          <t>Last Event Received</t>
        </is>
      </c>
      <c r="H7" s="14" t="inlineStr">
        <is>
          <t>Gap Detected</t>
        </is>
      </c>
      <c r="I7" s="14" t="inlineStr">
        <is>
          <t>Gap Start Time</t>
        </is>
      </c>
      <c r="J7" s="14" t="inlineStr">
        <is>
          <t>Gap End Time</t>
        </is>
      </c>
      <c r="K7" s="14" t="inlineStr">
        <is>
          <t>Gap Duration (hours)</t>
        </is>
      </c>
      <c r="L7" s="14" t="inlineStr">
        <is>
          <t>Gap Reason</t>
        </is>
      </c>
      <c r="M7" s="14" t="inlineStr">
        <is>
          <t>Resolution Actions</t>
        </is>
      </c>
      <c r="N7" s="14" t="inlineStr">
        <is>
          <t>Resolved By</t>
        </is>
      </c>
      <c r="O7" s="14" t="inlineStr">
        <is>
          <t>Resolved Date</t>
        </is>
      </c>
      <c r="P7" s="14" t="inlineStr">
        <is>
          <t>Notes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250000</t>
        </is>
      </c>
      <c r="D8" s="15" t="inlineStr">
        <is>
          <t>248000</t>
        </is>
      </c>
      <c r="E8" s="15" t="inlineStr">
        <is>
          <t>99.2%</t>
        </is>
      </c>
      <c r="F8" s="15" t="inlineStr">
        <is>
          <t>Compliant</t>
        </is>
      </c>
      <c r="G8" s="15" t="inlineStr">
        <is>
          <t>06.01.2026 23:55</t>
        </is>
      </c>
      <c r="H8" s="15" t="inlineStr">
        <is>
          <t>No</t>
        </is>
      </c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>
        <is>
          <t>Healthy collection</t>
        </is>
      </c>
    </row>
    <row r="9">
      <c r="A9" s="5" t="n"/>
      <c r="B9" s="17">
        <f>IF(A9="","",A9&amp;" (from IMP-1)")</f>
        <v/>
      </c>
      <c r="C9" s="5" t="n"/>
      <c r="D9" s="5" t="n"/>
      <c r="E9" s="16">
        <f>IF(C9=0,0,D9/C9)</f>
        <v/>
      </c>
      <c r="F9" s="17">
        <f>IF(A9="","",IF(E9&gt;=0.95,"Compliant",IF(E9&gt;=0.8,"Partial","Non-Compliant")))</f>
        <v/>
      </c>
      <c r="G9" s="18" t="n"/>
      <c r="H9" s="5" t="n"/>
      <c r="I9" s="18" t="n"/>
      <c r="J9" s="18" t="n"/>
      <c r="K9" s="19">
        <f>IF(AND(I9&lt;&gt;"",J9&lt;&gt;""),(J9-I9)*24,"")</f>
        <v/>
      </c>
      <c r="L9" s="5" t="n"/>
      <c r="M9" s="5" t="n"/>
      <c r="N9" s="5" t="n"/>
      <c r="O9" s="4" t="n"/>
      <c r="P9" s="5" t="n"/>
    </row>
    <row r="10">
      <c r="A10" s="5" t="n"/>
      <c r="B10" s="17">
        <f>IF(A10="","",A10&amp;" (from IMP-1)")</f>
        <v/>
      </c>
      <c r="C10" s="5" t="n"/>
      <c r="D10" s="5" t="n"/>
      <c r="E10" s="16">
        <f>IF(C10=0,0,D10/C10)</f>
        <v/>
      </c>
      <c r="F10" s="17">
        <f>IF(A10="","",IF(E10&gt;=0.95,"Compliant",IF(E10&gt;=0.8,"Partial","Non-Compliant")))</f>
        <v/>
      </c>
      <c r="G10" s="18" t="n"/>
      <c r="H10" s="5" t="n"/>
      <c r="I10" s="18" t="n"/>
      <c r="J10" s="18" t="n"/>
      <c r="K10" s="19">
        <f>IF(AND(I10&lt;&gt;"",J10&lt;&gt;""),(J10-I10)*24,"")</f>
        <v/>
      </c>
      <c r="L10" s="5" t="n"/>
      <c r="M10" s="5" t="n"/>
      <c r="N10" s="5" t="n"/>
      <c r="O10" s="4" t="n"/>
      <c r="P10" s="5" t="n"/>
    </row>
    <row r="11">
      <c r="A11" s="5" t="n"/>
      <c r="B11" s="17">
        <f>IF(A11="","",A11&amp;" (from IMP-1)")</f>
        <v/>
      </c>
      <c r="C11" s="5" t="n"/>
      <c r="D11" s="5" t="n"/>
      <c r="E11" s="16">
        <f>IF(C11=0,0,D11/C11)</f>
        <v/>
      </c>
      <c r="F11" s="17">
        <f>IF(A11="","",IF(E11&gt;=0.95,"Compliant",IF(E11&gt;=0.8,"Partial","Non-Compliant")))</f>
        <v/>
      </c>
      <c r="G11" s="18" t="n"/>
      <c r="H11" s="5" t="n"/>
      <c r="I11" s="18" t="n"/>
      <c r="J11" s="18" t="n"/>
      <c r="K11" s="19">
        <f>IF(AND(I11&lt;&gt;"",J11&lt;&gt;""),(J11-I11)*24,"")</f>
        <v/>
      </c>
      <c r="L11" s="5" t="n"/>
      <c r="M11" s="5" t="n"/>
      <c r="N11" s="5" t="n"/>
      <c r="O11" s="4" t="n"/>
      <c r="P11" s="5" t="n"/>
    </row>
    <row r="12">
      <c r="A12" s="5" t="n"/>
      <c r="B12" s="17">
        <f>IF(A12="","",A12&amp;" (from IMP-1)")</f>
        <v/>
      </c>
      <c r="C12" s="5" t="n"/>
      <c r="D12" s="5" t="n"/>
      <c r="E12" s="16">
        <f>IF(C12=0,0,D12/C12)</f>
        <v/>
      </c>
      <c r="F12" s="17">
        <f>IF(A12="","",IF(E12&gt;=0.95,"Compliant",IF(E12&gt;=0.8,"Partial","Non-Compliant")))</f>
        <v/>
      </c>
      <c r="G12" s="18" t="n"/>
      <c r="H12" s="5" t="n"/>
      <c r="I12" s="18" t="n"/>
      <c r="J12" s="18" t="n"/>
      <c r="K12" s="19">
        <f>IF(AND(I12&lt;&gt;"",J12&lt;&gt;""),(J12-I12)*24,"")</f>
        <v/>
      </c>
      <c r="L12" s="5" t="n"/>
      <c r="M12" s="5" t="n"/>
      <c r="N12" s="5" t="n"/>
      <c r="O12" s="4" t="n"/>
      <c r="P12" s="5" t="n"/>
    </row>
    <row r="13">
      <c r="A13" s="5" t="n"/>
      <c r="B13" s="17">
        <f>IF(A13="","",A13&amp;" (from IMP-1)")</f>
        <v/>
      </c>
      <c r="C13" s="5" t="n"/>
      <c r="D13" s="5" t="n"/>
      <c r="E13" s="16">
        <f>IF(C13=0,0,D13/C13)</f>
        <v/>
      </c>
      <c r="F13" s="17">
        <f>IF(A13="","",IF(E13&gt;=0.95,"Compliant",IF(E13&gt;=0.8,"Partial","Non-Compliant")))</f>
        <v/>
      </c>
      <c r="G13" s="18" t="n"/>
      <c r="H13" s="5" t="n"/>
      <c r="I13" s="18" t="n"/>
      <c r="J13" s="18" t="n"/>
      <c r="K13" s="19">
        <f>IF(AND(I13&lt;&gt;"",J13&lt;&gt;""),(J13-I13)*24,"")</f>
        <v/>
      </c>
      <c r="L13" s="5" t="n"/>
      <c r="M13" s="5" t="n"/>
      <c r="N13" s="5" t="n"/>
      <c r="O13" s="4" t="n"/>
      <c r="P13" s="5" t="n"/>
    </row>
    <row r="14">
      <c r="A14" s="5" t="n"/>
      <c r="B14" s="17">
        <f>IF(A14="","",A14&amp;" (from IMP-1)")</f>
        <v/>
      </c>
      <c r="C14" s="5" t="n"/>
      <c r="D14" s="5" t="n"/>
      <c r="E14" s="16">
        <f>IF(C14=0,0,D14/C14)</f>
        <v/>
      </c>
      <c r="F14" s="17">
        <f>IF(A14="","",IF(E14&gt;=0.95,"Compliant",IF(E14&gt;=0.8,"Partial","Non-Compliant")))</f>
        <v/>
      </c>
      <c r="G14" s="18" t="n"/>
      <c r="H14" s="5" t="n"/>
      <c r="I14" s="18" t="n"/>
      <c r="J14" s="18" t="n"/>
      <c r="K14" s="19">
        <f>IF(AND(I14&lt;&gt;"",J14&lt;&gt;""),(J14-I14)*24,"")</f>
        <v/>
      </c>
      <c r="L14" s="5" t="n"/>
      <c r="M14" s="5" t="n"/>
      <c r="N14" s="5" t="n"/>
      <c r="O14" s="4" t="n"/>
      <c r="P14" s="5" t="n"/>
    </row>
    <row r="15">
      <c r="A15" s="5" t="n"/>
      <c r="B15" s="17">
        <f>IF(A15="","",A15&amp;" (from IMP-1)")</f>
        <v/>
      </c>
      <c r="C15" s="5" t="n"/>
      <c r="D15" s="5" t="n"/>
      <c r="E15" s="16">
        <f>IF(C15=0,0,D15/C15)</f>
        <v/>
      </c>
      <c r="F15" s="17">
        <f>IF(A15="","",IF(E15&gt;=0.95,"Compliant",IF(E15&gt;=0.8,"Partial","Non-Compliant")))</f>
        <v/>
      </c>
      <c r="G15" s="18" t="n"/>
      <c r="H15" s="5" t="n"/>
      <c r="I15" s="18" t="n"/>
      <c r="J15" s="18" t="n"/>
      <c r="K15" s="19">
        <f>IF(AND(I15&lt;&gt;"",J15&lt;&gt;""),(J15-I15)*24,"")</f>
        <v/>
      </c>
      <c r="L15" s="5" t="n"/>
      <c r="M15" s="5" t="n"/>
      <c r="N15" s="5" t="n"/>
      <c r="O15" s="4" t="n"/>
      <c r="P15" s="5" t="n"/>
    </row>
    <row r="16">
      <c r="A16" s="5" t="n"/>
      <c r="B16" s="17">
        <f>IF(A16="","",A16&amp;" (from IMP-1)")</f>
        <v/>
      </c>
      <c r="C16" s="5" t="n"/>
      <c r="D16" s="5" t="n"/>
      <c r="E16" s="16">
        <f>IF(C16=0,0,D16/C16)</f>
        <v/>
      </c>
      <c r="F16" s="17">
        <f>IF(A16="","",IF(E16&gt;=0.95,"Compliant",IF(E16&gt;=0.8,"Partial","Non-Compliant")))</f>
        <v/>
      </c>
      <c r="G16" s="18" t="n"/>
      <c r="H16" s="5" t="n"/>
      <c r="I16" s="18" t="n"/>
      <c r="J16" s="18" t="n"/>
      <c r="K16" s="19">
        <f>IF(AND(I16&lt;&gt;"",J16&lt;&gt;""),(J16-I16)*24,"")</f>
        <v/>
      </c>
      <c r="L16" s="5" t="n"/>
      <c r="M16" s="5" t="n"/>
      <c r="N16" s="5" t="n"/>
      <c r="O16" s="4" t="n"/>
      <c r="P16" s="5" t="n"/>
    </row>
    <row r="17">
      <c r="A17" s="5" t="n"/>
      <c r="B17" s="17">
        <f>IF(A17="","",A17&amp;" (from IMP-1)")</f>
        <v/>
      </c>
      <c r="C17" s="5" t="n"/>
      <c r="D17" s="5" t="n"/>
      <c r="E17" s="16">
        <f>IF(C17=0,0,D17/C17)</f>
        <v/>
      </c>
      <c r="F17" s="17">
        <f>IF(A17="","",IF(E17&gt;=0.95,"Compliant",IF(E17&gt;=0.8,"Partial","Non-Compliant")))</f>
        <v/>
      </c>
      <c r="G17" s="18" t="n"/>
      <c r="H17" s="5" t="n"/>
      <c r="I17" s="18" t="n"/>
      <c r="J17" s="18" t="n"/>
      <c r="K17" s="19">
        <f>IF(AND(I17&lt;&gt;"",J17&lt;&gt;""),(J17-I17)*24,"")</f>
        <v/>
      </c>
      <c r="L17" s="5" t="n"/>
      <c r="M17" s="5" t="n"/>
      <c r="N17" s="5" t="n"/>
      <c r="O17" s="4" t="n"/>
      <c r="P17" s="5" t="n"/>
    </row>
    <row r="18">
      <c r="A18" s="5" t="n"/>
      <c r="B18" s="17">
        <f>IF(A18="","",A18&amp;" (from IMP-1)")</f>
        <v/>
      </c>
      <c r="C18" s="5" t="n"/>
      <c r="D18" s="5" t="n"/>
      <c r="E18" s="16">
        <f>IF(C18=0,0,D18/C18)</f>
        <v/>
      </c>
      <c r="F18" s="17">
        <f>IF(A18="","",IF(E18&gt;=0.95,"Compliant",IF(E18&gt;=0.8,"Partial","Non-Compliant")))</f>
        <v/>
      </c>
      <c r="G18" s="18" t="n"/>
      <c r="H18" s="5" t="n"/>
      <c r="I18" s="18" t="n"/>
      <c r="J18" s="18" t="n"/>
      <c r="K18" s="19">
        <f>IF(AND(I18&lt;&gt;"",J18&lt;&gt;""),(J18-I18)*24,"")</f>
        <v/>
      </c>
      <c r="L18" s="5" t="n"/>
      <c r="M18" s="5" t="n"/>
      <c r="N18" s="5" t="n"/>
      <c r="O18" s="4" t="n"/>
      <c r="P18" s="5" t="n"/>
    </row>
    <row r="19">
      <c r="A19" s="5" t="n"/>
      <c r="B19" s="17">
        <f>IF(A19="","",A19&amp;" (from IMP-1)")</f>
        <v/>
      </c>
      <c r="C19" s="5" t="n"/>
      <c r="D19" s="5" t="n"/>
      <c r="E19" s="16">
        <f>IF(C19=0,0,D19/C19)</f>
        <v/>
      </c>
      <c r="F19" s="17">
        <f>IF(A19="","",IF(E19&gt;=0.95,"Compliant",IF(E19&gt;=0.8,"Partial","Non-Compliant")))</f>
        <v/>
      </c>
      <c r="G19" s="18" t="n"/>
      <c r="H19" s="5" t="n"/>
      <c r="I19" s="18" t="n"/>
      <c r="J19" s="18" t="n"/>
      <c r="K19" s="19">
        <f>IF(AND(I19&lt;&gt;"",J19&lt;&gt;""),(J19-I19)*24,"")</f>
        <v/>
      </c>
      <c r="L19" s="5" t="n"/>
      <c r="M19" s="5" t="n"/>
      <c r="N19" s="5" t="n"/>
      <c r="O19" s="4" t="n"/>
      <c r="P19" s="5" t="n"/>
    </row>
    <row r="20">
      <c r="A20" s="5" t="n"/>
      <c r="B20" s="17">
        <f>IF(A20="","",A20&amp;" (from IMP-1)")</f>
        <v/>
      </c>
      <c r="C20" s="5" t="n"/>
      <c r="D20" s="5" t="n"/>
      <c r="E20" s="16">
        <f>IF(C20=0,0,D20/C20)</f>
        <v/>
      </c>
      <c r="F20" s="17">
        <f>IF(A20="","",IF(E20&gt;=0.95,"Compliant",IF(E20&gt;=0.8,"Partial","Non-Compliant")))</f>
        <v/>
      </c>
      <c r="G20" s="18" t="n"/>
      <c r="H20" s="5" t="n"/>
      <c r="I20" s="18" t="n"/>
      <c r="J20" s="18" t="n"/>
      <c r="K20" s="19">
        <f>IF(AND(I20&lt;&gt;"",J20&lt;&gt;""),(J20-I20)*24,"")</f>
        <v/>
      </c>
      <c r="L20" s="5" t="n"/>
      <c r="M20" s="5" t="n"/>
      <c r="N20" s="5" t="n"/>
      <c r="O20" s="4" t="n"/>
      <c r="P20" s="5" t="n"/>
    </row>
    <row r="21">
      <c r="A21" s="5" t="n"/>
      <c r="B21" s="17">
        <f>IF(A21="","",A21&amp;" (from IMP-1)")</f>
        <v/>
      </c>
      <c r="C21" s="5" t="n"/>
      <c r="D21" s="5" t="n"/>
      <c r="E21" s="16">
        <f>IF(C21=0,0,D21/C21)</f>
        <v/>
      </c>
      <c r="F21" s="17">
        <f>IF(A21="","",IF(E21&gt;=0.95,"Compliant",IF(E21&gt;=0.8,"Partial","Non-Compliant")))</f>
        <v/>
      </c>
      <c r="G21" s="18" t="n"/>
      <c r="H21" s="5" t="n"/>
      <c r="I21" s="18" t="n"/>
      <c r="J21" s="18" t="n"/>
      <c r="K21" s="19">
        <f>IF(AND(I21&lt;&gt;"",J21&lt;&gt;""),(J21-I21)*24,"")</f>
        <v/>
      </c>
      <c r="L21" s="5" t="n"/>
      <c r="M21" s="5" t="n"/>
      <c r="N21" s="5" t="n"/>
      <c r="O21" s="4" t="n"/>
      <c r="P21" s="5" t="n"/>
    </row>
    <row r="22">
      <c r="A22" s="5" t="n"/>
      <c r="B22" s="17">
        <f>IF(A22="","",A22&amp;" (from IMP-1)")</f>
        <v/>
      </c>
      <c r="C22" s="5" t="n"/>
      <c r="D22" s="5" t="n"/>
      <c r="E22" s="16">
        <f>IF(C22=0,0,D22/C22)</f>
        <v/>
      </c>
      <c r="F22" s="17">
        <f>IF(A22="","",IF(E22&gt;=0.95,"Compliant",IF(E22&gt;=0.8,"Partial","Non-Compliant")))</f>
        <v/>
      </c>
      <c r="G22" s="18" t="n"/>
      <c r="H22" s="5" t="n"/>
      <c r="I22" s="18" t="n"/>
      <c r="J22" s="18" t="n"/>
      <c r="K22" s="19">
        <f>IF(AND(I22&lt;&gt;"",J22&lt;&gt;""),(J22-I22)*24,"")</f>
        <v/>
      </c>
      <c r="L22" s="5" t="n"/>
      <c r="M22" s="5" t="n"/>
      <c r="N22" s="5" t="n"/>
      <c r="O22" s="4" t="n"/>
      <c r="P22" s="5" t="n"/>
    </row>
    <row r="23">
      <c r="A23" s="5" t="n"/>
      <c r="B23" s="17">
        <f>IF(A23="","",A23&amp;" (from IMP-1)")</f>
        <v/>
      </c>
      <c r="C23" s="5" t="n"/>
      <c r="D23" s="5" t="n"/>
      <c r="E23" s="16">
        <f>IF(C23=0,0,D23/C23)</f>
        <v/>
      </c>
      <c r="F23" s="17">
        <f>IF(A23="","",IF(E23&gt;=0.95,"Compliant",IF(E23&gt;=0.8,"Partial","Non-Compliant")))</f>
        <v/>
      </c>
      <c r="G23" s="18" t="n"/>
      <c r="H23" s="5" t="n"/>
      <c r="I23" s="18" t="n"/>
      <c r="J23" s="18" t="n"/>
      <c r="K23" s="19">
        <f>IF(AND(I23&lt;&gt;"",J23&lt;&gt;""),(J23-I23)*24,"")</f>
        <v/>
      </c>
      <c r="L23" s="5" t="n"/>
      <c r="M23" s="5" t="n"/>
      <c r="N23" s="5" t="n"/>
      <c r="O23" s="4" t="n"/>
      <c r="P23" s="5" t="n"/>
    </row>
    <row r="24">
      <c r="A24" s="5" t="n"/>
      <c r="B24" s="17">
        <f>IF(A24="","",A24&amp;" (from IMP-1)")</f>
        <v/>
      </c>
      <c r="C24" s="5" t="n"/>
      <c r="D24" s="5" t="n"/>
      <c r="E24" s="16">
        <f>IF(C24=0,0,D24/C24)</f>
        <v/>
      </c>
      <c r="F24" s="17">
        <f>IF(A24="","",IF(E24&gt;=0.95,"Compliant",IF(E24&gt;=0.8,"Partial","Non-Compliant")))</f>
        <v/>
      </c>
      <c r="G24" s="18" t="n"/>
      <c r="H24" s="5" t="n"/>
      <c r="I24" s="18" t="n"/>
      <c r="J24" s="18" t="n"/>
      <c r="K24" s="19">
        <f>IF(AND(I24&lt;&gt;"",J24&lt;&gt;""),(J24-I24)*24,"")</f>
        <v/>
      </c>
      <c r="L24" s="5" t="n"/>
      <c r="M24" s="5" t="n"/>
      <c r="N24" s="5" t="n"/>
      <c r="O24" s="4" t="n"/>
      <c r="P24" s="5" t="n"/>
    </row>
    <row r="25">
      <c r="A25" s="5" t="n"/>
      <c r="B25" s="17">
        <f>IF(A25="","",A25&amp;" (from IMP-1)")</f>
        <v/>
      </c>
      <c r="C25" s="5" t="n"/>
      <c r="D25" s="5" t="n"/>
      <c r="E25" s="16">
        <f>IF(C25=0,0,D25/C25)</f>
        <v/>
      </c>
      <c r="F25" s="17">
        <f>IF(A25="","",IF(E25&gt;=0.95,"Compliant",IF(E25&gt;=0.8,"Partial","Non-Compliant")))</f>
        <v/>
      </c>
      <c r="G25" s="18" t="n"/>
      <c r="H25" s="5" t="n"/>
      <c r="I25" s="18" t="n"/>
      <c r="J25" s="18" t="n"/>
      <c r="K25" s="19">
        <f>IF(AND(I25&lt;&gt;"",J25&lt;&gt;""),(J25-I25)*24,"")</f>
        <v/>
      </c>
      <c r="L25" s="5" t="n"/>
      <c r="M25" s="5" t="n"/>
      <c r="N25" s="5" t="n"/>
      <c r="O25" s="4" t="n"/>
      <c r="P25" s="5" t="n"/>
    </row>
    <row r="26">
      <c r="A26" s="5" t="n"/>
      <c r="B26" s="17">
        <f>IF(A26="","",A26&amp;" (from IMP-1)")</f>
        <v/>
      </c>
      <c r="C26" s="5" t="n"/>
      <c r="D26" s="5" t="n"/>
      <c r="E26" s="16">
        <f>IF(C26=0,0,D26/C26)</f>
        <v/>
      </c>
      <c r="F26" s="17">
        <f>IF(A26="","",IF(E26&gt;=0.95,"Compliant",IF(E26&gt;=0.8,"Partial","Non-Compliant")))</f>
        <v/>
      </c>
      <c r="G26" s="18" t="n"/>
      <c r="H26" s="5" t="n"/>
      <c r="I26" s="18" t="n"/>
      <c r="J26" s="18" t="n"/>
      <c r="K26" s="19">
        <f>IF(AND(I26&lt;&gt;"",J26&lt;&gt;""),(J26-I26)*24,"")</f>
        <v/>
      </c>
      <c r="L26" s="5" t="n"/>
      <c r="M26" s="5" t="n"/>
      <c r="N26" s="5" t="n"/>
      <c r="O26" s="4" t="n"/>
      <c r="P26" s="5" t="n"/>
    </row>
    <row r="27">
      <c r="A27" s="5" t="n"/>
      <c r="B27" s="17">
        <f>IF(A27="","",A27&amp;" (from IMP-1)")</f>
        <v/>
      </c>
      <c r="C27" s="5" t="n"/>
      <c r="D27" s="5" t="n"/>
      <c r="E27" s="16">
        <f>IF(C27=0,0,D27/C27)</f>
        <v/>
      </c>
      <c r="F27" s="17">
        <f>IF(A27="","",IF(E27&gt;=0.95,"Compliant",IF(E27&gt;=0.8,"Partial","Non-Compliant")))</f>
        <v/>
      </c>
      <c r="G27" s="18" t="n"/>
      <c r="H27" s="5" t="n"/>
      <c r="I27" s="18" t="n"/>
      <c r="J27" s="18" t="n"/>
      <c r="K27" s="19">
        <f>IF(AND(I27&lt;&gt;"",J27&lt;&gt;""),(J27-I27)*24,"")</f>
        <v/>
      </c>
      <c r="L27" s="5" t="n"/>
      <c r="M27" s="5" t="n"/>
      <c r="N27" s="5" t="n"/>
      <c r="O27" s="4" t="n"/>
      <c r="P27" s="5" t="n"/>
    </row>
    <row r="28">
      <c r="A28" s="5" t="n"/>
      <c r="B28" s="17">
        <f>IF(A28="","",A28&amp;" (from IMP-1)")</f>
        <v/>
      </c>
      <c r="C28" s="5" t="n"/>
      <c r="D28" s="5" t="n"/>
      <c r="E28" s="16">
        <f>IF(C28=0,0,D28/C28)</f>
        <v/>
      </c>
      <c r="F28" s="17">
        <f>IF(A28="","",IF(E28&gt;=0.95,"Compliant",IF(E28&gt;=0.8,"Partial","Non-Compliant")))</f>
        <v/>
      </c>
      <c r="G28" s="18" t="n"/>
      <c r="H28" s="5" t="n"/>
      <c r="I28" s="18" t="n"/>
      <c r="J28" s="18" t="n"/>
      <c r="K28" s="19">
        <f>IF(AND(I28&lt;&gt;"",J28&lt;&gt;""),(J28-I28)*24,"")</f>
        <v/>
      </c>
      <c r="L28" s="5" t="n"/>
      <c r="M28" s="5" t="n"/>
      <c r="N28" s="5" t="n"/>
      <c r="O28" s="4" t="n"/>
      <c r="P28" s="5" t="n"/>
    </row>
    <row r="29">
      <c r="A29" s="5" t="n"/>
      <c r="B29" s="17">
        <f>IF(A29="","",A29&amp;" (from IMP-1)")</f>
        <v/>
      </c>
      <c r="C29" s="5" t="n"/>
      <c r="D29" s="5" t="n"/>
      <c r="E29" s="16">
        <f>IF(C29=0,0,D29/C29)</f>
        <v/>
      </c>
      <c r="F29" s="17">
        <f>IF(A29="","",IF(E29&gt;=0.95,"Compliant",IF(E29&gt;=0.8,"Partial","Non-Compliant")))</f>
        <v/>
      </c>
      <c r="G29" s="18" t="n"/>
      <c r="H29" s="5" t="n"/>
      <c r="I29" s="18" t="n"/>
      <c r="J29" s="18" t="n"/>
      <c r="K29" s="19">
        <f>IF(AND(I29&lt;&gt;"",J29&lt;&gt;""),(J29-I29)*24,"")</f>
        <v/>
      </c>
      <c r="L29" s="5" t="n"/>
      <c r="M29" s="5" t="n"/>
      <c r="N29" s="5" t="n"/>
      <c r="O29" s="4" t="n"/>
      <c r="P29" s="5" t="n"/>
    </row>
    <row r="30">
      <c r="A30" s="5" t="n"/>
      <c r="B30" s="17">
        <f>IF(A30="","",A30&amp;" (from IMP-1)")</f>
        <v/>
      </c>
      <c r="C30" s="5" t="n"/>
      <c r="D30" s="5" t="n"/>
      <c r="E30" s="16">
        <f>IF(C30=0,0,D30/C30)</f>
        <v/>
      </c>
      <c r="F30" s="17">
        <f>IF(A30="","",IF(E30&gt;=0.95,"Compliant",IF(E30&gt;=0.8,"Partial","Non-Compliant")))</f>
        <v/>
      </c>
      <c r="G30" s="18" t="n"/>
      <c r="H30" s="5" t="n"/>
      <c r="I30" s="18" t="n"/>
      <c r="J30" s="18" t="n"/>
      <c r="K30" s="19">
        <f>IF(AND(I30&lt;&gt;"",J30&lt;&gt;""),(J30-I30)*24,"")</f>
        <v/>
      </c>
      <c r="L30" s="5" t="n"/>
      <c r="M30" s="5" t="n"/>
      <c r="N30" s="5" t="n"/>
      <c r="O30" s="4" t="n"/>
      <c r="P30" s="5" t="n"/>
    </row>
    <row r="31">
      <c r="A31" s="5" t="n"/>
      <c r="B31" s="17">
        <f>IF(A31="","",A31&amp;" (from IMP-1)")</f>
        <v/>
      </c>
      <c r="C31" s="5" t="n"/>
      <c r="D31" s="5" t="n"/>
      <c r="E31" s="16">
        <f>IF(C31=0,0,D31/C31)</f>
        <v/>
      </c>
      <c r="F31" s="17">
        <f>IF(A31="","",IF(E31&gt;=0.95,"Compliant",IF(E31&gt;=0.8,"Partial","Non-Compliant")))</f>
        <v/>
      </c>
      <c r="G31" s="18" t="n"/>
      <c r="H31" s="5" t="n"/>
      <c r="I31" s="18" t="n"/>
      <c r="J31" s="18" t="n"/>
      <c r="K31" s="19">
        <f>IF(AND(I31&lt;&gt;"",J31&lt;&gt;""),(J31-I31)*24,"")</f>
        <v/>
      </c>
      <c r="L31" s="5" t="n"/>
      <c r="M31" s="5" t="n"/>
      <c r="N31" s="5" t="n"/>
      <c r="O31" s="4" t="n"/>
      <c r="P31" s="5" t="n"/>
    </row>
    <row r="32">
      <c r="A32" s="5" t="n"/>
      <c r="B32" s="17">
        <f>IF(A32="","",A32&amp;" (from IMP-1)")</f>
        <v/>
      </c>
      <c r="C32" s="5" t="n"/>
      <c r="D32" s="5" t="n"/>
      <c r="E32" s="16">
        <f>IF(C32=0,0,D32/C32)</f>
        <v/>
      </c>
      <c r="F32" s="17">
        <f>IF(A32="","",IF(E32&gt;=0.95,"Compliant",IF(E32&gt;=0.8,"Partial","Non-Compliant")))</f>
        <v/>
      </c>
      <c r="G32" s="18" t="n"/>
      <c r="H32" s="5" t="n"/>
      <c r="I32" s="18" t="n"/>
      <c r="J32" s="18" t="n"/>
      <c r="K32" s="19">
        <f>IF(AND(I32&lt;&gt;"",J32&lt;&gt;""),(J32-I32)*24,"")</f>
        <v/>
      </c>
      <c r="L32" s="5" t="n"/>
      <c r="M32" s="5" t="n"/>
      <c r="N32" s="5" t="n"/>
      <c r="O32" s="4" t="n"/>
      <c r="P32" s="5" t="n"/>
    </row>
    <row r="33">
      <c r="A33" s="5" t="n"/>
      <c r="B33" s="17">
        <f>IF(A33="","",A33&amp;" (from IMP-1)")</f>
        <v/>
      </c>
      <c r="C33" s="5" t="n"/>
      <c r="D33" s="5" t="n"/>
      <c r="E33" s="16">
        <f>IF(C33=0,0,D33/C33)</f>
        <v/>
      </c>
      <c r="F33" s="17">
        <f>IF(A33="","",IF(E33&gt;=0.95,"Compliant",IF(E33&gt;=0.8,"Partial","Non-Compliant")))</f>
        <v/>
      </c>
      <c r="G33" s="18" t="n"/>
      <c r="H33" s="5" t="n"/>
      <c r="I33" s="18" t="n"/>
      <c r="J33" s="18" t="n"/>
      <c r="K33" s="19">
        <f>IF(AND(I33&lt;&gt;"",J33&lt;&gt;""),(J33-I33)*24,"")</f>
        <v/>
      </c>
      <c r="L33" s="5" t="n"/>
      <c r="M33" s="5" t="n"/>
      <c r="N33" s="5" t="n"/>
      <c r="O33" s="4" t="n"/>
      <c r="P33" s="5" t="n"/>
    </row>
    <row r="34">
      <c r="A34" s="5" t="n"/>
      <c r="B34" s="17">
        <f>IF(A34="","",A34&amp;" (from IMP-1)")</f>
        <v/>
      </c>
      <c r="C34" s="5" t="n"/>
      <c r="D34" s="5" t="n"/>
      <c r="E34" s="16">
        <f>IF(C34=0,0,D34/C34)</f>
        <v/>
      </c>
      <c r="F34" s="17">
        <f>IF(A34="","",IF(E34&gt;=0.95,"Compliant",IF(E34&gt;=0.8,"Partial","Non-Compliant")))</f>
        <v/>
      </c>
      <c r="G34" s="18" t="n"/>
      <c r="H34" s="5" t="n"/>
      <c r="I34" s="18" t="n"/>
      <c r="J34" s="18" t="n"/>
      <c r="K34" s="19">
        <f>IF(AND(I34&lt;&gt;"",J34&lt;&gt;""),(J34-I34)*24,"")</f>
        <v/>
      </c>
      <c r="L34" s="5" t="n"/>
      <c r="M34" s="5" t="n"/>
      <c r="N34" s="5" t="n"/>
      <c r="O34" s="4" t="n"/>
      <c r="P34" s="5" t="n"/>
    </row>
    <row r="35">
      <c r="A35" s="5" t="n"/>
      <c r="B35" s="17">
        <f>IF(A35="","",A35&amp;" (from IMP-1)")</f>
        <v/>
      </c>
      <c r="C35" s="5" t="n"/>
      <c r="D35" s="5" t="n"/>
      <c r="E35" s="16">
        <f>IF(C35=0,0,D35/C35)</f>
        <v/>
      </c>
      <c r="F35" s="17">
        <f>IF(A35="","",IF(E35&gt;=0.95,"Compliant",IF(E35&gt;=0.8,"Partial","Non-Compliant")))</f>
        <v/>
      </c>
      <c r="G35" s="18" t="n"/>
      <c r="H35" s="5" t="n"/>
      <c r="I35" s="18" t="n"/>
      <c r="J35" s="18" t="n"/>
      <c r="K35" s="19">
        <f>IF(AND(I35&lt;&gt;"",J35&lt;&gt;""),(J35-I35)*24,"")</f>
        <v/>
      </c>
      <c r="L35" s="5" t="n"/>
      <c r="M35" s="5" t="n"/>
      <c r="N35" s="5" t="n"/>
      <c r="O35" s="4" t="n"/>
      <c r="P35" s="5" t="n"/>
    </row>
    <row r="36">
      <c r="A36" s="5" t="n"/>
      <c r="B36" s="17">
        <f>IF(A36="","",A36&amp;" (from IMP-1)")</f>
        <v/>
      </c>
      <c r="C36" s="5" t="n"/>
      <c r="D36" s="5" t="n"/>
      <c r="E36" s="16">
        <f>IF(C36=0,0,D36/C36)</f>
        <v/>
      </c>
      <c r="F36" s="17">
        <f>IF(A36="","",IF(E36&gt;=0.95,"Compliant",IF(E36&gt;=0.8,"Partial","Non-Compliant")))</f>
        <v/>
      </c>
      <c r="G36" s="18" t="n"/>
      <c r="H36" s="5" t="n"/>
      <c r="I36" s="18" t="n"/>
      <c r="J36" s="18" t="n"/>
      <c r="K36" s="19">
        <f>IF(AND(I36&lt;&gt;"",J36&lt;&gt;""),(J36-I36)*24,"")</f>
        <v/>
      </c>
      <c r="L36" s="5" t="n"/>
      <c r="M36" s="5" t="n"/>
      <c r="N36" s="5" t="n"/>
      <c r="O36" s="4" t="n"/>
      <c r="P36" s="5" t="n"/>
    </row>
    <row r="37">
      <c r="A37" s="5" t="n"/>
      <c r="B37" s="17">
        <f>IF(A37="","",A37&amp;" (from IMP-1)")</f>
        <v/>
      </c>
      <c r="C37" s="5" t="n"/>
      <c r="D37" s="5" t="n"/>
      <c r="E37" s="16">
        <f>IF(C37=0,0,D37/C37)</f>
        <v/>
      </c>
      <c r="F37" s="17">
        <f>IF(A37="","",IF(E37&gt;=0.95,"Compliant",IF(E37&gt;=0.8,"Partial","Non-Compliant")))</f>
        <v/>
      </c>
      <c r="G37" s="18" t="n"/>
      <c r="H37" s="5" t="n"/>
      <c r="I37" s="18" t="n"/>
      <c r="J37" s="18" t="n"/>
      <c r="K37" s="19">
        <f>IF(AND(I37&lt;&gt;"",J37&lt;&gt;""),(J37-I37)*24,"")</f>
        <v/>
      </c>
      <c r="L37" s="5" t="n"/>
      <c r="M37" s="5" t="n"/>
      <c r="N37" s="5" t="n"/>
      <c r="O37" s="4" t="n"/>
      <c r="P37" s="5" t="n"/>
    </row>
    <row r="38">
      <c r="A38" s="5" t="n"/>
      <c r="B38" s="17">
        <f>IF(A38="","",A38&amp;" (from IMP-1)")</f>
        <v/>
      </c>
      <c r="C38" s="5" t="n"/>
      <c r="D38" s="5" t="n"/>
      <c r="E38" s="16">
        <f>IF(C38=0,0,D38/C38)</f>
        <v/>
      </c>
      <c r="F38" s="17">
        <f>IF(A38="","",IF(E38&gt;=0.95,"Compliant",IF(E38&gt;=0.8,"Partial","Non-Compliant")))</f>
        <v/>
      </c>
      <c r="G38" s="18" t="n"/>
      <c r="H38" s="5" t="n"/>
      <c r="I38" s="18" t="n"/>
      <c r="J38" s="18" t="n"/>
      <c r="K38" s="19">
        <f>IF(AND(I38&lt;&gt;"",J38&lt;&gt;""),(J38-I38)*24,"")</f>
        <v/>
      </c>
      <c r="L38" s="5" t="n"/>
      <c r="M38" s="5" t="n"/>
      <c r="N38" s="5" t="n"/>
      <c r="O38" s="4" t="n"/>
      <c r="P38" s="5" t="n"/>
    </row>
    <row r="39">
      <c r="A39" s="5" t="n"/>
      <c r="B39" s="17">
        <f>IF(A39="","",A39&amp;" (from IMP-1)")</f>
        <v/>
      </c>
      <c r="C39" s="5" t="n"/>
      <c r="D39" s="5" t="n"/>
      <c r="E39" s="16">
        <f>IF(C39=0,0,D39/C39)</f>
        <v/>
      </c>
      <c r="F39" s="17">
        <f>IF(A39="","",IF(E39&gt;=0.95,"Compliant",IF(E39&gt;=0.8,"Partial","Non-Compliant")))</f>
        <v/>
      </c>
      <c r="G39" s="18" t="n"/>
      <c r="H39" s="5" t="n"/>
      <c r="I39" s="18" t="n"/>
      <c r="J39" s="18" t="n"/>
      <c r="K39" s="19">
        <f>IF(AND(I39&lt;&gt;"",J39&lt;&gt;""),(J39-I39)*24,"")</f>
        <v/>
      </c>
      <c r="L39" s="5" t="n"/>
      <c r="M39" s="5" t="n"/>
      <c r="N39" s="5" t="n"/>
      <c r="O39" s="4" t="n"/>
      <c r="P39" s="5" t="n"/>
    </row>
    <row r="40">
      <c r="A40" s="5" t="n"/>
      <c r="B40" s="17">
        <f>IF(A40="","",A40&amp;" (from IMP-1)")</f>
        <v/>
      </c>
      <c r="C40" s="5" t="n"/>
      <c r="D40" s="5" t="n"/>
      <c r="E40" s="16">
        <f>IF(C40=0,0,D40/C40)</f>
        <v/>
      </c>
      <c r="F40" s="17">
        <f>IF(A40="","",IF(E40&gt;=0.95,"Compliant",IF(E40&gt;=0.8,"Partial","Non-Compliant")))</f>
        <v/>
      </c>
      <c r="G40" s="18" t="n"/>
      <c r="H40" s="5" t="n"/>
      <c r="I40" s="18" t="n"/>
      <c r="J40" s="18" t="n"/>
      <c r="K40" s="19">
        <f>IF(AND(I40&lt;&gt;"",J40&lt;&gt;""),(J40-I40)*24,"")</f>
        <v/>
      </c>
      <c r="L40" s="5" t="n"/>
      <c r="M40" s="5" t="n"/>
      <c r="N40" s="5" t="n"/>
      <c r="O40" s="4" t="n"/>
      <c r="P40" s="5" t="n"/>
    </row>
    <row r="41">
      <c r="A41" s="5" t="n"/>
      <c r="B41" s="17">
        <f>IF(A41="","",A41&amp;" (from IMP-1)")</f>
        <v/>
      </c>
      <c r="C41" s="5" t="n"/>
      <c r="D41" s="5" t="n"/>
      <c r="E41" s="16">
        <f>IF(C41=0,0,D41/C41)</f>
        <v/>
      </c>
      <c r="F41" s="17">
        <f>IF(A41="","",IF(E41&gt;=0.95,"Compliant",IF(E41&gt;=0.8,"Partial","Non-Compliant")))</f>
        <v/>
      </c>
      <c r="G41" s="18" t="n"/>
      <c r="H41" s="5" t="n"/>
      <c r="I41" s="18" t="n"/>
      <c r="J41" s="18" t="n"/>
      <c r="K41" s="19">
        <f>IF(AND(I41&lt;&gt;"",J41&lt;&gt;""),(J41-I41)*24,"")</f>
        <v/>
      </c>
      <c r="L41" s="5" t="n"/>
      <c r="M41" s="5" t="n"/>
      <c r="N41" s="5" t="n"/>
      <c r="O41" s="4" t="n"/>
      <c r="P41" s="5" t="n"/>
    </row>
    <row r="42">
      <c r="A42" s="5" t="n"/>
      <c r="B42" s="17">
        <f>IF(A42="","",A42&amp;" (from IMP-1)")</f>
        <v/>
      </c>
      <c r="C42" s="5" t="n"/>
      <c r="D42" s="5" t="n"/>
      <c r="E42" s="16">
        <f>IF(C42=0,0,D42/C42)</f>
        <v/>
      </c>
      <c r="F42" s="17">
        <f>IF(A42="","",IF(E42&gt;=0.95,"Compliant",IF(E42&gt;=0.8,"Partial","Non-Compliant")))</f>
        <v/>
      </c>
      <c r="G42" s="18" t="n"/>
      <c r="H42" s="5" t="n"/>
      <c r="I42" s="18" t="n"/>
      <c r="J42" s="18" t="n"/>
      <c r="K42" s="19">
        <f>IF(AND(I42&lt;&gt;"",J42&lt;&gt;""),(J42-I42)*24,"")</f>
        <v/>
      </c>
      <c r="L42" s="5" t="n"/>
      <c r="M42" s="5" t="n"/>
      <c r="N42" s="5" t="n"/>
      <c r="O42" s="4" t="n"/>
      <c r="P42" s="5" t="n"/>
    </row>
    <row r="43">
      <c r="A43" s="5" t="n"/>
      <c r="B43" s="17">
        <f>IF(A43="","",A43&amp;" (from IMP-1)")</f>
        <v/>
      </c>
      <c r="C43" s="5" t="n"/>
      <c r="D43" s="5" t="n"/>
      <c r="E43" s="16">
        <f>IF(C43=0,0,D43/C43)</f>
        <v/>
      </c>
      <c r="F43" s="17">
        <f>IF(A43="","",IF(E43&gt;=0.95,"Compliant",IF(E43&gt;=0.8,"Partial","Non-Compliant")))</f>
        <v/>
      </c>
      <c r="G43" s="18" t="n"/>
      <c r="H43" s="5" t="n"/>
      <c r="I43" s="18" t="n"/>
      <c r="J43" s="18" t="n"/>
      <c r="K43" s="19">
        <f>IF(AND(I43&lt;&gt;"",J43&lt;&gt;""),(J43-I43)*24,"")</f>
        <v/>
      </c>
      <c r="L43" s="5" t="n"/>
      <c r="M43" s="5" t="n"/>
      <c r="N43" s="5" t="n"/>
      <c r="O43" s="4" t="n"/>
      <c r="P43" s="5" t="n"/>
    </row>
    <row r="44">
      <c r="A44" s="5" t="n"/>
      <c r="B44" s="17">
        <f>IF(A44="","",A44&amp;" (from IMP-1)")</f>
        <v/>
      </c>
      <c r="C44" s="5" t="n"/>
      <c r="D44" s="5" t="n"/>
      <c r="E44" s="16">
        <f>IF(C44=0,0,D44/C44)</f>
        <v/>
      </c>
      <c r="F44" s="17">
        <f>IF(A44="","",IF(E44&gt;=0.95,"Compliant",IF(E44&gt;=0.8,"Partial","Non-Compliant")))</f>
        <v/>
      </c>
      <c r="G44" s="18" t="n"/>
      <c r="H44" s="5" t="n"/>
      <c r="I44" s="18" t="n"/>
      <c r="J44" s="18" t="n"/>
      <c r="K44" s="19">
        <f>IF(AND(I44&lt;&gt;"",J44&lt;&gt;""),(J44-I44)*24,"")</f>
        <v/>
      </c>
      <c r="L44" s="5" t="n"/>
      <c r="M44" s="5" t="n"/>
      <c r="N44" s="5" t="n"/>
      <c r="O44" s="4" t="n"/>
      <c r="P44" s="5" t="n"/>
    </row>
    <row r="45">
      <c r="A45" s="5" t="n"/>
      <c r="B45" s="17">
        <f>IF(A45="","",A45&amp;" (from IMP-1)")</f>
        <v/>
      </c>
      <c r="C45" s="5" t="n"/>
      <c r="D45" s="5" t="n"/>
      <c r="E45" s="16">
        <f>IF(C45=0,0,D45/C45)</f>
        <v/>
      </c>
      <c r="F45" s="17">
        <f>IF(A45="","",IF(E45&gt;=0.95,"Compliant",IF(E45&gt;=0.8,"Partial","Non-Compliant")))</f>
        <v/>
      </c>
      <c r="G45" s="18" t="n"/>
      <c r="H45" s="5" t="n"/>
      <c r="I45" s="18" t="n"/>
      <c r="J45" s="18" t="n"/>
      <c r="K45" s="19">
        <f>IF(AND(I45&lt;&gt;"",J45&lt;&gt;""),(J45-I45)*24,"")</f>
        <v/>
      </c>
      <c r="L45" s="5" t="n"/>
      <c r="M45" s="5" t="n"/>
      <c r="N45" s="5" t="n"/>
      <c r="O45" s="4" t="n"/>
      <c r="P45" s="5" t="n"/>
    </row>
    <row r="46">
      <c r="A46" s="5" t="n"/>
      <c r="B46" s="17">
        <f>IF(A46="","",A46&amp;" (from IMP-1)")</f>
        <v/>
      </c>
      <c r="C46" s="5" t="n"/>
      <c r="D46" s="5" t="n"/>
      <c r="E46" s="16">
        <f>IF(C46=0,0,D46/C46)</f>
        <v/>
      </c>
      <c r="F46" s="17">
        <f>IF(A46="","",IF(E46&gt;=0.95,"Compliant",IF(E46&gt;=0.8,"Partial","Non-Compliant")))</f>
        <v/>
      </c>
      <c r="G46" s="18" t="n"/>
      <c r="H46" s="5" t="n"/>
      <c r="I46" s="18" t="n"/>
      <c r="J46" s="18" t="n"/>
      <c r="K46" s="19">
        <f>IF(AND(I46&lt;&gt;"",J46&lt;&gt;""),(J46-I46)*24,"")</f>
        <v/>
      </c>
      <c r="L46" s="5" t="n"/>
      <c r="M46" s="5" t="n"/>
      <c r="N46" s="5" t="n"/>
      <c r="O46" s="4" t="n"/>
      <c r="P46" s="5" t="n"/>
    </row>
    <row r="47">
      <c r="A47" s="5" t="n"/>
      <c r="B47" s="17">
        <f>IF(A47="","",A47&amp;" (from IMP-1)")</f>
        <v/>
      </c>
      <c r="C47" s="5" t="n"/>
      <c r="D47" s="5" t="n"/>
      <c r="E47" s="16">
        <f>IF(C47=0,0,D47/C47)</f>
        <v/>
      </c>
      <c r="F47" s="17">
        <f>IF(A47="","",IF(E47&gt;=0.95,"Compliant",IF(E47&gt;=0.8,"Partial","Non-Compliant")))</f>
        <v/>
      </c>
      <c r="G47" s="18" t="n"/>
      <c r="H47" s="5" t="n"/>
      <c r="I47" s="18" t="n"/>
      <c r="J47" s="18" t="n"/>
      <c r="K47" s="19">
        <f>IF(AND(I47&lt;&gt;"",J47&lt;&gt;""),(J47-I47)*24,"")</f>
        <v/>
      </c>
      <c r="L47" s="5" t="n"/>
      <c r="M47" s="5" t="n"/>
      <c r="N47" s="5" t="n"/>
      <c r="O47" s="4" t="n"/>
      <c r="P47" s="5" t="n"/>
    </row>
    <row r="48">
      <c r="A48" s="5" t="n"/>
      <c r="B48" s="17">
        <f>IF(A48="","",A48&amp;" (from IMP-1)")</f>
        <v/>
      </c>
      <c r="C48" s="5" t="n"/>
      <c r="D48" s="5" t="n"/>
      <c r="E48" s="16">
        <f>IF(C48=0,0,D48/C48)</f>
        <v/>
      </c>
      <c r="F48" s="17">
        <f>IF(A48="","",IF(E48&gt;=0.95,"Compliant",IF(E48&gt;=0.8,"Partial","Non-Compliant")))</f>
        <v/>
      </c>
      <c r="G48" s="18" t="n"/>
      <c r="H48" s="5" t="n"/>
      <c r="I48" s="18" t="n"/>
      <c r="J48" s="18" t="n"/>
      <c r="K48" s="19">
        <f>IF(AND(I48&lt;&gt;"",J48&lt;&gt;""),(J48-I48)*24,"")</f>
        <v/>
      </c>
      <c r="L48" s="5" t="n"/>
      <c r="M48" s="5" t="n"/>
      <c r="N48" s="5" t="n"/>
      <c r="O48" s="4" t="n"/>
      <c r="P48" s="5" t="n"/>
    </row>
    <row r="49">
      <c r="A49" s="5" t="n"/>
      <c r="B49" s="17">
        <f>IF(A49="","",A49&amp;" (from IMP-1)")</f>
        <v/>
      </c>
      <c r="C49" s="5" t="n"/>
      <c r="D49" s="5" t="n"/>
      <c r="E49" s="16">
        <f>IF(C49=0,0,D49/C49)</f>
        <v/>
      </c>
      <c r="F49" s="17">
        <f>IF(A49="","",IF(E49&gt;=0.95,"Compliant",IF(E49&gt;=0.8,"Partial","Non-Compliant")))</f>
        <v/>
      </c>
      <c r="G49" s="18" t="n"/>
      <c r="H49" s="5" t="n"/>
      <c r="I49" s="18" t="n"/>
      <c r="J49" s="18" t="n"/>
      <c r="K49" s="19">
        <f>IF(AND(I49&lt;&gt;"",J49&lt;&gt;""),(J49-I49)*24,"")</f>
        <v/>
      </c>
      <c r="L49" s="5" t="n"/>
      <c r="M49" s="5" t="n"/>
      <c r="N49" s="5" t="n"/>
      <c r="O49" s="4" t="n"/>
      <c r="P49" s="5" t="n"/>
    </row>
    <row r="50">
      <c r="A50" s="5" t="n"/>
      <c r="B50" s="17">
        <f>IF(A50="","",A50&amp;" (from IMP-1)")</f>
        <v/>
      </c>
      <c r="C50" s="5" t="n"/>
      <c r="D50" s="5" t="n"/>
      <c r="E50" s="16">
        <f>IF(C50=0,0,D50/C50)</f>
        <v/>
      </c>
      <c r="F50" s="17">
        <f>IF(A50="","",IF(E50&gt;=0.95,"Compliant",IF(E50&gt;=0.8,"Partial","Non-Compliant")))</f>
        <v/>
      </c>
      <c r="G50" s="18" t="n"/>
      <c r="H50" s="5" t="n"/>
      <c r="I50" s="18" t="n"/>
      <c r="J50" s="18" t="n"/>
      <c r="K50" s="19">
        <f>IF(AND(I50&lt;&gt;"",J50&lt;&gt;""),(J50-I50)*24,"")</f>
        <v/>
      </c>
      <c r="L50" s="5" t="n"/>
      <c r="M50" s="5" t="n"/>
      <c r="N50" s="5" t="n"/>
      <c r="O50" s="4" t="n"/>
      <c r="P50" s="5" t="n"/>
    </row>
    <row r="51">
      <c r="A51" s="5" t="n"/>
      <c r="B51" s="17">
        <f>IF(A51="","",A51&amp;" (from IMP-1)")</f>
        <v/>
      </c>
      <c r="C51" s="5" t="n"/>
      <c r="D51" s="5" t="n"/>
      <c r="E51" s="16">
        <f>IF(C51=0,0,D51/C51)</f>
        <v/>
      </c>
      <c r="F51" s="17">
        <f>IF(A51="","",IF(E51&gt;=0.95,"Compliant",IF(E51&gt;=0.8,"Partial","Non-Compliant")))</f>
        <v/>
      </c>
      <c r="G51" s="18" t="n"/>
      <c r="H51" s="5" t="n"/>
      <c r="I51" s="18" t="n"/>
      <c r="J51" s="18" t="n"/>
      <c r="K51" s="19">
        <f>IF(AND(I51&lt;&gt;"",J51&lt;&gt;""),(J51-I51)*24,"")</f>
        <v/>
      </c>
      <c r="L51" s="5" t="n"/>
      <c r="M51" s="5" t="n"/>
      <c r="N51" s="5" t="n"/>
      <c r="O51" s="4" t="n"/>
      <c r="P51" s="5" t="n"/>
    </row>
    <row r="52">
      <c r="A52" s="5" t="n"/>
      <c r="B52" s="17">
        <f>IF(A52="","",A52&amp;" (from IMP-1)")</f>
        <v/>
      </c>
      <c r="C52" s="5" t="n"/>
      <c r="D52" s="5" t="n"/>
      <c r="E52" s="16">
        <f>IF(C52=0,0,D52/C52)</f>
        <v/>
      </c>
      <c r="F52" s="17">
        <f>IF(A52="","",IF(E52&gt;=0.95,"Compliant",IF(E52&gt;=0.8,"Partial","Non-Compliant")))</f>
        <v/>
      </c>
      <c r="G52" s="18" t="n"/>
      <c r="H52" s="5" t="n"/>
      <c r="I52" s="18" t="n"/>
      <c r="J52" s="18" t="n"/>
      <c r="K52" s="19">
        <f>IF(AND(I52&lt;&gt;"",J52&lt;&gt;""),(J52-I52)*24,"")</f>
        <v/>
      </c>
      <c r="L52" s="5" t="n"/>
      <c r="M52" s="5" t="n"/>
      <c r="N52" s="5" t="n"/>
      <c r="O52" s="4" t="n"/>
      <c r="P52" s="5" t="n"/>
    </row>
    <row r="53">
      <c r="A53" s="5" t="n"/>
      <c r="B53" s="17">
        <f>IF(A53="","",A53&amp;" (from IMP-1)")</f>
        <v/>
      </c>
      <c r="C53" s="5" t="n"/>
      <c r="D53" s="5" t="n"/>
      <c r="E53" s="16">
        <f>IF(C53=0,0,D53/C53)</f>
        <v/>
      </c>
      <c r="F53" s="17">
        <f>IF(A53="","",IF(E53&gt;=0.95,"Compliant",IF(E53&gt;=0.8,"Partial","Non-Compliant")))</f>
        <v/>
      </c>
      <c r="G53" s="18" t="n"/>
      <c r="H53" s="5" t="n"/>
      <c r="I53" s="18" t="n"/>
      <c r="J53" s="18" t="n"/>
      <c r="K53" s="19">
        <f>IF(AND(I53&lt;&gt;"",J53&lt;&gt;""),(J53-I53)*24,"")</f>
        <v/>
      </c>
      <c r="L53" s="5" t="n"/>
      <c r="M53" s="5" t="n"/>
      <c r="N53" s="5" t="n"/>
      <c r="O53" s="4" t="n"/>
      <c r="P53" s="5" t="n"/>
    </row>
    <row r="54">
      <c r="A54" s="5" t="n"/>
      <c r="B54" s="17">
        <f>IF(A54="","",A54&amp;" (from IMP-1)")</f>
        <v/>
      </c>
      <c r="C54" s="5" t="n"/>
      <c r="D54" s="5" t="n"/>
      <c r="E54" s="16">
        <f>IF(C54=0,0,D54/C54)</f>
        <v/>
      </c>
      <c r="F54" s="17">
        <f>IF(A54="","",IF(E54&gt;=0.95,"Compliant",IF(E54&gt;=0.8,"Partial","Non-Compliant")))</f>
        <v/>
      </c>
      <c r="G54" s="18" t="n"/>
      <c r="H54" s="5" t="n"/>
      <c r="I54" s="18" t="n"/>
      <c r="J54" s="18" t="n"/>
      <c r="K54" s="19">
        <f>IF(AND(I54&lt;&gt;"",J54&lt;&gt;""),(J54-I54)*24,"")</f>
        <v/>
      </c>
      <c r="L54" s="5" t="n"/>
      <c r="M54" s="5" t="n"/>
      <c r="N54" s="5" t="n"/>
      <c r="O54" s="4" t="n"/>
      <c r="P54" s="5" t="n"/>
    </row>
    <row r="55">
      <c r="A55" s="5" t="n"/>
      <c r="B55" s="17">
        <f>IF(A55="","",A55&amp;" (from IMP-1)")</f>
        <v/>
      </c>
      <c r="C55" s="5" t="n"/>
      <c r="D55" s="5" t="n"/>
      <c r="E55" s="16">
        <f>IF(C55=0,0,D55/C55)</f>
        <v/>
      </c>
      <c r="F55" s="17">
        <f>IF(A55="","",IF(E55&gt;=0.95,"Compliant",IF(E55&gt;=0.8,"Partial","Non-Compliant")))</f>
        <v/>
      </c>
      <c r="G55" s="18" t="n"/>
      <c r="H55" s="5" t="n"/>
      <c r="I55" s="18" t="n"/>
      <c r="J55" s="18" t="n"/>
      <c r="K55" s="19">
        <f>IF(AND(I55&lt;&gt;"",J55&lt;&gt;""),(J55-I55)*24,"")</f>
        <v/>
      </c>
      <c r="L55" s="5" t="n"/>
      <c r="M55" s="5" t="n"/>
      <c r="N55" s="5" t="n"/>
      <c r="O55" s="4" t="n"/>
      <c r="P55" s="5" t="n"/>
    </row>
    <row r="56">
      <c r="A56" s="5" t="n"/>
      <c r="B56" s="17">
        <f>IF(A56="","",A56&amp;" (from IMP-1)")</f>
        <v/>
      </c>
      <c r="C56" s="5" t="n"/>
      <c r="D56" s="5" t="n"/>
      <c r="E56" s="16">
        <f>IF(C56=0,0,D56/C56)</f>
        <v/>
      </c>
      <c r="F56" s="17">
        <f>IF(A56="","",IF(E56&gt;=0.95,"Compliant",IF(E56&gt;=0.8,"Partial","Non-Compliant")))</f>
        <v/>
      </c>
      <c r="G56" s="18" t="n"/>
      <c r="H56" s="5" t="n"/>
      <c r="I56" s="18" t="n"/>
      <c r="J56" s="18" t="n"/>
      <c r="K56" s="19">
        <f>IF(AND(I56&lt;&gt;"",J56&lt;&gt;""),(J56-I56)*24,"")</f>
        <v/>
      </c>
      <c r="L56" s="5" t="n"/>
      <c r="M56" s="5" t="n"/>
      <c r="N56" s="5" t="n"/>
      <c r="O56" s="4" t="n"/>
      <c r="P56" s="5" t="n"/>
    </row>
    <row r="57">
      <c r="A57" s="5" t="n"/>
      <c r="B57" s="17">
        <f>IF(A57="","",A57&amp;" (from IMP-1)")</f>
        <v/>
      </c>
      <c r="C57" s="5" t="n"/>
      <c r="D57" s="5" t="n"/>
      <c r="E57" s="16">
        <f>IF(C57=0,0,D57/C57)</f>
        <v/>
      </c>
      <c r="F57" s="17">
        <f>IF(A57="","",IF(E57&gt;=0.95,"Compliant",IF(E57&gt;=0.8,"Partial","Non-Compliant")))</f>
        <v/>
      </c>
      <c r="G57" s="18" t="n"/>
      <c r="H57" s="5" t="n"/>
      <c r="I57" s="18" t="n"/>
      <c r="J57" s="18" t="n"/>
      <c r="K57" s="19">
        <f>IF(AND(I57&lt;&gt;"",J57&lt;&gt;""),(J57-I57)*24,"")</f>
        <v/>
      </c>
      <c r="L57" s="5" t="n"/>
      <c r="M57" s="5" t="n"/>
      <c r="N57" s="5" t="n"/>
      <c r="O57" s="4" t="n"/>
      <c r="P57" s="5" t="n"/>
    </row>
    <row r="58">
      <c r="A58" s="5" t="n"/>
      <c r="B58" s="17">
        <f>IF(A58="","",A58&amp;" (from IMP-1)")</f>
        <v/>
      </c>
      <c r="C58" s="5" t="n"/>
      <c r="D58" s="5" t="n"/>
      <c r="E58" s="16">
        <f>IF(C58=0,0,D58/C58)</f>
        <v/>
      </c>
      <c r="F58" s="17">
        <f>IF(A58="","",IF(E58&gt;=0.95,"Compliant",IF(E58&gt;=0.8,"Partial","Non-Compliant")))</f>
        <v/>
      </c>
      <c r="G58" s="18" t="n"/>
      <c r="H58" s="5" t="n"/>
      <c r="I58" s="18" t="n"/>
      <c r="J58" s="18" t="n"/>
      <c r="K58" s="19">
        <f>IF(AND(I58&lt;&gt;"",J58&lt;&gt;""),(J58-I58)*24,"")</f>
        <v/>
      </c>
      <c r="L58" s="5" t="n"/>
      <c r="M58" s="5" t="n"/>
      <c r="N58" s="5" t="n"/>
      <c r="O58" s="4" t="n"/>
      <c r="P58" s="5" t="n"/>
    </row>
    <row r="59">
      <c r="A59" s="5" t="n"/>
      <c r="B59" s="17">
        <f>IF(A59="","",A59&amp;" (from IMP-1)")</f>
        <v/>
      </c>
      <c r="C59" s="5" t="n"/>
      <c r="D59" s="5" t="n"/>
      <c r="E59" s="16">
        <f>IF(C59=0,0,D59/C59)</f>
        <v/>
      </c>
      <c r="F59" s="17">
        <f>IF(A59="","",IF(E59&gt;=0.95,"Compliant",IF(E59&gt;=0.8,"Partial","Non-Compliant")))</f>
        <v/>
      </c>
      <c r="G59" s="18" t="n"/>
      <c r="H59" s="5" t="n"/>
      <c r="I59" s="18" t="n"/>
      <c r="J59" s="18" t="n"/>
      <c r="K59" s="19">
        <f>IF(AND(I59&lt;&gt;"",J59&lt;&gt;""),(J59-I59)*24,"")</f>
        <v/>
      </c>
      <c r="L59" s="5" t="n"/>
      <c r="M59" s="5" t="n"/>
      <c r="N59" s="5" t="n"/>
      <c r="O59" s="4" t="n"/>
      <c r="P59" s="5" t="n"/>
    </row>
    <row r="60">
      <c r="A60" s="5" t="n"/>
      <c r="B60" s="17">
        <f>IF(A60="","",A60&amp;" (from IMP-1)")</f>
        <v/>
      </c>
      <c r="C60" s="5" t="n"/>
      <c r="D60" s="5" t="n"/>
      <c r="E60" s="16">
        <f>IF(C60=0,0,D60/C60)</f>
        <v/>
      </c>
      <c r="F60" s="17">
        <f>IF(A60="","",IF(E60&gt;=0.95,"Compliant",IF(E60&gt;=0.8,"Partial","Non-Compliant")))</f>
        <v/>
      </c>
      <c r="G60" s="18" t="n"/>
      <c r="H60" s="5" t="n"/>
      <c r="I60" s="18" t="n"/>
      <c r="J60" s="18" t="n"/>
      <c r="K60" s="19">
        <f>IF(AND(I60&lt;&gt;"",J60&lt;&gt;""),(J60-I60)*24,"")</f>
        <v/>
      </c>
      <c r="L60" s="5" t="n"/>
      <c r="M60" s="5" t="n"/>
      <c r="N60" s="5" t="n"/>
      <c r="O60" s="4" t="n"/>
      <c r="P60" s="5" t="n"/>
    </row>
    <row r="61">
      <c r="A61" s="5" t="n"/>
      <c r="B61" s="17">
        <f>IF(A61="","",A61&amp;" (from IMP-1)")</f>
        <v/>
      </c>
      <c r="C61" s="5" t="n"/>
      <c r="D61" s="5" t="n"/>
      <c r="E61" s="16">
        <f>IF(C61=0,0,D61/C61)</f>
        <v/>
      </c>
      <c r="F61" s="17">
        <f>IF(A61="","",IF(E61&gt;=0.95,"Compliant",IF(E61&gt;=0.8,"Partial","Non-Compliant")))</f>
        <v/>
      </c>
      <c r="G61" s="18" t="n"/>
      <c r="H61" s="5" t="n"/>
      <c r="I61" s="18" t="n"/>
      <c r="J61" s="18" t="n"/>
      <c r="K61" s="19">
        <f>IF(AND(I61&lt;&gt;"",J61&lt;&gt;""),(J61-I61)*24,"")</f>
        <v/>
      </c>
      <c r="L61" s="5" t="n"/>
      <c r="M61" s="5" t="n"/>
      <c r="N61" s="5" t="n"/>
      <c r="O61" s="4" t="n"/>
      <c r="P61" s="5" t="n"/>
    </row>
    <row r="62">
      <c r="A62" s="5" t="n"/>
      <c r="B62" s="17">
        <f>IF(A62="","",A62&amp;" (from IMP-1)")</f>
        <v/>
      </c>
      <c r="C62" s="5" t="n"/>
      <c r="D62" s="5" t="n"/>
      <c r="E62" s="16">
        <f>IF(C62=0,0,D62/C62)</f>
        <v/>
      </c>
      <c r="F62" s="17">
        <f>IF(A62="","",IF(E62&gt;=0.95,"Compliant",IF(E62&gt;=0.8,"Partial","Non-Compliant")))</f>
        <v/>
      </c>
      <c r="G62" s="18" t="n"/>
      <c r="H62" s="5" t="n"/>
      <c r="I62" s="18" t="n"/>
      <c r="J62" s="18" t="n"/>
      <c r="K62" s="19">
        <f>IF(AND(I62&lt;&gt;"",J62&lt;&gt;""),(J62-I62)*24,"")</f>
        <v/>
      </c>
      <c r="L62" s="5" t="n"/>
      <c r="M62" s="5" t="n"/>
      <c r="N62" s="5" t="n"/>
      <c r="O62" s="4" t="n"/>
      <c r="P62" s="5" t="n"/>
    </row>
    <row r="63">
      <c r="A63" s="5" t="n"/>
      <c r="B63" s="17">
        <f>IF(A63="","",A63&amp;" (from IMP-1)")</f>
        <v/>
      </c>
      <c r="C63" s="5" t="n"/>
      <c r="D63" s="5" t="n"/>
      <c r="E63" s="16">
        <f>IF(C63=0,0,D63/C63)</f>
        <v/>
      </c>
      <c r="F63" s="17">
        <f>IF(A63="","",IF(E63&gt;=0.95,"Compliant",IF(E63&gt;=0.8,"Partial","Non-Compliant")))</f>
        <v/>
      </c>
      <c r="G63" s="18" t="n"/>
      <c r="H63" s="5" t="n"/>
      <c r="I63" s="18" t="n"/>
      <c r="J63" s="18" t="n"/>
      <c r="K63" s="19">
        <f>IF(AND(I63&lt;&gt;"",J63&lt;&gt;""),(J63-I63)*24,"")</f>
        <v/>
      </c>
      <c r="L63" s="5" t="n"/>
      <c r="M63" s="5" t="n"/>
      <c r="N63" s="5" t="n"/>
      <c r="O63" s="4" t="n"/>
      <c r="P63" s="5" t="n"/>
    </row>
    <row r="64">
      <c r="A64" s="5" t="n"/>
      <c r="B64" s="17">
        <f>IF(A64="","",A64&amp;" (from IMP-1)")</f>
        <v/>
      </c>
      <c r="C64" s="5" t="n"/>
      <c r="D64" s="5" t="n"/>
      <c r="E64" s="16">
        <f>IF(C64=0,0,D64/C64)</f>
        <v/>
      </c>
      <c r="F64" s="17">
        <f>IF(A64="","",IF(E64&gt;=0.95,"Compliant",IF(E64&gt;=0.8,"Partial","Non-Compliant")))</f>
        <v/>
      </c>
      <c r="G64" s="18" t="n"/>
      <c r="H64" s="5" t="n"/>
      <c r="I64" s="18" t="n"/>
      <c r="J64" s="18" t="n"/>
      <c r="K64" s="19">
        <f>IF(AND(I64&lt;&gt;"",J64&lt;&gt;""),(J64-I64)*24,"")</f>
        <v/>
      </c>
      <c r="L64" s="5" t="n"/>
      <c r="M64" s="5" t="n"/>
      <c r="N64" s="5" t="n"/>
      <c r="O64" s="4" t="n"/>
      <c r="P64" s="5" t="n"/>
    </row>
    <row r="65">
      <c r="A65" s="5" t="n"/>
      <c r="B65" s="17">
        <f>IF(A65="","",A65&amp;" (from IMP-1)")</f>
        <v/>
      </c>
      <c r="C65" s="5" t="n"/>
      <c r="D65" s="5" t="n"/>
      <c r="E65" s="16">
        <f>IF(C65=0,0,D65/C65)</f>
        <v/>
      </c>
      <c r="F65" s="17">
        <f>IF(A65="","",IF(E65&gt;=0.95,"Compliant",IF(E65&gt;=0.8,"Partial","Non-Compliant")))</f>
        <v/>
      </c>
      <c r="G65" s="18" t="n"/>
      <c r="H65" s="5" t="n"/>
      <c r="I65" s="18" t="n"/>
      <c r="J65" s="18" t="n"/>
      <c r="K65" s="19">
        <f>IF(AND(I65&lt;&gt;"",J65&lt;&gt;""),(J65-I65)*24,"")</f>
        <v/>
      </c>
      <c r="L65" s="5" t="n"/>
      <c r="M65" s="5" t="n"/>
      <c r="N65" s="5" t="n"/>
      <c r="O65" s="4" t="n"/>
      <c r="P65" s="5" t="n"/>
    </row>
    <row r="66">
      <c r="A66" s="5" t="n"/>
      <c r="B66" s="17">
        <f>IF(A66="","",A66&amp;" (from IMP-1)")</f>
        <v/>
      </c>
      <c r="C66" s="5" t="n"/>
      <c r="D66" s="5" t="n"/>
      <c r="E66" s="16">
        <f>IF(C66=0,0,D66/C66)</f>
        <v/>
      </c>
      <c r="F66" s="17">
        <f>IF(A66="","",IF(E66&gt;=0.95,"Compliant",IF(E66&gt;=0.8,"Partial","Non-Compliant")))</f>
        <v/>
      </c>
      <c r="G66" s="18" t="n"/>
      <c r="H66" s="5" t="n"/>
      <c r="I66" s="18" t="n"/>
      <c r="J66" s="18" t="n"/>
      <c r="K66" s="19">
        <f>IF(AND(I66&lt;&gt;"",J66&lt;&gt;""),(J66-I66)*24,"")</f>
        <v/>
      </c>
      <c r="L66" s="5" t="n"/>
      <c r="M66" s="5" t="n"/>
      <c r="N66" s="5" t="n"/>
      <c r="O66" s="4" t="n"/>
      <c r="P66" s="5" t="n"/>
    </row>
    <row r="67">
      <c r="A67" s="5" t="n"/>
      <c r="B67" s="17">
        <f>IF(A67="","",A67&amp;" (from IMP-1)")</f>
        <v/>
      </c>
      <c r="C67" s="5" t="n"/>
      <c r="D67" s="5" t="n"/>
      <c r="E67" s="16">
        <f>IF(C67=0,0,D67/C67)</f>
        <v/>
      </c>
      <c r="F67" s="17">
        <f>IF(A67="","",IF(E67&gt;=0.95,"Compliant",IF(E67&gt;=0.8,"Partial","Non-Compliant")))</f>
        <v/>
      </c>
      <c r="G67" s="18" t="n"/>
      <c r="H67" s="5" t="n"/>
      <c r="I67" s="18" t="n"/>
      <c r="J67" s="18" t="n"/>
      <c r="K67" s="19">
        <f>IF(AND(I67&lt;&gt;"",J67&lt;&gt;""),(J67-I67)*24,"")</f>
        <v/>
      </c>
      <c r="L67" s="5" t="n"/>
      <c r="M67" s="5" t="n"/>
      <c r="N67" s="5" t="n"/>
      <c r="O67" s="4" t="n"/>
      <c r="P67" s="5" t="n"/>
    </row>
    <row r="68">
      <c r="A68" s="5" t="n"/>
      <c r="B68" s="17">
        <f>IF(A68="","",A68&amp;" (from IMP-1)")</f>
        <v/>
      </c>
      <c r="C68" s="5" t="n"/>
      <c r="D68" s="5" t="n"/>
      <c r="E68" s="16">
        <f>IF(C68=0,0,D68/C68)</f>
        <v/>
      </c>
      <c r="F68" s="17">
        <f>IF(A68="","",IF(E68&gt;=0.95,"Compliant",IF(E68&gt;=0.8,"Partial","Non-Compliant")))</f>
        <v/>
      </c>
      <c r="G68" s="18" t="n"/>
      <c r="H68" s="5" t="n"/>
      <c r="I68" s="18" t="n"/>
      <c r="J68" s="18" t="n"/>
      <c r="K68" s="19">
        <f>IF(AND(I68&lt;&gt;"",J68&lt;&gt;""),(J68-I68)*24,"")</f>
        <v/>
      </c>
      <c r="L68" s="5" t="n"/>
      <c r="M68" s="5" t="n"/>
      <c r="N68" s="5" t="n"/>
      <c r="O68" s="4" t="n"/>
      <c r="P68" s="5" t="n"/>
    </row>
    <row r="69">
      <c r="A69" s="5" t="n"/>
      <c r="B69" s="17">
        <f>IF(A69="","",A69&amp;" (from IMP-1)")</f>
        <v/>
      </c>
      <c r="C69" s="5" t="n"/>
      <c r="D69" s="5" t="n"/>
      <c r="E69" s="16">
        <f>IF(C69=0,0,D69/C69)</f>
        <v/>
      </c>
      <c r="F69" s="17">
        <f>IF(A69="","",IF(E69&gt;=0.95,"Compliant",IF(E69&gt;=0.8,"Partial","Non-Compliant")))</f>
        <v/>
      </c>
      <c r="G69" s="18" t="n"/>
      <c r="H69" s="5" t="n"/>
      <c r="I69" s="18" t="n"/>
      <c r="J69" s="18" t="n"/>
      <c r="K69" s="19">
        <f>IF(AND(I69&lt;&gt;"",J69&lt;&gt;""),(J69-I69)*24,"")</f>
        <v/>
      </c>
      <c r="L69" s="5" t="n"/>
      <c r="M69" s="5" t="n"/>
      <c r="N69" s="5" t="n"/>
      <c r="O69" s="4" t="n"/>
      <c r="P69" s="5" t="n"/>
    </row>
    <row r="70">
      <c r="A70" s="5" t="n"/>
      <c r="B70" s="17">
        <f>IF(A70="","",A70&amp;" (from IMP-1)")</f>
        <v/>
      </c>
      <c r="C70" s="5" t="n"/>
      <c r="D70" s="5" t="n"/>
      <c r="E70" s="16">
        <f>IF(C70=0,0,D70/C70)</f>
        <v/>
      </c>
      <c r="F70" s="17">
        <f>IF(A70="","",IF(E70&gt;=0.95,"Compliant",IF(E70&gt;=0.8,"Partial","Non-Compliant")))</f>
        <v/>
      </c>
      <c r="G70" s="18" t="n"/>
      <c r="H70" s="5" t="n"/>
      <c r="I70" s="18" t="n"/>
      <c r="J70" s="18" t="n"/>
      <c r="K70" s="19">
        <f>IF(AND(I70&lt;&gt;"",J70&lt;&gt;""),(J70-I70)*24,"")</f>
        <v/>
      </c>
      <c r="L70" s="5" t="n"/>
      <c r="M70" s="5" t="n"/>
      <c r="N70" s="5" t="n"/>
      <c r="O70" s="4" t="n"/>
      <c r="P70" s="5" t="n"/>
    </row>
    <row r="71">
      <c r="A71" s="5" t="n"/>
      <c r="B71" s="17">
        <f>IF(A71="","",A71&amp;" (from IMP-1)")</f>
        <v/>
      </c>
      <c r="C71" s="5" t="n"/>
      <c r="D71" s="5" t="n"/>
      <c r="E71" s="16">
        <f>IF(C71=0,0,D71/C71)</f>
        <v/>
      </c>
      <c r="F71" s="17">
        <f>IF(A71="","",IF(E71&gt;=0.95,"Compliant",IF(E71&gt;=0.8,"Partial","Non-Compliant")))</f>
        <v/>
      </c>
      <c r="G71" s="18" t="n"/>
      <c r="H71" s="5" t="n"/>
      <c r="I71" s="18" t="n"/>
      <c r="J71" s="18" t="n"/>
      <c r="K71" s="19">
        <f>IF(AND(I71&lt;&gt;"",J71&lt;&gt;""),(J71-I71)*24,"")</f>
        <v/>
      </c>
      <c r="L71" s="5" t="n"/>
      <c r="M71" s="5" t="n"/>
      <c r="N71" s="5" t="n"/>
      <c r="O71" s="4" t="n"/>
      <c r="P71" s="5" t="n"/>
    </row>
    <row r="72">
      <c r="A72" s="5" t="n"/>
      <c r="B72" s="17">
        <f>IF(A72="","",A72&amp;" (from IMP-1)")</f>
        <v/>
      </c>
      <c r="C72" s="5" t="n"/>
      <c r="D72" s="5" t="n"/>
      <c r="E72" s="16">
        <f>IF(C72=0,0,D72/C72)</f>
        <v/>
      </c>
      <c r="F72" s="17">
        <f>IF(A72="","",IF(E72&gt;=0.95,"Compliant",IF(E72&gt;=0.8,"Partial","Non-Compliant")))</f>
        <v/>
      </c>
      <c r="G72" s="18" t="n"/>
      <c r="H72" s="5" t="n"/>
      <c r="I72" s="18" t="n"/>
      <c r="J72" s="18" t="n"/>
      <c r="K72" s="19">
        <f>IF(AND(I72&lt;&gt;"",J72&lt;&gt;""),(J72-I72)*24,"")</f>
        <v/>
      </c>
      <c r="L72" s="5" t="n"/>
      <c r="M72" s="5" t="n"/>
      <c r="N72" s="5" t="n"/>
      <c r="O72" s="4" t="n"/>
      <c r="P72" s="5" t="n"/>
    </row>
    <row r="73">
      <c r="A73" s="5" t="n"/>
      <c r="B73" s="17">
        <f>IF(A73="","",A73&amp;" (from IMP-1)")</f>
        <v/>
      </c>
      <c r="C73" s="5" t="n"/>
      <c r="D73" s="5" t="n"/>
      <c r="E73" s="16">
        <f>IF(C73=0,0,D73/C73)</f>
        <v/>
      </c>
      <c r="F73" s="17">
        <f>IF(A73="","",IF(E73&gt;=0.95,"Compliant",IF(E73&gt;=0.8,"Partial","Non-Compliant")))</f>
        <v/>
      </c>
      <c r="G73" s="18" t="n"/>
      <c r="H73" s="5" t="n"/>
      <c r="I73" s="18" t="n"/>
      <c r="J73" s="18" t="n"/>
      <c r="K73" s="19">
        <f>IF(AND(I73&lt;&gt;"",J73&lt;&gt;""),(J73-I73)*24,"")</f>
        <v/>
      </c>
      <c r="L73" s="5" t="n"/>
      <c r="M73" s="5" t="n"/>
      <c r="N73" s="5" t="n"/>
      <c r="O73" s="4" t="n"/>
      <c r="P73" s="5" t="n"/>
    </row>
    <row r="74">
      <c r="A74" s="5" t="n"/>
      <c r="B74" s="17">
        <f>IF(A74="","",A74&amp;" (from IMP-1)")</f>
        <v/>
      </c>
      <c r="C74" s="5" t="n"/>
      <c r="D74" s="5" t="n"/>
      <c r="E74" s="16">
        <f>IF(C74=0,0,D74/C74)</f>
        <v/>
      </c>
      <c r="F74" s="17">
        <f>IF(A74="","",IF(E74&gt;=0.95,"Compliant",IF(E74&gt;=0.8,"Partial","Non-Compliant")))</f>
        <v/>
      </c>
      <c r="G74" s="18" t="n"/>
      <c r="H74" s="5" t="n"/>
      <c r="I74" s="18" t="n"/>
      <c r="J74" s="18" t="n"/>
      <c r="K74" s="19">
        <f>IF(AND(I74&lt;&gt;"",J74&lt;&gt;""),(J74-I74)*24,"")</f>
        <v/>
      </c>
      <c r="L74" s="5" t="n"/>
      <c r="M74" s="5" t="n"/>
      <c r="N74" s="5" t="n"/>
      <c r="O74" s="4" t="n"/>
      <c r="P74" s="5" t="n"/>
    </row>
    <row r="75">
      <c r="A75" s="5" t="n"/>
      <c r="B75" s="17">
        <f>IF(A75="","",A75&amp;" (from IMP-1)")</f>
        <v/>
      </c>
      <c r="C75" s="5" t="n"/>
      <c r="D75" s="5" t="n"/>
      <c r="E75" s="16">
        <f>IF(C75=0,0,D75/C75)</f>
        <v/>
      </c>
      <c r="F75" s="17">
        <f>IF(A75="","",IF(E75&gt;=0.95,"Compliant",IF(E75&gt;=0.8,"Partial","Non-Compliant")))</f>
        <v/>
      </c>
      <c r="G75" s="18" t="n"/>
      <c r="H75" s="5" t="n"/>
      <c r="I75" s="18" t="n"/>
      <c r="J75" s="18" t="n"/>
      <c r="K75" s="19">
        <f>IF(AND(I75&lt;&gt;"",J75&lt;&gt;""),(J75-I75)*24,"")</f>
        <v/>
      </c>
      <c r="L75" s="5" t="n"/>
      <c r="M75" s="5" t="n"/>
      <c r="N75" s="5" t="n"/>
      <c r="O75" s="4" t="n"/>
      <c r="P75" s="5" t="n"/>
    </row>
    <row r="76">
      <c r="A76" s="5" t="n"/>
      <c r="B76" s="17">
        <f>IF(A76="","",A76&amp;" (from IMP-1)")</f>
        <v/>
      </c>
      <c r="C76" s="5" t="n"/>
      <c r="D76" s="5" t="n"/>
      <c r="E76" s="16">
        <f>IF(C76=0,0,D76/C76)</f>
        <v/>
      </c>
      <c r="F76" s="17">
        <f>IF(A76="","",IF(E76&gt;=0.95,"Compliant",IF(E76&gt;=0.8,"Partial","Non-Compliant")))</f>
        <v/>
      </c>
      <c r="G76" s="18" t="n"/>
      <c r="H76" s="5" t="n"/>
      <c r="I76" s="18" t="n"/>
      <c r="J76" s="18" t="n"/>
      <c r="K76" s="19">
        <f>IF(AND(I76&lt;&gt;"",J76&lt;&gt;""),(J76-I76)*24,"")</f>
        <v/>
      </c>
      <c r="L76" s="5" t="n"/>
      <c r="M76" s="5" t="n"/>
      <c r="N76" s="5" t="n"/>
      <c r="O76" s="4" t="n"/>
      <c r="P76" s="5" t="n"/>
    </row>
    <row r="77">
      <c r="A77" s="5" t="n"/>
      <c r="B77" s="17">
        <f>IF(A77="","",A77&amp;" (from IMP-1)")</f>
        <v/>
      </c>
      <c r="C77" s="5" t="n"/>
      <c r="D77" s="5" t="n"/>
      <c r="E77" s="16">
        <f>IF(C77=0,0,D77/C77)</f>
        <v/>
      </c>
      <c r="F77" s="17">
        <f>IF(A77="","",IF(E77&gt;=0.95,"Compliant",IF(E77&gt;=0.8,"Partial","Non-Compliant")))</f>
        <v/>
      </c>
      <c r="G77" s="18" t="n"/>
      <c r="H77" s="5" t="n"/>
      <c r="I77" s="18" t="n"/>
      <c r="J77" s="18" t="n"/>
      <c r="K77" s="19">
        <f>IF(AND(I77&lt;&gt;"",J77&lt;&gt;""),(J77-I77)*24,"")</f>
        <v/>
      </c>
      <c r="L77" s="5" t="n"/>
      <c r="M77" s="5" t="n"/>
      <c r="N77" s="5" t="n"/>
      <c r="O77" s="4" t="n"/>
      <c r="P77" s="5" t="n"/>
    </row>
    <row r="78">
      <c r="A78" s="5" t="n"/>
      <c r="B78" s="17">
        <f>IF(A78="","",A78&amp;" (from IMP-1)")</f>
        <v/>
      </c>
      <c r="C78" s="5" t="n"/>
      <c r="D78" s="5" t="n"/>
      <c r="E78" s="16">
        <f>IF(C78=0,0,D78/C78)</f>
        <v/>
      </c>
      <c r="F78" s="17">
        <f>IF(A78="","",IF(E78&gt;=0.95,"Compliant",IF(E78&gt;=0.8,"Partial","Non-Compliant")))</f>
        <v/>
      </c>
      <c r="G78" s="18" t="n"/>
      <c r="H78" s="5" t="n"/>
      <c r="I78" s="18" t="n"/>
      <c r="J78" s="18" t="n"/>
      <c r="K78" s="19">
        <f>IF(AND(I78&lt;&gt;"",J78&lt;&gt;""),(J78-I78)*24,"")</f>
        <v/>
      </c>
      <c r="L78" s="5" t="n"/>
      <c r="M78" s="5" t="n"/>
      <c r="N78" s="5" t="n"/>
      <c r="O78" s="4" t="n"/>
      <c r="P78" s="5" t="n"/>
    </row>
    <row r="79">
      <c r="A79" s="5" t="n"/>
      <c r="B79" s="17">
        <f>IF(A79="","",A79&amp;" (from IMP-1)")</f>
        <v/>
      </c>
      <c r="C79" s="5" t="n"/>
      <c r="D79" s="5" t="n"/>
      <c r="E79" s="16">
        <f>IF(C79=0,0,D79/C79)</f>
        <v/>
      </c>
      <c r="F79" s="17">
        <f>IF(A79="","",IF(E79&gt;=0.95,"Compliant",IF(E79&gt;=0.8,"Partial","Non-Compliant")))</f>
        <v/>
      </c>
      <c r="G79" s="18" t="n"/>
      <c r="H79" s="5" t="n"/>
      <c r="I79" s="18" t="n"/>
      <c r="J79" s="18" t="n"/>
      <c r="K79" s="19">
        <f>IF(AND(I79&lt;&gt;"",J79&lt;&gt;""),(J79-I79)*24,"")</f>
        <v/>
      </c>
      <c r="L79" s="5" t="n"/>
      <c r="M79" s="5" t="n"/>
      <c r="N79" s="5" t="n"/>
      <c r="O79" s="4" t="n"/>
      <c r="P79" s="5" t="n"/>
    </row>
    <row r="80">
      <c r="A80" s="5" t="n"/>
      <c r="B80" s="17">
        <f>IF(A80="","",A80&amp;" (from IMP-1)")</f>
        <v/>
      </c>
      <c r="C80" s="5" t="n"/>
      <c r="D80" s="5" t="n"/>
      <c r="E80" s="16">
        <f>IF(C80=0,0,D80/C80)</f>
        <v/>
      </c>
      <c r="F80" s="17">
        <f>IF(A80="","",IF(E80&gt;=0.95,"Compliant",IF(E80&gt;=0.8,"Partial","Non-Compliant")))</f>
        <v/>
      </c>
      <c r="G80" s="18" t="n"/>
      <c r="H80" s="5" t="n"/>
      <c r="I80" s="18" t="n"/>
      <c r="J80" s="18" t="n"/>
      <c r="K80" s="19">
        <f>IF(AND(I80&lt;&gt;"",J80&lt;&gt;""),(J80-I80)*24,"")</f>
        <v/>
      </c>
      <c r="L80" s="5" t="n"/>
      <c r="M80" s="5" t="n"/>
      <c r="N80" s="5" t="n"/>
      <c r="O80" s="4" t="n"/>
      <c r="P80" s="5" t="n"/>
    </row>
    <row r="81">
      <c r="A81" s="5" t="n"/>
      <c r="B81" s="17">
        <f>IF(A81="","",A81&amp;" (from IMP-1)")</f>
        <v/>
      </c>
      <c r="C81" s="5" t="n"/>
      <c r="D81" s="5" t="n"/>
      <c r="E81" s="16">
        <f>IF(C81=0,0,D81/C81)</f>
        <v/>
      </c>
      <c r="F81" s="17">
        <f>IF(A81="","",IF(E81&gt;=0.95,"Compliant",IF(E81&gt;=0.8,"Partial","Non-Compliant")))</f>
        <v/>
      </c>
      <c r="G81" s="18" t="n"/>
      <c r="H81" s="5" t="n"/>
      <c r="I81" s="18" t="n"/>
      <c r="J81" s="18" t="n"/>
      <c r="K81" s="19">
        <f>IF(AND(I81&lt;&gt;"",J81&lt;&gt;""),(J81-I81)*24,"")</f>
        <v/>
      </c>
      <c r="L81" s="5" t="n"/>
      <c r="M81" s="5" t="n"/>
      <c r="N81" s="5" t="n"/>
      <c r="O81" s="4" t="n"/>
      <c r="P81" s="5" t="n"/>
    </row>
    <row r="82">
      <c r="A82" s="5" t="n"/>
      <c r="B82" s="17">
        <f>IF(A82="","",A82&amp;" (from IMP-1)")</f>
        <v/>
      </c>
      <c r="C82" s="5" t="n"/>
      <c r="D82" s="5" t="n"/>
      <c r="E82" s="16">
        <f>IF(C82=0,0,D82/C82)</f>
        <v/>
      </c>
      <c r="F82" s="17">
        <f>IF(A82="","",IF(E82&gt;=0.95,"Compliant",IF(E82&gt;=0.8,"Partial","Non-Compliant")))</f>
        <v/>
      </c>
      <c r="G82" s="18" t="n"/>
      <c r="H82" s="5" t="n"/>
      <c r="I82" s="18" t="n"/>
      <c r="J82" s="18" t="n"/>
      <c r="K82" s="19">
        <f>IF(AND(I82&lt;&gt;"",J82&lt;&gt;""),(J82-I82)*24,"")</f>
        <v/>
      </c>
      <c r="L82" s="5" t="n"/>
      <c r="M82" s="5" t="n"/>
      <c r="N82" s="5" t="n"/>
      <c r="O82" s="4" t="n"/>
      <c r="P82" s="5" t="n"/>
    </row>
    <row r="83">
      <c r="A83" s="5" t="n"/>
      <c r="B83" s="17">
        <f>IF(A83="","",A83&amp;" (from IMP-1)")</f>
        <v/>
      </c>
      <c r="C83" s="5" t="n"/>
      <c r="D83" s="5" t="n"/>
      <c r="E83" s="16">
        <f>IF(C83=0,0,D83/C83)</f>
        <v/>
      </c>
      <c r="F83" s="17">
        <f>IF(A83="","",IF(E83&gt;=0.95,"Compliant",IF(E83&gt;=0.8,"Partial","Non-Compliant")))</f>
        <v/>
      </c>
      <c r="G83" s="18" t="n"/>
      <c r="H83" s="5" t="n"/>
      <c r="I83" s="18" t="n"/>
      <c r="J83" s="18" t="n"/>
      <c r="K83" s="19">
        <f>IF(AND(I83&lt;&gt;"",J83&lt;&gt;""),(J83-I83)*24,"")</f>
        <v/>
      </c>
      <c r="L83" s="5" t="n"/>
      <c r="M83" s="5" t="n"/>
      <c r="N83" s="5" t="n"/>
      <c r="O83" s="4" t="n"/>
      <c r="P83" s="5" t="n"/>
    </row>
    <row r="84">
      <c r="A84" s="5" t="n"/>
      <c r="B84" s="17">
        <f>IF(A84="","",A84&amp;" (from IMP-1)")</f>
        <v/>
      </c>
      <c r="C84" s="5" t="n"/>
      <c r="D84" s="5" t="n"/>
      <c r="E84" s="16">
        <f>IF(C84=0,0,D84/C84)</f>
        <v/>
      </c>
      <c r="F84" s="17">
        <f>IF(A84="","",IF(E84&gt;=0.95,"Compliant",IF(E84&gt;=0.8,"Partial","Non-Compliant")))</f>
        <v/>
      </c>
      <c r="G84" s="18" t="n"/>
      <c r="H84" s="5" t="n"/>
      <c r="I84" s="18" t="n"/>
      <c r="J84" s="18" t="n"/>
      <c r="K84" s="19">
        <f>IF(AND(I84&lt;&gt;"",J84&lt;&gt;""),(J84-I84)*24,"")</f>
        <v/>
      </c>
      <c r="L84" s="5" t="n"/>
      <c r="M84" s="5" t="n"/>
      <c r="N84" s="5" t="n"/>
      <c r="O84" s="4" t="n"/>
      <c r="P84" s="5" t="n"/>
    </row>
    <row r="85">
      <c r="A85" s="5" t="n"/>
      <c r="B85" s="17">
        <f>IF(A85="","",A85&amp;" (from IMP-1)")</f>
        <v/>
      </c>
      <c r="C85" s="5" t="n"/>
      <c r="D85" s="5" t="n"/>
      <c r="E85" s="16">
        <f>IF(C85=0,0,D85/C85)</f>
        <v/>
      </c>
      <c r="F85" s="17">
        <f>IF(A85="","",IF(E85&gt;=0.95,"Compliant",IF(E85&gt;=0.8,"Partial","Non-Compliant")))</f>
        <v/>
      </c>
      <c r="G85" s="18" t="n"/>
      <c r="H85" s="5" t="n"/>
      <c r="I85" s="18" t="n"/>
      <c r="J85" s="18" t="n"/>
      <c r="K85" s="19">
        <f>IF(AND(I85&lt;&gt;"",J85&lt;&gt;""),(J85-I85)*24,"")</f>
        <v/>
      </c>
      <c r="L85" s="5" t="n"/>
      <c r="M85" s="5" t="n"/>
      <c r="N85" s="5" t="n"/>
      <c r="O85" s="4" t="n"/>
      <c r="P85" s="5" t="n"/>
    </row>
    <row r="86">
      <c r="A86" s="5" t="n"/>
      <c r="B86" s="17">
        <f>IF(A86="","",A86&amp;" (from IMP-1)")</f>
        <v/>
      </c>
      <c r="C86" s="5" t="n"/>
      <c r="D86" s="5" t="n"/>
      <c r="E86" s="16">
        <f>IF(C86=0,0,D86/C86)</f>
        <v/>
      </c>
      <c r="F86" s="17">
        <f>IF(A86="","",IF(E86&gt;=0.95,"Compliant",IF(E86&gt;=0.8,"Partial","Non-Compliant")))</f>
        <v/>
      </c>
      <c r="G86" s="18" t="n"/>
      <c r="H86" s="5" t="n"/>
      <c r="I86" s="18" t="n"/>
      <c r="J86" s="18" t="n"/>
      <c r="K86" s="19">
        <f>IF(AND(I86&lt;&gt;"",J86&lt;&gt;""),(J86-I86)*24,"")</f>
        <v/>
      </c>
      <c r="L86" s="5" t="n"/>
      <c r="M86" s="5" t="n"/>
      <c r="N86" s="5" t="n"/>
      <c r="O86" s="4" t="n"/>
      <c r="P86" s="5" t="n"/>
    </row>
    <row r="87">
      <c r="A87" s="5" t="n"/>
      <c r="B87" s="17">
        <f>IF(A87="","",A87&amp;" (from IMP-1)")</f>
        <v/>
      </c>
      <c r="C87" s="5" t="n"/>
      <c r="D87" s="5" t="n"/>
      <c r="E87" s="16">
        <f>IF(C87=0,0,D87/C87)</f>
        <v/>
      </c>
      <c r="F87" s="17">
        <f>IF(A87="","",IF(E87&gt;=0.95,"Compliant",IF(E87&gt;=0.8,"Partial","Non-Compliant")))</f>
        <v/>
      </c>
      <c r="G87" s="18" t="n"/>
      <c r="H87" s="5" t="n"/>
      <c r="I87" s="18" t="n"/>
      <c r="J87" s="18" t="n"/>
      <c r="K87" s="19">
        <f>IF(AND(I87&lt;&gt;"",J87&lt;&gt;""),(J87-I87)*24,"")</f>
        <v/>
      </c>
      <c r="L87" s="5" t="n"/>
      <c r="M87" s="5" t="n"/>
      <c r="N87" s="5" t="n"/>
      <c r="O87" s="4" t="n"/>
      <c r="P87" s="5" t="n"/>
    </row>
    <row r="88">
      <c r="A88" s="5" t="n"/>
      <c r="B88" s="17">
        <f>IF(A88="","",A88&amp;" (from IMP-1)")</f>
        <v/>
      </c>
      <c r="C88" s="5" t="n"/>
      <c r="D88" s="5" t="n"/>
      <c r="E88" s="16">
        <f>IF(C88=0,0,D88/C88)</f>
        <v/>
      </c>
      <c r="F88" s="17">
        <f>IF(A88="","",IF(E88&gt;=0.95,"Compliant",IF(E88&gt;=0.8,"Partial","Non-Compliant")))</f>
        <v/>
      </c>
      <c r="G88" s="18" t="n"/>
      <c r="H88" s="5" t="n"/>
      <c r="I88" s="18" t="n"/>
      <c r="J88" s="18" t="n"/>
      <c r="K88" s="19">
        <f>IF(AND(I88&lt;&gt;"",J88&lt;&gt;""),(J88-I88)*24,"")</f>
        <v/>
      </c>
      <c r="L88" s="5" t="n"/>
      <c r="M88" s="5" t="n"/>
      <c r="N88" s="5" t="n"/>
      <c r="O88" s="4" t="n"/>
      <c r="P88" s="5" t="n"/>
    </row>
    <row r="89">
      <c r="A89" s="5" t="n"/>
      <c r="B89" s="17">
        <f>IF(A89="","",A89&amp;" (from IMP-1)")</f>
        <v/>
      </c>
      <c r="C89" s="5" t="n"/>
      <c r="D89" s="5" t="n"/>
      <c r="E89" s="16">
        <f>IF(C89=0,0,D89/C89)</f>
        <v/>
      </c>
      <c r="F89" s="17">
        <f>IF(A89="","",IF(E89&gt;=0.95,"Compliant",IF(E89&gt;=0.8,"Partial","Non-Compliant")))</f>
        <v/>
      </c>
      <c r="G89" s="18" t="n"/>
      <c r="H89" s="5" t="n"/>
      <c r="I89" s="18" t="n"/>
      <c r="J89" s="18" t="n"/>
      <c r="K89" s="19">
        <f>IF(AND(I89&lt;&gt;"",J89&lt;&gt;""),(J89-I89)*24,"")</f>
        <v/>
      </c>
      <c r="L89" s="5" t="n"/>
      <c r="M89" s="5" t="n"/>
      <c r="N89" s="5" t="n"/>
      <c r="O89" s="4" t="n"/>
      <c r="P89" s="5" t="n"/>
    </row>
    <row r="90">
      <c r="A90" s="5" t="n"/>
      <c r="B90" s="17">
        <f>IF(A90="","",A90&amp;" (from IMP-1)")</f>
        <v/>
      </c>
      <c r="C90" s="5" t="n"/>
      <c r="D90" s="5" t="n"/>
      <c r="E90" s="16">
        <f>IF(C90=0,0,D90/C90)</f>
        <v/>
      </c>
      <c r="F90" s="17">
        <f>IF(A90="","",IF(E90&gt;=0.95,"Compliant",IF(E90&gt;=0.8,"Partial","Non-Compliant")))</f>
        <v/>
      </c>
      <c r="G90" s="18" t="n"/>
      <c r="H90" s="5" t="n"/>
      <c r="I90" s="18" t="n"/>
      <c r="J90" s="18" t="n"/>
      <c r="K90" s="19">
        <f>IF(AND(I90&lt;&gt;"",J90&lt;&gt;""),(J90-I90)*24,"")</f>
        <v/>
      </c>
      <c r="L90" s="5" t="n"/>
      <c r="M90" s="5" t="n"/>
      <c r="N90" s="5" t="n"/>
      <c r="O90" s="4" t="n"/>
      <c r="P90" s="5" t="n"/>
    </row>
    <row r="91">
      <c r="A91" s="5" t="n"/>
      <c r="B91" s="17">
        <f>IF(A91="","",A91&amp;" (from IMP-1)")</f>
        <v/>
      </c>
      <c r="C91" s="5" t="n"/>
      <c r="D91" s="5" t="n"/>
      <c r="E91" s="16">
        <f>IF(C91=0,0,D91/C91)</f>
        <v/>
      </c>
      <c r="F91" s="17">
        <f>IF(A91="","",IF(E91&gt;=0.95,"Compliant",IF(E91&gt;=0.8,"Partial","Non-Compliant")))</f>
        <v/>
      </c>
      <c r="G91" s="18" t="n"/>
      <c r="H91" s="5" t="n"/>
      <c r="I91" s="18" t="n"/>
      <c r="J91" s="18" t="n"/>
      <c r="K91" s="19">
        <f>IF(AND(I91&lt;&gt;"",J91&lt;&gt;""),(J91-I91)*24,"")</f>
        <v/>
      </c>
      <c r="L91" s="5" t="n"/>
      <c r="M91" s="5" t="n"/>
      <c r="N91" s="5" t="n"/>
      <c r="O91" s="4" t="n"/>
      <c r="P91" s="5" t="n"/>
    </row>
    <row r="92">
      <c r="A92" s="5" t="n"/>
      <c r="B92" s="17">
        <f>IF(A92="","",A92&amp;" (from IMP-1)")</f>
        <v/>
      </c>
      <c r="C92" s="5" t="n"/>
      <c r="D92" s="5" t="n"/>
      <c r="E92" s="16">
        <f>IF(C92=0,0,D92/C92)</f>
        <v/>
      </c>
      <c r="F92" s="17">
        <f>IF(A92="","",IF(E92&gt;=0.95,"Compliant",IF(E92&gt;=0.8,"Partial","Non-Compliant")))</f>
        <v/>
      </c>
      <c r="G92" s="18" t="n"/>
      <c r="H92" s="5" t="n"/>
      <c r="I92" s="18" t="n"/>
      <c r="J92" s="18" t="n"/>
      <c r="K92" s="19">
        <f>IF(AND(I92&lt;&gt;"",J92&lt;&gt;""),(J92-I92)*24,"")</f>
        <v/>
      </c>
      <c r="L92" s="5" t="n"/>
      <c r="M92" s="5" t="n"/>
      <c r="N92" s="5" t="n"/>
      <c r="O92" s="4" t="n"/>
      <c r="P92" s="5" t="n"/>
    </row>
    <row r="93">
      <c r="A93" s="5" t="n"/>
      <c r="B93" s="17">
        <f>IF(A93="","",A93&amp;" (from IMP-1)")</f>
        <v/>
      </c>
      <c r="C93" s="5" t="n"/>
      <c r="D93" s="5" t="n"/>
      <c r="E93" s="16">
        <f>IF(C93=0,0,D93/C93)</f>
        <v/>
      </c>
      <c r="F93" s="17">
        <f>IF(A93="","",IF(E93&gt;=0.95,"Compliant",IF(E93&gt;=0.8,"Partial","Non-Compliant")))</f>
        <v/>
      </c>
      <c r="G93" s="18" t="n"/>
      <c r="H93" s="5" t="n"/>
      <c r="I93" s="18" t="n"/>
      <c r="J93" s="18" t="n"/>
      <c r="K93" s="19">
        <f>IF(AND(I93&lt;&gt;"",J93&lt;&gt;""),(J93-I93)*24,"")</f>
        <v/>
      </c>
      <c r="L93" s="5" t="n"/>
      <c r="M93" s="5" t="n"/>
      <c r="N93" s="5" t="n"/>
      <c r="O93" s="4" t="n"/>
      <c r="P93" s="5" t="n"/>
    </row>
    <row r="94">
      <c r="A94" s="5" t="n"/>
      <c r="B94" s="17">
        <f>IF(A94="","",A94&amp;" (from IMP-1)")</f>
        <v/>
      </c>
      <c r="C94" s="5" t="n"/>
      <c r="D94" s="5" t="n"/>
      <c r="E94" s="16">
        <f>IF(C94=0,0,D94/C94)</f>
        <v/>
      </c>
      <c r="F94" s="17">
        <f>IF(A94="","",IF(E94&gt;=0.95,"Compliant",IF(E94&gt;=0.8,"Partial","Non-Compliant")))</f>
        <v/>
      </c>
      <c r="G94" s="18" t="n"/>
      <c r="H94" s="5" t="n"/>
      <c r="I94" s="18" t="n"/>
      <c r="J94" s="18" t="n"/>
      <c r="K94" s="19">
        <f>IF(AND(I94&lt;&gt;"",J94&lt;&gt;""),(J94-I94)*24,"")</f>
        <v/>
      </c>
      <c r="L94" s="5" t="n"/>
      <c r="M94" s="5" t="n"/>
      <c r="N94" s="5" t="n"/>
      <c r="O94" s="4" t="n"/>
      <c r="P94" s="5" t="n"/>
    </row>
    <row r="95">
      <c r="A95" s="5" t="n"/>
      <c r="B95" s="17">
        <f>IF(A95="","",A95&amp;" (from IMP-1)")</f>
        <v/>
      </c>
      <c r="C95" s="5" t="n"/>
      <c r="D95" s="5" t="n"/>
      <c r="E95" s="16">
        <f>IF(C95=0,0,D95/C95)</f>
        <v/>
      </c>
      <c r="F95" s="17">
        <f>IF(A95="","",IF(E95&gt;=0.95,"Compliant",IF(E95&gt;=0.8,"Partial","Non-Compliant")))</f>
        <v/>
      </c>
      <c r="G95" s="18" t="n"/>
      <c r="H95" s="5" t="n"/>
      <c r="I95" s="18" t="n"/>
      <c r="J95" s="18" t="n"/>
      <c r="K95" s="19">
        <f>IF(AND(I95&lt;&gt;"",J95&lt;&gt;""),(J95-I95)*24,"")</f>
        <v/>
      </c>
      <c r="L95" s="5" t="n"/>
      <c r="M95" s="5" t="n"/>
      <c r="N95" s="5" t="n"/>
      <c r="O95" s="4" t="n"/>
      <c r="P95" s="5" t="n"/>
    </row>
    <row r="96">
      <c r="A96" s="5" t="n"/>
      <c r="B96" s="17">
        <f>IF(A96="","",A96&amp;" (from IMP-1)")</f>
        <v/>
      </c>
      <c r="C96" s="5" t="n"/>
      <c r="D96" s="5" t="n"/>
      <c r="E96" s="16">
        <f>IF(C96=0,0,D96/C96)</f>
        <v/>
      </c>
      <c r="F96" s="17">
        <f>IF(A96="","",IF(E96&gt;=0.95,"Compliant",IF(E96&gt;=0.8,"Partial","Non-Compliant")))</f>
        <v/>
      </c>
      <c r="G96" s="18" t="n"/>
      <c r="H96" s="5" t="n"/>
      <c r="I96" s="18" t="n"/>
      <c r="J96" s="18" t="n"/>
      <c r="K96" s="19">
        <f>IF(AND(I96&lt;&gt;"",J96&lt;&gt;""),(J96-I96)*24,"")</f>
        <v/>
      </c>
      <c r="L96" s="5" t="n"/>
      <c r="M96" s="5" t="n"/>
      <c r="N96" s="5" t="n"/>
      <c r="O96" s="4" t="n"/>
      <c r="P96" s="5" t="n"/>
    </row>
    <row r="97">
      <c r="A97" s="5" t="n"/>
      <c r="B97" s="17">
        <f>IF(A97="","",A97&amp;" (from IMP-1)")</f>
        <v/>
      </c>
      <c r="C97" s="5" t="n"/>
      <c r="D97" s="5" t="n"/>
      <c r="E97" s="16">
        <f>IF(C97=0,0,D97/C97)</f>
        <v/>
      </c>
      <c r="F97" s="17">
        <f>IF(A97="","",IF(E97&gt;=0.95,"Compliant",IF(E97&gt;=0.8,"Partial","Non-Compliant")))</f>
        <v/>
      </c>
      <c r="G97" s="18" t="n"/>
      <c r="H97" s="5" t="n"/>
      <c r="I97" s="18" t="n"/>
      <c r="J97" s="18" t="n"/>
      <c r="K97" s="19">
        <f>IF(AND(I97&lt;&gt;"",J97&lt;&gt;""),(J97-I97)*24,"")</f>
        <v/>
      </c>
      <c r="L97" s="5" t="n"/>
      <c r="M97" s="5" t="n"/>
      <c r="N97" s="5" t="n"/>
      <c r="O97" s="4" t="n"/>
      <c r="P97" s="5" t="n"/>
    </row>
    <row r="98">
      <c r="A98" s="5" t="n"/>
      <c r="B98" s="17">
        <f>IF(A98="","",A98&amp;" (from IMP-1)")</f>
        <v/>
      </c>
      <c r="C98" s="5" t="n"/>
      <c r="D98" s="5" t="n"/>
      <c r="E98" s="16">
        <f>IF(C98=0,0,D98/C98)</f>
        <v/>
      </c>
      <c r="F98" s="17">
        <f>IF(A98="","",IF(E98&gt;=0.95,"Compliant",IF(E98&gt;=0.8,"Partial","Non-Compliant")))</f>
        <v/>
      </c>
      <c r="G98" s="18" t="n"/>
      <c r="H98" s="5" t="n"/>
      <c r="I98" s="18" t="n"/>
      <c r="J98" s="18" t="n"/>
      <c r="K98" s="19">
        <f>IF(AND(I98&lt;&gt;"",J98&lt;&gt;""),(J98-I98)*24,"")</f>
        <v/>
      </c>
      <c r="L98" s="5" t="n"/>
      <c r="M98" s="5" t="n"/>
      <c r="N98" s="5" t="n"/>
      <c r="O98" s="4" t="n"/>
      <c r="P98" s="5" t="n"/>
    </row>
    <row r="99">
      <c r="A99" s="5" t="n"/>
      <c r="B99" s="17">
        <f>IF(A99="","",A99&amp;" (from IMP-1)")</f>
        <v/>
      </c>
      <c r="C99" s="5" t="n"/>
      <c r="D99" s="5" t="n"/>
      <c r="E99" s="16">
        <f>IF(C99=0,0,D99/C99)</f>
        <v/>
      </c>
      <c r="F99" s="17">
        <f>IF(A99="","",IF(E99&gt;=0.95,"Compliant",IF(E99&gt;=0.8,"Partial","Non-Compliant")))</f>
        <v/>
      </c>
      <c r="G99" s="18" t="n"/>
      <c r="H99" s="5" t="n"/>
      <c r="I99" s="18" t="n"/>
      <c r="J99" s="18" t="n"/>
      <c r="K99" s="19">
        <f>IF(AND(I99&lt;&gt;"",J99&lt;&gt;""),(J99-I99)*24,"")</f>
        <v/>
      </c>
      <c r="L99" s="5" t="n"/>
      <c r="M99" s="5" t="n"/>
      <c r="N99" s="5" t="n"/>
      <c r="O99" s="4" t="n"/>
      <c r="P99" s="5" t="n"/>
    </row>
    <row r="100">
      <c r="A100" s="5" t="n"/>
      <c r="B100" s="17">
        <f>IF(A100="","",A100&amp;" (from IMP-1)")</f>
        <v/>
      </c>
      <c r="C100" s="5" t="n"/>
      <c r="D100" s="5" t="n"/>
      <c r="E100" s="16">
        <f>IF(C100=0,0,D100/C100)</f>
        <v/>
      </c>
      <c r="F100" s="17">
        <f>IF(A100="","",IF(E100&gt;=0.95,"Compliant",IF(E100&gt;=0.8,"Partial","Non-Compliant")))</f>
        <v/>
      </c>
      <c r="G100" s="18" t="n"/>
      <c r="H100" s="5" t="n"/>
      <c r="I100" s="18" t="n"/>
      <c r="J100" s="18" t="n"/>
      <c r="K100" s="19">
        <f>IF(AND(I100&lt;&gt;"",J100&lt;&gt;""),(J100-I100)*24,"")</f>
        <v/>
      </c>
      <c r="L100" s="5" t="n"/>
      <c r="M100" s="5" t="n"/>
      <c r="N100" s="5" t="n"/>
      <c r="O100" s="4" t="n"/>
      <c r="P100" s="5" t="n"/>
    </row>
    <row r="101">
      <c r="A101" s="5" t="n"/>
      <c r="B101" s="17">
        <f>IF(A101="","",A101&amp;" (from IMP-1)")</f>
        <v/>
      </c>
      <c r="C101" s="5" t="n"/>
      <c r="D101" s="5" t="n"/>
      <c r="E101" s="16">
        <f>IF(C101=0,0,D101/C101)</f>
        <v/>
      </c>
      <c r="F101" s="17">
        <f>IF(A101="","",IF(E101&gt;=0.95,"Compliant",IF(E101&gt;=0.8,"Partial","Non-Compliant")))</f>
        <v/>
      </c>
      <c r="G101" s="18" t="n"/>
      <c r="H101" s="5" t="n"/>
      <c r="I101" s="18" t="n"/>
      <c r="J101" s="18" t="n"/>
      <c r="K101" s="19">
        <f>IF(AND(I101&lt;&gt;"",J101&lt;&gt;""),(J101-I101)*24,"")</f>
        <v/>
      </c>
      <c r="L101" s="5" t="n"/>
      <c r="M101" s="5" t="n"/>
      <c r="N101" s="5" t="n"/>
      <c r="O101" s="4" t="n"/>
      <c r="P101" s="5" t="n"/>
    </row>
    <row r="102">
      <c r="A102" s="5" t="n"/>
      <c r="B102" s="17">
        <f>IF(A102="","",A102&amp;" (from IMP-1)")</f>
        <v/>
      </c>
      <c r="C102" s="5" t="n"/>
      <c r="D102" s="5" t="n"/>
      <c r="E102" s="16">
        <f>IF(C102=0,0,D102/C102)</f>
        <v/>
      </c>
      <c r="F102" s="17">
        <f>IF(A102="","",IF(E102&gt;=0.95,"Compliant",IF(E102&gt;=0.8,"Partial","Non-Compliant")))</f>
        <v/>
      </c>
      <c r="G102" s="18" t="n"/>
      <c r="H102" s="5" t="n"/>
      <c r="I102" s="18" t="n"/>
      <c r="J102" s="18" t="n"/>
      <c r="K102" s="19">
        <f>IF(AND(I102&lt;&gt;"",J102&lt;&gt;""),(J102-I102)*24,"")</f>
        <v/>
      </c>
      <c r="L102" s="5" t="n"/>
      <c r="M102" s="5" t="n"/>
      <c r="N102" s="5" t="n"/>
      <c r="O102" s="4" t="n"/>
      <c r="P102" s="5" t="n"/>
    </row>
    <row r="103">
      <c r="A103" s="5" t="n"/>
      <c r="B103" s="17">
        <f>IF(A103="","",A103&amp;" (from IMP-1)")</f>
        <v/>
      </c>
      <c r="C103" s="5" t="n"/>
      <c r="D103" s="5" t="n"/>
      <c r="E103" s="16">
        <f>IF(C103=0,0,D103/C103)</f>
        <v/>
      </c>
      <c r="F103" s="17">
        <f>IF(A103="","",IF(E103&gt;=0.95,"Compliant",IF(E103&gt;=0.8,"Partial","Non-Compliant")))</f>
        <v/>
      </c>
      <c r="G103" s="18" t="n"/>
      <c r="H103" s="5" t="n"/>
      <c r="I103" s="18" t="n"/>
      <c r="J103" s="18" t="n"/>
      <c r="K103" s="19">
        <f>IF(AND(I103&lt;&gt;"",J103&lt;&gt;""),(J103-I103)*24,"")</f>
        <v/>
      </c>
      <c r="L103" s="5" t="n"/>
      <c r="M103" s="5" t="n"/>
      <c r="N103" s="5" t="n"/>
      <c r="O103" s="4" t="n"/>
      <c r="P103" s="5" t="n"/>
    </row>
    <row r="104">
      <c r="A104" s="5" t="n"/>
      <c r="B104" s="17">
        <f>IF(A104="","",A104&amp;" (from IMP-1)")</f>
        <v/>
      </c>
      <c r="C104" s="5" t="n"/>
      <c r="D104" s="5" t="n"/>
      <c r="E104" s="16">
        <f>IF(C104=0,0,D104/C104)</f>
        <v/>
      </c>
      <c r="F104" s="17">
        <f>IF(A104="","",IF(E104&gt;=0.95,"Compliant",IF(E104&gt;=0.8,"Partial","Non-Compliant")))</f>
        <v/>
      </c>
      <c r="G104" s="18" t="n"/>
      <c r="H104" s="5" t="n"/>
      <c r="I104" s="18" t="n"/>
      <c r="J104" s="18" t="n"/>
      <c r="K104" s="19">
        <f>IF(AND(I104&lt;&gt;"",J104&lt;&gt;""),(J104-I104)*24,"")</f>
        <v/>
      </c>
      <c r="L104" s="5" t="n"/>
      <c r="M104" s="5" t="n"/>
      <c r="N104" s="5" t="n"/>
      <c r="O104" s="4" t="n"/>
      <c r="P104" s="5" t="n"/>
    </row>
    <row r="105">
      <c r="A105" s="5" t="n"/>
      <c r="B105" s="17">
        <f>IF(A105="","",A105&amp;" (from IMP-1)")</f>
        <v/>
      </c>
      <c r="C105" s="5" t="n"/>
      <c r="D105" s="5" t="n"/>
      <c r="E105" s="16">
        <f>IF(C105=0,0,D105/C105)</f>
        <v/>
      </c>
      <c r="F105" s="17">
        <f>IF(A105="","",IF(E105&gt;=0.95,"Compliant",IF(E105&gt;=0.8,"Partial","Non-Compliant")))</f>
        <v/>
      </c>
      <c r="G105" s="18" t="n"/>
      <c r="H105" s="5" t="n"/>
      <c r="I105" s="18" t="n"/>
      <c r="J105" s="18" t="n"/>
      <c r="K105" s="19">
        <f>IF(AND(I105&lt;&gt;"",J105&lt;&gt;""),(J105-I105)*24,"")</f>
        <v/>
      </c>
      <c r="L105" s="5" t="n"/>
      <c r="M105" s="5" t="n"/>
      <c r="N105" s="5" t="n"/>
      <c r="O105" s="4" t="n"/>
      <c r="P105" s="5" t="n"/>
    </row>
    <row r="106">
      <c r="A106" s="5" t="n"/>
      <c r="B106" s="17">
        <f>IF(A106="","",A106&amp;" (from IMP-1)")</f>
        <v/>
      </c>
      <c r="C106" s="5" t="n"/>
      <c r="D106" s="5" t="n"/>
      <c r="E106" s="16">
        <f>IF(C106=0,0,D106/C106)</f>
        <v/>
      </c>
      <c r="F106" s="17">
        <f>IF(A106="","",IF(E106&gt;=0.95,"Compliant",IF(E106&gt;=0.8,"Partial","Non-Compliant")))</f>
        <v/>
      </c>
      <c r="G106" s="18" t="n"/>
      <c r="H106" s="5" t="n"/>
      <c r="I106" s="18" t="n"/>
      <c r="J106" s="18" t="n"/>
      <c r="K106" s="19">
        <f>IF(AND(I106&lt;&gt;"",J106&lt;&gt;""),(J106-I106)*24,"")</f>
        <v/>
      </c>
      <c r="L106" s="5" t="n"/>
      <c r="M106" s="5" t="n"/>
      <c r="N106" s="5" t="n"/>
      <c r="O106" s="4" t="n"/>
      <c r="P106" s="5" t="n"/>
    </row>
    <row r="107">
      <c r="A107" s="5" t="n"/>
      <c r="B107" s="17">
        <f>IF(A107="","",A107&amp;" (from IMP-1)")</f>
        <v/>
      </c>
      <c r="C107" s="5" t="n"/>
      <c r="D107" s="5" t="n"/>
      <c r="E107" s="16">
        <f>IF(C107=0,0,D107/C107)</f>
        <v/>
      </c>
      <c r="F107" s="17">
        <f>IF(A107="","",IF(E107&gt;=0.95,"Compliant",IF(E107&gt;=0.8,"Partial","Non-Compliant")))</f>
        <v/>
      </c>
      <c r="G107" s="18" t="n"/>
      <c r="H107" s="5" t="n"/>
      <c r="I107" s="18" t="n"/>
      <c r="J107" s="18" t="n"/>
      <c r="K107" s="19">
        <f>IF(AND(I107&lt;&gt;"",J107&lt;&gt;""),(J107-I107)*24,"")</f>
        <v/>
      </c>
      <c r="L107" s="5" t="n"/>
      <c r="M107" s="5" t="n"/>
      <c r="N107" s="5" t="n"/>
      <c r="O107" s="4" t="n"/>
      <c r="P107" s="5" t="n"/>
    </row>
    <row r="108">
      <c r="A108" s="5" t="n"/>
      <c r="B108" s="17">
        <f>IF(A108="","",A108&amp;" (from IMP-1)")</f>
        <v/>
      </c>
      <c r="C108" s="5" t="n"/>
      <c r="D108" s="5" t="n"/>
      <c r="E108" s="16">
        <f>IF(C108=0,0,D108/C108)</f>
        <v/>
      </c>
      <c r="F108" s="17">
        <f>IF(A108="","",IF(E108&gt;=0.95,"Compliant",IF(E108&gt;=0.8,"Partial","Non-Compliant")))</f>
        <v/>
      </c>
      <c r="G108" s="18" t="n"/>
      <c r="H108" s="5" t="n"/>
      <c r="I108" s="18" t="n"/>
      <c r="J108" s="18" t="n"/>
      <c r="K108" s="19">
        <f>IF(AND(I108&lt;&gt;"",J108&lt;&gt;""),(J108-I108)*24,"")</f>
        <v/>
      </c>
      <c r="L108" s="5" t="n"/>
      <c r="M108" s="5" t="n"/>
      <c r="N108" s="5" t="n"/>
      <c r="O108" s="4" t="n"/>
      <c r="P108" s="5" t="n"/>
    </row>
    <row r="109">
      <c r="A109" s="5" t="n"/>
      <c r="B109" s="17">
        <f>IF(A109="","",A109&amp;" (from IMP-1)")</f>
        <v/>
      </c>
      <c r="C109" s="5" t="n"/>
      <c r="D109" s="5" t="n"/>
      <c r="E109" s="16">
        <f>IF(C109=0,0,D109/C109)</f>
        <v/>
      </c>
      <c r="F109" s="17">
        <f>IF(A109="","",IF(E109&gt;=0.95,"Compliant",IF(E109&gt;=0.8,"Partial","Non-Compliant")))</f>
        <v/>
      </c>
      <c r="G109" s="18" t="n"/>
      <c r="H109" s="5" t="n"/>
      <c r="I109" s="18" t="n"/>
      <c r="J109" s="18" t="n"/>
      <c r="K109" s="19">
        <f>IF(AND(I109&lt;&gt;"",J109&lt;&gt;""),(J109-I109)*24,"")</f>
        <v/>
      </c>
      <c r="L109" s="5" t="n"/>
      <c r="M109" s="5" t="n"/>
      <c r="N109" s="5" t="n"/>
      <c r="O109" s="4" t="n"/>
      <c r="P109" s="5" t="n"/>
    </row>
    <row r="110">
      <c r="A110" s="5" t="n"/>
      <c r="B110" s="17">
        <f>IF(A110="","",A110&amp;" (from IMP-1)")</f>
        <v/>
      </c>
      <c r="C110" s="5" t="n"/>
      <c r="D110" s="5" t="n"/>
      <c r="E110" s="16">
        <f>IF(C110=0,0,D110/C110)</f>
        <v/>
      </c>
      <c r="F110" s="17">
        <f>IF(A110="","",IF(E110&gt;=0.95,"Compliant",IF(E110&gt;=0.8,"Partial","Non-Compliant")))</f>
        <v/>
      </c>
      <c r="G110" s="18" t="n"/>
      <c r="H110" s="5" t="n"/>
      <c r="I110" s="18" t="n"/>
      <c r="J110" s="18" t="n"/>
      <c r="K110" s="19">
        <f>IF(AND(I110&lt;&gt;"",J110&lt;&gt;""),(J110-I110)*24,"")</f>
        <v/>
      </c>
      <c r="L110" s="5" t="n"/>
      <c r="M110" s="5" t="n"/>
      <c r="N110" s="5" t="n"/>
      <c r="O110" s="4" t="n"/>
      <c r="P110" s="5" t="n"/>
    </row>
    <row r="111">
      <c r="A111" s="5" t="n"/>
      <c r="B111" s="17">
        <f>IF(A111="","",A111&amp;" (from IMP-1)")</f>
        <v/>
      </c>
      <c r="C111" s="5" t="n"/>
      <c r="D111" s="5" t="n"/>
      <c r="E111" s="16">
        <f>IF(C111=0,0,D111/C111)</f>
        <v/>
      </c>
      <c r="F111" s="17">
        <f>IF(A111="","",IF(E111&gt;=0.95,"Compliant",IF(E111&gt;=0.8,"Partial","Non-Compliant")))</f>
        <v/>
      </c>
      <c r="G111" s="18" t="n"/>
      <c r="H111" s="5" t="n"/>
      <c r="I111" s="18" t="n"/>
      <c r="J111" s="18" t="n"/>
      <c r="K111" s="19">
        <f>IF(AND(I111&lt;&gt;"",J111&lt;&gt;""),(J111-I111)*24,"")</f>
        <v/>
      </c>
      <c r="L111" s="5" t="n"/>
      <c r="M111" s="5" t="n"/>
      <c r="N111" s="5" t="n"/>
      <c r="O111" s="4" t="n"/>
      <c r="P111" s="5" t="n"/>
    </row>
    <row r="112">
      <c r="A112" s="5" t="n"/>
      <c r="B112" s="17">
        <f>IF(A112="","",A112&amp;" (from IMP-1)")</f>
        <v/>
      </c>
      <c r="C112" s="5" t="n"/>
      <c r="D112" s="5" t="n"/>
      <c r="E112" s="16">
        <f>IF(C112=0,0,D112/C112)</f>
        <v/>
      </c>
      <c r="F112" s="17">
        <f>IF(A112="","",IF(E112&gt;=0.95,"Compliant",IF(E112&gt;=0.8,"Partial","Non-Compliant")))</f>
        <v/>
      </c>
      <c r="G112" s="18" t="n"/>
      <c r="H112" s="5" t="n"/>
      <c r="I112" s="18" t="n"/>
      <c r="J112" s="18" t="n"/>
      <c r="K112" s="19">
        <f>IF(AND(I112&lt;&gt;"",J112&lt;&gt;""),(J112-I112)*24,"")</f>
        <v/>
      </c>
      <c r="L112" s="5" t="n"/>
      <c r="M112" s="5" t="n"/>
      <c r="N112" s="5" t="n"/>
      <c r="O112" s="4" t="n"/>
      <c r="P112" s="5" t="n"/>
    </row>
    <row r="113">
      <c r="A113" s="5" t="n"/>
      <c r="B113" s="17">
        <f>IF(A113="","",A113&amp;" (from IMP-1)")</f>
        <v/>
      </c>
      <c r="C113" s="5" t="n"/>
      <c r="D113" s="5" t="n"/>
      <c r="E113" s="16">
        <f>IF(C113=0,0,D113/C113)</f>
        <v/>
      </c>
      <c r="F113" s="17">
        <f>IF(A113="","",IF(E113&gt;=0.95,"Compliant",IF(E113&gt;=0.8,"Partial","Non-Compliant")))</f>
        <v/>
      </c>
      <c r="G113" s="18" t="n"/>
      <c r="H113" s="5" t="n"/>
      <c r="I113" s="18" t="n"/>
      <c r="J113" s="18" t="n"/>
      <c r="K113" s="19">
        <f>IF(AND(I113&lt;&gt;"",J113&lt;&gt;""),(J113-I113)*24,"")</f>
        <v/>
      </c>
      <c r="L113" s="5" t="n"/>
      <c r="M113" s="5" t="n"/>
      <c r="N113" s="5" t="n"/>
      <c r="O113" s="4" t="n"/>
      <c r="P113" s="5" t="n"/>
    </row>
    <row r="114">
      <c r="A114" s="5" t="n"/>
      <c r="B114" s="17">
        <f>IF(A114="","",A114&amp;" (from IMP-1)")</f>
        <v/>
      </c>
      <c r="C114" s="5" t="n"/>
      <c r="D114" s="5" t="n"/>
      <c r="E114" s="16">
        <f>IF(C114=0,0,D114/C114)</f>
        <v/>
      </c>
      <c r="F114" s="17">
        <f>IF(A114="","",IF(E114&gt;=0.95,"Compliant",IF(E114&gt;=0.8,"Partial","Non-Compliant")))</f>
        <v/>
      </c>
      <c r="G114" s="18" t="n"/>
      <c r="H114" s="5" t="n"/>
      <c r="I114" s="18" t="n"/>
      <c r="J114" s="18" t="n"/>
      <c r="K114" s="19">
        <f>IF(AND(I114&lt;&gt;"",J114&lt;&gt;""),(J114-I114)*24,"")</f>
        <v/>
      </c>
      <c r="L114" s="5" t="n"/>
      <c r="M114" s="5" t="n"/>
      <c r="N114" s="5" t="n"/>
      <c r="O114" s="4" t="n"/>
      <c r="P114" s="5" t="n"/>
    </row>
    <row r="115">
      <c r="A115" s="5" t="n"/>
      <c r="B115" s="17">
        <f>IF(A115="","",A115&amp;" (from IMP-1)")</f>
        <v/>
      </c>
      <c r="C115" s="5" t="n"/>
      <c r="D115" s="5" t="n"/>
      <c r="E115" s="16">
        <f>IF(C115=0,0,D115/C115)</f>
        <v/>
      </c>
      <c r="F115" s="17">
        <f>IF(A115="","",IF(E115&gt;=0.95,"Compliant",IF(E115&gt;=0.8,"Partial","Non-Compliant")))</f>
        <v/>
      </c>
      <c r="G115" s="18" t="n"/>
      <c r="H115" s="5" t="n"/>
      <c r="I115" s="18" t="n"/>
      <c r="J115" s="18" t="n"/>
      <c r="K115" s="19">
        <f>IF(AND(I115&lt;&gt;"",J115&lt;&gt;""),(J115-I115)*24,"")</f>
        <v/>
      </c>
      <c r="L115" s="5" t="n"/>
      <c r="M115" s="5" t="n"/>
      <c r="N115" s="5" t="n"/>
      <c r="O115" s="4" t="n"/>
      <c r="P115" s="5" t="n"/>
    </row>
    <row r="116">
      <c r="A116" s="5" t="n"/>
      <c r="B116" s="17">
        <f>IF(A116="","",A116&amp;" (from IMP-1)")</f>
        <v/>
      </c>
      <c r="C116" s="5" t="n"/>
      <c r="D116" s="5" t="n"/>
      <c r="E116" s="16">
        <f>IF(C116=0,0,D116/C116)</f>
        <v/>
      </c>
      <c r="F116" s="17">
        <f>IF(A116="","",IF(E116&gt;=0.95,"Compliant",IF(E116&gt;=0.8,"Partial","Non-Compliant")))</f>
        <v/>
      </c>
      <c r="G116" s="18" t="n"/>
      <c r="H116" s="5" t="n"/>
      <c r="I116" s="18" t="n"/>
      <c r="J116" s="18" t="n"/>
      <c r="K116" s="19">
        <f>IF(AND(I116&lt;&gt;"",J116&lt;&gt;""),(J116-I116)*24,"")</f>
        <v/>
      </c>
      <c r="L116" s="5" t="n"/>
      <c r="M116" s="5" t="n"/>
      <c r="N116" s="5" t="n"/>
      <c r="O116" s="4" t="n"/>
      <c r="P116" s="5" t="n"/>
    </row>
    <row r="117">
      <c r="A117" s="5" t="n"/>
      <c r="B117" s="17">
        <f>IF(A117="","",A117&amp;" (from IMP-1)")</f>
        <v/>
      </c>
      <c r="C117" s="5" t="n"/>
      <c r="D117" s="5" t="n"/>
      <c r="E117" s="16">
        <f>IF(C117=0,0,D117/C117)</f>
        <v/>
      </c>
      <c r="F117" s="17">
        <f>IF(A117="","",IF(E117&gt;=0.95,"Compliant",IF(E117&gt;=0.8,"Partial","Non-Compliant")))</f>
        <v/>
      </c>
      <c r="G117" s="18" t="n"/>
      <c r="H117" s="5" t="n"/>
      <c r="I117" s="18" t="n"/>
      <c r="J117" s="18" t="n"/>
      <c r="K117" s="19">
        <f>IF(AND(I117&lt;&gt;"",J117&lt;&gt;""),(J117-I117)*24,"")</f>
        <v/>
      </c>
      <c r="L117" s="5" t="n"/>
      <c r="M117" s="5" t="n"/>
      <c r="N117" s="5" t="n"/>
      <c r="O117" s="4" t="n"/>
      <c r="P117" s="5" t="n"/>
    </row>
    <row r="118">
      <c r="A118" s="5" t="n"/>
      <c r="B118" s="17">
        <f>IF(A118="","",A118&amp;" (from IMP-1)")</f>
        <v/>
      </c>
      <c r="C118" s="5" t="n"/>
      <c r="D118" s="5" t="n"/>
      <c r="E118" s="16">
        <f>IF(C118=0,0,D118/C118)</f>
        <v/>
      </c>
      <c r="F118" s="17">
        <f>IF(A118="","",IF(E118&gt;=0.95,"Compliant",IF(E118&gt;=0.8,"Partial","Non-Compliant")))</f>
        <v/>
      </c>
      <c r="G118" s="18" t="n"/>
      <c r="H118" s="5" t="n"/>
      <c r="I118" s="18" t="n"/>
      <c r="J118" s="18" t="n"/>
      <c r="K118" s="19">
        <f>IF(AND(I118&lt;&gt;"",J118&lt;&gt;""),(J118-I118)*24,"")</f>
        <v/>
      </c>
      <c r="L118" s="5" t="n"/>
      <c r="M118" s="5" t="n"/>
      <c r="N118" s="5" t="n"/>
      <c r="O118" s="4" t="n"/>
      <c r="P118" s="5" t="n"/>
    </row>
    <row r="119">
      <c r="A119" s="5" t="n"/>
      <c r="B119" s="17">
        <f>IF(A119="","",A119&amp;" (from IMP-1)")</f>
        <v/>
      </c>
      <c r="C119" s="5" t="n"/>
      <c r="D119" s="5" t="n"/>
      <c r="E119" s="16">
        <f>IF(C119=0,0,D119/C119)</f>
        <v/>
      </c>
      <c r="F119" s="17">
        <f>IF(A119="","",IF(E119&gt;=0.95,"Compliant",IF(E119&gt;=0.8,"Partial","Non-Compliant")))</f>
        <v/>
      </c>
      <c r="G119" s="18" t="n"/>
      <c r="H119" s="5" t="n"/>
      <c r="I119" s="18" t="n"/>
      <c r="J119" s="18" t="n"/>
      <c r="K119" s="19">
        <f>IF(AND(I119&lt;&gt;"",J119&lt;&gt;""),(J119-I119)*24,"")</f>
        <v/>
      </c>
      <c r="L119" s="5" t="n"/>
      <c r="M119" s="5" t="n"/>
      <c r="N119" s="5" t="n"/>
      <c r="O119" s="4" t="n"/>
      <c r="P119" s="5" t="n"/>
    </row>
    <row r="120">
      <c r="A120" s="5" t="n"/>
      <c r="B120" s="17">
        <f>IF(A120="","",A120&amp;" (from IMP-1)")</f>
        <v/>
      </c>
      <c r="C120" s="5" t="n"/>
      <c r="D120" s="5" t="n"/>
      <c r="E120" s="16">
        <f>IF(C120=0,0,D120/C120)</f>
        <v/>
      </c>
      <c r="F120" s="17">
        <f>IF(A120="","",IF(E120&gt;=0.95,"Compliant",IF(E120&gt;=0.8,"Partial","Non-Compliant")))</f>
        <v/>
      </c>
      <c r="G120" s="18" t="n"/>
      <c r="H120" s="5" t="n"/>
      <c r="I120" s="18" t="n"/>
      <c r="J120" s="18" t="n"/>
      <c r="K120" s="19">
        <f>IF(AND(I120&lt;&gt;"",J120&lt;&gt;""),(J120-I120)*24,"")</f>
        <v/>
      </c>
      <c r="L120" s="5" t="n"/>
      <c r="M120" s="5" t="n"/>
      <c r="N120" s="5" t="n"/>
      <c r="O120" s="4" t="n"/>
      <c r="P120" s="5" t="n"/>
    </row>
    <row r="121">
      <c r="A121" s="5" t="n"/>
      <c r="B121" s="17">
        <f>IF(A121="","",A121&amp;" (from IMP-1)")</f>
        <v/>
      </c>
      <c r="C121" s="5" t="n"/>
      <c r="D121" s="5" t="n"/>
      <c r="E121" s="16">
        <f>IF(C121=0,0,D121/C121)</f>
        <v/>
      </c>
      <c r="F121" s="17">
        <f>IF(A121="","",IF(E121&gt;=0.95,"Compliant",IF(E121&gt;=0.8,"Partial","Non-Compliant")))</f>
        <v/>
      </c>
      <c r="G121" s="18" t="n"/>
      <c r="H121" s="5" t="n"/>
      <c r="I121" s="18" t="n"/>
      <c r="J121" s="18" t="n"/>
      <c r="K121" s="19">
        <f>IF(AND(I121&lt;&gt;"",J121&lt;&gt;""),(J121-I121)*24,"")</f>
        <v/>
      </c>
      <c r="L121" s="5" t="n"/>
      <c r="M121" s="5" t="n"/>
      <c r="N121" s="5" t="n"/>
      <c r="O121" s="4" t="n"/>
      <c r="P121" s="5" t="n"/>
    </row>
    <row r="122">
      <c r="A122" s="5" t="n"/>
      <c r="B122" s="17">
        <f>IF(A122="","",A122&amp;" (from IMP-1)")</f>
        <v/>
      </c>
      <c r="C122" s="5" t="n"/>
      <c r="D122" s="5" t="n"/>
      <c r="E122" s="16">
        <f>IF(C122=0,0,D122/C122)</f>
        <v/>
      </c>
      <c r="F122" s="17">
        <f>IF(A122="","",IF(E122&gt;=0.95,"Compliant",IF(E122&gt;=0.8,"Partial","Non-Compliant")))</f>
        <v/>
      </c>
      <c r="G122" s="18" t="n"/>
      <c r="H122" s="5" t="n"/>
      <c r="I122" s="18" t="n"/>
      <c r="J122" s="18" t="n"/>
      <c r="K122" s="19">
        <f>IF(AND(I122&lt;&gt;"",J122&lt;&gt;""),(J122-I122)*24,"")</f>
        <v/>
      </c>
      <c r="L122" s="5" t="n"/>
      <c r="M122" s="5" t="n"/>
      <c r="N122" s="5" t="n"/>
      <c r="O122" s="4" t="n"/>
      <c r="P122" s="5" t="n"/>
    </row>
    <row r="123">
      <c r="A123" s="5" t="n"/>
      <c r="B123" s="17">
        <f>IF(A123="","",A123&amp;" (from IMP-1)")</f>
        <v/>
      </c>
      <c r="C123" s="5" t="n"/>
      <c r="D123" s="5" t="n"/>
      <c r="E123" s="16">
        <f>IF(C123=0,0,D123/C123)</f>
        <v/>
      </c>
      <c r="F123" s="17">
        <f>IF(A123="","",IF(E123&gt;=0.95,"Compliant",IF(E123&gt;=0.8,"Partial","Non-Compliant")))</f>
        <v/>
      </c>
      <c r="G123" s="18" t="n"/>
      <c r="H123" s="5" t="n"/>
      <c r="I123" s="18" t="n"/>
      <c r="J123" s="18" t="n"/>
      <c r="K123" s="19">
        <f>IF(AND(I123&lt;&gt;"",J123&lt;&gt;""),(J123-I123)*24,"")</f>
        <v/>
      </c>
      <c r="L123" s="5" t="n"/>
      <c r="M123" s="5" t="n"/>
      <c r="N123" s="5" t="n"/>
      <c r="O123" s="4" t="n"/>
      <c r="P123" s="5" t="n"/>
    </row>
    <row r="124">
      <c r="A124" s="5" t="n"/>
      <c r="B124" s="17">
        <f>IF(A124="","",A124&amp;" (from IMP-1)")</f>
        <v/>
      </c>
      <c r="C124" s="5" t="n"/>
      <c r="D124" s="5" t="n"/>
      <c r="E124" s="16">
        <f>IF(C124=0,0,D124/C124)</f>
        <v/>
      </c>
      <c r="F124" s="17">
        <f>IF(A124="","",IF(E124&gt;=0.95,"Compliant",IF(E124&gt;=0.8,"Partial","Non-Compliant")))</f>
        <v/>
      </c>
      <c r="G124" s="18" t="n"/>
      <c r="H124" s="5" t="n"/>
      <c r="I124" s="18" t="n"/>
      <c r="J124" s="18" t="n"/>
      <c r="K124" s="19">
        <f>IF(AND(I124&lt;&gt;"",J124&lt;&gt;""),(J124-I124)*24,"")</f>
        <v/>
      </c>
      <c r="L124" s="5" t="n"/>
      <c r="M124" s="5" t="n"/>
      <c r="N124" s="5" t="n"/>
      <c r="O124" s="4" t="n"/>
      <c r="P124" s="5" t="n"/>
    </row>
    <row r="125">
      <c r="A125" s="5" t="n"/>
      <c r="B125" s="17">
        <f>IF(A125="","",A125&amp;" (from IMP-1)")</f>
        <v/>
      </c>
      <c r="C125" s="5" t="n"/>
      <c r="D125" s="5" t="n"/>
      <c r="E125" s="16">
        <f>IF(C125=0,0,D125/C125)</f>
        <v/>
      </c>
      <c r="F125" s="17">
        <f>IF(A125="","",IF(E125&gt;=0.95,"Compliant",IF(E125&gt;=0.8,"Partial","Non-Compliant")))</f>
        <v/>
      </c>
      <c r="G125" s="18" t="n"/>
      <c r="H125" s="5" t="n"/>
      <c r="I125" s="18" t="n"/>
      <c r="J125" s="18" t="n"/>
      <c r="K125" s="19">
        <f>IF(AND(I125&lt;&gt;"",J125&lt;&gt;""),(J125-I125)*24,"")</f>
        <v/>
      </c>
      <c r="L125" s="5" t="n"/>
      <c r="M125" s="5" t="n"/>
      <c r="N125" s="5" t="n"/>
      <c r="O125" s="4" t="n"/>
      <c r="P125" s="5" t="n"/>
    </row>
    <row r="126">
      <c r="A126" s="5" t="n"/>
      <c r="B126" s="17">
        <f>IF(A126="","",A126&amp;" (from IMP-1)")</f>
        <v/>
      </c>
      <c r="C126" s="5" t="n"/>
      <c r="D126" s="5" t="n"/>
      <c r="E126" s="16">
        <f>IF(C126=0,0,D126/C126)</f>
        <v/>
      </c>
      <c r="F126" s="17">
        <f>IF(A126="","",IF(E126&gt;=0.95,"Compliant",IF(E126&gt;=0.8,"Partial","Non-Compliant")))</f>
        <v/>
      </c>
      <c r="G126" s="18" t="n"/>
      <c r="H126" s="5" t="n"/>
      <c r="I126" s="18" t="n"/>
      <c r="J126" s="18" t="n"/>
      <c r="K126" s="19">
        <f>IF(AND(I126&lt;&gt;"",J126&lt;&gt;""),(J126-I126)*24,"")</f>
        <v/>
      </c>
      <c r="L126" s="5" t="n"/>
      <c r="M126" s="5" t="n"/>
      <c r="N126" s="5" t="n"/>
      <c r="O126" s="4" t="n"/>
      <c r="P126" s="5" t="n"/>
    </row>
    <row r="127">
      <c r="A127" s="5" t="n"/>
      <c r="B127" s="17">
        <f>IF(A127="","",A127&amp;" (from IMP-1)")</f>
        <v/>
      </c>
      <c r="C127" s="5" t="n"/>
      <c r="D127" s="5" t="n"/>
      <c r="E127" s="16">
        <f>IF(C127=0,0,D127/C127)</f>
        <v/>
      </c>
      <c r="F127" s="17">
        <f>IF(A127="","",IF(E127&gt;=0.95,"Compliant",IF(E127&gt;=0.8,"Partial","Non-Compliant")))</f>
        <v/>
      </c>
      <c r="G127" s="18" t="n"/>
      <c r="H127" s="5" t="n"/>
      <c r="I127" s="18" t="n"/>
      <c r="J127" s="18" t="n"/>
      <c r="K127" s="19">
        <f>IF(AND(I127&lt;&gt;"",J127&lt;&gt;""),(J127-I127)*24,"")</f>
        <v/>
      </c>
      <c r="L127" s="5" t="n"/>
      <c r="M127" s="5" t="n"/>
      <c r="N127" s="5" t="n"/>
      <c r="O127" s="4" t="n"/>
      <c r="P127" s="5" t="n"/>
    </row>
    <row r="128">
      <c r="A128" s="5" t="n"/>
      <c r="B128" s="17">
        <f>IF(A128="","",A128&amp;" (from IMP-1)")</f>
        <v/>
      </c>
      <c r="C128" s="5" t="n"/>
      <c r="D128" s="5" t="n"/>
      <c r="E128" s="16">
        <f>IF(C128=0,0,D128/C128)</f>
        <v/>
      </c>
      <c r="F128" s="17">
        <f>IF(A128="","",IF(E128&gt;=0.95,"Compliant",IF(E128&gt;=0.8,"Partial","Non-Compliant")))</f>
        <v/>
      </c>
      <c r="G128" s="18" t="n"/>
      <c r="H128" s="5" t="n"/>
      <c r="I128" s="18" t="n"/>
      <c r="J128" s="18" t="n"/>
      <c r="K128" s="19">
        <f>IF(AND(I128&lt;&gt;"",J128&lt;&gt;""),(J128-I128)*24,"")</f>
        <v/>
      </c>
      <c r="L128" s="5" t="n"/>
      <c r="M128" s="5" t="n"/>
      <c r="N128" s="5" t="n"/>
      <c r="O128" s="4" t="n"/>
      <c r="P128" s="5" t="n"/>
    </row>
    <row r="129">
      <c r="A129" s="5" t="n"/>
      <c r="B129" s="17">
        <f>IF(A129="","",A129&amp;" (from IMP-1)")</f>
        <v/>
      </c>
      <c r="C129" s="5" t="n"/>
      <c r="D129" s="5" t="n"/>
      <c r="E129" s="16">
        <f>IF(C129=0,0,D129/C129)</f>
        <v/>
      </c>
      <c r="F129" s="17">
        <f>IF(A129="","",IF(E129&gt;=0.95,"Compliant",IF(E129&gt;=0.8,"Partial","Non-Compliant")))</f>
        <v/>
      </c>
      <c r="G129" s="18" t="n"/>
      <c r="H129" s="5" t="n"/>
      <c r="I129" s="18" t="n"/>
      <c r="J129" s="18" t="n"/>
      <c r="K129" s="19">
        <f>IF(AND(I129&lt;&gt;"",J129&lt;&gt;""),(J129-I129)*24,"")</f>
        <v/>
      </c>
      <c r="L129" s="5" t="n"/>
      <c r="M129" s="5" t="n"/>
      <c r="N129" s="5" t="n"/>
      <c r="O129" s="4" t="n"/>
      <c r="P129" s="5" t="n"/>
    </row>
    <row r="130">
      <c r="A130" s="5" t="n"/>
      <c r="B130" s="17">
        <f>IF(A130="","",A130&amp;" (from IMP-1)")</f>
        <v/>
      </c>
      <c r="C130" s="5" t="n"/>
      <c r="D130" s="5" t="n"/>
      <c r="E130" s="16">
        <f>IF(C130=0,0,D130/C130)</f>
        <v/>
      </c>
      <c r="F130" s="17">
        <f>IF(A130="","",IF(E130&gt;=0.95,"Compliant",IF(E130&gt;=0.8,"Partial","Non-Compliant")))</f>
        <v/>
      </c>
      <c r="G130" s="18" t="n"/>
      <c r="H130" s="5" t="n"/>
      <c r="I130" s="18" t="n"/>
      <c r="J130" s="18" t="n"/>
      <c r="K130" s="19">
        <f>IF(AND(I130&lt;&gt;"",J130&lt;&gt;""),(J130-I130)*24,"")</f>
        <v/>
      </c>
      <c r="L130" s="5" t="n"/>
      <c r="M130" s="5" t="n"/>
      <c r="N130" s="5" t="n"/>
      <c r="O130" s="4" t="n"/>
      <c r="P130" s="5" t="n"/>
    </row>
    <row r="131">
      <c r="A131" s="5" t="n"/>
      <c r="B131" s="17">
        <f>IF(A131="","",A131&amp;" (from IMP-1)")</f>
        <v/>
      </c>
      <c r="C131" s="5" t="n"/>
      <c r="D131" s="5" t="n"/>
      <c r="E131" s="16">
        <f>IF(C131=0,0,D131/C131)</f>
        <v/>
      </c>
      <c r="F131" s="17">
        <f>IF(A131="","",IF(E131&gt;=0.95,"Compliant",IF(E131&gt;=0.8,"Partial","Non-Compliant")))</f>
        <v/>
      </c>
      <c r="G131" s="18" t="n"/>
      <c r="H131" s="5" t="n"/>
      <c r="I131" s="18" t="n"/>
      <c r="J131" s="18" t="n"/>
      <c r="K131" s="19">
        <f>IF(AND(I131&lt;&gt;"",J131&lt;&gt;""),(J131-I131)*24,"")</f>
        <v/>
      </c>
      <c r="L131" s="5" t="n"/>
      <c r="M131" s="5" t="n"/>
      <c r="N131" s="5" t="n"/>
      <c r="O131" s="4" t="n"/>
      <c r="P131" s="5" t="n"/>
    </row>
    <row r="132">
      <c r="A132" s="5" t="n"/>
      <c r="B132" s="17">
        <f>IF(A132="","",A132&amp;" (from IMP-1)")</f>
        <v/>
      </c>
      <c r="C132" s="5" t="n"/>
      <c r="D132" s="5" t="n"/>
      <c r="E132" s="16">
        <f>IF(C132=0,0,D132/C132)</f>
        <v/>
      </c>
      <c r="F132" s="17">
        <f>IF(A132="","",IF(E132&gt;=0.95,"Compliant",IF(E132&gt;=0.8,"Partial","Non-Compliant")))</f>
        <v/>
      </c>
      <c r="G132" s="18" t="n"/>
      <c r="H132" s="5" t="n"/>
      <c r="I132" s="18" t="n"/>
      <c r="J132" s="18" t="n"/>
      <c r="K132" s="19">
        <f>IF(AND(I132&lt;&gt;"",J132&lt;&gt;""),(J132-I132)*24,"")</f>
        <v/>
      </c>
      <c r="L132" s="5" t="n"/>
      <c r="M132" s="5" t="n"/>
      <c r="N132" s="5" t="n"/>
      <c r="O132" s="4" t="n"/>
      <c r="P132" s="5" t="n"/>
    </row>
    <row r="133">
      <c r="A133" s="5" t="n"/>
      <c r="B133" s="17">
        <f>IF(A133="","",A133&amp;" (from IMP-1)")</f>
        <v/>
      </c>
      <c r="C133" s="5" t="n"/>
      <c r="D133" s="5" t="n"/>
      <c r="E133" s="16">
        <f>IF(C133=0,0,D133/C133)</f>
        <v/>
      </c>
      <c r="F133" s="17">
        <f>IF(A133="","",IF(E133&gt;=0.95,"Compliant",IF(E133&gt;=0.8,"Partial","Non-Compliant")))</f>
        <v/>
      </c>
      <c r="G133" s="18" t="n"/>
      <c r="H133" s="5" t="n"/>
      <c r="I133" s="18" t="n"/>
      <c r="J133" s="18" t="n"/>
      <c r="K133" s="19">
        <f>IF(AND(I133&lt;&gt;"",J133&lt;&gt;""),(J133-I133)*24,"")</f>
        <v/>
      </c>
      <c r="L133" s="5" t="n"/>
      <c r="M133" s="5" t="n"/>
      <c r="N133" s="5" t="n"/>
      <c r="O133" s="4" t="n"/>
      <c r="P133" s="5" t="n"/>
    </row>
    <row r="134">
      <c r="A134" s="5" t="n"/>
      <c r="B134" s="17">
        <f>IF(A134="","",A134&amp;" (from IMP-1)")</f>
        <v/>
      </c>
      <c r="C134" s="5" t="n"/>
      <c r="D134" s="5" t="n"/>
      <c r="E134" s="16">
        <f>IF(C134=0,0,D134/C134)</f>
        <v/>
      </c>
      <c r="F134" s="17">
        <f>IF(A134="","",IF(E134&gt;=0.95,"Compliant",IF(E134&gt;=0.8,"Partial","Non-Compliant")))</f>
        <v/>
      </c>
      <c r="G134" s="18" t="n"/>
      <c r="H134" s="5" t="n"/>
      <c r="I134" s="18" t="n"/>
      <c r="J134" s="18" t="n"/>
      <c r="K134" s="19">
        <f>IF(AND(I134&lt;&gt;"",J134&lt;&gt;""),(J134-I134)*24,"")</f>
        <v/>
      </c>
      <c r="L134" s="5" t="n"/>
      <c r="M134" s="5" t="n"/>
      <c r="N134" s="5" t="n"/>
      <c r="O134" s="4" t="n"/>
      <c r="P134" s="5" t="n"/>
    </row>
    <row r="135">
      <c r="A135" s="5" t="n"/>
      <c r="B135" s="17">
        <f>IF(A135="","",A135&amp;" (from IMP-1)")</f>
        <v/>
      </c>
      <c r="C135" s="5" t="n"/>
      <c r="D135" s="5" t="n"/>
      <c r="E135" s="16">
        <f>IF(C135=0,0,D135/C135)</f>
        <v/>
      </c>
      <c r="F135" s="17">
        <f>IF(A135="","",IF(E135&gt;=0.95,"Compliant",IF(E135&gt;=0.8,"Partial","Non-Compliant")))</f>
        <v/>
      </c>
      <c r="G135" s="18" t="n"/>
      <c r="H135" s="5" t="n"/>
      <c r="I135" s="18" t="n"/>
      <c r="J135" s="18" t="n"/>
      <c r="K135" s="19">
        <f>IF(AND(I135&lt;&gt;"",J135&lt;&gt;""),(J135-I135)*24,"")</f>
        <v/>
      </c>
      <c r="L135" s="5" t="n"/>
      <c r="M135" s="5" t="n"/>
      <c r="N135" s="5" t="n"/>
      <c r="O135" s="4" t="n"/>
      <c r="P135" s="5" t="n"/>
    </row>
    <row r="136">
      <c r="A136" s="5" t="n"/>
      <c r="B136" s="17">
        <f>IF(A136="","",A136&amp;" (from IMP-1)")</f>
        <v/>
      </c>
      <c r="C136" s="5" t="n"/>
      <c r="D136" s="5" t="n"/>
      <c r="E136" s="16">
        <f>IF(C136=0,0,D136/C136)</f>
        <v/>
      </c>
      <c r="F136" s="17">
        <f>IF(A136="","",IF(E136&gt;=0.95,"Compliant",IF(E136&gt;=0.8,"Partial","Non-Compliant")))</f>
        <v/>
      </c>
      <c r="G136" s="18" t="n"/>
      <c r="H136" s="5" t="n"/>
      <c r="I136" s="18" t="n"/>
      <c r="J136" s="18" t="n"/>
      <c r="K136" s="19">
        <f>IF(AND(I136&lt;&gt;"",J136&lt;&gt;""),(J136-I136)*24,"")</f>
        <v/>
      </c>
      <c r="L136" s="5" t="n"/>
      <c r="M136" s="5" t="n"/>
      <c r="N136" s="5" t="n"/>
      <c r="O136" s="4" t="n"/>
      <c r="P136" s="5" t="n"/>
    </row>
    <row r="137">
      <c r="A137" s="5" t="n"/>
      <c r="B137" s="17">
        <f>IF(A137="","",A137&amp;" (from IMP-1)")</f>
        <v/>
      </c>
      <c r="C137" s="5" t="n"/>
      <c r="D137" s="5" t="n"/>
      <c r="E137" s="16">
        <f>IF(C137=0,0,D137/C137)</f>
        <v/>
      </c>
      <c r="F137" s="17">
        <f>IF(A137="","",IF(E137&gt;=0.95,"Compliant",IF(E137&gt;=0.8,"Partial","Non-Compliant")))</f>
        <v/>
      </c>
      <c r="G137" s="18" t="n"/>
      <c r="H137" s="5" t="n"/>
      <c r="I137" s="18" t="n"/>
      <c r="J137" s="18" t="n"/>
      <c r="K137" s="19">
        <f>IF(AND(I137&lt;&gt;"",J137&lt;&gt;""),(J137-I137)*24,"")</f>
        <v/>
      </c>
      <c r="L137" s="5" t="n"/>
      <c r="M137" s="5" t="n"/>
      <c r="N137" s="5" t="n"/>
      <c r="O137" s="4" t="n"/>
      <c r="P137" s="5" t="n"/>
    </row>
    <row r="138">
      <c r="A138" s="5" t="n"/>
      <c r="B138" s="17">
        <f>IF(A138="","",A138&amp;" (from IMP-1)")</f>
        <v/>
      </c>
      <c r="C138" s="5" t="n"/>
      <c r="D138" s="5" t="n"/>
      <c r="E138" s="16">
        <f>IF(C138=0,0,D138/C138)</f>
        <v/>
      </c>
      <c r="F138" s="17">
        <f>IF(A138="","",IF(E138&gt;=0.95,"Compliant",IF(E138&gt;=0.8,"Partial","Non-Compliant")))</f>
        <v/>
      </c>
      <c r="G138" s="18" t="n"/>
      <c r="H138" s="5" t="n"/>
      <c r="I138" s="18" t="n"/>
      <c r="J138" s="18" t="n"/>
      <c r="K138" s="19">
        <f>IF(AND(I138&lt;&gt;"",J138&lt;&gt;""),(J138-I138)*24,"")</f>
        <v/>
      </c>
      <c r="L138" s="5" t="n"/>
      <c r="M138" s="5" t="n"/>
      <c r="N138" s="5" t="n"/>
      <c r="O138" s="4" t="n"/>
      <c r="P138" s="5" t="n"/>
    </row>
    <row r="139">
      <c r="A139" s="5" t="n"/>
      <c r="B139" s="17">
        <f>IF(A139="","",A139&amp;" (from IMP-1)")</f>
        <v/>
      </c>
      <c r="C139" s="5" t="n"/>
      <c r="D139" s="5" t="n"/>
      <c r="E139" s="16">
        <f>IF(C139=0,0,D139/C139)</f>
        <v/>
      </c>
      <c r="F139" s="17">
        <f>IF(A139="","",IF(E139&gt;=0.95,"Compliant",IF(E139&gt;=0.8,"Partial","Non-Compliant")))</f>
        <v/>
      </c>
      <c r="G139" s="18" t="n"/>
      <c r="H139" s="5" t="n"/>
      <c r="I139" s="18" t="n"/>
      <c r="J139" s="18" t="n"/>
      <c r="K139" s="19">
        <f>IF(AND(I139&lt;&gt;"",J139&lt;&gt;""),(J139-I139)*24,"")</f>
        <v/>
      </c>
      <c r="L139" s="5" t="n"/>
      <c r="M139" s="5" t="n"/>
      <c r="N139" s="5" t="n"/>
      <c r="O139" s="4" t="n"/>
      <c r="P139" s="5" t="n"/>
    </row>
    <row r="140">
      <c r="A140" s="5" t="n"/>
      <c r="B140" s="17">
        <f>IF(A140="","",A140&amp;" (from IMP-1)")</f>
        <v/>
      </c>
      <c r="C140" s="5" t="n"/>
      <c r="D140" s="5" t="n"/>
      <c r="E140" s="16">
        <f>IF(C140=0,0,D140/C140)</f>
        <v/>
      </c>
      <c r="F140" s="17">
        <f>IF(A140="","",IF(E140&gt;=0.95,"Compliant",IF(E140&gt;=0.8,"Partial","Non-Compliant")))</f>
        <v/>
      </c>
      <c r="G140" s="18" t="n"/>
      <c r="H140" s="5" t="n"/>
      <c r="I140" s="18" t="n"/>
      <c r="J140" s="18" t="n"/>
      <c r="K140" s="19">
        <f>IF(AND(I140&lt;&gt;"",J140&lt;&gt;""),(J140-I140)*24,"")</f>
        <v/>
      </c>
      <c r="L140" s="5" t="n"/>
      <c r="M140" s="5" t="n"/>
      <c r="N140" s="5" t="n"/>
      <c r="O140" s="4" t="n"/>
      <c r="P140" s="5" t="n"/>
    </row>
    <row r="141">
      <c r="A141" s="5" t="n"/>
      <c r="B141" s="17">
        <f>IF(A141="","",A141&amp;" (from IMP-1)")</f>
        <v/>
      </c>
      <c r="C141" s="5" t="n"/>
      <c r="D141" s="5" t="n"/>
      <c r="E141" s="16">
        <f>IF(C141=0,0,D141/C141)</f>
        <v/>
      </c>
      <c r="F141" s="17">
        <f>IF(A141="","",IF(E141&gt;=0.95,"Compliant",IF(E141&gt;=0.8,"Partial","Non-Compliant")))</f>
        <v/>
      </c>
      <c r="G141" s="18" t="n"/>
      <c r="H141" s="5" t="n"/>
      <c r="I141" s="18" t="n"/>
      <c r="J141" s="18" t="n"/>
      <c r="K141" s="19">
        <f>IF(AND(I141&lt;&gt;"",J141&lt;&gt;""),(J141-I141)*24,"")</f>
        <v/>
      </c>
      <c r="L141" s="5" t="n"/>
      <c r="M141" s="5" t="n"/>
      <c r="N141" s="5" t="n"/>
      <c r="O141" s="4" t="n"/>
      <c r="P141" s="5" t="n"/>
    </row>
    <row r="142">
      <c r="A142" s="5" t="n"/>
      <c r="B142" s="17">
        <f>IF(A142="","",A142&amp;" (from IMP-1)")</f>
        <v/>
      </c>
      <c r="C142" s="5" t="n"/>
      <c r="D142" s="5" t="n"/>
      <c r="E142" s="16">
        <f>IF(C142=0,0,D142/C142)</f>
        <v/>
      </c>
      <c r="F142" s="17">
        <f>IF(A142="","",IF(E142&gt;=0.95,"Compliant",IF(E142&gt;=0.8,"Partial","Non-Compliant")))</f>
        <v/>
      </c>
      <c r="G142" s="18" t="n"/>
      <c r="H142" s="5" t="n"/>
      <c r="I142" s="18" t="n"/>
      <c r="J142" s="18" t="n"/>
      <c r="K142" s="19">
        <f>IF(AND(I142&lt;&gt;"",J142&lt;&gt;""),(J142-I142)*24,"")</f>
        <v/>
      </c>
      <c r="L142" s="5" t="n"/>
      <c r="M142" s="5" t="n"/>
      <c r="N142" s="5" t="n"/>
      <c r="O142" s="4" t="n"/>
      <c r="P142" s="5" t="n"/>
    </row>
    <row r="143">
      <c r="A143" s="5" t="n"/>
      <c r="B143" s="17">
        <f>IF(A143="","",A143&amp;" (from IMP-1)")</f>
        <v/>
      </c>
      <c r="C143" s="5" t="n"/>
      <c r="D143" s="5" t="n"/>
      <c r="E143" s="16">
        <f>IF(C143=0,0,D143/C143)</f>
        <v/>
      </c>
      <c r="F143" s="17">
        <f>IF(A143="","",IF(E143&gt;=0.95,"Compliant",IF(E143&gt;=0.8,"Partial","Non-Compliant")))</f>
        <v/>
      </c>
      <c r="G143" s="18" t="n"/>
      <c r="H143" s="5" t="n"/>
      <c r="I143" s="18" t="n"/>
      <c r="J143" s="18" t="n"/>
      <c r="K143" s="19">
        <f>IF(AND(I143&lt;&gt;"",J143&lt;&gt;""),(J143-I143)*24,"")</f>
        <v/>
      </c>
      <c r="L143" s="5" t="n"/>
      <c r="M143" s="5" t="n"/>
      <c r="N143" s="5" t="n"/>
      <c r="O143" s="4" t="n"/>
      <c r="P143" s="5" t="n"/>
    </row>
    <row r="144">
      <c r="A144" s="5" t="n"/>
      <c r="B144" s="17">
        <f>IF(A144="","",A144&amp;" (from IMP-1)")</f>
        <v/>
      </c>
      <c r="C144" s="5" t="n"/>
      <c r="D144" s="5" t="n"/>
      <c r="E144" s="16">
        <f>IF(C144=0,0,D144/C144)</f>
        <v/>
      </c>
      <c r="F144" s="17">
        <f>IF(A144="","",IF(E144&gt;=0.95,"Compliant",IF(E144&gt;=0.8,"Partial","Non-Compliant")))</f>
        <v/>
      </c>
      <c r="G144" s="18" t="n"/>
      <c r="H144" s="5" t="n"/>
      <c r="I144" s="18" t="n"/>
      <c r="J144" s="18" t="n"/>
      <c r="K144" s="19">
        <f>IF(AND(I144&lt;&gt;"",J144&lt;&gt;""),(J144-I144)*24,"")</f>
        <v/>
      </c>
      <c r="L144" s="5" t="n"/>
      <c r="M144" s="5" t="n"/>
      <c r="N144" s="5" t="n"/>
      <c r="O144" s="4" t="n"/>
      <c r="P144" s="5" t="n"/>
    </row>
    <row r="145">
      <c r="A145" s="5" t="n"/>
      <c r="B145" s="17">
        <f>IF(A145="","",A145&amp;" (from IMP-1)")</f>
        <v/>
      </c>
      <c r="C145" s="5" t="n"/>
      <c r="D145" s="5" t="n"/>
      <c r="E145" s="16">
        <f>IF(C145=0,0,D145/C145)</f>
        <v/>
      </c>
      <c r="F145" s="17">
        <f>IF(A145="","",IF(E145&gt;=0.95,"Compliant",IF(E145&gt;=0.8,"Partial","Non-Compliant")))</f>
        <v/>
      </c>
      <c r="G145" s="18" t="n"/>
      <c r="H145" s="5" t="n"/>
      <c r="I145" s="18" t="n"/>
      <c r="J145" s="18" t="n"/>
      <c r="K145" s="19">
        <f>IF(AND(I145&lt;&gt;"",J145&lt;&gt;""),(J145-I145)*24,"")</f>
        <v/>
      </c>
      <c r="L145" s="5" t="n"/>
      <c r="M145" s="5" t="n"/>
      <c r="N145" s="5" t="n"/>
      <c r="O145" s="4" t="n"/>
      <c r="P145" s="5" t="n"/>
    </row>
    <row r="146">
      <c r="A146" s="5" t="n"/>
      <c r="B146" s="17">
        <f>IF(A146="","",A146&amp;" (from IMP-1)")</f>
        <v/>
      </c>
      <c r="C146" s="5" t="n"/>
      <c r="D146" s="5" t="n"/>
      <c r="E146" s="16">
        <f>IF(C146=0,0,D146/C146)</f>
        <v/>
      </c>
      <c r="F146" s="17">
        <f>IF(A146="","",IF(E146&gt;=0.95,"Compliant",IF(E146&gt;=0.8,"Partial","Non-Compliant")))</f>
        <v/>
      </c>
      <c r="G146" s="18" t="n"/>
      <c r="H146" s="5" t="n"/>
      <c r="I146" s="18" t="n"/>
      <c r="J146" s="18" t="n"/>
      <c r="K146" s="19">
        <f>IF(AND(I146&lt;&gt;"",J146&lt;&gt;""),(J146-I146)*24,"")</f>
        <v/>
      </c>
      <c r="L146" s="5" t="n"/>
      <c r="M146" s="5" t="n"/>
      <c r="N146" s="5" t="n"/>
      <c r="O146" s="4" t="n"/>
      <c r="P146" s="5" t="n"/>
    </row>
    <row r="147">
      <c r="A147" s="5" t="n"/>
      <c r="B147" s="17">
        <f>IF(A147="","",A147&amp;" (from IMP-1)")</f>
        <v/>
      </c>
      <c r="C147" s="5" t="n"/>
      <c r="D147" s="5" t="n"/>
      <c r="E147" s="16">
        <f>IF(C147=0,0,D147/C147)</f>
        <v/>
      </c>
      <c r="F147" s="17">
        <f>IF(A147="","",IF(E147&gt;=0.95,"Compliant",IF(E147&gt;=0.8,"Partial","Non-Compliant")))</f>
        <v/>
      </c>
      <c r="G147" s="18" t="n"/>
      <c r="H147" s="5" t="n"/>
      <c r="I147" s="18" t="n"/>
      <c r="J147" s="18" t="n"/>
      <c r="K147" s="19">
        <f>IF(AND(I147&lt;&gt;"",J147&lt;&gt;""),(J147-I147)*24,"")</f>
        <v/>
      </c>
      <c r="L147" s="5" t="n"/>
      <c r="M147" s="5" t="n"/>
      <c r="N147" s="5" t="n"/>
      <c r="O147" s="4" t="n"/>
      <c r="P147" s="5" t="n"/>
    </row>
    <row r="148">
      <c r="A148" s="5" t="n"/>
      <c r="B148" s="17">
        <f>IF(A148="","",A148&amp;" (from IMP-1)")</f>
        <v/>
      </c>
      <c r="C148" s="5" t="n"/>
      <c r="D148" s="5" t="n"/>
      <c r="E148" s="16">
        <f>IF(C148=0,0,D148/C148)</f>
        <v/>
      </c>
      <c r="F148" s="17">
        <f>IF(A148="","",IF(E148&gt;=0.95,"Compliant",IF(E148&gt;=0.8,"Partial","Non-Compliant")))</f>
        <v/>
      </c>
      <c r="G148" s="18" t="n"/>
      <c r="H148" s="5" t="n"/>
      <c r="I148" s="18" t="n"/>
      <c r="J148" s="18" t="n"/>
      <c r="K148" s="19">
        <f>IF(AND(I148&lt;&gt;"",J148&lt;&gt;""),(J148-I148)*24,"")</f>
        <v/>
      </c>
      <c r="L148" s="5" t="n"/>
      <c r="M148" s="5" t="n"/>
      <c r="N148" s="5" t="n"/>
      <c r="O148" s="4" t="n"/>
      <c r="P148" s="5" t="n"/>
    </row>
    <row r="149">
      <c r="A149" s="5" t="n"/>
      <c r="B149" s="17">
        <f>IF(A149="","",A149&amp;" (from IMP-1)")</f>
        <v/>
      </c>
      <c r="C149" s="5" t="n"/>
      <c r="D149" s="5" t="n"/>
      <c r="E149" s="16">
        <f>IF(C149=0,0,D149/C149)</f>
        <v/>
      </c>
      <c r="F149" s="17">
        <f>IF(A149="","",IF(E149&gt;=0.95,"Compliant",IF(E149&gt;=0.8,"Partial","Non-Compliant")))</f>
        <v/>
      </c>
      <c r="G149" s="18" t="n"/>
      <c r="H149" s="5" t="n"/>
      <c r="I149" s="18" t="n"/>
      <c r="J149" s="18" t="n"/>
      <c r="K149" s="19">
        <f>IF(AND(I149&lt;&gt;"",J149&lt;&gt;""),(J149-I149)*24,"")</f>
        <v/>
      </c>
      <c r="L149" s="5" t="n"/>
      <c r="M149" s="5" t="n"/>
      <c r="N149" s="5" t="n"/>
      <c r="O149" s="4" t="n"/>
      <c r="P149" s="5" t="n"/>
    </row>
    <row r="150">
      <c r="A150" s="5" t="n"/>
      <c r="B150" s="17">
        <f>IF(A150="","",A150&amp;" (from IMP-1)")</f>
        <v/>
      </c>
      <c r="C150" s="5" t="n"/>
      <c r="D150" s="5" t="n"/>
      <c r="E150" s="16">
        <f>IF(C150=0,0,D150/C150)</f>
        <v/>
      </c>
      <c r="F150" s="17">
        <f>IF(A150="","",IF(E150&gt;=0.95,"Compliant",IF(E150&gt;=0.8,"Partial","Non-Compliant")))</f>
        <v/>
      </c>
      <c r="G150" s="18" t="n"/>
      <c r="H150" s="5" t="n"/>
      <c r="I150" s="18" t="n"/>
      <c r="J150" s="18" t="n"/>
      <c r="K150" s="19">
        <f>IF(AND(I150&lt;&gt;"",J150&lt;&gt;""),(J150-I150)*24,"")</f>
        <v/>
      </c>
      <c r="L150" s="5" t="n"/>
      <c r="M150" s="5" t="n"/>
      <c r="N150" s="5" t="n"/>
      <c r="O150" s="4" t="n"/>
      <c r="P150" s="5" t="n"/>
    </row>
    <row r="151">
      <c r="A151" s="5" t="n"/>
      <c r="B151" s="17">
        <f>IF(A151="","",A151&amp;" (from IMP-1)")</f>
        <v/>
      </c>
      <c r="C151" s="5" t="n"/>
      <c r="D151" s="5" t="n"/>
      <c r="E151" s="16">
        <f>IF(C151=0,0,D151/C151)</f>
        <v/>
      </c>
      <c r="F151" s="17">
        <f>IF(A151="","",IF(E151&gt;=0.95,"Compliant",IF(E151&gt;=0.8,"Partial","Non-Compliant")))</f>
        <v/>
      </c>
      <c r="G151" s="18" t="n"/>
      <c r="H151" s="5" t="n"/>
      <c r="I151" s="18" t="n"/>
      <c r="J151" s="18" t="n"/>
      <c r="K151" s="19">
        <f>IF(AND(I151&lt;&gt;"",J151&lt;&gt;""),(J151-I151)*24,"")</f>
        <v/>
      </c>
      <c r="L151" s="5" t="n"/>
      <c r="M151" s="5" t="n"/>
      <c r="N151" s="5" t="n"/>
      <c r="O151" s="4" t="n"/>
      <c r="P151" s="5" t="n"/>
    </row>
    <row r="152">
      <c r="A152" s="5" t="n"/>
      <c r="B152" s="17">
        <f>IF(A152="","",A152&amp;" (from IMP-1)")</f>
        <v/>
      </c>
      <c r="C152" s="5" t="n"/>
      <c r="D152" s="5" t="n"/>
      <c r="E152" s="16">
        <f>IF(C152=0,0,D152/C152)</f>
        <v/>
      </c>
      <c r="F152" s="17">
        <f>IF(A152="","",IF(E152&gt;=0.95,"Compliant",IF(E152&gt;=0.8,"Partial","Non-Compliant")))</f>
        <v/>
      </c>
      <c r="G152" s="18" t="n"/>
      <c r="H152" s="5" t="n"/>
      <c r="I152" s="18" t="n"/>
      <c r="J152" s="18" t="n"/>
      <c r="K152" s="19">
        <f>IF(AND(I152&lt;&gt;"",J152&lt;&gt;""),(J152-I152)*24,"")</f>
        <v/>
      </c>
      <c r="L152" s="5" t="n"/>
      <c r="M152" s="5" t="n"/>
      <c r="N152" s="5" t="n"/>
      <c r="O152" s="4" t="n"/>
      <c r="P152" s="5" t="n"/>
    </row>
    <row r="153">
      <c r="A153" s="5" t="n"/>
      <c r="B153" s="17">
        <f>IF(A153="","",A153&amp;" (from IMP-1)")</f>
        <v/>
      </c>
      <c r="C153" s="5" t="n"/>
      <c r="D153" s="5" t="n"/>
      <c r="E153" s="16">
        <f>IF(C153=0,0,D153/C153)</f>
        <v/>
      </c>
      <c r="F153" s="17">
        <f>IF(A153="","",IF(E153&gt;=0.95,"Compliant",IF(E153&gt;=0.8,"Partial","Non-Compliant")))</f>
        <v/>
      </c>
      <c r="G153" s="18" t="n"/>
      <c r="H153" s="5" t="n"/>
      <c r="I153" s="18" t="n"/>
      <c r="J153" s="18" t="n"/>
      <c r="K153" s="19">
        <f>IF(AND(I153&lt;&gt;"",J153&lt;&gt;""),(J153-I153)*24,"")</f>
        <v/>
      </c>
      <c r="L153" s="5" t="n"/>
      <c r="M153" s="5" t="n"/>
      <c r="N153" s="5" t="n"/>
      <c r="O153" s="4" t="n"/>
      <c r="P153" s="5" t="n"/>
    </row>
    <row r="154">
      <c r="A154" s="5" t="n"/>
      <c r="B154" s="17">
        <f>IF(A154="","",A154&amp;" (from IMP-1)")</f>
        <v/>
      </c>
      <c r="C154" s="5" t="n"/>
      <c r="D154" s="5" t="n"/>
      <c r="E154" s="16">
        <f>IF(C154=0,0,D154/C154)</f>
        <v/>
      </c>
      <c r="F154" s="17">
        <f>IF(A154="","",IF(E154&gt;=0.95,"Compliant",IF(E154&gt;=0.8,"Partial","Non-Compliant")))</f>
        <v/>
      </c>
      <c r="G154" s="18" t="n"/>
      <c r="H154" s="5" t="n"/>
      <c r="I154" s="18" t="n"/>
      <c r="J154" s="18" t="n"/>
      <c r="K154" s="19">
        <f>IF(AND(I154&lt;&gt;"",J154&lt;&gt;""),(J154-I154)*24,"")</f>
        <v/>
      </c>
      <c r="L154" s="5" t="n"/>
      <c r="M154" s="5" t="n"/>
      <c r="N154" s="5" t="n"/>
      <c r="O154" s="4" t="n"/>
      <c r="P154" s="5" t="n"/>
    </row>
    <row r="155">
      <c r="A155" s="5" t="n"/>
      <c r="B155" s="17">
        <f>IF(A155="","",A155&amp;" (from IMP-1)")</f>
        <v/>
      </c>
      <c r="C155" s="5" t="n"/>
      <c r="D155" s="5" t="n"/>
      <c r="E155" s="16">
        <f>IF(C155=0,0,D155/C155)</f>
        <v/>
      </c>
      <c r="F155" s="17">
        <f>IF(A155="","",IF(E155&gt;=0.95,"Compliant",IF(E155&gt;=0.8,"Partial","Non-Compliant")))</f>
        <v/>
      </c>
      <c r="G155" s="18" t="n"/>
      <c r="H155" s="5" t="n"/>
      <c r="I155" s="18" t="n"/>
      <c r="J155" s="18" t="n"/>
      <c r="K155" s="19">
        <f>IF(AND(I155&lt;&gt;"",J155&lt;&gt;""),(J155-I155)*24,"")</f>
        <v/>
      </c>
      <c r="L155" s="5" t="n"/>
      <c r="M155" s="5" t="n"/>
      <c r="N155" s="5" t="n"/>
      <c r="O155" s="4" t="n"/>
      <c r="P155" s="5" t="n"/>
    </row>
    <row r="156">
      <c r="A156" s="5" t="n"/>
      <c r="B156" s="17">
        <f>IF(A156="","",A156&amp;" (from IMP-1)")</f>
        <v/>
      </c>
      <c r="C156" s="5" t="n"/>
      <c r="D156" s="5" t="n"/>
      <c r="E156" s="16">
        <f>IF(C156=0,0,D156/C156)</f>
        <v/>
      </c>
      <c r="F156" s="17">
        <f>IF(A156="","",IF(E156&gt;=0.95,"Compliant",IF(E156&gt;=0.8,"Partial","Non-Compliant")))</f>
        <v/>
      </c>
      <c r="G156" s="18" t="n"/>
      <c r="H156" s="5" t="n"/>
      <c r="I156" s="18" t="n"/>
      <c r="J156" s="18" t="n"/>
      <c r="K156" s="19">
        <f>IF(AND(I156&lt;&gt;"",J156&lt;&gt;""),(J156-I156)*24,"")</f>
        <v/>
      </c>
      <c r="L156" s="5" t="n"/>
      <c r="M156" s="5" t="n"/>
      <c r="N156" s="5" t="n"/>
      <c r="O156" s="4" t="n"/>
      <c r="P156" s="5" t="n"/>
    </row>
    <row r="157">
      <c r="A157" s="5" t="n"/>
      <c r="B157" s="17">
        <f>IF(A157="","",A157&amp;" (from IMP-1)")</f>
        <v/>
      </c>
      <c r="C157" s="5" t="n"/>
      <c r="D157" s="5" t="n"/>
      <c r="E157" s="16">
        <f>IF(C157=0,0,D157/C157)</f>
        <v/>
      </c>
      <c r="F157" s="17">
        <f>IF(A157="","",IF(E157&gt;=0.95,"Compliant",IF(E157&gt;=0.8,"Partial","Non-Compliant")))</f>
        <v/>
      </c>
      <c r="G157" s="18" t="n"/>
      <c r="H157" s="5" t="n"/>
      <c r="I157" s="18" t="n"/>
      <c r="J157" s="18" t="n"/>
      <c r="K157" s="19">
        <f>IF(AND(I157&lt;&gt;"",J157&lt;&gt;""),(J157-I157)*24,"")</f>
        <v/>
      </c>
      <c r="L157" s="5" t="n"/>
      <c r="M157" s="5" t="n"/>
      <c r="N157" s="5" t="n"/>
      <c r="O157" s="4" t="n"/>
      <c r="P157" s="5" t="n"/>
    </row>
    <row r="158">
      <c r="A158" s="5" t="n"/>
      <c r="B158" s="17">
        <f>IF(A158="","",A158&amp;" (from IMP-1)")</f>
        <v/>
      </c>
      <c r="C158" s="5" t="n"/>
      <c r="D158" s="5" t="n"/>
      <c r="E158" s="16">
        <f>IF(C158=0,0,D158/C158)</f>
        <v/>
      </c>
      <c r="F158" s="17">
        <f>IF(A158="","",IF(E158&gt;=0.95,"Compliant",IF(E158&gt;=0.8,"Partial","Non-Compliant")))</f>
        <v/>
      </c>
      <c r="G158" s="18" t="n"/>
      <c r="H158" s="5" t="n"/>
      <c r="I158" s="18" t="n"/>
      <c r="J158" s="18" t="n"/>
      <c r="K158" s="19">
        <f>IF(AND(I158&lt;&gt;"",J158&lt;&gt;""),(J158-I158)*24,"")</f>
        <v/>
      </c>
      <c r="L158" s="5" t="n"/>
      <c r="M158" s="5" t="n"/>
      <c r="N158" s="5" t="n"/>
      <c r="O158" s="4" t="n"/>
      <c r="P158" s="5" t="n"/>
    </row>
    <row r="159">
      <c r="A159" s="5" t="n"/>
      <c r="B159" s="17">
        <f>IF(A159="","",A159&amp;" (from IMP-1)")</f>
        <v/>
      </c>
      <c r="C159" s="5" t="n"/>
      <c r="D159" s="5" t="n"/>
      <c r="E159" s="16">
        <f>IF(C159=0,0,D159/C159)</f>
        <v/>
      </c>
      <c r="F159" s="17">
        <f>IF(A159="","",IF(E159&gt;=0.95,"Compliant",IF(E159&gt;=0.8,"Partial","Non-Compliant")))</f>
        <v/>
      </c>
      <c r="G159" s="18" t="n"/>
      <c r="H159" s="5" t="n"/>
      <c r="I159" s="18" t="n"/>
      <c r="J159" s="18" t="n"/>
      <c r="K159" s="19">
        <f>IF(AND(I159&lt;&gt;"",J159&lt;&gt;""),(J159-I159)*24,"")</f>
        <v/>
      </c>
      <c r="L159" s="5" t="n"/>
      <c r="M159" s="5" t="n"/>
      <c r="N159" s="5" t="n"/>
      <c r="O159" s="4" t="n"/>
      <c r="P159" s="5" t="n"/>
    </row>
    <row r="160">
      <c r="A160" s="5" t="n"/>
      <c r="B160" s="17">
        <f>IF(A160="","",A160&amp;" (from IMP-1)")</f>
        <v/>
      </c>
      <c r="C160" s="5" t="n"/>
      <c r="D160" s="5" t="n"/>
      <c r="E160" s="16">
        <f>IF(C160=0,0,D160/C160)</f>
        <v/>
      </c>
      <c r="F160" s="17">
        <f>IF(A160="","",IF(E160&gt;=0.95,"Compliant",IF(E160&gt;=0.8,"Partial","Non-Compliant")))</f>
        <v/>
      </c>
      <c r="G160" s="18" t="n"/>
      <c r="H160" s="5" t="n"/>
      <c r="I160" s="18" t="n"/>
      <c r="J160" s="18" t="n"/>
      <c r="K160" s="19">
        <f>IF(AND(I160&lt;&gt;"",J160&lt;&gt;""),(J160-I160)*24,"")</f>
        <v/>
      </c>
      <c r="L160" s="5" t="n"/>
      <c r="M160" s="5" t="n"/>
      <c r="N160" s="5" t="n"/>
      <c r="O160" s="4" t="n"/>
      <c r="P160" s="5" t="n"/>
    </row>
    <row r="161">
      <c r="A161" s="5" t="n"/>
      <c r="B161" s="17">
        <f>IF(A161="","",A161&amp;" (from IMP-1)")</f>
        <v/>
      </c>
      <c r="C161" s="5" t="n"/>
      <c r="D161" s="5" t="n"/>
      <c r="E161" s="16">
        <f>IF(C161=0,0,D161/C161)</f>
        <v/>
      </c>
      <c r="F161" s="17">
        <f>IF(A161="","",IF(E161&gt;=0.95,"Compliant",IF(E161&gt;=0.8,"Partial","Non-Compliant")))</f>
        <v/>
      </c>
      <c r="G161" s="18" t="n"/>
      <c r="H161" s="5" t="n"/>
      <c r="I161" s="18" t="n"/>
      <c r="J161" s="18" t="n"/>
      <c r="K161" s="19">
        <f>IF(AND(I161&lt;&gt;"",J161&lt;&gt;""),(J161-I161)*24,"")</f>
        <v/>
      </c>
      <c r="L161" s="5" t="n"/>
      <c r="M161" s="5" t="n"/>
      <c r="N161" s="5" t="n"/>
      <c r="O161" s="4" t="n"/>
      <c r="P161" s="5" t="n"/>
    </row>
    <row r="162">
      <c r="A162" s="5" t="n"/>
      <c r="B162" s="17">
        <f>IF(A162="","",A162&amp;" (from IMP-1)")</f>
        <v/>
      </c>
      <c r="C162" s="5" t="n"/>
      <c r="D162" s="5" t="n"/>
      <c r="E162" s="16">
        <f>IF(C162=0,0,D162/C162)</f>
        <v/>
      </c>
      <c r="F162" s="17">
        <f>IF(A162="","",IF(E162&gt;=0.95,"Compliant",IF(E162&gt;=0.8,"Partial","Non-Compliant")))</f>
        <v/>
      </c>
      <c r="G162" s="18" t="n"/>
      <c r="H162" s="5" t="n"/>
      <c r="I162" s="18" t="n"/>
      <c r="J162" s="18" t="n"/>
      <c r="K162" s="19">
        <f>IF(AND(I162&lt;&gt;"",J162&lt;&gt;""),(J162-I162)*24,"")</f>
        <v/>
      </c>
      <c r="L162" s="5" t="n"/>
      <c r="M162" s="5" t="n"/>
      <c r="N162" s="5" t="n"/>
      <c r="O162" s="4" t="n"/>
      <c r="P162" s="5" t="n"/>
    </row>
    <row r="163">
      <c r="A163" s="5" t="n"/>
      <c r="B163" s="17">
        <f>IF(A163="","",A163&amp;" (from IMP-1)")</f>
        <v/>
      </c>
      <c r="C163" s="5" t="n"/>
      <c r="D163" s="5" t="n"/>
      <c r="E163" s="16">
        <f>IF(C163=0,0,D163/C163)</f>
        <v/>
      </c>
      <c r="F163" s="17">
        <f>IF(A163="","",IF(E163&gt;=0.95,"Compliant",IF(E163&gt;=0.8,"Partial","Non-Compliant")))</f>
        <v/>
      </c>
      <c r="G163" s="18" t="n"/>
      <c r="H163" s="5" t="n"/>
      <c r="I163" s="18" t="n"/>
      <c r="J163" s="18" t="n"/>
      <c r="K163" s="19">
        <f>IF(AND(I163&lt;&gt;"",J163&lt;&gt;""),(J163-I163)*24,"")</f>
        <v/>
      </c>
      <c r="L163" s="5" t="n"/>
      <c r="M163" s="5" t="n"/>
      <c r="N163" s="5" t="n"/>
      <c r="O163" s="4" t="n"/>
      <c r="P163" s="5" t="n"/>
    </row>
    <row r="164">
      <c r="A164" s="5" t="n"/>
      <c r="B164" s="17">
        <f>IF(A164="","",A164&amp;" (from IMP-1)")</f>
        <v/>
      </c>
      <c r="C164" s="5" t="n"/>
      <c r="D164" s="5" t="n"/>
      <c r="E164" s="16">
        <f>IF(C164=0,0,D164/C164)</f>
        <v/>
      </c>
      <c r="F164" s="17">
        <f>IF(A164="","",IF(E164&gt;=0.95,"Compliant",IF(E164&gt;=0.8,"Partial","Non-Compliant")))</f>
        <v/>
      </c>
      <c r="G164" s="18" t="n"/>
      <c r="H164" s="5" t="n"/>
      <c r="I164" s="18" t="n"/>
      <c r="J164" s="18" t="n"/>
      <c r="K164" s="19">
        <f>IF(AND(I164&lt;&gt;"",J164&lt;&gt;""),(J164-I164)*24,"")</f>
        <v/>
      </c>
      <c r="L164" s="5" t="n"/>
      <c r="M164" s="5" t="n"/>
      <c r="N164" s="5" t="n"/>
      <c r="O164" s="4" t="n"/>
      <c r="P164" s="5" t="n"/>
    </row>
    <row r="165">
      <c r="A165" s="5" t="n"/>
      <c r="B165" s="17">
        <f>IF(A165="","",A165&amp;" (from IMP-1)")</f>
        <v/>
      </c>
      <c r="C165" s="5" t="n"/>
      <c r="D165" s="5" t="n"/>
      <c r="E165" s="16">
        <f>IF(C165=0,0,D165/C165)</f>
        <v/>
      </c>
      <c r="F165" s="17">
        <f>IF(A165="","",IF(E165&gt;=0.95,"Compliant",IF(E165&gt;=0.8,"Partial","Non-Compliant")))</f>
        <v/>
      </c>
      <c r="G165" s="18" t="n"/>
      <c r="H165" s="5" t="n"/>
      <c r="I165" s="18" t="n"/>
      <c r="J165" s="18" t="n"/>
      <c r="K165" s="19">
        <f>IF(AND(I165&lt;&gt;"",J165&lt;&gt;""),(J165-I165)*24,"")</f>
        <v/>
      </c>
      <c r="L165" s="5" t="n"/>
      <c r="M165" s="5" t="n"/>
      <c r="N165" s="5" t="n"/>
      <c r="O165" s="4" t="n"/>
      <c r="P165" s="5" t="n"/>
    </row>
    <row r="166">
      <c r="A166" s="5" t="n"/>
      <c r="B166" s="17">
        <f>IF(A166="","",A166&amp;" (from IMP-1)")</f>
        <v/>
      </c>
      <c r="C166" s="5" t="n"/>
      <c r="D166" s="5" t="n"/>
      <c r="E166" s="16">
        <f>IF(C166=0,0,D166/C166)</f>
        <v/>
      </c>
      <c r="F166" s="17">
        <f>IF(A166="","",IF(E166&gt;=0.95,"Compliant",IF(E166&gt;=0.8,"Partial","Non-Compliant")))</f>
        <v/>
      </c>
      <c r="G166" s="18" t="n"/>
      <c r="H166" s="5" t="n"/>
      <c r="I166" s="18" t="n"/>
      <c r="J166" s="18" t="n"/>
      <c r="K166" s="19">
        <f>IF(AND(I166&lt;&gt;"",J166&lt;&gt;""),(J166-I166)*24,"")</f>
        <v/>
      </c>
      <c r="L166" s="5" t="n"/>
      <c r="M166" s="5" t="n"/>
      <c r="N166" s="5" t="n"/>
      <c r="O166" s="4" t="n"/>
      <c r="P166" s="5" t="n"/>
    </row>
    <row r="167">
      <c r="A167" s="5" t="n"/>
      <c r="B167" s="17">
        <f>IF(A167="","",A167&amp;" (from IMP-1)")</f>
        <v/>
      </c>
      <c r="C167" s="5" t="n"/>
      <c r="D167" s="5" t="n"/>
      <c r="E167" s="16">
        <f>IF(C167=0,0,D167/C167)</f>
        <v/>
      </c>
      <c r="F167" s="17">
        <f>IF(A167="","",IF(E167&gt;=0.95,"Compliant",IF(E167&gt;=0.8,"Partial","Non-Compliant")))</f>
        <v/>
      </c>
      <c r="G167" s="18" t="n"/>
      <c r="H167" s="5" t="n"/>
      <c r="I167" s="18" t="n"/>
      <c r="J167" s="18" t="n"/>
      <c r="K167" s="19">
        <f>IF(AND(I167&lt;&gt;"",J167&lt;&gt;""),(J167-I167)*24,"")</f>
        <v/>
      </c>
      <c r="L167" s="5" t="n"/>
      <c r="M167" s="5" t="n"/>
      <c r="N167" s="5" t="n"/>
      <c r="O167" s="4" t="n"/>
      <c r="P167" s="5" t="n"/>
    </row>
    <row r="168">
      <c r="A168" s="5" t="n"/>
      <c r="B168" s="17">
        <f>IF(A168="","",A168&amp;" (from IMP-1)")</f>
        <v/>
      </c>
      <c r="C168" s="5" t="n"/>
      <c r="D168" s="5" t="n"/>
      <c r="E168" s="16">
        <f>IF(C168=0,0,D168/C168)</f>
        <v/>
      </c>
      <c r="F168" s="17">
        <f>IF(A168="","",IF(E168&gt;=0.95,"Compliant",IF(E168&gt;=0.8,"Partial","Non-Compliant")))</f>
        <v/>
      </c>
      <c r="G168" s="18" t="n"/>
      <c r="H168" s="5" t="n"/>
      <c r="I168" s="18" t="n"/>
      <c r="J168" s="18" t="n"/>
      <c r="K168" s="19">
        <f>IF(AND(I168&lt;&gt;"",J168&lt;&gt;""),(J168-I168)*24,"")</f>
        <v/>
      </c>
      <c r="L168" s="5" t="n"/>
      <c r="M168" s="5" t="n"/>
      <c r="N168" s="5" t="n"/>
      <c r="O168" s="4" t="n"/>
      <c r="P168" s="5" t="n"/>
    </row>
    <row r="169">
      <c r="A169" s="5" t="n"/>
      <c r="B169" s="17">
        <f>IF(A169="","",A169&amp;" (from IMP-1)")</f>
        <v/>
      </c>
      <c r="C169" s="5" t="n"/>
      <c r="D169" s="5" t="n"/>
      <c r="E169" s="16">
        <f>IF(C169=0,0,D169/C169)</f>
        <v/>
      </c>
      <c r="F169" s="17">
        <f>IF(A169="","",IF(E169&gt;=0.95,"Compliant",IF(E169&gt;=0.8,"Partial","Non-Compliant")))</f>
        <v/>
      </c>
      <c r="G169" s="18" t="n"/>
      <c r="H169" s="5" t="n"/>
      <c r="I169" s="18" t="n"/>
      <c r="J169" s="18" t="n"/>
      <c r="K169" s="19">
        <f>IF(AND(I169&lt;&gt;"",J169&lt;&gt;""),(J169-I169)*24,"")</f>
        <v/>
      </c>
      <c r="L169" s="5" t="n"/>
      <c r="M169" s="5" t="n"/>
      <c r="N169" s="5" t="n"/>
      <c r="O169" s="4" t="n"/>
      <c r="P169" s="5" t="n"/>
    </row>
    <row r="170">
      <c r="A170" s="5" t="n"/>
      <c r="B170" s="17">
        <f>IF(A170="","",A170&amp;" (from IMP-1)")</f>
        <v/>
      </c>
      <c r="C170" s="5" t="n"/>
      <c r="D170" s="5" t="n"/>
      <c r="E170" s="16">
        <f>IF(C170=0,0,D170/C170)</f>
        <v/>
      </c>
      <c r="F170" s="17">
        <f>IF(A170="","",IF(E170&gt;=0.95,"Compliant",IF(E170&gt;=0.8,"Partial","Non-Compliant")))</f>
        <v/>
      </c>
      <c r="G170" s="18" t="n"/>
      <c r="H170" s="5" t="n"/>
      <c r="I170" s="18" t="n"/>
      <c r="J170" s="18" t="n"/>
      <c r="K170" s="19">
        <f>IF(AND(I170&lt;&gt;"",J170&lt;&gt;""),(J170-I170)*24,"")</f>
        <v/>
      </c>
      <c r="L170" s="5" t="n"/>
      <c r="M170" s="5" t="n"/>
      <c r="N170" s="5" t="n"/>
      <c r="O170" s="4" t="n"/>
      <c r="P170" s="5" t="n"/>
    </row>
    <row r="171">
      <c r="A171" s="5" t="n"/>
      <c r="B171" s="17">
        <f>IF(A171="","",A171&amp;" (from IMP-1)")</f>
        <v/>
      </c>
      <c r="C171" s="5" t="n"/>
      <c r="D171" s="5" t="n"/>
      <c r="E171" s="16">
        <f>IF(C171=0,0,D171/C171)</f>
        <v/>
      </c>
      <c r="F171" s="17">
        <f>IF(A171="","",IF(E171&gt;=0.95,"Compliant",IF(E171&gt;=0.8,"Partial","Non-Compliant")))</f>
        <v/>
      </c>
      <c r="G171" s="18" t="n"/>
      <c r="H171" s="5" t="n"/>
      <c r="I171" s="18" t="n"/>
      <c r="J171" s="18" t="n"/>
      <c r="K171" s="19">
        <f>IF(AND(I171&lt;&gt;"",J171&lt;&gt;""),(J171-I171)*24,"")</f>
        <v/>
      </c>
      <c r="L171" s="5" t="n"/>
      <c r="M171" s="5" t="n"/>
      <c r="N171" s="5" t="n"/>
      <c r="O171" s="4" t="n"/>
      <c r="P171" s="5" t="n"/>
    </row>
    <row r="172">
      <c r="A172" s="5" t="n"/>
      <c r="B172" s="17">
        <f>IF(A172="","",A172&amp;" (from IMP-1)")</f>
        <v/>
      </c>
      <c r="C172" s="5" t="n"/>
      <c r="D172" s="5" t="n"/>
      <c r="E172" s="16">
        <f>IF(C172=0,0,D172/C172)</f>
        <v/>
      </c>
      <c r="F172" s="17">
        <f>IF(A172="","",IF(E172&gt;=0.95,"Compliant",IF(E172&gt;=0.8,"Partial","Non-Compliant")))</f>
        <v/>
      </c>
      <c r="G172" s="18" t="n"/>
      <c r="H172" s="5" t="n"/>
      <c r="I172" s="18" t="n"/>
      <c r="J172" s="18" t="n"/>
      <c r="K172" s="19">
        <f>IF(AND(I172&lt;&gt;"",J172&lt;&gt;""),(J172-I172)*24,"")</f>
        <v/>
      </c>
      <c r="L172" s="5" t="n"/>
      <c r="M172" s="5" t="n"/>
      <c r="N172" s="5" t="n"/>
      <c r="O172" s="4" t="n"/>
      <c r="P172" s="5" t="n"/>
    </row>
    <row r="173">
      <c r="A173" s="5" t="n"/>
      <c r="B173" s="17">
        <f>IF(A173="","",A173&amp;" (from IMP-1)")</f>
        <v/>
      </c>
      <c r="C173" s="5" t="n"/>
      <c r="D173" s="5" t="n"/>
      <c r="E173" s="16">
        <f>IF(C173=0,0,D173/C173)</f>
        <v/>
      </c>
      <c r="F173" s="17">
        <f>IF(A173="","",IF(E173&gt;=0.95,"Compliant",IF(E173&gt;=0.8,"Partial","Non-Compliant")))</f>
        <v/>
      </c>
      <c r="G173" s="18" t="n"/>
      <c r="H173" s="5" t="n"/>
      <c r="I173" s="18" t="n"/>
      <c r="J173" s="18" t="n"/>
      <c r="K173" s="19">
        <f>IF(AND(I173&lt;&gt;"",J173&lt;&gt;""),(J173-I173)*24,"")</f>
        <v/>
      </c>
      <c r="L173" s="5" t="n"/>
      <c r="M173" s="5" t="n"/>
      <c r="N173" s="5" t="n"/>
      <c r="O173" s="4" t="n"/>
      <c r="P173" s="5" t="n"/>
    </row>
    <row r="174">
      <c r="A174" s="5" t="n"/>
      <c r="B174" s="17">
        <f>IF(A174="","",A174&amp;" (from IMP-1)")</f>
        <v/>
      </c>
      <c r="C174" s="5" t="n"/>
      <c r="D174" s="5" t="n"/>
      <c r="E174" s="16">
        <f>IF(C174=0,0,D174/C174)</f>
        <v/>
      </c>
      <c r="F174" s="17">
        <f>IF(A174="","",IF(E174&gt;=0.95,"Compliant",IF(E174&gt;=0.8,"Partial","Non-Compliant")))</f>
        <v/>
      </c>
      <c r="G174" s="18" t="n"/>
      <c r="H174" s="5" t="n"/>
      <c r="I174" s="18" t="n"/>
      <c r="J174" s="18" t="n"/>
      <c r="K174" s="19">
        <f>IF(AND(I174&lt;&gt;"",J174&lt;&gt;""),(J174-I174)*24,"")</f>
        <v/>
      </c>
      <c r="L174" s="5" t="n"/>
      <c r="M174" s="5" t="n"/>
      <c r="N174" s="5" t="n"/>
      <c r="O174" s="4" t="n"/>
      <c r="P174" s="5" t="n"/>
    </row>
    <row r="175">
      <c r="A175" s="5" t="n"/>
      <c r="B175" s="17">
        <f>IF(A175="","",A175&amp;" (from IMP-1)")</f>
        <v/>
      </c>
      <c r="C175" s="5" t="n"/>
      <c r="D175" s="5" t="n"/>
      <c r="E175" s="16">
        <f>IF(C175=0,0,D175/C175)</f>
        <v/>
      </c>
      <c r="F175" s="17">
        <f>IF(A175="","",IF(E175&gt;=0.95,"Compliant",IF(E175&gt;=0.8,"Partial","Non-Compliant")))</f>
        <v/>
      </c>
      <c r="G175" s="18" t="n"/>
      <c r="H175" s="5" t="n"/>
      <c r="I175" s="18" t="n"/>
      <c r="J175" s="18" t="n"/>
      <c r="K175" s="19">
        <f>IF(AND(I175&lt;&gt;"",J175&lt;&gt;""),(J175-I175)*24,"")</f>
        <v/>
      </c>
      <c r="L175" s="5" t="n"/>
      <c r="M175" s="5" t="n"/>
      <c r="N175" s="5" t="n"/>
      <c r="O175" s="4" t="n"/>
      <c r="P175" s="5" t="n"/>
    </row>
    <row r="176">
      <c r="A176" s="5" t="n"/>
      <c r="B176" s="17">
        <f>IF(A176="","",A176&amp;" (from IMP-1)")</f>
        <v/>
      </c>
      <c r="C176" s="5" t="n"/>
      <c r="D176" s="5" t="n"/>
      <c r="E176" s="16">
        <f>IF(C176=0,0,D176/C176)</f>
        <v/>
      </c>
      <c r="F176" s="17">
        <f>IF(A176="","",IF(E176&gt;=0.95,"Compliant",IF(E176&gt;=0.8,"Partial","Non-Compliant")))</f>
        <v/>
      </c>
      <c r="G176" s="18" t="n"/>
      <c r="H176" s="5" t="n"/>
      <c r="I176" s="18" t="n"/>
      <c r="J176" s="18" t="n"/>
      <c r="K176" s="19">
        <f>IF(AND(I176&lt;&gt;"",J176&lt;&gt;""),(J176-I176)*24,"")</f>
        <v/>
      </c>
      <c r="L176" s="5" t="n"/>
      <c r="M176" s="5" t="n"/>
      <c r="N176" s="5" t="n"/>
      <c r="O176" s="4" t="n"/>
      <c r="P176" s="5" t="n"/>
    </row>
    <row r="177">
      <c r="A177" s="5" t="n"/>
      <c r="B177" s="17">
        <f>IF(A177="","",A177&amp;" (from IMP-1)")</f>
        <v/>
      </c>
      <c r="C177" s="5" t="n"/>
      <c r="D177" s="5" t="n"/>
      <c r="E177" s="16">
        <f>IF(C177=0,0,D177/C177)</f>
        <v/>
      </c>
      <c r="F177" s="17">
        <f>IF(A177="","",IF(E177&gt;=0.95,"Compliant",IF(E177&gt;=0.8,"Partial","Non-Compliant")))</f>
        <v/>
      </c>
      <c r="G177" s="18" t="n"/>
      <c r="H177" s="5" t="n"/>
      <c r="I177" s="18" t="n"/>
      <c r="J177" s="18" t="n"/>
      <c r="K177" s="19">
        <f>IF(AND(I177&lt;&gt;"",J177&lt;&gt;""),(J177-I177)*24,"")</f>
        <v/>
      </c>
      <c r="L177" s="5" t="n"/>
      <c r="M177" s="5" t="n"/>
      <c r="N177" s="5" t="n"/>
      <c r="O177" s="4" t="n"/>
      <c r="P177" s="5" t="n"/>
    </row>
    <row r="178">
      <c r="A178" s="5" t="n"/>
      <c r="B178" s="17">
        <f>IF(A178="","",A178&amp;" (from IMP-1)")</f>
        <v/>
      </c>
      <c r="C178" s="5" t="n"/>
      <c r="D178" s="5" t="n"/>
      <c r="E178" s="16">
        <f>IF(C178=0,0,D178/C178)</f>
        <v/>
      </c>
      <c r="F178" s="17">
        <f>IF(A178="","",IF(E178&gt;=0.95,"Compliant",IF(E178&gt;=0.8,"Partial","Non-Compliant")))</f>
        <v/>
      </c>
      <c r="G178" s="18" t="n"/>
      <c r="H178" s="5" t="n"/>
      <c r="I178" s="18" t="n"/>
      <c r="J178" s="18" t="n"/>
      <c r="K178" s="19">
        <f>IF(AND(I178&lt;&gt;"",J178&lt;&gt;""),(J178-I178)*24,"")</f>
        <v/>
      </c>
      <c r="L178" s="5" t="n"/>
      <c r="M178" s="5" t="n"/>
      <c r="N178" s="5" t="n"/>
      <c r="O178" s="4" t="n"/>
      <c r="P178" s="5" t="n"/>
    </row>
    <row r="179">
      <c r="A179" s="5" t="n"/>
      <c r="B179" s="17">
        <f>IF(A179="","",A179&amp;" (from IMP-1)")</f>
        <v/>
      </c>
      <c r="C179" s="5" t="n"/>
      <c r="D179" s="5" t="n"/>
      <c r="E179" s="16">
        <f>IF(C179=0,0,D179/C179)</f>
        <v/>
      </c>
      <c r="F179" s="17">
        <f>IF(A179="","",IF(E179&gt;=0.95,"Compliant",IF(E179&gt;=0.8,"Partial","Non-Compliant")))</f>
        <v/>
      </c>
      <c r="G179" s="18" t="n"/>
      <c r="H179" s="5" t="n"/>
      <c r="I179" s="18" t="n"/>
      <c r="J179" s="18" t="n"/>
      <c r="K179" s="19">
        <f>IF(AND(I179&lt;&gt;"",J179&lt;&gt;""),(J179-I179)*24,"")</f>
        <v/>
      </c>
      <c r="L179" s="5" t="n"/>
      <c r="M179" s="5" t="n"/>
      <c r="N179" s="5" t="n"/>
      <c r="O179" s="4" t="n"/>
      <c r="P179" s="5" t="n"/>
    </row>
    <row r="180">
      <c r="A180" s="5" t="n"/>
      <c r="B180" s="17">
        <f>IF(A180="","",A180&amp;" (from IMP-1)")</f>
        <v/>
      </c>
      <c r="C180" s="5" t="n"/>
      <c r="D180" s="5" t="n"/>
      <c r="E180" s="16">
        <f>IF(C180=0,0,D180/C180)</f>
        <v/>
      </c>
      <c r="F180" s="17">
        <f>IF(A180="","",IF(E180&gt;=0.95,"Compliant",IF(E180&gt;=0.8,"Partial","Non-Compliant")))</f>
        <v/>
      </c>
      <c r="G180" s="18" t="n"/>
      <c r="H180" s="5" t="n"/>
      <c r="I180" s="18" t="n"/>
      <c r="J180" s="18" t="n"/>
      <c r="K180" s="19">
        <f>IF(AND(I180&lt;&gt;"",J180&lt;&gt;""),(J180-I180)*24,"")</f>
        <v/>
      </c>
      <c r="L180" s="5" t="n"/>
      <c r="M180" s="5" t="n"/>
      <c r="N180" s="5" t="n"/>
      <c r="O180" s="4" t="n"/>
      <c r="P180" s="5" t="n"/>
    </row>
    <row r="181">
      <c r="A181" s="5" t="n"/>
      <c r="B181" s="17">
        <f>IF(A181="","",A181&amp;" (from IMP-1)")</f>
        <v/>
      </c>
      <c r="C181" s="5" t="n"/>
      <c r="D181" s="5" t="n"/>
      <c r="E181" s="16">
        <f>IF(C181=0,0,D181/C181)</f>
        <v/>
      </c>
      <c r="F181" s="17">
        <f>IF(A181="","",IF(E181&gt;=0.95,"Compliant",IF(E181&gt;=0.8,"Partial","Non-Compliant")))</f>
        <v/>
      </c>
      <c r="G181" s="18" t="n"/>
      <c r="H181" s="5" t="n"/>
      <c r="I181" s="18" t="n"/>
      <c r="J181" s="18" t="n"/>
      <c r="K181" s="19">
        <f>IF(AND(I181&lt;&gt;"",J181&lt;&gt;""),(J181-I181)*24,"")</f>
        <v/>
      </c>
      <c r="L181" s="5" t="n"/>
      <c r="M181" s="5" t="n"/>
      <c r="N181" s="5" t="n"/>
      <c r="O181" s="4" t="n"/>
      <c r="P181" s="5" t="n"/>
    </row>
    <row r="182">
      <c r="A182" s="5" t="n"/>
      <c r="B182" s="17">
        <f>IF(A182="","",A182&amp;" (from IMP-1)")</f>
        <v/>
      </c>
      <c r="C182" s="5" t="n"/>
      <c r="D182" s="5" t="n"/>
      <c r="E182" s="16">
        <f>IF(C182=0,0,D182/C182)</f>
        <v/>
      </c>
      <c r="F182" s="17">
        <f>IF(A182="","",IF(E182&gt;=0.95,"Compliant",IF(E182&gt;=0.8,"Partial","Non-Compliant")))</f>
        <v/>
      </c>
      <c r="G182" s="18" t="n"/>
      <c r="H182" s="5" t="n"/>
      <c r="I182" s="18" t="n"/>
      <c r="J182" s="18" t="n"/>
      <c r="K182" s="19">
        <f>IF(AND(I182&lt;&gt;"",J182&lt;&gt;""),(J182-I182)*24,"")</f>
        <v/>
      </c>
      <c r="L182" s="5" t="n"/>
      <c r="M182" s="5" t="n"/>
      <c r="N182" s="5" t="n"/>
      <c r="O182" s="4" t="n"/>
      <c r="P182" s="5" t="n"/>
    </row>
    <row r="183">
      <c r="A183" s="5" t="n"/>
      <c r="B183" s="17">
        <f>IF(A183="","",A183&amp;" (from IMP-1)")</f>
        <v/>
      </c>
      <c r="C183" s="5" t="n"/>
      <c r="D183" s="5" t="n"/>
      <c r="E183" s="16">
        <f>IF(C183=0,0,D183/C183)</f>
        <v/>
      </c>
      <c r="F183" s="17">
        <f>IF(A183="","",IF(E183&gt;=0.95,"Compliant",IF(E183&gt;=0.8,"Partial","Non-Compliant")))</f>
        <v/>
      </c>
      <c r="G183" s="18" t="n"/>
      <c r="H183" s="5" t="n"/>
      <c r="I183" s="18" t="n"/>
      <c r="J183" s="18" t="n"/>
      <c r="K183" s="19">
        <f>IF(AND(I183&lt;&gt;"",J183&lt;&gt;""),(J183-I183)*24,"")</f>
        <v/>
      </c>
      <c r="L183" s="5" t="n"/>
      <c r="M183" s="5" t="n"/>
      <c r="N183" s="5" t="n"/>
      <c r="O183" s="4" t="n"/>
      <c r="P183" s="5" t="n"/>
    </row>
    <row r="184">
      <c r="A184" s="5" t="n"/>
      <c r="B184" s="17">
        <f>IF(A184="","",A184&amp;" (from IMP-1)")</f>
        <v/>
      </c>
      <c r="C184" s="5" t="n"/>
      <c r="D184" s="5" t="n"/>
      <c r="E184" s="16">
        <f>IF(C184=0,0,D184/C184)</f>
        <v/>
      </c>
      <c r="F184" s="17">
        <f>IF(A184="","",IF(E184&gt;=0.95,"Compliant",IF(E184&gt;=0.8,"Partial","Non-Compliant")))</f>
        <v/>
      </c>
      <c r="G184" s="18" t="n"/>
      <c r="H184" s="5" t="n"/>
      <c r="I184" s="18" t="n"/>
      <c r="J184" s="18" t="n"/>
      <c r="K184" s="19">
        <f>IF(AND(I184&lt;&gt;"",J184&lt;&gt;""),(J184-I184)*24,"")</f>
        <v/>
      </c>
      <c r="L184" s="5" t="n"/>
      <c r="M184" s="5" t="n"/>
      <c r="N184" s="5" t="n"/>
      <c r="O184" s="4" t="n"/>
      <c r="P184" s="5" t="n"/>
    </row>
    <row r="185">
      <c r="A185" s="5" t="n"/>
      <c r="B185" s="17">
        <f>IF(A185="","",A185&amp;" (from IMP-1)")</f>
        <v/>
      </c>
      <c r="C185" s="5" t="n"/>
      <c r="D185" s="5" t="n"/>
      <c r="E185" s="16">
        <f>IF(C185=0,0,D185/C185)</f>
        <v/>
      </c>
      <c r="F185" s="17">
        <f>IF(A185="","",IF(E185&gt;=0.95,"Compliant",IF(E185&gt;=0.8,"Partial","Non-Compliant")))</f>
        <v/>
      </c>
      <c r="G185" s="18" t="n"/>
      <c r="H185" s="5" t="n"/>
      <c r="I185" s="18" t="n"/>
      <c r="J185" s="18" t="n"/>
      <c r="K185" s="19">
        <f>IF(AND(I185&lt;&gt;"",J185&lt;&gt;""),(J185-I185)*24,"")</f>
        <v/>
      </c>
      <c r="L185" s="5" t="n"/>
      <c r="M185" s="5" t="n"/>
      <c r="N185" s="5" t="n"/>
      <c r="O185" s="4" t="n"/>
      <c r="P185" s="5" t="n"/>
    </row>
    <row r="186">
      <c r="A186" s="5" t="n"/>
      <c r="B186" s="17">
        <f>IF(A186="","",A186&amp;" (from IMP-1)")</f>
        <v/>
      </c>
      <c r="C186" s="5" t="n"/>
      <c r="D186" s="5" t="n"/>
      <c r="E186" s="16">
        <f>IF(C186=0,0,D186/C186)</f>
        <v/>
      </c>
      <c r="F186" s="17">
        <f>IF(A186="","",IF(E186&gt;=0.95,"Compliant",IF(E186&gt;=0.8,"Partial","Non-Compliant")))</f>
        <v/>
      </c>
      <c r="G186" s="18" t="n"/>
      <c r="H186" s="5" t="n"/>
      <c r="I186" s="18" t="n"/>
      <c r="J186" s="18" t="n"/>
      <c r="K186" s="19">
        <f>IF(AND(I186&lt;&gt;"",J186&lt;&gt;""),(J186-I186)*24,"")</f>
        <v/>
      </c>
      <c r="L186" s="5" t="n"/>
      <c r="M186" s="5" t="n"/>
      <c r="N186" s="5" t="n"/>
      <c r="O186" s="4" t="n"/>
      <c r="P186" s="5" t="n"/>
    </row>
    <row r="187">
      <c r="A187" s="5" t="n"/>
      <c r="B187" s="17">
        <f>IF(A187="","",A187&amp;" (from IMP-1)")</f>
        <v/>
      </c>
      <c r="C187" s="5" t="n"/>
      <c r="D187" s="5" t="n"/>
      <c r="E187" s="16">
        <f>IF(C187=0,0,D187/C187)</f>
        <v/>
      </c>
      <c r="F187" s="17">
        <f>IF(A187="","",IF(E187&gt;=0.95,"Compliant",IF(E187&gt;=0.8,"Partial","Non-Compliant")))</f>
        <v/>
      </c>
      <c r="G187" s="18" t="n"/>
      <c r="H187" s="5" t="n"/>
      <c r="I187" s="18" t="n"/>
      <c r="J187" s="18" t="n"/>
      <c r="K187" s="19">
        <f>IF(AND(I187&lt;&gt;"",J187&lt;&gt;""),(J187-I187)*24,"")</f>
        <v/>
      </c>
      <c r="L187" s="5" t="n"/>
      <c r="M187" s="5" t="n"/>
      <c r="N187" s="5" t="n"/>
      <c r="O187" s="4" t="n"/>
      <c r="P187" s="5" t="n"/>
    </row>
    <row r="188">
      <c r="A188" s="5" t="n"/>
      <c r="B188" s="17">
        <f>IF(A188="","",A188&amp;" (from IMP-1)")</f>
        <v/>
      </c>
      <c r="C188" s="5" t="n"/>
      <c r="D188" s="5" t="n"/>
      <c r="E188" s="16">
        <f>IF(C188=0,0,D188/C188)</f>
        <v/>
      </c>
      <c r="F188" s="17">
        <f>IF(A188="","",IF(E188&gt;=0.95,"Compliant",IF(E188&gt;=0.8,"Partial","Non-Compliant")))</f>
        <v/>
      </c>
      <c r="G188" s="18" t="n"/>
      <c r="H188" s="5" t="n"/>
      <c r="I188" s="18" t="n"/>
      <c r="J188" s="18" t="n"/>
      <c r="K188" s="19">
        <f>IF(AND(I188&lt;&gt;"",J188&lt;&gt;""),(J188-I188)*24,"")</f>
        <v/>
      </c>
      <c r="L188" s="5" t="n"/>
      <c r="M188" s="5" t="n"/>
      <c r="N188" s="5" t="n"/>
      <c r="O188" s="4" t="n"/>
      <c r="P188" s="5" t="n"/>
    </row>
    <row r="189">
      <c r="A189" s="5" t="n"/>
      <c r="B189" s="17">
        <f>IF(A189="","",A189&amp;" (from IMP-1)")</f>
        <v/>
      </c>
      <c r="C189" s="5" t="n"/>
      <c r="D189" s="5" t="n"/>
      <c r="E189" s="16">
        <f>IF(C189=0,0,D189/C189)</f>
        <v/>
      </c>
      <c r="F189" s="17">
        <f>IF(A189="","",IF(E189&gt;=0.95,"Compliant",IF(E189&gt;=0.8,"Partial","Non-Compliant")))</f>
        <v/>
      </c>
      <c r="G189" s="18" t="n"/>
      <c r="H189" s="5" t="n"/>
      <c r="I189" s="18" t="n"/>
      <c r="J189" s="18" t="n"/>
      <c r="K189" s="19">
        <f>IF(AND(I189&lt;&gt;"",J189&lt;&gt;""),(J189-I189)*24,"")</f>
        <v/>
      </c>
      <c r="L189" s="5" t="n"/>
      <c r="M189" s="5" t="n"/>
      <c r="N189" s="5" t="n"/>
      <c r="O189" s="4" t="n"/>
      <c r="P189" s="5" t="n"/>
    </row>
    <row r="190">
      <c r="A190" s="5" t="n"/>
      <c r="B190" s="17">
        <f>IF(A190="","",A190&amp;" (from IMP-1)")</f>
        <v/>
      </c>
      <c r="C190" s="5" t="n"/>
      <c r="D190" s="5" t="n"/>
      <c r="E190" s="16">
        <f>IF(C190=0,0,D190/C190)</f>
        <v/>
      </c>
      <c r="F190" s="17">
        <f>IF(A190="","",IF(E190&gt;=0.95,"Compliant",IF(E190&gt;=0.8,"Partial","Non-Compliant")))</f>
        <v/>
      </c>
      <c r="G190" s="18" t="n"/>
      <c r="H190" s="5" t="n"/>
      <c r="I190" s="18" t="n"/>
      <c r="J190" s="18" t="n"/>
      <c r="K190" s="19">
        <f>IF(AND(I190&lt;&gt;"",J190&lt;&gt;""),(J190-I190)*24,"")</f>
        <v/>
      </c>
      <c r="L190" s="5" t="n"/>
      <c r="M190" s="5" t="n"/>
      <c r="N190" s="5" t="n"/>
      <c r="O190" s="4" t="n"/>
      <c r="P190" s="5" t="n"/>
    </row>
    <row r="191">
      <c r="A191" s="5" t="n"/>
      <c r="B191" s="17">
        <f>IF(A191="","",A191&amp;" (from IMP-1)")</f>
        <v/>
      </c>
      <c r="C191" s="5" t="n"/>
      <c r="D191" s="5" t="n"/>
      <c r="E191" s="16">
        <f>IF(C191=0,0,D191/C191)</f>
        <v/>
      </c>
      <c r="F191" s="17">
        <f>IF(A191="","",IF(E191&gt;=0.95,"Compliant",IF(E191&gt;=0.8,"Partial","Non-Compliant")))</f>
        <v/>
      </c>
      <c r="G191" s="18" t="n"/>
      <c r="H191" s="5" t="n"/>
      <c r="I191" s="18" t="n"/>
      <c r="J191" s="18" t="n"/>
      <c r="K191" s="19">
        <f>IF(AND(I191&lt;&gt;"",J191&lt;&gt;""),(J191-I191)*24,"")</f>
        <v/>
      </c>
      <c r="L191" s="5" t="n"/>
      <c r="M191" s="5" t="n"/>
      <c r="N191" s="5" t="n"/>
      <c r="O191" s="4" t="n"/>
      <c r="P191" s="5" t="n"/>
    </row>
    <row r="192">
      <c r="A192" s="5" t="n"/>
      <c r="B192" s="17">
        <f>IF(A192="","",A192&amp;" (from IMP-1)")</f>
        <v/>
      </c>
      <c r="C192" s="5" t="n"/>
      <c r="D192" s="5" t="n"/>
      <c r="E192" s="16">
        <f>IF(C192=0,0,D192/C192)</f>
        <v/>
      </c>
      <c r="F192" s="17">
        <f>IF(A192="","",IF(E192&gt;=0.95,"Compliant",IF(E192&gt;=0.8,"Partial","Non-Compliant")))</f>
        <v/>
      </c>
      <c r="G192" s="18" t="n"/>
      <c r="H192" s="5" t="n"/>
      <c r="I192" s="18" t="n"/>
      <c r="J192" s="18" t="n"/>
      <c r="K192" s="19">
        <f>IF(AND(I192&lt;&gt;"",J192&lt;&gt;""),(J192-I192)*24,"")</f>
        <v/>
      </c>
      <c r="L192" s="5" t="n"/>
      <c r="M192" s="5" t="n"/>
      <c r="N192" s="5" t="n"/>
      <c r="O192" s="4" t="n"/>
      <c r="P192" s="5" t="n"/>
    </row>
    <row r="193">
      <c r="A193" s="5" t="n"/>
      <c r="B193" s="17">
        <f>IF(A193="","",A193&amp;" (from IMP-1)")</f>
        <v/>
      </c>
      <c r="C193" s="5" t="n"/>
      <c r="D193" s="5" t="n"/>
      <c r="E193" s="16">
        <f>IF(C193=0,0,D193/C193)</f>
        <v/>
      </c>
      <c r="F193" s="17">
        <f>IF(A193="","",IF(E193&gt;=0.95,"Compliant",IF(E193&gt;=0.8,"Partial","Non-Compliant")))</f>
        <v/>
      </c>
      <c r="G193" s="18" t="n"/>
      <c r="H193" s="5" t="n"/>
      <c r="I193" s="18" t="n"/>
      <c r="J193" s="18" t="n"/>
      <c r="K193" s="19">
        <f>IF(AND(I193&lt;&gt;"",J193&lt;&gt;""),(J193-I193)*24,"")</f>
        <v/>
      </c>
      <c r="L193" s="5" t="n"/>
      <c r="M193" s="5" t="n"/>
      <c r="N193" s="5" t="n"/>
      <c r="O193" s="4" t="n"/>
      <c r="P193" s="5" t="n"/>
    </row>
    <row r="194">
      <c r="A194" s="5" t="n"/>
      <c r="B194" s="17">
        <f>IF(A194="","",A194&amp;" (from IMP-1)")</f>
        <v/>
      </c>
      <c r="C194" s="5" t="n"/>
      <c r="D194" s="5" t="n"/>
      <c r="E194" s="16">
        <f>IF(C194=0,0,D194/C194)</f>
        <v/>
      </c>
      <c r="F194" s="17">
        <f>IF(A194="","",IF(E194&gt;=0.95,"Compliant",IF(E194&gt;=0.8,"Partial","Non-Compliant")))</f>
        <v/>
      </c>
      <c r="G194" s="18" t="n"/>
      <c r="H194" s="5" t="n"/>
      <c r="I194" s="18" t="n"/>
      <c r="J194" s="18" t="n"/>
      <c r="K194" s="19">
        <f>IF(AND(I194&lt;&gt;"",J194&lt;&gt;""),(J194-I194)*24,"")</f>
        <v/>
      </c>
      <c r="L194" s="5" t="n"/>
      <c r="M194" s="5" t="n"/>
      <c r="N194" s="5" t="n"/>
      <c r="O194" s="4" t="n"/>
      <c r="P194" s="5" t="n"/>
    </row>
    <row r="195">
      <c r="A195" s="5" t="n"/>
      <c r="B195" s="17">
        <f>IF(A195="","",A195&amp;" (from IMP-1)")</f>
        <v/>
      </c>
      <c r="C195" s="5" t="n"/>
      <c r="D195" s="5" t="n"/>
      <c r="E195" s="16">
        <f>IF(C195=0,0,D195/C195)</f>
        <v/>
      </c>
      <c r="F195" s="17">
        <f>IF(A195="","",IF(E195&gt;=0.95,"Compliant",IF(E195&gt;=0.8,"Partial","Non-Compliant")))</f>
        <v/>
      </c>
      <c r="G195" s="18" t="n"/>
      <c r="H195" s="5" t="n"/>
      <c r="I195" s="18" t="n"/>
      <c r="J195" s="18" t="n"/>
      <c r="K195" s="19">
        <f>IF(AND(I195&lt;&gt;"",J195&lt;&gt;""),(J195-I195)*24,"")</f>
        <v/>
      </c>
      <c r="L195" s="5" t="n"/>
      <c r="M195" s="5" t="n"/>
      <c r="N195" s="5" t="n"/>
      <c r="O195" s="4" t="n"/>
      <c r="P195" s="5" t="n"/>
    </row>
    <row r="196">
      <c r="A196" s="5" t="n"/>
      <c r="B196" s="17">
        <f>IF(A196="","",A196&amp;" (from IMP-1)")</f>
        <v/>
      </c>
      <c r="C196" s="5" t="n"/>
      <c r="D196" s="5" t="n"/>
      <c r="E196" s="16">
        <f>IF(C196=0,0,D196/C196)</f>
        <v/>
      </c>
      <c r="F196" s="17">
        <f>IF(A196="","",IF(E196&gt;=0.95,"Compliant",IF(E196&gt;=0.8,"Partial","Non-Compliant")))</f>
        <v/>
      </c>
      <c r="G196" s="18" t="n"/>
      <c r="H196" s="5" t="n"/>
      <c r="I196" s="18" t="n"/>
      <c r="J196" s="18" t="n"/>
      <c r="K196" s="19">
        <f>IF(AND(I196&lt;&gt;"",J196&lt;&gt;""),(J196-I196)*24,"")</f>
        <v/>
      </c>
      <c r="L196" s="5" t="n"/>
      <c r="M196" s="5" t="n"/>
      <c r="N196" s="5" t="n"/>
      <c r="O196" s="4" t="n"/>
      <c r="P196" s="5" t="n"/>
    </row>
    <row r="197">
      <c r="A197" s="5" t="n"/>
      <c r="B197" s="17">
        <f>IF(A197="","",A197&amp;" (from IMP-1)")</f>
        <v/>
      </c>
      <c r="C197" s="5" t="n"/>
      <c r="D197" s="5" t="n"/>
      <c r="E197" s="16">
        <f>IF(C197=0,0,D197/C197)</f>
        <v/>
      </c>
      <c r="F197" s="17">
        <f>IF(A197="","",IF(E197&gt;=0.95,"Compliant",IF(E197&gt;=0.8,"Partial","Non-Compliant")))</f>
        <v/>
      </c>
      <c r="G197" s="18" t="n"/>
      <c r="H197" s="5" t="n"/>
      <c r="I197" s="18" t="n"/>
      <c r="J197" s="18" t="n"/>
      <c r="K197" s="19">
        <f>IF(AND(I197&lt;&gt;"",J197&lt;&gt;""),(J197-I197)*24,"")</f>
        <v/>
      </c>
      <c r="L197" s="5" t="n"/>
      <c r="M197" s="5" t="n"/>
      <c r="N197" s="5" t="n"/>
      <c r="O197" s="4" t="n"/>
      <c r="P197" s="5" t="n"/>
    </row>
    <row r="198">
      <c r="A198" s="5" t="n"/>
      <c r="B198" s="17">
        <f>IF(A198="","",A198&amp;" (from IMP-1)")</f>
        <v/>
      </c>
      <c r="C198" s="5" t="n"/>
      <c r="D198" s="5" t="n"/>
      <c r="E198" s="16">
        <f>IF(C198=0,0,D198/C198)</f>
        <v/>
      </c>
      <c r="F198" s="17">
        <f>IF(A198="","",IF(E198&gt;=0.95,"Compliant",IF(E198&gt;=0.8,"Partial","Non-Compliant")))</f>
        <v/>
      </c>
      <c r="G198" s="18" t="n"/>
      <c r="H198" s="5" t="n"/>
      <c r="I198" s="18" t="n"/>
      <c r="J198" s="18" t="n"/>
      <c r="K198" s="19">
        <f>IF(AND(I198&lt;&gt;"",J198&lt;&gt;""),(J198-I198)*24,"")</f>
        <v/>
      </c>
      <c r="L198" s="5" t="n"/>
      <c r="M198" s="5" t="n"/>
      <c r="N198" s="5" t="n"/>
      <c r="O198" s="4" t="n"/>
      <c r="P198" s="5" t="n"/>
    </row>
    <row r="199">
      <c r="A199" s="5" t="n"/>
      <c r="B199" s="17">
        <f>IF(A199="","",A199&amp;" (from IMP-1)")</f>
        <v/>
      </c>
      <c r="C199" s="5" t="n"/>
      <c r="D199" s="5" t="n"/>
      <c r="E199" s="16">
        <f>IF(C199=0,0,D199/C199)</f>
        <v/>
      </c>
      <c r="F199" s="17">
        <f>IF(A199="","",IF(E199&gt;=0.95,"Compliant",IF(E199&gt;=0.8,"Partial","Non-Compliant")))</f>
        <v/>
      </c>
      <c r="G199" s="18" t="n"/>
      <c r="H199" s="5" t="n"/>
      <c r="I199" s="18" t="n"/>
      <c r="J199" s="18" t="n"/>
      <c r="K199" s="19">
        <f>IF(AND(I199&lt;&gt;"",J199&lt;&gt;""),(J199-I199)*24,"")</f>
        <v/>
      </c>
      <c r="L199" s="5" t="n"/>
      <c r="M199" s="5" t="n"/>
      <c r="N199" s="5" t="n"/>
      <c r="O199" s="4" t="n"/>
      <c r="P199" s="5" t="n"/>
    </row>
    <row r="200">
      <c r="A200" s="5" t="n"/>
      <c r="B200" s="17">
        <f>IF(A200="","",A200&amp;" (from IMP-1)")</f>
        <v/>
      </c>
      <c r="C200" s="5" t="n"/>
      <c r="D200" s="5" t="n"/>
      <c r="E200" s="16">
        <f>IF(C200=0,0,D200/C200)</f>
        <v/>
      </c>
      <c r="F200" s="17">
        <f>IF(A200="","",IF(E200&gt;=0.95,"Compliant",IF(E200&gt;=0.8,"Partial","Non-Compliant")))</f>
        <v/>
      </c>
      <c r="G200" s="18" t="n"/>
      <c r="H200" s="5" t="n"/>
      <c r="I200" s="18" t="n"/>
      <c r="J200" s="18" t="n"/>
      <c r="K200" s="19">
        <f>IF(AND(I200&lt;&gt;"",J200&lt;&gt;""),(J200-I200)*24,"")</f>
        <v/>
      </c>
      <c r="L200" s="5" t="n"/>
      <c r="M200" s="5" t="n"/>
      <c r="N200" s="5" t="n"/>
      <c r="O200" s="4" t="n"/>
      <c r="P200" s="5" t="n"/>
    </row>
  </sheetData>
  <mergeCells count="2">
    <mergeCell ref="A1:P1"/>
    <mergeCell ref="A2:P2"/>
  </mergeCells>
  <conditionalFormatting sqref="E9:E200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2">
    <dataValidation sqref="H9:H200" showDropDown="0" showInputMessage="0" showErrorMessage="0" allowBlank="1" type="list">
      <formula1>"Yes,No"</formula1>
    </dataValidation>
    <dataValidation sqref="L9:L200" showDropDown="0" showInputMessage="0" showErrorMessage="0" allowBlank="1" type="list">
      <formula1>"Network Issue,Forwarder Down,Source Down,SIEM Issue,Configuration Error,Unknown"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20" customWidth="1" min="5" max="5"/>
    <col width="3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40" customHeight="1">
      <c r="A1" s="1" t="inlineStr">
        <is>
          <t>INTEGRATION ARCHITECTURE</t>
        </is>
      </c>
    </row>
    <row r="2" ht="30" customHeight="1">
      <c r="A2" s="6" t="inlineStr">
        <is>
          <t>Document log flow architecture and integration points</t>
        </is>
      </c>
    </row>
    <row r="7" ht="35" customHeight="1">
      <c r="A7" s="14" t="inlineStr">
        <is>
          <t>Integration Point</t>
        </is>
      </c>
      <c r="B7" s="14" t="inlineStr">
        <is>
          <t>Source Type</t>
        </is>
      </c>
      <c r="C7" s="14" t="inlineStr">
        <is>
          <t>Source Count</t>
        </is>
      </c>
      <c r="D7" s="14" t="inlineStr">
        <is>
          <t>Collection Method</t>
        </is>
      </c>
      <c r="E7" s="14" t="inlineStr">
        <is>
          <t>Intermediate Hops</t>
        </is>
      </c>
      <c r="F7" s="14" t="inlineStr">
        <is>
          <t>Network Path</t>
        </is>
      </c>
      <c r="G7" s="14" t="inlineStr">
        <is>
          <t>Bandwidth Required</t>
        </is>
      </c>
      <c r="H7" s="14" t="inlineStr">
        <is>
          <t>Latency Target</t>
        </is>
      </c>
      <c r="I7" s="14" t="inlineStr">
        <is>
          <t>Current Latency</t>
        </is>
      </c>
      <c r="J7" s="14" t="inlineStr">
        <is>
          <t>Redundancy</t>
        </is>
      </c>
      <c r="K7" s="14" t="inlineStr">
        <is>
          <t>Single Point of Failure</t>
        </is>
      </c>
      <c r="L7" s="14" t="inlineStr">
        <is>
          <t>DR Capability</t>
        </is>
      </c>
      <c r="M7" s="14" t="inlineStr">
        <is>
          <t>Bottleneck Risk</t>
        </is>
      </c>
      <c r="N7" s="14" t="inlineStr">
        <is>
          <t>Notes</t>
        </is>
      </c>
    </row>
    <row r="8">
      <c r="A8" s="15" t="inlineStr">
        <is>
          <t>Web Servers → SIEM</t>
        </is>
      </c>
      <c r="B8" s="15" t="inlineStr">
        <is>
          <t>Server</t>
        </is>
      </c>
      <c r="C8" s="15" t="inlineStr">
        <is>
          <t>50</t>
        </is>
      </c>
      <c r="D8" s="15" t="inlineStr">
        <is>
          <t>Agent-based</t>
        </is>
      </c>
      <c r="E8" s="15" t="inlineStr">
        <is>
          <t>1</t>
        </is>
      </c>
      <c r="F8" s="15" t="inlineStr">
        <is>
          <t>Prod VLAN → Log Concentrator → SIEM VLAN</t>
        </is>
      </c>
      <c r="G8" s="15" t="inlineStr">
        <is>
          <t>100 Mbps</t>
        </is>
      </c>
      <c r="H8" s="15" t="inlineStr">
        <is>
          <t>&lt;1 min</t>
        </is>
      </c>
      <c r="I8" s="15" t="inlineStr">
        <is>
          <t>30 sec</t>
        </is>
      </c>
      <c r="J8" s="15" t="inlineStr">
        <is>
          <t>Active/Active</t>
        </is>
      </c>
      <c r="K8" s="15" t="inlineStr">
        <is>
          <t>No</t>
        </is>
      </c>
      <c r="L8" s="15" t="inlineStr">
        <is>
          <t>Yes</t>
        </is>
      </c>
      <c r="M8" s="15" t="inlineStr">
        <is>
          <t>Low</t>
        </is>
      </c>
      <c r="N8" s="15" t="inlineStr">
        <is>
          <t>Direct forwarder deployment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5">
      <c r="A55" s="6" t="inlineStr">
        <is>
          <t>ARCHITECTURE DIAGRAM</t>
        </is>
      </c>
    </row>
    <row r="56" ht="150" customHeight="1">
      <c r="A56" s="5" t="inlineStr">
        <is>
          <t>Insert or link to architecture diagram showing complete log flow:
Sources → Forwarders → SIEM → Storage
Include network paths, ports, protocols, and redundancy.</t>
        </is>
      </c>
    </row>
    <row r="57"/>
    <row r="58"/>
    <row r="59"/>
    <row r="60"/>
    <row r="61"/>
    <row r="62"/>
    <row r="63"/>
    <row r="64"/>
    <row r="65"/>
    <row r="66"/>
  </sheetData>
  <mergeCells count="4">
    <mergeCell ref="A55:N55"/>
    <mergeCell ref="A2:N2"/>
    <mergeCell ref="A56:N66"/>
    <mergeCell ref="A1:N1"/>
  </mergeCells>
  <dataValidations count="6">
    <dataValidation sqref="B9:B50" showDropDown="0" showInputMessage="0" showErrorMessage="0" allowBlank="1" type="list">
      <formula1>"Server,Network Device,Application,Cloud Service,Security Tool,Container,Other"</formula1>
    </dataValidation>
    <dataValidation sqref="D9:D50" showDropDown="0" showInputMessage="0" showErrorMessage="0" allowBlank="1" type="list">
      <formula1>"Agent-based,Agentless/Syslog,API Pull,API Push,File Collection,Stream Processing"</formula1>
    </dataValidation>
    <dataValidation sqref="J9:J50" showDropDown="0" showInputMessage="0" showErrorMessage="0" allowBlank="1" type="list">
      <formula1>"None,Active/Passive,Active/Active"</formula1>
    </dataValidation>
    <dataValidation sqref="K9:K50" showDropDown="0" showInputMessage="0" showErrorMessage="0" allowBlank="1" type="list">
      <formula1>"Yes,No,Mitigated"</formula1>
    </dataValidation>
    <dataValidation sqref="L9:L50" showDropDown="0" showInputMessage="0" showErrorMessage="0" allowBlank="1" type="list">
      <formula1>"Yes,No,Partial"</formula1>
    </dataValidation>
    <dataValidation sqref="M9:M50" showDropDown="0" showInputMessage="0" showErrorMessage="0" allowBlank="1" type="list">
      <formula1>"High,Medium,Low,None"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5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  <col width="15" customWidth="1" min="13" max="13"/>
    <col width="20" customWidth="1" min="14" max="14"/>
    <col width="40" customWidth="1" min="15" max="15"/>
  </cols>
  <sheetData>
    <row r="1" ht="40" customHeight="1">
      <c r="A1" s="1" t="inlineStr">
        <is>
          <t>SIEM STORAGE &amp; CAPACITY</t>
        </is>
      </c>
    </row>
    <row r="2" ht="30" customHeight="1">
      <c r="A2" s="6" t="inlineStr">
        <is>
          <t>Assess storage capacity, growth trends, and capacity planning</t>
        </is>
      </c>
    </row>
    <row r="7" ht="35" customHeight="1">
      <c r="A7" s="14" t="inlineStr">
        <is>
          <t>Storage Component</t>
        </is>
      </c>
      <c r="B7" s="14" t="inlineStr">
        <is>
          <t>Technology</t>
        </is>
      </c>
      <c r="C7" s="14" t="inlineStr">
        <is>
          <t>Total Capacity (TB)</t>
        </is>
      </c>
      <c r="D7" s="14" t="inlineStr">
        <is>
          <t>Used Capacity (TB)</t>
        </is>
      </c>
      <c r="E7" s="14" t="inlineStr">
        <is>
          <t>Free Capacity (TB)</t>
        </is>
      </c>
      <c r="F7" s="14" t="inlineStr">
        <is>
          <t>% Used</t>
        </is>
      </c>
      <c r="G7" s="14" t="inlineStr">
        <is>
          <t>Status</t>
        </is>
      </c>
      <c r="H7" s="14" t="inlineStr">
        <is>
          <t>Retention Period</t>
        </is>
      </c>
      <c r="I7" s="14" t="inlineStr">
        <is>
          <t>Avg Daily Ingest (GB)</t>
        </is>
      </c>
      <c r="J7" s="14" t="inlineStr">
        <is>
          <t>Growth Rate %/Month</t>
        </is>
      </c>
      <c r="K7" s="14" t="inlineStr">
        <is>
          <t>Days Until Full</t>
        </is>
      </c>
      <c r="L7" s="14" t="inlineStr">
        <is>
          <t>Expansion Plan</t>
        </is>
      </c>
      <c r="M7" s="14" t="inlineStr">
        <is>
          <t>Expansion Date</t>
        </is>
      </c>
      <c r="N7" s="14" t="inlineStr">
        <is>
          <t>Cost per TB/Month</t>
        </is>
      </c>
      <c r="O7" s="14" t="inlineStr">
        <is>
          <t>Notes</t>
        </is>
      </c>
    </row>
    <row r="8">
      <c r="A8" s="15" t="inlineStr">
        <is>
          <t>Hot Storage</t>
        </is>
      </c>
      <c r="B8" s="15" t="inlineStr">
        <is>
          <t>Local SSD</t>
        </is>
      </c>
      <c r="C8" s="15" t="inlineStr">
        <is>
          <t>50</t>
        </is>
      </c>
      <c r="D8" s="15" t="inlineStr">
        <is>
          <t>32</t>
        </is>
      </c>
      <c r="E8" s="15" t="inlineStr">
        <is>
          <t>18</t>
        </is>
      </c>
      <c r="F8" s="15" t="inlineStr">
        <is>
          <t>64%</t>
        </is>
      </c>
      <c r="G8" s="15" t="inlineStr">
        <is>
          <t>OK</t>
        </is>
      </c>
      <c r="H8" s="15" t="inlineStr">
        <is>
          <t>90 days</t>
        </is>
      </c>
      <c r="I8" s="15" t="inlineStr">
        <is>
          <t>350</t>
        </is>
      </c>
      <c r="J8" s="15" t="inlineStr">
        <is>
          <t>5</t>
        </is>
      </c>
      <c r="K8" s="15" t="inlineStr">
        <is>
          <t>51</t>
        </is>
      </c>
      <c r="L8" s="15" t="inlineStr">
        <is>
          <t>Not Needed</t>
        </is>
      </c>
      <c r="M8" s="15" t="inlineStr"/>
      <c r="N8" s="15" t="inlineStr">
        <is>
          <t>$15</t>
        </is>
      </c>
      <c r="O8" s="15" t="inlineStr">
        <is>
          <t>Primary indexer storage</t>
        </is>
      </c>
    </row>
    <row r="9">
      <c r="A9" s="5" t="n"/>
      <c r="B9" s="5" t="n"/>
      <c r="C9" s="5" t="n"/>
      <c r="D9" s="5" t="n"/>
      <c r="E9" s="17">
        <f>IF(C9="","",C9-D9)</f>
        <v/>
      </c>
      <c r="F9" s="16">
        <f>IF(C9=0,0,D9/C9)</f>
        <v/>
      </c>
      <c r="G9" s="17">
        <f>IF(A9="","",IF(F9&gt;0.85,"Critical",IF(F9&gt;0.7,"Warning","OK")))</f>
        <v/>
      </c>
      <c r="H9" s="5" t="n"/>
      <c r="I9" s="5" t="n"/>
      <c r="J9" s="5" t="n"/>
      <c r="K9" s="20">
        <f>IF(OR(I9=0,E9=""),"N/A",(E9*1024)/I9)</f>
        <v/>
      </c>
      <c r="L9" s="5" t="n"/>
      <c r="M9" s="4" t="n"/>
      <c r="N9" s="5" t="n"/>
      <c r="O9" s="5" t="n"/>
    </row>
    <row r="10">
      <c r="A10" s="5" t="n"/>
      <c r="B10" s="5" t="n"/>
      <c r="C10" s="5" t="n"/>
      <c r="D10" s="5" t="n"/>
      <c r="E10" s="17">
        <f>IF(C10="","",C10-D10)</f>
        <v/>
      </c>
      <c r="F10" s="16">
        <f>IF(C10=0,0,D10/C10)</f>
        <v/>
      </c>
      <c r="G10" s="17">
        <f>IF(A10="","",IF(F10&gt;0.85,"Critical",IF(F10&gt;0.7,"Warning","OK")))</f>
        <v/>
      </c>
      <c r="H10" s="5" t="n"/>
      <c r="I10" s="5" t="n"/>
      <c r="J10" s="5" t="n"/>
      <c r="K10" s="20">
        <f>IF(OR(I10=0,E10=""),"N/A",(E10*1024)/I10)</f>
        <v/>
      </c>
      <c r="L10" s="5" t="n"/>
      <c r="M10" s="4" t="n"/>
      <c r="N10" s="5" t="n"/>
      <c r="O10" s="5" t="n"/>
    </row>
    <row r="11">
      <c r="A11" s="5" t="n"/>
      <c r="B11" s="5" t="n"/>
      <c r="C11" s="5" t="n"/>
      <c r="D11" s="5" t="n"/>
      <c r="E11" s="17">
        <f>IF(C11="","",C11-D11)</f>
        <v/>
      </c>
      <c r="F11" s="16">
        <f>IF(C11=0,0,D11/C11)</f>
        <v/>
      </c>
      <c r="G11" s="17">
        <f>IF(A11="","",IF(F11&gt;0.85,"Critical",IF(F11&gt;0.7,"Warning","OK")))</f>
        <v/>
      </c>
      <c r="H11" s="5" t="n"/>
      <c r="I11" s="5" t="n"/>
      <c r="J11" s="5" t="n"/>
      <c r="K11" s="20">
        <f>IF(OR(I11=0,E11=""),"N/A",(E11*1024)/I11)</f>
        <v/>
      </c>
      <c r="L11" s="5" t="n"/>
      <c r="M11" s="4" t="n"/>
      <c r="N11" s="5" t="n"/>
      <c r="O11" s="5" t="n"/>
    </row>
    <row r="12">
      <c r="A12" s="5" t="n"/>
      <c r="B12" s="5" t="n"/>
      <c r="C12" s="5" t="n"/>
      <c r="D12" s="5" t="n"/>
      <c r="E12" s="17">
        <f>IF(C12="","",C12-D12)</f>
        <v/>
      </c>
      <c r="F12" s="16">
        <f>IF(C12=0,0,D12/C12)</f>
        <v/>
      </c>
      <c r="G12" s="17">
        <f>IF(A12="","",IF(F12&gt;0.85,"Critical",IF(F12&gt;0.7,"Warning","OK")))</f>
        <v/>
      </c>
      <c r="H12" s="5" t="n"/>
      <c r="I12" s="5" t="n"/>
      <c r="J12" s="5" t="n"/>
      <c r="K12" s="20">
        <f>IF(OR(I12=0,E12=""),"N/A",(E12*1024)/I12)</f>
        <v/>
      </c>
      <c r="L12" s="5" t="n"/>
      <c r="M12" s="4" t="n"/>
      <c r="N12" s="5" t="n"/>
      <c r="O12" s="5" t="n"/>
    </row>
    <row r="13">
      <c r="A13" s="5" t="n"/>
      <c r="B13" s="5" t="n"/>
      <c r="C13" s="5" t="n"/>
      <c r="D13" s="5" t="n"/>
      <c r="E13" s="17">
        <f>IF(C13="","",C13-D13)</f>
        <v/>
      </c>
      <c r="F13" s="16">
        <f>IF(C13=0,0,D13/C13)</f>
        <v/>
      </c>
      <c r="G13" s="17">
        <f>IF(A13="","",IF(F13&gt;0.85,"Critical",IF(F13&gt;0.7,"Warning","OK")))</f>
        <v/>
      </c>
      <c r="H13" s="5" t="n"/>
      <c r="I13" s="5" t="n"/>
      <c r="J13" s="5" t="n"/>
      <c r="K13" s="20">
        <f>IF(OR(I13=0,E13=""),"N/A",(E13*1024)/I13)</f>
        <v/>
      </c>
      <c r="L13" s="5" t="n"/>
      <c r="M13" s="4" t="n"/>
      <c r="N13" s="5" t="n"/>
      <c r="O13" s="5" t="n"/>
    </row>
    <row r="14">
      <c r="A14" s="5" t="n"/>
      <c r="B14" s="5" t="n"/>
      <c r="C14" s="5" t="n"/>
      <c r="D14" s="5" t="n"/>
      <c r="E14" s="17">
        <f>IF(C14="","",C14-D14)</f>
        <v/>
      </c>
      <c r="F14" s="16">
        <f>IF(C14=0,0,D14/C14)</f>
        <v/>
      </c>
      <c r="G14" s="17">
        <f>IF(A14="","",IF(F14&gt;0.85,"Critical",IF(F14&gt;0.7,"Warning","OK")))</f>
        <v/>
      </c>
      <c r="H14" s="5" t="n"/>
      <c r="I14" s="5" t="n"/>
      <c r="J14" s="5" t="n"/>
      <c r="K14" s="20">
        <f>IF(OR(I14=0,E14=""),"N/A",(E14*1024)/I14)</f>
        <v/>
      </c>
      <c r="L14" s="5" t="n"/>
      <c r="M14" s="4" t="n"/>
      <c r="N14" s="5" t="n"/>
      <c r="O14" s="5" t="n"/>
    </row>
    <row r="15">
      <c r="A15" s="5" t="n"/>
      <c r="B15" s="5" t="n"/>
      <c r="C15" s="5" t="n"/>
      <c r="D15" s="5" t="n"/>
      <c r="E15" s="17">
        <f>IF(C15="","",C15-D15)</f>
        <v/>
      </c>
      <c r="F15" s="16">
        <f>IF(C15=0,0,D15/C15)</f>
        <v/>
      </c>
      <c r="G15" s="17">
        <f>IF(A15="","",IF(F15&gt;0.85,"Critical",IF(F15&gt;0.7,"Warning","OK")))</f>
        <v/>
      </c>
      <c r="H15" s="5" t="n"/>
      <c r="I15" s="5" t="n"/>
      <c r="J15" s="5" t="n"/>
      <c r="K15" s="20">
        <f>IF(OR(I15=0,E15=""),"N/A",(E15*1024)/I15)</f>
        <v/>
      </c>
      <c r="L15" s="5" t="n"/>
      <c r="M15" s="4" t="n"/>
      <c r="N15" s="5" t="n"/>
      <c r="O15" s="5" t="n"/>
    </row>
    <row r="16">
      <c r="A16" s="5" t="n"/>
      <c r="B16" s="5" t="n"/>
      <c r="C16" s="5" t="n"/>
      <c r="D16" s="5" t="n"/>
      <c r="E16" s="17">
        <f>IF(C16="","",C16-D16)</f>
        <v/>
      </c>
      <c r="F16" s="16">
        <f>IF(C16=0,0,D16/C16)</f>
        <v/>
      </c>
      <c r="G16" s="17">
        <f>IF(A16="","",IF(F16&gt;0.85,"Critical",IF(F16&gt;0.7,"Warning","OK")))</f>
        <v/>
      </c>
      <c r="H16" s="5" t="n"/>
      <c r="I16" s="5" t="n"/>
      <c r="J16" s="5" t="n"/>
      <c r="K16" s="20">
        <f>IF(OR(I16=0,E16=""),"N/A",(E16*1024)/I16)</f>
        <v/>
      </c>
      <c r="L16" s="5" t="n"/>
      <c r="M16" s="4" t="n"/>
      <c r="N16" s="5" t="n"/>
      <c r="O16" s="5" t="n"/>
    </row>
    <row r="17">
      <c r="A17" s="5" t="n"/>
      <c r="B17" s="5" t="n"/>
      <c r="C17" s="5" t="n"/>
      <c r="D17" s="5" t="n"/>
      <c r="E17" s="17">
        <f>IF(C17="","",C17-D17)</f>
        <v/>
      </c>
      <c r="F17" s="16">
        <f>IF(C17=0,0,D17/C17)</f>
        <v/>
      </c>
      <c r="G17" s="17">
        <f>IF(A17="","",IF(F17&gt;0.85,"Critical",IF(F17&gt;0.7,"Warning","OK")))</f>
        <v/>
      </c>
      <c r="H17" s="5" t="n"/>
      <c r="I17" s="5" t="n"/>
      <c r="J17" s="5" t="n"/>
      <c r="K17" s="20">
        <f>IF(OR(I17=0,E17=""),"N/A",(E17*1024)/I17)</f>
        <v/>
      </c>
      <c r="L17" s="5" t="n"/>
      <c r="M17" s="4" t="n"/>
      <c r="N17" s="5" t="n"/>
      <c r="O17" s="5" t="n"/>
    </row>
    <row r="18">
      <c r="A18" s="5" t="n"/>
      <c r="B18" s="5" t="n"/>
      <c r="C18" s="5" t="n"/>
      <c r="D18" s="5" t="n"/>
      <c r="E18" s="17">
        <f>IF(C18="","",C18-D18)</f>
        <v/>
      </c>
      <c r="F18" s="16">
        <f>IF(C18=0,0,D18/C18)</f>
        <v/>
      </c>
      <c r="G18" s="17">
        <f>IF(A18="","",IF(F18&gt;0.85,"Critical",IF(F18&gt;0.7,"Warning","OK")))</f>
        <v/>
      </c>
      <c r="H18" s="5" t="n"/>
      <c r="I18" s="5" t="n"/>
      <c r="J18" s="5" t="n"/>
      <c r="K18" s="20">
        <f>IF(OR(I18=0,E18=""),"N/A",(E18*1024)/I18)</f>
        <v/>
      </c>
      <c r="L18" s="5" t="n"/>
      <c r="M18" s="4" t="n"/>
      <c r="N18" s="5" t="n"/>
      <c r="O18" s="5" t="n"/>
    </row>
    <row r="19">
      <c r="A19" s="5" t="n"/>
      <c r="B19" s="5" t="n"/>
      <c r="C19" s="5" t="n"/>
      <c r="D19" s="5" t="n"/>
      <c r="E19" s="17">
        <f>IF(C19="","",C19-D19)</f>
        <v/>
      </c>
      <c r="F19" s="16">
        <f>IF(C19=0,0,D19/C19)</f>
        <v/>
      </c>
      <c r="G19" s="17">
        <f>IF(A19="","",IF(F19&gt;0.85,"Critical",IF(F19&gt;0.7,"Warning","OK")))</f>
        <v/>
      </c>
      <c r="H19" s="5" t="n"/>
      <c r="I19" s="5" t="n"/>
      <c r="J19" s="5" t="n"/>
      <c r="K19" s="20">
        <f>IF(OR(I19=0,E19=""),"N/A",(E19*1024)/I19)</f>
        <v/>
      </c>
      <c r="L19" s="5" t="n"/>
      <c r="M19" s="4" t="n"/>
      <c r="N19" s="5" t="n"/>
      <c r="O19" s="5" t="n"/>
    </row>
    <row r="20">
      <c r="A20" s="5" t="n"/>
      <c r="B20" s="5" t="n"/>
      <c r="C20" s="5" t="n"/>
      <c r="D20" s="5" t="n"/>
      <c r="E20" s="17">
        <f>IF(C20="","",C20-D20)</f>
        <v/>
      </c>
      <c r="F20" s="16">
        <f>IF(C20=0,0,D20/C20)</f>
        <v/>
      </c>
      <c r="G20" s="17">
        <f>IF(A20="","",IF(F20&gt;0.85,"Critical",IF(F20&gt;0.7,"Warning","OK")))</f>
        <v/>
      </c>
      <c r="H20" s="5" t="n"/>
      <c r="I20" s="5" t="n"/>
      <c r="J20" s="5" t="n"/>
      <c r="K20" s="20">
        <f>IF(OR(I20=0,E20=""),"N/A",(E20*1024)/I20)</f>
        <v/>
      </c>
      <c r="L20" s="5" t="n"/>
      <c r="M20" s="4" t="n"/>
      <c r="N20" s="5" t="n"/>
      <c r="O20" s="5" t="n"/>
    </row>
    <row r="25">
      <c r="A25" s="6" t="inlineStr">
        <is>
          <t>CAPACITY PLANNING</t>
        </is>
      </c>
    </row>
    <row r="27">
      <c r="A27" s="14" t="inlineStr">
        <is>
          <t>Timeframe</t>
        </is>
      </c>
      <c r="B27" s="14" t="inlineStr">
        <is>
          <t>Projected Ingest (TB)</t>
        </is>
      </c>
      <c r="C27" s="14" t="inlineStr">
        <is>
          <t>Capacity Needed (TB)</t>
        </is>
      </c>
      <c r="D27" s="14" t="inlineStr">
        <is>
          <t>Gap (TB)</t>
        </is>
      </c>
      <c r="E27" s="14" t="inlineStr">
        <is>
          <t>Estimated Cost</t>
        </is>
      </c>
    </row>
    <row r="28">
      <c r="A28" s="2" t="inlineStr">
        <is>
          <t>Current</t>
        </is>
      </c>
      <c r="B28" s="17">
        <f>SUM(D9:D20)</f>
        <v/>
      </c>
      <c r="C28" s="17">
        <f>SUM(C9:C20)</f>
        <v/>
      </c>
      <c r="D28" s="17" t="inlineStr">
        <is>
          <t>N/A</t>
        </is>
      </c>
      <c r="E28" s="17" t="inlineStr">
        <is>
          <t>N/A</t>
        </is>
      </c>
    </row>
    <row r="29">
      <c r="A29" s="2" t="inlineStr">
        <is>
          <t>6 months</t>
        </is>
      </c>
      <c r="B29" s="17">
        <f>SUM(I9:I20)*180/1024</f>
        <v/>
      </c>
      <c r="C29" s="5" t="inlineStr">
        <is>
          <t>[Formula]</t>
        </is>
      </c>
      <c r="D29" s="5" t="inlineStr">
        <is>
          <t>[Formula]</t>
        </is>
      </c>
      <c r="E29" s="5" t="inlineStr">
        <is>
          <t>[Input]</t>
        </is>
      </c>
    </row>
    <row r="30">
      <c r="A30" s="2" t="inlineStr">
        <is>
          <t>12 months</t>
        </is>
      </c>
      <c r="B30" s="17">
        <f>SUM(I9:I20)*365/1024</f>
        <v/>
      </c>
      <c r="C30" s="5" t="inlineStr">
        <is>
          <t>[Formula]</t>
        </is>
      </c>
      <c r="D30" s="5" t="inlineStr">
        <is>
          <t>[Formula]</t>
        </is>
      </c>
      <c r="E30" s="5" t="inlineStr">
        <is>
          <t>[Input]</t>
        </is>
      </c>
    </row>
    <row r="31">
      <c r="A31" s="2" t="inlineStr">
        <is>
          <t>24 months</t>
        </is>
      </c>
      <c r="B31" s="17">
        <f>SUM(I9:I20)*730/1024</f>
        <v/>
      </c>
      <c r="C31" s="5" t="inlineStr">
        <is>
          <t>[Formula]</t>
        </is>
      </c>
      <c r="D31" s="5" t="inlineStr">
        <is>
          <t>[Formula]</t>
        </is>
      </c>
      <c r="E31" s="5" t="inlineStr">
        <is>
          <t>[Input]</t>
        </is>
      </c>
    </row>
    <row r="34">
      <c r="A34" s="6" t="inlineStr">
        <is>
          <t>OPTIMIZATION OPPORTUNITIES</t>
        </is>
      </c>
    </row>
    <row r="35">
      <c r="A35" s="21" t="inlineStr">
        <is>
          <t>• Enable compression to reduce storage usage by 50-70%</t>
        </is>
      </c>
    </row>
    <row r="36">
      <c r="A36" s="21" t="inlineStr">
        <is>
          <t>• Implement tiered storage (hot/warm/cold) for cost optimization</t>
        </is>
      </c>
    </row>
    <row r="37">
      <c r="A37" s="21" t="inlineStr">
        <is>
          <t>• Review retention periods - are all logs kept longer than necessary?</t>
        </is>
      </c>
    </row>
    <row r="38">
      <c r="A38" s="21" t="inlineStr">
        <is>
          <t>• Archive old data to low-cost object storage (S3 Glacier, Azure Archive)</t>
        </is>
      </c>
    </row>
    <row r="39">
      <c r="A39" s="21" t="inlineStr">
        <is>
          <t>• Implement data summarization for aged logs</t>
        </is>
      </c>
    </row>
  </sheetData>
  <mergeCells count="9">
    <mergeCell ref="A35:O35"/>
    <mergeCell ref="A25:O25"/>
    <mergeCell ref="A38:O38"/>
    <mergeCell ref="A2:O2"/>
    <mergeCell ref="A36:O36"/>
    <mergeCell ref="A1:O1"/>
    <mergeCell ref="A37:O37"/>
    <mergeCell ref="A34:O34"/>
    <mergeCell ref="A39:O39"/>
  </mergeCells>
  <conditionalFormatting sqref="F9:F20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" dxfId="2">
      <formula>0.85</formula>
    </cfRule>
  </conditionalFormatting>
  <dataValidations count="3">
    <dataValidation sqref="A9:A20" showDropDown="0" showInputMessage="0" showErrorMessage="0" allowBlank="1" type="list">
      <formula1>"Hot Storage,Warm Storage,Cold Storage,Archive,Backup"</formula1>
    </dataValidation>
    <dataValidation sqref="B9:B20" showDropDown="0" showInputMessage="0" showErrorMessage="0" allowBlank="1" type="list">
      <formula1>"Local Disk/SSD,SAN,NAS,Object Storage (S3/Azure),Tape,Cloud,Other"</formula1>
    </dataValidation>
    <dataValidation sqref="L9:L20" showDropDown="0" showInputMessage="0" showErrorMessage="0" allowBlank="1" type="list">
      <formula1>"Not Needed,Planned,In Progress,Urgent"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5" customWidth="1" min="11" max="11"/>
    <col width="40" customWidth="1" min="12" max="12"/>
    <col width="15" customWidth="1" min="13" max="13"/>
    <col width="20" customWidth="1" min="14" max="14"/>
    <col width="40" customWidth="1" min="15" max="15"/>
  </cols>
  <sheetData>
    <row r="1" ht="40" customHeight="1">
      <c r="A1" s="1" t="inlineStr">
        <is>
          <t>LOG PARSING &amp; NORMALIZATION</t>
        </is>
      </c>
    </row>
    <row r="2" ht="30" customHeight="1">
      <c r="A2" s="6" t="inlineStr">
        <is>
          <t>Assess parsing accuracy, field extraction, and data normalization</t>
        </is>
      </c>
    </row>
    <row r="7" ht="35" customHeight="1">
      <c r="A7" s="14" t="inlineStr">
        <is>
          <t>Log Source Type</t>
        </is>
      </c>
      <c r="B7" s="14" t="inlineStr">
        <is>
          <t>Log Format</t>
        </is>
      </c>
      <c r="C7" s="14" t="inlineStr">
        <is>
          <t>Parsing Method</t>
        </is>
      </c>
      <c r="D7" s="14" t="inlineStr">
        <is>
          <t>Parser Status</t>
        </is>
      </c>
      <c r="E7" s="14" t="inlineStr">
        <is>
          <t>Parse Success Rate %</t>
        </is>
      </c>
      <c r="F7" s="14" t="inlineStr">
        <is>
          <t>Unparsed Events/Day</t>
        </is>
      </c>
      <c r="G7" s="14" t="inlineStr">
        <is>
          <t>Fields Extracted</t>
        </is>
      </c>
      <c r="H7" s="14" t="inlineStr">
        <is>
          <t>Required Fields Present</t>
        </is>
      </c>
      <c r="I7" s="14" t="inlineStr">
        <is>
          <t>Timestamp Parsing</t>
        </is>
      </c>
      <c r="J7" s="14" t="inlineStr">
        <is>
          <t>Timezone Handling</t>
        </is>
      </c>
      <c r="K7" s="14" t="inlineStr">
        <is>
          <t>Last Parser Update</t>
        </is>
      </c>
      <c r="L7" s="14" t="inlineStr">
        <is>
          <t>Issues Identified</t>
        </is>
      </c>
      <c r="M7" s="14" t="inlineStr">
        <is>
          <t>Tuning Required</t>
        </is>
      </c>
      <c r="N7" s="14" t="inlineStr">
        <is>
          <t>Owner</t>
        </is>
      </c>
      <c r="O7" s="14" t="inlineStr">
        <is>
          <t>Notes</t>
        </is>
      </c>
    </row>
    <row r="8">
      <c r="A8" s="15" t="inlineStr">
        <is>
          <t>Windows Events</t>
        </is>
      </c>
      <c r="B8" s="15" t="inlineStr">
        <is>
          <t>EVTX</t>
        </is>
      </c>
      <c r="C8" s="15" t="inlineStr">
        <is>
          <t>Built-in</t>
        </is>
      </c>
      <c r="D8" s="15" t="inlineStr">
        <is>
          <t>Working</t>
        </is>
      </c>
      <c r="E8" s="15" t="inlineStr">
        <is>
          <t>98.5</t>
        </is>
      </c>
      <c r="F8" s="15" t="inlineStr">
        <is>
          <t>3750</t>
        </is>
      </c>
      <c r="G8" s="15" t="inlineStr">
        <is>
          <t>25</t>
        </is>
      </c>
      <c r="H8" s="15" t="inlineStr">
        <is>
          <t>All</t>
        </is>
      </c>
      <c r="I8" s="15" t="inlineStr">
        <is>
          <t>Correct</t>
        </is>
      </c>
      <c r="J8" s="15" t="inlineStr">
        <is>
          <t>Correct</t>
        </is>
      </c>
      <c r="K8" s="15" t="inlineStr">
        <is>
          <t>15.11.2025</t>
        </is>
      </c>
      <c r="L8" s="15" t="inlineStr">
        <is>
          <t>None</t>
        </is>
      </c>
      <c r="M8" s="15" t="inlineStr">
        <is>
          <t>No</t>
        </is>
      </c>
      <c r="N8" s="15" t="inlineStr">
        <is>
          <t>SIEM Team</t>
        </is>
      </c>
      <c r="O8" s="15" t="inlineStr">
        <is>
          <t>Standard Windows parser</t>
        </is>
      </c>
    </row>
    <row r="9">
      <c r="A9" s="5" t="n"/>
      <c r="B9" s="5" t="n"/>
      <c r="C9" s="5" t="n"/>
      <c r="D9" s="5" t="n"/>
      <c r="E9" s="22" t="n"/>
      <c r="F9" s="5" t="n"/>
      <c r="G9" s="5" t="n"/>
      <c r="H9" s="5" t="n"/>
      <c r="I9" s="5" t="n"/>
      <c r="J9" s="5" t="n"/>
      <c r="K9" s="23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22" t="n"/>
      <c r="F10" s="5" t="n"/>
      <c r="G10" s="5" t="n"/>
      <c r="H10" s="5" t="n"/>
      <c r="I10" s="5" t="n"/>
      <c r="J10" s="5" t="n"/>
      <c r="K10" s="23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22" t="n"/>
      <c r="F11" s="5" t="n"/>
      <c r="G11" s="5" t="n"/>
      <c r="H11" s="5" t="n"/>
      <c r="I11" s="5" t="n"/>
      <c r="J11" s="5" t="n"/>
      <c r="K11" s="23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22" t="n"/>
      <c r="F12" s="5" t="n"/>
      <c r="G12" s="5" t="n"/>
      <c r="H12" s="5" t="n"/>
      <c r="I12" s="5" t="n"/>
      <c r="J12" s="5" t="n"/>
      <c r="K12" s="23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22" t="n"/>
      <c r="F13" s="5" t="n"/>
      <c r="G13" s="5" t="n"/>
      <c r="H13" s="5" t="n"/>
      <c r="I13" s="5" t="n"/>
      <c r="J13" s="5" t="n"/>
      <c r="K13" s="23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22" t="n"/>
      <c r="F14" s="5" t="n"/>
      <c r="G14" s="5" t="n"/>
      <c r="H14" s="5" t="n"/>
      <c r="I14" s="5" t="n"/>
      <c r="J14" s="5" t="n"/>
      <c r="K14" s="23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22" t="n"/>
      <c r="F15" s="5" t="n"/>
      <c r="G15" s="5" t="n"/>
      <c r="H15" s="5" t="n"/>
      <c r="I15" s="5" t="n"/>
      <c r="J15" s="5" t="n"/>
      <c r="K15" s="23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22" t="n"/>
      <c r="F16" s="5" t="n"/>
      <c r="G16" s="5" t="n"/>
      <c r="H16" s="5" t="n"/>
      <c r="I16" s="5" t="n"/>
      <c r="J16" s="5" t="n"/>
      <c r="K16" s="23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22" t="n"/>
      <c r="F17" s="5" t="n"/>
      <c r="G17" s="5" t="n"/>
      <c r="H17" s="5" t="n"/>
      <c r="I17" s="5" t="n"/>
      <c r="J17" s="5" t="n"/>
      <c r="K17" s="23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22" t="n"/>
      <c r="F18" s="5" t="n"/>
      <c r="G18" s="5" t="n"/>
      <c r="H18" s="5" t="n"/>
      <c r="I18" s="5" t="n"/>
      <c r="J18" s="5" t="n"/>
      <c r="K18" s="23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22" t="n"/>
      <c r="F19" s="5" t="n"/>
      <c r="G19" s="5" t="n"/>
      <c r="H19" s="5" t="n"/>
      <c r="I19" s="5" t="n"/>
      <c r="J19" s="5" t="n"/>
      <c r="K19" s="23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22" t="n"/>
      <c r="F20" s="5" t="n"/>
      <c r="G20" s="5" t="n"/>
      <c r="H20" s="5" t="n"/>
      <c r="I20" s="5" t="n"/>
      <c r="J20" s="5" t="n"/>
      <c r="K20" s="23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22" t="n"/>
      <c r="F21" s="5" t="n"/>
      <c r="G21" s="5" t="n"/>
      <c r="H21" s="5" t="n"/>
      <c r="I21" s="5" t="n"/>
      <c r="J21" s="5" t="n"/>
      <c r="K21" s="23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22" t="n"/>
      <c r="F22" s="5" t="n"/>
      <c r="G22" s="5" t="n"/>
      <c r="H22" s="5" t="n"/>
      <c r="I22" s="5" t="n"/>
      <c r="J22" s="5" t="n"/>
      <c r="K22" s="23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22" t="n"/>
      <c r="F23" s="5" t="n"/>
      <c r="G23" s="5" t="n"/>
      <c r="H23" s="5" t="n"/>
      <c r="I23" s="5" t="n"/>
      <c r="J23" s="5" t="n"/>
      <c r="K23" s="23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22" t="n"/>
      <c r="F24" s="5" t="n"/>
      <c r="G24" s="5" t="n"/>
      <c r="H24" s="5" t="n"/>
      <c r="I24" s="5" t="n"/>
      <c r="J24" s="5" t="n"/>
      <c r="K24" s="23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22" t="n"/>
      <c r="F25" s="5" t="n"/>
      <c r="G25" s="5" t="n"/>
      <c r="H25" s="5" t="n"/>
      <c r="I25" s="5" t="n"/>
      <c r="J25" s="5" t="n"/>
      <c r="K25" s="23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22" t="n"/>
      <c r="F26" s="5" t="n"/>
      <c r="G26" s="5" t="n"/>
      <c r="H26" s="5" t="n"/>
      <c r="I26" s="5" t="n"/>
      <c r="J26" s="5" t="n"/>
      <c r="K26" s="23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22" t="n"/>
      <c r="F27" s="5" t="n"/>
      <c r="G27" s="5" t="n"/>
      <c r="H27" s="5" t="n"/>
      <c r="I27" s="5" t="n"/>
      <c r="J27" s="5" t="n"/>
      <c r="K27" s="23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22" t="n"/>
      <c r="F28" s="5" t="n"/>
      <c r="G28" s="5" t="n"/>
      <c r="H28" s="5" t="n"/>
      <c r="I28" s="5" t="n"/>
      <c r="J28" s="5" t="n"/>
      <c r="K28" s="23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22" t="n"/>
      <c r="F29" s="5" t="n"/>
      <c r="G29" s="5" t="n"/>
      <c r="H29" s="5" t="n"/>
      <c r="I29" s="5" t="n"/>
      <c r="J29" s="5" t="n"/>
      <c r="K29" s="23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22" t="n"/>
      <c r="F30" s="5" t="n"/>
      <c r="G30" s="5" t="n"/>
      <c r="H30" s="5" t="n"/>
      <c r="I30" s="5" t="n"/>
      <c r="J30" s="5" t="n"/>
      <c r="K30" s="23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22" t="n"/>
      <c r="F31" s="5" t="n"/>
      <c r="G31" s="5" t="n"/>
      <c r="H31" s="5" t="n"/>
      <c r="I31" s="5" t="n"/>
      <c r="J31" s="5" t="n"/>
      <c r="K31" s="23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22" t="n"/>
      <c r="F32" s="5" t="n"/>
      <c r="G32" s="5" t="n"/>
      <c r="H32" s="5" t="n"/>
      <c r="I32" s="5" t="n"/>
      <c r="J32" s="5" t="n"/>
      <c r="K32" s="23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22" t="n"/>
      <c r="F33" s="5" t="n"/>
      <c r="G33" s="5" t="n"/>
      <c r="H33" s="5" t="n"/>
      <c r="I33" s="5" t="n"/>
      <c r="J33" s="5" t="n"/>
      <c r="K33" s="23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22" t="n"/>
      <c r="F34" s="5" t="n"/>
      <c r="G34" s="5" t="n"/>
      <c r="H34" s="5" t="n"/>
      <c r="I34" s="5" t="n"/>
      <c r="J34" s="5" t="n"/>
      <c r="K34" s="23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22" t="n"/>
      <c r="F35" s="5" t="n"/>
      <c r="G35" s="5" t="n"/>
      <c r="H35" s="5" t="n"/>
      <c r="I35" s="5" t="n"/>
      <c r="J35" s="5" t="n"/>
      <c r="K35" s="23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22" t="n"/>
      <c r="F36" s="5" t="n"/>
      <c r="G36" s="5" t="n"/>
      <c r="H36" s="5" t="n"/>
      <c r="I36" s="5" t="n"/>
      <c r="J36" s="5" t="n"/>
      <c r="K36" s="23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22" t="n"/>
      <c r="F37" s="5" t="n"/>
      <c r="G37" s="5" t="n"/>
      <c r="H37" s="5" t="n"/>
      <c r="I37" s="5" t="n"/>
      <c r="J37" s="5" t="n"/>
      <c r="K37" s="23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22" t="n"/>
      <c r="F38" s="5" t="n"/>
      <c r="G38" s="5" t="n"/>
      <c r="H38" s="5" t="n"/>
      <c r="I38" s="5" t="n"/>
      <c r="J38" s="5" t="n"/>
      <c r="K38" s="23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22" t="n"/>
      <c r="F39" s="5" t="n"/>
      <c r="G39" s="5" t="n"/>
      <c r="H39" s="5" t="n"/>
      <c r="I39" s="5" t="n"/>
      <c r="J39" s="5" t="n"/>
      <c r="K39" s="23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22" t="n"/>
      <c r="F40" s="5" t="n"/>
      <c r="G40" s="5" t="n"/>
      <c r="H40" s="5" t="n"/>
      <c r="I40" s="5" t="n"/>
      <c r="J40" s="5" t="n"/>
      <c r="K40" s="23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22" t="n"/>
      <c r="F41" s="5" t="n"/>
      <c r="G41" s="5" t="n"/>
      <c r="H41" s="5" t="n"/>
      <c r="I41" s="5" t="n"/>
      <c r="J41" s="5" t="n"/>
      <c r="K41" s="23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22" t="n"/>
      <c r="F42" s="5" t="n"/>
      <c r="G42" s="5" t="n"/>
      <c r="H42" s="5" t="n"/>
      <c r="I42" s="5" t="n"/>
      <c r="J42" s="5" t="n"/>
      <c r="K42" s="23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22" t="n"/>
      <c r="F43" s="5" t="n"/>
      <c r="G43" s="5" t="n"/>
      <c r="H43" s="5" t="n"/>
      <c r="I43" s="5" t="n"/>
      <c r="J43" s="5" t="n"/>
      <c r="K43" s="23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22" t="n"/>
      <c r="F44" s="5" t="n"/>
      <c r="G44" s="5" t="n"/>
      <c r="H44" s="5" t="n"/>
      <c r="I44" s="5" t="n"/>
      <c r="J44" s="5" t="n"/>
      <c r="K44" s="23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22" t="n"/>
      <c r="F45" s="5" t="n"/>
      <c r="G45" s="5" t="n"/>
      <c r="H45" s="5" t="n"/>
      <c r="I45" s="5" t="n"/>
      <c r="J45" s="5" t="n"/>
      <c r="K45" s="23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22" t="n"/>
      <c r="F46" s="5" t="n"/>
      <c r="G46" s="5" t="n"/>
      <c r="H46" s="5" t="n"/>
      <c r="I46" s="5" t="n"/>
      <c r="J46" s="5" t="n"/>
      <c r="K46" s="23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22" t="n"/>
      <c r="F47" s="5" t="n"/>
      <c r="G47" s="5" t="n"/>
      <c r="H47" s="5" t="n"/>
      <c r="I47" s="5" t="n"/>
      <c r="J47" s="5" t="n"/>
      <c r="K47" s="23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22" t="n"/>
      <c r="F48" s="5" t="n"/>
      <c r="G48" s="5" t="n"/>
      <c r="H48" s="5" t="n"/>
      <c r="I48" s="5" t="n"/>
      <c r="J48" s="5" t="n"/>
      <c r="K48" s="23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22" t="n"/>
      <c r="F49" s="5" t="n"/>
      <c r="G49" s="5" t="n"/>
      <c r="H49" s="5" t="n"/>
      <c r="I49" s="5" t="n"/>
      <c r="J49" s="5" t="n"/>
      <c r="K49" s="23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22" t="n"/>
      <c r="F50" s="5" t="n"/>
      <c r="G50" s="5" t="n"/>
      <c r="H50" s="5" t="n"/>
      <c r="I50" s="5" t="n"/>
      <c r="J50" s="5" t="n"/>
      <c r="K50" s="23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22" t="n"/>
      <c r="F51" s="5" t="n"/>
      <c r="G51" s="5" t="n"/>
      <c r="H51" s="5" t="n"/>
      <c r="I51" s="5" t="n"/>
      <c r="J51" s="5" t="n"/>
      <c r="K51" s="23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22" t="n"/>
      <c r="F52" s="5" t="n"/>
      <c r="G52" s="5" t="n"/>
      <c r="H52" s="5" t="n"/>
      <c r="I52" s="5" t="n"/>
      <c r="J52" s="5" t="n"/>
      <c r="K52" s="23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22" t="n"/>
      <c r="F53" s="5" t="n"/>
      <c r="G53" s="5" t="n"/>
      <c r="H53" s="5" t="n"/>
      <c r="I53" s="5" t="n"/>
      <c r="J53" s="5" t="n"/>
      <c r="K53" s="23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22" t="n"/>
      <c r="F54" s="5" t="n"/>
      <c r="G54" s="5" t="n"/>
      <c r="H54" s="5" t="n"/>
      <c r="I54" s="5" t="n"/>
      <c r="J54" s="5" t="n"/>
      <c r="K54" s="23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22" t="n"/>
      <c r="F55" s="5" t="n"/>
      <c r="G55" s="5" t="n"/>
      <c r="H55" s="5" t="n"/>
      <c r="I55" s="5" t="n"/>
      <c r="J55" s="5" t="n"/>
      <c r="K55" s="23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22" t="n"/>
      <c r="F56" s="5" t="n"/>
      <c r="G56" s="5" t="n"/>
      <c r="H56" s="5" t="n"/>
      <c r="I56" s="5" t="n"/>
      <c r="J56" s="5" t="n"/>
      <c r="K56" s="23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22" t="n"/>
      <c r="F57" s="5" t="n"/>
      <c r="G57" s="5" t="n"/>
      <c r="H57" s="5" t="n"/>
      <c r="I57" s="5" t="n"/>
      <c r="J57" s="5" t="n"/>
      <c r="K57" s="23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22" t="n"/>
      <c r="F58" s="5" t="n"/>
      <c r="G58" s="5" t="n"/>
      <c r="H58" s="5" t="n"/>
      <c r="I58" s="5" t="n"/>
      <c r="J58" s="5" t="n"/>
      <c r="K58" s="23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22" t="n"/>
      <c r="F59" s="5" t="n"/>
      <c r="G59" s="5" t="n"/>
      <c r="H59" s="5" t="n"/>
      <c r="I59" s="5" t="n"/>
      <c r="J59" s="5" t="n"/>
      <c r="K59" s="23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22" t="n"/>
      <c r="F60" s="5" t="n"/>
      <c r="G60" s="5" t="n"/>
      <c r="H60" s="5" t="n"/>
      <c r="I60" s="5" t="n"/>
      <c r="J60" s="5" t="n"/>
      <c r="K60" s="23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22" t="n"/>
      <c r="F61" s="5" t="n"/>
      <c r="G61" s="5" t="n"/>
      <c r="H61" s="5" t="n"/>
      <c r="I61" s="5" t="n"/>
      <c r="J61" s="5" t="n"/>
      <c r="K61" s="23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22" t="n"/>
      <c r="F62" s="5" t="n"/>
      <c r="G62" s="5" t="n"/>
      <c r="H62" s="5" t="n"/>
      <c r="I62" s="5" t="n"/>
      <c r="J62" s="5" t="n"/>
      <c r="K62" s="23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22" t="n"/>
      <c r="F63" s="5" t="n"/>
      <c r="G63" s="5" t="n"/>
      <c r="H63" s="5" t="n"/>
      <c r="I63" s="5" t="n"/>
      <c r="J63" s="5" t="n"/>
      <c r="K63" s="23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22" t="n"/>
      <c r="F64" s="5" t="n"/>
      <c r="G64" s="5" t="n"/>
      <c r="H64" s="5" t="n"/>
      <c r="I64" s="5" t="n"/>
      <c r="J64" s="5" t="n"/>
      <c r="K64" s="23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22" t="n"/>
      <c r="F65" s="5" t="n"/>
      <c r="G65" s="5" t="n"/>
      <c r="H65" s="5" t="n"/>
      <c r="I65" s="5" t="n"/>
      <c r="J65" s="5" t="n"/>
      <c r="K65" s="23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22" t="n"/>
      <c r="F66" s="5" t="n"/>
      <c r="G66" s="5" t="n"/>
      <c r="H66" s="5" t="n"/>
      <c r="I66" s="5" t="n"/>
      <c r="J66" s="5" t="n"/>
      <c r="K66" s="23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22" t="n"/>
      <c r="F67" s="5" t="n"/>
      <c r="G67" s="5" t="n"/>
      <c r="H67" s="5" t="n"/>
      <c r="I67" s="5" t="n"/>
      <c r="J67" s="5" t="n"/>
      <c r="K67" s="23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22" t="n"/>
      <c r="F68" s="5" t="n"/>
      <c r="G68" s="5" t="n"/>
      <c r="H68" s="5" t="n"/>
      <c r="I68" s="5" t="n"/>
      <c r="J68" s="5" t="n"/>
      <c r="K68" s="23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22" t="n"/>
      <c r="F69" s="5" t="n"/>
      <c r="G69" s="5" t="n"/>
      <c r="H69" s="5" t="n"/>
      <c r="I69" s="5" t="n"/>
      <c r="J69" s="5" t="n"/>
      <c r="K69" s="23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22" t="n"/>
      <c r="F70" s="5" t="n"/>
      <c r="G70" s="5" t="n"/>
      <c r="H70" s="5" t="n"/>
      <c r="I70" s="5" t="n"/>
      <c r="J70" s="5" t="n"/>
      <c r="K70" s="23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22" t="n"/>
      <c r="F71" s="5" t="n"/>
      <c r="G71" s="5" t="n"/>
      <c r="H71" s="5" t="n"/>
      <c r="I71" s="5" t="n"/>
      <c r="J71" s="5" t="n"/>
      <c r="K71" s="23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22" t="n"/>
      <c r="F72" s="5" t="n"/>
      <c r="G72" s="5" t="n"/>
      <c r="H72" s="5" t="n"/>
      <c r="I72" s="5" t="n"/>
      <c r="J72" s="5" t="n"/>
      <c r="K72" s="23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22" t="n"/>
      <c r="F73" s="5" t="n"/>
      <c r="G73" s="5" t="n"/>
      <c r="H73" s="5" t="n"/>
      <c r="I73" s="5" t="n"/>
      <c r="J73" s="5" t="n"/>
      <c r="K73" s="23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22" t="n"/>
      <c r="F74" s="5" t="n"/>
      <c r="G74" s="5" t="n"/>
      <c r="H74" s="5" t="n"/>
      <c r="I74" s="5" t="n"/>
      <c r="J74" s="5" t="n"/>
      <c r="K74" s="23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22" t="n"/>
      <c r="F75" s="5" t="n"/>
      <c r="G75" s="5" t="n"/>
      <c r="H75" s="5" t="n"/>
      <c r="I75" s="5" t="n"/>
      <c r="J75" s="5" t="n"/>
      <c r="K75" s="23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22" t="n"/>
      <c r="F76" s="5" t="n"/>
      <c r="G76" s="5" t="n"/>
      <c r="H76" s="5" t="n"/>
      <c r="I76" s="5" t="n"/>
      <c r="J76" s="5" t="n"/>
      <c r="K76" s="23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22" t="n"/>
      <c r="F77" s="5" t="n"/>
      <c r="G77" s="5" t="n"/>
      <c r="H77" s="5" t="n"/>
      <c r="I77" s="5" t="n"/>
      <c r="J77" s="5" t="n"/>
      <c r="K77" s="23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22" t="n"/>
      <c r="F78" s="5" t="n"/>
      <c r="G78" s="5" t="n"/>
      <c r="H78" s="5" t="n"/>
      <c r="I78" s="5" t="n"/>
      <c r="J78" s="5" t="n"/>
      <c r="K78" s="23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22" t="n"/>
      <c r="F79" s="5" t="n"/>
      <c r="G79" s="5" t="n"/>
      <c r="H79" s="5" t="n"/>
      <c r="I79" s="5" t="n"/>
      <c r="J79" s="5" t="n"/>
      <c r="K79" s="23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22" t="n"/>
      <c r="F80" s="5" t="n"/>
      <c r="G80" s="5" t="n"/>
      <c r="H80" s="5" t="n"/>
      <c r="I80" s="5" t="n"/>
      <c r="J80" s="5" t="n"/>
      <c r="K80" s="23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22" t="n"/>
      <c r="F81" s="5" t="n"/>
      <c r="G81" s="5" t="n"/>
      <c r="H81" s="5" t="n"/>
      <c r="I81" s="5" t="n"/>
      <c r="J81" s="5" t="n"/>
      <c r="K81" s="23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22" t="n"/>
      <c r="F82" s="5" t="n"/>
      <c r="G82" s="5" t="n"/>
      <c r="H82" s="5" t="n"/>
      <c r="I82" s="5" t="n"/>
      <c r="J82" s="5" t="n"/>
      <c r="K82" s="23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22" t="n"/>
      <c r="F83" s="5" t="n"/>
      <c r="G83" s="5" t="n"/>
      <c r="H83" s="5" t="n"/>
      <c r="I83" s="5" t="n"/>
      <c r="J83" s="5" t="n"/>
      <c r="K83" s="23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22" t="n"/>
      <c r="F84" s="5" t="n"/>
      <c r="G84" s="5" t="n"/>
      <c r="H84" s="5" t="n"/>
      <c r="I84" s="5" t="n"/>
      <c r="J84" s="5" t="n"/>
      <c r="K84" s="23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22" t="n"/>
      <c r="F85" s="5" t="n"/>
      <c r="G85" s="5" t="n"/>
      <c r="H85" s="5" t="n"/>
      <c r="I85" s="5" t="n"/>
      <c r="J85" s="5" t="n"/>
      <c r="K85" s="23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22" t="n"/>
      <c r="F86" s="5" t="n"/>
      <c r="G86" s="5" t="n"/>
      <c r="H86" s="5" t="n"/>
      <c r="I86" s="5" t="n"/>
      <c r="J86" s="5" t="n"/>
      <c r="K86" s="23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22" t="n"/>
      <c r="F87" s="5" t="n"/>
      <c r="G87" s="5" t="n"/>
      <c r="H87" s="5" t="n"/>
      <c r="I87" s="5" t="n"/>
      <c r="J87" s="5" t="n"/>
      <c r="K87" s="23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22" t="n"/>
      <c r="F88" s="5" t="n"/>
      <c r="G88" s="5" t="n"/>
      <c r="H88" s="5" t="n"/>
      <c r="I88" s="5" t="n"/>
      <c r="J88" s="5" t="n"/>
      <c r="K88" s="23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22" t="n"/>
      <c r="F89" s="5" t="n"/>
      <c r="G89" s="5" t="n"/>
      <c r="H89" s="5" t="n"/>
      <c r="I89" s="5" t="n"/>
      <c r="J89" s="5" t="n"/>
      <c r="K89" s="23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22" t="n"/>
      <c r="F90" s="5" t="n"/>
      <c r="G90" s="5" t="n"/>
      <c r="H90" s="5" t="n"/>
      <c r="I90" s="5" t="n"/>
      <c r="J90" s="5" t="n"/>
      <c r="K90" s="23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22" t="n"/>
      <c r="F91" s="5" t="n"/>
      <c r="G91" s="5" t="n"/>
      <c r="H91" s="5" t="n"/>
      <c r="I91" s="5" t="n"/>
      <c r="J91" s="5" t="n"/>
      <c r="K91" s="23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22" t="n"/>
      <c r="F92" s="5" t="n"/>
      <c r="G92" s="5" t="n"/>
      <c r="H92" s="5" t="n"/>
      <c r="I92" s="5" t="n"/>
      <c r="J92" s="5" t="n"/>
      <c r="K92" s="23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22" t="n"/>
      <c r="F93" s="5" t="n"/>
      <c r="G93" s="5" t="n"/>
      <c r="H93" s="5" t="n"/>
      <c r="I93" s="5" t="n"/>
      <c r="J93" s="5" t="n"/>
      <c r="K93" s="23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22" t="n"/>
      <c r="F94" s="5" t="n"/>
      <c r="G94" s="5" t="n"/>
      <c r="H94" s="5" t="n"/>
      <c r="I94" s="5" t="n"/>
      <c r="J94" s="5" t="n"/>
      <c r="K94" s="23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22" t="n"/>
      <c r="F95" s="5" t="n"/>
      <c r="G95" s="5" t="n"/>
      <c r="H95" s="5" t="n"/>
      <c r="I95" s="5" t="n"/>
      <c r="J95" s="5" t="n"/>
      <c r="K95" s="23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22" t="n"/>
      <c r="F96" s="5" t="n"/>
      <c r="G96" s="5" t="n"/>
      <c r="H96" s="5" t="n"/>
      <c r="I96" s="5" t="n"/>
      <c r="J96" s="5" t="n"/>
      <c r="K96" s="23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22" t="n"/>
      <c r="F97" s="5" t="n"/>
      <c r="G97" s="5" t="n"/>
      <c r="H97" s="5" t="n"/>
      <c r="I97" s="5" t="n"/>
      <c r="J97" s="5" t="n"/>
      <c r="K97" s="23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22" t="n"/>
      <c r="F98" s="5" t="n"/>
      <c r="G98" s="5" t="n"/>
      <c r="H98" s="5" t="n"/>
      <c r="I98" s="5" t="n"/>
      <c r="J98" s="5" t="n"/>
      <c r="K98" s="23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22" t="n"/>
      <c r="F99" s="5" t="n"/>
      <c r="G99" s="5" t="n"/>
      <c r="H99" s="5" t="n"/>
      <c r="I99" s="5" t="n"/>
      <c r="J99" s="5" t="n"/>
      <c r="K99" s="23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22" t="n"/>
      <c r="F100" s="5" t="n"/>
      <c r="G100" s="5" t="n"/>
      <c r="H100" s="5" t="n"/>
      <c r="I100" s="5" t="n"/>
      <c r="J100" s="5" t="n"/>
      <c r="K100" s="23" t="n"/>
      <c r="L100" s="5" t="n"/>
      <c r="M100" s="5" t="n"/>
      <c r="N100" s="5" t="n"/>
      <c r="O100" s="5" t="n"/>
    </row>
  </sheetData>
  <mergeCells count="2">
    <mergeCell ref="A1:O1"/>
    <mergeCell ref="A2:O2"/>
  </mergeCells>
  <dataValidations count="7">
    <dataValidation sqref="B9:B100" showDropDown="0" showInputMessage="0" showErrorMessage="0" allowBlank="1" type="list">
      <formula1>"Syslog,CEF,JSON,EVTX,LEEF,Custom"</formula1>
    </dataValidation>
    <dataValidation sqref="C9:C100" showDropDown="0" showInputMessage="0" showErrorMessage="0" allowBlank="1" type="list">
      <formula1>"Built-in,Custom Regex,Grok,Logstash Filter,Custom Script,ML-based"</formula1>
    </dataValidation>
    <dataValidation sqref="D9:D100" showDropDown="0" showInputMessage="0" showErrorMessage="0" allowBlank="1" type="list">
      <formula1>"Working,Needs Tuning,Broken,Not Configured"</formula1>
    </dataValidation>
    <dataValidation sqref="H9:H100" showDropDown="0" showInputMessage="0" showErrorMessage="0" allowBlank="1" type="list">
      <formula1>"All,Most,Some,Few,None"</formula1>
    </dataValidation>
    <dataValidation sqref="I9:I100" showDropDown="0" showInputMessage="0" showErrorMessage="0" allowBlank="1" type="list">
      <formula1>"Correct,Incorrect,Missing"</formula1>
    </dataValidation>
    <dataValidation sqref="J9:J100" showDropDown="0" showInputMessage="0" showErrorMessage="0" allowBlank="1" type="list">
      <formula1>"Correct,Incorrect,Unknown"</formula1>
    </dataValidation>
    <dataValidation sqref="M9:M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5" customWidth="1" min="12" max="12"/>
    <col width="18" customWidth="1" min="13" max="13"/>
    <col width="40" customWidth="1" min="14" max="14"/>
  </cols>
  <sheetData>
    <row r="1" ht="40" customHeight="1">
      <c r="A1" s="1" t="inlineStr">
        <is>
          <t>SIEM PERFORMANCE METRICS</t>
        </is>
      </c>
    </row>
    <row r="2" ht="30" customHeight="1">
      <c r="A2" s="6" t="inlineStr">
        <is>
          <t>Track SIEM platform performance over assessment period (daily metrics)</t>
        </is>
      </c>
    </row>
    <row r="7" ht="35" customHeight="1">
      <c r="A7" s="14" t="inlineStr">
        <is>
          <t>Metric Date</t>
        </is>
      </c>
      <c r="B7" s="14" t="inlineStr">
        <is>
          <t>Daily Events Indexed</t>
        </is>
      </c>
      <c r="C7" s="14" t="inlineStr">
        <is>
          <t>Peak Events/Second</t>
        </is>
      </c>
      <c r="D7" s="14" t="inlineStr">
        <is>
          <t>Indexing Lag (minutes)</t>
        </is>
      </c>
      <c r="E7" s="14" t="inlineStr">
        <is>
          <t>Search Performance (sec)</t>
        </is>
      </c>
      <c r="F7" s="14" t="inlineStr">
        <is>
          <t>Dashboard Load Time (sec)</t>
        </is>
      </c>
      <c r="G7" s="14" t="inlineStr">
        <is>
          <t>CPU Utilization %</t>
        </is>
      </c>
      <c r="H7" s="14" t="inlineStr">
        <is>
          <t>Memory Utilization %</t>
        </is>
      </c>
      <c r="I7" s="14" t="inlineStr">
        <is>
          <t>Disk I/O %</t>
        </is>
      </c>
      <c r="J7" s="14" t="inlineStr">
        <is>
          <t>Network Throughput (Gbps)</t>
        </is>
      </c>
      <c r="K7" s="14" t="inlineStr">
        <is>
          <t>Uptime %</t>
        </is>
      </c>
      <c r="L7" s="14" t="inlineStr">
        <is>
          <t>Incidents</t>
        </is>
      </c>
      <c r="M7" s="14" t="inlineStr">
        <is>
          <t>Performance Status</t>
        </is>
      </c>
      <c r="N7" s="14" t="inlineStr">
        <is>
          <t>Notes</t>
        </is>
      </c>
    </row>
    <row r="8">
      <c r="A8" s="15" t="inlineStr">
        <is>
          <t>06.01.2026</t>
        </is>
      </c>
      <c r="B8" s="15" t="inlineStr">
        <is>
          <t>25000000</t>
        </is>
      </c>
      <c r="C8" s="15" t="inlineStr">
        <is>
          <t>8500</t>
        </is>
      </c>
      <c r="D8" s="15" t="inlineStr">
        <is>
          <t>3</t>
        </is>
      </c>
      <c r="E8" s="15" t="inlineStr">
        <is>
          <t>8</t>
        </is>
      </c>
      <c r="F8" s="15" t="inlineStr">
        <is>
          <t>5</t>
        </is>
      </c>
      <c r="G8" s="15" t="inlineStr">
        <is>
          <t>65</t>
        </is>
      </c>
      <c r="H8" s="15" t="inlineStr">
        <is>
          <t>72</t>
        </is>
      </c>
      <c r="I8" s="15" t="inlineStr">
        <is>
          <t>45</t>
        </is>
      </c>
      <c r="J8" s="15" t="inlineStr">
        <is>
          <t>2.5</t>
        </is>
      </c>
      <c r="K8" s="15" t="inlineStr">
        <is>
          <t>100</t>
        </is>
      </c>
      <c r="L8" s="15" t="inlineStr">
        <is>
          <t>0</t>
        </is>
      </c>
      <c r="M8" s="15" t="inlineStr">
        <is>
          <t>Healthy</t>
        </is>
      </c>
      <c r="N8" s="15" t="inlineStr">
        <is>
          <t>Normal operations</t>
        </is>
      </c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17">
        <f>IF(A9="","",IF(AND(D9&lt;=5,E9&lt;=10,G9&lt;80,H9&lt;80,K9&gt;=99.9),"Healthy",IF(OR(D9&gt;15,E9&gt;30,G9&gt;90,H9&gt;90,K9&lt;99),"Critical","Warning")))</f>
        <v/>
      </c>
      <c r="N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17">
        <f>IF(A10="","",IF(AND(D10&lt;=5,E10&lt;=10,G10&lt;80,H10&lt;80,K10&gt;=99.9),"Healthy",IF(OR(D10&gt;15,E10&gt;30,G10&gt;90,H10&gt;90,K10&lt;99),"Critical","Warning")))</f>
        <v/>
      </c>
      <c r="N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17">
        <f>IF(A11="","",IF(AND(D11&lt;=5,E11&lt;=10,G11&lt;80,H11&lt;80,K11&gt;=99.9),"Healthy",IF(OR(D11&gt;15,E11&gt;30,G11&gt;90,H11&gt;90,K11&lt;99),"Critical","Warning")))</f>
        <v/>
      </c>
      <c r="N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17">
        <f>IF(A12="","",IF(AND(D12&lt;=5,E12&lt;=10,G12&lt;80,H12&lt;80,K12&gt;=99.9),"Healthy",IF(OR(D12&gt;15,E12&gt;30,G12&gt;90,H12&gt;90,K12&lt;99),"Critical","Warning")))</f>
        <v/>
      </c>
      <c r="N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17">
        <f>IF(A13="","",IF(AND(D13&lt;=5,E13&lt;=10,G13&lt;80,H13&lt;80,K13&gt;=99.9),"Healthy",IF(OR(D13&gt;15,E13&gt;30,G13&gt;90,H13&gt;90,K13&lt;99),"Critical","Warning")))</f>
        <v/>
      </c>
      <c r="N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7">
        <f>IF(A14="","",IF(AND(D14&lt;=5,E14&lt;=10,G14&lt;80,H14&lt;80,K14&gt;=99.9),"Healthy",IF(OR(D14&gt;15,E14&gt;30,G14&gt;90,H14&gt;90,K14&lt;99),"Critical","Warning")))</f>
        <v/>
      </c>
      <c r="N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7">
        <f>IF(A15="","",IF(AND(D15&lt;=5,E15&lt;=10,G15&lt;80,H15&lt;80,K15&gt;=99.9),"Healthy",IF(OR(D15&gt;15,E15&gt;30,G15&gt;90,H15&gt;90,K15&lt;99),"Critical","Warning")))</f>
        <v/>
      </c>
      <c r="N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7">
        <f>IF(A16="","",IF(AND(D16&lt;=5,E16&lt;=10,G16&lt;80,H16&lt;80,K16&gt;=99.9),"Healthy",IF(OR(D16&gt;15,E16&gt;30,G16&gt;90,H16&gt;90,K16&lt;99),"Critical","Warning")))</f>
        <v/>
      </c>
      <c r="N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7">
        <f>IF(A17="","",IF(AND(D17&lt;=5,E17&lt;=10,G17&lt;80,H17&lt;80,K17&gt;=99.9),"Healthy",IF(OR(D17&gt;15,E17&gt;30,G17&gt;90,H17&gt;90,K17&lt;99),"Critical","Warning")))</f>
        <v/>
      </c>
      <c r="N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7">
        <f>IF(A18="","",IF(AND(D18&lt;=5,E18&lt;=10,G18&lt;80,H18&lt;80,K18&gt;=99.9),"Healthy",IF(OR(D18&gt;15,E18&gt;30,G18&gt;90,H18&gt;90,K18&lt;99),"Critical","Warning")))</f>
        <v/>
      </c>
      <c r="N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17">
        <f>IF(A19="","",IF(AND(D19&lt;=5,E19&lt;=10,G19&lt;80,H19&lt;80,K19&gt;=99.9),"Healthy",IF(OR(D19&gt;15,E19&gt;30,G19&gt;90,H19&gt;90,K19&lt;99),"Critical","Warning")))</f>
        <v/>
      </c>
      <c r="N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17">
        <f>IF(A20="","",IF(AND(D20&lt;=5,E20&lt;=10,G20&lt;80,H20&lt;80,K20&gt;=99.9),"Healthy",IF(OR(D20&gt;15,E20&gt;30,G20&gt;90,H20&gt;90,K20&lt;99),"Critical","Warning")))</f>
        <v/>
      </c>
      <c r="N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17">
        <f>IF(A21="","",IF(AND(D21&lt;=5,E21&lt;=10,G21&lt;80,H21&lt;80,K21&gt;=99.9),"Healthy",IF(OR(D21&gt;15,E21&gt;30,G21&gt;90,H21&gt;90,K21&lt;99),"Critical","Warning")))</f>
        <v/>
      </c>
      <c r="N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17">
        <f>IF(A22="","",IF(AND(D22&lt;=5,E22&lt;=10,G22&lt;80,H22&lt;80,K22&gt;=99.9),"Healthy",IF(OR(D22&gt;15,E22&gt;30,G22&gt;90,H22&gt;90,K22&lt;99),"Critical","Warning")))</f>
        <v/>
      </c>
      <c r="N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17">
        <f>IF(A23="","",IF(AND(D23&lt;=5,E23&lt;=10,G23&lt;80,H23&lt;80,K23&gt;=99.9),"Healthy",IF(OR(D23&gt;15,E23&gt;30,G23&gt;90,H23&gt;90,K23&lt;99),"Critical","Warning")))</f>
        <v/>
      </c>
      <c r="N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17">
        <f>IF(A24="","",IF(AND(D24&lt;=5,E24&lt;=10,G24&lt;80,H24&lt;80,K24&gt;=99.9),"Healthy",IF(OR(D24&gt;15,E24&gt;30,G24&gt;90,H24&gt;90,K24&lt;99),"Critical","Warning")))</f>
        <v/>
      </c>
      <c r="N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17">
        <f>IF(A25="","",IF(AND(D25&lt;=5,E25&lt;=10,G25&lt;80,H25&lt;80,K25&gt;=99.9),"Healthy",IF(OR(D25&gt;15,E25&gt;30,G25&gt;90,H25&gt;90,K25&lt;99),"Critical","Warning")))</f>
        <v/>
      </c>
      <c r="N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7">
        <f>IF(A26="","",IF(AND(D26&lt;=5,E26&lt;=10,G26&lt;80,H26&lt;80,K26&gt;=99.9),"Healthy",IF(OR(D26&gt;15,E26&gt;30,G26&gt;90,H26&gt;90,K26&lt;99),"Critical","Warning")))</f>
        <v/>
      </c>
      <c r="N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7">
        <f>IF(A27="","",IF(AND(D27&lt;=5,E27&lt;=10,G27&lt;80,H27&lt;80,K27&gt;=99.9),"Healthy",IF(OR(D27&gt;15,E27&gt;30,G27&gt;90,H27&gt;90,K27&lt;99),"Critical","Warning")))</f>
        <v/>
      </c>
      <c r="N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17">
        <f>IF(A28="","",IF(AND(D28&lt;=5,E28&lt;=10,G28&lt;80,H28&lt;80,K28&gt;=99.9),"Healthy",IF(OR(D28&gt;15,E28&gt;30,G28&gt;90,H28&gt;90,K28&lt;99),"Critical","Warning")))</f>
        <v/>
      </c>
      <c r="N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17">
        <f>IF(A29="","",IF(AND(D29&lt;=5,E29&lt;=10,G29&lt;80,H29&lt;80,K29&gt;=99.9),"Healthy",IF(OR(D29&gt;15,E29&gt;30,G29&gt;90,H29&gt;90,K29&lt;99),"Critical","Warning")))</f>
        <v/>
      </c>
      <c r="N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17">
        <f>IF(A30="","",IF(AND(D30&lt;=5,E30&lt;=10,G30&lt;80,H30&lt;80,K30&gt;=99.9),"Healthy",IF(OR(D30&gt;15,E30&gt;30,G30&gt;90,H30&gt;90,K30&lt;99),"Critical","Warning")))</f>
        <v/>
      </c>
      <c r="N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17">
        <f>IF(A31="","",IF(AND(D31&lt;=5,E31&lt;=10,G31&lt;80,H31&lt;80,K31&gt;=99.9),"Healthy",IF(OR(D31&gt;15,E31&gt;30,G31&gt;90,H31&gt;90,K31&lt;99),"Critical","Warning")))</f>
        <v/>
      </c>
      <c r="N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17">
        <f>IF(A32="","",IF(AND(D32&lt;=5,E32&lt;=10,G32&lt;80,H32&lt;80,K32&gt;=99.9),"Healthy",IF(OR(D32&gt;15,E32&gt;30,G32&gt;90,H32&gt;90,K32&lt;99),"Critical","Warning")))</f>
        <v/>
      </c>
      <c r="N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17">
        <f>IF(A33="","",IF(AND(D33&lt;=5,E33&lt;=10,G33&lt;80,H33&lt;80,K33&gt;=99.9),"Healthy",IF(OR(D33&gt;15,E33&gt;30,G33&gt;90,H33&gt;90,K33&lt;99),"Critical","Warning")))</f>
        <v/>
      </c>
      <c r="N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17">
        <f>IF(A34="","",IF(AND(D34&lt;=5,E34&lt;=10,G34&lt;80,H34&lt;80,K34&gt;=99.9),"Healthy",IF(OR(D34&gt;15,E34&gt;30,G34&gt;90,H34&gt;90,K34&lt;99),"Critical","Warning")))</f>
        <v/>
      </c>
      <c r="N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17">
        <f>IF(A35="","",IF(AND(D35&lt;=5,E35&lt;=10,G35&lt;80,H35&lt;80,K35&gt;=99.9),"Healthy",IF(OR(D35&gt;15,E35&gt;30,G35&gt;90,H35&gt;90,K35&lt;99),"Critical","Warning")))</f>
        <v/>
      </c>
      <c r="N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17">
        <f>IF(A36="","",IF(AND(D36&lt;=5,E36&lt;=10,G36&lt;80,H36&lt;80,K36&gt;=99.9),"Healthy",IF(OR(D36&gt;15,E36&gt;30,G36&gt;90,H36&gt;90,K36&lt;99),"Critical","Warning")))</f>
        <v/>
      </c>
      <c r="N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17">
        <f>IF(A37="","",IF(AND(D37&lt;=5,E37&lt;=10,G37&lt;80,H37&lt;80,K37&gt;=99.9),"Healthy",IF(OR(D37&gt;15,E37&gt;30,G37&gt;90,H37&gt;90,K37&lt;99),"Critical","Warning")))</f>
        <v/>
      </c>
      <c r="N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17">
        <f>IF(A38="","",IF(AND(D38&lt;=5,E38&lt;=10,G38&lt;80,H38&lt;80,K38&gt;=99.9),"Healthy",IF(OR(D38&gt;15,E38&gt;30,G38&gt;90,H38&gt;90,K38&lt;99),"Critical","Warning")))</f>
        <v/>
      </c>
      <c r="N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17">
        <f>IF(A39="","",IF(AND(D39&lt;=5,E39&lt;=10,G39&lt;80,H39&lt;80,K39&gt;=99.9),"Healthy",IF(OR(D39&gt;15,E39&gt;30,G39&gt;90,H39&gt;90,K39&lt;99),"Critical","Warning")))</f>
        <v/>
      </c>
      <c r="N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17">
        <f>IF(A40="","",IF(AND(D40&lt;=5,E40&lt;=10,G40&lt;80,H40&lt;80,K40&gt;=99.9),"Healthy",IF(OR(D40&gt;15,E40&gt;30,G40&gt;90,H40&gt;90,K40&lt;99),"Critical","Warning")))</f>
        <v/>
      </c>
      <c r="N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17">
        <f>IF(A41="","",IF(AND(D41&lt;=5,E41&lt;=10,G41&lt;80,H41&lt;80,K41&gt;=99.9),"Healthy",IF(OR(D41&gt;15,E41&gt;30,G41&gt;90,H41&gt;90,K41&lt;99),"Critical","Warning")))</f>
        <v/>
      </c>
      <c r="N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17">
        <f>IF(A42="","",IF(AND(D42&lt;=5,E42&lt;=10,G42&lt;80,H42&lt;80,K42&gt;=99.9),"Healthy",IF(OR(D42&gt;15,E42&gt;30,G42&gt;90,H42&gt;90,K42&lt;99),"Critical","Warning")))</f>
        <v/>
      </c>
      <c r="N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17">
        <f>IF(A43="","",IF(AND(D43&lt;=5,E43&lt;=10,G43&lt;80,H43&lt;80,K43&gt;=99.9),"Healthy",IF(OR(D43&gt;15,E43&gt;30,G43&gt;90,H43&gt;90,K43&lt;99),"Critical","Warning")))</f>
        <v/>
      </c>
      <c r="N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17">
        <f>IF(A44="","",IF(AND(D44&lt;=5,E44&lt;=10,G44&lt;80,H44&lt;80,K44&gt;=99.9),"Healthy",IF(OR(D44&gt;15,E44&gt;30,G44&gt;90,H44&gt;90,K44&lt;99),"Critical","Warning")))</f>
        <v/>
      </c>
      <c r="N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17">
        <f>IF(A45="","",IF(AND(D45&lt;=5,E45&lt;=10,G45&lt;80,H45&lt;80,K45&gt;=99.9),"Healthy",IF(OR(D45&gt;15,E45&gt;30,G45&gt;90,H45&gt;90,K45&lt;99),"Critical","Warning")))</f>
        <v/>
      </c>
      <c r="N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17">
        <f>IF(A46="","",IF(AND(D46&lt;=5,E46&lt;=10,G46&lt;80,H46&lt;80,K46&gt;=99.9),"Healthy",IF(OR(D46&gt;15,E46&gt;30,G46&gt;90,H46&gt;90,K46&lt;99),"Critical","Warning")))</f>
        <v/>
      </c>
      <c r="N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17">
        <f>IF(A47="","",IF(AND(D47&lt;=5,E47&lt;=10,G47&lt;80,H47&lt;80,K47&gt;=99.9),"Healthy",IF(OR(D47&gt;15,E47&gt;30,G47&gt;90,H47&gt;90,K47&lt;99),"Critical","Warning")))</f>
        <v/>
      </c>
      <c r="N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17">
        <f>IF(A48="","",IF(AND(D48&lt;=5,E48&lt;=10,G48&lt;80,H48&lt;80,K48&gt;=99.9),"Healthy",IF(OR(D48&gt;15,E48&gt;30,G48&gt;90,H48&gt;90,K48&lt;99),"Critical","Warning")))</f>
        <v/>
      </c>
      <c r="N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17">
        <f>IF(A49="","",IF(AND(D49&lt;=5,E49&lt;=10,G49&lt;80,H49&lt;80,K49&gt;=99.9),"Healthy",IF(OR(D49&gt;15,E49&gt;30,G49&gt;90,H49&gt;90,K49&lt;99),"Critical","Warning")))</f>
        <v/>
      </c>
      <c r="N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17">
        <f>IF(A50="","",IF(AND(D50&lt;=5,E50&lt;=10,G50&lt;80,H50&lt;80,K50&gt;=99.9),"Healthy",IF(OR(D50&gt;15,E50&gt;30,G50&gt;90,H50&gt;90,K50&lt;99),"Critical","Warning")))</f>
        <v/>
      </c>
      <c r="N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17">
        <f>IF(A51="","",IF(AND(D51&lt;=5,E51&lt;=10,G51&lt;80,H51&lt;80,K51&gt;=99.9),"Healthy",IF(OR(D51&gt;15,E51&gt;30,G51&gt;90,H51&gt;90,K51&lt;99),"Critical","Warning")))</f>
        <v/>
      </c>
      <c r="N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17">
        <f>IF(A52="","",IF(AND(D52&lt;=5,E52&lt;=10,G52&lt;80,H52&lt;80,K52&gt;=99.9),"Healthy",IF(OR(D52&gt;15,E52&gt;30,G52&gt;90,H52&gt;90,K52&lt;99),"Critical","Warning")))</f>
        <v/>
      </c>
      <c r="N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17">
        <f>IF(A53="","",IF(AND(D53&lt;=5,E53&lt;=10,G53&lt;80,H53&lt;80,K53&gt;=99.9),"Healthy",IF(OR(D53&gt;15,E53&gt;30,G53&gt;90,H53&gt;90,K53&lt;99),"Critical","Warning")))</f>
        <v/>
      </c>
      <c r="N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17">
        <f>IF(A54="","",IF(AND(D54&lt;=5,E54&lt;=10,G54&lt;80,H54&lt;80,K54&gt;=99.9),"Healthy",IF(OR(D54&gt;15,E54&gt;30,G54&gt;90,H54&gt;90,K54&lt;99),"Critical","Warning")))</f>
        <v/>
      </c>
      <c r="N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17">
        <f>IF(A55="","",IF(AND(D55&lt;=5,E55&lt;=10,G55&lt;80,H55&lt;80,K55&gt;=99.9),"Healthy",IF(OR(D55&gt;15,E55&gt;30,G55&gt;90,H55&gt;90,K55&lt;99),"Critical","Warning")))</f>
        <v/>
      </c>
      <c r="N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17">
        <f>IF(A56="","",IF(AND(D56&lt;=5,E56&lt;=10,G56&lt;80,H56&lt;80,K56&gt;=99.9),"Healthy",IF(OR(D56&gt;15,E56&gt;30,G56&gt;90,H56&gt;90,K56&lt;99),"Critical","Warning")))</f>
        <v/>
      </c>
      <c r="N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17">
        <f>IF(A57="","",IF(AND(D57&lt;=5,E57&lt;=10,G57&lt;80,H57&lt;80,K57&gt;=99.9),"Healthy",IF(OR(D57&gt;15,E57&gt;30,G57&gt;90,H57&gt;90,K57&lt;99),"Critical","Warning")))</f>
        <v/>
      </c>
      <c r="N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17">
        <f>IF(A58="","",IF(AND(D58&lt;=5,E58&lt;=10,G58&lt;80,H58&lt;80,K58&gt;=99.9),"Healthy",IF(OR(D58&gt;15,E58&gt;30,G58&gt;90,H58&gt;90,K58&lt;99),"Critical","Warning")))</f>
        <v/>
      </c>
      <c r="N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17">
        <f>IF(A59="","",IF(AND(D59&lt;=5,E59&lt;=10,G59&lt;80,H59&lt;80,K59&gt;=99.9),"Healthy",IF(OR(D59&gt;15,E59&gt;30,G59&gt;90,H59&gt;90,K59&lt;99),"Critical","Warning")))</f>
        <v/>
      </c>
      <c r="N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17">
        <f>IF(A60="","",IF(AND(D60&lt;=5,E60&lt;=10,G60&lt;80,H60&lt;80,K60&gt;=99.9),"Healthy",IF(OR(D60&gt;15,E60&gt;30,G60&gt;90,H60&gt;90,K60&lt;99),"Critical","Warning")))</f>
        <v/>
      </c>
      <c r="N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17">
        <f>IF(A61="","",IF(AND(D61&lt;=5,E61&lt;=10,G61&lt;80,H61&lt;80,K61&gt;=99.9),"Healthy",IF(OR(D61&gt;15,E61&gt;30,G61&gt;90,H61&gt;90,K61&lt;99),"Critical","Warning")))</f>
        <v/>
      </c>
      <c r="N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17">
        <f>IF(A62="","",IF(AND(D62&lt;=5,E62&lt;=10,G62&lt;80,H62&lt;80,K62&gt;=99.9),"Healthy",IF(OR(D62&gt;15,E62&gt;30,G62&gt;90,H62&gt;90,K62&lt;99),"Critical","Warning")))</f>
        <v/>
      </c>
      <c r="N62" s="5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17">
        <f>IF(A63="","",IF(AND(D63&lt;=5,E63&lt;=10,G63&lt;80,H63&lt;80,K63&gt;=99.9),"Healthy",IF(OR(D63&gt;15,E63&gt;30,G63&gt;90,H63&gt;90,K63&lt;99),"Critical","Warning")))</f>
        <v/>
      </c>
      <c r="N63" s="5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17">
        <f>IF(A64="","",IF(AND(D64&lt;=5,E64&lt;=10,G64&lt;80,H64&lt;80,K64&gt;=99.9),"Healthy",IF(OR(D64&gt;15,E64&gt;30,G64&gt;90,H64&gt;90,K64&lt;99),"Critical","Warning")))</f>
        <v/>
      </c>
      <c r="N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17">
        <f>IF(A65="","",IF(AND(D65&lt;=5,E65&lt;=10,G65&lt;80,H65&lt;80,K65&gt;=99.9),"Healthy",IF(OR(D65&gt;15,E65&gt;30,G65&gt;90,H65&gt;90,K65&lt;99),"Critical","Warning")))</f>
        <v/>
      </c>
      <c r="N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17">
        <f>IF(A66="","",IF(AND(D66&lt;=5,E66&lt;=10,G66&lt;80,H66&lt;80,K66&gt;=99.9),"Healthy",IF(OR(D66&gt;15,E66&gt;30,G66&gt;90,H66&gt;90,K66&lt;99),"Critical","Warning")))</f>
        <v/>
      </c>
      <c r="N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17">
        <f>IF(A67="","",IF(AND(D67&lt;=5,E67&lt;=10,G67&lt;80,H67&lt;80,K67&gt;=99.9),"Healthy",IF(OR(D67&gt;15,E67&gt;30,G67&gt;90,H67&gt;90,K67&lt;99),"Critical","Warning")))</f>
        <v/>
      </c>
      <c r="N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17">
        <f>IF(A68="","",IF(AND(D68&lt;=5,E68&lt;=10,G68&lt;80,H68&lt;80,K68&gt;=99.9),"Healthy",IF(OR(D68&gt;15,E68&gt;30,G68&gt;90,H68&gt;90,K68&lt;99),"Critical","Warning")))</f>
        <v/>
      </c>
      <c r="N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17">
        <f>IF(A69="","",IF(AND(D69&lt;=5,E69&lt;=10,G69&lt;80,H69&lt;80,K69&gt;=99.9),"Healthy",IF(OR(D69&gt;15,E69&gt;30,G69&gt;90,H69&gt;90,K69&lt;99),"Critical","Warning")))</f>
        <v/>
      </c>
      <c r="N69" s="5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17">
        <f>IF(A70="","",IF(AND(D70&lt;=5,E70&lt;=10,G70&lt;80,H70&lt;80,K70&gt;=99.9),"Healthy",IF(OR(D70&gt;15,E70&gt;30,G70&gt;90,H70&gt;90,K70&lt;99),"Critical","Warning")))</f>
        <v/>
      </c>
      <c r="N70" s="5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17">
        <f>IF(A71="","",IF(AND(D71&lt;=5,E71&lt;=10,G71&lt;80,H71&lt;80,K71&gt;=99.9),"Healthy",IF(OR(D71&gt;15,E71&gt;30,G71&gt;90,H71&gt;90,K71&lt;99),"Critical","Warning")))</f>
        <v/>
      </c>
      <c r="N71" s="5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17">
        <f>IF(A72="","",IF(AND(D72&lt;=5,E72&lt;=10,G72&lt;80,H72&lt;80,K72&gt;=99.9),"Healthy",IF(OR(D72&gt;15,E72&gt;30,G72&gt;90,H72&gt;90,K72&lt;99),"Critical","Warning")))</f>
        <v/>
      </c>
      <c r="N72" s="5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17">
        <f>IF(A73="","",IF(AND(D73&lt;=5,E73&lt;=10,G73&lt;80,H73&lt;80,K73&gt;=99.9),"Healthy",IF(OR(D73&gt;15,E73&gt;30,G73&gt;90,H73&gt;90,K73&lt;99),"Critical","Warning")))</f>
        <v/>
      </c>
      <c r="N73" s="5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17">
        <f>IF(A74="","",IF(AND(D74&lt;=5,E74&lt;=10,G74&lt;80,H74&lt;80,K74&gt;=99.9),"Healthy",IF(OR(D74&gt;15,E74&gt;30,G74&gt;90,H74&gt;90,K74&lt;99),"Critical","Warning")))</f>
        <v/>
      </c>
      <c r="N74" s="5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17">
        <f>IF(A75="","",IF(AND(D75&lt;=5,E75&lt;=10,G75&lt;80,H75&lt;80,K75&gt;=99.9),"Healthy",IF(OR(D75&gt;15,E75&gt;30,G75&gt;90,H75&gt;90,K75&lt;99),"Critical","Warning")))</f>
        <v/>
      </c>
      <c r="N75" s="5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17">
        <f>IF(A76="","",IF(AND(D76&lt;=5,E76&lt;=10,G76&lt;80,H76&lt;80,K76&gt;=99.9),"Healthy",IF(OR(D76&gt;15,E76&gt;30,G76&gt;90,H76&gt;90,K76&lt;99),"Critical","Warning")))</f>
        <v/>
      </c>
      <c r="N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17">
        <f>IF(A77="","",IF(AND(D77&lt;=5,E77&lt;=10,G77&lt;80,H77&lt;80,K77&gt;=99.9),"Healthy",IF(OR(D77&gt;15,E77&gt;30,G77&gt;90,H77&gt;90,K77&lt;99),"Critical","Warning")))</f>
        <v/>
      </c>
      <c r="N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17">
        <f>IF(A78="","",IF(AND(D78&lt;=5,E78&lt;=10,G78&lt;80,H78&lt;80,K78&gt;=99.9),"Healthy",IF(OR(D78&gt;15,E78&gt;30,G78&gt;90,H78&gt;90,K78&lt;99),"Critical","Warning")))</f>
        <v/>
      </c>
      <c r="N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17">
        <f>IF(A79="","",IF(AND(D79&lt;=5,E79&lt;=10,G79&lt;80,H79&lt;80,K79&gt;=99.9),"Healthy",IF(OR(D79&gt;15,E79&gt;30,G79&gt;90,H79&gt;90,K79&lt;99),"Critical","Warning")))</f>
        <v/>
      </c>
      <c r="N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17">
        <f>IF(A80="","",IF(AND(D80&lt;=5,E80&lt;=10,G80&lt;80,H80&lt;80,K80&gt;=99.9),"Healthy",IF(OR(D80&gt;15,E80&gt;30,G80&gt;90,H80&gt;90,K80&lt;99),"Critical","Warning")))</f>
        <v/>
      </c>
      <c r="N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17">
        <f>IF(A81="","",IF(AND(D81&lt;=5,E81&lt;=10,G81&lt;80,H81&lt;80,K81&gt;=99.9),"Healthy",IF(OR(D81&gt;15,E81&gt;30,G81&gt;90,H81&gt;90,K81&lt;99),"Critical","Warning")))</f>
        <v/>
      </c>
      <c r="N81" s="5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17">
        <f>IF(A82="","",IF(AND(D82&lt;=5,E82&lt;=10,G82&lt;80,H82&lt;80,K82&gt;=99.9),"Healthy",IF(OR(D82&gt;15,E82&gt;30,G82&gt;90,H82&gt;90,K82&lt;99),"Critical","Warning")))</f>
        <v/>
      </c>
      <c r="N82" s="5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17">
        <f>IF(A83="","",IF(AND(D83&lt;=5,E83&lt;=10,G83&lt;80,H83&lt;80,K83&gt;=99.9),"Healthy",IF(OR(D83&gt;15,E83&gt;30,G83&gt;90,H83&gt;90,K83&lt;99),"Critical","Warning")))</f>
        <v/>
      </c>
      <c r="N83" s="5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17">
        <f>IF(A84="","",IF(AND(D84&lt;=5,E84&lt;=10,G84&lt;80,H84&lt;80,K84&gt;=99.9),"Healthy",IF(OR(D84&gt;15,E84&gt;30,G84&gt;90,H84&gt;90,K84&lt;99),"Critical","Warning")))</f>
        <v/>
      </c>
      <c r="N84" s="5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17">
        <f>IF(A85="","",IF(AND(D85&lt;=5,E85&lt;=10,G85&lt;80,H85&lt;80,K85&gt;=99.9),"Healthy",IF(OR(D85&gt;15,E85&gt;30,G85&gt;90,H85&gt;90,K85&lt;99),"Critical","Warning")))</f>
        <v/>
      </c>
      <c r="N85" s="5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17">
        <f>IF(A86="","",IF(AND(D86&lt;=5,E86&lt;=10,G86&lt;80,H86&lt;80,K86&gt;=99.9),"Healthy",IF(OR(D86&gt;15,E86&gt;30,G86&gt;90,H86&gt;90,K86&lt;99),"Critical","Warning")))</f>
        <v/>
      </c>
      <c r="N86" s="5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17">
        <f>IF(A87="","",IF(AND(D87&lt;=5,E87&lt;=10,G87&lt;80,H87&lt;80,K87&gt;=99.9),"Healthy",IF(OR(D87&gt;15,E87&gt;30,G87&gt;90,H87&gt;90,K87&lt;99),"Critical","Warning")))</f>
        <v/>
      </c>
      <c r="N87" s="5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17">
        <f>IF(A88="","",IF(AND(D88&lt;=5,E88&lt;=10,G88&lt;80,H88&lt;80,K88&gt;=99.9),"Healthy",IF(OR(D88&gt;15,E88&gt;30,G88&gt;90,H88&gt;90,K88&lt;99),"Critical","Warning")))</f>
        <v/>
      </c>
      <c r="N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17">
        <f>IF(A89="","",IF(AND(D89&lt;=5,E89&lt;=10,G89&lt;80,H89&lt;80,K89&gt;=99.9),"Healthy",IF(OR(D89&gt;15,E89&gt;30,G89&gt;90,H89&gt;90,K89&lt;99),"Critical","Warning")))</f>
        <v/>
      </c>
      <c r="N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17">
        <f>IF(A90="","",IF(AND(D90&lt;=5,E90&lt;=10,G90&lt;80,H90&lt;80,K90&gt;=99.9),"Healthy",IF(OR(D90&gt;15,E90&gt;30,G90&gt;90,H90&gt;90,K90&lt;99),"Critical","Warning")))</f>
        <v/>
      </c>
      <c r="N90" s="5" t="n"/>
    </row>
    <row r="95">
      <c r="A95" s="6" t="inlineStr">
        <is>
          <t>PERFORMANCE SUMMARY (Last 30 Days)</t>
        </is>
      </c>
    </row>
    <row r="97">
      <c r="A97" s="2" t="inlineStr">
        <is>
          <t>Avg Daily Events Indexed:</t>
        </is>
      </c>
      <c r="B97" s="17">
        <f>AVERAGE(B9:B38)</f>
        <v/>
      </c>
    </row>
    <row r="98">
      <c r="A98" s="2" t="inlineStr">
        <is>
          <t>Avg Peak EPS:</t>
        </is>
      </c>
      <c r="B98" s="17">
        <f>AVERAGE(C9:C38)</f>
        <v/>
      </c>
    </row>
    <row r="99">
      <c r="A99" s="2" t="inlineStr">
        <is>
          <t>Avg Indexing Lag (min):</t>
        </is>
      </c>
      <c r="B99" s="17">
        <f>AVERAGE(D9:D38)</f>
        <v/>
      </c>
    </row>
    <row r="100">
      <c r="A100" s="2" t="inlineStr">
        <is>
          <t>Avg Search Performance (sec):</t>
        </is>
      </c>
      <c r="B100" s="17">
        <f>AVERAGE(E9:E38)</f>
        <v/>
      </c>
    </row>
    <row r="101">
      <c r="A101" s="2" t="inlineStr">
        <is>
          <t>Avg CPU Utilization %:</t>
        </is>
      </c>
      <c r="B101" s="17">
        <f>AVERAGE(G9:G38)</f>
        <v/>
      </c>
    </row>
    <row r="102">
      <c r="A102" s="2" t="inlineStr">
        <is>
          <t>Avg Memory Utilization %:</t>
        </is>
      </c>
      <c r="B102" s="17">
        <f>AVERAGE(H9:H38)</f>
        <v/>
      </c>
    </row>
    <row r="103">
      <c r="A103" s="2" t="inlineStr">
        <is>
          <t>Avg Uptime %:</t>
        </is>
      </c>
      <c r="B103" s="17">
        <f>AVERAGE(K9:K38)</f>
        <v/>
      </c>
    </row>
    <row r="104">
      <c r="A104" s="2" t="inlineStr">
        <is>
          <t>Total Incidents:</t>
        </is>
      </c>
      <c r="B104" s="17">
        <f>SUM(L9:L38)</f>
        <v/>
      </c>
    </row>
    <row r="105">
      <c r="A105" s="2" t="inlineStr">
        <is>
          <t>Days with Healthy Status:</t>
        </is>
      </c>
      <c r="B105" s="17">
        <f>COUNTIF(M9:M38,"Healthy")</f>
        <v/>
      </c>
    </row>
  </sheetData>
  <mergeCells count="3">
    <mergeCell ref="A95:N95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40" customWidth="1" min="9" max="9"/>
    <col width="20" customWidth="1" min="10" max="10"/>
    <col width="40" customWidth="1" min="11" max="11"/>
    <col width="25" customWidth="1" min="12" max="12"/>
    <col width="15" customWidth="1" min="13" max="13"/>
    <col width="40" customWidth="1" min="14" max="14"/>
  </cols>
  <sheetData>
    <row r="1" ht="40" customHeight="1">
      <c r="A1" s="1" t="inlineStr">
        <is>
          <t>DATA QUALITY ASSESSMENT</t>
        </is>
      </c>
    </row>
    <row r="2" ht="30" customHeight="1">
      <c r="A2" s="6" t="inlineStr">
        <is>
          <t>Assess quality of log data in SIEM (completeness, accuracy, consistency, timeliness, validity)</t>
        </is>
      </c>
    </row>
    <row r="7" ht="35" customHeight="1">
      <c r="A7" s="14" t="inlineStr">
        <is>
          <t>Quality Dimension</t>
        </is>
      </c>
      <c r="B7" s="14" t="inlineStr">
        <is>
          <t>Log Source Type</t>
        </is>
      </c>
      <c r="C7" s="14" t="inlineStr">
        <is>
          <t>Assessment Method</t>
        </is>
      </c>
      <c r="D7" s="14" t="inlineStr">
        <is>
          <t>Sample Size</t>
        </is>
      </c>
      <c r="E7" s="14" t="inlineStr">
        <is>
          <t>Pass Count</t>
        </is>
      </c>
      <c r="F7" s="14" t="inlineStr">
        <is>
          <t>Fail Count</t>
        </is>
      </c>
      <c r="G7" s="14" t="inlineStr">
        <is>
          <t>Quality Score %</t>
        </is>
      </c>
      <c r="H7" s="14" t="inlineStr">
        <is>
          <t>Status</t>
        </is>
      </c>
      <c r="I7" s="14" t="inlineStr">
        <is>
          <t>Common Issues</t>
        </is>
      </c>
      <c r="J7" s="14" t="inlineStr">
        <is>
          <t>Impact</t>
        </is>
      </c>
      <c r="K7" s="14" t="inlineStr">
        <is>
          <t>Remediation Action</t>
        </is>
      </c>
      <c r="L7" s="14" t="inlineStr">
        <is>
          <t>Responsible Party</t>
        </is>
      </c>
      <c r="M7" s="14" t="inlineStr">
        <is>
          <t>Target Date</t>
        </is>
      </c>
      <c r="N7" s="14" t="inlineStr">
        <is>
          <t>Notes</t>
        </is>
      </c>
    </row>
    <row r="8">
      <c r="A8" s="15" t="inlineStr">
        <is>
          <t>Completeness</t>
        </is>
      </c>
      <c r="B8" s="15" t="inlineStr">
        <is>
          <t>Web Server Logs</t>
        </is>
      </c>
      <c r="C8" s="15" t="inlineStr">
        <is>
          <t>Field presence check on 1000 events</t>
        </is>
      </c>
      <c r="D8" s="15" t="inlineStr">
        <is>
          <t>1000</t>
        </is>
      </c>
      <c r="E8" s="15" t="inlineStr">
        <is>
          <t>985</t>
        </is>
      </c>
      <c r="F8" s="15" t="inlineStr">
        <is>
          <t>15</t>
        </is>
      </c>
      <c r="G8" s="15" t="inlineStr">
        <is>
          <t>98.5%</t>
        </is>
      </c>
      <c r="H8" s="15" t="inlineStr">
        <is>
          <t>Good</t>
        </is>
      </c>
      <c r="I8" s="15" t="inlineStr">
        <is>
          <t>Missing source_ip in 15 events</t>
        </is>
      </c>
      <c r="J8" s="15" t="inlineStr">
        <is>
          <t>Low</t>
        </is>
      </c>
      <c r="K8" s="15" t="inlineStr">
        <is>
          <t>Update parser to extract source_ip</t>
        </is>
      </c>
      <c r="L8" s="15" t="inlineStr">
        <is>
          <t>SIEM Team</t>
        </is>
      </c>
      <c r="M8" s="15" t="inlineStr">
        <is>
          <t>31.01.2026</t>
        </is>
      </c>
      <c r="N8" s="15" t="inlineStr">
        <is>
          <t>Minor issue, easily fixable</t>
        </is>
      </c>
    </row>
    <row r="9">
      <c r="A9" s="5" t="n"/>
      <c r="B9" s="5" t="n"/>
      <c r="C9" s="5" t="n"/>
      <c r="D9" s="5" t="n"/>
      <c r="E9" s="5" t="n"/>
      <c r="F9" s="5" t="n"/>
      <c r="G9" s="16">
        <f>IF(AND(D9&lt;&gt;"",E9&lt;&gt;""),E9/(E9+F9),"")</f>
        <v/>
      </c>
      <c r="H9" s="17">
        <f>IF(G9="","",IF(G9&gt;=0.95,"Good",IF(G9&gt;=0.8,"Fair","Poor")))</f>
        <v/>
      </c>
      <c r="I9" s="5" t="n"/>
      <c r="J9" s="5" t="n"/>
      <c r="K9" s="5" t="n"/>
      <c r="L9" s="5" t="n"/>
      <c r="M9" s="4" t="n"/>
      <c r="N9" s="5" t="n"/>
    </row>
    <row r="10">
      <c r="A10" s="5" t="n"/>
      <c r="B10" s="5" t="n"/>
      <c r="C10" s="5" t="n"/>
      <c r="D10" s="5" t="n"/>
      <c r="E10" s="5" t="n"/>
      <c r="F10" s="5" t="n"/>
      <c r="G10" s="16">
        <f>IF(AND(D10&lt;&gt;"",E10&lt;&gt;""),E10/(E10+F10),"")</f>
        <v/>
      </c>
      <c r="H10" s="17">
        <f>IF(G10="","",IF(G10&gt;=0.95,"Good",IF(G10&gt;=0.8,"Fair","Poor")))</f>
        <v/>
      </c>
      <c r="I10" s="5" t="n"/>
      <c r="J10" s="5" t="n"/>
      <c r="K10" s="5" t="n"/>
      <c r="L10" s="5" t="n"/>
      <c r="M10" s="4" t="n"/>
      <c r="N10" s="5" t="n"/>
    </row>
    <row r="11">
      <c r="A11" s="5" t="n"/>
      <c r="B11" s="5" t="n"/>
      <c r="C11" s="5" t="n"/>
      <c r="D11" s="5" t="n"/>
      <c r="E11" s="5" t="n"/>
      <c r="F11" s="5" t="n"/>
      <c r="G11" s="16">
        <f>IF(AND(D11&lt;&gt;"",E11&lt;&gt;""),E11/(E11+F11),"")</f>
        <v/>
      </c>
      <c r="H11" s="17">
        <f>IF(G11="","",IF(G11&gt;=0.95,"Good",IF(G11&gt;=0.8,"Fair","Poor")))</f>
        <v/>
      </c>
      <c r="I11" s="5" t="n"/>
      <c r="J11" s="5" t="n"/>
      <c r="K11" s="5" t="n"/>
      <c r="L11" s="5" t="n"/>
      <c r="M11" s="4" t="n"/>
      <c r="N11" s="5" t="n"/>
    </row>
    <row r="12">
      <c r="A12" s="5" t="n"/>
      <c r="B12" s="5" t="n"/>
      <c r="C12" s="5" t="n"/>
      <c r="D12" s="5" t="n"/>
      <c r="E12" s="5" t="n"/>
      <c r="F12" s="5" t="n"/>
      <c r="G12" s="16">
        <f>IF(AND(D12&lt;&gt;"",E12&lt;&gt;""),E12/(E12+F12),"")</f>
        <v/>
      </c>
      <c r="H12" s="17">
        <f>IF(G12="","",IF(G12&gt;=0.95,"Good",IF(G12&gt;=0.8,"Fair","Poor")))</f>
        <v/>
      </c>
      <c r="I12" s="5" t="n"/>
      <c r="J12" s="5" t="n"/>
      <c r="K12" s="5" t="n"/>
      <c r="L12" s="5" t="n"/>
      <c r="M12" s="4" t="n"/>
      <c r="N12" s="5" t="n"/>
    </row>
    <row r="13">
      <c r="A13" s="5" t="n"/>
      <c r="B13" s="5" t="n"/>
      <c r="C13" s="5" t="n"/>
      <c r="D13" s="5" t="n"/>
      <c r="E13" s="5" t="n"/>
      <c r="F13" s="5" t="n"/>
      <c r="G13" s="16">
        <f>IF(AND(D13&lt;&gt;"",E13&lt;&gt;""),E13/(E13+F13),"")</f>
        <v/>
      </c>
      <c r="H13" s="17">
        <f>IF(G13="","",IF(G13&gt;=0.95,"Good",IF(G13&gt;=0.8,"Fair","Poor")))</f>
        <v/>
      </c>
      <c r="I13" s="5" t="n"/>
      <c r="J13" s="5" t="n"/>
      <c r="K13" s="5" t="n"/>
      <c r="L13" s="5" t="n"/>
      <c r="M13" s="4" t="n"/>
      <c r="N13" s="5" t="n"/>
    </row>
    <row r="14">
      <c r="A14" s="5" t="n"/>
      <c r="B14" s="5" t="n"/>
      <c r="C14" s="5" t="n"/>
      <c r="D14" s="5" t="n"/>
      <c r="E14" s="5" t="n"/>
      <c r="F14" s="5" t="n"/>
      <c r="G14" s="16">
        <f>IF(AND(D14&lt;&gt;"",E14&lt;&gt;""),E14/(E14+F14),"")</f>
        <v/>
      </c>
      <c r="H14" s="17">
        <f>IF(G14="","",IF(G14&gt;=0.95,"Good",IF(G14&gt;=0.8,"Fair","Poor")))</f>
        <v/>
      </c>
      <c r="I14" s="5" t="n"/>
      <c r="J14" s="5" t="n"/>
      <c r="K14" s="5" t="n"/>
      <c r="L14" s="5" t="n"/>
      <c r="M14" s="4" t="n"/>
      <c r="N14" s="5" t="n"/>
    </row>
    <row r="15">
      <c r="A15" s="5" t="n"/>
      <c r="B15" s="5" t="n"/>
      <c r="C15" s="5" t="n"/>
      <c r="D15" s="5" t="n"/>
      <c r="E15" s="5" t="n"/>
      <c r="F15" s="5" t="n"/>
      <c r="G15" s="16">
        <f>IF(AND(D15&lt;&gt;"",E15&lt;&gt;""),E15/(E15+F15),"")</f>
        <v/>
      </c>
      <c r="H15" s="17">
        <f>IF(G15="","",IF(G15&gt;=0.95,"Good",IF(G15&gt;=0.8,"Fair","Poor")))</f>
        <v/>
      </c>
      <c r="I15" s="5" t="n"/>
      <c r="J15" s="5" t="n"/>
      <c r="K15" s="5" t="n"/>
      <c r="L15" s="5" t="n"/>
      <c r="M15" s="4" t="n"/>
      <c r="N15" s="5" t="n"/>
    </row>
    <row r="16">
      <c r="A16" s="5" t="n"/>
      <c r="B16" s="5" t="n"/>
      <c r="C16" s="5" t="n"/>
      <c r="D16" s="5" t="n"/>
      <c r="E16" s="5" t="n"/>
      <c r="F16" s="5" t="n"/>
      <c r="G16" s="16">
        <f>IF(AND(D16&lt;&gt;"",E16&lt;&gt;""),E16/(E16+F16),"")</f>
        <v/>
      </c>
      <c r="H16" s="17">
        <f>IF(G16="","",IF(G16&gt;=0.95,"Good",IF(G16&gt;=0.8,"Fair","Poor")))</f>
        <v/>
      </c>
      <c r="I16" s="5" t="n"/>
      <c r="J16" s="5" t="n"/>
      <c r="K16" s="5" t="n"/>
      <c r="L16" s="5" t="n"/>
      <c r="M16" s="4" t="n"/>
      <c r="N16" s="5" t="n"/>
    </row>
    <row r="17">
      <c r="A17" s="5" t="n"/>
      <c r="B17" s="5" t="n"/>
      <c r="C17" s="5" t="n"/>
      <c r="D17" s="5" t="n"/>
      <c r="E17" s="5" t="n"/>
      <c r="F17" s="5" t="n"/>
      <c r="G17" s="16">
        <f>IF(AND(D17&lt;&gt;"",E17&lt;&gt;""),E17/(E17+F17),"")</f>
        <v/>
      </c>
      <c r="H17" s="17">
        <f>IF(G17="","",IF(G17&gt;=0.95,"Good",IF(G17&gt;=0.8,"Fair","Poor")))</f>
        <v/>
      </c>
      <c r="I17" s="5" t="n"/>
      <c r="J17" s="5" t="n"/>
      <c r="K17" s="5" t="n"/>
      <c r="L17" s="5" t="n"/>
      <c r="M17" s="4" t="n"/>
      <c r="N17" s="5" t="n"/>
    </row>
    <row r="18">
      <c r="A18" s="5" t="n"/>
      <c r="B18" s="5" t="n"/>
      <c r="C18" s="5" t="n"/>
      <c r="D18" s="5" t="n"/>
      <c r="E18" s="5" t="n"/>
      <c r="F18" s="5" t="n"/>
      <c r="G18" s="16">
        <f>IF(AND(D18&lt;&gt;"",E18&lt;&gt;""),E18/(E18+F18),"")</f>
        <v/>
      </c>
      <c r="H18" s="17">
        <f>IF(G18="","",IF(G18&gt;=0.95,"Good",IF(G18&gt;=0.8,"Fair","Poor")))</f>
        <v/>
      </c>
      <c r="I18" s="5" t="n"/>
      <c r="J18" s="5" t="n"/>
      <c r="K18" s="5" t="n"/>
      <c r="L18" s="5" t="n"/>
      <c r="M18" s="4" t="n"/>
      <c r="N18" s="5" t="n"/>
    </row>
    <row r="19">
      <c r="A19" s="5" t="n"/>
      <c r="B19" s="5" t="n"/>
      <c r="C19" s="5" t="n"/>
      <c r="D19" s="5" t="n"/>
      <c r="E19" s="5" t="n"/>
      <c r="F19" s="5" t="n"/>
      <c r="G19" s="16">
        <f>IF(AND(D19&lt;&gt;"",E19&lt;&gt;""),E19/(E19+F19),"")</f>
        <v/>
      </c>
      <c r="H19" s="17">
        <f>IF(G19="","",IF(G19&gt;=0.95,"Good",IF(G19&gt;=0.8,"Fair","Poor")))</f>
        <v/>
      </c>
      <c r="I19" s="5" t="n"/>
      <c r="J19" s="5" t="n"/>
      <c r="K19" s="5" t="n"/>
      <c r="L19" s="5" t="n"/>
      <c r="M19" s="4" t="n"/>
      <c r="N19" s="5" t="n"/>
    </row>
    <row r="20">
      <c r="A20" s="5" t="n"/>
      <c r="B20" s="5" t="n"/>
      <c r="C20" s="5" t="n"/>
      <c r="D20" s="5" t="n"/>
      <c r="E20" s="5" t="n"/>
      <c r="F20" s="5" t="n"/>
      <c r="G20" s="16">
        <f>IF(AND(D20&lt;&gt;"",E20&lt;&gt;""),E20/(E20+F20),"")</f>
        <v/>
      </c>
      <c r="H20" s="17">
        <f>IF(G20="","",IF(G20&gt;=0.95,"Good",IF(G20&gt;=0.8,"Fair","Poor")))</f>
        <v/>
      </c>
      <c r="I20" s="5" t="n"/>
      <c r="J20" s="5" t="n"/>
      <c r="K20" s="5" t="n"/>
      <c r="L20" s="5" t="n"/>
      <c r="M20" s="4" t="n"/>
      <c r="N20" s="5" t="n"/>
    </row>
    <row r="21">
      <c r="A21" s="5" t="n"/>
      <c r="B21" s="5" t="n"/>
      <c r="C21" s="5" t="n"/>
      <c r="D21" s="5" t="n"/>
      <c r="E21" s="5" t="n"/>
      <c r="F21" s="5" t="n"/>
      <c r="G21" s="16">
        <f>IF(AND(D21&lt;&gt;"",E21&lt;&gt;""),E21/(E21+F21),"")</f>
        <v/>
      </c>
      <c r="H21" s="17">
        <f>IF(G21="","",IF(G21&gt;=0.95,"Good",IF(G21&gt;=0.8,"Fair","Poor")))</f>
        <v/>
      </c>
      <c r="I21" s="5" t="n"/>
      <c r="J21" s="5" t="n"/>
      <c r="K21" s="5" t="n"/>
      <c r="L21" s="5" t="n"/>
      <c r="M21" s="4" t="n"/>
      <c r="N21" s="5" t="n"/>
    </row>
    <row r="22">
      <c r="A22" s="5" t="n"/>
      <c r="B22" s="5" t="n"/>
      <c r="C22" s="5" t="n"/>
      <c r="D22" s="5" t="n"/>
      <c r="E22" s="5" t="n"/>
      <c r="F22" s="5" t="n"/>
      <c r="G22" s="16">
        <f>IF(AND(D22&lt;&gt;"",E22&lt;&gt;""),E22/(E22+F22),"")</f>
        <v/>
      </c>
      <c r="H22" s="17">
        <f>IF(G22="","",IF(G22&gt;=0.95,"Good",IF(G22&gt;=0.8,"Fair","Poor")))</f>
        <v/>
      </c>
      <c r="I22" s="5" t="n"/>
      <c r="J22" s="5" t="n"/>
      <c r="K22" s="5" t="n"/>
      <c r="L22" s="5" t="n"/>
      <c r="M22" s="4" t="n"/>
      <c r="N22" s="5" t="n"/>
    </row>
    <row r="23">
      <c r="A23" s="5" t="n"/>
      <c r="B23" s="5" t="n"/>
      <c r="C23" s="5" t="n"/>
      <c r="D23" s="5" t="n"/>
      <c r="E23" s="5" t="n"/>
      <c r="F23" s="5" t="n"/>
      <c r="G23" s="16">
        <f>IF(AND(D23&lt;&gt;"",E23&lt;&gt;""),E23/(E23+F23),"")</f>
        <v/>
      </c>
      <c r="H23" s="17">
        <f>IF(G23="","",IF(G23&gt;=0.95,"Good",IF(G23&gt;=0.8,"Fair","Poor")))</f>
        <v/>
      </c>
      <c r="I23" s="5" t="n"/>
      <c r="J23" s="5" t="n"/>
      <c r="K23" s="5" t="n"/>
      <c r="L23" s="5" t="n"/>
      <c r="M23" s="4" t="n"/>
      <c r="N23" s="5" t="n"/>
    </row>
    <row r="24">
      <c r="A24" s="5" t="n"/>
      <c r="B24" s="5" t="n"/>
      <c r="C24" s="5" t="n"/>
      <c r="D24" s="5" t="n"/>
      <c r="E24" s="5" t="n"/>
      <c r="F24" s="5" t="n"/>
      <c r="G24" s="16">
        <f>IF(AND(D24&lt;&gt;"",E24&lt;&gt;""),E24/(E24+F24),"")</f>
        <v/>
      </c>
      <c r="H24" s="17">
        <f>IF(G24="","",IF(G24&gt;=0.95,"Good",IF(G24&gt;=0.8,"Fair","Poor")))</f>
        <v/>
      </c>
      <c r="I24" s="5" t="n"/>
      <c r="J24" s="5" t="n"/>
      <c r="K24" s="5" t="n"/>
      <c r="L24" s="5" t="n"/>
      <c r="M24" s="4" t="n"/>
      <c r="N24" s="5" t="n"/>
    </row>
    <row r="25">
      <c r="A25" s="5" t="n"/>
      <c r="B25" s="5" t="n"/>
      <c r="C25" s="5" t="n"/>
      <c r="D25" s="5" t="n"/>
      <c r="E25" s="5" t="n"/>
      <c r="F25" s="5" t="n"/>
      <c r="G25" s="16">
        <f>IF(AND(D25&lt;&gt;"",E25&lt;&gt;""),E25/(E25+F25),"")</f>
        <v/>
      </c>
      <c r="H25" s="17">
        <f>IF(G25="","",IF(G25&gt;=0.95,"Good",IF(G25&gt;=0.8,"Fair","Poor")))</f>
        <v/>
      </c>
      <c r="I25" s="5" t="n"/>
      <c r="J25" s="5" t="n"/>
      <c r="K25" s="5" t="n"/>
      <c r="L25" s="5" t="n"/>
      <c r="M25" s="4" t="n"/>
      <c r="N25" s="5" t="n"/>
    </row>
    <row r="26">
      <c r="A26" s="5" t="n"/>
      <c r="B26" s="5" t="n"/>
      <c r="C26" s="5" t="n"/>
      <c r="D26" s="5" t="n"/>
      <c r="E26" s="5" t="n"/>
      <c r="F26" s="5" t="n"/>
      <c r="G26" s="16">
        <f>IF(AND(D26&lt;&gt;"",E26&lt;&gt;""),E26/(E26+F26),"")</f>
        <v/>
      </c>
      <c r="H26" s="17">
        <f>IF(G26="","",IF(G26&gt;=0.95,"Good",IF(G26&gt;=0.8,"Fair","Poor")))</f>
        <v/>
      </c>
      <c r="I26" s="5" t="n"/>
      <c r="J26" s="5" t="n"/>
      <c r="K26" s="5" t="n"/>
      <c r="L26" s="5" t="n"/>
      <c r="M26" s="4" t="n"/>
      <c r="N26" s="5" t="n"/>
    </row>
    <row r="27">
      <c r="A27" s="5" t="n"/>
      <c r="B27" s="5" t="n"/>
      <c r="C27" s="5" t="n"/>
      <c r="D27" s="5" t="n"/>
      <c r="E27" s="5" t="n"/>
      <c r="F27" s="5" t="n"/>
      <c r="G27" s="16">
        <f>IF(AND(D27&lt;&gt;"",E27&lt;&gt;""),E27/(E27+F27),"")</f>
        <v/>
      </c>
      <c r="H27" s="17">
        <f>IF(G27="","",IF(G27&gt;=0.95,"Good",IF(G27&gt;=0.8,"Fair","Poor")))</f>
        <v/>
      </c>
      <c r="I27" s="5" t="n"/>
      <c r="J27" s="5" t="n"/>
      <c r="K27" s="5" t="n"/>
      <c r="L27" s="5" t="n"/>
      <c r="M27" s="4" t="n"/>
      <c r="N27" s="5" t="n"/>
    </row>
    <row r="28">
      <c r="A28" s="5" t="n"/>
      <c r="B28" s="5" t="n"/>
      <c r="C28" s="5" t="n"/>
      <c r="D28" s="5" t="n"/>
      <c r="E28" s="5" t="n"/>
      <c r="F28" s="5" t="n"/>
      <c r="G28" s="16">
        <f>IF(AND(D28&lt;&gt;"",E28&lt;&gt;""),E28/(E28+F28),"")</f>
        <v/>
      </c>
      <c r="H28" s="17">
        <f>IF(G28="","",IF(G28&gt;=0.95,"Good",IF(G28&gt;=0.8,"Fair","Poor")))</f>
        <v/>
      </c>
      <c r="I28" s="5" t="n"/>
      <c r="J28" s="5" t="n"/>
      <c r="K28" s="5" t="n"/>
      <c r="L28" s="5" t="n"/>
      <c r="M28" s="4" t="n"/>
      <c r="N28" s="5" t="n"/>
    </row>
    <row r="29">
      <c r="A29" s="5" t="n"/>
      <c r="B29" s="5" t="n"/>
      <c r="C29" s="5" t="n"/>
      <c r="D29" s="5" t="n"/>
      <c r="E29" s="5" t="n"/>
      <c r="F29" s="5" t="n"/>
      <c r="G29" s="16">
        <f>IF(AND(D29&lt;&gt;"",E29&lt;&gt;""),E29/(E29+F29),"")</f>
        <v/>
      </c>
      <c r="H29" s="17">
        <f>IF(G29="","",IF(G29&gt;=0.95,"Good",IF(G29&gt;=0.8,"Fair","Poor")))</f>
        <v/>
      </c>
      <c r="I29" s="5" t="n"/>
      <c r="J29" s="5" t="n"/>
      <c r="K29" s="5" t="n"/>
      <c r="L29" s="5" t="n"/>
      <c r="M29" s="4" t="n"/>
      <c r="N29" s="5" t="n"/>
    </row>
    <row r="30">
      <c r="A30" s="5" t="n"/>
      <c r="B30" s="5" t="n"/>
      <c r="C30" s="5" t="n"/>
      <c r="D30" s="5" t="n"/>
      <c r="E30" s="5" t="n"/>
      <c r="F30" s="5" t="n"/>
      <c r="G30" s="16">
        <f>IF(AND(D30&lt;&gt;"",E30&lt;&gt;""),E30/(E30+F30),"")</f>
        <v/>
      </c>
      <c r="H30" s="17">
        <f>IF(G30="","",IF(G30&gt;=0.95,"Good",IF(G30&gt;=0.8,"Fair","Poor")))</f>
        <v/>
      </c>
      <c r="I30" s="5" t="n"/>
      <c r="J30" s="5" t="n"/>
      <c r="K30" s="5" t="n"/>
      <c r="L30" s="5" t="n"/>
      <c r="M30" s="4" t="n"/>
      <c r="N30" s="5" t="n"/>
    </row>
    <row r="31">
      <c r="A31" s="5" t="n"/>
      <c r="B31" s="5" t="n"/>
      <c r="C31" s="5" t="n"/>
      <c r="D31" s="5" t="n"/>
      <c r="E31" s="5" t="n"/>
      <c r="F31" s="5" t="n"/>
      <c r="G31" s="16">
        <f>IF(AND(D31&lt;&gt;"",E31&lt;&gt;""),E31/(E31+F31),"")</f>
        <v/>
      </c>
      <c r="H31" s="17">
        <f>IF(G31="","",IF(G31&gt;=0.95,"Good",IF(G31&gt;=0.8,"Fair","Poor")))</f>
        <v/>
      </c>
      <c r="I31" s="5" t="n"/>
      <c r="J31" s="5" t="n"/>
      <c r="K31" s="5" t="n"/>
      <c r="L31" s="5" t="n"/>
      <c r="M31" s="4" t="n"/>
      <c r="N31" s="5" t="n"/>
    </row>
    <row r="32">
      <c r="A32" s="5" t="n"/>
      <c r="B32" s="5" t="n"/>
      <c r="C32" s="5" t="n"/>
      <c r="D32" s="5" t="n"/>
      <c r="E32" s="5" t="n"/>
      <c r="F32" s="5" t="n"/>
      <c r="G32" s="16">
        <f>IF(AND(D32&lt;&gt;"",E32&lt;&gt;""),E32/(E32+F32),"")</f>
        <v/>
      </c>
      <c r="H32" s="17">
        <f>IF(G32="","",IF(G32&gt;=0.95,"Good",IF(G32&gt;=0.8,"Fair","Poor")))</f>
        <v/>
      </c>
      <c r="I32" s="5" t="n"/>
      <c r="J32" s="5" t="n"/>
      <c r="K32" s="5" t="n"/>
      <c r="L32" s="5" t="n"/>
      <c r="M32" s="4" t="n"/>
      <c r="N32" s="5" t="n"/>
    </row>
    <row r="33">
      <c r="A33" s="5" t="n"/>
      <c r="B33" s="5" t="n"/>
      <c r="C33" s="5" t="n"/>
      <c r="D33" s="5" t="n"/>
      <c r="E33" s="5" t="n"/>
      <c r="F33" s="5" t="n"/>
      <c r="G33" s="16">
        <f>IF(AND(D33&lt;&gt;"",E33&lt;&gt;""),E33/(E33+F33),"")</f>
        <v/>
      </c>
      <c r="H33" s="17">
        <f>IF(G33="","",IF(G33&gt;=0.95,"Good",IF(G33&gt;=0.8,"Fair","Poor")))</f>
        <v/>
      </c>
      <c r="I33" s="5" t="n"/>
      <c r="J33" s="5" t="n"/>
      <c r="K33" s="5" t="n"/>
      <c r="L33" s="5" t="n"/>
      <c r="M33" s="4" t="n"/>
      <c r="N33" s="5" t="n"/>
    </row>
    <row r="34">
      <c r="A34" s="5" t="n"/>
      <c r="B34" s="5" t="n"/>
      <c r="C34" s="5" t="n"/>
      <c r="D34" s="5" t="n"/>
      <c r="E34" s="5" t="n"/>
      <c r="F34" s="5" t="n"/>
      <c r="G34" s="16">
        <f>IF(AND(D34&lt;&gt;"",E34&lt;&gt;""),E34/(E34+F34),"")</f>
        <v/>
      </c>
      <c r="H34" s="17">
        <f>IF(G34="","",IF(G34&gt;=0.95,"Good",IF(G34&gt;=0.8,"Fair","Poor")))</f>
        <v/>
      </c>
      <c r="I34" s="5" t="n"/>
      <c r="J34" s="5" t="n"/>
      <c r="K34" s="5" t="n"/>
      <c r="L34" s="5" t="n"/>
      <c r="M34" s="4" t="n"/>
      <c r="N34" s="5" t="n"/>
    </row>
    <row r="35">
      <c r="A35" s="5" t="n"/>
      <c r="B35" s="5" t="n"/>
      <c r="C35" s="5" t="n"/>
      <c r="D35" s="5" t="n"/>
      <c r="E35" s="5" t="n"/>
      <c r="F35" s="5" t="n"/>
      <c r="G35" s="16">
        <f>IF(AND(D35&lt;&gt;"",E35&lt;&gt;""),E35/(E35+F35),"")</f>
        <v/>
      </c>
      <c r="H35" s="17">
        <f>IF(G35="","",IF(G35&gt;=0.95,"Good",IF(G35&gt;=0.8,"Fair","Poor")))</f>
        <v/>
      </c>
      <c r="I35" s="5" t="n"/>
      <c r="J35" s="5" t="n"/>
      <c r="K35" s="5" t="n"/>
      <c r="L35" s="5" t="n"/>
      <c r="M35" s="4" t="n"/>
      <c r="N35" s="5" t="n"/>
    </row>
    <row r="36">
      <c r="A36" s="5" t="n"/>
      <c r="B36" s="5" t="n"/>
      <c r="C36" s="5" t="n"/>
      <c r="D36" s="5" t="n"/>
      <c r="E36" s="5" t="n"/>
      <c r="F36" s="5" t="n"/>
      <c r="G36" s="16">
        <f>IF(AND(D36&lt;&gt;"",E36&lt;&gt;""),E36/(E36+F36),"")</f>
        <v/>
      </c>
      <c r="H36" s="17">
        <f>IF(G36="","",IF(G36&gt;=0.95,"Good",IF(G36&gt;=0.8,"Fair","Poor")))</f>
        <v/>
      </c>
      <c r="I36" s="5" t="n"/>
      <c r="J36" s="5" t="n"/>
      <c r="K36" s="5" t="n"/>
      <c r="L36" s="5" t="n"/>
      <c r="M36" s="4" t="n"/>
      <c r="N36" s="5" t="n"/>
    </row>
    <row r="37">
      <c r="A37" s="5" t="n"/>
      <c r="B37" s="5" t="n"/>
      <c r="C37" s="5" t="n"/>
      <c r="D37" s="5" t="n"/>
      <c r="E37" s="5" t="n"/>
      <c r="F37" s="5" t="n"/>
      <c r="G37" s="16">
        <f>IF(AND(D37&lt;&gt;"",E37&lt;&gt;""),E37/(E37+F37),"")</f>
        <v/>
      </c>
      <c r="H37" s="17">
        <f>IF(G37="","",IF(G37&gt;=0.95,"Good",IF(G37&gt;=0.8,"Fair","Poor")))</f>
        <v/>
      </c>
      <c r="I37" s="5" t="n"/>
      <c r="J37" s="5" t="n"/>
      <c r="K37" s="5" t="n"/>
      <c r="L37" s="5" t="n"/>
      <c r="M37" s="4" t="n"/>
      <c r="N37" s="5" t="n"/>
    </row>
    <row r="38">
      <c r="A38" s="5" t="n"/>
      <c r="B38" s="5" t="n"/>
      <c r="C38" s="5" t="n"/>
      <c r="D38" s="5" t="n"/>
      <c r="E38" s="5" t="n"/>
      <c r="F38" s="5" t="n"/>
      <c r="G38" s="16">
        <f>IF(AND(D38&lt;&gt;"",E38&lt;&gt;""),E38/(E38+F38),"")</f>
        <v/>
      </c>
      <c r="H38" s="17">
        <f>IF(G38="","",IF(G38&gt;=0.95,"Good",IF(G38&gt;=0.8,"Fair","Poor")))</f>
        <v/>
      </c>
      <c r="I38" s="5" t="n"/>
      <c r="J38" s="5" t="n"/>
      <c r="K38" s="5" t="n"/>
      <c r="L38" s="5" t="n"/>
      <c r="M38" s="4" t="n"/>
      <c r="N38" s="5" t="n"/>
    </row>
    <row r="39">
      <c r="A39" s="5" t="n"/>
      <c r="B39" s="5" t="n"/>
      <c r="C39" s="5" t="n"/>
      <c r="D39" s="5" t="n"/>
      <c r="E39" s="5" t="n"/>
      <c r="F39" s="5" t="n"/>
      <c r="G39" s="16">
        <f>IF(AND(D39&lt;&gt;"",E39&lt;&gt;""),E39/(E39+F39),"")</f>
        <v/>
      </c>
      <c r="H39" s="17">
        <f>IF(G39="","",IF(G39&gt;=0.95,"Good",IF(G39&gt;=0.8,"Fair","Poor")))</f>
        <v/>
      </c>
      <c r="I39" s="5" t="n"/>
      <c r="J39" s="5" t="n"/>
      <c r="K39" s="5" t="n"/>
      <c r="L39" s="5" t="n"/>
      <c r="M39" s="4" t="n"/>
      <c r="N39" s="5" t="n"/>
    </row>
    <row r="40">
      <c r="A40" s="5" t="n"/>
      <c r="B40" s="5" t="n"/>
      <c r="C40" s="5" t="n"/>
      <c r="D40" s="5" t="n"/>
      <c r="E40" s="5" t="n"/>
      <c r="F40" s="5" t="n"/>
      <c r="G40" s="16">
        <f>IF(AND(D40&lt;&gt;"",E40&lt;&gt;""),E40/(E40+F40),"")</f>
        <v/>
      </c>
      <c r="H40" s="17">
        <f>IF(G40="","",IF(G40&gt;=0.95,"Good",IF(G40&gt;=0.8,"Fair","Poor")))</f>
        <v/>
      </c>
      <c r="I40" s="5" t="n"/>
      <c r="J40" s="5" t="n"/>
      <c r="K40" s="5" t="n"/>
      <c r="L40" s="5" t="n"/>
      <c r="M40" s="4" t="n"/>
      <c r="N40" s="5" t="n"/>
    </row>
    <row r="41">
      <c r="A41" s="5" t="n"/>
      <c r="B41" s="5" t="n"/>
      <c r="C41" s="5" t="n"/>
      <c r="D41" s="5" t="n"/>
      <c r="E41" s="5" t="n"/>
      <c r="F41" s="5" t="n"/>
      <c r="G41" s="16">
        <f>IF(AND(D41&lt;&gt;"",E41&lt;&gt;""),E41/(E41+F41),"")</f>
        <v/>
      </c>
      <c r="H41" s="17">
        <f>IF(G41="","",IF(G41&gt;=0.95,"Good",IF(G41&gt;=0.8,"Fair","Poor")))</f>
        <v/>
      </c>
      <c r="I41" s="5" t="n"/>
      <c r="J41" s="5" t="n"/>
      <c r="K41" s="5" t="n"/>
      <c r="L41" s="5" t="n"/>
      <c r="M41" s="4" t="n"/>
      <c r="N41" s="5" t="n"/>
    </row>
    <row r="42">
      <c r="A42" s="5" t="n"/>
      <c r="B42" s="5" t="n"/>
      <c r="C42" s="5" t="n"/>
      <c r="D42" s="5" t="n"/>
      <c r="E42" s="5" t="n"/>
      <c r="F42" s="5" t="n"/>
      <c r="G42" s="16">
        <f>IF(AND(D42&lt;&gt;"",E42&lt;&gt;""),E42/(E42+F42),"")</f>
        <v/>
      </c>
      <c r="H42" s="17">
        <f>IF(G42="","",IF(G42&gt;=0.95,"Good",IF(G42&gt;=0.8,"Fair","Poor")))</f>
        <v/>
      </c>
      <c r="I42" s="5" t="n"/>
      <c r="J42" s="5" t="n"/>
      <c r="K42" s="5" t="n"/>
      <c r="L42" s="5" t="n"/>
      <c r="M42" s="4" t="n"/>
      <c r="N42" s="5" t="n"/>
    </row>
    <row r="43">
      <c r="A43" s="5" t="n"/>
      <c r="B43" s="5" t="n"/>
      <c r="C43" s="5" t="n"/>
      <c r="D43" s="5" t="n"/>
      <c r="E43" s="5" t="n"/>
      <c r="F43" s="5" t="n"/>
      <c r="G43" s="16">
        <f>IF(AND(D43&lt;&gt;"",E43&lt;&gt;""),E43/(E43+F43),"")</f>
        <v/>
      </c>
      <c r="H43" s="17">
        <f>IF(G43="","",IF(G43&gt;=0.95,"Good",IF(G43&gt;=0.8,"Fair","Poor")))</f>
        <v/>
      </c>
      <c r="I43" s="5" t="n"/>
      <c r="J43" s="5" t="n"/>
      <c r="K43" s="5" t="n"/>
      <c r="L43" s="5" t="n"/>
      <c r="M43" s="4" t="n"/>
      <c r="N43" s="5" t="n"/>
    </row>
    <row r="44">
      <c r="A44" s="5" t="n"/>
      <c r="B44" s="5" t="n"/>
      <c r="C44" s="5" t="n"/>
      <c r="D44" s="5" t="n"/>
      <c r="E44" s="5" t="n"/>
      <c r="F44" s="5" t="n"/>
      <c r="G44" s="16">
        <f>IF(AND(D44&lt;&gt;"",E44&lt;&gt;""),E44/(E44+F44),"")</f>
        <v/>
      </c>
      <c r="H44" s="17">
        <f>IF(G44="","",IF(G44&gt;=0.95,"Good",IF(G44&gt;=0.8,"Fair","Poor")))</f>
        <v/>
      </c>
      <c r="I44" s="5" t="n"/>
      <c r="J44" s="5" t="n"/>
      <c r="K44" s="5" t="n"/>
      <c r="L44" s="5" t="n"/>
      <c r="M44" s="4" t="n"/>
      <c r="N44" s="5" t="n"/>
    </row>
    <row r="45">
      <c r="A45" s="5" t="n"/>
      <c r="B45" s="5" t="n"/>
      <c r="C45" s="5" t="n"/>
      <c r="D45" s="5" t="n"/>
      <c r="E45" s="5" t="n"/>
      <c r="F45" s="5" t="n"/>
      <c r="G45" s="16">
        <f>IF(AND(D45&lt;&gt;"",E45&lt;&gt;""),E45/(E45+F45),"")</f>
        <v/>
      </c>
      <c r="H45" s="17">
        <f>IF(G45="","",IF(G45&gt;=0.95,"Good",IF(G45&gt;=0.8,"Fair","Poor")))</f>
        <v/>
      </c>
      <c r="I45" s="5" t="n"/>
      <c r="J45" s="5" t="n"/>
      <c r="K45" s="5" t="n"/>
      <c r="L45" s="5" t="n"/>
      <c r="M45" s="4" t="n"/>
      <c r="N45" s="5" t="n"/>
    </row>
    <row r="46">
      <c r="A46" s="5" t="n"/>
      <c r="B46" s="5" t="n"/>
      <c r="C46" s="5" t="n"/>
      <c r="D46" s="5" t="n"/>
      <c r="E46" s="5" t="n"/>
      <c r="F46" s="5" t="n"/>
      <c r="G46" s="16">
        <f>IF(AND(D46&lt;&gt;"",E46&lt;&gt;""),E46/(E46+F46),"")</f>
        <v/>
      </c>
      <c r="H46" s="17">
        <f>IF(G46="","",IF(G46&gt;=0.95,"Good",IF(G46&gt;=0.8,"Fair","Poor")))</f>
        <v/>
      </c>
      <c r="I46" s="5" t="n"/>
      <c r="J46" s="5" t="n"/>
      <c r="K46" s="5" t="n"/>
      <c r="L46" s="5" t="n"/>
      <c r="M46" s="4" t="n"/>
      <c r="N46" s="5" t="n"/>
    </row>
    <row r="47">
      <c r="A47" s="5" t="n"/>
      <c r="B47" s="5" t="n"/>
      <c r="C47" s="5" t="n"/>
      <c r="D47" s="5" t="n"/>
      <c r="E47" s="5" t="n"/>
      <c r="F47" s="5" t="n"/>
      <c r="G47" s="16">
        <f>IF(AND(D47&lt;&gt;"",E47&lt;&gt;""),E47/(E47+F47),"")</f>
        <v/>
      </c>
      <c r="H47" s="17">
        <f>IF(G47="","",IF(G47&gt;=0.95,"Good",IF(G47&gt;=0.8,"Fair","Poor")))</f>
        <v/>
      </c>
      <c r="I47" s="5" t="n"/>
      <c r="J47" s="5" t="n"/>
      <c r="K47" s="5" t="n"/>
      <c r="L47" s="5" t="n"/>
      <c r="M47" s="4" t="n"/>
      <c r="N47" s="5" t="n"/>
    </row>
    <row r="48">
      <c r="A48" s="5" t="n"/>
      <c r="B48" s="5" t="n"/>
      <c r="C48" s="5" t="n"/>
      <c r="D48" s="5" t="n"/>
      <c r="E48" s="5" t="n"/>
      <c r="F48" s="5" t="n"/>
      <c r="G48" s="16">
        <f>IF(AND(D48&lt;&gt;"",E48&lt;&gt;""),E48/(E48+F48),"")</f>
        <v/>
      </c>
      <c r="H48" s="17">
        <f>IF(G48="","",IF(G48&gt;=0.95,"Good",IF(G48&gt;=0.8,"Fair","Poor")))</f>
        <v/>
      </c>
      <c r="I48" s="5" t="n"/>
      <c r="J48" s="5" t="n"/>
      <c r="K48" s="5" t="n"/>
      <c r="L48" s="5" t="n"/>
      <c r="M48" s="4" t="n"/>
      <c r="N48" s="5" t="n"/>
    </row>
    <row r="49">
      <c r="A49" s="5" t="n"/>
      <c r="B49" s="5" t="n"/>
      <c r="C49" s="5" t="n"/>
      <c r="D49" s="5" t="n"/>
      <c r="E49" s="5" t="n"/>
      <c r="F49" s="5" t="n"/>
      <c r="G49" s="16">
        <f>IF(AND(D49&lt;&gt;"",E49&lt;&gt;""),E49/(E49+F49),"")</f>
        <v/>
      </c>
      <c r="H49" s="17">
        <f>IF(G49="","",IF(G49&gt;=0.95,"Good",IF(G49&gt;=0.8,"Fair","Poor")))</f>
        <v/>
      </c>
      <c r="I49" s="5" t="n"/>
      <c r="J49" s="5" t="n"/>
      <c r="K49" s="5" t="n"/>
      <c r="L49" s="5" t="n"/>
      <c r="M49" s="4" t="n"/>
      <c r="N49" s="5" t="n"/>
    </row>
    <row r="50">
      <c r="A50" s="5" t="n"/>
      <c r="B50" s="5" t="n"/>
      <c r="C50" s="5" t="n"/>
      <c r="D50" s="5" t="n"/>
      <c r="E50" s="5" t="n"/>
      <c r="F50" s="5" t="n"/>
      <c r="G50" s="16">
        <f>IF(AND(D50&lt;&gt;"",E50&lt;&gt;""),E50/(E50+F50),"")</f>
        <v/>
      </c>
      <c r="H50" s="17">
        <f>IF(G50="","",IF(G50&gt;=0.95,"Good",IF(G50&gt;=0.8,"Fair","Poor")))</f>
        <v/>
      </c>
      <c r="I50" s="5" t="n"/>
      <c r="J50" s="5" t="n"/>
      <c r="K50" s="5" t="n"/>
      <c r="L50" s="5" t="n"/>
      <c r="M50" s="4" t="n"/>
      <c r="N50" s="5" t="n"/>
    </row>
    <row r="55">
      <c r="A55" s="6" t="inlineStr">
        <is>
          <t>QUALITY DIMENSIONS EXPLAINED</t>
        </is>
      </c>
    </row>
    <row r="57">
      <c r="A57" s="2" t="inlineStr">
        <is>
          <t>Completeness:</t>
        </is>
      </c>
      <c r="B57" s="9" t="inlineStr">
        <is>
          <t>All required fields present in logs</t>
        </is>
      </c>
    </row>
    <row r="58">
      <c r="A58" s="2" t="inlineStr">
        <is>
          <t>Accuracy:</t>
        </is>
      </c>
      <c r="B58" s="9" t="inlineStr">
        <is>
          <t>Data values correct and meaningful</t>
        </is>
      </c>
    </row>
    <row r="59">
      <c r="A59" s="2" t="inlineStr">
        <is>
          <t>Consistency:</t>
        </is>
      </c>
      <c r="B59" s="9" t="inlineStr">
        <is>
          <t>Same events logged same way across sources</t>
        </is>
      </c>
    </row>
    <row r="60">
      <c r="A60" s="2" t="inlineStr">
        <is>
          <t>Timeliness:</t>
        </is>
      </c>
      <c r="B60" s="9" t="inlineStr">
        <is>
          <t>Logs indexed within target timeframe</t>
        </is>
      </c>
    </row>
    <row r="61">
      <c r="A61" s="2" t="inlineStr">
        <is>
          <t>Validity:</t>
        </is>
      </c>
      <c r="B61" s="9" t="inlineStr">
        <is>
          <t>Data conforms to expected formats</t>
        </is>
      </c>
    </row>
  </sheetData>
  <mergeCells count="8">
    <mergeCell ref="B59:N59"/>
    <mergeCell ref="B60:N60"/>
    <mergeCell ref="A55:N55"/>
    <mergeCell ref="B61:N61"/>
    <mergeCell ref="B57:N57"/>
    <mergeCell ref="A2:N2"/>
    <mergeCell ref="B58:N58"/>
    <mergeCell ref="A1:N1"/>
  </mergeCells>
  <dataValidations count="2">
    <dataValidation sqref="A9:A50" showDropDown="0" showInputMessage="0" showErrorMessage="0" allowBlank="1" type="list">
      <formula1>"Completeness,Accuracy,Consistency,Timeliness,Validity"</formula1>
    </dataValidation>
    <dataValidation sqref="J9:J50" showDropDown="0" showInputMessage="0" showErrorMessage="0" allowBlank="1" type="list">
      <formula1>"🔴 Critical,🟡 High,🟢 Medium,⚫ 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 ht="40" customHeight="1">
      <c r="A1" s="1" t="inlineStr">
        <is>
          <t>ENCRYPTION &amp; AUTHENTICATION</t>
        </is>
      </c>
    </row>
    <row r="2">
      <c r="A2" s="6" t="inlineStr">
        <is>
          <t>Assess security controls for log transport and collection authentication</t>
        </is>
      </c>
    </row>
    <row r="4">
      <c r="A4" s="24" t="inlineStr">
        <is>
          <t>LOG TRANSPORT ENCRYPTION</t>
        </is>
      </c>
    </row>
    <row r="5">
      <c r="A5" s="14" t="inlineStr">
        <is>
          <t>Log Source/Path</t>
        </is>
      </c>
      <c r="B5" s="14" t="inlineStr">
        <is>
          <t>Protocol</t>
        </is>
      </c>
      <c r="C5" s="14" t="inlineStr">
        <is>
          <t>TLS Version</t>
        </is>
      </c>
      <c r="D5" s="14" t="inlineStr">
        <is>
          <t>Cipher Suite</t>
        </is>
      </c>
      <c r="E5" s="14" t="inlineStr">
        <is>
          <t>Certificate Valid</t>
        </is>
      </c>
      <c r="F5" s="14" t="inlineStr">
        <is>
          <t>Certificate Expiry</t>
        </is>
      </c>
      <c r="G5" s="14" t="inlineStr">
        <is>
          <t>Mutual TLS</t>
        </is>
      </c>
      <c r="H5" s="14" t="inlineStr">
        <is>
          <t>Compliance Status</t>
        </is>
      </c>
      <c r="I5" s="14" t="inlineStr">
        <is>
          <t>Last Verified</t>
        </is>
      </c>
      <c r="J5" s="14" t="inlineStr">
        <is>
          <t>Evidence Ref</t>
        </is>
      </c>
      <c r="K5" s="14" t="inlineStr">
        <is>
          <t>Notes</t>
        </is>
      </c>
    </row>
    <row r="6">
      <c r="A6" t="inlineStr">
        <is>
          <t>Syslog -&gt; SIEM</t>
        </is>
      </c>
      <c r="B6" t="inlineStr">
        <is>
          <t>Syslog/TLS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t="inlineStr">
        <is>
          <t>Windows Event -&gt; SIEM</t>
        </is>
      </c>
      <c r="B7" t="inlineStr">
        <is>
          <t>WEF/HTTPS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t="inlineStr">
        <is>
          <t>Linux Agents -&gt; SIEM</t>
        </is>
      </c>
      <c r="B8" t="inlineStr">
        <is>
          <t>Agent/TLS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t="inlineStr">
        <is>
          <t>Cloud Logs -&gt; SIEM</t>
        </is>
      </c>
      <c r="B9" t="inlineStr">
        <is>
          <t>HTTPS API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t="inlineStr">
        <is>
          <t>Network Devices -&gt; SIEM</t>
        </is>
      </c>
      <c r="B10" t="inlineStr">
        <is>
          <t>Syslog/TLS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t="inlineStr">
        <is>
          <t>Database Audit -&gt; SIEM</t>
        </is>
      </c>
      <c r="B11" t="inlineStr">
        <is>
          <t>JDBC/TLS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t="inlineStr">
        <is>
          <t>Container Logs -&gt; SIEM</t>
        </is>
      </c>
      <c r="B12" t="inlineStr">
        <is>
          <t>Fluentd/TLS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t="inlineStr">
        <is>
          <t>Application Logs -&gt; SIEM</t>
        </is>
      </c>
      <c r="B13" t="inlineStr">
        <is>
          <t>Filebeat/TLS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6">
      <c r="A16" s="24" t="inlineStr">
        <is>
          <t>AUTHENTICATION METHODS</t>
        </is>
      </c>
    </row>
    <row r="17">
      <c r="A17" s="14" t="inlineStr">
        <is>
          <t>Collection Method</t>
        </is>
      </c>
      <c r="B17" s="14" t="inlineStr">
        <is>
          <t>Auth Type</t>
        </is>
      </c>
      <c r="C17" s="14" t="inlineStr">
        <is>
          <t>Credential Storage</t>
        </is>
      </c>
      <c r="D17" s="14" t="inlineStr">
        <is>
          <t>Rotation Frequency</t>
        </is>
      </c>
      <c r="E17" s="14" t="inlineStr">
        <is>
          <t>Last Rotated</t>
        </is>
      </c>
      <c r="F17" s="14" t="inlineStr">
        <is>
          <t>Service Account</t>
        </is>
      </c>
      <c r="G17" s="14" t="inlineStr">
        <is>
          <t>MFA Enabled</t>
        </is>
      </c>
      <c r="H17" s="14" t="inlineStr">
        <is>
          <t>Compliance</t>
        </is>
      </c>
      <c r="I17" s="14" t="inlineStr">
        <is>
          <t>Owner</t>
        </is>
      </c>
      <c r="J17" s="14" t="inlineStr">
        <is>
          <t>Evidence Ref</t>
        </is>
      </c>
    </row>
    <row r="18">
      <c r="A18" t="inlineStr">
        <is>
          <t>SIEM API Access</t>
        </is>
      </c>
      <c r="B18" t="inlineStr">
        <is>
          <t>API Key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t="inlineStr">
        <is>
          <t>Log Forwarder Auth</t>
        </is>
      </c>
      <c r="B19" t="inlineStr">
        <is>
          <t>Certificate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t="inlineStr">
        <is>
          <t>Cloud Platform Auth</t>
        </is>
      </c>
      <c r="B20" t="inlineStr">
        <is>
          <t>OAuth/OIDC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t="inlineStr">
        <is>
          <t>Database Audit Auth</t>
        </is>
      </c>
      <c r="B21" t="inlineStr">
        <is>
          <t>Service Account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A22" t="inlineStr">
        <is>
          <t>Agent Authentication</t>
        </is>
      </c>
      <c r="B22" t="inlineStr">
        <is>
          <t>Certificate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5">
      <c r="A25" s="24" t="inlineStr">
        <is>
          <t>ENCRYPTION &amp; AUTHENTICATION COMPLIANCE CHECKLIST</t>
        </is>
      </c>
    </row>
    <row r="26">
      <c r="A26" s="25" t="inlineStr">
        <is>
          <t>All log transport uses TLS 1.2 or higher</t>
        </is>
      </c>
      <c r="J26" s="5" t="inlineStr"/>
    </row>
    <row r="27">
      <c r="A27" s="25" t="inlineStr">
        <is>
          <t>No plaintext log transmission over network</t>
        </is>
      </c>
      <c r="J27" s="5" t="inlineStr"/>
    </row>
    <row r="28">
      <c r="A28" s="25" t="inlineStr">
        <is>
          <t>Certificates are valid and not expired</t>
        </is>
      </c>
      <c r="J28" s="5" t="inlineStr"/>
    </row>
    <row r="29">
      <c r="A29" s="25" t="inlineStr">
        <is>
          <t>Certificate expiry monitoring in place</t>
        </is>
      </c>
      <c r="J29" s="5" t="inlineStr"/>
    </row>
    <row r="30">
      <c r="A30" s="25" t="inlineStr">
        <is>
          <t>Mutual TLS (mTLS) used where supported</t>
        </is>
      </c>
      <c r="J30" s="5" t="inlineStr"/>
    </row>
    <row r="31">
      <c r="A31" s="25" t="inlineStr">
        <is>
          <t>API keys/tokens stored securely (vault/KMS)</t>
        </is>
      </c>
      <c r="J31" s="5" t="inlineStr"/>
    </row>
    <row r="32">
      <c r="A32" s="25" t="inlineStr">
        <is>
          <t>Credentials rotated per policy (90 days max)</t>
        </is>
      </c>
      <c r="J32" s="5" t="inlineStr"/>
    </row>
    <row r="33">
      <c r="A33" s="25" t="inlineStr">
        <is>
          <t>Service accounts have minimum required permissions</t>
        </is>
      </c>
      <c r="J33" s="5" t="inlineStr"/>
    </row>
    <row r="34">
      <c r="A34" s="25" t="inlineStr">
        <is>
          <t>Authentication failures are logged and alerted</t>
        </is>
      </c>
      <c r="J34" s="5" t="inlineStr"/>
    </row>
    <row r="35">
      <c r="A35" s="25" t="inlineStr">
        <is>
          <t>Encryption at rest enabled for log storage</t>
        </is>
      </c>
      <c r="J35" s="5" t="inlineStr"/>
    </row>
  </sheetData>
  <mergeCells count="15">
    <mergeCell ref="A29:I29"/>
    <mergeCell ref="A4:K4"/>
    <mergeCell ref="A33:I33"/>
    <mergeCell ref="A28:I28"/>
    <mergeCell ref="A32:I32"/>
    <mergeCell ref="A25:K25"/>
    <mergeCell ref="A2:K2"/>
    <mergeCell ref="A16:K16"/>
    <mergeCell ref="A27:I27"/>
    <mergeCell ref="A31:I31"/>
    <mergeCell ref="A34:I34"/>
    <mergeCell ref="A35:I35"/>
    <mergeCell ref="A1:K1"/>
    <mergeCell ref="A26:I26"/>
    <mergeCell ref="A30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20" customWidth="1" min="5" max="5"/>
    <col width="40" customWidth="1" min="6" max="6"/>
    <col width="4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 &amp; REMEDIATION</t>
        </is>
      </c>
    </row>
    <row r="2" ht="30" customHeight="1">
      <c r="A2" s="6" t="inlineStr">
        <is>
          <t>Track collection infrastructure gaps and remediation plans</t>
        </is>
      </c>
    </row>
    <row r="7" ht="35" customHeight="1">
      <c r="A7" s="14" t="inlineStr">
        <is>
          <t>Gap ID</t>
        </is>
      </c>
      <c r="B7" s="14" t="inlineStr">
        <is>
          <t>Gap Category</t>
        </is>
      </c>
      <c r="C7" s="14" t="inlineStr">
        <is>
          <t>Description</t>
        </is>
      </c>
      <c r="D7" s="14" t="inlineStr">
        <is>
          <t>Affected Systems</t>
        </is>
      </c>
      <c r="E7" s="14" t="inlineStr">
        <is>
          <t>Impact</t>
        </is>
      </c>
      <c r="F7" s="14" t="inlineStr">
        <is>
          <t>Current State</t>
        </is>
      </c>
      <c r="G7" s="14" t="inlineStr">
        <is>
          <t>Target State</t>
        </is>
      </c>
      <c r="H7" s="14" t="inlineStr">
        <is>
          <t>Remediation Action</t>
        </is>
      </c>
      <c r="I7" s="14" t="inlineStr">
        <is>
          <t>Owner</t>
        </is>
      </c>
      <c r="J7" s="14" t="inlineStr">
        <is>
          <t>Target Date</t>
        </is>
      </c>
      <c r="K7" s="14" t="inlineStr">
        <is>
          <t>Status</t>
        </is>
      </c>
      <c r="L7" s="14" t="inlineStr">
        <is>
          <t>Notes</t>
        </is>
      </c>
    </row>
    <row r="8">
      <c r="A8" s="15" t="inlineStr">
        <is>
          <t>GAP-001</t>
        </is>
      </c>
      <c r="B8" s="15" t="inlineStr">
        <is>
          <t>Reliability Issue</t>
        </is>
      </c>
      <c r="C8" s="15" t="inlineStr">
        <is>
          <t>Collection rate below 95% for 15 systems</t>
        </is>
      </c>
      <c r="D8" s="15" t="inlineStr">
        <is>
          <t>15 database servers</t>
        </is>
      </c>
      <c r="E8" s="15" t="inlineStr">
        <is>
          <t>High</t>
        </is>
      </c>
      <c r="F8" s="15" t="inlineStr">
        <is>
          <t>Avg collection rate: 87%</t>
        </is>
      </c>
      <c r="G8" s="15" t="inlineStr">
        <is>
          <t>Collection rate: &gt;95%</t>
        </is>
      </c>
      <c r="H8" s="15" t="inlineStr">
        <is>
          <t>Investigate forwarder configuration and network path</t>
        </is>
      </c>
      <c r="I8" s="15" t="inlineStr">
        <is>
          <t>DB Admin Team</t>
        </is>
      </c>
      <c r="J8" s="15" t="inlineStr">
        <is>
          <t>31.01.2026</t>
        </is>
      </c>
      <c r="K8" s="15" t="inlineStr">
        <is>
          <t>Open</t>
        </is>
      </c>
      <c r="L8" s="15" t="inlineStr">
        <is>
          <t>May require forwarder upgrade</t>
        </is>
      </c>
    </row>
    <row r="9">
      <c r="A9" s="17">
        <f>IF(B9&lt;&gt;"","GAP-"&amp;TEXT(ROW()-8,"000"),"")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17">
        <f>IF(B10&lt;&gt;"","GAP-"&amp;TEXT(ROW()-8,"000"),"")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17">
        <f>IF(B11&lt;&gt;"","GAP-"&amp;TEXT(ROW()-8,"000"),"")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17">
        <f>IF(B12&lt;&gt;"","GAP-"&amp;TEXT(ROW()-8,"000"),"")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17">
        <f>IF(B13&lt;&gt;"","GAP-"&amp;TEXT(ROW()-8,"000"),"")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17">
        <f>IF(B14&lt;&gt;"","GAP-"&amp;TEXT(ROW()-8,"000"),"")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17">
        <f>IF(B15&lt;&gt;"","GAP-"&amp;TEXT(ROW()-8,"000"),"")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17">
        <f>IF(B16&lt;&gt;"","GAP-"&amp;TEXT(ROW()-8,"000"),"")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17">
        <f>IF(B17&lt;&gt;"","GAP-"&amp;TEXT(ROW()-8,"000"),"")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17">
        <f>IF(B18&lt;&gt;"","GAP-"&amp;TEXT(ROW()-8,"000"),"")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17">
        <f>IF(B19&lt;&gt;"","GAP-"&amp;TEXT(ROW()-8,"000"),"")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17">
        <f>IF(B20&lt;&gt;"","GAP-"&amp;TEXT(ROW()-8,"000"),"")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17">
        <f>IF(B21&lt;&gt;"","GAP-"&amp;TEXT(ROW()-8,"000"),"")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17">
        <f>IF(B22&lt;&gt;"","GAP-"&amp;TEXT(ROW()-8,"000"),"")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17">
        <f>IF(B23&lt;&gt;"","GAP-"&amp;TEXT(ROW()-8,"000"),"")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17">
        <f>IF(B24&lt;&gt;"","GAP-"&amp;TEXT(ROW()-8,"000"),"")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17">
        <f>IF(B25&lt;&gt;"","GAP-"&amp;TEXT(ROW()-8,"000"),"")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17">
        <f>IF(B26&lt;&gt;"","GAP-"&amp;TEXT(ROW()-8,"000"),"")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17">
        <f>IF(B27&lt;&gt;"","GAP-"&amp;TEXT(ROW()-8,"000"),"")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17">
        <f>IF(B28&lt;&gt;"","GAP-"&amp;TEXT(ROW()-8,"000"),"")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17">
        <f>IF(B29&lt;&gt;"","GAP-"&amp;TEXT(ROW()-8,"000"),"")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17">
        <f>IF(B30&lt;&gt;"","GAP-"&amp;TEXT(ROW()-8,"000"),"")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17">
        <f>IF(B31&lt;&gt;"","GAP-"&amp;TEXT(ROW()-8,"000"),"")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17">
        <f>IF(B32&lt;&gt;"","GAP-"&amp;TEXT(ROW()-8,"000"),"")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17">
        <f>IF(B33&lt;&gt;"","GAP-"&amp;TEXT(ROW()-8,"000"),"")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17">
        <f>IF(B34&lt;&gt;"","GAP-"&amp;TEXT(ROW()-8,"000"),"")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17">
        <f>IF(B35&lt;&gt;"","GAP-"&amp;TEXT(ROW()-8,"000"),"")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17">
        <f>IF(B36&lt;&gt;"","GAP-"&amp;TEXT(ROW()-8,"000"),"")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17">
        <f>IF(B37&lt;&gt;"","GAP-"&amp;TEXT(ROW()-8,"000"),"")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17">
        <f>IF(B38&lt;&gt;"","GAP-"&amp;TEXT(ROW()-8,"000"),"")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17">
        <f>IF(B39&lt;&gt;"","GAP-"&amp;TEXT(ROW()-8,"000"),"")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17">
        <f>IF(B40&lt;&gt;"","GAP-"&amp;TEXT(ROW()-8,"000"),"")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17">
        <f>IF(B41&lt;&gt;"","GAP-"&amp;TEXT(ROW()-8,"000"),"")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17">
        <f>IF(B42&lt;&gt;"","GAP-"&amp;TEXT(ROW()-8,"000"),"")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17">
        <f>IF(B43&lt;&gt;"","GAP-"&amp;TEXT(ROW()-8,"000"),"")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17">
        <f>IF(B44&lt;&gt;"","GAP-"&amp;TEXT(ROW()-8,"000"),"")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17">
        <f>IF(B45&lt;&gt;"","GAP-"&amp;TEXT(ROW()-8,"000"),"")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17">
        <f>IF(B46&lt;&gt;"","GAP-"&amp;TEXT(ROW()-8,"000"),"")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17">
        <f>IF(B47&lt;&gt;"","GAP-"&amp;TEXT(ROW()-8,"000"),"")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17">
        <f>IF(B48&lt;&gt;"","GAP-"&amp;TEXT(ROW()-8,"000"),"")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17">
        <f>IF(B49&lt;&gt;"","GAP-"&amp;TEXT(ROW()-8,"000"),"")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17">
        <f>IF(B50&lt;&gt;"","GAP-"&amp;TEXT(ROW()-8,"000"),"")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  <row r="51">
      <c r="A51" s="17">
        <f>IF(B51&lt;&gt;"","GAP-"&amp;TEXT(ROW()-8,"000"),"")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4" t="n"/>
      <c r="K51" s="5" t="n"/>
      <c r="L51" s="5" t="n"/>
    </row>
    <row r="52">
      <c r="A52" s="17">
        <f>IF(B52&lt;&gt;"","GAP-"&amp;TEXT(ROW()-8,"000"),"")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4" t="n"/>
      <c r="K52" s="5" t="n"/>
      <c r="L52" s="5" t="n"/>
    </row>
    <row r="53">
      <c r="A53" s="17">
        <f>IF(B53&lt;&gt;"","GAP-"&amp;TEXT(ROW()-8,"000"),"")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4" t="n"/>
      <c r="K53" s="5" t="n"/>
      <c r="L53" s="5" t="n"/>
    </row>
    <row r="54">
      <c r="A54" s="17">
        <f>IF(B54&lt;&gt;"","GAP-"&amp;TEXT(ROW()-8,"000"),"")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4" t="n"/>
      <c r="K54" s="5" t="n"/>
      <c r="L54" s="5" t="n"/>
    </row>
    <row r="55">
      <c r="A55" s="17">
        <f>IF(B55&lt;&gt;"","GAP-"&amp;TEXT(ROW()-8,"000"),"")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4" t="n"/>
      <c r="K55" s="5" t="n"/>
      <c r="L55" s="5" t="n"/>
    </row>
    <row r="56">
      <c r="A56" s="17">
        <f>IF(B56&lt;&gt;"","GAP-"&amp;TEXT(ROW()-8,"000"),"")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4" t="n"/>
      <c r="K56" s="5" t="n"/>
      <c r="L56" s="5" t="n"/>
    </row>
    <row r="57">
      <c r="A57" s="17">
        <f>IF(B57&lt;&gt;"","GAP-"&amp;TEXT(ROW()-8,"000"),"")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4" t="n"/>
      <c r="K57" s="5" t="n"/>
      <c r="L57" s="5" t="n"/>
    </row>
    <row r="58">
      <c r="A58" s="17">
        <f>IF(B58&lt;&gt;"","GAP-"&amp;TEXT(ROW()-8,"000"),"")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4" t="n"/>
      <c r="K58" s="5" t="n"/>
      <c r="L58" s="5" t="n"/>
    </row>
    <row r="59">
      <c r="A59" s="17">
        <f>IF(B59&lt;&gt;"","GAP-"&amp;TEXT(ROW()-8,"000"),"")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4" t="n"/>
      <c r="K59" s="5" t="n"/>
      <c r="L59" s="5" t="n"/>
    </row>
    <row r="60">
      <c r="A60" s="17">
        <f>IF(B60&lt;&gt;"","GAP-"&amp;TEXT(ROW()-8,"000"),"")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4" t="n"/>
      <c r="K60" s="5" t="n"/>
      <c r="L60" s="5" t="n"/>
    </row>
    <row r="61">
      <c r="A61" s="17">
        <f>IF(B61&lt;&gt;"","GAP-"&amp;TEXT(ROW()-8,"000"),"")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4" t="n"/>
      <c r="K61" s="5" t="n"/>
      <c r="L61" s="5" t="n"/>
    </row>
    <row r="62">
      <c r="A62" s="17">
        <f>IF(B62&lt;&gt;"","GAP-"&amp;TEXT(ROW()-8,"000"),"")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4" t="n"/>
      <c r="K62" s="5" t="n"/>
      <c r="L62" s="5" t="n"/>
    </row>
    <row r="63">
      <c r="A63" s="17">
        <f>IF(B63&lt;&gt;"","GAP-"&amp;TEXT(ROW()-8,"000"),"")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4" t="n"/>
      <c r="K63" s="5" t="n"/>
      <c r="L63" s="5" t="n"/>
    </row>
    <row r="64">
      <c r="A64" s="17">
        <f>IF(B64&lt;&gt;"","GAP-"&amp;TEXT(ROW()-8,"000"),"")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4" t="n"/>
      <c r="K64" s="5" t="n"/>
      <c r="L64" s="5" t="n"/>
    </row>
    <row r="65">
      <c r="A65" s="17">
        <f>IF(B65&lt;&gt;"","GAP-"&amp;TEXT(ROW()-8,"000"),"")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4" t="n"/>
      <c r="K65" s="5" t="n"/>
      <c r="L65" s="5" t="n"/>
    </row>
    <row r="66">
      <c r="A66" s="17">
        <f>IF(B66&lt;&gt;"","GAP-"&amp;TEXT(ROW()-8,"000"),"")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4" t="n"/>
      <c r="K66" s="5" t="n"/>
      <c r="L66" s="5" t="n"/>
    </row>
    <row r="67">
      <c r="A67" s="17">
        <f>IF(B67&lt;&gt;"","GAP-"&amp;TEXT(ROW()-8,"000"),"")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4" t="n"/>
      <c r="K67" s="5" t="n"/>
      <c r="L67" s="5" t="n"/>
    </row>
    <row r="68">
      <c r="A68" s="17">
        <f>IF(B68&lt;&gt;"","GAP-"&amp;TEXT(ROW()-8,"000"),"")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4" t="n"/>
      <c r="K68" s="5" t="n"/>
      <c r="L68" s="5" t="n"/>
    </row>
    <row r="69">
      <c r="A69" s="17">
        <f>IF(B69&lt;&gt;"","GAP-"&amp;TEXT(ROW()-8,"000"),"")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4" t="n"/>
      <c r="K69" s="5" t="n"/>
      <c r="L69" s="5" t="n"/>
    </row>
    <row r="70">
      <c r="A70" s="17">
        <f>IF(B70&lt;&gt;"","GAP-"&amp;TEXT(ROW()-8,"000"),"")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4" t="n"/>
      <c r="K70" s="5" t="n"/>
      <c r="L70" s="5" t="n"/>
    </row>
    <row r="71">
      <c r="A71" s="17">
        <f>IF(B71&lt;&gt;"","GAP-"&amp;TEXT(ROW()-8,"000"),"")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4" t="n"/>
      <c r="K71" s="5" t="n"/>
      <c r="L71" s="5" t="n"/>
    </row>
    <row r="72">
      <c r="A72" s="17">
        <f>IF(B72&lt;&gt;"","GAP-"&amp;TEXT(ROW()-8,"000"),"")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4" t="n"/>
      <c r="K72" s="5" t="n"/>
      <c r="L72" s="5" t="n"/>
    </row>
    <row r="73">
      <c r="A73" s="17">
        <f>IF(B73&lt;&gt;"","GAP-"&amp;TEXT(ROW()-8,"000"),"")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4" t="n"/>
      <c r="K73" s="5" t="n"/>
      <c r="L73" s="5" t="n"/>
    </row>
    <row r="74">
      <c r="A74" s="17">
        <f>IF(B74&lt;&gt;"","GAP-"&amp;TEXT(ROW()-8,"000"),"")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4" t="n"/>
      <c r="K74" s="5" t="n"/>
      <c r="L74" s="5" t="n"/>
    </row>
    <row r="75">
      <c r="A75" s="17">
        <f>IF(B75&lt;&gt;"","GAP-"&amp;TEXT(ROW()-8,"000"),"")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4" t="n"/>
      <c r="K75" s="5" t="n"/>
      <c r="L75" s="5" t="n"/>
    </row>
    <row r="76">
      <c r="A76" s="17">
        <f>IF(B76&lt;&gt;"","GAP-"&amp;TEXT(ROW()-8,"000"),"")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4" t="n"/>
      <c r="K76" s="5" t="n"/>
      <c r="L76" s="5" t="n"/>
    </row>
    <row r="77">
      <c r="A77" s="17">
        <f>IF(B77&lt;&gt;"","GAP-"&amp;TEXT(ROW()-8,"000"),"")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4" t="n"/>
      <c r="K77" s="5" t="n"/>
      <c r="L77" s="5" t="n"/>
    </row>
    <row r="78">
      <c r="A78" s="17">
        <f>IF(B78&lt;&gt;"","GAP-"&amp;TEXT(ROW()-8,"000"),"")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4" t="n"/>
      <c r="K78" s="5" t="n"/>
      <c r="L78" s="5" t="n"/>
    </row>
    <row r="79">
      <c r="A79" s="17">
        <f>IF(B79&lt;&gt;"","GAP-"&amp;TEXT(ROW()-8,"000"),"")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4" t="n"/>
      <c r="K79" s="5" t="n"/>
      <c r="L79" s="5" t="n"/>
    </row>
    <row r="80">
      <c r="A80" s="17">
        <f>IF(B80&lt;&gt;"","GAP-"&amp;TEXT(ROW()-8,"000"),"")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4" t="n"/>
      <c r="K80" s="5" t="n"/>
      <c r="L80" s="5" t="n"/>
    </row>
    <row r="81">
      <c r="A81" s="17">
        <f>IF(B81&lt;&gt;"","GAP-"&amp;TEXT(ROW()-8,"000"),"")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4" t="n"/>
      <c r="K81" s="5" t="n"/>
      <c r="L81" s="5" t="n"/>
    </row>
    <row r="82">
      <c r="A82" s="17">
        <f>IF(B82&lt;&gt;"","GAP-"&amp;TEXT(ROW()-8,"000"),"")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4" t="n"/>
      <c r="K82" s="5" t="n"/>
      <c r="L82" s="5" t="n"/>
    </row>
    <row r="83">
      <c r="A83" s="17">
        <f>IF(B83&lt;&gt;"","GAP-"&amp;TEXT(ROW()-8,"000"),"")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4" t="n"/>
      <c r="K83" s="5" t="n"/>
      <c r="L83" s="5" t="n"/>
    </row>
    <row r="84">
      <c r="A84" s="17">
        <f>IF(B84&lt;&gt;"","GAP-"&amp;TEXT(ROW()-8,"000"),"")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4" t="n"/>
      <c r="K84" s="5" t="n"/>
      <c r="L84" s="5" t="n"/>
    </row>
    <row r="85">
      <c r="A85" s="17">
        <f>IF(B85&lt;&gt;"","GAP-"&amp;TEXT(ROW()-8,"000"),"")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4" t="n"/>
      <c r="K85" s="5" t="n"/>
      <c r="L85" s="5" t="n"/>
    </row>
    <row r="86">
      <c r="A86" s="17">
        <f>IF(B86&lt;&gt;"","GAP-"&amp;TEXT(ROW()-8,"000"),"")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4" t="n"/>
      <c r="K86" s="5" t="n"/>
      <c r="L86" s="5" t="n"/>
    </row>
    <row r="87">
      <c r="A87" s="17">
        <f>IF(B87&lt;&gt;"","GAP-"&amp;TEXT(ROW()-8,"000"),"")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4" t="n"/>
      <c r="K87" s="5" t="n"/>
      <c r="L87" s="5" t="n"/>
    </row>
    <row r="88">
      <c r="A88" s="17">
        <f>IF(B88&lt;&gt;"","GAP-"&amp;TEXT(ROW()-8,"000"),"")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4" t="n"/>
      <c r="K88" s="5" t="n"/>
      <c r="L88" s="5" t="n"/>
    </row>
    <row r="89">
      <c r="A89" s="17">
        <f>IF(B89&lt;&gt;"","GAP-"&amp;TEXT(ROW()-8,"000"),"")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4" t="n"/>
      <c r="K89" s="5" t="n"/>
      <c r="L89" s="5" t="n"/>
    </row>
    <row r="90">
      <c r="A90" s="17">
        <f>IF(B90&lt;&gt;"","GAP-"&amp;TEXT(ROW()-8,"000"),"")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4" t="n"/>
      <c r="K90" s="5" t="n"/>
      <c r="L90" s="5" t="n"/>
    </row>
    <row r="91">
      <c r="A91" s="17">
        <f>IF(B91&lt;&gt;"","GAP-"&amp;TEXT(ROW()-8,"000"),"")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4" t="n"/>
      <c r="K91" s="5" t="n"/>
      <c r="L91" s="5" t="n"/>
    </row>
    <row r="92">
      <c r="A92" s="17">
        <f>IF(B92&lt;&gt;"","GAP-"&amp;TEXT(ROW()-8,"000"),"")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4" t="n"/>
      <c r="K92" s="5" t="n"/>
      <c r="L92" s="5" t="n"/>
    </row>
    <row r="93">
      <c r="A93" s="17">
        <f>IF(B93&lt;&gt;"","GAP-"&amp;TEXT(ROW()-8,"000"),"")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4" t="n"/>
      <c r="K93" s="5" t="n"/>
      <c r="L93" s="5" t="n"/>
    </row>
    <row r="94">
      <c r="A94" s="17">
        <f>IF(B94&lt;&gt;"","GAP-"&amp;TEXT(ROW()-8,"000"),"")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4" t="n"/>
      <c r="K94" s="5" t="n"/>
      <c r="L94" s="5" t="n"/>
    </row>
    <row r="95">
      <c r="A95" s="17">
        <f>IF(B95&lt;&gt;"","GAP-"&amp;TEXT(ROW()-8,"000"),"")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4" t="n"/>
      <c r="K95" s="5" t="n"/>
      <c r="L95" s="5" t="n"/>
    </row>
    <row r="96">
      <c r="A96" s="17">
        <f>IF(B96&lt;&gt;"","GAP-"&amp;TEXT(ROW()-8,"000"),"")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4" t="n"/>
      <c r="K96" s="5" t="n"/>
      <c r="L96" s="5" t="n"/>
    </row>
    <row r="97">
      <c r="A97" s="17">
        <f>IF(B97&lt;&gt;"","GAP-"&amp;TEXT(ROW()-8,"000"),"")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4" t="n"/>
      <c r="K97" s="5" t="n"/>
      <c r="L97" s="5" t="n"/>
    </row>
    <row r="98">
      <c r="A98" s="17">
        <f>IF(B98&lt;&gt;"","GAP-"&amp;TEXT(ROW()-8,"000"),"")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4" t="n"/>
      <c r="K98" s="5" t="n"/>
      <c r="L98" s="5" t="n"/>
    </row>
    <row r="99">
      <c r="A99" s="17">
        <f>IF(B99&lt;&gt;"","GAP-"&amp;TEXT(ROW()-8,"000"),"")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4" t="n"/>
      <c r="K99" s="5" t="n"/>
      <c r="L99" s="5" t="n"/>
    </row>
    <row r="100">
      <c r="A100" s="17">
        <f>IF(B100&lt;&gt;"","GAP-"&amp;TEXT(ROW()-8,"000"),"")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4" t="n"/>
      <c r="K100" s="5" t="n"/>
      <c r="L100" s="5" t="n"/>
    </row>
  </sheetData>
  <mergeCells count="2">
    <mergeCell ref="A2:L2"/>
    <mergeCell ref="A1:L1"/>
  </mergeCells>
  <conditionalFormatting sqref="E9:E100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9:K100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3">
    <dataValidation sqref="B9:B100" showDropDown="0" showInputMessage="0" showErrorMessage="0" allowBlank="1" type="list">
      <formula1>"Coverage Gap,Reliability Issue,Performance Issue,Parsing Error,Capacity Constraint,Redundancy Gap,DR Gap,Data Quality Issue"</formula1>
    </dataValidation>
    <dataValidation sqref="E9:E100" showDropDown="0" showInputMessage="0" showErrorMessage="0" allowBlank="1" type="list">
      <formula1>"🔴 Critical,🟡 High,🟢 Medium,⚫ Low"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35" customWidth="1" min="4" max="4"/>
    <col width="40" customWidth="1" min="5" max="5"/>
    <col width="35" customWidth="1" min="6" max="6"/>
    <col width="14" customWidth="1" min="7" max="7"/>
    <col width="18" customWidth="1" min="8" max="8"/>
    <col width="15" customWidth="1" min="9" max="9"/>
    <col width="14" customWidth="1" min="10" max="10"/>
    <col width="12" customWidth="1" min="11" max="11"/>
    <col width="30" customWidth="1" min="12" max="12"/>
  </cols>
  <sheetData>
    <row r="1" ht="40" customHeight="1">
      <c r="A1" s="1" t="inlineStr">
        <is>
          <t>EVIDENCE REGISTER</t>
        </is>
      </c>
    </row>
    <row r="2">
      <c r="A2" s="6" t="inlineStr">
        <is>
          <t>Document all supporting evidence for log collection assessment</t>
        </is>
      </c>
    </row>
    <row r="3">
      <c r="A3" s="26" t="inlineStr">
        <is>
          <t>Reference evidence by ID in other assessment sheets. Store evidence files in designated secure location.</t>
        </is>
      </c>
    </row>
    <row r="5">
      <c r="A5" s="14" t="inlineStr">
        <is>
          <t>Evidence ID</t>
        </is>
      </c>
      <c r="B5" s="14" t="inlineStr">
        <is>
          <t>Assessment Sheet</t>
        </is>
      </c>
      <c r="C5" s="14" t="inlineStr">
        <is>
          <t>Evidence Type</t>
        </is>
      </c>
      <c r="D5" s="14" t="inlineStr">
        <is>
          <t>Evidence Title</t>
        </is>
      </c>
      <c r="E5" s="14" t="inlineStr">
        <is>
          <t>Description</t>
        </is>
      </c>
      <c r="F5" s="14" t="inlineStr">
        <is>
          <t>File Location/Link</t>
        </is>
      </c>
      <c r="G5" s="14" t="inlineStr">
        <is>
          <t>Date Collected</t>
        </is>
      </c>
      <c r="H5" s="14" t="inlineStr">
        <is>
          <t>Collected By</t>
        </is>
      </c>
      <c r="I5" s="14" t="inlineStr">
        <is>
          <t>Retention Period</t>
        </is>
      </c>
      <c r="J5" s="14" t="inlineStr">
        <is>
          <t>Review Date</t>
        </is>
      </c>
      <c r="K5" s="14" t="inlineStr">
        <is>
          <t>Status</t>
        </is>
      </c>
      <c r="L5" s="14" t="inlineStr">
        <is>
          <t>Notes</t>
        </is>
      </c>
    </row>
    <row r="6">
      <c r="A6" t="inlineStr">
        <is>
          <t>EVD-001</t>
        </is>
      </c>
      <c r="B6" t="inlineStr">
        <is>
          <t>SIEM Platform Details</t>
        </is>
      </c>
      <c r="C6" t="inlineStr">
        <is>
          <t>Configuration</t>
        </is>
      </c>
      <c r="D6" t="inlineStr">
        <is>
          <t>SIEM Architecture Diagram</t>
        </is>
      </c>
      <c r="E6" s="5" t="inlineStr"/>
      <c r="F6" s="5" t="inlineStr"/>
      <c r="G6" s="5" t="inlineStr"/>
      <c r="H6" s="5" t="inlineStr"/>
      <c r="I6" s="5" t="inlineStr">
        <is>
          <t>7 years</t>
        </is>
      </c>
      <c r="J6" s="5" t="inlineStr"/>
      <c r="K6" s="5" t="inlineStr"/>
      <c r="L6" s="5" t="inlineStr"/>
    </row>
    <row r="7">
      <c r="A7" t="inlineStr">
        <is>
          <t>EVD-002</t>
        </is>
      </c>
      <c r="B7" t="inlineStr">
        <is>
          <t>SIEM Platform Details</t>
        </is>
      </c>
      <c r="C7" t="inlineStr">
        <is>
          <t>Screenshot</t>
        </is>
      </c>
      <c r="D7" t="inlineStr">
        <is>
          <t>SIEM License/Version</t>
        </is>
      </c>
      <c r="E7" s="5" t="inlineStr"/>
      <c r="F7" s="5" t="inlineStr"/>
      <c r="G7" s="5" t="inlineStr"/>
      <c r="H7" s="5" t="inlineStr"/>
      <c r="I7" s="5" t="inlineStr">
        <is>
          <t>7 years</t>
        </is>
      </c>
      <c r="J7" s="5" t="inlineStr"/>
      <c r="K7" s="5" t="inlineStr"/>
      <c r="L7" s="5" t="inlineStr"/>
    </row>
    <row r="8">
      <c r="A8" t="inlineStr">
        <is>
          <t>EVD-003</t>
        </is>
      </c>
      <c r="B8" t="inlineStr">
        <is>
          <t>Log Forwarder Inventory</t>
        </is>
      </c>
      <c r="C8" t="inlineStr">
        <is>
          <t>Export</t>
        </is>
      </c>
      <c r="D8" t="inlineStr">
        <is>
          <t>Agent Inventory Export</t>
        </is>
      </c>
      <c r="E8" s="5" t="inlineStr"/>
      <c r="F8" s="5" t="inlineStr"/>
      <c r="G8" s="5" t="inlineStr"/>
      <c r="H8" s="5" t="inlineStr"/>
      <c r="I8" s="5" t="inlineStr">
        <is>
          <t>7 years</t>
        </is>
      </c>
      <c r="J8" s="5" t="inlineStr"/>
      <c r="K8" s="5" t="inlineStr"/>
      <c r="L8" s="5" t="inlineStr"/>
    </row>
    <row r="9">
      <c r="A9" t="inlineStr">
        <is>
          <t>EVD-004</t>
        </is>
      </c>
      <c r="B9" t="inlineStr">
        <is>
          <t>Collection Reliability</t>
        </is>
      </c>
      <c r="C9" t="inlineStr">
        <is>
          <t>Report</t>
        </is>
      </c>
      <c r="D9" t="inlineStr">
        <is>
          <t>Collection Success Rate Report</t>
        </is>
      </c>
      <c r="E9" s="5" t="inlineStr"/>
      <c r="F9" s="5" t="inlineStr"/>
      <c r="G9" s="5" t="inlineStr"/>
      <c r="H9" s="5" t="inlineStr"/>
      <c r="I9" s="5" t="inlineStr">
        <is>
          <t>7 years</t>
        </is>
      </c>
      <c r="J9" s="5" t="inlineStr"/>
      <c r="K9" s="5" t="inlineStr"/>
      <c r="L9" s="5" t="inlineStr"/>
    </row>
    <row r="10">
      <c r="A10" t="inlineStr">
        <is>
          <t>EVD-005</t>
        </is>
      </c>
      <c r="B10" t="inlineStr">
        <is>
          <t>Encryption &amp; Authentication</t>
        </is>
      </c>
      <c r="C10" t="inlineStr">
        <is>
          <t>Certificate</t>
        </is>
      </c>
      <c r="D10" t="inlineStr">
        <is>
          <t>TLS Certificate Details</t>
        </is>
      </c>
      <c r="E10" s="5" t="inlineStr"/>
      <c r="F10" s="5" t="inlineStr"/>
      <c r="G10" s="5" t="inlineStr"/>
      <c r="H10" s="5" t="inlineStr"/>
      <c r="I10" s="5" t="inlineStr">
        <is>
          <t>7 years</t>
        </is>
      </c>
      <c r="J10" s="5" t="inlineStr"/>
      <c r="K10" s="5" t="inlineStr"/>
      <c r="L10" s="5" t="inlineStr"/>
    </row>
    <row r="11">
      <c r="A11" t="inlineStr">
        <is>
          <t>EVD-006</t>
        </is>
      </c>
      <c r="B11" t="inlineStr">
        <is>
          <t>Encryption &amp; Authentication</t>
        </is>
      </c>
      <c r="C11" t="inlineStr">
        <is>
          <t>Configuration</t>
        </is>
      </c>
      <c r="D11" t="inlineStr">
        <is>
          <t>Authentication Config Export</t>
        </is>
      </c>
      <c r="E11" s="5" t="inlineStr"/>
      <c r="F11" s="5" t="inlineStr"/>
      <c r="G11" s="5" t="inlineStr"/>
      <c r="H11" s="5" t="inlineStr"/>
      <c r="I11" s="5" t="inlineStr">
        <is>
          <t>7 years</t>
        </is>
      </c>
      <c r="J11" s="5" t="inlineStr"/>
      <c r="K11" s="5" t="inlineStr"/>
      <c r="L11" s="5" t="inlineStr"/>
    </row>
    <row r="12">
      <c r="A12" t="inlineStr">
        <is>
          <t>EVD-007</t>
        </is>
      </c>
      <c r="B12" t="inlineStr">
        <is>
          <t>SIEM Storage &amp; Capacity</t>
        </is>
      </c>
      <c r="C12" t="inlineStr">
        <is>
          <t>Report</t>
        </is>
      </c>
      <c r="D12" t="inlineStr">
        <is>
          <t>Storage Utilization Report</t>
        </is>
      </c>
      <c r="E12" s="5" t="inlineStr"/>
      <c r="F12" s="5" t="inlineStr"/>
      <c r="G12" s="5" t="inlineStr"/>
      <c r="H12" s="5" t="inlineStr"/>
      <c r="I12" s="5" t="inlineStr">
        <is>
          <t>7 years</t>
        </is>
      </c>
      <c r="J12" s="5" t="inlineStr"/>
      <c r="K12" s="5" t="inlineStr"/>
      <c r="L12" s="5" t="inlineStr"/>
    </row>
    <row r="13">
      <c r="A13" t="inlineStr">
        <is>
          <t>EVD-008</t>
        </is>
      </c>
      <c r="B13" t="inlineStr">
        <is>
          <t>Gap Analysis &amp; Remediation</t>
        </is>
      </c>
      <c r="C13" t="inlineStr">
        <is>
          <t>Document</t>
        </is>
      </c>
      <c r="D13" t="inlineStr">
        <is>
          <t>Gap Remediation Plan</t>
        </is>
      </c>
      <c r="E13" s="5" t="inlineStr"/>
      <c r="F13" s="5" t="inlineStr"/>
      <c r="G13" s="5" t="inlineStr"/>
      <c r="H13" s="5" t="inlineStr"/>
      <c r="I13" s="5" t="inlineStr">
        <is>
          <t>7 years</t>
        </is>
      </c>
      <c r="J13" s="5" t="inlineStr"/>
      <c r="K13" s="5" t="inlineStr"/>
      <c r="L13" s="5" t="inlineStr"/>
    </row>
    <row r="14">
      <c r="A14" t="inlineStr">
        <is>
          <t>EVD-009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t="inlineStr">
        <is>
          <t>EVD-010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t="inlineStr">
        <is>
          <t>EVD-011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t="inlineStr">
        <is>
          <t>EVD-012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t="inlineStr">
        <is>
          <t>EVD-013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t="inlineStr">
        <is>
          <t>EVD-014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t="inlineStr">
        <is>
          <t>EVD-015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t="inlineStr">
        <is>
          <t>EVD-016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t="inlineStr">
        <is>
          <t>EVD-017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t="inlineStr">
        <is>
          <t>EVD-018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t="inlineStr">
        <is>
          <t>EVD-019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t="inlineStr">
        <is>
          <t>EVD-020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t="inlineStr">
        <is>
          <t>EVD-021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t="inlineStr">
        <is>
          <t>EVD-022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t="inlineStr">
        <is>
          <t>EVD-023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t="inlineStr">
        <is>
          <t>EVD-024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t="inlineStr">
        <is>
          <t>EVD-025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t="inlineStr">
        <is>
          <t>EVD-026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t="inlineStr">
        <is>
          <t>EVD-027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t="inlineStr">
        <is>
          <t>EVD-028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t="inlineStr">
        <is>
          <t>EVD-029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t="inlineStr">
        <is>
          <t>EVD-030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t="inlineStr">
        <is>
          <t>EVD-031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t="inlineStr">
        <is>
          <t>EVD-032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>
      <c r="A38" t="inlineStr">
        <is>
          <t>EVD-033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t="inlineStr">
        <is>
          <t>EVD-034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t="inlineStr">
        <is>
          <t>EVD-035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t="inlineStr">
        <is>
          <t>EVD-036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t="inlineStr">
        <is>
          <t>EVD-037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t="inlineStr">
        <is>
          <t>EVD-038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t="inlineStr">
        <is>
          <t>EVD-039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>
      <c r="A45" t="inlineStr">
        <is>
          <t>EVD-040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t="inlineStr">
        <is>
          <t>EVD-041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t="inlineStr">
        <is>
          <t>EVD-042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t="inlineStr">
        <is>
          <t>EVD-043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>
      <c r="A49" t="inlineStr">
        <is>
          <t>EVD-044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>
      <c r="A50" t="inlineStr">
        <is>
          <t>EVD-045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t="inlineStr">
        <is>
          <t>EVD-046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t="inlineStr">
        <is>
          <t>EVD-047</t>
        </is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>
      <c r="A53" t="inlineStr">
        <is>
          <t>EVD-048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>
      <c r="A54" t="inlineStr">
        <is>
          <t>EVD-049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</row>
    <row r="55">
      <c r="A55" t="inlineStr">
        <is>
          <t>EVD-050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>
      <c r="A56" t="inlineStr">
        <is>
          <t>EVD-051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</row>
    <row r="57">
      <c r="A57" t="inlineStr">
        <is>
          <t>EVD-052</t>
        </is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>
      <c r="A58" t="inlineStr">
        <is>
          <t>EVD-053</t>
        </is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</row>
    <row r="59">
      <c r="A59" t="inlineStr">
        <is>
          <t>EVD-054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>
      <c r="A60" t="inlineStr">
        <is>
          <t>EVD-055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>
      <c r="A61" t="inlineStr">
        <is>
          <t>EVD-056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</row>
    <row r="62">
      <c r="A62" t="inlineStr">
        <is>
          <t>EVD-057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</row>
    <row r="63">
      <c r="A63" t="inlineStr">
        <is>
          <t>EVD-058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</row>
  </sheetData>
  <mergeCells count="3">
    <mergeCell ref="A3:L3"/>
    <mergeCell ref="A2:L2"/>
    <mergeCell ref="A1:L1"/>
  </mergeCells>
  <dataValidations count="3">
    <dataValidation sqref="C6:C100" showDropDown="0" showInputMessage="0" showErrorMessage="0" allowBlank="1" type="list">
      <formula1>"Configuration,Screenshot,Export,Report,Certificate,Document,Log Sample,Test Result,Approval,Other"</formula1>
    </dataValidation>
    <dataValidation sqref="B6:B100" showDropDown="0" showInputMessage="0" showErrorMessage="0" allowBlank="1" type="list">
      <formula1>"SIEM Platform Details,Log Forwarder Inventory,Collection Reliability,Integration Architecture,SIEM Storage &amp; Capacity,Log Parsing &amp; Normalization,SIEM Performance Metrics,Data Quality Assessment,Encryption &amp; Authentication,Gap Analysis &amp; Remediation"</formula1>
    </dataValidation>
    <dataValidation sqref="K6:K100" showDropDown="0" showInputMessage="0" showErrorMessage="0" allowBlank="1" type="list">
      <formula1>"Collected,Pending,Expired,Not Available"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 COLLECTION &amp; CENTRALIZATION DASHBOARD</t>
        </is>
      </c>
    </row>
    <row r="2" ht="25" customHeight="1">
      <c r="A2" s="6" t="inlineStr">
        <is>
          <t>Executive Summary - SIEM Health &amp; Performance</t>
        </is>
      </c>
    </row>
    <row r="4">
      <c r="A4" s="6" t="inlineStr">
        <is>
          <t>1. COLLECTION HEALTH SUMMARY</t>
        </is>
      </c>
    </row>
    <row r="6">
      <c r="A6" s="14" t="inlineStr">
        <is>
          <t>Metric</t>
        </is>
      </c>
      <c r="B6" s="14" t="inlineStr">
        <is>
          <t>Value</t>
        </is>
      </c>
      <c r="C6" s="14" t="inlineStr">
        <is>
          <t>Target</t>
        </is>
      </c>
      <c r="D6" s="14" t="inlineStr">
        <is>
          <t>Status</t>
        </is>
      </c>
    </row>
    <row r="7">
      <c r="A7" s="2" t="inlineStr">
        <is>
          <t>Total Systems Monitored</t>
        </is>
      </c>
      <c r="B7" s="17">
        <f>COUNTA('Collection Reliability'!A9:A200)</f>
        <v/>
      </c>
      <c r="C7" s="27" t="inlineStr">
        <is>
          <t>N/A</t>
        </is>
      </c>
      <c r="D7" s="17">
        <f>IF(B{row}&gt;0,"✓","✗")</f>
        <v/>
      </c>
    </row>
    <row r="8">
      <c r="A8" s="2" t="inlineStr">
        <is>
          <t>Systems Collecting &gt;95%</t>
        </is>
      </c>
      <c r="B8" s="17">
        <f>COUNTIF('Collection Reliability'!E:E,"&gt;0.95")</f>
        <v/>
      </c>
      <c r="C8" s="27" t="inlineStr">
        <is>
          <t>100%</t>
        </is>
      </c>
      <c r="D8" s="17">
        <f>IF(B{row}&gt;0,"✓","✗")</f>
        <v/>
      </c>
    </row>
    <row r="9">
      <c r="A9" s="2" t="inlineStr">
        <is>
          <t>Avg Collection Rate %</t>
        </is>
      </c>
      <c r="B9" s="16">
        <f>AVERAGE('Collection Reliability'!E9:E200)</f>
        <v/>
      </c>
      <c r="C9" s="27" t="inlineStr">
        <is>
          <t>&gt;98%</t>
        </is>
      </c>
      <c r="D9" s="17">
        <f>IF(B{row}&gt;0,"✓","✗")</f>
        <v/>
      </c>
    </row>
    <row r="10">
      <c r="A10" s="2" t="inlineStr">
        <is>
          <t>Systems with Gaps &gt;4hr</t>
        </is>
      </c>
      <c r="B10" s="17">
        <f>COUNTIF('Collection Reliability'!K:K,"&gt;4")</f>
        <v/>
      </c>
      <c r="C10" s="27" t="inlineStr">
        <is>
          <t>0</t>
        </is>
      </c>
      <c r="D10" s="17">
        <f>IF(B{row}&gt;0,"✓","✗")</f>
        <v/>
      </c>
    </row>
    <row r="11">
      <c r="A11" s="2" t="inlineStr">
        <is>
          <t>Parse Success Rate %</t>
        </is>
      </c>
      <c r="B11" s="16">
        <f>AVERAGE('Log Parsing &amp; Normalization'!E9:E100)</f>
        <v/>
      </c>
      <c r="C11" s="27" t="inlineStr">
        <is>
          <t>&gt;95%</t>
        </is>
      </c>
      <c r="D11" s="17">
        <f>IF(B{row}&gt;0,"✓","✗")</f>
        <v/>
      </c>
    </row>
    <row r="12">
      <c r="A12" s="2" t="inlineStr">
        <is>
          <t>SIEM Uptime %</t>
        </is>
      </c>
      <c r="B12" s="16">
        <f>AVERAGE('SIEM Performance Metrics'!K9:K38)</f>
        <v/>
      </c>
      <c r="C12" s="27" t="inlineStr">
        <is>
          <t>&gt;99.9%</t>
        </is>
      </c>
      <c r="D12" s="17">
        <f>IF(B{row}&gt;0,"✓","✗")</f>
        <v/>
      </c>
    </row>
    <row r="13">
      <c r="A13" s="2" t="inlineStr">
        <is>
          <t>Storage Used %</t>
        </is>
      </c>
      <c r="B13" s="16">
        <f>AVERAGE('SIEM Storage &amp; Capacity'!F9:F20)</f>
        <v/>
      </c>
      <c r="C13" s="27" t="inlineStr">
        <is>
          <t>&lt;70%</t>
        </is>
      </c>
      <c r="D13" s="17">
        <f>IF(B{row}&gt;0,"✓","✗")</f>
        <v/>
      </c>
    </row>
    <row r="14">
      <c r="A14" s="2" t="inlineStr">
        <is>
          <t>Days Until Storage Full</t>
        </is>
      </c>
      <c r="B14" s="17">
        <f>MIN('SIEM Storage &amp; Capacity'!K9:K20)</f>
        <v/>
      </c>
      <c r="C14" s="27" t="inlineStr">
        <is>
          <t>&gt;90</t>
        </is>
      </c>
      <c r="D14" s="17">
        <f>IF(B{row}&gt;0,"✓","✗")</f>
        <v/>
      </c>
    </row>
    <row r="17">
      <c r="A17" s="6" t="inlineStr">
        <is>
          <t>2. COLLECTION BY SYSTEM TYPE</t>
        </is>
      </c>
    </row>
    <row r="19">
      <c r="A19" s="14" t="inlineStr">
        <is>
          <t>System Type</t>
        </is>
      </c>
      <c r="B19" s="14" t="inlineStr">
        <is>
          <t>Total</t>
        </is>
      </c>
      <c r="C19" s="14" t="inlineStr">
        <is>
          <t>Collecting &gt;95%</t>
        </is>
      </c>
      <c r="D19" s="14" t="inlineStr">
        <is>
          <t>Avg Collection Rate %</t>
        </is>
      </c>
    </row>
    <row r="20">
      <c r="A20" s="2" t="inlineStr">
        <is>
          <t>Server</t>
        </is>
      </c>
      <c r="B20" s="17">
        <f>COUNTIF('Collection Reliability'!B:B,"*Server*")</f>
        <v/>
      </c>
      <c r="C20" s="17">
        <f>COUNTIFS('Collection Reliability'!B:B,"*Server*",'Collection Reliability'!E:E,"&gt;0.95")</f>
        <v/>
      </c>
      <c r="D20" s="16">
        <f>AVERAGEIF('Collection Reliability'!B:B,"*Server*",'Collection Reliability'!E:E)</f>
        <v/>
      </c>
    </row>
    <row r="21">
      <c r="A21" s="2" t="inlineStr">
        <is>
          <t>Network Device</t>
        </is>
      </c>
      <c r="B21" s="17">
        <f>COUNTIF('Collection Reliability'!B:B,"*Network Device*")</f>
        <v/>
      </c>
      <c r="C21" s="17">
        <f>COUNTIFS('Collection Reliability'!B:B,"*Network Device*",'Collection Reliability'!E:E,"&gt;0.95")</f>
        <v/>
      </c>
      <c r="D21" s="16">
        <f>AVERAGEIF('Collection Reliability'!B:B,"*Network Device*",'Collection Reliability'!E:E)</f>
        <v/>
      </c>
    </row>
    <row r="22">
      <c r="A22" s="2" t="inlineStr">
        <is>
          <t>Security Appliance</t>
        </is>
      </c>
      <c r="B22" s="17">
        <f>COUNTIF('Collection Reliability'!B:B,"*Security Appliance*")</f>
        <v/>
      </c>
      <c r="C22" s="17">
        <f>COUNTIFS('Collection Reliability'!B:B,"*Security Appliance*",'Collection Reliability'!E:E,"&gt;0.95")</f>
        <v/>
      </c>
      <c r="D22" s="16">
        <f>AVERAGEIF('Collection Reliability'!B:B,"*Security Appliance*",'Collection Reliability'!E:E)</f>
        <v/>
      </c>
    </row>
    <row r="23">
      <c r="A23" s="2" t="inlineStr">
        <is>
          <t>Application</t>
        </is>
      </c>
      <c r="B23" s="17">
        <f>COUNTIF('Collection Reliability'!B:B,"*Application*")</f>
        <v/>
      </c>
      <c r="C23" s="17">
        <f>COUNTIFS('Collection Reliability'!B:B,"*Application*",'Collection Reliability'!E:E,"&gt;0.95")</f>
        <v/>
      </c>
      <c r="D23" s="16">
        <f>AVERAGEIF('Collection Reliability'!B:B,"*Application*",'Collection Reliability'!E:E)</f>
        <v/>
      </c>
    </row>
    <row r="24">
      <c r="A24" s="2" t="inlineStr">
        <is>
          <t>Cloud Service</t>
        </is>
      </c>
      <c r="B24" s="17">
        <f>COUNTIF('Collection Reliability'!B:B,"*Cloud Service*")</f>
        <v/>
      </c>
      <c r="C24" s="17">
        <f>COUNTIFS('Collection Reliability'!B:B,"*Cloud Service*",'Collection Reliability'!E:E,"&gt;0.95")</f>
        <v/>
      </c>
      <c r="D24" s="16">
        <f>AVERAGEIF('Collection Reliability'!B:B,"*Cloud Service*",'Collection Reliability'!E:E)</f>
        <v/>
      </c>
    </row>
    <row r="27">
      <c r="A27" s="6" t="inlineStr">
        <is>
          <t>3. GAP SUMMARY BY PRIORITY</t>
        </is>
      </c>
    </row>
    <row r="29">
      <c r="A29" s="14" t="inlineStr">
        <is>
          <t>Priority</t>
        </is>
      </c>
      <c r="B29" s="14" t="inlineStr">
        <is>
          <t>Open</t>
        </is>
      </c>
      <c r="C29" s="14" t="inlineStr">
        <is>
          <t>In Progress</t>
        </is>
      </c>
      <c r="D29" s="14" t="inlineStr">
        <is>
          <t>Resolved</t>
        </is>
      </c>
      <c r="E29" s="14" t="inlineStr">
        <is>
          <t>Overdue</t>
        </is>
      </c>
    </row>
    <row r="30">
      <c r="A30" s="2" t="inlineStr">
        <is>
          <t>Critical</t>
        </is>
      </c>
      <c r="B30" s="17">
        <f>COUNTIFS('Gap Analysis &amp; Remediation'!E:E,"Critical",'Gap Analysis &amp; Remediation'!K:K,"Open")</f>
        <v/>
      </c>
      <c r="C30" s="17">
        <f>COUNTIFS('Gap Analysis &amp; Remediation'!E:E,"Critical",'Gap Analysis &amp; Remediation'!K:K,"In Progress")</f>
        <v/>
      </c>
      <c r="D30" s="17">
        <f>COUNTIFS('Gap Analysis &amp; Remediation'!E:E,"Critical",'Gap Analysis &amp; Remediation'!K:K,"Resolved")</f>
        <v/>
      </c>
      <c r="E30" s="17">
        <f>SUMPRODUCT(('Gap Analysis &amp; Remediation'!E:E="Critical")*(('Gap Analysis &amp; Remediation'!K:K="Open")+('Gap Analysis &amp; Remediation'!K:K="In Progress"))*('Gap Analysis &amp; Remediation'!J:J&lt;TODAY())*('Gap Analysis &amp; Remediation'!J:J&lt;&gt;""))</f>
        <v/>
      </c>
    </row>
    <row r="31">
      <c r="A31" s="2" t="inlineStr">
        <is>
          <t>High</t>
        </is>
      </c>
      <c r="B31" s="17">
        <f>COUNTIFS('Gap Analysis &amp; Remediation'!E:E,"High",'Gap Analysis &amp; Remediation'!K:K,"Open")</f>
        <v/>
      </c>
      <c r="C31" s="17">
        <f>COUNTIFS('Gap Analysis &amp; Remediation'!E:E,"High",'Gap Analysis &amp; Remediation'!K:K,"In Progress")</f>
        <v/>
      </c>
      <c r="D31" s="17">
        <f>COUNTIFS('Gap Analysis &amp; Remediation'!E:E,"High",'Gap Analysis &amp; Remediation'!K:K,"Resolved")</f>
        <v/>
      </c>
      <c r="E31" s="17">
        <f>SUMPRODUCT(('Gap Analysis &amp; Remediation'!E:E="High")*(('Gap Analysis &amp; Remediation'!K:K="Open")+('Gap Analysis &amp; Remediation'!K:K="In Progress"))*('Gap Analysis &amp; Remediation'!J:J&lt;TODAY())*('Gap Analysis &amp; Remediation'!J:J&lt;&gt;""))</f>
        <v/>
      </c>
    </row>
    <row r="32">
      <c r="A32" s="2" t="inlineStr">
        <is>
          <t>Medium</t>
        </is>
      </c>
      <c r="B32" s="17">
        <f>COUNTIFS('Gap Analysis &amp; Remediation'!E:E,"Medium",'Gap Analysis &amp; Remediation'!K:K,"Open")</f>
        <v/>
      </c>
      <c r="C32" s="17">
        <f>COUNTIFS('Gap Analysis &amp; Remediation'!E:E,"Medium",'Gap Analysis &amp; Remediation'!K:K,"In Progress")</f>
        <v/>
      </c>
      <c r="D32" s="17">
        <f>COUNTIFS('Gap Analysis &amp; Remediation'!E:E,"Medium",'Gap Analysis &amp; Remediation'!K:K,"Resolved")</f>
        <v/>
      </c>
      <c r="E32" s="17">
        <f>SUMPRODUCT(('Gap Analysis &amp; Remediation'!E:E="Medium")*(('Gap Analysis &amp; Remediation'!K:K="Open")+('Gap Analysis &amp; Remediation'!K:K="In Progress"))*('Gap Analysis &amp; Remediation'!J:J&lt;TODAY())*('Gap Analysis &amp; Remediation'!J:J&lt;&gt;""))</f>
        <v/>
      </c>
    </row>
    <row r="33">
      <c r="A33" s="2" t="inlineStr">
        <is>
          <t>Low</t>
        </is>
      </c>
      <c r="B33" s="17">
        <f>COUNTIFS('Gap Analysis &amp; Remediation'!E:E,"Low",'Gap Analysis &amp; Remediation'!K:K,"Open")</f>
        <v/>
      </c>
      <c r="C33" s="17">
        <f>COUNTIFS('Gap Analysis &amp; Remediation'!E:E,"Low",'Gap Analysis &amp; Remediation'!K:K,"In Progress")</f>
        <v/>
      </c>
      <c r="D33" s="17">
        <f>COUNTIFS('Gap Analysis &amp; Remediation'!E:E,"Low",'Gap Analysis &amp; Remediation'!K:K,"Resolved")</f>
        <v/>
      </c>
      <c r="E33" s="17">
        <f>SUMPRODUCT(('Gap Analysis &amp; Remediation'!E:E="Low")*(('Gap Analysis &amp; Remediation'!K:K="Open")+('Gap Analysis &amp; Remediation'!K:K="In Progress"))*('Gap Analysis &amp; Remediation'!J:J&lt;TODAY())*('Gap Analysis &amp; Remediation'!J:J&lt;&gt;""))</f>
        <v/>
      </c>
    </row>
    <row r="36">
      <c r="A36" s="6" t="inlineStr">
        <is>
          <t>4. RECOMMENDATIONS</t>
        </is>
      </c>
    </row>
    <row r="38">
      <c r="A38" s="28" t="inlineStr">
        <is>
          <t>1. If avg collection rate &lt;98%: Investigate and resolve collection gaps</t>
        </is>
      </c>
    </row>
    <row r="39">
      <c r="A39" s="28" t="inlineStr">
        <is>
          <t>2. If storage &gt;70%: Plan storage expansion within 90 days</t>
        </is>
      </c>
    </row>
    <row r="40">
      <c r="A40" s="28" t="inlineStr">
        <is>
          <t>3. If parse success rate &lt;95%: Tune parsers for improved field extraction</t>
        </is>
      </c>
    </row>
    <row r="41">
      <c r="A41" s="28" t="inlineStr">
        <is>
          <t>4. If SIEM uptime &lt;99.9%: Implement redundancy/high availability</t>
        </is>
      </c>
    </row>
    <row r="42">
      <c r="A42" s="28" t="inlineStr">
        <is>
          <t>5. If critical gaps exist: Prioritize remediation within 30 days</t>
        </is>
      </c>
    </row>
    <row r="43">
      <c r="A43" s="28" t="inlineStr">
        <is>
          <t>6. Review forwarder versions: Ensure all forwarders are up-to-date</t>
        </is>
      </c>
    </row>
    <row r="44">
      <c r="A44" s="28" t="inlineStr">
        <is>
          <t>7. Implement automated monitoring: Set up alerts for collection failures</t>
        </is>
      </c>
    </row>
    <row r="45">
      <c r="A45" s="28" t="inlineStr">
        <is>
          <t>8. Document runbooks: Create procedures for common issues</t>
        </is>
      </c>
    </row>
  </sheetData>
  <mergeCells count="14">
    <mergeCell ref="A45:H45"/>
    <mergeCell ref="A4:H4"/>
    <mergeCell ref="A39:H39"/>
    <mergeCell ref="A43:H43"/>
    <mergeCell ref="A38:H38"/>
    <mergeCell ref="A2:H2"/>
    <mergeCell ref="A40:H40"/>
    <mergeCell ref="A42:H42"/>
    <mergeCell ref="A41:H41"/>
    <mergeCell ref="A36:H36"/>
    <mergeCell ref="A44:H44"/>
    <mergeCell ref="A1:H1"/>
    <mergeCell ref="A27:H27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Collection &amp; Centralization Assessment</t>
        </is>
      </c>
    </row>
    <row r="4">
      <c r="A4" s="6" t="inlineStr">
        <is>
          <t>APPROVAL WORKFLOW</t>
        </is>
      </c>
    </row>
    <row r="6">
      <c r="A6" s="14" t="inlineStr">
        <is>
          <t>Role</t>
        </is>
      </c>
      <c r="B6" s="14" t="inlineStr">
        <is>
          <t>Name</t>
        </is>
      </c>
      <c r="C6" s="14" t="inlineStr">
        <is>
          <t>Date</t>
        </is>
      </c>
      <c r="D6" s="14" t="inlineStr">
        <is>
          <t>Signature</t>
        </is>
      </c>
      <c r="E6" s="14" t="inlineStr">
        <is>
          <t>Status</t>
        </is>
      </c>
    </row>
    <row r="7">
      <c r="A7" s="2" t="inlineStr">
        <is>
          <t>Log Administrator</t>
        </is>
      </c>
      <c r="B7" s="5" t="inlineStr">
        <is>
          <t>[Name]</t>
        </is>
      </c>
      <c r="C7" s="4" t="inlineStr"/>
      <c r="D7" s="5" t="inlineStr">
        <is>
          <t>_____</t>
        </is>
      </c>
      <c r="E7" s="21" t="inlineStr">
        <is>
          <t>☐ Reviewed</t>
        </is>
      </c>
    </row>
    <row r="8">
      <c r="A8" s="2" t="inlineStr">
        <is>
          <t>SOC Lead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21" t="inlineStr">
        <is>
          <t>☐ Reviewed</t>
        </is>
      </c>
    </row>
    <row r="9">
      <c r="A9" s="2" t="inlineStr">
        <is>
          <t>IT Operations Manager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21" t="inlineStr">
        <is>
          <t>☐ Reviewed</t>
        </is>
      </c>
    </row>
    <row r="10">
      <c r="A10" s="2" t="inlineStr">
        <is>
          <t>Information Security Manager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21" t="inlineStr">
        <is>
          <t>☐ Approved</t>
        </is>
      </c>
    </row>
    <row r="13">
      <c r="A13" s="6" t="inlineStr">
        <is>
          <t>ACKNOWLEDGMENTS CHECKLIST</t>
        </is>
      </c>
    </row>
    <row r="15">
      <c r="A15" s="21" t="inlineStr">
        <is>
          <t>☐ SIEM platform architecture documented</t>
        </is>
      </c>
    </row>
    <row r="16">
      <c r="A16" s="21" t="inlineStr">
        <is>
          <t>☐ Log forwarders inventoried</t>
        </is>
      </c>
    </row>
    <row r="17">
      <c r="A17" s="21" t="inlineStr">
        <is>
          <t>☐ Collection reliability assessed</t>
        </is>
      </c>
    </row>
    <row r="18">
      <c r="A18" s="21" t="inlineStr">
        <is>
          <t>☐ Performance metrics tracked</t>
        </is>
      </c>
    </row>
    <row r="19">
      <c r="A19" s="21" t="inlineStr">
        <is>
          <t>☐ Storage capacity reviewed</t>
        </is>
      </c>
    </row>
    <row r="20">
      <c r="A20" s="21" t="inlineStr">
        <is>
          <t>☐ Parsing accuracy assessed</t>
        </is>
      </c>
    </row>
    <row r="21">
      <c r="A21" s="21" t="inlineStr">
        <is>
          <t>☐ Data quality evaluated</t>
        </is>
      </c>
    </row>
    <row r="22">
      <c r="A22" s="21" t="inlineStr">
        <is>
          <t>☐ Gaps identified and prioritized</t>
        </is>
      </c>
    </row>
    <row r="23">
      <c r="A23" s="21" t="inlineStr">
        <is>
          <t>☐ Remediation plan established</t>
        </is>
      </c>
    </row>
    <row r="24">
      <c r="A24" s="21" t="inlineStr">
        <is>
          <t>☐ Next review scheduled</t>
        </is>
      </c>
    </row>
  </sheetData>
  <mergeCells count="14">
    <mergeCell ref="A21:E21"/>
    <mergeCell ref="A4:E4"/>
    <mergeCell ref="A20:E20"/>
    <mergeCell ref="A24:E24"/>
    <mergeCell ref="A2:E2"/>
    <mergeCell ref="A16:E16"/>
    <mergeCell ref="A15:E15"/>
    <mergeCell ref="A19:E19"/>
    <mergeCell ref="A1:E1"/>
    <mergeCell ref="A23:E23"/>
    <mergeCell ref="A13:E13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2026-02-08T11:26:10Z</dcterms:created>
  <dcterms:modified xmlns:dcterms="http://purl.org/dc/terms/" xmlns:xsi="http://www.w3.org/2001/XMLSchema-instance" xsi:type="dcterms:W3CDTF">2026-02-08T11:26:11Z</dcterms:modified>
</cp:coreProperties>
</file>